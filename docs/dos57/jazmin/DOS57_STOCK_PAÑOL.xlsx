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ÑOL TÉCNICO" sheetId="1" r:id="rId4"/>
    <sheet state="visible" name="ENTRADAS" sheetId="2" r:id="rId5"/>
    <sheet state="visible" name="SALIDAS" sheetId="3" r:id="rId6"/>
    <sheet state="visible" name="DIARIOS" sheetId="4" r:id="rId7"/>
    <sheet state="visible" name="COMPRAS" sheetId="5" r:id="rId8"/>
    <sheet state="visible" name="hoja para borrar" sheetId="6" r:id="rId9"/>
    <sheet state="visible" name="Hoja 3" sheetId="7" r:id="rId10"/>
  </sheets>
  <definedNames/>
  <calcPr/>
  <extLst>
    <ext uri="GoogleSheetsCustomDataVersion2">
      <go:sheetsCustomData xmlns:go="http://customooxmlschemas.google.com/" r:id="rId11" roundtripDataChecksum="kbReGLG1AEyhupkY+RTt/50yx2MekblyHOkewuBVi6Q="/>
    </ext>
  </extLst>
</workbook>
</file>

<file path=xl/sharedStrings.xml><?xml version="1.0" encoding="utf-8"?>
<sst xmlns="http://schemas.openxmlformats.org/spreadsheetml/2006/main" count="3237" uniqueCount="774">
  <si>
    <t>F</t>
  </si>
  <si>
    <t>PAÑOL TÉCNICO</t>
  </si>
  <si>
    <t>Codigo Producto</t>
  </si>
  <si>
    <t>Descripción</t>
  </si>
  <si>
    <t>Entradas</t>
  </si>
  <si>
    <t>Salidas</t>
  </si>
  <si>
    <t>Stock Actual</t>
  </si>
  <si>
    <t>Observación</t>
  </si>
  <si>
    <t>N° Pañol</t>
  </si>
  <si>
    <t>P-1</t>
  </si>
  <si>
    <t>Alicate</t>
  </si>
  <si>
    <t>2 kempes,1 aleman no devolvio</t>
  </si>
  <si>
    <t>P-2</t>
  </si>
  <si>
    <t>Arnes con cola de mono</t>
  </si>
  <si>
    <t>15 kempes, 3 fausto,14 depo</t>
  </si>
  <si>
    <t>P-3</t>
  </si>
  <si>
    <t>Arnes sin cola de mono</t>
  </si>
  <si>
    <t>P-4</t>
  </si>
  <si>
    <t>Anteojo dual transparente Libus</t>
  </si>
  <si>
    <t>P-5</t>
  </si>
  <si>
    <t>Anteojo de protección</t>
  </si>
  <si>
    <t>P-6</t>
  </si>
  <si>
    <t>Atornilladora inalámbrica DeWalt (amarilla)</t>
  </si>
  <si>
    <t>2 depo, 2 kempes,1 fausto</t>
  </si>
  <si>
    <t>P-7</t>
  </si>
  <si>
    <t>Atornilladora inalámbrica Hamilton (naranja)</t>
  </si>
  <si>
    <t>P-8</t>
  </si>
  <si>
    <t>Abrazadera p/tubo</t>
  </si>
  <si>
    <t>P-9</t>
  </si>
  <si>
    <t>Adaptador</t>
  </si>
  <si>
    <t>P-10</t>
  </si>
  <si>
    <t>Angulo para estantería</t>
  </si>
  <si>
    <t>P-11</t>
  </si>
  <si>
    <t>Arandela</t>
  </si>
  <si>
    <t>P-12</t>
  </si>
  <si>
    <t>Arandela grande</t>
  </si>
  <si>
    <t>P-13</t>
  </si>
  <si>
    <t>Aspiradora pequeña</t>
  </si>
  <si>
    <t>P-14</t>
  </si>
  <si>
    <t>Bandera argentina</t>
  </si>
  <si>
    <t>P-15</t>
  </si>
  <si>
    <t>Bidon vacío cortado</t>
  </si>
  <si>
    <t>P-16</t>
  </si>
  <si>
    <t>Batería ultimate 12V 1.5 AMP Hamilton (Máquina chica)</t>
  </si>
  <si>
    <t>P-17</t>
  </si>
  <si>
    <t>Bidon vacío sin cortar</t>
  </si>
  <si>
    <t>P-18</t>
  </si>
  <si>
    <t>Bolsa de tornillos autoperforante punta fisher 8x12" x 400u</t>
  </si>
  <si>
    <t>P-19</t>
  </si>
  <si>
    <t>Bolsa de tornillos autoperforante punta fisher x 250u</t>
  </si>
  <si>
    <t>P-20</t>
  </si>
  <si>
    <t>Bomba centrífuga</t>
  </si>
  <si>
    <t>P-21</t>
  </si>
  <si>
    <t>Par de botas de lluvia</t>
  </si>
  <si>
    <t>P-22</t>
  </si>
  <si>
    <t>Bulón de techo</t>
  </si>
  <si>
    <t>P-23</t>
  </si>
  <si>
    <t>Bulones de techo de tramo</t>
  </si>
  <si>
    <t>P-24</t>
  </si>
  <si>
    <t>Bulones de techo de tramo pequeños</t>
  </si>
  <si>
    <t>P-25</t>
  </si>
  <si>
    <t>Bulón grande de unión para techo</t>
  </si>
  <si>
    <t>P-26</t>
  </si>
  <si>
    <t>Bulón de unión para techo</t>
  </si>
  <si>
    <t>P-27</t>
  </si>
  <si>
    <t>Cable puente para batería reforzado (Taos)</t>
  </si>
  <si>
    <t>3 Y 1 TALLER MEC</t>
  </si>
  <si>
    <t>P-28</t>
  </si>
  <si>
    <t>Chaleco refractario</t>
  </si>
  <si>
    <t>13 kempes</t>
  </si>
  <si>
    <t>P-29</t>
  </si>
  <si>
    <t>Cable acerado</t>
  </si>
  <si>
    <t>P-30</t>
  </si>
  <si>
    <t>Cargador de batería ultimate 12v Hamilton (Máquina chica)</t>
  </si>
  <si>
    <t>P-31</t>
  </si>
  <si>
    <t>Cadena</t>
  </si>
  <si>
    <t>P-32</t>
  </si>
  <si>
    <t>Cinta métrica 50mts (fibra de vidrio)</t>
  </si>
  <si>
    <t>P-33</t>
  </si>
  <si>
    <t>Caja de herrramientas para autolevador</t>
  </si>
  <si>
    <t>P-34</t>
  </si>
  <si>
    <t>Casco de Altura</t>
  </si>
  <si>
    <t>20 DEPO,3 FAUS,20 KEMPES</t>
  </si>
  <si>
    <t>P-35</t>
  </si>
  <si>
    <t>Casco de Obra/Piso</t>
  </si>
  <si>
    <t>P-36</t>
  </si>
  <si>
    <t>Curva de techo de layher</t>
  </si>
  <si>
    <t>P-37</t>
  </si>
  <si>
    <t>Cono naranja</t>
  </si>
  <si>
    <t>P-38</t>
  </si>
  <si>
    <t>Cinta larga</t>
  </si>
  <si>
    <t>P-39</t>
  </si>
  <si>
    <t>Cajón vacío</t>
  </si>
  <si>
    <t>P-40</t>
  </si>
  <si>
    <t>Caladora</t>
  </si>
  <si>
    <t>P-41</t>
  </si>
  <si>
    <t>Capa de lluvia (usada)</t>
  </si>
  <si>
    <t>13 KEMPES,12 DEPO</t>
  </si>
  <si>
    <t>P-42</t>
  </si>
  <si>
    <t>Capa de lluvia (nuevas)</t>
  </si>
  <si>
    <t>P-43</t>
  </si>
  <si>
    <t>Cutter</t>
  </si>
  <si>
    <t>P-44</t>
  </si>
  <si>
    <t>Central de alarma AT3000</t>
  </si>
  <si>
    <t>P-45</t>
  </si>
  <si>
    <t>Cinta métrica de 8 mts</t>
  </si>
  <si>
    <t>P-46</t>
  </si>
  <si>
    <t>Caja de herramientas</t>
  </si>
  <si>
    <t>2 KEMPES</t>
  </si>
  <si>
    <t>P-47</t>
  </si>
  <si>
    <t>Criquet</t>
  </si>
  <si>
    <t>P-48</t>
  </si>
  <si>
    <t>Clavija</t>
  </si>
  <si>
    <t>P-49</t>
  </si>
  <si>
    <t>Colita de chancho</t>
  </si>
  <si>
    <t>P-50</t>
  </si>
  <si>
    <t>Cerradura</t>
  </si>
  <si>
    <t>P-51</t>
  </si>
  <si>
    <t>Caja de tornillos philip 10x2" x 500 u</t>
  </si>
  <si>
    <t>P-52</t>
  </si>
  <si>
    <t>Cola de Mono</t>
  </si>
  <si>
    <t>P-53</t>
  </si>
  <si>
    <t>Caja de 10000 u tornillos negros</t>
  </si>
  <si>
    <t>P-54</t>
  </si>
  <si>
    <t>Disco para cocina</t>
  </si>
  <si>
    <t>P-55</t>
  </si>
  <si>
    <t>Destornillador philip</t>
  </si>
  <si>
    <t>P-56</t>
  </si>
  <si>
    <t>Destornillador plano</t>
  </si>
  <si>
    <t>P-57</t>
  </si>
  <si>
    <t>Escalera 4/5 peldaños</t>
  </si>
  <si>
    <t>P-58</t>
  </si>
  <si>
    <t>Enganche carro</t>
  </si>
  <si>
    <t>P-59</t>
  </si>
  <si>
    <t>Engrampadora</t>
  </si>
  <si>
    <t>1 rota</t>
  </si>
  <si>
    <t>P-60</t>
  </si>
  <si>
    <t>Espatula</t>
  </si>
  <si>
    <t>P-61</t>
  </si>
  <si>
    <t>Enganche tipo bocha</t>
  </si>
  <si>
    <t>P-62</t>
  </si>
  <si>
    <t>Escalon de escenario</t>
  </si>
  <si>
    <t>P-63</t>
  </si>
  <si>
    <t>Flota flota</t>
  </si>
  <si>
    <t>P-64</t>
  </si>
  <si>
    <t>Funda azul</t>
  </si>
  <si>
    <t>P-65</t>
  </si>
  <si>
    <t>Guía de techo</t>
  </si>
  <si>
    <t>P-66</t>
  </si>
  <si>
    <t>Grillete spanser</t>
  </si>
  <si>
    <t>P-67</t>
  </si>
  <si>
    <t>Gancho para rachet</t>
  </si>
  <si>
    <t>P-68</t>
  </si>
  <si>
    <t>Goma para guía de techo</t>
  </si>
  <si>
    <t>P-69</t>
  </si>
  <si>
    <t>Gancho completo para auto</t>
  </si>
  <si>
    <t>P-70</t>
  </si>
  <si>
    <t>Grasera chica</t>
  </si>
  <si>
    <t>TALLER</t>
  </si>
  <si>
    <t>P-71</t>
  </si>
  <si>
    <t>Gazebo completo</t>
  </si>
  <si>
    <t>P-72</t>
  </si>
  <si>
    <t>Hornito portable gas</t>
  </si>
  <si>
    <t>P-73</t>
  </si>
  <si>
    <t>Jabalina</t>
  </si>
  <si>
    <t>P-74</t>
  </si>
  <si>
    <t>Llave de 1-1/8</t>
  </si>
  <si>
    <t>P-75</t>
  </si>
  <si>
    <t>Llave de 22</t>
  </si>
  <si>
    <t>P-76</t>
  </si>
  <si>
    <t>Llave de 19</t>
  </si>
  <si>
    <t>P-77</t>
  </si>
  <si>
    <t>Llave de 14</t>
  </si>
  <si>
    <t>P-78</t>
  </si>
  <si>
    <t>Llave de 13</t>
  </si>
  <si>
    <t>P-79</t>
  </si>
  <si>
    <t>Llave de 23</t>
  </si>
  <si>
    <t>P-80</t>
  </si>
  <si>
    <t>Llave de 7</t>
  </si>
  <si>
    <t>P-81</t>
  </si>
  <si>
    <t>Llave de 17</t>
  </si>
  <si>
    <t>P-82</t>
  </si>
  <si>
    <t>Llave inglesa</t>
  </si>
  <si>
    <t>P-83</t>
  </si>
  <si>
    <t>Llave inglesa (rota)</t>
  </si>
  <si>
    <t>P-84</t>
  </si>
  <si>
    <t>Lingas sin gancho</t>
  </si>
  <si>
    <t>P-85</t>
  </si>
  <si>
    <t>Lingas de acero</t>
  </si>
  <si>
    <t>P-86</t>
  </si>
  <si>
    <t>Lija grande del 60</t>
  </si>
  <si>
    <t>P-87</t>
  </si>
  <si>
    <t>Lingas con gancho</t>
  </si>
  <si>
    <t>P-88</t>
  </si>
  <si>
    <t>Linga de acero</t>
  </si>
  <si>
    <t>P-89</t>
  </si>
  <si>
    <t>Latex interior "Negro" 20 L (Pintacrem)</t>
  </si>
  <si>
    <t>P-90</t>
  </si>
  <si>
    <t>Llave allen 6 mm</t>
  </si>
  <si>
    <t>P-91</t>
  </si>
  <si>
    <t>Llave allen 8 mm</t>
  </si>
  <si>
    <t>P-92</t>
  </si>
  <si>
    <t>Llave allen 5 mm</t>
  </si>
  <si>
    <t>P-93</t>
  </si>
  <si>
    <t>Mascara protectora p/vía respiratoria (1 cartucho)</t>
  </si>
  <si>
    <t>P-94</t>
  </si>
  <si>
    <t>Mascara protectora p/vía respiratoria (2 cartuchos)</t>
  </si>
  <si>
    <t>P-95</t>
  </si>
  <si>
    <t>Mecha con piedra pome</t>
  </si>
  <si>
    <t>P-96</t>
  </si>
  <si>
    <t>Mecha copa</t>
  </si>
  <si>
    <t>P-97</t>
  </si>
  <si>
    <t>Mecha para metal de 4cm</t>
  </si>
  <si>
    <t>P-98</t>
  </si>
  <si>
    <t>Mosquetón</t>
  </si>
  <si>
    <t>P-99</t>
  </si>
  <si>
    <t>Molde para grafitti "Dos57"</t>
  </si>
  <si>
    <t>P-100</t>
  </si>
  <si>
    <t>Masa p/estaca de 1mts</t>
  </si>
  <si>
    <t>P-101</t>
  </si>
  <si>
    <t>Masa de goma</t>
  </si>
  <si>
    <t>P-102</t>
  </si>
  <si>
    <t>Mecha para metal 8.25</t>
  </si>
  <si>
    <t>P-103</t>
  </si>
  <si>
    <t>Mecha para metal 12</t>
  </si>
  <si>
    <t>P-104</t>
  </si>
  <si>
    <t>Mecha para metal 5</t>
  </si>
  <si>
    <t>P-105</t>
  </si>
  <si>
    <t>Mecha para metal 8</t>
  </si>
  <si>
    <t>P-106</t>
  </si>
  <si>
    <t>Mecha para metal 3</t>
  </si>
  <si>
    <t>P-107</t>
  </si>
  <si>
    <t>Mecha para pared 15/64</t>
  </si>
  <si>
    <t>P-108</t>
  </si>
  <si>
    <t>Mecha para pared 5/16 - 8mm</t>
  </si>
  <si>
    <t>P-109</t>
  </si>
  <si>
    <t>Mecha para metal 14</t>
  </si>
  <si>
    <t>P-110</t>
  </si>
  <si>
    <t>Mecha para metal 6.25</t>
  </si>
  <si>
    <t>P-111</t>
  </si>
  <si>
    <t>Martillo de Layher</t>
  </si>
  <si>
    <t>P-112</t>
  </si>
  <si>
    <t>Máquina p/rachet</t>
  </si>
  <si>
    <t>P-113</t>
  </si>
  <si>
    <t>Machete</t>
  </si>
  <si>
    <t>P-114</t>
  </si>
  <si>
    <t>Martillo</t>
  </si>
  <si>
    <t>P-115</t>
  </si>
  <si>
    <t>Martillo de acero</t>
  </si>
  <si>
    <t>P-116</t>
  </si>
  <si>
    <t>Mameluco impermeable azul</t>
  </si>
  <si>
    <t>P-117</t>
  </si>
  <si>
    <t>Mascara de soldar</t>
  </si>
  <si>
    <t>P-118</t>
  </si>
  <si>
    <t>Mini rachet</t>
  </si>
  <si>
    <t>P-119</t>
  </si>
  <si>
    <t>Nivel de mano regular</t>
  </si>
  <si>
    <t>P-120</t>
  </si>
  <si>
    <t>Nivel de mano grande</t>
  </si>
  <si>
    <t>P-121</t>
  </si>
  <si>
    <t>Nudo con pin</t>
  </si>
  <si>
    <t xml:space="preserve">AMBIL GALPON </t>
  </si>
  <si>
    <t>P-122</t>
  </si>
  <si>
    <t>Odometro</t>
  </si>
  <si>
    <t>P-123</t>
  </si>
  <si>
    <t>Pistola caliente de silicona</t>
  </si>
  <si>
    <t>P-124</t>
  </si>
  <si>
    <t>Puntera philip</t>
  </si>
  <si>
    <t>P-125</t>
  </si>
  <si>
    <t>Pistola p/pintura profesional (Crossgrob)</t>
  </si>
  <si>
    <t>1 DEPO,1 HERRERIA</t>
  </si>
  <si>
    <t>P-126</t>
  </si>
  <si>
    <t>Pistola p/pintura (en uso)</t>
  </si>
  <si>
    <t>P-127</t>
  </si>
  <si>
    <t>Pistola  p/pintura (sin funcionar)</t>
  </si>
  <si>
    <t>P-128</t>
  </si>
  <si>
    <t>Pinza</t>
  </si>
  <si>
    <t>P-129</t>
  </si>
  <si>
    <t>Prolongación 20mts</t>
  </si>
  <si>
    <t>P-130</t>
  </si>
  <si>
    <t>Prolongación 14/15mts</t>
  </si>
  <si>
    <t>P-131</t>
  </si>
  <si>
    <t>Prolongación 10mts</t>
  </si>
  <si>
    <t>P-132</t>
  </si>
  <si>
    <t>Prolongación 5mts (Del generador)</t>
  </si>
  <si>
    <t>P-133</t>
  </si>
  <si>
    <t xml:space="preserve">Pistola infladora </t>
  </si>
  <si>
    <t>P-134</t>
  </si>
  <si>
    <t>Pala de punta</t>
  </si>
  <si>
    <t>P-135</t>
  </si>
  <si>
    <t>Pico</t>
  </si>
  <si>
    <t>P-136</t>
  </si>
  <si>
    <t>Pala ancha</t>
  </si>
  <si>
    <t>P-137</t>
  </si>
  <si>
    <t>Pin móvil para Layher</t>
  </si>
  <si>
    <t>P-138</t>
  </si>
  <si>
    <t>Porta martillo Layher</t>
  </si>
  <si>
    <t>1 ROTO</t>
  </si>
  <si>
    <t>P-139</t>
  </si>
  <si>
    <t>Paneles led</t>
  </si>
  <si>
    <t>P-140</t>
  </si>
  <si>
    <t>Pistola de silicona</t>
  </si>
  <si>
    <t>P-141</t>
  </si>
  <si>
    <t>Pistola de cinta</t>
  </si>
  <si>
    <t>P-142</t>
  </si>
  <si>
    <t>Pin doble de layher</t>
  </si>
  <si>
    <t>P-143</t>
  </si>
  <si>
    <t>Porta lámpara</t>
  </si>
  <si>
    <t>P-144</t>
  </si>
  <si>
    <t>Plaqueta de TV</t>
  </si>
  <si>
    <t>P-145</t>
  </si>
  <si>
    <t>Picaporte fijo</t>
  </si>
  <si>
    <t>P-146</t>
  </si>
  <si>
    <t>Puntera fina</t>
  </si>
  <si>
    <t>P-147</t>
  </si>
  <si>
    <t>Remachadora neumatica</t>
  </si>
  <si>
    <t>P-148</t>
  </si>
  <si>
    <t>Rachet 9mts.</t>
  </si>
  <si>
    <t>P-149</t>
  </si>
  <si>
    <t>Rachet 3mts.</t>
  </si>
  <si>
    <t>P-150</t>
  </si>
  <si>
    <t>Rachet 1mts.</t>
  </si>
  <si>
    <t>P-151</t>
  </si>
  <si>
    <t>Reflectores</t>
  </si>
  <si>
    <t>P-152</t>
  </si>
  <si>
    <t>Ruleta métrica de 45mts (Amarilla)</t>
  </si>
  <si>
    <t>P-153</t>
  </si>
  <si>
    <t>Roldana para cadena larga</t>
  </si>
  <si>
    <t>P-154</t>
  </si>
  <si>
    <t>Rueda ámbil/tarima</t>
  </si>
  <si>
    <t>P-155</t>
  </si>
  <si>
    <t>Resorte</t>
  </si>
  <si>
    <t>P-156</t>
  </si>
  <si>
    <t>Roseta simple</t>
  </si>
  <si>
    <t>GALPON</t>
  </si>
  <si>
    <t>P-157</t>
  </si>
  <si>
    <t>Roseta móvil</t>
  </si>
  <si>
    <t>P-158</t>
  </si>
  <si>
    <t>Seguro free</t>
  </si>
  <si>
    <t>P-159</t>
  </si>
  <si>
    <t>Spanser con linga de acero</t>
  </si>
  <si>
    <t>P-160</t>
  </si>
  <si>
    <t>Spanser</t>
  </si>
  <si>
    <t>P-161</t>
  </si>
  <si>
    <t>Soporte ventilador</t>
  </si>
  <si>
    <t>P-162</t>
  </si>
  <si>
    <t>Strich</t>
  </si>
  <si>
    <t>P-163</t>
  </si>
  <si>
    <t>Soporte TV con mueca</t>
  </si>
  <si>
    <t>P-164</t>
  </si>
  <si>
    <t>Soporte TV plano</t>
  </si>
  <si>
    <t>P-165</t>
  </si>
  <si>
    <t>Spanser a rosca (distintos tamaños)</t>
  </si>
  <si>
    <t>P-166</t>
  </si>
  <si>
    <t>Sierra circular</t>
  </si>
  <si>
    <t>2 DEPO,1 KEMPES</t>
  </si>
  <si>
    <t>P-167</t>
  </si>
  <si>
    <t>Saca filtro a fleje giratorio</t>
  </si>
  <si>
    <t>P-168</t>
  </si>
  <si>
    <t>Spanser de 1mts</t>
  </si>
  <si>
    <t>P-169</t>
  </si>
  <si>
    <t>Spanser de 2,80mts</t>
  </si>
  <si>
    <t>P-170</t>
  </si>
  <si>
    <t>Spanser de 1,90</t>
  </si>
  <si>
    <t>P-171</t>
  </si>
  <si>
    <t>Spanser de 2mts</t>
  </si>
  <si>
    <t>P-172</t>
  </si>
  <si>
    <t>Spanser de acero</t>
  </si>
  <si>
    <t>P-173</t>
  </si>
  <si>
    <t>Sombrilla azul</t>
  </si>
  <si>
    <t>P-174</t>
  </si>
  <si>
    <t>Seguro de cable acerado</t>
  </si>
  <si>
    <t>P-175</t>
  </si>
  <si>
    <t>Sogin negro</t>
  </si>
  <si>
    <t>P-176</t>
  </si>
  <si>
    <t>Sogin blanco</t>
  </si>
  <si>
    <t>P-177</t>
  </si>
  <si>
    <t>Soga</t>
  </si>
  <si>
    <t>P-178</t>
  </si>
  <si>
    <t>Tapa para luz de techo</t>
  </si>
  <si>
    <t>P-179</t>
  </si>
  <si>
    <t>Tuerca para free</t>
  </si>
  <si>
    <t>P-180</t>
  </si>
  <si>
    <t>Tuerca mediana</t>
  </si>
  <si>
    <t>P-181</t>
  </si>
  <si>
    <t>Tuerca grande (techo)</t>
  </si>
  <si>
    <t>P-182</t>
  </si>
  <si>
    <t>Tuerca med/chica</t>
  </si>
  <si>
    <t>P-183</t>
  </si>
  <si>
    <t>Tuerca chica</t>
  </si>
  <si>
    <t>P-184</t>
  </si>
  <si>
    <t>Tuerca mini</t>
  </si>
  <si>
    <t>P-185</t>
  </si>
  <si>
    <t>Terminal de batería</t>
  </si>
  <si>
    <t>P-186</t>
  </si>
  <si>
    <t>Traba placas cieloraso</t>
  </si>
  <si>
    <t>P-187</t>
  </si>
  <si>
    <t>Triled</t>
  </si>
  <si>
    <t>P-188</t>
  </si>
  <si>
    <t>Termica</t>
  </si>
  <si>
    <t>P-189</t>
  </si>
  <si>
    <t>Tenaza</t>
  </si>
  <si>
    <t>P-190</t>
  </si>
  <si>
    <t>Terminal de cable</t>
  </si>
  <si>
    <t>P-191</t>
  </si>
  <si>
    <t>Tornillo autoperforante cabeza philip (suelto)</t>
  </si>
  <si>
    <t>P-192</t>
  </si>
  <si>
    <t>Tornillo autoperforante cabeza hexagonal (suelto)</t>
  </si>
  <si>
    <t>P-193</t>
  </si>
  <si>
    <t>Tornillo autoperforante cabeza philip (2cm) (suelto)</t>
  </si>
  <si>
    <t>P-194</t>
  </si>
  <si>
    <t>Tornillo 6cm (averiguar función)</t>
  </si>
  <si>
    <t>P-195</t>
  </si>
  <si>
    <t>Tornillo 8cm (con punta) (averiguar función)</t>
  </si>
  <si>
    <t>P-196</t>
  </si>
  <si>
    <t>TORNILLOS AUTOPERFORANTES HEXAGONAL 14X2"</t>
  </si>
  <si>
    <t>P-197</t>
  </si>
  <si>
    <t>Tornillos p/free cortos (6cm, 7cm y 8cm) (Sin A/T)</t>
  </si>
  <si>
    <t>P-198</t>
  </si>
  <si>
    <t>Tornillos p/free largos (9cm, 10cm, 11cm, 12cm y 13cm) (Sin A/T)</t>
  </si>
  <si>
    <t>P-199</t>
  </si>
  <si>
    <t>Tornillos p/free cortos (6cm, 7cm y 8cm)</t>
  </si>
  <si>
    <t>P-200</t>
  </si>
  <si>
    <t>Tornillos p/free largos (9cm, 10cm, 11cm, 12cm y 13cm)</t>
  </si>
  <si>
    <t>P-201</t>
  </si>
  <si>
    <t>Unifila</t>
  </si>
  <si>
    <t>P-202</t>
  </si>
  <si>
    <t>Varilla roscada</t>
  </si>
  <si>
    <t>P-203</t>
  </si>
  <si>
    <t>Ventilador (roto)</t>
  </si>
  <si>
    <t>P-204</t>
  </si>
  <si>
    <t>Zapatilla eléctrica</t>
  </si>
  <si>
    <t>1 EN USO PAÑOL</t>
  </si>
  <si>
    <t>P-205</t>
  </si>
  <si>
    <t>Soga con gancho (23mts) (Rafa)</t>
  </si>
  <si>
    <t>18 MTS</t>
  </si>
  <si>
    <t>P-206</t>
  </si>
  <si>
    <t>Soga con gancho (25mts) (Rafa)</t>
  </si>
  <si>
    <t>P-207</t>
  </si>
  <si>
    <t>Conservadora roja</t>
  </si>
  <si>
    <t>P-208</t>
  </si>
  <si>
    <t>Casco de altura roto</t>
  </si>
  <si>
    <t>P-209</t>
  </si>
  <si>
    <t>Acople criquet</t>
  </si>
  <si>
    <t>P-210</t>
  </si>
  <si>
    <t>Destornillador criquet</t>
  </si>
  <si>
    <t>P-211</t>
  </si>
  <si>
    <t>Tubo 10</t>
  </si>
  <si>
    <t>P-212</t>
  </si>
  <si>
    <t>Tubo 11</t>
  </si>
  <si>
    <t>P-213</t>
  </si>
  <si>
    <t>Tubo 12</t>
  </si>
  <si>
    <t>P-214</t>
  </si>
  <si>
    <t>Tubo 22</t>
  </si>
  <si>
    <t>P-215</t>
  </si>
  <si>
    <t>Tubo 18</t>
  </si>
  <si>
    <t>P-216</t>
  </si>
  <si>
    <t>Tubo 19</t>
  </si>
  <si>
    <t>P-217</t>
  </si>
  <si>
    <t>Tubo 21</t>
  </si>
  <si>
    <t>P-218</t>
  </si>
  <si>
    <t>Tubo 20</t>
  </si>
  <si>
    <t>P-219</t>
  </si>
  <si>
    <t>Tubo 23</t>
  </si>
  <si>
    <t>P-220</t>
  </si>
  <si>
    <t>Tubo 24</t>
  </si>
  <si>
    <t>P-221</t>
  </si>
  <si>
    <t>P-222</t>
  </si>
  <si>
    <t>Tubo 13</t>
  </si>
  <si>
    <t>P-223</t>
  </si>
  <si>
    <t>Tubo 14</t>
  </si>
  <si>
    <t>P-224</t>
  </si>
  <si>
    <t>Tubo 15</t>
  </si>
  <si>
    <t>P-225</t>
  </si>
  <si>
    <t>Tubo 17</t>
  </si>
  <si>
    <t>P-226</t>
  </si>
  <si>
    <t>Tubo 30</t>
  </si>
  <si>
    <t>P-227</t>
  </si>
  <si>
    <t>Tubo 32</t>
  </si>
  <si>
    <t>P-228</t>
  </si>
  <si>
    <t>Tubo 28</t>
  </si>
  <si>
    <t>P-229</t>
  </si>
  <si>
    <t>Tubo 9</t>
  </si>
  <si>
    <t>P-230</t>
  </si>
  <si>
    <t>Tubo 4</t>
  </si>
  <si>
    <t>P-231</t>
  </si>
  <si>
    <t>Tubo 4,5</t>
  </si>
  <si>
    <t>P-232</t>
  </si>
  <si>
    <t>Tubo 5</t>
  </si>
  <si>
    <t>P-233</t>
  </si>
  <si>
    <t>Amoladora</t>
  </si>
  <si>
    <t>1 DEPO,1 TALLER</t>
  </si>
  <si>
    <t>P-234</t>
  </si>
  <si>
    <t>Amoladora inalámbrica</t>
  </si>
  <si>
    <t>KEMPES</t>
  </si>
  <si>
    <t>P-235</t>
  </si>
  <si>
    <t>Espatula stanley 2"</t>
  </si>
  <si>
    <t>P-236</t>
  </si>
  <si>
    <t>Hidrolavadora</t>
  </si>
  <si>
    <t>P-237</t>
  </si>
  <si>
    <t>Aspiradora</t>
  </si>
  <si>
    <t>P-238</t>
  </si>
  <si>
    <t>Chapas Fenolicos</t>
  </si>
  <si>
    <t>P-239</t>
  </si>
  <si>
    <t>Grilletes 3/8</t>
  </si>
  <si>
    <t>P-240</t>
  </si>
  <si>
    <t>Grilletes 3/4</t>
  </si>
  <si>
    <t>P-241</t>
  </si>
  <si>
    <t>Grilletes 5/8</t>
  </si>
  <si>
    <t>P-242</t>
  </si>
  <si>
    <t xml:space="preserve">Taladro percutor </t>
  </si>
  <si>
    <t>HERRERIA</t>
  </si>
  <si>
    <t>P-243</t>
  </si>
  <si>
    <t>Llave 22</t>
  </si>
  <si>
    <t>P-244</t>
  </si>
  <si>
    <t>Llave 24</t>
  </si>
  <si>
    <t>P-245</t>
  </si>
  <si>
    <t>Cinta metrica 100Mts</t>
  </si>
  <si>
    <t>P-256</t>
  </si>
  <si>
    <t xml:space="preserve">Anteojos oscuros </t>
  </si>
  <si>
    <t>P-257</t>
  </si>
  <si>
    <t>Anteojos amarillos</t>
  </si>
  <si>
    <t>P-258</t>
  </si>
  <si>
    <t>Anteojos espejados</t>
  </si>
  <si>
    <t>P-259</t>
  </si>
  <si>
    <t>Megáfono</t>
  </si>
  <si>
    <t>ADM</t>
  </si>
  <si>
    <t>P-260</t>
  </si>
  <si>
    <t>Gancho mosquetón grande</t>
  </si>
  <si>
    <t>P-261</t>
  </si>
  <si>
    <t>Roldana grande</t>
  </si>
  <si>
    <t>P-262</t>
  </si>
  <si>
    <t>Roldana chica</t>
  </si>
  <si>
    <t>P-263</t>
  </si>
  <si>
    <t>Termo de 12L</t>
  </si>
  <si>
    <t>P-264</t>
  </si>
  <si>
    <t xml:space="preserve">Pinza de punta </t>
  </si>
  <si>
    <t>P-265</t>
  </si>
  <si>
    <t>Tensor de cable de acero</t>
  </si>
  <si>
    <t>P-266</t>
  </si>
  <si>
    <t>Ficha macho/hembra</t>
  </si>
  <si>
    <t>Z</t>
  </si>
  <si>
    <t>ENTRADAS</t>
  </si>
  <si>
    <t>Código</t>
  </si>
  <si>
    <t>Cantidad</t>
  </si>
  <si>
    <t>SALIDAS</t>
  </si>
  <si>
    <t>CDF</t>
  </si>
  <si>
    <t>DIARIO</t>
  </si>
  <si>
    <t>Fecha de retiro</t>
  </si>
  <si>
    <t>Responsable</t>
  </si>
  <si>
    <t>Retirado por</t>
  </si>
  <si>
    <t>Cant</t>
  </si>
  <si>
    <t>Destino</t>
  </si>
  <si>
    <t>Fecha de devolución</t>
  </si>
  <si>
    <t>Furia</t>
  </si>
  <si>
    <t>Jesús María</t>
  </si>
  <si>
    <t>LA TIENE MARIO</t>
  </si>
  <si>
    <t>Masa p/estaca de 1mts (naranja)</t>
  </si>
  <si>
    <t>Casco de altura</t>
  </si>
  <si>
    <t>Mario López + Veck Salerno</t>
  </si>
  <si>
    <t>Kempes</t>
  </si>
  <si>
    <t>FALTA UNA COLA DE MONO</t>
  </si>
  <si>
    <t>Rachet 3 mts.</t>
  </si>
  <si>
    <t>Plaza San Martín</t>
  </si>
  <si>
    <t>LO TIENE MARIO</t>
  </si>
  <si>
    <t>-</t>
  </si>
  <si>
    <t>Fausto</t>
  </si>
  <si>
    <t>Casa de Pollo</t>
  </si>
  <si>
    <t>Fernando pez</t>
  </si>
  <si>
    <t>Galpon</t>
  </si>
  <si>
    <t>Gonzalo</t>
  </si>
  <si>
    <t>Anteojo dual transparente libus</t>
  </si>
  <si>
    <t>Jona</t>
  </si>
  <si>
    <t>Patricio</t>
  </si>
  <si>
    <t>Maxi</t>
  </si>
  <si>
    <t>Galpon 2</t>
  </si>
  <si>
    <t>Pola</t>
  </si>
  <si>
    <t>Cinta metrica de 8 mts</t>
  </si>
  <si>
    <t>Milton</t>
  </si>
  <si>
    <t>Evento autos</t>
  </si>
  <si>
    <t>Dario</t>
  </si>
  <si>
    <t>Sala del rey</t>
  </si>
  <si>
    <t>Anteojo de proteccion</t>
  </si>
  <si>
    <t>Pollo</t>
  </si>
  <si>
    <t>Oficina galpon</t>
  </si>
  <si>
    <t>Enjoy</t>
  </si>
  <si>
    <t>Entre rios</t>
  </si>
  <si>
    <t>Nestor</t>
  </si>
  <si>
    <t>Malvinas</t>
  </si>
  <si>
    <t>Elias</t>
  </si>
  <si>
    <t>Giraudo</t>
  </si>
  <si>
    <t>Isaias</t>
  </si>
  <si>
    <t>Uso personal</t>
  </si>
  <si>
    <t>Enzo</t>
  </si>
  <si>
    <t>Uriel</t>
  </si>
  <si>
    <t>Galpón</t>
  </si>
  <si>
    <t>Arreglo</t>
  </si>
  <si>
    <t>Matías</t>
  </si>
  <si>
    <t>Nahuel</t>
  </si>
  <si>
    <t>Escuela - Ecopunto</t>
  </si>
  <si>
    <t>Miguel</t>
  </si>
  <si>
    <t>Rasta</t>
  </si>
  <si>
    <t>Tony</t>
  </si>
  <si>
    <t>Atornilladora inalambrica hamilton (naranja)</t>
  </si>
  <si>
    <t>Atornilladora inalambrica deWalt (amarilla)</t>
  </si>
  <si>
    <t>Sheraton</t>
  </si>
  <si>
    <t>Isa</t>
  </si>
  <si>
    <t>Juan</t>
  </si>
  <si>
    <t>engrampadora</t>
  </si>
  <si>
    <t>Las rabonas</t>
  </si>
  <si>
    <t>5to centenario</t>
  </si>
  <si>
    <t>Chispa</t>
  </si>
  <si>
    <t>Pañol</t>
  </si>
  <si>
    <t>Camioneta</t>
  </si>
  <si>
    <t>Jose</t>
  </si>
  <si>
    <t>Estructuras mosconi</t>
  </si>
  <si>
    <t>Patrico</t>
  </si>
  <si>
    <t>Predio talleres</t>
  </si>
  <si>
    <t xml:space="preserve">Plaza de la musica </t>
  </si>
  <si>
    <t xml:space="preserve">Camion machado </t>
  </si>
  <si>
    <t>Camion machado</t>
  </si>
  <si>
    <t>Camion chispa</t>
  </si>
  <si>
    <t>Veck</t>
  </si>
  <si>
    <t>Zona de Aforo</t>
  </si>
  <si>
    <t>Roberto</t>
  </si>
  <si>
    <t>La estacion</t>
  </si>
  <si>
    <t xml:space="preserve">Aleman </t>
  </si>
  <si>
    <t xml:space="preserve">PLaza de la musica </t>
  </si>
  <si>
    <t>Zona de aforo</t>
  </si>
  <si>
    <t>El faro</t>
  </si>
  <si>
    <t>Fofi</t>
  </si>
  <si>
    <t>Racing</t>
  </si>
  <si>
    <t>Villa libertador</t>
  </si>
  <si>
    <t>Plaza de la musica</t>
  </si>
  <si>
    <t>Carlos paz</t>
  </si>
  <si>
    <t>Mario</t>
  </si>
  <si>
    <t>Eco punto</t>
  </si>
  <si>
    <t>Negrin</t>
  </si>
  <si>
    <t>Rio cuarto</t>
  </si>
  <si>
    <t>Casco de piso</t>
  </si>
  <si>
    <t>Chalecos reflactario</t>
  </si>
  <si>
    <t>Anteojos de proteccion</t>
  </si>
  <si>
    <t>Prolongacion 20mts</t>
  </si>
  <si>
    <t>Jon</t>
  </si>
  <si>
    <t>Matias</t>
  </si>
  <si>
    <t>La rioja</t>
  </si>
  <si>
    <t>Pistola p/pintura profecional (crossgrop)</t>
  </si>
  <si>
    <t>Pistola p/ pintura (en uso)</t>
  </si>
  <si>
    <t>Anteojos dual transparente libus</t>
  </si>
  <si>
    <t>Yamil (enjoy)</t>
  </si>
  <si>
    <t>Manolo</t>
  </si>
  <si>
    <t>Mula</t>
  </si>
  <si>
    <t xml:space="preserve">Galpon </t>
  </si>
  <si>
    <t>Botas para lluvia</t>
  </si>
  <si>
    <t>Camion volvo</t>
  </si>
  <si>
    <t xml:space="preserve">Fijos camion </t>
  </si>
  <si>
    <t>ADMINISTRACIÓN</t>
  </si>
  <si>
    <t>FIJO ADMINISTRACIÓN</t>
  </si>
  <si>
    <t>Agustin</t>
  </si>
  <si>
    <t>Muni</t>
  </si>
  <si>
    <t>Aleman</t>
  </si>
  <si>
    <t>Alma fuerte</t>
  </si>
  <si>
    <t>Punteras phillip</t>
  </si>
  <si>
    <t>Cascos de altura</t>
  </si>
  <si>
    <t>tony</t>
  </si>
  <si>
    <t>Cascos de obra/piso</t>
  </si>
  <si>
    <t>Tucuman</t>
  </si>
  <si>
    <t>faltan dos maquinas</t>
  </si>
  <si>
    <t>Robertiño</t>
  </si>
  <si>
    <t>Sobrino</t>
  </si>
  <si>
    <t>compras</t>
  </si>
  <si>
    <t>Fecha de ingreso</t>
  </si>
  <si>
    <t>N° de comprobante</t>
  </si>
  <si>
    <t>latas de pintura gris espacial por 20l</t>
  </si>
  <si>
    <t>F 1376</t>
  </si>
  <si>
    <t>gunates moteados blancos</t>
  </si>
  <si>
    <t>R 15561</t>
  </si>
  <si>
    <t>guantes de nitrilo descartables</t>
  </si>
  <si>
    <t>papel higienico chico</t>
  </si>
  <si>
    <t>Blister repuesto cutter</t>
  </si>
  <si>
    <t>S/F</t>
  </si>
  <si>
    <t>Cinta ducktape negra 3M</t>
  </si>
  <si>
    <t>Caja de grampa 5/16</t>
  </si>
  <si>
    <t>1900g Arandela plana</t>
  </si>
  <si>
    <t>Pack de bolsas 90x120 (10u)</t>
  </si>
  <si>
    <t>Detergente lavavajillas x 5L</t>
  </si>
  <si>
    <t>Lavandina x 5L</t>
  </si>
  <si>
    <t>Rachet completo 9mts</t>
  </si>
  <si>
    <t>Lustra muebles blem</t>
  </si>
  <si>
    <t>F 0021-00007370</t>
  </si>
  <si>
    <t>strech chico</t>
  </si>
  <si>
    <t>Pintura en aerosol</t>
  </si>
  <si>
    <t>R 00015601</t>
  </si>
  <si>
    <t>Amoladora inalambrica</t>
  </si>
  <si>
    <t>Pincel 2"</t>
  </si>
  <si>
    <t xml:space="preserve"> Espatula stanley 2"</t>
  </si>
  <si>
    <t>Hojas caladora</t>
  </si>
  <si>
    <t>Precintos 1,5 x 350</t>
  </si>
  <si>
    <t>Removedor de pinturas en gel</t>
  </si>
  <si>
    <t>F 00142-00002230</t>
  </si>
  <si>
    <t>Taladro percutor</t>
  </si>
  <si>
    <t>R 00015711</t>
  </si>
  <si>
    <t>EVENTOS</t>
  </si>
  <si>
    <t>Responsable del evento</t>
  </si>
  <si>
    <t>Evento</t>
  </si>
  <si>
    <t>furia</t>
  </si>
  <si>
    <t>alambre por kilo</t>
  </si>
  <si>
    <t>jesus maria</t>
  </si>
  <si>
    <t>sogas con gancho 23</t>
  </si>
  <si>
    <t>soga con gancho 25</t>
  </si>
  <si>
    <t>arneces</t>
  </si>
  <si>
    <t>cinta metrica 50mts</t>
  </si>
  <si>
    <t>colitas de chancho</t>
  </si>
  <si>
    <t>paquetes de precintos</t>
  </si>
  <si>
    <t xml:space="preserve">guantes moteados </t>
  </si>
  <si>
    <t>rachet 1mts</t>
  </si>
  <si>
    <t xml:space="preserve"> arneces nuevos </t>
  </si>
  <si>
    <t>soguines varios</t>
  </si>
  <si>
    <t>rachet 3mts</t>
  </si>
  <si>
    <t>aerosol rojo</t>
  </si>
  <si>
    <t>cinta negra papel</t>
  </si>
  <si>
    <t>soga 27mts</t>
  </si>
  <si>
    <t>rocetas moviles</t>
  </si>
  <si>
    <t>nivel de mano hammilton</t>
  </si>
  <si>
    <t>lubicante en aerosol</t>
  </si>
  <si>
    <t>brocas para free</t>
  </si>
  <si>
    <t>volvieron 9</t>
  </si>
  <si>
    <t>tubo 17 para criquet</t>
  </si>
  <si>
    <t xml:space="preserve">autoperforante aleta </t>
  </si>
  <si>
    <t xml:space="preserve">precintos </t>
  </si>
  <si>
    <t>mario y veck</t>
  </si>
  <si>
    <t>kempes</t>
  </si>
  <si>
    <t>cascos</t>
  </si>
  <si>
    <t>volvieron 10</t>
  </si>
  <si>
    <t>atornilladora 1 bateria</t>
  </si>
  <si>
    <t>tornillos madera (mover las cajas a descartables)</t>
  </si>
  <si>
    <t>hojas tricheta</t>
  </si>
  <si>
    <t>rachet 9mts</t>
  </si>
  <si>
    <t>caja de herramientas</t>
  </si>
  <si>
    <t>candado con llave</t>
  </si>
  <si>
    <t>cinta papel negra</t>
  </si>
  <si>
    <t>rollo de tanza</t>
  </si>
  <si>
    <t>aerosol verde</t>
  </si>
  <si>
    <t>tinner</t>
  </si>
  <si>
    <t>cinta de embalar</t>
  </si>
  <si>
    <t>alicate</t>
  </si>
  <si>
    <t>conservadora</t>
  </si>
  <si>
    <t>chalecos reflectivos</t>
  </si>
  <si>
    <t>plaza san martin</t>
  </si>
  <si>
    <t>zapatillas</t>
  </si>
  <si>
    <t>cinta de peligro</t>
  </si>
  <si>
    <t>cajas grampas</t>
  </si>
  <si>
    <t>trapo de piso</t>
  </si>
  <si>
    <t>alargue 20mts</t>
  </si>
  <si>
    <t>circular</t>
  </si>
  <si>
    <t>tornillos madera</t>
  </si>
  <si>
    <t>llaves 14</t>
  </si>
  <si>
    <t>llave inglesa</t>
  </si>
  <si>
    <t>vasos descartables</t>
  </si>
  <si>
    <t>trincheta</t>
  </si>
  <si>
    <t>gazebo</t>
  </si>
  <si>
    <t>bolsas de basura</t>
  </si>
  <si>
    <t>escoba</t>
  </si>
  <si>
    <t>palo de piso</t>
  </si>
  <si>
    <t>tenaza</t>
  </si>
  <si>
    <t>arnes</t>
  </si>
  <si>
    <t>papel higienico</t>
  </si>
  <si>
    <t>atornilladora</t>
  </si>
  <si>
    <t>palos para rodillos</t>
  </si>
  <si>
    <t>casco altura roto</t>
  </si>
  <si>
    <t>bolsas de basura por unidad</t>
  </si>
  <si>
    <t>Existencia</t>
  </si>
  <si>
    <t>Total</t>
  </si>
  <si>
    <t>CHECK 22/1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</si>
</sst>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"/>
    <numFmt numFmtId="166" formatCode="dd/mm/yy"/>
  </numFmts>
  <fonts count="9">
    <font>
      <sz val="12.0"/>
      <color theme="1"/>
      <name val="Calibri"/>
      <scheme val="minor"/>
    </font>
    <font>
      <sz val="26.0"/>
      <color rgb="FFD5DF00"/>
      <name val="Bebas Neue"/>
    </font>
    <font/>
    <font>
      <b/>
      <sz val="12.0"/>
      <color theme="1"/>
      <name val="Calibri"/>
    </font>
    <font>
      <color theme="1"/>
      <name val="Calibri"/>
    </font>
    <font>
      <sz val="12.0"/>
      <color theme="1"/>
      <name val="Calibri"/>
    </font>
    <font>
      <color rgb="FF000000"/>
      <name val="Calibri"/>
    </font>
    <font>
      <color theme="1"/>
      <name val="Calibri"/>
      <scheme val="minor"/>
    </font>
    <font>
      <b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5233E"/>
        <bgColor rgb="FF15233E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D9E2F3"/>
        <bgColor rgb="FFD9E2F3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Border="1" applyFont="1"/>
    <xf borderId="2" fillId="2" fontId="1" numFmtId="0" xfId="0" applyAlignment="1" applyBorder="1" applyFont="1">
      <alignment horizontal="center" shrinkToFit="0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wrapText="1"/>
    </xf>
    <xf borderId="1" fillId="3" fontId="3" numFmtId="0" xfId="0" applyAlignment="1" applyBorder="1" applyFont="1">
      <alignment horizontal="center" readingOrder="0" shrinkToFit="0" wrapText="1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6" fontId="5" numFmtId="0" xfId="0" applyAlignment="1" applyFont="1">
      <alignment horizontal="center"/>
    </xf>
    <xf borderId="0" fillId="4" fontId="5" numFmtId="0" xfId="0" applyAlignment="1" applyFont="1">
      <alignment horizontal="center" readingOrder="0"/>
    </xf>
    <xf borderId="0" fillId="4" fontId="5" numFmtId="0" xfId="0" applyAlignment="1" applyFont="1">
      <alignment horizontal="center"/>
    </xf>
    <xf borderId="0" fillId="4" fontId="4" numFmtId="0" xfId="0" applyAlignment="1" applyFont="1">
      <alignment horizontal="center"/>
    </xf>
    <xf borderId="0" fillId="5" fontId="5" numFmtId="0" xfId="0" applyAlignment="1" applyFont="1">
      <alignment horizontal="center" vertical="bottom"/>
    </xf>
    <xf borderId="0" fillId="5" fontId="6" numFmtId="0" xfId="0" applyAlignment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4" fontId="5" numFmtId="0" xfId="0" applyAlignment="1" applyFont="1">
      <alignment horizontal="center" readingOrder="0" vertical="bottom"/>
    </xf>
    <xf borderId="0" fillId="5" fontId="5" numFmtId="0" xfId="0" applyAlignment="1" applyFont="1">
      <alignment horizontal="center" readingOrder="0" vertical="bottom"/>
    </xf>
    <xf borderId="0" fillId="4" fontId="5" numFmtId="0" xfId="0" applyAlignment="1" applyFont="1">
      <alignment horizontal="center" vertical="bottom"/>
    </xf>
    <xf borderId="0" fillId="4" fontId="4" numFmtId="164" xfId="0" applyAlignment="1" applyFont="1" applyNumberFormat="1">
      <alignment horizontal="center"/>
    </xf>
    <xf borderId="0" fillId="6" fontId="4" numFmtId="0" xfId="0" applyAlignment="1" applyFont="1">
      <alignment horizontal="center" readingOrder="0"/>
    </xf>
    <xf borderId="0" fillId="4" fontId="6" numFmtId="0" xfId="0" applyAlignment="1" applyFont="1">
      <alignment horizontal="center" readingOrder="0"/>
    </xf>
    <xf borderId="0" fillId="7" fontId="5" numFmtId="0" xfId="0" applyAlignment="1" applyFont="1">
      <alignment horizontal="center" readingOrder="0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0" fillId="4" fontId="4" numFmtId="165" xfId="0" applyAlignment="1" applyFont="1" applyNumberForma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8" fontId="5" numFmtId="0" xfId="0" applyAlignment="1" applyFill="1" applyFon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4" fontId="5" numFmtId="0" xfId="0" applyAlignment="1" applyFont="1">
      <alignment horizontal="center" vertical="center"/>
    </xf>
    <xf borderId="0" fillId="4" fontId="5" numFmtId="165" xfId="0" applyAlignment="1" applyFont="1" applyNumberFormat="1">
      <alignment horizontal="center" readingOrder="0" vertical="center"/>
    </xf>
    <xf borderId="0" fillId="8" fontId="4" numFmtId="0" xfId="0" applyAlignment="1" applyFont="1">
      <alignment horizontal="center" readingOrder="0"/>
    </xf>
    <xf borderId="0" fillId="9" fontId="4" numFmtId="165" xfId="0" applyAlignment="1" applyFill="1" applyFont="1" applyNumberForma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0" fillId="8" fontId="5" numFmtId="165" xfId="0" applyAlignment="1" applyFont="1" applyNumberFormat="1">
      <alignment horizontal="center" readingOrder="0" vertical="center"/>
    </xf>
    <xf borderId="0" fillId="8" fontId="7" numFmtId="0" xfId="0" applyAlignment="1" applyFont="1">
      <alignment readingOrder="0"/>
    </xf>
    <xf borderId="0" fillId="8" fontId="4" numFmtId="0" xfId="0" applyAlignment="1" applyFont="1">
      <alignment horizontal="center" vertical="center"/>
    </xf>
    <xf borderId="0" fillId="10" fontId="7" numFmtId="165" xfId="0" applyAlignment="1" applyFill="1" applyFont="1" applyNumberFormat="1">
      <alignment readingOrder="0"/>
    </xf>
    <xf borderId="0" fillId="4" fontId="4" numFmtId="164" xfId="0" applyAlignment="1" applyFont="1" applyNumberFormat="1">
      <alignment horizontal="center" vertical="center"/>
    </xf>
    <xf borderId="0" fillId="4" fontId="4" numFmtId="165" xfId="0" applyAlignment="1" applyFont="1" applyNumberFormat="1">
      <alignment horizontal="center" readingOrder="0"/>
    </xf>
    <xf borderId="0" fillId="4" fontId="4" numFmtId="166" xfId="0" applyAlignment="1" applyFont="1" applyNumberFormat="1">
      <alignment horizontal="center" readingOrder="0"/>
    </xf>
    <xf borderId="1" fillId="2" fontId="1" numFmtId="0" xfId="0" applyAlignment="1" applyBorder="1" applyFont="1">
      <alignment horizontal="center" shrinkToFit="0" vertical="center" wrapText="1"/>
    </xf>
    <xf borderId="0" fillId="8" fontId="4" numFmtId="165" xfId="0" applyAlignment="1" applyFont="1" applyNumberFormat="1">
      <alignment horizontal="center" readingOrder="0" vertical="center"/>
    </xf>
    <xf borderId="0" fillId="8" fontId="4" numFmtId="0" xfId="0" applyAlignment="1" applyFont="1">
      <alignment horizontal="center" readingOrder="0" vertical="center"/>
    </xf>
    <xf borderId="0" fillId="9" fontId="5" numFmtId="0" xfId="0" applyAlignment="1" applyFont="1">
      <alignment horizontal="center" readingOrder="0" vertical="center"/>
    </xf>
    <xf borderId="0" fillId="11" fontId="4" numFmtId="165" xfId="0" applyAlignment="1" applyFill="1" applyFont="1" applyNumberFormat="1">
      <alignment horizontal="center" readingOrder="0" vertical="center"/>
    </xf>
    <xf borderId="0" fillId="11" fontId="4" numFmtId="0" xfId="0" applyAlignment="1" applyFont="1">
      <alignment horizontal="center" readingOrder="0" vertical="center"/>
    </xf>
    <xf borderId="0" fillId="11" fontId="5" numFmtId="0" xfId="0" applyAlignment="1" applyFont="1">
      <alignment horizontal="center" readingOrder="0" vertical="center"/>
    </xf>
    <xf borderId="0" fillId="7" fontId="5" numFmtId="0" xfId="0" applyAlignment="1" applyFont="1">
      <alignment horizontal="center" readingOrder="0" vertical="center"/>
    </xf>
    <xf borderId="0" fillId="11" fontId="5" numFmtId="0" xfId="0" applyAlignment="1" applyFont="1">
      <alignment horizontal="center" vertical="center"/>
    </xf>
    <xf borderId="0" fillId="11" fontId="4" numFmtId="0" xfId="0" applyAlignment="1" applyFont="1">
      <alignment horizontal="center" vertical="center"/>
    </xf>
    <xf borderId="0" fillId="8" fontId="5" numFmtId="0" xfId="0" applyAlignment="1" applyFont="1">
      <alignment horizontal="center" vertical="center"/>
    </xf>
    <xf borderId="0" fillId="8" fontId="6" numFmtId="0" xfId="0" applyAlignment="1" applyFont="1">
      <alignment horizontal="center" readingOrder="0" vertical="center"/>
    </xf>
    <xf borderId="0" fillId="12" fontId="4" numFmtId="165" xfId="0" applyAlignment="1" applyFill="1" applyFont="1" applyNumberFormat="1">
      <alignment horizontal="center" readingOrder="0" vertical="center"/>
    </xf>
    <xf borderId="0" fillId="7" fontId="4" numFmtId="165" xfId="0" applyAlignment="1" applyFont="1" applyNumberFormat="1">
      <alignment horizontal="center" readingOrder="0" vertical="center"/>
    </xf>
    <xf borderId="0" fillId="7" fontId="4" numFmtId="0" xfId="0" applyAlignment="1" applyFont="1">
      <alignment horizontal="center" readingOrder="0" vertical="center"/>
    </xf>
    <xf borderId="0" fillId="7" fontId="5" numFmtId="0" xfId="0" applyAlignment="1" applyFont="1">
      <alignment horizontal="center" vertical="center"/>
    </xf>
    <xf borderId="0" fillId="12" fontId="4" numFmtId="0" xfId="0" applyAlignment="1" applyFont="1">
      <alignment horizontal="center" readingOrder="0" vertical="center"/>
    </xf>
    <xf borderId="0" fillId="12" fontId="5" numFmtId="0" xfId="0" applyAlignment="1" applyFont="1">
      <alignment horizontal="center" vertical="center"/>
    </xf>
    <xf borderId="0" fillId="12" fontId="5" numFmtId="0" xfId="0" applyAlignment="1" applyFont="1">
      <alignment horizontal="center" readingOrder="0" vertical="center"/>
    </xf>
    <xf borderId="0" fillId="7" fontId="4" numFmtId="0" xfId="0" applyAlignment="1" applyFont="1">
      <alignment horizontal="center" vertical="center"/>
    </xf>
    <xf borderId="0" fillId="2" fontId="1" numFmtId="0" xfId="0" applyAlignment="1" applyFont="1">
      <alignment horizontal="center" readingOrder="0" shrinkToFit="0" wrapText="1"/>
    </xf>
    <xf borderId="1" fillId="3" fontId="3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center" readingOrder="0" shrinkToFit="0" wrapText="1"/>
    </xf>
    <xf borderId="0" fillId="8" fontId="5" numFmtId="0" xfId="0" applyAlignment="1" applyFont="1">
      <alignment horizontal="center" readingOrder="0"/>
    </xf>
    <xf borderId="0" fillId="4" fontId="8" numFmtId="0" xfId="0" applyAlignment="1" applyFont="1">
      <alignment horizontal="center"/>
    </xf>
    <xf borderId="0" fillId="13" fontId="4" numFmtId="0" xfId="0" applyAlignment="1" applyFill="1" applyFont="1">
      <alignment horizontal="center" readingOrder="0"/>
    </xf>
    <xf borderId="0" fillId="13" fontId="5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4" pivot="0" name="PAÑOL TÉCNICO-style">
      <tableStyleElement dxfId="1" type="headerRow"/>
      <tableStyleElement dxfId="2" type="firstRowStripe"/>
      <tableStyleElement dxfId="2" type="secondRowStripe"/>
      <tableStyleElement dxfId="3" type="totalRow"/>
    </tableStyle>
    <tableStyle count="4" pivot="0" name="ENTRADAS-style">
      <tableStyleElement dxfId="1" type="headerRow"/>
      <tableStyleElement dxfId="2" type="firstRowStripe"/>
      <tableStyleElement dxfId="2" type="secondRowStripe"/>
      <tableStyleElement dxfId="3" type="totalRow"/>
    </tableStyle>
    <tableStyle count="4" pivot="0" name="SALIDAS-style">
      <tableStyleElement dxfId="1" type="headerRow"/>
      <tableStyleElement dxfId="2" type="firstRowStripe"/>
      <tableStyleElement dxfId="2" type="secondRowStripe"/>
      <tableStyleElement dxfId="3" type="totalRow"/>
    </tableStyle>
    <tableStyle count="4" pivot="0" name="COMPRAS-style">
      <tableStyleElement dxfId="1" type="headerRow"/>
      <tableStyleElement dxfId="2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3714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3714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3714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3714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3714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3714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3714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totalsRowCount="1" ref="A3:G402" displayName="Table_1" id="1">
  <tableColumns count="7">
    <tableColumn name="Codigo Producto" id="1"/>
    <tableColumn name="Descripción" id="2"/>
    <tableColumn totalsRowFunction="custom" name="Entradas" id="3"/>
    <tableColumn totalsRowFunction="custom" name="Salidas" id="4"/>
    <tableColumn totalsRowFunction="custom" name="Stock Actual" id="5"/>
    <tableColumn name="Observación" id="6"/>
    <tableColumn name="N° Pañol" id="7"/>
  </tableColumns>
  <tableStyleInfo name="PAÑOL TÉCNICO-style" showColumnStripes="0" showFirstColumn="1" showLastColumn="1" showRowStripes="1"/>
</table>
</file>

<file path=xl/tables/table2.xml><?xml version="1.0" encoding="utf-8"?>
<table xmlns="http://schemas.openxmlformats.org/spreadsheetml/2006/main" totalsRowCount="1" ref="A3:E387" displayName="Table_2" id="2">
  <tableColumns count="5">
    <tableColumn name="Código" id="1"/>
    <tableColumn totalsRowFunction="custom" name="Descripción" id="2"/>
    <tableColumn name="Cantidad" id="3"/>
    <tableColumn name="Observación" id="4"/>
    <tableColumn name="N° Pañol" id="5"/>
  </tableColumns>
  <tableStyleInfo name="ENTRADAS-style" showColumnStripes="0" showFirstColumn="1" showLastColumn="1" showRowStripes="1"/>
</table>
</file>

<file path=xl/tables/table3.xml><?xml version="1.0" encoding="utf-8"?>
<table xmlns="http://schemas.openxmlformats.org/spreadsheetml/2006/main" totalsRowCount="1" ref="A3:E387" displayName="Table_3" id="3">
  <tableColumns count="5">
    <tableColumn name="Código" id="1"/>
    <tableColumn totalsRowFunction="custom" name="Descripción" id="2"/>
    <tableColumn totalsRowFunction="custom" name="Cantidad" id="3"/>
    <tableColumn name="Observación" id="4"/>
    <tableColumn name="N° Pañol" id="5"/>
  </tableColumns>
  <tableStyleInfo name="SALIDAS-style" showColumnStripes="0" showFirstColumn="1" showLastColumn="1" showRowStripes="1"/>
</table>
</file>

<file path=xl/tables/table4.xml><?xml version="1.0" encoding="utf-8"?>
<table xmlns="http://schemas.openxmlformats.org/spreadsheetml/2006/main" ref="A3:F387" displayName="Table_4" id="4">
  <tableColumns count="6">
    <tableColumn name="Fecha de ingreso" id="1"/>
    <tableColumn name="Descripción" id="2"/>
    <tableColumn name="Cantidad" id="3"/>
    <tableColumn name="N° de comprobante" id="4"/>
    <tableColumn name="Observación" id="5"/>
    <tableColumn name="N° Pañol" id="6"/>
  </tableColumns>
  <tableStyleInfo name="COMPR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14.33"/>
    <col customWidth="1" min="2" max="2" width="50.89"/>
    <col customWidth="1" min="3" max="3" width="9.78"/>
    <col customWidth="1" min="4" max="4" width="9.11"/>
    <col customWidth="1" min="5" max="5" width="10.67"/>
    <col customWidth="1" min="6" max="6" width="28.78"/>
    <col customWidth="1" min="7" max="7" width="9.78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</row>
    <row r="2" ht="15.75" customHeight="1">
      <c r="A2" s="3"/>
      <c r="B2" s="4"/>
      <c r="C2" s="4"/>
      <c r="D2" s="4"/>
      <c r="E2" s="4"/>
      <c r="F2" s="4"/>
      <c r="G2" s="4"/>
    </row>
    <row r="3" ht="15.75" customHeight="1">
      <c r="A3" s="5" t="s">
        <v>2</v>
      </c>
      <c r="B3" s="6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</row>
    <row r="4" ht="15.75" customHeight="1">
      <c r="A4" s="7" t="s">
        <v>9</v>
      </c>
      <c r="B4" s="8" t="s">
        <v>10</v>
      </c>
      <c r="C4" s="9">
        <f>IFERROR(SUMIF(ENTRADAS!A:A,A4,ENTRADAS!C:C))</f>
        <v>3</v>
      </c>
      <c r="D4" s="10">
        <f>SUMIF(SALIDAS!A:A,A4,SALIDAS!C:C)</f>
        <v>0</v>
      </c>
      <c r="E4" s="10">
        <f t="shared" ref="E4:E206" si="1">C4-D4</f>
        <v>3</v>
      </c>
      <c r="F4" s="11" t="s">
        <v>11</v>
      </c>
      <c r="G4" s="12"/>
    </row>
    <row r="5" ht="15.75" customHeight="1">
      <c r="A5" s="7" t="s">
        <v>12</v>
      </c>
      <c r="B5" s="8" t="s">
        <v>13</v>
      </c>
      <c r="C5" s="9">
        <f>IFERROR(SUMIF(ENTRADAS!A:A,A5,ENTRADAS!C:C))</f>
        <v>40</v>
      </c>
      <c r="D5" s="10">
        <f>SUMIF(SALIDAS!A:A,A5,SALIDAS!C:C)</f>
        <v>0</v>
      </c>
      <c r="E5" s="10">
        <f t="shared" si="1"/>
        <v>40</v>
      </c>
      <c r="F5" s="7" t="s">
        <v>14</v>
      </c>
      <c r="G5" s="13"/>
    </row>
    <row r="6" ht="15.75" customHeight="1">
      <c r="A6" s="7" t="s">
        <v>15</v>
      </c>
      <c r="B6" s="8" t="s">
        <v>16</v>
      </c>
      <c r="C6" s="9">
        <f>IFERROR(SUMIF(ENTRADAS!A:A,A6,ENTRADAS!C:C))</f>
        <v>12</v>
      </c>
      <c r="D6" s="10">
        <f>SUMIF(SALIDAS!A:A,A6,SALIDAS!C:C)</f>
        <v>0</v>
      </c>
      <c r="E6" s="10">
        <f t="shared" si="1"/>
        <v>12</v>
      </c>
      <c r="F6" s="7">
        <v>0.0</v>
      </c>
      <c r="G6" s="13"/>
    </row>
    <row r="7" ht="15.75" customHeight="1">
      <c r="A7" s="7" t="s">
        <v>17</v>
      </c>
      <c r="B7" s="8" t="s">
        <v>18</v>
      </c>
      <c r="C7" s="9">
        <f>IFERROR(SUMIF(ENTRADAS!A:A,A7,ENTRADAS!C:C))</f>
        <v>4</v>
      </c>
      <c r="D7" s="10">
        <f>SUMIF(SALIDAS!A:A,A7,SALIDAS!C:C)</f>
        <v>1</v>
      </c>
      <c r="E7" s="10">
        <f t="shared" si="1"/>
        <v>3</v>
      </c>
      <c r="F7" s="11">
        <v>1.0</v>
      </c>
      <c r="G7" s="12"/>
    </row>
    <row r="8" ht="15.75" customHeight="1">
      <c r="A8" s="7" t="s">
        <v>19</v>
      </c>
      <c r="B8" s="8" t="s">
        <v>20</v>
      </c>
      <c r="C8" s="9">
        <f>IFERROR(SUMIF(ENTRADAS!A:A,A8,ENTRADAS!C:C))</f>
        <v>7</v>
      </c>
      <c r="D8" s="10">
        <f>SUMIF(SALIDAS!A:A,A8,SALIDAS!C:C)</f>
        <v>0</v>
      </c>
      <c r="E8" s="10">
        <f t="shared" si="1"/>
        <v>7</v>
      </c>
      <c r="F8" s="7">
        <v>63.0</v>
      </c>
      <c r="G8" s="13"/>
    </row>
    <row r="9" ht="15.75" customHeight="1">
      <c r="A9" s="7" t="s">
        <v>21</v>
      </c>
      <c r="B9" s="8" t="s">
        <v>22</v>
      </c>
      <c r="C9" s="9">
        <f>IFERROR(SUMIF(ENTRADAS!A:A,A9,ENTRADAS!C:C))</f>
        <v>5</v>
      </c>
      <c r="D9" s="10">
        <f>SUMIF(SALIDAS!A:A,A9,SALIDAS!C:C)</f>
        <v>0</v>
      </c>
      <c r="E9" s="10">
        <f t="shared" si="1"/>
        <v>5</v>
      </c>
      <c r="F9" s="7" t="s">
        <v>23</v>
      </c>
      <c r="G9" s="13"/>
    </row>
    <row r="10" ht="15.75" customHeight="1">
      <c r="A10" s="7" t="s">
        <v>24</v>
      </c>
      <c r="B10" s="8" t="s">
        <v>25</v>
      </c>
      <c r="C10" s="9">
        <f>IFERROR(SUMIF(ENTRADAS!A:A,A10,ENTRADAS!C:C))</f>
        <v>1</v>
      </c>
      <c r="D10" s="10">
        <f>SUMIF(SALIDAS!A:A,A10,SALIDAS!C:C)</f>
        <v>0</v>
      </c>
      <c r="E10" s="10">
        <f t="shared" si="1"/>
        <v>1</v>
      </c>
      <c r="F10" s="11">
        <v>1.0</v>
      </c>
      <c r="G10" s="12"/>
    </row>
    <row r="11" ht="15.75" customHeight="1">
      <c r="A11" s="7" t="s">
        <v>26</v>
      </c>
      <c r="B11" s="8" t="s">
        <v>27</v>
      </c>
      <c r="C11" s="9">
        <f>IFERROR(SUMIF(ENTRADAS!A:A,A11,ENTRADAS!C:C))</f>
        <v>3</v>
      </c>
      <c r="D11" s="10">
        <f>SUMIF(SALIDAS!A:A,A11,SALIDAS!C:C)</f>
        <v>0</v>
      </c>
      <c r="E11" s="10">
        <f t="shared" si="1"/>
        <v>3</v>
      </c>
      <c r="F11" s="7">
        <v>3.0</v>
      </c>
      <c r="G11" s="13"/>
    </row>
    <row r="12" ht="15.75" customHeight="1">
      <c r="A12" s="7" t="s">
        <v>28</v>
      </c>
      <c r="B12" s="8" t="s">
        <v>29</v>
      </c>
      <c r="C12" s="9">
        <f>IFERROR(SUMIF(ENTRADAS!A:A,A12,ENTRADAS!C:C))</f>
        <v>2</v>
      </c>
      <c r="D12" s="10">
        <f>SUMIF(SALIDAS!A:A,A12,SALIDAS!C:C)</f>
        <v>0</v>
      </c>
      <c r="E12" s="10">
        <f t="shared" si="1"/>
        <v>2</v>
      </c>
      <c r="F12" s="7">
        <v>0.0</v>
      </c>
      <c r="G12" s="13"/>
    </row>
    <row r="13" ht="15.75" customHeight="1">
      <c r="A13" s="7" t="s">
        <v>30</v>
      </c>
      <c r="B13" s="8" t="s">
        <v>31</v>
      </c>
      <c r="C13" s="9">
        <f>IFERROR(SUMIF(ENTRADAS!A:A,A13,ENTRADAS!C:C))</f>
        <v>6</v>
      </c>
      <c r="D13" s="10">
        <f>SUMIF(SALIDAS!A:A,A13,SALIDAS!C:C)</f>
        <v>0</v>
      </c>
      <c r="E13" s="10">
        <f t="shared" si="1"/>
        <v>6</v>
      </c>
      <c r="F13" s="11">
        <v>6.0</v>
      </c>
      <c r="G13" s="12"/>
    </row>
    <row r="14" ht="15.75" customHeight="1">
      <c r="A14" s="7" t="s">
        <v>32</v>
      </c>
      <c r="B14" s="7" t="s">
        <v>33</v>
      </c>
      <c r="C14" s="9">
        <f>IFERROR(SUMIF(ENTRADAS!A:A,A14,ENTRADAS!C:C))</f>
        <v>530</v>
      </c>
      <c r="D14" s="10">
        <f>SUMIF(SALIDAS!A:A,A14,SALIDAS!C:C)</f>
        <v>0</v>
      </c>
      <c r="E14" s="10">
        <f t="shared" si="1"/>
        <v>530</v>
      </c>
      <c r="F14" s="12"/>
      <c r="G14" s="12"/>
    </row>
    <row r="15" ht="15.75" customHeight="1">
      <c r="A15" s="7" t="s">
        <v>34</v>
      </c>
      <c r="B15" s="7" t="s">
        <v>35</v>
      </c>
      <c r="C15" s="9">
        <f>IFERROR(SUMIF(ENTRADAS!A:A,A15,ENTRADAS!C:C))</f>
        <v>206</v>
      </c>
      <c r="D15" s="10">
        <f>SUMIF(SALIDAS!A:A,A15,SALIDAS!C:C)</f>
        <v>0</v>
      </c>
      <c r="E15" s="10">
        <f t="shared" si="1"/>
        <v>206</v>
      </c>
      <c r="F15" s="13"/>
      <c r="G15" s="13"/>
    </row>
    <row r="16" ht="15.75" customHeight="1">
      <c r="A16" s="7" t="s">
        <v>36</v>
      </c>
      <c r="B16" s="14" t="s">
        <v>37</v>
      </c>
      <c r="C16" s="9">
        <f>IFERROR(SUMIF(ENTRADAS!A:A,A16,ENTRADAS!C:C))</f>
        <v>1</v>
      </c>
      <c r="D16" s="10">
        <f>SUMIF(SALIDAS!A:A,A16,SALIDAS!C:C)</f>
        <v>0</v>
      </c>
      <c r="E16" s="10">
        <f t="shared" si="1"/>
        <v>1</v>
      </c>
      <c r="F16" s="11">
        <v>1.0</v>
      </c>
      <c r="G16" s="12"/>
    </row>
    <row r="17" ht="15.75" customHeight="1">
      <c r="A17" s="7" t="s">
        <v>38</v>
      </c>
      <c r="B17" s="8" t="s">
        <v>39</v>
      </c>
      <c r="C17" s="9">
        <f>IFERROR(SUMIF(ENTRADAS!A:A,A17,ENTRADAS!C:C))</f>
        <v>18</v>
      </c>
      <c r="D17" s="10">
        <f>SUMIF(SALIDAS!A:A,A17,SALIDAS!C:C)</f>
        <v>0</v>
      </c>
      <c r="E17" s="10">
        <f t="shared" si="1"/>
        <v>18</v>
      </c>
      <c r="F17" s="12"/>
      <c r="G17" s="12"/>
    </row>
    <row r="18" ht="15.75" customHeight="1">
      <c r="A18" s="7" t="s">
        <v>40</v>
      </c>
      <c r="B18" s="15" t="s">
        <v>41</v>
      </c>
      <c r="C18" s="9">
        <f>IFERROR(SUMIF(ENTRADAS!A:A,A18,ENTRADAS!C:C))</f>
        <v>3</v>
      </c>
      <c r="D18" s="10">
        <f>SUMIF(SALIDAS!A:A,A18,SALIDAS!C:C)</f>
        <v>0</v>
      </c>
      <c r="E18" s="10">
        <f t="shared" si="1"/>
        <v>3</v>
      </c>
      <c r="F18" s="11">
        <v>1.0</v>
      </c>
      <c r="G18" s="12"/>
    </row>
    <row r="19" ht="15.75" customHeight="1">
      <c r="A19" s="7" t="s">
        <v>42</v>
      </c>
      <c r="B19" s="8" t="s">
        <v>43</v>
      </c>
      <c r="C19" s="9">
        <f>IFERROR(SUMIF(ENTRADAS!A:A,A19,ENTRADAS!C:C))</f>
        <v>1</v>
      </c>
      <c r="D19" s="10">
        <f>SUMIF(SALIDAS!A:A,A19,SALIDAS!C:C)</f>
        <v>0</v>
      </c>
      <c r="E19" s="10">
        <f t="shared" si="1"/>
        <v>1</v>
      </c>
      <c r="F19" s="11">
        <v>2.0</v>
      </c>
      <c r="G19" s="12"/>
    </row>
    <row r="20" ht="15.75" customHeight="1">
      <c r="A20" s="7" t="s">
        <v>44</v>
      </c>
      <c r="B20" s="8" t="s">
        <v>45</v>
      </c>
      <c r="C20" s="9">
        <f>IFERROR(SUMIF(ENTRADAS!A:A,A20,ENTRADAS!C:C))</f>
        <v>7</v>
      </c>
      <c r="D20" s="10">
        <f>SUMIF(SALIDAS!A:A,A20,SALIDAS!C:C)</f>
        <v>0</v>
      </c>
      <c r="E20" s="10">
        <f t="shared" si="1"/>
        <v>7</v>
      </c>
      <c r="F20" s="11">
        <v>7.0</v>
      </c>
      <c r="G20" s="12"/>
    </row>
    <row r="21" ht="15.75" customHeight="1">
      <c r="A21" s="7" t="s">
        <v>46</v>
      </c>
      <c r="B21" s="8" t="s">
        <v>47</v>
      </c>
      <c r="C21" s="9">
        <f>IFERROR(SUMIF(ENTRADAS!A:A,A21,ENTRADAS!C:C))</f>
        <v>2</v>
      </c>
      <c r="D21" s="10">
        <f>SUMIF(SALIDAS!A:A,A21,SALIDAS!C:C)</f>
        <v>0</v>
      </c>
      <c r="E21" s="10">
        <f t="shared" si="1"/>
        <v>2</v>
      </c>
      <c r="F21" s="12"/>
      <c r="G21" s="12"/>
    </row>
    <row r="22" ht="15.75" customHeight="1">
      <c r="A22" s="7" t="s">
        <v>48</v>
      </c>
      <c r="B22" s="8" t="s">
        <v>49</v>
      </c>
      <c r="C22" s="9">
        <f>IFERROR(SUMIF(ENTRADAS!A:A,A22,ENTRADAS!C:C))</f>
        <v>3</v>
      </c>
      <c r="D22" s="10">
        <f>SUMIF(SALIDAS!A:A,A22,SALIDAS!C:C)</f>
        <v>0</v>
      </c>
      <c r="E22" s="10">
        <f t="shared" si="1"/>
        <v>3</v>
      </c>
      <c r="F22" s="12"/>
      <c r="G22" s="12"/>
    </row>
    <row r="23" ht="15.75" customHeight="1">
      <c r="A23" s="7" t="s">
        <v>50</v>
      </c>
      <c r="B23" s="7" t="s">
        <v>51</v>
      </c>
      <c r="C23" s="9">
        <f>IFERROR(SUMIF(ENTRADAS!A:A,A23,ENTRADAS!C:C))</f>
        <v>1</v>
      </c>
      <c r="D23" s="10">
        <f>SUMIF(SALIDAS!A:A,A23,SALIDAS!C:C)</f>
        <v>0</v>
      </c>
      <c r="E23" s="10">
        <f t="shared" si="1"/>
        <v>1</v>
      </c>
      <c r="F23" s="13"/>
      <c r="G23" s="13"/>
    </row>
    <row r="24" ht="15.75" customHeight="1">
      <c r="A24" s="7" t="s">
        <v>52</v>
      </c>
      <c r="B24" s="8" t="s">
        <v>53</v>
      </c>
      <c r="C24" s="9">
        <f>IFERROR(SUMIF(ENTRADAS!A:A,A24,ENTRADAS!C:C))</f>
        <v>11</v>
      </c>
      <c r="D24" s="10">
        <f>SUMIF(SALIDAS!A:A,A24,SALIDAS!C:C)</f>
        <v>0</v>
      </c>
      <c r="E24" s="10">
        <f t="shared" si="1"/>
        <v>11</v>
      </c>
      <c r="F24" s="7">
        <v>11.0</v>
      </c>
      <c r="G24" s="13"/>
    </row>
    <row r="25" ht="15.75" customHeight="1">
      <c r="A25" s="7" t="s">
        <v>54</v>
      </c>
      <c r="B25" s="8" t="s">
        <v>55</v>
      </c>
      <c r="C25" s="9">
        <f>IFERROR(SUMIF(ENTRADAS!A:A,A25,ENTRADAS!C:C))</f>
        <v>61</v>
      </c>
      <c r="D25" s="10">
        <f>SUMIF(SALIDAS!A:A,A25,SALIDAS!C:C)</f>
        <v>0</v>
      </c>
      <c r="E25" s="10">
        <f t="shared" si="1"/>
        <v>61</v>
      </c>
      <c r="F25" s="12"/>
      <c r="G25" s="12"/>
    </row>
    <row r="26" ht="15.75" customHeight="1">
      <c r="A26" s="7" t="s">
        <v>56</v>
      </c>
      <c r="B26" s="8" t="s">
        <v>57</v>
      </c>
      <c r="C26" s="9">
        <f>IFERROR(SUMIF(ENTRADAS!A:A,A26,ENTRADAS!C:C))</f>
        <v>275</v>
      </c>
      <c r="D26" s="10">
        <f>SUMIF(SALIDAS!A:A,A26,SALIDAS!C:C)</f>
        <v>0</v>
      </c>
      <c r="E26" s="10">
        <f t="shared" si="1"/>
        <v>275</v>
      </c>
      <c r="F26" s="12"/>
      <c r="G26" s="12"/>
    </row>
    <row r="27" ht="15.75" customHeight="1">
      <c r="A27" s="7" t="s">
        <v>58</v>
      </c>
      <c r="B27" s="8" t="s">
        <v>59</v>
      </c>
      <c r="C27" s="9">
        <f>IFERROR(SUMIF(ENTRADAS!A:A,A27,ENTRADAS!C:C))</f>
        <v>101</v>
      </c>
      <c r="D27" s="10">
        <f>SUMIF(SALIDAS!A:A,A27,SALIDAS!C:C)</f>
        <v>0</v>
      </c>
      <c r="E27" s="10">
        <f t="shared" si="1"/>
        <v>101</v>
      </c>
      <c r="F27" s="12"/>
      <c r="G27" s="12"/>
    </row>
    <row r="28" ht="15.75" customHeight="1">
      <c r="A28" s="7" t="s">
        <v>60</v>
      </c>
      <c r="B28" s="8" t="s">
        <v>61</v>
      </c>
      <c r="C28" s="9">
        <f>IFERROR(SUMIF(ENTRADAS!A:A,A28,ENTRADAS!C:C))</f>
        <v>2</v>
      </c>
      <c r="D28" s="10">
        <f>SUMIF(SALIDAS!A:A,A28,SALIDAS!C:C)</f>
        <v>0</v>
      </c>
      <c r="E28" s="10">
        <f t="shared" si="1"/>
        <v>2</v>
      </c>
      <c r="F28" s="12"/>
      <c r="G28" s="12"/>
    </row>
    <row r="29" ht="15.75" customHeight="1">
      <c r="A29" s="7" t="s">
        <v>62</v>
      </c>
      <c r="B29" s="16" t="s">
        <v>63</v>
      </c>
      <c r="C29" s="9">
        <f>IFERROR(SUMIF(ENTRADAS!A:A,A29,ENTRADAS!C:C))</f>
        <v>71</v>
      </c>
      <c r="D29" s="10">
        <f>SUMIF(SALIDAS!A:A,A29,SALIDAS!C:C)</f>
        <v>0</v>
      </c>
      <c r="E29" s="10">
        <f t="shared" si="1"/>
        <v>71</v>
      </c>
      <c r="F29" s="12"/>
      <c r="G29" s="12"/>
    </row>
    <row r="30" ht="15.75" customHeight="1">
      <c r="A30" s="7" t="s">
        <v>64</v>
      </c>
      <c r="B30" s="8" t="s">
        <v>65</v>
      </c>
      <c r="C30" s="9">
        <f>IFERROR(SUMIF(ENTRADAS!A:A,A30,ENTRADAS!C:C))</f>
        <v>4</v>
      </c>
      <c r="D30" s="10">
        <f>SUMIF(SALIDAS!A:A,A30,SALIDAS!C:C)</f>
        <v>0</v>
      </c>
      <c r="E30" s="10">
        <f t="shared" si="1"/>
        <v>4</v>
      </c>
      <c r="F30" s="11" t="s">
        <v>66</v>
      </c>
      <c r="G30" s="12"/>
    </row>
    <row r="31" ht="15.75" customHeight="1">
      <c r="A31" s="7" t="s">
        <v>67</v>
      </c>
      <c r="B31" s="8" t="s">
        <v>68</v>
      </c>
      <c r="C31" s="9">
        <f>IFERROR(SUMIF(ENTRADAS!A:A,A31,ENTRADAS!C:C))</f>
        <v>13</v>
      </c>
      <c r="D31" s="10">
        <f>SUMIF(SALIDAS!A:A,A31,SALIDAS!C:C)</f>
        <v>0</v>
      </c>
      <c r="E31" s="10">
        <f t="shared" si="1"/>
        <v>13</v>
      </c>
      <c r="F31" s="7" t="s">
        <v>69</v>
      </c>
      <c r="G31" s="13"/>
    </row>
    <row r="32" ht="15.75" customHeight="1">
      <c r="A32" s="7" t="s">
        <v>70</v>
      </c>
      <c r="B32" s="8" t="s">
        <v>71</v>
      </c>
      <c r="C32" s="9">
        <f>IFERROR(SUMIF(ENTRADAS!A:A,A32,ENTRADAS!C:C))</f>
        <v>1</v>
      </c>
      <c r="D32" s="10">
        <f>SUMIF(SALIDAS!A:A,A32,SALIDAS!C:C)</f>
        <v>0</v>
      </c>
      <c r="E32" s="10">
        <f t="shared" si="1"/>
        <v>1</v>
      </c>
      <c r="F32" s="12"/>
      <c r="G32" s="12"/>
    </row>
    <row r="33" ht="15.75" customHeight="1">
      <c r="A33" s="7" t="s">
        <v>72</v>
      </c>
      <c r="B33" s="8" t="s">
        <v>73</v>
      </c>
      <c r="C33" s="9">
        <f>IFERROR(SUMIF(ENTRADAS!A:A,A33,ENTRADAS!C:C))</f>
        <v>1</v>
      </c>
      <c r="D33" s="10">
        <f>SUMIF(SALIDAS!A:A,A33,SALIDAS!C:C)</f>
        <v>0</v>
      </c>
      <c r="E33" s="10">
        <f t="shared" si="1"/>
        <v>1</v>
      </c>
      <c r="F33" s="7">
        <v>1.0</v>
      </c>
      <c r="G33" s="13"/>
    </row>
    <row r="34" ht="15.75" customHeight="1">
      <c r="A34" s="7" t="s">
        <v>74</v>
      </c>
      <c r="B34" s="16" t="s">
        <v>75</v>
      </c>
      <c r="C34" s="9">
        <f>IFERROR(SUMIF(ENTRADAS!A:A,A34,ENTRADAS!C:C))</f>
        <v>8</v>
      </c>
      <c r="D34" s="10">
        <f>SUMIF(SALIDAS!A:A,A34,SALIDAS!C:C)</f>
        <v>0</v>
      </c>
      <c r="E34" s="10">
        <f t="shared" si="1"/>
        <v>8</v>
      </c>
      <c r="F34" s="13"/>
      <c r="G34" s="13"/>
    </row>
    <row r="35" ht="15.75" customHeight="1">
      <c r="A35" s="7" t="s">
        <v>76</v>
      </c>
      <c r="B35" s="8" t="s">
        <v>77</v>
      </c>
      <c r="C35" s="9">
        <f>IFERROR(SUMIF(ENTRADAS!A:A,A35,ENTRADAS!C:C))</f>
        <v>3</v>
      </c>
      <c r="D35" s="10">
        <f>SUMIF(SALIDAS!A:A,A35,SALIDAS!C:C)</f>
        <v>0</v>
      </c>
      <c r="E35" s="10">
        <f t="shared" si="1"/>
        <v>3</v>
      </c>
      <c r="F35" s="11">
        <v>4.0</v>
      </c>
      <c r="G35" s="12"/>
    </row>
    <row r="36" ht="15.75" customHeight="1">
      <c r="A36" s="7" t="s">
        <v>78</v>
      </c>
      <c r="B36" s="8" t="s">
        <v>79</v>
      </c>
      <c r="C36" s="9">
        <f>IFERROR(SUMIF(ENTRADAS!A:A,A36,ENTRADAS!C:C))</f>
        <v>3</v>
      </c>
      <c r="D36" s="10">
        <f>SUMIF(SALIDAS!A:A,A36,SALIDAS!C:C)</f>
        <v>0</v>
      </c>
      <c r="E36" s="10">
        <f t="shared" si="1"/>
        <v>3</v>
      </c>
      <c r="F36" s="12"/>
      <c r="G36" s="12"/>
    </row>
    <row r="37" ht="15.75" customHeight="1">
      <c r="A37" s="7" t="s">
        <v>80</v>
      </c>
      <c r="B37" s="8" t="s">
        <v>81</v>
      </c>
      <c r="C37" s="9">
        <f>IFERROR(SUMIF(ENTRADAS!A:A,A37,ENTRADAS!C:C))</f>
        <v>36</v>
      </c>
      <c r="D37" s="10">
        <f>SUMIF(SALIDAS!A:A,A37,SALIDAS!C:C)</f>
        <v>0</v>
      </c>
      <c r="E37" s="10">
        <f t="shared" si="1"/>
        <v>36</v>
      </c>
      <c r="F37" s="11" t="s">
        <v>82</v>
      </c>
      <c r="G37" s="12"/>
    </row>
    <row r="38" ht="15.75" customHeight="1">
      <c r="A38" s="7" t="s">
        <v>83</v>
      </c>
      <c r="B38" s="7" t="s">
        <v>84</v>
      </c>
      <c r="C38" s="9">
        <f>IFERROR(SUMIF(ENTRADAS!A:A,A38,ENTRADAS!C:C))</f>
        <v>49</v>
      </c>
      <c r="D38" s="10">
        <f>SUMIF(SALIDAS!A:A,A38,SALIDAS!C:C)</f>
        <v>0</v>
      </c>
      <c r="E38" s="10">
        <f t="shared" si="1"/>
        <v>49</v>
      </c>
      <c r="F38" s="12"/>
      <c r="G38" s="12"/>
    </row>
    <row r="39" ht="15.75" customHeight="1">
      <c r="A39" s="7" t="s">
        <v>85</v>
      </c>
      <c r="B39" s="8" t="s">
        <v>86</v>
      </c>
      <c r="C39" s="9">
        <f>IFERROR(SUMIF(ENTRADAS!A:A,A39,ENTRADAS!C:C))</f>
        <v>6</v>
      </c>
      <c r="D39" s="10">
        <f>SUMIF(SALIDAS!A:A,A39,SALIDAS!C:C)</f>
        <v>0</v>
      </c>
      <c r="E39" s="10">
        <f t="shared" si="1"/>
        <v>6</v>
      </c>
      <c r="F39" s="12"/>
      <c r="G39" s="12"/>
    </row>
    <row r="40" ht="15.75" customHeight="1">
      <c r="A40" s="7" t="s">
        <v>87</v>
      </c>
      <c r="B40" s="8" t="s">
        <v>88</v>
      </c>
      <c r="C40" s="9">
        <f>IFERROR(SUMIF(ENTRADAS!A:A,A40,ENTRADAS!C:C))</f>
        <v>2</v>
      </c>
      <c r="D40" s="10">
        <f>SUMIF(SALIDAS!A:A,A40,SALIDAS!C:C)</f>
        <v>0</v>
      </c>
      <c r="E40" s="10">
        <f t="shared" si="1"/>
        <v>2</v>
      </c>
      <c r="F40" s="12"/>
      <c r="G40" s="12"/>
    </row>
    <row r="41" ht="15.75" customHeight="1">
      <c r="A41" s="7" t="s">
        <v>89</v>
      </c>
      <c r="B41" s="7" t="s">
        <v>90</v>
      </c>
      <c r="C41" s="9">
        <f>IFERROR(SUMIF(ENTRADAS!A:A,A41,ENTRADAS!C:C))</f>
        <v>2</v>
      </c>
      <c r="D41" s="10">
        <f>SUMIF(SALIDAS!A:A,A41,SALIDAS!C:C)</f>
        <v>0</v>
      </c>
      <c r="E41" s="10">
        <f t="shared" si="1"/>
        <v>2</v>
      </c>
      <c r="F41" s="12"/>
      <c r="G41" s="12"/>
    </row>
    <row r="42" ht="15.75" customHeight="1">
      <c r="A42" s="7" t="s">
        <v>91</v>
      </c>
      <c r="B42" s="8" t="s">
        <v>92</v>
      </c>
      <c r="C42" s="9">
        <f>IFERROR(SUMIF(ENTRADAS!A:A,A42,ENTRADAS!C:C))</f>
        <v>0</v>
      </c>
      <c r="D42" s="10">
        <f>SUMIF(SALIDAS!A:A,A42,SALIDAS!C:C)</f>
        <v>0</v>
      </c>
      <c r="E42" s="10">
        <f t="shared" si="1"/>
        <v>0</v>
      </c>
      <c r="F42" s="11">
        <v>1.0</v>
      </c>
      <c r="G42" s="12"/>
    </row>
    <row r="43" ht="15.75" customHeight="1">
      <c r="A43" s="7" t="s">
        <v>93</v>
      </c>
      <c r="B43" s="16" t="s">
        <v>94</v>
      </c>
      <c r="C43" s="9">
        <f>IFERROR(SUMIF(ENTRADAS!A:A,A43,ENTRADAS!C:C))</f>
        <v>1</v>
      </c>
      <c r="D43" s="10">
        <f>SUMIF(SALIDAS!A:A,A43,SALIDAS!C:C)</f>
        <v>0</v>
      </c>
      <c r="E43" s="10">
        <f t="shared" si="1"/>
        <v>1</v>
      </c>
      <c r="F43" s="13"/>
      <c r="G43" s="13"/>
    </row>
    <row r="44" ht="15.75" customHeight="1">
      <c r="A44" s="7" t="s">
        <v>95</v>
      </c>
      <c r="B44" s="15" t="s">
        <v>96</v>
      </c>
      <c r="C44" s="9">
        <f>IFERROR(SUMIF(ENTRADAS!A:A,A44,ENTRADAS!C:C))</f>
        <v>0</v>
      </c>
      <c r="D44" s="10">
        <f>SUMIF(SALIDAS!A:A,A44,SALIDAS!C:C)</f>
        <v>0</v>
      </c>
      <c r="E44" s="10">
        <f t="shared" si="1"/>
        <v>0</v>
      </c>
      <c r="F44" s="7" t="s">
        <v>97</v>
      </c>
      <c r="G44" s="13"/>
    </row>
    <row r="45" ht="15.75" customHeight="1">
      <c r="A45" s="7" t="s">
        <v>98</v>
      </c>
      <c r="B45" s="15" t="s">
        <v>99</v>
      </c>
      <c r="C45" s="9">
        <f>IFERROR(SUMIF(ENTRADAS!A:A,A45,ENTRADAS!C:C))</f>
        <v>13</v>
      </c>
      <c r="D45" s="10">
        <f>SUMIF(SALIDAS!A:A,A45,SALIDAS!C:C)</f>
        <v>0</v>
      </c>
      <c r="E45" s="10">
        <f t="shared" si="1"/>
        <v>13</v>
      </c>
      <c r="F45" s="13"/>
      <c r="G45" s="13"/>
    </row>
    <row r="46" ht="15.75" customHeight="1">
      <c r="A46" s="7" t="s">
        <v>100</v>
      </c>
      <c r="B46" s="8" t="s">
        <v>101</v>
      </c>
      <c r="C46" s="9">
        <f>IFERROR(SUMIF(ENTRADAS!A:A,A46,ENTRADAS!C:C))</f>
        <v>5</v>
      </c>
      <c r="D46" s="10">
        <f>SUMIF(SALIDAS!A:A,A46,SALIDAS!C:C)</f>
        <v>0</v>
      </c>
      <c r="E46" s="10">
        <f t="shared" si="1"/>
        <v>5</v>
      </c>
      <c r="F46" s="11">
        <v>7.0</v>
      </c>
      <c r="G46" s="12"/>
    </row>
    <row r="47" ht="15.75" customHeight="1">
      <c r="A47" s="7" t="s">
        <v>102</v>
      </c>
      <c r="B47" s="8" t="s">
        <v>103</v>
      </c>
      <c r="C47" s="9">
        <f>IFERROR(SUMIF(ENTRADAS!A:A,A47,ENTRADAS!C:C))</f>
        <v>1</v>
      </c>
      <c r="D47" s="10">
        <f>SUMIF(SALIDAS!A:A,A47,SALIDAS!C:C)</f>
        <v>0</v>
      </c>
      <c r="E47" s="10">
        <f t="shared" si="1"/>
        <v>1</v>
      </c>
      <c r="F47" s="13"/>
      <c r="G47" s="13"/>
    </row>
    <row r="48" ht="15.75" customHeight="1">
      <c r="A48" s="7" t="s">
        <v>104</v>
      </c>
      <c r="B48" s="7" t="s">
        <v>105</v>
      </c>
      <c r="C48" s="9">
        <f>IFERROR(SUMIF(ENTRADAS!A:A,A48,ENTRADAS!C:C))</f>
        <v>6</v>
      </c>
      <c r="D48" s="10">
        <f>SUMIF(SALIDAS!A:A,A48,SALIDAS!C:C)</f>
        <v>1</v>
      </c>
      <c r="E48" s="10">
        <f t="shared" si="1"/>
        <v>5</v>
      </c>
      <c r="F48" s="12"/>
      <c r="G48" s="12"/>
    </row>
    <row r="49" ht="15.75" customHeight="1">
      <c r="A49" s="7" t="s">
        <v>106</v>
      </c>
      <c r="B49" s="8" t="s">
        <v>107</v>
      </c>
      <c r="C49" s="9">
        <f>IFERROR(SUMIF(ENTRADAS!A:A,A49,ENTRADAS!C:C))</f>
        <v>2</v>
      </c>
      <c r="D49" s="10">
        <f>SUMIF(SALIDAS!A:A,A49,SALIDAS!C:C)</f>
        <v>0</v>
      </c>
      <c r="E49" s="10">
        <f t="shared" si="1"/>
        <v>2</v>
      </c>
      <c r="F49" s="7" t="s">
        <v>108</v>
      </c>
      <c r="G49" s="13"/>
    </row>
    <row r="50" ht="15.75" customHeight="1">
      <c r="A50" s="7" t="s">
        <v>109</v>
      </c>
      <c r="B50" s="8" t="s">
        <v>110</v>
      </c>
      <c r="C50" s="9">
        <f>IFERROR(SUMIF(ENTRADAS!A:A,A50,ENTRADAS!C:C))</f>
        <v>5</v>
      </c>
      <c r="D50" s="10">
        <f>SUMIF(SALIDAS!A:A,A50,SALIDAS!C:C)</f>
        <v>0</v>
      </c>
      <c r="E50" s="10">
        <f t="shared" si="1"/>
        <v>5</v>
      </c>
      <c r="F50" s="7">
        <v>6.0</v>
      </c>
      <c r="G50" s="13"/>
    </row>
    <row r="51" ht="15.75" customHeight="1">
      <c r="A51" s="7" t="s">
        <v>111</v>
      </c>
      <c r="B51" s="8" t="s">
        <v>112</v>
      </c>
      <c r="C51" s="9">
        <f>IFERROR(SUMIF(ENTRADAS!A:A,A51,ENTRADAS!C:C))</f>
        <v>7</v>
      </c>
      <c r="D51" s="10">
        <f>SUMIF(SALIDAS!A:A,A51,SALIDAS!C:C)</f>
        <v>0</v>
      </c>
      <c r="E51" s="10">
        <f t="shared" si="1"/>
        <v>7</v>
      </c>
      <c r="F51" s="12"/>
      <c r="G51" s="12"/>
    </row>
    <row r="52" ht="15.75" customHeight="1">
      <c r="A52" s="7" t="s">
        <v>113</v>
      </c>
      <c r="B52" s="7" t="s">
        <v>114</v>
      </c>
      <c r="C52" s="9">
        <f>IFERROR(SUMIF(ENTRADAS!A:A,A52,ENTRADAS!C:C))</f>
        <v>183</v>
      </c>
      <c r="D52" s="10">
        <f>SUMIF(SALIDAS!A:A,A52,SALIDAS!C:C)</f>
        <v>0</v>
      </c>
      <c r="E52" s="10">
        <f t="shared" si="1"/>
        <v>183</v>
      </c>
      <c r="F52" s="12"/>
      <c r="G52" s="12"/>
    </row>
    <row r="53" ht="15.75" customHeight="1">
      <c r="A53" s="7" t="s">
        <v>115</v>
      </c>
      <c r="B53" s="8" t="s">
        <v>116</v>
      </c>
      <c r="C53" s="9">
        <f>IFERROR(SUMIF(ENTRADAS!A:A,A53,ENTRADAS!C:C))</f>
        <v>1</v>
      </c>
      <c r="D53" s="10">
        <f>SUMIF(SALIDAS!A:A,A53,SALIDAS!C:C)</f>
        <v>0</v>
      </c>
      <c r="E53" s="10">
        <f t="shared" si="1"/>
        <v>1</v>
      </c>
      <c r="F53" s="12"/>
      <c r="G53" s="12"/>
    </row>
    <row r="54" ht="15.75" customHeight="1">
      <c r="A54" s="7" t="s">
        <v>117</v>
      </c>
      <c r="B54" s="7" t="s">
        <v>118</v>
      </c>
      <c r="C54" s="9">
        <f>IFERROR(SUMIF(ENTRADAS!A:A,A54,ENTRADAS!C:C))</f>
        <v>4</v>
      </c>
      <c r="D54" s="10">
        <f>SUMIF(SALIDAS!A:A,A54,SALIDAS!C:C)</f>
        <v>0</v>
      </c>
      <c r="E54" s="10">
        <f t="shared" si="1"/>
        <v>4</v>
      </c>
      <c r="F54" s="12"/>
      <c r="G54" s="12"/>
    </row>
    <row r="55" ht="15.75" customHeight="1">
      <c r="A55" s="7" t="s">
        <v>119</v>
      </c>
      <c r="B55" s="8" t="s">
        <v>120</v>
      </c>
      <c r="C55" s="9">
        <f>IFERROR(SUMIF(ENTRADAS!A:A,A55,ENTRADAS!C:C))</f>
        <v>1</v>
      </c>
      <c r="D55" s="10">
        <f>SUMIF(SALIDAS!A:A,A55,SALIDAS!C:C)</f>
        <v>0</v>
      </c>
      <c r="E55" s="10">
        <f t="shared" si="1"/>
        <v>1</v>
      </c>
      <c r="F55" s="12"/>
      <c r="G55" s="12"/>
    </row>
    <row r="56" ht="15.75" customHeight="1">
      <c r="A56" s="7" t="s">
        <v>121</v>
      </c>
      <c r="B56" s="8" t="s">
        <v>122</v>
      </c>
      <c r="C56" s="9">
        <f>IFERROR(SUMIF(ENTRADAS!A:A,A56,ENTRADAS!C:C))</f>
        <v>3</v>
      </c>
      <c r="D56" s="10">
        <f>SUMIF(SALIDAS!A:A,A56,SALIDAS!C:C)</f>
        <v>0</v>
      </c>
      <c r="E56" s="10">
        <f t="shared" si="1"/>
        <v>3</v>
      </c>
      <c r="F56" s="11">
        <v>2.0</v>
      </c>
      <c r="G56" s="12"/>
    </row>
    <row r="57" ht="15.75" customHeight="1">
      <c r="A57" s="7" t="s">
        <v>123</v>
      </c>
      <c r="B57" s="8" t="s">
        <v>124</v>
      </c>
      <c r="C57" s="9">
        <f>IFERROR(SUMIF(ENTRADAS!A:A,A57,ENTRADAS!C:C))</f>
        <v>1</v>
      </c>
      <c r="D57" s="10">
        <f>SUMIF(SALIDAS!A:A,A57,SALIDAS!C:C)</f>
        <v>0</v>
      </c>
      <c r="E57" s="10">
        <f t="shared" si="1"/>
        <v>1</v>
      </c>
      <c r="F57" s="12"/>
      <c r="G57" s="12"/>
    </row>
    <row r="58" ht="15.75" customHeight="1">
      <c r="A58" s="7" t="s">
        <v>125</v>
      </c>
      <c r="B58" s="8" t="s">
        <v>126</v>
      </c>
      <c r="C58" s="9">
        <f>IFERROR(SUMIF(ENTRADAS!A:A,A58,ENTRADAS!C:C))</f>
        <v>3</v>
      </c>
      <c r="D58" s="10">
        <f>SUMIF(SALIDAS!A:A,A58,SALIDAS!C:C)</f>
        <v>0</v>
      </c>
      <c r="E58" s="10">
        <f t="shared" si="1"/>
        <v>3</v>
      </c>
      <c r="F58" s="11">
        <v>4.0</v>
      </c>
      <c r="G58" s="12"/>
    </row>
    <row r="59" ht="15.75" customHeight="1">
      <c r="A59" s="7" t="s">
        <v>127</v>
      </c>
      <c r="B59" s="8" t="s">
        <v>128</v>
      </c>
      <c r="C59" s="9">
        <f>IFERROR(SUMIF(ENTRADAS!A:A,A59,ENTRADAS!C:C))</f>
        <v>3</v>
      </c>
      <c r="D59" s="10">
        <f>SUMIF(SALIDAS!A:A,A59,SALIDAS!C:C)</f>
        <v>0</v>
      </c>
      <c r="E59" s="10">
        <f t="shared" si="1"/>
        <v>3</v>
      </c>
      <c r="F59" s="11">
        <v>4.0</v>
      </c>
      <c r="G59" s="12"/>
    </row>
    <row r="60" ht="15.75" customHeight="1">
      <c r="A60" s="7" t="s">
        <v>129</v>
      </c>
      <c r="B60" s="8" t="s">
        <v>130</v>
      </c>
      <c r="C60" s="9">
        <f>IFERROR(SUMIF(ENTRADAS!A:A,A60,ENTRADAS!C:C))</f>
        <v>1</v>
      </c>
      <c r="D60" s="10">
        <f>SUMIF(SALIDAS!A:A,A60,SALIDAS!C:C)</f>
        <v>0</v>
      </c>
      <c r="E60" s="10">
        <f t="shared" si="1"/>
        <v>1</v>
      </c>
      <c r="F60" s="12"/>
      <c r="G60" s="12"/>
    </row>
    <row r="61" ht="15.75" customHeight="1">
      <c r="A61" s="7" t="s">
        <v>131</v>
      </c>
      <c r="B61" s="8" t="s">
        <v>132</v>
      </c>
      <c r="C61" s="9">
        <f>IFERROR(SUMIF(ENTRADAS!A:A,A61,ENTRADAS!C:C))</f>
        <v>5</v>
      </c>
      <c r="D61" s="10">
        <f>SUMIF(SALIDAS!A:A,A61,SALIDAS!C:C)</f>
        <v>0</v>
      </c>
      <c r="E61" s="10">
        <f t="shared" si="1"/>
        <v>5</v>
      </c>
      <c r="F61" s="12"/>
      <c r="G61" s="12"/>
    </row>
    <row r="62" ht="15.75" customHeight="1">
      <c r="A62" s="7" t="s">
        <v>133</v>
      </c>
      <c r="B62" s="7" t="s">
        <v>134</v>
      </c>
      <c r="C62" s="9">
        <f>IFERROR(SUMIF(ENTRADAS!A:A,A62,ENTRADAS!C:C))</f>
        <v>4</v>
      </c>
      <c r="D62" s="10">
        <f>SUMIF(SALIDAS!A:A,A62,SALIDAS!C:C)</f>
        <v>0</v>
      </c>
      <c r="E62" s="10">
        <f t="shared" si="1"/>
        <v>4</v>
      </c>
      <c r="F62" s="11" t="s">
        <v>135</v>
      </c>
      <c r="G62" s="12"/>
    </row>
    <row r="63" ht="15.75" customHeight="1">
      <c r="A63" s="7" t="s">
        <v>136</v>
      </c>
      <c r="B63" s="8" t="s">
        <v>137</v>
      </c>
      <c r="C63" s="9">
        <f>IFERROR(SUMIF(ENTRADAS!A:A,A63,ENTRADAS!C:C))</f>
        <v>4</v>
      </c>
      <c r="D63" s="10">
        <f>SUMIF(SALIDAS!A:A,A63,SALIDAS!C:C)</f>
        <v>0</v>
      </c>
      <c r="E63" s="10">
        <f t="shared" si="1"/>
        <v>4</v>
      </c>
      <c r="F63" s="12"/>
      <c r="G63" s="12"/>
    </row>
    <row r="64" ht="15.75" customHeight="1">
      <c r="A64" s="7" t="s">
        <v>138</v>
      </c>
      <c r="B64" s="8" t="s">
        <v>139</v>
      </c>
      <c r="C64" s="9">
        <f>IFERROR(SUMIF(ENTRADAS!A:A,A64,ENTRADAS!C:C))</f>
        <v>2</v>
      </c>
      <c r="D64" s="10">
        <f>SUMIF(SALIDAS!A:A,A64,SALIDAS!C:C)</f>
        <v>0</v>
      </c>
      <c r="E64" s="10">
        <f t="shared" si="1"/>
        <v>2</v>
      </c>
      <c r="F64" s="12"/>
      <c r="G64" s="12"/>
    </row>
    <row r="65" ht="15.75" customHeight="1">
      <c r="A65" s="7" t="s">
        <v>140</v>
      </c>
      <c r="B65" s="16" t="s">
        <v>141</v>
      </c>
      <c r="C65" s="9">
        <f>IFERROR(SUMIF(ENTRADAS!A:A,A65,ENTRADAS!C:C))</f>
        <v>3</v>
      </c>
      <c r="D65" s="10">
        <f>SUMIF(SALIDAS!A:A,A65,SALIDAS!C:C)</f>
        <v>0</v>
      </c>
      <c r="E65" s="10">
        <f t="shared" si="1"/>
        <v>3</v>
      </c>
      <c r="F65" s="12"/>
      <c r="G65" s="12"/>
    </row>
    <row r="66" ht="15.75" customHeight="1">
      <c r="A66" s="7" t="s">
        <v>142</v>
      </c>
      <c r="B66" s="7" t="s">
        <v>143</v>
      </c>
      <c r="C66" s="9">
        <f>IFERROR(SUMIF(ENTRADAS!A:A,A66,ENTRADAS!C:C))</f>
        <v>4</v>
      </c>
      <c r="D66" s="10">
        <f>SUMIF(SALIDAS!A:A,A66,SALIDAS!C:C)</f>
        <v>0</v>
      </c>
      <c r="E66" s="10">
        <f t="shared" si="1"/>
        <v>4</v>
      </c>
      <c r="F66" s="12"/>
      <c r="G66" s="12"/>
    </row>
    <row r="67" ht="15.75" customHeight="1">
      <c r="A67" s="7" t="s">
        <v>144</v>
      </c>
      <c r="B67" s="8" t="s">
        <v>145</v>
      </c>
      <c r="C67" s="9">
        <f>IFERROR(SUMIF(ENTRADAS!A:A,A67,ENTRADAS!C:C))</f>
        <v>1</v>
      </c>
      <c r="D67" s="10">
        <f>SUMIF(SALIDAS!A:A,A67,SALIDAS!C:C)</f>
        <v>0</v>
      </c>
      <c r="E67" s="10">
        <f t="shared" si="1"/>
        <v>1</v>
      </c>
      <c r="F67" s="12"/>
      <c r="G67" s="12"/>
    </row>
    <row r="68" ht="15.75" customHeight="1">
      <c r="A68" s="7" t="s">
        <v>146</v>
      </c>
      <c r="B68" s="8" t="s">
        <v>147</v>
      </c>
      <c r="C68" s="9">
        <f>IFERROR(SUMIF(ENTRADAS!A:A,A68,ENTRADAS!C:C))</f>
        <v>1</v>
      </c>
      <c r="D68" s="10">
        <f>SUMIF(SALIDAS!A:A,A68,SALIDAS!C:C)</f>
        <v>0</v>
      </c>
      <c r="E68" s="10">
        <f t="shared" si="1"/>
        <v>1</v>
      </c>
      <c r="F68" s="12"/>
      <c r="G68" s="12"/>
    </row>
    <row r="69" ht="15.75" customHeight="1">
      <c r="A69" s="7" t="s">
        <v>148</v>
      </c>
      <c r="B69" s="7" t="s">
        <v>149</v>
      </c>
      <c r="C69" s="9">
        <f>IFERROR(SUMIF(ENTRADAS!A:A,A69,ENTRADAS!C:C))</f>
        <v>36</v>
      </c>
      <c r="D69" s="10">
        <f>SUMIF(SALIDAS!A:A,A69,SALIDAS!C:C)</f>
        <v>0</v>
      </c>
      <c r="E69" s="10">
        <f t="shared" si="1"/>
        <v>36</v>
      </c>
      <c r="F69" s="12"/>
      <c r="G69" s="12"/>
    </row>
    <row r="70" ht="15.75" customHeight="1">
      <c r="A70" s="7" t="s">
        <v>150</v>
      </c>
      <c r="B70" s="8" t="s">
        <v>151</v>
      </c>
      <c r="C70" s="9">
        <f>IFERROR(SUMIF(ENTRADAS!A:A,A70,ENTRADAS!C:C))</f>
        <v>26</v>
      </c>
      <c r="D70" s="10">
        <f>SUMIF(SALIDAS!A:A,A70,SALIDAS!C:C)</f>
        <v>0</v>
      </c>
      <c r="E70" s="10">
        <f t="shared" si="1"/>
        <v>26</v>
      </c>
      <c r="F70" s="12"/>
      <c r="G70" s="12"/>
    </row>
    <row r="71" ht="15.75" customHeight="1">
      <c r="A71" s="7" t="s">
        <v>152</v>
      </c>
      <c r="B71" s="7" t="s">
        <v>153</v>
      </c>
      <c r="C71" s="9">
        <f>IFERROR(SUMIF(ENTRADAS!A:A,A71,ENTRADAS!C:C))</f>
        <v>6</v>
      </c>
      <c r="D71" s="10">
        <f>SUMIF(SALIDAS!A:A,A71,SALIDAS!C:C)</f>
        <v>0</v>
      </c>
      <c r="E71" s="10">
        <f t="shared" si="1"/>
        <v>6</v>
      </c>
      <c r="F71" s="12"/>
      <c r="G71" s="12"/>
    </row>
    <row r="72" ht="15.75" customHeight="1">
      <c r="A72" s="7" t="s">
        <v>154</v>
      </c>
      <c r="B72" s="8" t="s">
        <v>155</v>
      </c>
      <c r="C72" s="9">
        <f>IFERROR(SUMIF(ENTRADAS!A:A,A72,ENTRADAS!C:C))</f>
        <v>2</v>
      </c>
      <c r="D72" s="10">
        <f>SUMIF(SALIDAS!A:A,A72,SALIDAS!C:C)</f>
        <v>0</v>
      </c>
      <c r="E72" s="10">
        <f t="shared" si="1"/>
        <v>2</v>
      </c>
      <c r="F72" s="12"/>
      <c r="G72" s="12"/>
    </row>
    <row r="73" ht="15.75" customHeight="1">
      <c r="A73" s="7" t="s">
        <v>156</v>
      </c>
      <c r="B73" s="8" t="s">
        <v>157</v>
      </c>
      <c r="C73" s="9">
        <f>IFERROR(SUMIF(ENTRADAS!A:A,A73,ENTRADAS!C:C))</f>
        <v>1</v>
      </c>
      <c r="D73" s="10">
        <f>SUMIF(SALIDAS!A:A,A73,SALIDAS!C:C)</f>
        <v>0</v>
      </c>
      <c r="E73" s="10">
        <f t="shared" si="1"/>
        <v>1</v>
      </c>
      <c r="F73" s="11" t="s">
        <v>158</v>
      </c>
      <c r="G73" s="12"/>
    </row>
    <row r="74" ht="15.75" customHeight="1">
      <c r="A74" s="7" t="s">
        <v>159</v>
      </c>
      <c r="B74" s="8" t="s">
        <v>160</v>
      </c>
      <c r="C74" s="9">
        <f>IFERROR(SUMIF(ENTRADAS!A:A,A74,ENTRADAS!C:C))</f>
        <v>2</v>
      </c>
      <c r="D74" s="10">
        <f>SUMIF(SALIDAS!A:A,A74,SALIDAS!C:C)</f>
        <v>0</v>
      </c>
      <c r="E74" s="10">
        <f t="shared" si="1"/>
        <v>2</v>
      </c>
      <c r="F74" s="13"/>
      <c r="G74" s="13"/>
    </row>
    <row r="75" ht="15.75" customHeight="1">
      <c r="A75" s="7" t="s">
        <v>161</v>
      </c>
      <c r="B75" s="7" t="s">
        <v>162</v>
      </c>
      <c r="C75" s="9">
        <f>IFERROR(SUMIF(ENTRADAS!A:A,A75,ENTRADAS!C:C))</f>
        <v>0</v>
      </c>
      <c r="D75" s="10">
        <f>SUMIF(SALIDAS!A:A,A75,SALIDAS!C:C)</f>
        <v>0</v>
      </c>
      <c r="E75" s="10">
        <f t="shared" si="1"/>
        <v>0</v>
      </c>
      <c r="F75" s="12"/>
      <c r="G75" s="12"/>
    </row>
    <row r="76" ht="15.75" customHeight="1">
      <c r="A76" s="7" t="s">
        <v>163</v>
      </c>
      <c r="B76" s="7" t="s">
        <v>164</v>
      </c>
      <c r="C76" s="9">
        <f>IFERROR(SUMIF(ENTRADAS!A:A,A76,ENTRADAS!C:C))</f>
        <v>44</v>
      </c>
      <c r="D76" s="10">
        <f>SUMIF(SALIDAS!A:A,A76,SALIDAS!C:C)</f>
        <v>0</v>
      </c>
      <c r="E76" s="10">
        <f t="shared" si="1"/>
        <v>44</v>
      </c>
      <c r="F76" s="12"/>
      <c r="G76" s="12"/>
    </row>
    <row r="77" ht="15.75" customHeight="1">
      <c r="A77" s="7" t="s">
        <v>165</v>
      </c>
      <c r="B77" s="7" t="s">
        <v>166</v>
      </c>
      <c r="C77" s="9">
        <f>IFERROR(SUMIF(ENTRADAS!A:A,A77,ENTRADAS!C:C))</f>
        <v>1</v>
      </c>
      <c r="D77" s="10">
        <f>SUMIF(SALIDAS!A:A,A77,SALIDAS!C:C)</f>
        <v>0</v>
      </c>
      <c r="E77" s="10">
        <f t="shared" si="1"/>
        <v>1</v>
      </c>
      <c r="F77" s="12"/>
      <c r="G77" s="12"/>
    </row>
    <row r="78" ht="14.25" customHeight="1">
      <c r="A78" s="7" t="s">
        <v>167</v>
      </c>
      <c r="B78" s="7" t="s">
        <v>168</v>
      </c>
      <c r="C78" s="9">
        <f>IFERROR(SUMIF(ENTRADAS!A:A,A78,ENTRADAS!C:C))</f>
        <v>9</v>
      </c>
      <c r="D78" s="10">
        <f>SUMIF(SALIDAS!A:A,A78,SALIDAS!C:C)</f>
        <v>0</v>
      </c>
      <c r="E78" s="10">
        <f t="shared" si="1"/>
        <v>9</v>
      </c>
      <c r="F78" s="13"/>
      <c r="G78" s="13"/>
    </row>
    <row r="79" ht="15.75" customHeight="1">
      <c r="A79" s="7" t="s">
        <v>169</v>
      </c>
      <c r="B79" s="7" t="s">
        <v>170</v>
      </c>
      <c r="C79" s="9">
        <f>IFERROR(SUMIF(ENTRADAS!A:A,A79,ENTRADAS!C:C))</f>
        <v>6</v>
      </c>
      <c r="D79" s="10">
        <f>SUMIF(SALIDAS!A:A,A79,SALIDAS!C:C)</f>
        <v>0</v>
      </c>
      <c r="E79" s="10">
        <f t="shared" si="1"/>
        <v>6</v>
      </c>
      <c r="F79" s="12"/>
      <c r="G79" s="12"/>
    </row>
    <row r="80" ht="15.75" customHeight="1">
      <c r="A80" s="7" t="s">
        <v>171</v>
      </c>
      <c r="B80" s="7" t="s">
        <v>172</v>
      </c>
      <c r="C80" s="9">
        <f>IFERROR(SUMIF(ENTRADAS!A:A,A80,ENTRADAS!C:C))</f>
        <v>9</v>
      </c>
      <c r="D80" s="10">
        <f>SUMIF(SALIDAS!A:A,A80,SALIDAS!C:C)</f>
        <v>0</v>
      </c>
      <c r="E80" s="10">
        <f t="shared" si="1"/>
        <v>9</v>
      </c>
      <c r="F80" s="13"/>
      <c r="G80" s="13"/>
    </row>
    <row r="81" ht="15.75" customHeight="1">
      <c r="A81" s="7" t="s">
        <v>173</v>
      </c>
      <c r="B81" s="7" t="s">
        <v>174</v>
      </c>
      <c r="C81" s="9">
        <f>IFERROR(SUMIF(ENTRADAS!A:A,A81,ENTRADAS!C:C))</f>
        <v>11</v>
      </c>
      <c r="D81" s="10">
        <f>SUMIF(SALIDAS!A:A,A81,SALIDAS!C:C)</f>
        <v>0</v>
      </c>
      <c r="E81" s="10">
        <f t="shared" si="1"/>
        <v>11</v>
      </c>
      <c r="F81" s="12"/>
      <c r="G81" s="12"/>
    </row>
    <row r="82" ht="15.75" customHeight="1">
      <c r="A82" s="7" t="s">
        <v>175</v>
      </c>
      <c r="B82" s="7" t="s">
        <v>176</v>
      </c>
      <c r="C82" s="9">
        <f>IFERROR(SUMIF(ENTRADAS!A:A,A82,ENTRADAS!C:C))</f>
        <v>1</v>
      </c>
      <c r="D82" s="10">
        <f>SUMIF(SALIDAS!A:A,A82,SALIDAS!C:C)</f>
        <v>0</v>
      </c>
      <c r="E82" s="10">
        <f t="shared" si="1"/>
        <v>1</v>
      </c>
      <c r="F82" s="13"/>
      <c r="G82" s="13"/>
    </row>
    <row r="83" ht="15.75" customHeight="1">
      <c r="A83" s="7" t="s">
        <v>177</v>
      </c>
      <c r="B83" s="7" t="s">
        <v>178</v>
      </c>
      <c r="C83" s="9">
        <f>IFERROR(SUMIF(ENTRADAS!A:A,A83,ENTRADAS!C:C))</f>
        <v>1</v>
      </c>
      <c r="D83" s="10">
        <f>SUMIF(SALIDAS!A:A,A83,SALIDAS!C:C)</f>
        <v>0</v>
      </c>
      <c r="E83" s="10">
        <f t="shared" si="1"/>
        <v>1</v>
      </c>
      <c r="F83" s="13"/>
      <c r="G83" s="13"/>
    </row>
    <row r="84" ht="15.75" customHeight="1">
      <c r="A84" s="7" t="s">
        <v>179</v>
      </c>
      <c r="B84" s="7" t="s">
        <v>180</v>
      </c>
      <c r="C84" s="9">
        <f>IFERROR(SUMIF(ENTRADAS!A:A,A84,ENTRADAS!C:C))</f>
        <v>1</v>
      </c>
      <c r="D84" s="10">
        <f>SUMIF(SALIDAS!A:A,A84,SALIDAS!C:C)</f>
        <v>0</v>
      </c>
      <c r="E84" s="10">
        <f t="shared" si="1"/>
        <v>1</v>
      </c>
      <c r="F84" s="12"/>
      <c r="G84" s="12"/>
    </row>
    <row r="85" ht="15.75" customHeight="1">
      <c r="A85" s="7" t="s">
        <v>181</v>
      </c>
      <c r="B85" s="7" t="s">
        <v>182</v>
      </c>
      <c r="C85" s="9">
        <f>IFERROR(SUMIF(ENTRADAS!A:A,A85,ENTRADAS!C:C))</f>
        <v>1</v>
      </c>
      <c r="D85" s="10">
        <f>SUMIF(SALIDAS!A:A,A85,SALIDAS!C:C)</f>
        <v>0</v>
      </c>
      <c r="E85" s="10">
        <f t="shared" si="1"/>
        <v>1</v>
      </c>
      <c r="F85" s="12"/>
      <c r="G85" s="12"/>
    </row>
    <row r="86" ht="15.75" customHeight="1">
      <c r="A86" s="7" t="s">
        <v>183</v>
      </c>
      <c r="B86" s="16" t="s">
        <v>184</v>
      </c>
      <c r="C86" s="9">
        <f>IFERROR(SUMIF(ENTRADAS!A:A,A86,ENTRADAS!C:C))</f>
        <v>1</v>
      </c>
      <c r="D86" s="10">
        <f>SUMIF(SALIDAS!A:A,A86,SALIDAS!C:C)</f>
        <v>0</v>
      </c>
      <c r="E86" s="10">
        <f t="shared" si="1"/>
        <v>1</v>
      </c>
      <c r="F86" s="12"/>
      <c r="G86" s="12"/>
    </row>
    <row r="87" ht="15.75" customHeight="1">
      <c r="A87" s="7" t="s">
        <v>185</v>
      </c>
      <c r="B87" s="8" t="s">
        <v>186</v>
      </c>
      <c r="C87" s="9">
        <f>IFERROR(SUMIF(ENTRADAS!A:A,A87,ENTRADAS!C:C))</f>
        <v>34</v>
      </c>
      <c r="D87" s="10">
        <f>SUMIF(SALIDAS!A:A,A87,SALIDAS!C:C)</f>
        <v>0</v>
      </c>
      <c r="E87" s="10">
        <f t="shared" si="1"/>
        <v>34</v>
      </c>
      <c r="F87" s="12"/>
      <c r="G87" s="12"/>
    </row>
    <row r="88" ht="15.75" customHeight="1">
      <c r="A88" s="7" t="s">
        <v>187</v>
      </c>
      <c r="B88" s="8" t="s">
        <v>188</v>
      </c>
      <c r="C88" s="9">
        <f>IFERROR(SUMIF(ENTRADAS!A:A,A88,ENTRADAS!C:C))</f>
        <v>26</v>
      </c>
      <c r="D88" s="10">
        <f>SUMIF(SALIDAS!A:A,A88,SALIDAS!C:C)</f>
        <v>0</v>
      </c>
      <c r="E88" s="10">
        <f t="shared" si="1"/>
        <v>26</v>
      </c>
      <c r="F88" s="11"/>
      <c r="G88" s="12"/>
    </row>
    <row r="89" ht="15.75" customHeight="1">
      <c r="A89" s="7" t="s">
        <v>189</v>
      </c>
      <c r="B89" s="8" t="s">
        <v>190</v>
      </c>
      <c r="C89" s="9">
        <f>IFERROR(SUMIF(ENTRADAS!A:A,A89,ENTRADAS!C:C))</f>
        <v>48</v>
      </c>
      <c r="D89" s="10">
        <f>SUMIF(SALIDAS!A:A,A89,SALIDAS!C:C)</f>
        <v>0</v>
      </c>
      <c r="E89" s="10">
        <f t="shared" si="1"/>
        <v>48</v>
      </c>
      <c r="F89" s="12"/>
      <c r="G89" s="12"/>
    </row>
    <row r="90" ht="15.75" customHeight="1">
      <c r="A90" s="7" t="s">
        <v>191</v>
      </c>
      <c r="B90" s="7" t="s">
        <v>192</v>
      </c>
      <c r="C90" s="9">
        <f>IFERROR(SUMIF(ENTRADAS!A:A,A90,ENTRADAS!C:C))</f>
        <v>101</v>
      </c>
      <c r="D90" s="10">
        <f>SUMIF(SALIDAS!A:A,A90,SALIDAS!C:C)</f>
        <v>0</v>
      </c>
      <c r="E90" s="10">
        <f t="shared" si="1"/>
        <v>101</v>
      </c>
      <c r="F90" s="12"/>
      <c r="G90" s="12"/>
    </row>
    <row r="91" ht="15.75" customHeight="1">
      <c r="A91" s="7" t="s">
        <v>193</v>
      </c>
      <c r="B91" s="7" t="s">
        <v>194</v>
      </c>
      <c r="C91" s="9">
        <f>IFERROR(SUMIF(ENTRADAS!A:A,A91,ENTRADAS!C:C))</f>
        <v>29</v>
      </c>
      <c r="D91" s="10">
        <f>SUMIF(SALIDAS!A:A,A91,SALIDAS!C:C)</f>
        <v>0</v>
      </c>
      <c r="E91" s="10">
        <f t="shared" si="1"/>
        <v>29</v>
      </c>
      <c r="F91" s="12"/>
      <c r="G91" s="12"/>
    </row>
    <row r="92" ht="15.75" customHeight="1">
      <c r="A92" s="7" t="s">
        <v>195</v>
      </c>
      <c r="B92" s="17" t="s">
        <v>196</v>
      </c>
      <c r="C92" s="9">
        <f>IFERROR(SUMIF(ENTRADAS!A:A,A92,ENTRADAS!C:C))</f>
        <v>8</v>
      </c>
      <c r="D92" s="10">
        <f>SUMIF(SALIDAS!A:A,A92,SALIDAS!C:C)</f>
        <v>0</v>
      </c>
      <c r="E92" s="10">
        <f t="shared" si="1"/>
        <v>8</v>
      </c>
      <c r="F92" s="12"/>
      <c r="G92" s="12"/>
    </row>
    <row r="93" ht="15.75" customHeight="1">
      <c r="A93" s="7" t="s">
        <v>197</v>
      </c>
      <c r="B93" s="7" t="s">
        <v>198</v>
      </c>
      <c r="C93" s="9">
        <f>IFERROR(SUMIF(ENTRADAS!A:A,A93,ENTRADAS!C:C))</f>
        <v>1</v>
      </c>
      <c r="D93" s="10">
        <f>SUMIF(SALIDAS!A:A,A93,SALIDAS!C:C)</f>
        <v>0</v>
      </c>
      <c r="E93" s="10">
        <f t="shared" si="1"/>
        <v>1</v>
      </c>
      <c r="F93" s="13"/>
      <c r="G93" s="13"/>
    </row>
    <row r="94" ht="15.75" customHeight="1">
      <c r="A94" s="7" t="s">
        <v>199</v>
      </c>
      <c r="B94" s="7" t="s">
        <v>200</v>
      </c>
      <c r="C94" s="9">
        <f>IFERROR(SUMIF(ENTRADAS!A:A,A94,ENTRADAS!C:C))</f>
        <v>1</v>
      </c>
      <c r="D94" s="10">
        <f>SUMIF(SALIDAS!A:A,A94,SALIDAS!C:C)</f>
        <v>0</v>
      </c>
      <c r="E94" s="10">
        <f t="shared" si="1"/>
        <v>1</v>
      </c>
      <c r="F94" s="12"/>
      <c r="G94" s="12"/>
    </row>
    <row r="95" ht="15.75" customHeight="1">
      <c r="A95" s="7" t="s">
        <v>201</v>
      </c>
      <c r="B95" s="7" t="s">
        <v>202</v>
      </c>
      <c r="C95" s="9">
        <f>IFERROR(SUMIF(ENTRADAS!A:A,A95,ENTRADAS!C:C))</f>
        <v>1</v>
      </c>
      <c r="D95" s="10">
        <f>SUMIF(SALIDAS!A:A,A95,SALIDAS!C:C)</f>
        <v>0</v>
      </c>
      <c r="E95" s="10">
        <f t="shared" si="1"/>
        <v>1</v>
      </c>
      <c r="F95" s="12"/>
      <c r="G95" s="12"/>
    </row>
    <row r="96" ht="15.75" customHeight="1">
      <c r="A96" s="7" t="s">
        <v>203</v>
      </c>
      <c r="B96" s="7" t="s">
        <v>204</v>
      </c>
      <c r="C96" s="9">
        <f>IFERROR(SUMIF(ENTRADAS!A:A,A96,ENTRADAS!C:C))</f>
        <v>1</v>
      </c>
      <c r="D96" s="10">
        <f>SUMIF(SALIDAS!A:A,A96,SALIDAS!C:C)</f>
        <v>0</v>
      </c>
      <c r="E96" s="10">
        <f t="shared" si="1"/>
        <v>1</v>
      </c>
      <c r="F96" s="12"/>
      <c r="G96" s="12"/>
    </row>
    <row r="97" ht="15.75" customHeight="1">
      <c r="A97" s="7" t="s">
        <v>205</v>
      </c>
      <c r="B97" s="17" t="s">
        <v>206</v>
      </c>
      <c r="C97" s="9">
        <f>IFERROR(SUMIF(ENTRADAS!A:A,A97,ENTRADAS!C:C))</f>
        <v>2</v>
      </c>
      <c r="D97" s="10">
        <f>SUMIF(SALIDAS!A:A,A97,SALIDAS!C:C)</f>
        <v>0</v>
      </c>
      <c r="E97" s="10">
        <f t="shared" si="1"/>
        <v>2</v>
      </c>
      <c r="F97" s="12"/>
      <c r="G97" s="12"/>
    </row>
    <row r="98" ht="15.75" customHeight="1">
      <c r="A98" s="7" t="s">
        <v>207</v>
      </c>
      <c r="B98" s="7" t="s">
        <v>208</v>
      </c>
      <c r="C98" s="9">
        <f>IFERROR(SUMIF(ENTRADAS!A:A,A98,ENTRADAS!C:C))</f>
        <v>1</v>
      </c>
      <c r="D98" s="10">
        <f>SUMIF(SALIDAS!A:A,A98,SALIDAS!C:C)</f>
        <v>0</v>
      </c>
      <c r="E98" s="10">
        <f t="shared" si="1"/>
        <v>1</v>
      </c>
      <c r="F98" s="12"/>
      <c r="G98" s="12"/>
    </row>
    <row r="99" ht="15.75" customHeight="1">
      <c r="A99" s="7" t="s">
        <v>209</v>
      </c>
      <c r="B99" s="8" t="s">
        <v>210</v>
      </c>
      <c r="C99" s="9">
        <f>IFERROR(SUMIF(ENTRADAS!A:A,A99,ENTRADAS!C:C))</f>
        <v>1</v>
      </c>
      <c r="D99" s="10">
        <f>SUMIF(SALIDAS!A:A,A99,SALIDAS!C:C)</f>
        <v>0</v>
      </c>
      <c r="E99" s="10">
        <f t="shared" si="1"/>
        <v>1</v>
      </c>
      <c r="F99" s="12"/>
      <c r="G99" s="12"/>
    </row>
    <row r="100" ht="15.75" customHeight="1">
      <c r="A100" s="7" t="s">
        <v>211</v>
      </c>
      <c r="B100" s="7" t="s">
        <v>212</v>
      </c>
      <c r="C100" s="9">
        <f>IFERROR(SUMIF(ENTRADAS!A:A,A100,ENTRADAS!C:C))</f>
        <v>1</v>
      </c>
      <c r="D100" s="10">
        <f>SUMIF(SALIDAS!A:A,A100,SALIDAS!C:C)</f>
        <v>0</v>
      </c>
      <c r="E100" s="10">
        <f t="shared" si="1"/>
        <v>1</v>
      </c>
      <c r="F100" s="12"/>
      <c r="G100" s="12"/>
    </row>
    <row r="101" ht="15.75" customHeight="1">
      <c r="A101" s="7" t="s">
        <v>213</v>
      </c>
      <c r="B101" s="7" t="s">
        <v>214</v>
      </c>
      <c r="C101" s="9">
        <f>IFERROR(SUMIF(ENTRADAS!A:A,A101,ENTRADAS!C:C))</f>
        <v>8</v>
      </c>
      <c r="D101" s="10">
        <f>SUMIF(SALIDAS!A:A,A101,SALIDAS!C:C)</f>
        <v>0</v>
      </c>
      <c r="E101" s="10">
        <f t="shared" si="1"/>
        <v>8</v>
      </c>
      <c r="F101" s="12"/>
      <c r="G101" s="12"/>
    </row>
    <row r="102" ht="15.75" customHeight="1">
      <c r="A102" s="7" t="s">
        <v>215</v>
      </c>
      <c r="B102" s="8" t="s">
        <v>216</v>
      </c>
      <c r="C102" s="9">
        <f>IFERROR(SUMIF(ENTRADAS!A:A,A102,ENTRADAS!C:C))</f>
        <v>2</v>
      </c>
      <c r="D102" s="10">
        <f>SUMIF(SALIDAS!A:A,A102,SALIDAS!C:C)</f>
        <v>0</v>
      </c>
      <c r="E102" s="10">
        <f t="shared" si="1"/>
        <v>2</v>
      </c>
      <c r="F102" s="12"/>
      <c r="G102" s="12"/>
    </row>
    <row r="103" ht="15.75" customHeight="1">
      <c r="A103" s="7" t="s">
        <v>217</v>
      </c>
      <c r="B103" s="8" t="s">
        <v>218</v>
      </c>
      <c r="C103" s="9">
        <f>IFERROR(SUMIF(ENTRADAS!A:A,A103,ENTRADAS!C:C))</f>
        <v>2</v>
      </c>
      <c r="D103" s="10">
        <f>SUMIF(SALIDAS!A:A,A103,SALIDAS!C:C)</f>
        <v>0</v>
      </c>
      <c r="E103" s="10">
        <f t="shared" si="1"/>
        <v>2</v>
      </c>
      <c r="F103" s="12"/>
      <c r="G103" s="12"/>
    </row>
    <row r="104" ht="15.75" customHeight="1">
      <c r="A104" s="7" t="s">
        <v>219</v>
      </c>
      <c r="B104" s="8" t="s">
        <v>220</v>
      </c>
      <c r="C104" s="9">
        <f>IFERROR(SUMIF(ENTRADAS!A:A,A104,ENTRADAS!C:C))</f>
        <v>2</v>
      </c>
      <c r="D104" s="10">
        <f>SUMIF(SALIDAS!A:A,A104,SALIDAS!C:C)</f>
        <v>0</v>
      </c>
      <c r="E104" s="10">
        <f t="shared" si="1"/>
        <v>2</v>
      </c>
      <c r="F104" s="12"/>
      <c r="G104" s="12"/>
    </row>
    <row r="105" ht="15.0" customHeight="1">
      <c r="A105" s="7" t="s">
        <v>221</v>
      </c>
      <c r="B105" s="7" t="s">
        <v>222</v>
      </c>
      <c r="C105" s="9">
        <f>IFERROR(SUMIF(ENTRADAS!A:A,A105,ENTRADAS!C:C))</f>
        <v>12</v>
      </c>
      <c r="D105" s="10">
        <f>SUMIF(SALIDAS!A:A,A105,SALIDAS!C:C)</f>
        <v>0</v>
      </c>
      <c r="E105" s="10">
        <f t="shared" si="1"/>
        <v>12</v>
      </c>
      <c r="F105" s="13"/>
      <c r="G105" s="13"/>
    </row>
    <row r="106" ht="15.75" customHeight="1">
      <c r="A106" s="7" t="s">
        <v>223</v>
      </c>
      <c r="B106" s="7" t="s">
        <v>224</v>
      </c>
      <c r="C106" s="9">
        <f>IFERROR(SUMIF(ENTRADAS!A:A,A106,ENTRADAS!C:C))</f>
        <v>1</v>
      </c>
      <c r="D106" s="10">
        <f>SUMIF(SALIDAS!A:A,A106,SALIDAS!C:C)</f>
        <v>0</v>
      </c>
      <c r="E106" s="10">
        <f t="shared" si="1"/>
        <v>1</v>
      </c>
      <c r="F106" s="13"/>
      <c r="G106" s="13"/>
    </row>
    <row r="107" ht="15.75" customHeight="1">
      <c r="A107" s="7" t="s">
        <v>225</v>
      </c>
      <c r="B107" s="7" t="s">
        <v>226</v>
      </c>
      <c r="C107" s="9">
        <f>IFERROR(SUMIF(ENTRADAS!A:A,A107,ENTRADAS!C:C))</f>
        <v>1</v>
      </c>
      <c r="D107" s="10">
        <f>SUMIF(SALIDAS!A:A,A107,SALIDAS!C:C)</f>
        <v>0</v>
      </c>
      <c r="E107" s="10">
        <f t="shared" si="1"/>
        <v>1</v>
      </c>
      <c r="F107" s="12"/>
      <c r="G107" s="12"/>
    </row>
    <row r="108" ht="15.75" customHeight="1">
      <c r="A108" s="7" t="s">
        <v>227</v>
      </c>
      <c r="B108" s="7" t="s">
        <v>228</v>
      </c>
      <c r="C108" s="9">
        <f>IFERROR(SUMIF(ENTRADAS!A:A,A108,ENTRADAS!C:C))</f>
        <v>2</v>
      </c>
      <c r="D108" s="10">
        <f>SUMIF(SALIDAS!A:A,A108,SALIDAS!C:C)</f>
        <v>0</v>
      </c>
      <c r="E108" s="10">
        <f t="shared" si="1"/>
        <v>2</v>
      </c>
      <c r="F108" s="12"/>
      <c r="G108" s="12"/>
    </row>
    <row r="109" ht="15.75" customHeight="1">
      <c r="A109" s="7" t="s">
        <v>229</v>
      </c>
      <c r="B109" s="7" t="s">
        <v>230</v>
      </c>
      <c r="C109" s="9">
        <f>IFERROR(SUMIF(ENTRADAS!A:A,A109,ENTRADAS!C:C))</f>
        <v>1</v>
      </c>
      <c r="D109" s="10">
        <f>SUMIF(SALIDAS!A:A,A109,SALIDAS!C:C)</f>
        <v>0</v>
      </c>
      <c r="E109" s="10">
        <f t="shared" si="1"/>
        <v>1</v>
      </c>
      <c r="F109" s="12"/>
      <c r="G109" s="12"/>
    </row>
    <row r="110" ht="15.75" customHeight="1">
      <c r="A110" s="7" t="s">
        <v>231</v>
      </c>
      <c r="B110" s="17" t="s">
        <v>232</v>
      </c>
      <c r="C110" s="9">
        <f>IFERROR(SUMIF(ENTRADAS!A:A,A110,ENTRADAS!C:C))</f>
        <v>1</v>
      </c>
      <c r="D110" s="10">
        <f>SUMIF(SALIDAS!A:A,A110,SALIDAS!C:C)</f>
        <v>0</v>
      </c>
      <c r="E110" s="10">
        <f t="shared" si="1"/>
        <v>1</v>
      </c>
      <c r="F110" s="12"/>
      <c r="G110" s="12"/>
    </row>
    <row r="111" ht="15.75" customHeight="1">
      <c r="A111" s="7" t="s">
        <v>233</v>
      </c>
      <c r="B111" s="17" t="s">
        <v>234</v>
      </c>
      <c r="C111" s="9">
        <f>IFERROR(SUMIF(ENTRADAS!A:A,A111,ENTRADAS!C:C))</f>
        <v>1</v>
      </c>
      <c r="D111" s="10">
        <f>SUMIF(SALIDAS!A:A,A111,SALIDAS!C:C)</f>
        <v>0</v>
      </c>
      <c r="E111" s="10">
        <f t="shared" si="1"/>
        <v>1</v>
      </c>
      <c r="F111" s="12"/>
      <c r="G111" s="12"/>
    </row>
    <row r="112" ht="15.75" customHeight="1">
      <c r="A112" s="7" t="s">
        <v>235</v>
      </c>
      <c r="B112" s="7" t="s">
        <v>236</v>
      </c>
      <c r="C112" s="9">
        <f>IFERROR(SUMIF(ENTRADAS!A:A,A112,ENTRADAS!C:C))</f>
        <v>1</v>
      </c>
      <c r="D112" s="10">
        <f>SUMIF(SALIDAS!A:A,A112,SALIDAS!C:C)</f>
        <v>0</v>
      </c>
      <c r="E112" s="10">
        <f t="shared" si="1"/>
        <v>1</v>
      </c>
      <c r="F112" s="12"/>
      <c r="G112" s="12"/>
    </row>
    <row r="113" ht="15.75" customHeight="1">
      <c r="A113" s="7" t="s">
        <v>237</v>
      </c>
      <c r="B113" s="7" t="s">
        <v>238</v>
      </c>
      <c r="C113" s="9">
        <f>IFERROR(SUMIF(ENTRADAS!A:A,A113,ENTRADAS!C:C))</f>
        <v>10</v>
      </c>
      <c r="D113" s="10">
        <f>SUMIF(SALIDAS!A:A,A113,SALIDAS!C:C)</f>
        <v>0</v>
      </c>
      <c r="E113" s="10">
        <f t="shared" si="1"/>
        <v>10</v>
      </c>
      <c r="F113" s="13"/>
      <c r="G113" s="13"/>
    </row>
    <row r="114" ht="15.75" customHeight="1">
      <c r="A114" s="7" t="s">
        <v>239</v>
      </c>
      <c r="B114" s="17" t="s">
        <v>240</v>
      </c>
      <c r="C114" s="9">
        <f>IFERROR(SUMIF(ENTRADAS!A:A,A114,ENTRADAS!C:C))</f>
        <v>5</v>
      </c>
      <c r="D114" s="10">
        <f>SUMIF(SALIDAS!A:A,A114,SALIDAS!C:C)</f>
        <v>0</v>
      </c>
      <c r="E114" s="10">
        <f t="shared" si="1"/>
        <v>5</v>
      </c>
      <c r="F114" s="12"/>
      <c r="G114" s="12"/>
    </row>
    <row r="115" ht="15.75" customHeight="1">
      <c r="A115" s="7" t="s">
        <v>241</v>
      </c>
      <c r="B115" s="17" t="s">
        <v>242</v>
      </c>
      <c r="C115" s="9">
        <f>IFERROR(SUMIF(ENTRADAS!A:A,A115,ENTRADAS!C:C))</f>
        <v>2</v>
      </c>
      <c r="D115" s="10">
        <f>SUMIF(SALIDAS!A:A,A115,SALIDAS!C:C)</f>
        <v>0</v>
      </c>
      <c r="E115" s="10">
        <f t="shared" si="1"/>
        <v>2</v>
      </c>
      <c r="F115" s="12"/>
      <c r="G115" s="12"/>
    </row>
    <row r="116" ht="15.75" customHeight="1">
      <c r="A116" s="7" t="s">
        <v>243</v>
      </c>
      <c r="B116" s="18" t="s">
        <v>244</v>
      </c>
      <c r="C116" s="9">
        <f>IFERROR(SUMIF(ENTRADAS!A:A,A116,ENTRADAS!C:C))</f>
        <v>1</v>
      </c>
      <c r="D116" s="10">
        <f>SUMIF(SALIDAS!A:A,A116,SALIDAS!C:C)</f>
        <v>0</v>
      </c>
      <c r="E116" s="10">
        <f t="shared" si="1"/>
        <v>1</v>
      </c>
      <c r="F116" s="12"/>
      <c r="G116" s="12"/>
    </row>
    <row r="117" ht="15.75" customHeight="1">
      <c r="A117" s="7" t="s">
        <v>245</v>
      </c>
      <c r="B117" s="18" t="s">
        <v>246</v>
      </c>
      <c r="C117" s="9">
        <f>IFERROR(SUMIF(ENTRADAS!A:A,A117,ENTRADAS!C:C))</f>
        <v>1</v>
      </c>
      <c r="D117" s="10">
        <f>SUMIF(SALIDAS!A:A,A117,SALIDAS!C:C)</f>
        <v>0</v>
      </c>
      <c r="E117" s="10">
        <f t="shared" si="1"/>
        <v>1</v>
      </c>
      <c r="F117" s="12"/>
      <c r="G117" s="12"/>
    </row>
    <row r="118" ht="15.75" customHeight="1">
      <c r="A118" s="7" t="s">
        <v>247</v>
      </c>
      <c r="B118" s="17" t="s">
        <v>248</v>
      </c>
      <c r="C118" s="9">
        <f>IFERROR(SUMIF(ENTRADAS!A:A,A118,ENTRADAS!C:C))</f>
        <v>1</v>
      </c>
      <c r="D118" s="10">
        <f>SUMIF(SALIDAS!A:A,A118,SALIDAS!C:C)</f>
        <v>0</v>
      </c>
      <c r="E118" s="10">
        <f t="shared" si="1"/>
        <v>1</v>
      </c>
      <c r="F118" s="12"/>
      <c r="G118" s="12"/>
    </row>
    <row r="119" ht="15.75" customHeight="1">
      <c r="A119" s="7" t="s">
        <v>249</v>
      </c>
      <c r="B119" s="8" t="s">
        <v>250</v>
      </c>
      <c r="C119" s="9">
        <f>IFERROR(SUMIF(ENTRADAS!A:A,A119,ENTRADAS!C:C))</f>
        <v>10</v>
      </c>
      <c r="D119" s="10">
        <f>SUMIF(SALIDAS!A:A,A119,SALIDAS!C:C)</f>
        <v>0</v>
      </c>
      <c r="E119" s="10">
        <f t="shared" si="1"/>
        <v>10</v>
      </c>
      <c r="F119" s="12"/>
      <c r="G119" s="12"/>
    </row>
    <row r="120" ht="15.75" customHeight="1">
      <c r="A120" s="7" t="s">
        <v>251</v>
      </c>
      <c r="B120" s="8" t="s">
        <v>252</v>
      </c>
      <c r="C120" s="9">
        <f>IFERROR(SUMIF(ENTRADAS!A:A,A120,ENTRADAS!C:C))</f>
        <v>1</v>
      </c>
      <c r="D120" s="10">
        <f>SUMIF(SALIDAS!A:A,A120,SALIDAS!C:C)</f>
        <v>0</v>
      </c>
      <c r="E120" s="10">
        <f t="shared" si="1"/>
        <v>1</v>
      </c>
      <c r="F120" s="12"/>
      <c r="G120" s="12"/>
    </row>
    <row r="121" ht="15.75" customHeight="1">
      <c r="A121" s="7" t="s">
        <v>253</v>
      </c>
      <c r="B121" s="8" t="s">
        <v>254</v>
      </c>
      <c r="C121" s="9">
        <f>IFERROR(SUMIF(ENTRADAS!A:A,A121,ENTRADAS!C:C))</f>
        <v>38</v>
      </c>
      <c r="D121" s="10">
        <f>SUMIF(SALIDAS!A:A,A121,SALIDAS!C:C)</f>
        <v>0</v>
      </c>
      <c r="E121" s="10">
        <f t="shared" si="1"/>
        <v>38</v>
      </c>
      <c r="F121" s="12"/>
      <c r="G121" s="12"/>
    </row>
    <row r="122" ht="15.75" customHeight="1">
      <c r="A122" s="7" t="s">
        <v>255</v>
      </c>
      <c r="B122" s="7" t="s">
        <v>256</v>
      </c>
      <c r="C122" s="9">
        <f>IFERROR(SUMIF(ENTRADAS!A:A,A122,ENTRADAS!C:C))</f>
        <v>5</v>
      </c>
      <c r="D122" s="10">
        <f>SUMIF(SALIDAS!A:A,A122,SALIDAS!C:C)</f>
        <v>0</v>
      </c>
      <c r="E122" s="10">
        <f t="shared" si="1"/>
        <v>5</v>
      </c>
      <c r="F122" s="13"/>
      <c r="G122" s="13"/>
    </row>
    <row r="123" ht="15.75" customHeight="1">
      <c r="A123" s="7" t="s">
        <v>257</v>
      </c>
      <c r="B123" s="7" t="s">
        <v>258</v>
      </c>
      <c r="C123" s="9">
        <f>IFERROR(SUMIF(ENTRADAS!A:A,A123,ENTRADAS!C:C))</f>
        <v>1</v>
      </c>
      <c r="D123" s="10">
        <f>SUMIF(SALIDAS!A:A,A123,SALIDAS!C:C)</f>
        <v>0</v>
      </c>
      <c r="E123" s="10">
        <f t="shared" si="1"/>
        <v>1</v>
      </c>
      <c r="F123" s="13"/>
      <c r="G123" s="13"/>
    </row>
    <row r="124" ht="15.75" customHeight="1">
      <c r="A124" s="7" t="s">
        <v>259</v>
      </c>
      <c r="B124" s="8" t="s">
        <v>260</v>
      </c>
      <c r="C124" s="9">
        <f>IFERROR(SUMIF(ENTRADAS!A:A,A124,ENTRADAS!C:C))</f>
        <v>15</v>
      </c>
      <c r="D124" s="10">
        <f>SUMIF(SALIDAS!A:A,A124,SALIDAS!C:C)</f>
        <v>0</v>
      </c>
      <c r="E124" s="10">
        <f t="shared" si="1"/>
        <v>15</v>
      </c>
      <c r="F124" s="7" t="s">
        <v>261</v>
      </c>
      <c r="G124" s="13"/>
    </row>
    <row r="125" ht="15.75" customHeight="1">
      <c r="A125" s="7" t="s">
        <v>262</v>
      </c>
      <c r="B125" s="8" t="s">
        <v>263</v>
      </c>
      <c r="C125" s="9">
        <f>IFERROR(SUMIF(ENTRADAS!A:A,A125,ENTRADAS!C:C))</f>
        <v>2</v>
      </c>
      <c r="D125" s="10">
        <f>SUMIF(SALIDAS!A:A,A125,SALIDAS!C:C)</f>
        <v>0</v>
      </c>
      <c r="E125" s="10">
        <f t="shared" si="1"/>
        <v>2</v>
      </c>
      <c r="F125" s="13"/>
      <c r="G125" s="13"/>
    </row>
    <row r="126" ht="15.75" customHeight="1">
      <c r="A126" s="7" t="s">
        <v>264</v>
      </c>
      <c r="B126" s="8" t="s">
        <v>265</v>
      </c>
      <c r="C126" s="9">
        <f>IFERROR(SUMIF(ENTRADAS!A:A,A126,ENTRADAS!C:C))</f>
        <v>1</v>
      </c>
      <c r="D126" s="10">
        <f>SUMIF(SALIDAS!A:A,A126,SALIDAS!C:C)</f>
        <v>0</v>
      </c>
      <c r="E126" s="10">
        <f t="shared" si="1"/>
        <v>1</v>
      </c>
      <c r="F126" s="13"/>
      <c r="G126" s="13"/>
    </row>
    <row r="127" ht="15.75" customHeight="1">
      <c r="A127" s="7" t="s">
        <v>266</v>
      </c>
      <c r="B127" s="7" t="s">
        <v>267</v>
      </c>
      <c r="C127" s="9">
        <f>IFERROR(SUMIF(ENTRADAS!A:A,A127,ENTRADAS!C:C))</f>
        <v>27</v>
      </c>
      <c r="D127" s="10">
        <f>SUMIF(SALIDAS!A:A,A127,SALIDAS!C:C)</f>
        <v>0</v>
      </c>
      <c r="E127" s="10">
        <f t="shared" si="1"/>
        <v>27</v>
      </c>
      <c r="F127" s="12"/>
      <c r="G127" s="12"/>
    </row>
    <row r="128" ht="15.75" customHeight="1">
      <c r="A128" s="7" t="s">
        <v>268</v>
      </c>
      <c r="B128" s="8" t="s">
        <v>269</v>
      </c>
      <c r="C128" s="9">
        <f>IFERROR(SUMIF(ENTRADAS!A:A,A128,ENTRADAS!C:C))</f>
        <v>2</v>
      </c>
      <c r="D128" s="10">
        <f>SUMIF(SALIDAS!A:A,A128,SALIDAS!C:C)</f>
        <v>0</v>
      </c>
      <c r="E128" s="10">
        <f t="shared" si="1"/>
        <v>2</v>
      </c>
      <c r="F128" s="11" t="s">
        <v>270</v>
      </c>
      <c r="G128" s="12"/>
    </row>
    <row r="129" ht="15.75" customHeight="1">
      <c r="A129" s="7" t="s">
        <v>271</v>
      </c>
      <c r="B129" s="8" t="s">
        <v>272</v>
      </c>
      <c r="C129" s="9">
        <f>IFERROR(SUMIF(ENTRADAS!A:A,A129,ENTRADAS!C:C))</f>
        <v>1</v>
      </c>
      <c r="D129" s="10">
        <f>SUMIF(SALIDAS!A:A,A129,SALIDAS!C:C)</f>
        <v>0</v>
      </c>
      <c r="E129" s="10">
        <f t="shared" si="1"/>
        <v>1</v>
      </c>
      <c r="F129" s="13"/>
      <c r="G129" s="13"/>
    </row>
    <row r="130" ht="15.75" customHeight="1">
      <c r="A130" s="7" t="s">
        <v>273</v>
      </c>
      <c r="B130" s="8" t="s">
        <v>274</v>
      </c>
      <c r="C130" s="9">
        <f>IFERROR(SUMIF(ENTRADAS!A:A,A130,ENTRADAS!C:C))</f>
        <v>2</v>
      </c>
      <c r="D130" s="10">
        <f>SUMIF(SALIDAS!A:A,A130,SALIDAS!C:C)</f>
        <v>0</v>
      </c>
      <c r="E130" s="10">
        <f t="shared" si="1"/>
        <v>2</v>
      </c>
      <c r="F130" s="12"/>
      <c r="G130" s="12"/>
    </row>
    <row r="131" ht="15.75" customHeight="1">
      <c r="A131" s="7" t="s">
        <v>275</v>
      </c>
      <c r="B131" s="7" t="s">
        <v>276</v>
      </c>
      <c r="C131" s="9">
        <f>IFERROR(SUMIF(ENTRADAS!A:A,A131,ENTRADAS!C:C))</f>
        <v>5</v>
      </c>
      <c r="D131" s="10">
        <f>SUMIF(SALIDAS!A:A,A131,SALIDAS!C:C)</f>
        <v>0</v>
      </c>
      <c r="E131" s="10">
        <f t="shared" si="1"/>
        <v>5</v>
      </c>
      <c r="F131" s="12"/>
      <c r="G131" s="12"/>
    </row>
    <row r="132" ht="15.75" customHeight="1">
      <c r="A132" s="7" t="s">
        <v>277</v>
      </c>
      <c r="B132" s="7" t="s">
        <v>278</v>
      </c>
      <c r="C132" s="9">
        <f>IFERROR(SUMIF(ENTRADAS!A:A,A132,ENTRADAS!C:C))</f>
        <v>2</v>
      </c>
      <c r="D132" s="10">
        <f>SUMIF(SALIDAS!A:A,A132,SALIDAS!C:C)</f>
        <v>0</v>
      </c>
      <c r="E132" s="10">
        <f t="shared" si="1"/>
        <v>2</v>
      </c>
      <c r="F132" s="13"/>
      <c r="G132" s="13"/>
    </row>
    <row r="133" ht="15.75" customHeight="1">
      <c r="A133" s="7" t="s">
        <v>279</v>
      </c>
      <c r="B133" s="7" t="s">
        <v>280</v>
      </c>
      <c r="C133" s="9">
        <f>IFERROR(SUMIF(ENTRADAS!A:A,A133,ENTRADAS!C:C))</f>
        <v>0</v>
      </c>
      <c r="D133" s="10">
        <f>SUMIF(SALIDAS!A:A,A133,SALIDAS!C:C)</f>
        <v>0</v>
      </c>
      <c r="E133" s="10">
        <f t="shared" si="1"/>
        <v>0</v>
      </c>
      <c r="F133" s="12"/>
      <c r="G133" s="12"/>
    </row>
    <row r="134" ht="15.75" customHeight="1">
      <c r="A134" s="7" t="s">
        <v>281</v>
      </c>
      <c r="B134" s="7" t="s">
        <v>282</v>
      </c>
      <c r="C134" s="9">
        <f>IFERROR(SUMIF(ENTRADAS!A:A,A134,ENTRADAS!C:C))</f>
        <v>0</v>
      </c>
      <c r="D134" s="10">
        <f>SUMIF(SALIDAS!A:A,A134,SALIDAS!C:C)</f>
        <v>0</v>
      </c>
      <c r="E134" s="10">
        <f t="shared" si="1"/>
        <v>0</v>
      </c>
      <c r="F134" s="12"/>
      <c r="G134" s="12"/>
    </row>
    <row r="135" ht="15.75" customHeight="1">
      <c r="A135" s="7" t="s">
        <v>283</v>
      </c>
      <c r="B135" s="8" t="s">
        <v>284</v>
      </c>
      <c r="C135" s="9">
        <f>IFERROR(SUMIF(ENTRADAS!A:A,A135,ENTRADAS!C:C))</f>
        <v>1</v>
      </c>
      <c r="D135" s="10">
        <f>SUMIF(SALIDAS!A:A,A135,SALIDAS!C:C)</f>
        <v>0</v>
      </c>
      <c r="E135" s="10">
        <f t="shared" si="1"/>
        <v>1</v>
      </c>
      <c r="F135" s="12"/>
      <c r="G135" s="12"/>
    </row>
    <row r="136" ht="15.75" customHeight="1">
      <c r="A136" s="7" t="s">
        <v>285</v>
      </c>
      <c r="B136" s="8" t="s">
        <v>286</v>
      </c>
      <c r="C136" s="9">
        <f>IFERROR(SUMIF(ENTRADAS!A:A,A136,ENTRADAS!C:C))</f>
        <v>1</v>
      </c>
      <c r="D136" s="10">
        <f>SUMIF(SALIDAS!A:A,A136,SALIDAS!C:C)</f>
        <v>0</v>
      </c>
      <c r="E136" s="10">
        <f t="shared" si="1"/>
        <v>1</v>
      </c>
      <c r="F136" s="11" t="s">
        <v>158</v>
      </c>
      <c r="G136" s="12"/>
    </row>
    <row r="137" ht="15.75" customHeight="1">
      <c r="A137" s="7" t="s">
        <v>287</v>
      </c>
      <c r="B137" s="8" t="s">
        <v>288</v>
      </c>
      <c r="C137" s="9">
        <f>IFERROR(SUMIF(ENTRADAS!A:A,A137,ENTRADAS!C:C))</f>
        <v>2</v>
      </c>
      <c r="D137" s="10">
        <f>SUMIF(SALIDAS!A:A,A137,SALIDAS!C:C)</f>
        <v>0</v>
      </c>
      <c r="E137" s="10">
        <f t="shared" si="1"/>
        <v>2</v>
      </c>
      <c r="F137" s="12"/>
      <c r="G137" s="12"/>
    </row>
    <row r="138" ht="15.75" customHeight="1">
      <c r="A138" s="7" t="s">
        <v>289</v>
      </c>
      <c r="B138" s="8" t="s">
        <v>290</v>
      </c>
      <c r="C138" s="9">
        <f>IFERROR(SUMIF(ENTRADAS!A:A,A138,ENTRADAS!C:C))</f>
        <v>2</v>
      </c>
      <c r="D138" s="10">
        <f>SUMIF(SALIDAS!A:A,A138,SALIDAS!C:C)</f>
        <v>0</v>
      </c>
      <c r="E138" s="10">
        <f t="shared" si="1"/>
        <v>2</v>
      </c>
      <c r="F138" s="12"/>
      <c r="G138" s="12"/>
    </row>
    <row r="139" ht="15.75" customHeight="1">
      <c r="A139" s="7" t="s">
        <v>291</v>
      </c>
      <c r="B139" s="8" t="s">
        <v>292</v>
      </c>
      <c r="C139" s="9">
        <f>IFERROR(SUMIF(ENTRADAS!A:A,A139,ENTRADAS!C:C))</f>
        <v>1</v>
      </c>
      <c r="D139" s="10">
        <f>SUMIF(SALIDAS!A:A,A139,SALIDAS!C:C)</f>
        <v>0</v>
      </c>
      <c r="E139" s="10">
        <f t="shared" si="1"/>
        <v>1</v>
      </c>
      <c r="F139" s="11"/>
      <c r="G139" s="12"/>
    </row>
    <row r="140" ht="15.75" customHeight="1">
      <c r="A140" s="7" t="s">
        <v>293</v>
      </c>
      <c r="B140" s="7" t="s">
        <v>294</v>
      </c>
      <c r="C140" s="9">
        <f>IFERROR(SUMIF(ENTRADAS!A:A,A140,ENTRADAS!C:C))</f>
        <v>8</v>
      </c>
      <c r="D140" s="10">
        <f>SUMIF(SALIDAS!A:A,A140,SALIDAS!C:C)</f>
        <v>0</v>
      </c>
      <c r="E140" s="10">
        <f t="shared" si="1"/>
        <v>8</v>
      </c>
      <c r="F140" s="12"/>
      <c r="G140" s="12"/>
    </row>
    <row r="141" ht="15.75" customHeight="1">
      <c r="A141" s="7" t="s">
        <v>295</v>
      </c>
      <c r="B141" s="7" t="s">
        <v>296</v>
      </c>
      <c r="C141" s="9">
        <f>IFERROR(SUMIF(ENTRADAS!A:A,A141,ENTRADAS!C:C))</f>
        <v>11</v>
      </c>
      <c r="D141" s="10">
        <f>SUMIF(SALIDAS!A:A,A141,SALIDAS!C:C)</f>
        <v>0</v>
      </c>
      <c r="E141" s="10">
        <f t="shared" si="1"/>
        <v>11</v>
      </c>
      <c r="F141" s="11" t="s">
        <v>297</v>
      </c>
      <c r="G141" s="12"/>
    </row>
    <row r="142" ht="15.75" customHeight="1">
      <c r="A142" s="7" t="s">
        <v>298</v>
      </c>
      <c r="B142" s="7" t="s">
        <v>299</v>
      </c>
      <c r="C142" s="9">
        <f>IFERROR(SUMIF(ENTRADAS!A:A,A142,ENTRADAS!C:C))</f>
        <v>1</v>
      </c>
      <c r="D142" s="10">
        <f>SUMIF(SALIDAS!A:A,A142,SALIDAS!C:C)</f>
        <v>0</v>
      </c>
      <c r="E142" s="10">
        <f t="shared" si="1"/>
        <v>1</v>
      </c>
      <c r="F142" s="13"/>
      <c r="G142" s="13"/>
    </row>
    <row r="143" ht="15.75" customHeight="1">
      <c r="A143" s="7" t="s">
        <v>300</v>
      </c>
      <c r="B143" s="8" t="s">
        <v>301</v>
      </c>
      <c r="C143" s="9">
        <f>IFERROR(SUMIF(ENTRADAS!A:A,A143,ENTRADAS!C:C))</f>
        <v>1</v>
      </c>
      <c r="D143" s="10">
        <f>SUMIF(SALIDAS!A:A,A143,SALIDAS!C:C)</f>
        <v>0</v>
      </c>
      <c r="E143" s="10">
        <f t="shared" si="1"/>
        <v>1</v>
      </c>
      <c r="F143" s="13"/>
      <c r="G143" s="13"/>
    </row>
    <row r="144" ht="15.75" customHeight="1">
      <c r="A144" s="7" t="s">
        <v>302</v>
      </c>
      <c r="B144" s="8" t="s">
        <v>303</v>
      </c>
      <c r="C144" s="9">
        <f>IFERROR(SUMIF(ENTRADAS!A:A,A144,ENTRADAS!C:C))</f>
        <v>1</v>
      </c>
      <c r="D144" s="10">
        <f>SUMIF(SALIDAS!A:A,A144,SALIDAS!C:C)</f>
        <v>0</v>
      </c>
      <c r="E144" s="10">
        <f t="shared" si="1"/>
        <v>1</v>
      </c>
      <c r="F144" s="13"/>
      <c r="G144" s="13"/>
    </row>
    <row r="145" ht="15.75" customHeight="1">
      <c r="A145" s="7" t="s">
        <v>304</v>
      </c>
      <c r="B145" s="7" t="s">
        <v>305</v>
      </c>
      <c r="C145" s="9">
        <f>IFERROR(SUMIF(ENTRADAS!A:A,A145,ENTRADAS!C:C))</f>
        <v>5</v>
      </c>
      <c r="D145" s="10">
        <f>SUMIF(SALIDAS!A:A,A145,SALIDAS!C:C)</f>
        <v>0</v>
      </c>
      <c r="E145" s="10">
        <f t="shared" si="1"/>
        <v>5</v>
      </c>
      <c r="F145" s="13"/>
      <c r="G145" s="13"/>
    </row>
    <row r="146" ht="15.75" customHeight="1">
      <c r="A146" s="7" t="s">
        <v>306</v>
      </c>
      <c r="B146" s="17" t="s">
        <v>307</v>
      </c>
      <c r="C146" s="9">
        <f>IFERROR(SUMIF(ENTRADAS!A:A,A146,ENTRADAS!C:C))</f>
        <v>1</v>
      </c>
      <c r="D146" s="10">
        <f>SUMIF(SALIDAS!A:A,A146,SALIDAS!C:C)</f>
        <v>0</v>
      </c>
      <c r="E146" s="10">
        <f t="shared" si="1"/>
        <v>1</v>
      </c>
      <c r="F146" s="12"/>
      <c r="G146" s="12"/>
    </row>
    <row r="147" ht="15.75" customHeight="1">
      <c r="A147" s="7" t="s">
        <v>308</v>
      </c>
      <c r="B147" s="7" t="s">
        <v>309</v>
      </c>
      <c r="C147" s="9">
        <f>IFERROR(SUMIF(ENTRADAS!A:A,A147,ENTRADAS!C:C))</f>
        <v>1</v>
      </c>
      <c r="D147" s="10">
        <f>SUMIF(SALIDAS!A:A,A147,SALIDAS!C:C)</f>
        <v>0</v>
      </c>
      <c r="E147" s="10">
        <f t="shared" si="1"/>
        <v>1</v>
      </c>
      <c r="F147" s="13"/>
      <c r="G147" s="13"/>
    </row>
    <row r="148" ht="15.75" customHeight="1">
      <c r="A148" s="7" t="s">
        <v>310</v>
      </c>
      <c r="B148" s="7" t="s">
        <v>311</v>
      </c>
      <c r="C148" s="9">
        <f>IFERROR(SUMIF(ENTRADAS!A:A,A148,ENTRADAS!C:C))</f>
        <v>1</v>
      </c>
      <c r="D148" s="10">
        <f>SUMIF(SALIDAS!A:A,A148,SALIDAS!C:C)</f>
        <v>0</v>
      </c>
      <c r="E148" s="10">
        <f t="shared" si="1"/>
        <v>1</v>
      </c>
      <c r="F148" s="12"/>
      <c r="G148" s="12"/>
    </row>
    <row r="149" ht="15.75" customHeight="1">
      <c r="A149" s="7" t="s">
        <v>312</v>
      </c>
      <c r="B149" s="7" t="s">
        <v>313</v>
      </c>
      <c r="C149" s="9">
        <f>IFERROR(SUMIF(ENTRADAS!A:A,A149,ENTRADAS!C:C))</f>
        <v>14</v>
      </c>
      <c r="D149" s="10">
        <f>SUMIF(SALIDAS!A:A,A149,SALIDAS!C:C)</f>
        <v>0</v>
      </c>
      <c r="E149" s="10">
        <f t="shared" si="1"/>
        <v>14</v>
      </c>
      <c r="F149" s="12"/>
      <c r="G149" s="12"/>
    </row>
    <row r="150" ht="15.75" customHeight="1">
      <c r="A150" s="7" t="s">
        <v>314</v>
      </c>
      <c r="B150" s="7" t="s">
        <v>315</v>
      </c>
      <c r="C150" s="9">
        <f>IFERROR(SUMIF(ENTRADAS!A:A,A150,ENTRADAS!C:C))</f>
        <v>4</v>
      </c>
      <c r="D150" s="10">
        <f>SUMIF(SALIDAS!A:A,A150,SALIDAS!C:C)</f>
        <v>0</v>
      </c>
      <c r="E150" s="10">
        <f t="shared" si="1"/>
        <v>4</v>
      </c>
      <c r="F150" s="12"/>
      <c r="G150" s="12"/>
    </row>
    <row r="151" ht="15.75" customHeight="1">
      <c r="A151" s="7" t="s">
        <v>316</v>
      </c>
      <c r="B151" s="7" t="s">
        <v>317</v>
      </c>
      <c r="C151" s="9">
        <f>IFERROR(SUMIF(ENTRADAS!A:A,A151,ENTRADAS!C:C))</f>
        <v>75</v>
      </c>
      <c r="D151" s="10">
        <f>SUMIF(SALIDAS!A:A,A151,SALIDAS!C:C)</f>
        <v>31</v>
      </c>
      <c r="E151" s="10">
        <f t="shared" si="1"/>
        <v>44</v>
      </c>
      <c r="F151" s="12"/>
      <c r="G151" s="12"/>
    </row>
    <row r="152" ht="15.75" customHeight="1">
      <c r="A152" s="7" t="s">
        <v>318</v>
      </c>
      <c r="B152" s="7" t="s">
        <v>319</v>
      </c>
      <c r="C152" s="9">
        <f>IFERROR(SUMIF(ENTRADAS!A:A,A152,ENTRADAS!C:C))</f>
        <v>142</v>
      </c>
      <c r="D152" s="10">
        <f>SUMIF(SALIDAS!A:A,A152,SALIDAS!C:C)</f>
        <v>3</v>
      </c>
      <c r="E152" s="10">
        <f t="shared" si="1"/>
        <v>139</v>
      </c>
      <c r="F152" s="12"/>
      <c r="G152" s="12"/>
    </row>
    <row r="153" ht="15.75" customHeight="1">
      <c r="A153" s="7" t="s">
        <v>320</v>
      </c>
      <c r="B153" s="7" t="s">
        <v>321</v>
      </c>
      <c r="C153" s="9">
        <f>IFERROR(SUMIF(ENTRADAS!A:A,A153,ENTRADAS!C:C))</f>
        <v>35</v>
      </c>
      <c r="D153" s="10">
        <f>SUMIF(SALIDAS!A:A,A153,SALIDAS!C:C)</f>
        <v>0</v>
      </c>
      <c r="E153" s="10">
        <f t="shared" si="1"/>
        <v>35</v>
      </c>
      <c r="F153" s="12"/>
      <c r="G153" s="12"/>
    </row>
    <row r="154" ht="15.75" customHeight="1">
      <c r="A154" s="7" t="s">
        <v>322</v>
      </c>
      <c r="B154" s="7" t="s">
        <v>323</v>
      </c>
      <c r="C154" s="9">
        <f>IFERROR(SUMIF(ENTRADAS!A:A,A154,ENTRADAS!C:C))</f>
        <v>0</v>
      </c>
      <c r="D154" s="10">
        <f>SUMIF(SALIDAS!A:A,A154,SALIDAS!C:C)</f>
        <v>0</v>
      </c>
      <c r="E154" s="10">
        <f t="shared" si="1"/>
        <v>0</v>
      </c>
      <c r="F154" s="12"/>
      <c r="G154" s="12"/>
    </row>
    <row r="155" ht="15.75" customHeight="1">
      <c r="A155" s="7" t="s">
        <v>324</v>
      </c>
      <c r="B155" s="7" t="s">
        <v>325</v>
      </c>
      <c r="C155" s="9">
        <f>IFERROR(SUMIF(ENTRADAS!A:A,A155,ENTRADAS!C:C))</f>
        <v>1</v>
      </c>
      <c r="D155" s="10">
        <f>SUMIF(SALIDAS!A:A,A155,SALIDAS!C:C)</f>
        <v>0</v>
      </c>
      <c r="E155" s="10">
        <f t="shared" si="1"/>
        <v>1</v>
      </c>
      <c r="F155" s="12"/>
      <c r="G155" s="12"/>
    </row>
    <row r="156" ht="15.75" customHeight="1">
      <c r="A156" s="7" t="s">
        <v>326</v>
      </c>
      <c r="B156" s="7" t="s">
        <v>327</v>
      </c>
      <c r="C156" s="9">
        <f>IFERROR(SUMIF(ENTRADAS!A:A,A156,ENTRADAS!C:C))</f>
        <v>4</v>
      </c>
      <c r="D156" s="10">
        <f>SUMIF(SALIDAS!A:A,A156,SALIDAS!C:C)</f>
        <v>0</v>
      </c>
      <c r="E156" s="10">
        <f t="shared" si="1"/>
        <v>4</v>
      </c>
      <c r="F156" s="12"/>
      <c r="G156" s="12"/>
    </row>
    <row r="157" ht="15.75" customHeight="1">
      <c r="A157" s="7" t="s">
        <v>328</v>
      </c>
      <c r="B157" s="8" t="s">
        <v>329</v>
      </c>
      <c r="C157" s="9">
        <f>IFERROR(SUMIF(ENTRADAS!A:A,A157,ENTRADAS!C:C))</f>
        <v>12</v>
      </c>
      <c r="D157" s="10">
        <f>SUMIF(SALIDAS!A:A,A157,SALIDAS!C:C)</f>
        <v>0</v>
      </c>
      <c r="E157" s="10">
        <f t="shared" si="1"/>
        <v>12</v>
      </c>
      <c r="F157" s="12"/>
      <c r="G157" s="12"/>
    </row>
    <row r="158" ht="15.75" customHeight="1">
      <c r="A158" s="7" t="s">
        <v>330</v>
      </c>
      <c r="B158" s="16" t="s">
        <v>331</v>
      </c>
      <c r="C158" s="9">
        <f>IFERROR(SUMIF(ENTRADAS!A:A,A158,ENTRADAS!C:C))</f>
        <v>1</v>
      </c>
      <c r="D158" s="10">
        <f>SUMIF(SALIDAS!A:A,A158,SALIDAS!C:C)</f>
        <v>0</v>
      </c>
      <c r="E158" s="10">
        <f t="shared" si="1"/>
        <v>1</v>
      </c>
      <c r="F158" s="13"/>
      <c r="G158" s="13"/>
    </row>
    <row r="159" ht="15.75" customHeight="1">
      <c r="A159" s="7" t="s">
        <v>332</v>
      </c>
      <c r="B159" s="8" t="s">
        <v>333</v>
      </c>
      <c r="C159" s="9">
        <f>IFERROR(SUMIF(ENTRADAS!A:A,A159,ENTRADAS!C:C))</f>
        <v>5</v>
      </c>
      <c r="D159" s="10">
        <f>SUMIF(SALIDAS!A:A,A159,SALIDAS!C:C)</f>
        <v>0</v>
      </c>
      <c r="E159" s="10">
        <f t="shared" si="1"/>
        <v>5</v>
      </c>
      <c r="F159" s="11" t="s">
        <v>334</v>
      </c>
      <c r="G159" s="12"/>
    </row>
    <row r="160" ht="15.75" customHeight="1">
      <c r="A160" s="7" t="s">
        <v>335</v>
      </c>
      <c r="B160" s="8" t="s">
        <v>336</v>
      </c>
      <c r="C160" s="9">
        <f>IFERROR(SUMIF(ENTRADAS!A:A,A160,ENTRADAS!C:C))</f>
        <v>5</v>
      </c>
      <c r="D160" s="10">
        <f>SUMIF(SALIDAS!A:A,A160,SALIDAS!C:C)</f>
        <v>0</v>
      </c>
      <c r="E160" s="10">
        <f t="shared" si="1"/>
        <v>5</v>
      </c>
      <c r="F160" s="11" t="s">
        <v>334</v>
      </c>
      <c r="G160" s="12"/>
    </row>
    <row r="161" ht="15.75" customHeight="1">
      <c r="A161" s="7" t="s">
        <v>337</v>
      </c>
      <c r="B161" s="7" t="s">
        <v>338</v>
      </c>
      <c r="C161" s="9">
        <f>IFERROR(SUMIF(ENTRADAS!A:A,A161,ENTRADAS!C:C))</f>
        <v>176</v>
      </c>
      <c r="D161" s="10">
        <f>SUMIF(SALIDAS!A:A,A161,SALIDAS!C:C)</f>
        <v>0</v>
      </c>
      <c r="E161" s="10">
        <f t="shared" si="1"/>
        <v>176</v>
      </c>
      <c r="F161" s="12"/>
      <c r="G161" s="12"/>
    </row>
    <row r="162" ht="15.75" customHeight="1">
      <c r="A162" s="7" t="s">
        <v>339</v>
      </c>
      <c r="B162" s="7" t="s">
        <v>340</v>
      </c>
      <c r="C162" s="9">
        <f>IFERROR(SUMIF(ENTRADAS!A:A,A162,ENTRADAS!C:C))</f>
        <v>7</v>
      </c>
      <c r="D162" s="10">
        <f>SUMIF(SALIDAS!A:A,A162,SALIDAS!C:C)</f>
        <v>0</v>
      </c>
      <c r="E162" s="10">
        <f t="shared" si="1"/>
        <v>7</v>
      </c>
      <c r="F162" s="12"/>
      <c r="G162" s="12"/>
    </row>
    <row r="163" ht="15.75" customHeight="1">
      <c r="A163" s="7" t="s">
        <v>341</v>
      </c>
      <c r="B163" s="7" t="s">
        <v>342</v>
      </c>
      <c r="C163" s="9">
        <f>IFERROR(SUMIF(ENTRADAS!A:A,A163,ENTRADAS!C:C))</f>
        <v>3</v>
      </c>
      <c r="D163" s="10">
        <f>SUMIF(SALIDAS!A:A,A163,SALIDAS!C:C)</f>
        <v>0</v>
      </c>
      <c r="E163" s="10">
        <f t="shared" si="1"/>
        <v>3</v>
      </c>
      <c r="F163" s="12"/>
      <c r="G163" s="12"/>
    </row>
    <row r="164" ht="15.75" customHeight="1">
      <c r="A164" s="7" t="s">
        <v>343</v>
      </c>
      <c r="B164" s="7" t="s">
        <v>344</v>
      </c>
      <c r="C164" s="9">
        <f>IFERROR(SUMIF(ENTRADAS!A:A,A164,ENTRADAS!C:C))</f>
        <v>2</v>
      </c>
      <c r="D164" s="10">
        <f>SUMIF(SALIDAS!A:A,A164,SALIDAS!C:C)</f>
        <v>0</v>
      </c>
      <c r="E164" s="10">
        <f t="shared" si="1"/>
        <v>2</v>
      </c>
      <c r="F164" s="12"/>
      <c r="G164" s="12"/>
    </row>
    <row r="165" ht="15.75" customHeight="1">
      <c r="A165" s="7" t="s">
        <v>345</v>
      </c>
      <c r="B165" s="8" t="s">
        <v>346</v>
      </c>
      <c r="C165" s="9">
        <f>IFERROR(SUMIF(ENTRADAS!A:A,A165,ENTRADAS!C:C))</f>
        <v>2</v>
      </c>
      <c r="D165" s="10">
        <f>SUMIF(SALIDAS!A:A,A165,SALIDAS!C:C)</f>
        <v>0</v>
      </c>
      <c r="E165" s="10">
        <f t="shared" si="1"/>
        <v>2</v>
      </c>
      <c r="F165" s="11">
        <v>1.0</v>
      </c>
      <c r="G165" s="12"/>
    </row>
    <row r="166" ht="15.75" customHeight="1">
      <c r="A166" s="7" t="s">
        <v>347</v>
      </c>
      <c r="B166" s="7" t="s">
        <v>348</v>
      </c>
      <c r="C166" s="9">
        <f>IFERROR(SUMIF(ENTRADAS!A:A,A166,ENTRADAS!C:C))</f>
        <v>8</v>
      </c>
      <c r="D166" s="10">
        <f>SUMIF(SALIDAS!A:A,A166,SALIDAS!C:C)</f>
        <v>0</v>
      </c>
      <c r="E166" s="10">
        <f t="shared" si="1"/>
        <v>8</v>
      </c>
      <c r="F166" s="12"/>
      <c r="G166" s="12"/>
    </row>
    <row r="167" ht="15.75" customHeight="1">
      <c r="A167" s="7" t="s">
        <v>349</v>
      </c>
      <c r="B167" s="7" t="s">
        <v>350</v>
      </c>
      <c r="C167" s="9">
        <f>IFERROR(SUMIF(ENTRADAS!A:A,A167,ENTRADAS!C:C))</f>
        <v>10</v>
      </c>
      <c r="D167" s="10">
        <f>SUMIF(SALIDAS!A:A,A167,SALIDAS!C:C)</f>
        <v>0</v>
      </c>
      <c r="E167" s="10">
        <f t="shared" si="1"/>
        <v>10</v>
      </c>
      <c r="F167" s="12"/>
      <c r="G167" s="12"/>
    </row>
    <row r="168" ht="15.75" customHeight="1">
      <c r="A168" s="7" t="s">
        <v>351</v>
      </c>
      <c r="B168" s="7" t="s">
        <v>352</v>
      </c>
      <c r="C168" s="9">
        <f>IFERROR(SUMIF(ENTRADAS!A:A,A168,ENTRADAS!C:C))</f>
        <v>15</v>
      </c>
      <c r="D168" s="10">
        <f>SUMIF(SALIDAS!A:A,A168,SALIDAS!C:C)</f>
        <v>0</v>
      </c>
      <c r="E168" s="10">
        <f t="shared" si="1"/>
        <v>15</v>
      </c>
      <c r="F168" s="12"/>
      <c r="G168" s="12"/>
    </row>
    <row r="169" ht="15.75" customHeight="1">
      <c r="A169" s="7" t="s">
        <v>353</v>
      </c>
      <c r="B169" s="8" t="s">
        <v>354</v>
      </c>
      <c r="C169" s="9">
        <f>IFERROR(SUMIF(ENTRADAS!A:A,A169,ENTRADAS!C:C))</f>
        <v>3</v>
      </c>
      <c r="D169" s="10">
        <f>SUMIF(SALIDAS!A:A,A169,SALIDAS!C:C)</f>
        <v>0</v>
      </c>
      <c r="E169" s="10">
        <f t="shared" si="1"/>
        <v>3</v>
      </c>
      <c r="F169" s="11" t="s">
        <v>355</v>
      </c>
      <c r="G169" s="12"/>
    </row>
    <row r="170" ht="15.75" customHeight="1">
      <c r="A170" s="7" t="s">
        <v>356</v>
      </c>
      <c r="B170" s="7" t="s">
        <v>357</v>
      </c>
      <c r="C170" s="9">
        <f>IFERROR(SUMIF(ENTRADAS!A:A,A170,ENTRADAS!C:C))</f>
        <v>1</v>
      </c>
      <c r="D170" s="10">
        <f>SUMIF(SALIDAS!A:A,A170,SALIDAS!C:C)</f>
        <v>0</v>
      </c>
      <c r="E170" s="10">
        <f t="shared" si="1"/>
        <v>1</v>
      </c>
      <c r="F170" s="13"/>
      <c r="G170" s="13"/>
    </row>
    <row r="171" ht="15.75" customHeight="1">
      <c r="A171" s="7" t="s">
        <v>358</v>
      </c>
      <c r="B171" s="7" t="s">
        <v>359</v>
      </c>
      <c r="C171" s="9">
        <f>IFERROR(SUMIF(ENTRADAS!A:A,A171,ENTRADAS!C:C))</f>
        <v>5</v>
      </c>
      <c r="D171" s="10">
        <f>SUMIF(SALIDAS!A:A,A171,SALIDAS!C:C)</f>
        <v>0</v>
      </c>
      <c r="E171" s="10">
        <f t="shared" si="1"/>
        <v>5</v>
      </c>
      <c r="F171" s="13"/>
      <c r="G171" s="13"/>
    </row>
    <row r="172" ht="15.75" customHeight="1">
      <c r="A172" s="7" t="s">
        <v>360</v>
      </c>
      <c r="B172" s="7" t="s">
        <v>361</v>
      </c>
      <c r="C172" s="9">
        <f>IFERROR(SUMIF(ENTRADAS!A:A,A172,ENTRADAS!C:C))</f>
        <v>2</v>
      </c>
      <c r="D172" s="10">
        <f>SUMIF(SALIDAS!A:A,A172,SALIDAS!C:C)</f>
        <v>0</v>
      </c>
      <c r="E172" s="10">
        <f t="shared" si="1"/>
        <v>2</v>
      </c>
      <c r="F172" s="13"/>
      <c r="G172" s="13"/>
    </row>
    <row r="173" ht="15.75" customHeight="1">
      <c r="A173" s="7" t="s">
        <v>362</v>
      </c>
      <c r="B173" s="7" t="s">
        <v>363</v>
      </c>
      <c r="C173" s="9">
        <f>IFERROR(SUMIF(ENTRADAS!A:A,A173,ENTRADAS!C:C))</f>
        <v>7</v>
      </c>
      <c r="D173" s="10">
        <f>SUMIF(SALIDAS!A:A,A173,SALIDAS!C:C)</f>
        <v>0</v>
      </c>
      <c r="E173" s="10">
        <f t="shared" si="1"/>
        <v>7</v>
      </c>
      <c r="F173" s="13"/>
      <c r="G173" s="13"/>
    </row>
    <row r="174" ht="15.75" customHeight="1">
      <c r="A174" s="7" t="s">
        <v>364</v>
      </c>
      <c r="B174" s="7" t="s">
        <v>365</v>
      </c>
      <c r="C174" s="9">
        <f>IFERROR(SUMIF(ENTRADAS!A:A,A174,ENTRADAS!C:C))</f>
        <v>1</v>
      </c>
      <c r="D174" s="10">
        <f>SUMIF(SALIDAS!A:A,A174,SALIDAS!C:C)</f>
        <v>0</v>
      </c>
      <c r="E174" s="10">
        <f t="shared" si="1"/>
        <v>1</v>
      </c>
      <c r="F174" s="13"/>
      <c r="G174" s="13"/>
    </row>
    <row r="175" ht="15.75" customHeight="1">
      <c r="A175" s="7" t="s">
        <v>366</v>
      </c>
      <c r="B175" s="7" t="s">
        <v>367</v>
      </c>
      <c r="C175" s="9">
        <f>IFERROR(SUMIF(ENTRADAS!A:A,A175,ENTRADAS!C:C))</f>
        <v>6</v>
      </c>
      <c r="D175" s="10">
        <f>SUMIF(SALIDAS!A:A,A175,SALIDAS!C:C)</f>
        <v>0</v>
      </c>
      <c r="E175" s="10">
        <f t="shared" si="1"/>
        <v>6</v>
      </c>
      <c r="F175" s="13"/>
      <c r="G175" s="13"/>
    </row>
    <row r="176" ht="15.75" customHeight="1">
      <c r="A176" s="7" t="s">
        <v>368</v>
      </c>
      <c r="B176" s="8" t="s">
        <v>369</v>
      </c>
      <c r="C176" s="9">
        <f>IFERROR(SUMIF(ENTRADAS!A:A,A176,ENTRADAS!C:C))</f>
        <v>1</v>
      </c>
      <c r="D176" s="10">
        <f>SUMIF(SALIDAS!A:A,A176,SALIDAS!C:C)</f>
        <v>0</v>
      </c>
      <c r="E176" s="10">
        <f t="shared" si="1"/>
        <v>1</v>
      </c>
      <c r="F176" s="13"/>
      <c r="G176" s="13"/>
    </row>
    <row r="177" ht="15.75" customHeight="1">
      <c r="A177" s="7" t="s">
        <v>370</v>
      </c>
      <c r="B177" s="7" t="s">
        <v>371</v>
      </c>
      <c r="C177" s="9">
        <f>IFERROR(SUMIF(ENTRADAS!A:A,A177,ENTRADAS!C:C))</f>
        <v>8</v>
      </c>
      <c r="D177" s="10">
        <f>SUMIF(SALIDAS!A:A,A177,SALIDAS!C:C)</f>
        <v>0</v>
      </c>
      <c r="E177" s="10">
        <f t="shared" si="1"/>
        <v>8</v>
      </c>
      <c r="F177" s="13"/>
      <c r="G177" s="13"/>
    </row>
    <row r="178" ht="15.75" customHeight="1">
      <c r="A178" s="7" t="s">
        <v>372</v>
      </c>
      <c r="B178" s="7" t="s">
        <v>373</v>
      </c>
      <c r="C178" s="9">
        <f>IFERROR(SUMIF(ENTRADAS!A:A,A178,ENTRADAS!C:C))</f>
        <v>32</v>
      </c>
      <c r="D178" s="10">
        <f>SUMIF(SALIDAS!A:A,A178,SALIDAS!C:C)</f>
        <v>0</v>
      </c>
      <c r="E178" s="10">
        <f t="shared" si="1"/>
        <v>32</v>
      </c>
      <c r="F178" s="13"/>
      <c r="G178" s="13"/>
    </row>
    <row r="179" ht="15.75" customHeight="1">
      <c r="A179" s="7" t="s">
        <v>374</v>
      </c>
      <c r="B179" s="16" t="s">
        <v>375</v>
      </c>
      <c r="C179" s="9">
        <f>IFERROR(SUMIF(ENTRADAS!A:A,A179,ENTRADAS!C:C))</f>
        <v>43</v>
      </c>
      <c r="D179" s="10">
        <f>SUMIF(SALIDAS!A:A,A179,SALIDAS!C:C)</f>
        <v>0</v>
      </c>
      <c r="E179" s="10">
        <f t="shared" si="1"/>
        <v>43</v>
      </c>
      <c r="F179" s="13"/>
      <c r="G179" s="13"/>
    </row>
    <row r="180" ht="15.75" customHeight="1">
      <c r="A180" s="7" t="s">
        <v>376</v>
      </c>
      <c r="B180" s="7" t="s">
        <v>377</v>
      </c>
      <c r="C180" s="9">
        <f>IFERROR(SUMIF(ENTRADAS!A:A,A180,ENTRADAS!C:C))</f>
        <v>34</v>
      </c>
      <c r="D180" s="10">
        <f>SUMIF(SALIDAS!A:A,A180,SALIDAS!C:C)</f>
        <v>0</v>
      </c>
      <c r="E180" s="10">
        <f t="shared" si="1"/>
        <v>34</v>
      </c>
      <c r="F180" s="13"/>
      <c r="G180" s="13"/>
    </row>
    <row r="181" ht="15.75" customHeight="1">
      <c r="A181" s="7" t="s">
        <v>378</v>
      </c>
      <c r="B181" s="7" t="s">
        <v>379</v>
      </c>
      <c r="C181" s="9">
        <f>IFERROR(SUMIF(ENTRADAS!A:A,A181,ENTRADAS!C:C))</f>
        <v>6</v>
      </c>
      <c r="D181" s="10">
        <f>SUMIF(SALIDAS!A:A,A181,SALIDAS!C:C)</f>
        <v>0</v>
      </c>
      <c r="E181" s="10">
        <f t="shared" si="1"/>
        <v>6</v>
      </c>
      <c r="F181" s="12"/>
      <c r="G181" s="12"/>
    </row>
    <row r="182" ht="15.75" customHeight="1">
      <c r="A182" s="7" t="s">
        <v>380</v>
      </c>
      <c r="B182" s="7" t="s">
        <v>381</v>
      </c>
      <c r="C182" s="9">
        <f>IFERROR(SUMIF(ENTRADAS!A:A,A182,ENTRADAS!C:C))</f>
        <v>130</v>
      </c>
      <c r="D182" s="10">
        <f>SUMIF(SALIDAS!A:A,A182,SALIDAS!C:C)</f>
        <v>0</v>
      </c>
      <c r="E182" s="10">
        <f t="shared" si="1"/>
        <v>130</v>
      </c>
      <c r="F182" s="12"/>
      <c r="G182" s="12"/>
    </row>
    <row r="183" ht="15.75" customHeight="1">
      <c r="A183" s="7" t="s">
        <v>382</v>
      </c>
      <c r="B183" s="7" t="s">
        <v>383</v>
      </c>
      <c r="C183" s="9">
        <f>IFERROR(SUMIF(ENTRADAS!A:A,A183,ENTRADAS!C:C))</f>
        <v>75</v>
      </c>
      <c r="D183" s="10">
        <f>SUMIF(SALIDAS!A:A,A183,SALIDAS!C:C)</f>
        <v>0</v>
      </c>
      <c r="E183" s="10">
        <f t="shared" si="1"/>
        <v>75</v>
      </c>
      <c r="F183" s="12"/>
      <c r="G183" s="12"/>
    </row>
    <row r="184" ht="15.75" customHeight="1">
      <c r="A184" s="7" t="s">
        <v>384</v>
      </c>
      <c r="B184" s="7" t="s">
        <v>385</v>
      </c>
      <c r="C184" s="9">
        <f>IFERROR(SUMIF(ENTRADAS!A:A,A184,ENTRADAS!C:C))</f>
        <v>16</v>
      </c>
      <c r="D184" s="10">
        <f>SUMIF(SALIDAS!A:A,A184,SALIDAS!C:C)</f>
        <v>0</v>
      </c>
      <c r="E184" s="10">
        <f t="shared" si="1"/>
        <v>16</v>
      </c>
      <c r="F184" s="12"/>
      <c r="G184" s="12"/>
    </row>
    <row r="185" ht="15.75" customHeight="1">
      <c r="A185" s="7" t="s">
        <v>386</v>
      </c>
      <c r="B185" s="7" t="s">
        <v>387</v>
      </c>
      <c r="C185" s="9">
        <f>IFERROR(SUMIF(ENTRADAS!A:A,A185,ENTRADAS!C:C))</f>
        <v>44</v>
      </c>
      <c r="D185" s="10">
        <f>SUMIF(SALIDAS!A:A,A185,SALIDAS!C:C)</f>
        <v>0</v>
      </c>
      <c r="E185" s="10">
        <f t="shared" si="1"/>
        <v>44</v>
      </c>
      <c r="F185" s="12"/>
      <c r="G185" s="12"/>
    </row>
    <row r="186" ht="15.75" customHeight="1">
      <c r="A186" s="7" t="s">
        <v>388</v>
      </c>
      <c r="B186" s="7" t="s">
        <v>389</v>
      </c>
      <c r="C186" s="9">
        <f>IFERROR(SUMIF(ENTRADAS!A:A,A186,ENTRADAS!C:C))</f>
        <v>106</v>
      </c>
      <c r="D186" s="10">
        <f>SUMIF(SALIDAS!A:A,A186,SALIDAS!C:C)</f>
        <v>0</v>
      </c>
      <c r="E186" s="10">
        <f t="shared" si="1"/>
        <v>106</v>
      </c>
      <c r="F186" s="12"/>
      <c r="G186" s="12"/>
    </row>
    <row r="187" ht="15.75" customHeight="1">
      <c r="A187" s="7" t="s">
        <v>390</v>
      </c>
      <c r="B187" s="7" t="s">
        <v>391</v>
      </c>
      <c r="C187" s="9">
        <f>IFERROR(SUMIF(ENTRADAS!A:A,A187,ENTRADAS!C:C))</f>
        <v>50</v>
      </c>
      <c r="D187" s="10">
        <f>SUMIF(SALIDAS!A:A,A187,SALIDAS!C:C)</f>
        <v>0</v>
      </c>
      <c r="E187" s="10">
        <f t="shared" si="1"/>
        <v>50</v>
      </c>
      <c r="F187" s="12"/>
      <c r="G187" s="12"/>
    </row>
    <row r="188" ht="15.75" customHeight="1">
      <c r="A188" s="7" t="s">
        <v>392</v>
      </c>
      <c r="B188" s="7" t="s">
        <v>393</v>
      </c>
      <c r="C188" s="9">
        <f>IFERROR(SUMIF(ENTRADAS!A:A,A188,ENTRADAS!C:C))</f>
        <v>1</v>
      </c>
      <c r="D188" s="10">
        <f>SUMIF(SALIDAS!A:A,A188,SALIDAS!C:C)</f>
        <v>0</v>
      </c>
      <c r="E188" s="10">
        <f t="shared" si="1"/>
        <v>1</v>
      </c>
      <c r="F188" s="12"/>
      <c r="G188" s="12"/>
    </row>
    <row r="189" ht="15.75" customHeight="1">
      <c r="A189" s="7" t="s">
        <v>394</v>
      </c>
      <c r="B189" s="7" t="s">
        <v>395</v>
      </c>
      <c r="C189" s="9">
        <f>IFERROR(SUMIF(ENTRADAS!A:A,A189,ENTRADAS!C:C))</f>
        <v>60</v>
      </c>
      <c r="D189" s="10">
        <f>SUMIF(SALIDAS!A:A,A189,SALIDAS!C:C)</f>
        <v>0</v>
      </c>
      <c r="E189" s="10">
        <f t="shared" si="1"/>
        <v>60</v>
      </c>
      <c r="F189" s="12"/>
      <c r="G189" s="12"/>
    </row>
    <row r="190" ht="15.75" customHeight="1">
      <c r="A190" s="7" t="s">
        <v>396</v>
      </c>
      <c r="B190" s="7" t="s">
        <v>397</v>
      </c>
      <c r="C190" s="9">
        <f>IFERROR(SUMIF(ENTRADAS!A:A,A190,ENTRADAS!C:C))</f>
        <v>1</v>
      </c>
      <c r="D190" s="10">
        <f>SUMIF(SALIDAS!A:A,A190,SALIDAS!C:C)</f>
        <v>0</v>
      </c>
      <c r="E190" s="10">
        <f t="shared" si="1"/>
        <v>1</v>
      </c>
      <c r="F190" s="12"/>
      <c r="G190" s="12"/>
    </row>
    <row r="191" ht="15.75" customHeight="1">
      <c r="A191" s="7" t="s">
        <v>398</v>
      </c>
      <c r="B191" s="7" t="s">
        <v>399</v>
      </c>
      <c r="C191" s="9">
        <f>IFERROR(SUMIF(ENTRADAS!A:A,A191,ENTRADAS!C:C))</f>
        <v>1</v>
      </c>
      <c r="D191" s="10">
        <f>SUMIF(SALIDAS!A:A,A191,SALIDAS!C:C)</f>
        <v>0</v>
      </c>
      <c r="E191" s="10">
        <f t="shared" si="1"/>
        <v>1</v>
      </c>
      <c r="F191" s="12"/>
      <c r="G191" s="12"/>
    </row>
    <row r="192" ht="15.75" customHeight="1">
      <c r="A192" s="7" t="s">
        <v>400</v>
      </c>
      <c r="B192" s="7" t="s">
        <v>401</v>
      </c>
      <c r="C192" s="9">
        <f>IFERROR(SUMIF(ENTRADAS!A:A,A192,ENTRADAS!C:C))</f>
        <v>3</v>
      </c>
      <c r="D192" s="10">
        <f>SUMIF(SALIDAS!A:A,A192,SALIDAS!C:C)</f>
        <v>0</v>
      </c>
      <c r="E192" s="10">
        <f t="shared" si="1"/>
        <v>3</v>
      </c>
      <c r="F192" s="13"/>
      <c r="G192" s="13"/>
    </row>
    <row r="193" ht="15.75" customHeight="1">
      <c r="A193" s="7" t="s">
        <v>402</v>
      </c>
      <c r="B193" s="7" t="s">
        <v>403</v>
      </c>
      <c r="C193" s="9">
        <f>IFERROR(SUMIF(ENTRADAS!A:A,A193,ENTRADAS!C:C))</f>
        <v>4</v>
      </c>
      <c r="D193" s="10">
        <f>SUMIF(SALIDAS!A:A,A193,SALIDAS!C:C)</f>
        <v>0</v>
      </c>
      <c r="E193" s="10">
        <f t="shared" si="1"/>
        <v>4</v>
      </c>
      <c r="F193" s="13"/>
      <c r="G193" s="13"/>
    </row>
    <row r="194" ht="15.75" customHeight="1">
      <c r="A194" s="7" t="s">
        <v>404</v>
      </c>
      <c r="B194" s="7" t="s">
        <v>405</v>
      </c>
      <c r="C194" s="9">
        <f>IFERROR(SUMIF(ENTRADAS!A:A,A194,ENTRADAS!C:C))</f>
        <v>397</v>
      </c>
      <c r="D194" s="10">
        <f>SUMIF(SALIDAS!A:A,A194,SALIDAS!C:C)</f>
        <v>30</v>
      </c>
      <c r="E194" s="10">
        <f t="shared" si="1"/>
        <v>367</v>
      </c>
      <c r="F194" s="13"/>
      <c r="G194" s="13"/>
    </row>
    <row r="195" ht="15.75" customHeight="1">
      <c r="A195" s="7" t="s">
        <v>406</v>
      </c>
      <c r="B195" s="7" t="s">
        <v>407</v>
      </c>
      <c r="C195" s="9">
        <f>IFERROR(SUMIF(ENTRADAS!A:A,A195,ENTRADAS!C:C))</f>
        <v>224</v>
      </c>
      <c r="D195" s="10">
        <f>SUMIF(SALIDAS!A:A,A195,SALIDAS!C:C)</f>
        <v>0</v>
      </c>
      <c r="E195" s="10">
        <f t="shared" si="1"/>
        <v>224</v>
      </c>
      <c r="F195" s="13"/>
      <c r="G195" s="13"/>
    </row>
    <row r="196" ht="15.75" customHeight="1">
      <c r="A196" s="7" t="s">
        <v>408</v>
      </c>
      <c r="B196" s="7" t="s">
        <v>409</v>
      </c>
      <c r="C196" s="9">
        <f>IFERROR(SUMIF(ENTRADAS!A:A,A196,ENTRADAS!C:C))</f>
        <v>128</v>
      </c>
      <c r="D196" s="10">
        <f>SUMIF(SALIDAS!A:A,A196,SALIDAS!C:C)</f>
        <v>0</v>
      </c>
      <c r="E196" s="10">
        <f t="shared" si="1"/>
        <v>128</v>
      </c>
      <c r="F196" s="13"/>
      <c r="G196" s="13"/>
    </row>
    <row r="197" ht="15.75" customHeight="1">
      <c r="A197" s="7" t="s">
        <v>410</v>
      </c>
      <c r="B197" s="7" t="s">
        <v>411</v>
      </c>
      <c r="C197" s="9">
        <f>IFERROR(SUMIF(ENTRADAS!A:A,A197,ENTRADAS!C:C))</f>
        <v>55</v>
      </c>
      <c r="D197" s="10">
        <f>SUMIF(SALIDAS!A:A,A197,SALIDAS!C:C)</f>
        <v>0</v>
      </c>
      <c r="E197" s="10">
        <f t="shared" si="1"/>
        <v>55</v>
      </c>
      <c r="F197" s="13"/>
      <c r="G197" s="13"/>
    </row>
    <row r="198" ht="15.75" customHeight="1">
      <c r="A198" s="7" t="s">
        <v>412</v>
      </c>
      <c r="B198" s="7" t="s">
        <v>413</v>
      </c>
      <c r="C198" s="9">
        <f>IFERROR(SUMIF(ENTRADAS!A:A,A198,ENTRADAS!C:C))</f>
        <v>11</v>
      </c>
      <c r="D198" s="10">
        <f>SUMIF(SALIDAS!A:A,A198,SALIDAS!C:C)</f>
        <v>0</v>
      </c>
      <c r="E198" s="10">
        <f t="shared" si="1"/>
        <v>11</v>
      </c>
      <c r="F198" s="13"/>
      <c r="G198" s="13"/>
    </row>
    <row r="199" ht="15.75" customHeight="1">
      <c r="A199" s="7" t="s">
        <v>414</v>
      </c>
      <c r="B199" s="16" t="s">
        <v>415</v>
      </c>
      <c r="C199" s="9">
        <f>IFERROR(SUMIF(ENTRADAS!A:A,A199,ENTRADAS!C:C))</f>
        <v>1000</v>
      </c>
      <c r="D199" s="10">
        <f>SUMIF(SALIDAS!A:A,A199,SALIDAS!C:C)</f>
        <v>0</v>
      </c>
      <c r="E199" s="10">
        <f t="shared" si="1"/>
        <v>1000</v>
      </c>
      <c r="F199" s="13"/>
      <c r="G199" s="13"/>
    </row>
    <row r="200" ht="15.75" customHeight="1">
      <c r="A200" s="7" t="s">
        <v>416</v>
      </c>
      <c r="B200" s="7" t="s">
        <v>417</v>
      </c>
      <c r="C200" s="9">
        <f>IFERROR(SUMIF(ENTRADAS!A:A,A200,ENTRADAS!C:C))</f>
        <v>88</v>
      </c>
      <c r="D200" s="10">
        <f>SUMIF(SALIDAS!A:A,A200,SALIDAS!C:C)</f>
        <v>0</v>
      </c>
      <c r="E200" s="10">
        <f t="shared" si="1"/>
        <v>88</v>
      </c>
      <c r="F200" s="13"/>
      <c r="G200" s="13"/>
    </row>
    <row r="201" ht="15.75" customHeight="1">
      <c r="A201" s="7" t="s">
        <v>418</v>
      </c>
      <c r="B201" s="7" t="s">
        <v>419</v>
      </c>
      <c r="C201" s="9">
        <f>IFERROR(SUMIF(ENTRADAS!A:A,A201,ENTRADAS!C:C))</f>
        <v>273</v>
      </c>
      <c r="D201" s="10">
        <f>SUMIF(SALIDAS!A:A,A201,SALIDAS!C:C)</f>
        <v>0</v>
      </c>
      <c r="E201" s="10">
        <f t="shared" si="1"/>
        <v>273</v>
      </c>
      <c r="F201" s="13"/>
      <c r="G201" s="13"/>
    </row>
    <row r="202" ht="15.75" customHeight="1">
      <c r="A202" s="7" t="s">
        <v>420</v>
      </c>
      <c r="B202" s="7" t="s">
        <v>421</v>
      </c>
      <c r="C202" s="9">
        <f>IFERROR(SUMIF(ENTRADAS!A:A,A202,ENTRADAS!C:C))</f>
        <v>265</v>
      </c>
      <c r="D202" s="10">
        <f>SUMIF(SALIDAS!A:A,A202,SALIDAS!C:C)</f>
        <v>0</v>
      </c>
      <c r="E202" s="10">
        <f t="shared" si="1"/>
        <v>265</v>
      </c>
      <c r="F202" s="13"/>
      <c r="G202" s="13"/>
    </row>
    <row r="203" ht="15.75" customHeight="1">
      <c r="A203" s="7" t="s">
        <v>422</v>
      </c>
      <c r="B203" s="7" t="s">
        <v>423</v>
      </c>
      <c r="C203" s="9">
        <f>IFERROR(SUMIF(ENTRADAS!A:A,A203,ENTRADAS!C:C))</f>
        <v>212</v>
      </c>
      <c r="D203" s="10">
        <f>SUMIF(SALIDAS!A:A,A203,SALIDAS!C:C)</f>
        <v>0</v>
      </c>
      <c r="E203" s="10">
        <f t="shared" si="1"/>
        <v>212</v>
      </c>
      <c r="F203" s="13"/>
      <c r="G203" s="13"/>
    </row>
    <row r="204" ht="15.75" customHeight="1">
      <c r="A204" s="7" t="s">
        <v>424</v>
      </c>
      <c r="B204" s="7" t="s">
        <v>425</v>
      </c>
      <c r="C204" s="9">
        <f>IFERROR(SUMIF(ENTRADAS!A:A,A204,ENTRADAS!C:C))</f>
        <v>1</v>
      </c>
      <c r="D204" s="10">
        <f>SUMIF(SALIDAS!A:A,A204,SALIDAS!C:C)</f>
        <v>0</v>
      </c>
      <c r="E204" s="10">
        <f t="shared" si="1"/>
        <v>1</v>
      </c>
      <c r="F204" s="13"/>
      <c r="G204" s="13"/>
    </row>
    <row r="205" ht="15.75" customHeight="1">
      <c r="A205" s="7" t="s">
        <v>426</v>
      </c>
      <c r="B205" s="8" t="s">
        <v>427</v>
      </c>
      <c r="C205" s="9">
        <f>IFERROR(SUMIF(ENTRADAS!A:A,A205,ENTRADAS!C:C))</f>
        <v>58</v>
      </c>
      <c r="D205" s="10">
        <f>SUMIF(SALIDAS!A:A,A205,SALIDAS!C:C)</f>
        <v>0</v>
      </c>
      <c r="E205" s="10">
        <f t="shared" si="1"/>
        <v>58</v>
      </c>
      <c r="F205" s="13"/>
      <c r="G205" s="13"/>
    </row>
    <row r="206" ht="15.75" customHeight="1">
      <c r="A206" s="7" t="s">
        <v>428</v>
      </c>
      <c r="B206" s="8" t="s">
        <v>429</v>
      </c>
      <c r="C206" s="9">
        <f>IFERROR(SUMIF(ENTRADAS!A:A,A206,ENTRADAS!C:C))</f>
        <v>1</v>
      </c>
      <c r="D206" s="10">
        <f>SUMIF(SALIDAS!A:A,A206,SALIDAS!C:C)</f>
        <v>0</v>
      </c>
      <c r="E206" s="10">
        <f t="shared" si="1"/>
        <v>1</v>
      </c>
      <c r="F206" s="13"/>
      <c r="G206" s="13"/>
    </row>
    <row r="207" ht="15.75" customHeight="1">
      <c r="A207" s="7" t="s">
        <v>430</v>
      </c>
      <c r="B207" s="7" t="s">
        <v>431</v>
      </c>
      <c r="C207" s="9">
        <f>IFERROR(SUMIF(ENTRADAS!A:A,A207,ENTRADAS!C:C))</f>
        <v>5</v>
      </c>
      <c r="D207" s="10">
        <f>SUMIF(SALIDAS!A:A,A207,SALIDAS!C:C)</f>
        <v>1</v>
      </c>
      <c r="E207" s="9">
        <v>4.0</v>
      </c>
      <c r="F207" s="7" t="s">
        <v>432</v>
      </c>
      <c r="G207" s="13"/>
    </row>
    <row r="208" ht="15.75" customHeight="1">
      <c r="A208" s="7" t="s">
        <v>433</v>
      </c>
      <c r="B208" s="8" t="s">
        <v>434</v>
      </c>
      <c r="C208" s="9">
        <f>IFERROR(SUMIF(ENTRADAS!A:A,A208,ENTRADAS!C:C))</f>
        <v>1</v>
      </c>
      <c r="D208" s="10">
        <f>SUMIF(SALIDAS!A:A,A208,SALIDAS!C:C)</f>
        <v>0</v>
      </c>
      <c r="E208" s="10">
        <f t="shared" ref="E208:E1000" si="2">C208-D208</f>
        <v>1</v>
      </c>
      <c r="F208" s="7" t="s">
        <v>435</v>
      </c>
      <c r="G208" s="13"/>
    </row>
    <row r="209" ht="15.75" customHeight="1">
      <c r="A209" s="7" t="s">
        <v>436</v>
      </c>
      <c r="B209" s="8" t="s">
        <v>437</v>
      </c>
      <c r="C209" s="9">
        <f>IFERROR(SUMIF(ENTRADAS!A:A,A209,ENTRADAS!C:C))</f>
        <v>1</v>
      </c>
      <c r="D209" s="10">
        <f>SUMIF(SALIDAS!A:A,A209,SALIDAS!C:C)</f>
        <v>0</v>
      </c>
      <c r="E209" s="10">
        <f t="shared" si="2"/>
        <v>1</v>
      </c>
      <c r="F209" s="12"/>
      <c r="G209" s="12"/>
    </row>
    <row r="210" ht="15.75" customHeight="1">
      <c r="A210" s="7" t="s">
        <v>438</v>
      </c>
      <c r="B210" s="7" t="s">
        <v>439</v>
      </c>
      <c r="C210" s="9">
        <f>IFERROR(SUMIF(ENTRADAS!A:A,A210,ENTRADAS!C:C))</f>
        <v>4</v>
      </c>
      <c r="D210" s="10">
        <f>SUMIF(SALIDAS!A:A,A210,SALIDAS!C:C)</f>
        <v>0</v>
      </c>
      <c r="E210" s="10">
        <f t="shared" si="2"/>
        <v>4</v>
      </c>
      <c r="F210" s="12"/>
      <c r="G210" s="12"/>
    </row>
    <row r="211" ht="15.75" customHeight="1">
      <c r="A211" s="7" t="s">
        <v>440</v>
      </c>
      <c r="B211" s="16" t="s">
        <v>441</v>
      </c>
      <c r="C211" s="9">
        <f>IFERROR(SUMIF(ENTRADAS!A:A,A211,ENTRADAS!C:C))</f>
        <v>1</v>
      </c>
      <c r="D211" s="10">
        <f>SUMIF(SALIDAS!A:A,A211,SALIDAS!C:C)</f>
        <v>0</v>
      </c>
      <c r="E211" s="10">
        <f t="shared" si="2"/>
        <v>1</v>
      </c>
      <c r="F211" s="12"/>
      <c r="G211" s="12"/>
    </row>
    <row r="212" ht="15.75" customHeight="1">
      <c r="A212" s="7" t="s">
        <v>442</v>
      </c>
      <c r="B212" s="7" t="s">
        <v>443</v>
      </c>
      <c r="C212" s="9">
        <f>IFERROR(SUMIF(ENTRADAS!A:A,A212,ENTRADAS!C:C))</f>
        <v>2</v>
      </c>
      <c r="D212" s="10">
        <f>SUMIF(SALIDAS!A:A,A212,SALIDAS!C:C)</f>
        <v>0</v>
      </c>
      <c r="E212" s="10">
        <f t="shared" si="2"/>
        <v>2</v>
      </c>
      <c r="F212" s="13"/>
      <c r="G212" s="13"/>
    </row>
    <row r="213" ht="15.75" customHeight="1">
      <c r="A213" s="7" t="s">
        <v>444</v>
      </c>
      <c r="B213" s="8" t="s">
        <v>445</v>
      </c>
      <c r="C213" s="9">
        <f>IFERROR(SUMIF(ENTRADAS!A:A,A213,ENTRADAS!C:C))</f>
        <v>1</v>
      </c>
      <c r="D213" s="10">
        <f>SUMIF(SALIDAS!A:A,A213,SALIDAS!C:C)</f>
        <v>0</v>
      </c>
      <c r="E213" s="10">
        <f t="shared" si="2"/>
        <v>1</v>
      </c>
      <c r="F213" s="12"/>
      <c r="G213" s="12"/>
    </row>
    <row r="214" ht="15.75" customHeight="1">
      <c r="A214" s="7" t="s">
        <v>446</v>
      </c>
      <c r="B214" s="7" t="s">
        <v>447</v>
      </c>
      <c r="C214" s="9">
        <f>IFERROR(SUMIF(ENTRADAS!A:A,A214,ENTRADAS!C:C))</f>
        <v>1</v>
      </c>
      <c r="D214" s="10">
        <f>SUMIF(SALIDAS!A:A,A214,SALIDAS!C:C)</f>
        <v>0</v>
      </c>
      <c r="E214" s="10">
        <f t="shared" si="2"/>
        <v>1</v>
      </c>
      <c r="F214" s="12"/>
      <c r="G214" s="12"/>
    </row>
    <row r="215" ht="15.75" customHeight="1">
      <c r="A215" s="7" t="s">
        <v>448</v>
      </c>
      <c r="B215" s="7" t="s">
        <v>449</v>
      </c>
      <c r="C215" s="9">
        <f>IFERROR(SUMIF(ENTRADAS!A:A,A215,ENTRADAS!C:C))</f>
        <v>1</v>
      </c>
      <c r="D215" s="10">
        <f>SUMIF(SALIDAS!A:A,A215,SALIDAS!C:C)</f>
        <v>0</v>
      </c>
      <c r="E215" s="10">
        <f t="shared" si="2"/>
        <v>1</v>
      </c>
      <c r="F215" s="12"/>
      <c r="G215" s="12"/>
    </row>
    <row r="216" ht="15.75" customHeight="1">
      <c r="A216" s="7" t="s">
        <v>450</v>
      </c>
      <c r="B216" s="7" t="s">
        <v>451</v>
      </c>
      <c r="C216" s="9">
        <f>IFERROR(SUMIF(ENTRADAS!A:A,A216,ENTRADAS!C:C))</f>
        <v>1</v>
      </c>
      <c r="D216" s="10">
        <f>SUMIF(SALIDAS!A:A,A216,SALIDAS!C:C)</f>
        <v>0</v>
      </c>
      <c r="E216" s="10">
        <f t="shared" si="2"/>
        <v>1</v>
      </c>
      <c r="F216" s="12"/>
      <c r="G216" s="12"/>
    </row>
    <row r="217" ht="15.75" customHeight="1">
      <c r="A217" s="7" t="s">
        <v>452</v>
      </c>
      <c r="B217" s="7" t="s">
        <v>453</v>
      </c>
      <c r="C217" s="9">
        <f>IFERROR(SUMIF(ENTRADAS!A:A,A217,ENTRADAS!C:C))</f>
        <v>3</v>
      </c>
      <c r="D217" s="10">
        <f>SUMIF(SALIDAS!A:A,A217,SALIDAS!C:C)</f>
        <v>0</v>
      </c>
      <c r="E217" s="10">
        <f t="shared" si="2"/>
        <v>3</v>
      </c>
      <c r="F217" s="13"/>
      <c r="G217" s="13"/>
    </row>
    <row r="218" ht="15.75" customHeight="1">
      <c r="A218" s="7" t="s">
        <v>454</v>
      </c>
      <c r="B218" s="7" t="s">
        <v>455</v>
      </c>
      <c r="C218" s="9">
        <f>IFERROR(SUMIF(ENTRADAS!A:A,A218,ENTRADAS!C:C))</f>
        <v>1</v>
      </c>
      <c r="D218" s="10">
        <f>SUMIF(SALIDAS!A:A,A218,SALIDAS!C:C)</f>
        <v>0</v>
      </c>
      <c r="E218" s="10">
        <f t="shared" si="2"/>
        <v>1</v>
      </c>
      <c r="F218" s="13"/>
      <c r="G218" s="13"/>
    </row>
    <row r="219" ht="15.75" customHeight="1">
      <c r="A219" s="7" t="s">
        <v>456</v>
      </c>
      <c r="B219" s="7" t="s">
        <v>457</v>
      </c>
      <c r="C219" s="9">
        <f>IFERROR(SUMIF(ENTRADAS!A:A,A219,ENTRADAS!C:C))</f>
        <v>3</v>
      </c>
      <c r="D219" s="10">
        <f>SUMIF(SALIDAS!A:A,A219,SALIDAS!C:C)</f>
        <v>0</v>
      </c>
      <c r="E219" s="10">
        <f t="shared" si="2"/>
        <v>3</v>
      </c>
      <c r="F219" s="12"/>
      <c r="G219" s="12"/>
    </row>
    <row r="220" ht="15.75" customHeight="1">
      <c r="A220" s="7" t="s">
        <v>458</v>
      </c>
      <c r="B220" s="7" t="s">
        <v>459</v>
      </c>
      <c r="C220" s="9">
        <f>IFERROR(SUMIF(ENTRADAS!A:A,A220,ENTRADAS!C:C))</f>
        <v>1</v>
      </c>
      <c r="D220" s="10">
        <f>SUMIF(SALIDAS!A:A,A220,SALIDAS!C:C)</f>
        <v>0</v>
      </c>
      <c r="E220" s="10">
        <f t="shared" si="2"/>
        <v>1</v>
      </c>
      <c r="F220" s="12"/>
      <c r="G220" s="12"/>
    </row>
    <row r="221" ht="15.75" customHeight="1">
      <c r="A221" s="7" t="s">
        <v>460</v>
      </c>
      <c r="B221" s="17" t="s">
        <v>461</v>
      </c>
      <c r="C221" s="9">
        <f>IFERROR(SUMIF(ENTRADAS!A:A,A221,ENTRADAS!C:C))</f>
        <v>3</v>
      </c>
      <c r="D221" s="10">
        <f>SUMIF(SALIDAS!A:A,A221,SALIDAS!C:C)</f>
        <v>0</v>
      </c>
      <c r="E221" s="10">
        <f t="shared" si="2"/>
        <v>3</v>
      </c>
      <c r="F221" s="12"/>
      <c r="G221" s="12"/>
    </row>
    <row r="222" ht="15.75" customHeight="1">
      <c r="A222" s="7" t="s">
        <v>462</v>
      </c>
      <c r="B222" s="7" t="s">
        <v>463</v>
      </c>
      <c r="C222" s="9">
        <f>IFERROR(SUMIF(ENTRADAS!A:A,A222,ENTRADAS!C:C))</f>
        <v>1</v>
      </c>
      <c r="D222" s="10">
        <f>SUMIF(SALIDAS!A:A,A222,SALIDAS!C:C)</f>
        <v>0</v>
      </c>
      <c r="E222" s="10">
        <f t="shared" si="2"/>
        <v>1</v>
      </c>
      <c r="F222" s="13"/>
      <c r="G222" s="13"/>
    </row>
    <row r="223" ht="15.75" customHeight="1">
      <c r="A223" s="7" t="s">
        <v>464</v>
      </c>
      <c r="B223" s="7" t="s">
        <v>465</v>
      </c>
      <c r="C223" s="9">
        <f>IFERROR(SUMIF(ENTRADAS!A:A,A223,ENTRADAS!C:C))</f>
        <v>2</v>
      </c>
      <c r="D223" s="10">
        <f>SUMIF(SALIDAS!A:A,A223,SALIDAS!C:C)</f>
        <v>0</v>
      </c>
      <c r="E223" s="10">
        <f t="shared" si="2"/>
        <v>2</v>
      </c>
      <c r="F223" s="13"/>
      <c r="G223" s="13"/>
    </row>
    <row r="224" ht="15.75" customHeight="1">
      <c r="A224" s="7" t="s">
        <v>466</v>
      </c>
      <c r="B224" s="7" t="s">
        <v>451</v>
      </c>
      <c r="C224" s="9">
        <f>IFERROR(SUMIF(ENTRADAS!A:A,A224,ENTRADAS!C:C))</f>
        <v>1</v>
      </c>
      <c r="D224" s="10">
        <f>SUMIF(SALIDAS!A:A,A224,SALIDAS!C:C)</f>
        <v>0</v>
      </c>
      <c r="E224" s="10">
        <f t="shared" si="2"/>
        <v>1</v>
      </c>
      <c r="F224" s="13"/>
      <c r="G224" s="13"/>
    </row>
    <row r="225" ht="15.75" customHeight="1">
      <c r="A225" s="7" t="s">
        <v>467</v>
      </c>
      <c r="B225" s="7" t="s">
        <v>468</v>
      </c>
      <c r="C225" s="9">
        <f>IFERROR(SUMIF(ENTRADAS!A:A,A225,ENTRADAS!C:C))</f>
        <v>4</v>
      </c>
      <c r="D225" s="10">
        <f>SUMIF(SALIDAS!A:A,A225,SALIDAS!C:C)</f>
        <v>0</v>
      </c>
      <c r="E225" s="10">
        <f t="shared" si="2"/>
        <v>4</v>
      </c>
      <c r="F225" s="12"/>
      <c r="G225" s="12"/>
    </row>
    <row r="226" ht="15.75" customHeight="1">
      <c r="A226" s="7" t="s">
        <v>469</v>
      </c>
      <c r="B226" s="7" t="s">
        <v>470</v>
      </c>
      <c r="C226" s="9">
        <f>IFERROR(SUMIF(ENTRADAS!A:A,A226,ENTRADAS!C:C))</f>
        <v>3</v>
      </c>
      <c r="D226" s="10">
        <f>SUMIF(SALIDAS!A:A,A226,SALIDAS!C:C)</f>
        <v>0</v>
      </c>
      <c r="E226" s="10">
        <f t="shared" si="2"/>
        <v>3</v>
      </c>
      <c r="F226" s="12"/>
      <c r="G226" s="12"/>
    </row>
    <row r="227" ht="15.75" customHeight="1">
      <c r="A227" s="7" t="s">
        <v>471</v>
      </c>
      <c r="B227" s="7" t="s">
        <v>472</v>
      </c>
      <c r="C227" s="9">
        <f>IFERROR(SUMIF(ENTRADAS!A:A,A227,ENTRADAS!C:C))</f>
        <v>3</v>
      </c>
      <c r="D227" s="10">
        <f>SUMIF(SALIDAS!A:A,A227,SALIDAS!C:C)</f>
        <v>0</v>
      </c>
      <c r="E227" s="10">
        <f t="shared" si="2"/>
        <v>3</v>
      </c>
      <c r="F227" s="12"/>
      <c r="G227" s="12"/>
    </row>
    <row r="228" ht="15.75" customHeight="1">
      <c r="A228" s="7" t="s">
        <v>473</v>
      </c>
      <c r="B228" s="7" t="s">
        <v>474</v>
      </c>
      <c r="C228" s="9">
        <f>IFERROR(SUMIF(ENTRADAS!A:A,A228,ENTRADAS!C:C))</f>
        <v>1</v>
      </c>
      <c r="D228" s="10">
        <f>SUMIF(SALIDAS!A:A,A228,SALIDAS!C:C)</f>
        <v>0</v>
      </c>
      <c r="E228" s="10">
        <f t="shared" si="2"/>
        <v>1</v>
      </c>
      <c r="F228" s="13"/>
      <c r="G228" s="13"/>
    </row>
    <row r="229" ht="15.75" customHeight="1">
      <c r="A229" s="7" t="s">
        <v>475</v>
      </c>
      <c r="B229" s="7" t="s">
        <v>476</v>
      </c>
      <c r="C229" s="9">
        <f>IFERROR(SUMIF(ENTRADAS!A:A,A229,ENTRADAS!C:C))</f>
        <v>1</v>
      </c>
      <c r="D229" s="10">
        <f>SUMIF(SALIDAS!A:A,A229,SALIDAS!C:C)</f>
        <v>0</v>
      </c>
      <c r="E229" s="10">
        <f t="shared" si="2"/>
        <v>1</v>
      </c>
      <c r="F229" s="12"/>
      <c r="G229" s="12"/>
    </row>
    <row r="230" ht="15.75" customHeight="1">
      <c r="A230" s="7" t="s">
        <v>477</v>
      </c>
      <c r="B230" s="7" t="s">
        <v>478</v>
      </c>
      <c r="C230" s="9">
        <f>IFERROR(SUMIF(ENTRADAS!A:A,A230,ENTRADAS!C:C))</f>
        <v>1</v>
      </c>
      <c r="D230" s="10">
        <f>SUMIF(SALIDAS!A:A,A230,SALIDAS!C:C)</f>
        <v>0</v>
      </c>
      <c r="E230" s="10">
        <f t="shared" si="2"/>
        <v>1</v>
      </c>
      <c r="F230" s="12"/>
      <c r="G230" s="12"/>
    </row>
    <row r="231" ht="15.75" customHeight="1">
      <c r="A231" s="7" t="s">
        <v>479</v>
      </c>
      <c r="B231" s="7" t="s">
        <v>480</v>
      </c>
      <c r="C231" s="9">
        <f>IFERROR(SUMIF(ENTRADAS!A:A,A231,ENTRADAS!C:C))</f>
        <v>2</v>
      </c>
      <c r="D231" s="10">
        <f>SUMIF(SALIDAS!A:A,A231,SALIDAS!C:C)</f>
        <v>0</v>
      </c>
      <c r="E231" s="10">
        <f t="shared" si="2"/>
        <v>2</v>
      </c>
      <c r="F231" s="12"/>
      <c r="G231" s="12"/>
    </row>
    <row r="232" ht="15.75" customHeight="1">
      <c r="A232" s="7" t="s">
        <v>481</v>
      </c>
      <c r="B232" s="7" t="s">
        <v>482</v>
      </c>
      <c r="C232" s="9">
        <f>IFERROR(SUMIF(ENTRADAS!A:A,A232,ENTRADAS!C:C))</f>
        <v>1</v>
      </c>
      <c r="D232" s="10">
        <f>SUMIF(SALIDAS!A:A,A232,SALIDAS!C:C)</f>
        <v>0</v>
      </c>
      <c r="E232" s="10">
        <f t="shared" si="2"/>
        <v>1</v>
      </c>
      <c r="F232" s="13"/>
      <c r="G232" s="13"/>
    </row>
    <row r="233" ht="15.75" customHeight="1">
      <c r="A233" s="7" t="s">
        <v>483</v>
      </c>
      <c r="B233" s="7" t="s">
        <v>484</v>
      </c>
      <c r="C233" s="9">
        <f>IFERROR(SUMIF(ENTRADAS!A:A,A233,ENTRADAS!C:C))</f>
        <v>1</v>
      </c>
      <c r="D233" s="10">
        <f>SUMIF(SALIDAS!A:A,A233,SALIDAS!C:C)</f>
        <v>0</v>
      </c>
      <c r="E233" s="10">
        <f t="shared" si="2"/>
        <v>1</v>
      </c>
      <c r="F233" s="12"/>
      <c r="G233" s="12"/>
    </row>
    <row r="234" ht="15.75" customHeight="1">
      <c r="A234" s="7" t="s">
        <v>485</v>
      </c>
      <c r="B234" s="7" t="s">
        <v>486</v>
      </c>
      <c r="C234" s="9">
        <f>IFERROR(SUMIF(ENTRADAS!A:A,A234,ENTRADAS!C:C))</f>
        <v>1</v>
      </c>
      <c r="D234" s="10">
        <f>SUMIF(SALIDAS!A:A,A234,SALIDAS!C:C)</f>
        <v>0</v>
      </c>
      <c r="E234" s="10">
        <f t="shared" si="2"/>
        <v>1</v>
      </c>
      <c r="F234" s="13"/>
      <c r="G234" s="13"/>
    </row>
    <row r="235" ht="15.75" customHeight="1">
      <c r="A235" s="7" t="s">
        <v>487</v>
      </c>
      <c r="B235" s="7" t="s">
        <v>488</v>
      </c>
      <c r="C235" s="9">
        <f>IFERROR(SUMIF(ENTRADAS!A:A,A235,ENTRADAS!C:C))</f>
        <v>1</v>
      </c>
      <c r="D235" s="10">
        <f>SUMIF(SALIDAS!A:A,A235,SALIDAS!C:C)</f>
        <v>0</v>
      </c>
      <c r="E235" s="10">
        <f t="shared" si="2"/>
        <v>1</v>
      </c>
      <c r="F235" s="13"/>
      <c r="G235" s="13"/>
    </row>
    <row r="236" ht="15.75" customHeight="1">
      <c r="A236" s="7" t="s">
        <v>489</v>
      </c>
      <c r="B236" s="8" t="s">
        <v>490</v>
      </c>
      <c r="C236" s="9">
        <f>IFERROR(SUMIF(ENTRADAS!A:A,A236,ENTRADAS!C:C))</f>
        <v>2</v>
      </c>
      <c r="D236" s="10">
        <f>SUMIF(SALIDAS!A:A,A236,SALIDAS!C:C)</f>
        <v>0</v>
      </c>
      <c r="E236" s="10">
        <f t="shared" si="2"/>
        <v>2</v>
      </c>
      <c r="F236" s="7" t="s">
        <v>491</v>
      </c>
      <c r="G236" s="13"/>
    </row>
    <row r="237" ht="15.75" customHeight="1">
      <c r="A237" s="7" t="s">
        <v>492</v>
      </c>
      <c r="B237" s="8" t="s">
        <v>493</v>
      </c>
      <c r="C237" s="9">
        <f>IFERROR(SUMIF(ENTRADAS!A:A,A237,ENTRADAS!C:C))</f>
        <v>1</v>
      </c>
      <c r="D237" s="10">
        <f>SUMIF(SALIDAS!A:A,A237,SALIDAS!C:C)</f>
        <v>0</v>
      </c>
      <c r="E237" s="10">
        <f t="shared" si="2"/>
        <v>1</v>
      </c>
      <c r="F237" s="7" t="s">
        <v>494</v>
      </c>
      <c r="G237" s="13"/>
    </row>
    <row r="238" ht="15.75" customHeight="1">
      <c r="A238" s="7" t="s">
        <v>495</v>
      </c>
      <c r="B238" s="8" t="s">
        <v>496</v>
      </c>
      <c r="C238" s="9">
        <f>IFERROR(SUMIF(ENTRADAS!A:A,A238,ENTRADAS!C:C))</f>
        <v>2</v>
      </c>
      <c r="D238" s="10">
        <f>SUMIF(SALIDAS!A:A,A238,SALIDAS!C:C)</f>
        <v>0</v>
      </c>
      <c r="E238" s="10">
        <f t="shared" si="2"/>
        <v>2</v>
      </c>
      <c r="F238" s="13"/>
      <c r="G238" s="13"/>
    </row>
    <row r="239" ht="15.75" customHeight="1">
      <c r="A239" s="7" t="s">
        <v>497</v>
      </c>
      <c r="B239" s="8" t="s">
        <v>498</v>
      </c>
      <c r="C239" s="9">
        <f>IFERROR(SUMIF(ENTRADAS!A:A,A239,ENTRADAS!C:C))</f>
        <v>1</v>
      </c>
      <c r="D239" s="10">
        <f>SUMIF(SALIDAS!A:A,A239,SALIDAS!C:C)</f>
        <v>0</v>
      </c>
      <c r="E239" s="10">
        <f t="shared" si="2"/>
        <v>1</v>
      </c>
      <c r="F239" s="13"/>
      <c r="G239" s="13"/>
    </row>
    <row r="240" ht="15.75" customHeight="1">
      <c r="A240" s="7" t="s">
        <v>499</v>
      </c>
      <c r="B240" s="8" t="s">
        <v>500</v>
      </c>
      <c r="C240" s="9">
        <f>IFERROR(SUMIF(ENTRADAS!A:A,A240,ENTRADAS!C:C))</f>
        <v>1</v>
      </c>
      <c r="D240" s="10">
        <f>SUMIF(SALIDAS!A:A,A240,SALIDAS!C:C)</f>
        <v>0</v>
      </c>
      <c r="E240" s="10">
        <f t="shared" si="2"/>
        <v>1</v>
      </c>
      <c r="F240" s="12"/>
      <c r="G240" s="12"/>
    </row>
    <row r="241" ht="15.75" customHeight="1">
      <c r="A241" s="7" t="s">
        <v>501</v>
      </c>
      <c r="B241" s="7" t="s">
        <v>502</v>
      </c>
      <c r="C241" s="9">
        <f>IFERROR(SUMIF(ENTRADAS!A:A,A241,ENTRADAS!C:C))</f>
        <v>61</v>
      </c>
      <c r="D241" s="10">
        <f>SUMIF(SALIDAS!A:A,A241,SALIDAS!C:C)</f>
        <v>0</v>
      </c>
      <c r="E241" s="10">
        <f t="shared" si="2"/>
        <v>61</v>
      </c>
      <c r="F241" s="12"/>
      <c r="G241" s="12"/>
    </row>
    <row r="242" ht="15.75" customHeight="1">
      <c r="A242" s="7" t="s">
        <v>503</v>
      </c>
      <c r="B242" s="7" t="s">
        <v>504</v>
      </c>
      <c r="C242" s="9">
        <f>IFERROR(SUMIF(ENTRADAS!A:A,A242,ENTRADAS!C:C))</f>
        <v>0</v>
      </c>
      <c r="D242" s="10">
        <f>SUMIF(SALIDAS!A:A,A242,SALIDAS!C:C)</f>
        <v>0</v>
      </c>
      <c r="E242" s="10">
        <f t="shared" si="2"/>
        <v>0</v>
      </c>
      <c r="F242" s="12"/>
      <c r="G242" s="12"/>
    </row>
    <row r="243" ht="15.75" customHeight="1">
      <c r="A243" s="7" t="s">
        <v>505</v>
      </c>
      <c r="B243" s="7" t="s">
        <v>506</v>
      </c>
      <c r="C243" s="9">
        <f>IFERROR(SUMIF(ENTRADAS!A:A,A243,ENTRADAS!C:C))</f>
        <v>0</v>
      </c>
      <c r="D243" s="10">
        <f>SUMIF(SALIDAS!A:A,A243,SALIDAS!C:C)</f>
        <v>0</v>
      </c>
      <c r="E243" s="10">
        <f t="shared" si="2"/>
        <v>0</v>
      </c>
      <c r="F243" s="12"/>
      <c r="G243" s="12"/>
    </row>
    <row r="244" ht="15.75" customHeight="1">
      <c r="A244" s="7" t="s">
        <v>507</v>
      </c>
      <c r="B244" s="7" t="s">
        <v>508</v>
      </c>
      <c r="C244" s="9">
        <f>IFERROR(SUMIF(ENTRADAS!A:A,A244,ENTRADAS!C:C))</f>
        <v>0</v>
      </c>
      <c r="D244" s="10">
        <f>SUMIF(SALIDAS!A:A,A244,SALIDAS!C:C)</f>
        <v>0</v>
      </c>
      <c r="E244" s="10">
        <f t="shared" si="2"/>
        <v>0</v>
      </c>
      <c r="F244" s="12"/>
      <c r="G244" s="12"/>
    </row>
    <row r="245">
      <c r="A245" s="7" t="s">
        <v>509</v>
      </c>
      <c r="B245" s="8" t="s">
        <v>510</v>
      </c>
      <c r="C245" s="9">
        <f>IFERROR(SUMIF(ENTRADAS!A:A,A245,ENTRADAS!C:C))</f>
        <v>1</v>
      </c>
      <c r="D245" s="10">
        <f>SUMIF(SALIDAS!A:A,A245,SALIDAS!C:C)</f>
        <v>0</v>
      </c>
      <c r="E245" s="10">
        <f t="shared" si="2"/>
        <v>1</v>
      </c>
      <c r="F245" s="7" t="s">
        <v>511</v>
      </c>
      <c r="G245" s="13"/>
    </row>
    <row r="246">
      <c r="A246" s="7" t="s">
        <v>512</v>
      </c>
      <c r="B246" s="7" t="s">
        <v>513</v>
      </c>
      <c r="C246" s="9">
        <f>IFERROR(SUMIF(ENTRADAS!A:A,A246,ENTRADAS!C:C))</f>
        <v>5</v>
      </c>
      <c r="D246" s="10">
        <f>SUMIF(SALIDAS!A:A,A246,SALIDAS!C:C)</f>
        <v>0</v>
      </c>
      <c r="E246" s="10">
        <f t="shared" si="2"/>
        <v>5</v>
      </c>
      <c r="F246" s="13"/>
      <c r="G246" s="13"/>
    </row>
    <row r="247" ht="15.75" customHeight="1">
      <c r="A247" s="7" t="s">
        <v>514</v>
      </c>
      <c r="B247" s="7" t="s">
        <v>515</v>
      </c>
      <c r="C247" s="9">
        <f>IFERROR(SUMIF(ENTRADAS!A:A,A247,ENTRADAS!C:C))</f>
        <v>2</v>
      </c>
      <c r="D247" s="10">
        <f>SUMIF(SALIDAS!A:A,A247,SALIDAS!C:C)</f>
        <v>0</v>
      </c>
      <c r="E247" s="10">
        <f t="shared" si="2"/>
        <v>2</v>
      </c>
      <c r="F247" s="12"/>
      <c r="G247" s="12"/>
    </row>
    <row r="248" ht="15.75" customHeight="1">
      <c r="A248" s="7" t="s">
        <v>516</v>
      </c>
      <c r="B248" s="7" t="s">
        <v>517</v>
      </c>
      <c r="C248" s="9">
        <f>IFERROR(SUMIF(ENTRADAS!A:A,A248,ENTRADAS!C:C))</f>
        <v>1</v>
      </c>
      <c r="D248" s="10">
        <f>SUMIF(SALIDAS!A:A,A248,SALIDAS!C:C)</f>
        <v>0</v>
      </c>
      <c r="E248" s="10">
        <f t="shared" si="2"/>
        <v>1</v>
      </c>
      <c r="F248" s="12"/>
      <c r="G248" s="12"/>
    </row>
    <row r="249" ht="15.75" customHeight="1">
      <c r="A249" s="7" t="s">
        <v>518</v>
      </c>
      <c r="B249" s="7" t="s">
        <v>519</v>
      </c>
      <c r="C249" s="9">
        <f>IFERROR(SUMIF(ENTRADAS!A:A,A249,ENTRADAS!C:C))</f>
        <v>10</v>
      </c>
      <c r="D249" s="10">
        <f>SUMIF(SALIDAS!A:A,A249,SALIDAS!C:C)</f>
        <v>0</v>
      </c>
      <c r="E249" s="10">
        <f t="shared" si="2"/>
        <v>10</v>
      </c>
      <c r="F249" s="12"/>
      <c r="G249" s="12"/>
    </row>
    <row r="250" ht="15.75" customHeight="1">
      <c r="A250" s="7" t="s">
        <v>520</v>
      </c>
      <c r="B250" s="7" t="s">
        <v>521</v>
      </c>
      <c r="C250" s="9">
        <f>IFERROR(SUMIF(ENTRADAS!A:A,A250,ENTRADAS!C:C))</f>
        <v>4</v>
      </c>
      <c r="D250" s="10">
        <f>SUMIF(SALIDAS!A:A,A250,SALIDAS!C:C)</f>
        <v>0</v>
      </c>
      <c r="E250" s="10">
        <f t="shared" si="2"/>
        <v>4</v>
      </c>
      <c r="F250" s="13"/>
      <c r="G250" s="13"/>
    </row>
    <row r="251" ht="15.75" customHeight="1">
      <c r="A251" s="7" t="s">
        <v>522</v>
      </c>
      <c r="B251" s="7" t="s">
        <v>523</v>
      </c>
      <c r="C251" s="9">
        <f>IFERROR(SUMIF(ENTRADAS!A:A,A251,ENTRADAS!C:C))</f>
        <v>4</v>
      </c>
      <c r="D251" s="10">
        <f>SUMIF(SALIDAS!A:A,A251,SALIDAS!C:C)</f>
        <v>0</v>
      </c>
      <c r="E251" s="10">
        <f t="shared" si="2"/>
        <v>4</v>
      </c>
      <c r="F251" s="13"/>
      <c r="G251" s="13"/>
    </row>
    <row r="252" ht="15.75" customHeight="1">
      <c r="A252" s="7" t="s">
        <v>524</v>
      </c>
      <c r="B252" s="8" t="s">
        <v>525</v>
      </c>
      <c r="C252" s="9">
        <f>IFERROR(SUMIF(ENTRADAS!A:A,A252,ENTRADAS!C:C))</f>
        <v>1</v>
      </c>
      <c r="D252" s="10">
        <f>SUMIF(SALIDAS!A:A,A252,SALIDAS!C:C)</f>
        <v>1</v>
      </c>
      <c r="E252" s="10">
        <f t="shared" si="2"/>
        <v>0</v>
      </c>
      <c r="F252" s="7" t="s">
        <v>526</v>
      </c>
      <c r="G252" s="13"/>
    </row>
    <row r="253" ht="15.75" customHeight="1">
      <c r="A253" s="7" t="s">
        <v>527</v>
      </c>
      <c r="B253" s="7" t="s">
        <v>528</v>
      </c>
      <c r="C253" s="9">
        <f>IFERROR(SUMIF(ENTRADAS!A:A,A253,ENTRADAS!C:C))</f>
        <v>4</v>
      </c>
      <c r="D253" s="10">
        <f>SUMIF(SALIDAS!A:A,A253,SALIDAS!C:C)</f>
        <v>0</v>
      </c>
      <c r="E253" s="10">
        <f t="shared" si="2"/>
        <v>4</v>
      </c>
      <c r="F253" s="12"/>
      <c r="G253" s="12"/>
    </row>
    <row r="254" ht="15.75" customHeight="1">
      <c r="A254" s="7" t="s">
        <v>529</v>
      </c>
      <c r="B254" s="17" t="s">
        <v>530</v>
      </c>
      <c r="C254" s="9">
        <f>IFERROR(SUMIF(ENTRADAS!A:A,A254,ENTRADAS!C:C))</f>
        <v>4</v>
      </c>
      <c r="D254" s="10">
        <f>SUMIF(SALIDAS!A:A,A254,SALIDAS!C:C)</f>
        <v>0</v>
      </c>
      <c r="E254" s="10">
        <f t="shared" si="2"/>
        <v>4</v>
      </c>
      <c r="F254" s="12"/>
      <c r="G254" s="12"/>
    </row>
    <row r="255" ht="15.75" customHeight="1">
      <c r="A255" s="7" t="s">
        <v>531</v>
      </c>
      <c r="B255" s="7" t="s">
        <v>532</v>
      </c>
      <c r="C255" s="9">
        <f>IFERROR(SUMIF(ENTRADAS!A:A,A255,ENTRADAS!C:C))</f>
        <v>4</v>
      </c>
      <c r="D255" s="10">
        <f>SUMIF(SALIDAS!A:A,A255,SALIDAS!C:C)</f>
        <v>0</v>
      </c>
      <c r="E255" s="10">
        <f t="shared" si="2"/>
        <v>4</v>
      </c>
      <c r="F255" s="12"/>
      <c r="G255" s="12"/>
    </row>
    <row r="256" ht="15.75" customHeight="1">
      <c r="A256" s="7" t="s">
        <v>533</v>
      </c>
      <c r="B256" s="7" t="s">
        <v>534</v>
      </c>
      <c r="C256" s="9">
        <f>IFERROR(SUMIF(ENTRADAS!A:A,A256,ENTRADAS!C:C))</f>
        <v>2</v>
      </c>
      <c r="D256" s="10">
        <f>SUMIF(SALIDAS!A:A,A256,SALIDAS!C:C)</f>
        <v>0</v>
      </c>
      <c r="E256" s="10">
        <f t="shared" si="2"/>
        <v>2</v>
      </c>
      <c r="F256" s="12"/>
      <c r="G256" s="12"/>
    </row>
    <row r="257" ht="15.75" customHeight="1">
      <c r="A257" s="7" t="s">
        <v>535</v>
      </c>
      <c r="B257" s="18" t="s">
        <v>536</v>
      </c>
      <c r="C257" s="9">
        <f>IFERROR(SUMIF(ENTRADAS!A:A,A257,ENTRADAS!C:C))</f>
        <v>1</v>
      </c>
      <c r="D257" s="10">
        <f>SUMIF(SALIDAS!A:A,A257,SALIDAS!C:C)</f>
        <v>0</v>
      </c>
      <c r="E257" s="10">
        <f t="shared" si="2"/>
        <v>1</v>
      </c>
      <c r="F257" s="12"/>
      <c r="G257" s="12"/>
    </row>
    <row r="258" ht="15.75" customHeight="1">
      <c r="A258" s="7" t="s">
        <v>537</v>
      </c>
      <c r="B258" s="17" t="s">
        <v>538</v>
      </c>
      <c r="C258" s="9">
        <f>IFERROR(SUMIF(ENTRADAS!A:A,A258,ENTRADAS!C:C))</f>
        <v>9</v>
      </c>
      <c r="D258" s="10">
        <f>SUMIF(SALIDAS!A:A,A258,SALIDAS!C:C)</f>
        <v>0</v>
      </c>
      <c r="E258" s="10">
        <f t="shared" si="2"/>
        <v>9</v>
      </c>
      <c r="F258" s="12"/>
      <c r="G258" s="12"/>
    </row>
    <row r="259" ht="15.75" customHeight="1">
      <c r="A259" s="7" t="s">
        <v>539</v>
      </c>
      <c r="B259" s="17" t="s">
        <v>540</v>
      </c>
      <c r="C259" s="9">
        <f>IFERROR(SUMIF(ENTRADAS!A:A,A259,ENTRADAS!C:C))</f>
        <v>9</v>
      </c>
      <c r="D259" s="10">
        <f>SUMIF(SALIDAS!A:A,A259,SALIDAS!C:C)</f>
        <v>0</v>
      </c>
      <c r="E259" s="10">
        <f t="shared" si="2"/>
        <v>9</v>
      </c>
      <c r="F259" s="12"/>
      <c r="G259" s="12"/>
    </row>
    <row r="260" ht="15.75" customHeight="1">
      <c r="A260" s="13"/>
      <c r="B260" s="19"/>
      <c r="C260" s="9">
        <f>IFERROR(SUMIF(ENTRADAS!A:A,A260,ENTRADAS!C:C))</f>
        <v>0</v>
      </c>
      <c r="D260" s="10">
        <f>SUMIF(SALIDAS!A:A,A260,SALIDAS!C:C)</f>
        <v>0</v>
      </c>
      <c r="E260" s="10">
        <f t="shared" si="2"/>
        <v>0</v>
      </c>
      <c r="F260" s="12"/>
      <c r="G260" s="12"/>
    </row>
    <row r="261" ht="15.75" customHeight="1">
      <c r="A261" s="13"/>
      <c r="B261" s="13"/>
      <c r="C261" s="9">
        <f>IFERROR(SUMIF(ENTRADAS!A:A,A261,ENTRADAS!C:C))</f>
        <v>0</v>
      </c>
      <c r="D261" s="10">
        <f>SUMIF(SALIDAS!A:A,A261,SALIDAS!C:C)</f>
        <v>0</v>
      </c>
      <c r="E261" s="10">
        <f t="shared" si="2"/>
        <v>0</v>
      </c>
      <c r="F261" s="13"/>
      <c r="G261" s="13"/>
    </row>
    <row r="262" ht="15.75" customHeight="1">
      <c r="A262" s="13"/>
      <c r="B262" s="13"/>
      <c r="C262" s="9">
        <f>IFERROR(SUMIF(ENTRADAS!A:A,A262,ENTRADAS!C:C))</f>
        <v>0</v>
      </c>
      <c r="D262" s="10">
        <f>SUMIF(SALIDAS!A:A,A262,SALIDAS!C:C)</f>
        <v>0</v>
      </c>
      <c r="E262" s="10">
        <f t="shared" si="2"/>
        <v>0</v>
      </c>
      <c r="F262" s="13"/>
      <c r="G262" s="13"/>
    </row>
    <row r="263" ht="15.75" customHeight="1">
      <c r="A263" s="13"/>
      <c r="B263" s="13"/>
      <c r="C263" s="9">
        <f>IFERROR(SUMIF(ENTRADAS!A:A,A263,ENTRADAS!C:C))</f>
        <v>0</v>
      </c>
      <c r="D263" s="10">
        <f>SUMIF(SALIDAS!A:A,A263,SALIDAS!C:C)</f>
        <v>0</v>
      </c>
      <c r="E263" s="10">
        <f t="shared" si="2"/>
        <v>0</v>
      </c>
      <c r="F263" s="13"/>
      <c r="G263" s="13"/>
    </row>
    <row r="264" ht="15.75" customHeight="1">
      <c r="A264" s="13"/>
      <c r="B264" s="13"/>
      <c r="C264" s="9">
        <f>IFERROR(SUMIF(ENTRADAS!A:A,A264,ENTRADAS!C:C))</f>
        <v>0</v>
      </c>
      <c r="D264" s="10">
        <f>SUMIF(SALIDAS!A:A,A264,SALIDAS!C:C)</f>
        <v>0</v>
      </c>
      <c r="E264" s="10">
        <f t="shared" si="2"/>
        <v>0</v>
      </c>
      <c r="F264" s="13"/>
      <c r="G264" s="13"/>
    </row>
    <row r="265" ht="15.75" customHeight="1">
      <c r="A265" s="13"/>
      <c r="B265" s="13"/>
      <c r="C265" s="9">
        <f>IFERROR(SUMIF(ENTRADAS!A:A,A265,ENTRADAS!C:C))</f>
        <v>0</v>
      </c>
      <c r="D265" s="10">
        <f>SUMIF(SALIDAS!A:A,A265,SALIDAS!C:C)</f>
        <v>0</v>
      </c>
      <c r="E265" s="10">
        <f t="shared" si="2"/>
        <v>0</v>
      </c>
      <c r="F265" s="13"/>
      <c r="G265" s="13"/>
    </row>
    <row r="266" ht="15.75" customHeight="1">
      <c r="A266" s="13"/>
      <c r="B266" s="13"/>
      <c r="C266" s="9">
        <f>IFERROR(SUMIF(ENTRADAS!A:A,A266,ENTRADAS!C:C))</f>
        <v>0</v>
      </c>
      <c r="D266" s="10">
        <f>SUMIF(SALIDAS!A:A,A266,SALIDAS!C:C)</f>
        <v>0</v>
      </c>
      <c r="E266" s="10">
        <f t="shared" si="2"/>
        <v>0</v>
      </c>
      <c r="F266" s="13"/>
      <c r="G266" s="13"/>
    </row>
    <row r="267" ht="15.75" customHeight="1">
      <c r="A267" s="13"/>
      <c r="B267" s="19"/>
      <c r="C267" s="9">
        <f>IFERROR(SUMIF(ENTRADAS!A:A,A267,ENTRADAS!C:C))</f>
        <v>0</v>
      </c>
      <c r="D267" s="10">
        <f>SUMIF(SALIDAS!A:A,A267,SALIDAS!C:C)</f>
        <v>0</v>
      </c>
      <c r="E267" s="10">
        <f t="shared" si="2"/>
        <v>0</v>
      </c>
      <c r="F267" s="12"/>
      <c r="G267" s="12"/>
    </row>
    <row r="268" ht="15.75" customHeight="1">
      <c r="A268" s="13"/>
      <c r="B268" s="13"/>
      <c r="C268" s="9">
        <f>IFERROR(SUMIF(ENTRADAS!A:A,A268,ENTRADAS!C:C))</f>
        <v>0</v>
      </c>
      <c r="D268" s="10">
        <f>SUMIF(SALIDAS!A:A,A268,SALIDAS!C:C)</f>
        <v>0</v>
      </c>
      <c r="E268" s="10">
        <f t="shared" si="2"/>
        <v>0</v>
      </c>
      <c r="F268" s="13"/>
      <c r="G268" s="13"/>
    </row>
    <row r="269" ht="15.75" customHeight="1">
      <c r="A269" s="13"/>
      <c r="B269" s="13"/>
      <c r="C269" s="9">
        <f>IFERROR(SUMIF(ENTRADAS!A:A,A269,ENTRADAS!C:C))</f>
        <v>0</v>
      </c>
      <c r="D269" s="10">
        <f>SUMIF(SALIDAS!A:A,A269,SALIDAS!C:C)</f>
        <v>0</v>
      </c>
      <c r="E269" s="10">
        <f t="shared" si="2"/>
        <v>0</v>
      </c>
      <c r="F269" s="13"/>
      <c r="G269" s="13"/>
    </row>
    <row r="270" ht="15.75" customHeight="1">
      <c r="A270" s="13"/>
      <c r="B270" s="13"/>
      <c r="C270" s="9">
        <f>IFERROR(SUMIF(ENTRADAS!A:A,A270,ENTRADAS!C:C))</f>
        <v>0</v>
      </c>
      <c r="D270" s="10">
        <f>SUMIF(SALIDAS!A:A,A270,SALIDAS!C:C)</f>
        <v>0</v>
      </c>
      <c r="E270" s="10">
        <f t="shared" si="2"/>
        <v>0</v>
      </c>
      <c r="F270" s="13"/>
      <c r="G270" s="13"/>
    </row>
    <row r="271" ht="15.75" customHeight="1">
      <c r="A271" s="13"/>
      <c r="B271" s="13"/>
      <c r="C271" s="9">
        <f>IFERROR(SUMIF(ENTRADAS!A:A,A271,ENTRADAS!C:C))</f>
        <v>0</v>
      </c>
      <c r="D271" s="10">
        <f>SUMIF(SALIDAS!A:A,A271,SALIDAS!C:C)</f>
        <v>0</v>
      </c>
      <c r="E271" s="10">
        <f t="shared" si="2"/>
        <v>0</v>
      </c>
      <c r="F271" s="13"/>
      <c r="G271" s="13"/>
    </row>
    <row r="272" ht="15.75" customHeight="1">
      <c r="A272" s="13"/>
      <c r="B272" s="13"/>
      <c r="C272" s="9">
        <f>IFERROR(SUMIF(ENTRADAS!A:A,A272,ENTRADAS!C:C))</f>
        <v>0</v>
      </c>
      <c r="D272" s="10">
        <f>SUMIF(SALIDAS!A:A,A272,SALIDAS!C:C)</f>
        <v>0</v>
      </c>
      <c r="E272" s="10">
        <f t="shared" si="2"/>
        <v>0</v>
      </c>
      <c r="F272" s="13"/>
      <c r="G272" s="13"/>
    </row>
    <row r="273" ht="15.75" customHeight="1">
      <c r="A273" s="13"/>
      <c r="B273" s="19"/>
      <c r="C273" s="9">
        <f>IFERROR(SUMIF(ENTRADAS!A:A,A273,ENTRADAS!C:C))</f>
        <v>0</v>
      </c>
      <c r="D273" s="10">
        <f>SUMIF(SALIDAS!A:A,A273,SALIDAS!C:C)</f>
        <v>0</v>
      </c>
      <c r="E273" s="10">
        <f t="shared" si="2"/>
        <v>0</v>
      </c>
      <c r="F273" s="12"/>
      <c r="G273" s="12"/>
    </row>
    <row r="274" ht="15.75" customHeight="1">
      <c r="A274" s="13"/>
      <c r="B274" s="13"/>
      <c r="C274" s="9">
        <f>IFERROR(SUMIF(ENTRADAS!A:A,A274,ENTRADAS!C:C))</f>
        <v>0</v>
      </c>
      <c r="D274" s="10">
        <f>SUMIF(SALIDAS!A:A,A274,SALIDAS!C:C)</f>
        <v>0</v>
      </c>
      <c r="E274" s="10">
        <f t="shared" si="2"/>
        <v>0</v>
      </c>
      <c r="F274" s="12"/>
      <c r="G274" s="12"/>
    </row>
    <row r="275" ht="15.75" customHeight="1">
      <c r="A275" s="13"/>
      <c r="B275" s="13"/>
      <c r="C275" s="9">
        <f>IFERROR(SUMIF(ENTRADAS!A:A,A275,ENTRADAS!C:C))</f>
        <v>0</v>
      </c>
      <c r="D275" s="10">
        <f>SUMIF(SALIDAS!A:A,A275,SALIDAS!C:C)</f>
        <v>0</v>
      </c>
      <c r="E275" s="10">
        <f t="shared" si="2"/>
        <v>0</v>
      </c>
      <c r="F275" s="12"/>
      <c r="G275" s="12"/>
    </row>
    <row r="276" ht="15.75" customHeight="1">
      <c r="A276" s="13"/>
      <c r="B276" s="13"/>
      <c r="C276" s="9">
        <f>IFERROR(SUMIF(ENTRADAS!A:A,A276,ENTRADAS!C:C))</f>
        <v>0</v>
      </c>
      <c r="D276" s="10">
        <f>SUMIF(SALIDAS!A:A,A276,SALIDAS!C:C)</f>
        <v>0</v>
      </c>
      <c r="E276" s="10">
        <f t="shared" si="2"/>
        <v>0</v>
      </c>
      <c r="F276" s="13"/>
      <c r="G276" s="13"/>
    </row>
    <row r="277" ht="15.75" customHeight="1">
      <c r="A277" s="13"/>
      <c r="B277" s="13"/>
      <c r="C277" s="9">
        <f>IFERROR(SUMIF(ENTRADAS!A:A,A277,ENTRADAS!C:C))</f>
        <v>0</v>
      </c>
      <c r="D277" s="10">
        <f>SUMIF(SALIDAS!A:A,A277,SALIDAS!C:C)</f>
        <v>0</v>
      </c>
      <c r="E277" s="10">
        <f t="shared" si="2"/>
        <v>0</v>
      </c>
      <c r="F277" s="13"/>
      <c r="G277" s="13"/>
    </row>
    <row r="278" ht="15.75" customHeight="1">
      <c r="A278" s="13"/>
      <c r="B278" s="13"/>
      <c r="C278" s="9">
        <f>IFERROR(SUMIF(ENTRADAS!A:A,A278,ENTRADAS!C:C))</f>
        <v>0</v>
      </c>
      <c r="D278" s="10">
        <f>SUMIF(SALIDAS!A:A,A278,SALIDAS!C:C)</f>
        <v>0</v>
      </c>
      <c r="E278" s="10">
        <f t="shared" si="2"/>
        <v>0</v>
      </c>
      <c r="F278" s="12"/>
      <c r="G278" s="12"/>
    </row>
    <row r="279" ht="15.75" customHeight="1">
      <c r="A279" s="13"/>
      <c r="B279" s="13"/>
      <c r="C279" s="9">
        <f>IFERROR(SUMIF(ENTRADAS!A:A,A279,ENTRADAS!C:C))</f>
        <v>0</v>
      </c>
      <c r="D279" s="10">
        <f>SUMIF(SALIDAS!A:A,A279,SALIDAS!C:C)</f>
        <v>0</v>
      </c>
      <c r="E279" s="10">
        <f t="shared" si="2"/>
        <v>0</v>
      </c>
      <c r="F279" s="12"/>
      <c r="G279" s="12"/>
    </row>
    <row r="280" ht="15.75" customHeight="1">
      <c r="A280" s="13"/>
      <c r="B280" s="13"/>
      <c r="C280" s="9">
        <f>IFERROR(SUMIF(ENTRADAS!A:A,A280,ENTRADAS!C:C))</f>
        <v>0</v>
      </c>
      <c r="D280" s="10">
        <f>SUMIF(SALIDAS!A:A,A280,SALIDAS!C:C)</f>
        <v>0</v>
      </c>
      <c r="E280" s="10">
        <f t="shared" si="2"/>
        <v>0</v>
      </c>
      <c r="F280" s="12"/>
      <c r="G280" s="12"/>
    </row>
    <row r="281" ht="15.75" customHeight="1">
      <c r="A281" s="13"/>
      <c r="B281" s="13"/>
      <c r="C281" s="9">
        <f>IFERROR(SUMIF(ENTRADAS!A:A,A281,ENTRADAS!C:C))</f>
        <v>0</v>
      </c>
      <c r="D281" s="10">
        <f>SUMIF(SALIDAS!A:A,A281,SALIDAS!C:C)</f>
        <v>0</v>
      </c>
      <c r="E281" s="10">
        <f t="shared" si="2"/>
        <v>0</v>
      </c>
      <c r="F281" s="12"/>
      <c r="G281" s="12"/>
    </row>
    <row r="282" ht="15.75" customHeight="1">
      <c r="A282" s="13"/>
      <c r="B282" s="13"/>
      <c r="C282" s="9">
        <f>IFERROR(SUMIF(ENTRADAS!A:A,A282,ENTRADAS!C:C))</f>
        <v>0</v>
      </c>
      <c r="D282" s="10">
        <f>SUMIF(SALIDAS!A:A,A282,SALIDAS!C:C)</f>
        <v>0</v>
      </c>
      <c r="E282" s="10">
        <f t="shared" si="2"/>
        <v>0</v>
      </c>
      <c r="F282" s="12"/>
      <c r="G282" s="12"/>
    </row>
    <row r="283" ht="15.75" customHeight="1">
      <c r="A283" s="13"/>
      <c r="B283" s="19"/>
      <c r="C283" s="9">
        <f>IFERROR(SUMIF(ENTRADAS!A:A,A283,ENTRADAS!C:C))</f>
        <v>0</v>
      </c>
      <c r="D283" s="10">
        <f>SUMIF(SALIDAS!A:A,A283,SALIDAS!C:C)</f>
        <v>0</v>
      </c>
      <c r="E283" s="10">
        <f t="shared" si="2"/>
        <v>0</v>
      </c>
      <c r="F283" s="12"/>
      <c r="G283" s="12"/>
    </row>
    <row r="284" ht="15.75" customHeight="1">
      <c r="A284" s="13"/>
      <c r="B284" s="19"/>
      <c r="C284" s="9">
        <f>IFERROR(SUMIF(ENTRADAS!A:A,A284,ENTRADAS!C:C))</f>
        <v>0</v>
      </c>
      <c r="D284" s="10">
        <f>SUMIF(SALIDAS!A:A,A284,SALIDAS!C:C)</f>
        <v>0</v>
      </c>
      <c r="E284" s="10">
        <f t="shared" si="2"/>
        <v>0</v>
      </c>
      <c r="F284" s="12"/>
      <c r="G284" s="12"/>
    </row>
    <row r="285" ht="15.75" customHeight="1">
      <c r="A285" s="13"/>
      <c r="B285" s="13"/>
      <c r="C285" s="9">
        <f>IFERROR(SUMIF(ENTRADAS!A:A,A285,ENTRADAS!C:C))</f>
        <v>0</v>
      </c>
      <c r="D285" s="10">
        <f>SUMIF(SALIDAS!A:A,A285,SALIDAS!C:C)</f>
        <v>0</v>
      </c>
      <c r="E285" s="10">
        <f t="shared" si="2"/>
        <v>0</v>
      </c>
      <c r="F285" s="12"/>
      <c r="G285" s="12"/>
    </row>
    <row r="286" ht="15.75" customHeight="1">
      <c r="A286" s="13"/>
      <c r="B286" s="13"/>
      <c r="C286" s="9">
        <f>IFERROR(SUMIF(ENTRADAS!A:A,A286,ENTRADAS!C:C))</f>
        <v>0</v>
      </c>
      <c r="D286" s="10">
        <f>SUMIF(SALIDAS!A:A,A286,SALIDAS!C:C)</f>
        <v>0</v>
      </c>
      <c r="E286" s="10">
        <f t="shared" si="2"/>
        <v>0</v>
      </c>
      <c r="F286" s="12"/>
      <c r="G286" s="12"/>
    </row>
    <row r="287" ht="15.75" customHeight="1">
      <c r="A287" s="13"/>
      <c r="B287" s="13"/>
      <c r="C287" s="9">
        <f>IFERROR(SUMIF(ENTRADAS!A:A,A287,ENTRADAS!C:C))</f>
        <v>0</v>
      </c>
      <c r="D287" s="10">
        <f>SUMIF(SALIDAS!A:A,A287,SALIDAS!C:C)</f>
        <v>0</v>
      </c>
      <c r="E287" s="10">
        <f t="shared" si="2"/>
        <v>0</v>
      </c>
      <c r="F287" s="12"/>
      <c r="G287" s="12"/>
    </row>
    <row r="288" ht="15.75" customHeight="1">
      <c r="A288" s="13"/>
      <c r="B288" s="13"/>
      <c r="C288" s="9">
        <f>IFERROR(SUMIF(ENTRADAS!A:A,A288,ENTRADAS!C:C))</f>
        <v>0</v>
      </c>
      <c r="D288" s="10">
        <f>SUMIF(SALIDAS!A:A,A288,SALIDAS!C:C)</f>
        <v>0</v>
      </c>
      <c r="E288" s="10">
        <f t="shared" si="2"/>
        <v>0</v>
      </c>
      <c r="F288" s="12"/>
      <c r="G288" s="12"/>
    </row>
    <row r="289" ht="15.75" customHeight="1">
      <c r="A289" s="13"/>
      <c r="B289" s="13"/>
      <c r="C289" s="9">
        <f>IFERROR(SUMIF(ENTRADAS!A:A,A289,ENTRADAS!C:C))</f>
        <v>0</v>
      </c>
      <c r="D289" s="10">
        <f>SUMIF(SALIDAS!A:A,A289,SALIDAS!C:C)</f>
        <v>0</v>
      </c>
      <c r="E289" s="10">
        <f t="shared" si="2"/>
        <v>0</v>
      </c>
      <c r="F289" s="12"/>
      <c r="G289" s="12"/>
    </row>
    <row r="290" ht="15.75" customHeight="1">
      <c r="A290" s="13"/>
      <c r="B290" s="13"/>
      <c r="C290" s="9">
        <f>IFERROR(SUMIF(ENTRADAS!A:A,A290,ENTRADAS!C:C))</f>
        <v>0</v>
      </c>
      <c r="D290" s="10">
        <f>SUMIF(SALIDAS!A:A,A290,SALIDAS!C:C)</f>
        <v>0</v>
      </c>
      <c r="E290" s="10">
        <f t="shared" si="2"/>
        <v>0</v>
      </c>
      <c r="F290" s="12"/>
      <c r="G290" s="12"/>
    </row>
    <row r="291" ht="15.75" customHeight="1">
      <c r="A291" s="13"/>
      <c r="B291" s="19"/>
      <c r="C291" s="9">
        <f>IFERROR(SUMIF(ENTRADAS!A:A,A291,ENTRADAS!C:C))</f>
        <v>0</v>
      </c>
      <c r="D291" s="10">
        <f>SUMIF(SALIDAS!A:A,A291,SALIDAS!C:C)</f>
        <v>0</v>
      </c>
      <c r="E291" s="10">
        <f t="shared" si="2"/>
        <v>0</v>
      </c>
      <c r="F291" s="12"/>
      <c r="G291" s="12"/>
    </row>
    <row r="292" ht="15.75" customHeight="1">
      <c r="A292" s="13"/>
      <c r="B292" s="13"/>
      <c r="C292" s="9">
        <f>IFERROR(SUMIF(ENTRADAS!A:A,A292,ENTRADAS!C:C))</f>
        <v>0</v>
      </c>
      <c r="D292" s="10">
        <f>SUMIF(SALIDAS!A:A,A292,SALIDAS!C:C)</f>
        <v>0</v>
      </c>
      <c r="E292" s="10">
        <f t="shared" si="2"/>
        <v>0</v>
      </c>
      <c r="F292" s="12"/>
      <c r="G292" s="12"/>
    </row>
    <row r="293" ht="15.75" customHeight="1">
      <c r="A293" s="13"/>
      <c r="B293" s="13"/>
      <c r="C293" s="9">
        <f>IFERROR(SUMIF(ENTRADAS!A:A,A293,ENTRADAS!C:C))</f>
        <v>0</v>
      </c>
      <c r="D293" s="10">
        <f>SUMIF(SALIDAS!A:A,A293,SALIDAS!C:C)</f>
        <v>0</v>
      </c>
      <c r="E293" s="10">
        <f t="shared" si="2"/>
        <v>0</v>
      </c>
      <c r="F293" s="12"/>
      <c r="G293" s="12"/>
    </row>
    <row r="294" ht="15.75" customHeight="1">
      <c r="A294" s="13"/>
      <c r="B294" s="13"/>
      <c r="C294" s="9">
        <f>IFERROR(SUMIF(ENTRADAS!A:A,A294,ENTRADAS!C:C))</f>
        <v>0</v>
      </c>
      <c r="D294" s="10">
        <f>SUMIF(SALIDAS!A:A,A294,SALIDAS!C:C)</f>
        <v>0</v>
      </c>
      <c r="E294" s="10">
        <f t="shared" si="2"/>
        <v>0</v>
      </c>
      <c r="F294" s="13"/>
      <c r="G294" s="13"/>
    </row>
    <row r="295" ht="15.75" customHeight="1">
      <c r="A295" s="13"/>
      <c r="B295" s="13"/>
      <c r="C295" s="9">
        <f>IFERROR(SUMIF(ENTRADAS!A:A,A295,ENTRADAS!C:C))</f>
        <v>0</v>
      </c>
      <c r="D295" s="10">
        <f>SUMIF(SALIDAS!A:A,A295,SALIDAS!C:C)</f>
        <v>0</v>
      </c>
      <c r="E295" s="10">
        <f t="shared" si="2"/>
        <v>0</v>
      </c>
      <c r="F295" s="13"/>
      <c r="G295" s="13"/>
    </row>
    <row r="296" ht="15.75" customHeight="1">
      <c r="A296" s="13"/>
      <c r="B296" s="13"/>
      <c r="C296" s="9">
        <f>IFERROR(SUMIF(ENTRADAS!A:A,A296,ENTRADAS!C:C))</f>
        <v>0</v>
      </c>
      <c r="D296" s="10">
        <f>SUMIF(SALIDAS!A:A,A296,SALIDAS!C:C)</f>
        <v>0</v>
      </c>
      <c r="E296" s="10">
        <f t="shared" si="2"/>
        <v>0</v>
      </c>
      <c r="F296" s="13"/>
      <c r="G296" s="13"/>
    </row>
    <row r="297" ht="15.75" customHeight="1">
      <c r="A297" s="13"/>
      <c r="B297" s="13"/>
      <c r="C297" s="9">
        <f>IFERROR(SUMIF(ENTRADAS!A:A,A297,ENTRADAS!C:C))</f>
        <v>0</v>
      </c>
      <c r="D297" s="10">
        <f>SUMIF(SALIDAS!A:A,A297,SALIDAS!C:C)</f>
        <v>0</v>
      </c>
      <c r="E297" s="10">
        <f t="shared" si="2"/>
        <v>0</v>
      </c>
      <c r="F297" s="13"/>
      <c r="G297" s="13"/>
    </row>
    <row r="298" ht="15.75" customHeight="1">
      <c r="A298" s="13"/>
      <c r="B298" s="13"/>
      <c r="C298" s="9">
        <f>IFERROR(SUMIF(ENTRADAS!A:A,A298,ENTRADAS!C:C))</f>
        <v>0</v>
      </c>
      <c r="D298" s="10">
        <f>SUMIF(SALIDAS!A:A,A298,SALIDAS!C:C)</f>
        <v>0</v>
      </c>
      <c r="E298" s="10">
        <f t="shared" si="2"/>
        <v>0</v>
      </c>
      <c r="F298" s="13"/>
      <c r="G298" s="13"/>
    </row>
    <row r="299" ht="15.75" customHeight="1">
      <c r="A299" s="13"/>
      <c r="B299" s="13"/>
      <c r="C299" s="9">
        <f>IFERROR(SUMIF(ENTRADAS!A:A,A299,ENTRADAS!C:C))</f>
        <v>0</v>
      </c>
      <c r="D299" s="10">
        <f>SUMIF(SALIDAS!A:A,A299,SALIDAS!C:C)</f>
        <v>0</v>
      </c>
      <c r="E299" s="10">
        <f t="shared" si="2"/>
        <v>0</v>
      </c>
      <c r="F299" s="13"/>
      <c r="G299" s="13"/>
    </row>
    <row r="300" ht="15.75" customHeight="1">
      <c r="A300" s="13"/>
      <c r="B300" s="13"/>
      <c r="C300" s="9">
        <f>IFERROR(SUMIF(ENTRADAS!A:A,A300,ENTRADAS!C:C))</f>
        <v>0</v>
      </c>
      <c r="D300" s="10">
        <f>SUMIF(SALIDAS!A:A,A300,SALIDAS!C:C)</f>
        <v>0</v>
      </c>
      <c r="E300" s="10">
        <f t="shared" si="2"/>
        <v>0</v>
      </c>
      <c r="F300" s="12"/>
      <c r="G300" s="12"/>
    </row>
    <row r="301" ht="15.75" customHeight="1">
      <c r="A301" s="13"/>
      <c r="B301" s="13"/>
      <c r="C301" s="9">
        <f>IFERROR(SUMIF(ENTRADAS!A:A,A301,ENTRADAS!C:C))</f>
        <v>0</v>
      </c>
      <c r="D301" s="10">
        <f>SUMIF(SALIDAS!A:A,A301,SALIDAS!C:C)</f>
        <v>0</v>
      </c>
      <c r="E301" s="10">
        <f t="shared" si="2"/>
        <v>0</v>
      </c>
      <c r="F301" s="12"/>
      <c r="G301" s="12"/>
    </row>
    <row r="302" ht="15.75" customHeight="1">
      <c r="A302" s="13"/>
      <c r="B302" s="13"/>
      <c r="C302" s="9">
        <f>IFERROR(SUMIF(ENTRADAS!A:A,A302,ENTRADAS!C:C))</f>
        <v>0</v>
      </c>
      <c r="D302" s="10">
        <f>SUMIF(SALIDAS!A:A,A302,SALIDAS!C:C)</f>
        <v>0</v>
      </c>
      <c r="E302" s="10">
        <f t="shared" si="2"/>
        <v>0</v>
      </c>
      <c r="F302" s="12"/>
      <c r="G302" s="12"/>
    </row>
    <row r="303" ht="15.75" customHeight="1">
      <c r="A303" s="13"/>
      <c r="B303" s="13"/>
      <c r="C303" s="9">
        <f>IFERROR(SUMIF(ENTRADAS!A:A,A303,ENTRADAS!C:C))</f>
        <v>0</v>
      </c>
      <c r="D303" s="10">
        <f>SUMIF(SALIDAS!A:A,A303,SALIDAS!C:C)</f>
        <v>0</v>
      </c>
      <c r="E303" s="10">
        <f t="shared" si="2"/>
        <v>0</v>
      </c>
      <c r="F303" s="12"/>
      <c r="G303" s="12"/>
    </row>
    <row r="304" ht="15.75" customHeight="1">
      <c r="A304" s="13"/>
      <c r="B304" s="13"/>
      <c r="C304" s="9">
        <f>IFERROR(SUMIF(ENTRADAS!A:A,A304,ENTRADAS!C:C))</f>
        <v>0</v>
      </c>
      <c r="D304" s="10">
        <f>SUMIF(SALIDAS!A:A,A304,SALIDAS!C:C)</f>
        <v>0</v>
      </c>
      <c r="E304" s="10">
        <f t="shared" si="2"/>
        <v>0</v>
      </c>
      <c r="F304" s="12"/>
      <c r="G304" s="12"/>
    </row>
    <row r="305" ht="15.75" customHeight="1">
      <c r="A305" s="13"/>
      <c r="B305" s="13"/>
      <c r="C305" s="9">
        <f>IFERROR(SUMIF(ENTRADAS!A:A,A305,ENTRADAS!C:C))</f>
        <v>0</v>
      </c>
      <c r="D305" s="10">
        <f>SUMIF(SALIDAS!A:A,A305,SALIDAS!C:C)</f>
        <v>0</v>
      </c>
      <c r="E305" s="10">
        <f t="shared" si="2"/>
        <v>0</v>
      </c>
      <c r="F305" s="12"/>
      <c r="G305" s="12"/>
    </row>
    <row r="306" ht="15.75" customHeight="1">
      <c r="A306" s="13"/>
      <c r="B306" s="13"/>
      <c r="C306" s="9">
        <f>IFERROR(SUMIF(ENTRADAS!A:A,A306,ENTRADAS!C:C))</f>
        <v>0</v>
      </c>
      <c r="D306" s="10">
        <f>SUMIF(SALIDAS!A:A,A306,SALIDAS!C:C)</f>
        <v>0</v>
      </c>
      <c r="E306" s="10">
        <f t="shared" si="2"/>
        <v>0</v>
      </c>
      <c r="F306" s="12"/>
      <c r="G306" s="12"/>
    </row>
    <row r="307" ht="15.75" customHeight="1">
      <c r="A307" s="13"/>
      <c r="B307" s="13"/>
      <c r="C307" s="9">
        <f>IFERROR(SUMIF(ENTRADAS!A:A,A307,ENTRADAS!C:C))</f>
        <v>0</v>
      </c>
      <c r="D307" s="10">
        <f>SUMIF(SALIDAS!A:A,A307,SALIDAS!C:C)</f>
        <v>0</v>
      </c>
      <c r="E307" s="10">
        <f t="shared" si="2"/>
        <v>0</v>
      </c>
      <c r="F307" s="12"/>
      <c r="G307" s="12"/>
    </row>
    <row r="308" ht="15.75" customHeight="1">
      <c r="A308" s="13"/>
      <c r="B308" s="13"/>
      <c r="C308" s="9">
        <f>IFERROR(SUMIF(ENTRADAS!A:A,A308,ENTRADAS!C:C))</f>
        <v>0</v>
      </c>
      <c r="D308" s="10">
        <f>SUMIF(SALIDAS!A:A,A308,SALIDAS!C:C)</f>
        <v>0</v>
      </c>
      <c r="E308" s="10">
        <f t="shared" si="2"/>
        <v>0</v>
      </c>
      <c r="F308" s="12"/>
      <c r="G308" s="12"/>
    </row>
    <row r="309" ht="15.75" customHeight="1">
      <c r="A309" s="13"/>
      <c r="B309" s="13"/>
      <c r="C309" s="9">
        <f>IFERROR(SUMIF(ENTRADAS!A:A,A309,ENTRADAS!C:C))</f>
        <v>0</v>
      </c>
      <c r="D309" s="10">
        <f>SUMIF(SALIDAS!A:A,A309,SALIDAS!C:C)</f>
        <v>0</v>
      </c>
      <c r="E309" s="10">
        <f t="shared" si="2"/>
        <v>0</v>
      </c>
      <c r="F309" s="12"/>
      <c r="G309" s="12"/>
    </row>
    <row r="310" ht="15.75" customHeight="1">
      <c r="A310" s="13"/>
      <c r="B310" s="13"/>
      <c r="C310" s="9">
        <f>IFERROR(SUMIF(ENTRADAS!A:A,A310,ENTRADAS!C:C))</f>
        <v>0</v>
      </c>
      <c r="D310" s="10">
        <f>SUMIF(SALIDAS!A:A,A310,SALIDAS!C:C)</f>
        <v>0</v>
      </c>
      <c r="E310" s="10">
        <f t="shared" si="2"/>
        <v>0</v>
      </c>
      <c r="F310" s="12"/>
      <c r="G310" s="12"/>
    </row>
    <row r="311" ht="15.75" customHeight="1">
      <c r="A311" s="13"/>
      <c r="B311" s="13"/>
      <c r="C311" s="9">
        <f>IFERROR(SUMIF(ENTRADAS!A:A,A311,ENTRADAS!C:C))</f>
        <v>0</v>
      </c>
      <c r="D311" s="10">
        <f>SUMIF(SALIDAS!A:A,A311,SALIDAS!C:C)</f>
        <v>0</v>
      </c>
      <c r="E311" s="10">
        <f t="shared" si="2"/>
        <v>0</v>
      </c>
      <c r="F311" s="12"/>
      <c r="G311" s="12"/>
    </row>
    <row r="312" ht="15.75" customHeight="1">
      <c r="A312" s="13"/>
      <c r="B312" s="13"/>
      <c r="C312" s="9">
        <f>IFERROR(SUMIF(ENTRADAS!A:A,A312,ENTRADAS!C:C))</f>
        <v>0</v>
      </c>
      <c r="D312" s="10">
        <f>SUMIF(SALIDAS!A:A,A312,SALIDAS!C:C)</f>
        <v>0</v>
      </c>
      <c r="E312" s="10">
        <f t="shared" si="2"/>
        <v>0</v>
      </c>
      <c r="F312" s="12"/>
      <c r="G312" s="12"/>
    </row>
    <row r="313" ht="15.75" customHeight="1">
      <c r="A313" s="13"/>
      <c r="B313" s="13"/>
      <c r="C313" s="9">
        <f>IFERROR(SUMIF(ENTRADAS!A:A,A313,ENTRADAS!C:C))</f>
        <v>0</v>
      </c>
      <c r="D313" s="10">
        <f>SUMIF(SALIDAS!A:A,A313,SALIDAS!C:C)</f>
        <v>0</v>
      </c>
      <c r="E313" s="10">
        <f t="shared" si="2"/>
        <v>0</v>
      </c>
      <c r="F313" s="12"/>
      <c r="G313" s="12"/>
    </row>
    <row r="314" ht="15.75" customHeight="1">
      <c r="A314" s="13"/>
      <c r="B314" s="13"/>
      <c r="C314" s="9">
        <f>IFERROR(SUMIF(ENTRADAS!A:A,A314,ENTRADAS!C:C))</f>
        <v>0</v>
      </c>
      <c r="D314" s="10">
        <f>SUMIF(SALIDAS!A:A,A314,SALIDAS!C:C)</f>
        <v>0</v>
      </c>
      <c r="E314" s="10">
        <f t="shared" si="2"/>
        <v>0</v>
      </c>
      <c r="F314" s="13"/>
      <c r="G314" s="13"/>
    </row>
    <row r="315" ht="15.75" customHeight="1">
      <c r="A315" s="13"/>
      <c r="B315" s="13"/>
      <c r="C315" s="9">
        <f>IFERROR(SUMIF(ENTRADAS!A:A,A315,ENTRADAS!C:C))</f>
        <v>0</v>
      </c>
      <c r="D315" s="10">
        <f>SUMIF(SALIDAS!A:A,A315,SALIDAS!C:C)</f>
        <v>0</v>
      </c>
      <c r="E315" s="10">
        <f t="shared" si="2"/>
        <v>0</v>
      </c>
      <c r="F315" s="12"/>
      <c r="G315" s="12"/>
    </row>
    <row r="316" ht="15.75" customHeight="1">
      <c r="A316" s="13"/>
      <c r="B316" s="13"/>
      <c r="C316" s="9">
        <f>IFERROR(SUMIF(ENTRADAS!A:A,A316,ENTRADAS!C:C))</f>
        <v>0</v>
      </c>
      <c r="D316" s="10">
        <f>SUMIF(SALIDAS!A:A,A316,SALIDAS!C:C)</f>
        <v>0</v>
      </c>
      <c r="E316" s="10">
        <f t="shared" si="2"/>
        <v>0</v>
      </c>
      <c r="F316" s="12"/>
      <c r="G316" s="12"/>
    </row>
    <row r="317" ht="15.75" customHeight="1">
      <c r="A317" s="13"/>
      <c r="B317" s="13"/>
      <c r="C317" s="9">
        <f>IFERROR(SUMIF(ENTRADAS!A:A,A317,ENTRADAS!C:C))</f>
        <v>0</v>
      </c>
      <c r="D317" s="10">
        <f>SUMIF(SALIDAS!A:A,A317,SALIDAS!C:C)</f>
        <v>0</v>
      </c>
      <c r="E317" s="10">
        <f t="shared" si="2"/>
        <v>0</v>
      </c>
      <c r="F317" s="12"/>
      <c r="G317" s="12"/>
    </row>
    <row r="318" ht="15.75" customHeight="1">
      <c r="A318" s="13"/>
      <c r="B318" s="13"/>
      <c r="C318" s="9">
        <f>IFERROR(SUMIF(ENTRADAS!A:A,A318,ENTRADAS!C:C))</f>
        <v>0</v>
      </c>
      <c r="D318" s="10">
        <f>SUMIF(SALIDAS!A:A,A318,SALIDAS!C:C)</f>
        <v>0</v>
      </c>
      <c r="E318" s="10">
        <f t="shared" si="2"/>
        <v>0</v>
      </c>
      <c r="F318" s="12"/>
      <c r="G318" s="12"/>
    </row>
    <row r="319" ht="15.75" customHeight="1">
      <c r="A319" s="13"/>
      <c r="B319" s="13"/>
      <c r="C319" s="9">
        <f>IFERROR(SUMIF(ENTRADAS!A:A,A319,ENTRADAS!C:C))</f>
        <v>0</v>
      </c>
      <c r="D319" s="10">
        <f>SUMIF(SALIDAS!A:A,A319,SALIDAS!C:C)</f>
        <v>0</v>
      </c>
      <c r="E319" s="10">
        <f t="shared" si="2"/>
        <v>0</v>
      </c>
      <c r="F319" s="12"/>
      <c r="G319" s="12"/>
    </row>
    <row r="320" ht="15.75" customHeight="1">
      <c r="A320" s="13"/>
      <c r="B320" s="13"/>
      <c r="C320" s="9">
        <f>IFERROR(SUMIF(ENTRADAS!A:A,A320,ENTRADAS!C:C))</f>
        <v>0</v>
      </c>
      <c r="D320" s="10">
        <f>SUMIF(SALIDAS!A:A,A320,SALIDAS!C:C)</f>
        <v>0</v>
      </c>
      <c r="E320" s="10">
        <f t="shared" si="2"/>
        <v>0</v>
      </c>
      <c r="F320" s="12"/>
      <c r="G320" s="12"/>
    </row>
    <row r="321" ht="15.75" customHeight="1">
      <c r="A321" s="13"/>
      <c r="B321" s="13"/>
      <c r="C321" s="9">
        <f>IFERROR(SUMIF(ENTRADAS!A:A,A321,ENTRADAS!C:C))</f>
        <v>0</v>
      </c>
      <c r="D321" s="10">
        <f>SUMIF(SALIDAS!A:A,A321,SALIDAS!C:C)</f>
        <v>0</v>
      </c>
      <c r="E321" s="10">
        <f t="shared" si="2"/>
        <v>0</v>
      </c>
      <c r="F321" s="13"/>
      <c r="G321" s="13"/>
    </row>
    <row r="322" ht="15.75" customHeight="1">
      <c r="A322" s="13"/>
      <c r="B322" s="13"/>
      <c r="C322" s="9">
        <f>IFERROR(SUMIF(ENTRADAS!A:A,A322,ENTRADAS!C:C))</f>
        <v>0</v>
      </c>
      <c r="D322" s="10">
        <f>SUMIF(SALIDAS!A:A,A322,SALIDAS!C:C)</f>
        <v>0</v>
      </c>
      <c r="E322" s="10">
        <f t="shared" si="2"/>
        <v>0</v>
      </c>
      <c r="F322" s="13"/>
      <c r="G322" s="13"/>
    </row>
    <row r="323" ht="15.75" customHeight="1">
      <c r="A323" s="13"/>
      <c r="B323" s="13"/>
      <c r="C323" s="9">
        <f>IFERROR(SUMIF(ENTRADAS!A:A,A323,ENTRADAS!C:C))</f>
        <v>0</v>
      </c>
      <c r="D323" s="10">
        <f>SUMIF(SALIDAS!A:A,A323,SALIDAS!C:C)</f>
        <v>0</v>
      </c>
      <c r="E323" s="10">
        <f t="shared" si="2"/>
        <v>0</v>
      </c>
      <c r="F323" s="13"/>
      <c r="G323" s="13"/>
    </row>
    <row r="324" ht="15.75" customHeight="1">
      <c r="A324" s="13"/>
      <c r="B324" s="13"/>
      <c r="C324" s="9">
        <f>IFERROR(SUMIF(ENTRADAS!A:A,A324,ENTRADAS!C:C))</f>
        <v>0</v>
      </c>
      <c r="D324" s="10">
        <f>SUMIF(SALIDAS!A:A,A324,SALIDAS!C:C)</f>
        <v>0</v>
      </c>
      <c r="E324" s="10">
        <f t="shared" si="2"/>
        <v>0</v>
      </c>
      <c r="F324" s="13"/>
      <c r="G324" s="13"/>
    </row>
    <row r="325" ht="15.75" customHeight="1">
      <c r="A325" s="13"/>
      <c r="B325" s="13"/>
      <c r="C325" s="9">
        <f>IFERROR(SUMIF(ENTRADAS!A:A,A325,ENTRADAS!C:C))</f>
        <v>0</v>
      </c>
      <c r="D325" s="10">
        <f>SUMIF(SALIDAS!A:A,A325,SALIDAS!C:C)</f>
        <v>0</v>
      </c>
      <c r="E325" s="10">
        <f t="shared" si="2"/>
        <v>0</v>
      </c>
      <c r="F325" s="13"/>
      <c r="G325" s="13"/>
    </row>
    <row r="326" ht="15.75" customHeight="1">
      <c r="A326" s="13"/>
      <c r="B326" s="13"/>
      <c r="C326" s="9">
        <f>IFERROR(SUMIF(ENTRADAS!A:A,A326,ENTRADAS!C:C))</f>
        <v>0</v>
      </c>
      <c r="D326" s="10">
        <f>SUMIF(SALIDAS!A:A,A326,SALIDAS!C:C)</f>
        <v>0</v>
      </c>
      <c r="E326" s="10">
        <f t="shared" si="2"/>
        <v>0</v>
      </c>
      <c r="F326" s="13"/>
      <c r="G326" s="13"/>
    </row>
    <row r="327" ht="15.75" customHeight="1">
      <c r="A327" s="13"/>
      <c r="B327" s="13"/>
      <c r="C327" s="9">
        <f>IFERROR(SUMIF(ENTRADAS!A:A,A327,ENTRADAS!C:C))</f>
        <v>0</v>
      </c>
      <c r="D327" s="10">
        <f>SUMIF(SALIDAS!A:A,A327,SALIDAS!C:C)</f>
        <v>0</v>
      </c>
      <c r="E327" s="10">
        <f t="shared" si="2"/>
        <v>0</v>
      </c>
      <c r="F327" s="13"/>
      <c r="G327" s="13"/>
    </row>
    <row r="328" ht="15.75" customHeight="1">
      <c r="A328" s="13"/>
      <c r="B328" s="13"/>
      <c r="C328" s="9">
        <f>IFERROR(SUMIF(ENTRADAS!A:A,A328,ENTRADAS!C:C))</f>
        <v>0</v>
      </c>
      <c r="D328" s="10">
        <f>SUMIF(SALIDAS!A:A,A328,SALIDAS!C:C)</f>
        <v>0</v>
      </c>
      <c r="E328" s="10">
        <f t="shared" si="2"/>
        <v>0</v>
      </c>
      <c r="F328" s="13"/>
      <c r="G328" s="13"/>
    </row>
    <row r="329" ht="15.75" customHeight="1">
      <c r="A329" s="13"/>
      <c r="B329" s="13"/>
      <c r="C329" s="9">
        <f>IFERROR(SUMIF(ENTRADAS!A:A,A329,ENTRADAS!C:C))</f>
        <v>0</v>
      </c>
      <c r="D329" s="10">
        <f>SUMIF(SALIDAS!A:A,A329,SALIDAS!C:C)</f>
        <v>0</v>
      </c>
      <c r="E329" s="10">
        <f t="shared" si="2"/>
        <v>0</v>
      </c>
      <c r="F329" s="12"/>
      <c r="G329" s="12"/>
    </row>
    <row r="330" ht="15.75" customHeight="1">
      <c r="A330" s="13"/>
      <c r="B330" s="13"/>
      <c r="C330" s="9">
        <f>IFERROR(SUMIF(ENTRADAS!A:A,A330,ENTRADAS!C:C))</f>
        <v>0</v>
      </c>
      <c r="D330" s="10">
        <f>SUMIF(SALIDAS!A:A,A330,SALIDAS!C:C)</f>
        <v>0</v>
      </c>
      <c r="E330" s="10">
        <f t="shared" si="2"/>
        <v>0</v>
      </c>
      <c r="F330" s="13"/>
      <c r="G330" s="13"/>
    </row>
    <row r="331" ht="15.75" customHeight="1">
      <c r="A331" s="13"/>
      <c r="B331" s="13"/>
      <c r="C331" s="9">
        <f>IFERROR(SUMIF(ENTRADAS!A:A,A331,ENTRADAS!C:C))</f>
        <v>0</v>
      </c>
      <c r="D331" s="10">
        <f>SUMIF(SALIDAS!A:A,A331,SALIDAS!C:C)</f>
        <v>0</v>
      </c>
      <c r="E331" s="10">
        <f t="shared" si="2"/>
        <v>0</v>
      </c>
      <c r="F331" s="13"/>
      <c r="G331" s="13"/>
    </row>
    <row r="332" ht="15.75" customHeight="1">
      <c r="A332" s="13"/>
      <c r="B332" s="13"/>
      <c r="C332" s="9">
        <f>IFERROR(SUMIF(ENTRADAS!A:A,A332,ENTRADAS!C:C))</f>
        <v>0</v>
      </c>
      <c r="D332" s="10">
        <f>SUMIF(SALIDAS!A:A,A332,SALIDAS!C:C)</f>
        <v>0</v>
      </c>
      <c r="E332" s="10">
        <f t="shared" si="2"/>
        <v>0</v>
      </c>
      <c r="F332" s="13"/>
      <c r="G332" s="13"/>
    </row>
    <row r="333" ht="15.75" customHeight="1">
      <c r="A333" s="13"/>
      <c r="B333" s="13"/>
      <c r="C333" s="9">
        <f>IFERROR(SUMIF(ENTRADAS!A:A,A333,ENTRADAS!C:C))</f>
        <v>0</v>
      </c>
      <c r="D333" s="10">
        <f>SUMIF(SALIDAS!A:A,A333,SALIDAS!C:C)</f>
        <v>0</v>
      </c>
      <c r="E333" s="10">
        <f t="shared" si="2"/>
        <v>0</v>
      </c>
      <c r="F333" s="13"/>
      <c r="G333" s="13"/>
    </row>
    <row r="334" ht="15.75" customHeight="1">
      <c r="A334" s="13"/>
      <c r="B334" s="13"/>
      <c r="C334" s="9">
        <f>IFERROR(SUMIF(ENTRADAS!A:A,A334,ENTRADAS!C:C))</f>
        <v>0</v>
      </c>
      <c r="D334" s="10">
        <f>SUMIF(SALIDAS!A:A,A334,SALIDAS!C:C)</f>
        <v>0</v>
      </c>
      <c r="E334" s="10">
        <f t="shared" si="2"/>
        <v>0</v>
      </c>
      <c r="F334" s="13"/>
      <c r="G334" s="13"/>
    </row>
    <row r="335" ht="15.75" customHeight="1">
      <c r="A335" s="13"/>
      <c r="B335" s="13"/>
      <c r="C335" s="9">
        <f>IFERROR(SUMIF(ENTRADAS!A:A,A335,ENTRADAS!C:C))</f>
        <v>0</v>
      </c>
      <c r="D335" s="10">
        <f>SUMIF(SALIDAS!A:A,A335,SALIDAS!C:C)</f>
        <v>0</v>
      </c>
      <c r="E335" s="10">
        <f t="shared" si="2"/>
        <v>0</v>
      </c>
      <c r="F335" s="13"/>
      <c r="G335" s="13"/>
    </row>
    <row r="336" ht="15.75" customHeight="1">
      <c r="A336" s="13"/>
      <c r="B336" s="13"/>
      <c r="C336" s="9">
        <f>IFERROR(SUMIF(ENTRADAS!A:A,A336,ENTRADAS!C:C))</f>
        <v>0</v>
      </c>
      <c r="D336" s="10">
        <f>SUMIF(SALIDAS!A:A,A336,SALIDAS!C:C)</f>
        <v>0</v>
      </c>
      <c r="E336" s="10">
        <f t="shared" si="2"/>
        <v>0</v>
      </c>
      <c r="F336" s="13"/>
      <c r="G336" s="13"/>
    </row>
    <row r="337" ht="15.75" customHeight="1">
      <c r="A337" s="13"/>
      <c r="B337" s="13"/>
      <c r="C337" s="9">
        <f>IFERROR(SUMIF(ENTRADAS!A:A,A337,ENTRADAS!C:C))</f>
        <v>0</v>
      </c>
      <c r="D337" s="10">
        <f>SUMIF(SALIDAS!A:A,A337,SALIDAS!C:C)</f>
        <v>0</v>
      </c>
      <c r="E337" s="10">
        <f t="shared" si="2"/>
        <v>0</v>
      </c>
      <c r="F337" s="12"/>
      <c r="G337" s="12"/>
    </row>
    <row r="338" ht="15.75" customHeight="1">
      <c r="A338" s="13"/>
      <c r="B338" s="13"/>
      <c r="C338" s="9">
        <f>IFERROR(SUMIF(ENTRADAS!A:A,A338,ENTRADAS!C:C))</f>
        <v>0</v>
      </c>
      <c r="D338" s="10">
        <f>SUMIF(SALIDAS!A:A,A338,SALIDAS!C:C)</f>
        <v>0</v>
      </c>
      <c r="E338" s="10">
        <f t="shared" si="2"/>
        <v>0</v>
      </c>
      <c r="F338" s="12"/>
      <c r="G338" s="12"/>
    </row>
    <row r="339" ht="15.75" customHeight="1">
      <c r="A339" s="13"/>
      <c r="B339" s="13"/>
      <c r="C339" s="9">
        <f>IFERROR(SUMIF(ENTRADAS!A:A,A339,ENTRADAS!C:C))</f>
        <v>0</v>
      </c>
      <c r="D339" s="10">
        <f>SUMIF(SALIDAS!A:A,A339,SALIDAS!C:C)</f>
        <v>0</v>
      </c>
      <c r="E339" s="10">
        <f t="shared" si="2"/>
        <v>0</v>
      </c>
      <c r="F339" s="12"/>
      <c r="G339" s="12"/>
    </row>
    <row r="340" ht="15.75" customHeight="1">
      <c r="A340" s="13"/>
      <c r="B340" s="13"/>
      <c r="C340" s="9">
        <f>IFERROR(SUMIF(ENTRADAS!A:A,A340,ENTRADAS!C:C))</f>
        <v>0</v>
      </c>
      <c r="D340" s="10">
        <f>SUMIF(SALIDAS!A:A,A340,SALIDAS!C:C)</f>
        <v>0</v>
      </c>
      <c r="E340" s="10">
        <f t="shared" si="2"/>
        <v>0</v>
      </c>
      <c r="F340" s="12"/>
      <c r="G340" s="12"/>
    </row>
    <row r="341" ht="15.75" customHeight="1">
      <c r="A341" s="13"/>
      <c r="B341" s="13"/>
      <c r="C341" s="9">
        <f>IFERROR(SUMIF(ENTRADAS!A:A,A341,ENTRADAS!C:C))</f>
        <v>0</v>
      </c>
      <c r="D341" s="10">
        <f>SUMIF(SALIDAS!A:A,A341,SALIDAS!C:C)</f>
        <v>0</v>
      </c>
      <c r="E341" s="10">
        <f t="shared" si="2"/>
        <v>0</v>
      </c>
      <c r="F341" s="12"/>
      <c r="G341" s="12"/>
    </row>
    <row r="342" ht="15.75" customHeight="1">
      <c r="A342" s="13"/>
      <c r="B342" s="13"/>
      <c r="C342" s="9">
        <f>IFERROR(SUMIF(ENTRADAS!A:A,A342,ENTRADAS!C:C))</f>
        <v>0</v>
      </c>
      <c r="D342" s="10">
        <f>SUMIF(SALIDAS!A:A,A342,SALIDAS!C:C)</f>
        <v>0</v>
      </c>
      <c r="E342" s="10">
        <f t="shared" si="2"/>
        <v>0</v>
      </c>
      <c r="F342" s="12"/>
      <c r="G342" s="12"/>
    </row>
    <row r="343" ht="15.75" customHeight="1">
      <c r="A343" s="13"/>
      <c r="B343" s="13"/>
      <c r="C343" s="9">
        <f>IFERROR(SUMIF(ENTRADAS!A:A,A343,ENTRADAS!C:C))</f>
        <v>0</v>
      </c>
      <c r="D343" s="10">
        <f>SUMIF(SALIDAS!A:A,A343,SALIDAS!C:C)</f>
        <v>0</v>
      </c>
      <c r="E343" s="10">
        <f t="shared" si="2"/>
        <v>0</v>
      </c>
      <c r="F343" s="13"/>
      <c r="G343" s="13"/>
    </row>
    <row r="344" ht="15.75" customHeight="1">
      <c r="A344" s="13"/>
      <c r="B344" s="13"/>
      <c r="C344" s="9">
        <f>IFERROR(SUMIF(ENTRADAS!A:A,A344,ENTRADAS!C:C))</f>
        <v>0</v>
      </c>
      <c r="D344" s="10">
        <f>SUMIF(SALIDAS!A:A,A344,SALIDAS!C:C)</f>
        <v>0</v>
      </c>
      <c r="E344" s="10">
        <f t="shared" si="2"/>
        <v>0</v>
      </c>
      <c r="F344" s="12"/>
      <c r="G344" s="12"/>
    </row>
    <row r="345" ht="15.75" customHeight="1">
      <c r="A345" s="13"/>
      <c r="B345" s="13"/>
      <c r="C345" s="9">
        <f>IFERROR(SUMIF(ENTRADAS!A:A,A345,ENTRADAS!C:C))</f>
        <v>0</v>
      </c>
      <c r="D345" s="10">
        <f>SUMIF(SALIDAS!A:A,A345,SALIDAS!C:C)</f>
        <v>0</v>
      </c>
      <c r="E345" s="10">
        <f t="shared" si="2"/>
        <v>0</v>
      </c>
      <c r="F345" s="12"/>
      <c r="G345" s="12"/>
    </row>
    <row r="346" ht="15.75" customHeight="1">
      <c r="A346" s="13"/>
      <c r="B346" s="13"/>
      <c r="C346" s="9">
        <f>IFERROR(SUMIF(ENTRADAS!A:A,A346,ENTRADAS!C:C))</f>
        <v>0</v>
      </c>
      <c r="D346" s="10">
        <f>SUMIF(SALIDAS!A:A,A346,SALIDAS!C:C)</f>
        <v>0</v>
      </c>
      <c r="E346" s="10">
        <f t="shared" si="2"/>
        <v>0</v>
      </c>
      <c r="F346" s="13"/>
      <c r="G346" s="13"/>
    </row>
    <row r="347" ht="15.75" customHeight="1">
      <c r="A347" s="13"/>
      <c r="B347" s="13"/>
      <c r="C347" s="9">
        <f>IFERROR(SUMIF(ENTRADAS!A:A,A347,ENTRADAS!C:C))</f>
        <v>0</v>
      </c>
      <c r="D347" s="10">
        <f>SUMIF(SALIDAS!A:A,A347,SALIDAS!C:C)</f>
        <v>0</v>
      </c>
      <c r="E347" s="10">
        <f t="shared" si="2"/>
        <v>0</v>
      </c>
      <c r="F347" s="13"/>
      <c r="G347" s="13"/>
    </row>
    <row r="348" ht="15.75" customHeight="1">
      <c r="A348" s="13"/>
      <c r="B348" s="13"/>
      <c r="C348" s="9">
        <f>IFERROR(SUMIF(ENTRADAS!A:A,A348,ENTRADAS!C:C))</f>
        <v>0</v>
      </c>
      <c r="D348" s="10">
        <f>SUMIF(SALIDAS!A:A,A348,SALIDAS!C:C)</f>
        <v>0</v>
      </c>
      <c r="E348" s="10">
        <f t="shared" si="2"/>
        <v>0</v>
      </c>
      <c r="F348" s="13"/>
      <c r="G348" s="13"/>
    </row>
    <row r="349" ht="15.75" customHeight="1">
      <c r="A349" s="13"/>
      <c r="B349" s="13"/>
      <c r="C349" s="9">
        <f>IFERROR(SUMIF(ENTRADAS!A:A,A349,ENTRADAS!C:C))</f>
        <v>0</v>
      </c>
      <c r="D349" s="10">
        <f>SUMIF(SALIDAS!A:A,A349,SALIDAS!C:C)</f>
        <v>0</v>
      </c>
      <c r="E349" s="10">
        <f t="shared" si="2"/>
        <v>0</v>
      </c>
      <c r="F349" s="13"/>
      <c r="G349" s="13"/>
    </row>
    <row r="350" ht="15.75" customHeight="1">
      <c r="A350" s="13"/>
      <c r="B350" s="13"/>
      <c r="C350" s="9">
        <f>IFERROR(SUMIF(ENTRADAS!A:A,A350,ENTRADAS!C:C))</f>
        <v>0</v>
      </c>
      <c r="D350" s="10">
        <f>SUMIF(SALIDAS!A:A,A350,SALIDAS!C:C)</f>
        <v>0</v>
      </c>
      <c r="E350" s="10">
        <f t="shared" si="2"/>
        <v>0</v>
      </c>
      <c r="F350" s="13"/>
      <c r="G350" s="13"/>
    </row>
    <row r="351" ht="15.75" customHeight="1">
      <c r="A351" s="13"/>
      <c r="B351" s="13"/>
      <c r="C351" s="9">
        <f>IFERROR(SUMIF(ENTRADAS!A:A,A351,ENTRADAS!C:C))</f>
        <v>0</v>
      </c>
      <c r="D351" s="10">
        <f>SUMIF(SALIDAS!A:A,A351,SALIDAS!C:C)</f>
        <v>0</v>
      </c>
      <c r="E351" s="10">
        <f t="shared" si="2"/>
        <v>0</v>
      </c>
      <c r="F351" s="13"/>
      <c r="G351" s="13"/>
    </row>
    <row r="352" ht="15.75" customHeight="1">
      <c r="A352" s="13"/>
      <c r="B352" s="13"/>
      <c r="C352" s="9">
        <f>IFERROR(SUMIF(ENTRADAS!A:A,A352,ENTRADAS!C:C))</f>
        <v>0</v>
      </c>
      <c r="D352" s="10">
        <f>SUMIF(SALIDAS!A:A,A352,SALIDAS!C:C)</f>
        <v>0</v>
      </c>
      <c r="E352" s="10">
        <f t="shared" si="2"/>
        <v>0</v>
      </c>
      <c r="F352" s="13"/>
      <c r="G352" s="13"/>
    </row>
    <row r="353" ht="15.75" customHeight="1">
      <c r="A353" s="13"/>
      <c r="B353" s="13"/>
      <c r="C353" s="9">
        <f>IFERROR(SUMIF(ENTRADAS!A:A,A353,ENTRADAS!C:C))</f>
        <v>0</v>
      </c>
      <c r="D353" s="10">
        <f>SUMIF(SALIDAS!A:A,A353,SALIDAS!C:C)</f>
        <v>0</v>
      </c>
      <c r="E353" s="10">
        <f t="shared" si="2"/>
        <v>0</v>
      </c>
      <c r="F353" s="13"/>
      <c r="G353" s="13"/>
    </row>
    <row r="354" ht="15.75" customHeight="1">
      <c r="A354" s="13"/>
      <c r="B354" s="13"/>
      <c r="C354" s="9">
        <f>IFERROR(SUMIF(ENTRADAS!A:A,A354,ENTRADAS!C:C))</f>
        <v>0</v>
      </c>
      <c r="D354" s="10">
        <f>SUMIF(SALIDAS!A:A,A354,SALIDAS!C:C)</f>
        <v>0</v>
      </c>
      <c r="E354" s="10">
        <f t="shared" si="2"/>
        <v>0</v>
      </c>
      <c r="F354" s="13"/>
      <c r="G354" s="13"/>
    </row>
    <row r="355" ht="15.75" customHeight="1">
      <c r="A355" s="13"/>
      <c r="B355" s="13"/>
      <c r="C355" s="9">
        <f>IFERROR(SUMIF(ENTRADAS!A:A,A355,ENTRADAS!C:C))</f>
        <v>0</v>
      </c>
      <c r="D355" s="10">
        <f>SUMIF(SALIDAS!A:A,A355,SALIDAS!C:C)</f>
        <v>0</v>
      </c>
      <c r="E355" s="10">
        <f t="shared" si="2"/>
        <v>0</v>
      </c>
      <c r="F355" s="13"/>
      <c r="G355" s="13"/>
    </row>
    <row r="356" ht="15.75" customHeight="1">
      <c r="A356" s="13"/>
      <c r="B356" s="13"/>
      <c r="C356" s="9">
        <f>IFERROR(SUMIF(ENTRADAS!A:A,A356,ENTRADAS!C:C))</f>
        <v>0</v>
      </c>
      <c r="D356" s="10">
        <f>SUMIF(SALIDAS!A:A,A356,SALIDAS!C:C)</f>
        <v>0</v>
      </c>
      <c r="E356" s="10">
        <f t="shared" si="2"/>
        <v>0</v>
      </c>
      <c r="F356" s="12"/>
      <c r="G356" s="12"/>
    </row>
    <row r="357" ht="15.75" customHeight="1">
      <c r="A357" s="13"/>
      <c r="B357" s="13"/>
      <c r="C357" s="9">
        <f>IFERROR(SUMIF(ENTRADAS!A:A,A357,ENTRADAS!C:C))</f>
        <v>0</v>
      </c>
      <c r="D357" s="10">
        <f>SUMIF(SALIDAS!A:A,A357,SALIDAS!C:C)</f>
        <v>0</v>
      </c>
      <c r="E357" s="10">
        <f t="shared" si="2"/>
        <v>0</v>
      </c>
      <c r="F357" s="12"/>
      <c r="G357" s="12"/>
    </row>
    <row r="358" ht="15.75" customHeight="1">
      <c r="A358" s="13"/>
      <c r="B358" s="13"/>
      <c r="C358" s="9">
        <f>IFERROR(SUMIF(ENTRADAS!A:A,A358,ENTRADAS!C:C))</f>
        <v>0</v>
      </c>
      <c r="D358" s="10">
        <f>SUMIF(SALIDAS!A:A,A358,SALIDAS!C:C)</f>
        <v>0</v>
      </c>
      <c r="E358" s="10">
        <f t="shared" si="2"/>
        <v>0</v>
      </c>
      <c r="F358" s="13"/>
      <c r="G358" s="13"/>
    </row>
    <row r="359" ht="15.75" customHeight="1">
      <c r="A359" s="13"/>
      <c r="B359" s="13"/>
      <c r="C359" s="9">
        <f>IFERROR(SUMIF(ENTRADAS!A:A,A359,ENTRADAS!C:C))</f>
        <v>0</v>
      </c>
      <c r="D359" s="10">
        <f>SUMIF(SALIDAS!A:A,A359,SALIDAS!C:C)</f>
        <v>0</v>
      </c>
      <c r="E359" s="10">
        <f t="shared" si="2"/>
        <v>0</v>
      </c>
      <c r="F359" s="12"/>
      <c r="G359" s="12"/>
    </row>
    <row r="360" ht="15.75" customHeight="1">
      <c r="A360" s="13"/>
      <c r="B360" s="13"/>
      <c r="C360" s="9">
        <f>IFERROR(SUMIF(ENTRADAS!A:A,A360,ENTRADAS!C:C))</f>
        <v>0</v>
      </c>
      <c r="D360" s="10">
        <f>SUMIF(SALIDAS!A:A,A360,SALIDAS!C:C)</f>
        <v>0</v>
      </c>
      <c r="E360" s="10">
        <f t="shared" si="2"/>
        <v>0</v>
      </c>
      <c r="F360" s="13"/>
      <c r="G360" s="13"/>
    </row>
    <row r="361" ht="15.75" customHeight="1">
      <c r="A361" s="13"/>
      <c r="B361" s="13"/>
      <c r="C361" s="9">
        <f>IFERROR(SUMIF(ENTRADAS!A:A,A361,ENTRADAS!C:C))</f>
        <v>0</v>
      </c>
      <c r="D361" s="10">
        <f>SUMIF(SALIDAS!A:A,A361,SALIDAS!C:C)</f>
        <v>0</v>
      </c>
      <c r="E361" s="10">
        <f t="shared" si="2"/>
        <v>0</v>
      </c>
      <c r="F361" s="13"/>
      <c r="G361" s="13"/>
    </row>
    <row r="362" ht="15.75" customHeight="1">
      <c r="A362" s="13"/>
      <c r="B362" s="13"/>
      <c r="C362" s="9">
        <f>IFERROR(SUMIF(ENTRADAS!A:A,A362,ENTRADAS!C:C))</f>
        <v>0</v>
      </c>
      <c r="D362" s="10">
        <f>SUMIF(SALIDAS!A:A,A362,SALIDAS!C:C)</f>
        <v>0</v>
      </c>
      <c r="E362" s="10">
        <f t="shared" si="2"/>
        <v>0</v>
      </c>
      <c r="F362" s="13"/>
      <c r="G362" s="13"/>
    </row>
    <row r="363" ht="15.75" customHeight="1">
      <c r="A363" s="13"/>
      <c r="B363" s="13"/>
      <c r="C363" s="9">
        <f>IFERROR(SUMIF(ENTRADAS!A:A,A363,ENTRADAS!C:C))</f>
        <v>0</v>
      </c>
      <c r="D363" s="10">
        <f>SUMIF(SALIDAS!A:A,A363,SALIDAS!C:C)</f>
        <v>0</v>
      </c>
      <c r="E363" s="10">
        <f t="shared" si="2"/>
        <v>0</v>
      </c>
      <c r="F363" s="13"/>
      <c r="G363" s="13"/>
    </row>
    <row r="364" ht="15.75" customHeight="1">
      <c r="A364" s="13"/>
      <c r="B364" s="13"/>
      <c r="C364" s="9">
        <f>IFERROR(SUMIF(ENTRADAS!A:A,A364,ENTRADAS!C:C))</f>
        <v>0</v>
      </c>
      <c r="D364" s="10">
        <f>SUMIF(SALIDAS!A:A,A364,SALIDAS!C:C)</f>
        <v>0</v>
      </c>
      <c r="E364" s="10">
        <f t="shared" si="2"/>
        <v>0</v>
      </c>
      <c r="F364" s="13"/>
      <c r="G364" s="13"/>
    </row>
    <row r="365" ht="15.75" customHeight="1">
      <c r="A365" s="13"/>
      <c r="B365" s="13"/>
      <c r="C365" s="9">
        <f>IFERROR(SUMIF(ENTRADAS!A:A,A365,ENTRADAS!C:C))</f>
        <v>0</v>
      </c>
      <c r="D365" s="10">
        <f>SUMIF(SALIDAS!A:A,A365,SALIDAS!C:C)</f>
        <v>0</v>
      </c>
      <c r="E365" s="10">
        <f t="shared" si="2"/>
        <v>0</v>
      </c>
      <c r="F365" s="13"/>
      <c r="G365" s="13"/>
    </row>
    <row r="366" ht="15.75" customHeight="1">
      <c r="A366" s="13"/>
      <c r="B366" s="13"/>
      <c r="C366" s="9">
        <f>IFERROR(SUMIF(ENTRADAS!A:A,A366,ENTRADAS!C:C))</f>
        <v>0</v>
      </c>
      <c r="D366" s="10">
        <f>SUMIF(SALIDAS!A:A,A366,SALIDAS!C:C)</f>
        <v>0</v>
      </c>
      <c r="E366" s="10">
        <f t="shared" si="2"/>
        <v>0</v>
      </c>
      <c r="F366" s="13"/>
      <c r="G366" s="13"/>
    </row>
    <row r="367" ht="15.75" customHeight="1">
      <c r="A367" s="13"/>
      <c r="B367" s="13"/>
      <c r="C367" s="9">
        <f>IFERROR(SUMIF(ENTRADAS!A:A,A367,ENTRADAS!C:C))</f>
        <v>0</v>
      </c>
      <c r="D367" s="10">
        <f>SUMIF(SALIDAS!A:A,A367,SALIDAS!C:C)</f>
        <v>0</v>
      </c>
      <c r="E367" s="10">
        <f t="shared" si="2"/>
        <v>0</v>
      </c>
      <c r="F367" s="13"/>
      <c r="G367" s="13"/>
    </row>
    <row r="368" ht="15.75" customHeight="1">
      <c r="A368" s="13"/>
      <c r="B368" s="13"/>
      <c r="C368" s="9">
        <f>IFERROR(SUMIF(ENTRADAS!A:A,A368,ENTRADAS!C:C))</f>
        <v>0</v>
      </c>
      <c r="D368" s="10">
        <f>SUMIF(SALIDAS!A:A,A368,SALIDAS!C:C)</f>
        <v>0</v>
      </c>
      <c r="E368" s="10">
        <f t="shared" si="2"/>
        <v>0</v>
      </c>
      <c r="F368" s="13"/>
      <c r="G368" s="13"/>
    </row>
    <row r="369" ht="15.75" customHeight="1">
      <c r="A369" s="13"/>
      <c r="B369" s="13"/>
      <c r="C369" s="9">
        <f>IFERROR(SUMIF(ENTRADAS!A:A,A369,ENTRADAS!C:C))</f>
        <v>0</v>
      </c>
      <c r="D369" s="10">
        <f>SUMIF(SALIDAS!A:A,A369,SALIDAS!C:C)</f>
        <v>0</v>
      </c>
      <c r="E369" s="10">
        <f t="shared" si="2"/>
        <v>0</v>
      </c>
      <c r="F369" s="13"/>
      <c r="G369" s="13"/>
    </row>
    <row r="370" ht="15.75" customHeight="1">
      <c r="A370" s="13"/>
      <c r="B370" s="13"/>
      <c r="C370" s="9">
        <f>IFERROR(SUMIF(ENTRADAS!A:A,A370,ENTRADAS!C:C))</f>
        <v>0</v>
      </c>
      <c r="D370" s="10">
        <f>SUMIF(SALIDAS!A:A,A370,SALIDAS!C:C)</f>
        <v>0</v>
      </c>
      <c r="E370" s="10">
        <f t="shared" si="2"/>
        <v>0</v>
      </c>
      <c r="F370" s="13"/>
      <c r="G370" s="13"/>
    </row>
    <row r="371" ht="15.75" customHeight="1">
      <c r="A371" s="13"/>
      <c r="B371" s="13"/>
      <c r="C371" s="9">
        <f>IFERROR(SUMIF(ENTRADAS!A:A,A371,ENTRADAS!C:C))</f>
        <v>0</v>
      </c>
      <c r="D371" s="10">
        <f>SUMIF(SALIDAS!A:A,A371,SALIDAS!C:C)</f>
        <v>0</v>
      </c>
      <c r="E371" s="10">
        <f t="shared" si="2"/>
        <v>0</v>
      </c>
      <c r="F371" s="13"/>
      <c r="G371" s="13"/>
    </row>
    <row r="372" ht="15.75" customHeight="1">
      <c r="A372" s="13"/>
      <c r="B372" s="13"/>
      <c r="C372" s="9">
        <f>IFERROR(SUMIF(ENTRADAS!A:A,A372,ENTRADAS!C:C))</f>
        <v>0</v>
      </c>
      <c r="D372" s="10">
        <f>SUMIF(SALIDAS!A:A,A372,SALIDAS!C:C)</f>
        <v>0</v>
      </c>
      <c r="E372" s="10">
        <f t="shared" si="2"/>
        <v>0</v>
      </c>
      <c r="F372" s="13"/>
      <c r="G372" s="13"/>
    </row>
    <row r="373" ht="15.75" customHeight="1">
      <c r="A373" s="13"/>
      <c r="B373" s="13"/>
      <c r="C373" s="9">
        <f>IFERROR(SUMIF(ENTRADAS!A:A,A373,ENTRADAS!C:C))</f>
        <v>0</v>
      </c>
      <c r="D373" s="10">
        <f>SUMIF(SALIDAS!A:A,A373,SALIDAS!C:C)</f>
        <v>0</v>
      </c>
      <c r="E373" s="10">
        <f t="shared" si="2"/>
        <v>0</v>
      </c>
      <c r="F373" s="13"/>
      <c r="G373" s="13"/>
    </row>
    <row r="374" ht="15.75" customHeight="1">
      <c r="A374" s="13"/>
      <c r="B374" s="13"/>
      <c r="C374" s="9">
        <f>IFERROR(SUMIF(ENTRADAS!A:A,A374,ENTRADAS!C:C))</f>
        <v>0</v>
      </c>
      <c r="D374" s="10">
        <f>SUMIF(SALIDAS!A:A,A374,SALIDAS!C:C)</f>
        <v>0</v>
      </c>
      <c r="E374" s="10">
        <f t="shared" si="2"/>
        <v>0</v>
      </c>
      <c r="F374" s="13"/>
      <c r="G374" s="13"/>
    </row>
    <row r="375" ht="15.75" customHeight="1">
      <c r="A375" s="13"/>
      <c r="B375" s="13"/>
      <c r="C375" s="9">
        <f>IFERROR(SUMIF(ENTRADAS!A:A,A375,ENTRADAS!C:C))</f>
        <v>0</v>
      </c>
      <c r="D375" s="10">
        <f>SUMIF(SALIDAS!A:A,A375,SALIDAS!C:C)</f>
        <v>0</v>
      </c>
      <c r="E375" s="10">
        <f t="shared" si="2"/>
        <v>0</v>
      </c>
      <c r="F375" s="13"/>
      <c r="G375" s="13"/>
    </row>
    <row r="376" ht="15.75" customHeight="1">
      <c r="A376" s="13"/>
      <c r="B376" s="13"/>
      <c r="C376" s="9">
        <f>IFERROR(SUMIF(ENTRADAS!A:A,A376,ENTRADAS!C:C))</f>
        <v>0</v>
      </c>
      <c r="D376" s="10">
        <f>SUMIF(SALIDAS!A:A,A376,SALIDAS!C:C)</f>
        <v>0</v>
      </c>
      <c r="E376" s="10">
        <f t="shared" si="2"/>
        <v>0</v>
      </c>
      <c r="F376" s="13"/>
      <c r="G376" s="13"/>
    </row>
    <row r="377" ht="15.75" customHeight="1">
      <c r="A377" s="13"/>
      <c r="B377" s="13"/>
      <c r="C377" s="9">
        <f>IFERROR(SUMIF(ENTRADAS!A:A,A377,ENTRADAS!C:C))</f>
        <v>0</v>
      </c>
      <c r="D377" s="10">
        <f>SUMIF(SALIDAS!A:A,A377,SALIDAS!C:C)</f>
        <v>0</v>
      </c>
      <c r="E377" s="10">
        <f t="shared" si="2"/>
        <v>0</v>
      </c>
      <c r="F377" s="13"/>
      <c r="G377" s="13"/>
    </row>
    <row r="378" ht="15.75" customHeight="1">
      <c r="A378" s="13"/>
      <c r="B378" s="13"/>
      <c r="C378" s="9">
        <f>IFERROR(SUMIF(ENTRADAS!A:A,A378,ENTRADAS!C:C))</f>
        <v>0</v>
      </c>
      <c r="D378" s="10">
        <f>SUMIF(SALIDAS!A:A,A378,SALIDAS!C:C)</f>
        <v>0</v>
      </c>
      <c r="E378" s="10">
        <f t="shared" si="2"/>
        <v>0</v>
      </c>
      <c r="F378" s="13"/>
      <c r="G378" s="13"/>
    </row>
    <row r="379" ht="15.75" customHeight="1">
      <c r="A379" s="13"/>
      <c r="B379" s="13"/>
      <c r="C379" s="9">
        <f>IFERROR(SUMIF(ENTRADAS!A:A,A379,ENTRADAS!C:C))</f>
        <v>0</v>
      </c>
      <c r="D379" s="10">
        <f>SUMIF(SALIDAS!A:A,A379,SALIDAS!C:C)</f>
        <v>0</v>
      </c>
      <c r="E379" s="10">
        <f t="shared" si="2"/>
        <v>0</v>
      </c>
      <c r="F379" s="13"/>
      <c r="G379" s="13"/>
    </row>
    <row r="380" ht="15.75" customHeight="1">
      <c r="A380" s="13"/>
      <c r="B380" s="13"/>
      <c r="C380" s="9">
        <f>IFERROR(SUMIF(ENTRADAS!A:A,A380,ENTRADAS!C:C))</f>
        <v>0</v>
      </c>
      <c r="D380" s="10">
        <f>SUMIF(SALIDAS!A:A,A380,SALIDAS!C:C)</f>
        <v>0</v>
      </c>
      <c r="E380" s="10">
        <f t="shared" si="2"/>
        <v>0</v>
      </c>
      <c r="F380" s="20"/>
      <c r="G380" s="20"/>
    </row>
    <row r="381" ht="15.75" customHeight="1">
      <c r="A381" s="13"/>
      <c r="B381" s="13"/>
      <c r="C381" s="9">
        <f>IFERROR(SUMIF(ENTRADAS!A:A,A381,ENTRADAS!C:C))</f>
        <v>0</v>
      </c>
      <c r="D381" s="10">
        <f>SUMIF(SALIDAS!A:A,A381,SALIDAS!C:C)</f>
        <v>0</v>
      </c>
      <c r="E381" s="10">
        <f t="shared" si="2"/>
        <v>0</v>
      </c>
      <c r="F381" s="12"/>
      <c r="G381" s="12"/>
    </row>
    <row r="382" ht="15.75" customHeight="1">
      <c r="A382" s="13"/>
      <c r="B382" s="13"/>
      <c r="C382" s="9">
        <f>IFERROR(SUMIF(ENTRADAS!A:A,A382,ENTRADAS!C:C))</f>
        <v>0</v>
      </c>
      <c r="D382" s="10">
        <f>SUMIF(SALIDAS!A:A,A382,SALIDAS!C:C)</f>
        <v>0</v>
      </c>
      <c r="E382" s="10">
        <f t="shared" si="2"/>
        <v>0</v>
      </c>
      <c r="F382" s="12"/>
      <c r="G382" s="12"/>
    </row>
    <row r="383" ht="15.75" customHeight="1">
      <c r="A383" s="13"/>
      <c r="B383" s="13"/>
      <c r="C383" s="9">
        <f>IFERROR(SUMIF(ENTRADAS!A:A,A383,ENTRADAS!C:C))</f>
        <v>0</v>
      </c>
      <c r="D383" s="10">
        <f>SUMIF(SALIDAS!A:A,A383,SALIDAS!C:C)</f>
        <v>0</v>
      </c>
      <c r="E383" s="10">
        <f t="shared" si="2"/>
        <v>0</v>
      </c>
      <c r="F383" s="12"/>
      <c r="G383" s="12"/>
    </row>
    <row r="384" ht="15.75" customHeight="1">
      <c r="A384" s="13"/>
      <c r="B384" s="13"/>
      <c r="C384" s="9">
        <f>IFERROR(SUMIF(ENTRADAS!A:A,A384,ENTRADAS!C:C))</f>
        <v>0</v>
      </c>
      <c r="D384" s="10">
        <f>SUMIF(SALIDAS!A:A,A384,SALIDAS!C:C)</f>
        <v>0</v>
      </c>
      <c r="E384" s="10">
        <f t="shared" si="2"/>
        <v>0</v>
      </c>
      <c r="F384" s="12"/>
      <c r="G384" s="12"/>
    </row>
    <row r="385" ht="15.75" customHeight="1">
      <c r="A385" s="13"/>
      <c r="B385" s="13"/>
      <c r="C385" s="9">
        <f>IFERROR(SUMIF(ENTRADAS!A:A,A385,ENTRADAS!C:C))</f>
        <v>0</v>
      </c>
      <c r="D385" s="10">
        <f>SUMIF(SALIDAS!A:A,A385,SALIDAS!C:C)</f>
        <v>0</v>
      </c>
      <c r="E385" s="10">
        <f t="shared" si="2"/>
        <v>0</v>
      </c>
      <c r="F385" s="12"/>
      <c r="G385" s="12"/>
    </row>
    <row r="386" ht="15.75" customHeight="1">
      <c r="A386" s="13"/>
      <c r="B386" s="13"/>
      <c r="C386" s="9">
        <f>IFERROR(SUMIF(ENTRADAS!A:A,A386,ENTRADAS!C:C))</f>
        <v>0</v>
      </c>
      <c r="D386" s="10">
        <f>SUMIF(SALIDAS!A:A,A386,SALIDAS!C:C)</f>
        <v>0</v>
      </c>
      <c r="E386" s="10">
        <f t="shared" si="2"/>
        <v>0</v>
      </c>
      <c r="F386" s="12"/>
      <c r="G386" s="12"/>
    </row>
    <row r="387" ht="15.75" customHeight="1">
      <c r="A387" s="13"/>
      <c r="B387" s="13"/>
      <c r="C387" s="9">
        <f>IFERROR(SUMIF(ENTRADAS!A:A,A387,ENTRADAS!C:C))</f>
        <v>0</v>
      </c>
      <c r="D387" s="10">
        <f>SUMIF(SALIDAS!A:A,A387,SALIDAS!C:C)</f>
        <v>0</v>
      </c>
      <c r="E387" s="10">
        <f t="shared" si="2"/>
        <v>0</v>
      </c>
      <c r="F387" s="12"/>
      <c r="G387" s="12"/>
    </row>
    <row r="388" ht="15.75" customHeight="1">
      <c r="A388" s="13"/>
      <c r="B388" s="13"/>
      <c r="C388" s="9">
        <f>IFERROR(SUMIF(ENTRADAS!A:A,A388,ENTRADAS!C:C))</f>
        <v>0</v>
      </c>
      <c r="D388" s="10">
        <f>SUMIF(SALIDAS!A:A,A388,SALIDAS!C:C)</f>
        <v>0</v>
      </c>
      <c r="E388" s="10">
        <f t="shared" si="2"/>
        <v>0</v>
      </c>
      <c r="F388" s="12"/>
      <c r="G388" s="12"/>
    </row>
    <row r="389" ht="15.75" customHeight="1">
      <c r="A389" s="13"/>
      <c r="B389" s="13"/>
      <c r="C389" s="9">
        <f>IFERROR(SUMIF(ENTRADAS!A:A,A389,ENTRADAS!C:C))</f>
        <v>0</v>
      </c>
      <c r="D389" s="10">
        <f>SUMIF(SALIDAS!A:A,A389,SALIDAS!C:C)</f>
        <v>0</v>
      </c>
      <c r="E389" s="10">
        <f t="shared" si="2"/>
        <v>0</v>
      </c>
      <c r="F389" s="12"/>
      <c r="G389" s="12"/>
    </row>
    <row r="390" ht="15.75" customHeight="1">
      <c r="A390" s="13"/>
      <c r="B390" s="13"/>
      <c r="C390" s="9">
        <f>IFERROR(SUMIF(ENTRADAS!A:A,A390,ENTRADAS!C:C))</f>
        <v>0</v>
      </c>
      <c r="D390" s="10">
        <f>SUMIF(SALIDAS!A:A,A390,SALIDAS!C:C)</f>
        <v>0</v>
      </c>
      <c r="E390" s="10">
        <f t="shared" si="2"/>
        <v>0</v>
      </c>
      <c r="F390" s="12"/>
      <c r="G390" s="12"/>
    </row>
    <row r="391" ht="15.75" customHeight="1">
      <c r="A391" s="13"/>
      <c r="B391" s="13"/>
      <c r="C391" s="9">
        <f>IFERROR(SUMIF(ENTRADAS!A:A,A391,ENTRADAS!C:C))</f>
        <v>0</v>
      </c>
      <c r="D391" s="10">
        <f>SUMIF(SALIDAS!A:A,A391,SALIDAS!C:C)</f>
        <v>0</v>
      </c>
      <c r="E391" s="10">
        <f t="shared" si="2"/>
        <v>0</v>
      </c>
      <c r="F391" s="12"/>
      <c r="G391" s="12"/>
    </row>
    <row r="392" ht="15.75" customHeight="1">
      <c r="A392" s="13"/>
      <c r="B392" s="13"/>
      <c r="C392" s="9">
        <f>IFERROR(SUMIF(ENTRADAS!A:A,A392,ENTRADAS!C:C))</f>
        <v>0</v>
      </c>
      <c r="D392" s="10">
        <f>SUMIF(SALIDAS!A:A,A392,SALIDAS!C:C)</f>
        <v>0</v>
      </c>
      <c r="E392" s="10">
        <f t="shared" si="2"/>
        <v>0</v>
      </c>
      <c r="F392" s="12"/>
      <c r="G392" s="12"/>
    </row>
    <row r="393" ht="15.75" customHeight="1">
      <c r="A393" s="13"/>
      <c r="B393" s="13"/>
      <c r="C393" s="9">
        <f>IFERROR(SUMIF(ENTRADAS!A:A,A393,ENTRADAS!C:C))</f>
        <v>0</v>
      </c>
      <c r="D393" s="10">
        <f>SUMIF(SALIDAS!A:A,A393,SALIDAS!C:C)</f>
        <v>0</v>
      </c>
      <c r="E393" s="10">
        <f t="shared" si="2"/>
        <v>0</v>
      </c>
      <c r="F393" s="12"/>
      <c r="G393" s="12"/>
    </row>
    <row r="394" ht="15.75" customHeight="1">
      <c r="A394" s="13"/>
      <c r="B394" s="13"/>
      <c r="C394" s="9">
        <f>IFERROR(SUMIF(ENTRADAS!A:A,A394,ENTRADAS!C:C))</f>
        <v>0</v>
      </c>
      <c r="D394" s="10">
        <f>SUMIF(SALIDAS!A:A,A394,SALIDAS!C:C)</f>
        <v>0</v>
      </c>
      <c r="E394" s="10">
        <f t="shared" si="2"/>
        <v>0</v>
      </c>
      <c r="F394" s="12"/>
      <c r="G394" s="12"/>
    </row>
    <row r="395" ht="15.75" customHeight="1">
      <c r="A395" s="13"/>
      <c r="B395" s="13"/>
      <c r="C395" s="9">
        <f>IFERROR(SUMIF(ENTRADAS!A:A,A395,ENTRADAS!C:C))</f>
        <v>0</v>
      </c>
      <c r="D395" s="10">
        <f>SUMIF(SALIDAS!A:A,A395,SALIDAS!C:C)</f>
        <v>0</v>
      </c>
      <c r="E395" s="10">
        <f t="shared" si="2"/>
        <v>0</v>
      </c>
      <c r="F395" s="12"/>
      <c r="G395" s="12"/>
    </row>
    <row r="396" ht="15.75" customHeight="1">
      <c r="A396" s="13"/>
      <c r="B396" s="13"/>
      <c r="C396" s="9">
        <f>IFERROR(SUMIF(ENTRADAS!A:A,A396,ENTRADAS!C:C))</f>
        <v>0</v>
      </c>
      <c r="D396" s="10">
        <f>SUMIF(SALIDAS!A:A,A396,SALIDAS!C:C)</f>
        <v>0</v>
      </c>
      <c r="E396" s="10">
        <f t="shared" si="2"/>
        <v>0</v>
      </c>
      <c r="F396" s="12"/>
      <c r="G396" s="12"/>
    </row>
    <row r="397" ht="15.75" customHeight="1">
      <c r="A397" s="13"/>
      <c r="B397" s="13"/>
      <c r="C397" s="9">
        <f>IFERROR(SUMIF(ENTRADAS!A:A,A397,ENTRADAS!C:C))</f>
        <v>0</v>
      </c>
      <c r="D397" s="10">
        <f>SUMIF(SALIDAS!A:A,A397,SALIDAS!C:C)</f>
        <v>0</v>
      </c>
      <c r="E397" s="10">
        <f t="shared" si="2"/>
        <v>0</v>
      </c>
      <c r="F397" s="12"/>
      <c r="G397" s="12"/>
    </row>
    <row r="398" ht="15.75" customHeight="1">
      <c r="A398" s="13"/>
      <c r="B398" s="13"/>
      <c r="C398" s="9">
        <f>IFERROR(SUMIF(ENTRADAS!A:A,A398,ENTRADAS!C:C))</f>
        <v>0</v>
      </c>
      <c r="D398" s="10">
        <f>SUMIF(SALIDAS!A:A,A398,SALIDAS!C:C)</f>
        <v>0</v>
      </c>
      <c r="E398" s="10">
        <f t="shared" si="2"/>
        <v>0</v>
      </c>
      <c r="F398" s="13"/>
      <c r="G398" s="13"/>
    </row>
    <row r="399" ht="15.75" customHeight="1">
      <c r="A399" s="13"/>
      <c r="B399" s="13"/>
      <c r="C399" s="9">
        <f>IFERROR(SUMIF(ENTRADAS!A:A,A399,ENTRADAS!C:C))</f>
        <v>0</v>
      </c>
      <c r="D399" s="10">
        <f>SUMIF(SALIDAS!A:A,A399,SALIDAS!C:C)</f>
        <v>0</v>
      </c>
      <c r="E399" s="10">
        <f t="shared" si="2"/>
        <v>0</v>
      </c>
      <c r="F399" s="13"/>
      <c r="G399" s="13"/>
    </row>
    <row r="400" ht="15.75" customHeight="1">
      <c r="A400" s="13"/>
      <c r="B400" s="13"/>
      <c r="C400" s="9">
        <f>IFERROR(SUMIF(ENTRADAS!A:A,A400,ENTRADAS!C:C))</f>
        <v>0</v>
      </c>
      <c r="D400" s="10">
        <f>SUMIF(SALIDAS!A:A,A400,SALIDAS!C:C)</f>
        <v>0</v>
      </c>
      <c r="E400" s="10">
        <f t="shared" si="2"/>
        <v>0</v>
      </c>
      <c r="F400" s="13"/>
      <c r="G400" s="13"/>
    </row>
    <row r="401" ht="15.75" customHeight="1">
      <c r="A401" s="13"/>
      <c r="B401" s="13"/>
      <c r="C401" s="9">
        <f>IFERROR(SUMIF(ENTRADAS!A:A,A401,ENTRADAS!C:C))</f>
        <v>0</v>
      </c>
      <c r="D401" s="10">
        <f>SUMIF(SALIDAS!A:A,A401,SALIDAS!C:C)</f>
        <v>0</v>
      </c>
      <c r="E401" s="10">
        <f t="shared" si="2"/>
        <v>0</v>
      </c>
      <c r="F401" s="12"/>
      <c r="G401" s="12"/>
    </row>
    <row r="402" ht="15.75" customHeight="1">
      <c r="A402" s="13"/>
      <c r="B402" s="13"/>
      <c r="C402" s="9">
        <f>IFERROR(SUMIF(ENTRADAS!A:A,A402,ENTRADAS!C:C))</f>
        <v>0</v>
      </c>
      <c r="D402" s="10">
        <f>SUMIF(SALIDAS!A:A,A402,SALIDAS!C:C)</f>
        <v>0</v>
      </c>
      <c r="E402" s="10">
        <f t="shared" si="2"/>
        <v>0</v>
      </c>
      <c r="F402" s="12"/>
      <c r="G402" s="12"/>
    </row>
    <row r="403" ht="15.75" customHeight="1">
      <c r="A403" s="13"/>
      <c r="B403" s="13"/>
      <c r="C403" s="9">
        <f>IFERROR(SUMIF(ENTRADAS!A:A,A403,ENTRADAS!C:C))</f>
        <v>0</v>
      </c>
      <c r="D403" s="10">
        <f>SUMIF(SALIDAS!A:A,A403,SALIDAS!C:C)</f>
        <v>0</v>
      </c>
      <c r="E403" s="10">
        <f t="shared" si="2"/>
        <v>0</v>
      </c>
      <c r="F403" s="13"/>
      <c r="G403" s="13"/>
    </row>
    <row r="404" ht="15.75" customHeight="1">
      <c r="A404" s="13"/>
      <c r="B404" s="13"/>
      <c r="C404" s="9">
        <f>IFERROR(SUMIF(ENTRADAS!A:A,A404,ENTRADAS!C:C))</f>
        <v>0</v>
      </c>
      <c r="D404" s="10">
        <f>SUMIF(SALIDAS!A:A,A404,SALIDAS!C:C)</f>
        <v>0</v>
      </c>
      <c r="E404" s="10">
        <f t="shared" si="2"/>
        <v>0</v>
      </c>
      <c r="F404" s="13"/>
      <c r="G404" s="13"/>
    </row>
    <row r="405" ht="15.75" customHeight="1">
      <c r="A405" s="13"/>
      <c r="B405" s="13"/>
      <c r="C405" s="9">
        <f>IFERROR(SUMIF(ENTRADAS!A:A,A405,ENTRADAS!C:C))</f>
        <v>0</v>
      </c>
      <c r="D405" s="10">
        <f>SUMIF(SALIDAS!A:A,A405,SALIDAS!C:C)</f>
        <v>0</v>
      </c>
      <c r="E405" s="10">
        <f t="shared" si="2"/>
        <v>0</v>
      </c>
      <c r="F405" s="13"/>
      <c r="G405" s="13"/>
    </row>
    <row r="406" ht="15.75" customHeight="1">
      <c r="A406" s="13"/>
      <c r="B406" s="13"/>
      <c r="C406" s="9">
        <f>IFERROR(SUMIF(ENTRADAS!A:A,A406,ENTRADAS!C:C))</f>
        <v>0</v>
      </c>
      <c r="D406" s="10">
        <f>SUMIF(SALIDAS!A:A,A406,SALIDAS!C:C)</f>
        <v>0</v>
      </c>
      <c r="E406" s="10">
        <f t="shared" si="2"/>
        <v>0</v>
      </c>
      <c r="F406" s="13"/>
      <c r="G406" s="13"/>
    </row>
    <row r="407" ht="15.75" customHeight="1">
      <c r="A407" s="13"/>
      <c r="B407" s="13"/>
      <c r="C407" s="9">
        <f>IFERROR(SUMIF(ENTRADAS!A:A,A407,ENTRADAS!C:C))</f>
        <v>0</v>
      </c>
      <c r="D407" s="10">
        <f>SUMIF(SALIDAS!A:A,A407,SALIDAS!C:C)</f>
        <v>0</v>
      </c>
      <c r="E407" s="10">
        <f t="shared" si="2"/>
        <v>0</v>
      </c>
      <c r="F407" s="13"/>
      <c r="G407" s="13"/>
    </row>
    <row r="408" ht="15.75" customHeight="1">
      <c r="A408" s="13"/>
      <c r="B408" s="13"/>
      <c r="C408" s="9">
        <f>IFERROR(SUMIF(ENTRADAS!A:A,A408,ENTRADAS!C:C))</f>
        <v>0</v>
      </c>
      <c r="D408" s="10">
        <f>SUMIF(SALIDAS!A:A,A408,SALIDAS!C:C)</f>
        <v>0</v>
      </c>
      <c r="E408" s="10">
        <f t="shared" si="2"/>
        <v>0</v>
      </c>
      <c r="F408" s="13"/>
      <c r="G408" s="13"/>
    </row>
    <row r="409" ht="15.75" customHeight="1">
      <c r="A409" s="13"/>
      <c r="B409" s="13"/>
      <c r="C409" s="9">
        <f>IFERROR(SUMIF(ENTRADAS!A:A,A409,ENTRADAS!C:C))</f>
        <v>0</v>
      </c>
      <c r="D409" s="10">
        <f>SUMIF(SALIDAS!A:A,A409,SALIDAS!C:C)</f>
        <v>0</v>
      </c>
      <c r="E409" s="10">
        <f t="shared" si="2"/>
        <v>0</v>
      </c>
      <c r="F409" s="13"/>
      <c r="G409" s="13"/>
    </row>
    <row r="410" ht="15.75" customHeight="1">
      <c r="A410" s="13"/>
      <c r="B410" s="13"/>
      <c r="C410" s="9">
        <f>IFERROR(SUMIF(ENTRADAS!A:A,A410,ENTRADAS!C:C))</f>
        <v>0</v>
      </c>
      <c r="D410" s="10">
        <f>SUMIF(SALIDAS!A:A,A410,SALIDAS!C:C)</f>
        <v>0</v>
      </c>
      <c r="E410" s="10">
        <f t="shared" si="2"/>
        <v>0</v>
      </c>
      <c r="F410" s="13"/>
      <c r="G410" s="13"/>
    </row>
    <row r="411" ht="15.75" customHeight="1">
      <c r="A411" s="13"/>
      <c r="B411" s="13"/>
      <c r="C411" s="9">
        <f>IFERROR(SUMIF(ENTRADAS!A:A,A411,ENTRADAS!C:C))</f>
        <v>0</v>
      </c>
      <c r="D411" s="10">
        <f>SUMIF(SALIDAS!A:A,A411,SALIDAS!C:C)</f>
        <v>0</v>
      </c>
      <c r="E411" s="10">
        <f t="shared" si="2"/>
        <v>0</v>
      </c>
      <c r="F411" s="13"/>
      <c r="G411" s="13"/>
    </row>
    <row r="412" ht="15.75" customHeight="1">
      <c r="A412" s="13"/>
      <c r="B412" s="13"/>
      <c r="C412" s="9">
        <f>IFERROR(SUMIF(ENTRADAS!A:A,A412,ENTRADAS!C:C))</f>
        <v>0</v>
      </c>
      <c r="D412" s="10">
        <f>SUMIF(SALIDAS!A:A,A412,SALIDAS!C:C)</f>
        <v>0</v>
      </c>
      <c r="E412" s="10">
        <f t="shared" si="2"/>
        <v>0</v>
      </c>
      <c r="F412" s="13"/>
      <c r="G412" s="13"/>
    </row>
    <row r="413" ht="15.75" customHeight="1">
      <c r="A413" s="13"/>
      <c r="B413" s="13"/>
      <c r="C413" s="9">
        <f>IFERROR(SUMIF(ENTRADAS!A:A,A413,ENTRADAS!C:C))</f>
        <v>0</v>
      </c>
      <c r="D413" s="10">
        <f>SUMIF(SALIDAS!A:A,A413,SALIDAS!C:C)</f>
        <v>0</v>
      </c>
      <c r="E413" s="10">
        <f t="shared" si="2"/>
        <v>0</v>
      </c>
      <c r="F413" s="13"/>
      <c r="G413" s="13"/>
    </row>
    <row r="414" ht="15.75" customHeight="1">
      <c r="A414" s="13"/>
      <c r="B414" s="13"/>
      <c r="C414" s="9">
        <f>IFERROR(SUMIF(ENTRADAS!A:A,A414,ENTRADAS!C:C))</f>
        <v>0</v>
      </c>
      <c r="D414" s="10">
        <f>SUMIF(SALIDAS!A:A,A414,SALIDAS!C:C)</f>
        <v>0</v>
      </c>
      <c r="E414" s="10">
        <f t="shared" si="2"/>
        <v>0</v>
      </c>
      <c r="F414" s="13"/>
      <c r="G414" s="13"/>
    </row>
    <row r="415" ht="15.75" customHeight="1">
      <c r="A415" s="13"/>
      <c r="B415" s="13"/>
      <c r="C415" s="9">
        <f>IFERROR(SUMIF(ENTRADAS!A:A,A415,ENTRADAS!C:C))</f>
        <v>0</v>
      </c>
      <c r="D415" s="10">
        <f>SUMIF(SALIDAS!A:A,A415,SALIDAS!C:C)</f>
        <v>0</v>
      </c>
      <c r="E415" s="10">
        <f t="shared" si="2"/>
        <v>0</v>
      </c>
      <c r="F415" s="13"/>
      <c r="G415" s="13"/>
    </row>
    <row r="416" ht="15.75" customHeight="1">
      <c r="A416" s="13"/>
      <c r="B416" s="13"/>
      <c r="C416" s="9">
        <f>IFERROR(SUMIF(ENTRADAS!A:A,A416,ENTRADAS!C:C))</f>
        <v>0</v>
      </c>
      <c r="D416" s="10">
        <f>SUMIF(SALIDAS!A:A,A416,SALIDAS!C:C)</f>
        <v>0</v>
      </c>
      <c r="E416" s="10">
        <f t="shared" si="2"/>
        <v>0</v>
      </c>
      <c r="F416" s="13"/>
      <c r="G416" s="13"/>
    </row>
    <row r="417" ht="15.75" customHeight="1">
      <c r="A417" s="13"/>
      <c r="B417" s="13"/>
      <c r="C417" s="9">
        <f>IFERROR(SUMIF(ENTRADAS!A:A,A417,ENTRADAS!C:C))</f>
        <v>0</v>
      </c>
      <c r="D417" s="10">
        <f>SUMIF(SALIDAS!A:A,A417,SALIDAS!C:C)</f>
        <v>0</v>
      </c>
      <c r="E417" s="10">
        <f t="shared" si="2"/>
        <v>0</v>
      </c>
      <c r="F417" s="13"/>
      <c r="G417" s="13"/>
    </row>
    <row r="418" ht="15.75" customHeight="1">
      <c r="A418" s="13"/>
      <c r="B418" s="13"/>
      <c r="C418" s="9">
        <f>IFERROR(SUMIF(ENTRADAS!A:A,A418,ENTRADAS!C:C))</f>
        <v>0</v>
      </c>
      <c r="D418" s="10">
        <f>SUMIF(SALIDAS!A:A,A418,SALIDAS!C:C)</f>
        <v>0</v>
      </c>
      <c r="E418" s="10">
        <f t="shared" si="2"/>
        <v>0</v>
      </c>
      <c r="F418" s="13"/>
      <c r="G418" s="13"/>
    </row>
    <row r="419" ht="15.75" customHeight="1">
      <c r="A419" s="13"/>
      <c r="B419" s="13"/>
      <c r="C419" s="9">
        <f>IFERROR(SUMIF(ENTRADAS!A:A,A419,ENTRADAS!C:C))</f>
        <v>0</v>
      </c>
      <c r="D419" s="10">
        <f>SUMIF(SALIDAS!A:A,A419,SALIDAS!C:C)</f>
        <v>0</v>
      </c>
      <c r="E419" s="10">
        <f t="shared" si="2"/>
        <v>0</v>
      </c>
      <c r="F419" s="13"/>
      <c r="G419" s="13"/>
    </row>
    <row r="420" ht="15.75" customHeight="1">
      <c r="A420" s="13"/>
      <c r="B420" s="13"/>
      <c r="C420" s="9">
        <f>IFERROR(SUMIF(ENTRADAS!A:A,A420,ENTRADAS!C:C))</f>
        <v>0</v>
      </c>
      <c r="D420" s="10">
        <f>SUMIF(SALIDAS!A:A,A420,SALIDAS!C:C)</f>
        <v>0</v>
      </c>
      <c r="E420" s="10">
        <f t="shared" si="2"/>
        <v>0</v>
      </c>
      <c r="F420" s="13"/>
      <c r="G420" s="13"/>
    </row>
    <row r="421" ht="15.75" customHeight="1">
      <c r="A421" s="13"/>
      <c r="B421" s="13"/>
      <c r="C421" s="9">
        <f>IFERROR(SUMIF(ENTRADAS!A:A,A421,ENTRADAS!C:C))</f>
        <v>0</v>
      </c>
      <c r="D421" s="10">
        <f>SUMIF(SALIDAS!A:A,A421,SALIDAS!C:C)</f>
        <v>0</v>
      </c>
      <c r="E421" s="10">
        <f t="shared" si="2"/>
        <v>0</v>
      </c>
      <c r="F421" s="13"/>
      <c r="G421" s="13"/>
    </row>
    <row r="422" ht="15.75" customHeight="1">
      <c r="A422" s="13"/>
      <c r="B422" s="13"/>
      <c r="C422" s="9">
        <f>IFERROR(SUMIF(ENTRADAS!A:A,A422,ENTRADAS!C:C))</f>
        <v>0</v>
      </c>
      <c r="D422" s="10">
        <f>SUMIF(SALIDAS!A:A,A422,SALIDAS!C:C)</f>
        <v>0</v>
      </c>
      <c r="E422" s="10">
        <f t="shared" si="2"/>
        <v>0</v>
      </c>
      <c r="F422" s="13"/>
      <c r="G422" s="13"/>
    </row>
    <row r="423" ht="15.75" customHeight="1">
      <c r="A423" s="13"/>
      <c r="B423" s="13"/>
      <c r="C423" s="9">
        <f>IFERROR(SUMIF(ENTRADAS!A:A,A423,ENTRADAS!C:C))</f>
        <v>0</v>
      </c>
      <c r="D423" s="10">
        <f>SUMIF(SALIDAS!A:A,A423,SALIDAS!C:C)</f>
        <v>0</v>
      </c>
      <c r="E423" s="10">
        <f t="shared" si="2"/>
        <v>0</v>
      </c>
      <c r="F423" s="13"/>
      <c r="G423" s="13"/>
    </row>
    <row r="424" ht="15.75" customHeight="1">
      <c r="A424" s="13"/>
      <c r="B424" s="13"/>
      <c r="C424" s="9">
        <f>IFERROR(SUMIF(ENTRADAS!A:A,A424,ENTRADAS!C:C))</f>
        <v>0</v>
      </c>
      <c r="D424" s="10">
        <f>SUMIF(SALIDAS!A:A,A424,SALIDAS!C:C)</f>
        <v>0</v>
      </c>
      <c r="E424" s="10">
        <f t="shared" si="2"/>
        <v>0</v>
      </c>
      <c r="F424" s="13"/>
      <c r="G424" s="13"/>
    </row>
    <row r="425" ht="15.75" customHeight="1">
      <c r="A425" s="13"/>
      <c r="B425" s="13"/>
      <c r="C425" s="9">
        <f>IFERROR(SUMIF(ENTRADAS!A:A,A425,ENTRADAS!C:C))</f>
        <v>0</v>
      </c>
      <c r="D425" s="10">
        <f>SUMIF(SALIDAS!A:A,A425,SALIDAS!C:C)</f>
        <v>0</v>
      </c>
      <c r="E425" s="10">
        <f t="shared" si="2"/>
        <v>0</v>
      </c>
      <c r="F425" s="13"/>
      <c r="G425" s="13"/>
    </row>
    <row r="426" ht="15.75" customHeight="1">
      <c r="A426" s="13"/>
      <c r="B426" s="13"/>
      <c r="C426" s="9">
        <f>IFERROR(SUMIF(ENTRADAS!A:A,A426,ENTRADAS!C:C))</f>
        <v>0</v>
      </c>
      <c r="D426" s="10">
        <f>SUMIF(SALIDAS!A:A,A426,SALIDAS!C:C)</f>
        <v>0</v>
      </c>
      <c r="E426" s="10">
        <f t="shared" si="2"/>
        <v>0</v>
      </c>
      <c r="F426" s="13"/>
      <c r="G426" s="13"/>
    </row>
    <row r="427" ht="15.75" customHeight="1">
      <c r="A427" s="13"/>
      <c r="B427" s="13"/>
      <c r="C427" s="9">
        <f>IFERROR(SUMIF(ENTRADAS!A:A,A427,ENTRADAS!C:C))</f>
        <v>0</v>
      </c>
      <c r="D427" s="10">
        <f>SUMIF(SALIDAS!A:A,A427,SALIDAS!C:C)</f>
        <v>0</v>
      </c>
      <c r="E427" s="10">
        <f t="shared" si="2"/>
        <v>0</v>
      </c>
      <c r="F427" s="13"/>
      <c r="G427" s="13"/>
    </row>
    <row r="428" ht="15.75" customHeight="1">
      <c r="A428" s="13"/>
      <c r="B428" s="13"/>
      <c r="C428" s="9">
        <f>IFERROR(SUMIF(ENTRADAS!A:A,A428,ENTRADAS!C:C))</f>
        <v>0</v>
      </c>
      <c r="D428" s="10">
        <f>SUMIF(SALIDAS!A:A,A428,SALIDAS!C:C)</f>
        <v>0</v>
      </c>
      <c r="E428" s="10">
        <f t="shared" si="2"/>
        <v>0</v>
      </c>
      <c r="F428" s="13"/>
      <c r="G428" s="13"/>
    </row>
    <row r="429" ht="15.75" customHeight="1">
      <c r="A429" s="13"/>
      <c r="B429" s="13"/>
      <c r="C429" s="9">
        <f>IFERROR(SUMIF(ENTRADAS!A:A,A429,ENTRADAS!C:C))</f>
        <v>0</v>
      </c>
      <c r="D429" s="10">
        <f>SUMIF(SALIDAS!A:A,A429,SALIDAS!C:C)</f>
        <v>0</v>
      </c>
      <c r="E429" s="10">
        <f t="shared" si="2"/>
        <v>0</v>
      </c>
      <c r="F429" s="13"/>
      <c r="G429" s="13"/>
    </row>
    <row r="430" ht="15.75" customHeight="1">
      <c r="A430" s="13"/>
      <c r="B430" s="13"/>
      <c r="C430" s="9">
        <f>IFERROR(SUMIF(ENTRADAS!A:A,A430,ENTRADAS!C:C))</f>
        <v>0</v>
      </c>
      <c r="D430" s="10">
        <f>SUMIF(SALIDAS!A:A,A430,SALIDAS!C:C)</f>
        <v>0</v>
      </c>
      <c r="E430" s="10">
        <f t="shared" si="2"/>
        <v>0</v>
      </c>
      <c r="F430" s="13"/>
      <c r="G430" s="13"/>
    </row>
    <row r="431" ht="15.75" customHeight="1">
      <c r="A431" s="13"/>
      <c r="B431" s="13"/>
      <c r="C431" s="9">
        <f>IFERROR(SUMIF(ENTRADAS!A:A,A431,ENTRADAS!C:C))</f>
        <v>0</v>
      </c>
      <c r="D431" s="10">
        <f>SUMIF(SALIDAS!A:A,A431,SALIDAS!C:C)</f>
        <v>0</v>
      </c>
      <c r="E431" s="10">
        <f t="shared" si="2"/>
        <v>0</v>
      </c>
      <c r="F431" s="13"/>
      <c r="G431" s="13"/>
    </row>
    <row r="432" ht="15.75" customHeight="1">
      <c r="A432" s="13"/>
      <c r="B432" s="13"/>
      <c r="C432" s="9">
        <f>IFERROR(SUMIF(ENTRADAS!A:A,A432,ENTRADAS!C:C))</f>
        <v>0</v>
      </c>
      <c r="D432" s="10">
        <f>SUMIF(SALIDAS!A:A,A432,SALIDAS!C:C)</f>
        <v>0</v>
      </c>
      <c r="E432" s="10">
        <f t="shared" si="2"/>
        <v>0</v>
      </c>
      <c r="F432" s="13"/>
      <c r="G432" s="13"/>
    </row>
    <row r="433" ht="15.75" customHeight="1">
      <c r="A433" s="13"/>
      <c r="B433" s="13"/>
      <c r="C433" s="9">
        <f>IFERROR(SUMIF(ENTRADAS!A:A,A433,ENTRADAS!C:C))</f>
        <v>0</v>
      </c>
      <c r="D433" s="10">
        <f>SUMIF(SALIDAS!A:A,A433,SALIDAS!C:C)</f>
        <v>0</v>
      </c>
      <c r="E433" s="10">
        <f t="shared" si="2"/>
        <v>0</v>
      </c>
      <c r="F433" s="13"/>
      <c r="G433" s="13"/>
    </row>
    <row r="434" ht="15.75" customHeight="1">
      <c r="A434" s="13"/>
      <c r="B434" s="13"/>
      <c r="C434" s="9">
        <f>IFERROR(SUMIF(ENTRADAS!A:A,A434,ENTRADAS!C:C))</f>
        <v>0</v>
      </c>
      <c r="D434" s="10">
        <f>SUMIF(SALIDAS!A:A,A434,SALIDAS!C:C)</f>
        <v>0</v>
      </c>
      <c r="E434" s="10">
        <f t="shared" si="2"/>
        <v>0</v>
      </c>
      <c r="F434" s="13"/>
      <c r="G434" s="13"/>
    </row>
    <row r="435" ht="15.75" customHeight="1">
      <c r="A435" s="13"/>
      <c r="B435" s="13"/>
      <c r="C435" s="9">
        <f>IFERROR(SUMIF(ENTRADAS!A:A,A435,ENTRADAS!C:C))</f>
        <v>0</v>
      </c>
      <c r="D435" s="10">
        <f>SUMIF(SALIDAS!A:A,A435,SALIDAS!C:C)</f>
        <v>0</v>
      </c>
      <c r="E435" s="10">
        <f t="shared" si="2"/>
        <v>0</v>
      </c>
      <c r="F435" s="13"/>
      <c r="G435" s="13"/>
    </row>
    <row r="436" ht="15.75" customHeight="1">
      <c r="A436" s="13"/>
      <c r="B436" s="13"/>
      <c r="C436" s="9">
        <f>IFERROR(SUMIF(ENTRADAS!A:A,A436,ENTRADAS!C:C))</f>
        <v>0</v>
      </c>
      <c r="D436" s="10">
        <f>SUMIF(SALIDAS!A:A,A436,SALIDAS!C:C)</f>
        <v>0</v>
      </c>
      <c r="E436" s="10">
        <f t="shared" si="2"/>
        <v>0</v>
      </c>
      <c r="F436" s="13"/>
      <c r="G436" s="13"/>
    </row>
    <row r="437" ht="15.75" customHeight="1">
      <c r="A437" s="13"/>
      <c r="B437" s="13"/>
      <c r="C437" s="9">
        <f>IFERROR(SUMIF(ENTRADAS!A:A,A437,ENTRADAS!C:C))</f>
        <v>0</v>
      </c>
      <c r="D437" s="10">
        <f>SUMIF(SALIDAS!A:A,A437,SALIDAS!C:C)</f>
        <v>0</v>
      </c>
      <c r="E437" s="10">
        <f t="shared" si="2"/>
        <v>0</v>
      </c>
      <c r="F437" s="13"/>
      <c r="G437" s="13"/>
    </row>
    <row r="438" ht="15.75" customHeight="1">
      <c r="A438" s="13"/>
      <c r="B438" s="13"/>
      <c r="C438" s="9">
        <f>IFERROR(SUMIF(ENTRADAS!A:A,A438,ENTRADAS!C:C))</f>
        <v>0</v>
      </c>
      <c r="D438" s="10">
        <f>SUMIF(SALIDAS!A:A,A438,SALIDAS!C:C)</f>
        <v>0</v>
      </c>
      <c r="E438" s="10">
        <f t="shared" si="2"/>
        <v>0</v>
      </c>
      <c r="F438" s="13"/>
      <c r="G438" s="13"/>
    </row>
    <row r="439" ht="15.75" customHeight="1">
      <c r="A439" s="13"/>
      <c r="B439" s="13"/>
      <c r="C439" s="9">
        <f>IFERROR(SUMIF(ENTRADAS!A:A,A439,ENTRADAS!C:C))</f>
        <v>0</v>
      </c>
      <c r="D439" s="10">
        <f>SUMIF(SALIDAS!A:A,A439,SALIDAS!C:C)</f>
        <v>0</v>
      </c>
      <c r="E439" s="10">
        <f t="shared" si="2"/>
        <v>0</v>
      </c>
      <c r="F439" s="13"/>
      <c r="G439" s="13"/>
    </row>
    <row r="440" ht="15.75" customHeight="1">
      <c r="A440" s="13"/>
      <c r="B440" s="13"/>
      <c r="C440" s="9">
        <f>IFERROR(SUMIF(ENTRADAS!A:A,A440,ENTRADAS!C:C))</f>
        <v>0</v>
      </c>
      <c r="D440" s="10">
        <f>SUMIF(SALIDAS!A:A,A440,SALIDAS!C:C)</f>
        <v>0</v>
      </c>
      <c r="E440" s="10">
        <f t="shared" si="2"/>
        <v>0</v>
      </c>
      <c r="F440" s="13"/>
      <c r="G440" s="13"/>
    </row>
    <row r="441" ht="15.75" customHeight="1">
      <c r="A441" s="13"/>
      <c r="B441" s="13"/>
      <c r="C441" s="9">
        <f>IFERROR(SUMIF(ENTRADAS!A:A,A441,ENTRADAS!C:C))</f>
        <v>0</v>
      </c>
      <c r="D441" s="10">
        <f>SUMIF(SALIDAS!A:A,A441,SALIDAS!C:C)</f>
        <v>0</v>
      </c>
      <c r="E441" s="10">
        <f t="shared" si="2"/>
        <v>0</v>
      </c>
      <c r="F441" s="13"/>
      <c r="G441" s="13"/>
    </row>
    <row r="442" ht="15.75" customHeight="1">
      <c r="A442" s="13"/>
      <c r="B442" s="13"/>
      <c r="C442" s="9">
        <f>IFERROR(SUMIF(ENTRADAS!A:A,A442,ENTRADAS!C:C))</f>
        <v>0</v>
      </c>
      <c r="D442" s="10">
        <f>SUMIF(SALIDAS!A:A,A442,SALIDAS!C:C)</f>
        <v>0</v>
      </c>
      <c r="E442" s="10">
        <f t="shared" si="2"/>
        <v>0</v>
      </c>
      <c r="F442" s="13"/>
      <c r="G442" s="13"/>
    </row>
    <row r="443" ht="15.75" customHeight="1">
      <c r="A443" s="13"/>
      <c r="B443" s="13"/>
      <c r="C443" s="9">
        <f>IFERROR(SUMIF(ENTRADAS!A:A,A443,ENTRADAS!C:C))</f>
        <v>0</v>
      </c>
      <c r="D443" s="10">
        <f>SUMIF(SALIDAS!A:A,A443,SALIDAS!C:C)</f>
        <v>0</v>
      </c>
      <c r="E443" s="10">
        <f t="shared" si="2"/>
        <v>0</v>
      </c>
      <c r="F443" s="13"/>
      <c r="G443" s="13"/>
    </row>
    <row r="444" ht="15.75" customHeight="1">
      <c r="A444" s="13"/>
      <c r="B444" s="13"/>
      <c r="C444" s="9">
        <f>IFERROR(SUMIF(ENTRADAS!A:A,A444,ENTRADAS!C:C))</f>
        <v>0</v>
      </c>
      <c r="D444" s="10">
        <f>SUMIF(SALIDAS!A:A,A444,SALIDAS!C:C)</f>
        <v>0</v>
      </c>
      <c r="E444" s="10">
        <f t="shared" si="2"/>
        <v>0</v>
      </c>
      <c r="F444" s="13"/>
      <c r="G444" s="13"/>
    </row>
    <row r="445" ht="15.75" customHeight="1">
      <c r="A445" s="13"/>
      <c r="B445" s="13"/>
      <c r="C445" s="9">
        <f>IFERROR(SUMIF(ENTRADAS!A:A,A445,ENTRADAS!C:C))</f>
        <v>0</v>
      </c>
      <c r="D445" s="10">
        <f>SUMIF(SALIDAS!A:A,A445,SALIDAS!C:C)</f>
        <v>0</v>
      </c>
      <c r="E445" s="10">
        <f t="shared" si="2"/>
        <v>0</v>
      </c>
      <c r="F445" s="13"/>
      <c r="G445" s="13"/>
    </row>
    <row r="446" ht="15.75" customHeight="1">
      <c r="A446" s="13"/>
      <c r="B446" s="13"/>
      <c r="C446" s="9">
        <f>IFERROR(SUMIF(ENTRADAS!A:A,A446,ENTRADAS!C:C))</f>
        <v>0</v>
      </c>
      <c r="D446" s="10">
        <f>SUMIF(SALIDAS!A:A,A446,SALIDAS!C:C)</f>
        <v>0</v>
      </c>
      <c r="E446" s="10">
        <f t="shared" si="2"/>
        <v>0</v>
      </c>
      <c r="F446" s="13"/>
      <c r="G446" s="13"/>
    </row>
    <row r="447" ht="15.75" customHeight="1">
      <c r="A447" s="13"/>
      <c r="B447" s="13"/>
      <c r="C447" s="9">
        <f>IFERROR(SUMIF(ENTRADAS!A:A,A447,ENTRADAS!C:C))</f>
        <v>0</v>
      </c>
      <c r="D447" s="10">
        <f>SUMIF(SALIDAS!A:A,A447,SALIDAS!C:C)</f>
        <v>0</v>
      </c>
      <c r="E447" s="10">
        <f t="shared" si="2"/>
        <v>0</v>
      </c>
      <c r="F447" s="13"/>
      <c r="G447" s="13"/>
    </row>
    <row r="448" ht="15.75" customHeight="1">
      <c r="A448" s="13"/>
      <c r="B448" s="13"/>
      <c r="C448" s="9">
        <f>IFERROR(SUMIF(ENTRADAS!A:A,A448,ENTRADAS!C:C))</f>
        <v>0</v>
      </c>
      <c r="D448" s="10">
        <f>SUMIF(SALIDAS!A:A,A448,SALIDAS!C:C)</f>
        <v>0</v>
      </c>
      <c r="E448" s="10">
        <f t="shared" si="2"/>
        <v>0</v>
      </c>
      <c r="F448" s="13"/>
      <c r="G448" s="13"/>
    </row>
    <row r="449" ht="15.75" customHeight="1">
      <c r="A449" s="13"/>
      <c r="B449" s="13"/>
      <c r="C449" s="9">
        <f>IFERROR(SUMIF(ENTRADAS!A:A,A449,ENTRADAS!C:C))</f>
        <v>0</v>
      </c>
      <c r="D449" s="10">
        <f>SUMIF(SALIDAS!A:A,A449,SALIDAS!C:C)</f>
        <v>0</v>
      </c>
      <c r="E449" s="10">
        <f t="shared" si="2"/>
        <v>0</v>
      </c>
      <c r="F449" s="13"/>
      <c r="G449" s="13"/>
    </row>
    <row r="450" ht="15.75" customHeight="1">
      <c r="A450" s="13"/>
      <c r="B450" s="13"/>
      <c r="C450" s="9">
        <f>IFERROR(SUMIF(ENTRADAS!A:A,A450,ENTRADAS!C:C))</f>
        <v>0</v>
      </c>
      <c r="D450" s="10">
        <f>SUMIF(SALIDAS!A:A,A450,SALIDAS!C:C)</f>
        <v>0</v>
      </c>
      <c r="E450" s="10">
        <f t="shared" si="2"/>
        <v>0</v>
      </c>
      <c r="F450" s="13"/>
      <c r="G450" s="13"/>
    </row>
    <row r="451" ht="15.75" customHeight="1">
      <c r="A451" s="13"/>
      <c r="B451" s="13"/>
      <c r="C451" s="9">
        <f>IFERROR(SUMIF(ENTRADAS!A:A,A451,ENTRADAS!C:C))</f>
        <v>0</v>
      </c>
      <c r="D451" s="10">
        <f>SUMIF(SALIDAS!A:A,A451,SALIDAS!C:C)</f>
        <v>0</v>
      </c>
      <c r="E451" s="10">
        <f t="shared" si="2"/>
        <v>0</v>
      </c>
      <c r="F451" s="13"/>
      <c r="G451" s="13"/>
    </row>
    <row r="452" ht="15.75" customHeight="1">
      <c r="A452" s="13"/>
      <c r="B452" s="13"/>
      <c r="C452" s="9">
        <f>IFERROR(SUMIF(ENTRADAS!A:A,A452,ENTRADAS!C:C))</f>
        <v>0</v>
      </c>
      <c r="D452" s="10">
        <f>SUMIF(SALIDAS!A:A,A452,SALIDAS!C:C)</f>
        <v>0</v>
      </c>
      <c r="E452" s="10">
        <f t="shared" si="2"/>
        <v>0</v>
      </c>
      <c r="F452" s="13"/>
      <c r="G452" s="13"/>
    </row>
    <row r="453" ht="15.75" customHeight="1">
      <c r="A453" s="13"/>
      <c r="B453" s="13"/>
      <c r="C453" s="9">
        <f>IFERROR(SUMIF(ENTRADAS!A:A,A453,ENTRADAS!C:C))</f>
        <v>0</v>
      </c>
      <c r="D453" s="10">
        <f>SUMIF(SALIDAS!A:A,A453,SALIDAS!C:C)</f>
        <v>0</v>
      </c>
      <c r="E453" s="10">
        <f t="shared" si="2"/>
        <v>0</v>
      </c>
      <c r="F453" s="13"/>
      <c r="G453" s="13"/>
    </row>
    <row r="454" ht="15.75" customHeight="1">
      <c r="A454" s="13"/>
      <c r="B454" s="13"/>
      <c r="C454" s="9">
        <f>IFERROR(SUMIF(ENTRADAS!A:A,A454,ENTRADAS!C:C))</f>
        <v>0</v>
      </c>
      <c r="D454" s="10">
        <f>SUMIF(SALIDAS!A:A,A454,SALIDAS!C:C)</f>
        <v>0</v>
      </c>
      <c r="E454" s="10">
        <f t="shared" si="2"/>
        <v>0</v>
      </c>
      <c r="F454" s="13"/>
      <c r="G454" s="13"/>
    </row>
    <row r="455" ht="15.75" customHeight="1">
      <c r="A455" s="13"/>
      <c r="B455" s="13"/>
      <c r="C455" s="9">
        <f>IFERROR(SUMIF(ENTRADAS!A:A,A455,ENTRADAS!C:C))</f>
        <v>0</v>
      </c>
      <c r="D455" s="10">
        <f>SUMIF(SALIDAS!A:A,A455,SALIDAS!C:C)</f>
        <v>0</v>
      </c>
      <c r="E455" s="10">
        <f t="shared" si="2"/>
        <v>0</v>
      </c>
      <c r="F455" s="13"/>
      <c r="G455" s="13"/>
    </row>
    <row r="456" ht="15.75" customHeight="1">
      <c r="A456" s="13"/>
      <c r="B456" s="13"/>
      <c r="C456" s="9">
        <f>IFERROR(SUMIF(ENTRADAS!A:A,A456,ENTRADAS!C:C))</f>
        <v>0</v>
      </c>
      <c r="D456" s="10">
        <f>SUMIF(SALIDAS!A:A,A456,SALIDAS!C:C)</f>
        <v>0</v>
      </c>
      <c r="E456" s="10">
        <f t="shared" si="2"/>
        <v>0</v>
      </c>
      <c r="F456" s="13"/>
      <c r="G456" s="13"/>
    </row>
    <row r="457" ht="15.75" customHeight="1">
      <c r="A457" s="13"/>
      <c r="B457" s="13"/>
      <c r="C457" s="9">
        <f>IFERROR(SUMIF(ENTRADAS!A:A,A457,ENTRADAS!C:C))</f>
        <v>0</v>
      </c>
      <c r="D457" s="10">
        <f>SUMIF(SALIDAS!A:A,A457,SALIDAS!C:C)</f>
        <v>0</v>
      </c>
      <c r="E457" s="10">
        <f t="shared" si="2"/>
        <v>0</v>
      </c>
      <c r="F457" s="13"/>
      <c r="G457" s="13"/>
    </row>
    <row r="458" ht="15.75" customHeight="1">
      <c r="A458" s="13"/>
      <c r="B458" s="13"/>
      <c r="C458" s="9">
        <f>IFERROR(SUMIF(ENTRADAS!A:A,A458,ENTRADAS!C:C))</f>
        <v>0</v>
      </c>
      <c r="D458" s="10">
        <f>SUMIF(SALIDAS!A:A,A458,SALIDAS!C:C)</f>
        <v>0</v>
      </c>
      <c r="E458" s="10">
        <f t="shared" si="2"/>
        <v>0</v>
      </c>
      <c r="F458" s="13"/>
      <c r="G458" s="13"/>
    </row>
    <row r="459" ht="15.75" customHeight="1">
      <c r="A459" s="13"/>
      <c r="B459" s="13"/>
      <c r="C459" s="9">
        <f>IFERROR(SUMIF(ENTRADAS!A:A,A459,ENTRADAS!C:C))</f>
        <v>0</v>
      </c>
      <c r="D459" s="10">
        <f>SUMIF(SALIDAS!A:A,A459,SALIDAS!C:C)</f>
        <v>0</v>
      </c>
      <c r="E459" s="10">
        <f t="shared" si="2"/>
        <v>0</v>
      </c>
      <c r="F459" s="13"/>
      <c r="G459" s="13"/>
    </row>
    <row r="460" ht="15.75" customHeight="1">
      <c r="A460" s="13"/>
      <c r="B460" s="13"/>
      <c r="C460" s="9">
        <f>IFERROR(SUMIF(ENTRADAS!A:A,A460,ENTRADAS!C:C))</f>
        <v>0</v>
      </c>
      <c r="D460" s="10">
        <f>SUMIF(SALIDAS!A:A,A460,SALIDAS!C:C)</f>
        <v>0</v>
      </c>
      <c r="E460" s="10">
        <f t="shared" si="2"/>
        <v>0</v>
      </c>
      <c r="F460" s="13"/>
      <c r="G460" s="13"/>
    </row>
    <row r="461" ht="15.75" customHeight="1">
      <c r="A461" s="13"/>
      <c r="B461" s="13"/>
      <c r="C461" s="9">
        <f>IFERROR(SUMIF(ENTRADAS!A:A,A461,ENTRADAS!C:C))</f>
        <v>0</v>
      </c>
      <c r="D461" s="10">
        <f>SUMIF(SALIDAS!A:A,A461,SALIDAS!C:C)</f>
        <v>0</v>
      </c>
      <c r="E461" s="10">
        <f t="shared" si="2"/>
        <v>0</v>
      </c>
      <c r="F461" s="13"/>
      <c r="G461" s="13"/>
    </row>
    <row r="462" ht="15.75" customHeight="1">
      <c r="A462" s="13"/>
      <c r="B462" s="13"/>
      <c r="C462" s="9">
        <f>IFERROR(SUMIF(ENTRADAS!A:A,A462,ENTRADAS!C:C))</f>
        <v>0</v>
      </c>
      <c r="D462" s="10">
        <f>SUMIF(SALIDAS!A:A,A462,SALIDAS!C:C)</f>
        <v>0</v>
      </c>
      <c r="E462" s="10">
        <f t="shared" si="2"/>
        <v>0</v>
      </c>
      <c r="F462" s="13"/>
      <c r="G462" s="13"/>
    </row>
    <row r="463" ht="15.75" customHeight="1">
      <c r="A463" s="13"/>
      <c r="B463" s="13"/>
      <c r="C463" s="9">
        <f>IFERROR(SUMIF(ENTRADAS!A:A,A463,ENTRADAS!C:C))</f>
        <v>0</v>
      </c>
      <c r="D463" s="10">
        <f>SUMIF(SALIDAS!A:A,A463,SALIDAS!C:C)</f>
        <v>0</v>
      </c>
      <c r="E463" s="10">
        <f t="shared" si="2"/>
        <v>0</v>
      </c>
      <c r="F463" s="13"/>
      <c r="G463" s="13"/>
    </row>
    <row r="464" ht="15.75" customHeight="1">
      <c r="A464" s="13"/>
      <c r="B464" s="13"/>
      <c r="C464" s="9">
        <f>IFERROR(SUMIF(ENTRADAS!A:A,A464,ENTRADAS!C:C))</f>
        <v>0</v>
      </c>
      <c r="D464" s="10">
        <f>SUMIF(SALIDAS!A:A,A464,SALIDAS!C:C)</f>
        <v>0</v>
      </c>
      <c r="E464" s="10">
        <f t="shared" si="2"/>
        <v>0</v>
      </c>
      <c r="F464" s="13"/>
      <c r="G464" s="13"/>
    </row>
    <row r="465" ht="15.75" customHeight="1">
      <c r="A465" s="13"/>
      <c r="B465" s="13"/>
      <c r="C465" s="9">
        <f>IFERROR(SUMIF(ENTRADAS!A:A,A465,ENTRADAS!C:C))</f>
        <v>0</v>
      </c>
      <c r="D465" s="10">
        <f>SUMIF(SALIDAS!A:A,A465,SALIDAS!C:C)</f>
        <v>0</v>
      </c>
      <c r="E465" s="10">
        <f t="shared" si="2"/>
        <v>0</v>
      </c>
      <c r="F465" s="13"/>
      <c r="G465" s="13"/>
    </row>
    <row r="466" ht="15.75" customHeight="1">
      <c r="A466" s="13"/>
      <c r="B466" s="13"/>
      <c r="C466" s="9">
        <f>IFERROR(SUMIF(ENTRADAS!A:A,A466,ENTRADAS!C:C))</f>
        <v>0</v>
      </c>
      <c r="D466" s="10">
        <f>SUMIF(SALIDAS!A:A,A466,SALIDAS!C:C)</f>
        <v>0</v>
      </c>
      <c r="E466" s="10">
        <f t="shared" si="2"/>
        <v>0</v>
      </c>
      <c r="F466" s="13"/>
      <c r="G466" s="13"/>
    </row>
    <row r="467" ht="15.75" customHeight="1">
      <c r="A467" s="13"/>
      <c r="B467" s="13"/>
      <c r="C467" s="9">
        <f>IFERROR(SUMIF(ENTRADAS!A:A,A467,ENTRADAS!C:C))</f>
        <v>0</v>
      </c>
      <c r="D467" s="10">
        <f>SUMIF(SALIDAS!A:A,A467,SALIDAS!C:C)</f>
        <v>0</v>
      </c>
      <c r="E467" s="10">
        <f t="shared" si="2"/>
        <v>0</v>
      </c>
      <c r="F467" s="13"/>
      <c r="G467" s="13"/>
    </row>
    <row r="468" ht="15.75" customHeight="1">
      <c r="A468" s="13"/>
      <c r="B468" s="13"/>
      <c r="C468" s="9">
        <f>IFERROR(SUMIF(ENTRADAS!A:A,A468,ENTRADAS!C:C))</f>
        <v>0</v>
      </c>
      <c r="D468" s="10">
        <f>SUMIF(SALIDAS!A:A,A468,SALIDAS!C:C)</f>
        <v>0</v>
      </c>
      <c r="E468" s="10">
        <f t="shared" si="2"/>
        <v>0</v>
      </c>
      <c r="F468" s="13"/>
      <c r="G468" s="13"/>
    </row>
    <row r="469" ht="15.75" customHeight="1">
      <c r="A469" s="13"/>
      <c r="B469" s="13"/>
      <c r="C469" s="9">
        <f>IFERROR(SUMIF(ENTRADAS!A:A,A469,ENTRADAS!C:C))</f>
        <v>0</v>
      </c>
      <c r="D469" s="10">
        <f>SUMIF(SALIDAS!A:A,A469,SALIDAS!C:C)</f>
        <v>0</v>
      </c>
      <c r="E469" s="10">
        <f t="shared" si="2"/>
        <v>0</v>
      </c>
      <c r="F469" s="13"/>
      <c r="G469" s="13"/>
    </row>
    <row r="470" ht="15.75" customHeight="1">
      <c r="A470" s="13"/>
      <c r="B470" s="13"/>
      <c r="C470" s="9">
        <f>IFERROR(SUMIF(ENTRADAS!A:A,A470,ENTRADAS!C:C))</f>
        <v>0</v>
      </c>
      <c r="D470" s="10">
        <f>SUMIF(SALIDAS!A:A,A470,SALIDAS!C:C)</f>
        <v>0</v>
      </c>
      <c r="E470" s="10">
        <f t="shared" si="2"/>
        <v>0</v>
      </c>
      <c r="F470" s="13"/>
      <c r="G470" s="13"/>
    </row>
    <row r="471" ht="15.75" customHeight="1">
      <c r="A471" s="13"/>
      <c r="B471" s="13"/>
      <c r="C471" s="9">
        <f>IFERROR(SUMIF(ENTRADAS!A:A,A471,ENTRADAS!C:C))</f>
        <v>0</v>
      </c>
      <c r="D471" s="10">
        <f>SUMIF(SALIDAS!A:A,A471,SALIDAS!C:C)</f>
        <v>0</v>
      </c>
      <c r="E471" s="10">
        <f t="shared" si="2"/>
        <v>0</v>
      </c>
      <c r="F471" s="13"/>
      <c r="G471" s="13"/>
    </row>
    <row r="472" ht="15.75" customHeight="1">
      <c r="A472" s="13"/>
      <c r="B472" s="13"/>
      <c r="C472" s="9">
        <f>IFERROR(SUMIF(ENTRADAS!A:A,A472,ENTRADAS!C:C))</f>
        <v>0</v>
      </c>
      <c r="D472" s="10">
        <f>SUMIF(SALIDAS!A:A,A472,SALIDAS!C:C)</f>
        <v>0</v>
      </c>
      <c r="E472" s="10">
        <f t="shared" si="2"/>
        <v>0</v>
      </c>
      <c r="F472" s="13"/>
      <c r="G472" s="13"/>
    </row>
    <row r="473" ht="15.75" customHeight="1">
      <c r="A473" s="13"/>
      <c r="B473" s="13"/>
      <c r="C473" s="9">
        <f>IFERROR(SUMIF(ENTRADAS!A:A,A473,ENTRADAS!C:C))</f>
        <v>0</v>
      </c>
      <c r="D473" s="10">
        <f>SUMIF(SALIDAS!A:A,A473,SALIDAS!C:C)</f>
        <v>0</v>
      </c>
      <c r="E473" s="10">
        <f t="shared" si="2"/>
        <v>0</v>
      </c>
      <c r="F473" s="13"/>
      <c r="G473" s="13"/>
    </row>
    <row r="474" ht="15.75" customHeight="1">
      <c r="A474" s="13"/>
      <c r="B474" s="13"/>
      <c r="C474" s="9">
        <f>IFERROR(SUMIF(ENTRADAS!A:A,A474,ENTRADAS!C:C))</f>
        <v>0</v>
      </c>
      <c r="D474" s="10">
        <f>SUMIF(SALIDAS!A:A,A474,SALIDAS!C:C)</f>
        <v>0</v>
      </c>
      <c r="E474" s="10">
        <f t="shared" si="2"/>
        <v>0</v>
      </c>
      <c r="F474" s="13"/>
      <c r="G474" s="13"/>
    </row>
    <row r="475" ht="15.75" customHeight="1">
      <c r="A475" s="13"/>
      <c r="B475" s="13"/>
      <c r="C475" s="9">
        <f>IFERROR(SUMIF(ENTRADAS!A:A,A475,ENTRADAS!C:C))</f>
        <v>0</v>
      </c>
      <c r="D475" s="10">
        <f>SUMIF(SALIDAS!A:A,A475,SALIDAS!C:C)</f>
        <v>0</v>
      </c>
      <c r="E475" s="10">
        <f t="shared" si="2"/>
        <v>0</v>
      </c>
      <c r="F475" s="13"/>
      <c r="G475" s="13"/>
    </row>
    <row r="476" ht="15.75" customHeight="1">
      <c r="A476" s="13"/>
      <c r="B476" s="13"/>
      <c r="C476" s="9">
        <f>IFERROR(SUMIF(ENTRADAS!A:A,A476,ENTRADAS!C:C))</f>
        <v>0</v>
      </c>
      <c r="D476" s="10">
        <f>SUMIF(SALIDAS!A:A,A476,SALIDAS!C:C)</f>
        <v>0</v>
      </c>
      <c r="E476" s="10">
        <f t="shared" si="2"/>
        <v>0</v>
      </c>
      <c r="F476" s="13"/>
      <c r="G476" s="13"/>
    </row>
    <row r="477" ht="15.75" customHeight="1">
      <c r="A477" s="13"/>
      <c r="B477" s="13"/>
      <c r="C477" s="9">
        <f>IFERROR(SUMIF(ENTRADAS!A:A,A477,ENTRADAS!C:C))</f>
        <v>0</v>
      </c>
      <c r="D477" s="10">
        <f>SUMIF(SALIDAS!A:A,A477,SALIDAS!C:C)</f>
        <v>0</v>
      </c>
      <c r="E477" s="10">
        <f t="shared" si="2"/>
        <v>0</v>
      </c>
      <c r="F477" s="13"/>
      <c r="G477" s="13"/>
    </row>
    <row r="478" ht="15.75" customHeight="1">
      <c r="A478" s="13"/>
      <c r="B478" s="13"/>
      <c r="C478" s="9">
        <f>IFERROR(SUMIF(ENTRADAS!A:A,A478,ENTRADAS!C:C))</f>
        <v>0</v>
      </c>
      <c r="D478" s="10">
        <f>SUMIF(SALIDAS!A:A,A478,SALIDAS!C:C)</f>
        <v>0</v>
      </c>
      <c r="E478" s="10">
        <f t="shared" si="2"/>
        <v>0</v>
      </c>
      <c r="F478" s="13"/>
      <c r="G478" s="13"/>
    </row>
    <row r="479" ht="15.75" customHeight="1">
      <c r="A479" s="13"/>
      <c r="B479" s="13"/>
      <c r="C479" s="9">
        <f>IFERROR(SUMIF(ENTRADAS!A:A,A479,ENTRADAS!C:C))</f>
        <v>0</v>
      </c>
      <c r="D479" s="10">
        <f>SUMIF(SALIDAS!A:A,A479,SALIDAS!C:C)</f>
        <v>0</v>
      </c>
      <c r="E479" s="10">
        <f t="shared" si="2"/>
        <v>0</v>
      </c>
      <c r="F479" s="13"/>
      <c r="G479" s="13"/>
    </row>
    <row r="480" ht="15.75" customHeight="1">
      <c r="A480" s="13"/>
      <c r="B480" s="13"/>
      <c r="C480" s="9">
        <f>IFERROR(SUMIF(ENTRADAS!A:A,A480,ENTRADAS!C:C))</f>
        <v>0</v>
      </c>
      <c r="D480" s="10">
        <f>SUMIF(SALIDAS!A:A,A480,SALIDAS!C:C)</f>
        <v>0</v>
      </c>
      <c r="E480" s="10">
        <f t="shared" si="2"/>
        <v>0</v>
      </c>
      <c r="F480" s="13"/>
      <c r="G480" s="13"/>
    </row>
    <row r="481" ht="15.75" customHeight="1">
      <c r="A481" s="13"/>
      <c r="B481" s="13"/>
      <c r="C481" s="9">
        <f>IFERROR(SUMIF(ENTRADAS!A:A,A481,ENTRADAS!C:C))</f>
        <v>0</v>
      </c>
      <c r="D481" s="10">
        <f>SUMIF(SALIDAS!A:A,A481,SALIDAS!C:C)</f>
        <v>0</v>
      </c>
      <c r="E481" s="10">
        <f t="shared" si="2"/>
        <v>0</v>
      </c>
      <c r="F481" s="13"/>
      <c r="G481" s="13"/>
    </row>
    <row r="482" ht="15.75" customHeight="1">
      <c r="A482" s="13"/>
      <c r="B482" s="13"/>
      <c r="C482" s="9">
        <f>IFERROR(SUMIF(ENTRADAS!A:A,A482,ENTRADAS!C:C))</f>
        <v>0</v>
      </c>
      <c r="D482" s="10">
        <f>SUMIF(SALIDAS!A:A,A482,SALIDAS!C:C)</f>
        <v>0</v>
      </c>
      <c r="E482" s="10">
        <f t="shared" si="2"/>
        <v>0</v>
      </c>
      <c r="F482" s="13"/>
      <c r="G482" s="13"/>
    </row>
    <row r="483" ht="15.75" customHeight="1">
      <c r="A483" s="13"/>
      <c r="B483" s="13"/>
      <c r="C483" s="9">
        <f>IFERROR(SUMIF(ENTRADAS!A:A,A483,ENTRADAS!C:C))</f>
        <v>0</v>
      </c>
      <c r="D483" s="10">
        <f>SUMIF(SALIDAS!A:A,A483,SALIDAS!C:C)</f>
        <v>0</v>
      </c>
      <c r="E483" s="10">
        <f t="shared" si="2"/>
        <v>0</v>
      </c>
      <c r="F483" s="13"/>
      <c r="G483" s="13"/>
    </row>
    <row r="484" ht="15.75" customHeight="1">
      <c r="A484" s="13"/>
      <c r="B484" s="13"/>
      <c r="C484" s="9">
        <f>IFERROR(SUMIF(ENTRADAS!A:A,A484,ENTRADAS!C:C))</f>
        <v>0</v>
      </c>
      <c r="D484" s="10">
        <f>SUMIF(SALIDAS!A:A,A484,SALIDAS!C:C)</f>
        <v>0</v>
      </c>
      <c r="E484" s="10">
        <f t="shared" si="2"/>
        <v>0</v>
      </c>
      <c r="F484" s="13"/>
      <c r="G484" s="13"/>
    </row>
    <row r="485" ht="15.75" customHeight="1">
      <c r="A485" s="13"/>
      <c r="B485" s="13"/>
      <c r="C485" s="9">
        <f>IFERROR(SUMIF(ENTRADAS!A:A,A485,ENTRADAS!C:C))</f>
        <v>0</v>
      </c>
      <c r="D485" s="10">
        <f>SUMIF(SALIDAS!A:A,A485,SALIDAS!C:C)</f>
        <v>0</v>
      </c>
      <c r="E485" s="10">
        <f t="shared" si="2"/>
        <v>0</v>
      </c>
      <c r="F485" s="13"/>
      <c r="G485" s="13"/>
    </row>
    <row r="486" ht="15.75" customHeight="1">
      <c r="A486" s="13"/>
      <c r="B486" s="13"/>
      <c r="C486" s="9">
        <f>IFERROR(SUMIF(ENTRADAS!A:A,A486,ENTRADAS!C:C))</f>
        <v>0</v>
      </c>
      <c r="D486" s="10">
        <f>SUMIF(SALIDAS!A:A,A486,SALIDAS!C:C)</f>
        <v>0</v>
      </c>
      <c r="E486" s="10">
        <f t="shared" si="2"/>
        <v>0</v>
      </c>
      <c r="F486" s="13"/>
      <c r="G486" s="13"/>
    </row>
    <row r="487" ht="15.75" customHeight="1">
      <c r="A487" s="13"/>
      <c r="B487" s="13"/>
      <c r="C487" s="9">
        <f>IFERROR(SUMIF(ENTRADAS!A:A,A487,ENTRADAS!C:C))</f>
        <v>0</v>
      </c>
      <c r="D487" s="10">
        <f>SUMIF(SALIDAS!A:A,A487,SALIDAS!C:C)</f>
        <v>0</v>
      </c>
      <c r="E487" s="10">
        <f t="shared" si="2"/>
        <v>0</v>
      </c>
      <c r="F487" s="13"/>
      <c r="G487" s="13"/>
    </row>
    <row r="488" ht="15.75" customHeight="1">
      <c r="A488" s="13"/>
      <c r="B488" s="13"/>
      <c r="C488" s="9">
        <f>IFERROR(SUMIF(ENTRADAS!A:A,A488,ENTRADAS!C:C))</f>
        <v>0</v>
      </c>
      <c r="D488" s="10">
        <f>SUMIF(SALIDAS!A:A,A488,SALIDAS!C:C)</f>
        <v>0</v>
      </c>
      <c r="E488" s="10">
        <f t="shared" si="2"/>
        <v>0</v>
      </c>
      <c r="F488" s="13"/>
      <c r="G488" s="13"/>
    </row>
    <row r="489" ht="15.75" customHeight="1">
      <c r="A489" s="13"/>
      <c r="B489" s="13"/>
      <c r="C489" s="9">
        <f>IFERROR(SUMIF(ENTRADAS!A:A,A489,ENTRADAS!C:C))</f>
        <v>0</v>
      </c>
      <c r="D489" s="10">
        <f>SUMIF(SALIDAS!A:A,A489,SALIDAS!C:C)</f>
        <v>0</v>
      </c>
      <c r="E489" s="10">
        <f t="shared" si="2"/>
        <v>0</v>
      </c>
      <c r="F489" s="13"/>
      <c r="G489" s="13"/>
    </row>
    <row r="490" ht="15.75" customHeight="1">
      <c r="A490" s="13"/>
      <c r="B490" s="13"/>
      <c r="C490" s="9">
        <f>IFERROR(SUMIF(ENTRADAS!A:A,A490,ENTRADAS!C:C))</f>
        <v>0</v>
      </c>
      <c r="D490" s="10">
        <f>SUMIF(SALIDAS!A:A,A490,SALIDAS!C:C)</f>
        <v>0</v>
      </c>
      <c r="E490" s="10">
        <f t="shared" si="2"/>
        <v>0</v>
      </c>
      <c r="F490" s="13"/>
      <c r="G490" s="13"/>
    </row>
    <row r="491" ht="15.75" customHeight="1">
      <c r="A491" s="13"/>
      <c r="B491" s="13"/>
      <c r="C491" s="9">
        <f>IFERROR(SUMIF(ENTRADAS!A:A,A491,ENTRADAS!C:C))</f>
        <v>0</v>
      </c>
      <c r="D491" s="10">
        <f>SUMIF(SALIDAS!A:A,A491,SALIDAS!C:C)</f>
        <v>0</v>
      </c>
      <c r="E491" s="10">
        <f t="shared" si="2"/>
        <v>0</v>
      </c>
      <c r="F491" s="13"/>
      <c r="G491" s="13"/>
    </row>
    <row r="492" ht="15.75" customHeight="1">
      <c r="A492" s="13"/>
      <c r="B492" s="13"/>
      <c r="C492" s="9">
        <f>IFERROR(SUMIF(ENTRADAS!A:A,A492,ENTRADAS!C:C))</f>
        <v>0</v>
      </c>
      <c r="D492" s="10">
        <f>SUMIF(SALIDAS!A:A,A492,SALIDAS!C:C)</f>
        <v>0</v>
      </c>
      <c r="E492" s="10">
        <f t="shared" si="2"/>
        <v>0</v>
      </c>
      <c r="F492" s="13"/>
      <c r="G492" s="13"/>
    </row>
    <row r="493" ht="15.75" customHeight="1">
      <c r="A493" s="13"/>
      <c r="B493" s="13"/>
      <c r="C493" s="9">
        <f>IFERROR(SUMIF(ENTRADAS!A:A,A493,ENTRADAS!C:C))</f>
        <v>0</v>
      </c>
      <c r="D493" s="10">
        <f>SUMIF(SALIDAS!A:A,A493,SALIDAS!C:C)</f>
        <v>0</v>
      </c>
      <c r="E493" s="10">
        <f t="shared" si="2"/>
        <v>0</v>
      </c>
      <c r="F493" s="13"/>
      <c r="G493" s="13"/>
    </row>
    <row r="494" ht="15.75" customHeight="1">
      <c r="A494" s="13"/>
      <c r="B494" s="13"/>
      <c r="C494" s="9">
        <f>IFERROR(SUMIF(ENTRADAS!A:A,A494,ENTRADAS!C:C))</f>
        <v>0</v>
      </c>
      <c r="D494" s="10">
        <f>SUMIF(SALIDAS!A:A,A494,SALIDAS!C:C)</f>
        <v>0</v>
      </c>
      <c r="E494" s="10">
        <f t="shared" si="2"/>
        <v>0</v>
      </c>
      <c r="F494" s="13"/>
      <c r="G494" s="13"/>
    </row>
    <row r="495" ht="15.75" customHeight="1">
      <c r="A495" s="13"/>
      <c r="B495" s="13"/>
      <c r="C495" s="9">
        <f>IFERROR(SUMIF(ENTRADAS!A:A,A495,ENTRADAS!C:C))</f>
        <v>0</v>
      </c>
      <c r="D495" s="10">
        <f>SUMIF(SALIDAS!A:A,A495,SALIDAS!C:C)</f>
        <v>0</v>
      </c>
      <c r="E495" s="10">
        <f t="shared" si="2"/>
        <v>0</v>
      </c>
      <c r="F495" s="13"/>
      <c r="G495" s="13"/>
    </row>
    <row r="496" ht="15.75" customHeight="1">
      <c r="A496" s="13"/>
      <c r="B496" s="13"/>
      <c r="C496" s="9">
        <f>IFERROR(SUMIF(ENTRADAS!A:A,A496,ENTRADAS!C:C))</f>
        <v>0</v>
      </c>
      <c r="D496" s="10">
        <f>SUMIF(SALIDAS!A:A,A496,SALIDAS!C:C)</f>
        <v>0</v>
      </c>
      <c r="E496" s="10">
        <f t="shared" si="2"/>
        <v>0</v>
      </c>
      <c r="F496" s="13"/>
      <c r="G496" s="13"/>
    </row>
    <row r="497" ht="15.75" customHeight="1">
      <c r="A497" s="13"/>
      <c r="B497" s="13"/>
      <c r="C497" s="9">
        <f>IFERROR(SUMIF(ENTRADAS!A:A,A497,ENTRADAS!C:C))</f>
        <v>0</v>
      </c>
      <c r="D497" s="10">
        <f>SUMIF(SALIDAS!A:A,A497,SALIDAS!C:C)</f>
        <v>0</v>
      </c>
      <c r="E497" s="10">
        <f t="shared" si="2"/>
        <v>0</v>
      </c>
      <c r="F497" s="13"/>
      <c r="G497" s="13"/>
    </row>
    <row r="498" ht="15.75" customHeight="1">
      <c r="A498" s="13"/>
      <c r="B498" s="13"/>
      <c r="C498" s="9">
        <f>IFERROR(SUMIF(ENTRADAS!A:A,A498,ENTRADAS!C:C))</f>
        <v>0</v>
      </c>
      <c r="D498" s="10">
        <f>SUMIF(SALIDAS!A:A,A498,SALIDAS!C:C)</f>
        <v>0</v>
      </c>
      <c r="E498" s="10">
        <f t="shared" si="2"/>
        <v>0</v>
      </c>
      <c r="F498" s="13"/>
      <c r="G498" s="13"/>
    </row>
    <row r="499" ht="15.75" customHeight="1">
      <c r="A499" s="13"/>
      <c r="B499" s="13"/>
      <c r="C499" s="9">
        <f>IFERROR(SUMIF(ENTRADAS!A:A,A499,ENTRADAS!C:C))</f>
        <v>0</v>
      </c>
      <c r="D499" s="10">
        <f>SUMIF(SALIDAS!A:A,A499,SALIDAS!C:C)</f>
        <v>0</v>
      </c>
      <c r="E499" s="10">
        <f t="shared" si="2"/>
        <v>0</v>
      </c>
      <c r="F499" s="13"/>
      <c r="G499" s="13"/>
    </row>
    <row r="500" ht="15.75" customHeight="1">
      <c r="A500" s="13"/>
      <c r="B500" s="13"/>
      <c r="C500" s="9">
        <f>IFERROR(SUMIF(ENTRADAS!A:A,A500,ENTRADAS!C:C))</f>
        <v>0</v>
      </c>
      <c r="D500" s="10">
        <f>SUMIF(SALIDAS!A:A,A500,SALIDAS!C:C)</f>
        <v>0</v>
      </c>
      <c r="E500" s="10">
        <f t="shared" si="2"/>
        <v>0</v>
      </c>
      <c r="F500" s="13"/>
      <c r="G500" s="13"/>
    </row>
    <row r="501" ht="15.75" customHeight="1">
      <c r="A501" s="13"/>
      <c r="B501" s="13"/>
      <c r="C501" s="9">
        <f>IFERROR(SUMIF(ENTRADAS!A:A,A501,ENTRADAS!C:C))</f>
        <v>0</v>
      </c>
      <c r="D501" s="10">
        <f>SUMIF(SALIDAS!A:A,A501,SALIDAS!C:C)</f>
        <v>0</v>
      </c>
      <c r="E501" s="10">
        <f t="shared" si="2"/>
        <v>0</v>
      </c>
      <c r="F501" s="13"/>
      <c r="G501" s="13"/>
    </row>
    <row r="502" ht="15.75" customHeight="1">
      <c r="A502" s="13"/>
      <c r="B502" s="13"/>
      <c r="C502" s="9">
        <f>IFERROR(SUMIF(ENTRADAS!A:A,A502,ENTRADAS!C:C))</f>
        <v>0</v>
      </c>
      <c r="D502" s="10">
        <f>SUMIF(SALIDAS!A:A,A502,SALIDAS!C:C)</f>
        <v>0</v>
      </c>
      <c r="E502" s="10">
        <f t="shared" si="2"/>
        <v>0</v>
      </c>
      <c r="F502" s="13"/>
      <c r="G502" s="13"/>
    </row>
    <row r="503" ht="15.75" customHeight="1">
      <c r="A503" s="13"/>
      <c r="B503" s="13"/>
      <c r="C503" s="9">
        <f>IFERROR(SUMIF(ENTRADAS!A:A,A503,ENTRADAS!C:C))</f>
        <v>0</v>
      </c>
      <c r="D503" s="10">
        <f>SUMIF(SALIDAS!A:A,A503,SALIDAS!C:C)</f>
        <v>0</v>
      </c>
      <c r="E503" s="10">
        <f t="shared" si="2"/>
        <v>0</v>
      </c>
      <c r="F503" s="13"/>
      <c r="G503" s="13"/>
    </row>
    <row r="504" ht="15.75" customHeight="1">
      <c r="A504" s="13"/>
      <c r="B504" s="13"/>
      <c r="C504" s="9">
        <f>IFERROR(SUMIF(ENTRADAS!A:A,A504,ENTRADAS!C:C))</f>
        <v>0</v>
      </c>
      <c r="D504" s="10">
        <f>SUMIF(SALIDAS!A:A,A504,SALIDAS!C:C)</f>
        <v>0</v>
      </c>
      <c r="E504" s="10">
        <f t="shared" si="2"/>
        <v>0</v>
      </c>
      <c r="F504" s="13"/>
      <c r="G504" s="13"/>
    </row>
    <row r="505" ht="15.75" customHeight="1">
      <c r="A505" s="13"/>
      <c r="B505" s="13"/>
      <c r="C505" s="9">
        <f>IFERROR(SUMIF(ENTRADAS!A:A,A505,ENTRADAS!C:C))</f>
        <v>0</v>
      </c>
      <c r="D505" s="10">
        <f>SUMIF(SALIDAS!A:A,A505,SALIDAS!C:C)</f>
        <v>0</v>
      </c>
      <c r="E505" s="10">
        <f t="shared" si="2"/>
        <v>0</v>
      </c>
      <c r="F505" s="13"/>
      <c r="G505" s="13"/>
    </row>
    <row r="506" ht="15.75" customHeight="1">
      <c r="A506" s="13"/>
      <c r="B506" s="13"/>
      <c r="C506" s="9">
        <f>IFERROR(SUMIF(ENTRADAS!A:A,A506,ENTRADAS!C:C))</f>
        <v>0</v>
      </c>
      <c r="D506" s="10">
        <f>SUMIF(SALIDAS!A:A,A506,SALIDAS!C:C)</f>
        <v>0</v>
      </c>
      <c r="E506" s="10">
        <f t="shared" si="2"/>
        <v>0</v>
      </c>
      <c r="F506" s="13"/>
      <c r="G506" s="13"/>
    </row>
    <row r="507" ht="15.75" customHeight="1">
      <c r="A507" s="13"/>
      <c r="B507" s="13"/>
      <c r="C507" s="9">
        <f>IFERROR(SUMIF(ENTRADAS!A:A,A507,ENTRADAS!C:C))</f>
        <v>0</v>
      </c>
      <c r="D507" s="10">
        <f>SUMIF(SALIDAS!A:A,A507,SALIDAS!C:C)</f>
        <v>0</v>
      </c>
      <c r="E507" s="10">
        <f t="shared" si="2"/>
        <v>0</v>
      </c>
      <c r="F507" s="13"/>
      <c r="G507" s="13"/>
    </row>
    <row r="508" ht="15.75" customHeight="1">
      <c r="A508" s="13"/>
      <c r="B508" s="13"/>
      <c r="C508" s="9">
        <f>IFERROR(SUMIF(ENTRADAS!A:A,A508,ENTRADAS!C:C))</f>
        <v>0</v>
      </c>
      <c r="D508" s="10">
        <f>SUMIF(SALIDAS!A:A,A508,SALIDAS!C:C)</f>
        <v>0</v>
      </c>
      <c r="E508" s="10">
        <f t="shared" si="2"/>
        <v>0</v>
      </c>
      <c r="F508" s="13"/>
      <c r="G508" s="13"/>
    </row>
    <row r="509" ht="15.75" customHeight="1">
      <c r="A509" s="13"/>
      <c r="B509" s="13"/>
      <c r="C509" s="9">
        <f>IFERROR(SUMIF(ENTRADAS!A:A,A509,ENTRADAS!C:C))</f>
        <v>0</v>
      </c>
      <c r="D509" s="10">
        <f>SUMIF(SALIDAS!A:A,A509,SALIDAS!C:C)</f>
        <v>0</v>
      </c>
      <c r="E509" s="10">
        <f t="shared" si="2"/>
        <v>0</v>
      </c>
      <c r="F509" s="13"/>
      <c r="G509" s="13"/>
    </row>
    <row r="510" ht="15.75" customHeight="1">
      <c r="A510" s="13"/>
      <c r="B510" s="13"/>
      <c r="C510" s="9">
        <f>IFERROR(SUMIF(ENTRADAS!A:A,A510,ENTRADAS!C:C))</f>
        <v>0</v>
      </c>
      <c r="D510" s="10">
        <f>SUMIF(SALIDAS!A:A,A510,SALIDAS!C:C)</f>
        <v>0</v>
      </c>
      <c r="E510" s="10">
        <f t="shared" si="2"/>
        <v>0</v>
      </c>
      <c r="F510" s="13"/>
      <c r="G510" s="13"/>
    </row>
    <row r="511" ht="15.75" customHeight="1">
      <c r="A511" s="13"/>
      <c r="B511" s="13"/>
      <c r="C511" s="9">
        <f>IFERROR(SUMIF(ENTRADAS!A:A,A511,ENTRADAS!C:C))</f>
        <v>0</v>
      </c>
      <c r="D511" s="10">
        <f>SUMIF(SALIDAS!A:A,A511,SALIDAS!C:C)</f>
        <v>0</v>
      </c>
      <c r="E511" s="10">
        <f t="shared" si="2"/>
        <v>0</v>
      </c>
      <c r="F511" s="13"/>
      <c r="G511" s="13"/>
    </row>
    <row r="512" ht="15.75" customHeight="1">
      <c r="A512" s="13"/>
      <c r="B512" s="13"/>
      <c r="C512" s="9">
        <f>IFERROR(SUMIF(ENTRADAS!A:A,A512,ENTRADAS!C:C))</f>
        <v>0</v>
      </c>
      <c r="D512" s="10">
        <f>SUMIF(SALIDAS!A:A,A512,SALIDAS!C:C)</f>
        <v>0</v>
      </c>
      <c r="E512" s="10">
        <f t="shared" si="2"/>
        <v>0</v>
      </c>
      <c r="F512" s="13"/>
      <c r="G512" s="13"/>
    </row>
    <row r="513" ht="15.75" customHeight="1">
      <c r="A513" s="13"/>
      <c r="B513" s="13"/>
      <c r="C513" s="9">
        <f>IFERROR(SUMIF(ENTRADAS!A:A,A513,ENTRADAS!C:C))</f>
        <v>0</v>
      </c>
      <c r="D513" s="10">
        <f>SUMIF(SALIDAS!A:A,A513,SALIDAS!C:C)</f>
        <v>0</v>
      </c>
      <c r="E513" s="10">
        <f t="shared" si="2"/>
        <v>0</v>
      </c>
      <c r="F513" s="13"/>
      <c r="G513" s="13"/>
    </row>
    <row r="514" ht="15.75" customHeight="1">
      <c r="A514" s="13"/>
      <c r="B514" s="13"/>
      <c r="C514" s="9">
        <f>IFERROR(SUMIF(ENTRADAS!A:A,A514,ENTRADAS!C:C))</f>
        <v>0</v>
      </c>
      <c r="D514" s="10">
        <f>SUMIF(SALIDAS!A:A,A514,SALIDAS!C:C)</f>
        <v>0</v>
      </c>
      <c r="E514" s="10">
        <f t="shared" si="2"/>
        <v>0</v>
      </c>
      <c r="F514" s="13"/>
      <c r="G514" s="13"/>
    </row>
    <row r="515" ht="15.75" customHeight="1">
      <c r="A515" s="13"/>
      <c r="B515" s="13"/>
      <c r="C515" s="9">
        <f>IFERROR(SUMIF(ENTRADAS!A:A,A515,ENTRADAS!C:C))</f>
        <v>0</v>
      </c>
      <c r="D515" s="10">
        <f>SUMIF(SALIDAS!A:A,A515,SALIDAS!C:C)</f>
        <v>0</v>
      </c>
      <c r="E515" s="10">
        <f t="shared" si="2"/>
        <v>0</v>
      </c>
      <c r="F515" s="13"/>
      <c r="G515" s="13"/>
    </row>
    <row r="516" ht="15.75" customHeight="1">
      <c r="A516" s="13"/>
      <c r="B516" s="13"/>
      <c r="C516" s="9">
        <f>IFERROR(SUMIF(ENTRADAS!A:A,A516,ENTRADAS!C:C))</f>
        <v>0</v>
      </c>
      <c r="D516" s="10">
        <f>SUMIF(SALIDAS!A:A,A516,SALIDAS!C:C)</f>
        <v>0</v>
      </c>
      <c r="E516" s="10">
        <f t="shared" si="2"/>
        <v>0</v>
      </c>
      <c r="F516" s="13"/>
      <c r="G516" s="13"/>
    </row>
    <row r="517" ht="15.75" customHeight="1">
      <c r="A517" s="13"/>
      <c r="B517" s="13"/>
      <c r="C517" s="9">
        <f>IFERROR(SUMIF(ENTRADAS!A:A,A517,ENTRADAS!C:C))</f>
        <v>0</v>
      </c>
      <c r="D517" s="10">
        <f>SUMIF(SALIDAS!A:A,A517,SALIDAS!C:C)</f>
        <v>0</v>
      </c>
      <c r="E517" s="10">
        <f t="shared" si="2"/>
        <v>0</v>
      </c>
      <c r="F517" s="13"/>
      <c r="G517" s="13"/>
    </row>
    <row r="518" ht="15.75" customHeight="1">
      <c r="A518" s="13"/>
      <c r="B518" s="13"/>
      <c r="C518" s="9">
        <f>IFERROR(SUMIF(ENTRADAS!A:A,A518,ENTRADAS!C:C))</f>
        <v>0</v>
      </c>
      <c r="D518" s="10">
        <f>SUMIF(SALIDAS!A:A,A518,SALIDAS!C:C)</f>
        <v>0</v>
      </c>
      <c r="E518" s="10">
        <f t="shared" si="2"/>
        <v>0</v>
      </c>
      <c r="F518" s="13"/>
      <c r="G518" s="13"/>
    </row>
    <row r="519" ht="15.75" customHeight="1">
      <c r="A519" s="13"/>
      <c r="B519" s="13"/>
      <c r="C519" s="9">
        <f>IFERROR(SUMIF(ENTRADAS!A:A,A519,ENTRADAS!C:C))</f>
        <v>0</v>
      </c>
      <c r="D519" s="10">
        <f>SUMIF(SALIDAS!A:A,A519,SALIDAS!C:C)</f>
        <v>0</v>
      </c>
      <c r="E519" s="10">
        <f t="shared" si="2"/>
        <v>0</v>
      </c>
      <c r="F519" s="13"/>
      <c r="G519" s="13"/>
    </row>
    <row r="520" ht="15.75" customHeight="1">
      <c r="A520" s="13"/>
      <c r="B520" s="13"/>
      <c r="C520" s="9">
        <f>IFERROR(SUMIF(ENTRADAS!A:A,A520,ENTRADAS!C:C))</f>
        <v>0</v>
      </c>
      <c r="D520" s="10">
        <f>SUMIF(SALIDAS!A:A,A520,SALIDAS!C:C)</f>
        <v>0</v>
      </c>
      <c r="E520" s="10">
        <f t="shared" si="2"/>
        <v>0</v>
      </c>
      <c r="F520" s="13"/>
      <c r="G520" s="13"/>
    </row>
    <row r="521" ht="15.75" customHeight="1">
      <c r="A521" s="13"/>
      <c r="B521" s="13"/>
      <c r="C521" s="9">
        <f>IFERROR(SUMIF(ENTRADAS!A:A,A521,ENTRADAS!C:C))</f>
        <v>0</v>
      </c>
      <c r="D521" s="10">
        <f>SUMIF(SALIDAS!A:A,A521,SALIDAS!C:C)</f>
        <v>0</v>
      </c>
      <c r="E521" s="10">
        <f t="shared" si="2"/>
        <v>0</v>
      </c>
      <c r="F521" s="13"/>
      <c r="G521" s="13"/>
    </row>
    <row r="522" ht="15.75" customHeight="1">
      <c r="A522" s="13"/>
      <c r="B522" s="13"/>
      <c r="C522" s="9">
        <f>IFERROR(SUMIF(ENTRADAS!A:A,A522,ENTRADAS!C:C))</f>
        <v>0</v>
      </c>
      <c r="D522" s="10">
        <f>SUMIF(SALIDAS!A:A,A522,SALIDAS!C:C)</f>
        <v>0</v>
      </c>
      <c r="E522" s="10">
        <f t="shared" si="2"/>
        <v>0</v>
      </c>
      <c r="F522" s="13"/>
      <c r="G522" s="13"/>
    </row>
    <row r="523" ht="15.75" customHeight="1">
      <c r="A523" s="13"/>
      <c r="B523" s="13"/>
      <c r="C523" s="9">
        <f>IFERROR(SUMIF(ENTRADAS!A:A,A523,ENTRADAS!C:C))</f>
        <v>0</v>
      </c>
      <c r="D523" s="10">
        <f>SUMIF(SALIDAS!A:A,A523,SALIDAS!C:C)</f>
        <v>0</v>
      </c>
      <c r="E523" s="10">
        <f t="shared" si="2"/>
        <v>0</v>
      </c>
      <c r="F523" s="13"/>
      <c r="G523" s="13"/>
    </row>
    <row r="524" ht="15.75" customHeight="1">
      <c r="A524" s="13"/>
      <c r="B524" s="13"/>
      <c r="C524" s="9">
        <f>IFERROR(SUMIF(ENTRADAS!A:A,A524,ENTRADAS!C:C))</f>
        <v>0</v>
      </c>
      <c r="D524" s="10">
        <f>SUMIF(SALIDAS!A:A,A524,SALIDAS!C:C)</f>
        <v>0</v>
      </c>
      <c r="E524" s="10">
        <f t="shared" si="2"/>
        <v>0</v>
      </c>
      <c r="F524" s="13"/>
      <c r="G524" s="13"/>
    </row>
    <row r="525" ht="15.75" customHeight="1">
      <c r="A525" s="13"/>
      <c r="B525" s="13"/>
      <c r="C525" s="9">
        <f>IFERROR(SUMIF(ENTRADAS!A:A,A525,ENTRADAS!C:C))</f>
        <v>0</v>
      </c>
      <c r="D525" s="10">
        <f>SUMIF(SALIDAS!A:A,A525,SALIDAS!C:C)</f>
        <v>0</v>
      </c>
      <c r="E525" s="10">
        <f t="shared" si="2"/>
        <v>0</v>
      </c>
      <c r="F525" s="13"/>
      <c r="G525" s="13"/>
    </row>
    <row r="526" ht="15.75" customHeight="1">
      <c r="A526" s="13"/>
      <c r="B526" s="13"/>
      <c r="C526" s="9">
        <f>IFERROR(SUMIF(ENTRADAS!A:A,A526,ENTRADAS!C:C))</f>
        <v>0</v>
      </c>
      <c r="D526" s="10">
        <f>SUMIF(SALIDAS!A:A,A526,SALIDAS!C:C)</f>
        <v>0</v>
      </c>
      <c r="E526" s="10">
        <f t="shared" si="2"/>
        <v>0</v>
      </c>
      <c r="F526" s="13"/>
      <c r="G526" s="13"/>
    </row>
    <row r="527" ht="15.75" customHeight="1">
      <c r="A527" s="13"/>
      <c r="B527" s="13"/>
      <c r="C527" s="9">
        <f>IFERROR(SUMIF(ENTRADAS!A:A,A527,ENTRADAS!C:C))</f>
        <v>0</v>
      </c>
      <c r="D527" s="10">
        <f>SUMIF(SALIDAS!A:A,A527,SALIDAS!C:C)</f>
        <v>0</v>
      </c>
      <c r="E527" s="10">
        <f t="shared" si="2"/>
        <v>0</v>
      </c>
      <c r="F527" s="13"/>
      <c r="G527" s="13"/>
    </row>
    <row r="528" ht="15.75" customHeight="1">
      <c r="A528" s="13"/>
      <c r="B528" s="13"/>
      <c r="C528" s="9">
        <f>IFERROR(SUMIF(ENTRADAS!A:A,A528,ENTRADAS!C:C))</f>
        <v>0</v>
      </c>
      <c r="D528" s="10">
        <f>SUMIF(SALIDAS!A:A,A528,SALIDAS!C:C)</f>
        <v>0</v>
      </c>
      <c r="E528" s="10">
        <f t="shared" si="2"/>
        <v>0</v>
      </c>
      <c r="F528" s="13"/>
      <c r="G528" s="13"/>
    </row>
    <row r="529" ht="15.75" customHeight="1">
      <c r="A529" s="13"/>
      <c r="B529" s="13"/>
      <c r="C529" s="9">
        <f>IFERROR(SUMIF(ENTRADAS!A:A,A529,ENTRADAS!C:C))</f>
        <v>0</v>
      </c>
      <c r="D529" s="10">
        <f>SUMIF(SALIDAS!A:A,A529,SALIDAS!C:C)</f>
        <v>0</v>
      </c>
      <c r="E529" s="10">
        <f t="shared" si="2"/>
        <v>0</v>
      </c>
      <c r="F529" s="13"/>
      <c r="G529" s="13"/>
    </row>
    <row r="530" ht="15.75" customHeight="1">
      <c r="A530" s="13"/>
      <c r="B530" s="13"/>
      <c r="C530" s="9">
        <f>IFERROR(SUMIF(ENTRADAS!A:A,A530,ENTRADAS!C:C))</f>
        <v>0</v>
      </c>
      <c r="D530" s="10">
        <f>SUMIF(SALIDAS!A:A,A530,SALIDAS!C:C)</f>
        <v>0</v>
      </c>
      <c r="E530" s="10">
        <f t="shared" si="2"/>
        <v>0</v>
      </c>
      <c r="F530" s="13"/>
      <c r="G530" s="13"/>
    </row>
    <row r="531" ht="15.75" customHeight="1">
      <c r="A531" s="13"/>
      <c r="B531" s="13"/>
      <c r="C531" s="9">
        <f>IFERROR(SUMIF(ENTRADAS!A:A,A531,ENTRADAS!C:C))</f>
        <v>0</v>
      </c>
      <c r="D531" s="10">
        <f>SUMIF(SALIDAS!A:A,A531,SALIDAS!C:C)</f>
        <v>0</v>
      </c>
      <c r="E531" s="10">
        <f t="shared" si="2"/>
        <v>0</v>
      </c>
      <c r="F531" s="13"/>
      <c r="G531" s="13"/>
    </row>
    <row r="532" ht="15.75" customHeight="1">
      <c r="A532" s="13"/>
      <c r="B532" s="13"/>
      <c r="C532" s="9">
        <f>IFERROR(SUMIF(ENTRADAS!A:A,A532,ENTRADAS!C:C))</f>
        <v>0</v>
      </c>
      <c r="D532" s="10">
        <f>SUMIF(SALIDAS!A:A,A532,SALIDAS!C:C)</f>
        <v>0</v>
      </c>
      <c r="E532" s="10">
        <f t="shared" si="2"/>
        <v>0</v>
      </c>
      <c r="F532" s="13"/>
      <c r="G532" s="13"/>
    </row>
    <row r="533" ht="15.75" customHeight="1">
      <c r="A533" s="13"/>
      <c r="B533" s="13"/>
      <c r="C533" s="9">
        <f>IFERROR(SUMIF(ENTRADAS!A:A,A533,ENTRADAS!C:C))</f>
        <v>0</v>
      </c>
      <c r="D533" s="10">
        <f>SUMIF(SALIDAS!A:A,A533,SALIDAS!C:C)</f>
        <v>0</v>
      </c>
      <c r="E533" s="10">
        <f t="shared" si="2"/>
        <v>0</v>
      </c>
      <c r="F533" s="13"/>
      <c r="G533" s="13"/>
    </row>
    <row r="534" ht="15.75" customHeight="1">
      <c r="A534" s="13"/>
      <c r="B534" s="13"/>
      <c r="C534" s="9">
        <f>IFERROR(SUMIF(ENTRADAS!A:A,A534,ENTRADAS!C:C))</f>
        <v>0</v>
      </c>
      <c r="D534" s="10">
        <f>SUMIF(SALIDAS!A:A,A534,SALIDAS!C:C)</f>
        <v>0</v>
      </c>
      <c r="E534" s="10">
        <f t="shared" si="2"/>
        <v>0</v>
      </c>
      <c r="F534" s="13"/>
      <c r="G534" s="13"/>
    </row>
    <row r="535" ht="15.75" customHeight="1">
      <c r="A535" s="13"/>
      <c r="B535" s="13"/>
      <c r="C535" s="9">
        <f>IFERROR(SUMIF(ENTRADAS!A:A,A535,ENTRADAS!C:C))</f>
        <v>0</v>
      </c>
      <c r="D535" s="10">
        <f>SUMIF(SALIDAS!A:A,A535,SALIDAS!C:C)</f>
        <v>0</v>
      </c>
      <c r="E535" s="10">
        <f t="shared" si="2"/>
        <v>0</v>
      </c>
      <c r="F535" s="13"/>
      <c r="G535" s="13"/>
    </row>
    <row r="536" ht="15.75" customHeight="1">
      <c r="A536" s="13"/>
      <c r="B536" s="13"/>
      <c r="C536" s="9">
        <f>IFERROR(SUMIF(ENTRADAS!A:A,A536,ENTRADAS!C:C))</f>
        <v>0</v>
      </c>
      <c r="D536" s="10">
        <f>SUMIF(SALIDAS!A:A,A536,SALIDAS!C:C)</f>
        <v>0</v>
      </c>
      <c r="E536" s="10">
        <f t="shared" si="2"/>
        <v>0</v>
      </c>
      <c r="F536" s="13"/>
      <c r="G536" s="13"/>
    </row>
    <row r="537" ht="15.75" customHeight="1">
      <c r="A537" s="13"/>
      <c r="B537" s="13"/>
      <c r="C537" s="9">
        <f>IFERROR(SUMIF(ENTRADAS!A:A,A537,ENTRADAS!C:C))</f>
        <v>0</v>
      </c>
      <c r="D537" s="10">
        <f>SUMIF(SALIDAS!A:A,A537,SALIDAS!C:C)</f>
        <v>0</v>
      </c>
      <c r="E537" s="10">
        <f t="shared" si="2"/>
        <v>0</v>
      </c>
      <c r="F537" s="13"/>
      <c r="G537" s="13"/>
    </row>
    <row r="538" ht="15.75" customHeight="1">
      <c r="A538" s="13"/>
      <c r="B538" s="13"/>
      <c r="C538" s="9">
        <f>IFERROR(SUMIF(ENTRADAS!A:A,A538,ENTRADAS!C:C))</f>
        <v>0</v>
      </c>
      <c r="D538" s="10">
        <f>SUMIF(SALIDAS!A:A,A538,SALIDAS!C:C)</f>
        <v>0</v>
      </c>
      <c r="E538" s="10">
        <f t="shared" si="2"/>
        <v>0</v>
      </c>
      <c r="F538" s="13"/>
      <c r="G538" s="13"/>
    </row>
    <row r="539" ht="15.75" customHeight="1">
      <c r="A539" s="13"/>
      <c r="B539" s="13"/>
      <c r="C539" s="9">
        <f>IFERROR(SUMIF(ENTRADAS!A:A,A539,ENTRADAS!C:C))</f>
        <v>0</v>
      </c>
      <c r="D539" s="10">
        <f>SUMIF(SALIDAS!A:A,A539,SALIDAS!C:C)</f>
        <v>0</v>
      </c>
      <c r="E539" s="10">
        <f t="shared" si="2"/>
        <v>0</v>
      </c>
      <c r="F539" s="13"/>
      <c r="G539" s="13"/>
    </row>
    <row r="540" ht="15.75" customHeight="1">
      <c r="A540" s="13"/>
      <c r="B540" s="13"/>
      <c r="C540" s="9">
        <f>IFERROR(SUMIF(ENTRADAS!A:A,A540,ENTRADAS!C:C))</f>
        <v>0</v>
      </c>
      <c r="D540" s="10">
        <f>SUMIF(SALIDAS!A:A,A540,SALIDAS!C:C)</f>
        <v>0</v>
      </c>
      <c r="E540" s="10">
        <f t="shared" si="2"/>
        <v>0</v>
      </c>
      <c r="F540" s="13"/>
      <c r="G540" s="13"/>
    </row>
    <row r="541" ht="15.75" customHeight="1">
      <c r="A541" s="13"/>
      <c r="B541" s="13"/>
      <c r="C541" s="9">
        <f>IFERROR(SUMIF(ENTRADAS!A:A,A541,ENTRADAS!C:C))</f>
        <v>0</v>
      </c>
      <c r="D541" s="10">
        <f>SUMIF(SALIDAS!A:A,A541,SALIDAS!C:C)</f>
        <v>0</v>
      </c>
      <c r="E541" s="10">
        <f t="shared" si="2"/>
        <v>0</v>
      </c>
      <c r="F541" s="13"/>
      <c r="G541" s="13"/>
    </row>
    <row r="542" ht="15.75" customHeight="1">
      <c r="A542" s="13"/>
      <c r="B542" s="13"/>
      <c r="C542" s="9">
        <f>IFERROR(SUMIF(ENTRADAS!A:A,A542,ENTRADAS!C:C))</f>
        <v>0</v>
      </c>
      <c r="D542" s="10">
        <f>SUMIF(SALIDAS!A:A,A542,SALIDAS!C:C)</f>
        <v>0</v>
      </c>
      <c r="E542" s="10">
        <f t="shared" si="2"/>
        <v>0</v>
      </c>
      <c r="F542" s="13"/>
      <c r="G542" s="13"/>
    </row>
    <row r="543" ht="15.75" customHeight="1">
      <c r="A543" s="13"/>
      <c r="B543" s="13"/>
      <c r="C543" s="9">
        <f>IFERROR(SUMIF(ENTRADAS!A:A,A543,ENTRADAS!C:C))</f>
        <v>0</v>
      </c>
      <c r="D543" s="10">
        <f>SUMIF(SALIDAS!A:A,A543,SALIDAS!C:C)</f>
        <v>0</v>
      </c>
      <c r="E543" s="10">
        <f t="shared" si="2"/>
        <v>0</v>
      </c>
      <c r="F543" s="13"/>
      <c r="G543" s="13"/>
    </row>
    <row r="544" ht="15.75" customHeight="1">
      <c r="A544" s="13"/>
      <c r="B544" s="13"/>
      <c r="C544" s="9">
        <f>IFERROR(SUMIF(ENTRADAS!A:A,A544,ENTRADAS!C:C))</f>
        <v>0</v>
      </c>
      <c r="D544" s="10">
        <f>SUMIF(SALIDAS!A:A,A544,SALIDAS!C:C)</f>
        <v>0</v>
      </c>
      <c r="E544" s="10">
        <f t="shared" si="2"/>
        <v>0</v>
      </c>
      <c r="F544" s="13"/>
      <c r="G544" s="13"/>
    </row>
    <row r="545" ht="15.75" customHeight="1">
      <c r="A545" s="13"/>
      <c r="B545" s="13"/>
      <c r="C545" s="9">
        <f>IFERROR(SUMIF(ENTRADAS!A:A,A545,ENTRADAS!C:C))</f>
        <v>0</v>
      </c>
      <c r="D545" s="10">
        <f>SUMIF(SALIDAS!A:A,A545,SALIDAS!C:C)</f>
        <v>0</v>
      </c>
      <c r="E545" s="10">
        <f t="shared" si="2"/>
        <v>0</v>
      </c>
      <c r="F545" s="13"/>
      <c r="G545" s="13"/>
    </row>
    <row r="546" ht="15.75" customHeight="1">
      <c r="A546" s="13"/>
      <c r="B546" s="13"/>
      <c r="C546" s="9">
        <f>IFERROR(SUMIF(ENTRADAS!A:A,A546,ENTRADAS!C:C))</f>
        <v>0</v>
      </c>
      <c r="D546" s="10">
        <f>SUMIF(SALIDAS!A:A,A546,SALIDAS!C:C)</f>
        <v>0</v>
      </c>
      <c r="E546" s="10">
        <f t="shared" si="2"/>
        <v>0</v>
      </c>
      <c r="F546" s="13"/>
      <c r="G546" s="13"/>
    </row>
    <row r="547" ht="15.75" customHeight="1">
      <c r="A547" s="13"/>
      <c r="B547" s="13"/>
      <c r="C547" s="9">
        <f>IFERROR(SUMIF(ENTRADAS!A:A,A547,ENTRADAS!C:C))</f>
        <v>0</v>
      </c>
      <c r="D547" s="10">
        <f>SUMIF(SALIDAS!A:A,A547,SALIDAS!C:C)</f>
        <v>0</v>
      </c>
      <c r="E547" s="10">
        <f t="shared" si="2"/>
        <v>0</v>
      </c>
      <c r="F547" s="13"/>
      <c r="G547" s="13"/>
    </row>
    <row r="548" ht="15.75" customHeight="1">
      <c r="A548" s="13"/>
      <c r="B548" s="13"/>
      <c r="C548" s="9">
        <f>IFERROR(SUMIF(ENTRADAS!A:A,A548,ENTRADAS!C:C))</f>
        <v>0</v>
      </c>
      <c r="D548" s="10">
        <f>SUMIF(SALIDAS!A:A,A548,SALIDAS!C:C)</f>
        <v>0</v>
      </c>
      <c r="E548" s="10">
        <f t="shared" si="2"/>
        <v>0</v>
      </c>
      <c r="F548" s="13"/>
      <c r="G548" s="13"/>
    </row>
    <row r="549" ht="15.75" customHeight="1">
      <c r="A549" s="13"/>
      <c r="B549" s="13"/>
      <c r="C549" s="9">
        <f>IFERROR(SUMIF(ENTRADAS!A:A,A549,ENTRADAS!C:C))</f>
        <v>0</v>
      </c>
      <c r="D549" s="10">
        <f>SUMIF(SALIDAS!A:A,A549,SALIDAS!C:C)</f>
        <v>0</v>
      </c>
      <c r="E549" s="10">
        <f t="shared" si="2"/>
        <v>0</v>
      </c>
      <c r="F549" s="13"/>
      <c r="G549" s="13"/>
    </row>
    <row r="550" ht="15.75" customHeight="1">
      <c r="A550" s="13"/>
      <c r="B550" s="13"/>
      <c r="C550" s="9">
        <f>IFERROR(SUMIF(ENTRADAS!A:A,A550,ENTRADAS!C:C))</f>
        <v>0</v>
      </c>
      <c r="D550" s="10">
        <f>SUMIF(SALIDAS!A:A,A550,SALIDAS!C:C)</f>
        <v>0</v>
      </c>
      <c r="E550" s="10">
        <f t="shared" si="2"/>
        <v>0</v>
      </c>
      <c r="F550" s="13"/>
      <c r="G550" s="13"/>
    </row>
    <row r="551" ht="15.75" customHeight="1">
      <c r="A551" s="13"/>
      <c r="B551" s="13"/>
      <c r="C551" s="9">
        <f>IFERROR(SUMIF(ENTRADAS!A:A,A551,ENTRADAS!C:C))</f>
        <v>0</v>
      </c>
      <c r="D551" s="10">
        <f>SUMIF(SALIDAS!A:A,A551,SALIDAS!C:C)</f>
        <v>0</v>
      </c>
      <c r="E551" s="10">
        <f t="shared" si="2"/>
        <v>0</v>
      </c>
      <c r="F551" s="13"/>
      <c r="G551" s="13"/>
    </row>
    <row r="552" ht="15.75" customHeight="1">
      <c r="A552" s="13"/>
      <c r="B552" s="13"/>
      <c r="C552" s="9">
        <f>IFERROR(SUMIF(ENTRADAS!A:A,A552,ENTRADAS!C:C))</f>
        <v>0</v>
      </c>
      <c r="D552" s="10">
        <f>SUMIF(SALIDAS!A:A,A552,SALIDAS!C:C)</f>
        <v>0</v>
      </c>
      <c r="E552" s="10">
        <f t="shared" si="2"/>
        <v>0</v>
      </c>
      <c r="F552" s="13"/>
      <c r="G552" s="13"/>
    </row>
    <row r="553" ht="15.75" customHeight="1">
      <c r="A553" s="13"/>
      <c r="B553" s="13"/>
      <c r="C553" s="9">
        <f>IFERROR(SUMIF(ENTRADAS!A:A,A553,ENTRADAS!C:C))</f>
        <v>0</v>
      </c>
      <c r="D553" s="10">
        <f>SUMIF(SALIDAS!A:A,A553,SALIDAS!C:C)</f>
        <v>0</v>
      </c>
      <c r="E553" s="10">
        <f t="shared" si="2"/>
        <v>0</v>
      </c>
      <c r="F553" s="13"/>
      <c r="G553" s="13"/>
    </row>
    <row r="554" ht="15.75" customHeight="1">
      <c r="A554" s="13"/>
      <c r="B554" s="13"/>
      <c r="C554" s="9">
        <f>IFERROR(SUMIF(ENTRADAS!A:A,A554,ENTRADAS!C:C))</f>
        <v>0</v>
      </c>
      <c r="D554" s="10">
        <f>SUMIF(SALIDAS!A:A,A554,SALIDAS!C:C)</f>
        <v>0</v>
      </c>
      <c r="E554" s="10">
        <f t="shared" si="2"/>
        <v>0</v>
      </c>
      <c r="F554" s="13"/>
      <c r="G554" s="13"/>
    </row>
    <row r="555" ht="15.75" customHeight="1">
      <c r="A555" s="13"/>
      <c r="B555" s="13"/>
      <c r="C555" s="9">
        <f>IFERROR(SUMIF(ENTRADAS!A:A,A555,ENTRADAS!C:C))</f>
        <v>0</v>
      </c>
      <c r="D555" s="10">
        <f>SUMIF(SALIDAS!A:A,A555,SALIDAS!C:C)</f>
        <v>0</v>
      </c>
      <c r="E555" s="10">
        <f t="shared" si="2"/>
        <v>0</v>
      </c>
      <c r="F555" s="13"/>
      <c r="G555" s="13"/>
    </row>
    <row r="556" ht="15.75" customHeight="1">
      <c r="A556" s="13"/>
      <c r="B556" s="13"/>
      <c r="C556" s="9">
        <f>IFERROR(SUMIF(ENTRADAS!A:A,A556,ENTRADAS!C:C))</f>
        <v>0</v>
      </c>
      <c r="D556" s="10">
        <f>SUMIF(SALIDAS!A:A,A556,SALIDAS!C:C)</f>
        <v>0</v>
      </c>
      <c r="E556" s="10">
        <f t="shared" si="2"/>
        <v>0</v>
      </c>
      <c r="F556" s="13"/>
      <c r="G556" s="13"/>
    </row>
    <row r="557" ht="15.75" customHeight="1">
      <c r="A557" s="13"/>
      <c r="B557" s="13"/>
      <c r="C557" s="9">
        <f>IFERROR(SUMIF(ENTRADAS!A:A,A557,ENTRADAS!C:C))</f>
        <v>0</v>
      </c>
      <c r="D557" s="10">
        <f>SUMIF(SALIDAS!A:A,A557,SALIDAS!C:C)</f>
        <v>0</v>
      </c>
      <c r="E557" s="10">
        <f t="shared" si="2"/>
        <v>0</v>
      </c>
      <c r="F557" s="13"/>
      <c r="G557" s="13"/>
    </row>
    <row r="558" ht="15.75" customHeight="1">
      <c r="A558" s="13"/>
      <c r="B558" s="13"/>
      <c r="C558" s="9">
        <f>IFERROR(SUMIF(ENTRADAS!A:A,A558,ENTRADAS!C:C))</f>
        <v>0</v>
      </c>
      <c r="D558" s="10">
        <f>SUMIF(SALIDAS!A:A,A558,SALIDAS!C:C)</f>
        <v>0</v>
      </c>
      <c r="E558" s="10">
        <f t="shared" si="2"/>
        <v>0</v>
      </c>
      <c r="F558" s="13"/>
      <c r="G558" s="13"/>
    </row>
    <row r="559" ht="15.75" customHeight="1">
      <c r="A559" s="13"/>
      <c r="B559" s="13"/>
      <c r="C559" s="9">
        <f>IFERROR(SUMIF(ENTRADAS!A:A,A559,ENTRADAS!C:C))</f>
        <v>0</v>
      </c>
      <c r="D559" s="10">
        <f>SUMIF(SALIDAS!A:A,A559,SALIDAS!C:C)</f>
        <v>0</v>
      </c>
      <c r="E559" s="10">
        <f t="shared" si="2"/>
        <v>0</v>
      </c>
      <c r="F559" s="13"/>
      <c r="G559" s="13"/>
    </row>
    <row r="560" ht="15.75" customHeight="1">
      <c r="A560" s="13"/>
      <c r="B560" s="13"/>
      <c r="C560" s="9">
        <f>IFERROR(SUMIF(ENTRADAS!A:A,A560,ENTRADAS!C:C))</f>
        <v>0</v>
      </c>
      <c r="D560" s="10">
        <f>SUMIF(SALIDAS!A:A,A560,SALIDAS!C:C)</f>
        <v>0</v>
      </c>
      <c r="E560" s="10">
        <f t="shared" si="2"/>
        <v>0</v>
      </c>
      <c r="F560" s="13"/>
      <c r="G560" s="13"/>
    </row>
    <row r="561" ht="15.75" customHeight="1">
      <c r="A561" s="13"/>
      <c r="B561" s="13"/>
      <c r="C561" s="9">
        <f>IFERROR(SUMIF(ENTRADAS!A:A,A561,ENTRADAS!C:C))</f>
        <v>0</v>
      </c>
      <c r="D561" s="10">
        <f>SUMIF(SALIDAS!A:A,A561,SALIDAS!C:C)</f>
        <v>0</v>
      </c>
      <c r="E561" s="10">
        <f t="shared" si="2"/>
        <v>0</v>
      </c>
      <c r="F561" s="13"/>
      <c r="G561" s="13"/>
    </row>
    <row r="562" ht="15.75" customHeight="1">
      <c r="A562" s="13"/>
      <c r="B562" s="13"/>
      <c r="C562" s="9">
        <f>IFERROR(SUMIF(ENTRADAS!A:A,A562,ENTRADAS!C:C))</f>
        <v>0</v>
      </c>
      <c r="D562" s="10">
        <f>SUMIF(SALIDAS!A:A,A562,SALIDAS!C:C)</f>
        <v>0</v>
      </c>
      <c r="E562" s="10">
        <f t="shared" si="2"/>
        <v>0</v>
      </c>
      <c r="F562" s="13"/>
      <c r="G562" s="13"/>
    </row>
    <row r="563" ht="15.75" customHeight="1">
      <c r="A563" s="13"/>
      <c r="B563" s="13"/>
      <c r="C563" s="9">
        <f>IFERROR(SUMIF(ENTRADAS!A:A,A563,ENTRADAS!C:C))</f>
        <v>0</v>
      </c>
      <c r="D563" s="10">
        <f>SUMIF(SALIDAS!A:A,A563,SALIDAS!C:C)</f>
        <v>0</v>
      </c>
      <c r="E563" s="10">
        <f t="shared" si="2"/>
        <v>0</v>
      </c>
      <c r="F563" s="13"/>
      <c r="G563" s="13"/>
    </row>
    <row r="564" ht="15.75" customHeight="1">
      <c r="A564" s="13"/>
      <c r="B564" s="13"/>
      <c r="C564" s="9">
        <f>IFERROR(SUMIF(ENTRADAS!A:A,A564,ENTRADAS!C:C))</f>
        <v>0</v>
      </c>
      <c r="D564" s="10">
        <f>SUMIF(SALIDAS!A:A,A564,SALIDAS!C:C)</f>
        <v>0</v>
      </c>
      <c r="E564" s="10">
        <f t="shared" si="2"/>
        <v>0</v>
      </c>
      <c r="F564" s="13"/>
      <c r="G564" s="13"/>
    </row>
    <row r="565" ht="15.75" customHeight="1">
      <c r="A565" s="13"/>
      <c r="B565" s="13"/>
      <c r="C565" s="9">
        <f>IFERROR(SUMIF(ENTRADAS!A:A,A565,ENTRADAS!C:C))</f>
        <v>0</v>
      </c>
      <c r="D565" s="10">
        <f>SUMIF(SALIDAS!A:A,A565,SALIDAS!C:C)</f>
        <v>0</v>
      </c>
      <c r="E565" s="10">
        <f t="shared" si="2"/>
        <v>0</v>
      </c>
      <c r="F565" s="13"/>
      <c r="G565" s="13"/>
    </row>
    <row r="566" ht="15.75" customHeight="1">
      <c r="A566" s="13"/>
      <c r="B566" s="13"/>
      <c r="C566" s="9">
        <f>IFERROR(SUMIF(ENTRADAS!A:A,A566,ENTRADAS!C:C))</f>
        <v>0</v>
      </c>
      <c r="D566" s="10">
        <f>SUMIF(SALIDAS!A:A,A566,SALIDAS!C:C)</f>
        <v>0</v>
      </c>
      <c r="E566" s="10">
        <f t="shared" si="2"/>
        <v>0</v>
      </c>
      <c r="F566" s="13"/>
      <c r="G566" s="13"/>
    </row>
    <row r="567" ht="15.75" customHeight="1">
      <c r="A567" s="13"/>
      <c r="B567" s="13"/>
      <c r="C567" s="9">
        <f>IFERROR(SUMIF(ENTRADAS!A:A,A567,ENTRADAS!C:C))</f>
        <v>0</v>
      </c>
      <c r="D567" s="10">
        <f>SUMIF(SALIDAS!A:A,A567,SALIDAS!C:C)</f>
        <v>0</v>
      </c>
      <c r="E567" s="10">
        <f t="shared" si="2"/>
        <v>0</v>
      </c>
      <c r="F567" s="13"/>
      <c r="G567" s="13"/>
    </row>
    <row r="568" ht="15.75" customHeight="1">
      <c r="A568" s="13"/>
      <c r="B568" s="13"/>
      <c r="C568" s="9">
        <f>IFERROR(SUMIF(ENTRADAS!A:A,A568,ENTRADAS!C:C))</f>
        <v>0</v>
      </c>
      <c r="D568" s="10">
        <f>SUMIF(SALIDAS!A:A,A568,SALIDAS!C:C)</f>
        <v>0</v>
      </c>
      <c r="E568" s="10">
        <f t="shared" si="2"/>
        <v>0</v>
      </c>
      <c r="F568" s="13"/>
      <c r="G568" s="13"/>
    </row>
    <row r="569" ht="15.75" customHeight="1">
      <c r="A569" s="13"/>
      <c r="B569" s="13"/>
      <c r="C569" s="9">
        <f>IFERROR(SUMIF(ENTRADAS!A:A,A569,ENTRADAS!C:C))</f>
        <v>0</v>
      </c>
      <c r="D569" s="10">
        <f>SUMIF(SALIDAS!A:A,A569,SALIDAS!C:C)</f>
        <v>0</v>
      </c>
      <c r="E569" s="10">
        <f t="shared" si="2"/>
        <v>0</v>
      </c>
      <c r="F569" s="13"/>
      <c r="G569" s="13"/>
    </row>
    <row r="570" ht="15.75" customHeight="1">
      <c r="A570" s="13"/>
      <c r="B570" s="13"/>
      <c r="C570" s="9">
        <f>IFERROR(SUMIF(ENTRADAS!A:A,A570,ENTRADAS!C:C))</f>
        <v>0</v>
      </c>
      <c r="D570" s="10">
        <f>SUMIF(SALIDAS!A:A,A570,SALIDAS!C:C)</f>
        <v>0</v>
      </c>
      <c r="E570" s="10">
        <f t="shared" si="2"/>
        <v>0</v>
      </c>
      <c r="F570" s="13"/>
      <c r="G570" s="13"/>
    </row>
    <row r="571" ht="15.75" customHeight="1">
      <c r="A571" s="13"/>
      <c r="B571" s="13"/>
      <c r="C571" s="9">
        <f>IFERROR(SUMIF(ENTRADAS!A:A,A571,ENTRADAS!C:C))</f>
        <v>0</v>
      </c>
      <c r="D571" s="10">
        <f>SUMIF(SALIDAS!A:A,A571,SALIDAS!C:C)</f>
        <v>0</v>
      </c>
      <c r="E571" s="10">
        <f t="shared" si="2"/>
        <v>0</v>
      </c>
      <c r="F571" s="13"/>
      <c r="G571" s="13"/>
    </row>
    <row r="572" ht="15.75" customHeight="1">
      <c r="A572" s="13"/>
      <c r="B572" s="13"/>
      <c r="C572" s="9">
        <f>IFERROR(SUMIF(ENTRADAS!A:A,A572,ENTRADAS!C:C))</f>
        <v>0</v>
      </c>
      <c r="D572" s="10">
        <f>SUMIF(SALIDAS!A:A,A572,SALIDAS!C:C)</f>
        <v>0</v>
      </c>
      <c r="E572" s="10">
        <f t="shared" si="2"/>
        <v>0</v>
      </c>
      <c r="F572" s="13"/>
      <c r="G572" s="13"/>
    </row>
    <row r="573" ht="15.75" customHeight="1">
      <c r="A573" s="13"/>
      <c r="B573" s="13"/>
      <c r="C573" s="9">
        <f>IFERROR(SUMIF(ENTRADAS!A:A,A573,ENTRADAS!C:C))</f>
        <v>0</v>
      </c>
      <c r="D573" s="10">
        <f>SUMIF(SALIDAS!A:A,A573,SALIDAS!C:C)</f>
        <v>0</v>
      </c>
      <c r="E573" s="10">
        <f t="shared" si="2"/>
        <v>0</v>
      </c>
      <c r="F573" s="13"/>
      <c r="G573" s="13"/>
    </row>
    <row r="574" ht="15.75" customHeight="1">
      <c r="A574" s="13"/>
      <c r="B574" s="13"/>
      <c r="C574" s="9">
        <f>IFERROR(SUMIF(ENTRADAS!A:A,A574,ENTRADAS!C:C))</f>
        <v>0</v>
      </c>
      <c r="D574" s="10">
        <f>SUMIF(SALIDAS!A:A,A574,SALIDAS!C:C)</f>
        <v>0</v>
      </c>
      <c r="E574" s="10">
        <f t="shared" si="2"/>
        <v>0</v>
      </c>
      <c r="F574" s="13"/>
      <c r="G574" s="13"/>
    </row>
    <row r="575" ht="15.75" customHeight="1">
      <c r="A575" s="13"/>
      <c r="B575" s="13"/>
      <c r="C575" s="9">
        <f>IFERROR(SUMIF(ENTRADAS!A:A,A575,ENTRADAS!C:C))</f>
        <v>0</v>
      </c>
      <c r="D575" s="10">
        <f>SUMIF(SALIDAS!A:A,A575,SALIDAS!C:C)</f>
        <v>0</v>
      </c>
      <c r="E575" s="10">
        <f t="shared" si="2"/>
        <v>0</v>
      </c>
      <c r="F575" s="13"/>
      <c r="G575" s="13"/>
    </row>
    <row r="576" ht="15.75" customHeight="1">
      <c r="A576" s="13"/>
      <c r="B576" s="13"/>
      <c r="C576" s="9">
        <f>IFERROR(SUMIF(ENTRADAS!A:A,A576,ENTRADAS!C:C))</f>
        <v>0</v>
      </c>
      <c r="D576" s="10">
        <f>SUMIF(SALIDAS!A:A,A576,SALIDAS!C:C)</f>
        <v>0</v>
      </c>
      <c r="E576" s="10">
        <f t="shared" si="2"/>
        <v>0</v>
      </c>
      <c r="F576" s="13"/>
      <c r="G576" s="13"/>
    </row>
    <row r="577" ht="15.75" customHeight="1">
      <c r="A577" s="13"/>
      <c r="B577" s="13"/>
      <c r="C577" s="9">
        <f>IFERROR(SUMIF(ENTRADAS!A:A,A577,ENTRADAS!C:C))</f>
        <v>0</v>
      </c>
      <c r="D577" s="10">
        <f>SUMIF(SALIDAS!A:A,A577,SALIDAS!C:C)</f>
        <v>0</v>
      </c>
      <c r="E577" s="10">
        <f t="shared" si="2"/>
        <v>0</v>
      </c>
      <c r="F577" s="13"/>
      <c r="G577" s="13"/>
    </row>
    <row r="578" ht="15.75" customHeight="1">
      <c r="A578" s="13"/>
      <c r="B578" s="13"/>
      <c r="C578" s="9">
        <f>IFERROR(SUMIF(ENTRADAS!A:A,A578,ENTRADAS!C:C))</f>
        <v>0</v>
      </c>
      <c r="D578" s="10">
        <f>SUMIF(SALIDAS!A:A,A578,SALIDAS!C:C)</f>
        <v>0</v>
      </c>
      <c r="E578" s="10">
        <f t="shared" si="2"/>
        <v>0</v>
      </c>
      <c r="F578" s="13"/>
      <c r="G578" s="13"/>
    </row>
    <row r="579" ht="15.75" customHeight="1">
      <c r="A579" s="13"/>
      <c r="B579" s="13"/>
      <c r="C579" s="9">
        <f>IFERROR(SUMIF(ENTRADAS!A:A,A579,ENTRADAS!C:C))</f>
        <v>0</v>
      </c>
      <c r="D579" s="10">
        <f>SUMIF(SALIDAS!A:A,A579,SALIDAS!C:C)</f>
        <v>0</v>
      </c>
      <c r="E579" s="10">
        <f t="shared" si="2"/>
        <v>0</v>
      </c>
      <c r="F579" s="13"/>
      <c r="G579" s="13"/>
    </row>
    <row r="580" ht="15.75" customHeight="1">
      <c r="A580" s="13"/>
      <c r="B580" s="13"/>
      <c r="C580" s="9">
        <f>IFERROR(SUMIF(ENTRADAS!A:A,A580,ENTRADAS!C:C))</f>
        <v>0</v>
      </c>
      <c r="D580" s="10">
        <f>SUMIF(SALIDAS!A:A,A580,SALIDAS!C:C)</f>
        <v>0</v>
      </c>
      <c r="E580" s="10">
        <f t="shared" si="2"/>
        <v>0</v>
      </c>
      <c r="F580" s="13"/>
      <c r="G580" s="13"/>
    </row>
    <row r="581" ht="15.75" customHeight="1">
      <c r="A581" s="13"/>
      <c r="B581" s="13"/>
      <c r="C581" s="9">
        <f>IFERROR(SUMIF(ENTRADAS!A:A,A581,ENTRADAS!C:C))</f>
        <v>0</v>
      </c>
      <c r="D581" s="10">
        <f>SUMIF(SALIDAS!A:A,A581,SALIDAS!C:C)</f>
        <v>0</v>
      </c>
      <c r="E581" s="10">
        <f t="shared" si="2"/>
        <v>0</v>
      </c>
      <c r="F581" s="13"/>
      <c r="G581" s="13"/>
    </row>
    <row r="582" ht="15.75" customHeight="1">
      <c r="A582" s="13"/>
      <c r="B582" s="13"/>
      <c r="C582" s="9">
        <f>IFERROR(SUMIF(ENTRADAS!A:A,A582,ENTRADAS!C:C))</f>
        <v>0</v>
      </c>
      <c r="D582" s="10">
        <f>SUMIF(SALIDAS!A:A,A582,SALIDAS!C:C)</f>
        <v>0</v>
      </c>
      <c r="E582" s="10">
        <f t="shared" si="2"/>
        <v>0</v>
      </c>
      <c r="F582" s="13"/>
      <c r="G582" s="13"/>
    </row>
    <row r="583" ht="15.75" customHeight="1">
      <c r="A583" s="13"/>
      <c r="B583" s="13"/>
      <c r="C583" s="9">
        <f>IFERROR(SUMIF(ENTRADAS!A:A,A583,ENTRADAS!C:C))</f>
        <v>0</v>
      </c>
      <c r="D583" s="10">
        <f>SUMIF(SALIDAS!A:A,A583,SALIDAS!C:C)</f>
        <v>0</v>
      </c>
      <c r="E583" s="10">
        <f t="shared" si="2"/>
        <v>0</v>
      </c>
      <c r="F583" s="13"/>
      <c r="G583" s="13"/>
    </row>
    <row r="584" ht="15.75" customHeight="1">
      <c r="A584" s="13"/>
      <c r="B584" s="13"/>
      <c r="C584" s="9">
        <f>IFERROR(SUMIF(ENTRADAS!A:A,A584,ENTRADAS!C:C))</f>
        <v>0</v>
      </c>
      <c r="D584" s="10">
        <f>SUMIF(SALIDAS!A:A,A584,SALIDAS!C:C)</f>
        <v>0</v>
      </c>
      <c r="E584" s="10">
        <f t="shared" si="2"/>
        <v>0</v>
      </c>
      <c r="F584" s="13"/>
      <c r="G584" s="13"/>
    </row>
    <row r="585" ht="15.75" customHeight="1">
      <c r="A585" s="13"/>
      <c r="B585" s="13"/>
      <c r="C585" s="9">
        <f>IFERROR(SUMIF(ENTRADAS!A:A,A585,ENTRADAS!C:C))</f>
        <v>0</v>
      </c>
      <c r="D585" s="10">
        <f>SUMIF(SALIDAS!A:A,A585,SALIDAS!C:C)</f>
        <v>0</v>
      </c>
      <c r="E585" s="10">
        <f t="shared" si="2"/>
        <v>0</v>
      </c>
      <c r="F585" s="13"/>
      <c r="G585" s="13"/>
    </row>
    <row r="586" ht="15.75" customHeight="1">
      <c r="A586" s="13"/>
      <c r="B586" s="13"/>
      <c r="C586" s="9">
        <f>IFERROR(SUMIF(ENTRADAS!A:A,A586,ENTRADAS!C:C))</f>
        <v>0</v>
      </c>
      <c r="D586" s="10">
        <f>SUMIF(SALIDAS!A:A,A586,SALIDAS!C:C)</f>
        <v>0</v>
      </c>
      <c r="E586" s="10">
        <f t="shared" si="2"/>
        <v>0</v>
      </c>
      <c r="F586" s="13"/>
      <c r="G586" s="13"/>
    </row>
    <row r="587" ht="15.75" customHeight="1">
      <c r="A587" s="13"/>
      <c r="B587" s="13"/>
      <c r="C587" s="9">
        <f>IFERROR(SUMIF(ENTRADAS!A:A,A587,ENTRADAS!C:C))</f>
        <v>0</v>
      </c>
      <c r="D587" s="10">
        <f>SUMIF(SALIDAS!A:A,A587,SALIDAS!C:C)</f>
        <v>0</v>
      </c>
      <c r="E587" s="10">
        <f t="shared" si="2"/>
        <v>0</v>
      </c>
      <c r="F587" s="13"/>
      <c r="G587" s="13"/>
    </row>
    <row r="588" ht="15.75" customHeight="1">
      <c r="A588" s="13"/>
      <c r="B588" s="13"/>
      <c r="C588" s="9">
        <f>IFERROR(SUMIF(ENTRADAS!A:A,A588,ENTRADAS!C:C))</f>
        <v>0</v>
      </c>
      <c r="D588" s="10">
        <f>SUMIF(SALIDAS!A:A,A588,SALIDAS!C:C)</f>
        <v>0</v>
      </c>
      <c r="E588" s="10">
        <f t="shared" si="2"/>
        <v>0</v>
      </c>
      <c r="F588" s="13"/>
      <c r="G588" s="13"/>
    </row>
    <row r="589" ht="15.75" customHeight="1">
      <c r="A589" s="13"/>
      <c r="B589" s="13"/>
      <c r="C589" s="9">
        <f>IFERROR(SUMIF(ENTRADAS!A:A,A589,ENTRADAS!C:C))</f>
        <v>0</v>
      </c>
      <c r="D589" s="10">
        <f>SUMIF(SALIDAS!A:A,A589,SALIDAS!C:C)</f>
        <v>0</v>
      </c>
      <c r="E589" s="10">
        <f t="shared" si="2"/>
        <v>0</v>
      </c>
      <c r="F589" s="13"/>
      <c r="G589" s="13"/>
    </row>
    <row r="590" ht="15.75" customHeight="1">
      <c r="A590" s="13"/>
      <c r="B590" s="13"/>
      <c r="C590" s="9">
        <f>IFERROR(SUMIF(ENTRADAS!A:A,A590,ENTRADAS!C:C))</f>
        <v>0</v>
      </c>
      <c r="D590" s="10">
        <f>SUMIF(SALIDAS!A:A,A590,SALIDAS!C:C)</f>
        <v>0</v>
      </c>
      <c r="E590" s="10">
        <f t="shared" si="2"/>
        <v>0</v>
      </c>
      <c r="F590" s="13"/>
      <c r="G590" s="13"/>
    </row>
    <row r="591" ht="15.75" customHeight="1">
      <c r="A591" s="13"/>
      <c r="B591" s="13"/>
      <c r="C591" s="9">
        <f>IFERROR(SUMIF(ENTRADAS!A:A,A591,ENTRADAS!C:C))</f>
        <v>0</v>
      </c>
      <c r="D591" s="10">
        <f>SUMIF(SALIDAS!A:A,A591,SALIDAS!C:C)</f>
        <v>0</v>
      </c>
      <c r="E591" s="10">
        <f t="shared" si="2"/>
        <v>0</v>
      </c>
      <c r="F591" s="13"/>
      <c r="G591" s="13"/>
    </row>
    <row r="592" ht="15.75" customHeight="1">
      <c r="A592" s="13"/>
      <c r="B592" s="13"/>
      <c r="C592" s="9">
        <f>IFERROR(SUMIF(ENTRADAS!A:A,A592,ENTRADAS!C:C))</f>
        <v>0</v>
      </c>
      <c r="D592" s="10">
        <f>SUMIF(SALIDAS!A:A,A592,SALIDAS!C:C)</f>
        <v>0</v>
      </c>
      <c r="E592" s="10">
        <f t="shared" si="2"/>
        <v>0</v>
      </c>
      <c r="F592" s="13"/>
      <c r="G592" s="13"/>
    </row>
    <row r="593" ht="15.75" customHeight="1">
      <c r="A593" s="13"/>
      <c r="B593" s="13"/>
      <c r="C593" s="9">
        <f>IFERROR(SUMIF(ENTRADAS!A:A,A593,ENTRADAS!C:C))</f>
        <v>0</v>
      </c>
      <c r="D593" s="10">
        <f>SUMIF(SALIDAS!A:A,A593,SALIDAS!C:C)</f>
        <v>0</v>
      </c>
      <c r="E593" s="10">
        <f t="shared" si="2"/>
        <v>0</v>
      </c>
      <c r="F593" s="13"/>
      <c r="G593" s="13"/>
    </row>
    <row r="594" ht="15.75" customHeight="1">
      <c r="A594" s="13"/>
      <c r="B594" s="13"/>
      <c r="C594" s="9">
        <f>IFERROR(SUMIF(ENTRADAS!A:A,A594,ENTRADAS!C:C))</f>
        <v>0</v>
      </c>
      <c r="D594" s="10">
        <f>SUMIF(SALIDAS!A:A,A594,SALIDAS!C:C)</f>
        <v>0</v>
      </c>
      <c r="E594" s="10">
        <f t="shared" si="2"/>
        <v>0</v>
      </c>
      <c r="F594" s="13"/>
      <c r="G594" s="13"/>
    </row>
    <row r="595" ht="15.75" customHeight="1">
      <c r="A595" s="13"/>
      <c r="B595" s="13"/>
      <c r="C595" s="9">
        <f>IFERROR(SUMIF(ENTRADAS!A:A,A595,ENTRADAS!C:C))</f>
        <v>0</v>
      </c>
      <c r="D595" s="10">
        <f>SUMIF(SALIDAS!A:A,A595,SALIDAS!C:C)</f>
        <v>0</v>
      </c>
      <c r="E595" s="10">
        <f t="shared" si="2"/>
        <v>0</v>
      </c>
      <c r="F595" s="13"/>
      <c r="G595" s="13"/>
    </row>
    <row r="596" ht="15.75" customHeight="1">
      <c r="A596" s="13"/>
      <c r="B596" s="13"/>
      <c r="C596" s="9">
        <f>IFERROR(SUMIF(ENTRADAS!A:A,A596,ENTRADAS!C:C))</f>
        <v>0</v>
      </c>
      <c r="D596" s="10">
        <f>SUMIF(SALIDAS!A:A,A596,SALIDAS!C:C)</f>
        <v>0</v>
      </c>
      <c r="E596" s="10">
        <f t="shared" si="2"/>
        <v>0</v>
      </c>
      <c r="F596" s="13"/>
      <c r="G596" s="13"/>
    </row>
    <row r="597" ht="15.75" customHeight="1">
      <c r="A597" s="13"/>
      <c r="B597" s="13"/>
      <c r="C597" s="9">
        <f>IFERROR(SUMIF(ENTRADAS!A:A,A597,ENTRADAS!C:C))</f>
        <v>0</v>
      </c>
      <c r="D597" s="10">
        <f>SUMIF(SALIDAS!A:A,A597,SALIDAS!C:C)</f>
        <v>0</v>
      </c>
      <c r="E597" s="10">
        <f t="shared" si="2"/>
        <v>0</v>
      </c>
      <c r="F597" s="13"/>
      <c r="G597" s="13"/>
    </row>
    <row r="598" ht="15.75" customHeight="1">
      <c r="A598" s="13"/>
      <c r="B598" s="13"/>
      <c r="C598" s="9">
        <f>IFERROR(SUMIF(ENTRADAS!A:A,A598,ENTRADAS!C:C))</f>
        <v>0</v>
      </c>
      <c r="D598" s="10">
        <f>SUMIF(SALIDAS!A:A,A598,SALIDAS!C:C)</f>
        <v>0</v>
      </c>
      <c r="E598" s="10">
        <f t="shared" si="2"/>
        <v>0</v>
      </c>
      <c r="F598" s="13"/>
      <c r="G598" s="13"/>
    </row>
    <row r="599" ht="15.75" customHeight="1">
      <c r="A599" s="13"/>
      <c r="B599" s="13"/>
      <c r="C599" s="9">
        <f>IFERROR(SUMIF(ENTRADAS!A:A,A599,ENTRADAS!C:C))</f>
        <v>0</v>
      </c>
      <c r="D599" s="10">
        <f>SUMIF(SALIDAS!A:A,A599,SALIDAS!C:C)</f>
        <v>0</v>
      </c>
      <c r="E599" s="10">
        <f t="shared" si="2"/>
        <v>0</v>
      </c>
      <c r="F599" s="13"/>
      <c r="G599" s="13"/>
    </row>
    <row r="600" ht="15.75" customHeight="1">
      <c r="A600" s="13"/>
      <c r="B600" s="13"/>
      <c r="C600" s="9">
        <f>IFERROR(SUMIF(ENTRADAS!A:A,A600,ENTRADAS!C:C))</f>
        <v>0</v>
      </c>
      <c r="D600" s="10">
        <f>SUMIF(SALIDAS!A:A,A600,SALIDAS!C:C)</f>
        <v>0</v>
      </c>
      <c r="E600" s="10">
        <f t="shared" si="2"/>
        <v>0</v>
      </c>
      <c r="F600" s="13"/>
      <c r="G600" s="13"/>
    </row>
    <row r="601" ht="15.75" customHeight="1">
      <c r="A601" s="13"/>
      <c r="B601" s="13"/>
      <c r="C601" s="9">
        <f>IFERROR(SUMIF(ENTRADAS!A:A,A601,ENTRADAS!C:C))</f>
        <v>0</v>
      </c>
      <c r="D601" s="10">
        <f>SUMIF(SALIDAS!A:A,A601,SALIDAS!C:C)</f>
        <v>0</v>
      </c>
      <c r="E601" s="10">
        <f t="shared" si="2"/>
        <v>0</v>
      </c>
      <c r="F601" s="13"/>
      <c r="G601" s="13"/>
    </row>
    <row r="602" ht="15.75" customHeight="1">
      <c r="A602" s="13"/>
      <c r="B602" s="13"/>
      <c r="C602" s="9">
        <f>IFERROR(SUMIF(ENTRADAS!A:A,A602,ENTRADAS!C:C))</f>
        <v>0</v>
      </c>
      <c r="D602" s="10">
        <f>SUMIF(SALIDAS!A:A,A602,SALIDAS!C:C)</f>
        <v>0</v>
      </c>
      <c r="E602" s="10">
        <f t="shared" si="2"/>
        <v>0</v>
      </c>
      <c r="F602" s="13"/>
      <c r="G602" s="13"/>
    </row>
    <row r="603" ht="15.75" customHeight="1">
      <c r="A603" s="13"/>
      <c r="B603" s="13"/>
      <c r="C603" s="9">
        <f>IFERROR(SUMIF(ENTRADAS!A:A,A603,ENTRADAS!C:C))</f>
        <v>0</v>
      </c>
      <c r="D603" s="10">
        <f>SUMIF(SALIDAS!A:A,A603,SALIDAS!C:C)</f>
        <v>0</v>
      </c>
      <c r="E603" s="10">
        <f t="shared" si="2"/>
        <v>0</v>
      </c>
      <c r="F603" s="13"/>
      <c r="G603" s="13"/>
    </row>
    <row r="604" ht="15.75" customHeight="1">
      <c r="A604" s="13"/>
      <c r="B604" s="13"/>
      <c r="C604" s="9">
        <f>IFERROR(SUMIF(ENTRADAS!A:A,A604,ENTRADAS!C:C))</f>
        <v>0</v>
      </c>
      <c r="D604" s="10">
        <f>SUMIF(SALIDAS!A:A,A604,SALIDAS!C:C)</f>
        <v>0</v>
      </c>
      <c r="E604" s="10">
        <f t="shared" si="2"/>
        <v>0</v>
      </c>
      <c r="F604" s="13"/>
      <c r="G604" s="13"/>
    </row>
    <row r="605" ht="15.75" customHeight="1">
      <c r="A605" s="13"/>
      <c r="B605" s="13"/>
      <c r="C605" s="9">
        <f>IFERROR(SUMIF(ENTRADAS!A:A,A605,ENTRADAS!C:C))</f>
        <v>0</v>
      </c>
      <c r="D605" s="10">
        <f>SUMIF(SALIDAS!A:A,A605,SALIDAS!C:C)</f>
        <v>0</v>
      </c>
      <c r="E605" s="10">
        <f t="shared" si="2"/>
        <v>0</v>
      </c>
      <c r="F605" s="13"/>
      <c r="G605" s="13"/>
    </row>
    <row r="606" ht="15.75" customHeight="1">
      <c r="A606" s="13"/>
      <c r="B606" s="13"/>
      <c r="C606" s="9">
        <f>IFERROR(SUMIF(ENTRADAS!A:A,A606,ENTRADAS!C:C))</f>
        <v>0</v>
      </c>
      <c r="D606" s="10">
        <f>SUMIF(SALIDAS!A:A,A606,SALIDAS!C:C)</f>
        <v>0</v>
      </c>
      <c r="E606" s="10">
        <f t="shared" si="2"/>
        <v>0</v>
      </c>
      <c r="F606" s="13"/>
      <c r="G606" s="13"/>
    </row>
    <row r="607" ht="15.75" customHeight="1">
      <c r="A607" s="13"/>
      <c r="B607" s="13"/>
      <c r="C607" s="9">
        <f>IFERROR(SUMIF(ENTRADAS!A:A,A607,ENTRADAS!C:C))</f>
        <v>0</v>
      </c>
      <c r="D607" s="10">
        <f>SUMIF(SALIDAS!A:A,A607,SALIDAS!C:C)</f>
        <v>0</v>
      </c>
      <c r="E607" s="10">
        <f t="shared" si="2"/>
        <v>0</v>
      </c>
      <c r="F607" s="13"/>
      <c r="G607" s="13"/>
    </row>
    <row r="608" ht="15.75" customHeight="1">
      <c r="A608" s="13"/>
      <c r="B608" s="13"/>
      <c r="C608" s="9">
        <f>IFERROR(SUMIF(ENTRADAS!A:A,A608,ENTRADAS!C:C))</f>
        <v>0</v>
      </c>
      <c r="D608" s="10">
        <f>SUMIF(SALIDAS!A:A,A608,SALIDAS!C:C)</f>
        <v>0</v>
      </c>
      <c r="E608" s="10">
        <f t="shared" si="2"/>
        <v>0</v>
      </c>
      <c r="F608" s="13"/>
      <c r="G608" s="13"/>
    </row>
    <row r="609" ht="15.75" customHeight="1">
      <c r="A609" s="13"/>
      <c r="B609" s="13"/>
      <c r="C609" s="9">
        <f>IFERROR(SUMIF(ENTRADAS!A:A,A609,ENTRADAS!C:C))</f>
        <v>0</v>
      </c>
      <c r="D609" s="10">
        <f>SUMIF(SALIDAS!A:A,A609,SALIDAS!C:C)</f>
        <v>0</v>
      </c>
      <c r="E609" s="10">
        <f t="shared" si="2"/>
        <v>0</v>
      </c>
      <c r="F609" s="13"/>
      <c r="G609" s="13"/>
    </row>
    <row r="610" ht="15.75" customHeight="1">
      <c r="A610" s="13"/>
      <c r="B610" s="13"/>
      <c r="C610" s="9">
        <f>IFERROR(SUMIF(ENTRADAS!A:A,A610,ENTRADAS!C:C))</f>
        <v>0</v>
      </c>
      <c r="D610" s="10">
        <f>SUMIF(SALIDAS!A:A,A610,SALIDAS!C:C)</f>
        <v>0</v>
      </c>
      <c r="E610" s="10">
        <f t="shared" si="2"/>
        <v>0</v>
      </c>
      <c r="F610" s="13"/>
      <c r="G610" s="13"/>
    </row>
    <row r="611" ht="15.75" customHeight="1">
      <c r="A611" s="13"/>
      <c r="B611" s="13"/>
      <c r="C611" s="9">
        <f>IFERROR(SUMIF(ENTRADAS!A:A,A611,ENTRADAS!C:C))</f>
        <v>0</v>
      </c>
      <c r="D611" s="10">
        <f>SUMIF(SALIDAS!A:A,A611,SALIDAS!C:C)</f>
        <v>0</v>
      </c>
      <c r="E611" s="10">
        <f t="shared" si="2"/>
        <v>0</v>
      </c>
      <c r="F611" s="13"/>
      <c r="G611" s="13"/>
    </row>
    <row r="612" ht="15.75" customHeight="1">
      <c r="A612" s="13"/>
      <c r="B612" s="13"/>
      <c r="C612" s="9">
        <f>IFERROR(SUMIF(ENTRADAS!A:A,A612,ENTRADAS!C:C))</f>
        <v>0</v>
      </c>
      <c r="D612" s="10">
        <f>SUMIF(SALIDAS!A:A,A612,SALIDAS!C:C)</f>
        <v>0</v>
      </c>
      <c r="E612" s="10">
        <f t="shared" si="2"/>
        <v>0</v>
      </c>
      <c r="F612" s="13"/>
      <c r="G612" s="13"/>
    </row>
    <row r="613" ht="15.75" customHeight="1">
      <c r="A613" s="13"/>
      <c r="B613" s="13"/>
      <c r="C613" s="9">
        <f>IFERROR(SUMIF(ENTRADAS!A:A,A613,ENTRADAS!C:C))</f>
        <v>0</v>
      </c>
      <c r="D613" s="10">
        <f>SUMIF(SALIDAS!A:A,A613,SALIDAS!C:C)</f>
        <v>0</v>
      </c>
      <c r="E613" s="10">
        <f t="shared" si="2"/>
        <v>0</v>
      </c>
      <c r="F613" s="13"/>
      <c r="G613" s="13"/>
    </row>
    <row r="614" ht="15.75" customHeight="1">
      <c r="A614" s="13"/>
      <c r="B614" s="13"/>
      <c r="C614" s="9">
        <f>IFERROR(SUMIF(ENTRADAS!A:A,A614,ENTRADAS!C:C))</f>
        <v>0</v>
      </c>
      <c r="D614" s="10">
        <f>SUMIF(SALIDAS!A:A,A614,SALIDAS!C:C)</f>
        <v>0</v>
      </c>
      <c r="E614" s="10">
        <f t="shared" si="2"/>
        <v>0</v>
      </c>
      <c r="F614" s="13"/>
      <c r="G614" s="13"/>
    </row>
    <row r="615" ht="15.75" customHeight="1">
      <c r="A615" s="13"/>
      <c r="B615" s="13"/>
      <c r="C615" s="9">
        <f>IFERROR(SUMIF(ENTRADAS!A:A,A615,ENTRADAS!C:C))</f>
        <v>0</v>
      </c>
      <c r="D615" s="10">
        <f>SUMIF(SALIDAS!A:A,A615,SALIDAS!C:C)</f>
        <v>0</v>
      </c>
      <c r="E615" s="10">
        <f t="shared" si="2"/>
        <v>0</v>
      </c>
      <c r="F615" s="13"/>
      <c r="G615" s="13"/>
    </row>
    <row r="616" ht="15.75" customHeight="1">
      <c r="A616" s="13"/>
      <c r="B616" s="13"/>
      <c r="C616" s="9">
        <f>IFERROR(SUMIF(ENTRADAS!A:A,A616,ENTRADAS!C:C))</f>
        <v>0</v>
      </c>
      <c r="D616" s="10">
        <f>SUMIF(SALIDAS!A:A,A616,SALIDAS!C:C)</f>
        <v>0</v>
      </c>
      <c r="E616" s="10">
        <f t="shared" si="2"/>
        <v>0</v>
      </c>
      <c r="F616" s="13"/>
      <c r="G616" s="13"/>
    </row>
    <row r="617" ht="15.75" customHeight="1">
      <c r="A617" s="13"/>
      <c r="B617" s="13"/>
      <c r="C617" s="9">
        <f>IFERROR(SUMIF(ENTRADAS!A:A,A617,ENTRADAS!C:C))</f>
        <v>0</v>
      </c>
      <c r="D617" s="10">
        <f>SUMIF(SALIDAS!A:A,A617,SALIDAS!C:C)</f>
        <v>0</v>
      </c>
      <c r="E617" s="10">
        <f t="shared" si="2"/>
        <v>0</v>
      </c>
      <c r="F617" s="13"/>
      <c r="G617" s="13"/>
    </row>
    <row r="618" ht="15.75" customHeight="1">
      <c r="A618" s="13"/>
      <c r="B618" s="13"/>
      <c r="C618" s="9">
        <f>IFERROR(SUMIF(ENTRADAS!A:A,A618,ENTRADAS!C:C))</f>
        <v>0</v>
      </c>
      <c r="D618" s="10">
        <f>SUMIF(SALIDAS!A:A,A618,SALIDAS!C:C)</f>
        <v>0</v>
      </c>
      <c r="E618" s="10">
        <f t="shared" si="2"/>
        <v>0</v>
      </c>
      <c r="F618" s="13"/>
      <c r="G618" s="13"/>
    </row>
    <row r="619" ht="15.75" customHeight="1">
      <c r="A619" s="13"/>
      <c r="B619" s="13"/>
      <c r="C619" s="9">
        <f>IFERROR(SUMIF(ENTRADAS!A:A,A619,ENTRADAS!C:C))</f>
        <v>0</v>
      </c>
      <c r="D619" s="10">
        <f>SUMIF(SALIDAS!A:A,A619,SALIDAS!C:C)</f>
        <v>0</v>
      </c>
      <c r="E619" s="10">
        <f t="shared" si="2"/>
        <v>0</v>
      </c>
      <c r="F619" s="13"/>
      <c r="G619" s="13"/>
    </row>
    <row r="620" ht="15.75" customHeight="1">
      <c r="A620" s="13"/>
      <c r="B620" s="13"/>
      <c r="C620" s="9">
        <f>IFERROR(SUMIF(ENTRADAS!A:A,A620,ENTRADAS!C:C))</f>
        <v>0</v>
      </c>
      <c r="D620" s="10">
        <f>SUMIF(SALIDAS!A:A,A620,SALIDAS!C:C)</f>
        <v>0</v>
      </c>
      <c r="E620" s="10">
        <f t="shared" si="2"/>
        <v>0</v>
      </c>
      <c r="F620" s="13"/>
      <c r="G620" s="13"/>
    </row>
    <row r="621" ht="15.75" customHeight="1">
      <c r="A621" s="13"/>
      <c r="B621" s="13"/>
      <c r="C621" s="9">
        <f>IFERROR(SUMIF(ENTRADAS!A:A,A621,ENTRADAS!C:C))</f>
        <v>0</v>
      </c>
      <c r="D621" s="10">
        <f>SUMIF(SALIDAS!A:A,A621,SALIDAS!C:C)</f>
        <v>0</v>
      </c>
      <c r="E621" s="10">
        <f t="shared" si="2"/>
        <v>0</v>
      </c>
      <c r="F621" s="13"/>
      <c r="G621" s="13"/>
    </row>
    <row r="622" ht="15.75" customHeight="1">
      <c r="A622" s="13"/>
      <c r="B622" s="13"/>
      <c r="C622" s="9">
        <f>IFERROR(SUMIF(ENTRADAS!A:A,A622,ENTRADAS!C:C))</f>
        <v>0</v>
      </c>
      <c r="D622" s="10">
        <f>SUMIF(SALIDAS!A:A,A622,SALIDAS!C:C)</f>
        <v>0</v>
      </c>
      <c r="E622" s="10">
        <f t="shared" si="2"/>
        <v>0</v>
      </c>
      <c r="F622" s="13"/>
      <c r="G622" s="13"/>
    </row>
    <row r="623" ht="15.75" customHeight="1">
      <c r="A623" s="13"/>
      <c r="B623" s="13"/>
      <c r="C623" s="9">
        <f>IFERROR(SUMIF(ENTRADAS!A:A,A623,ENTRADAS!C:C))</f>
        <v>0</v>
      </c>
      <c r="D623" s="10">
        <f>SUMIF(SALIDAS!A:A,A623,SALIDAS!C:C)</f>
        <v>0</v>
      </c>
      <c r="E623" s="10">
        <f t="shared" si="2"/>
        <v>0</v>
      </c>
      <c r="F623" s="13"/>
      <c r="G623" s="13"/>
    </row>
    <row r="624" ht="15.75" customHeight="1">
      <c r="A624" s="13"/>
      <c r="B624" s="13"/>
      <c r="C624" s="9">
        <f>IFERROR(SUMIF(ENTRADAS!A:A,A624,ENTRADAS!C:C))</f>
        <v>0</v>
      </c>
      <c r="D624" s="10">
        <f>SUMIF(SALIDAS!A:A,A624,SALIDAS!C:C)</f>
        <v>0</v>
      </c>
      <c r="E624" s="10">
        <f t="shared" si="2"/>
        <v>0</v>
      </c>
      <c r="F624" s="13"/>
      <c r="G624" s="13"/>
    </row>
    <row r="625" ht="15.75" customHeight="1">
      <c r="A625" s="13"/>
      <c r="B625" s="13"/>
      <c r="C625" s="9">
        <f>IFERROR(SUMIF(ENTRADAS!A:A,A625,ENTRADAS!C:C))</f>
        <v>0</v>
      </c>
      <c r="D625" s="10">
        <f>SUMIF(SALIDAS!A:A,A625,SALIDAS!C:C)</f>
        <v>0</v>
      </c>
      <c r="E625" s="10">
        <f t="shared" si="2"/>
        <v>0</v>
      </c>
      <c r="F625" s="13"/>
      <c r="G625" s="13"/>
    </row>
    <row r="626" ht="15.75" customHeight="1">
      <c r="A626" s="13"/>
      <c r="B626" s="13"/>
      <c r="C626" s="9">
        <f>IFERROR(SUMIF(ENTRADAS!A:A,A626,ENTRADAS!C:C))</f>
        <v>0</v>
      </c>
      <c r="D626" s="10">
        <f>SUMIF(SALIDAS!A:A,A626,SALIDAS!C:C)</f>
        <v>0</v>
      </c>
      <c r="E626" s="10">
        <f t="shared" si="2"/>
        <v>0</v>
      </c>
      <c r="F626" s="13"/>
      <c r="G626" s="13"/>
    </row>
    <row r="627" ht="15.75" customHeight="1">
      <c r="A627" s="13"/>
      <c r="B627" s="13"/>
      <c r="C627" s="9">
        <f>IFERROR(SUMIF(ENTRADAS!A:A,A627,ENTRADAS!C:C))</f>
        <v>0</v>
      </c>
      <c r="D627" s="10">
        <f>SUMIF(SALIDAS!A:A,A627,SALIDAS!C:C)</f>
        <v>0</v>
      </c>
      <c r="E627" s="10">
        <f t="shared" si="2"/>
        <v>0</v>
      </c>
      <c r="F627" s="13"/>
      <c r="G627" s="13"/>
    </row>
    <row r="628" ht="15.75" customHeight="1">
      <c r="A628" s="13"/>
      <c r="B628" s="13"/>
      <c r="C628" s="9">
        <f>IFERROR(SUMIF(ENTRADAS!A:A,A628,ENTRADAS!C:C))</f>
        <v>0</v>
      </c>
      <c r="D628" s="10">
        <f>SUMIF(SALIDAS!A:A,A628,SALIDAS!C:C)</f>
        <v>0</v>
      </c>
      <c r="E628" s="10">
        <f t="shared" si="2"/>
        <v>0</v>
      </c>
      <c r="F628" s="13"/>
      <c r="G628" s="13"/>
    </row>
    <row r="629" ht="15.75" customHeight="1">
      <c r="A629" s="13"/>
      <c r="B629" s="13"/>
      <c r="C629" s="9">
        <f>IFERROR(SUMIF(ENTRADAS!A:A,A629,ENTRADAS!C:C))</f>
        <v>0</v>
      </c>
      <c r="D629" s="10">
        <f>SUMIF(SALIDAS!A:A,A629,SALIDAS!C:C)</f>
        <v>0</v>
      </c>
      <c r="E629" s="10">
        <f t="shared" si="2"/>
        <v>0</v>
      </c>
      <c r="F629" s="13"/>
      <c r="G629" s="13"/>
    </row>
    <row r="630" ht="15.75" customHeight="1">
      <c r="A630" s="13"/>
      <c r="B630" s="13"/>
      <c r="C630" s="9">
        <f>IFERROR(SUMIF(ENTRADAS!A:A,A630,ENTRADAS!C:C))</f>
        <v>0</v>
      </c>
      <c r="D630" s="10">
        <f>SUMIF(SALIDAS!A:A,A630,SALIDAS!C:C)</f>
        <v>0</v>
      </c>
      <c r="E630" s="10">
        <f t="shared" si="2"/>
        <v>0</v>
      </c>
      <c r="F630" s="13"/>
      <c r="G630" s="13"/>
    </row>
    <row r="631" ht="15.75" customHeight="1">
      <c r="A631" s="13"/>
      <c r="B631" s="13"/>
      <c r="C631" s="9">
        <f>IFERROR(SUMIF(ENTRADAS!A:A,A631,ENTRADAS!C:C))</f>
        <v>0</v>
      </c>
      <c r="D631" s="10">
        <f>SUMIF(SALIDAS!A:A,A631,SALIDAS!C:C)</f>
        <v>0</v>
      </c>
      <c r="E631" s="10">
        <f t="shared" si="2"/>
        <v>0</v>
      </c>
      <c r="F631" s="13"/>
      <c r="G631" s="13"/>
    </row>
    <row r="632" ht="15.75" customHeight="1">
      <c r="A632" s="13"/>
      <c r="B632" s="13"/>
      <c r="C632" s="9">
        <f>IFERROR(SUMIF(ENTRADAS!A:A,A632,ENTRADAS!C:C))</f>
        <v>0</v>
      </c>
      <c r="D632" s="10">
        <f>SUMIF(SALIDAS!A:A,A632,SALIDAS!C:C)</f>
        <v>0</v>
      </c>
      <c r="E632" s="10">
        <f t="shared" si="2"/>
        <v>0</v>
      </c>
      <c r="F632" s="13"/>
      <c r="G632" s="13"/>
    </row>
    <row r="633" ht="15.75" customHeight="1">
      <c r="A633" s="13"/>
      <c r="B633" s="13"/>
      <c r="C633" s="9">
        <f>IFERROR(SUMIF(ENTRADAS!A:A,A633,ENTRADAS!C:C))</f>
        <v>0</v>
      </c>
      <c r="D633" s="10">
        <f>SUMIF(SALIDAS!A:A,A633,SALIDAS!C:C)</f>
        <v>0</v>
      </c>
      <c r="E633" s="10">
        <f t="shared" si="2"/>
        <v>0</v>
      </c>
      <c r="F633" s="13"/>
      <c r="G633" s="13"/>
    </row>
    <row r="634" ht="15.75" customHeight="1">
      <c r="A634" s="13"/>
      <c r="B634" s="13"/>
      <c r="C634" s="9">
        <f>IFERROR(SUMIF(ENTRADAS!A:A,A634,ENTRADAS!C:C))</f>
        <v>0</v>
      </c>
      <c r="D634" s="10">
        <f>SUMIF(SALIDAS!A:A,A634,SALIDAS!C:C)</f>
        <v>0</v>
      </c>
      <c r="E634" s="10">
        <f t="shared" si="2"/>
        <v>0</v>
      </c>
      <c r="F634" s="13"/>
      <c r="G634" s="13"/>
    </row>
    <row r="635" ht="15.75" customHeight="1">
      <c r="A635" s="13"/>
      <c r="B635" s="13"/>
      <c r="C635" s="9">
        <f>IFERROR(SUMIF(ENTRADAS!A:A,A635,ENTRADAS!C:C))</f>
        <v>0</v>
      </c>
      <c r="D635" s="10">
        <f>SUMIF(SALIDAS!A:A,A635,SALIDAS!C:C)</f>
        <v>0</v>
      </c>
      <c r="E635" s="10">
        <f t="shared" si="2"/>
        <v>0</v>
      </c>
      <c r="F635" s="13"/>
      <c r="G635" s="13"/>
    </row>
    <row r="636" ht="15.75" customHeight="1">
      <c r="A636" s="13"/>
      <c r="B636" s="13"/>
      <c r="C636" s="9">
        <f>IFERROR(SUMIF(ENTRADAS!A:A,A636,ENTRADAS!C:C))</f>
        <v>0</v>
      </c>
      <c r="D636" s="10">
        <f>SUMIF(SALIDAS!A:A,A636,SALIDAS!C:C)</f>
        <v>0</v>
      </c>
      <c r="E636" s="10">
        <f t="shared" si="2"/>
        <v>0</v>
      </c>
      <c r="F636" s="13"/>
      <c r="G636" s="13"/>
    </row>
    <row r="637" ht="15.75" customHeight="1">
      <c r="A637" s="13"/>
      <c r="B637" s="13"/>
      <c r="C637" s="9">
        <f>IFERROR(SUMIF(ENTRADAS!A:A,A637,ENTRADAS!C:C))</f>
        <v>0</v>
      </c>
      <c r="D637" s="10">
        <f>SUMIF(SALIDAS!A:A,A637,SALIDAS!C:C)</f>
        <v>0</v>
      </c>
      <c r="E637" s="10">
        <f t="shared" si="2"/>
        <v>0</v>
      </c>
      <c r="F637" s="13"/>
      <c r="G637" s="13"/>
    </row>
    <row r="638" ht="15.75" customHeight="1">
      <c r="A638" s="13"/>
      <c r="B638" s="13"/>
      <c r="C638" s="9">
        <f>IFERROR(SUMIF(ENTRADAS!A:A,A638,ENTRADAS!C:C))</f>
        <v>0</v>
      </c>
      <c r="D638" s="10">
        <f>SUMIF(SALIDAS!A:A,A638,SALIDAS!C:C)</f>
        <v>0</v>
      </c>
      <c r="E638" s="10">
        <f t="shared" si="2"/>
        <v>0</v>
      </c>
      <c r="F638" s="13"/>
      <c r="G638" s="13"/>
    </row>
    <row r="639" ht="15.75" customHeight="1">
      <c r="A639" s="13"/>
      <c r="B639" s="13"/>
      <c r="C639" s="9">
        <f>IFERROR(SUMIF(ENTRADAS!A:A,A639,ENTRADAS!C:C))</f>
        <v>0</v>
      </c>
      <c r="D639" s="10">
        <f>SUMIF(SALIDAS!A:A,A639,SALIDAS!C:C)</f>
        <v>0</v>
      </c>
      <c r="E639" s="10">
        <f t="shared" si="2"/>
        <v>0</v>
      </c>
      <c r="F639" s="13"/>
      <c r="G639" s="13"/>
    </row>
    <row r="640" ht="15.75" customHeight="1">
      <c r="A640" s="13"/>
      <c r="B640" s="13"/>
      <c r="C640" s="9">
        <f>IFERROR(SUMIF(ENTRADAS!A:A,A640,ENTRADAS!C:C))</f>
        <v>0</v>
      </c>
      <c r="D640" s="10">
        <f>SUMIF(SALIDAS!A:A,A640,SALIDAS!C:C)</f>
        <v>0</v>
      </c>
      <c r="E640" s="10">
        <f t="shared" si="2"/>
        <v>0</v>
      </c>
      <c r="F640" s="13"/>
      <c r="G640" s="13"/>
    </row>
    <row r="641" ht="15.75" customHeight="1">
      <c r="A641" s="13"/>
      <c r="B641" s="13"/>
      <c r="C641" s="9">
        <f>IFERROR(SUMIF(ENTRADAS!A:A,A641,ENTRADAS!C:C))</f>
        <v>0</v>
      </c>
      <c r="D641" s="10">
        <f>SUMIF(SALIDAS!A:A,A641,SALIDAS!C:C)</f>
        <v>0</v>
      </c>
      <c r="E641" s="10">
        <f t="shared" si="2"/>
        <v>0</v>
      </c>
      <c r="F641" s="13"/>
      <c r="G641" s="13"/>
    </row>
    <row r="642" ht="15.75" customHeight="1">
      <c r="A642" s="13"/>
      <c r="B642" s="13"/>
      <c r="C642" s="9">
        <f>IFERROR(SUMIF(ENTRADAS!A:A,A642,ENTRADAS!C:C))</f>
        <v>0</v>
      </c>
      <c r="D642" s="10">
        <f>SUMIF(SALIDAS!A:A,A642,SALIDAS!C:C)</f>
        <v>0</v>
      </c>
      <c r="E642" s="10">
        <f t="shared" si="2"/>
        <v>0</v>
      </c>
      <c r="F642" s="13"/>
      <c r="G642" s="13"/>
    </row>
    <row r="643" ht="15.75" customHeight="1">
      <c r="A643" s="13"/>
      <c r="B643" s="13"/>
      <c r="C643" s="9">
        <f>IFERROR(SUMIF(ENTRADAS!A:A,A643,ENTRADAS!C:C))</f>
        <v>0</v>
      </c>
      <c r="D643" s="10">
        <f>SUMIF(SALIDAS!A:A,A643,SALIDAS!C:C)</f>
        <v>0</v>
      </c>
      <c r="E643" s="10">
        <f t="shared" si="2"/>
        <v>0</v>
      </c>
      <c r="F643" s="13"/>
      <c r="G643" s="13"/>
    </row>
    <row r="644" ht="15.75" customHeight="1">
      <c r="A644" s="13"/>
      <c r="B644" s="13"/>
      <c r="C644" s="9">
        <f>IFERROR(SUMIF(ENTRADAS!A:A,A644,ENTRADAS!C:C))</f>
        <v>0</v>
      </c>
      <c r="D644" s="10">
        <f>SUMIF(SALIDAS!A:A,A644,SALIDAS!C:C)</f>
        <v>0</v>
      </c>
      <c r="E644" s="10">
        <f t="shared" si="2"/>
        <v>0</v>
      </c>
      <c r="F644" s="13"/>
      <c r="G644" s="13"/>
    </row>
    <row r="645" ht="15.75" customHeight="1">
      <c r="A645" s="13"/>
      <c r="B645" s="13"/>
      <c r="C645" s="9">
        <f>IFERROR(SUMIF(ENTRADAS!A:A,A645,ENTRADAS!C:C))</f>
        <v>0</v>
      </c>
      <c r="D645" s="10">
        <f>SUMIF(SALIDAS!A:A,A645,SALIDAS!C:C)</f>
        <v>0</v>
      </c>
      <c r="E645" s="10">
        <f t="shared" si="2"/>
        <v>0</v>
      </c>
      <c r="F645" s="13"/>
      <c r="G645" s="13"/>
    </row>
    <row r="646" ht="15.75" customHeight="1">
      <c r="A646" s="13"/>
      <c r="B646" s="13"/>
      <c r="C646" s="9">
        <f>IFERROR(SUMIF(ENTRADAS!A:A,A646,ENTRADAS!C:C))</f>
        <v>0</v>
      </c>
      <c r="D646" s="10">
        <f>SUMIF(SALIDAS!A:A,A646,SALIDAS!C:C)</f>
        <v>0</v>
      </c>
      <c r="E646" s="10">
        <f t="shared" si="2"/>
        <v>0</v>
      </c>
      <c r="F646" s="13"/>
      <c r="G646" s="13"/>
    </row>
    <row r="647" ht="15.75" customHeight="1">
      <c r="A647" s="13"/>
      <c r="B647" s="13"/>
      <c r="C647" s="9">
        <f>IFERROR(SUMIF(ENTRADAS!A:A,A647,ENTRADAS!C:C))</f>
        <v>0</v>
      </c>
      <c r="D647" s="10">
        <f>SUMIF(SALIDAS!A:A,A647,SALIDAS!C:C)</f>
        <v>0</v>
      </c>
      <c r="E647" s="10">
        <f t="shared" si="2"/>
        <v>0</v>
      </c>
      <c r="F647" s="13"/>
      <c r="G647" s="13"/>
    </row>
    <row r="648" ht="15.75" customHeight="1">
      <c r="A648" s="13"/>
      <c r="B648" s="13"/>
      <c r="C648" s="9">
        <f>IFERROR(SUMIF(ENTRADAS!A:A,A648,ENTRADAS!C:C))</f>
        <v>0</v>
      </c>
      <c r="D648" s="10">
        <f>SUMIF(SALIDAS!A:A,A648,SALIDAS!C:C)</f>
        <v>0</v>
      </c>
      <c r="E648" s="10">
        <f t="shared" si="2"/>
        <v>0</v>
      </c>
      <c r="F648" s="13"/>
      <c r="G648" s="13"/>
    </row>
    <row r="649" ht="15.75" customHeight="1">
      <c r="A649" s="13"/>
      <c r="B649" s="13"/>
      <c r="C649" s="9">
        <f>IFERROR(SUMIF(ENTRADAS!A:A,A649,ENTRADAS!C:C))</f>
        <v>0</v>
      </c>
      <c r="D649" s="10">
        <f>SUMIF(SALIDAS!A:A,A649,SALIDAS!C:C)</f>
        <v>0</v>
      </c>
      <c r="E649" s="10">
        <f t="shared" si="2"/>
        <v>0</v>
      </c>
      <c r="F649" s="13"/>
      <c r="G649" s="13"/>
    </row>
    <row r="650" ht="15.75" customHeight="1">
      <c r="A650" s="13"/>
      <c r="B650" s="13"/>
      <c r="C650" s="9">
        <f>IFERROR(SUMIF(ENTRADAS!A:A,A650,ENTRADAS!C:C))</f>
        <v>0</v>
      </c>
      <c r="D650" s="10">
        <f>SUMIF(SALIDAS!A:A,A650,SALIDAS!C:C)</f>
        <v>0</v>
      </c>
      <c r="E650" s="10">
        <f t="shared" si="2"/>
        <v>0</v>
      </c>
      <c r="F650" s="13"/>
      <c r="G650" s="13"/>
    </row>
    <row r="651" ht="15.75" customHeight="1">
      <c r="A651" s="13"/>
      <c r="B651" s="13"/>
      <c r="C651" s="9">
        <f>IFERROR(SUMIF(ENTRADAS!A:A,A651,ENTRADAS!C:C))</f>
        <v>0</v>
      </c>
      <c r="D651" s="10">
        <f>SUMIF(SALIDAS!A:A,A651,SALIDAS!C:C)</f>
        <v>0</v>
      </c>
      <c r="E651" s="10">
        <f t="shared" si="2"/>
        <v>0</v>
      </c>
      <c r="F651" s="13"/>
      <c r="G651" s="13"/>
    </row>
    <row r="652" ht="15.75" customHeight="1">
      <c r="A652" s="13"/>
      <c r="B652" s="13"/>
      <c r="C652" s="9">
        <f>IFERROR(SUMIF(ENTRADAS!A:A,A652,ENTRADAS!C:C))</f>
        <v>0</v>
      </c>
      <c r="D652" s="10">
        <f>SUMIF(SALIDAS!A:A,A652,SALIDAS!C:C)</f>
        <v>0</v>
      </c>
      <c r="E652" s="10">
        <f t="shared" si="2"/>
        <v>0</v>
      </c>
      <c r="F652" s="13"/>
      <c r="G652" s="13"/>
    </row>
    <row r="653" ht="15.75" customHeight="1">
      <c r="A653" s="13"/>
      <c r="B653" s="13"/>
      <c r="C653" s="9">
        <f>IFERROR(SUMIF(ENTRADAS!A:A,A653,ENTRADAS!C:C))</f>
        <v>0</v>
      </c>
      <c r="D653" s="10">
        <f>SUMIF(SALIDAS!A:A,A653,SALIDAS!C:C)</f>
        <v>0</v>
      </c>
      <c r="E653" s="10">
        <f t="shared" si="2"/>
        <v>0</v>
      </c>
      <c r="F653" s="13"/>
      <c r="G653" s="13"/>
    </row>
    <row r="654" ht="15.75" customHeight="1">
      <c r="A654" s="13"/>
      <c r="B654" s="13"/>
      <c r="C654" s="9">
        <f>IFERROR(SUMIF(ENTRADAS!A:A,A654,ENTRADAS!C:C))</f>
        <v>0</v>
      </c>
      <c r="D654" s="10">
        <f>SUMIF(SALIDAS!A:A,A654,SALIDAS!C:C)</f>
        <v>0</v>
      </c>
      <c r="E654" s="10">
        <f t="shared" si="2"/>
        <v>0</v>
      </c>
      <c r="F654" s="13"/>
      <c r="G654" s="13"/>
    </row>
    <row r="655" ht="15.75" customHeight="1">
      <c r="A655" s="13"/>
      <c r="B655" s="13"/>
      <c r="C655" s="9">
        <f>IFERROR(SUMIF(ENTRADAS!A:A,A655,ENTRADAS!C:C))</f>
        <v>0</v>
      </c>
      <c r="D655" s="10">
        <f>SUMIF(SALIDAS!A:A,A655,SALIDAS!C:C)</f>
        <v>0</v>
      </c>
      <c r="E655" s="10">
        <f t="shared" si="2"/>
        <v>0</v>
      </c>
      <c r="F655" s="13"/>
      <c r="G655" s="13"/>
    </row>
    <row r="656" ht="15.75" customHeight="1">
      <c r="A656" s="13"/>
      <c r="B656" s="13"/>
      <c r="C656" s="9">
        <f>IFERROR(SUMIF(ENTRADAS!A:A,A656,ENTRADAS!C:C))</f>
        <v>0</v>
      </c>
      <c r="D656" s="10">
        <f>SUMIF(SALIDAS!A:A,A656,SALIDAS!C:C)</f>
        <v>0</v>
      </c>
      <c r="E656" s="10">
        <f t="shared" si="2"/>
        <v>0</v>
      </c>
      <c r="F656" s="13"/>
      <c r="G656" s="13"/>
    </row>
    <row r="657" ht="15.75" customHeight="1">
      <c r="A657" s="13"/>
      <c r="B657" s="13"/>
      <c r="C657" s="9">
        <f>IFERROR(SUMIF(ENTRADAS!A:A,A657,ENTRADAS!C:C))</f>
        <v>0</v>
      </c>
      <c r="D657" s="10">
        <f>SUMIF(SALIDAS!A:A,A657,SALIDAS!C:C)</f>
        <v>0</v>
      </c>
      <c r="E657" s="10">
        <f t="shared" si="2"/>
        <v>0</v>
      </c>
      <c r="F657" s="13"/>
      <c r="G657" s="13"/>
    </row>
    <row r="658" ht="15.75" customHeight="1">
      <c r="A658" s="13"/>
      <c r="B658" s="13"/>
      <c r="C658" s="9">
        <f>IFERROR(SUMIF(ENTRADAS!A:A,A658,ENTRADAS!C:C))</f>
        <v>0</v>
      </c>
      <c r="D658" s="10">
        <f>SUMIF(SALIDAS!A:A,A658,SALIDAS!C:C)</f>
        <v>0</v>
      </c>
      <c r="E658" s="10">
        <f t="shared" si="2"/>
        <v>0</v>
      </c>
      <c r="F658" s="13"/>
      <c r="G658" s="13"/>
    </row>
    <row r="659" ht="15.75" customHeight="1">
      <c r="A659" s="13"/>
      <c r="B659" s="13"/>
      <c r="C659" s="9">
        <f>IFERROR(SUMIF(ENTRADAS!A:A,A659,ENTRADAS!C:C))</f>
        <v>0</v>
      </c>
      <c r="D659" s="10">
        <f>SUMIF(SALIDAS!A:A,A659,SALIDAS!C:C)</f>
        <v>0</v>
      </c>
      <c r="E659" s="10">
        <f t="shared" si="2"/>
        <v>0</v>
      </c>
      <c r="F659" s="13"/>
      <c r="G659" s="13"/>
    </row>
    <row r="660" ht="15.75" customHeight="1">
      <c r="A660" s="13"/>
      <c r="B660" s="13"/>
      <c r="C660" s="9">
        <f>IFERROR(SUMIF(ENTRADAS!A:A,A660,ENTRADAS!C:C))</f>
        <v>0</v>
      </c>
      <c r="D660" s="10">
        <f>SUMIF(SALIDAS!A:A,A660,SALIDAS!C:C)</f>
        <v>0</v>
      </c>
      <c r="E660" s="10">
        <f t="shared" si="2"/>
        <v>0</v>
      </c>
      <c r="F660" s="13"/>
      <c r="G660" s="13"/>
    </row>
    <row r="661" ht="15.75" customHeight="1">
      <c r="A661" s="13"/>
      <c r="B661" s="13"/>
      <c r="C661" s="9">
        <f>IFERROR(SUMIF(ENTRADAS!A:A,A661,ENTRADAS!C:C))</f>
        <v>0</v>
      </c>
      <c r="D661" s="10">
        <f>SUMIF(SALIDAS!A:A,A661,SALIDAS!C:C)</f>
        <v>0</v>
      </c>
      <c r="E661" s="10">
        <f t="shared" si="2"/>
        <v>0</v>
      </c>
      <c r="F661" s="13"/>
      <c r="G661" s="13"/>
    </row>
    <row r="662" ht="15.75" customHeight="1">
      <c r="A662" s="13"/>
      <c r="B662" s="13"/>
      <c r="C662" s="9">
        <f>IFERROR(SUMIF(ENTRADAS!A:A,A662,ENTRADAS!C:C))</f>
        <v>0</v>
      </c>
      <c r="D662" s="10">
        <f>SUMIF(SALIDAS!A:A,A662,SALIDAS!C:C)</f>
        <v>0</v>
      </c>
      <c r="E662" s="10">
        <f t="shared" si="2"/>
        <v>0</v>
      </c>
      <c r="F662" s="13"/>
      <c r="G662" s="13"/>
    </row>
    <row r="663" ht="15.75" customHeight="1">
      <c r="A663" s="13"/>
      <c r="B663" s="13"/>
      <c r="C663" s="9">
        <f>IFERROR(SUMIF(ENTRADAS!A:A,A663,ENTRADAS!C:C))</f>
        <v>0</v>
      </c>
      <c r="D663" s="10">
        <f>SUMIF(SALIDAS!A:A,A663,SALIDAS!C:C)</f>
        <v>0</v>
      </c>
      <c r="E663" s="10">
        <f t="shared" si="2"/>
        <v>0</v>
      </c>
      <c r="F663" s="13"/>
      <c r="G663" s="13"/>
    </row>
    <row r="664" ht="15.75" customHeight="1">
      <c r="A664" s="13"/>
      <c r="B664" s="13"/>
      <c r="C664" s="9">
        <f>IFERROR(SUMIF(ENTRADAS!A:A,A664,ENTRADAS!C:C))</f>
        <v>0</v>
      </c>
      <c r="D664" s="10">
        <f>SUMIF(SALIDAS!A:A,A664,SALIDAS!C:C)</f>
        <v>0</v>
      </c>
      <c r="E664" s="10">
        <f t="shared" si="2"/>
        <v>0</v>
      </c>
      <c r="F664" s="13"/>
      <c r="G664" s="13"/>
    </row>
    <row r="665" ht="15.75" customHeight="1">
      <c r="A665" s="13"/>
      <c r="B665" s="13"/>
      <c r="C665" s="9">
        <f>IFERROR(SUMIF(ENTRADAS!A:A,A665,ENTRADAS!C:C))</f>
        <v>0</v>
      </c>
      <c r="D665" s="10">
        <f>SUMIF(SALIDAS!A:A,A665,SALIDAS!C:C)</f>
        <v>0</v>
      </c>
      <c r="E665" s="10">
        <f t="shared" si="2"/>
        <v>0</v>
      </c>
      <c r="F665" s="13"/>
      <c r="G665" s="13"/>
    </row>
    <row r="666" ht="15.75" customHeight="1">
      <c r="A666" s="13"/>
      <c r="B666" s="13"/>
      <c r="C666" s="9">
        <f>IFERROR(SUMIF(ENTRADAS!A:A,A666,ENTRADAS!C:C))</f>
        <v>0</v>
      </c>
      <c r="D666" s="10">
        <f>SUMIF(SALIDAS!A:A,A666,SALIDAS!C:C)</f>
        <v>0</v>
      </c>
      <c r="E666" s="10">
        <f t="shared" si="2"/>
        <v>0</v>
      </c>
      <c r="F666" s="13"/>
      <c r="G666" s="13"/>
    </row>
    <row r="667" ht="15.75" customHeight="1">
      <c r="A667" s="13"/>
      <c r="B667" s="13"/>
      <c r="C667" s="9">
        <f>IFERROR(SUMIF(ENTRADAS!A:A,A667,ENTRADAS!C:C))</f>
        <v>0</v>
      </c>
      <c r="D667" s="10">
        <f>SUMIF(SALIDAS!A:A,A667,SALIDAS!C:C)</f>
        <v>0</v>
      </c>
      <c r="E667" s="10">
        <f t="shared" si="2"/>
        <v>0</v>
      </c>
      <c r="F667" s="13"/>
      <c r="G667" s="13"/>
    </row>
    <row r="668" ht="15.75" customHeight="1">
      <c r="A668" s="13"/>
      <c r="B668" s="13"/>
      <c r="C668" s="9">
        <f>IFERROR(SUMIF(ENTRADAS!A:A,A668,ENTRADAS!C:C))</f>
        <v>0</v>
      </c>
      <c r="D668" s="10">
        <f>SUMIF(SALIDAS!A:A,A668,SALIDAS!C:C)</f>
        <v>0</v>
      </c>
      <c r="E668" s="10">
        <f t="shared" si="2"/>
        <v>0</v>
      </c>
      <c r="F668" s="13"/>
      <c r="G668" s="13"/>
    </row>
    <row r="669" ht="15.75" customHeight="1">
      <c r="A669" s="13"/>
      <c r="B669" s="13"/>
      <c r="C669" s="9">
        <f>IFERROR(SUMIF(ENTRADAS!A:A,A669,ENTRADAS!C:C))</f>
        <v>0</v>
      </c>
      <c r="D669" s="10">
        <f>SUMIF(SALIDAS!A:A,A669,SALIDAS!C:C)</f>
        <v>0</v>
      </c>
      <c r="E669" s="10">
        <f t="shared" si="2"/>
        <v>0</v>
      </c>
      <c r="F669" s="13"/>
      <c r="G669" s="13"/>
    </row>
    <row r="670" ht="15.75" customHeight="1">
      <c r="A670" s="13"/>
      <c r="B670" s="13"/>
      <c r="C670" s="9">
        <f>IFERROR(SUMIF(ENTRADAS!A:A,A670,ENTRADAS!C:C))</f>
        <v>0</v>
      </c>
      <c r="D670" s="10">
        <f>SUMIF(SALIDAS!A:A,A670,SALIDAS!C:C)</f>
        <v>0</v>
      </c>
      <c r="E670" s="10">
        <f t="shared" si="2"/>
        <v>0</v>
      </c>
      <c r="F670" s="13"/>
      <c r="G670" s="13"/>
    </row>
    <row r="671" ht="15.75" customHeight="1">
      <c r="A671" s="13"/>
      <c r="B671" s="13"/>
      <c r="C671" s="9">
        <f>IFERROR(SUMIF(ENTRADAS!A:A,A671,ENTRADAS!C:C))</f>
        <v>0</v>
      </c>
      <c r="D671" s="10">
        <f>SUMIF(SALIDAS!A:A,A671,SALIDAS!C:C)</f>
        <v>0</v>
      </c>
      <c r="E671" s="10">
        <f t="shared" si="2"/>
        <v>0</v>
      </c>
      <c r="F671" s="13"/>
      <c r="G671" s="13"/>
    </row>
    <row r="672" ht="15.75" customHeight="1">
      <c r="A672" s="13"/>
      <c r="B672" s="13"/>
      <c r="C672" s="9">
        <f>IFERROR(SUMIF(ENTRADAS!A:A,A672,ENTRADAS!C:C))</f>
        <v>0</v>
      </c>
      <c r="D672" s="10">
        <f>SUMIF(SALIDAS!A:A,A672,SALIDAS!C:C)</f>
        <v>0</v>
      </c>
      <c r="E672" s="10">
        <f t="shared" si="2"/>
        <v>0</v>
      </c>
      <c r="F672" s="13"/>
      <c r="G672" s="13"/>
    </row>
    <row r="673" ht="15.75" customHeight="1">
      <c r="A673" s="13"/>
      <c r="B673" s="13"/>
      <c r="C673" s="9">
        <f>IFERROR(SUMIF(ENTRADAS!A:A,A673,ENTRADAS!C:C))</f>
        <v>0</v>
      </c>
      <c r="D673" s="10">
        <f>SUMIF(SALIDAS!A:A,A673,SALIDAS!C:C)</f>
        <v>0</v>
      </c>
      <c r="E673" s="10">
        <f t="shared" si="2"/>
        <v>0</v>
      </c>
      <c r="F673" s="13"/>
      <c r="G673" s="13"/>
    </row>
    <row r="674" ht="15.75" customHeight="1">
      <c r="A674" s="13"/>
      <c r="B674" s="13"/>
      <c r="C674" s="9">
        <f>IFERROR(SUMIF(ENTRADAS!A:A,A674,ENTRADAS!C:C))</f>
        <v>0</v>
      </c>
      <c r="D674" s="10">
        <f>SUMIF(SALIDAS!A:A,A674,SALIDAS!C:C)</f>
        <v>0</v>
      </c>
      <c r="E674" s="10">
        <f t="shared" si="2"/>
        <v>0</v>
      </c>
      <c r="F674" s="13"/>
      <c r="G674" s="13"/>
    </row>
    <row r="675" ht="15.75" customHeight="1">
      <c r="A675" s="13"/>
      <c r="B675" s="13"/>
      <c r="C675" s="9">
        <f>IFERROR(SUMIF(ENTRADAS!A:A,A675,ENTRADAS!C:C))</f>
        <v>0</v>
      </c>
      <c r="D675" s="10">
        <f>SUMIF(SALIDAS!A:A,A675,SALIDAS!C:C)</f>
        <v>0</v>
      </c>
      <c r="E675" s="10">
        <f t="shared" si="2"/>
        <v>0</v>
      </c>
      <c r="F675" s="13"/>
      <c r="G675" s="13"/>
    </row>
    <row r="676" ht="15.75" customHeight="1">
      <c r="A676" s="13"/>
      <c r="B676" s="13"/>
      <c r="C676" s="9">
        <f>IFERROR(SUMIF(ENTRADAS!A:A,A676,ENTRADAS!C:C))</f>
        <v>0</v>
      </c>
      <c r="D676" s="10">
        <f>SUMIF(SALIDAS!A:A,A676,SALIDAS!C:C)</f>
        <v>0</v>
      </c>
      <c r="E676" s="10">
        <f t="shared" si="2"/>
        <v>0</v>
      </c>
      <c r="F676" s="13"/>
      <c r="G676" s="13"/>
    </row>
    <row r="677" ht="15.75" customHeight="1">
      <c r="A677" s="13"/>
      <c r="B677" s="13"/>
      <c r="C677" s="9">
        <f>IFERROR(SUMIF(ENTRADAS!A:A,A677,ENTRADAS!C:C))</f>
        <v>0</v>
      </c>
      <c r="D677" s="10">
        <f>SUMIF(SALIDAS!A:A,A677,SALIDAS!C:C)</f>
        <v>0</v>
      </c>
      <c r="E677" s="10">
        <f t="shared" si="2"/>
        <v>0</v>
      </c>
      <c r="F677" s="13"/>
      <c r="G677" s="13"/>
    </row>
    <row r="678" ht="15.75" customHeight="1">
      <c r="A678" s="13"/>
      <c r="B678" s="13"/>
      <c r="C678" s="9">
        <f>IFERROR(SUMIF(ENTRADAS!A:A,A678,ENTRADAS!C:C))</f>
        <v>0</v>
      </c>
      <c r="D678" s="10">
        <f>SUMIF(SALIDAS!A:A,A678,SALIDAS!C:C)</f>
        <v>0</v>
      </c>
      <c r="E678" s="10">
        <f t="shared" si="2"/>
        <v>0</v>
      </c>
      <c r="F678" s="13"/>
      <c r="G678" s="13"/>
    </row>
    <row r="679" ht="15.75" customHeight="1">
      <c r="A679" s="13"/>
      <c r="B679" s="13"/>
      <c r="C679" s="9">
        <f>IFERROR(SUMIF(ENTRADAS!A:A,A679,ENTRADAS!C:C))</f>
        <v>0</v>
      </c>
      <c r="D679" s="10">
        <f>SUMIF(SALIDAS!A:A,A679,SALIDAS!C:C)</f>
        <v>0</v>
      </c>
      <c r="E679" s="10">
        <f t="shared" si="2"/>
        <v>0</v>
      </c>
      <c r="F679" s="13"/>
      <c r="G679" s="13"/>
    </row>
    <row r="680" ht="15.75" customHeight="1">
      <c r="A680" s="13"/>
      <c r="B680" s="13"/>
      <c r="C680" s="9">
        <f>IFERROR(SUMIF(ENTRADAS!A:A,A680,ENTRADAS!C:C))</f>
        <v>0</v>
      </c>
      <c r="D680" s="10">
        <f>SUMIF(SALIDAS!A:A,A680,SALIDAS!C:C)</f>
        <v>0</v>
      </c>
      <c r="E680" s="10">
        <f t="shared" si="2"/>
        <v>0</v>
      </c>
      <c r="F680" s="13"/>
      <c r="G680" s="13"/>
    </row>
    <row r="681" ht="15.75" customHeight="1">
      <c r="A681" s="13"/>
      <c r="B681" s="13"/>
      <c r="C681" s="9">
        <f>IFERROR(SUMIF(ENTRADAS!A:A,A681,ENTRADAS!C:C))</f>
        <v>0</v>
      </c>
      <c r="D681" s="10">
        <f>SUMIF(SALIDAS!A:A,A681,SALIDAS!C:C)</f>
        <v>0</v>
      </c>
      <c r="E681" s="10">
        <f t="shared" si="2"/>
        <v>0</v>
      </c>
      <c r="F681" s="13"/>
      <c r="G681" s="13"/>
    </row>
    <row r="682" ht="15.75" customHeight="1">
      <c r="A682" s="13"/>
      <c r="B682" s="13"/>
      <c r="C682" s="9">
        <f>IFERROR(SUMIF(ENTRADAS!A:A,A682,ENTRADAS!C:C))</f>
        <v>0</v>
      </c>
      <c r="D682" s="10">
        <f>SUMIF(SALIDAS!A:A,A682,SALIDAS!C:C)</f>
        <v>0</v>
      </c>
      <c r="E682" s="10">
        <f t="shared" si="2"/>
        <v>0</v>
      </c>
      <c r="F682" s="13"/>
      <c r="G682" s="13"/>
    </row>
    <row r="683" ht="15.75" customHeight="1">
      <c r="A683" s="13"/>
      <c r="B683" s="13"/>
      <c r="C683" s="9">
        <f>IFERROR(SUMIF(ENTRADAS!A:A,A683,ENTRADAS!C:C))</f>
        <v>0</v>
      </c>
      <c r="D683" s="10">
        <f>SUMIF(SALIDAS!A:A,A683,SALIDAS!C:C)</f>
        <v>0</v>
      </c>
      <c r="E683" s="10">
        <f t="shared" si="2"/>
        <v>0</v>
      </c>
      <c r="F683" s="13"/>
      <c r="G683" s="13"/>
    </row>
    <row r="684" ht="15.75" customHeight="1">
      <c r="A684" s="13"/>
      <c r="B684" s="13"/>
      <c r="C684" s="9">
        <f>IFERROR(SUMIF(ENTRADAS!A:A,A684,ENTRADAS!C:C))</f>
        <v>0</v>
      </c>
      <c r="D684" s="10">
        <f>SUMIF(SALIDAS!A:A,A684,SALIDAS!C:C)</f>
        <v>0</v>
      </c>
      <c r="E684" s="10">
        <f t="shared" si="2"/>
        <v>0</v>
      </c>
      <c r="F684" s="13"/>
      <c r="G684" s="13"/>
    </row>
    <row r="685" ht="15.75" customHeight="1">
      <c r="A685" s="13"/>
      <c r="B685" s="13"/>
      <c r="C685" s="9">
        <f>IFERROR(SUMIF(ENTRADAS!A:A,A685,ENTRADAS!C:C))</f>
        <v>0</v>
      </c>
      <c r="D685" s="10">
        <f>SUMIF(SALIDAS!A:A,A685,SALIDAS!C:C)</f>
        <v>0</v>
      </c>
      <c r="E685" s="10">
        <f t="shared" si="2"/>
        <v>0</v>
      </c>
      <c r="F685" s="13"/>
      <c r="G685" s="13"/>
    </row>
    <row r="686" ht="15.75" customHeight="1">
      <c r="A686" s="13"/>
      <c r="B686" s="13"/>
      <c r="C686" s="9">
        <f>IFERROR(SUMIF(ENTRADAS!A:A,A686,ENTRADAS!C:C))</f>
        <v>0</v>
      </c>
      <c r="D686" s="10">
        <f>SUMIF(SALIDAS!A:A,A686,SALIDAS!C:C)</f>
        <v>0</v>
      </c>
      <c r="E686" s="10">
        <f t="shared" si="2"/>
        <v>0</v>
      </c>
      <c r="F686" s="13"/>
      <c r="G686" s="13"/>
    </row>
    <row r="687" ht="15.75" customHeight="1">
      <c r="A687" s="13"/>
      <c r="B687" s="13"/>
      <c r="C687" s="9">
        <f>IFERROR(SUMIF(ENTRADAS!A:A,A687,ENTRADAS!C:C))</f>
        <v>0</v>
      </c>
      <c r="D687" s="10">
        <f>SUMIF(SALIDAS!A:A,A687,SALIDAS!C:C)</f>
        <v>0</v>
      </c>
      <c r="E687" s="10">
        <f t="shared" si="2"/>
        <v>0</v>
      </c>
      <c r="F687" s="13"/>
      <c r="G687" s="13"/>
    </row>
    <row r="688" ht="15.75" customHeight="1">
      <c r="A688" s="13"/>
      <c r="B688" s="13"/>
      <c r="C688" s="9">
        <f>IFERROR(SUMIF(ENTRADAS!A:A,A688,ENTRADAS!C:C))</f>
        <v>0</v>
      </c>
      <c r="D688" s="10">
        <f>SUMIF(SALIDAS!A:A,A688,SALIDAS!C:C)</f>
        <v>0</v>
      </c>
      <c r="E688" s="10">
        <f t="shared" si="2"/>
        <v>0</v>
      </c>
      <c r="F688" s="13"/>
      <c r="G688" s="13"/>
    </row>
    <row r="689" ht="15.75" customHeight="1">
      <c r="A689" s="13"/>
      <c r="B689" s="13"/>
      <c r="C689" s="9">
        <f>IFERROR(SUMIF(ENTRADAS!A:A,A689,ENTRADAS!C:C))</f>
        <v>0</v>
      </c>
      <c r="D689" s="10">
        <f>SUMIF(SALIDAS!A:A,A689,SALIDAS!C:C)</f>
        <v>0</v>
      </c>
      <c r="E689" s="10">
        <f t="shared" si="2"/>
        <v>0</v>
      </c>
      <c r="F689" s="13"/>
      <c r="G689" s="13"/>
    </row>
    <row r="690" ht="15.75" customHeight="1">
      <c r="A690" s="13"/>
      <c r="B690" s="13"/>
      <c r="C690" s="9">
        <f>IFERROR(SUMIF(ENTRADAS!A:A,A690,ENTRADAS!C:C))</f>
        <v>0</v>
      </c>
      <c r="D690" s="10">
        <f>SUMIF(SALIDAS!A:A,A690,SALIDAS!C:C)</f>
        <v>0</v>
      </c>
      <c r="E690" s="10">
        <f t="shared" si="2"/>
        <v>0</v>
      </c>
      <c r="F690" s="13"/>
      <c r="G690" s="13"/>
    </row>
    <row r="691" ht="15.75" customHeight="1">
      <c r="A691" s="13"/>
      <c r="B691" s="13"/>
      <c r="C691" s="9">
        <f>IFERROR(SUMIF(ENTRADAS!A:A,A691,ENTRADAS!C:C))</f>
        <v>0</v>
      </c>
      <c r="D691" s="10">
        <f>SUMIF(SALIDAS!A:A,A691,SALIDAS!C:C)</f>
        <v>0</v>
      </c>
      <c r="E691" s="10">
        <f t="shared" si="2"/>
        <v>0</v>
      </c>
      <c r="F691" s="13"/>
      <c r="G691" s="13"/>
    </row>
    <row r="692" ht="15.75" customHeight="1">
      <c r="A692" s="13"/>
      <c r="B692" s="13"/>
      <c r="C692" s="9">
        <f>IFERROR(SUMIF(ENTRADAS!A:A,A692,ENTRADAS!C:C))</f>
        <v>0</v>
      </c>
      <c r="D692" s="10">
        <f>SUMIF(SALIDAS!A:A,A692,SALIDAS!C:C)</f>
        <v>0</v>
      </c>
      <c r="E692" s="10">
        <f t="shared" si="2"/>
        <v>0</v>
      </c>
      <c r="F692" s="13"/>
      <c r="G692" s="13"/>
    </row>
    <row r="693" ht="15.75" customHeight="1">
      <c r="A693" s="13"/>
      <c r="B693" s="13"/>
      <c r="C693" s="9">
        <f>IFERROR(SUMIF(ENTRADAS!A:A,A693,ENTRADAS!C:C))</f>
        <v>0</v>
      </c>
      <c r="D693" s="10">
        <f>SUMIF(SALIDAS!A:A,A693,SALIDAS!C:C)</f>
        <v>0</v>
      </c>
      <c r="E693" s="10">
        <f t="shared" si="2"/>
        <v>0</v>
      </c>
      <c r="F693" s="13"/>
      <c r="G693" s="13"/>
    </row>
    <row r="694" ht="15.75" customHeight="1">
      <c r="A694" s="13"/>
      <c r="B694" s="13"/>
      <c r="C694" s="9">
        <f>IFERROR(SUMIF(ENTRADAS!A:A,A694,ENTRADAS!C:C))</f>
        <v>0</v>
      </c>
      <c r="D694" s="10">
        <f>SUMIF(SALIDAS!A:A,A694,SALIDAS!C:C)</f>
        <v>0</v>
      </c>
      <c r="E694" s="10">
        <f t="shared" si="2"/>
        <v>0</v>
      </c>
      <c r="F694" s="13"/>
      <c r="G694" s="13"/>
    </row>
    <row r="695" ht="15.75" customHeight="1">
      <c r="A695" s="13"/>
      <c r="B695" s="13"/>
      <c r="C695" s="9">
        <f>IFERROR(SUMIF(ENTRADAS!A:A,A695,ENTRADAS!C:C))</f>
        <v>0</v>
      </c>
      <c r="D695" s="10">
        <f>SUMIF(SALIDAS!A:A,A695,SALIDAS!C:C)</f>
        <v>0</v>
      </c>
      <c r="E695" s="10">
        <f t="shared" si="2"/>
        <v>0</v>
      </c>
      <c r="F695" s="13"/>
      <c r="G695" s="13"/>
    </row>
    <row r="696" ht="15.75" customHeight="1">
      <c r="A696" s="13"/>
      <c r="B696" s="13"/>
      <c r="C696" s="9">
        <f>IFERROR(SUMIF(ENTRADAS!A:A,A696,ENTRADAS!C:C))</f>
        <v>0</v>
      </c>
      <c r="D696" s="10">
        <f>SUMIF(SALIDAS!A:A,A696,SALIDAS!C:C)</f>
        <v>0</v>
      </c>
      <c r="E696" s="10">
        <f t="shared" si="2"/>
        <v>0</v>
      </c>
      <c r="F696" s="13"/>
      <c r="G696" s="13"/>
    </row>
    <row r="697" ht="15.75" customHeight="1">
      <c r="A697" s="13"/>
      <c r="B697" s="13"/>
      <c r="C697" s="9">
        <f>IFERROR(SUMIF(ENTRADAS!A:A,A697,ENTRADAS!C:C))</f>
        <v>0</v>
      </c>
      <c r="D697" s="10">
        <f>SUMIF(SALIDAS!A:A,A697,SALIDAS!C:C)</f>
        <v>0</v>
      </c>
      <c r="E697" s="10">
        <f t="shared" si="2"/>
        <v>0</v>
      </c>
      <c r="F697" s="13"/>
      <c r="G697" s="13"/>
    </row>
    <row r="698" ht="15.75" customHeight="1">
      <c r="A698" s="13"/>
      <c r="B698" s="13"/>
      <c r="C698" s="9">
        <f>IFERROR(SUMIF(ENTRADAS!A:A,A698,ENTRADAS!C:C))</f>
        <v>0</v>
      </c>
      <c r="D698" s="10">
        <f>SUMIF(SALIDAS!A:A,A698,SALIDAS!C:C)</f>
        <v>0</v>
      </c>
      <c r="E698" s="10">
        <f t="shared" si="2"/>
        <v>0</v>
      </c>
      <c r="F698" s="13"/>
      <c r="G698" s="13"/>
    </row>
    <row r="699" ht="15.75" customHeight="1">
      <c r="A699" s="13"/>
      <c r="B699" s="13"/>
      <c r="C699" s="9">
        <f>IFERROR(SUMIF(ENTRADAS!A:A,A699,ENTRADAS!C:C))</f>
        <v>0</v>
      </c>
      <c r="D699" s="10">
        <f>SUMIF(SALIDAS!A:A,A699,SALIDAS!C:C)</f>
        <v>0</v>
      </c>
      <c r="E699" s="10">
        <f t="shared" si="2"/>
        <v>0</v>
      </c>
      <c r="F699" s="13"/>
      <c r="G699" s="13"/>
    </row>
    <row r="700" ht="15.75" customHeight="1">
      <c r="A700" s="13"/>
      <c r="B700" s="13"/>
      <c r="C700" s="9">
        <f>IFERROR(SUMIF(ENTRADAS!A:A,A700,ENTRADAS!C:C))</f>
        <v>0</v>
      </c>
      <c r="D700" s="10">
        <f>SUMIF(SALIDAS!A:A,A700,SALIDAS!C:C)</f>
        <v>0</v>
      </c>
      <c r="E700" s="10">
        <f t="shared" si="2"/>
        <v>0</v>
      </c>
      <c r="F700" s="13"/>
      <c r="G700" s="13"/>
    </row>
    <row r="701" ht="15.75" customHeight="1">
      <c r="A701" s="13"/>
      <c r="B701" s="13"/>
      <c r="C701" s="9">
        <f>IFERROR(SUMIF(ENTRADAS!A:A,A701,ENTRADAS!C:C))</f>
        <v>0</v>
      </c>
      <c r="D701" s="10">
        <f>SUMIF(SALIDAS!A:A,A701,SALIDAS!C:C)</f>
        <v>0</v>
      </c>
      <c r="E701" s="10">
        <f t="shared" si="2"/>
        <v>0</v>
      </c>
      <c r="F701" s="13"/>
      <c r="G701" s="13"/>
    </row>
    <row r="702" ht="15.75" customHeight="1">
      <c r="A702" s="13"/>
      <c r="B702" s="13"/>
      <c r="C702" s="9">
        <f>IFERROR(SUMIF(ENTRADAS!A:A,A702,ENTRADAS!C:C))</f>
        <v>0</v>
      </c>
      <c r="D702" s="10">
        <f>SUMIF(SALIDAS!A:A,A702,SALIDAS!C:C)</f>
        <v>0</v>
      </c>
      <c r="E702" s="10">
        <f t="shared" si="2"/>
        <v>0</v>
      </c>
      <c r="F702" s="13"/>
      <c r="G702" s="13"/>
    </row>
    <row r="703" ht="15.75" customHeight="1">
      <c r="A703" s="13"/>
      <c r="B703" s="13"/>
      <c r="C703" s="9">
        <f>IFERROR(SUMIF(ENTRADAS!A:A,A703,ENTRADAS!C:C))</f>
        <v>0</v>
      </c>
      <c r="D703" s="10">
        <f>SUMIF(SALIDAS!A:A,A703,SALIDAS!C:C)</f>
        <v>0</v>
      </c>
      <c r="E703" s="10">
        <f t="shared" si="2"/>
        <v>0</v>
      </c>
      <c r="F703" s="13"/>
      <c r="G703" s="13"/>
    </row>
    <row r="704" ht="15.75" customHeight="1">
      <c r="A704" s="13"/>
      <c r="B704" s="13"/>
      <c r="C704" s="9">
        <f>IFERROR(SUMIF(ENTRADAS!A:A,A704,ENTRADAS!C:C))</f>
        <v>0</v>
      </c>
      <c r="D704" s="10">
        <f>SUMIF(SALIDAS!A:A,A704,SALIDAS!C:C)</f>
        <v>0</v>
      </c>
      <c r="E704" s="10">
        <f t="shared" si="2"/>
        <v>0</v>
      </c>
      <c r="F704" s="13"/>
      <c r="G704" s="13"/>
    </row>
    <row r="705" ht="15.75" customHeight="1">
      <c r="A705" s="13"/>
      <c r="B705" s="13"/>
      <c r="C705" s="9">
        <f>IFERROR(SUMIF(ENTRADAS!A:A,A705,ENTRADAS!C:C))</f>
        <v>0</v>
      </c>
      <c r="D705" s="10">
        <f>SUMIF(SALIDAS!A:A,A705,SALIDAS!C:C)</f>
        <v>0</v>
      </c>
      <c r="E705" s="10">
        <f t="shared" si="2"/>
        <v>0</v>
      </c>
      <c r="F705" s="13"/>
      <c r="G705" s="13"/>
    </row>
    <row r="706" ht="15.75" customHeight="1">
      <c r="A706" s="13"/>
      <c r="B706" s="13"/>
      <c r="C706" s="9">
        <f>IFERROR(SUMIF(ENTRADAS!A:A,A706,ENTRADAS!C:C))</f>
        <v>0</v>
      </c>
      <c r="D706" s="10">
        <f>SUMIF(SALIDAS!A:A,A706,SALIDAS!C:C)</f>
        <v>0</v>
      </c>
      <c r="E706" s="10">
        <f t="shared" si="2"/>
        <v>0</v>
      </c>
      <c r="F706" s="13"/>
      <c r="G706" s="13"/>
    </row>
    <row r="707" ht="15.75" customHeight="1">
      <c r="A707" s="13"/>
      <c r="B707" s="13"/>
      <c r="C707" s="9">
        <f>IFERROR(SUMIF(ENTRADAS!A:A,A707,ENTRADAS!C:C))</f>
        <v>0</v>
      </c>
      <c r="D707" s="10">
        <f>SUMIF(SALIDAS!A:A,A707,SALIDAS!C:C)</f>
        <v>0</v>
      </c>
      <c r="E707" s="10">
        <f t="shared" si="2"/>
        <v>0</v>
      </c>
      <c r="F707" s="13"/>
      <c r="G707" s="13"/>
    </row>
    <row r="708" ht="15.75" customHeight="1">
      <c r="A708" s="13"/>
      <c r="B708" s="13"/>
      <c r="C708" s="9">
        <f>IFERROR(SUMIF(ENTRADAS!A:A,A708,ENTRADAS!C:C))</f>
        <v>0</v>
      </c>
      <c r="D708" s="10">
        <f>SUMIF(SALIDAS!A:A,A708,SALIDAS!C:C)</f>
        <v>0</v>
      </c>
      <c r="E708" s="10">
        <f t="shared" si="2"/>
        <v>0</v>
      </c>
      <c r="F708" s="13"/>
      <c r="G708" s="13"/>
    </row>
    <row r="709" ht="15.75" customHeight="1">
      <c r="A709" s="13"/>
      <c r="B709" s="13"/>
      <c r="C709" s="9">
        <f>IFERROR(SUMIF(ENTRADAS!A:A,A709,ENTRADAS!C:C))</f>
        <v>0</v>
      </c>
      <c r="D709" s="10">
        <f>SUMIF(SALIDAS!A:A,A709,SALIDAS!C:C)</f>
        <v>0</v>
      </c>
      <c r="E709" s="10">
        <f t="shared" si="2"/>
        <v>0</v>
      </c>
      <c r="F709" s="13"/>
      <c r="G709" s="13"/>
    </row>
    <row r="710" ht="15.75" customHeight="1">
      <c r="A710" s="13"/>
      <c r="B710" s="13"/>
      <c r="C710" s="9">
        <f>IFERROR(SUMIF(ENTRADAS!A:A,A710,ENTRADAS!C:C))</f>
        <v>0</v>
      </c>
      <c r="D710" s="10">
        <f>SUMIF(SALIDAS!A:A,A710,SALIDAS!C:C)</f>
        <v>0</v>
      </c>
      <c r="E710" s="10">
        <f t="shared" si="2"/>
        <v>0</v>
      </c>
      <c r="F710" s="13"/>
      <c r="G710" s="13"/>
    </row>
    <row r="711" ht="15.75" customHeight="1">
      <c r="A711" s="13"/>
      <c r="B711" s="13"/>
      <c r="C711" s="9">
        <f>IFERROR(SUMIF(ENTRADAS!A:A,A711,ENTRADAS!C:C))</f>
        <v>0</v>
      </c>
      <c r="D711" s="10">
        <f>SUMIF(SALIDAS!A:A,A711,SALIDAS!C:C)</f>
        <v>0</v>
      </c>
      <c r="E711" s="10">
        <f t="shared" si="2"/>
        <v>0</v>
      </c>
      <c r="F711" s="13"/>
      <c r="G711" s="13"/>
    </row>
    <row r="712" ht="15.75" customHeight="1">
      <c r="A712" s="13"/>
      <c r="B712" s="13"/>
      <c r="C712" s="9">
        <f>IFERROR(SUMIF(ENTRADAS!A:A,A712,ENTRADAS!C:C))</f>
        <v>0</v>
      </c>
      <c r="D712" s="10">
        <f>SUMIF(SALIDAS!A:A,A712,SALIDAS!C:C)</f>
        <v>0</v>
      </c>
      <c r="E712" s="10">
        <f t="shared" si="2"/>
        <v>0</v>
      </c>
      <c r="F712" s="13"/>
      <c r="G712" s="13"/>
    </row>
    <row r="713" ht="15.75" customHeight="1">
      <c r="A713" s="13"/>
      <c r="B713" s="13"/>
      <c r="C713" s="9">
        <f>IFERROR(SUMIF(ENTRADAS!A:A,A713,ENTRADAS!C:C))</f>
        <v>0</v>
      </c>
      <c r="D713" s="10">
        <f>SUMIF(SALIDAS!A:A,A713,SALIDAS!C:C)</f>
        <v>0</v>
      </c>
      <c r="E713" s="10">
        <f t="shared" si="2"/>
        <v>0</v>
      </c>
      <c r="F713" s="13"/>
      <c r="G713" s="13"/>
    </row>
    <row r="714" ht="15.75" customHeight="1">
      <c r="A714" s="13"/>
      <c r="B714" s="13"/>
      <c r="C714" s="9">
        <f>IFERROR(SUMIF(ENTRADAS!A:A,A714,ENTRADAS!C:C))</f>
        <v>0</v>
      </c>
      <c r="D714" s="10">
        <f>SUMIF(SALIDAS!A:A,A714,SALIDAS!C:C)</f>
        <v>0</v>
      </c>
      <c r="E714" s="10">
        <f t="shared" si="2"/>
        <v>0</v>
      </c>
      <c r="F714" s="13"/>
      <c r="G714" s="13"/>
    </row>
    <row r="715" ht="15.75" customHeight="1">
      <c r="A715" s="13"/>
      <c r="B715" s="13"/>
      <c r="C715" s="9">
        <f>IFERROR(SUMIF(ENTRADAS!A:A,A715,ENTRADAS!C:C))</f>
        <v>0</v>
      </c>
      <c r="D715" s="10">
        <f>SUMIF(SALIDAS!A:A,A715,SALIDAS!C:C)</f>
        <v>0</v>
      </c>
      <c r="E715" s="10">
        <f t="shared" si="2"/>
        <v>0</v>
      </c>
      <c r="F715" s="13"/>
      <c r="G715" s="13"/>
    </row>
    <row r="716" ht="15.75" customHeight="1">
      <c r="A716" s="13"/>
      <c r="B716" s="13"/>
      <c r="C716" s="9">
        <f>IFERROR(SUMIF(ENTRADAS!A:A,A716,ENTRADAS!C:C))</f>
        <v>0</v>
      </c>
      <c r="D716" s="10">
        <f>SUMIF(SALIDAS!A:A,A716,SALIDAS!C:C)</f>
        <v>0</v>
      </c>
      <c r="E716" s="10">
        <f t="shared" si="2"/>
        <v>0</v>
      </c>
      <c r="F716" s="13"/>
      <c r="G716" s="13"/>
    </row>
    <row r="717" ht="15.75" customHeight="1">
      <c r="A717" s="13"/>
      <c r="B717" s="13"/>
      <c r="C717" s="9">
        <f>IFERROR(SUMIF(ENTRADAS!A:A,A717,ENTRADAS!C:C))</f>
        <v>0</v>
      </c>
      <c r="D717" s="10">
        <f>SUMIF(SALIDAS!A:A,A717,SALIDAS!C:C)</f>
        <v>0</v>
      </c>
      <c r="E717" s="10">
        <f t="shared" si="2"/>
        <v>0</v>
      </c>
      <c r="F717" s="13"/>
      <c r="G717" s="13"/>
    </row>
    <row r="718" ht="15.75" customHeight="1">
      <c r="A718" s="13"/>
      <c r="B718" s="13"/>
      <c r="C718" s="9">
        <f>IFERROR(SUMIF(ENTRADAS!A:A,A718,ENTRADAS!C:C))</f>
        <v>0</v>
      </c>
      <c r="D718" s="10">
        <f>SUMIF(SALIDAS!A:A,A718,SALIDAS!C:C)</f>
        <v>0</v>
      </c>
      <c r="E718" s="10">
        <f t="shared" si="2"/>
        <v>0</v>
      </c>
      <c r="F718" s="13"/>
      <c r="G718" s="13"/>
    </row>
    <row r="719" ht="15.75" customHeight="1">
      <c r="A719" s="13"/>
      <c r="B719" s="13"/>
      <c r="C719" s="9">
        <f>IFERROR(SUMIF(ENTRADAS!A:A,A719,ENTRADAS!C:C))</f>
        <v>0</v>
      </c>
      <c r="D719" s="10">
        <f>SUMIF(SALIDAS!A:A,A719,SALIDAS!C:C)</f>
        <v>0</v>
      </c>
      <c r="E719" s="10">
        <f t="shared" si="2"/>
        <v>0</v>
      </c>
      <c r="F719" s="13"/>
      <c r="G719" s="13"/>
    </row>
    <row r="720" ht="15.75" customHeight="1">
      <c r="A720" s="13"/>
      <c r="B720" s="13"/>
      <c r="C720" s="9">
        <f>IFERROR(SUMIF(ENTRADAS!A:A,A720,ENTRADAS!C:C))</f>
        <v>0</v>
      </c>
      <c r="D720" s="10">
        <f>SUMIF(SALIDAS!A:A,A720,SALIDAS!C:C)</f>
        <v>0</v>
      </c>
      <c r="E720" s="10">
        <f t="shared" si="2"/>
        <v>0</v>
      </c>
      <c r="F720" s="13"/>
      <c r="G720" s="13"/>
    </row>
    <row r="721" ht="15.75" customHeight="1">
      <c r="A721" s="13"/>
      <c r="B721" s="13"/>
      <c r="C721" s="9">
        <f>IFERROR(SUMIF(ENTRADAS!A:A,A721,ENTRADAS!C:C))</f>
        <v>0</v>
      </c>
      <c r="D721" s="10">
        <f>SUMIF(SALIDAS!A:A,A721,SALIDAS!C:C)</f>
        <v>0</v>
      </c>
      <c r="E721" s="10">
        <f t="shared" si="2"/>
        <v>0</v>
      </c>
      <c r="F721" s="13"/>
      <c r="G721" s="13"/>
    </row>
    <row r="722" ht="15.75" customHeight="1">
      <c r="A722" s="13"/>
      <c r="B722" s="13"/>
      <c r="C722" s="9">
        <f>IFERROR(SUMIF(ENTRADAS!A:A,A722,ENTRADAS!C:C))</f>
        <v>0</v>
      </c>
      <c r="D722" s="10">
        <f>SUMIF(SALIDAS!A:A,A722,SALIDAS!C:C)</f>
        <v>0</v>
      </c>
      <c r="E722" s="10">
        <f t="shared" si="2"/>
        <v>0</v>
      </c>
      <c r="F722" s="13"/>
      <c r="G722" s="13"/>
    </row>
    <row r="723" ht="15.75" customHeight="1">
      <c r="A723" s="13"/>
      <c r="B723" s="13"/>
      <c r="C723" s="9">
        <f>IFERROR(SUMIF(ENTRADAS!A:A,A723,ENTRADAS!C:C))</f>
        <v>0</v>
      </c>
      <c r="D723" s="10">
        <f>SUMIF(SALIDAS!A:A,A723,SALIDAS!C:C)</f>
        <v>0</v>
      </c>
      <c r="E723" s="10">
        <f t="shared" si="2"/>
        <v>0</v>
      </c>
      <c r="F723" s="13"/>
      <c r="G723" s="13"/>
    </row>
    <row r="724" ht="15.75" customHeight="1">
      <c r="A724" s="13"/>
      <c r="B724" s="13"/>
      <c r="C724" s="9">
        <f>IFERROR(SUMIF(ENTRADAS!A:A,A724,ENTRADAS!C:C))</f>
        <v>0</v>
      </c>
      <c r="D724" s="10">
        <f>SUMIF(SALIDAS!A:A,A724,SALIDAS!C:C)</f>
        <v>0</v>
      </c>
      <c r="E724" s="10">
        <f t="shared" si="2"/>
        <v>0</v>
      </c>
      <c r="F724" s="13"/>
      <c r="G724" s="13"/>
    </row>
    <row r="725" ht="15.75" customHeight="1">
      <c r="A725" s="13"/>
      <c r="B725" s="13"/>
      <c r="C725" s="9">
        <f>IFERROR(SUMIF(ENTRADAS!A:A,A725,ENTRADAS!C:C))</f>
        <v>0</v>
      </c>
      <c r="D725" s="10">
        <f>SUMIF(SALIDAS!A:A,A725,SALIDAS!C:C)</f>
        <v>0</v>
      </c>
      <c r="E725" s="10">
        <f t="shared" si="2"/>
        <v>0</v>
      </c>
      <c r="F725" s="13"/>
      <c r="G725" s="13"/>
    </row>
    <row r="726" ht="15.75" customHeight="1">
      <c r="A726" s="13"/>
      <c r="B726" s="13"/>
      <c r="C726" s="9">
        <f>IFERROR(SUMIF(ENTRADAS!A:A,A726,ENTRADAS!C:C))</f>
        <v>0</v>
      </c>
      <c r="D726" s="10">
        <f>SUMIF(SALIDAS!A:A,A726,SALIDAS!C:C)</f>
        <v>0</v>
      </c>
      <c r="E726" s="10">
        <f t="shared" si="2"/>
        <v>0</v>
      </c>
      <c r="F726" s="13"/>
      <c r="G726" s="13"/>
    </row>
    <row r="727" ht="15.75" customHeight="1">
      <c r="A727" s="13"/>
      <c r="B727" s="13"/>
      <c r="C727" s="9">
        <f>IFERROR(SUMIF(ENTRADAS!A:A,A727,ENTRADAS!C:C))</f>
        <v>0</v>
      </c>
      <c r="D727" s="10">
        <f>SUMIF(SALIDAS!A:A,A727,SALIDAS!C:C)</f>
        <v>0</v>
      </c>
      <c r="E727" s="10">
        <f t="shared" si="2"/>
        <v>0</v>
      </c>
      <c r="F727" s="13"/>
      <c r="G727" s="13"/>
    </row>
    <row r="728" ht="15.75" customHeight="1">
      <c r="A728" s="13"/>
      <c r="B728" s="13"/>
      <c r="C728" s="9">
        <f>IFERROR(SUMIF(ENTRADAS!A:A,A728,ENTRADAS!C:C))</f>
        <v>0</v>
      </c>
      <c r="D728" s="10">
        <f>SUMIF(SALIDAS!A:A,A728,SALIDAS!C:C)</f>
        <v>0</v>
      </c>
      <c r="E728" s="10">
        <f t="shared" si="2"/>
        <v>0</v>
      </c>
      <c r="F728" s="13"/>
      <c r="G728" s="13"/>
    </row>
    <row r="729" ht="15.75" customHeight="1">
      <c r="A729" s="13"/>
      <c r="B729" s="13"/>
      <c r="C729" s="9">
        <f>IFERROR(SUMIF(ENTRADAS!A:A,A729,ENTRADAS!C:C))</f>
        <v>0</v>
      </c>
      <c r="D729" s="10">
        <f>SUMIF(SALIDAS!A:A,A729,SALIDAS!C:C)</f>
        <v>0</v>
      </c>
      <c r="E729" s="10">
        <f t="shared" si="2"/>
        <v>0</v>
      </c>
      <c r="F729" s="13"/>
      <c r="G729" s="13"/>
    </row>
    <row r="730" ht="15.75" customHeight="1">
      <c r="A730" s="13"/>
      <c r="B730" s="13"/>
      <c r="C730" s="9">
        <f>IFERROR(SUMIF(ENTRADAS!A:A,A730,ENTRADAS!C:C))</f>
        <v>0</v>
      </c>
      <c r="D730" s="10">
        <f>SUMIF(SALIDAS!A:A,A730,SALIDAS!C:C)</f>
        <v>0</v>
      </c>
      <c r="E730" s="10">
        <f t="shared" si="2"/>
        <v>0</v>
      </c>
      <c r="F730" s="13"/>
      <c r="G730" s="13"/>
    </row>
    <row r="731" ht="15.75" customHeight="1">
      <c r="A731" s="13"/>
      <c r="B731" s="13"/>
      <c r="C731" s="9">
        <f>IFERROR(SUMIF(ENTRADAS!A:A,A731,ENTRADAS!C:C))</f>
        <v>0</v>
      </c>
      <c r="D731" s="10">
        <f>SUMIF(SALIDAS!A:A,A731,SALIDAS!C:C)</f>
        <v>0</v>
      </c>
      <c r="E731" s="10">
        <f t="shared" si="2"/>
        <v>0</v>
      </c>
      <c r="F731" s="13"/>
      <c r="G731" s="13"/>
    </row>
    <row r="732" ht="15.75" customHeight="1">
      <c r="A732" s="13"/>
      <c r="B732" s="13"/>
      <c r="C732" s="9">
        <f>IFERROR(SUMIF(ENTRADAS!A:A,A732,ENTRADAS!C:C))</f>
        <v>0</v>
      </c>
      <c r="D732" s="10">
        <f>SUMIF(SALIDAS!A:A,A732,SALIDAS!C:C)</f>
        <v>0</v>
      </c>
      <c r="E732" s="10">
        <f t="shared" si="2"/>
        <v>0</v>
      </c>
      <c r="F732" s="13"/>
      <c r="G732" s="13"/>
    </row>
    <row r="733" ht="15.75" customHeight="1">
      <c r="A733" s="13"/>
      <c r="B733" s="13"/>
      <c r="C733" s="9">
        <f>IFERROR(SUMIF(ENTRADAS!A:A,A733,ENTRADAS!C:C))</f>
        <v>0</v>
      </c>
      <c r="D733" s="10">
        <f>SUMIF(SALIDAS!A:A,A733,SALIDAS!C:C)</f>
        <v>0</v>
      </c>
      <c r="E733" s="10">
        <f t="shared" si="2"/>
        <v>0</v>
      </c>
      <c r="F733" s="13"/>
      <c r="G733" s="13"/>
    </row>
    <row r="734" ht="15.75" customHeight="1">
      <c r="A734" s="13"/>
      <c r="B734" s="13"/>
      <c r="C734" s="9">
        <f>IFERROR(SUMIF(ENTRADAS!A:A,A734,ENTRADAS!C:C))</f>
        <v>0</v>
      </c>
      <c r="D734" s="10">
        <f>SUMIF(SALIDAS!A:A,A734,SALIDAS!C:C)</f>
        <v>0</v>
      </c>
      <c r="E734" s="10">
        <f t="shared" si="2"/>
        <v>0</v>
      </c>
      <c r="F734" s="13"/>
      <c r="G734" s="13"/>
    </row>
    <row r="735" ht="15.75" customHeight="1">
      <c r="A735" s="13"/>
      <c r="B735" s="13"/>
      <c r="C735" s="9">
        <f>IFERROR(SUMIF(ENTRADAS!A:A,A735,ENTRADAS!C:C))</f>
        <v>0</v>
      </c>
      <c r="D735" s="10">
        <f>SUMIF(SALIDAS!A:A,A735,SALIDAS!C:C)</f>
        <v>0</v>
      </c>
      <c r="E735" s="10">
        <f t="shared" si="2"/>
        <v>0</v>
      </c>
      <c r="F735" s="13"/>
      <c r="G735" s="13"/>
    </row>
    <row r="736" ht="15.75" customHeight="1">
      <c r="A736" s="13"/>
      <c r="B736" s="13"/>
      <c r="C736" s="9">
        <f>IFERROR(SUMIF(ENTRADAS!A:A,A736,ENTRADAS!C:C))</f>
        <v>0</v>
      </c>
      <c r="D736" s="10">
        <f>SUMIF(SALIDAS!A:A,A736,SALIDAS!C:C)</f>
        <v>0</v>
      </c>
      <c r="E736" s="10">
        <f t="shared" si="2"/>
        <v>0</v>
      </c>
      <c r="F736" s="13"/>
      <c r="G736" s="13"/>
    </row>
    <row r="737" ht="15.75" customHeight="1">
      <c r="A737" s="13"/>
      <c r="B737" s="13"/>
      <c r="C737" s="9">
        <f>IFERROR(SUMIF(ENTRADAS!A:A,A737,ENTRADAS!C:C))</f>
        <v>0</v>
      </c>
      <c r="D737" s="10">
        <f>SUMIF(SALIDAS!A:A,A737,SALIDAS!C:C)</f>
        <v>0</v>
      </c>
      <c r="E737" s="10">
        <f t="shared" si="2"/>
        <v>0</v>
      </c>
      <c r="F737" s="13"/>
      <c r="G737" s="13"/>
    </row>
    <row r="738" ht="15.75" customHeight="1">
      <c r="A738" s="13"/>
      <c r="B738" s="13"/>
      <c r="C738" s="9">
        <f>IFERROR(SUMIF(ENTRADAS!A:A,A738,ENTRADAS!C:C))</f>
        <v>0</v>
      </c>
      <c r="D738" s="10">
        <f>SUMIF(SALIDAS!A:A,A738,SALIDAS!C:C)</f>
        <v>0</v>
      </c>
      <c r="E738" s="10">
        <f t="shared" si="2"/>
        <v>0</v>
      </c>
      <c r="F738" s="13"/>
      <c r="G738" s="13"/>
    </row>
    <row r="739" ht="15.75" customHeight="1">
      <c r="A739" s="13"/>
      <c r="B739" s="13"/>
      <c r="C739" s="9">
        <f>IFERROR(SUMIF(ENTRADAS!A:A,A739,ENTRADAS!C:C))</f>
        <v>0</v>
      </c>
      <c r="D739" s="10">
        <f>SUMIF(SALIDAS!A:A,A739,SALIDAS!C:C)</f>
        <v>0</v>
      </c>
      <c r="E739" s="10">
        <f t="shared" si="2"/>
        <v>0</v>
      </c>
      <c r="F739" s="13"/>
      <c r="G739" s="13"/>
    </row>
    <row r="740" ht="15.75" customHeight="1">
      <c r="A740" s="13"/>
      <c r="B740" s="13"/>
      <c r="C740" s="9">
        <f>IFERROR(SUMIF(ENTRADAS!A:A,A740,ENTRADAS!C:C))</f>
        <v>0</v>
      </c>
      <c r="D740" s="10">
        <f>SUMIF(SALIDAS!A:A,A740,SALIDAS!C:C)</f>
        <v>0</v>
      </c>
      <c r="E740" s="10">
        <f t="shared" si="2"/>
        <v>0</v>
      </c>
      <c r="F740" s="13"/>
      <c r="G740" s="13"/>
    </row>
    <row r="741" ht="15.75" customHeight="1">
      <c r="A741" s="13"/>
      <c r="B741" s="13"/>
      <c r="C741" s="9">
        <f>IFERROR(SUMIF(ENTRADAS!A:A,A741,ENTRADAS!C:C))</f>
        <v>0</v>
      </c>
      <c r="D741" s="10">
        <f>SUMIF(SALIDAS!A:A,A741,SALIDAS!C:C)</f>
        <v>0</v>
      </c>
      <c r="E741" s="10">
        <f t="shared" si="2"/>
        <v>0</v>
      </c>
      <c r="F741" s="13"/>
      <c r="G741" s="13"/>
    </row>
    <row r="742" ht="15.75" customHeight="1">
      <c r="A742" s="13"/>
      <c r="B742" s="13"/>
      <c r="C742" s="9">
        <f>IFERROR(SUMIF(ENTRADAS!A:A,A742,ENTRADAS!C:C))</f>
        <v>0</v>
      </c>
      <c r="D742" s="10">
        <f>SUMIF(SALIDAS!A:A,A742,SALIDAS!C:C)</f>
        <v>0</v>
      </c>
      <c r="E742" s="10">
        <f t="shared" si="2"/>
        <v>0</v>
      </c>
      <c r="F742" s="13"/>
      <c r="G742" s="13"/>
    </row>
    <row r="743" ht="15.75" customHeight="1">
      <c r="A743" s="13"/>
      <c r="B743" s="13"/>
      <c r="C743" s="9">
        <f>IFERROR(SUMIF(ENTRADAS!A:A,A743,ENTRADAS!C:C))</f>
        <v>0</v>
      </c>
      <c r="D743" s="10">
        <f>SUMIF(SALIDAS!A:A,A743,SALIDAS!C:C)</f>
        <v>0</v>
      </c>
      <c r="E743" s="10">
        <f t="shared" si="2"/>
        <v>0</v>
      </c>
      <c r="F743" s="13"/>
      <c r="G743" s="13"/>
    </row>
    <row r="744" ht="15.75" customHeight="1">
      <c r="A744" s="13"/>
      <c r="B744" s="13"/>
      <c r="C744" s="9">
        <f>IFERROR(SUMIF(ENTRADAS!A:A,A744,ENTRADAS!C:C))</f>
        <v>0</v>
      </c>
      <c r="D744" s="10">
        <f>SUMIF(SALIDAS!A:A,A744,SALIDAS!C:C)</f>
        <v>0</v>
      </c>
      <c r="E744" s="10">
        <f t="shared" si="2"/>
        <v>0</v>
      </c>
      <c r="F744" s="13"/>
      <c r="G744" s="13"/>
    </row>
    <row r="745" ht="15.75" customHeight="1">
      <c r="A745" s="13"/>
      <c r="B745" s="13"/>
      <c r="C745" s="9">
        <f>IFERROR(SUMIF(ENTRADAS!A:A,A745,ENTRADAS!C:C))</f>
        <v>0</v>
      </c>
      <c r="D745" s="10">
        <f>SUMIF(SALIDAS!A:A,A745,SALIDAS!C:C)</f>
        <v>0</v>
      </c>
      <c r="E745" s="10">
        <f t="shared" si="2"/>
        <v>0</v>
      </c>
      <c r="F745" s="13"/>
      <c r="G745" s="13"/>
    </row>
    <row r="746" ht="15.75" customHeight="1">
      <c r="A746" s="13"/>
      <c r="B746" s="13"/>
      <c r="C746" s="9">
        <f>IFERROR(SUMIF(ENTRADAS!A:A,A746,ENTRADAS!C:C))</f>
        <v>0</v>
      </c>
      <c r="D746" s="10">
        <f>SUMIF(SALIDAS!A:A,A746,SALIDAS!C:C)</f>
        <v>0</v>
      </c>
      <c r="E746" s="10">
        <f t="shared" si="2"/>
        <v>0</v>
      </c>
      <c r="F746" s="13"/>
      <c r="G746" s="13"/>
    </row>
    <row r="747" ht="15.75" customHeight="1">
      <c r="A747" s="13"/>
      <c r="B747" s="13"/>
      <c r="C747" s="9">
        <f>IFERROR(SUMIF(ENTRADAS!A:A,A747,ENTRADAS!C:C))</f>
        <v>0</v>
      </c>
      <c r="D747" s="10">
        <f>SUMIF(SALIDAS!A:A,A747,SALIDAS!C:C)</f>
        <v>0</v>
      </c>
      <c r="E747" s="10">
        <f t="shared" si="2"/>
        <v>0</v>
      </c>
      <c r="F747" s="13"/>
      <c r="G747" s="13"/>
    </row>
    <row r="748" ht="15.75" customHeight="1">
      <c r="A748" s="13"/>
      <c r="B748" s="13"/>
      <c r="C748" s="9">
        <f>IFERROR(SUMIF(ENTRADAS!A:A,A748,ENTRADAS!C:C))</f>
        <v>0</v>
      </c>
      <c r="D748" s="10">
        <f>SUMIF(SALIDAS!A:A,A748,SALIDAS!C:C)</f>
        <v>0</v>
      </c>
      <c r="E748" s="10">
        <f t="shared" si="2"/>
        <v>0</v>
      </c>
      <c r="F748" s="13"/>
      <c r="G748" s="13"/>
    </row>
    <row r="749" ht="15.75" customHeight="1">
      <c r="A749" s="13"/>
      <c r="B749" s="13"/>
      <c r="C749" s="9">
        <f>IFERROR(SUMIF(ENTRADAS!A:A,A749,ENTRADAS!C:C))</f>
        <v>0</v>
      </c>
      <c r="D749" s="10">
        <f>SUMIF(SALIDAS!A:A,A749,SALIDAS!C:C)</f>
        <v>0</v>
      </c>
      <c r="E749" s="10">
        <f t="shared" si="2"/>
        <v>0</v>
      </c>
      <c r="F749" s="13"/>
      <c r="G749" s="13"/>
    </row>
    <row r="750" ht="15.75" customHeight="1">
      <c r="A750" s="13"/>
      <c r="B750" s="13"/>
      <c r="C750" s="9">
        <f>IFERROR(SUMIF(ENTRADAS!A:A,A750,ENTRADAS!C:C))</f>
        <v>0</v>
      </c>
      <c r="D750" s="10">
        <f>SUMIF(SALIDAS!A:A,A750,SALIDAS!C:C)</f>
        <v>0</v>
      </c>
      <c r="E750" s="10">
        <f t="shared" si="2"/>
        <v>0</v>
      </c>
      <c r="F750" s="13"/>
      <c r="G750" s="13"/>
    </row>
    <row r="751" ht="15.75" customHeight="1">
      <c r="A751" s="13"/>
      <c r="B751" s="13"/>
      <c r="C751" s="9">
        <f>IFERROR(SUMIF(ENTRADAS!A:A,A751,ENTRADAS!C:C))</f>
        <v>0</v>
      </c>
      <c r="D751" s="10">
        <f>SUMIF(SALIDAS!A:A,A751,SALIDAS!C:C)</f>
        <v>0</v>
      </c>
      <c r="E751" s="10">
        <f t="shared" si="2"/>
        <v>0</v>
      </c>
      <c r="F751" s="13"/>
      <c r="G751" s="13"/>
    </row>
    <row r="752" ht="15.75" customHeight="1">
      <c r="A752" s="13"/>
      <c r="B752" s="13"/>
      <c r="C752" s="9">
        <f>IFERROR(SUMIF(ENTRADAS!A:A,A752,ENTRADAS!C:C))</f>
        <v>0</v>
      </c>
      <c r="D752" s="10">
        <f>SUMIF(SALIDAS!A:A,A752,SALIDAS!C:C)</f>
        <v>0</v>
      </c>
      <c r="E752" s="10">
        <f t="shared" si="2"/>
        <v>0</v>
      </c>
      <c r="F752" s="13"/>
      <c r="G752" s="13"/>
    </row>
    <row r="753" ht="15.75" customHeight="1">
      <c r="A753" s="13"/>
      <c r="B753" s="13"/>
      <c r="C753" s="9">
        <f>IFERROR(SUMIF(ENTRADAS!A:A,A753,ENTRADAS!C:C))</f>
        <v>0</v>
      </c>
      <c r="D753" s="10">
        <f>SUMIF(SALIDAS!A:A,A753,SALIDAS!C:C)</f>
        <v>0</v>
      </c>
      <c r="E753" s="10">
        <f t="shared" si="2"/>
        <v>0</v>
      </c>
      <c r="F753" s="13"/>
      <c r="G753" s="13"/>
    </row>
    <row r="754" ht="15.75" customHeight="1">
      <c r="A754" s="13"/>
      <c r="B754" s="13"/>
      <c r="C754" s="9">
        <f>IFERROR(SUMIF(ENTRADAS!A:A,A754,ENTRADAS!C:C))</f>
        <v>0</v>
      </c>
      <c r="D754" s="10">
        <f>SUMIF(SALIDAS!A:A,A754,SALIDAS!C:C)</f>
        <v>0</v>
      </c>
      <c r="E754" s="10">
        <f t="shared" si="2"/>
        <v>0</v>
      </c>
      <c r="F754" s="13"/>
      <c r="G754" s="13"/>
    </row>
    <row r="755" ht="15.75" customHeight="1">
      <c r="A755" s="13"/>
      <c r="B755" s="13"/>
      <c r="C755" s="9">
        <f>IFERROR(SUMIF(ENTRADAS!A:A,A755,ENTRADAS!C:C))</f>
        <v>0</v>
      </c>
      <c r="D755" s="10">
        <f>SUMIF(SALIDAS!A:A,A755,SALIDAS!C:C)</f>
        <v>0</v>
      </c>
      <c r="E755" s="10">
        <f t="shared" si="2"/>
        <v>0</v>
      </c>
      <c r="F755" s="13"/>
      <c r="G755" s="13"/>
    </row>
    <row r="756" ht="15.75" customHeight="1">
      <c r="A756" s="13"/>
      <c r="B756" s="13"/>
      <c r="C756" s="9">
        <f>IFERROR(SUMIF(ENTRADAS!A:A,A756,ENTRADAS!C:C))</f>
        <v>0</v>
      </c>
      <c r="D756" s="10">
        <f>SUMIF(SALIDAS!A:A,A756,SALIDAS!C:C)</f>
        <v>0</v>
      </c>
      <c r="E756" s="10">
        <f t="shared" si="2"/>
        <v>0</v>
      </c>
      <c r="F756" s="13"/>
      <c r="G756" s="13"/>
    </row>
    <row r="757" ht="15.75" customHeight="1">
      <c r="A757" s="13"/>
      <c r="B757" s="13"/>
      <c r="C757" s="9">
        <f>IFERROR(SUMIF(ENTRADAS!A:A,A757,ENTRADAS!C:C))</f>
        <v>0</v>
      </c>
      <c r="D757" s="10">
        <f>SUMIF(SALIDAS!A:A,A757,SALIDAS!C:C)</f>
        <v>0</v>
      </c>
      <c r="E757" s="10">
        <f t="shared" si="2"/>
        <v>0</v>
      </c>
      <c r="F757" s="13"/>
      <c r="G757" s="13"/>
    </row>
    <row r="758" ht="15.75" customHeight="1">
      <c r="A758" s="13"/>
      <c r="B758" s="13"/>
      <c r="C758" s="9">
        <f>IFERROR(SUMIF(ENTRADAS!A:A,A758,ENTRADAS!C:C))</f>
        <v>0</v>
      </c>
      <c r="D758" s="10">
        <f>SUMIF(SALIDAS!A:A,A758,SALIDAS!C:C)</f>
        <v>0</v>
      </c>
      <c r="E758" s="10">
        <f t="shared" si="2"/>
        <v>0</v>
      </c>
      <c r="F758" s="13"/>
      <c r="G758" s="13"/>
    </row>
    <row r="759" ht="15.75" customHeight="1">
      <c r="A759" s="13"/>
      <c r="B759" s="13"/>
      <c r="C759" s="9">
        <f>IFERROR(SUMIF(ENTRADAS!A:A,A759,ENTRADAS!C:C))</f>
        <v>0</v>
      </c>
      <c r="D759" s="10">
        <f>SUMIF(SALIDAS!A:A,A759,SALIDAS!C:C)</f>
        <v>0</v>
      </c>
      <c r="E759" s="10">
        <f t="shared" si="2"/>
        <v>0</v>
      </c>
      <c r="F759" s="13"/>
      <c r="G759" s="13"/>
    </row>
    <row r="760" ht="15.75" customHeight="1">
      <c r="A760" s="13"/>
      <c r="B760" s="13"/>
      <c r="C760" s="9">
        <f>IFERROR(SUMIF(ENTRADAS!A:A,A760,ENTRADAS!C:C))</f>
        <v>0</v>
      </c>
      <c r="D760" s="10">
        <f>SUMIF(SALIDAS!A:A,A760,SALIDAS!C:C)</f>
        <v>0</v>
      </c>
      <c r="E760" s="10">
        <f t="shared" si="2"/>
        <v>0</v>
      </c>
      <c r="F760" s="13"/>
      <c r="G760" s="13"/>
    </row>
    <row r="761" ht="15.75" customHeight="1">
      <c r="A761" s="13"/>
      <c r="B761" s="13"/>
      <c r="C761" s="9">
        <f>IFERROR(SUMIF(ENTRADAS!A:A,A761,ENTRADAS!C:C))</f>
        <v>0</v>
      </c>
      <c r="D761" s="10">
        <f>SUMIF(SALIDAS!A:A,A761,SALIDAS!C:C)</f>
        <v>0</v>
      </c>
      <c r="E761" s="10">
        <f t="shared" si="2"/>
        <v>0</v>
      </c>
      <c r="F761" s="13"/>
      <c r="G761" s="13"/>
    </row>
    <row r="762" ht="15.75" customHeight="1">
      <c r="A762" s="13"/>
      <c r="B762" s="13"/>
      <c r="C762" s="9">
        <f>IFERROR(SUMIF(ENTRADAS!A:A,A762,ENTRADAS!C:C))</f>
        <v>0</v>
      </c>
      <c r="D762" s="10">
        <f>SUMIF(SALIDAS!A:A,A762,SALIDAS!C:C)</f>
        <v>0</v>
      </c>
      <c r="E762" s="10">
        <f t="shared" si="2"/>
        <v>0</v>
      </c>
      <c r="F762" s="13"/>
      <c r="G762" s="13"/>
    </row>
    <row r="763" ht="15.75" customHeight="1">
      <c r="A763" s="13"/>
      <c r="B763" s="13"/>
      <c r="C763" s="9">
        <f>IFERROR(SUMIF(ENTRADAS!A:A,A763,ENTRADAS!C:C))</f>
        <v>0</v>
      </c>
      <c r="D763" s="10">
        <f>SUMIF(SALIDAS!A:A,A763,SALIDAS!C:C)</f>
        <v>0</v>
      </c>
      <c r="E763" s="10">
        <f t="shared" si="2"/>
        <v>0</v>
      </c>
      <c r="F763" s="13"/>
      <c r="G763" s="13"/>
    </row>
    <row r="764" ht="15.75" customHeight="1">
      <c r="A764" s="13"/>
      <c r="B764" s="13"/>
      <c r="C764" s="9">
        <f>IFERROR(SUMIF(ENTRADAS!A:A,A764,ENTRADAS!C:C))</f>
        <v>0</v>
      </c>
      <c r="D764" s="10">
        <f>SUMIF(SALIDAS!A:A,A764,SALIDAS!C:C)</f>
        <v>0</v>
      </c>
      <c r="E764" s="10">
        <f t="shared" si="2"/>
        <v>0</v>
      </c>
      <c r="F764" s="13"/>
      <c r="G764" s="13"/>
    </row>
    <row r="765" ht="15.75" customHeight="1">
      <c r="A765" s="13"/>
      <c r="B765" s="13"/>
      <c r="C765" s="9">
        <f>IFERROR(SUMIF(ENTRADAS!A:A,A765,ENTRADAS!C:C))</f>
        <v>0</v>
      </c>
      <c r="D765" s="10">
        <f>SUMIF(SALIDAS!A:A,A765,SALIDAS!C:C)</f>
        <v>0</v>
      </c>
      <c r="E765" s="10">
        <f t="shared" si="2"/>
        <v>0</v>
      </c>
      <c r="F765" s="13"/>
      <c r="G765" s="13"/>
    </row>
    <row r="766" ht="15.75" customHeight="1">
      <c r="A766" s="13"/>
      <c r="B766" s="13"/>
      <c r="C766" s="9">
        <f>IFERROR(SUMIF(ENTRADAS!A:A,A766,ENTRADAS!C:C))</f>
        <v>0</v>
      </c>
      <c r="D766" s="10">
        <f>SUMIF(SALIDAS!A:A,A766,SALIDAS!C:C)</f>
        <v>0</v>
      </c>
      <c r="E766" s="10">
        <f t="shared" si="2"/>
        <v>0</v>
      </c>
      <c r="F766" s="13"/>
      <c r="G766" s="13"/>
    </row>
    <row r="767" ht="15.75" customHeight="1">
      <c r="A767" s="13"/>
      <c r="B767" s="13"/>
      <c r="C767" s="9">
        <f>IFERROR(SUMIF(ENTRADAS!A:A,A767,ENTRADAS!C:C))</f>
        <v>0</v>
      </c>
      <c r="D767" s="10">
        <f>SUMIF(SALIDAS!A:A,A767,SALIDAS!C:C)</f>
        <v>0</v>
      </c>
      <c r="E767" s="10">
        <f t="shared" si="2"/>
        <v>0</v>
      </c>
      <c r="F767" s="13"/>
      <c r="G767" s="13"/>
    </row>
    <row r="768" ht="15.75" customHeight="1">
      <c r="A768" s="13"/>
      <c r="B768" s="13"/>
      <c r="C768" s="9">
        <f>IFERROR(SUMIF(ENTRADAS!A:A,A768,ENTRADAS!C:C))</f>
        <v>0</v>
      </c>
      <c r="D768" s="10">
        <f>SUMIF(SALIDAS!A:A,A768,SALIDAS!C:C)</f>
        <v>0</v>
      </c>
      <c r="E768" s="10">
        <f t="shared" si="2"/>
        <v>0</v>
      </c>
      <c r="F768" s="13"/>
      <c r="G768" s="13"/>
    </row>
    <row r="769" ht="15.75" customHeight="1">
      <c r="A769" s="13"/>
      <c r="B769" s="13"/>
      <c r="C769" s="9">
        <f>IFERROR(SUMIF(ENTRADAS!A:A,A769,ENTRADAS!C:C))</f>
        <v>0</v>
      </c>
      <c r="D769" s="10">
        <f>SUMIF(SALIDAS!A:A,A769,SALIDAS!C:C)</f>
        <v>0</v>
      </c>
      <c r="E769" s="10">
        <f t="shared" si="2"/>
        <v>0</v>
      </c>
      <c r="F769" s="13"/>
      <c r="G769" s="13"/>
    </row>
    <row r="770" ht="15.75" customHeight="1">
      <c r="A770" s="13"/>
      <c r="B770" s="13"/>
      <c r="C770" s="9">
        <f>IFERROR(SUMIF(ENTRADAS!A:A,A770,ENTRADAS!C:C))</f>
        <v>0</v>
      </c>
      <c r="D770" s="10">
        <f>SUMIF(SALIDAS!A:A,A770,SALIDAS!C:C)</f>
        <v>0</v>
      </c>
      <c r="E770" s="10">
        <f t="shared" si="2"/>
        <v>0</v>
      </c>
      <c r="F770" s="13"/>
      <c r="G770" s="13"/>
    </row>
    <row r="771" ht="15.75" customHeight="1">
      <c r="A771" s="13"/>
      <c r="B771" s="13"/>
      <c r="C771" s="9">
        <f>IFERROR(SUMIF(ENTRADAS!A:A,A771,ENTRADAS!C:C))</f>
        <v>0</v>
      </c>
      <c r="D771" s="10">
        <f>SUMIF(SALIDAS!A:A,A771,SALIDAS!C:C)</f>
        <v>0</v>
      </c>
      <c r="E771" s="10">
        <f t="shared" si="2"/>
        <v>0</v>
      </c>
      <c r="F771" s="13"/>
      <c r="G771" s="13"/>
    </row>
    <row r="772" ht="15.75" customHeight="1">
      <c r="A772" s="13"/>
      <c r="B772" s="13"/>
      <c r="C772" s="9">
        <f>IFERROR(SUMIF(ENTRADAS!A:A,A772,ENTRADAS!C:C))</f>
        <v>0</v>
      </c>
      <c r="D772" s="10">
        <f>SUMIF(SALIDAS!A:A,A772,SALIDAS!C:C)</f>
        <v>0</v>
      </c>
      <c r="E772" s="10">
        <f t="shared" si="2"/>
        <v>0</v>
      </c>
      <c r="F772" s="13"/>
      <c r="G772" s="13"/>
    </row>
    <row r="773" ht="15.75" customHeight="1">
      <c r="A773" s="13"/>
      <c r="B773" s="13"/>
      <c r="C773" s="9">
        <f>IFERROR(SUMIF(ENTRADAS!A:A,A773,ENTRADAS!C:C))</f>
        <v>0</v>
      </c>
      <c r="D773" s="10">
        <f>SUMIF(SALIDAS!A:A,A773,SALIDAS!C:C)</f>
        <v>0</v>
      </c>
      <c r="E773" s="10">
        <f t="shared" si="2"/>
        <v>0</v>
      </c>
      <c r="F773" s="13"/>
      <c r="G773" s="13"/>
    </row>
    <row r="774" ht="15.75" customHeight="1">
      <c r="A774" s="13"/>
      <c r="B774" s="13"/>
      <c r="C774" s="9">
        <f>IFERROR(SUMIF(ENTRADAS!A:A,A774,ENTRADAS!C:C))</f>
        <v>0</v>
      </c>
      <c r="D774" s="10">
        <f>SUMIF(SALIDAS!A:A,A774,SALIDAS!C:C)</f>
        <v>0</v>
      </c>
      <c r="E774" s="10">
        <f t="shared" si="2"/>
        <v>0</v>
      </c>
      <c r="F774" s="13"/>
      <c r="G774" s="13"/>
    </row>
    <row r="775" ht="15.75" customHeight="1">
      <c r="A775" s="13"/>
      <c r="B775" s="13"/>
      <c r="C775" s="9">
        <f>IFERROR(SUMIF(ENTRADAS!A:A,A775,ENTRADAS!C:C))</f>
        <v>0</v>
      </c>
      <c r="D775" s="10">
        <f>SUMIF(SALIDAS!A:A,A775,SALIDAS!C:C)</f>
        <v>0</v>
      </c>
      <c r="E775" s="10">
        <f t="shared" si="2"/>
        <v>0</v>
      </c>
      <c r="F775" s="13"/>
      <c r="G775" s="13"/>
    </row>
    <row r="776" ht="15.75" customHeight="1">
      <c r="A776" s="13"/>
      <c r="B776" s="13"/>
      <c r="C776" s="9">
        <f>IFERROR(SUMIF(ENTRADAS!A:A,A776,ENTRADAS!C:C))</f>
        <v>0</v>
      </c>
      <c r="D776" s="10">
        <f>SUMIF(SALIDAS!A:A,A776,SALIDAS!C:C)</f>
        <v>0</v>
      </c>
      <c r="E776" s="10">
        <f t="shared" si="2"/>
        <v>0</v>
      </c>
      <c r="F776" s="13"/>
      <c r="G776" s="13"/>
    </row>
    <row r="777" ht="15.75" customHeight="1">
      <c r="A777" s="13"/>
      <c r="B777" s="13"/>
      <c r="C777" s="9">
        <f>IFERROR(SUMIF(ENTRADAS!A:A,A777,ENTRADAS!C:C))</f>
        <v>0</v>
      </c>
      <c r="D777" s="10">
        <f>SUMIF(SALIDAS!A:A,A777,SALIDAS!C:C)</f>
        <v>0</v>
      </c>
      <c r="E777" s="10">
        <f t="shared" si="2"/>
        <v>0</v>
      </c>
      <c r="F777" s="13"/>
      <c r="G777" s="13"/>
    </row>
    <row r="778" ht="15.75" customHeight="1">
      <c r="A778" s="13"/>
      <c r="B778" s="13"/>
      <c r="C778" s="9">
        <f>IFERROR(SUMIF(ENTRADAS!A:A,A778,ENTRADAS!C:C))</f>
        <v>0</v>
      </c>
      <c r="D778" s="10">
        <f>SUMIF(SALIDAS!A:A,A778,SALIDAS!C:C)</f>
        <v>0</v>
      </c>
      <c r="E778" s="10">
        <f t="shared" si="2"/>
        <v>0</v>
      </c>
      <c r="F778" s="13"/>
      <c r="G778" s="13"/>
    </row>
    <row r="779" ht="15.75" customHeight="1">
      <c r="A779" s="13"/>
      <c r="B779" s="13"/>
      <c r="C779" s="9">
        <f>IFERROR(SUMIF(ENTRADAS!A:A,A779,ENTRADAS!C:C))</f>
        <v>0</v>
      </c>
      <c r="D779" s="10">
        <f>SUMIF(SALIDAS!A:A,A779,SALIDAS!C:C)</f>
        <v>0</v>
      </c>
      <c r="E779" s="10">
        <f t="shared" si="2"/>
        <v>0</v>
      </c>
      <c r="F779" s="13"/>
      <c r="G779" s="13"/>
    </row>
    <row r="780" ht="15.75" customHeight="1">
      <c r="A780" s="13"/>
      <c r="B780" s="13"/>
      <c r="C780" s="9">
        <f>IFERROR(SUMIF(ENTRADAS!A:A,A780,ENTRADAS!C:C))</f>
        <v>0</v>
      </c>
      <c r="D780" s="10">
        <f>SUMIF(SALIDAS!A:A,A780,SALIDAS!C:C)</f>
        <v>0</v>
      </c>
      <c r="E780" s="10">
        <f t="shared" si="2"/>
        <v>0</v>
      </c>
      <c r="F780" s="13"/>
      <c r="G780" s="13"/>
    </row>
    <row r="781" ht="15.75" customHeight="1">
      <c r="A781" s="13"/>
      <c r="B781" s="13"/>
      <c r="C781" s="9">
        <f>IFERROR(SUMIF(ENTRADAS!A:A,A781,ENTRADAS!C:C))</f>
        <v>0</v>
      </c>
      <c r="D781" s="10">
        <f>SUMIF(SALIDAS!A:A,A781,SALIDAS!C:C)</f>
        <v>0</v>
      </c>
      <c r="E781" s="10">
        <f t="shared" si="2"/>
        <v>0</v>
      </c>
      <c r="F781" s="13"/>
      <c r="G781" s="13"/>
    </row>
    <row r="782" ht="15.75" customHeight="1">
      <c r="A782" s="13"/>
      <c r="B782" s="13"/>
      <c r="C782" s="9">
        <f>IFERROR(SUMIF(ENTRADAS!A:A,A782,ENTRADAS!C:C))</f>
        <v>0</v>
      </c>
      <c r="D782" s="10">
        <f>SUMIF(SALIDAS!A:A,A782,SALIDAS!C:C)</f>
        <v>0</v>
      </c>
      <c r="E782" s="10">
        <f t="shared" si="2"/>
        <v>0</v>
      </c>
      <c r="F782" s="13"/>
      <c r="G782" s="13"/>
    </row>
    <row r="783" ht="15.75" customHeight="1">
      <c r="A783" s="13"/>
      <c r="B783" s="13"/>
      <c r="C783" s="9">
        <f>IFERROR(SUMIF(ENTRADAS!A:A,A783,ENTRADAS!C:C))</f>
        <v>0</v>
      </c>
      <c r="D783" s="10">
        <f>SUMIF(SALIDAS!A:A,A783,SALIDAS!C:C)</f>
        <v>0</v>
      </c>
      <c r="E783" s="10">
        <f t="shared" si="2"/>
        <v>0</v>
      </c>
      <c r="F783" s="13"/>
      <c r="G783" s="13"/>
    </row>
    <row r="784" ht="15.75" customHeight="1">
      <c r="A784" s="13"/>
      <c r="B784" s="13"/>
      <c r="C784" s="9">
        <f>IFERROR(SUMIF(ENTRADAS!A:A,A784,ENTRADAS!C:C))</f>
        <v>0</v>
      </c>
      <c r="D784" s="10">
        <f>SUMIF(SALIDAS!A:A,A784,SALIDAS!C:C)</f>
        <v>0</v>
      </c>
      <c r="E784" s="10">
        <f t="shared" si="2"/>
        <v>0</v>
      </c>
      <c r="F784" s="13"/>
      <c r="G784" s="13"/>
    </row>
    <row r="785" ht="15.75" customHeight="1">
      <c r="A785" s="13"/>
      <c r="B785" s="13"/>
      <c r="C785" s="9">
        <f>IFERROR(SUMIF(ENTRADAS!A:A,A785,ENTRADAS!C:C))</f>
        <v>0</v>
      </c>
      <c r="D785" s="10">
        <f>SUMIF(SALIDAS!A:A,A785,SALIDAS!C:C)</f>
        <v>0</v>
      </c>
      <c r="E785" s="10">
        <f t="shared" si="2"/>
        <v>0</v>
      </c>
      <c r="F785" s="13"/>
      <c r="G785" s="13"/>
    </row>
    <row r="786" ht="15.75" customHeight="1">
      <c r="A786" s="13"/>
      <c r="B786" s="13"/>
      <c r="C786" s="9">
        <f>IFERROR(SUMIF(ENTRADAS!A:A,A786,ENTRADAS!C:C))</f>
        <v>0</v>
      </c>
      <c r="D786" s="10">
        <f>SUMIF(SALIDAS!A:A,A786,SALIDAS!C:C)</f>
        <v>0</v>
      </c>
      <c r="E786" s="10">
        <f t="shared" si="2"/>
        <v>0</v>
      </c>
      <c r="F786" s="13"/>
      <c r="G786" s="13"/>
    </row>
    <row r="787" ht="15.75" customHeight="1">
      <c r="A787" s="13"/>
      <c r="B787" s="13"/>
      <c r="C787" s="9">
        <f>IFERROR(SUMIF(ENTRADAS!A:A,A787,ENTRADAS!C:C))</f>
        <v>0</v>
      </c>
      <c r="D787" s="10">
        <f>SUMIF(SALIDAS!A:A,A787,SALIDAS!C:C)</f>
        <v>0</v>
      </c>
      <c r="E787" s="10">
        <f t="shared" si="2"/>
        <v>0</v>
      </c>
      <c r="F787" s="13"/>
      <c r="G787" s="13"/>
    </row>
    <row r="788" ht="15.75" customHeight="1">
      <c r="A788" s="13"/>
      <c r="B788" s="13"/>
      <c r="C788" s="9">
        <f>IFERROR(SUMIF(ENTRADAS!A:A,A788,ENTRADAS!C:C))</f>
        <v>0</v>
      </c>
      <c r="D788" s="10">
        <f>SUMIF(SALIDAS!A:A,A788,SALIDAS!C:C)</f>
        <v>0</v>
      </c>
      <c r="E788" s="10">
        <f t="shared" si="2"/>
        <v>0</v>
      </c>
      <c r="F788" s="13"/>
      <c r="G788" s="13"/>
    </row>
    <row r="789" ht="15.75" customHeight="1">
      <c r="A789" s="13"/>
      <c r="B789" s="13"/>
      <c r="C789" s="9">
        <f>IFERROR(SUMIF(ENTRADAS!A:A,A789,ENTRADAS!C:C))</f>
        <v>0</v>
      </c>
      <c r="D789" s="10">
        <f>SUMIF(SALIDAS!A:A,A789,SALIDAS!C:C)</f>
        <v>0</v>
      </c>
      <c r="E789" s="10">
        <f t="shared" si="2"/>
        <v>0</v>
      </c>
      <c r="F789" s="13"/>
      <c r="G789" s="13"/>
    </row>
    <row r="790" ht="15.75" customHeight="1">
      <c r="A790" s="13"/>
      <c r="B790" s="13"/>
      <c r="C790" s="9">
        <f>IFERROR(SUMIF(ENTRADAS!A:A,A790,ENTRADAS!C:C))</f>
        <v>0</v>
      </c>
      <c r="D790" s="10">
        <f>SUMIF(SALIDAS!A:A,A790,SALIDAS!C:C)</f>
        <v>0</v>
      </c>
      <c r="E790" s="10">
        <f t="shared" si="2"/>
        <v>0</v>
      </c>
      <c r="F790" s="13"/>
      <c r="G790" s="13"/>
    </row>
    <row r="791" ht="15.75" customHeight="1">
      <c r="A791" s="13"/>
      <c r="B791" s="13"/>
      <c r="C791" s="9">
        <f>IFERROR(SUMIF(ENTRADAS!A:A,A791,ENTRADAS!C:C))</f>
        <v>0</v>
      </c>
      <c r="D791" s="10">
        <f>SUMIF(SALIDAS!A:A,A791,SALIDAS!C:C)</f>
        <v>0</v>
      </c>
      <c r="E791" s="10">
        <f t="shared" si="2"/>
        <v>0</v>
      </c>
      <c r="F791" s="13"/>
      <c r="G791" s="13"/>
    </row>
    <row r="792" ht="15.75" customHeight="1">
      <c r="A792" s="13"/>
      <c r="B792" s="13"/>
      <c r="C792" s="9">
        <f>IFERROR(SUMIF(ENTRADAS!A:A,A792,ENTRADAS!C:C))</f>
        <v>0</v>
      </c>
      <c r="D792" s="10">
        <f>SUMIF(SALIDAS!A:A,A792,SALIDAS!C:C)</f>
        <v>0</v>
      </c>
      <c r="E792" s="10">
        <f t="shared" si="2"/>
        <v>0</v>
      </c>
      <c r="F792" s="13"/>
      <c r="G792" s="13"/>
    </row>
    <row r="793" ht="15.75" customHeight="1">
      <c r="A793" s="13"/>
      <c r="B793" s="13"/>
      <c r="C793" s="9">
        <f>IFERROR(SUMIF(ENTRADAS!A:A,A793,ENTRADAS!C:C))</f>
        <v>0</v>
      </c>
      <c r="D793" s="10">
        <f>SUMIF(SALIDAS!A:A,A793,SALIDAS!C:C)</f>
        <v>0</v>
      </c>
      <c r="E793" s="10">
        <f t="shared" si="2"/>
        <v>0</v>
      </c>
      <c r="F793" s="13"/>
      <c r="G793" s="13"/>
    </row>
    <row r="794" ht="15.75" customHeight="1">
      <c r="A794" s="13"/>
      <c r="B794" s="13"/>
      <c r="C794" s="9">
        <f>IFERROR(SUMIF(ENTRADAS!A:A,A794,ENTRADAS!C:C))</f>
        <v>0</v>
      </c>
      <c r="D794" s="10">
        <f>SUMIF(SALIDAS!A:A,A794,SALIDAS!C:C)</f>
        <v>0</v>
      </c>
      <c r="E794" s="10">
        <f t="shared" si="2"/>
        <v>0</v>
      </c>
      <c r="F794" s="13"/>
      <c r="G794" s="13"/>
    </row>
    <row r="795" ht="15.75" customHeight="1">
      <c r="A795" s="13"/>
      <c r="B795" s="13"/>
      <c r="C795" s="9">
        <f>IFERROR(SUMIF(ENTRADAS!A:A,A795,ENTRADAS!C:C))</f>
        <v>0</v>
      </c>
      <c r="D795" s="10">
        <f>SUMIF(SALIDAS!A:A,A795,SALIDAS!C:C)</f>
        <v>0</v>
      </c>
      <c r="E795" s="10">
        <f t="shared" si="2"/>
        <v>0</v>
      </c>
      <c r="F795" s="13"/>
      <c r="G795" s="13"/>
    </row>
    <row r="796" ht="15.75" customHeight="1">
      <c r="A796" s="13"/>
      <c r="B796" s="13"/>
      <c r="C796" s="9">
        <f>IFERROR(SUMIF(ENTRADAS!A:A,A796,ENTRADAS!C:C))</f>
        <v>0</v>
      </c>
      <c r="D796" s="10">
        <f>SUMIF(SALIDAS!A:A,A796,SALIDAS!C:C)</f>
        <v>0</v>
      </c>
      <c r="E796" s="10">
        <f t="shared" si="2"/>
        <v>0</v>
      </c>
      <c r="F796" s="13"/>
      <c r="G796" s="13"/>
    </row>
    <row r="797" ht="15.75" customHeight="1">
      <c r="A797" s="13"/>
      <c r="B797" s="13"/>
      <c r="C797" s="9">
        <f>IFERROR(SUMIF(ENTRADAS!A:A,A797,ENTRADAS!C:C))</f>
        <v>0</v>
      </c>
      <c r="D797" s="10">
        <f>SUMIF(SALIDAS!A:A,A797,SALIDAS!C:C)</f>
        <v>0</v>
      </c>
      <c r="E797" s="10">
        <f t="shared" si="2"/>
        <v>0</v>
      </c>
      <c r="F797" s="13"/>
      <c r="G797" s="13"/>
    </row>
    <row r="798" ht="15.75" customHeight="1">
      <c r="A798" s="13"/>
      <c r="B798" s="13"/>
      <c r="C798" s="9">
        <f>IFERROR(SUMIF(ENTRADAS!A:A,A798,ENTRADAS!C:C))</f>
        <v>0</v>
      </c>
      <c r="D798" s="10">
        <f>SUMIF(SALIDAS!A:A,A798,SALIDAS!C:C)</f>
        <v>0</v>
      </c>
      <c r="E798" s="10">
        <f t="shared" si="2"/>
        <v>0</v>
      </c>
      <c r="F798" s="13"/>
      <c r="G798" s="13"/>
    </row>
    <row r="799" ht="15.75" customHeight="1">
      <c r="A799" s="13"/>
      <c r="B799" s="13"/>
      <c r="C799" s="9">
        <f>IFERROR(SUMIF(ENTRADAS!A:A,A799,ENTRADAS!C:C))</f>
        <v>0</v>
      </c>
      <c r="D799" s="10">
        <f>SUMIF(SALIDAS!A:A,A799,SALIDAS!C:C)</f>
        <v>0</v>
      </c>
      <c r="E799" s="10">
        <f t="shared" si="2"/>
        <v>0</v>
      </c>
      <c r="F799" s="13"/>
      <c r="G799" s="13"/>
    </row>
    <row r="800" ht="15.75" customHeight="1">
      <c r="A800" s="13"/>
      <c r="B800" s="13"/>
      <c r="C800" s="9">
        <f>IFERROR(SUMIF(ENTRADAS!A:A,A800,ENTRADAS!C:C))</f>
        <v>0</v>
      </c>
      <c r="D800" s="10">
        <f>SUMIF(SALIDAS!A:A,A800,SALIDAS!C:C)</f>
        <v>0</v>
      </c>
      <c r="E800" s="10">
        <f t="shared" si="2"/>
        <v>0</v>
      </c>
      <c r="F800" s="13"/>
      <c r="G800" s="13"/>
    </row>
    <row r="801" ht="15.75" customHeight="1">
      <c r="A801" s="13"/>
      <c r="B801" s="13"/>
      <c r="C801" s="9">
        <f>IFERROR(SUMIF(ENTRADAS!A:A,A801,ENTRADAS!C:C))</f>
        <v>0</v>
      </c>
      <c r="D801" s="10">
        <f>SUMIF(SALIDAS!A:A,A801,SALIDAS!C:C)</f>
        <v>0</v>
      </c>
      <c r="E801" s="10">
        <f t="shared" si="2"/>
        <v>0</v>
      </c>
      <c r="F801" s="13"/>
      <c r="G801" s="13"/>
    </row>
    <row r="802" ht="15.75" customHeight="1">
      <c r="A802" s="13"/>
      <c r="B802" s="13"/>
      <c r="C802" s="9">
        <f>IFERROR(SUMIF(ENTRADAS!A:A,A802,ENTRADAS!C:C))</f>
        <v>0</v>
      </c>
      <c r="D802" s="10">
        <f>SUMIF(SALIDAS!A:A,A802,SALIDAS!C:C)</f>
        <v>0</v>
      </c>
      <c r="E802" s="10">
        <f t="shared" si="2"/>
        <v>0</v>
      </c>
      <c r="F802" s="13"/>
      <c r="G802" s="13"/>
    </row>
    <row r="803" ht="15.75" customHeight="1">
      <c r="A803" s="13"/>
      <c r="B803" s="13"/>
      <c r="C803" s="9">
        <f>IFERROR(SUMIF(ENTRADAS!A:A,A803,ENTRADAS!C:C))</f>
        <v>0</v>
      </c>
      <c r="D803" s="10">
        <f>SUMIF(SALIDAS!A:A,A803,SALIDAS!C:C)</f>
        <v>0</v>
      </c>
      <c r="E803" s="10">
        <f t="shared" si="2"/>
        <v>0</v>
      </c>
      <c r="F803" s="13"/>
      <c r="G803" s="13"/>
    </row>
    <row r="804" ht="15.75" customHeight="1">
      <c r="A804" s="13"/>
      <c r="B804" s="13"/>
      <c r="C804" s="9">
        <f>IFERROR(SUMIF(ENTRADAS!A:A,A804,ENTRADAS!C:C))</f>
        <v>0</v>
      </c>
      <c r="D804" s="10">
        <f>SUMIF(SALIDAS!A:A,A804,SALIDAS!C:C)</f>
        <v>0</v>
      </c>
      <c r="E804" s="10">
        <f t="shared" si="2"/>
        <v>0</v>
      </c>
      <c r="F804" s="13"/>
      <c r="G804" s="13"/>
    </row>
    <row r="805" ht="15.75" customHeight="1">
      <c r="A805" s="13"/>
      <c r="B805" s="13"/>
      <c r="C805" s="9">
        <f>IFERROR(SUMIF(ENTRADAS!A:A,A805,ENTRADAS!C:C))</f>
        <v>0</v>
      </c>
      <c r="D805" s="10">
        <f>SUMIF(SALIDAS!A:A,A805,SALIDAS!C:C)</f>
        <v>0</v>
      </c>
      <c r="E805" s="10">
        <f t="shared" si="2"/>
        <v>0</v>
      </c>
      <c r="F805" s="13"/>
      <c r="G805" s="13"/>
    </row>
    <row r="806" ht="15.75" customHeight="1">
      <c r="A806" s="13"/>
      <c r="B806" s="13"/>
      <c r="C806" s="9">
        <f>IFERROR(SUMIF(ENTRADAS!A:A,A806,ENTRADAS!C:C))</f>
        <v>0</v>
      </c>
      <c r="D806" s="10">
        <f>SUMIF(SALIDAS!A:A,A806,SALIDAS!C:C)</f>
        <v>0</v>
      </c>
      <c r="E806" s="10">
        <f t="shared" si="2"/>
        <v>0</v>
      </c>
      <c r="F806" s="13"/>
      <c r="G806" s="13"/>
    </row>
    <row r="807" ht="15.75" customHeight="1">
      <c r="A807" s="13"/>
      <c r="B807" s="13"/>
      <c r="C807" s="9">
        <f>IFERROR(SUMIF(ENTRADAS!A:A,A807,ENTRADAS!C:C))</f>
        <v>0</v>
      </c>
      <c r="D807" s="10">
        <f>SUMIF(SALIDAS!A:A,A807,SALIDAS!C:C)</f>
        <v>0</v>
      </c>
      <c r="E807" s="10">
        <f t="shared" si="2"/>
        <v>0</v>
      </c>
      <c r="F807" s="13"/>
      <c r="G807" s="13"/>
    </row>
    <row r="808" ht="15.75" customHeight="1">
      <c r="A808" s="13"/>
      <c r="B808" s="13"/>
      <c r="C808" s="9">
        <f>IFERROR(SUMIF(ENTRADAS!A:A,A808,ENTRADAS!C:C))</f>
        <v>0</v>
      </c>
      <c r="D808" s="10">
        <f>SUMIF(SALIDAS!A:A,A808,SALIDAS!C:C)</f>
        <v>0</v>
      </c>
      <c r="E808" s="10">
        <f t="shared" si="2"/>
        <v>0</v>
      </c>
      <c r="F808" s="13"/>
      <c r="G808" s="13"/>
    </row>
    <row r="809" ht="15.75" customHeight="1">
      <c r="A809" s="13"/>
      <c r="B809" s="13"/>
      <c r="C809" s="9">
        <f>IFERROR(SUMIF(ENTRADAS!A:A,A809,ENTRADAS!C:C))</f>
        <v>0</v>
      </c>
      <c r="D809" s="10">
        <f>SUMIF(SALIDAS!A:A,A809,SALIDAS!C:C)</f>
        <v>0</v>
      </c>
      <c r="E809" s="10">
        <f t="shared" si="2"/>
        <v>0</v>
      </c>
      <c r="F809" s="13"/>
      <c r="G809" s="13"/>
    </row>
    <row r="810" ht="15.75" customHeight="1">
      <c r="A810" s="13"/>
      <c r="B810" s="13"/>
      <c r="C810" s="9">
        <f>IFERROR(SUMIF(ENTRADAS!A:A,A810,ENTRADAS!C:C))</f>
        <v>0</v>
      </c>
      <c r="D810" s="10">
        <f>SUMIF(SALIDAS!A:A,A810,SALIDAS!C:C)</f>
        <v>0</v>
      </c>
      <c r="E810" s="10">
        <f t="shared" si="2"/>
        <v>0</v>
      </c>
      <c r="F810" s="13"/>
      <c r="G810" s="13"/>
    </row>
    <row r="811" ht="15.75" customHeight="1">
      <c r="A811" s="13"/>
      <c r="B811" s="13"/>
      <c r="C811" s="9">
        <f>IFERROR(SUMIF(ENTRADAS!A:A,A811,ENTRADAS!C:C))</f>
        <v>0</v>
      </c>
      <c r="D811" s="10">
        <f>SUMIF(SALIDAS!A:A,A811,SALIDAS!C:C)</f>
        <v>0</v>
      </c>
      <c r="E811" s="10">
        <f t="shared" si="2"/>
        <v>0</v>
      </c>
      <c r="F811" s="13"/>
      <c r="G811" s="13"/>
    </row>
    <row r="812" ht="15.75" customHeight="1">
      <c r="A812" s="13"/>
      <c r="B812" s="13"/>
      <c r="C812" s="9">
        <f>IFERROR(SUMIF(ENTRADAS!A:A,A812,ENTRADAS!C:C))</f>
        <v>0</v>
      </c>
      <c r="D812" s="10">
        <f>SUMIF(SALIDAS!A:A,A812,SALIDAS!C:C)</f>
        <v>0</v>
      </c>
      <c r="E812" s="10">
        <f t="shared" si="2"/>
        <v>0</v>
      </c>
      <c r="F812" s="13"/>
      <c r="G812" s="13"/>
    </row>
    <row r="813" ht="15.75" customHeight="1">
      <c r="A813" s="13"/>
      <c r="B813" s="13"/>
      <c r="C813" s="9">
        <f>IFERROR(SUMIF(ENTRADAS!A:A,A813,ENTRADAS!C:C))</f>
        <v>0</v>
      </c>
      <c r="D813" s="10">
        <f>SUMIF(SALIDAS!A:A,A813,SALIDAS!C:C)</f>
        <v>0</v>
      </c>
      <c r="E813" s="10">
        <f t="shared" si="2"/>
        <v>0</v>
      </c>
      <c r="F813" s="13"/>
      <c r="G813" s="13"/>
    </row>
    <row r="814" ht="15.75" customHeight="1">
      <c r="A814" s="13"/>
      <c r="B814" s="13"/>
      <c r="C814" s="9">
        <f>IFERROR(SUMIF(ENTRADAS!A:A,A814,ENTRADAS!C:C))</f>
        <v>0</v>
      </c>
      <c r="D814" s="10">
        <f>SUMIF(SALIDAS!A:A,A814,SALIDAS!C:C)</f>
        <v>0</v>
      </c>
      <c r="E814" s="10">
        <f t="shared" si="2"/>
        <v>0</v>
      </c>
      <c r="F814" s="13"/>
      <c r="G814" s="13"/>
    </row>
    <row r="815" ht="15.75" customHeight="1">
      <c r="A815" s="13"/>
      <c r="B815" s="13"/>
      <c r="C815" s="9">
        <f>IFERROR(SUMIF(ENTRADAS!A:A,A815,ENTRADAS!C:C))</f>
        <v>0</v>
      </c>
      <c r="D815" s="10">
        <f>SUMIF(SALIDAS!A:A,A815,SALIDAS!C:C)</f>
        <v>0</v>
      </c>
      <c r="E815" s="10">
        <f t="shared" si="2"/>
        <v>0</v>
      </c>
      <c r="F815" s="13"/>
      <c r="G815" s="13"/>
    </row>
    <row r="816" ht="15.75" customHeight="1">
      <c r="A816" s="13"/>
      <c r="B816" s="13"/>
      <c r="C816" s="9">
        <f>IFERROR(SUMIF(ENTRADAS!A:A,A816,ENTRADAS!C:C))</f>
        <v>0</v>
      </c>
      <c r="D816" s="10">
        <f>SUMIF(SALIDAS!A:A,A816,SALIDAS!C:C)</f>
        <v>0</v>
      </c>
      <c r="E816" s="10">
        <f t="shared" si="2"/>
        <v>0</v>
      </c>
      <c r="F816" s="13"/>
      <c r="G816" s="13"/>
    </row>
    <row r="817" ht="15.75" customHeight="1">
      <c r="A817" s="13"/>
      <c r="B817" s="13"/>
      <c r="C817" s="9">
        <f>IFERROR(SUMIF(ENTRADAS!A:A,A817,ENTRADAS!C:C))</f>
        <v>0</v>
      </c>
      <c r="D817" s="10">
        <f>SUMIF(SALIDAS!A:A,A817,SALIDAS!C:C)</f>
        <v>0</v>
      </c>
      <c r="E817" s="10">
        <f t="shared" si="2"/>
        <v>0</v>
      </c>
      <c r="F817" s="13"/>
      <c r="G817" s="13"/>
    </row>
    <row r="818" ht="15.75" customHeight="1">
      <c r="A818" s="13"/>
      <c r="B818" s="13"/>
      <c r="C818" s="9">
        <f>IFERROR(SUMIF(ENTRADAS!A:A,A818,ENTRADAS!C:C))</f>
        <v>0</v>
      </c>
      <c r="D818" s="10">
        <f>SUMIF(SALIDAS!A:A,A818,SALIDAS!C:C)</f>
        <v>0</v>
      </c>
      <c r="E818" s="10">
        <f t="shared" si="2"/>
        <v>0</v>
      </c>
      <c r="F818" s="13"/>
      <c r="G818" s="13"/>
    </row>
    <row r="819" ht="15.75" customHeight="1">
      <c r="A819" s="13"/>
      <c r="B819" s="13"/>
      <c r="C819" s="9">
        <f>IFERROR(SUMIF(ENTRADAS!A:A,A819,ENTRADAS!C:C))</f>
        <v>0</v>
      </c>
      <c r="D819" s="10">
        <f>SUMIF(SALIDAS!A:A,A819,SALIDAS!C:C)</f>
        <v>0</v>
      </c>
      <c r="E819" s="10">
        <f t="shared" si="2"/>
        <v>0</v>
      </c>
      <c r="F819" s="13"/>
      <c r="G819" s="13"/>
    </row>
    <row r="820" ht="15.75" customHeight="1">
      <c r="A820" s="13"/>
      <c r="B820" s="13"/>
      <c r="C820" s="9">
        <f>IFERROR(SUMIF(ENTRADAS!A:A,A820,ENTRADAS!C:C))</f>
        <v>0</v>
      </c>
      <c r="D820" s="10">
        <f>SUMIF(SALIDAS!A:A,A820,SALIDAS!C:C)</f>
        <v>0</v>
      </c>
      <c r="E820" s="10">
        <f t="shared" si="2"/>
        <v>0</v>
      </c>
      <c r="F820" s="13"/>
      <c r="G820" s="13"/>
    </row>
    <row r="821" ht="15.75" customHeight="1">
      <c r="A821" s="13"/>
      <c r="B821" s="13"/>
      <c r="C821" s="9">
        <f>IFERROR(SUMIF(ENTRADAS!A:A,A821,ENTRADAS!C:C))</f>
        <v>0</v>
      </c>
      <c r="D821" s="10">
        <f>SUMIF(SALIDAS!A:A,A821,SALIDAS!C:C)</f>
        <v>0</v>
      </c>
      <c r="E821" s="10">
        <f t="shared" si="2"/>
        <v>0</v>
      </c>
      <c r="F821" s="13"/>
      <c r="G821" s="13"/>
    </row>
    <row r="822" ht="15.75" customHeight="1">
      <c r="A822" s="13"/>
      <c r="B822" s="13"/>
      <c r="C822" s="9">
        <f>IFERROR(SUMIF(ENTRADAS!A:A,A822,ENTRADAS!C:C))</f>
        <v>0</v>
      </c>
      <c r="D822" s="10">
        <f>SUMIF(SALIDAS!A:A,A822,SALIDAS!C:C)</f>
        <v>0</v>
      </c>
      <c r="E822" s="10">
        <f t="shared" si="2"/>
        <v>0</v>
      </c>
      <c r="F822" s="13"/>
      <c r="G822" s="13"/>
    </row>
    <row r="823" ht="15.75" customHeight="1">
      <c r="A823" s="13"/>
      <c r="B823" s="13"/>
      <c r="C823" s="9">
        <f>IFERROR(SUMIF(ENTRADAS!A:A,A823,ENTRADAS!C:C))</f>
        <v>0</v>
      </c>
      <c r="D823" s="10">
        <f>SUMIF(SALIDAS!A:A,A823,SALIDAS!C:C)</f>
        <v>0</v>
      </c>
      <c r="E823" s="10">
        <f t="shared" si="2"/>
        <v>0</v>
      </c>
      <c r="F823" s="13"/>
      <c r="G823" s="13"/>
    </row>
    <row r="824" ht="15.75" customHeight="1">
      <c r="A824" s="13"/>
      <c r="B824" s="13"/>
      <c r="C824" s="9">
        <f>IFERROR(SUMIF(ENTRADAS!A:A,A824,ENTRADAS!C:C))</f>
        <v>0</v>
      </c>
      <c r="D824" s="10">
        <f>SUMIF(SALIDAS!A:A,A824,SALIDAS!C:C)</f>
        <v>0</v>
      </c>
      <c r="E824" s="10">
        <f t="shared" si="2"/>
        <v>0</v>
      </c>
      <c r="F824" s="13"/>
      <c r="G824" s="13"/>
    </row>
    <row r="825" ht="15.75" customHeight="1">
      <c r="A825" s="13"/>
      <c r="B825" s="13"/>
      <c r="C825" s="9">
        <f>IFERROR(SUMIF(ENTRADAS!A:A,A825,ENTRADAS!C:C))</f>
        <v>0</v>
      </c>
      <c r="D825" s="10">
        <f>SUMIF(SALIDAS!A:A,A825,SALIDAS!C:C)</f>
        <v>0</v>
      </c>
      <c r="E825" s="10">
        <f t="shared" si="2"/>
        <v>0</v>
      </c>
      <c r="F825" s="13"/>
      <c r="G825" s="13"/>
    </row>
    <row r="826" ht="15.75" customHeight="1">
      <c r="A826" s="13"/>
      <c r="B826" s="13"/>
      <c r="C826" s="9">
        <f>IFERROR(SUMIF(ENTRADAS!A:A,A826,ENTRADAS!C:C))</f>
        <v>0</v>
      </c>
      <c r="D826" s="10">
        <f>SUMIF(SALIDAS!A:A,A826,SALIDAS!C:C)</f>
        <v>0</v>
      </c>
      <c r="E826" s="10">
        <f t="shared" si="2"/>
        <v>0</v>
      </c>
      <c r="F826" s="13"/>
      <c r="G826" s="13"/>
    </row>
    <row r="827" ht="15.75" customHeight="1">
      <c r="A827" s="13"/>
      <c r="B827" s="13"/>
      <c r="C827" s="9">
        <f>IFERROR(SUMIF(ENTRADAS!A:A,A827,ENTRADAS!C:C))</f>
        <v>0</v>
      </c>
      <c r="D827" s="10">
        <f>SUMIF(SALIDAS!A:A,A827,SALIDAS!C:C)</f>
        <v>0</v>
      </c>
      <c r="E827" s="10">
        <f t="shared" si="2"/>
        <v>0</v>
      </c>
      <c r="F827" s="13"/>
      <c r="G827" s="13"/>
    </row>
    <row r="828" ht="15.75" customHeight="1">
      <c r="A828" s="13"/>
      <c r="B828" s="13"/>
      <c r="C828" s="9">
        <f>IFERROR(SUMIF(ENTRADAS!A:A,A828,ENTRADAS!C:C))</f>
        <v>0</v>
      </c>
      <c r="D828" s="10">
        <f>SUMIF(SALIDAS!A:A,A828,SALIDAS!C:C)</f>
        <v>0</v>
      </c>
      <c r="E828" s="10">
        <f t="shared" si="2"/>
        <v>0</v>
      </c>
      <c r="F828" s="13"/>
      <c r="G828" s="13"/>
    </row>
    <row r="829" ht="15.75" customHeight="1">
      <c r="A829" s="13"/>
      <c r="B829" s="13"/>
      <c r="C829" s="9">
        <f>IFERROR(SUMIF(ENTRADAS!A:A,A829,ENTRADAS!C:C))</f>
        <v>0</v>
      </c>
      <c r="D829" s="10">
        <f>SUMIF(SALIDAS!A:A,A829,SALIDAS!C:C)</f>
        <v>0</v>
      </c>
      <c r="E829" s="10">
        <f t="shared" si="2"/>
        <v>0</v>
      </c>
      <c r="F829" s="13"/>
      <c r="G829" s="13"/>
    </row>
    <row r="830" ht="15.75" customHeight="1">
      <c r="A830" s="13"/>
      <c r="B830" s="13"/>
      <c r="C830" s="9">
        <f>IFERROR(SUMIF(ENTRADAS!A:A,A830,ENTRADAS!C:C))</f>
        <v>0</v>
      </c>
      <c r="D830" s="10">
        <f>SUMIF(SALIDAS!A:A,A830,SALIDAS!C:C)</f>
        <v>0</v>
      </c>
      <c r="E830" s="10">
        <f t="shared" si="2"/>
        <v>0</v>
      </c>
      <c r="F830" s="13"/>
      <c r="G830" s="13"/>
    </row>
    <row r="831" ht="15.75" customHeight="1">
      <c r="A831" s="13"/>
      <c r="B831" s="13"/>
      <c r="C831" s="9">
        <f>IFERROR(SUMIF(ENTRADAS!A:A,A831,ENTRADAS!C:C))</f>
        <v>0</v>
      </c>
      <c r="D831" s="10">
        <f>SUMIF(SALIDAS!A:A,A831,SALIDAS!C:C)</f>
        <v>0</v>
      </c>
      <c r="E831" s="10">
        <f t="shared" si="2"/>
        <v>0</v>
      </c>
      <c r="F831" s="13"/>
      <c r="G831" s="13"/>
    </row>
    <row r="832" ht="15.75" customHeight="1">
      <c r="A832" s="13"/>
      <c r="B832" s="13"/>
      <c r="C832" s="9">
        <f>IFERROR(SUMIF(ENTRADAS!A:A,A832,ENTRADAS!C:C))</f>
        <v>0</v>
      </c>
      <c r="D832" s="10">
        <f>SUMIF(SALIDAS!A:A,A832,SALIDAS!C:C)</f>
        <v>0</v>
      </c>
      <c r="E832" s="10">
        <f t="shared" si="2"/>
        <v>0</v>
      </c>
      <c r="F832" s="13"/>
      <c r="G832" s="13"/>
    </row>
    <row r="833" ht="15.75" customHeight="1">
      <c r="A833" s="13"/>
      <c r="B833" s="13"/>
      <c r="C833" s="9">
        <f>IFERROR(SUMIF(ENTRADAS!A:A,A833,ENTRADAS!C:C))</f>
        <v>0</v>
      </c>
      <c r="D833" s="10">
        <f>SUMIF(SALIDAS!A:A,A833,SALIDAS!C:C)</f>
        <v>0</v>
      </c>
      <c r="E833" s="10">
        <f t="shared" si="2"/>
        <v>0</v>
      </c>
      <c r="F833" s="13"/>
      <c r="G833" s="13"/>
    </row>
    <row r="834" ht="15.75" customHeight="1">
      <c r="A834" s="13"/>
      <c r="B834" s="13"/>
      <c r="C834" s="9">
        <f>IFERROR(SUMIF(ENTRADAS!A:A,A834,ENTRADAS!C:C))</f>
        <v>0</v>
      </c>
      <c r="D834" s="10">
        <f>SUMIF(SALIDAS!A:A,A834,SALIDAS!C:C)</f>
        <v>0</v>
      </c>
      <c r="E834" s="10">
        <f t="shared" si="2"/>
        <v>0</v>
      </c>
      <c r="F834" s="13"/>
      <c r="G834" s="13"/>
    </row>
    <row r="835" ht="15.75" customHeight="1">
      <c r="A835" s="13"/>
      <c r="B835" s="13"/>
      <c r="C835" s="9">
        <f>IFERROR(SUMIF(ENTRADAS!A:A,A835,ENTRADAS!C:C))</f>
        <v>0</v>
      </c>
      <c r="D835" s="10">
        <f>SUMIF(SALIDAS!A:A,A835,SALIDAS!C:C)</f>
        <v>0</v>
      </c>
      <c r="E835" s="10">
        <f t="shared" si="2"/>
        <v>0</v>
      </c>
      <c r="F835" s="13"/>
      <c r="G835" s="13"/>
    </row>
    <row r="836" ht="15.75" customHeight="1">
      <c r="A836" s="13"/>
      <c r="B836" s="13"/>
      <c r="C836" s="9">
        <f>IFERROR(SUMIF(ENTRADAS!A:A,A836,ENTRADAS!C:C))</f>
        <v>0</v>
      </c>
      <c r="D836" s="10">
        <f>SUMIF(SALIDAS!A:A,A836,SALIDAS!C:C)</f>
        <v>0</v>
      </c>
      <c r="E836" s="10">
        <f t="shared" si="2"/>
        <v>0</v>
      </c>
      <c r="F836" s="13"/>
      <c r="G836" s="13"/>
    </row>
    <row r="837" ht="15.75" customHeight="1">
      <c r="A837" s="13"/>
      <c r="B837" s="13"/>
      <c r="C837" s="9">
        <f>IFERROR(SUMIF(ENTRADAS!A:A,A837,ENTRADAS!C:C))</f>
        <v>0</v>
      </c>
      <c r="D837" s="10">
        <f>SUMIF(SALIDAS!A:A,A837,SALIDAS!C:C)</f>
        <v>0</v>
      </c>
      <c r="E837" s="10">
        <f t="shared" si="2"/>
        <v>0</v>
      </c>
      <c r="F837" s="13"/>
      <c r="G837" s="13"/>
    </row>
    <row r="838" ht="15.75" customHeight="1">
      <c r="A838" s="13"/>
      <c r="B838" s="13"/>
      <c r="C838" s="9">
        <f>IFERROR(SUMIF(ENTRADAS!A:A,A838,ENTRADAS!C:C))</f>
        <v>0</v>
      </c>
      <c r="D838" s="10">
        <f>SUMIF(SALIDAS!A:A,A838,SALIDAS!C:C)</f>
        <v>0</v>
      </c>
      <c r="E838" s="10">
        <f t="shared" si="2"/>
        <v>0</v>
      </c>
      <c r="F838" s="13"/>
      <c r="G838" s="13"/>
    </row>
    <row r="839" ht="15.75" customHeight="1">
      <c r="A839" s="13"/>
      <c r="B839" s="13"/>
      <c r="C839" s="9">
        <f>IFERROR(SUMIF(ENTRADAS!A:A,A839,ENTRADAS!C:C))</f>
        <v>0</v>
      </c>
      <c r="D839" s="10">
        <f>SUMIF(SALIDAS!A:A,A839,SALIDAS!C:C)</f>
        <v>0</v>
      </c>
      <c r="E839" s="10">
        <f t="shared" si="2"/>
        <v>0</v>
      </c>
      <c r="F839" s="13"/>
      <c r="G839" s="13"/>
    </row>
    <row r="840" ht="15.75" customHeight="1">
      <c r="A840" s="13"/>
      <c r="B840" s="13"/>
      <c r="C840" s="9">
        <f>IFERROR(SUMIF(ENTRADAS!A:A,A840,ENTRADAS!C:C))</f>
        <v>0</v>
      </c>
      <c r="D840" s="10">
        <f>SUMIF(SALIDAS!A:A,A840,SALIDAS!C:C)</f>
        <v>0</v>
      </c>
      <c r="E840" s="10">
        <f t="shared" si="2"/>
        <v>0</v>
      </c>
      <c r="F840" s="13"/>
      <c r="G840" s="13"/>
    </row>
    <row r="841" ht="15.75" customHeight="1">
      <c r="A841" s="13"/>
      <c r="B841" s="13"/>
      <c r="C841" s="9">
        <f>IFERROR(SUMIF(ENTRADAS!A:A,A841,ENTRADAS!C:C))</f>
        <v>0</v>
      </c>
      <c r="D841" s="10">
        <f>SUMIF(SALIDAS!A:A,A841,SALIDAS!C:C)</f>
        <v>0</v>
      </c>
      <c r="E841" s="10">
        <f t="shared" si="2"/>
        <v>0</v>
      </c>
      <c r="F841" s="13"/>
      <c r="G841" s="13"/>
    </row>
    <row r="842" ht="15.75" customHeight="1">
      <c r="A842" s="13"/>
      <c r="B842" s="13"/>
      <c r="C842" s="9">
        <f>IFERROR(SUMIF(ENTRADAS!A:A,A842,ENTRADAS!C:C))</f>
        <v>0</v>
      </c>
      <c r="D842" s="10">
        <f>SUMIF(SALIDAS!A:A,A842,SALIDAS!C:C)</f>
        <v>0</v>
      </c>
      <c r="E842" s="10">
        <f t="shared" si="2"/>
        <v>0</v>
      </c>
      <c r="F842" s="13"/>
      <c r="G842" s="13"/>
    </row>
    <row r="843" ht="15.75" customHeight="1">
      <c r="A843" s="13"/>
      <c r="B843" s="13"/>
      <c r="C843" s="9">
        <f>IFERROR(SUMIF(ENTRADAS!A:A,A843,ENTRADAS!C:C))</f>
        <v>0</v>
      </c>
      <c r="D843" s="10">
        <f>SUMIF(SALIDAS!A:A,A843,SALIDAS!C:C)</f>
        <v>0</v>
      </c>
      <c r="E843" s="10">
        <f t="shared" si="2"/>
        <v>0</v>
      </c>
      <c r="F843" s="13"/>
      <c r="G843" s="13"/>
    </row>
    <row r="844" ht="15.75" customHeight="1">
      <c r="A844" s="13"/>
      <c r="B844" s="13"/>
      <c r="C844" s="9">
        <f>IFERROR(SUMIF(ENTRADAS!A:A,A844,ENTRADAS!C:C))</f>
        <v>0</v>
      </c>
      <c r="D844" s="10">
        <f>SUMIF(SALIDAS!A:A,A844,SALIDAS!C:C)</f>
        <v>0</v>
      </c>
      <c r="E844" s="10">
        <f t="shared" si="2"/>
        <v>0</v>
      </c>
      <c r="F844" s="13"/>
      <c r="G844" s="13"/>
    </row>
    <row r="845" ht="15.75" customHeight="1">
      <c r="A845" s="13"/>
      <c r="B845" s="13"/>
      <c r="C845" s="9">
        <f>IFERROR(SUMIF(ENTRADAS!A:A,A845,ENTRADAS!C:C))</f>
        <v>0</v>
      </c>
      <c r="D845" s="10">
        <f>SUMIF(SALIDAS!A:A,A845,SALIDAS!C:C)</f>
        <v>0</v>
      </c>
      <c r="E845" s="10">
        <f t="shared" si="2"/>
        <v>0</v>
      </c>
      <c r="F845" s="13"/>
      <c r="G845" s="13"/>
    </row>
    <row r="846" ht="15.75" customHeight="1">
      <c r="A846" s="13"/>
      <c r="B846" s="13"/>
      <c r="C846" s="9">
        <f>IFERROR(SUMIF(ENTRADAS!A:A,A846,ENTRADAS!C:C))</f>
        <v>0</v>
      </c>
      <c r="D846" s="10">
        <f>SUMIF(SALIDAS!A:A,A846,SALIDAS!C:C)</f>
        <v>0</v>
      </c>
      <c r="E846" s="10">
        <f t="shared" si="2"/>
        <v>0</v>
      </c>
      <c r="F846" s="13"/>
      <c r="G846" s="13"/>
    </row>
    <row r="847" ht="15.75" customHeight="1">
      <c r="A847" s="13"/>
      <c r="B847" s="13"/>
      <c r="C847" s="9">
        <f>IFERROR(SUMIF(ENTRADAS!A:A,A847,ENTRADAS!C:C))</f>
        <v>0</v>
      </c>
      <c r="D847" s="10">
        <f>SUMIF(SALIDAS!A:A,A847,SALIDAS!C:C)</f>
        <v>0</v>
      </c>
      <c r="E847" s="10">
        <f t="shared" si="2"/>
        <v>0</v>
      </c>
      <c r="F847" s="13"/>
      <c r="G847" s="13"/>
    </row>
    <row r="848" ht="15.75" customHeight="1">
      <c r="A848" s="13"/>
      <c r="B848" s="13"/>
      <c r="C848" s="9">
        <f>IFERROR(SUMIF(ENTRADAS!A:A,A848,ENTRADAS!C:C))</f>
        <v>0</v>
      </c>
      <c r="D848" s="10">
        <f>SUMIF(SALIDAS!A:A,A848,SALIDAS!C:C)</f>
        <v>0</v>
      </c>
      <c r="E848" s="10">
        <f t="shared" si="2"/>
        <v>0</v>
      </c>
      <c r="F848" s="13"/>
      <c r="G848" s="13"/>
    </row>
    <row r="849" ht="15.75" customHeight="1">
      <c r="A849" s="13"/>
      <c r="B849" s="13"/>
      <c r="C849" s="9">
        <f>IFERROR(SUMIF(ENTRADAS!A:A,A849,ENTRADAS!C:C))</f>
        <v>0</v>
      </c>
      <c r="D849" s="10">
        <f>SUMIF(SALIDAS!A:A,A849,SALIDAS!C:C)</f>
        <v>0</v>
      </c>
      <c r="E849" s="10">
        <f t="shared" si="2"/>
        <v>0</v>
      </c>
      <c r="F849" s="13"/>
      <c r="G849" s="13"/>
    </row>
    <row r="850" ht="15.75" customHeight="1">
      <c r="A850" s="13"/>
      <c r="B850" s="13"/>
      <c r="C850" s="9">
        <f>IFERROR(SUMIF(ENTRADAS!A:A,A850,ENTRADAS!C:C))</f>
        <v>0</v>
      </c>
      <c r="D850" s="10">
        <f>SUMIF(SALIDAS!A:A,A850,SALIDAS!C:C)</f>
        <v>0</v>
      </c>
      <c r="E850" s="10">
        <f t="shared" si="2"/>
        <v>0</v>
      </c>
      <c r="F850" s="13"/>
      <c r="G850" s="13"/>
    </row>
    <row r="851" ht="15.75" customHeight="1">
      <c r="A851" s="13"/>
      <c r="B851" s="13"/>
      <c r="C851" s="9">
        <f>IFERROR(SUMIF(ENTRADAS!A:A,A851,ENTRADAS!C:C))</f>
        <v>0</v>
      </c>
      <c r="D851" s="10">
        <f>SUMIF(SALIDAS!A:A,A851,SALIDAS!C:C)</f>
        <v>0</v>
      </c>
      <c r="E851" s="10">
        <f t="shared" si="2"/>
        <v>0</v>
      </c>
      <c r="F851" s="13"/>
      <c r="G851" s="13"/>
    </row>
    <row r="852" ht="15.75" customHeight="1">
      <c r="A852" s="13"/>
      <c r="B852" s="13"/>
      <c r="C852" s="9">
        <f>IFERROR(SUMIF(ENTRADAS!A:A,A852,ENTRADAS!C:C))</f>
        <v>0</v>
      </c>
      <c r="D852" s="10">
        <f>SUMIF(SALIDAS!A:A,A852,SALIDAS!C:C)</f>
        <v>0</v>
      </c>
      <c r="E852" s="10">
        <f t="shared" si="2"/>
        <v>0</v>
      </c>
      <c r="F852" s="13"/>
      <c r="G852" s="13"/>
    </row>
    <row r="853" ht="15.75" customHeight="1">
      <c r="A853" s="13"/>
      <c r="B853" s="13"/>
      <c r="C853" s="9">
        <f>IFERROR(SUMIF(ENTRADAS!A:A,A853,ENTRADAS!C:C))</f>
        <v>0</v>
      </c>
      <c r="D853" s="10">
        <f>SUMIF(SALIDAS!A:A,A853,SALIDAS!C:C)</f>
        <v>0</v>
      </c>
      <c r="E853" s="10">
        <f t="shared" si="2"/>
        <v>0</v>
      </c>
      <c r="F853" s="13"/>
      <c r="G853" s="13"/>
    </row>
    <row r="854" ht="15.75" customHeight="1">
      <c r="A854" s="13"/>
      <c r="B854" s="13"/>
      <c r="C854" s="9">
        <f>IFERROR(SUMIF(ENTRADAS!A:A,A854,ENTRADAS!C:C))</f>
        <v>0</v>
      </c>
      <c r="D854" s="10">
        <f>SUMIF(SALIDAS!A:A,A854,SALIDAS!C:C)</f>
        <v>0</v>
      </c>
      <c r="E854" s="10">
        <f t="shared" si="2"/>
        <v>0</v>
      </c>
      <c r="F854" s="13"/>
      <c r="G854" s="13"/>
    </row>
    <row r="855" ht="15.75" customHeight="1">
      <c r="A855" s="13"/>
      <c r="B855" s="13"/>
      <c r="C855" s="9">
        <f>IFERROR(SUMIF(ENTRADAS!A:A,A855,ENTRADAS!C:C))</f>
        <v>0</v>
      </c>
      <c r="D855" s="10">
        <f>SUMIF(SALIDAS!A:A,A855,SALIDAS!C:C)</f>
        <v>0</v>
      </c>
      <c r="E855" s="10">
        <f t="shared" si="2"/>
        <v>0</v>
      </c>
      <c r="F855" s="13"/>
      <c r="G855" s="13"/>
    </row>
    <row r="856" ht="15.75" customHeight="1">
      <c r="A856" s="13"/>
      <c r="B856" s="13"/>
      <c r="C856" s="9">
        <f>IFERROR(SUMIF(ENTRADAS!A:A,A856,ENTRADAS!C:C))</f>
        <v>0</v>
      </c>
      <c r="D856" s="10">
        <f>SUMIF(SALIDAS!A:A,A856,SALIDAS!C:C)</f>
        <v>0</v>
      </c>
      <c r="E856" s="10">
        <f t="shared" si="2"/>
        <v>0</v>
      </c>
      <c r="F856" s="13"/>
      <c r="G856" s="13"/>
    </row>
    <row r="857" ht="15.75" customHeight="1">
      <c r="A857" s="13"/>
      <c r="B857" s="13"/>
      <c r="C857" s="9">
        <f>IFERROR(SUMIF(ENTRADAS!A:A,A857,ENTRADAS!C:C))</f>
        <v>0</v>
      </c>
      <c r="D857" s="10">
        <f>SUMIF(SALIDAS!A:A,A857,SALIDAS!C:C)</f>
        <v>0</v>
      </c>
      <c r="E857" s="10">
        <f t="shared" si="2"/>
        <v>0</v>
      </c>
      <c r="F857" s="13"/>
      <c r="G857" s="13"/>
    </row>
    <row r="858" ht="15.75" customHeight="1">
      <c r="A858" s="13"/>
      <c r="B858" s="13"/>
      <c r="C858" s="9">
        <f>IFERROR(SUMIF(ENTRADAS!A:A,A858,ENTRADAS!C:C))</f>
        <v>0</v>
      </c>
      <c r="D858" s="10">
        <f>SUMIF(SALIDAS!A:A,A858,SALIDAS!C:C)</f>
        <v>0</v>
      </c>
      <c r="E858" s="10">
        <f t="shared" si="2"/>
        <v>0</v>
      </c>
      <c r="F858" s="13"/>
      <c r="G858" s="13"/>
    </row>
    <row r="859" ht="15.75" customHeight="1">
      <c r="A859" s="13"/>
      <c r="B859" s="13"/>
      <c r="C859" s="9">
        <f>IFERROR(SUMIF(ENTRADAS!A:A,A859,ENTRADAS!C:C))</f>
        <v>0</v>
      </c>
      <c r="D859" s="10">
        <f>SUMIF(SALIDAS!A:A,A859,SALIDAS!C:C)</f>
        <v>0</v>
      </c>
      <c r="E859" s="10">
        <f t="shared" si="2"/>
        <v>0</v>
      </c>
      <c r="F859" s="13"/>
      <c r="G859" s="13"/>
    </row>
    <row r="860" ht="15.75" customHeight="1">
      <c r="A860" s="13"/>
      <c r="B860" s="13"/>
      <c r="C860" s="9">
        <f>IFERROR(SUMIF(ENTRADAS!A:A,A860,ENTRADAS!C:C))</f>
        <v>0</v>
      </c>
      <c r="D860" s="10">
        <f>SUMIF(SALIDAS!A:A,A860,SALIDAS!C:C)</f>
        <v>0</v>
      </c>
      <c r="E860" s="10">
        <f t="shared" si="2"/>
        <v>0</v>
      </c>
      <c r="F860" s="13"/>
      <c r="G860" s="13"/>
    </row>
    <row r="861" ht="15.75" customHeight="1">
      <c r="A861" s="13"/>
      <c r="B861" s="13"/>
      <c r="C861" s="9">
        <f>IFERROR(SUMIF(ENTRADAS!A:A,A861,ENTRADAS!C:C))</f>
        <v>0</v>
      </c>
      <c r="D861" s="10">
        <f>SUMIF(SALIDAS!A:A,A861,SALIDAS!C:C)</f>
        <v>0</v>
      </c>
      <c r="E861" s="10">
        <f t="shared" si="2"/>
        <v>0</v>
      </c>
      <c r="F861" s="13"/>
      <c r="G861" s="13"/>
    </row>
    <row r="862" ht="15.75" customHeight="1">
      <c r="A862" s="13"/>
      <c r="B862" s="13"/>
      <c r="C862" s="9">
        <f>IFERROR(SUMIF(ENTRADAS!A:A,A862,ENTRADAS!C:C))</f>
        <v>0</v>
      </c>
      <c r="D862" s="10">
        <f>SUMIF(SALIDAS!A:A,A862,SALIDAS!C:C)</f>
        <v>0</v>
      </c>
      <c r="E862" s="10">
        <f t="shared" si="2"/>
        <v>0</v>
      </c>
      <c r="F862" s="13"/>
      <c r="G862" s="13"/>
    </row>
    <row r="863" ht="15.75" customHeight="1">
      <c r="A863" s="13"/>
      <c r="B863" s="13"/>
      <c r="C863" s="9">
        <f>IFERROR(SUMIF(ENTRADAS!A:A,A863,ENTRADAS!C:C))</f>
        <v>0</v>
      </c>
      <c r="D863" s="10">
        <f>SUMIF(SALIDAS!A:A,A863,SALIDAS!C:C)</f>
        <v>0</v>
      </c>
      <c r="E863" s="10">
        <f t="shared" si="2"/>
        <v>0</v>
      </c>
      <c r="F863" s="13"/>
      <c r="G863" s="13"/>
    </row>
    <row r="864" ht="15.75" customHeight="1">
      <c r="A864" s="13"/>
      <c r="B864" s="13"/>
      <c r="C864" s="9">
        <f>IFERROR(SUMIF(ENTRADAS!A:A,A864,ENTRADAS!C:C))</f>
        <v>0</v>
      </c>
      <c r="D864" s="10">
        <f>SUMIF(SALIDAS!A:A,A864,SALIDAS!C:C)</f>
        <v>0</v>
      </c>
      <c r="E864" s="10">
        <f t="shared" si="2"/>
        <v>0</v>
      </c>
      <c r="F864" s="13"/>
      <c r="G864" s="13"/>
    </row>
    <row r="865" ht="15.75" customHeight="1">
      <c r="A865" s="13"/>
      <c r="B865" s="13"/>
      <c r="C865" s="9">
        <f>IFERROR(SUMIF(ENTRADAS!A:A,A865,ENTRADAS!C:C))</f>
        <v>0</v>
      </c>
      <c r="D865" s="10">
        <f>SUMIF(SALIDAS!A:A,A865,SALIDAS!C:C)</f>
        <v>0</v>
      </c>
      <c r="E865" s="10">
        <f t="shared" si="2"/>
        <v>0</v>
      </c>
      <c r="F865" s="13"/>
      <c r="G865" s="13"/>
    </row>
    <row r="866" ht="15.75" customHeight="1">
      <c r="A866" s="13"/>
      <c r="B866" s="13"/>
      <c r="C866" s="9">
        <f>IFERROR(SUMIF(ENTRADAS!A:A,A866,ENTRADAS!C:C))</f>
        <v>0</v>
      </c>
      <c r="D866" s="10">
        <f>SUMIF(SALIDAS!A:A,A866,SALIDAS!C:C)</f>
        <v>0</v>
      </c>
      <c r="E866" s="10">
        <f t="shared" si="2"/>
        <v>0</v>
      </c>
      <c r="F866" s="13"/>
      <c r="G866" s="13"/>
    </row>
    <row r="867" ht="15.75" customHeight="1">
      <c r="A867" s="13"/>
      <c r="B867" s="13"/>
      <c r="C867" s="9">
        <f>IFERROR(SUMIF(ENTRADAS!A:A,A867,ENTRADAS!C:C))</f>
        <v>0</v>
      </c>
      <c r="D867" s="10">
        <f>SUMIF(SALIDAS!A:A,A867,SALIDAS!C:C)</f>
        <v>0</v>
      </c>
      <c r="E867" s="10">
        <f t="shared" si="2"/>
        <v>0</v>
      </c>
      <c r="F867" s="13"/>
      <c r="G867" s="13"/>
    </row>
    <row r="868" ht="15.75" customHeight="1">
      <c r="A868" s="13"/>
      <c r="B868" s="13"/>
      <c r="C868" s="9">
        <f>IFERROR(SUMIF(ENTRADAS!A:A,A868,ENTRADAS!C:C))</f>
        <v>0</v>
      </c>
      <c r="D868" s="10">
        <f>SUMIF(SALIDAS!A:A,A868,SALIDAS!C:C)</f>
        <v>0</v>
      </c>
      <c r="E868" s="10">
        <f t="shared" si="2"/>
        <v>0</v>
      </c>
      <c r="F868" s="13"/>
      <c r="G868" s="13"/>
    </row>
    <row r="869" ht="15.75" customHeight="1">
      <c r="A869" s="13"/>
      <c r="B869" s="13"/>
      <c r="C869" s="9">
        <f>IFERROR(SUMIF(ENTRADAS!A:A,A869,ENTRADAS!C:C))</f>
        <v>0</v>
      </c>
      <c r="D869" s="10">
        <f>SUMIF(SALIDAS!A:A,A869,SALIDAS!C:C)</f>
        <v>0</v>
      </c>
      <c r="E869" s="10">
        <f t="shared" si="2"/>
        <v>0</v>
      </c>
      <c r="F869" s="13"/>
      <c r="G869" s="13"/>
    </row>
    <row r="870" ht="15.75" customHeight="1">
      <c r="A870" s="13"/>
      <c r="B870" s="13"/>
      <c r="C870" s="9">
        <f>IFERROR(SUMIF(ENTRADAS!A:A,A870,ENTRADAS!C:C))</f>
        <v>0</v>
      </c>
      <c r="D870" s="10">
        <f>SUMIF(SALIDAS!A:A,A870,SALIDAS!C:C)</f>
        <v>0</v>
      </c>
      <c r="E870" s="10">
        <f t="shared" si="2"/>
        <v>0</v>
      </c>
      <c r="F870" s="13"/>
      <c r="G870" s="13"/>
    </row>
    <row r="871" ht="15.75" customHeight="1">
      <c r="A871" s="13"/>
      <c r="B871" s="13"/>
      <c r="C871" s="9">
        <f>IFERROR(SUMIF(ENTRADAS!A:A,A871,ENTRADAS!C:C))</f>
        <v>0</v>
      </c>
      <c r="D871" s="10">
        <f>SUMIF(SALIDAS!A:A,A871,SALIDAS!C:C)</f>
        <v>0</v>
      </c>
      <c r="E871" s="10">
        <f t="shared" si="2"/>
        <v>0</v>
      </c>
      <c r="F871" s="13"/>
      <c r="G871" s="13"/>
    </row>
    <row r="872" ht="15.75" customHeight="1">
      <c r="A872" s="13"/>
      <c r="B872" s="13"/>
      <c r="C872" s="9">
        <f>IFERROR(SUMIF(ENTRADAS!A:A,A872,ENTRADAS!C:C))</f>
        <v>0</v>
      </c>
      <c r="D872" s="10">
        <f>SUMIF(SALIDAS!A:A,A872,SALIDAS!C:C)</f>
        <v>0</v>
      </c>
      <c r="E872" s="10">
        <f t="shared" si="2"/>
        <v>0</v>
      </c>
      <c r="F872" s="13"/>
      <c r="G872" s="13"/>
    </row>
    <row r="873" ht="15.75" customHeight="1">
      <c r="A873" s="13"/>
      <c r="B873" s="13"/>
      <c r="C873" s="9">
        <f>IFERROR(SUMIF(ENTRADAS!A:A,A873,ENTRADAS!C:C))</f>
        <v>0</v>
      </c>
      <c r="D873" s="10">
        <f>SUMIF(SALIDAS!A:A,A873,SALIDAS!C:C)</f>
        <v>0</v>
      </c>
      <c r="E873" s="10">
        <f t="shared" si="2"/>
        <v>0</v>
      </c>
      <c r="F873" s="13"/>
      <c r="G873" s="13"/>
    </row>
    <row r="874" ht="15.75" customHeight="1">
      <c r="A874" s="13"/>
      <c r="B874" s="13"/>
      <c r="C874" s="9">
        <f>IFERROR(SUMIF(ENTRADAS!A:A,A874,ENTRADAS!C:C))</f>
        <v>0</v>
      </c>
      <c r="D874" s="10">
        <f>SUMIF(SALIDAS!A:A,A874,SALIDAS!C:C)</f>
        <v>0</v>
      </c>
      <c r="E874" s="10">
        <f t="shared" si="2"/>
        <v>0</v>
      </c>
      <c r="F874" s="13"/>
      <c r="G874" s="13"/>
    </row>
    <row r="875" ht="15.75" customHeight="1">
      <c r="A875" s="13"/>
      <c r="B875" s="13"/>
      <c r="C875" s="9">
        <f>IFERROR(SUMIF(ENTRADAS!A:A,A875,ENTRADAS!C:C))</f>
        <v>0</v>
      </c>
      <c r="D875" s="10">
        <f>SUMIF(SALIDAS!A:A,A875,SALIDAS!C:C)</f>
        <v>0</v>
      </c>
      <c r="E875" s="10">
        <f t="shared" si="2"/>
        <v>0</v>
      </c>
      <c r="F875" s="13"/>
      <c r="G875" s="13"/>
    </row>
    <row r="876" ht="15.75" customHeight="1">
      <c r="A876" s="13"/>
      <c r="B876" s="13"/>
      <c r="C876" s="9">
        <f>IFERROR(SUMIF(ENTRADAS!A:A,A876,ENTRADAS!C:C))</f>
        <v>0</v>
      </c>
      <c r="D876" s="10">
        <f>SUMIF(SALIDAS!A:A,A876,SALIDAS!C:C)</f>
        <v>0</v>
      </c>
      <c r="E876" s="10">
        <f t="shared" si="2"/>
        <v>0</v>
      </c>
      <c r="F876" s="13"/>
      <c r="G876" s="13"/>
    </row>
    <row r="877" ht="15.75" customHeight="1">
      <c r="A877" s="13"/>
      <c r="B877" s="13"/>
      <c r="C877" s="9">
        <f>IFERROR(SUMIF(ENTRADAS!A:A,A877,ENTRADAS!C:C))</f>
        <v>0</v>
      </c>
      <c r="D877" s="10">
        <f>SUMIF(SALIDAS!A:A,A877,SALIDAS!C:C)</f>
        <v>0</v>
      </c>
      <c r="E877" s="10">
        <f t="shared" si="2"/>
        <v>0</v>
      </c>
      <c r="F877" s="13"/>
      <c r="G877" s="13"/>
    </row>
    <row r="878" ht="15.75" customHeight="1">
      <c r="A878" s="13"/>
      <c r="B878" s="13"/>
      <c r="C878" s="9">
        <f>IFERROR(SUMIF(ENTRADAS!A:A,A878,ENTRADAS!C:C))</f>
        <v>0</v>
      </c>
      <c r="D878" s="10">
        <f>SUMIF(SALIDAS!A:A,A878,SALIDAS!C:C)</f>
        <v>0</v>
      </c>
      <c r="E878" s="10">
        <f t="shared" si="2"/>
        <v>0</v>
      </c>
      <c r="F878" s="13"/>
      <c r="G878" s="13"/>
    </row>
    <row r="879" ht="15.75" customHeight="1">
      <c r="A879" s="13"/>
      <c r="B879" s="13"/>
      <c r="C879" s="9">
        <f>IFERROR(SUMIF(ENTRADAS!A:A,A879,ENTRADAS!C:C))</f>
        <v>0</v>
      </c>
      <c r="D879" s="10">
        <f>SUMIF(SALIDAS!A:A,A879,SALIDAS!C:C)</f>
        <v>0</v>
      </c>
      <c r="E879" s="10">
        <f t="shared" si="2"/>
        <v>0</v>
      </c>
      <c r="F879" s="13"/>
      <c r="G879" s="13"/>
    </row>
    <row r="880" ht="15.75" customHeight="1">
      <c r="A880" s="13"/>
      <c r="B880" s="13"/>
      <c r="C880" s="9">
        <f>IFERROR(SUMIF(ENTRADAS!A:A,A880,ENTRADAS!C:C))</f>
        <v>0</v>
      </c>
      <c r="D880" s="10">
        <f>SUMIF(SALIDAS!A:A,A880,SALIDAS!C:C)</f>
        <v>0</v>
      </c>
      <c r="E880" s="10">
        <f t="shared" si="2"/>
        <v>0</v>
      </c>
      <c r="F880" s="13"/>
      <c r="G880" s="13"/>
    </row>
    <row r="881" ht="15.75" customHeight="1">
      <c r="A881" s="13"/>
      <c r="B881" s="13"/>
      <c r="C881" s="9">
        <f>IFERROR(SUMIF(ENTRADAS!A:A,A881,ENTRADAS!C:C))</f>
        <v>0</v>
      </c>
      <c r="D881" s="10">
        <f>SUMIF(SALIDAS!A:A,A881,SALIDAS!C:C)</f>
        <v>0</v>
      </c>
      <c r="E881" s="10">
        <f t="shared" si="2"/>
        <v>0</v>
      </c>
      <c r="F881" s="13"/>
      <c r="G881" s="13"/>
    </row>
    <row r="882" ht="15.75" customHeight="1">
      <c r="A882" s="13"/>
      <c r="B882" s="13"/>
      <c r="C882" s="9">
        <f>IFERROR(SUMIF(ENTRADAS!A:A,A882,ENTRADAS!C:C))</f>
        <v>0</v>
      </c>
      <c r="D882" s="10">
        <f>SUMIF(SALIDAS!A:A,A882,SALIDAS!C:C)</f>
        <v>0</v>
      </c>
      <c r="E882" s="10">
        <f t="shared" si="2"/>
        <v>0</v>
      </c>
      <c r="F882" s="13"/>
      <c r="G882" s="13"/>
    </row>
    <row r="883" ht="15.75" customHeight="1">
      <c r="A883" s="13"/>
      <c r="B883" s="13"/>
      <c r="C883" s="9">
        <f>IFERROR(SUMIF(ENTRADAS!A:A,A883,ENTRADAS!C:C))</f>
        <v>0</v>
      </c>
      <c r="D883" s="10">
        <f>SUMIF(SALIDAS!A:A,A883,SALIDAS!C:C)</f>
        <v>0</v>
      </c>
      <c r="E883" s="10">
        <f t="shared" si="2"/>
        <v>0</v>
      </c>
      <c r="F883" s="13"/>
      <c r="G883" s="13"/>
    </row>
    <row r="884" ht="15.75" customHeight="1">
      <c r="A884" s="13"/>
      <c r="B884" s="13"/>
      <c r="C884" s="9">
        <f>IFERROR(SUMIF(ENTRADAS!A:A,A884,ENTRADAS!C:C))</f>
        <v>0</v>
      </c>
      <c r="D884" s="10">
        <f>SUMIF(SALIDAS!A:A,A884,SALIDAS!C:C)</f>
        <v>0</v>
      </c>
      <c r="E884" s="10">
        <f t="shared" si="2"/>
        <v>0</v>
      </c>
      <c r="F884" s="13"/>
      <c r="G884" s="13"/>
    </row>
    <row r="885" ht="15.75" customHeight="1">
      <c r="A885" s="13"/>
      <c r="B885" s="13"/>
      <c r="C885" s="9">
        <f>IFERROR(SUMIF(ENTRADAS!A:A,A885,ENTRADAS!C:C))</f>
        <v>0</v>
      </c>
      <c r="D885" s="10">
        <f>SUMIF(SALIDAS!A:A,A885,SALIDAS!C:C)</f>
        <v>0</v>
      </c>
      <c r="E885" s="10">
        <f t="shared" si="2"/>
        <v>0</v>
      </c>
      <c r="F885" s="13"/>
      <c r="G885" s="13"/>
    </row>
    <row r="886" ht="15.75" customHeight="1">
      <c r="A886" s="13"/>
      <c r="B886" s="13"/>
      <c r="C886" s="9">
        <f>IFERROR(SUMIF(ENTRADAS!A:A,A886,ENTRADAS!C:C))</f>
        <v>0</v>
      </c>
      <c r="D886" s="10">
        <f>SUMIF(SALIDAS!A:A,A886,SALIDAS!C:C)</f>
        <v>0</v>
      </c>
      <c r="E886" s="10">
        <f t="shared" si="2"/>
        <v>0</v>
      </c>
      <c r="F886" s="13"/>
      <c r="G886" s="13"/>
    </row>
    <row r="887" ht="15.75" customHeight="1">
      <c r="A887" s="13"/>
      <c r="B887" s="13"/>
      <c r="C887" s="9">
        <f>IFERROR(SUMIF(ENTRADAS!A:A,A887,ENTRADAS!C:C))</f>
        <v>0</v>
      </c>
      <c r="D887" s="10">
        <f>SUMIF(SALIDAS!A:A,A887,SALIDAS!C:C)</f>
        <v>0</v>
      </c>
      <c r="E887" s="10">
        <f t="shared" si="2"/>
        <v>0</v>
      </c>
      <c r="F887" s="13"/>
      <c r="G887" s="13"/>
    </row>
    <row r="888" ht="15.75" customHeight="1">
      <c r="A888" s="13"/>
      <c r="B888" s="13"/>
      <c r="C888" s="9">
        <f>IFERROR(SUMIF(ENTRADAS!A:A,A888,ENTRADAS!C:C))</f>
        <v>0</v>
      </c>
      <c r="D888" s="10">
        <f>SUMIF(SALIDAS!A:A,A888,SALIDAS!C:C)</f>
        <v>0</v>
      </c>
      <c r="E888" s="10">
        <f t="shared" si="2"/>
        <v>0</v>
      </c>
      <c r="F888" s="13"/>
      <c r="G888" s="13"/>
    </row>
    <row r="889" ht="15.75" customHeight="1">
      <c r="A889" s="13"/>
      <c r="B889" s="13"/>
      <c r="C889" s="9">
        <f>IFERROR(SUMIF(ENTRADAS!A:A,A889,ENTRADAS!C:C))</f>
        <v>0</v>
      </c>
      <c r="D889" s="10">
        <f>SUMIF(SALIDAS!A:A,A889,SALIDAS!C:C)</f>
        <v>0</v>
      </c>
      <c r="E889" s="10">
        <f t="shared" si="2"/>
        <v>0</v>
      </c>
      <c r="F889" s="13"/>
      <c r="G889" s="13"/>
    </row>
    <row r="890" ht="15.75" customHeight="1">
      <c r="A890" s="13"/>
      <c r="B890" s="13"/>
      <c r="C890" s="9">
        <f>IFERROR(SUMIF(ENTRADAS!A:A,A890,ENTRADAS!C:C))</f>
        <v>0</v>
      </c>
      <c r="D890" s="10">
        <f>SUMIF(SALIDAS!A:A,A890,SALIDAS!C:C)</f>
        <v>0</v>
      </c>
      <c r="E890" s="10">
        <f t="shared" si="2"/>
        <v>0</v>
      </c>
      <c r="F890" s="13"/>
      <c r="G890" s="13"/>
    </row>
    <row r="891" ht="15.75" customHeight="1">
      <c r="A891" s="13"/>
      <c r="B891" s="13"/>
      <c r="C891" s="9">
        <f>IFERROR(SUMIF(ENTRADAS!A:A,A891,ENTRADAS!C:C))</f>
        <v>0</v>
      </c>
      <c r="D891" s="10">
        <f>SUMIF(SALIDAS!A:A,A891,SALIDAS!C:C)</f>
        <v>0</v>
      </c>
      <c r="E891" s="10">
        <f t="shared" si="2"/>
        <v>0</v>
      </c>
      <c r="F891" s="13"/>
      <c r="G891" s="13"/>
    </row>
    <row r="892" ht="15.75" customHeight="1">
      <c r="A892" s="13"/>
      <c r="B892" s="13"/>
      <c r="C892" s="9">
        <f>IFERROR(SUMIF(ENTRADAS!A:A,A892,ENTRADAS!C:C))</f>
        <v>0</v>
      </c>
      <c r="D892" s="10">
        <f>SUMIF(SALIDAS!A:A,A892,SALIDAS!C:C)</f>
        <v>0</v>
      </c>
      <c r="E892" s="10">
        <f t="shared" si="2"/>
        <v>0</v>
      </c>
      <c r="F892" s="13"/>
      <c r="G892" s="13"/>
    </row>
    <row r="893" ht="15.75" customHeight="1">
      <c r="A893" s="13"/>
      <c r="B893" s="13"/>
      <c r="C893" s="9">
        <f>IFERROR(SUMIF(ENTRADAS!A:A,A893,ENTRADAS!C:C))</f>
        <v>0</v>
      </c>
      <c r="D893" s="10">
        <f>SUMIF(SALIDAS!A:A,A893,SALIDAS!C:C)</f>
        <v>0</v>
      </c>
      <c r="E893" s="10">
        <f t="shared" si="2"/>
        <v>0</v>
      </c>
      <c r="F893" s="13"/>
      <c r="G893" s="13"/>
    </row>
    <row r="894" ht="15.75" customHeight="1">
      <c r="A894" s="13"/>
      <c r="B894" s="13"/>
      <c r="C894" s="9">
        <f>IFERROR(SUMIF(ENTRADAS!A:A,A894,ENTRADAS!C:C))</f>
        <v>0</v>
      </c>
      <c r="D894" s="10">
        <f>SUMIF(SALIDAS!A:A,A894,SALIDAS!C:C)</f>
        <v>0</v>
      </c>
      <c r="E894" s="10">
        <f t="shared" si="2"/>
        <v>0</v>
      </c>
      <c r="F894" s="13"/>
      <c r="G894" s="13"/>
    </row>
    <row r="895" ht="15.75" customHeight="1">
      <c r="A895" s="13"/>
      <c r="B895" s="13"/>
      <c r="C895" s="9">
        <f>IFERROR(SUMIF(ENTRADAS!A:A,A895,ENTRADAS!C:C))</f>
        <v>0</v>
      </c>
      <c r="D895" s="10">
        <f>SUMIF(SALIDAS!A:A,A895,SALIDAS!C:C)</f>
        <v>0</v>
      </c>
      <c r="E895" s="10">
        <f t="shared" si="2"/>
        <v>0</v>
      </c>
      <c r="F895" s="13"/>
      <c r="G895" s="13"/>
    </row>
    <row r="896" ht="15.75" customHeight="1">
      <c r="A896" s="13"/>
      <c r="B896" s="13"/>
      <c r="C896" s="9">
        <f>IFERROR(SUMIF(ENTRADAS!A:A,A896,ENTRADAS!C:C))</f>
        <v>0</v>
      </c>
      <c r="D896" s="10">
        <f>SUMIF(SALIDAS!A:A,A896,SALIDAS!C:C)</f>
        <v>0</v>
      </c>
      <c r="E896" s="10">
        <f t="shared" si="2"/>
        <v>0</v>
      </c>
      <c r="F896" s="13"/>
      <c r="G896" s="13"/>
    </row>
    <row r="897" ht="15.75" customHeight="1">
      <c r="A897" s="13"/>
      <c r="B897" s="13"/>
      <c r="C897" s="9">
        <f>IFERROR(SUMIF(ENTRADAS!A:A,A897,ENTRADAS!C:C))</f>
        <v>0</v>
      </c>
      <c r="D897" s="10">
        <f>SUMIF(SALIDAS!A:A,A897,SALIDAS!C:C)</f>
        <v>0</v>
      </c>
      <c r="E897" s="10">
        <f t="shared" si="2"/>
        <v>0</v>
      </c>
      <c r="F897" s="13"/>
      <c r="G897" s="13"/>
    </row>
    <row r="898" ht="15.75" customHeight="1">
      <c r="A898" s="13"/>
      <c r="B898" s="13"/>
      <c r="C898" s="9">
        <f>IFERROR(SUMIF(ENTRADAS!A:A,A898,ENTRADAS!C:C))</f>
        <v>0</v>
      </c>
      <c r="D898" s="10">
        <f>SUMIF(SALIDAS!A:A,A898,SALIDAS!C:C)</f>
        <v>0</v>
      </c>
      <c r="E898" s="10">
        <f t="shared" si="2"/>
        <v>0</v>
      </c>
      <c r="F898" s="13"/>
      <c r="G898" s="13"/>
    </row>
    <row r="899" ht="15.75" customHeight="1">
      <c r="A899" s="13"/>
      <c r="B899" s="13"/>
      <c r="C899" s="9">
        <f>IFERROR(SUMIF(ENTRADAS!A:A,A899,ENTRADAS!C:C))</f>
        <v>0</v>
      </c>
      <c r="D899" s="10">
        <f>SUMIF(SALIDAS!A:A,A899,SALIDAS!C:C)</f>
        <v>0</v>
      </c>
      <c r="E899" s="10">
        <f t="shared" si="2"/>
        <v>0</v>
      </c>
      <c r="F899" s="13"/>
      <c r="G899" s="13"/>
    </row>
    <row r="900" ht="15.75" customHeight="1">
      <c r="A900" s="13"/>
      <c r="B900" s="13"/>
      <c r="C900" s="9">
        <f>IFERROR(SUMIF(ENTRADAS!A:A,A900,ENTRADAS!C:C))</f>
        <v>0</v>
      </c>
      <c r="D900" s="10">
        <f>SUMIF(SALIDAS!A:A,A900,SALIDAS!C:C)</f>
        <v>0</v>
      </c>
      <c r="E900" s="10">
        <f t="shared" si="2"/>
        <v>0</v>
      </c>
      <c r="F900" s="13"/>
      <c r="G900" s="13"/>
    </row>
    <row r="901" ht="15.75" customHeight="1">
      <c r="A901" s="13"/>
      <c r="B901" s="13"/>
      <c r="C901" s="9">
        <f>IFERROR(SUMIF(ENTRADAS!A:A,A901,ENTRADAS!C:C))</f>
        <v>0</v>
      </c>
      <c r="D901" s="10">
        <f>SUMIF(SALIDAS!A:A,A901,SALIDAS!C:C)</f>
        <v>0</v>
      </c>
      <c r="E901" s="10">
        <f t="shared" si="2"/>
        <v>0</v>
      </c>
      <c r="F901" s="13"/>
      <c r="G901" s="13"/>
    </row>
    <row r="902" ht="15.75" customHeight="1">
      <c r="A902" s="13"/>
      <c r="B902" s="13"/>
      <c r="C902" s="9">
        <f>IFERROR(SUMIF(ENTRADAS!A:A,A902,ENTRADAS!C:C))</f>
        <v>0</v>
      </c>
      <c r="D902" s="10">
        <f>SUMIF(SALIDAS!A:A,A902,SALIDAS!C:C)</f>
        <v>0</v>
      </c>
      <c r="E902" s="10">
        <f t="shared" si="2"/>
        <v>0</v>
      </c>
      <c r="F902" s="13"/>
      <c r="G902" s="13"/>
    </row>
    <row r="903" ht="15.75" customHeight="1">
      <c r="A903" s="13"/>
      <c r="B903" s="13"/>
      <c r="C903" s="9">
        <f>IFERROR(SUMIF(ENTRADAS!A:A,A903,ENTRADAS!C:C))</f>
        <v>0</v>
      </c>
      <c r="D903" s="10">
        <f>SUMIF(SALIDAS!A:A,A903,SALIDAS!C:C)</f>
        <v>0</v>
      </c>
      <c r="E903" s="10">
        <f t="shared" si="2"/>
        <v>0</v>
      </c>
      <c r="F903" s="13"/>
      <c r="G903" s="13"/>
    </row>
    <row r="904" ht="15.75" customHeight="1">
      <c r="A904" s="13"/>
      <c r="B904" s="13"/>
      <c r="C904" s="9">
        <f>IFERROR(SUMIF(ENTRADAS!A:A,A904,ENTRADAS!C:C))</f>
        <v>0</v>
      </c>
      <c r="D904" s="10">
        <f>SUMIF(SALIDAS!A:A,A904,SALIDAS!C:C)</f>
        <v>0</v>
      </c>
      <c r="E904" s="10">
        <f t="shared" si="2"/>
        <v>0</v>
      </c>
      <c r="F904" s="13"/>
      <c r="G904" s="13"/>
    </row>
    <row r="905" ht="15.75" customHeight="1">
      <c r="A905" s="13"/>
      <c r="B905" s="13"/>
      <c r="C905" s="9">
        <f>IFERROR(SUMIF(ENTRADAS!A:A,A905,ENTRADAS!C:C))</f>
        <v>0</v>
      </c>
      <c r="D905" s="10">
        <f>SUMIF(SALIDAS!A:A,A905,SALIDAS!C:C)</f>
        <v>0</v>
      </c>
      <c r="E905" s="10">
        <f t="shared" si="2"/>
        <v>0</v>
      </c>
      <c r="F905" s="13"/>
      <c r="G905" s="13"/>
    </row>
    <row r="906" ht="15.75" customHeight="1">
      <c r="A906" s="13"/>
      <c r="B906" s="13"/>
      <c r="C906" s="9">
        <f>IFERROR(SUMIF(ENTRADAS!A:A,A906,ENTRADAS!C:C))</f>
        <v>0</v>
      </c>
      <c r="D906" s="10">
        <f>SUMIF(SALIDAS!A:A,A906,SALIDAS!C:C)</f>
        <v>0</v>
      </c>
      <c r="E906" s="10">
        <f t="shared" si="2"/>
        <v>0</v>
      </c>
      <c r="F906" s="13"/>
      <c r="G906" s="13"/>
    </row>
    <row r="907" ht="15.75" customHeight="1">
      <c r="A907" s="13"/>
      <c r="B907" s="13"/>
      <c r="C907" s="9">
        <f>IFERROR(SUMIF(ENTRADAS!A:A,A907,ENTRADAS!C:C))</f>
        <v>0</v>
      </c>
      <c r="D907" s="10">
        <f>SUMIF(SALIDAS!A:A,A907,SALIDAS!C:C)</f>
        <v>0</v>
      </c>
      <c r="E907" s="10">
        <f t="shared" si="2"/>
        <v>0</v>
      </c>
      <c r="F907" s="13"/>
      <c r="G907" s="13"/>
    </row>
    <row r="908" ht="15.75" customHeight="1">
      <c r="A908" s="13"/>
      <c r="B908" s="13"/>
      <c r="C908" s="9">
        <f>IFERROR(SUMIF(ENTRADAS!A:A,A908,ENTRADAS!C:C))</f>
        <v>0</v>
      </c>
      <c r="D908" s="10">
        <f>SUMIF(SALIDAS!A:A,A908,SALIDAS!C:C)</f>
        <v>0</v>
      </c>
      <c r="E908" s="10">
        <f t="shared" si="2"/>
        <v>0</v>
      </c>
      <c r="F908" s="13"/>
      <c r="G908" s="13"/>
    </row>
    <row r="909" ht="15.75" customHeight="1">
      <c r="A909" s="13"/>
      <c r="B909" s="13"/>
      <c r="C909" s="9">
        <f>IFERROR(SUMIF(ENTRADAS!A:A,A909,ENTRADAS!C:C))</f>
        <v>0</v>
      </c>
      <c r="D909" s="10">
        <f>SUMIF(SALIDAS!A:A,A909,SALIDAS!C:C)</f>
        <v>0</v>
      </c>
      <c r="E909" s="10">
        <f t="shared" si="2"/>
        <v>0</v>
      </c>
      <c r="F909" s="13"/>
      <c r="G909" s="13"/>
    </row>
    <row r="910" ht="15.75" customHeight="1">
      <c r="A910" s="13"/>
      <c r="B910" s="13"/>
      <c r="C910" s="9">
        <f>IFERROR(SUMIF(ENTRADAS!A:A,A910,ENTRADAS!C:C))</f>
        <v>0</v>
      </c>
      <c r="D910" s="10">
        <f>SUMIF(SALIDAS!A:A,A910,SALIDAS!C:C)</f>
        <v>0</v>
      </c>
      <c r="E910" s="10">
        <f t="shared" si="2"/>
        <v>0</v>
      </c>
      <c r="F910" s="13"/>
      <c r="G910" s="13"/>
    </row>
    <row r="911" ht="15.75" customHeight="1">
      <c r="A911" s="13"/>
      <c r="B911" s="13"/>
      <c r="C911" s="9">
        <f>IFERROR(SUMIF(ENTRADAS!A:A,A911,ENTRADAS!C:C))</f>
        <v>0</v>
      </c>
      <c r="D911" s="10">
        <f>SUMIF(SALIDAS!A:A,A911,SALIDAS!C:C)</f>
        <v>0</v>
      </c>
      <c r="E911" s="10">
        <f t="shared" si="2"/>
        <v>0</v>
      </c>
      <c r="F911" s="13"/>
      <c r="G911" s="13"/>
    </row>
    <row r="912" ht="15.75" customHeight="1">
      <c r="A912" s="13"/>
      <c r="B912" s="13"/>
      <c r="C912" s="9">
        <f>IFERROR(SUMIF(ENTRADAS!A:A,A912,ENTRADAS!C:C))</f>
        <v>0</v>
      </c>
      <c r="D912" s="10">
        <f>SUMIF(SALIDAS!A:A,A912,SALIDAS!C:C)</f>
        <v>0</v>
      </c>
      <c r="E912" s="10">
        <f t="shared" si="2"/>
        <v>0</v>
      </c>
      <c r="F912" s="13"/>
      <c r="G912" s="13"/>
    </row>
    <row r="913" ht="15.75" customHeight="1">
      <c r="A913" s="13"/>
      <c r="B913" s="13"/>
      <c r="C913" s="9">
        <f>IFERROR(SUMIF(ENTRADAS!A:A,A913,ENTRADAS!C:C))</f>
        <v>0</v>
      </c>
      <c r="D913" s="10">
        <f>SUMIF(SALIDAS!A:A,A913,SALIDAS!C:C)</f>
        <v>0</v>
      </c>
      <c r="E913" s="10">
        <f t="shared" si="2"/>
        <v>0</v>
      </c>
      <c r="F913" s="13"/>
      <c r="G913" s="13"/>
    </row>
    <row r="914" ht="15.75" customHeight="1">
      <c r="A914" s="13"/>
      <c r="B914" s="13"/>
      <c r="C914" s="9">
        <f>IFERROR(SUMIF(ENTRADAS!A:A,A914,ENTRADAS!C:C))</f>
        <v>0</v>
      </c>
      <c r="D914" s="10">
        <f>SUMIF(SALIDAS!A:A,A914,SALIDAS!C:C)</f>
        <v>0</v>
      </c>
      <c r="E914" s="10">
        <f t="shared" si="2"/>
        <v>0</v>
      </c>
      <c r="F914" s="13"/>
      <c r="G914" s="13"/>
    </row>
    <row r="915" ht="15.75" customHeight="1">
      <c r="A915" s="13"/>
      <c r="B915" s="13"/>
      <c r="C915" s="9">
        <f>IFERROR(SUMIF(ENTRADAS!A:A,A915,ENTRADAS!C:C))</f>
        <v>0</v>
      </c>
      <c r="D915" s="10">
        <f>SUMIF(SALIDAS!A:A,A915,SALIDAS!C:C)</f>
        <v>0</v>
      </c>
      <c r="E915" s="10">
        <f t="shared" si="2"/>
        <v>0</v>
      </c>
      <c r="F915" s="13"/>
      <c r="G915" s="13"/>
    </row>
    <row r="916" ht="15.75" customHeight="1">
      <c r="A916" s="13"/>
      <c r="B916" s="13"/>
      <c r="C916" s="9">
        <f>IFERROR(SUMIF(ENTRADAS!A:A,A916,ENTRADAS!C:C))</f>
        <v>0</v>
      </c>
      <c r="D916" s="10">
        <f>SUMIF(SALIDAS!A:A,A916,SALIDAS!C:C)</f>
        <v>0</v>
      </c>
      <c r="E916" s="10">
        <f t="shared" si="2"/>
        <v>0</v>
      </c>
      <c r="F916" s="13"/>
      <c r="G916" s="13"/>
    </row>
    <row r="917" ht="15.75" customHeight="1">
      <c r="A917" s="13"/>
      <c r="B917" s="13"/>
      <c r="C917" s="9">
        <f>IFERROR(SUMIF(ENTRADAS!A:A,A917,ENTRADAS!C:C))</f>
        <v>0</v>
      </c>
      <c r="D917" s="10">
        <f>SUMIF(SALIDAS!A:A,A917,SALIDAS!C:C)</f>
        <v>0</v>
      </c>
      <c r="E917" s="10">
        <f t="shared" si="2"/>
        <v>0</v>
      </c>
      <c r="F917" s="13"/>
      <c r="G917" s="13"/>
    </row>
    <row r="918" ht="15.75" customHeight="1">
      <c r="A918" s="13"/>
      <c r="B918" s="13"/>
      <c r="C918" s="9">
        <f>IFERROR(SUMIF(ENTRADAS!A:A,A918,ENTRADAS!C:C))</f>
        <v>0</v>
      </c>
      <c r="D918" s="10">
        <f>SUMIF(SALIDAS!A:A,A918,SALIDAS!C:C)</f>
        <v>0</v>
      </c>
      <c r="E918" s="10">
        <f t="shared" si="2"/>
        <v>0</v>
      </c>
      <c r="F918" s="13"/>
      <c r="G918" s="13"/>
    </row>
    <row r="919" ht="15.75" customHeight="1">
      <c r="A919" s="13"/>
      <c r="B919" s="13"/>
      <c r="C919" s="9">
        <f>IFERROR(SUMIF(ENTRADAS!A:A,A919,ENTRADAS!C:C))</f>
        <v>0</v>
      </c>
      <c r="D919" s="10">
        <f>SUMIF(SALIDAS!A:A,A919,SALIDAS!C:C)</f>
        <v>0</v>
      </c>
      <c r="E919" s="10">
        <f t="shared" si="2"/>
        <v>0</v>
      </c>
      <c r="F919" s="13"/>
      <c r="G919" s="13"/>
    </row>
    <row r="920" ht="15.75" customHeight="1">
      <c r="A920" s="13"/>
      <c r="B920" s="13"/>
      <c r="C920" s="9">
        <f>IFERROR(SUMIF(ENTRADAS!A:A,A920,ENTRADAS!C:C))</f>
        <v>0</v>
      </c>
      <c r="D920" s="10">
        <f>SUMIF(SALIDAS!A:A,A920,SALIDAS!C:C)</f>
        <v>0</v>
      </c>
      <c r="E920" s="10">
        <f t="shared" si="2"/>
        <v>0</v>
      </c>
      <c r="F920" s="13"/>
      <c r="G920" s="13"/>
    </row>
    <row r="921" ht="15.75" customHeight="1">
      <c r="A921" s="13"/>
      <c r="B921" s="13"/>
      <c r="C921" s="9">
        <f>IFERROR(SUMIF(ENTRADAS!A:A,A921,ENTRADAS!C:C))</f>
        <v>0</v>
      </c>
      <c r="D921" s="10">
        <f>SUMIF(SALIDAS!A:A,A921,SALIDAS!C:C)</f>
        <v>0</v>
      </c>
      <c r="E921" s="10">
        <f t="shared" si="2"/>
        <v>0</v>
      </c>
      <c r="F921" s="13"/>
      <c r="G921" s="13"/>
    </row>
    <row r="922" ht="15.75" customHeight="1">
      <c r="A922" s="13"/>
      <c r="B922" s="13"/>
      <c r="C922" s="9">
        <f>IFERROR(SUMIF(ENTRADAS!A:A,A922,ENTRADAS!C:C))</f>
        <v>0</v>
      </c>
      <c r="D922" s="10">
        <f>SUMIF(SALIDAS!A:A,A922,SALIDAS!C:C)</f>
        <v>0</v>
      </c>
      <c r="E922" s="10">
        <f t="shared" si="2"/>
        <v>0</v>
      </c>
      <c r="F922" s="13"/>
      <c r="G922" s="13"/>
    </row>
    <row r="923" ht="15.75" customHeight="1">
      <c r="A923" s="13"/>
      <c r="B923" s="13"/>
      <c r="C923" s="9">
        <f>IFERROR(SUMIF(ENTRADAS!A:A,A923,ENTRADAS!C:C))</f>
        <v>0</v>
      </c>
      <c r="D923" s="10">
        <f>SUMIF(SALIDAS!A:A,A923,SALIDAS!C:C)</f>
        <v>0</v>
      </c>
      <c r="E923" s="10">
        <f t="shared" si="2"/>
        <v>0</v>
      </c>
      <c r="F923" s="13"/>
      <c r="G923" s="13"/>
    </row>
    <row r="924" ht="15.75" customHeight="1">
      <c r="A924" s="13"/>
      <c r="B924" s="13"/>
      <c r="C924" s="9">
        <f>IFERROR(SUMIF(ENTRADAS!A:A,A924,ENTRADAS!C:C))</f>
        <v>0</v>
      </c>
      <c r="D924" s="10">
        <f>SUMIF(SALIDAS!A:A,A924,SALIDAS!C:C)</f>
        <v>0</v>
      </c>
      <c r="E924" s="10">
        <f t="shared" si="2"/>
        <v>0</v>
      </c>
      <c r="F924" s="13"/>
      <c r="G924" s="13"/>
    </row>
    <row r="925" ht="15.75" customHeight="1">
      <c r="A925" s="13"/>
      <c r="B925" s="13"/>
      <c r="C925" s="9">
        <f>IFERROR(SUMIF(ENTRADAS!A:A,A925,ENTRADAS!C:C))</f>
        <v>0</v>
      </c>
      <c r="D925" s="10">
        <f>SUMIF(SALIDAS!A:A,A925,SALIDAS!C:C)</f>
        <v>0</v>
      </c>
      <c r="E925" s="10">
        <f t="shared" si="2"/>
        <v>0</v>
      </c>
      <c r="F925" s="13"/>
      <c r="G925" s="13"/>
    </row>
    <row r="926" ht="15.75" customHeight="1">
      <c r="A926" s="13"/>
      <c r="B926" s="13"/>
      <c r="C926" s="9">
        <f>IFERROR(SUMIF(ENTRADAS!A:A,A926,ENTRADAS!C:C))</f>
        <v>0</v>
      </c>
      <c r="D926" s="10">
        <f>SUMIF(SALIDAS!A:A,A926,SALIDAS!C:C)</f>
        <v>0</v>
      </c>
      <c r="E926" s="10">
        <f t="shared" si="2"/>
        <v>0</v>
      </c>
      <c r="F926" s="13"/>
      <c r="G926" s="13"/>
    </row>
    <row r="927" ht="15.75" customHeight="1">
      <c r="A927" s="13"/>
      <c r="B927" s="13"/>
      <c r="C927" s="9">
        <f>IFERROR(SUMIF(ENTRADAS!A:A,A927,ENTRADAS!C:C))</f>
        <v>0</v>
      </c>
      <c r="D927" s="10">
        <f>SUMIF(SALIDAS!A:A,A927,SALIDAS!C:C)</f>
        <v>0</v>
      </c>
      <c r="E927" s="10">
        <f t="shared" si="2"/>
        <v>0</v>
      </c>
      <c r="F927" s="13"/>
      <c r="G927" s="13"/>
    </row>
    <row r="928" ht="15.75" customHeight="1">
      <c r="A928" s="13"/>
      <c r="B928" s="13"/>
      <c r="C928" s="9">
        <f>IFERROR(SUMIF(ENTRADAS!A:A,A928,ENTRADAS!C:C))</f>
        <v>0</v>
      </c>
      <c r="D928" s="10">
        <f>SUMIF(SALIDAS!A:A,A928,SALIDAS!C:C)</f>
        <v>0</v>
      </c>
      <c r="E928" s="10">
        <f t="shared" si="2"/>
        <v>0</v>
      </c>
      <c r="F928" s="13"/>
      <c r="G928" s="13"/>
    </row>
    <row r="929" ht="15.75" customHeight="1">
      <c r="A929" s="13"/>
      <c r="B929" s="13"/>
      <c r="C929" s="9">
        <f>IFERROR(SUMIF(ENTRADAS!A:A,A929,ENTRADAS!C:C))</f>
        <v>0</v>
      </c>
      <c r="D929" s="10">
        <f>SUMIF(SALIDAS!A:A,A929,SALIDAS!C:C)</f>
        <v>0</v>
      </c>
      <c r="E929" s="10">
        <f t="shared" si="2"/>
        <v>0</v>
      </c>
      <c r="F929" s="13"/>
      <c r="G929" s="13"/>
    </row>
    <row r="930" ht="15.75" customHeight="1">
      <c r="A930" s="13"/>
      <c r="B930" s="13"/>
      <c r="C930" s="9">
        <f>IFERROR(SUMIF(ENTRADAS!A:A,A930,ENTRADAS!C:C))</f>
        <v>0</v>
      </c>
      <c r="D930" s="10">
        <f>SUMIF(SALIDAS!A:A,A930,SALIDAS!C:C)</f>
        <v>0</v>
      </c>
      <c r="E930" s="10">
        <f t="shared" si="2"/>
        <v>0</v>
      </c>
      <c r="F930" s="13"/>
      <c r="G930" s="13"/>
    </row>
    <row r="931" ht="15.75" customHeight="1">
      <c r="A931" s="13"/>
      <c r="B931" s="13"/>
      <c r="C931" s="9">
        <f>IFERROR(SUMIF(ENTRADAS!A:A,A931,ENTRADAS!C:C))</f>
        <v>0</v>
      </c>
      <c r="D931" s="10">
        <f>SUMIF(SALIDAS!A:A,A931,SALIDAS!C:C)</f>
        <v>0</v>
      </c>
      <c r="E931" s="10">
        <f t="shared" si="2"/>
        <v>0</v>
      </c>
      <c r="F931" s="13"/>
      <c r="G931" s="13"/>
    </row>
    <row r="932" ht="15.75" customHeight="1">
      <c r="A932" s="13"/>
      <c r="B932" s="13"/>
      <c r="C932" s="9">
        <f>IFERROR(SUMIF(ENTRADAS!A:A,A932,ENTRADAS!C:C))</f>
        <v>0</v>
      </c>
      <c r="D932" s="10">
        <f>SUMIF(SALIDAS!A:A,A932,SALIDAS!C:C)</f>
        <v>0</v>
      </c>
      <c r="E932" s="10">
        <f t="shared" si="2"/>
        <v>0</v>
      </c>
      <c r="F932" s="13"/>
      <c r="G932" s="13"/>
    </row>
    <row r="933" ht="15.75" customHeight="1">
      <c r="A933" s="13"/>
      <c r="B933" s="13"/>
      <c r="C933" s="9">
        <f>IFERROR(SUMIF(ENTRADAS!A:A,A933,ENTRADAS!C:C))</f>
        <v>0</v>
      </c>
      <c r="D933" s="10">
        <f>SUMIF(SALIDAS!A:A,A933,SALIDAS!C:C)</f>
        <v>0</v>
      </c>
      <c r="E933" s="10">
        <f t="shared" si="2"/>
        <v>0</v>
      </c>
      <c r="F933" s="13"/>
      <c r="G933" s="13"/>
    </row>
    <row r="934" ht="15.75" customHeight="1">
      <c r="A934" s="13"/>
      <c r="B934" s="13"/>
      <c r="C934" s="9">
        <f>IFERROR(SUMIF(ENTRADAS!A:A,A934,ENTRADAS!C:C))</f>
        <v>0</v>
      </c>
      <c r="D934" s="10">
        <f>SUMIF(SALIDAS!A:A,A934,SALIDAS!C:C)</f>
        <v>0</v>
      </c>
      <c r="E934" s="10">
        <f t="shared" si="2"/>
        <v>0</v>
      </c>
      <c r="F934" s="13"/>
      <c r="G934" s="13"/>
    </row>
    <row r="935" ht="15.75" customHeight="1">
      <c r="A935" s="13"/>
      <c r="B935" s="13"/>
      <c r="C935" s="9">
        <f>IFERROR(SUMIF(ENTRADAS!A:A,A935,ENTRADAS!C:C))</f>
        <v>0</v>
      </c>
      <c r="D935" s="10">
        <f>SUMIF(SALIDAS!A:A,A935,SALIDAS!C:C)</f>
        <v>0</v>
      </c>
      <c r="E935" s="10">
        <f t="shared" si="2"/>
        <v>0</v>
      </c>
      <c r="F935" s="13"/>
      <c r="G935" s="13"/>
    </row>
    <row r="936" ht="15.75" customHeight="1">
      <c r="A936" s="13"/>
      <c r="B936" s="13"/>
      <c r="C936" s="9">
        <f>IFERROR(SUMIF(ENTRADAS!A:A,A936,ENTRADAS!C:C))</f>
        <v>0</v>
      </c>
      <c r="D936" s="10">
        <f>SUMIF(SALIDAS!A:A,A936,SALIDAS!C:C)</f>
        <v>0</v>
      </c>
      <c r="E936" s="10">
        <f t="shared" si="2"/>
        <v>0</v>
      </c>
      <c r="F936" s="13"/>
      <c r="G936" s="13"/>
    </row>
    <row r="937" ht="15.75" customHeight="1">
      <c r="A937" s="13"/>
      <c r="B937" s="13"/>
      <c r="C937" s="9">
        <f>IFERROR(SUMIF(ENTRADAS!A:A,A937,ENTRADAS!C:C))</f>
        <v>0</v>
      </c>
      <c r="D937" s="10">
        <f>SUMIF(SALIDAS!A:A,A937,SALIDAS!C:C)</f>
        <v>0</v>
      </c>
      <c r="E937" s="10">
        <f t="shared" si="2"/>
        <v>0</v>
      </c>
      <c r="F937" s="13"/>
      <c r="G937" s="13"/>
    </row>
    <row r="938" ht="15.75" customHeight="1">
      <c r="A938" s="13"/>
      <c r="B938" s="13"/>
      <c r="C938" s="9">
        <f>IFERROR(SUMIF(ENTRADAS!A:A,A938,ENTRADAS!C:C))</f>
        <v>0</v>
      </c>
      <c r="D938" s="10">
        <f>SUMIF(SALIDAS!A:A,A938,SALIDAS!C:C)</f>
        <v>0</v>
      </c>
      <c r="E938" s="10">
        <f t="shared" si="2"/>
        <v>0</v>
      </c>
      <c r="F938" s="13"/>
      <c r="G938" s="13"/>
    </row>
    <row r="939" ht="15.75" customHeight="1">
      <c r="A939" s="13"/>
      <c r="B939" s="13"/>
      <c r="C939" s="9">
        <f>IFERROR(SUMIF(ENTRADAS!A:A,A939,ENTRADAS!C:C))</f>
        <v>0</v>
      </c>
      <c r="D939" s="10">
        <f>SUMIF(SALIDAS!A:A,A939,SALIDAS!C:C)</f>
        <v>0</v>
      </c>
      <c r="E939" s="10">
        <f t="shared" si="2"/>
        <v>0</v>
      </c>
      <c r="F939" s="13"/>
      <c r="G939" s="13"/>
    </row>
    <row r="940" ht="15.75" customHeight="1">
      <c r="A940" s="13"/>
      <c r="B940" s="13"/>
      <c r="C940" s="9">
        <f>IFERROR(SUMIF(ENTRADAS!A:A,A940,ENTRADAS!C:C))</f>
        <v>0</v>
      </c>
      <c r="D940" s="10">
        <f>SUMIF(SALIDAS!A:A,A940,SALIDAS!C:C)</f>
        <v>0</v>
      </c>
      <c r="E940" s="10">
        <f t="shared" si="2"/>
        <v>0</v>
      </c>
      <c r="F940" s="13"/>
      <c r="G940" s="13"/>
    </row>
    <row r="941" ht="15.75" customHeight="1">
      <c r="A941" s="13"/>
      <c r="B941" s="13"/>
      <c r="C941" s="9">
        <f>IFERROR(SUMIF(ENTRADAS!A:A,A941,ENTRADAS!C:C))</f>
        <v>0</v>
      </c>
      <c r="D941" s="10">
        <f>SUMIF(SALIDAS!A:A,A941,SALIDAS!C:C)</f>
        <v>0</v>
      </c>
      <c r="E941" s="10">
        <f t="shared" si="2"/>
        <v>0</v>
      </c>
      <c r="F941" s="13"/>
      <c r="G941" s="13"/>
    </row>
    <row r="942" ht="15.75" customHeight="1">
      <c r="A942" s="13"/>
      <c r="B942" s="13"/>
      <c r="C942" s="9">
        <f>IFERROR(SUMIF(ENTRADAS!A:A,A942,ENTRADAS!C:C))</f>
        <v>0</v>
      </c>
      <c r="D942" s="10">
        <f>SUMIF(SALIDAS!A:A,A942,SALIDAS!C:C)</f>
        <v>0</v>
      </c>
      <c r="E942" s="10">
        <f t="shared" si="2"/>
        <v>0</v>
      </c>
      <c r="F942" s="13"/>
      <c r="G942" s="13"/>
    </row>
    <row r="943" ht="15.75" customHeight="1">
      <c r="A943" s="13"/>
      <c r="B943" s="13"/>
      <c r="C943" s="9">
        <f>IFERROR(SUMIF(ENTRADAS!A:A,A943,ENTRADAS!C:C))</f>
        <v>0</v>
      </c>
      <c r="D943" s="10">
        <f>SUMIF(SALIDAS!A:A,A943,SALIDAS!C:C)</f>
        <v>0</v>
      </c>
      <c r="E943" s="10">
        <f t="shared" si="2"/>
        <v>0</v>
      </c>
      <c r="F943" s="13"/>
      <c r="G943" s="13"/>
    </row>
    <row r="944" ht="15.75" customHeight="1">
      <c r="A944" s="13"/>
      <c r="B944" s="13"/>
      <c r="C944" s="9">
        <f>IFERROR(SUMIF(ENTRADAS!A:A,A944,ENTRADAS!C:C))</f>
        <v>0</v>
      </c>
      <c r="D944" s="10">
        <f>SUMIF(SALIDAS!A:A,A944,SALIDAS!C:C)</f>
        <v>0</v>
      </c>
      <c r="E944" s="10">
        <f t="shared" si="2"/>
        <v>0</v>
      </c>
      <c r="F944" s="13"/>
      <c r="G944" s="13"/>
    </row>
    <row r="945" ht="15.75" customHeight="1">
      <c r="A945" s="13"/>
      <c r="B945" s="13"/>
      <c r="C945" s="9">
        <f>IFERROR(SUMIF(ENTRADAS!A:A,A945,ENTRADAS!C:C))</f>
        <v>0</v>
      </c>
      <c r="D945" s="10">
        <f>SUMIF(SALIDAS!A:A,A945,SALIDAS!C:C)</f>
        <v>0</v>
      </c>
      <c r="E945" s="10">
        <f t="shared" si="2"/>
        <v>0</v>
      </c>
      <c r="F945" s="13"/>
      <c r="G945" s="13"/>
    </row>
    <row r="946" ht="15.75" customHeight="1">
      <c r="A946" s="13"/>
      <c r="B946" s="13"/>
      <c r="C946" s="9">
        <f>IFERROR(SUMIF(ENTRADAS!A:A,A946,ENTRADAS!C:C))</f>
        <v>0</v>
      </c>
      <c r="D946" s="10">
        <f>SUMIF(SALIDAS!A:A,A946,SALIDAS!C:C)</f>
        <v>0</v>
      </c>
      <c r="E946" s="10">
        <f t="shared" si="2"/>
        <v>0</v>
      </c>
      <c r="F946" s="13"/>
      <c r="G946" s="13"/>
    </row>
    <row r="947" ht="15.75" customHeight="1">
      <c r="A947" s="13"/>
      <c r="B947" s="13"/>
      <c r="C947" s="9">
        <f>IFERROR(SUMIF(ENTRADAS!A:A,A947,ENTRADAS!C:C))</f>
        <v>0</v>
      </c>
      <c r="D947" s="10">
        <f>SUMIF(SALIDAS!A:A,A947,SALIDAS!C:C)</f>
        <v>0</v>
      </c>
      <c r="E947" s="10">
        <f t="shared" si="2"/>
        <v>0</v>
      </c>
      <c r="F947" s="13"/>
      <c r="G947" s="13"/>
    </row>
    <row r="948" ht="15.75" customHeight="1">
      <c r="A948" s="13"/>
      <c r="B948" s="13"/>
      <c r="C948" s="9">
        <f>IFERROR(SUMIF(ENTRADAS!A:A,A948,ENTRADAS!C:C))</f>
        <v>0</v>
      </c>
      <c r="D948" s="10">
        <f>SUMIF(SALIDAS!A:A,A948,SALIDAS!C:C)</f>
        <v>0</v>
      </c>
      <c r="E948" s="10">
        <f t="shared" si="2"/>
        <v>0</v>
      </c>
      <c r="F948" s="13"/>
      <c r="G948" s="13"/>
    </row>
    <row r="949" ht="15.75" customHeight="1">
      <c r="A949" s="13"/>
      <c r="B949" s="13"/>
      <c r="C949" s="9">
        <f>IFERROR(SUMIF(ENTRADAS!A:A,A949,ENTRADAS!C:C))</f>
        <v>0</v>
      </c>
      <c r="D949" s="10">
        <f>SUMIF(SALIDAS!A:A,A949,SALIDAS!C:C)</f>
        <v>0</v>
      </c>
      <c r="E949" s="10">
        <f t="shared" si="2"/>
        <v>0</v>
      </c>
      <c r="F949" s="13"/>
      <c r="G949" s="13"/>
    </row>
    <row r="950" ht="15.75" customHeight="1">
      <c r="A950" s="13"/>
      <c r="B950" s="13"/>
      <c r="C950" s="9">
        <f>IFERROR(SUMIF(ENTRADAS!A:A,A950,ENTRADAS!C:C))</f>
        <v>0</v>
      </c>
      <c r="D950" s="10">
        <f>SUMIF(SALIDAS!A:A,A950,SALIDAS!C:C)</f>
        <v>0</v>
      </c>
      <c r="E950" s="10">
        <f t="shared" si="2"/>
        <v>0</v>
      </c>
      <c r="F950" s="13"/>
      <c r="G950" s="13"/>
    </row>
    <row r="951" ht="15.75" customHeight="1">
      <c r="A951" s="13"/>
      <c r="B951" s="13"/>
      <c r="C951" s="9">
        <f>IFERROR(SUMIF(ENTRADAS!A:A,A951,ENTRADAS!C:C))</f>
        <v>0</v>
      </c>
      <c r="D951" s="10">
        <f>SUMIF(SALIDAS!A:A,A951,SALIDAS!C:C)</f>
        <v>0</v>
      </c>
      <c r="E951" s="10">
        <f t="shared" si="2"/>
        <v>0</v>
      </c>
      <c r="F951" s="13"/>
      <c r="G951" s="13"/>
    </row>
    <row r="952" ht="15.75" customHeight="1">
      <c r="A952" s="13"/>
      <c r="B952" s="13"/>
      <c r="C952" s="9">
        <f>IFERROR(SUMIF(ENTRADAS!A:A,A952,ENTRADAS!C:C))</f>
        <v>0</v>
      </c>
      <c r="D952" s="10">
        <f>SUMIF(SALIDAS!A:A,A952,SALIDAS!C:C)</f>
        <v>0</v>
      </c>
      <c r="E952" s="10">
        <f t="shared" si="2"/>
        <v>0</v>
      </c>
      <c r="F952" s="13"/>
      <c r="G952" s="13"/>
    </row>
    <row r="953" ht="15.75" customHeight="1">
      <c r="A953" s="13"/>
      <c r="B953" s="13"/>
      <c r="C953" s="9">
        <f>IFERROR(SUMIF(ENTRADAS!A:A,A953,ENTRADAS!C:C))</f>
        <v>0</v>
      </c>
      <c r="D953" s="10">
        <f>SUMIF(SALIDAS!A:A,A953,SALIDAS!C:C)</f>
        <v>0</v>
      </c>
      <c r="E953" s="10">
        <f t="shared" si="2"/>
        <v>0</v>
      </c>
      <c r="F953" s="13"/>
      <c r="G953" s="13"/>
    </row>
    <row r="954" ht="15.75" customHeight="1">
      <c r="A954" s="13"/>
      <c r="B954" s="13"/>
      <c r="C954" s="9">
        <f>IFERROR(SUMIF(ENTRADAS!A:A,A954,ENTRADAS!C:C))</f>
        <v>0</v>
      </c>
      <c r="D954" s="10">
        <f>SUMIF(SALIDAS!A:A,A954,SALIDAS!C:C)</f>
        <v>0</v>
      </c>
      <c r="E954" s="10">
        <f t="shared" si="2"/>
        <v>0</v>
      </c>
      <c r="F954" s="13"/>
      <c r="G954" s="13"/>
    </row>
    <row r="955" ht="15.75" customHeight="1">
      <c r="A955" s="13"/>
      <c r="B955" s="13"/>
      <c r="C955" s="9">
        <f>IFERROR(SUMIF(ENTRADAS!A:A,A955,ENTRADAS!C:C))</f>
        <v>0</v>
      </c>
      <c r="D955" s="10">
        <f>SUMIF(SALIDAS!A:A,A955,SALIDAS!C:C)</f>
        <v>0</v>
      </c>
      <c r="E955" s="10">
        <f t="shared" si="2"/>
        <v>0</v>
      </c>
      <c r="F955" s="13"/>
      <c r="G955" s="13"/>
    </row>
    <row r="956" ht="15.75" customHeight="1">
      <c r="A956" s="13"/>
      <c r="B956" s="13"/>
      <c r="C956" s="9">
        <f>IFERROR(SUMIF(ENTRADAS!A:A,A956,ENTRADAS!C:C))</f>
        <v>0</v>
      </c>
      <c r="D956" s="10">
        <f>SUMIF(SALIDAS!A:A,A956,SALIDAS!C:C)</f>
        <v>0</v>
      </c>
      <c r="E956" s="10">
        <f t="shared" si="2"/>
        <v>0</v>
      </c>
      <c r="F956" s="13"/>
      <c r="G956" s="13"/>
    </row>
    <row r="957" ht="15.75" customHeight="1">
      <c r="A957" s="13"/>
      <c r="B957" s="13"/>
      <c r="C957" s="9">
        <f>IFERROR(SUMIF(ENTRADAS!A:A,A957,ENTRADAS!C:C))</f>
        <v>0</v>
      </c>
      <c r="D957" s="10">
        <f>SUMIF(SALIDAS!A:A,A957,SALIDAS!C:C)</f>
        <v>0</v>
      </c>
      <c r="E957" s="10">
        <f t="shared" si="2"/>
        <v>0</v>
      </c>
      <c r="F957" s="13"/>
      <c r="G957" s="13"/>
    </row>
    <row r="958" ht="15.75" customHeight="1">
      <c r="A958" s="13"/>
      <c r="B958" s="13"/>
      <c r="C958" s="9">
        <f>IFERROR(SUMIF(ENTRADAS!A:A,A958,ENTRADAS!C:C))</f>
        <v>0</v>
      </c>
      <c r="D958" s="10">
        <f>SUMIF(SALIDAS!A:A,A958,SALIDAS!C:C)</f>
        <v>0</v>
      </c>
      <c r="E958" s="10">
        <f t="shared" si="2"/>
        <v>0</v>
      </c>
      <c r="F958" s="13"/>
      <c r="G958" s="13"/>
    </row>
    <row r="959" ht="15.75" customHeight="1">
      <c r="A959" s="13"/>
      <c r="B959" s="13"/>
      <c r="C959" s="9">
        <f>IFERROR(SUMIF(ENTRADAS!A:A,A959,ENTRADAS!C:C))</f>
        <v>0</v>
      </c>
      <c r="D959" s="10">
        <f>SUMIF(SALIDAS!A:A,A959,SALIDAS!C:C)</f>
        <v>0</v>
      </c>
      <c r="E959" s="10">
        <f t="shared" si="2"/>
        <v>0</v>
      </c>
      <c r="F959" s="13"/>
      <c r="G959" s="13"/>
    </row>
    <row r="960" ht="15.75" customHeight="1">
      <c r="A960" s="13"/>
      <c r="B960" s="13"/>
      <c r="C960" s="9">
        <f>IFERROR(SUMIF(ENTRADAS!A:A,A960,ENTRADAS!C:C))</f>
        <v>0</v>
      </c>
      <c r="D960" s="10">
        <f>SUMIF(SALIDAS!A:A,A960,SALIDAS!C:C)</f>
        <v>0</v>
      </c>
      <c r="E960" s="10">
        <f t="shared" si="2"/>
        <v>0</v>
      </c>
      <c r="F960" s="13"/>
      <c r="G960" s="13"/>
    </row>
    <row r="961" ht="15.75" customHeight="1">
      <c r="A961" s="13"/>
      <c r="B961" s="13"/>
      <c r="C961" s="9">
        <f>IFERROR(SUMIF(ENTRADAS!A:A,A961,ENTRADAS!C:C))</f>
        <v>0</v>
      </c>
      <c r="D961" s="10">
        <f>SUMIF(SALIDAS!A:A,A961,SALIDAS!C:C)</f>
        <v>0</v>
      </c>
      <c r="E961" s="10">
        <f t="shared" si="2"/>
        <v>0</v>
      </c>
      <c r="F961" s="13"/>
      <c r="G961" s="13"/>
    </row>
    <row r="962" ht="15.75" customHeight="1">
      <c r="A962" s="13"/>
      <c r="B962" s="13"/>
      <c r="C962" s="9">
        <f>IFERROR(SUMIF(ENTRADAS!A:A,A962,ENTRADAS!C:C))</f>
        <v>0</v>
      </c>
      <c r="D962" s="10">
        <f>SUMIF(SALIDAS!A:A,A962,SALIDAS!C:C)</f>
        <v>0</v>
      </c>
      <c r="E962" s="10">
        <f t="shared" si="2"/>
        <v>0</v>
      </c>
      <c r="F962" s="13"/>
      <c r="G962" s="13"/>
    </row>
    <row r="963" ht="15.75" customHeight="1">
      <c r="A963" s="13"/>
      <c r="B963" s="13"/>
      <c r="C963" s="9">
        <f>IFERROR(SUMIF(ENTRADAS!A:A,A963,ENTRADAS!C:C))</f>
        <v>0</v>
      </c>
      <c r="D963" s="10">
        <f>SUMIF(SALIDAS!A:A,A963,SALIDAS!C:C)</f>
        <v>0</v>
      </c>
      <c r="E963" s="10">
        <f t="shared" si="2"/>
        <v>0</v>
      </c>
      <c r="F963" s="13"/>
      <c r="G963" s="13"/>
    </row>
    <row r="964" ht="15.75" customHeight="1">
      <c r="A964" s="13"/>
      <c r="B964" s="13"/>
      <c r="C964" s="9">
        <f>IFERROR(SUMIF(ENTRADAS!A:A,A964,ENTRADAS!C:C))</f>
        <v>0</v>
      </c>
      <c r="D964" s="10">
        <f>SUMIF(SALIDAS!A:A,A964,SALIDAS!C:C)</f>
        <v>0</v>
      </c>
      <c r="E964" s="10">
        <f t="shared" si="2"/>
        <v>0</v>
      </c>
      <c r="F964" s="13"/>
      <c r="G964" s="13"/>
    </row>
    <row r="965" ht="15.75" customHeight="1">
      <c r="A965" s="13"/>
      <c r="B965" s="13"/>
      <c r="C965" s="9">
        <f>IFERROR(SUMIF(ENTRADAS!A:A,A965,ENTRADAS!C:C))</f>
        <v>0</v>
      </c>
      <c r="D965" s="10">
        <f>SUMIF(SALIDAS!A:A,A965,SALIDAS!C:C)</f>
        <v>0</v>
      </c>
      <c r="E965" s="10">
        <f t="shared" si="2"/>
        <v>0</v>
      </c>
      <c r="F965" s="13"/>
      <c r="G965" s="13"/>
    </row>
    <row r="966" ht="15.75" customHeight="1">
      <c r="A966" s="13"/>
      <c r="B966" s="13"/>
      <c r="C966" s="9">
        <f>IFERROR(SUMIF(ENTRADAS!A:A,A966,ENTRADAS!C:C))</f>
        <v>0</v>
      </c>
      <c r="D966" s="10">
        <f>SUMIF(SALIDAS!A:A,A966,SALIDAS!C:C)</f>
        <v>0</v>
      </c>
      <c r="E966" s="10">
        <f t="shared" si="2"/>
        <v>0</v>
      </c>
      <c r="F966" s="13"/>
      <c r="G966" s="13"/>
    </row>
    <row r="967" ht="15.75" customHeight="1">
      <c r="A967" s="13"/>
      <c r="B967" s="13"/>
      <c r="C967" s="9">
        <f>IFERROR(SUMIF(ENTRADAS!A:A,A967,ENTRADAS!C:C))</f>
        <v>0</v>
      </c>
      <c r="D967" s="10">
        <f>SUMIF(SALIDAS!A:A,A967,SALIDAS!C:C)</f>
        <v>0</v>
      </c>
      <c r="E967" s="10">
        <f t="shared" si="2"/>
        <v>0</v>
      </c>
      <c r="F967" s="13"/>
      <c r="G967" s="13"/>
    </row>
    <row r="968" ht="15.75" customHeight="1">
      <c r="A968" s="13"/>
      <c r="B968" s="13"/>
      <c r="C968" s="9">
        <f>IFERROR(SUMIF(ENTRADAS!A:A,A968,ENTRADAS!C:C))</f>
        <v>0</v>
      </c>
      <c r="D968" s="10">
        <f>SUMIF(SALIDAS!A:A,A968,SALIDAS!C:C)</f>
        <v>0</v>
      </c>
      <c r="E968" s="10">
        <f t="shared" si="2"/>
        <v>0</v>
      </c>
      <c r="F968" s="13"/>
      <c r="G968" s="13"/>
    </row>
    <row r="969" ht="15.75" customHeight="1">
      <c r="A969" s="13"/>
      <c r="B969" s="13"/>
      <c r="C969" s="9">
        <f>IFERROR(SUMIF(ENTRADAS!A:A,A969,ENTRADAS!C:C))</f>
        <v>0</v>
      </c>
      <c r="D969" s="10">
        <f>SUMIF(SALIDAS!A:A,A969,SALIDAS!C:C)</f>
        <v>0</v>
      </c>
      <c r="E969" s="10">
        <f t="shared" si="2"/>
        <v>0</v>
      </c>
      <c r="F969" s="13"/>
      <c r="G969" s="13"/>
    </row>
    <row r="970" ht="15.75" customHeight="1">
      <c r="A970" s="13"/>
      <c r="B970" s="13"/>
      <c r="C970" s="9">
        <f>IFERROR(SUMIF(ENTRADAS!A:A,A970,ENTRADAS!C:C))</f>
        <v>0</v>
      </c>
      <c r="D970" s="10">
        <f>SUMIF(SALIDAS!A:A,A970,SALIDAS!C:C)</f>
        <v>0</v>
      </c>
      <c r="E970" s="10">
        <f t="shared" si="2"/>
        <v>0</v>
      </c>
      <c r="F970" s="13"/>
      <c r="G970" s="13"/>
    </row>
    <row r="971" ht="15.75" customHeight="1">
      <c r="A971" s="13"/>
      <c r="B971" s="13"/>
      <c r="C971" s="9">
        <f>IFERROR(SUMIF(ENTRADAS!A:A,A971,ENTRADAS!C:C))</f>
        <v>0</v>
      </c>
      <c r="D971" s="10">
        <f>SUMIF(SALIDAS!A:A,A971,SALIDAS!C:C)</f>
        <v>0</v>
      </c>
      <c r="E971" s="10">
        <f t="shared" si="2"/>
        <v>0</v>
      </c>
      <c r="F971" s="13"/>
      <c r="G971" s="13"/>
    </row>
    <row r="972" ht="15.75" customHeight="1">
      <c r="A972" s="13"/>
      <c r="B972" s="13"/>
      <c r="C972" s="9">
        <f>IFERROR(SUMIF(ENTRADAS!A:A,A972,ENTRADAS!C:C))</f>
        <v>0</v>
      </c>
      <c r="D972" s="10">
        <f>SUMIF(SALIDAS!A:A,A972,SALIDAS!C:C)</f>
        <v>0</v>
      </c>
      <c r="E972" s="10">
        <f t="shared" si="2"/>
        <v>0</v>
      </c>
      <c r="F972" s="13"/>
      <c r="G972" s="13"/>
    </row>
    <row r="973" ht="15.75" customHeight="1">
      <c r="A973" s="13"/>
      <c r="B973" s="13"/>
      <c r="C973" s="9">
        <f>IFERROR(SUMIF(ENTRADAS!A:A,A973,ENTRADAS!C:C))</f>
        <v>0</v>
      </c>
      <c r="D973" s="10">
        <f>SUMIF(SALIDAS!A:A,A973,SALIDAS!C:C)</f>
        <v>0</v>
      </c>
      <c r="E973" s="10">
        <f t="shared" si="2"/>
        <v>0</v>
      </c>
      <c r="F973" s="13"/>
      <c r="G973" s="13"/>
    </row>
    <row r="974" ht="15.75" customHeight="1">
      <c r="A974" s="13"/>
      <c r="B974" s="13"/>
      <c r="C974" s="9">
        <f>IFERROR(SUMIF(ENTRADAS!A:A,A974,ENTRADAS!C:C))</f>
        <v>0</v>
      </c>
      <c r="D974" s="10">
        <f>SUMIF(SALIDAS!A:A,A974,SALIDAS!C:C)</f>
        <v>0</v>
      </c>
      <c r="E974" s="10">
        <f t="shared" si="2"/>
        <v>0</v>
      </c>
      <c r="F974" s="13"/>
      <c r="G974" s="13"/>
    </row>
    <row r="975" ht="15.75" customHeight="1">
      <c r="A975" s="13"/>
      <c r="B975" s="13"/>
      <c r="C975" s="9">
        <f>IFERROR(SUMIF(ENTRADAS!A:A,A975,ENTRADAS!C:C))</f>
        <v>0</v>
      </c>
      <c r="D975" s="10">
        <f>SUMIF(SALIDAS!A:A,A975,SALIDAS!C:C)</f>
        <v>0</v>
      </c>
      <c r="E975" s="10">
        <f t="shared" si="2"/>
        <v>0</v>
      </c>
      <c r="F975" s="13"/>
      <c r="G975" s="13"/>
    </row>
    <row r="976" ht="15.75" customHeight="1">
      <c r="A976" s="13"/>
      <c r="B976" s="13"/>
      <c r="C976" s="9">
        <f>IFERROR(SUMIF(ENTRADAS!A:A,A976,ENTRADAS!C:C))</f>
        <v>0</v>
      </c>
      <c r="D976" s="10">
        <f>SUMIF(SALIDAS!A:A,A976,SALIDAS!C:C)</f>
        <v>0</v>
      </c>
      <c r="E976" s="10">
        <f t="shared" si="2"/>
        <v>0</v>
      </c>
      <c r="F976" s="13"/>
      <c r="G976" s="13"/>
    </row>
    <row r="977" ht="15.75" customHeight="1">
      <c r="A977" s="13"/>
      <c r="B977" s="13"/>
      <c r="C977" s="9">
        <f>IFERROR(SUMIF(ENTRADAS!A:A,A977,ENTRADAS!C:C))</f>
        <v>0</v>
      </c>
      <c r="D977" s="10">
        <f>SUMIF(SALIDAS!A:A,A977,SALIDAS!C:C)</f>
        <v>0</v>
      </c>
      <c r="E977" s="10">
        <f t="shared" si="2"/>
        <v>0</v>
      </c>
      <c r="F977" s="13"/>
      <c r="G977" s="13"/>
    </row>
    <row r="978" ht="15.75" customHeight="1">
      <c r="A978" s="13"/>
      <c r="B978" s="13"/>
      <c r="C978" s="9">
        <f>IFERROR(SUMIF(ENTRADAS!A:A,A978,ENTRADAS!C:C))</f>
        <v>0</v>
      </c>
      <c r="D978" s="10">
        <f>SUMIF(SALIDAS!A:A,A978,SALIDAS!C:C)</f>
        <v>0</v>
      </c>
      <c r="E978" s="10">
        <f t="shared" si="2"/>
        <v>0</v>
      </c>
      <c r="F978" s="13"/>
      <c r="G978" s="13"/>
    </row>
    <row r="979" ht="15.75" customHeight="1">
      <c r="A979" s="13"/>
      <c r="B979" s="13"/>
      <c r="C979" s="9">
        <f>IFERROR(SUMIF(ENTRADAS!A:A,A979,ENTRADAS!C:C))</f>
        <v>0</v>
      </c>
      <c r="D979" s="10">
        <f>SUMIF(SALIDAS!A:A,A979,SALIDAS!C:C)</f>
        <v>0</v>
      </c>
      <c r="E979" s="10">
        <f t="shared" si="2"/>
        <v>0</v>
      </c>
      <c r="F979" s="13"/>
      <c r="G979" s="13"/>
    </row>
    <row r="980" ht="15.75" customHeight="1">
      <c r="A980" s="13"/>
      <c r="B980" s="13"/>
      <c r="C980" s="9">
        <f>IFERROR(SUMIF(ENTRADAS!A:A,A980,ENTRADAS!C:C))</f>
        <v>0</v>
      </c>
      <c r="D980" s="10">
        <f>SUMIF(SALIDAS!A:A,A980,SALIDAS!C:C)</f>
        <v>0</v>
      </c>
      <c r="E980" s="10">
        <f t="shared" si="2"/>
        <v>0</v>
      </c>
      <c r="F980" s="13"/>
      <c r="G980" s="13"/>
    </row>
    <row r="981" ht="15.75" customHeight="1">
      <c r="A981" s="13"/>
      <c r="B981" s="13"/>
      <c r="C981" s="9">
        <f>IFERROR(SUMIF(ENTRADAS!A:A,A981,ENTRADAS!C:C))</f>
        <v>0</v>
      </c>
      <c r="D981" s="10">
        <f>SUMIF(SALIDAS!A:A,A981,SALIDAS!C:C)</f>
        <v>0</v>
      </c>
      <c r="E981" s="10">
        <f t="shared" si="2"/>
        <v>0</v>
      </c>
      <c r="F981" s="13"/>
      <c r="G981" s="13"/>
    </row>
    <row r="982" ht="15.75" customHeight="1">
      <c r="A982" s="13"/>
      <c r="B982" s="13"/>
      <c r="C982" s="9">
        <f>IFERROR(SUMIF(ENTRADAS!A:A,A982,ENTRADAS!C:C))</f>
        <v>0</v>
      </c>
      <c r="D982" s="10">
        <f>SUMIF(SALIDAS!A:A,A982,SALIDAS!C:C)</f>
        <v>0</v>
      </c>
      <c r="E982" s="10">
        <f t="shared" si="2"/>
        <v>0</v>
      </c>
      <c r="F982" s="13"/>
      <c r="G982" s="13"/>
    </row>
    <row r="983" ht="15.75" customHeight="1">
      <c r="A983" s="13"/>
      <c r="B983" s="13"/>
      <c r="C983" s="9">
        <f>IFERROR(SUMIF(ENTRADAS!A:A,A983,ENTRADAS!C:C))</f>
        <v>0</v>
      </c>
      <c r="D983" s="10">
        <f>SUMIF(SALIDAS!A:A,A983,SALIDAS!C:C)</f>
        <v>0</v>
      </c>
      <c r="E983" s="10">
        <f t="shared" si="2"/>
        <v>0</v>
      </c>
      <c r="F983" s="13"/>
      <c r="G983" s="13"/>
    </row>
    <row r="984" ht="15.75" customHeight="1">
      <c r="A984" s="13"/>
      <c r="B984" s="13"/>
      <c r="C984" s="9">
        <f>IFERROR(SUMIF(ENTRADAS!A:A,A984,ENTRADAS!C:C))</f>
        <v>0</v>
      </c>
      <c r="D984" s="10">
        <f>SUMIF(SALIDAS!A:A,A984,SALIDAS!C:C)</f>
        <v>0</v>
      </c>
      <c r="E984" s="10">
        <f t="shared" si="2"/>
        <v>0</v>
      </c>
      <c r="F984" s="13"/>
      <c r="G984" s="13"/>
    </row>
    <row r="985" ht="15.75" customHeight="1">
      <c r="A985" s="13"/>
      <c r="B985" s="13"/>
      <c r="C985" s="9">
        <f>IFERROR(SUMIF(ENTRADAS!A:A,A985,ENTRADAS!C:C))</f>
        <v>0</v>
      </c>
      <c r="D985" s="10">
        <f>SUMIF(SALIDAS!A:A,A985,SALIDAS!C:C)</f>
        <v>0</v>
      </c>
      <c r="E985" s="10">
        <f t="shared" si="2"/>
        <v>0</v>
      </c>
      <c r="F985" s="13"/>
      <c r="G985" s="13"/>
    </row>
    <row r="986" ht="15.75" customHeight="1">
      <c r="A986" s="13"/>
      <c r="B986" s="13"/>
      <c r="C986" s="9">
        <f>IFERROR(SUMIF(ENTRADAS!A:A,A986,ENTRADAS!C:C))</f>
        <v>0</v>
      </c>
      <c r="D986" s="10">
        <f>SUMIF(SALIDAS!A:A,A986,SALIDAS!C:C)</f>
        <v>0</v>
      </c>
      <c r="E986" s="10">
        <f t="shared" si="2"/>
        <v>0</v>
      </c>
      <c r="F986" s="13"/>
      <c r="G986" s="13"/>
    </row>
    <row r="987" ht="15.75" customHeight="1">
      <c r="A987" s="13"/>
      <c r="B987" s="13"/>
      <c r="C987" s="9">
        <f>IFERROR(SUMIF(ENTRADAS!A:A,A987,ENTRADAS!C:C))</f>
        <v>0</v>
      </c>
      <c r="D987" s="10">
        <f>SUMIF(SALIDAS!A:A,A987,SALIDAS!C:C)</f>
        <v>0</v>
      </c>
      <c r="E987" s="10">
        <f t="shared" si="2"/>
        <v>0</v>
      </c>
      <c r="F987" s="13"/>
      <c r="G987" s="13"/>
    </row>
    <row r="988" ht="15.75" customHeight="1">
      <c r="A988" s="13"/>
      <c r="B988" s="13"/>
      <c r="C988" s="9">
        <f>IFERROR(SUMIF(ENTRADAS!A:A,A988,ENTRADAS!C:C))</f>
        <v>0</v>
      </c>
      <c r="D988" s="10">
        <f>SUMIF(SALIDAS!A:A,A988,SALIDAS!C:C)</f>
        <v>0</v>
      </c>
      <c r="E988" s="10">
        <f t="shared" si="2"/>
        <v>0</v>
      </c>
      <c r="F988" s="13"/>
      <c r="G988" s="13"/>
    </row>
    <row r="989" ht="15.75" customHeight="1">
      <c r="A989" s="13"/>
      <c r="B989" s="13"/>
      <c r="C989" s="9">
        <f>IFERROR(SUMIF(ENTRADAS!A:A,A989,ENTRADAS!C:C))</f>
        <v>0</v>
      </c>
      <c r="D989" s="10">
        <f>SUMIF(SALIDAS!A:A,A989,SALIDAS!C:C)</f>
        <v>0</v>
      </c>
      <c r="E989" s="10">
        <f t="shared" si="2"/>
        <v>0</v>
      </c>
      <c r="F989" s="13"/>
      <c r="G989" s="13"/>
    </row>
    <row r="990" ht="15.75" customHeight="1">
      <c r="A990" s="13"/>
      <c r="B990" s="13"/>
      <c r="C990" s="9">
        <f>IFERROR(SUMIF(ENTRADAS!A:A,A990,ENTRADAS!C:C))</f>
        <v>0</v>
      </c>
      <c r="D990" s="10">
        <f>SUMIF(SALIDAS!A:A,A990,SALIDAS!C:C)</f>
        <v>0</v>
      </c>
      <c r="E990" s="10">
        <f t="shared" si="2"/>
        <v>0</v>
      </c>
      <c r="F990" s="13"/>
      <c r="G990" s="13"/>
    </row>
    <row r="991" ht="15.75" customHeight="1">
      <c r="A991" s="13"/>
      <c r="B991" s="13"/>
      <c r="C991" s="9">
        <f>IFERROR(SUMIF(ENTRADAS!A:A,A991,ENTRADAS!C:C))</f>
        <v>0</v>
      </c>
      <c r="D991" s="10">
        <f>SUMIF(SALIDAS!A:A,A991,SALIDAS!C:C)</f>
        <v>0</v>
      </c>
      <c r="E991" s="10">
        <f t="shared" si="2"/>
        <v>0</v>
      </c>
      <c r="F991" s="13"/>
      <c r="G991" s="13"/>
    </row>
    <row r="992" ht="15.75" customHeight="1">
      <c r="A992" s="13"/>
      <c r="B992" s="13"/>
      <c r="C992" s="9">
        <f>IFERROR(SUMIF(ENTRADAS!A:A,A992,ENTRADAS!C:C))</f>
        <v>0</v>
      </c>
      <c r="D992" s="10">
        <f>SUMIF(SALIDAS!A:A,A992,SALIDAS!C:C)</f>
        <v>0</v>
      </c>
      <c r="E992" s="10">
        <f t="shared" si="2"/>
        <v>0</v>
      </c>
      <c r="F992" s="13"/>
      <c r="G992" s="13"/>
    </row>
    <row r="993" ht="15.75" customHeight="1">
      <c r="A993" s="13"/>
      <c r="B993" s="13"/>
      <c r="C993" s="9">
        <f>IFERROR(SUMIF(ENTRADAS!A:A,A993,ENTRADAS!C:C))</f>
        <v>0</v>
      </c>
      <c r="D993" s="10">
        <f>SUMIF(SALIDAS!A:A,A993,SALIDAS!C:C)</f>
        <v>0</v>
      </c>
      <c r="E993" s="10">
        <f t="shared" si="2"/>
        <v>0</v>
      </c>
      <c r="F993" s="13"/>
      <c r="G993" s="13"/>
    </row>
    <row r="994" ht="15.75" customHeight="1">
      <c r="A994" s="13"/>
      <c r="B994" s="13"/>
      <c r="C994" s="9">
        <f>IFERROR(SUMIF(ENTRADAS!A:A,A994,ENTRADAS!C:C))</f>
        <v>0</v>
      </c>
      <c r="D994" s="10">
        <f>SUMIF(SALIDAS!A:A,A994,SALIDAS!C:C)</f>
        <v>0</v>
      </c>
      <c r="E994" s="10">
        <f t="shared" si="2"/>
        <v>0</v>
      </c>
      <c r="F994" s="13"/>
      <c r="G994" s="13"/>
    </row>
    <row r="995" ht="15.75" customHeight="1">
      <c r="A995" s="13"/>
      <c r="B995" s="13"/>
      <c r="C995" s="9">
        <f>IFERROR(SUMIF(ENTRADAS!A:A,A995,ENTRADAS!C:C))</f>
        <v>0</v>
      </c>
      <c r="D995" s="10">
        <f>SUMIF(SALIDAS!A:A,A995,SALIDAS!C:C)</f>
        <v>0</v>
      </c>
      <c r="E995" s="10">
        <f t="shared" si="2"/>
        <v>0</v>
      </c>
      <c r="F995" s="13"/>
      <c r="G995" s="13"/>
    </row>
    <row r="996" ht="15.75" customHeight="1">
      <c r="A996" s="13"/>
      <c r="B996" s="13"/>
      <c r="C996" s="9">
        <f>IFERROR(SUMIF(ENTRADAS!A:A,A996,ENTRADAS!C:C))</f>
        <v>0</v>
      </c>
      <c r="D996" s="10">
        <f>SUMIF(SALIDAS!A:A,A996,SALIDAS!C:C)</f>
        <v>0</v>
      </c>
      <c r="E996" s="10">
        <f t="shared" si="2"/>
        <v>0</v>
      </c>
      <c r="F996" s="13"/>
      <c r="G996" s="13"/>
    </row>
    <row r="997" ht="15.75" customHeight="1">
      <c r="A997" s="13"/>
      <c r="B997" s="13"/>
      <c r="C997" s="9">
        <f>IFERROR(SUMIF(ENTRADAS!A:A,A997,ENTRADAS!C:C))</f>
        <v>0</v>
      </c>
      <c r="D997" s="10">
        <f>SUMIF(SALIDAS!A:A,A997,SALIDAS!C:C)</f>
        <v>0</v>
      </c>
      <c r="E997" s="10">
        <f t="shared" si="2"/>
        <v>0</v>
      </c>
      <c r="F997" s="13"/>
      <c r="G997" s="13"/>
    </row>
    <row r="998" ht="15.75" customHeight="1">
      <c r="A998" s="13"/>
      <c r="B998" s="13"/>
      <c r="C998" s="9">
        <f>IFERROR(SUMIF(ENTRADAS!A:A,A998,ENTRADAS!C:C))</f>
        <v>0</v>
      </c>
      <c r="D998" s="10">
        <f>SUMIF(SALIDAS!A:A,A998,SALIDAS!C:C)</f>
        <v>0</v>
      </c>
      <c r="E998" s="10">
        <f t="shared" si="2"/>
        <v>0</v>
      </c>
      <c r="F998" s="13"/>
      <c r="G998" s="13"/>
    </row>
    <row r="999" ht="15.75" customHeight="1">
      <c r="A999" s="13"/>
      <c r="B999" s="13"/>
      <c r="C999" s="9">
        <f>IFERROR(SUMIF(ENTRADAS!A:A,A999,ENTRADAS!C:C))</f>
        <v>0</v>
      </c>
      <c r="D999" s="10">
        <f>SUMIF(SALIDAS!A:A,A999,SALIDAS!C:C)</f>
        <v>0</v>
      </c>
      <c r="E999" s="10">
        <f t="shared" si="2"/>
        <v>0</v>
      </c>
      <c r="F999" s="13"/>
      <c r="G999" s="13"/>
    </row>
    <row r="1000" ht="15.75" customHeight="1">
      <c r="A1000" s="13"/>
      <c r="B1000" s="13"/>
      <c r="C1000" s="9">
        <f>IFERROR(SUMIF(ENTRADAS!A:A,A1000,ENTRADAS!C:C))</f>
        <v>0</v>
      </c>
      <c r="D1000" s="10">
        <f>SUMIF(SALIDAS!A:A,A1000,SALIDAS!C:C)</f>
        <v>0</v>
      </c>
      <c r="E1000" s="10">
        <f t="shared" si="2"/>
        <v>0</v>
      </c>
      <c r="F1000" s="13"/>
      <c r="G1000" s="13"/>
    </row>
  </sheetData>
  <mergeCells count="1">
    <mergeCell ref="B1:G2"/>
  </mergeCells>
  <printOptions horizontalCentered="1"/>
  <pageMargins bottom="0.19685039370078738" footer="0.0" header="0.0" left="0.19685039370078738" right="0.19685039370078738" top="0.19685039370078738"/>
  <pageSetup fitToHeight="0"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15.78"/>
    <col customWidth="1" min="2" max="2" width="50.56"/>
    <col customWidth="1" min="3" max="3" width="10.89"/>
    <col customWidth="1" min="4" max="4" width="32.33"/>
    <col customWidth="1" min="5" max="5" width="15.11"/>
  </cols>
  <sheetData>
    <row r="1" ht="15.75" customHeight="1">
      <c r="A1" s="1" t="s">
        <v>541</v>
      </c>
      <c r="B1" s="1" t="s">
        <v>542</v>
      </c>
      <c r="C1" s="2"/>
      <c r="D1" s="2"/>
      <c r="E1" s="2"/>
    </row>
    <row r="2" ht="15.75" customHeight="1">
      <c r="A2" s="3"/>
      <c r="B2" s="4"/>
      <c r="C2" s="4"/>
      <c r="D2" s="4"/>
      <c r="E2" s="4"/>
    </row>
    <row r="3" ht="15.75" customHeight="1">
      <c r="A3" s="6" t="s">
        <v>543</v>
      </c>
      <c r="B3" s="6" t="s">
        <v>3</v>
      </c>
      <c r="C3" s="6" t="s">
        <v>544</v>
      </c>
      <c r="D3" s="6" t="s">
        <v>7</v>
      </c>
      <c r="E3" s="6" t="s">
        <v>8</v>
      </c>
    </row>
    <row r="4" ht="15.75" customHeight="1">
      <c r="A4" s="7" t="s">
        <v>9</v>
      </c>
      <c r="B4" s="21" t="str">
        <f>IFERROR(VLOOKUP(A4,'PAÑOL TÉCNICO'!A4:B1000,2,0))</f>
        <v>Alicate</v>
      </c>
      <c r="C4" s="11">
        <v>3.0</v>
      </c>
      <c r="D4" s="12"/>
      <c r="E4" s="12"/>
    </row>
    <row r="5" ht="15.75" customHeight="1">
      <c r="A5" s="7" t="s">
        <v>12</v>
      </c>
      <c r="B5" s="21" t="str">
        <f>IFERROR(VLOOKUP(A5,'PAÑOL TÉCNICO'!A5:B1000,2,0))</f>
        <v>Arnes con cola de mono</v>
      </c>
      <c r="C5" s="11">
        <v>40.0</v>
      </c>
      <c r="D5" s="12"/>
      <c r="E5" s="12"/>
    </row>
    <row r="6" ht="15.75" customHeight="1">
      <c r="A6" s="7" t="s">
        <v>15</v>
      </c>
      <c r="B6" s="21" t="str">
        <f>IFERROR(VLOOKUP(A6,'PAÑOL TÉCNICO'!A6:B1000,2,0))</f>
        <v>Arnes sin cola de mono</v>
      </c>
      <c r="C6" s="11">
        <v>12.0</v>
      </c>
      <c r="D6" s="12"/>
      <c r="E6" s="12"/>
    </row>
    <row r="7" ht="15.75" customHeight="1">
      <c r="A7" s="7" t="s">
        <v>17</v>
      </c>
      <c r="B7" s="21" t="str">
        <f>IFERROR(VLOOKUP(A7,'PAÑOL TÉCNICO'!A7:B1000,2,0))</f>
        <v>Anteojo dual transparente Libus</v>
      </c>
      <c r="C7" s="11">
        <v>4.0</v>
      </c>
      <c r="D7" s="12"/>
      <c r="E7" s="12"/>
    </row>
    <row r="8" ht="15.75" customHeight="1">
      <c r="A8" s="7" t="s">
        <v>19</v>
      </c>
      <c r="B8" s="21" t="str">
        <f>IFERROR(VLOOKUP(A8,'PAÑOL TÉCNICO'!A8:B1000,2,0))</f>
        <v>Anteojo de protección</v>
      </c>
      <c r="C8" s="11">
        <v>7.0</v>
      </c>
      <c r="D8" s="12"/>
      <c r="E8" s="12"/>
    </row>
    <row r="9" ht="15.75" customHeight="1">
      <c r="A9" s="7" t="s">
        <v>21</v>
      </c>
      <c r="B9" s="21" t="str">
        <f>IFERROR(VLOOKUP(A9,'PAÑOL TÉCNICO'!A9:B1000,2,0))</f>
        <v>Atornilladora inalámbrica DeWalt (amarilla)</v>
      </c>
      <c r="C9" s="11">
        <v>5.0</v>
      </c>
      <c r="D9" s="12"/>
      <c r="E9" s="12"/>
    </row>
    <row r="10" ht="15.75" customHeight="1">
      <c r="A10" s="7" t="s">
        <v>24</v>
      </c>
      <c r="B10" s="21" t="str">
        <f>IFERROR(VLOOKUP(A10,'PAÑOL TÉCNICO'!A10:B1000,2,0))</f>
        <v>Atornilladora inalámbrica Hamilton (naranja)</v>
      </c>
      <c r="C10" s="11">
        <v>1.0</v>
      </c>
      <c r="D10" s="12"/>
      <c r="E10" s="12"/>
    </row>
    <row r="11" ht="15.75" customHeight="1">
      <c r="A11" s="7" t="s">
        <v>26</v>
      </c>
      <c r="B11" s="21" t="str">
        <f>IFERROR(VLOOKUP(A11,'PAÑOL TÉCNICO'!A11:B1000,2,0))</f>
        <v>Abrazadera p/tubo</v>
      </c>
      <c r="C11" s="11">
        <v>3.0</v>
      </c>
      <c r="D11" s="12"/>
      <c r="E11" s="12"/>
    </row>
    <row r="12" ht="15.75" customHeight="1">
      <c r="A12" s="7" t="s">
        <v>28</v>
      </c>
      <c r="B12" s="21" t="str">
        <f>IFERROR(VLOOKUP(A12,'PAÑOL TÉCNICO'!A12:B1000,2,0))</f>
        <v>Adaptador</v>
      </c>
      <c r="C12" s="11">
        <v>2.0</v>
      </c>
      <c r="D12" s="12"/>
      <c r="E12" s="12"/>
    </row>
    <row r="13" ht="15.75" customHeight="1">
      <c r="A13" s="7" t="s">
        <v>30</v>
      </c>
      <c r="B13" s="21" t="str">
        <f>IFERROR(VLOOKUP(A13,'PAÑOL TÉCNICO'!A13:B1000,2,0))</f>
        <v>Angulo para estantería</v>
      </c>
      <c r="C13" s="11">
        <v>6.0</v>
      </c>
      <c r="D13" s="12"/>
      <c r="E13" s="12"/>
    </row>
    <row r="14" ht="15.75" customHeight="1">
      <c r="A14" s="7" t="s">
        <v>32</v>
      </c>
      <c r="B14" s="21" t="str">
        <f>IFERROR(VLOOKUP(A14,'PAÑOL TÉCNICO'!A14:B1000,2,0))</f>
        <v>Arandela</v>
      </c>
      <c r="C14" s="11">
        <v>530.0</v>
      </c>
      <c r="D14" s="12"/>
      <c r="E14" s="12"/>
    </row>
    <row r="15" ht="15.75" customHeight="1">
      <c r="A15" s="7" t="s">
        <v>34</v>
      </c>
      <c r="B15" s="21" t="str">
        <f>IFERROR(VLOOKUP(A15,'PAÑOL TÉCNICO'!A15:B1000,2,0))</f>
        <v>Arandela grande</v>
      </c>
      <c r="C15" s="11">
        <v>206.0</v>
      </c>
      <c r="D15" s="12"/>
      <c r="E15" s="12"/>
    </row>
    <row r="16" ht="15.75" customHeight="1">
      <c r="A16" s="7" t="s">
        <v>36</v>
      </c>
      <c r="B16" s="21" t="str">
        <f>IFERROR(VLOOKUP(A16,'PAÑOL TÉCNICO'!A16:B1000,2,0))</f>
        <v>Aspiradora pequeña</v>
      </c>
      <c r="C16" s="19">
        <v>1.0</v>
      </c>
      <c r="D16" s="12"/>
      <c r="E16" s="12"/>
    </row>
    <row r="17" ht="15.75" customHeight="1">
      <c r="A17" s="7" t="s">
        <v>38</v>
      </c>
      <c r="B17" s="21" t="str">
        <f>IFERROR(VLOOKUP(A17,'PAÑOL TÉCNICO'!A17:B1000,2,0))</f>
        <v>Bandera argentina</v>
      </c>
      <c r="C17" s="11">
        <v>18.0</v>
      </c>
      <c r="D17" s="12"/>
      <c r="E17" s="12"/>
    </row>
    <row r="18" ht="15.75" customHeight="1">
      <c r="A18" s="7" t="s">
        <v>40</v>
      </c>
      <c r="B18" s="21" t="str">
        <f>IFERROR(VLOOKUP(A18,'PAÑOL TÉCNICO'!A18:B1000,2,0))</f>
        <v>Bidon vacío cortado</v>
      </c>
      <c r="C18" s="11">
        <v>3.0</v>
      </c>
      <c r="D18" s="12"/>
      <c r="E18" s="12"/>
    </row>
    <row r="19" ht="15.75" customHeight="1">
      <c r="A19" s="7" t="s">
        <v>42</v>
      </c>
      <c r="B19" s="21" t="str">
        <f>IFERROR(VLOOKUP(A19,'PAÑOL TÉCNICO'!A19:B1000,2,0))</f>
        <v>Batería ultimate 12V 1.5 AMP Hamilton (Máquina chica)</v>
      </c>
      <c r="C19" s="11">
        <v>1.0</v>
      </c>
      <c r="D19" s="12"/>
      <c r="E19" s="12"/>
    </row>
    <row r="20" ht="15.75" customHeight="1">
      <c r="A20" s="22" t="s">
        <v>44</v>
      </c>
      <c r="B20" s="21" t="str">
        <f>IFERROR(VLOOKUP(A20,'PAÑOL TÉCNICO'!A20:B1000,2,0))</f>
        <v>Bidon vacío sin cortar</v>
      </c>
      <c r="C20" s="11">
        <v>7.0</v>
      </c>
      <c r="D20" s="12"/>
      <c r="E20" s="12"/>
    </row>
    <row r="21" ht="15.75" customHeight="1">
      <c r="A21" s="7" t="s">
        <v>46</v>
      </c>
      <c r="B21" s="21" t="str">
        <f>IFERROR(VLOOKUP(A21,'PAÑOL TÉCNICO'!A21:B1000,2,0))</f>
        <v>Bolsa de tornillos autoperforante punta fisher 8x12" x 400u</v>
      </c>
      <c r="C21" s="11">
        <v>2.0</v>
      </c>
      <c r="D21" s="12"/>
      <c r="E21" s="12"/>
    </row>
    <row r="22" ht="15.75" customHeight="1">
      <c r="A22" s="7" t="s">
        <v>48</v>
      </c>
      <c r="B22" s="21" t="str">
        <f>IFERROR(VLOOKUP(A22,'PAÑOL TÉCNICO'!A22:B1000,2,0))</f>
        <v>Bolsa de tornillos autoperforante punta fisher x 250u</v>
      </c>
      <c r="C22" s="11">
        <v>3.0</v>
      </c>
      <c r="D22" s="12"/>
      <c r="E22" s="12"/>
    </row>
    <row r="23" ht="15.75" customHeight="1">
      <c r="A23" s="7" t="s">
        <v>50</v>
      </c>
      <c r="B23" s="21" t="str">
        <f>IFERROR(VLOOKUP(A23,'PAÑOL TÉCNICO'!A23:B1000,2,0))</f>
        <v>Bomba centrífuga</v>
      </c>
      <c r="C23" s="11">
        <v>1.0</v>
      </c>
      <c r="D23" s="12"/>
      <c r="E23" s="12"/>
    </row>
    <row r="24" ht="15.75" customHeight="1">
      <c r="A24" s="7" t="s">
        <v>52</v>
      </c>
      <c r="B24" s="21" t="str">
        <f>IFERROR(VLOOKUP(A24,'PAÑOL TÉCNICO'!A24:B1000,2,0))</f>
        <v>Par de botas de lluvia</v>
      </c>
      <c r="C24" s="11">
        <v>11.0</v>
      </c>
      <c r="D24" s="12"/>
      <c r="E24" s="12"/>
    </row>
    <row r="25" ht="15.75" customHeight="1">
      <c r="A25" s="7" t="s">
        <v>54</v>
      </c>
      <c r="B25" s="21" t="str">
        <f>IFERROR(VLOOKUP(A25,'PAÑOL TÉCNICO'!A25:B1000,2,0))</f>
        <v>Bulón de techo</v>
      </c>
      <c r="C25" s="11">
        <v>61.0</v>
      </c>
      <c r="D25" s="12"/>
      <c r="E25" s="12"/>
    </row>
    <row r="26" ht="15.75" customHeight="1">
      <c r="A26" s="7" t="s">
        <v>56</v>
      </c>
      <c r="B26" s="21" t="str">
        <f>IFERROR(VLOOKUP(A26,'PAÑOL TÉCNICO'!A26:B1000,2,0))</f>
        <v>Bulones de techo de tramo</v>
      </c>
      <c r="C26" s="11">
        <v>275.0</v>
      </c>
      <c r="D26" s="12"/>
      <c r="E26" s="12"/>
    </row>
    <row r="27" ht="15.75" customHeight="1">
      <c r="A27" s="7" t="s">
        <v>58</v>
      </c>
      <c r="B27" s="21" t="str">
        <f>IFERROR(VLOOKUP(A27,'PAÑOL TÉCNICO'!A27:B1000,2,0))</f>
        <v>Bulones de techo de tramo pequeños</v>
      </c>
      <c r="C27" s="11">
        <v>101.0</v>
      </c>
      <c r="D27" s="12"/>
      <c r="E27" s="12"/>
    </row>
    <row r="28" ht="15.75" customHeight="1">
      <c r="A28" s="7" t="s">
        <v>60</v>
      </c>
      <c r="B28" s="21" t="str">
        <f>IFERROR(VLOOKUP(A28,'PAÑOL TÉCNICO'!A28:B1000,2,0))</f>
        <v>Bulón grande de unión para techo</v>
      </c>
      <c r="C28" s="11">
        <v>2.0</v>
      </c>
      <c r="D28" s="12"/>
      <c r="E28" s="12"/>
    </row>
    <row r="29" ht="15.75" customHeight="1">
      <c r="A29" s="7" t="s">
        <v>62</v>
      </c>
      <c r="B29" s="21" t="str">
        <f>IFERROR(VLOOKUP(A29,'PAÑOL TÉCNICO'!A29:B1000,2,0))</f>
        <v>Bulón de unión para techo</v>
      </c>
      <c r="C29" s="11">
        <v>71.0</v>
      </c>
      <c r="D29" s="12"/>
      <c r="E29" s="12"/>
    </row>
    <row r="30" ht="15.75" customHeight="1">
      <c r="A30" s="7" t="s">
        <v>64</v>
      </c>
      <c r="B30" s="21" t="str">
        <f>IFERROR(VLOOKUP(A30,'PAÑOL TÉCNICO'!A30:B1000,2,0))</f>
        <v>Cable puente para batería reforzado (Taos)</v>
      </c>
      <c r="C30" s="11">
        <v>4.0</v>
      </c>
      <c r="D30" s="12"/>
      <c r="E30" s="12"/>
    </row>
    <row r="31" ht="15.75" customHeight="1">
      <c r="A31" s="7" t="s">
        <v>67</v>
      </c>
      <c r="B31" s="21" t="str">
        <f>IFERROR(VLOOKUP(A31,'PAÑOL TÉCNICO'!A31:B1000,2,0))</f>
        <v>Chaleco refractario</v>
      </c>
      <c r="C31" s="11">
        <v>13.0</v>
      </c>
      <c r="D31" s="12"/>
      <c r="E31" s="12"/>
    </row>
    <row r="32" ht="15.75" customHeight="1">
      <c r="A32" s="7" t="s">
        <v>70</v>
      </c>
      <c r="B32" s="21" t="str">
        <f>IFERROR(VLOOKUP(A32,'PAÑOL TÉCNICO'!A32:B1000,2,0))</f>
        <v>Cable acerado</v>
      </c>
      <c r="C32" s="11">
        <v>1.0</v>
      </c>
      <c r="D32" s="12"/>
      <c r="E32" s="12"/>
    </row>
    <row r="33" ht="15.75" customHeight="1">
      <c r="A33" s="7" t="s">
        <v>72</v>
      </c>
      <c r="B33" s="21" t="str">
        <f>IFERROR(VLOOKUP(A33,'PAÑOL TÉCNICO'!A33:B1000,2,0))</f>
        <v>Cargador de batería ultimate 12v Hamilton (Máquina chica)</v>
      </c>
      <c r="C33" s="11">
        <v>1.0</v>
      </c>
      <c r="D33" s="12"/>
      <c r="E33" s="12"/>
    </row>
    <row r="34" ht="15.75" customHeight="1">
      <c r="A34" s="22" t="s">
        <v>74</v>
      </c>
      <c r="B34" s="21" t="str">
        <f>IFERROR(VLOOKUP(A34,'PAÑOL TÉCNICO'!A34:B1000,2,0))</f>
        <v>Cadena</v>
      </c>
      <c r="C34" s="11">
        <v>8.0</v>
      </c>
      <c r="D34" s="12"/>
      <c r="E34" s="12"/>
    </row>
    <row r="35" ht="15.75" customHeight="1">
      <c r="A35" s="7" t="s">
        <v>76</v>
      </c>
      <c r="B35" s="21" t="str">
        <f>IFERROR(VLOOKUP(A35,'PAÑOL TÉCNICO'!A35:B1000,2,0))</f>
        <v>Cinta métrica 50mts (fibra de vidrio)</v>
      </c>
      <c r="C35" s="11">
        <v>3.0</v>
      </c>
      <c r="D35" s="12"/>
      <c r="E35" s="12"/>
    </row>
    <row r="36" ht="15.75" customHeight="1">
      <c r="A36" s="7" t="s">
        <v>78</v>
      </c>
      <c r="B36" s="21" t="str">
        <f>IFERROR(VLOOKUP(A36,'PAÑOL TÉCNICO'!A36:B1000,2,0))</f>
        <v>Caja de herrramientas para autolevador</v>
      </c>
      <c r="C36" s="11">
        <v>3.0</v>
      </c>
      <c r="D36" s="12"/>
      <c r="E36" s="12"/>
    </row>
    <row r="37" ht="15.75" customHeight="1">
      <c r="A37" s="7" t="s">
        <v>80</v>
      </c>
      <c r="B37" s="21" t="str">
        <f>IFERROR(VLOOKUP(A37,'PAÑOL TÉCNICO'!A37:B1000,2,0))</f>
        <v>Casco de Altura</v>
      </c>
      <c r="C37" s="11">
        <v>36.0</v>
      </c>
      <c r="D37" s="12"/>
      <c r="E37" s="12"/>
    </row>
    <row r="38" ht="15.75" customHeight="1">
      <c r="A38" s="7" t="s">
        <v>83</v>
      </c>
      <c r="B38" s="21" t="str">
        <f>IFERROR(VLOOKUP(A38,'PAÑOL TÉCNICO'!A38:B1000,2,0))</f>
        <v>Casco de Obra/Piso</v>
      </c>
      <c r="C38" s="11">
        <v>49.0</v>
      </c>
      <c r="D38" s="12"/>
      <c r="E38" s="12"/>
    </row>
    <row r="39" ht="15.75" customHeight="1">
      <c r="A39" s="7" t="s">
        <v>85</v>
      </c>
      <c r="B39" s="21" t="str">
        <f>IFERROR(VLOOKUP(A39,'PAÑOL TÉCNICO'!A39:B1000,2,0))</f>
        <v>Curva de techo de layher</v>
      </c>
      <c r="C39" s="11">
        <v>6.0</v>
      </c>
      <c r="D39" s="12"/>
      <c r="E39" s="12"/>
    </row>
    <row r="40" ht="15.75" customHeight="1">
      <c r="A40" s="7" t="s">
        <v>87</v>
      </c>
      <c r="B40" s="21" t="str">
        <f>IFERROR(VLOOKUP(A40,'PAÑOL TÉCNICO'!A40:B1000,2,0))</f>
        <v>Cono naranja</v>
      </c>
      <c r="C40" s="11">
        <v>2.0</v>
      </c>
      <c r="D40" s="12"/>
      <c r="E40" s="12"/>
    </row>
    <row r="41" ht="15.75" customHeight="1">
      <c r="A41" s="7" t="s">
        <v>89</v>
      </c>
      <c r="B41" s="21" t="str">
        <f>IFERROR(VLOOKUP(A41,'PAÑOL TÉCNICO'!A41:B1000,2,0))</f>
        <v>Cinta larga</v>
      </c>
      <c r="C41" s="11">
        <v>2.0</v>
      </c>
      <c r="D41" s="12"/>
      <c r="E41" s="12"/>
    </row>
    <row r="42" ht="15.75" customHeight="1">
      <c r="A42" s="7" t="s">
        <v>91</v>
      </c>
      <c r="B42" s="21" t="str">
        <f>IFERROR(VLOOKUP(A42,'PAÑOL TÉCNICO'!A42:B1000,2,0))</f>
        <v>Cajón vacío</v>
      </c>
      <c r="C42" s="11">
        <v>0.0</v>
      </c>
      <c r="D42" s="12"/>
      <c r="E42" s="12"/>
    </row>
    <row r="43" ht="15.75" customHeight="1">
      <c r="A43" s="7" t="s">
        <v>93</v>
      </c>
      <c r="B43" s="21" t="str">
        <f>IFERROR(VLOOKUP(A43,'PAÑOL TÉCNICO'!A43:B1000,2,0))</f>
        <v>Caladora</v>
      </c>
      <c r="C43" s="11">
        <v>1.0</v>
      </c>
      <c r="D43" s="12"/>
      <c r="E43" s="12"/>
    </row>
    <row r="44" ht="15.75" customHeight="1">
      <c r="A44" s="7" t="s">
        <v>95</v>
      </c>
      <c r="B44" s="21" t="str">
        <f>IFERROR(VLOOKUP(A44,'PAÑOL TÉCNICO'!A44:B1000,2,0))</f>
        <v>Capa de lluvia (usada)</v>
      </c>
      <c r="C44" s="23"/>
      <c r="D44" s="12"/>
      <c r="E44" s="12"/>
    </row>
    <row r="45" ht="15.75" customHeight="1">
      <c r="A45" s="7" t="s">
        <v>98</v>
      </c>
      <c r="B45" s="21" t="str">
        <f>IFERROR(VLOOKUP(A45,'PAÑOL TÉCNICO'!A45:B1000,2,0))</f>
        <v>Capa de lluvia (nuevas)</v>
      </c>
      <c r="C45" s="11">
        <v>13.0</v>
      </c>
      <c r="D45" s="12"/>
      <c r="E45" s="12"/>
    </row>
    <row r="46" ht="15.75" customHeight="1">
      <c r="A46" s="7" t="s">
        <v>100</v>
      </c>
      <c r="B46" s="21" t="str">
        <f>IFERROR(VLOOKUP(A46,'PAÑOL TÉCNICO'!A46:B1000,2,0))</f>
        <v>Cutter</v>
      </c>
      <c r="C46" s="11">
        <v>5.0</v>
      </c>
      <c r="D46" s="12"/>
      <c r="E46" s="12"/>
    </row>
    <row r="47" ht="15.75" customHeight="1">
      <c r="A47" s="7" t="s">
        <v>102</v>
      </c>
      <c r="B47" s="21" t="str">
        <f>IFERROR(VLOOKUP(A47,'PAÑOL TÉCNICO'!A47:B1000,2,0))</f>
        <v>Central de alarma AT3000</v>
      </c>
      <c r="C47" s="11">
        <v>1.0</v>
      </c>
      <c r="D47" s="12"/>
      <c r="E47" s="12"/>
    </row>
    <row r="48" ht="15.75" customHeight="1">
      <c r="A48" s="7" t="s">
        <v>104</v>
      </c>
      <c r="B48" s="21" t="str">
        <f>IFERROR(VLOOKUP(A48,'PAÑOL TÉCNICO'!A48:B1000,2,0))</f>
        <v>Cinta métrica de 8 mts</v>
      </c>
      <c r="C48" s="11">
        <v>6.0</v>
      </c>
      <c r="D48" s="12"/>
      <c r="E48" s="12"/>
    </row>
    <row r="49" ht="15.75" customHeight="1">
      <c r="A49" s="7" t="s">
        <v>106</v>
      </c>
      <c r="B49" s="21" t="str">
        <f>IFERROR(VLOOKUP(A49,'PAÑOL TÉCNICO'!A49:B1000,2,0))</f>
        <v>Caja de herramientas</v>
      </c>
      <c r="C49" s="11">
        <v>2.0</v>
      </c>
      <c r="D49" s="12"/>
      <c r="E49" s="12"/>
    </row>
    <row r="50" ht="15.75" customHeight="1">
      <c r="A50" s="7" t="s">
        <v>109</v>
      </c>
      <c r="B50" s="21" t="str">
        <f>IFERROR(VLOOKUP(A50,'PAÑOL TÉCNICO'!A50:B1000,2,0))</f>
        <v>Criquet</v>
      </c>
      <c r="C50" s="11">
        <v>5.0</v>
      </c>
      <c r="D50" s="12"/>
      <c r="E50" s="12"/>
    </row>
    <row r="51" ht="15.75" customHeight="1">
      <c r="A51" s="7" t="s">
        <v>111</v>
      </c>
      <c r="B51" s="21" t="str">
        <f>IFERROR(VLOOKUP(A51,'PAÑOL TÉCNICO'!A51:B1000,2,0))</f>
        <v>Clavija</v>
      </c>
      <c r="C51" s="11">
        <v>7.0</v>
      </c>
      <c r="D51" s="12"/>
      <c r="E51" s="12"/>
    </row>
    <row r="52" ht="15.75" customHeight="1">
      <c r="A52" s="7" t="s">
        <v>113</v>
      </c>
      <c r="B52" s="21" t="str">
        <f>IFERROR(VLOOKUP(A52,'PAÑOL TÉCNICO'!A52:B1000,2,0))</f>
        <v>Colita de chancho</v>
      </c>
      <c r="C52" s="11">
        <v>183.0</v>
      </c>
      <c r="D52" s="12"/>
      <c r="E52" s="12"/>
    </row>
    <row r="53" ht="15.75" customHeight="1">
      <c r="A53" s="7" t="s">
        <v>115</v>
      </c>
      <c r="B53" s="21" t="str">
        <f>IFERROR(VLOOKUP(A53,'PAÑOL TÉCNICO'!A53:B1000,2,0))</f>
        <v>Cerradura</v>
      </c>
      <c r="C53" s="11">
        <v>1.0</v>
      </c>
      <c r="D53" s="12"/>
      <c r="E53" s="12"/>
    </row>
    <row r="54" ht="15.75" customHeight="1">
      <c r="A54" s="7" t="s">
        <v>117</v>
      </c>
      <c r="B54" s="21" t="str">
        <f>IFERROR(VLOOKUP(A54,'PAÑOL TÉCNICO'!A54:B1000,2,0))</f>
        <v>Caja de tornillos philip 10x2" x 500 u</v>
      </c>
      <c r="C54" s="11">
        <v>4.0</v>
      </c>
      <c r="D54" s="12"/>
      <c r="E54" s="12"/>
    </row>
    <row r="55" ht="15.75" customHeight="1">
      <c r="A55" s="7" t="s">
        <v>119</v>
      </c>
      <c r="B55" s="21" t="str">
        <f>IFERROR(VLOOKUP(A55,'PAÑOL TÉCNICO'!A55:B1000,2,0))</f>
        <v>Cola de Mono</v>
      </c>
      <c r="C55" s="11">
        <v>1.0</v>
      </c>
      <c r="D55" s="12"/>
      <c r="E55" s="12"/>
    </row>
    <row r="56" ht="15.75" customHeight="1">
      <c r="A56" s="7" t="s">
        <v>121</v>
      </c>
      <c r="B56" s="21" t="str">
        <f>IFERROR(VLOOKUP(A56,'PAÑOL TÉCNICO'!A56:B1000,2,0))</f>
        <v>Caja de 10000 u tornillos negros</v>
      </c>
      <c r="C56" s="11">
        <v>3.0</v>
      </c>
      <c r="D56" s="12"/>
      <c r="E56" s="12"/>
    </row>
    <row r="57" ht="15.75" customHeight="1">
      <c r="A57" s="7" t="s">
        <v>123</v>
      </c>
      <c r="B57" s="21" t="str">
        <f>IFERROR(VLOOKUP(A57,'PAÑOL TÉCNICO'!A57:B1000,2,0))</f>
        <v>Disco para cocina</v>
      </c>
      <c r="C57" s="11">
        <v>1.0</v>
      </c>
      <c r="D57" s="12"/>
      <c r="E57" s="12"/>
    </row>
    <row r="58" ht="15.75" customHeight="1">
      <c r="A58" s="7" t="s">
        <v>125</v>
      </c>
      <c r="B58" s="21" t="str">
        <f>IFERROR(VLOOKUP(A58,'PAÑOL TÉCNICO'!A58:B1000,2,0))</f>
        <v>Destornillador philip</v>
      </c>
      <c r="C58" s="11">
        <v>3.0</v>
      </c>
      <c r="D58" s="12"/>
      <c r="E58" s="12"/>
    </row>
    <row r="59" ht="15.75" customHeight="1">
      <c r="A59" s="7" t="s">
        <v>127</v>
      </c>
      <c r="B59" s="21" t="str">
        <f>IFERROR(VLOOKUP(A59,'PAÑOL TÉCNICO'!A59:B1000,2,0))</f>
        <v>Destornillador plano</v>
      </c>
      <c r="C59" s="11">
        <v>3.0</v>
      </c>
      <c r="D59" s="12"/>
      <c r="E59" s="12"/>
    </row>
    <row r="60" ht="15.75" customHeight="1">
      <c r="A60" s="7" t="s">
        <v>129</v>
      </c>
      <c r="B60" s="21" t="str">
        <f>IFERROR(VLOOKUP(A60,'PAÑOL TÉCNICO'!A60:B1000,2,0))</f>
        <v>Escalera 4/5 peldaños</v>
      </c>
      <c r="C60" s="11">
        <v>1.0</v>
      </c>
      <c r="D60" s="12"/>
      <c r="E60" s="12"/>
    </row>
    <row r="61" ht="15.75" customHeight="1">
      <c r="A61" s="7" t="s">
        <v>131</v>
      </c>
      <c r="B61" s="21" t="str">
        <f>IFERROR(VLOOKUP(A61,'PAÑOL TÉCNICO'!A61:B1000,2,0))</f>
        <v>Enganche carro</v>
      </c>
      <c r="C61" s="11">
        <v>5.0</v>
      </c>
      <c r="D61" s="12"/>
      <c r="E61" s="12"/>
    </row>
    <row r="62" ht="15.75" customHeight="1">
      <c r="A62" s="7" t="s">
        <v>133</v>
      </c>
      <c r="B62" s="21" t="str">
        <f>IFERROR(VLOOKUP(A62,'PAÑOL TÉCNICO'!A62:B1000,2,0))</f>
        <v>Engrampadora</v>
      </c>
      <c r="C62" s="11">
        <v>4.0</v>
      </c>
      <c r="D62" s="12"/>
      <c r="E62" s="12"/>
    </row>
    <row r="63" ht="15.75" customHeight="1">
      <c r="A63" s="7" t="s">
        <v>136</v>
      </c>
      <c r="B63" s="21" t="str">
        <f>IFERROR(VLOOKUP(A63,'PAÑOL TÉCNICO'!A63:B1000,2,0))</f>
        <v>Espatula</v>
      </c>
      <c r="C63" s="11">
        <v>4.0</v>
      </c>
      <c r="D63" s="12"/>
      <c r="E63" s="12"/>
    </row>
    <row r="64" ht="15.75" customHeight="1">
      <c r="A64" s="7" t="s">
        <v>138</v>
      </c>
      <c r="B64" s="21" t="str">
        <f>IFERROR(VLOOKUP(A64,'PAÑOL TÉCNICO'!A64:B1000,2,0))</f>
        <v>Enganche tipo bocha</v>
      </c>
      <c r="C64" s="11">
        <v>2.0</v>
      </c>
      <c r="D64" s="12"/>
      <c r="E64" s="12"/>
    </row>
    <row r="65" ht="15.75" customHeight="1">
      <c r="A65" s="7" t="s">
        <v>140</v>
      </c>
      <c r="B65" s="21" t="str">
        <f>IFERROR(VLOOKUP(A65,'PAÑOL TÉCNICO'!A65:B1000,2,0))</f>
        <v>Escalon de escenario</v>
      </c>
      <c r="C65" s="11">
        <v>3.0</v>
      </c>
      <c r="D65" s="12"/>
      <c r="E65" s="12"/>
    </row>
    <row r="66" ht="15.75" customHeight="1">
      <c r="A66" s="7" t="s">
        <v>142</v>
      </c>
      <c r="B66" s="21" t="str">
        <f>IFERROR(VLOOKUP(A66,'PAÑOL TÉCNICO'!A66:B1000,2,0))</f>
        <v>Flota flota</v>
      </c>
      <c r="C66" s="11">
        <v>4.0</v>
      </c>
      <c r="D66" s="12"/>
      <c r="E66" s="12"/>
    </row>
    <row r="67" ht="15.75" customHeight="1">
      <c r="A67" s="7" t="s">
        <v>144</v>
      </c>
      <c r="B67" s="21" t="str">
        <f>IFERROR(VLOOKUP(A67,'PAÑOL TÉCNICO'!A67:B1000,2,0))</f>
        <v>Funda azul</v>
      </c>
      <c r="C67" s="11">
        <v>1.0</v>
      </c>
      <c r="D67" s="12"/>
      <c r="E67" s="12"/>
    </row>
    <row r="68" ht="15.75" customHeight="1">
      <c r="A68" s="7" t="s">
        <v>146</v>
      </c>
      <c r="B68" s="21" t="str">
        <f>IFERROR(VLOOKUP(A68,'PAÑOL TÉCNICO'!A68:B1000,2,0))</f>
        <v>Guía de techo</v>
      </c>
      <c r="C68" s="11">
        <v>1.0</v>
      </c>
      <c r="D68" s="12"/>
      <c r="E68" s="12"/>
    </row>
    <row r="69" ht="15.75" customHeight="1">
      <c r="A69" s="7" t="s">
        <v>148</v>
      </c>
      <c r="B69" s="21" t="str">
        <f>IFERROR(VLOOKUP(A69,'PAÑOL TÉCNICO'!A69:B1000,2,0))</f>
        <v>Grillete spanser</v>
      </c>
      <c r="C69" s="11">
        <v>36.0</v>
      </c>
      <c r="D69" s="12"/>
      <c r="E69" s="12"/>
    </row>
    <row r="70" ht="15.75" customHeight="1">
      <c r="A70" s="7" t="s">
        <v>150</v>
      </c>
      <c r="B70" s="21" t="str">
        <f>IFERROR(VLOOKUP(A70,'PAÑOL TÉCNICO'!A70:B1000,2,0))</f>
        <v>Gancho para rachet</v>
      </c>
      <c r="C70" s="11">
        <v>26.0</v>
      </c>
      <c r="D70" s="12"/>
      <c r="E70" s="12"/>
    </row>
    <row r="71" ht="15.75" customHeight="1">
      <c r="A71" s="7" t="s">
        <v>152</v>
      </c>
      <c r="B71" s="21" t="str">
        <f>IFERROR(VLOOKUP(A71,'PAÑOL TÉCNICO'!A71:B1000,2,0))</f>
        <v>Goma para guía de techo</v>
      </c>
      <c r="C71" s="11">
        <v>6.0</v>
      </c>
      <c r="D71" s="12"/>
      <c r="E71" s="12"/>
    </row>
    <row r="72" ht="15.75" customHeight="1">
      <c r="A72" s="7" t="s">
        <v>154</v>
      </c>
      <c r="B72" s="21" t="str">
        <f>IFERROR(VLOOKUP(A72,'PAÑOL TÉCNICO'!A72:B1000,2,0))</f>
        <v>Gancho completo para auto</v>
      </c>
      <c r="C72" s="11">
        <v>2.0</v>
      </c>
      <c r="D72" s="12"/>
      <c r="E72" s="12"/>
    </row>
    <row r="73" ht="15.75" customHeight="1">
      <c r="A73" s="7" t="s">
        <v>156</v>
      </c>
      <c r="B73" s="21" t="str">
        <f>IFERROR(VLOOKUP(A73,'PAÑOL TÉCNICO'!A73:B1000,2,0))</f>
        <v>Grasera chica</v>
      </c>
      <c r="C73" s="11">
        <v>1.0</v>
      </c>
      <c r="D73" s="12"/>
      <c r="E73" s="12"/>
    </row>
    <row r="74" ht="15.75" customHeight="1">
      <c r="A74" s="7" t="s">
        <v>159</v>
      </c>
      <c r="B74" s="21" t="str">
        <f>IFERROR(VLOOKUP(A74,'PAÑOL TÉCNICO'!A74:B1000,2,0))</f>
        <v>Gazebo completo</v>
      </c>
      <c r="C74" s="11">
        <v>2.0</v>
      </c>
      <c r="D74" s="12"/>
      <c r="E74" s="12"/>
    </row>
    <row r="75" ht="15.75" customHeight="1">
      <c r="A75" s="7" t="s">
        <v>161</v>
      </c>
      <c r="B75" s="21" t="str">
        <f>IFERROR(VLOOKUP(A75,'PAÑOL TÉCNICO'!A75:B1000,2,0))</f>
        <v>Hornito portable gas</v>
      </c>
      <c r="C75" s="11">
        <v>0.0</v>
      </c>
      <c r="D75" s="12"/>
      <c r="E75" s="12"/>
    </row>
    <row r="76" ht="15.75" customHeight="1">
      <c r="A76" s="7" t="s">
        <v>163</v>
      </c>
      <c r="B76" s="21" t="str">
        <f>IFERROR(VLOOKUP(A76,'PAÑOL TÉCNICO'!A76:B1000,2,0))</f>
        <v>Jabalina</v>
      </c>
      <c r="C76" s="11">
        <v>44.0</v>
      </c>
      <c r="D76" s="12"/>
      <c r="E76" s="12"/>
    </row>
    <row r="77" ht="15.75" customHeight="1">
      <c r="A77" s="7" t="s">
        <v>165</v>
      </c>
      <c r="B77" s="21" t="str">
        <f>IFERROR(VLOOKUP(A77,'PAÑOL TÉCNICO'!A77:B1000,2,0))</f>
        <v>Llave de 1-1/8</v>
      </c>
      <c r="C77" s="11">
        <v>1.0</v>
      </c>
      <c r="D77" s="12"/>
      <c r="E77" s="12"/>
    </row>
    <row r="78" ht="15.75" customHeight="1">
      <c r="A78" s="7" t="s">
        <v>167</v>
      </c>
      <c r="B78" s="21" t="str">
        <f>IFERROR(VLOOKUP(A78,'PAÑOL TÉCNICO'!A78:B1000,2,0))</f>
        <v>Llave de 22</v>
      </c>
      <c r="C78" s="11">
        <v>9.0</v>
      </c>
      <c r="D78" s="12"/>
      <c r="E78" s="12"/>
    </row>
    <row r="79" ht="15.75" customHeight="1">
      <c r="A79" s="7" t="s">
        <v>169</v>
      </c>
      <c r="B79" s="21" t="str">
        <f>IFERROR(VLOOKUP(A79,'PAÑOL TÉCNICO'!A79:B1000,2,0))</f>
        <v>Llave de 19</v>
      </c>
      <c r="C79" s="11">
        <v>6.0</v>
      </c>
      <c r="D79" s="12"/>
      <c r="E79" s="12"/>
    </row>
    <row r="80" ht="15.75" customHeight="1">
      <c r="A80" s="7" t="s">
        <v>171</v>
      </c>
      <c r="B80" s="21" t="str">
        <f>IFERROR(VLOOKUP(A80,'PAÑOL TÉCNICO'!A80:B1000,2,0))</f>
        <v>Llave de 14</v>
      </c>
      <c r="C80" s="11">
        <v>9.0</v>
      </c>
      <c r="D80" s="12"/>
      <c r="E80" s="12"/>
    </row>
    <row r="81" ht="15.75" customHeight="1">
      <c r="A81" s="7" t="s">
        <v>173</v>
      </c>
      <c r="B81" s="21" t="str">
        <f>IFERROR(VLOOKUP(A81,'PAÑOL TÉCNICO'!A81:B1000,2,0))</f>
        <v>Llave de 13</v>
      </c>
      <c r="C81" s="11">
        <v>11.0</v>
      </c>
      <c r="D81" s="12"/>
      <c r="E81" s="12"/>
    </row>
    <row r="82" ht="15.75" customHeight="1">
      <c r="A82" s="7" t="s">
        <v>175</v>
      </c>
      <c r="B82" s="21" t="str">
        <f>IFERROR(VLOOKUP(A82,'PAÑOL TÉCNICO'!A82:B1000,2,0))</f>
        <v>Llave de 23</v>
      </c>
      <c r="C82" s="11">
        <v>1.0</v>
      </c>
      <c r="D82" s="12"/>
      <c r="E82" s="12"/>
    </row>
    <row r="83" ht="15.75" customHeight="1">
      <c r="A83" s="7" t="s">
        <v>177</v>
      </c>
      <c r="B83" s="21" t="str">
        <f>IFERROR(VLOOKUP(A83,'PAÑOL TÉCNICO'!A83:B1000,2,0))</f>
        <v>Llave de 7</v>
      </c>
      <c r="C83" s="11">
        <v>1.0</v>
      </c>
      <c r="D83" s="12"/>
      <c r="E83" s="12"/>
    </row>
    <row r="84" ht="15.75" customHeight="1">
      <c r="A84" s="7" t="s">
        <v>179</v>
      </c>
      <c r="B84" s="21" t="str">
        <f>IFERROR(VLOOKUP(A84,'PAÑOL TÉCNICO'!A84:B1000,2,0))</f>
        <v>Llave de 17</v>
      </c>
      <c r="C84" s="11">
        <v>1.0</v>
      </c>
      <c r="D84" s="12"/>
      <c r="E84" s="12"/>
    </row>
    <row r="85" ht="15.75" customHeight="1">
      <c r="A85" s="7" t="s">
        <v>181</v>
      </c>
      <c r="B85" s="21" t="str">
        <f>IFERROR(VLOOKUP(A85,'PAÑOL TÉCNICO'!A85:B1000,2,0))</f>
        <v>Llave inglesa</v>
      </c>
      <c r="C85" s="11">
        <v>1.0</v>
      </c>
      <c r="D85" s="12"/>
      <c r="E85" s="12"/>
    </row>
    <row r="86" ht="15.75" customHeight="1">
      <c r="A86" s="7" t="s">
        <v>183</v>
      </c>
      <c r="B86" s="21" t="str">
        <f>IFERROR(VLOOKUP(A86,'PAÑOL TÉCNICO'!A86:B1000,2,0))</f>
        <v>Llave inglesa (rota)</v>
      </c>
      <c r="C86" s="11">
        <v>1.0</v>
      </c>
      <c r="D86" s="12"/>
      <c r="E86" s="12"/>
    </row>
    <row r="87" ht="15.75" customHeight="1">
      <c r="A87" s="7" t="s">
        <v>185</v>
      </c>
      <c r="B87" s="21" t="str">
        <f>IFERROR(VLOOKUP(A87,'PAÑOL TÉCNICO'!A87:B1000,2,0))</f>
        <v>Lingas sin gancho</v>
      </c>
      <c r="C87" s="11">
        <v>34.0</v>
      </c>
      <c r="D87" s="12"/>
      <c r="E87" s="12"/>
    </row>
    <row r="88" ht="15.75" customHeight="1">
      <c r="A88" s="7" t="s">
        <v>187</v>
      </c>
      <c r="B88" s="21" t="str">
        <f>IFERROR(VLOOKUP(A88,'PAÑOL TÉCNICO'!A88:B1000,2,0))</f>
        <v>Lingas de acero</v>
      </c>
      <c r="C88" s="11">
        <v>26.0</v>
      </c>
      <c r="D88" s="12"/>
      <c r="E88" s="12"/>
    </row>
    <row r="89" ht="14.25" customHeight="1">
      <c r="A89" s="7" t="s">
        <v>189</v>
      </c>
      <c r="B89" s="21" t="str">
        <f>IFERROR(VLOOKUP(A89,'PAÑOL TÉCNICO'!A89:B1000,2,0))</f>
        <v>Lija grande del 60</v>
      </c>
      <c r="C89" s="11">
        <v>48.0</v>
      </c>
      <c r="D89" s="12"/>
      <c r="E89" s="12"/>
    </row>
    <row r="90" ht="15.75" customHeight="1">
      <c r="A90" s="7" t="s">
        <v>191</v>
      </c>
      <c r="B90" s="21" t="str">
        <f>IFERROR(VLOOKUP(A90,'PAÑOL TÉCNICO'!A90:B1000,2,0))</f>
        <v>Lingas con gancho</v>
      </c>
      <c r="C90" s="11">
        <v>101.0</v>
      </c>
      <c r="D90" s="12"/>
      <c r="E90" s="12"/>
    </row>
    <row r="91" ht="15.75" customHeight="1">
      <c r="A91" s="7" t="s">
        <v>193</v>
      </c>
      <c r="B91" s="21" t="str">
        <f>IFERROR(VLOOKUP(A91,'PAÑOL TÉCNICO'!A91:B1000,2,0))</f>
        <v>Linga de acero</v>
      </c>
      <c r="C91" s="11">
        <v>29.0</v>
      </c>
      <c r="D91" s="12"/>
      <c r="E91" s="12"/>
    </row>
    <row r="92" ht="15.75" customHeight="1">
      <c r="A92" s="7" t="s">
        <v>195</v>
      </c>
      <c r="B92" s="21" t="str">
        <f>IFERROR(VLOOKUP(A92,'PAÑOL TÉCNICO'!A92:B1000,2,0))</f>
        <v>Latex interior "Negro" 20 L (Pintacrem)</v>
      </c>
      <c r="C92" s="11">
        <v>8.0</v>
      </c>
      <c r="D92" s="12"/>
      <c r="E92" s="12"/>
    </row>
    <row r="93" ht="15.75" customHeight="1">
      <c r="A93" s="7" t="s">
        <v>197</v>
      </c>
      <c r="B93" s="21" t="str">
        <f>IFERROR(VLOOKUP(A93,'PAÑOL TÉCNICO'!A93:B1000,2,0))</f>
        <v>Llave allen 6 mm</v>
      </c>
      <c r="C93" s="11">
        <v>1.0</v>
      </c>
      <c r="D93" s="12"/>
      <c r="E93" s="12"/>
    </row>
    <row r="94" ht="15.75" customHeight="1">
      <c r="A94" s="7" t="s">
        <v>199</v>
      </c>
      <c r="B94" s="21" t="str">
        <f>IFERROR(VLOOKUP(A94,'PAÑOL TÉCNICO'!A94:B1000,2,0))</f>
        <v>Llave allen 8 mm</v>
      </c>
      <c r="C94" s="11">
        <v>1.0</v>
      </c>
      <c r="D94" s="12"/>
      <c r="E94" s="12"/>
    </row>
    <row r="95" ht="15.75" customHeight="1">
      <c r="A95" s="7" t="s">
        <v>201</v>
      </c>
      <c r="B95" s="21" t="str">
        <f>IFERROR(VLOOKUP(A95,'PAÑOL TÉCNICO'!A95:B1000,2,0))</f>
        <v>Llave allen 5 mm</v>
      </c>
      <c r="C95" s="11">
        <v>1.0</v>
      </c>
      <c r="D95" s="12"/>
      <c r="E95" s="12"/>
    </row>
    <row r="96" ht="15.75" customHeight="1">
      <c r="A96" s="7" t="s">
        <v>203</v>
      </c>
      <c r="B96" s="21" t="str">
        <f>IFERROR(VLOOKUP(A96,'PAÑOL TÉCNICO'!A96:B1000,2,0))</f>
        <v>Mascara protectora p/vía respiratoria (1 cartucho)</v>
      </c>
      <c r="C96" s="11">
        <v>1.0</v>
      </c>
      <c r="D96" s="12"/>
      <c r="E96" s="12"/>
    </row>
    <row r="97" ht="15.75" customHeight="1">
      <c r="A97" s="7" t="s">
        <v>205</v>
      </c>
      <c r="B97" s="21" t="str">
        <f>IFERROR(VLOOKUP(A97,'PAÑOL TÉCNICO'!A97:B1000,2,0))</f>
        <v>Mascara protectora p/vía respiratoria (2 cartuchos)</v>
      </c>
      <c r="C97" s="11">
        <v>2.0</v>
      </c>
      <c r="D97" s="12"/>
      <c r="E97" s="12"/>
    </row>
    <row r="98" ht="15.75" customHeight="1">
      <c r="A98" s="7" t="s">
        <v>207</v>
      </c>
      <c r="B98" s="21" t="str">
        <f>IFERROR(VLOOKUP(A98,'PAÑOL TÉCNICO'!A98:B1000,2,0))</f>
        <v>Mecha con piedra pome</v>
      </c>
      <c r="C98" s="11">
        <v>1.0</v>
      </c>
      <c r="D98" s="12"/>
      <c r="E98" s="12"/>
    </row>
    <row r="99" ht="15.75" customHeight="1">
      <c r="A99" s="7" t="s">
        <v>209</v>
      </c>
      <c r="B99" s="21" t="str">
        <f>IFERROR(VLOOKUP(A99,'PAÑOL TÉCNICO'!A99:B1000,2,0))</f>
        <v>Mecha copa</v>
      </c>
      <c r="C99" s="11">
        <v>1.0</v>
      </c>
      <c r="D99" s="12"/>
      <c r="E99" s="12"/>
    </row>
    <row r="100" ht="15.75" customHeight="1">
      <c r="A100" s="7" t="s">
        <v>211</v>
      </c>
      <c r="B100" s="21" t="str">
        <f>IFERROR(VLOOKUP(A100,'PAÑOL TÉCNICO'!A100:B1000,2,0))</f>
        <v>Mecha para metal de 4cm</v>
      </c>
      <c r="C100" s="11">
        <v>1.0</v>
      </c>
      <c r="D100" s="12"/>
      <c r="E100" s="12"/>
    </row>
    <row r="101" ht="15.75" customHeight="1">
      <c r="A101" s="7" t="s">
        <v>213</v>
      </c>
      <c r="B101" s="21" t="str">
        <f>IFERROR(VLOOKUP(A101,'PAÑOL TÉCNICO'!A101:B1000,2,0))</f>
        <v>Mosquetón</v>
      </c>
      <c r="C101" s="11">
        <v>8.0</v>
      </c>
      <c r="D101" s="12"/>
      <c r="E101" s="12"/>
    </row>
    <row r="102" ht="15.75" customHeight="1">
      <c r="A102" s="7" t="s">
        <v>215</v>
      </c>
      <c r="B102" s="21" t="str">
        <f>IFERROR(VLOOKUP(A102,'PAÑOL TÉCNICO'!A102:B1000,2,0))</f>
        <v>Molde para grafitti "Dos57"</v>
      </c>
      <c r="C102" s="11">
        <v>2.0</v>
      </c>
      <c r="D102" s="12"/>
      <c r="E102" s="12"/>
    </row>
    <row r="103" ht="15.75" customHeight="1">
      <c r="A103" s="7" t="s">
        <v>217</v>
      </c>
      <c r="B103" s="21" t="str">
        <f>IFERROR(VLOOKUP(A103,'PAÑOL TÉCNICO'!A103:B1000,2,0))</f>
        <v>Masa p/estaca de 1mts</v>
      </c>
      <c r="C103" s="11">
        <v>2.0</v>
      </c>
      <c r="D103" s="12"/>
      <c r="E103" s="12"/>
    </row>
    <row r="104" ht="15.75" customHeight="1">
      <c r="A104" s="7" t="s">
        <v>219</v>
      </c>
      <c r="B104" s="21" t="str">
        <f>IFERROR(VLOOKUP(A104,'PAÑOL TÉCNICO'!A104:B1000,2,0))</f>
        <v>Masa de goma</v>
      </c>
      <c r="C104" s="11">
        <v>2.0</v>
      </c>
      <c r="D104" s="12"/>
      <c r="E104" s="12"/>
    </row>
    <row r="105" ht="15.75" customHeight="1">
      <c r="A105" s="7" t="s">
        <v>221</v>
      </c>
      <c r="B105" s="21" t="str">
        <f>IFERROR(VLOOKUP(A105,'PAÑOL TÉCNICO'!A105:B1000,2,0))</f>
        <v>Mecha para metal 8.25</v>
      </c>
      <c r="C105" s="11">
        <v>12.0</v>
      </c>
      <c r="D105" s="12"/>
      <c r="E105" s="12"/>
    </row>
    <row r="106" ht="15.75" customHeight="1">
      <c r="A106" s="7" t="s">
        <v>223</v>
      </c>
      <c r="B106" s="21" t="str">
        <f>IFERROR(VLOOKUP(A106,'PAÑOL TÉCNICO'!A106:B1000,2,0))</f>
        <v>Mecha para metal 12</v>
      </c>
      <c r="C106" s="11">
        <v>1.0</v>
      </c>
      <c r="D106" s="12"/>
      <c r="E106" s="12"/>
    </row>
    <row r="107" ht="15.75" customHeight="1">
      <c r="A107" s="7" t="s">
        <v>225</v>
      </c>
      <c r="B107" s="21" t="str">
        <f>IFERROR(VLOOKUP(A107,'PAÑOL TÉCNICO'!A107:B1000,2,0))</f>
        <v>Mecha para metal 5</v>
      </c>
      <c r="C107" s="11">
        <v>1.0</v>
      </c>
      <c r="D107" s="12"/>
      <c r="E107" s="12"/>
    </row>
    <row r="108" ht="15.75" customHeight="1">
      <c r="A108" s="7" t="s">
        <v>227</v>
      </c>
      <c r="B108" s="21" t="str">
        <f>IFERROR(VLOOKUP(A108,'PAÑOL TÉCNICO'!A108:B1000,2,0))</f>
        <v>Mecha para metal 8</v>
      </c>
      <c r="C108" s="11">
        <v>2.0</v>
      </c>
      <c r="D108" s="12"/>
      <c r="E108" s="12"/>
    </row>
    <row r="109" ht="15.75" customHeight="1">
      <c r="A109" s="7" t="s">
        <v>229</v>
      </c>
      <c r="B109" s="21" t="str">
        <f>IFERROR(VLOOKUP(A109,'PAÑOL TÉCNICO'!A109:B1000,2,0))</f>
        <v>Mecha para metal 3</v>
      </c>
      <c r="C109" s="11">
        <v>1.0</v>
      </c>
      <c r="D109" s="12"/>
      <c r="E109" s="12"/>
    </row>
    <row r="110" ht="15.75" customHeight="1">
      <c r="A110" s="7" t="s">
        <v>231</v>
      </c>
      <c r="B110" s="21" t="str">
        <f>IFERROR(VLOOKUP(A110,'PAÑOL TÉCNICO'!A110:B1000,2,0))</f>
        <v>Mecha para pared 15/64</v>
      </c>
      <c r="C110" s="11">
        <v>1.0</v>
      </c>
      <c r="D110" s="12"/>
      <c r="E110" s="12"/>
    </row>
    <row r="111" ht="15.75" customHeight="1">
      <c r="A111" s="7" t="s">
        <v>233</v>
      </c>
      <c r="B111" s="21" t="str">
        <f>IFERROR(VLOOKUP(A111,'PAÑOL TÉCNICO'!A111:B1000,2,0))</f>
        <v>Mecha para pared 5/16 - 8mm</v>
      </c>
      <c r="C111" s="11">
        <v>1.0</v>
      </c>
      <c r="D111" s="12"/>
      <c r="E111" s="12"/>
    </row>
    <row r="112" ht="15.75" customHeight="1">
      <c r="A112" s="7" t="s">
        <v>235</v>
      </c>
      <c r="B112" s="21" t="str">
        <f>IFERROR(VLOOKUP(A112,'PAÑOL TÉCNICO'!A112:B1000,2,0))</f>
        <v>Mecha para metal 14</v>
      </c>
      <c r="C112" s="11">
        <v>1.0</v>
      </c>
      <c r="D112" s="12"/>
      <c r="E112" s="12"/>
    </row>
    <row r="113" ht="15.75" customHeight="1">
      <c r="A113" s="7" t="s">
        <v>237</v>
      </c>
      <c r="B113" s="21" t="str">
        <f>IFERROR(VLOOKUP(A113,'PAÑOL TÉCNICO'!A113:B1000,2,0))</f>
        <v>Mecha para metal 6.25</v>
      </c>
      <c r="C113" s="11">
        <v>10.0</v>
      </c>
      <c r="D113" s="12"/>
      <c r="E113" s="12"/>
    </row>
    <row r="114" ht="15.0" customHeight="1">
      <c r="A114" s="7" t="s">
        <v>239</v>
      </c>
      <c r="B114" s="21" t="str">
        <f>IFERROR(VLOOKUP(A114,'PAÑOL TÉCNICO'!A114:B1000,2,0))</f>
        <v>Martillo de Layher</v>
      </c>
      <c r="C114" s="11">
        <v>5.0</v>
      </c>
      <c r="D114" s="12"/>
      <c r="E114" s="12"/>
    </row>
    <row r="115" ht="15.75" customHeight="1">
      <c r="A115" s="7" t="s">
        <v>241</v>
      </c>
      <c r="B115" s="21" t="str">
        <f>IFERROR(VLOOKUP(A115,'PAÑOL TÉCNICO'!A115:B1000,2,0))</f>
        <v>Máquina p/rachet</v>
      </c>
      <c r="C115" s="11">
        <v>2.0</v>
      </c>
      <c r="D115" s="12"/>
      <c r="E115" s="12"/>
    </row>
    <row r="116" ht="15.75" customHeight="1">
      <c r="A116" s="7" t="s">
        <v>243</v>
      </c>
      <c r="B116" s="21" t="str">
        <f>IFERROR(VLOOKUP(A116,'PAÑOL TÉCNICO'!A116:B1000,2,0))</f>
        <v>Machete</v>
      </c>
      <c r="C116" s="11">
        <v>1.0</v>
      </c>
      <c r="D116" s="12"/>
      <c r="E116" s="12"/>
    </row>
    <row r="117" ht="15.75" customHeight="1">
      <c r="A117" s="7" t="s">
        <v>245</v>
      </c>
      <c r="B117" s="21" t="str">
        <f>IFERROR(VLOOKUP(A117,'PAÑOL TÉCNICO'!A117:B1000,2,0))</f>
        <v>Martillo</v>
      </c>
      <c r="C117" s="11">
        <v>1.0</v>
      </c>
      <c r="D117" s="12"/>
      <c r="E117" s="12"/>
    </row>
    <row r="118" ht="15.75" customHeight="1">
      <c r="A118" s="7" t="s">
        <v>247</v>
      </c>
      <c r="B118" s="21" t="str">
        <f>IFERROR(VLOOKUP(A118,'PAÑOL TÉCNICO'!A118:B1000,2,0))</f>
        <v>Martillo de acero</v>
      </c>
      <c r="C118" s="11">
        <v>1.0</v>
      </c>
      <c r="D118" s="12"/>
      <c r="E118" s="12"/>
    </row>
    <row r="119" ht="15.75" customHeight="1">
      <c r="A119" s="7" t="s">
        <v>249</v>
      </c>
      <c r="B119" s="21" t="str">
        <f>IFERROR(VLOOKUP(A119,'PAÑOL TÉCNICO'!A119:B1000,2,0))</f>
        <v>Mameluco impermeable azul</v>
      </c>
      <c r="C119" s="11">
        <v>10.0</v>
      </c>
      <c r="D119" s="12"/>
      <c r="E119" s="12"/>
    </row>
    <row r="120" ht="15.75" customHeight="1">
      <c r="A120" s="7" t="s">
        <v>251</v>
      </c>
      <c r="B120" s="21" t="str">
        <f>IFERROR(VLOOKUP(A120,'PAÑOL TÉCNICO'!A120:B1000,2,0))</f>
        <v>Mascara de soldar</v>
      </c>
      <c r="C120" s="11">
        <v>1.0</v>
      </c>
      <c r="D120" s="12"/>
      <c r="E120" s="12"/>
    </row>
    <row r="121" ht="15.75" customHeight="1">
      <c r="A121" s="7" t="s">
        <v>253</v>
      </c>
      <c r="B121" s="21" t="str">
        <f>IFERROR(VLOOKUP(A121,'PAÑOL TÉCNICO'!A121:B1000,2,0))</f>
        <v>Mini rachet</v>
      </c>
      <c r="C121" s="11">
        <v>38.0</v>
      </c>
      <c r="D121" s="12"/>
      <c r="E121" s="12"/>
    </row>
    <row r="122" ht="15.75" customHeight="1">
      <c r="A122" s="7" t="s">
        <v>255</v>
      </c>
      <c r="B122" s="21" t="str">
        <f>IFERROR(VLOOKUP(A122,'PAÑOL TÉCNICO'!A122:B1000,2,0))</f>
        <v>Nivel de mano regular</v>
      </c>
      <c r="C122" s="11">
        <v>5.0</v>
      </c>
      <c r="D122" s="12"/>
      <c r="E122" s="12"/>
    </row>
    <row r="123" ht="15.75" customHeight="1">
      <c r="A123" s="7" t="s">
        <v>257</v>
      </c>
      <c r="B123" s="21" t="str">
        <f>IFERROR(VLOOKUP(A123,'PAÑOL TÉCNICO'!A123:B1000,2,0))</f>
        <v>Nivel de mano grande</v>
      </c>
      <c r="C123" s="11">
        <v>1.0</v>
      </c>
      <c r="D123" s="12"/>
      <c r="E123" s="12"/>
    </row>
    <row r="124" ht="15.75" customHeight="1">
      <c r="A124" s="7" t="s">
        <v>259</v>
      </c>
      <c r="B124" s="21" t="str">
        <f>IFERROR(VLOOKUP(A124,'PAÑOL TÉCNICO'!A124:B1000,2,0))</f>
        <v>Nudo con pin</v>
      </c>
      <c r="C124" s="11">
        <v>15.0</v>
      </c>
      <c r="D124" s="12"/>
      <c r="E124" s="12"/>
    </row>
    <row r="125" ht="15.75" customHeight="1">
      <c r="A125" s="7" t="s">
        <v>262</v>
      </c>
      <c r="B125" s="21" t="str">
        <f>IFERROR(VLOOKUP(A125,'PAÑOL TÉCNICO'!A125:B1000,2,0))</f>
        <v>Odometro</v>
      </c>
      <c r="C125" s="11">
        <v>2.0</v>
      </c>
      <c r="D125" s="12"/>
      <c r="E125" s="12"/>
    </row>
    <row r="126" ht="15.75" customHeight="1">
      <c r="A126" s="7" t="s">
        <v>264</v>
      </c>
      <c r="B126" s="21" t="str">
        <f>IFERROR(VLOOKUP(A126,'PAÑOL TÉCNICO'!A126:B1000,2,0))</f>
        <v>Pistola caliente de silicona</v>
      </c>
      <c r="C126" s="11">
        <v>1.0</v>
      </c>
      <c r="D126" s="12"/>
      <c r="E126" s="12"/>
    </row>
    <row r="127" ht="15.75" customHeight="1">
      <c r="A127" s="7" t="s">
        <v>266</v>
      </c>
      <c r="B127" s="21" t="str">
        <f>IFERROR(VLOOKUP(A127,'PAÑOL TÉCNICO'!A127:B1000,2,0))</f>
        <v>Puntera philip</v>
      </c>
      <c r="C127" s="11">
        <v>27.0</v>
      </c>
      <c r="D127" s="12"/>
      <c r="E127" s="12"/>
    </row>
    <row r="128" ht="15.75" customHeight="1">
      <c r="A128" s="7" t="s">
        <v>268</v>
      </c>
      <c r="B128" s="21" t="str">
        <f>IFERROR(VLOOKUP(A128,'PAÑOL TÉCNICO'!A128:B1000,2,0))</f>
        <v>Pistola p/pintura profesional (Crossgrob)</v>
      </c>
      <c r="C128" s="11">
        <v>2.0</v>
      </c>
      <c r="D128" s="12"/>
      <c r="E128" s="12"/>
    </row>
    <row r="129" ht="15.75" customHeight="1">
      <c r="A129" s="7" t="s">
        <v>271</v>
      </c>
      <c r="B129" s="21" t="str">
        <f>IFERROR(VLOOKUP(A129,'PAÑOL TÉCNICO'!A129:B1000,2,0))</f>
        <v>Pistola p/pintura (en uso)</v>
      </c>
      <c r="C129" s="11">
        <v>1.0</v>
      </c>
      <c r="D129" s="12"/>
      <c r="E129" s="12"/>
    </row>
    <row r="130" ht="15.75" customHeight="1">
      <c r="A130" s="7" t="s">
        <v>273</v>
      </c>
      <c r="B130" s="21" t="str">
        <f>IFERROR(VLOOKUP(A130,'PAÑOL TÉCNICO'!A130:B1000,2,0))</f>
        <v>Pistola  p/pintura (sin funcionar)</v>
      </c>
      <c r="C130" s="11">
        <v>2.0</v>
      </c>
      <c r="D130" s="12"/>
      <c r="E130" s="12"/>
    </row>
    <row r="131" ht="15.75" customHeight="1">
      <c r="A131" s="7" t="s">
        <v>275</v>
      </c>
      <c r="B131" s="21" t="str">
        <f>IFERROR(VLOOKUP(A131,'PAÑOL TÉCNICO'!A131:B1000,2,0))</f>
        <v>Pinza</v>
      </c>
      <c r="C131" s="11">
        <v>5.0</v>
      </c>
      <c r="D131" s="12"/>
      <c r="E131" s="12"/>
    </row>
    <row r="132" ht="15.75" customHeight="1">
      <c r="A132" s="7" t="s">
        <v>277</v>
      </c>
      <c r="B132" s="21" t="str">
        <f>IFERROR(VLOOKUP(A132,'PAÑOL TÉCNICO'!A132:B1000,2,0))</f>
        <v>Prolongación 20mts</v>
      </c>
      <c r="C132" s="11">
        <v>2.0</v>
      </c>
      <c r="D132" s="12"/>
      <c r="E132" s="12"/>
    </row>
    <row r="133" ht="15.75" customHeight="1">
      <c r="A133" s="7" t="s">
        <v>279</v>
      </c>
      <c r="B133" s="21" t="str">
        <f>IFERROR(VLOOKUP(A133,'PAÑOL TÉCNICO'!A133:B1000,2,0))</f>
        <v>Prolongación 14/15mts</v>
      </c>
      <c r="C133" s="11">
        <v>0.0</v>
      </c>
      <c r="D133" s="12"/>
      <c r="E133" s="12"/>
    </row>
    <row r="134" ht="15.75" customHeight="1">
      <c r="A134" s="7" t="s">
        <v>281</v>
      </c>
      <c r="B134" s="21" t="str">
        <f>IFERROR(VLOOKUP(A134,'PAÑOL TÉCNICO'!A134:B1000,2,0))</f>
        <v>Prolongación 10mts</v>
      </c>
      <c r="C134" s="11">
        <v>0.0</v>
      </c>
      <c r="D134" s="12"/>
      <c r="E134" s="12"/>
    </row>
    <row r="135" ht="15.75" customHeight="1">
      <c r="A135" s="7" t="s">
        <v>283</v>
      </c>
      <c r="B135" s="21" t="str">
        <f>IFERROR(VLOOKUP(A135,'PAÑOL TÉCNICO'!A135:B1000,2,0))</f>
        <v>Prolongación 5mts (Del generador)</v>
      </c>
      <c r="C135" s="11">
        <v>1.0</v>
      </c>
      <c r="D135" s="12"/>
      <c r="E135" s="12"/>
    </row>
    <row r="136" ht="15.75" customHeight="1">
      <c r="A136" s="7" t="s">
        <v>285</v>
      </c>
      <c r="B136" s="21" t="str">
        <f>IFERROR(VLOOKUP(A136,'PAÑOL TÉCNICO'!A136:B1000,2,0))</f>
        <v>Pistola infladora </v>
      </c>
      <c r="C136" s="11">
        <v>1.0</v>
      </c>
      <c r="D136" s="12"/>
      <c r="E136" s="12"/>
    </row>
    <row r="137" ht="15.75" customHeight="1">
      <c r="A137" s="7" t="s">
        <v>287</v>
      </c>
      <c r="B137" s="21" t="str">
        <f>IFERROR(VLOOKUP(A137,'PAÑOL TÉCNICO'!A137:B1000,2,0))</f>
        <v>Pala de punta</v>
      </c>
      <c r="C137" s="11">
        <v>2.0</v>
      </c>
      <c r="D137" s="12"/>
      <c r="E137" s="12"/>
    </row>
    <row r="138" ht="15.75" customHeight="1">
      <c r="A138" s="7" t="s">
        <v>289</v>
      </c>
      <c r="B138" s="21" t="str">
        <f>IFERROR(VLOOKUP(A138,'PAÑOL TÉCNICO'!A138:B1000,2,0))</f>
        <v>Pico</v>
      </c>
      <c r="C138" s="11">
        <v>2.0</v>
      </c>
      <c r="D138" s="12"/>
      <c r="E138" s="12"/>
    </row>
    <row r="139" ht="15.75" customHeight="1">
      <c r="A139" s="7" t="s">
        <v>291</v>
      </c>
      <c r="B139" s="21" t="str">
        <f>IFERROR(VLOOKUP(A139,'PAÑOL TÉCNICO'!A139:B1000,2,0))</f>
        <v>Pala ancha</v>
      </c>
      <c r="C139" s="11">
        <v>1.0</v>
      </c>
      <c r="D139" s="12"/>
      <c r="E139" s="12"/>
    </row>
    <row r="140" ht="15.75" customHeight="1">
      <c r="A140" s="7" t="s">
        <v>293</v>
      </c>
      <c r="B140" s="21" t="str">
        <f>IFERROR(VLOOKUP(A140,'PAÑOL TÉCNICO'!A140:B1000,2,0))</f>
        <v>Pin móvil para Layher</v>
      </c>
      <c r="C140" s="11">
        <v>8.0</v>
      </c>
      <c r="D140" s="12"/>
      <c r="E140" s="12"/>
    </row>
    <row r="141" ht="15.75" customHeight="1">
      <c r="A141" s="7" t="s">
        <v>295</v>
      </c>
      <c r="B141" s="21" t="str">
        <f>IFERROR(VLOOKUP(A141,'PAÑOL TÉCNICO'!A141:B1000,2,0))</f>
        <v>Porta martillo Layher</v>
      </c>
      <c r="C141" s="11">
        <v>11.0</v>
      </c>
      <c r="D141" s="12"/>
      <c r="E141" s="12"/>
    </row>
    <row r="142" ht="15.75" customHeight="1">
      <c r="A142" s="7" t="s">
        <v>298</v>
      </c>
      <c r="B142" s="21" t="str">
        <f>IFERROR(VLOOKUP(A142,'PAÑOL TÉCNICO'!A142:B1000,2,0))</f>
        <v>Paneles led</v>
      </c>
      <c r="C142" s="11">
        <v>1.0</v>
      </c>
      <c r="D142" s="12"/>
      <c r="E142" s="12"/>
    </row>
    <row r="143" ht="15.75" customHeight="1">
      <c r="A143" s="7" t="s">
        <v>300</v>
      </c>
      <c r="B143" s="21" t="str">
        <f>IFERROR(VLOOKUP(A143,'PAÑOL TÉCNICO'!A143:B1000,2,0))</f>
        <v>Pistola de silicona</v>
      </c>
      <c r="C143" s="11">
        <v>1.0</v>
      </c>
      <c r="D143" s="12"/>
      <c r="E143" s="12"/>
    </row>
    <row r="144" ht="15.75" customHeight="1">
      <c r="A144" s="7" t="s">
        <v>302</v>
      </c>
      <c r="B144" s="21" t="str">
        <f>IFERROR(VLOOKUP(A144,'PAÑOL TÉCNICO'!A144:B1000,2,0))</f>
        <v>Pistola de cinta</v>
      </c>
      <c r="C144" s="11">
        <v>1.0</v>
      </c>
      <c r="D144" s="12"/>
      <c r="E144" s="12"/>
    </row>
    <row r="145" ht="15.75" customHeight="1">
      <c r="A145" s="7" t="s">
        <v>304</v>
      </c>
      <c r="B145" s="21" t="str">
        <f>IFERROR(VLOOKUP(A145,'PAÑOL TÉCNICO'!A145:B1000,2,0))</f>
        <v>Pin doble de layher</v>
      </c>
      <c r="C145" s="11">
        <v>5.0</v>
      </c>
      <c r="D145" s="12"/>
      <c r="E145" s="12"/>
    </row>
    <row r="146" ht="15.75" customHeight="1">
      <c r="A146" s="7" t="s">
        <v>306</v>
      </c>
      <c r="B146" s="21" t="str">
        <f>IFERROR(VLOOKUP(A146,'PAÑOL TÉCNICO'!A146:B1000,2,0))</f>
        <v>Porta lámpara</v>
      </c>
      <c r="C146" s="11">
        <v>1.0</v>
      </c>
      <c r="D146" s="12"/>
      <c r="E146" s="12"/>
    </row>
    <row r="147" ht="15.75" customHeight="1">
      <c r="A147" s="7" t="s">
        <v>308</v>
      </c>
      <c r="B147" s="21" t="str">
        <f>IFERROR(VLOOKUP(A147,'PAÑOL TÉCNICO'!A147:B1000,2,0))</f>
        <v>Plaqueta de TV</v>
      </c>
      <c r="C147" s="11">
        <v>1.0</v>
      </c>
      <c r="D147" s="12"/>
      <c r="E147" s="12"/>
    </row>
    <row r="148" ht="15.75" customHeight="1">
      <c r="A148" s="7" t="s">
        <v>310</v>
      </c>
      <c r="B148" s="21" t="str">
        <f>IFERROR(VLOOKUP(A148,'PAÑOL TÉCNICO'!A148:B1000,2,0))</f>
        <v>Picaporte fijo</v>
      </c>
      <c r="C148" s="11">
        <v>1.0</v>
      </c>
      <c r="D148" s="12"/>
      <c r="E148" s="12"/>
    </row>
    <row r="149" ht="15.75" customHeight="1">
      <c r="A149" s="7" t="s">
        <v>312</v>
      </c>
      <c r="B149" s="21" t="str">
        <f>IFERROR(VLOOKUP(A149,'PAÑOL TÉCNICO'!A149:B1000,2,0))</f>
        <v>Puntera fina</v>
      </c>
      <c r="C149" s="11">
        <v>14.0</v>
      </c>
      <c r="D149" s="12"/>
      <c r="E149" s="12"/>
    </row>
    <row r="150" ht="15.75" customHeight="1">
      <c r="A150" s="7" t="s">
        <v>314</v>
      </c>
      <c r="B150" s="21" t="str">
        <f>IFERROR(VLOOKUP(A150,'PAÑOL TÉCNICO'!A150:B1000,2,0))</f>
        <v>Remachadora neumatica</v>
      </c>
      <c r="C150" s="11">
        <v>4.0</v>
      </c>
      <c r="D150" s="12"/>
      <c r="E150" s="12"/>
    </row>
    <row r="151" ht="15.75" customHeight="1">
      <c r="A151" s="7" t="s">
        <v>316</v>
      </c>
      <c r="B151" s="21" t="str">
        <f>IFERROR(VLOOKUP(A151,'PAÑOL TÉCNICO'!A151:B1000,2,0))</f>
        <v>Rachet 9mts.</v>
      </c>
      <c r="C151" s="11">
        <v>75.0</v>
      </c>
      <c r="D151" s="12"/>
      <c r="E151" s="12"/>
    </row>
    <row r="152" ht="15.75" customHeight="1">
      <c r="A152" s="7" t="s">
        <v>318</v>
      </c>
      <c r="B152" s="21" t="str">
        <f>IFERROR(VLOOKUP(A152,'PAÑOL TÉCNICO'!A152:B1000,2,0))</f>
        <v>Rachet 3mts.</v>
      </c>
      <c r="C152" s="11">
        <v>142.0</v>
      </c>
      <c r="D152" s="12"/>
      <c r="E152" s="12"/>
    </row>
    <row r="153" ht="15.75" customHeight="1">
      <c r="A153" s="7" t="s">
        <v>320</v>
      </c>
      <c r="B153" s="21" t="str">
        <f>IFERROR(VLOOKUP(A153,'PAÑOL TÉCNICO'!A153:B1000,2,0))</f>
        <v>Rachet 1mts.</v>
      </c>
      <c r="C153" s="11">
        <v>35.0</v>
      </c>
      <c r="D153" s="12"/>
      <c r="E153" s="12"/>
    </row>
    <row r="154" ht="15.75" customHeight="1">
      <c r="A154" s="7" t="s">
        <v>322</v>
      </c>
      <c r="B154" s="21" t="str">
        <f>IFERROR(VLOOKUP(A154,'PAÑOL TÉCNICO'!A154:B1000,2,0))</f>
        <v>Reflectores</v>
      </c>
      <c r="C154" s="11">
        <v>0.0</v>
      </c>
      <c r="D154" s="12"/>
      <c r="E154" s="12"/>
    </row>
    <row r="155" ht="15.75" customHeight="1">
      <c r="A155" s="7" t="s">
        <v>324</v>
      </c>
      <c r="B155" s="21" t="str">
        <f>IFERROR(VLOOKUP(A155,'PAÑOL TÉCNICO'!A155:B1000,2,0))</f>
        <v>Ruleta métrica de 45mts (Amarilla)</v>
      </c>
      <c r="C155" s="11">
        <v>1.0</v>
      </c>
      <c r="D155" s="12"/>
      <c r="E155" s="12"/>
    </row>
    <row r="156" ht="15.75" customHeight="1">
      <c r="A156" s="7" t="s">
        <v>326</v>
      </c>
      <c r="B156" s="21" t="str">
        <f>IFERROR(VLOOKUP(A156,'PAÑOL TÉCNICO'!A156:B1000,2,0))</f>
        <v>Roldana para cadena larga</v>
      </c>
      <c r="C156" s="11">
        <v>4.0</v>
      </c>
      <c r="D156" s="12"/>
      <c r="E156" s="12"/>
    </row>
    <row r="157" ht="15.75" customHeight="1">
      <c r="A157" s="7" t="s">
        <v>328</v>
      </c>
      <c r="B157" s="21" t="str">
        <f>IFERROR(VLOOKUP(A157,'PAÑOL TÉCNICO'!A157:B1000,2,0))</f>
        <v>Rueda ámbil/tarima</v>
      </c>
      <c r="C157" s="11">
        <v>12.0</v>
      </c>
      <c r="D157" s="12"/>
      <c r="E157" s="12"/>
    </row>
    <row r="158" ht="15.75" customHeight="1">
      <c r="A158" s="7" t="s">
        <v>330</v>
      </c>
      <c r="B158" s="21" t="str">
        <f>IFERROR(VLOOKUP(A158,'PAÑOL TÉCNICO'!A158:B1000,2,0))</f>
        <v>Resorte</v>
      </c>
      <c r="C158" s="11">
        <v>1.0</v>
      </c>
      <c r="D158" s="12"/>
      <c r="E158" s="12"/>
    </row>
    <row r="159" ht="15.75" customHeight="1">
      <c r="A159" s="7" t="s">
        <v>332</v>
      </c>
      <c r="B159" s="21" t="str">
        <f>IFERROR(VLOOKUP(A159,'PAÑOL TÉCNICO'!A159:B1000,2,0))</f>
        <v>Roseta simple</v>
      </c>
      <c r="C159" s="11">
        <v>5.0</v>
      </c>
      <c r="D159" s="12"/>
      <c r="E159" s="12"/>
    </row>
    <row r="160" ht="15.75" customHeight="1">
      <c r="A160" s="7" t="s">
        <v>335</v>
      </c>
      <c r="B160" s="21" t="str">
        <f>IFERROR(VLOOKUP(A160,'PAÑOL TÉCNICO'!A160:B1000,2,0))</f>
        <v>Roseta móvil</v>
      </c>
      <c r="C160" s="11">
        <v>5.0</v>
      </c>
      <c r="D160" s="12"/>
      <c r="E160" s="12"/>
    </row>
    <row r="161" ht="15.75" customHeight="1">
      <c r="A161" s="7" t="s">
        <v>337</v>
      </c>
      <c r="B161" s="21" t="str">
        <f>IFERROR(VLOOKUP(A161,'PAÑOL TÉCNICO'!A161:B1000,2,0))</f>
        <v>Seguro free</v>
      </c>
      <c r="C161" s="11">
        <v>176.0</v>
      </c>
      <c r="D161" s="12"/>
      <c r="E161" s="12"/>
    </row>
    <row r="162" ht="15.75" customHeight="1">
      <c r="A162" s="7" t="s">
        <v>339</v>
      </c>
      <c r="B162" s="21" t="str">
        <f>IFERROR(VLOOKUP(A162,'PAÑOL TÉCNICO'!A162:B1000,2,0))</f>
        <v>Spanser con linga de acero</v>
      </c>
      <c r="C162" s="11">
        <v>7.0</v>
      </c>
      <c r="D162" s="12"/>
      <c r="E162" s="12"/>
    </row>
    <row r="163" ht="15.75" customHeight="1">
      <c r="A163" s="7" t="s">
        <v>341</v>
      </c>
      <c r="B163" s="21" t="str">
        <f>IFERROR(VLOOKUP(A163,'PAÑOL TÉCNICO'!A163:B1000,2,0))</f>
        <v>Spanser</v>
      </c>
      <c r="C163" s="11">
        <v>3.0</v>
      </c>
      <c r="D163" s="12"/>
      <c r="E163" s="12"/>
    </row>
    <row r="164" ht="15.75" customHeight="1">
      <c r="A164" s="7" t="s">
        <v>343</v>
      </c>
      <c r="B164" s="21" t="str">
        <f>IFERROR(VLOOKUP(A164,'PAÑOL TÉCNICO'!A164:B1000,2,0))</f>
        <v>Soporte ventilador</v>
      </c>
      <c r="C164" s="11">
        <v>2.0</v>
      </c>
      <c r="D164" s="12"/>
      <c r="E164" s="12"/>
    </row>
    <row r="165" ht="15.75" customHeight="1">
      <c r="A165" s="7" t="s">
        <v>345</v>
      </c>
      <c r="B165" s="21" t="str">
        <f>IFERROR(VLOOKUP(A165,'PAÑOL TÉCNICO'!A165:B1000,2,0))</f>
        <v>Strich</v>
      </c>
      <c r="C165" s="11">
        <v>2.0</v>
      </c>
      <c r="D165" s="12"/>
      <c r="E165" s="12"/>
    </row>
    <row r="166" ht="15.75" customHeight="1">
      <c r="A166" s="7" t="s">
        <v>347</v>
      </c>
      <c r="B166" s="21" t="str">
        <f>IFERROR(VLOOKUP(A166,'PAÑOL TÉCNICO'!A166:B1000,2,0))</f>
        <v>Soporte TV con mueca</v>
      </c>
      <c r="C166" s="11">
        <v>8.0</v>
      </c>
      <c r="D166" s="12"/>
      <c r="E166" s="12"/>
    </row>
    <row r="167" ht="15.75" customHeight="1">
      <c r="A167" s="7" t="s">
        <v>349</v>
      </c>
      <c r="B167" s="21" t="str">
        <f>IFERROR(VLOOKUP(A167,'PAÑOL TÉCNICO'!A167:B1000,2,0))</f>
        <v>Soporte TV plano</v>
      </c>
      <c r="C167" s="11">
        <v>10.0</v>
      </c>
      <c r="D167" s="12"/>
      <c r="E167" s="12"/>
    </row>
    <row r="168" ht="15.75" customHeight="1">
      <c r="A168" s="7" t="s">
        <v>351</v>
      </c>
      <c r="B168" s="21" t="str">
        <f>IFERROR(VLOOKUP(A168,'PAÑOL TÉCNICO'!A168:B1000,2,0))</f>
        <v>Spanser a rosca (distintos tamaños)</v>
      </c>
      <c r="C168" s="11">
        <v>15.0</v>
      </c>
      <c r="D168" s="12"/>
      <c r="E168" s="12"/>
    </row>
    <row r="169" ht="15.75" customHeight="1">
      <c r="A169" s="7" t="s">
        <v>353</v>
      </c>
      <c r="B169" s="21" t="str">
        <f>IFERROR(VLOOKUP(A169,'PAÑOL TÉCNICO'!A169:B1000,2,0))</f>
        <v>Sierra circular</v>
      </c>
      <c r="C169" s="11">
        <v>3.0</v>
      </c>
      <c r="D169" s="12"/>
      <c r="E169" s="12"/>
    </row>
    <row r="170" ht="15.75" customHeight="1">
      <c r="A170" s="7" t="s">
        <v>356</v>
      </c>
      <c r="B170" s="21" t="str">
        <f>IFERROR(VLOOKUP(A170,'PAÑOL TÉCNICO'!A170:B1000,2,0))</f>
        <v>Saca filtro a fleje giratorio</v>
      </c>
      <c r="C170" s="11">
        <v>1.0</v>
      </c>
      <c r="D170" s="12"/>
      <c r="E170" s="12"/>
    </row>
    <row r="171" ht="15.75" customHeight="1">
      <c r="A171" s="7" t="s">
        <v>358</v>
      </c>
      <c r="B171" s="21" t="str">
        <f>IFERROR(VLOOKUP(A171,'PAÑOL TÉCNICO'!A171:B1000,2,0))</f>
        <v>Spanser de 1mts</v>
      </c>
      <c r="C171" s="11">
        <v>5.0</v>
      </c>
      <c r="D171" s="12"/>
      <c r="E171" s="12"/>
    </row>
    <row r="172" ht="15.75" customHeight="1">
      <c r="A172" s="7" t="s">
        <v>360</v>
      </c>
      <c r="B172" s="21" t="str">
        <f>IFERROR(VLOOKUP(A172,'PAÑOL TÉCNICO'!A172:B1000,2,0))</f>
        <v>Spanser de 2,80mts</v>
      </c>
      <c r="C172" s="11">
        <v>2.0</v>
      </c>
      <c r="D172" s="12"/>
      <c r="E172" s="12"/>
    </row>
    <row r="173" ht="15.75" customHeight="1">
      <c r="A173" s="7" t="s">
        <v>362</v>
      </c>
      <c r="B173" s="21" t="str">
        <f>IFERROR(VLOOKUP(A173,'PAÑOL TÉCNICO'!A173:B1000,2,0))</f>
        <v>Spanser de 1,90</v>
      </c>
      <c r="C173" s="11">
        <v>7.0</v>
      </c>
      <c r="D173" s="12"/>
      <c r="E173" s="12"/>
    </row>
    <row r="174" ht="15.75" customHeight="1">
      <c r="A174" s="7" t="s">
        <v>364</v>
      </c>
      <c r="B174" s="21" t="str">
        <f>IFERROR(VLOOKUP(A174,'PAÑOL TÉCNICO'!A174:B1000,2,0))</f>
        <v>Spanser de 2mts</v>
      </c>
      <c r="C174" s="11">
        <v>1.0</v>
      </c>
      <c r="D174" s="12"/>
      <c r="E174" s="12"/>
    </row>
    <row r="175" ht="15.75" customHeight="1">
      <c r="A175" s="7" t="s">
        <v>366</v>
      </c>
      <c r="B175" s="21" t="str">
        <f>IFERROR(VLOOKUP(A175,'PAÑOL TÉCNICO'!A175:B1000,2,0))</f>
        <v>Spanser de acero</v>
      </c>
      <c r="C175" s="11">
        <v>6.0</v>
      </c>
      <c r="D175" s="12"/>
      <c r="E175" s="12"/>
    </row>
    <row r="176" ht="15.75" customHeight="1">
      <c r="A176" s="7" t="s">
        <v>368</v>
      </c>
      <c r="B176" s="21" t="str">
        <f>IFERROR(VLOOKUP(A176,'PAÑOL TÉCNICO'!A176:B1000,2,0))</f>
        <v>Sombrilla azul</v>
      </c>
      <c r="C176" s="11">
        <v>1.0</v>
      </c>
      <c r="D176" s="12"/>
      <c r="E176" s="12"/>
    </row>
    <row r="177" ht="15.75" customHeight="1">
      <c r="A177" s="7" t="s">
        <v>370</v>
      </c>
      <c r="B177" s="21" t="str">
        <f>IFERROR(VLOOKUP(A177,'PAÑOL TÉCNICO'!A177:B1000,2,0))</f>
        <v>Seguro de cable acerado</v>
      </c>
      <c r="C177" s="11">
        <v>8.0</v>
      </c>
      <c r="D177" s="12"/>
      <c r="E177" s="12"/>
    </row>
    <row r="178" ht="15.75" customHeight="1">
      <c r="A178" s="7" t="s">
        <v>372</v>
      </c>
      <c r="B178" s="21" t="str">
        <f>IFERROR(VLOOKUP(A178,'PAÑOL TÉCNICO'!A178:B1000,2,0))</f>
        <v>Sogin negro</v>
      </c>
      <c r="C178" s="11">
        <v>32.0</v>
      </c>
      <c r="D178" s="12"/>
      <c r="E178" s="12"/>
    </row>
    <row r="179" ht="15.75" customHeight="1">
      <c r="A179" s="7" t="s">
        <v>374</v>
      </c>
      <c r="B179" s="21" t="str">
        <f>IFERROR(VLOOKUP(A179,'PAÑOL TÉCNICO'!A179:B1000,2,0))</f>
        <v>Sogin blanco</v>
      </c>
      <c r="C179" s="11">
        <v>43.0</v>
      </c>
      <c r="D179" s="12"/>
      <c r="E179" s="12"/>
    </row>
    <row r="180" ht="15.75" customHeight="1">
      <c r="A180" s="7" t="s">
        <v>376</v>
      </c>
      <c r="B180" s="21" t="str">
        <f>IFERROR(VLOOKUP(A180,'PAÑOL TÉCNICO'!A180:B1000,2,0))</f>
        <v>Soga</v>
      </c>
      <c r="C180" s="11">
        <v>34.0</v>
      </c>
      <c r="D180" s="12"/>
      <c r="E180" s="12"/>
    </row>
    <row r="181" ht="15.75" customHeight="1">
      <c r="A181" s="7" t="s">
        <v>378</v>
      </c>
      <c r="B181" s="21" t="str">
        <f>IFERROR(VLOOKUP(A181,'PAÑOL TÉCNICO'!A181:B1000,2,0))</f>
        <v>Tapa para luz de techo</v>
      </c>
      <c r="C181" s="11">
        <v>6.0</v>
      </c>
      <c r="D181" s="12"/>
      <c r="E181" s="12"/>
    </row>
    <row r="182" ht="15.75" customHeight="1">
      <c r="A182" s="7" t="s">
        <v>380</v>
      </c>
      <c r="B182" s="21" t="str">
        <f>IFERROR(VLOOKUP(A182,'PAÑOL TÉCNICO'!A182:B1000,2,0))</f>
        <v>Tuerca para free</v>
      </c>
      <c r="C182" s="11">
        <v>130.0</v>
      </c>
      <c r="D182" s="12"/>
      <c r="E182" s="12"/>
    </row>
    <row r="183" ht="15.75" customHeight="1">
      <c r="A183" s="7" t="s">
        <v>382</v>
      </c>
      <c r="B183" s="21" t="str">
        <f>IFERROR(VLOOKUP(A183,'PAÑOL TÉCNICO'!A183:B1000,2,0))</f>
        <v>Tuerca mediana</v>
      </c>
      <c r="C183" s="11">
        <v>75.0</v>
      </c>
      <c r="D183" s="12"/>
      <c r="E183" s="12"/>
    </row>
    <row r="184" ht="15.75" customHeight="1">
      <c r="A184" s="7" t="s">
        <v>384</v>
      </c>
      <c r="B184" s="21" t="str">
        <f>IFERROR(VLOOKUP(A184,'PAÑOL TÉCNICO'!A184:B1000,2,0))</f>
        <v>Tuerca grande (techo)</v>
      </c>
      <c r="C184" s="11">
        <v>16.0</v>
      </c>
      <c r="D184" s="12"/>
      <c r="E184" s="12"/>
    </row>
    <row r="185" ht="15.75" customHeight="1">
      <c r="A185" s="7" t="s">
        <v>386</v>
      </c>
      <c r="B185" s="21" t="str">
        <f>IFERROR(VLOOKUP(A185,'PAÑOL TÉCNICO'!A185:B1000,2,0))</f>
        <v>Tuerca med/chica</v>
      </c>
      <c r="C185" s="11">
        <v>44.0</v>
      </c>
      <c r="D185" s="12"/>
      <c r="E185" s="12"/>
    </row>
    <row r="186" ht="15.75" customHeight="1">
      <c r="A186" s="7" t="s">
        <v>388</v>
      </c>
      <c r="B186" s="21" t="str">
        <f>IFERROR(VLOOKUP(A186,'PAÑOL TÉCNICO'!A186:B1000,2,0))</f>
        <v>Tuerca chica</v>
      </c>
      <c r="C186" s="11">
        <v>106.0</v>
      </c>
      <c r="D186" s="12"/>
      <c r="E186" s="12"/>
    </row>
    <row r="187" ht="15.75" customHeight="1">
      <c r="A187" s="7" t="s">
        <v>390</v>
      </c>
      <c r="B187" s="21" t="str">
        <f>IFERROR(VLOOKUP(A187,'PAÑOL TÉCNICO'!A187:B1000,2,0))</f>
        <v>Tuerca mini</v>
      </c>
      <c r="C187" s="11">
        <v>50.0</v>
      </c>
      <c r="D187" s="12"/>
      <c r="E187" s="12"/>
    </row>
    <row r="188" ht="15.75" customHeight="1">
      <c r="A188" s="7" t="s">
        <v>392</v>
      </c>
      <c r="B188" s="21" t="str">
        <f>IFERROR(VLOOKUP(A188,'PAÑOL TÉCNICO'!A188:B1000,2,0))</f>
        <v>Terminal de batería</v>
      </c>
      <c r="C188" s="11">
        <v>1.0</v>
      </c>
      <c r="D188" s="12"/>
      <c r="E188" s="12"/>
    </row>
    <row r="189" ht="15.75" customHeight="1">
      <c r="A189" s="7" t="s">
        <v>394</v>
      </c>
      <c r="B189" s="21" t="str">
        <f>IFERROR(VLOOKUP(A189,'PAÑOL TÉCNICO'!A189:B1000,2,0))</f>
        <v>Traba placas cieloraso</v>
      </c>
      <c r="C189" s="11">
        <v>60.0</v>
      </c>
      <c r="D189" s="12"/>
      <c r="E189" s="12"/>
    </row>
    <row r="190" ht="15.75" customHeight="1">
      <c r="A190" s="7" t="s">
        <v>396</v>
      </c>
      <c r="B190" s="21" t="str">
        <f>IFERROR(VLOOKUP(A190,'PAÑOL TÉCNICO'!A190:B1000,2,0))</f>
        <v>Triled</v>
      </c>
      <c r="C190" s="11">
        <v>1.0</v>
      </c>
      <c r="D190" s="12"/>
      <c r="E190" s="12"/>
    </row>
    <row r="191" ht="15.75" customHeight="1">
      <c r="A191" s="7" t="s">
        <v>398</v>
      </c>
      <c r="B191" s="21" t="str">
        <f>IFERROR(VLOOKUP(A191,'PAÑOL TÉCNICO'!A191:B1000,2,0))</f>
        <v>Termica</v>
      </c>
      <c r="C191" s="11">
        <v>1.0</v>
      </c>
      <c r="D191" s="12"/>
      <c r="E191" s="12"/>
    </row>
    <row r="192" ht="15.75" customHeight="1">
      <c r="A192" s="7" t="s">
        <v>400</v>
      </c>
      <c r="B192" s="21" t="str">
        <f>IFERROR(VLOOKUP(A192,'PAÑOL TÉCNICO'!A192:B1000,2,0))</f>
        <v>Tenaza</v>
      </c>
      <c r="C192" s="11">
        <v>3.0</v>
      </c>
      <c r="D192" s="12"/>
      <c r="E192" s="12"/>
    </row>
    <row r="193" ht="15.75" customHeight="1">
      <c r="A193" s="7" t="s">
        <v>402</v>
      </c>
      <c r="B193" s="21" t="str">
        <f>IFERROR(VLOOKUP(A193,'PAÑOL TÉCNICO'!A193:B1000,2,0))</f>
        <v>Terminal de cable</v>
      </c>
      <c r="C193" s="11">
        <v>4.0</v>
      </c>
      <c r="D193" s="12"/>
      <c r="E193" s="12"/>
    </row>
    <row r="194" ht="15.75" customHeight="1">
      <c r="A194" s="7" t="s">
        <v>404</v>
      </c>
      <c r="B194" s="21" t="str">
        <f>IFERROR(VLOOKUP(A194,'PAÑOL TÉCNICO'!A194:B1000,2,0))</f>
        <v>Tornillo autoperforante cabeza philip (suelto)</v>
      </c>
      <c r="C194" s="11">
        <v>397.0</v>
      </c>
      <c r="D194" s="12"/>
      <c r="E194" s="12"/>
    </row>
    <row r="195" ht="15.75" customHeight="1">
      <c r="A195" s="7" t="s">
        <v>406</v>
      </c>
      <c r="B195" s="21" t="str">
        <f>IFERROR(VLOOKUP(A195,'PAÑOL TÉCNICO'!A195:B1000,2,0))</f>
        <v>Tornillo autoperforante cabeza hexagonal (suelto)</v>
      </c>
      <c r="C195" s="11">
        <v>224.0</v>
      </c>
      <c r="D195" s="12"/>
      <c r="E195" s="12"/>
    </row>
    <row r="196" ht="15.75" customHeight="1">
      <c r="A196" s="7" t="s">
        <v>408</v>
      </c>
      <c r="B196" s="21" t="str">
        <f>IFERROR(VLOOKUP(A196,'PAÑOL TÉCNICO'!A196:B1000,2,0))</f>
        <v>Tornillo autoperforante cabeza philip (2cm) (suelto)</v>
      </c>
      <c r="C196" s="11">
        <v>128.0</v>
      </c>
      <c r="D196" s="12"/>
      <c r="E196" s="12"/>
    </row>
    <row r="197" ht="15.75" customHeight="1">
      <c r="A197" s="7" t="s">
        <v>410</v>
      </c>
      <c r="B197" s="21" t="str">
        <f>IFERROR(VLOOKUP(A197,'PAÑOL TÉCNICO'!A197:B1000,2,0))</f>
        <v>Tornillo 6cm (averiguar función)</v>
      </c>
      <c r="C197" s="11">
        <v>55.0</v>
      </c>
      <c r="D197" s="12"/>
      <c r="E197" s="12"/>
    </row>
    <row r="198" ht="15.75" customHeight="1">
      <c r="A198" s="7" t="s">
        <v>412</v>
      </c>
      <c r="B198" s="21" t="str">
        <f>IFERROR(VLOOKUP(A198,'PAÑOL TÉCNICO'!A198:B1000,2,0))</f>
        <v>Tornillo 8cm (con punta) (averiguar función)</v>
      </c>
      <c r="C198" s="11">
        <v>11.0</v>
      </c>
      <c r="D198" s="12"/>
      <c r="E198" s="12"/>
    </row>
    <row r="199" ht="15.75" customHeight="1">
      <c r="A199" s="7" t="s">
        <v>414</v>
      </c>
      <c r="B199" s="21" t="str">
        <f>IFERROR(VLOOKUP(A199,'PAÑOL TÉCNICO'!A199:B1000,2,0))</f>
        <v>TORNILLOS AUTOPERFORANTES HEXAGONAL 14X2"</v>
      </c>
      <c r="C199" s="23">
        <v>1000.0</v>
      </c>
      <c r="D199" s="12"/>
      <c r="E199" s="12"/>
    </row>
    <row r="200" ht="15.75" customHeight="1">
      <c r="A200" s="7" t="s">
        <v>416</v>
      </c>
      <c r="B200" s="21" t="str">
        <f>IFERROR(VLOOKUP(A200,'PAÑOL TÉCNICO'!A200:B1000,2,0))</f>
        <v>Tornillos p/free cortos (6cm, 7cm y 8cm) (Sin A/T)</v>
      </c>
      <c r="C200" s="11">
        <v>88.0</v>
      </c>
      <c r="D200" s="12"/>
      <c r="E200" s="12"/>
    </row>
    <row r="201" ht="15.75" customHeight="1">
      <c r="A201" s="7" t="s">
        <v>418</v>
      </c>
      <c r="B201" s="21" t="str">
        <f>IFERROR(VLOOKUP(A201,'PAÑOL TÉCNICO'!A201:B1000,2,0))</f>
        <v>Tornillos p/free largos (9cm, 10cm, 11cm, 12cm y 13cm) (Sin A/T)</v>
      </c>
      <c r="C201" s="11">
        <v>273.0</v>
      </c>
      <c r="D201" s="12"/>
      <c r="E201" s="12"/>
    </row>
    <row r="202" ht="15.75" customHeight="1">
      <c r="A202" s="7" t="s">
        <v>420</v>
      </c>
      <c r="B202" s="21" t="str">
        <f>IFERROR(VLOOKUP(A202,'PAÑOL TÉCNICO'!A202:B1000,2,0))</f>
        <v>Tornillos p/free cortos (6cm, 7cm y 8cm)</v>
      </c>
      <c r="C202" s="11">
        <v>265.0</v>
      </c>
      <c r="D202" s="12"/>
      <c r="E202" s="12"/>
    </row>
    <row r="203" ht="15.75" customHeight="1">
      <c r="A203" s="7" t="s">
        <v>422</v>
      </c>
      <c r="B203" s="21" t="str">
        <f>IFERROR(VLOOKUP(A203,'PAÑOL TÉCNICO'!A203:B1000,2,0))</f>
        <v>Tornillos p/free largos (9cm, 10cm, 11cm, 12cm y 13cm)</v>
      </c>
      <c r="C203" s="11">
        <v>212.0</v>
      </c>
      <c r="D203" s="12"/>
      <c r="E203" s="12"/>
    </row>
    <row r="204" ht="15.75" customHeight="1">
      <c r="A204" s="7" t="s">
        <v>424</v>
      </c>
      <c r="B204" s="21" t="str">
        <f>IFERROR(VLOOKUP(A204,'PAÑOL TÉCNICO'!A204:B1000,2,0))</f>
        <v>Unifila</v>
      </c>
      <c r="C204" s="11">
        <v>1.0</v>
      </c>
      <c r="D204" s="12"/>
      <c r="E204" s="12"/>
    </row>
    <row r="205" ht="15.75" customHeight="1">
      <c r="A205" s="7" t="s">
        <v>426</v>
      </c>
      <c r="B205" s="21" t="str">
        <f>IFERROR(VLOOKUP(A205,'PAÑOL TÉCNICO'!A205:B1000,2,0))</f>
        <v>Varilla roscada</v>
      </c>
      <c r="C205" s="11">
        <v>58.0</v>
      </c>
      <c r="D205" s="12"/>
      <c r="E205" s="12"/>
    </row>
    <row r="206" ht="15.75" customHeight="1">
      <c r="A206" s="7" t="s">
        <v>428</v>
      </c>
      <c r="B206" s="21" t="str">
        <f>IFERROR(VLOOKUP(A206,'PAÑOL TÉCNICO'!A206:B1000,2,0))</f>
        <v>Ventilador (roto)</v>
      </c>
      <c r="C206" s="11">
        <v>1.0</v>
      </c>
      <c r="D206" s="12"/>
      <c r="E206" s="12"/>
    </row>
    <row r="207" ht="15.75" customHeight="1">
      <c r="A207" s="7" t="s">
        <v>430</v>
      </c>
      <c r="B207" s="21" t="str">
        <f>IFERROR(VLOOKUP(A207,'PAÑOL TÉCNICO'!A207:B1000,2,0))</f>
        <v>Zapatilla eléctrica</v>
      </c>
      <c r="C207" s="11">
        <v>5.0</v>
      </c>
      <c r="D207" s="12"/>
      <c r="E207" s="12"/>
    </row>
    <row r="208" ht="15.75" customHeight="1">
      <c r="A208" s="7" t="s">
        <v>433</v>
      </c>
      <c r="B208" s="21" t="str">
        <f>IFERROR(VLOOKUP(A208,'PAÑOL TÉCNICO'!A208:B1000,2,0))</f>
        <v>Soga con gancho (23mts) (Rafa)</v>
      </c>
      <c r="C208" s="11">
        <v>1.0</v>
      </c>
      <c r="D208" s="12"/>
      <c r="E208" s="12"/>
    </row>
    <row r="209" ht="15.75" customHeight="1">
      <c r="A209" s="7" t="s">
        <v>436</v>
      </c>
      <c r="B209" s="21" t="str">
        <f>IFERROR(VLOOKUP(A209,'PAÑOL TÉCNICO'!A209:B1000,2,0))</f>
        <v>Soga con gancho (25mts) (Rafa)</v>
      </c>
      <c r="C209" s="11">
        <v>1.0</v>
      </c>
      <c r="D209" s="12"/>
      <c r="E209" s="12"/>
    </row>
    <row r="210" ht="15.75" customHeight="1">
      <c r="A210" s="7" t="s">
        <v>438</v>
      </c>
      <c r="B210" s="21" t="str">
        <f>IFERROR(VLOOKUP(A210,'PAÑOL TÉCNICO'!A210:B1000,2,0))</f>
        <v>Conservadora roja</v>
      </c>
      <c r="C210" s="11">
        <v>4.0</v>
      </c>
      <c r="D210" s="12"/>
      <c r="E210" s="12"/>
    </row>
    <row r="211" ht="15.75" customHeight="1">
      <c r="A211" s="7" t="s">
        <v>440</v>
      </c>
      <c r="B211" s="21" t="str">
        <f>IFERROR(VLOOKUP(A211,'PAÑOL TÉCNICO'!A211:B1000,2,0))</f>
        <v>Casco de altura roto</v>
      </c>
      <c r="C211" s="11">
        <v>1.0</v>
      </c>
      <c r="D211" s="12"/>
      <c r="E211" s="12"/>
    </row>
    <row r="212" ht="15.75" customHeight="1">
      <c r="A212" s="7" t="s">
        <v>442</v>
      </c>
      <c r="B212" s="21" t="str">
        <f>IFERROR(VLOOKUP(A212,'PAÑOL TÉCNICO'!A212:B1000,2,0))</f>
        <v>Acople criquet</v>
      </c>
      <c r="C212" s="11">
        <v>2.0</v>
      </c>
      <c r="D212" s="12"/>
      <c r="E212" s="12"/>
    </row>
    <row r="213" ht="15.75" customHeight="1">
      <c r="A213" s="7" t="s">
        <v>444</v>
      </c>
      <c r="B213" s="21" t="str">
        <f>IFERROR(VLOOKUP(A213,'PAÑOL TÉCNICO'!A213:B1000,2,0))</f>
        <v>Destornillador criquet</v>
      </c>
      <c r="C213" s="11">
        <v>1.0</v>
      </c>
      <c r="D213" s="12"/>
      <c r="E213" s="12"/>
    </row>
    <row r="214" ht="15.75" customHeight="1">
      <c r="A214" s="7" t="s">
        <v>446</v>
      </c>
      <c r="B214" s="21" t="str">
        <f>IFERROR(VLOOKUP(A214,'PAÑOL TÉCNICO'!A214:B1000,2,0))</f>
        <v>Tubo 10</v>
      </c>
      <c r="C214" s="11">
        <v>1.0</v>
      </c>
      <c r="D214" s="12"/>
      <c r="E214" s="12"/>
    </row>
    <row r="215" ht="15.75" customHeight="1">
      <c r="A215" s="7" t="s">
        <v>448</v>
      </c>
      <c r="B215" s="21" t="str">
        <f>IFERROR(VLOOKUP(A215,'PAÑOL TÉCNICO'!A215:B1000,2,0))</f>
        <v>Tubo 11</v>
      </c>
      <c r="C215" s="11">
        <v>1.0</v>
      </c>
      <c r="D215" s="12"/>
      <c r="E215" s="12"/>
    </row>
    <row r="216" ht="15.75" customHeight="1">
      <c r="A216" s="7" t="s">
        <v>450</v>
      </c>
      <c r="B216" s="21" t="str">
        <f>IFERROR(VLOOKUP(A216,'PAÑOL TÉCNICO'!A216:B1000,2,0))</f>
        <v>Tubo 12</v>
      </c>
      <c r="C216" s="11">
        <v>1.0</v>
      </c>
      <c r="D216" s="12"/>
      <c r="E216" s="12"/>
    </row>
    <row r="217" ht="15.75" customHeight="1">
      <c r="A217" s="7" t="s">
        <v>452</v>
      </c>
      <c r="B217" s="21" t="str">
        <f>IFERROR(VLOOKUP(A217,'PAÑOL TÉCNICO'!A217:B1000,2,0))</f>
        <v>Tubo 22</v>
      </c>
      <c r="C217" s="11">
        <v>3.0</v>
      </c>
      <c r="D217" s="12"/>
      <c r="E217" s="12"/>
    </row>
    <row r="218" ht="15.75" customHeight="1">
      <c r="A218" s="7" t="s">
        <v>454</v>
      </c>
      <c r="B218" s="21" t="str">
        <f>IFERROR(VLOOKUP(A218,'PAÑOL TÉCNICO'!A218:B1000,2,0))</f>
        <v>Tubo 18</v>
      </c>
      <c r="C218" s="11">
        <v>1.0</v>
      </c>
      <c r="D218" s="12"/>
      <c r="E218" s="12"/>
    </row>
    <row r="219" ht="15.75" customHeight="1">
      <c r="A219" s="7" t="s">
        <v>456</v>
      </c>
      <c r="B219" s="21" t="str">
        <f>IFERROR(VLOOKUP(A219,'PAÑOL TÉCNICO'!A219:B1000,2,0))</f>
        <v>Tubo 19</v>
      </c>
      <c r="C219" s="11">
        <v>3.0</v>
      </c>
      <c r="D219" s="12"/>
      <c r="E219" s="12"/>
    </row>
    <row r="220" ht="15.75" customHeight="1">
      <c r="A220" s="7" t="s">
        <v>458</v>
      </c>
      <c r="B220" s="21" t="str">
        <f>IFERROR(VLOOKUP(A220,'PAÑOL TÉCNICO'!A220:B1000,2,0))</f>
        <v>Tubo 21</v>
      </c>
      <c r="C220" s="11">
        <v>1.0</v>
      </c>
      <c r="D220" s="12"/>
      <c r="E220" s="12"/>
    </row>
    <row r="221" ht="15.75" customHeight="1">
      <c r="A221" s="7" t="s">
        <v>460</v>
      </c>
      <c r="B221" s="21" t="str">
        <f>IFERROR(VLOOKUP(A221,'PAÑOL TÉCNICO'!A221:B1000,2,0))</f>
        <v>Tubo 20</v>
      </c>
      <c r="C221" s="11">
        <v>3.0</v>
      </c>
      <c r="D221" s="12"/>
      <c r="E221" s="12"/>
    </row>
    <row r="222" ht="15.75" customHeight="1">
      <c r="A222" s="7" t="s">
        <v>462</v>
      </c>
      <c r="B222" s="21" t="str">
        <f>IFERROR(VLOOKUP(A222,'PAÑOL TÉCNICO'!A222:B1000,2,0))</f>
        <v>Tubo 23</v>
      </c>
      <c r="C222" s="11">
        <v>1.0</v>
      </c>
      <c r="D222" s="12"/>
      <c r="E222" s="12"/>
    </row>
    <row r="223" ht="15.75" customHeight="1">
      <c r="A223" s="7" t="s">
        <v>464</v>
      </c>
      <c r="B223" s="21" t="str">
        <f>IFERROR(VLOOKUP(A223,'PAÑOL TÉCNICO'!A223:B1000,2,0))</f>
        <v>Tubo 24</v>
      </c>
      <c r="C223" s="11">
        <v>2.0</v>
      </c>
      <c r="D223" s="12"/>
      <c r="E223" s="12"/>
    </row>
    <row r="224" ht="15.75" customHeight="1">
      <c r="A224" s="7" t="s">
        <v>466</v>
      </c>
      <c r="B224" s="21" t="str">
        <f>IFERROR(VLOOKUP(A224,'PAÑOL TÉCNICO'!A224:B1000,2,0))</f>
        <v>Tubo 12</v>
      </c>
      <c r="C224" s="11">
        <v>1.0</v>
      </c>
      <c r="D224" s="12"/>
      <c r="E224" s="12"/>
    </row>
    <row r="225" ht="15.75" customHeight="1">
      <c r="A225" s="7" t="s">
        <v>467</v>
      </c>
      <c r="B225" s="21" t="str">
        <f>IFERROR(VLOOKUP(A225,'PAÑOL TÉCNICO'!A225:B1000,2,0))</f>
        <v>Tubo 13</v>
      </c>
      <c r="C225" s="11">
        <v>4.0</v>
      </c>
      <c r="D225" s="12"/>
      <c r="E225" s="12"/>
    </row>
    <row r="226" ht="15.75" customHeight="1">
      <c r="A226" s="7" t="s">
        <v>469</v>
      </c>
      <c r="B226" s="21" t="str">
        <f>IFERROR(VLOOKUP(A226,'PAÑOL TÉCNICO'!A226:B1000,2,0))</f>
        <v>Tubo 14</v>
      </c>
      <c r="C226" s="11">
        <v>3.0</v>
      </c>
      <c r="D226" s="12"/>
      <c r="E226" s="12"/>
    </row>
    <row r="227" ht="15.75" customHeight="1">
      <c r="A227" s="7" t="s">
        <v>471</v>
      </c>
      <c r="B227" s="21" t="str">
        <f>IFERROR(VLOOKUP(A227,'PAÑOL TÉCNICO'!A227:B1000,2,0))</f>
        <v>Tubo 15</v>
      </c>
      <c r="C227" s="11">
        <v>3.0</v>
      </c>
      <c r="D227" s="12"/>
      <c r="E227" s="12"/>
    </row>
    <row r="228" ht="15.75" customHeight="1">
      <c r="A228" s="7" t="s">
        <v>473</v>
      </c>
      <c r="B228" s="21" t="str">
        <f>IFERROR(VLOOKUP(A228,'PAÑOL TÉCNICO'!A228:B1000,2,0))</f>
        <v>Tubo 17</v>
      </c>
      <c r="C228" s="11">
        <v>1.0</v>
      </c>
      <c r="D228" s="12"/>
      <c r="E228" s="12"/>
    </row>
    <row r="229" ht="15.75" customHeight="1">
      <c r="A229" s="7" t="s">
        <v>475</v>
      </c>
      <c r="B229" s="21" t="str">
        <f>IFERROR(VLOOKUP(A229,'PAÑOL TÉCNICO'!A229:B1000,2,0))</f>
        <v>Tubo 30</v>
      </c>
      <c r="C229" s="11">
        <v>1.0</v>
      </c>
      <c r="D229" s="12"/>
      <c r="E229" s="12"/>
    </row>
    <row r="230">
      <c r="A230" s="7" t="s">
        <v>477</v>
      </c>
      <c r="B230" s="21" t="str">
        <f>IFERROR(VLOOKUP(A230,'PAÑOL TÉCNICO'!A230:B1000,2,0))</f>
        <v>Tubo 32</v>
      </c>
      <c r="C230" s="11">
        <v>1.0</v>
      </c>
      <c r="D230" s="12"/>
      <c r="E230" s="12"/>
    </row>
    <row r="231">
      <c r="A231" s="7" t="s">
        <v>479</v>
      </c>
      <c r="B231" s="21" t="str">
        <f>IFERROR(VLOOKUP(A231,'PAÑOL TÉCNICO'!A231:B1000,2,0))</f>
        <v>Tubo 28</v>
      </c>
      <c r="C231" s="11">
        <v>2.0</v>
      </c>
      <c r="D231" s="12"/>
      <c r="E231" s="12"/>
    </row>
    <row r="232" ht="15.75" customHeight="1">
      <c r="A232" s="7" t="s">
        <v>481</v>
      </c>
      <c r="B232" s="21" t="str">
        <f>IFERROR(VLOOKUP(A232,'PAÑOL TÉCNICO'!A232:B1000,2,0))</f>
        <v>Tubo 9</v>
      </c>
      <c r="C232" s="11">
        <v>1.0</v>
      </c>
      <c r="D232" s="12"/>
      <c r="E232" s="12"/>
    </row>
    <row r="233" ht="15.75" customHeight="1">
      <c r="A233" s="7" t="s">
        <v>483</v>
      </c>
      <c r="B233" s="21" t="str">
        <f>IFERROR(VLOOKUP(A233,'PAÑOL TÉCNICO'!A233:B1000,2,0))</f>
        <v>Tubo 4</v>
      </c>
      <c r="C233" s="11">
        <v>1.0</v>
      </c>
      <c r="D233" s="12"/>
      <c r="E233" s="12"/>
    </row>
    <row r="234" ht="15.75" customHeight="1">
      <c r="A234" s="7" t="s">
        <v>485</v>
      </c>
      <c r="B234" s="21" t="str">
        <f>IFERROR(VLOOKUP(A234,'PAÑOL TÉCNICO'!A234:B1000,2,0))</f>
        <v>Tubo 4,5</v>
      </c>
      <c r="C234" s="11">
        <v>1.0</v>
      </c>
      <c r="D234" s="12"/>
      <c r="E234" s="12"/>
    </row>
    <row r="235" ht="15.75" customHeight="1">
      <c r="A235" s="7" t="s">
        <v>487</v>
      </c>
      <c r="B235" s="21" t="str">
        <f>IFERROR(VLOOKUP(A235,'PAÑOL TÉCNICO'!A235:B1000,2,0))</f>
        <v>Tubo 5</v>
      </c>
      <c r="C235" s="11">
        <v>1.0</v>
      </c>
      <c r="D235" s="12"/>
      <c r="E235" s="12"/>
    </row>
    <row r="236" ht="15.75" customHeight="1">
      <c r="A236" s="7" t="s">
        <v>489</v>
      </c>
      <c r="B236" s="21" t="str">
        <f>IFERROR(VLOOKUP(A236,'PAÑOL TÉCNICO'!A236:B1000,2,0))</f>
        <v>Amoladora</v>
      </c>
      <c r="C236" s="11">
        <v>2.0</v>
      </c>
      <c r="D236" s="12"/>
      <c r="E236" s="12"/>
    </row>
    <row r="237" ht="15.75" customHeight="1">
      <c r="A237" s="7" t="s">
        <v>492</v>
      </c>
      <c r="B237" s="21" t="str">
        <f>IFERROR(VLOOKUP(A237,'PAÑOL TÉCNICO'!A237:B1000,2,0))</f>
        <v>Amoladora inalámbrica</v>
      </c>
      <c r="C237" s="11">
        <v>1.0</v>
      </c>
      <c r="D237" s="12"/>
      <c r="E237" s="12"/>
    </row>
    <row r="238" ht="15.75" customHeight="1">
      <c r="A238" s="7" t="s">
        <v>495</v>
      </c>
      <c r="B238" s="21" t="str">
        <f>IFERROR(VLOOKUP(A238,'PAÑOL TÉCNICO'!A238:B1000,2,0))</f>
        <v>Espatula stanley 2"</v>
      </c>
      <c r="C238" s="11">
        <v>2.0</v>
      </c>
      <c r="D238" s="12"/>
      <c r="E238" s="12"/>
    </row>
    <row r="239" ht="15.75" customHeight="1">
      <c r="A239" s="7" t="s">
        <v>497</v>
      </c>
      <c r="B239" s="21" t="str">
        <f>IFERROR(VLOOKUP(A239,'PAÑOL TÉCNICO'!A239:B1000,2,0))</f>
        <v>Hidrolavadora</v>
      </c>
      <c r="C239" s="11">
        <v>1.0</v>
      </c>
      <c r="D239" s="12"/>
      <c r="E239" s="12"/>
    </row>
    <row r="240" ht="15.75" customHeight="1">
      <c r="A240" s="7" t="s">
        <v>499</v>
      </c>
      <c r="B240" s="21" t="str">
        <f>IFERROR(VLOOKUP(A240,'PAÑOL TÉCNICO'!A240:B1000,2,0))</f>
        <v>Aspiradora</v>
      </c>
      <c r="C240" s="11">
        <v>1.0</v>
      </c>
      <c r="D240" s="12"/>
      <c r="E240" s="12"/>
    </row>
    <row r="241" ht="15.75" customHeight="1">
      <c r="A241" s="7" t="s">
        <v>501</v>
      </c>
      <c r="B241" s="21" t="str">
        <f>IFERROR(VLOOKUP(A241,'PAÑOL TÉCNICO'!A241:B1000,2,0))</f>
        <v>Chapas Fenolicos</v>
      </c>
      <c r="C241" s="11">
        <v>61.0</v>
      </c>
      <c r="D241" s="12"/>
      <c r="E241" s="12"/>
    </row>
    <row r="242" ht="15.75" customHeight="1">
      <c r="A242" s="7" t="s">
        <v>509</v>
      </c>
      <c r="B242" s="21" t="str">
        <f>IFERROR(VLOOKUP(A242,'PAÑOL TÉCNICO'!A242:B1000,2,0))</f>
        <v>Taladro percutor </v>
      </c>
      <c r="C242" s="11">
        <v>1.0</v>
      </c>
      <c r="D242" s="12"/>
      <c r="E242" s="12"/>
    </row>
    <row r="243" ht="15.75" customHeight="1">
      <c r="A243" s="7" t="s">
        <v>512</v>
      </c>
      <c r="B243" s="21" t="str">
        <f>IFERROR(VLOOKUP(A243,'PAÑOL TÉCNICO'!A243:B1000,2,0))</f>
        <v>Llave 22</v>
      </c>
      <c r="C243" s="11">
        <v>5.0</v>
      </c>
      <c r="D243" s="12"/>
      <c r="E243" s="12"/>
    </row>
    <row r="244" ht="15.75" customHeight="1">
      <c r="A244" s="7" t="s">
        <v>514</v>
      </c>
      <c r="B244" s="21" t="str">
        <f>IFERROR(VLOOKUP(A244,'PAÑOL TÉCNICO'!A244:B1000,2,0))</f>
        <v>Llave 24</v>
      </c>
      <c r="C244" s="11">
        <v>2.0</v>
      </c>
      <c r="D244" s="12"/>
      <c r="E244" s="12"/>
    </row>
    <row r="245" ht="15.75" customHeight="1">
      <c r="A245" s="7" t="s">
        <v>516</v>
      </c>
      <c r="B245" s="21" t="str">
        <f>IFERROR(VLOOKUP(A245,'PAÑOL TÉCNICO'!A245:B1000,2,0))</f>
        <v>Cinta metrica 100Mts</v>
      </c>
      <c r="C245" s="11">
        <v>1.0</v>
      </c>
      <c r="D245" s="12"/>
      <c r="E245" s="12"/>
    </row>
    <row r="246" ht="15.75" customHeight="1">
      <c r="A246" s="7" t="s">
        <v>518</v>
      </c>
      <c r="B246" s="21" t="str">
        <f>IFERROR(VLOOKUP(A246,'PAÑOL TÉCNICO'!A246:B1000,2,0))</f>
        <v>Anteojos oscuros </v>
      </c>
      <c r="C246" s="11">
        <v>10.0</v>
      </c>
      <c r="D246" s="12"/>
      <c r="E246" s="12"/>
    </row>
    <row r="247" ht="15.75" customHeight="1">
      <c r="A247" s="7" t="s">
        <v>520</v>
      </c>
      <c r="B247" s="21" t="str">
        <f>IFERROR(VLOOKUP(A247,'PAÑOL TÉCNICO'!A247:B1000,2,0))</f>
        <v>Anteojos amarillos</v>
      </c>
      <c r="C247" s="11">
        <v>4.0</v>
      </c>
      <c r="D247" s="12"/>
      <c r="E247" s="12"/>
    </row>
    <row r="248" ht="15.75" customHeight="1">
      <c r="A248" s="7" t="s">
        <v>522</v>
      </c>
      <c r="B248" s="21" t="str">
        <f>IFERROR(VLOOKUP(A248,'PAÑOL TÉCNICO'!A248:B1000,2,0))</f>
        <v>Anteojos espejados</v>
      </c>
      <c r="C248" s="11">
        <v>4.0</v>
      </c>
      <c r="D248" s="12"/>
      <c r="E248" s="12"/>
    </row>
    <row r="249" ht="15.75" customHeight="1">
      <c r="A249" s="7" t="s">
        <v>524</v>
      </c>
      <c r="B249" s="21" t="str">
        <f>IFERROR(VLOOKUP(A249,'PAÑOL TÉCNICO'!A249:B1000,2,0))</f>
        <v>Megáfono</v>
      </c>
      <c r="C249" s="11">
        <v>1.0</v>
      </c>
      <c r="D249" s="12"/>
      <c r="E249" s="12"/>
    </row>
    <row r="250" ht="15.75" customHeight="1">
      <c r="A250" s="7" t="s">
        <v>527</v>
      </c>
      <c r="B250" s="21" t="str">
        <f>IFERROR(VLOOKUP(A250,'PAÑOL TÉCNICO'!A250:B1000,2,0))</f>
        <v>Gancho mosquetón grande</v>
      </c>
      <c r="C250" s="11">
        <v>4.0</v>
      </c>
      <c r="D250" s="12"/>
      <c r="E250" s="12"/>
    </row>
    <row r="251" ht="15.75" customHeight="1">
      <c r="A251" s="7" t="s">
        <v>529</v>
      </c>
      <c r="B251" s="21" t="str">
        <f>IFERROR(VLOOKUP(A251,'PAÑOL TÉCNICO'!A251:B1000,2,0))</f>
        <v>Roldana grande</v>
      </c>
      <c r="C251" s="11">
        <v>4.0</v>
      </c>
      <c r="D251" s="12"/>
      <c r="E251" s="12"/>
    </row>
    <row r="252" ht="15.75" customHeight="1">
      <c r="A252" s="7" t="s">
        <v>531</v>
      </c>
      <c r="B252" s="21" t="str">
        <f>IFERROR(VLOOKUP(A252,'PAÑOL TÉCNICO'!A252:B1000,2,0))</f>
        <v>Roldana chica</v>
      </c>
      <c r="C252" s="11">
        <v>4.0</v>
      </c>
      <c r="D252" s="12"/>
      <c r="E252" s="12"/>
    </row>
    <row r="253" ht="15.75" customHeight="1">
      <c r="A253" s="7" t="s">
        <v>533</v>
      </c>
      <c r="B253" s="21" t="str">
        <f>IFERROR(VLOOKUP(A253,'PAÑOL TÉCNICO'!A253:B1000,2,0))</f>
        <v>Termo de 12L</v>
      </c>
      <c r="C253" s="11">
        <v>2.0</v>
      </c>
      <c r="D253" s="12"/>
      <c r="E253" s="12"/>
    </row>
    <row r="254" ht="15.75" customHeight="1">
      <c r="A254" s="7" t="s">
        <v>535</v>
      </c>
      <c r="B254" s="21" t="str">
        <f>IFERROR(VLOOKUP(A254,'PAÑOL TÉCNICO'!A254:B1000,2,0))</f>
        <v>Pinza de punta </v>
      </c>
      <c r="C254" s="11">
        <v>1.0</v>
      </c>
      <c r="D254" s="12"/>
      <c r="E254" s="12"/>
    </row>
    <row r="255" ht="15.75" customHeight="1">
      <c r="A255" s="7" t="s">
        <v>537</v>
      </c>
      <c r="B255" s="21" t="str">
        <f>IFERROR(VLOOKUP(A255,'PAÑOL TÉCNICO'!A255:B1000,2,0))</f>
        <v>Tensor de cable de acero</v>
      </c>
      <c r="C255" s="11">
        <v>9.0</v>
      </c>
      <c r="D255" s="12"/>
      <c r="E255" s="12"/>
    </row>
    <row r="256" ht="15.75" customHeight="1">
      <c r="A256" s="7" t="s">
        <v>539</v>
      </c>
      <c r="B256" s="21" t="str">
        <f>IFERROR(VLOOKUP(A256,'PAÑOL TÉCNICO'!A256:B1000,2,0))</f>
        <v>Ficha macho/hembra</v>
      </c>
      <c r="C256" s="11">
        <v>9.0</v>
      </c>
      <c r="D256" s="12"/>
      <c r="E256" s="12"/>
    </row>
    <row r="257" ht="15.75" customHeight="1">
      <c r="A257" s="13"/>
      <c r="B257" s="21" t="str">
        <f>IFERROR(VLOOKUP(A257,'PAÑOL TÉCNICO'!A257:B1000,2,0))</f>
        <v/>
      </c>
      <c r="C257" s="11"/>
      <c r="D257" s="12"/>
      <c r="E257" s="12"/>
    </row>
    <row r="258" ht="15.75" customHeight="1">
      <c r="A258" s="13"/>
      <c r="B258" s="21" t="str">
        <f>IFERROR(VLOOKUP(A258,'PAÑOL TÉCNICO'!A258:B1000,2,0))</f>
        <v/>
      </c>
      <c r="C258" s="11"/>
      <c r="D258" s="12"/>
      <c r="E258" s="12"/>
    </row>
    <row r="259" ht="15.75" customHeight="1">
      <c r="A259" s="13"/>
      <c r="B259" s="21" t="str">
        <f>IFERROR(VLOOKUP(A259,'PAÑOL TÉCNICO'!A259:B1000,2,0))</f>
        <v/>
      </c>
      <c r="C259" s="11"/>
      <c r="D259" s="12"/>
      <c r="E259" s="12"/>
    </row>
    <row r="260" ht="15.75" customHeight="1">
      <c r="A260" s="13"/>
      <c r="B260" s="21" t="str">
        <f>IFERROR(VLOOKUP(A260,'PAÑOL TÉCNICO'!A260:B1000,2,0))</f>
        <v/>
      </c>
      <c r="C260" s="11"/>
      <c r="D260" s="12"/>
      <c r="E260" s="12"/>
    </row>
    <row r="261" ht="15.75" customHeight="1">
      <c r="A261" s="13"/>
      <c r="B261" s="21" t="str">
        <f>IFERROR(VLOOKUP(A261,'PAÑOL TÉCNICO'!A261:B1000,2,0))</f>
        <v/>
      </c>
      <c r="C261" s="11"/>
      <c r="D261" s="12"/>
      <c r="E261" s="12"/>
    </row>
    <row r="262" ht="15.75" customHeight="1">
      <c r="A262" s="13"/>
      <c r="B262" s="21" t="str">
        <f>IFERROR(VLOOKUP(A262,'PAÑOL TÉCNICO'!A262:B1000,2,0))</f>
        <v/>
      </c>
      <c r="C262" s="11"/>
      <c r="D262" s="12"/>
      <c r="E262" s="12"/>
    </row>
    <row r="263" ht="15.75" customHeight="1">
      <c r="A263" s="13"/>
      <c r="B263" s="21" t="str">
        <f>IFERROR(VLOOKUP(A263,'PAÑOL TÉCNICO'!A263:B1000,2,0))</f>
        <v/>
      </c>
      <c r="C263" s="11"/>
      <c r="D263" s="12"/>
      <c r="E263" s="12"/>
    </row>
    <row r="264" ht="15.75" customHeight="1">
      <c r="A264" s="13"/>
      <c r="B264" s="21" t="str">
        <f>IFERROR(VLOOKUP(A264,'PAÑOL TÉCNICO'!A264:B1000,2,0))</f>
        <v/>
      </c>
      <c r="C264" s="11"/>
      <c r="D264" s="12"/>
      <c r="E264" s="12"/>
    </row>
    <row r="265" ht="15.75" customHeight="1">
      <c r="A265" s="13"/>
      <c r="B265" s="21" t="str">
        <f>IFERROR(VLOOKUP(A265,'PAÑOL TÉCNICO'!A265:B1000,2,0))</f>
        <v/>
      </c>
      <c r="C265" s="11"/>
      <c r="D265" s="12"/>
      <c r="E265" s="12"/>
    </row>
    <row r="266" ht="15.75" customHeight="1">
      <c r="A266" s="13"/>
      <c r="B266" s="21" t="str">
        <f>IFERROR(VLOOKUP(A266,'PAÑOL TÉCNICO'!A266:B1000,2,0))</f>
        <v/>
      </c>
      <c r="C266" s="11"/>
      <c r="D266" s="12"/>
      <c r="E266" s="12"/>
    </row>
    <row r="267" ht="15.75" customHeight="1">
      <c r="A267" s="13"/>
      <c r="B267" s="21" t="str">
        <f>IFERROR(VLOOKUP(A267,'PAÑOL TÉCNICO'!A267:B1000,2,0))</f>
        <v/>
      </c>
      <c r="C267" s="11"/>
      <c r="D267" s="12"/>
      <c r="E267" s="12"/>
    </row>
    <row r="268" ht="15.75" customHeight="1">
      <c r="A268" s="13"/>
      <c r="B268" s="21" t="str">
        <f>IFERROR(VLOOKUP(A268,'PAÑOL TÉCNICO'!A268:B1000,2,0))</f>
        <v/>
      </c>
      <c r="C268" s="11"/>
      <c r="D268" s="12"/>
      <c r="E268" s="12"/>
    </row>
    <row r="269" ht="15.75" customHeight="1">
      <c r="A269" s="13"/>
      <c r="B269" s="21" t="str">
        <f>IFERROR(VLOOKUP(A269,'PAÑOL TÉCNICO'!A269:B1000,2,0))</f>
        <v/>
      </c>
      <c r="C269" s="11"/>
      <c r="D269" s="12"/>
      <c r="E269" s="12"/>
    </row>
    <row r="270" ht="15.75" customHeight="1">
      <c r="A270" s="13"/>
      <c r="B270" s="21" t="str">
        <f>IFERROR(VLOOKUP(A270,'PAÑOL TÉCNICO'!A270:B1000,2,0))</f>
        <v/>
      </c>
      <c r="C270" s="11"/>
      <c r="D270" s="12"/>
      <c r="E270" s="12"/>
    </row>
    <row r="271" ht="15.75" customHeight="1">
      <c r="A271" s="13"/>
      <c r="B271" s="21" t="str">
        <f>IFERROR(VLOOKUP(A271,'PAÑOL TÉCNICO'!A271:B1000,2,0))</f>
        <v/>
      </c>
      <c r="C271" s="11"/>
      <c r="D271" s="12"/>
      <c r="E271" s="12"/>
    </row>
    <row r="272" ht="15.75" customHeight="1">
      <c r="A272" s="13"/>
      <c r="B272" s="21" t="str">
        <f>IFERROR(VLOOKUP(A272,'PAÑOL TÉCNICO'!A272:B1000,2,0))</f>
        <v/>
      </c>
      <c r="C272" s="11"/>
      <c r="D272" s="12"/>
      <c r="E272" s="12"/>
    </row>
    <row r="273" ht="15.75" customHeight="1">
      <c r="A273" s="13"/>
      <c r="B273" s="21" t="str">
        <f>IFERROR(VLOOKUP(A273,'PAÑOL TÉCNICO'!A273:B1000,2,0))</f>
        <v/>
      </c>
      <c r="C273" s="11"/>
      <c r="D273" s="12"/>
      <c r="E273" s="12"/>
    </row>
    <row r="274" ht="15.75" customHeight="1">
      <c r="A274" s="13"/>
      <c r="B274" s="21" t="str">
        <f>IFERROR(VLOOKUP(A274,'PAÑOL TÉCNICO'!A274:B1000,2,0))</f>
        <v/>
      </c>
      <c r="C274" s="11"/>
      <c r="D274" s="12"/>
      <c r="E274" s="12"/>
    </row>
    <row r="275" ht="15.75" customHeight="1">
      <c r="A275" s="13"/>
      <c r="B275" s="21" t="str">
        <f>IFERROR(VLOOKUP(A275,'PAÑOL TÉCNICO'!A275:B1000,2,0))</f>
        <v/>
      </c>
      <c r="C275" s="11"/>
      <c r="D275" s="12"/>
      <c r="E275" s="12"/>
    </row>
    <row r="276" ht="15.75" customHeight="1">
      <c r="A276" s="13"/>
      <c r="B276" s="21" t="str">
        <f>IFERROR(VLOOKUP(A276,'PAÑOL TÉCNICO'!A276:B1000,2,0))</f>
        <v/>
      </c>
      <c r="C276" s="11"/>
      <c r="D276" s="12"/>
      <c r="E276" s="12"/>
    </row>
    <row r="277" ht="15.75" customHeight="1">
      <c r="A277" s="13"/>
      <c r="B277" s="21" t="str">
        <f>IFERROR(VLOOKUP(A277,'PAÑOL TÉCNICO'!A277:B1000,2,0))</f>
        <v/>
      </c>
      <c r="C277" s="11"/>
      <c r="D277" s="12"/>
      <c r="E277" s="12"/>
    </row>
    <row r="278" ht="15.75" customHeight="1">
      <c r="A278" s="13"/>
      <c r="B278" s="21" t="str">
        <f>IFERROR(VLOOKUP(A278,'PAÑOL TÉCNICO'!A278:B1000,2,0))</f>
        <v/>
      </c>
      <c r="C278" s="11"/>
      <c r="D278" s="12"/>
      <c r="E278" s="12"/>
    </row>
    <row r="279" ht="15.75" customHeight="1">
      <c r="A279" s="13"/>
      <c r="B279" s="21" t="str">
        <f>IFERROR(VLOOKUP(A279,'PAÑOL TÉCNICO'!A279:B1000,2,0))</f>
        <v/>
      </c>
      <c r="C279" s="11"/>
      <c r="D279" s="12"/>
      <c r="E279" s="12"/>
    </row>
    <row r="280" ht="15.75" customHeight="1">
      <c r="A280" s="13"/>
      <c r="B280" s="21" t="str">
        <f>IFERROR(VLOOKUP(A280,'PAÑOL TÉCNICO'!A280:B1000,2,0))</f>
        <v/>
      </c>
      <c r="C280" s="11"/>
      <c r="D280" s="12"/>
      <c r="E280" s="12"/>
    </row>
    <row r="281" ht="15.75" customHeight="1">
      <c r="A281" s="13"/>
      <c r="B281" s="21" t="str">
        <f>IFERROR(VLOOKUP(A281,'PAÑOL TÉCNICO'!A281:B1000,2,0))</f>
        <v/>
      </c>
      <c r="C281" s="11"/>
      <c r="D281" s="12"/>
      <c r="E281" s="12"/>
    </row>
    <row r="282" ht="15.75" customHeight="1">
      <c r="A282" s="13"/>
      <c r="B282" s="21" t="str">
        <f>IFERROR(VLOOKUP(A282,'PAÑOL TÉCNICO'!A282:B1000,2,0))</f>
        <v/>
      </c>
      <c r="C282" s="11"/>
      <c r="D282" s="12"/>
      <c r="E282" s="12"/>
    </row>
    <row r="283" ht="15.75" customHeight="1">
      <c r="A283" s="13"/>
      <c r="B283" s="21" t="str">
        <f>IFERROR(VLOOKUP(A283,'PAÑOL TÉCNICO'!A283:B1000,2,0))</f>
        <v/>
      </c>
      <c r="C283" s="11"/>
      <c r="D283" s="12"/>
      <c r="E283" s="12"/>
    </row>
    <row r="284" ht="15.75" customHeight="1">
      <c r="A284" s="13"/>
      <c r="B284" s="21" t="str">
        <f>IFERROR(VLOOKUP(A284,'PAÑOL TÉCNICO'!A284:B1000,2,0))</f>
        <v/>
      </c>
      <c r="C284" s="11"/>
      <c r="D284" s="12"/>
      <c r="E284" s="12"/>
    </row>
    <row r="285" ht="15.75" customHeight="1">
      <c r="A285" s="13"/>
      <c r="B285" s="21" t="str">
        <f>IFERROR(VLOOKUP(A285,'PAÑOL TÉCNICO'!A285:B1000,2,0))</f>
        <v/>
      </c>
      <c r="C285" s="11"/>
      <c r="D285" s="12"/>
      <c r="E285" s="12"/>
    </row>
    <row r="286" ht="15.75" customHeight="1">
      <c r="A286" s="13"/>
      <c r="B286" s="21" t="str">
        <f>IFERROR(VLOOKUP(A286,'PAÑOL TÉCNICO'!A286:B1000,2,0))</f>
        <v/>
      </c>
      <c r="C286" s="11"/>
      <c r="D286" s="12"/>
      <c r="E286" s="12"/>
    </row>
    <row r="287" ht="15.75" customHeight="1">
      <c r="A287" s="13"/>
      <c r="B287" s="21" t="str">
        <f>IFERROR(VLOOKUP(A287,'PAÑOL TÉCNICO'!A287:B1000,2,0))</f>
        <v/>
      </c>
      <c r="C287" s="11"/>
      <c r="D287" s="12"/>
      <c r="E287" s="12"/>
    </row>
    <row r="288" ht="15.75" customHeight="1">
      <c r="A288" s="13"/>
      <c r="B288" s="21" t="str">
        <f>IFERROR(VLOOKUP(A288,'PAÑOL TÉCNICO'!A288:B1000,2,0))</f>
        <v/>
      </c>
      <c r="C288" s="11"/>
      <c r="D288" s="12"/>
      <c r="E288" s="12"/>
    </row>
    <row r="289" ht="15.75" customHeight="1">
      <c r="A289" s="13"/>
      <c r="B289" s="21" t="str">
        <f>IFERROR(VLOOKUP(A289,'PAÑOL TÉCNICO'!A289:B1000,2,0))</f>
        <v/>
      </c>
      <c r="C289" s="11"/>
      <c r="D289" s="12"/>
      <c r="E289" s="12"/>
    </row>
    <row r="290" ht="15.75" customHeight="1">
      <c r="A290" s="13"/>
      <c r="B290" s="21" t="str">
        <f>IFERROR(VLOOKUP(A290,'PAÑOL TÉCNICO'!A290:B1000,2,0))</f>
        <v/>
      </c>
      <c r="C290" s="11"/>
      <c r="D290" s="12"/>
      <c r="E290" s="12"/>
    </row>
    <row r="291" ht="15.75" customHeight="1">
      <c r="A291" s="13"/>
      <c r="B291" s="21" t="str">
        <f>IFERROR(VLOOKUP(A291,'PAÑOL TÉCNICO'!A291:B1000,2,0))</f>
        <v/>
      </c>
      <c r="C291" s="11"/>
      <c r="D291" s="12"/>
      <c r="E291" s="12"/>
    </row>
    <row r="292" ht="15.75" customHeight="1">
      <c r="A292" s="13"/>
      <c r="B292" s="21" t="str">
        <f>IFERROR(VLOOKUP(A292,'PAÑOL TÉCNICO'!A292:B1000,2,0))</f>
        <v/>
      </c>
      <c r="C292" s="11"/>
      <c r="D292" s="12"/>
      <c r="E292" s="12"/>
    </row>
    <row r="293" ht="15.75" customHeight="1">
      <c r="A293" s="13"/>
      <c r="B293" s="21" t="str">
        <f>IFERROR(VLOOKUP(A293,'PAÑOL TÉCNICO'!A293:B1000,2,0))</f>
        <v/>
      </c>
      <c r="C293" s="11"/>
      <c r="D293" s="12"/>
      <c r="E293" s="12"/>
    </row>
    <row r="294" ht="15.75" customHeight="1">
      <c r="A294" s="13"/>
      <c r="B294" s="21" t="str">
        <f>IFERROR(VLOOKUP(A294,'PAÑOL TÉCNICO'!A294:B1000,2,0))</f>
        <v/>
      </c>
      <c r="C294" s="11"/>
      <c r="D294" s="12"/>
      <c r="E294" s="12"/>
    </row>
    <row r="295" ht="15.75" customHeight="1">
      <c r="A295" s="13"/>
      <c r="B295" s="21" t="str">
        <f>IFERROR(VLOOKUP(A295,'PAÑOL TÉCNICO'!A295:B1000,2,0))</f>
        <v/>
      </c>
      <c r="C295" s="11"/>
      <c r="D295" s="12"/>
      <c r="E295" s="12"/>
    </row>
    <row r="296" ht="15.75" customHeight="1">
      <c r="A296" s="13"/>
      <c r="B296" s="21" t="str">
        <f>IFERROR(VLOOKUP(A296,'PAÑOL TÉCNICO'!A296:B1000,2,0))</f>
        <v/>
      </c>
      <c r="C296" s="11"/>
      <c r="D296" s="12"/>
      <c r="E296" s="12"/>
    </row>
    <row r="297" ht="15.75" customHeight="1">
      <c r="A297" s="13"/>
      <c r="B297" s="21" t="str">
        <f>IFERROR(VLOOKUP(A297,'PAÑOL TÉCNICO'!A297:B1000,2,0))</f>
        <v/>
      </c>
      <c r="C297" s="11"/>
      <c r="D297" s="12"/>
      <c r="E297" s="12"/>
    </row>
    <row r="298" ht="15.75" customHeight="1">
      <c r="A298" s="13"/>
      <c r="B298" s="21" t="str">
        <f>IFERROR(VLOOKUP(A298,'PAÑOL TÉCNICO'!A298:B1000,2,0))</f>
        <v/>
      </c>
      <c r="C298" s="11"/>
      <c r="D298" s="12"/>
      <c r="E298" s="12"/>
    </row>
    <row r="299" ht="15.75" customHeight="1">
      <c r="A299" s="13"/>
      <c r="B299" s="21" t="str">
        <f>IFERROR(VLOOKUP(A299,'PAÑOL TÉCNICO'!A299:B1000,2,0))</f>
        <v/>
      </c>
      <c r="C299" s="11"/>
      <c r="D299" s="12"/>
      <c r="E299" s="12"/>
    </row>
    <row r="300" ht="15.75" customHeight="1">
      <c r="A300" s="13"/>
      <c r="B300" s="21" t="str">
        <f>IFERROR(VLOOKUP(A300,'PAÑOL TÉCNICO'!A300:B1000,2,0))</f>
        <v/>
      </c>
      <c r="C300" s="11"/>
      <c r="D300" s="12"/>
      <c r="E300" s="12"/>
    </row>
    <row r="301" ht="15.75" customHeight="1">
      <c r="A301" s="13"/>
      <c r="B301" s="21" t="str">
        <f>IFERROR(VLOOKUP(A301,'PAÑOL TÉCNICO'!A301:B1000,2,0))</f>
        <v/>
      </c>
      <c r="C301" s="11"/>
      <c r="D301" s="12"/>
      <c r="E301" s="12"/>
    </row>
    <row r="302" ht="15.75" customHeight="1">
      <c r="A302" s="13"/>
      <c r="B302" s="21" t="str">
        <f>IFERROR(VLOOKUP(A302,'PAÑOL TÉCNICO'!A302:B1000,2,0))</f>
        <v/>
      </c>
      <c r="C302" s="11"/>
      <c r="D302" s="12"/>
      <c r="E302" s="12"/>
    </row>
    <row r="303" ht="15.75" customHeight="1">
      <c r="A303" s="13"/>
      <c r="B303" s="21" t="str">
        <f>IFERROR(VLOOKUP(A303,'PAÑOL TÉCNICO'!A303:B1000,2,0))</f>
        <v/>
      </c>
      <c r="C303" s="11"/>
      <c r="D303" s="12"/>
      <c r="E303" s="12"/>
    </row>
    <row r="304" ht="15.75" customHeight="1">
      <c r="A304" s="13"/>
      <c r="B304" s="21" t="str">
        <f>IFERROR(VLOOKUP(A304,'PAÑOL TÉCNICO'!A304:B1000,2,0))</f>
        <v/>
      </c>
      <c r="C304" s="11"/>
      <c r="D304" s="12"/>
      <c r="E304" s="12"/>
    </row>
    <row r="305" ht="15.75" customHeight="1">
      <c r="A305" s="13"/>
      <c r="B305" s="21" t="str">
        <f>IFERROR(VLOOKUP(A305,'PAÑOL TÉCNICO'!A305:B1000,2,0))</f>
        <v/>
      </c>
      <c r="C305" s="11"/>
      <c r="D305" s="12"/>
      <c r="E305" s="12"/>
    </row>
    <row r="306" ht="15.75" customHeight="1">
      <c r="A306" s="13"/>
      <c r="B306" s="21" t="str">
        <f>IFERROR(VLOOKUP(A306,'PAÑOL TÉCNICO'!A306:B1000,2,0))</f>
        <v/>
      </c>
      <c r="C306" s="11"/>
      <c r="D306" s="12"/>
      <c r="E306" s="12"/>
    </row>
    <row r="307" ht="15.75" customHeight="1">
      <c r="A307" s="13"/>
      <c r="B307" s="21" t="str">
        <f>IFERROR(VLOOKUP(A307,'PAÑOL TÉCNICO'!A307:B1000,2,0))</f>
        <v/>
      </c>
      <c r="C307" s="11"/>
      <c r="D307" s="12"/>
      <c r="E307" s="12"/>
    </row>
    <row r="308" ht="15.75" customHeight="1">
      <c r="A308" s="13"/>
      <c r="B308" s="21" t="str">
        <f>IFERROR(VLOOKUP(A308,'PAÑOL TÉCNICO'!A308:B1000,2,0))</f>
        <v/>
      </c>
      <c r="C308" s="11"/>
      <c r="D308" s="12"/>
      <c r="E308" s="12"/>
    </row>
    <row r="309" ht="15.75" customHeight="1">
      <c r="A309" s="13"/>
      <c r="B309" s="21" t="str">
        <f>IFERROR(VLOOKUP(A309,'PAÑOL TÉCNICO'!A309:B1000,2,0))</f>
        <v/>
      </c>
      <c r="C309" s="11"/>
      <c r="D309" s="12"/>
      <c r="E309" s="12"/>
    </row>
    <row r="310" ht="15.75" customHeight="1">
      <c r="A310" s="13"/>
      <c r="B310" s="21" t="str">
        <f>IFERROR(VLOOKUP(A310,'PAÑOL TÉCNICO'!A310:B1000,2,0))</f>
        <v/>
      </c>
      <c r="C310" s="11"/>
      <c r="D310" s="12"/>
      <c r="E310" s="12"/>
    </row>
    <row r="311" ht="15.75" customHeight="1">
      <c r="A311" s="13"/>
      <c r="B311" s="21" t="str">
        <f>IFERROR(VLOOKUP(A311,'PAÑOL TÉCNICO'!A311:B1000,2,0))</f>
        <v/>
      </c>
      <c r="C311" s="11"/>
      <c r="D311" s="12"/>
      <c r="E311" s="12"/>
    </row>
    <row r="312" ht="15.75" customHeight="1">
      <c r="A312" s="13"/>
      <c r="B312" s="21" t="str">
        <f>IFERROR(VLOOKUP(A312,'PAÑOL TÉCNICO'!A312:B1000,2,0))</f>
        <v/>
      </c>
      <c r="C312" s="11"/>
      <c r="D312" s="12"/>
      <c r="E312" s="12"/>
    </row>
    <row r="313" ht="15.75" customHeight="1">
      <c r="A313" s="13"/>
      <c r="B313" s="21" t="str">
        <f>IFERROR(VLOOKUP(A313,'PAÑOL TÉCNICO'!A313:B1000,2,0))</f>
        <v/>
      </c>
      <c r="C313" s="11"/>
      <c r="D313" s="12"/>
      <c r="E313" s="12"/>
    </row>
    <row r="314" ht="15.75" customHeight="1">
      <c r="A314" s="13"/>
      <c r="B314" s="21" t="str">
        <f>IFERROR(VLOOKUP(A314,'PAÑOL TÉCNICO'!A314:B1000,2,0))</f>
        <v/>
      </c>
      <c r="C314" s="11"/>
      <c r="D314" s="12"/>
      <c r="E314" s="12"/>
    </row>
    <row r="315" ht="15.75" customHeight="1">
      <c r="A315" s="13"/>
      <c r="B315" s="21" t="str">
        <f>IFERROR(VLOOKUP(A315,'PAÑOL TÉCNICO'!A315:B1000,2,0))</f>
        <v/>
      </c>
      <c r="C315" s="11"/>
      <c r="D315" s="12"/>
      <c r="E315" s="12"/>
    </row>
    <row r="316" ht="15.75" customHeight="1">
      <c r="A316" s="13"/>
      <c r="B316" s="21" t="str">
        <f>IFERROR(VLOOKUP(A316,'PAÑOL TÉCNICO'!A316:B1000,2,0))</f>
        <v/>
      </c>
      <c r="C316" s="11"/>
      <c r="D316" s="12"/>
      <c r="E316" s="12"/>
    </row>
    <row r="317" ht="15.75" customHeight="1">
      <c r="A317" s="13"/>
      <c r="B317" s="21" t="str">
        <f>IFERROR(VLOOKUP(A317,'PAÑOL TÉCNICO'!A317:B1000,2,0))</f>
        <v/>
      </c>
      <c r="C317" s="11"/>
      <c r="D317" s="12"/>
      <c r="E317" s="12"/>
    </row>
    <row r="318" ht="15.75" customHeight="1">
      <c r="A318" s="13"/>
      <c r="B318" s="21" t="str">
        <f>IFERROR(VLOOKUP(A318,'PAÑOL TÉCNICO'!A318:B1000,2,0))</f>
        <v/>
      </c>
      <c r="C318" s="11"/>
      <c r="D318" s="12"/>
      <c r="E318" s="12"/>
    </row>
    <row r="319" ht="15.75" customHeight="1">
      <c r="A319" s="13"/>
      <c r="B319" s="21" t="str">
        <f>IFERROR(VLOOKUP(A319,'PAÑOL TÉCNICO'!A319:B1000,2,0))</f>
        <v/>
      </c>
      <c r="C319" s="11"/>
      <c r="D319" s="12"/>
      <c r="E319" s="12"/>
    </row>
    <row r="320" ht="15.75" customHeight="1">
      <c r="A320" s="13"/>
      <c r="B320" s="21" t="str">
        <f>IFERROR(VLOOKUP(A320,'PAÑOL TÉCNICO'!A320:B1000,2,0))</f>
        <v/>
      </c>
      <c r="C320" s="11"/>
      <c r="D320" s="12"/>
      <c r="E320" s="12"/>
    </row>
    <row r="321" ht="15.75" customHeight="1">
      <c r="A321" s="13"/>
      <c r="B321" s="21" t="str">
        <f>IFERROR(VLOOKUP(A321,'PAÑOL TÉCNICO'!A321:B1000,2,0))</f>
        <v/>
      </c>
      <c r="C321" s="11"/>
      <c r="D321" s="12"/>
      <c r="E321" s="12"/>
    </row>
    <row r="322" ht="15.75" customHeight="1">
      <c r="A322" s="13"/>
      <c r="B322" s="21" t="str">
        <f>IFERROR(VLOOKUP(A322,'PAÑOL TÉCNICO'!A322:B1000,2,0))</f>
        <v/>
      </c>
      <c r="C322" s="11"/>
      <c r="D322" s="12"/>
      <c r="E322" s="12"/>
    </row>
    <row r="323" ht="15.75" customHeight="1">
      <c r="A323" s="13"/>
      <c r="B323" s="21" t="str">
        <f>IFERROR(VLOOKUP(A323,'PAÑOL TÉCNICO'!A323:B1000,2,0))</f>
        <v/>
      </c>
      <c r="C323" s="11"/>
      <c r="D323" s="12"/>
      <c r="E323" s="12"/>
    </row>
    <row r="324" ht="15.75" customHeight="1">
      <c r="A324" s="13"/>
      <c r="B324" s="21" t="str">
        <f>IFERROR(VLOOKUP(A324,'PAÑOL TÉCNICO'!A324:B1000,2,0))</f>
        <v/>
      </c>
      <c r="C324" s="11"/>
      <c r="D324" s="12"/>
      <c r="E324" s="12"/>
    </row>
    <row r="325" ht="15.75" customHeight="1">
      <c r="A325" s="13"/>
      <c r="B325" s="21" t="str">
        <f>IFERROR(VLOOKUP(A325,'PAÑOL TÉCNICO'!A325:B1000,2,0))</f>
        <v/>
      </c>
      <c r="C325" s="11"/>
      <c r="D325" s="12"/>
      <c r="E325" s="12"/>
    </row>
    <row r="326" ht="15.75" customHeight="1">
      <c r="A326" s="13"/>
      <c r="B326" s="21" t="str">
        <f>IFERROR(VLOOKUP(A326,'PAÑOL TÉCNICO'!A326:B1000,2,0))</f>
        <v/>
      </c>
      <c r="C326" s="11"/>
      <c r="D326" s="12"/>
      <c r="E326" s="12"/>
    </row>
    <row r="327" ht="15.75" customHeight="1">
      <c r="A327" s="13"/>
      <c r="B327" s="21" t="str">
        <f>IFERROR(VLOOKUP(A327,'PAÑOL TÉCNICO'!A327:B1000,2,0))</f>
        <v/>
      </c>
      <c r="C327" s="11"/>
      <c r="D327" s="12"/>
      <c r="E327" s="12"/>
    </row>
    <row r="328" ht="15.75" customHeight="1">
      <c r="A328" s="13"/>
      <c r="B328" s="21" t="str">
        <f>IFERROR(VLOOKUP(A328,'PAÑOL TÉCNICO'!A328:B1000,2,0))</f>
        <v/>
      </c>
      <c r="C328" s="11"/>
      <c r="D328" s="12"/>
      <c r="E328" s="12"/>
    </row>
    <row r="329" ht="15.75" customHeight="1">
      <c r="A329" s="13"/>
      <c r="B329" s="21" t="str">
        <f>IFERROR(VLOOKUP(A329,'PAÑOL TÉCNICO'!A329:B1000,2,0))</f>
        <v/>
      </c>
      <c r="C329" s="11"/>
      <c r="D329" s="12"/>
      <c r="E329" s="12"/>
    </row>
    <row r="330" ht="15.75" customHeight="1">
      <c r="A330" s="13"/>
      <c r="B330" s="21" t="str">
        <f>IFERROR(VLOOKUP(A330,'PAÑOL TÉCNICO'!A330:B1000,2,0))</f>
        <v/>
      </c>
      <c r="C330" s="11"/>
      <c r="D330" s="12"/>
      <c r="E330" s="12"/>
    </row>
    <row r="331" ht="15.75" customHeight="1">
      <c r="A331" s="13"/>
      <c r="B331" s="21" t="str">
        <f>IFERROR(VLOOKUP(A331,'PAÑOL TÉCNICO'!A331:B1000,2,0))</f>
        <v/>
      </c>
      <c r="C331" s="11"/>
      <c r="D331" s="12"/>
      <c r="E331" s="12"/>
    </row>
    <row r="332" ht="15.75" customHeight="1">
      <c r="A332" s="13"/>
      <c r="B332" s="21" t="str">
        <f>IFERROR(VLOOKUP(A332,'PAÑOL TÉCNICO'!A332:B1000,2,0))</f>
        <v/>
      </c>
      <c r="C332" s="11"/>
      <c r="D332" s="12"/>
      <c r="E332" s="12"/>
    </row>
    <row r="333" ht="15.75" customHeight="1">
      <c r="A333" s="13"/>
      <c r="B333" s="21" t="str">
        <f>IFERROR(VLOOKUP(A333,'PAÑOL TÉCNICO'!A333:B1000,2,0))</f>
        <v/>
      </c>
      <c r="C333" s="11"/>
      <c r="D333" s="12"/>
      <c r="E333" s="12"/>
    </row>
    <row r="334" ht="15.75" customHeight="1">
      <c r="A334" s="13"/>
      <c r="B334" s="21" t="str">
        <f>IFERROR(VLOOKUP(A334,'PAÑOL TÉCNICO'!A334:B1000,2,0))</f>
        <v/>
      </c>
      <c r="C334" s="11"/>
      <c r="D334" s="12"/>
      <c r="E334" s="12"/>
    </row>
    <row r="335" ht="15.75" customHeight="1">
      <c r="A335" s="13"/>
      <c r="B335" s="21" t="str">
        <f>IFERROR(VLOOKUP(A335,'PAÑOL TÉCNICO'!A335:B1000,2,0))</f>
        <v/>
      </c>
      <c r="C335" s="11"/>
      <c r="D335" s="12"/>
      <c r="E335" s="12"/>
    </row>
    <row r="336" ht="15.75" customHeight="1">
      <c r="A336" s="13"/>
      <c r="B336" s="21" t="str">
        <f>IFERROR(VLOOKUP(A336,'PAÑOL TÉCNICO'!A336:B1000,2,0))</f>
        <v/>
      </c>
      <c r="C336" s="11"/>
      <c r="D336" s="12"/>
      <c r="E336" s="12"/>
    </row>
    <row r="337" ht="15.75" customHeight="1">
      <c r="A337" s="13"/>
      <c r="B337" s="21" t="str">
        <f>IFERROR(VLOOKUP(A337,'PAÑOL TÉCNICO'!A337:B1000,2,0))</f>
        <v/>
      </c>
      <c r="C337" s="11"/>
      <c r="D337" s="12"/>
      <c r="E337" s="12"/>
    </row>
    <row r="338" ht="15.75" customHeight="1">
      <c r="A338" s="13"/>
      <c r="B338" s="21" t="str">
        <f>IFERROR(VLOOKUP(A338,'PAÑOL TÉCNICO'!A338:B1000,2,0))</f>
        <v/>
      </c>
      <c r="C338" s="11"/>
      <c r="D338" s="12"/>
      <c r="E338" s="12"/>
    </row>
    <row r="339" ht="15.75" customHeight="1">
      <c r="A339" s="13"/>
      <c r="B339" s="21" t="str">
        <f>IFERROR(VLOOKUP(A339,'PAÑOL TÉCNICO'!A339:B1000,2,0))</f>
        <v/>
      </c>
      <c r="C339" s="11"/>
      <c r="D339" s="12"/>
      <c r="E339" s="12"/>
    </row>
    <row r="340" ht="15.75" customHeight="1">
      <c r="A340" s="13"/>
      <c r="B340" s="21" t="str">
        <f>IFERROR(VLOOKUP(A340,'PAÑOL TÉCNICO'!A340:B1000,2,0))</f>
        <v/>
      </c>
      <c r="C340" s="11"/>
      <c r="D340" s="12"/>
      <c r="E340" s="12"/>
    </row>
    <row r="341" ht="15.75" customHeight="1">
      <c r="A341" s="13"/>
      <c r="B341" s="21" t="str">
        <f>IFERROR(VLOOKUP(A341,'PAÑOL TÉCNICO'!A341:B1000,2,0))</f>
        <v/>
      </c>
      <c r="C341" s="11"/>
      <c r="D341" s="12"/>
      <c r="E341" s="12"/>
    </row>
    <row r="342" ht="15.75" customHeight="1">
      <c r="A342" s="13"/>
      <c r="B342" s="21" t="str">
        <f>IFERROR(VLOOKUP(A342,'PAÑOL TÉCNICO'!A342:B1000,2,0))</f>
        <v/>
      </c>
      <c r="C342" s="11"/>
      <c r="D342" s="12"/>
      <c r="E342" s="12"/>
    </row>
    <row r="343" ht="15.75" customHeight="1">
      <c r="A343" s="13"/>
      <c r="B343" s="21" t="str">
        <f>IFERROR(VLOOKUP(A343,'PAÑOL TÉCNICO'!A343:B1000,2,0))</f>
        <v/>
      </c>
      <c r="C343" s="11"/>
      <c r="D343" s="12"/>
      <c r="E343" s="12"/>
    </row>
    <row r="344" ht="15.75" customHeight="1">
      <c r="A344" s="13"/>
      <c r="B344" s="21" t="str">
        <f>IFERROR(VLOOKUP(A344,'PAÑOL TÉCNICO'!A344:B1000,2,0))</f>
        <v/>
      </c>
      <c r="C344" s="11"/>
      <c r="D344" s="12"/>
      <c r="E344" s="12"/>
    </row>
    <row r="345" ht="15.75" customHeight="1">
      <c r="A345" s="13"/>
      <c r="B345" s="21" t="str">
        <f>IFERROR(VLOOKUP(A345,'PAÑOL TÉCNICO'!A345:B1000,2,0))</f>
        <v/>
      </c>
      <c r="C345" s="11"/>
      <c r="D345" s="12"/>
      <c r="E345" s="12"/>
    </row>
    <row r="346" ht="15.75" customHeight="1">
      <c r="A346" s="13"/>
      <c r="B346" s="21" t="str">
        <f>IFERROR(VLOOKUP(A346,'PAÑOL TÉCNICO'!A346:B1000,2,0))</f>
        <v/>
      </c>
      <c r="C346" s="11"/>
      <c r="D346" s="12"/>
      <c r="E346" s="12"/>
    </row>
    <row r="347" ht="15.75" customHeight="1">
      <c r="A347" s="13"/>
      <c r="B347" s="21" t="str">
        <f>IFERROR(VLOOKUP(A347,'PAÑOL TÉCNICO'!A347:B1000,2,0))</f>
        <v/>
      </c>
      <c r="C347" s="11"/>
      <c r="D347" s="12"/>
      <c r="E347" s="12"/>
    </row>
    <row r="348" ht="15.75" customHeight="1">
      <c r="A348" s="13"/>
      <c r="B348" s="21" t="str">
        <f>IFERROR(VLOOKUP(A348,'PAÑOL TÉCNICO'!A348:B1000,2,0))</f>
        <v/>
      </c>
      <c r="C348" s="11"/>
      <c r="D348" s="12"/>
      <c r="E348" s="12"/>
    </row>
    <row r="349" ht="15.75" customHeight="1">
      <c r="A349" s="13"/>
      <c r="B349" s="21" t="str">
        <f>IFERROR(VLOOKUP(A349,'PAÑOL TÉCNICO'!A349:B1000,2,0))</f>
        <v/>
      </c>
      <c r="C349" s="11"/>
      <c r="D349" s="12"/>
      <c r="E349" s="12"/>
    </row>
    <row r="350" ht="15.75" customHeight="1">
      <c r="A350" s="13"/>
      <c r="B350" s="21" t="str">
        <f>IFERROR(VLOOKUP(A350,'PAÑOL TÉCNICO'!A350:B1000,2,0))</f>
        <v/>
      </c>
      <c r="C350" s="11"/>
      <c r="D350" s="12"/>
      <c r="E350" s="12"/>
    </row>
    <row r="351" ht="15.75" customHeight="1">
      <c r="A351" s="13"/>
      <c r="B351" s="21" t="str">
        <f>IFERROR(VLOOKUP(A351,'PAÑOL TÉCNICO'!A351:B1000,2,0))</f>
        <v/>
      </c>
      <c r="C351" s="11"/>
      <c r="D351" s="12"/>
      <c r="E351" s="12"/>
    </row>
    <row r="352" ht="15.75" customHeight="1">
      <c r="A352" s="13"/>
      <c r="B352" s="21" t="str">
        <f>IFERROR(VLOOKUP(A352,'PAÑOL TÉCNICO'!A352:B1000,2,0))</f>
        <v/>
      </c>
      <c r="C352" s="11"/>
      <c r="D352" s="12"/>
      <c r="E352" s="12"/>
    </row>
    <row r="353" ht="15.75" customHeight="1">
      <c r="A353" s="13"/>
      <c r="B353" s="21" t="str">
        <f>IFERROR(VLOOKUP(A353,'PAÑOL TÉCNICO'!A353:B1000,2,0))</f>
        <v/>
      </c>
      <c r="C353" s="11"/>
      <c r="D353" s="12"/>
      <c r="E353" s="12"/>
    </row>
    <row r="354" ht="15.75" customHeight="1">
      <c r="A354" s="13"/>
      <c r="B354" s="21" t="str">
        <f>IFERROR(VLOOKUP(A354,'PAÑOL TÉCNICO'!A354:B1000,2,0))</f>
        <v/>
      </c>
      <c r="C354" s="11"/>
      <c r="D354" s="12"/>
      <c r="E354" s="12"/>
    </row>
    <row r="355" ht="15.75" customHeight="1">
      <c r="A355" s="13"/>
      <c r="B355" s="21" t="str">
        <f>IFERROR(VLOOKUP(A355,'PAÑOL TÉCNICO'!A355:B1000,2,0))</f>
        <v/>
      </c>
      <c r="C355" s="11"/>
      <c r="D355" s="12"/>
      <c r="E355" s="12"/>
    </row>
    <row r="356" ht="15.75" customHeight="1">
      <c r="A356" s="13"/>
      <c r="B356" s="21" t="str">
        <f>IFERROR(VLOOKUP(A356,'PAÑOL TÉCNICO'!A356:B1000,2,0))</f>
        <v/>
      </c>
      <c r="C356" s="11"/>
      <c r="D356" s="12"/>
      <c r="E356" s="12"/>
    </row>
    <row r="357" ht="15.75" customHeight="1">
      <c r="A357" s="13"/>
      <c r="B357" s="21" t="str">
        <f>IFERROR(VLOOKUP(A357,'PAÑOL TÉCNICO'!A357:B1000,2,0))</f>
        <v/>
      </c>
      <c r="C357" s="11"/>
      <c r="D357" s="12"/>
      <c r="E357" s="12"/>
    </row>
    <row r="358" ht="15.75" customHeight="1">
      <c r="A358" s="13"/>
      <c r="B358" s="21" t="str">
        <f>IFERROR(VLOOKUP(A358,'PAÑOL TÉCNICO'!A358:B1000,2,0))</f>
        <v/>
      </c>
      <c r="C358" s="11"/>
      <c r="D358" s="12"/>
      <c r="E358" s="12"/>
    </row>
    <row r="359" ht="15.75" customHeight="1">
      <c r="A359" s="13"/>
      <c r="B359" s="21" t="str">
        <f>IFERROR(VLOOKUP(A359,'PAÑOL TÉCNICO'!A359:B1000,2,0))</f>
        <v/>
      </c>
      <c r="C359" s="11"/>
      <c r="D359" s="12"/>
      <c r="E359" s="12"/>
    </row>
    <row r="360" ht="15.75" customHeight="1">
      <c r="A360" s="13"/>
      <c r="B360" s="21" t="str">
        <f>IFERROR(VLOOKUP(A360,'PAÑOL TÉCNICO'!A360:B1000,2,0))</f>
        <v/>
      </c>
      <c r="C360" s="11"/>
      <c r="D360" s="12"/>
      <c r="E360" s="12"/>
    </row>
    <row r="361" ht="15.75" customHeight="1">
      <c r="A361" s="13"/>
      <c r="B361" s="21" t="str">
        <f>IFERROR(VLOOKUP(A361,'PAÑOL TÉCNICO'!A361:B1000,2,0))</f>
        <v/>
      </c>
      <c r="C361" s="11"/>
      <c r="D361" s="12"/>
      <c r="E361" s="12"/>
    </row>
    <row r="362" ht="15.75" customHeight="1">
      <c r="A362" s="13"/>
      <c r="B362" s="21" t="str">
        <f>IFERROR(VLOOKUP(A362,'PAÑOL TÉCNICO'!A362:B1000,2,0))</f>
        <v/>
      </c>
      <c r="C362" s="11"/>
      <c r="D362" s="12"/>
      <c r="E362" s="12"/>
    </row>
    <row r="363" ht="15.75" customHeight="1">
      <c r="A363" s="13"/>
      <c r="B363" s="21" t="str">
        <f>IFERROR(VLOOKUP(A363,'PAÑOL TÉCNICO'!A363:B1000,2,0))</f>
        <v/>
      </c>
      <c r="C363" s="11"/>
      <c r="D363" s="12"/>
      <c r="E363" s="12"/>
    </row>
    <row r="364" ht="15.75" customHeight="1">
      <c r="A364" s="13"/>
      <c r="B364" s="21" t="str">
        <f>IFERROR(VLOOKUP(A364,'PAÑOL TÉCNICO'!A364:B1000,2,0))</f>
        <v/>
      </c>
      <c r="C364" s="11"/>
      <c r="D364" s="12"/>
      <c r="E364" s="12"/>
    </row>
    <row r="365" ht="15.75" customHeight="1">
      <c r="A365" s="13"/>
      <c r="B365" s="21" t="str">
        <f>IFERROR(VLOOKUP(A365,'PAÑOL TÉCNICO'!A365:B1000,2,0))</f>
        <v/>
      </c>
      <c r="C365" s="11"/>
      <c r="D365" s="12"/>
      <c r="E365" s="12"/>
    </row>
    <row r="366" ht="15.75" customHeight="1">
      <c r="A366" s="13"/>
      <c r="B366" s="21" t="str">
        <f>IFERROR(VLOOKUP(A366,'PAÑOL TÉCNICO'!A366:B1000,2,0))</f>
        <v/>
      </c>
      <c r="C366" s="11"/>
      <c r="D366" s="12"/>
      <c r="E366" s="12"/>
    </row>
    <row r="367" ht="15.75" customHeight="1">
      <c r="A367" s="13"/>
      <c r="B367" s="21" t="str">
        <f>IFERROR(VLOOKUP(A367,'PAÑOL TÉCNICO'!A367:B1000,2,0))</f>
        <v/>
      </c>
      <c r="C367" s="11"/>
      <c r="D367" s="12"/>
      <c r="E367" s="12"/>
    </row>
    <row r="368" ht="15.75" customHeight="1">
      <c r="A368" s="13"/>
      <c r="B368" s="21" t="str">
        <f>IFERROR(VLOOKUP(A368,'PAÑOL TÉCNICO'!A368:B1000,2,0))</f>
        <v/>
      </c>
      <c r="C368" s="11"/>
      <c r="D368" s="12"/>
      <c r="E368" s="12"/>
    </row>
    <row r="369" ht="15.75" customHeight="1">
      <c r="A369" s="13"/>
      <c r="B369" s="21" t="str">
        <f>IFERROR(VLOOKUP(A369,'PAÑOL TÉCNICO'!A369:B1000,2,0))</f>
        <v/>
      </c>
      <c r="C369" s="11"/>
      <c r="D369" s="12"/>
      <c r="E369" s="12"/>
    </row>
    <row r="370" ht="15.75" customHeight="1">
      <c r="A370" s="13"/>
      <c r="B370" s="21" t="str">
        <f>IFERROR(VLOOKUP(A370,'PAÑOL TÉCNICO'!A370:B1000,2,0))</f>
        <v/>
      </c>
      <c r="C370" s="11"/>
      <c r="D370" s="12"/>
      <c r="E370" s="12"/>
    </row>
    <row r="371" ht="15.75" customHeight="1">
      <c r="A371" s="13"/>
      <c r="B371" s="21" t="str">
        <f>IFERROR(VLOOKUP(A371,'PAÑOL TÉCNICO'!A371:B1000,2,0))</f>
        <v/>
      </c>
      <c r="C371" s="11"/>
      <c r="D371" s="12"/>
      <c r="E371" s="12"/>
    </row>
    <row r="372" ht="15.75" customHeight="1">
      <c r="A372" s="13"/>
      <c r="B372" s="21" t="str">
        <f>IFERROR(VLOOKUP(A372,'PAÑOL TÉCNICO'!A372:B1000,2,0))</f>
        <v/>
      </c>
      <c r="C372" s="11"/>
      <c r="D372" s="12"/>
      <c r="E372" s="12"/>
    </row>
    <row r="373" ht="15.75" customHeight="1">
      <c r="A373" s="13"/>
      <c r="B373" s="21" t="str">
        <f>IFERROR(VLOOKUP(A373,'PAÑOL TÉCNICO'!A373:B1000,2,0))</f>
        <v/>
      </c>
      <c r="C373" s="11"/>
      <c r="D373" s="12"/>
      <c r="E373" s="12"/>
    </row>
    <row r="374" ht="15.75" customHeight="1">
      <c r="A374" s="13"/>
      <c r="B374" s="21" t="str">
        <f>IFERROR(VLOOKUP(A374,'PAÑOL TÉCNICO'!A374:B1000,2,0))</f>
        <v/>
      </c>
      <c r="C374" s="11"/>
      <c r="D374" s="12"/>
      <c r="E374" s="12"/>
    </row>
    <row r="375" ht="15.75" customHeight="1">
      <c r="A375" s="13"/>
      <c r="B375" s="21" t="str">
        <f>IFERROR(VLOOKUP(A375,'PAÑOL TÉCNICO'!A375:B1000,2,0))</f>
        <v/>
      </c>
      <c r="C375" s="12"/>
      <c r="D375" s="12"/>
      <c r="E375" s="12"/>
    </row>
    <row r="376" ht="15.75" customHeight="1">
      <c r="A376" s="13"/>
      <c r="B376" s="21" t="str">
        <f>IFERROR(VLOOKUP(A376,'PAÑOL TÉCNICO'!A376:B1000,2,0))</f>
        <v/>
      </c>
      <c r="C376" s="12"/>
      <c r="D376" s="12"/>
      <c r="E376" s="12"/>
    </row>
    <row r="377" ht="15.75" customHeight="1">
      <c r="A377" s="13"/>
      <c r="B377" s="21" t="str">
        <f>IFERROR(VLOOKUP(A377,'PAÑOL TÉCNICO'!A377:B1000,2,0))</f>
        <v/>
      </c>
      <c r="C377" s="12"/>
      <c r="D377" s="12"/>
      <c r="E377" s="12"/>
    </row>
    <row r="378" ht="15.75" customHeight="1">
      <c r="A378" s="13"/>
      <c r="B378" s="21" t="str">
        <f>IFERROR(VLOOKUP(A378,'PAÑOL TÉCNICO'!A378:B1000,2,0))</f>
        <v/>
      </c>
      <c r="C378" s="12"/>
      <c r="D378" s="12"/>
      <c r="E378" s="12"/>
    </row>
    <row r="379" ht="15.75" customHeight="1">
      <c r="A379" s="13"/>
      <c r="B379" s="21" t="str">
        <f>IFERROR(VLOOKUP(A379,'PAÑOL TÉCNICO'!A379:B1000,2,0))</f>
        <v/>
      </c>
      <c r="C379" s="12"/>
      <c r="D379" s="12"/>
      <c r="E379" s="12"/>
    </row>
    <row r="380" ht="15.75" customHeight="1">
      <c r="A380" s="13"/>
      <c r="B380" s="21" t="str">
        <f>IFERROR(VLOOKUP(A380,'PAÑOL TÉCNICO'!A380:B1000,2,0))</f>
        <v/>
      </c>
      <c r="C380" s="12"/>
      <c r="D380" s="12"/>
      <c r="E380" s="12"/>
    </row>
    <row r="381" ht="15.75" customHeight="1">
      <c r="A381" s="13"/>
      <c r="B381" s="21" t="str">
        <f>IFERROR(VLOOKUP(A381,'PAÑOL TÉCNICO'!A381:B1000,2,0))</f>
        <v/>
      </c>
      <c r="C381" s="12"/>
      <c r="D381" s="12"/>
      <c r="E381" s="12"/>
    </row>
    <row r="382" ht="15.75" customHeight="1">
      <c r="A382" s="13"/>
      <c r="B382" s="21" t="str">
        <f>IFERROR(VLOOKUP(A382,'PAÑOL TÉCNICO'!A382:B1000,2,0))</f>
        <v/>
      </c>
      <c r="C382" s="12"/>
      <c r="D382" s="12"/>
      <c r="E382" s="12"/>
    </row>
    <row r="383" ht="15.75" customHeight="1">
      <c r="A383" s="13"/>
      <c r="B383" s="21" t="str">
        <f>IFERROR(VLOOKUP(A383,'PAÑOL TÉCNICO'!A383:B1000,2,0))</f>
        <v/>
      </c>
      <c r="C383" s="12"/>
      <c r="D383" s="12"/>
      <c r="E383" s="12"/>
    </row>
    <row r="384" ht="15.75" customHeight="1">
      <c r="A384" s="13"/>
      <c r="B384" s="21" t="str">
        <f>IFERROR(VLOOKUP(A384,'PAÑOL TÉCNICO'!A384:B1000,2,0))</f>
        <v/>
      </c>
      <c r="C384" s="12"/>
      <c r="D384" s="12"/>
      <c r="E384" s="12"/>
    </row>
    <row r="385" ht="15.75" customHeight="1">
      <c r="A385" s="13"/>
      <c r="B385" s="21" t="str">
        <f>IFERROR(VLOOKUP(A385,'PAÑOL TÉCNICO'!A385:B1000,2,0))</f>
        <v/>
      </c>
      <c r="C385" s="12"/>
      <c r="D385" s="12"/>
      <c r="E385" s="12"/>
    </row>
    <row r="386" ht="15.75" customHeight="1">
      <c r="A386" s="13"/>
      <c r="B386" s="21" t="str">
        <f>IFERROR(VLOOKUP(A386,'PAÑOL TÉCNICO'!A386:B1000,2,0))</f>
        <v/>
      </c>
      <c r="C386" s="12"/>
      <c r="D386" s="12"/>
      <c r="E386" s="12"/>
    </row>
    <row r="387" ht="15.75" customHeight="1">
      <c r="A387" s="13"/>
      <c r="B387" s="21" t="str">
        <f>IFERROR(VLOOKUP(A387,'PAÑOL TÉCNICO'!A387:B1000,2,0))</f>
        <v/>
      </c>
      <c r="C387" s="12"/>
      <c r="D387" s="12"/>
      <c r="E387" s="12"/>
    </row>
    <row r="388" ht="15.75" customHeight="1">
      <c r="A388" s="13"/>
      <c r="B388" s="21" t="str">
        <f>IFERROR(VLOOKUP(A388,'PAÑOL TÉCNICO'!A388:B1000,2,0))</f>
        <v/>
      </c>
      <c r="C388" s="12"/>
      <c r="D388" s="12"/>
      <c r="E388" s="12"/>
    </row>
    <row r="389" ht="15.75" customHeight="1">
      <c r="A389" s="13"/>
      <c r="B389" s="21" t="str">
        <f>IFERROR(VLOOKUP(A389,'PAÑOL TÉCNICO'!A389:B1000,2,0))</f>
        <v/>
      </c>
      <c r="C389" s="12"/>
      <c r="D389" s="12"/>
      <c r="E389" s="12"/>
    </row>
    <row r="390" ht="15.75" customHeight="1">
      <c r="A390" s="13"/>
      <c r="B390" s="21" t="str">
        <f>IFERROR(VLOOKUP(A390,'PAÑOL TÉCNICO'!A390:B1000,2,0))</f>
        <v/>
      </c>
      <c r="C390" s="12"/>
      <c r="D390" s="12"/>
      <c r="E390" s="12"/>
    </row>
    <row r="391" ht="15.75" customHeight="1">
      <c r="A391" s="13"/>
      <c r="B391" s="21" t="str">
        <f>IFERROR(VLOOKUP(A391,'PAÑOL TÉCNICO'!A391:B1000,2,0))</f>
        <v/>
      </c>
      <c r="C391" s="12"/>
      <c r="D391" s="12"/>
      <c r="E391" s="12"/>
    </row>
    <row r="392" ht="15.75" customHeight="1">
      <c r="A392" s="13"/>
      <c r="B392" s="21" t="str">
        <f>IFERROR(VLOOKUP(A392,'PAÑOL TÉCNICO'!A392:B1000,2,0))</f>
        <v/>
      </c>
      <c r="C392" s="12"/>
      <c r="D392" s="12"/>
      <c r="E392" s="12"/>
    </row>
    <row r="393" ht="15.75" customHeight="1">
      <c r="A393" s="13"/>
      <c r="B393" s="21" t="str">
        <f>IFERROR(VLOOKUP(A393,'PAÑOL TÉCNICO'!A393:B1000,2,0))</f>
        <v/>
      </c>
      <c r="C393" s="12"/>
      <c r="D393" s="12"/>
      <c r="E393" s="12"/>
    </row>
    <row r="394" ht="15.75" customHeight="1">
      <c r="A394" s="13"/>
      <c r="B394" s="21" t="str">
        <f>IFERROR(VLOOKUP(A394,'PAÑOL TÉCNICO'!A394:B1000,2,0))</f>
        <v/>
      </c>
      <c r="C394" s="12"/>
      <c r="D394" s="12"/>
      <c r="E394" s="12"/>
    </row>
    <row r="395" ht="15.75" customHeight="1">
      <c r="A395" s="13"/>
      <c r="B395" s="21" t="str">
        <f>IFERROR(VLOOKUP(A395,'PAÑOL TÉCNICO'!A395:B1000,2,0))</f>
        <v/>
      </c>
      <c r="C395" s="12"/>
      <c r="D395" s="12"/>
      <c r="E395" s="12"/>
    </row>
    <row r="396" ht="15.75" customHeight="1">
      <c r="A396" s="13"/>
      <c r="B396" s="21" t="str">
        <f>IFERROR(VLOOKUP(A396,'PAÑOL TÉCNICO'!A396:B1000,2,0))</f>
        <v/>
      </c>
      <c r="C396" s="12"/>
      <c r="D396" s="12"/>
      <c r="E396" s="12"/>
    </row>
    <row r="397" ht="15.75" customHeight="1">
      <c r="A397" s="13"/>
      <c r="B397" s="21" t="str">
        <f>IFERROR(VLOOKUP(A397,'PAÑOL TÉCNICO'!A397:B1000,2,0))</f>
        <v/>
      </c>
      <c r="C397" s="12"/>
      <c r="D397" s="12"/>
      <c r="E397" s="12"/>
    </row>
    <row r="398" ht="15.75" customHeight="1">
      <c r="A398" s="13"/>
      <c r="B398" s="21" t="str">
        <f>IFERROR(VLOOKUP(A398,'PAÑOL TÉCNICO'!A398:B1000,2,0))</f>
        <v/>
      </c>
      <c r="C398" s="12"/>
      <c r="D398" s="12"/>
      <c r="E398" s="12"/>
    </row>
    <row r="399" ht="15.75" customHeight="1">
      <c r="A399" s="13"/>
      <c r="B399" s="21" t="str">
        <f>IFERROR(VLOOKUP(A399,'PAÑOL TÉCNICO'!A399:B1000,2,0))</f>
        <v/>
      </c>
      <c r="C399" s="12"/>
      <c r="D399" s="12"/>
      <c r="E399" s="12"/>
    </row>
    <row r="400" ht="15.75" customHeight="1">
      <c r="A400" s="13"/>
      <c r="B400" s="21" t="str">
        <f>IFERROR(VLOOKUP(A400,'PAÑOL TÉCNICO'!A400:B1000,2,0))</f>
        <v/>
      </c>
      <c r="C400" s="12"/>
      <c r="D400" s="12"/>
      <c r="E400" s="12"/>
    </row>
    <row r="401" ht="15.75" customHeight="1">
      <c r="A401" s="13"/>
      <c r="B401" s="21" t="str">
        <f>IFERROR(VLOOKUP(A401,'PAÑOL TÉCNICO'!A401:B1000,2,0))</f>
        <v/>
      </c>
      <c r="C401" s="12"/>
      <c r="D401" s="12"/>
      <c r="E401" s="12"/>
    </row>
    <row r="402" ht="15.75" customHeight="1">
      <c r="A402" s="13"/>
      <c r="B402" s="21" t="str">
        <f>IFERROR(VLOOKUP(A402,'PAÑOL TÉCNICO'!A402:B1000,2,0))</f>
        <v/>
      </c>
      <c r="C402" s="12"/>
      <c r="D402" s="12"/>
      <c r="E402" s="12"/>
    </row>
    <row r="403" ht="15.75" customHeight="1">
      <c r="A403" s="13"/>
      <c r="B403" s="21" t="str">
        <f>IFERROR(VLOOKUP(A403,'PAÑOL TÉCNICO'!A403:B1000,2,0))</f>
        <v/>
      </c>
      <c r="C403" s="12"/>
      <c r="D403" s="12"/>
      <c r="E403" s="12"/>
    </row>
    <row r="404" ht="15.75" customHeight="1">
      <c r="A404" s="13"/>
      <c r="B404" s="21" t="str">
        <f>IFERROR(VLOOKUP(A404,'PAÑOL TÉCNICO'!A404:B1000,2,0))</f>
        <v/>
      </c>
      <c r="C404" s="12"/>
      <c r="D404" s="12"/>
      <c r="E404" s="12"/>
    </row>
    <row r="405" ht="15.75" customHeight="1">
      <c r="A405" s="13"/>
      <c r="B405" s="21" t="str">
        <f>IFERROR(VLOOKUP(A405,'PAÑOL TÉCNICO'!A405:B1000,2,0))</f>
        <v/>
      </c>
      <c r="C405" s="12"/>
      <c r="D405" s="12"/>
      <c r="E405" s="12"/>
    </row>
    <row r="406" ht="15.75" customHeight="1">
      <c r="A406" s="13"/>
      <c r="B406" s="21" t="str">
        <f>IFERROR(VLOOKUP(A406,'PAÑOL TÉCNICO'!A406:B1000,2,0))</f>
        <v/>
      </c>
      <c r="C406" s="12"/>
      <c r="D406" s="12"/>
      <c r="E406" s="12"/>
    </row>
    <row r="407" ht="15.75" customHeight="1">
      <c r="A407" s="13"/>
      <c r="B407" s="21" t="str">
        <f>IFERROR(VLOOKUP(A407,'PAÑOL TÉCNICO'!A407:B1000,2,0))</f>
        <v/>
      </c>
      <c r="C407" s="12"/>
      <c r="D407" s="12"/>
      <c r="E407" s="12"/>
    </row>
    <row r="408" ht="15.75" customHeight="1">
      <c r="A408" s="13"/>
      <c r="B408" s="21" t="str">
        <f>IFERROR(VLOOKUP(A408,'PAÑOL TÉCNICO'!A408:B1000,2,0))</f>
        <v/>
      </c>
      <c r="C408" s="12"/>
      <c r="D408" s="12"/>
      <c r="E408" s="12"/>
    </row>
    <row r="409" ht="15.75" customHeight="1">
      <c r="A409" s="13"/>
      <c r="B409" s="21" t="str">
        <f>IFERROR(VLOOKUP(A409,'PAÑOL TÉCNICO'!A409:B1000,2,0))</f>
        <v/>
      </c>
      <c r="C409" s="12"/>
      <c r="D409" s="12"/>
      <c r="E409" s="12"/>
    </row>
    <row r="410" ht="15.75" customHeight="1">
      <c r="A410" s="13"/>
      <c r="B410" s="21" t="str">
        <f>IFERROR(VLOOKUP(A410,'PAÑOL TÉCNICO'!A410:B1000,2,0))</f>
        <v/>
      </c>
      <c r="C410" s="12"/>
      <c r="D410" s="12"/>
      <c r="E410" s="12"/>
    </row>
    <row r="411" ht="15.75" customHeight="1">
      <c r="A411" s="13"/>
      <c r="B411" s="21" t="str">
        <f>IFERROR(VLOOKUP(A411,'PAÑOL TÉCNICO'!A411:B1000,2,0))</f>
        <v/>
      </c>
      <c r="C411" s="12"/>
      <c r="D411" s="12"/>
      <c r="E411" s="12"/>
    </row>
    <row r="412" ht="15.75" customHeight="1">
      <c r="A412" s="13"/>
      <c r="B412" s="21" t="str">
        <f>IFERROR(VLOOKUP(A412,'PAÑOL TÉCNICO'!A412:B1000,2,0))</f>
        <v/>
      </c>
      <c r="C412" s="12"/>
      <c r="D412" s="12"/>
      <c r="E412" s="12"/>
    </row>
    <row r="413" ht="15.75" customHeight="1">
      <c r="A413" s="13"/>
      <c r="B413" s="21" t="str">
        <f>IFERROR(VLOOKUP(A413,'PAÑOL TÉCNICO'!A413:B1000,2,0))</f>
        <v/>
      </c>
      <c r="C413" s="12"/>
      <c r="D413" s="12"/>
      <c r="E413" s="12"/>
    </row>
    <row r="414" ht="15.75" customHeight="1">
      <c r="A414" s="13"/>
      <c r="B414" s="21" t="str">
        <f>IFERROR(VLOOKUP(A414,'PAÑOL TÉCNICO'!A414:B1000,2,0))</f>
        <v/>
      </c>
      <c r="C414" s="12"/>
      <c r="D414" s="12"/>
      <c r="E414" s="12"/>
    </row>
    <row r="415" ht="15.75" customHeight="1">
      <c r="A415" s="13"/>
      <c r="B415" s="21" t="str">
        <f>IFERROR(VLOOKUP(A415,'PAÑOL TÉCNICO'!A415:B1000,2,0))</f>
        <v/>
      </c>
      <c r="C415" s="12"/>
      <c r="D415" s="12"/>
      <c r="E415" s="12"/>
    </row>
    <row r="416" ht="15.75" customHeight="1">
      <c r="A416" s="13"/>
      <c r="B416" s="21" t="str">
        <f>IFERROR(VLOOKUP(A416,'PAÑOL TÉCNICO'!A416:B1000,2,0))</f>
        <v/>
      </c>
      <c r="C416" s="12"/>
      <c r="D416" s="12"/>
      <c r="E416" s="12"/>
    </row>
    <row r="417" ht="15.75" customHeight="1">
      <c r="A417" s="13"/>
      <c r="B417" s="21" t="str">
        <f>IFERROR(VLOOKUP(A417,'PAÑOL TÉCNICO'!A417:B1000,2,0))</f>
        <v/>
      </c>
      <c r="C417" s="12"/>
      <c r="D417" s="12"/>
      <c r="E417" s="12"/>
    </row>
    <row r="418" ht="15.75" customHeight="1">
      <c r="A418" s="13"/>
      <c r="B418" s="21" t="str">
        <f>IFERROR(VLOOKUP(A418,'PAÑOL TÉCNICO'!A418:B1000,2,0))</f>
        <v/>
      </c>
      <c r="C418" s="12"/>
      <c r="D418" s="12"/>
      <c r="E418" s="12"/>
    </row>
    <row r="419" ht="15.75" customHeight="1">
      <c r="A419" s="13"/>
      <c r="B419" s="21" t="str">
        <f>IFERROR(VLOOKUP(A419,'PAÑOL TÉCNICO'!A419:B1000,2,0))</f>
        <v/>
      </c>
      <c r="C419" s="12"/>
      <c r="D419" s="12"/>
      <c r="E419" s="12"/>
    </row>
    <row r="420" ht="15.75" customHeight="1">
      <c r="A420" s="13"/>
      <c r="B420" s="21" t="str">
        <f>IFERROR(VLOOKUP(A420,'PAÑOL TÉCNICO'!A420:B1000,2,0))</f>
        <v/>
      </c>
      <c r="C420" s="12"/>
      <c r="D420" s="12"/>
      <c r="E420" s="12"/>
    </row>
    <row r="421" ht="15.75" customHeight="1">
      <c r="A421" s="13"/>
      <c r="B421" s="21" t="str">
        <f>IFERROR(VLOOKUP(A421,'PAÑOL TÉCNICO'!A421:B1000,2,0))</f>
        <v/>
      </c>
      <c r="C421" s="12"/>
      <c r="D421" s="12"/>
      <c r="E421" s="12"/>
    </row>
    <row r="422" ht="15.75" customHeight="1">
      <c r="A422" s="13"/>
      <c r="B422" s="21" t="str">
        <f>IFERROR(VLOOKUP(A422,'PAÑOL TÉCNICO'!A422:B1000,2,0))</f>
        <v/>
      </c>
      <c r="C422" s="12"/>
      <c r="D422" s="12"/>
      <c r="E422" s="12"/>
    </row>
    <row r="423" ht="15.75" customHeight="1">
      <c r="A423" s="13"/>
      <c r="B423" s="21" t="str">
        <f>IFERROR(VLOOKUP(A423,'PAÑOL TÉCNICO'!A423:B1000,2,0))</f>
        <v/>
      </c>
      <c r="C423" s="12"/>
      <c r="D423" s="12"/>
      <c r="E423" s="12"/>
    </row>
    <row r="424" ht="15.75" customHeight="1">
      <c r="A424" s="13"/>
      <c r="B424" s="21" t="str">
        <f>IFERROR(VLOOKUP(A424,'PAÑOL TÉCNICO'!A424:B1000,2,0))</f>
        <v/>
      </c>
      <c r="C424" s="12"/>
      <c r="D424" s="12"/>
      <c r="E424" s="12"/>
    </row>
    <row r="425" ht="15.75" customHeight="1">
      <c r="A425" s="13"/>
      <c r="B425" s="21" t="str">
        <f>IFERROR(VLOOKUP(A425,'PAÑOL TÉCNICO'!A425:B1000,2,0))</f>
        <v/>
      </c>
      <c r="C425" s="12"/>
      <c r="D425" s="12"/>
      <c r="E425" s="12"/>
    </row>
    <row r="426" ht="15.75" customHeight="1">
      <c r="A426" s="13"/>
      <c r="B426" s="21" t="str">
        <f>IFERROR(VLOOKUP(A426,'PAÑOL TÉCNICO'!A426:B1000,2,0))</f>
        <v/>
      </c>
      <c r="C426" s="12"/>
      <c r="D426" s="12"/>
      <c r="E426" s="12"/>
    </row>
    <row r="427" ht="15.75" customHeight="1">
      <c r="A427" s="13"/>
      <c r="B427" s="21" t="str">
        <f>IFERROR(VLOOKUP(A427,'PAÑOL TÉCNICO'!A427:B1000,2,0))</f>
        <v/>
      </c>
      <c r="C427" s="12"/>
      <c r="D427" s="12"/>
      <c r="E427" s="12"/>
    </row>
    <row r="428" ht="15.75" customHeight="1">
      <c r="A428" s="13"/>
      <c r="B428" s="21" t="str">
        <f>IFERROR(VLOOKUP(A428,'PAÑOL TÉCNICO'!A428:B1000,2,0))</f>
        <v/>
      </c>
      <c r="C428" s="12"/>
      <c r="D428" s="12"/>
      <c r="E428" s="12"/>
    </row>
    <row r="429" ht="15.75" customHeight="1">
      <c r="A429" s="13"/>
      <c r="B429" s="21" t="str">
        <f>IFERROR(VLOOKUP(A429,'PAÑOL TÉCNICO'!A429:B1000,2,0))</f>
        <v/>
      </c>
      <c r="C429" s="12"/>
      <c r="D429" s="12"/>
      <c r="E429" s="12"/>
    </row>
    <row r="430" ht="15.75" customHeight="1">
      <c r="A430" s="13"/>
      <c r="B430" s="21" t="str">
        <f>IFERROR(VLOOKUP(A430,'PAÑOL TÉCNICO'!A430:B1000,2,0))</f>
        <v/>
      </c>
      <c r="C430" s="12"/>
      <c r="D430" s="12"/>
      <c r="E430" s="12"/>
    </row>
    <row r="431" ht="15.75" customHeight="1">
      <c r="A431" s="13"/>
      <c r="B431" s="21" t="str">
        <f>IFERROR(VLOOKUP(A431,'PAÑOL TÉCNICO'!A431:B1000,2,0))</f>
        <v/>
      </c>
      <c r="C431" s="12"/>
      <c r="D431" s="12"/>
      <c r="E431" s="12"/>
    </row>
    <row r="432" ht="15.75" customHeight="1">
      <c r="A432" s="13"/>
      <c r="B432" s="21" t="str">
        <f>IFERROR(VLOOKUP(A432,'PAÑOL TÉCNICO'!A432:B1000,2,0))</f>
        <v/>
      </c>
      <c r="C432" s="12"/>
      <c r="D432" s="12"/>
      <c r="E432" s="12"/>
    </row>
    <row r="433" ht="15.75" customHeight="1">
      <c r="A433" s="13"/>
      <c r="B433" s="21" t="str">
        <f>IFERROR(VLOOKUP(A433,'PAÑOL TÉCNICO'!A433:B1000,2,0))</f>
        <v/>
      </c>
      <c r="C433" s="12"/>
      <c r="D433" s="12"/>
      <c r="E433" s="12"/>
    </row>
    <row r="434" ht="15.75" customHeight="1">
      <c r="A434" s="13"/>
      <c r="B434" s="21" t="str">
        <f>IFERROR(VLOOKUP(A434,'PAÑOL TÉCNICO'!A434:B1000,2,0))</f>
        <v/>
      </c>
      <c r="C434" s="12"/>
      <c r="D434" s="12"/>
      <c r="E434" s="12"/>
    </row>
    <row r="435" ht="15.75" customHeight="1">
      <c r="A435" s="13"/>
      <c r="B435" s="21" t="str">
        <f>IFERROR(VLOOKUP(A435,'PAÑOL TÉCNICO'!A435:B1000,2,0))</f>
        <v/>
      </c>
      <c r="C435" s="12"/>
      <c r="D435" s="12"/>
      <c r="E435" s="12"/>
    </row>
    <row r="436" ht="15.75" customHeight="1">
      <c r="A436" s="13"/>
      <c r="B436" s="21" t="str">
        <f>IFERROR(VLOOKUP(A436,'PAÑOL TÉCNICO'!A436:B1000,2,0))</f>
        <v/>
      </c>
      <c r="C436" s="12"/>
      <c r="D436" s="12"/>
      <c r="E436" s="12"/>
    </row>
    <row r="437" ht="15.75" customHeight="1">
      <c r="A437" s="13"/>
      <c r="B437" s="21" t="str">
        <f>IFERROR(VLOOKUP(A437,'PAÑOL TÉCNICO'!A437:B1000,2,0))</f>
        <v/>
      </c>
      <c r="C437" s="12"/>
      <c r="D437" s="12"/>
      <c r="E437" s="12"/>
    </row>
    <row r="438" ht="15.75" customHeight="1">
      <c r="A438" s="13"/>
      <c r="B438" s="21" t="str">
        <f>IFERROR(VLOOKUP(A438,'PAÑOL TÉCNICO'!A438:B1000,2,0))</f>
        <v/>
      </c>
      <c r="C438" s="12"/>
      <c r="D438" s="12"/>
      <c r="E438" s="12"/>
    </row>
    <row r="439" ht="15.75" customHeight="1">
      <c r="A439" s="13"/>
      <c r="B439" s="21" t="str">
        <f>IFERROR(VLOOKUP(A439,'PAÑOL TÉCNICO'!A439:B1000,2,0))</f>
        <v/>
      </c>
      <c r="C439" s="12"/>
      <c r="D439" s="12"/>
      <c r="E439" s="12"/>
    </row>
    <row r="440" ht="15.75" customHeight="1">
      <c r="A440" s="13"/>
      <c r="B440" s="21" t="str">
        <f>IFERROR(VLOOKUP(A440,'PAÑOL TÉCNICO'!A440:B1000,2,0))</f>
        <v/>
      </c>
      <c r="C440" s="12"/>
      <c r="D440" s="12"/>
      <c r="E440" s="12"/>
    </row>
    <row r="441" ht="15.75" customHeight="1">
      <c r="A441" s="13"/>
      <c r="B441" s="21" t="str">
        <f>IFERROR(VLOOKUP(A441,'PAÑOL TÉCNICO'!A441:B1000,2,0))</f>
        <v/>
      </c>
      <c r="C441" s="12"/>
      <c r="D441" s="12"/>
      <c r="E441" s="12"/>
    </row>
    <row r="442" ht="15.75" customHeight="1">
      <c r="A442" s="13"/>
      <c r="B442" s="21" t="str">
        <f>IFERROR(VLOOKUP(A442,'PAÑOL TÉCNICO'!A442:B1000,2,0))</f>
        <v/>
      </c>
      <c r="C442" s="12"/>
      <c r="D442" s="12"/>
      <c r="E442" s="12"/>
    </row>
    <row r="443" ht="15.75" customHeight="1">
      <c r="A443" s="13"/>
      <c r="B443" s="21" t="str">
        <f>IFERROR(VLOOKUP(A443,'PAÑOL TÉCNICO'!A443:B1000,2,0))</f>
        <v/>
      </c>
      <c r="C443" s="12"/>
      <c r="D443" s="12"/>
      <c r="E443" s="12"/>
    </row>
    <row r="444" ht="15.75" customHeight="1">
      <c r="A444" s="13"/>
      <c r="B444" s="21" t="str">
        <f>IFERROR(VLOOKUP(A444,'PAÑOL TÉCNICO'!A444:B1000,2,0))</f>
        <v/>
      </c>
      <c r="C444" s="12"/>
      <c r="D444" s="12"/>
      <c r="E444" s="12"/>
    </row>
    <row r="445" ht="15.75" customHeight="1">
      <c r="A445" s="13"/>
      <c r="B445" s="21" t="str">
        <f>IFERROR(VLOOKUP(A445,'PAÑOL TÉCNICO'!A445:B1000,2,0))</f>
        <v/>
      </c>
      <c r="C445" s="12"/>
      <c r="D445" s="12"/>
      <c r="E445" s="12"/>
    </row>
    <row r="446" ht="15.75" customHeight="1">
      <c r="A446" s="13"/>
      <c r="B446" s="21" t="str">
        <f>IFERROR(VLOOKUP(A446,'PAÑOL TÉCNICO'!A446:B1000,2,0))</f>
        <v/>
      </c>
      <c r="C446" s="12"/>
      <c r="D446" s="12"/>
      <c r="E446" s="12"/>
    </row>
    <row r="447" ht="15.75" customHeight="1">
      <c r="A447" s="13"/>
      <c r="B447" s="21" t="str">
        <f>IFERROR(VLOOKUP(A447,'PAÑOL TÉCNICO'!A447:B1000,2,0))</f>
        <v/>
      </c>
      <c r="C447" s="12"/>
      <c r="D447" s="12"/>
      <c r="E447" s="12"/>
    </row>
    <row r="448" ht="15.75" customHeight="1">
      <c r="A448" s="13"/>
      <c r="B448" s="21" t="str">
        <f>IFERROR(VLOOKUP(A448,'PAÑOL TÉCNICO'!A448:B1000,2,0))</f>
        <v/>
      </c>
      <c r="C448" s="12"/>
      <c r="D448" s="12"/>
      <c r="E448" s="12"/>
    </row>
    <row r="449" ht="15.75" customHeight="1">
      <c r="A449" s="13"/>
      <c r="B449" s="21" t="str">
        <f>IFERROR(VLOOKUP(A449,'PAÑOL TÉCNICO'!A449:B1000,2,0))</f>
        <v/>
      </c>
      <c r="C449" s="12"/>
      <c r="D449" s="12"/>
      <c r="E449" s="12"/>
    </row>
    <row r="450" ht="15.75" customHeight="1">
      <c r="A450" s="13"/>
      <c r="B450" s="21" t="str">
        <f>IFERROR(VLOOKUP(A450,'PAÑOL TÉCNICO'!A450:B1000,2,0))</f>
        <v/>
      </c>
      <c r="C450" s="12"/>
      <c r="D450" s="12"/>
      <c r="E450" s="12"/>
    </row>
    <row r="451" ht="15.75" customHeight="1">
      <c r="A451" s="13"/>
      <c r="B451" s="21" t="str">
        <f>IFERROR(VLOOKUP(A451,'PAÑOL TÉCNICO'!A451:B1000,2,0))</f>
        <v/>
      </c>
      <c r="C451" s="12"/>
      <c r="D451" s="12"/>
      <c r="E451" s="12"/>
    </row>
    <row r="452" ht="15.75" customHeight="1">
      <c r="A452" s="13"/>
      <c r="B452" s="21" t="str">
        <f>IFERROR(VLOOKUP(A452,'PAÑOL TÉCNICO'!A452:B1000,2,0))</f>
        <v/>
      </c>
      <c r="C452" s="12"/>
      <c r="D452" s="12"/>
      <c r="E452" s="12"/>
    </row>
    <row r="453" ht="15.75" customHeight="1">
      <c r="A453" s="13"/>
      <c r="B453" s="21" t="str">
        <f>IFERROR(VLOOKUP(A453,'PAÑOL TÉCNICO'!A453:B1000,2,0))</f>
        <v/>
      </c>
      <c r="C453" s="12"/>
      <c r="D453" s="12"/>
      <c r="E453" s="12"/>
    </row>
    <row r="454" ht="15.75" customHeight="1">
      <c r="A454" s="13"/>
      <c r="B454" s="21" t="str">
        <f>IFERROR(VLOOKUP(A454,'PAÑOL TÉCNICO'!A454:B1000,2,0))</f>
        <v/>
      </c>
      <c r="C454" s="12"/>
      <c r="D454" s="12"/>
      <c r="E454" s="12"/>
    </row>
    <row r="455" ht="15.75" customHeight="1">
      <c r="A455" s="13"/>
      <c r="B455" s="21" t="str">
        <f>IFERROR(VLOOKUP(A455,'PAÑOL TÉCNICO'!A455:B1000,2,0))</f>
        <v/>
      </c>
      <c r="C455" s="12"/>
      <c r="D455" s="12"/>
      <c r="E455" s="12"/>
    </row>
    <row r="456" ht="15.75" customHeight="1">
      <c r="A456" s="13"/>
      <c r="B456" s="21" t="str">
        <f>IFERROR(VLOOKUP(A456,'PAÑOL TÉCNICO'!A456:B1000,2,0))</f>
        <v/>
      </c>
      <c r="C456" s="12"/>
      <c r="D456" s="12"/>
      <c r="E456" s="12"/>
    </row>
    <row r="457" ht="15.75" customHeight="1">
      <c r="A457" s="13"/>
      <c r="B457" s="21" t="str">
        <f>IFERROR(VLOOKUP(A457,'PAÑOL TÉCNICO'!A457:B1000,2,0))</f>
        <v/>
      </c>
      <c r="C457" s="12"/>
      <c r="D457" s="12"/>
      <c r="E457" s="12"/>
    </row>
    <row r="458" ht="15.75" customHeight="1">
      <c r="A458" s="13"/>
      <c r="B458" s="21" t="str">
        <f>IFERROR(VLOOKUP(A458,'PAÑOL TÉCNICO'!A458:B1000,2,0))</f>
        <v/>
      </c>
      <c r="C458" s="12"/>
      <c r="D458" s="12"/>
      <c r="E458" s="12"/>
    </row>
    <row r="459" ht="15.75" customHeight="1">
      <c r="A459" s="13"/>
      <c r="B459" s="21" t="str">
        <f>IFERROR(VLOOKUP(A459,'PAÑOL TÉCNICO'!A459:B1000,2,0))</f>
        <v/>
      </c>
      <c r="C459" s="12"/>
      <c r="D459" s="12"/>
      <c r="E459" s="12"/>
    </row>
    <row r="460" ht="15.75" customHeight="1">
      <c r="A460" s="13"/>
      <c r="B460" s="21" t="str">
        <f>IFERROR(VLOOKUP(A460,'PAÑOL TÉCNICO'!A460:B1000,2,0))</f>
        <v/>
      </c>
      <c r="C460" s="12"/>
      <c r="D460" s="12"/>
      <c r="E460" s="12"/>
    </row>
    <row r="461" ht="15.75" customHeight="1">
      <c r="A461" s="13"/>
      <c r="B461" s="21" t="str">
        <f>IFERROR(VLOOKUP(A461,'PAÑOL TÉCNICO'!A461:B1000,2,0))</f>
        <v/>
      </c>
      <c r="C461" s="12"/>
      <c r="D461" s="12"/>
      <c r="E461" s="12"/>
    </row>
    <row r="462" ht="15.75" customHeight="1">
      <c r="A462" s="13"/>
      <c r="B462" s="21" t="str">
        <f>IFERROR(VLOOKUP(A462,'PAÑOL TÉCNICO'!A462:B1000,2,0))</f>
        <v/>
      </c>
      <c r="C462" s="12"/>
      <c r="D462" s="12"/>
      <c r="E462" s="12"/>
    </row>
    <row r="463" ht="15.75" customHeight="1">
      <c r="A463" s="13"/>
      <c r="B463" s="21" t="str">
        <f>IFERROR(VLOOKUP(A463,'PAÑOL TÉCNICO'!A463:B1000,2,0))</f>
        <v/>
      </c>
      <c r="C463" s="12"/>
      <c r="D463" s="12"/>
      <c r="E463" s="12"/>
    </row>
    <row r="464" ht="15.75" customHeight="1">
      <c r="A464" s="13"/>
      <c r="B464" s="21" t="str">
        <f>IFERROR(VLOOKUP(A464,'PAÑOL TÉCNICO'!A464:B1000,2,0))</f>
        <v/>
      </c>
      <c r="C464" s="12"/>
      <c r="D464" s="12"/>
      <c r="E464" s="12"/>
    </row>
    <row r="465" ht="15.75" customHeight="1">
      <c r="A465" s="13"/>
      <c r="B465" s="21" t="str">
        <f>IFERROR(VLOOKUP(A465,'PAÑOL TÉCNICO'!A465:B1000,2,0))</f>
        <v/>
      </c>
      <c r="C465" s="12"/>
      <c r="D465" s="12"/>
      <c r="E465" s="12"/>
    </row>
    <row r="466" ht="15.75" customHeight="1">
      <c r="A466" s="13"/>
      <c r="B466" s="21" t="str">
        <f>IFERROR(VLOOKUP(A466,'PAÑOL TÉCNICO'!A466:B1000,2,0))</f>
        <v/>
      </c>
      <c r="C466" s="12"/>
      <c r="D466" s="12"/>
      <c r="E466" s="12"/>
    </row>
    <row r="467" ht="15.75" customHeight="1">
      <c r="A467" s="13"/>
      <c r="B467" s="21" t="str">
        <f>IFERROR(VLOOKUP(A467,'PAÑOL TÉCNICO'!A467:B1000,2,0))</f>
        <v/>
      </c>
      <c r="C467" s="12"/>
      <c r="D467" s="12"/>
      <c r="E467" s="12"/>
    </row>
    <row r="468" ht="15.75" customHeight="1">
      <c r="A468" s="13"/>
      <c r="B468" s="21" t="str">
        <f>IFERROR(VLOOKUP(A468,'PAÑOL TÉCNICO'!A468:B1000,2,0))</f>
        <v/>
      </c>
      <c r="C468" s="12"/>
      <c r="D468" s="12"/>
      <c r="E468" s="12"/>
    </row>
    <row r="469" ht="15.75" customHeight="1">
      <c r="A469" s="13"/>
      <c r="B469" s="21" t="str">
        <f>IFERROR(VLOOKUP(A469,'PAÑOL TÉCNICO'!A469:B1000,2,0))</f>
        <v/>
      </c>
      <c r="C469" s="12"/>
      <c r="D469" s="12"/>
      <c r="E469" s="12"/>
    </row>
    <row r="470" ht="15.75" customHeight="1">
      <c r="A470" s="13"/>
      <c r="B470" s="21" t="str">
        <f>IFERROR(VLOOKUP(A470,'PAÑOL TÉCNICO'!A470:B1000,2,0))</f>
        <v/>
      </c>
      <c r="C470" s="12"/>
      <c r="D470" s="12"/>
      <c r="E470" s="12"/>
    </row>
    <row r="471" ht="15.75" customHeight="1">
      <c r="A471" s="13"/>
      <c r="B471" s="21" t="str">
        <f>IFERROR(VLOOKUP(A471,'PAÑOL TÉCNICO'!A471:B1000,2,0))</f>
        <v/>
      </c>
      <c r="C471" s="12"/>
      <c r="D471" s="12"/>
      <c r="E471" s="12"/>
    </row>
    <row r="472" ht="15.75" customHeight="1">
      <c r="A472" s="13"/>
      <c r="B472" s="21" t="str">
        <f>IFERROR(VLOOKUP(A472,'PAÑOL TÉCNICO'!A472:B1000,2,0))</f>
        <v/>
      </c>
      <c r="C472" s="12"/>
      <c r="D472" s="12"/>
      <c r="E472" s="12"/>
    </row>
    <row r="473" ht="15.75" customHeight="1">
      <c r="A473" s="13"/>
      <c r="B473" s="21" t="str">
        <f>IFERROR(VLOOKUP(A473,'PAÑOL TÉCNICO'!A473:B1000,2,0))</f>
        <v/>
      </c>
      <c r="C473" s="12"/>
      <c r="D473" s="12"/>
      <c r="E473" s="12"/>
    </row>
    <row r="474" ht="15.75" customHeight="1">
      <c r="A474" s="13"/>
      <c r="B474" s="21" t="str">
        <f>IFERROR(VLOOKUP(A474,'PAÑOL TÉCNICO'!A474:B1000,2,0))</f>
        <v/>
      </c>
      <c r="C474" s="12"/>
      <c r="D474" s="12"/>
      <c r="E474" s="12"/>
    </row>
    <row r="475" ht="15.75" customHeight="1">
      <c r="A475" s="13"/>
      <c r="B475" s="21" t="str">
        <f>IFERROR(VLOOKUP(A475,'PAÑOL TÉCNICO'!A475:B1000,2,0))</f>
        <v/>
      </c>
      <c r="C475" s="12"/>
      <c r="D475" s="12"/>
      <c r="E475" s="12"/>
    </row>
    <row r="476" ht="15.75" customHeight="1">
      <c r="A476" s="13"/>
      <c r="B476" s="21" t="str">
        <f>IFERROR(VLOOKUP(A476,'PAÑOL TÉCNICO'!A476:B1000,2,0))</f>
        <v/>
      </c>
      <c r="C476" s="12"/>
      <c r="D476" s="12"/>
      <c r="E476" s="12"/>
    </row>
    <row r="477" ht="15.75" customHeight="1">
      <c r="A477" s="13"/>
      <c r="B477" s="21" t="str">
        <f>IFERROR(VLOOKUP(A477,'PAÑOL TÉCNICO'!A477:B1000,2,0))</f>
        <v/>
      </c>
      <c r="C477" s="12"/>
      <c r="D477" s="12"/>
      <c r="E477" s="12"/>
    </row>
    <row r="478" ht="15.75" customHeight="1">
      <c r="A478" s="13"/>
      <c r="B478" s="21" t="str">
        <f>IFERROR(VLOOKUP(A478,'PAÑOL TÉCNICO'!A478:B1000,2,0))</f>
        <v/>
      </c>
      <c r="C478" s="12"/>
      <c r="D478" s="12"/>
      <c r="E478" s="12"/>
    </row>
    <row r="479" ht="15.75" customHeight="1">
      <c r="A479" s="13"/>
      <c r="B479" s="21" t="str">
        <f>IFERROR(VLOOKUP(A479,'PAÑOL TÉCNICO'!A479:B1000,2,0))</f>
        <v/>
      </c>
      <c r="C479" s="12"/>
      <c r="D479" s="12"/>
      <c r="E479" s="12"/>
    </row>
    <row r="480" ht="15.75" customHeight="1">
      <c r="A480" s="13"/>
      <c r="B480" s="21" t="str">
        <f>IFERROR(VLOOKUP(A480,'PAÑOL TÉCNICO'!A480:B1000,2,0))</f>
        <v/>
      </c>
      <c r="C480" s="12"/>
      <c r="D480" s="12"/>
      <c r="E480" s="12"/>
    </row>
    <row r="481" ht="15.75" customHeight="1">
      <c r="A481" s="13"/>
      <c r="B481" s="21" t="str">
        <f>IFERROR(VLOOKUP(A481,'PAÑOL TÉCNICO'!A481:B1000,2,0))</f>
        <v/>
      </c>
      <c r="C481" s="12"/>
      <c r="D481" s="12"/>
      <c r="E481" s="12"/>
    </row>
    <row r="482" ht="15.75" customHeight="1">
      <c r="A482" s="13"/>
      <c r="B482" s="21" t="str">
        <f>IFERROR(VLOOKUP(A482,'PAÑOL TÉCNICO'!A482:B1000,2,0))</f>
        <v/>
      </c>
      <c r="C482" s="12"/>
      <c r="D482" s="12"/>
      <c r="E482" s="12"/>
    </row>
    <row r="483" ht="15.75" customHeight="1">
      <c r="A483" s="13"/>
      <c r="B483" s="21" t="str">
        <f>IFERROR(VLOOKUP(A483,'PAÑOL TÉCNICO'!A483:B1000,2,0))</f>
        <v/>
      </c>
      <c r="C483" s="12"/>
      <c r="D483" s="12"/>
      <c r="E483" s="12"/>
    </row>
    <row r="484" ht="15.75" customHeight="1">
      <c r="A484" s="13"/>
      <c r="B484" s="21" t="str">
        <f>IFERROR(VLOOKUP(A484,'PAÑOL TÉCNICO'!A484:B1000,2,0))</f>
        <v/>
      </c>
      <c r="C484" s="12"/>
      <c r="D484" s="12"/>
      <c r="E484" s="12"/>
    </row>
    <row r="485" ht="15.75" customHeight="1">
      <c r="A485" s="13"/>
      <c r="B485" s="21" t="str">
        <f>IFERROR(VLOOKUP(A485,'PAÑOL TÉCNICO'!A485:B1000,2,0))</f>
        <v/>
      </c>
      <c r="C485" s="12"/>
      <c r="D485" s="12"/>
      <c r="E485" s="12"/>
    </row>
    <row r="486" ht="15.75" customHeight="1">
      <c r="A486" s="13"/>
      <c r="B486" s="21" t="str">
        <f>IFERROR(VLOOKUP(A486,'PAÑOL TÉCNICO'!A486:B1000,2,0))</f>
        <v/>
      </c>
      <c r="C486" s="12"/>
      <c r="D486" s="12"/>
      <c r="E486" s="12"/>
    </row>
    <row r="487" ht="15.75" customHeight="1">
      <c r="A487" s="13"/>
      <c r="B487" s="21" t="str">
        <f>IFERROR(VLOOKUP(A487,'PAÑOL TÉCNICO'!A487:B1000,2,0))</f>
        <v/>
      </c>
      <c r="C487" s="12"/>
      <c r="D487" s="12"/>
      <c r="E487" s="12"/>
    </row>
    <row r="488" ht="15.75" customHeight="1">
      <c r="A488" s="13"/>
      <c r="B488" s="21" t="str">
        <f>IFERROR(VLOOKUP(A488,'PAÑOL TÉCNICO'!A488:B1000,2,0))</f>
        <v/>
      </c>
      <c r="C488" s="12"/>
      <c r="D488" s="12"/>
      <c r="E488" s="12"/>
    </row>
    <row r="489" ht="15.75" customHeight="1">
      <c r="A489" s="13"/>
      <c r="B489" s="21" t="str">
        <f>IFERROR(VLOOKUP(A489,'PAÑOL TÉCNICO'!A489:B1000,2,0))</f>
        <v/>
      </c>
      <c r="C489" s="12"/>
      <c r="D489" s="12"/>
      <c r="E489" s="12"/>
    </row>
    <row r="490" ht="15.75" customHeight="1">
      <c r="A490" s="13"/>
      <c r="B490" s="21" t="str">
        <f>IFERROR(VLOOKUP(A490,'PAÑOL TÉCNICO'!A490:B1000,2,0))</f>
        <v/>
      </c>
      <c r="C490" s="12"/>
      <c r="D490" s="12"/>
      <c r="E490" s="12"/>
    </row>
    <row r="491" ht="15.75" customHeight="1">
      <c r="A491" s="13"/>
      <c r="B491" s="21" t="str">
        <f>IFERROR(VLOOKUP(A491,'PAÑOL TÉCNICO'!A491:B1000,2,0))</f>
        <v/>
      </c>
      <c r="C491" s="12"/>
      <c r="D491" s="12"/>
      <c r="E491" s="12"/>
    </row>
    <row r="492" ht="15.75" customHeight="1">
      <c r="A492" s="13"/>
      <c r="B492" s="21" t="str">
        <f>IFERROR(VLOOKUP(A492,'PAÑOL TÉCNICO'!A492:B1000,2,0))</f>
        <v/>
      </c>
      <c r="C492" s="12"/>
      <c r="D492" s="12"/>
      <c r="E492" s="12"/>
    </row>
    <row r="493" ht="15.75" customHeight="1">
      <c r="A493" s="13"/>
      <c r="B493" s="21" t="str">
        <f>IFERROR(VLOOKUP(A493,'PAÑOL TÉCNICO'!A493:B1000,2,0))</f>
        <v/>
      </c>
      <c r="C493" s="12"/>
      <c r="D493" s="12"/>
      <c r="E493" s="12"/>
    </row>
    <row r="494" ht="15.75" customHeight="1">
      <c r="A494" s="13"/>
      <c r="B494" s="21" t="str">
        <f>IFERROR(VLOOKUP(A494,'PAÑOL TÉCNICO'!A494:B1000,2,0))</f>
        <v/>
      </c>
      <c r="C494" s="12"/>
      <c r="D494" s="12"/>
      <c r="E494" s="12"/>
    </row>
    <row r="495" ht="15.75" customHeight="1">
      <c r="A495" s="13"/>
      <c r="B495" s="21" t="str">
        <f>IFERROR(VLOOKUP(A495,'PAÑOL TÉCNICO'!A495:B1000,2,0))</f>
        <v/>
      </c>
      <c r="C495" s="12"/>
      <c r="D495" s="12"/>
      <c r="E495" s="12"/>
    </row>
    <row r="496" ht="15.75" customHeight="1">
      <c r="A496" s="13"/>
      <c r="B496" s="21" t="str">
        <f>IFERROR(VLOOKUP(A496,'PAÑOL TÉCNICO'!A496:B1000,2,0))</f>
        <v/>
      </c>
      <c r="C496" s="12"/>
      <c r="D496" s="12"/>
      <c r="E496" s="12"/>
    </row>
    <row r="497" ht="15.75" customHeight="1">
      <c r="A497" s="13"/>
      <c r="B497" s="21" t="str">
        <f>IFERROR(VLOOKUP(A497,'PAÑOL TÉCNICO'!A497:B1000,2,0))</f>
        <v/>
      </c>
      <c r="C497" s="12"/>
      <c r="D497" s="12"/>
      <c r="E497" s="12"/>
    </row>
    <row r="498" ht="15.75" customHeight="1">
      <c r="A498" s="13"/>
      <c r="B498" s="21" t="str">
        <f>IFERROR(VLOOKUP(A498,'PAÑOL TÉCNICO'!A498:B1000,2,0))</f>
        <v/>
      </c>
      <c r="C498" s="12"/>
      <c r="D498" s="12"/>
      <c r="E498" s="12"/>
    </row>
    <row r="499" ht="15.75" customHeight="1">
      <c r="A499" s="13"/>
      <c r="B499" s="21" t="str">
        <f>IFERROR(VLOOKUP(A499,'PAÑOL TÉCNICO'!A499:B1000,2,0))</f>
        <v/>
      </c>
      <c r="C499" s="12"/>
      <c r="D499" s="12"/>
      <c r="E499" s="12"/>
    </row>
    <row r="500" ht="15.75" customHeight="1">
      <c r="A500" s="13"/>
      <c r="B500" s="21" t="str">
        <f>IFERROR(VLOOKUP(A500,'PAÑOL TÉCNICO'!A500:B1000,2,0))</f>
        <v/>
      </c>
      <c r="C500" s="12"/>
      <c r="D500" s="12"/>
      <c r="E500" s="12"/>
    </row>
    <row r="501" ht="15.75" customHeight="1">
      <c r="A501" s="13"/>
      <c r="B501" s="21" t="str">
        <f>IFERROR(VLOOKUP(A501,'PAÑOL TÉCNICO'!A501:B1000,2,0))</f>
        <v/>
      </c>
      <c r="C501" s="12"/>
      <c r="D501" s="12"/>
      <c r="E501" s="12"/>
    </row>
    <row r="502" ht="15.75" customHeight="1">
      <c r="A502" s="13"/>
      <c r="B502" s="21" t="str">
        <f>IFERROR(VLOOKUP(A502,'PAÑOL TÉCNICO'!A502:B1000,2,0))</f>
        <v/>
      </c>
      <c r="C502" s="12"/>
      <c r="D502" s="12"/>
      <c r="E502" s="12"/>
    </row>
    <row r="503" ht="15.75" customHeight="1">
      <c r="A503" s="13"/>
      <c r="B503" s="21" t="str">
        <f>IFERROR(VLOOKUP(A503,'PAÑOL TÉCNICO'!A503:B1000,2,0))</f>
        <v/>
      </c>
      <c r="C503" s="12"/>
      <c r="D503" s="12"/>
      <c r="E503" s="12"/>
    </row>
    <row r="504" ht="15.75" customHeight="1">
      <c r="A504" s="13"/>
      <c r="B504" s="21" t="str">
        <f>IFERROR(VLOOKUP(A504,'PAÑOL TÉCNICO'!A504:B1000,2,0))</f>
        <v/>
      </c>
      <c r="C504" s="12"/>
      <c r="D504" s="12"/>
      <c r="E504" s="12"/>
    </row>
    <row r="505" ht="15.75" customHeight="1">
      <c r="A505" s="13"/>
      <c r="B505" s="21" t="str">
        <f>IFERROR(VLOOKUP(A505,'PAÑOL TÉCNICO'!A505:B1000,2,0))</f>
        <v/>
      </c>
      <c r="C505" s="12"/>
      <c r="D505" s="12"/>
      <c r="E505" s="12"/>
    </row>
    <row r="506" ht="15.75" customHeight="1">
      <c r="A506" s="13"/>
      <c r="B506" s="21" t="str">
        <f>IFERROR(VLOOKUP(A506,'PAÑOL TÉCNICO'!A506:B1000,2,0))</f>
        <v/>
      </c>
      <c r="C506" s="12"/>
      <c r="D506" s="12"/>
      <c r="E506" s="12"/>
    </row>
    <row r="507" ht="15.75" customHeight="1">
      <c r="A507" s="13"/>
      <c r="B507" s="21" t="str">
        <f>IFERROR(VLOOKUP(A507,'PAÑOL TÉCNICO'!A507:B1000,2,0))</f>
        <v/>
      </c>
      <c r="C507" s="12"/>
      <c r="D507" s="12"/>
      <c r="E507" s="12"/>
    </row>
    <row r="508" ht="15.75" customHeight="1">
      <c r="A508" s="13"/>
      <c r="B508" s="21" t="str">
        <f>IFERROR(VLOOKUP(A508,'PAÑOL TÉCNICO'!A508:B1000,2,0))</f>
        <v/>
      </c>
      <c r="C508" s="12"/>
      <c r="D508" s="12"/>
      <c r="E508" s="12"/>
    </row>
    <row r="509" ht="15.75" customHeight="1">
      <c r="A509" s="13"/>
      <c r="B509" s="21" t="str">
        <f>IFERROR(VLOOKUP(A509,'PAÑOL TÉCNICO'!A509:B1000,2,0))</f>
        <v/>
      </c>
      <c r="C509" s="12"/>
      <c r="D509" s="12"/>
      <c r="E509" s="12"/>
    </row>
    <row r="510" ht="15.75" customHeight="1">
      <c r="A510" s="13"/>
      <c r="B510" s="21" t="str">
        <f>IFERROR(VLOOKUP(A510,'PAÑOL TÉCNICO'!A510:B1000,2,0))</f>
        <v/>
      </c>
      <c r="C510" s="12"/>
      <c r="D510" s="12"/>
      <c r="E510" s="12"/>
    </row>
    <row r="511" ht="15.75" customHeight="1">
      <c r="A511" s="13"/>
      <c r="B511" s="21" t="str">
        <f>IFERROR(VLOOKUP(A511,'PAÑOL TÉCNICO'!A511:B1000,2,0))</f>
        <v/>
      </c>
      <c r="C511" s="12"/>
      <c r="D511" s="12"/>
      <c r="E511" s="12"/>
    </row>
    <row r="512" ht="15.75" customHeight="1">
      <c r="A512" s="13"/>
      <c r="B512" s="21" t="str">
        <f>IFERROR(VLOOKUP(A512,'PAÑOL TÉCNICO'!A512:B1000,2,0))</f>
        <v/>
      </c>
      <c r="C512" s="12"/>
      <c r="D512" s="12"/>
      <c r="E512" s="12"/>
    </row>
    <row r="513" ht="15.75" customHeight="1">
      <c r="A513" s="13"/>
      <c r="B513" s="21" t="str">
        <f>IFERROR(VLOOKUP(A513,'PAÑOL TÉCNICO'!A513:B1000,2,0))</f>
        <v/>
      </c>
      <c r="C513" s="12"/>
      <c r="D513" s="12"/>
      <c r="E513" s="12"/>
    </row>
    <row r="514" ht="15.75" customHeight="1">
      <c r="A514" s="13"/>
      <c r="B514" s="21" t="str">
        <f>IFERROR(VLOOKUP(A514,'PAÑOL TÉCNICO'!A514:B1000,2,0))</f>
        <v/>
      </c>
      <c r="C514" s="12"/>
      <c r="D514" s="12"/>
      <c r="E514" s="12"/>
    </row>
    <row r="515" ht="15.75" customHeight="1">
      <c r="A515" s="13"/>
      <c r="B515" s="21" t="str">
        <f>IFERROR(VLOOKUP(A515,'PAÑOL TÉCNICO'!A515:B1000,2,0))</f>
        <v/>
      </c>
      <c r="C515" s="12"/>
      <c r="D515" s="12"/>
      <c r="E515" s="12"/>
    </row>
    <row r="516" ht="15.75" customHeight="1">
      <c r="A516" s="13"/>
      <c r="B516" s="21" t="str">
        <f>IFERROR(VLOOKUP(A516,'PAÑOL TÉCNICO'!A516:B1000,2,0))</f>
        <v/>
      </c>
      <c r="C516" s="12"/>
      <c r="D516" s="12"/>
      <c r="E516" s="12"/>
    </row>
    <row r="517" ht="15.75" customHeight="1">
      <c r="A517" s="13"/>
      <c r="B517" s="21" t="str">
        <f>IFERROR(VLOOKUP(A517,'PAÑOL TÉCNICO'!A517:B1000,2,0))</f>
        <v/>
      </c>
      <c r="C517" s="12"/>
      <c r="D517" s="12"/>
      <c r="E517" s="12"/>
    </row>
    <row r="518" ht="15.75" customHeight="1">
      <c r="A518" s="13"/>
      <c r="B518" s="21" t="str">
        <f>IFERROR(VLOOKUP(A518,'PAÑOL TÉCNICO'!A518:B1000,2,0))</f>
        <v/>
      </c>
      <c r="C518" s="12"/>
      <c r="D518" s="12"/>
      <c r="E518" s="12"/>
    </row>
    <row r="519" ht="15.75" customHeight="1">
      <c r="A519" s="13"/>
      <c r="B519" s="21" t="str">
        <f>IFERROR(VLOOKUP(A519,'PAÑOL TÉCNICO'!A519:B1000,2,0))</f>
        <v/>
      </c>
      <c r="C519" s="12"/>
      <c r="D519" s="12"/>
      <c r="E519" s="12"/>
    </row>
    <row r="520" ht="15.75" customHeight="1">
      <c r="A520" s="13"/>
      <c r="B520" s="21" t="str">
        <f>IFERROR(VLOOKUP(A520,'PAÑOL TÉCNICO'!A520:B1000,2,0))</f>
        <v/>
      </c>
      <c r="C520" s="12"/>
      <c r="D520" s="12"/>
      <c r="E520" s="12"/>
    </row>
    <row r="521" ht="15.75" customHeight="1">
      <c r="A521" s="13"/>
      <c r="B521" s="21" t="str">
        <f>IFERROR(VLOOKUP(A521,'PAÑOL TÉCNICO'!A521:B1000,2,0))</f>
        <v/>
      </c>
      <c r="C521" s="12"/>
      <c r="D521" s="12"/>
      <c r="E521" s="12"/>
    </row>
    <row r="522" ht="15.75" customHeight="1">
      <c r="A522" s="13"/>
      <c r="B522" s="21" t="str">
        <f>IFERROR(VLOOKUP(A522,'PAÑOL TÉCNICO'!A522:B1000,2,0))</f>
        <v/>
      </c>
      <c r="C522" s="12"/>
      <c r="D522" s="12"/>
      <c r="E522" s="12"/>
    </row>
    <row r="523" ht="15.75" customHeight="1">
      <c r="A523" s="13"/>
      <c r="B523" s="21" t="str">
        <f>IFERROR(VLOOKUP(A523,'PAÑOL TÉCNICO'!A523:B1000,2,0))</f>
        <v/>
      </c>
      <c r="C523" s="12"/>
      <c r="D523" s="12"/>
      <c r="E523" s="12"/>
    </row>
    <row r="524" ht="15.75" customHeight="1">
      <c r="A524" s="13"/>
      <c r="B524" s="21" t="str">
        <f>IFERROR(VLOOKUP(A524,'PAÑOL TÉCNICO'!A524:B1000,2,0))</f>
        <v/>
      </c>
      <c r="C524" s="12"/>
      <c r="D524" s="12"/>
      <c r="E524" s="12"/>
    </row>
    <row r="525" ht="15.75" customHeight="1">
      <c r="A525" s="13"/>
      <c r="B525" s="21" t="str">
        <f>IFERROR(VLOOKUP(A525,'PAÑOL TÉCNICO'!A525:B1000,2,0))</f>
        <v/>
      </c>
      <c r="C525" s="12"/>
      <c r="D525" s="12"/>
      <c r="E525" s="12"/>
    </row>
    <row r="526" ht="15.75" customHeight="1">
      <c r="A526" s="13"/>
      <c r="B526" s="21" t="str">
        <f>IFERROR(VLOOKUP(A526,'PAÑOL TÉCNICO'!A526:B1000,2,0))</f>
        <v/>
      </c>
      <c r="C526" s="12"/>
      <c r="D526" s="12"/>
      <c r="E526" s="12"/>
    </row>
    <row r="527" ht="15.75" customHeight="1">
      <c r="A527" s="13"/>
      <c r="B527" s="21" t="str">
        <f>IFERROR(VLOOKUP(A527,'PAÑOL TÉCNICO'!A527:B1000,2,0))</f>
        <v/>
      </c>
      <c r="C527" s="12"/>
      <c r="D527" s="12"/>
      <c r="E527" s="12"/>
    </row>
    <row r="528" ht="15.75" customHeight="1">
      <c r="A528" s="13"/>
      <c r="B528" s="21" t="str">
        <f>IFERROR(VLOOKUP(A528,'PAÑOL TÉCNICO'!A528:B1000,2,0))</f>
        <v/>
      </c>
      <c r="C528" s="12"/>
      <c r="D528" s="12"/>
      <c r="E528" s="12"/>
    </row>
    <row r="529" ht="15.75" customHeight="1">
      <c r="A529" s="13"/>
      <c r="B529" s="21" t="str">
        <f>IFERROR(VLOOKUP(A529,'PAÑOL TÉCNICO'!A529:B1000,2,0))</f>
        <v/>
      </c>
      <c r="C529" s="12"/>
      <c r="D529" s="12"/>
      <c r="E529" s="12"/>
    </row>
    <row r="530" ht="15.75" customHeight="1">
      <c r="A530" s="13"/>
      <c r="B530" s="21" t="str">
        <f>IFERROR(VLOOKUP(A530,'PAÑOL TÉCNICO'!A530:B1000,2,0))</f>
        <v/>
      </c>
      <c r="C530" s="12"/>
      <c r="D530" s="12"/>
      <c r="E530" s="12"/>
    </row>
    <row r="531" ht="15.75" customHeight="1">
      <c r="A531" s="13"/>
      <c r="B531" s="21" t="str">
        <f>IFERROR(VLOOKUP(A531,'PAÑOL TÉCNICO'!A531:B1000,2,0))</f>
        <v/>
      </c>
      <c r="C531" s="12"/>
      <c r="D531" s="12"/>
      <c r="E531" s="12"/>
    </row>
    <row r="532" ht="15.75" customHeight="1">
      <c r="A532" s="13"/>
      <c r="B532" s="21" t="str">
        <f>IFERROR(VLOOKUP(A532,'PAÑOL TÉCNICO'!A532:B1000,2,0))</f>
        <v/>
      </c>
      <c r="C532" s="12"/>
      <c r="D532" s="12"/>
      <c r="E532" s="12"/>
    </row>
    <row r="533" ht="15.75" customHeight="1">
      <c r="A533" s="13"/>
      <c r="B533" s="21" t="str">
        <f>IFERROR(VLOOKUP(A533,'PAÑOL TÉCNICO'!A533:B1000,2,0))</f>
        <v/>
      </c>
      <c r="C533" s="12"/>
      <c r="D533" s="12"/>
      <c r="E533" s="12"/>
    </row>
    <row r="534" ht="15.75" customHeight="1">
      <c r="A534" s="13"/>
      <c r="B534" s="21" t="str">
        <f>IFERROR(VLOOKUP(A534,'PAÑOL TÉCNICO'!A534:B1000,2,0))</f>
        <v/>
      </c>
      <c r="C534" s="12"/>
      <c r="D534" s="12"/>
      <c r="E534" s="12"/>
    </row>
    <row r="535" ht="15.75" customHeight="1">
      <c r="A535" s="13"/>
      <c r="B535" s="21" t="str">
        <f>IFERROR(VLOOKUP(A535,'PAÑOL TÉCNICO'!A535:B1000,2,0))</f>
        <v/>
      </c>
      <c r="C535" s="12"/>
      <c r="D535" s="12"/>
      <c r="E535" s="12"/>
    </row>
    <row r="536" ht="15.75" customHeight="1">
      <c r="A536" s="13"/>
      <c r="B536" s="21" t="str">
        <f>IFERROR(VLOOKUP(A536,'PAÑOL TÉCNICO'!A536:B1000,2,0))</f>
        <v/>
      </c>
      <c r="C536" s="12"/>
      <c r="D536" s="12"/>
      <c r="E536" s="12"/>
    </row>
    <row r="537" ht="15.75" customHeight="1">
      <c r="A537" s="13"/>
      <c r="B537" s="21" t="str">
        <f>IFERROR(VLOOKUP(A537,'PAÑOL TÉCNICO'!A537:B1000,2,0))</f>
        <v/>
      </c>
      <c r="C537" s="12"/>
      <c r="D537" s="12"/>
      <c r="E537" s="12"/>
    </row>
    <row r="538" ht="15.75" customHeight="1">
      <c r="A538" s="13"/>
      <c r="B538" s="21" t="str">
        <f>IFERROR(VLOOKUP(A538,'PAÑOL TÉCNICO'!A538:B1000,2,0))</f>
        <v/>
      </c>
      <c r="C538" s="12"/>
      <c r="D538" s="12"/>
      <c r="E538" s="12"/>
    </row>
    <row r="539" ht="15.75" customHeight="1">
      <c r="A539" s="13"/>
      <c r="B539" s="21" t="str">
        <f>IFERROR(VLOOKUP(A539,'PAÑOL TÉCNICO'!A539:B1000,2,0))</f>
        <v/>
      </c>
      <c r="C539" s="12"/>
      <c r="D539" s="12"/>
      <c r="E539" s="12"/>
    </row>
    <row r="540" ht="15.75" customHeight="1">
      <c r="A540" s="13"/>
      <c r="B540" s="21" t="str">
        <f>IFERROR(VLOOKUP(A540,'PAÑOL TÉCNICO'!A540:B1000,2,0))</f>
        <v/>
      </c>
      <c r="C540" s="12"/>
      <c r="D540" s="12"/>
      <c r="E540" s="12"/>
    </row>
    <row r="541" ht="15.75" customHeight="1">
      <c r="A541" s="13"/>
      <c r="B541" s="21" t="str">
        <f>IFERROR(VLOOKUP(A541,'PAÑOL TÉCNICO'!A541:B1000,2,0))</f>
        <v/>
      </c>
      <c r="C541" s="12"/>
      <c r="D541" s="12"/>
      <c r="E541" s="12"/>
    </row>
    <row r="542" ht="15.75" customHeight="1">
      <c r="A542" s="13"/>
      <c r="B542" s="21" t="str">
        <f>IFERROR(VLOOKUP(A542,'PAÑOL TÉCNICO'!A542:B1000,2,0))</f>
        <v/>
      </c>
      <c r="C542" s="12"/>
      <c r="D542" s="12"/>
      <c r="E542" s="12"/>
    </row>
    <row r="543" ht="15.75" customHeight="1">
      <c r="A543" s="13"/>
      <c r="B543" s="21" t="str">
        <f>IFERROR(VLOOKUP(A543,'PAÑOL TÉCNICO'!A543:B1000,2,0))</f>
        <v/>
      </c>
      <c r="C543" s="12"/>
      <c r="D543" s="12"/>
      <c r="E543" s="12"/>
    </row>
    <row r="544" ht="15.75" customHeight="1">
      <c r="A544" s="13"/>
      <c r="B544" s="21" t="str">
        <f>IFERROR(VLOOKUP(A544,'PAÑOL TÉCNICO'!A544:B1000,2,0))</f>
        <v/>
      </c>
      <c r="C544" s="12"/>
      <c r="D544" s="12"/>
      <c r="E544" s="12"/>
    </row>
    <row r="545" ht="15.75" customHeight="1">
      <c r="A545" s="13"/>
      <c r="B545" s="21" t="str">
        <f>IFERROR(VLOOKUP(A545,'PAÑOL TÉCNICO'!A545:B1000,2,0))</f>
        <v/>
      </c>
      <c r="C545" s="12"/>
      <c r="D545" s="12"/>
      <c r="E545" s="12"/>
    </row>
    <row r="546" ht="15.75" customHeight="1">
      <c r="A546" s="13"/>
      <c r="B546" s="21" t="str">
        <f>IFERROR(VLOOKUP(A546,'PAÑOL TÉCNICO'!A546:B1000,2,0))</f>
        <v/>
      </c>
      <c r="C546" s="12"/>
      <c r="D546" s="12"/>
      <c r="E546" s="12"/>
    </row>
    <row r="547" ht="15.75" customHeight="1">
      <c r="A547" s="13"/>
      <c r="B547" s="21" t="str">
        <f>IFERROR(VLOOKUP(A547,'PAÑOL TÉCNICO'!A547:B1000,2,0))</f>
        <v/>
      </c>
      <c r="C547" s="12"/>
      <c r="D547" s="12"/>
      <c r="E547" s="12"/>
    </row>
    <row r="548" ht="15.75" customHeight="1">
      <c r="A548" s="13"/>
      <c r="B548" s="21" t="str">
        <f>IFERROR(VLOOKUP(A548,'PAÑOL TÉCNICO'!A548:B1000,2,0))</f>
        <v/>
      </c>
      <c r="C548" s="12"/>
      <c r="D548" s="12"/>
      <c r="E548" s="12"/>
    </row>
    <row r="549" ht="15.75" customHeight="1">
      <c r="A549" s="13"/>
      <c r="B549" s="21" t="str">
        <f>IFERROR(VLOOKUP(A549,'PAÑOL TÉCNICO'!A549:B1000,2,0))</f>
        <v/>
      </c>
      <c r="C549" s="12"/>
      <c r="D549" s="12"/>
      <c r="E549" s="12"/>
    </row>
    <row r="550" ht="15.75" customHeight="1">
      <c r="A550" s="13"/>
      <c r="B550" s="21" t="str">
        <f>IFERROR(VLOOKUP(A550,'PAÑOL TÉCNICO'!A550:B1000,2,0))</f>
        <v/>
      </c>
      <c r="C550" s="12"/>
      <c r="D550" s="12"/>
      <c r="E550" s="12"/>
    </row>
    <row r="551" ht="15.75" customHeight="1">
      <c r="A551" s="13"/>
      <c r="B551" s="21" t="str">
        <f>IFERROR(VLOOKUP(A551,'PAÑOL TÉCNICO'!A551:B1000,2,0))</f>
        <v/>
      </c>
      <c r="C551" s="12"/>
      <c r="D551" s="12"/>
      <c r="E551" s="12"/>
    </row>
    <row r="552" ht="15.75" customHeight="1">
      <c r="A552" s="13"/>
      <c r="B552" s="21" t="str">
        <f>IFERROR(VLOOKUP(A552,'PAÑOL TÉCNICO'!A552:B1000,2,0))</f>
        <v/>
      </c>
      <c r="C552" s="12"/>
      <c r="D552" s="12"/>
      <c r="E552" s="12"/>
    </row>
    <row r="553" ht="15.75" customHeight="1">
      <c r="A553" s="13"/>
      <c r="B553" s="21" t="str">
        <f>IFERROR(VLOOKUP(A553,'PAÑOL TÉCNICO'!A553:B1000,2,0))</f>
        <v/>
      </c>
      <c r="C553" s="12"/>
      <c r="D553" s="12"/>
      <c r="E553" s="12"/>
    </row>
    <row r="554" ht="15.75" customHeight="1">
      <c r="A554" s="13"/>
      <c r="B554" s="21" t="str">
        <f>IFERROR(VLOOKUP(A554,'PAÑOL TÉCNICO'!A554:B1000,2,0))</f>
        <v/>
      </c>
      <c r="C554" s="12"/>
      <c r="D554" s="12"/>
      <c r="E554" s="12"/>
    </row>
    <row r="555" ht="15.75" customHeight="1">
      <c r="A555" s="13"/>
      <c r="B555" s="21" t="str">
        <f>IFERROR(VLOOKUP(A555,'PAÑOL TÉCNICO'!A555:B1000,2,0))</f>
        <v/>
      </c>
      <c r="C555" s="12"/>
      <c r="D555" s="12"/>
      <c r="E555" s="12"/>
    </row>
    <row r="556" ht="15.75" customHeight="1">
      <c r="A556" s="13"/>
      <c r="B556" s="21" t="str">
        <f>IFERROR(VLOOKUP(A556,'PAÑOL TÉCNICO'!A556:B1000,2,0))</f>
        <v/>
      </c>
      <c r="C556" s="12"/>
      <c r="D556" s="12"/>
      <c r="E556" s="12"/>
    </row>
    <row r="557" ht="15.75" customHeight="1">
      <c r="A557" s="13"/>
      <c r="B557" s="21" t="str">
        <f>IFERROR(VLOOKUP(A557,'PAÑOL TÉCNICO'!A557:B1000,2,0))</f>
        <v/>
      </c>
      <c r="C557" s="12"/>
      <c r="D557" s="12"/>
      <c r="E557" s="12"/>
    </row>
    <row r="558" ht="15.75" customHeight="1">
      <c r="A558" s="13"/>
      <c r="B558" s="21" t="str">
        <f>IFERROR(VLOOKUP(A558,'PAÑOL TÉCNICO'!A558:B1000,2,0))</f>
        <v/>
      </c>
      <c r="C558" s="12"/>
      <c r="D558" s="12"/>
      <c r="E558" s="12"/>
    </row>
    <row r="559" ht="15.75" customHeight="1">
      <c r="A559" s="13"/>
      <c r="B559" s="21" t="str">
        <f>IFERROR(VLOOKUP(A559,'PAÑOL TÉCNICO'!A559:B1000,2,0))</f>
        <v/>
      </c>
      <c r="C559" s="12"/>
      <c r="D559" s="12"/>
      <c r="E559" s="12"/>
    </row>
    <row r="560" ht="15.75" customHeight="1">
      <c r="A560" s="13"/>
      <c r="B560" s="21" t="str">
        <f>IFERROR(VLOOKUP(A560,'PAÑOL TÉCNICO'!A560:B1000,2,0))</f>
        <v/>
      </c>
      <c r="C560" s="12"/>
      <c r="D560" s="12"/>
      <c r="E560" s="12"/>
    </row>
    <row r="561" ht="15.75" customHeight="1">
      <c r="A561" s="13"/>
      <c r="B561" s="21" t="str">
        <f>IFERROR(VLOOKUP(A561,'PAÑOL TÉCNICO'!A561:B1000,2,0))</f>
        <v/>
      </c>
      <c r="C561" s="12"/>
      <c r="D561" s="12"/>
      <c r="E561" s="12"/>
    </row>
    <row r="562" ht="15.75" customHeight="1">
      <c r="A562" s="13"/>
      <c r="B562" s="21" t="str">
        <f>IFERROR(VLOOKUP(A562,'PAÑOL TÉCNICO'!A562:B1000,2,0))</f>
        <v/>
      </c>
      <c r="C562" s="12"/>
      <c r="D562" s="12"/>
      <c r="E562" s="12"/>
    </row>
    <row r="563" ht="15.75" customHeight="1">
      <c r="A563" s="13"/>
      <c r="B563" s="21" t="str">
        <f>IFERROR(VLOOKUP(A563,'PAÑOL TÉCNICO'!A563:B1000,2,0))</f>
        <v/>
      </c>
      <c r="C563" s="12"/>
      <c r="D563" s="12"/>
      <c r="E563" s="12"/>
    </row>
    <row r="564" ht="15.75" customHeight="1">
      <c r="A564" s="13"/>
      <c r="B564" s="21" t="str">
        <f>IFERROR(VLOOKUP(A564,'PAÑOL TÉCNICO'!A564:B1000,2,0))</f>
        <v/>
      </c>
      <c r="C564" s="12"/>
      <c r="D564" s="12"/>
      <c r="E564" s="12"/>
    </row>
    <row r="565" ht="15.75" customHeight="1">
      <c r="A565" s="13"/>
      <c r="B565" s="21" t="str">
        <f>IFERROR(VLOOKUP(A565,'PAÑOL TÉCNICO'!A565:B1000,2,0))</f>
        <v/>
      </c>
      <c r="C565" s="12"/>
      <c r="D565" s="12"/>
      <c r="E565" s="12"/>
    </row>
    <row r="566" ht="15.75" customHeight="1">
      <c r="A566" s="13"/>
      <c r="B566" s="21" t="str">
        <f>IFERROR(VLOOKUP(A566,'PAÑOL TÉCNICO'!A566:B1000,2,0))</f>
        <v/>
      </c>
      <c r="C566" s="12"/>
      <c r="D566" s="12"/>
      <c r="E566" s="12"/>
    </row>
    <row r="567" ht="15.75" customHeight="1">
      <c r="A567" s="13"/>
      <c r="B567" s="21" t="str">
        <f>IFERROR(VLOOKUP(A567,'PAÑOL TÉCNICO'!A567:B1000,2,0))</f>
        <v/>
      </c>
      <c r="C567" s="12"/>
      <c r="D567" s="12"/>
      <c r="E567" s="12"/>
    </row>
    <row r="568" ht="15.75" customHeight="1">
      <c r="A568" s="13"/>
      <c r="B568" s="21" t="str">
        <f>IFERROR(VLOOKUP(A568,'PAÑOL TÉCNICO'!A568:B1000,2,0))</f>
        <v/>
      </c>
      <c r="C568" s="12"/>
      <c r="D568" s="12"/>
      <c r="E568" s="12"/>
    </row>
    <row r="569" ht="15.75" customHeight="1">
      <c r="A569" s="13"/>
      <c r="B569" s="21" t="str">
        <f>IFERROR(VLOOKUP(A569,'PAÑOL TÉCNICO'!A569:B1000,2,0))</f>
        <v/>
      </c>
      <c r="C569" s="12"/>
      <c r="D569" s="12"/>
      <c r="E569" s="12"/>
    </row>
    <row r="570" ht="15.75" customHeight="1">
      <c r="A570" s="13"/>
      <c r="B570" s="21" t="str">
        <f>IFERROR(VLOOKUP(A570,'PAÑOL TÉCNICO'!A570:B1000,2,0))</f>
        <v/>
      </c>
      <c r="C570" s="12"/>
      <c r="D570" s="12"/>
      <c r="E570" s="12"/>
    </row>
    <row r="571" ht="15.75" customHeight="1">
      <c r="A571" s="13"/>
      <c r="B571" s="21" t="str">
        <f>IFERROR(VLOOKUP(A571,'PAÑOL TÉCNICO'!A571:B1000,2,0))</f>
        <v/>
      </c>
      <c r="C571" s="12"/>
      <c r="D571" s="12"/>
      <c r="E571" s="12"/>
    </row>
    <row r="572" ht="15.75" customHeight="1">
      <c r="A572" s="13"/>
      <c r="B572" s="21" t="str">
        <f>IFERROR(VLOOKUP(A572,'PAÑOL TÉCNICO'!A572:B1000,2,0))</f>
        <v/>
      </c>
      <c r="C572" s="12"/>
      <c r="D572" s="12"/>
      <c r="E572" s="12"/>
    </row>
    <row r="573" ht="15.75" customHeight="1">
      <c r="A573" s="13"/>
      <c r="B573" s="21" t="str">
        <f>IFERROR(VLOOKUP(A573,'PAÑOL TÉCNICO'!A573:B1000,2,0))</f>
        <v/>
      </c>
      <c r="C573" s="12"/>
      <c r="D573" s="12"/>
      <c r="E573" s="12"/>
    </row>
    <row r="574" ht="15.75" customHeight="1">
      <c r="A574" s="13"/>
      <c r="B574" s="21" t="str">
        <f>IFERROR(VLOOKUP(A574,'PAÑOL TÉCNICO'!A574:B1000,2,0))</f>
        <v/>
      </c>
      <c r="C574" s="12"/>
      <c r="D574" s="12"/>
      <c r="E574" s="12"/>
    </row>
    <row r="575" ht="15.75" customHeight="1">
      <c r="A575" s="13"/>
      <c r="B575" s="21" t="str">
        <f>IFERROR(VLOOKUP(A575,'PAÑOL TÉCNICO'!A575:B1000,2,0))</f>
        <v/>
      </c>
      <c r="C575" s="12"/>
      <c r="D575" s="12"/>
      <c r="E575" s="12"/>
    </row>
    <row r="576" ht="15.75" customHeight="1">
      <c r="A576" s="13"/>
      <c r="B576" s="21" t="str">
        <f>IFERROR(VLOOKUP(A576,'PAÑOL TÉCNICO'!A576:B1000,2,0))</f>
        <v/>
      </c>
      <c r="C576" s="12"/>
      <c r="D576" s="12"/>
      <c r="E576" s="12"/>
    </row>
    <row r="577" ht="15.75" customHeight="1">
      <c r="A577" s="13"/>
      <c r="B577" s="21" t="str">
        <f>IFERROR(VLOOKUP(A577,'PAÑOL TÉCNICO'!A577:B1000,2,0))</f>
        <v/>
      </c>
      <c r="C577" s="12"/>
      <c r="D577" s="12"/>
      <c r="E577" s="12"/>
    </row>
    <row r="578" ht="15.75" customHeight="1">
      <c r="A578" s="13"/>
      <c r="B578" s="21" t="str">
        <f>IFERROR(VLOOKUP(A578,'PAÑOL TÉCNICO'!A578:B1000,2,0))</f>
        <v/>
      </c>
      <c r="C578" s="12"/>
      <c r="D578" s="12"/>
      <c r="E578" s="12"/>
    </row>
    <row r="579" ht="15.75" customHeight="1">
      <c r="A579" s="13"/>
      <c r="B579" s="21" t="str">
        <f>IFERROR(VLOOKUP(A579,'PAÑOL TÉCNICO'!A579:B1000,2,0))</f>
        <v/>
      </c>
      <c r="C579" s="12"/>
      <c r="D579" s="12"/>
      <c r="E579" s="12"/>
    </row>
    <row r="580" ht="15.75" customHeight="1">
      <c r="A580" s="13"/>
      <c r="B580" s="21" t="str">
        <f>IFERROR(VLOOKUP(A580,'PAÑOL TÉCNICO'!A580:B1000,2,0))</f>
        <v/>
      </c>
      <c r="C580" s="12"/>
      <c r="D580" s="12"/>
      <c r="E580" s="12"/>
    </row>
    <row r="581" ht="15.75" customHeight="1">
      <c r="A581" s="13"/>
      <c r="B581" s="21" t="str">
        <f>IFERROR(VLOOKUP(A581,'PAÑOL TÉCNICO'!A581:B1000,2,0))</f>
        <v/>
      </c>
      <c r="C581" s="12"/>
      <c r="D581" s="12"/>
      <c r="E581" s="12"/>
    </row>
    <row r="582" ht="15.75" customHeight="1">
      <c r="A582" s="13"/>
      <c r="B582" s="21" t="str">
        <f>IFERROR(VLOOKUP(A582,'PAÑOL TÉCNICO'!A582:B1000,2,0))</f>
        <v/>
      </c>
      <c r="C582" s="12"/>
      <c r="D582" s="12"/>
      <c r="E582" s="12"/>
    </row>
    <row r="583" ht="15.75" customHeight="1">
      <c r="A583" s="13"/>
      <c r="B583" s="21" t="str">
        <f>IFERROR(VLOOKUP(A583,'PAÑOL TÉCNICO'!A583:B1000,2,0))</f>
        <v/>
      </c>
      <c r="C583" s="12"/>
      <c r="D583" s="12"/>
      <c r="E583" s="12"/>
    </row>
    <row r="584" ht="15.75" customHeight="1">
      <c r="A584" s="13"/>
      <c r="B584" s="21" t="str">
        <f>IFERROR(VLOOKUP(A584,'PAÑOL TÉCNICO'!A584:B1000,2,0))</f>
        <v/>
      </c>
      <c r="C584" s="12"/>
      <c r="D584" s="12"/>
      <c r="E584" s="12"/>
    </row>
    <row r="585" ht="15.75" customHeight="1">
      <c r="A585" s="13"/>
      <c r="B585" s="21" t="str">
        <f>IFERROR(VLOOKUP(A585,'PAÑOL TÉCNICO'!A585:B1000,2,0))</f>
        <v/>
      </c>
      <c r="C585" s="12"/>
      <c r="D585" s="12"/>
      <c r="E585" s="12"/>
    </row>
    <row r="586" ht="15.75" customHeight="1">
      <c r="A586" s="13"/>
      <c r="B586" s="21" t="str">
        <f>IFERROR(VLOOKUP(A586,'PAÑOL TÉCNICO'!A586:B1000,2,0))</f>
        <v/>
      </c>
      <c r="C586" s="12"/>
      <c r="D586" s="12"/>
      <c r="E586" s="12"/>
    </row>
    <row r="587" ht="15.75" customHeight="1">
      <c r="A587" s="13"/>
      <c r="B587" s="21" t="str">
        <f>IFERROR(VLOOKUP(A587,'PAÑOL TÉCNICO'!A587:B1000,2,0))</f>
        <v/>
      </c>
      <c r="C587" s="12"/>
      <c r="D587" s="12"/>
      <c r="E587" s="12"/>
    </row>
    <row r="588" ht="15.75" customHeight="1">
      <c r="A588" s="13"/>
      <c r="B588" s="21" t="str">
        <f>IFERROR(VLOOKUP(A588,'PAÑOL TÉCNICO'!A588:B1000,2,0))</f>
        <v/>
      </c>
      <c r="C588" s="12"/>
      <c r="D588" s="12"/>
      <c r="E588" s="12"/>
    </row>
    <row r="589" ht="15.75" customHeight="1">
      <c r="A589" s="13"/>
      <c r="B589" s="21" t="str">
        <f>IFERROR(VLOOKUP(A589,'PAÑOL TÉCNICO'!A589:B1000,2,0))</f>
        <v/>
      </c>
      <c r="C589" s="12"/>
      <c r="D589" s="12"/>
      <c r="E589" s="12"/>
    </row>
    <row r="590" ht="15.75" customHeight="1">
      <c r="A590" s="13"/>
      <c r="B590" s="21" t="str">
        <f>IFERROR(VLOOKUP(A590,'PAÑOL TÉCNICO'!A590:B1000,2,0))</f>
        <v/>
      </c>
      <c r="C590" s="12"/>
      <c r="D590" s="12"/>
      <c r="E590" s="12"/>
    </row>
    <row r="591" ht="15.75" customHeight="1">
      <c r="A591" s="13"/>
      <c r="B591" s="21" t="str">
        <f>IFERROR(VLOOKUP(A591,'PAÑOL TÉCNICO'!A591:B1000,2,0))</f>
        <v/>
      </c>
      <c r="C591" s="12"/>
      <c r="D591" s="12"/>
      <c r="E591" s="12"/>
    </row>
    <row r="592" ht="15.75" customHeight="1">
      <c r="A592" s="13"/>
      <c r="B592" s="21" t="str">
        <f>IFERROR(VLOOKUP(A592,'PAÑOL TÉCNICO'!A592:B1000,2,0))</f>
        <v/>
      </c>
      <c r="C592" s="12"/>
      <c r="D592" s="12"/>
      <c r="E592" s="12"/>
    </row>
    <row r="593" ht="15.75" customHeight="1">
      <c r="A593" s="13"/>
      <c r="B593" s="21" t="str">
        <f>IFERROR(VLOOKUP(A593,'PAÑOL TÉCNICO'!A593:B1000,2,0))</f>
        <v/>
      </c>
      <c r="C593" s="12"/>
      <c r="D593" s="12"/>
      <c r="E593" s="12"/>
    </row>
    <row r="594" ht="15.75" customHeight="1">
      <c r="A594" s="13"/>
      <c r="B594" s="21" t="str">
        <f>IFERROR(VLOOKUP(A594,'PAÑOL TÉCNICO'!A594:B1000,2,0))</f>
        <v/>
      </c>
      <c r="C594" s="12"/>
      <c r="D594" s="12"/>
      <c r="E594" s="12"/>
    </row>
    <row r="595" ht="15.75" customHeight="1">
      <c r="A595" s="13"/>
      <c r="B595" s="21" t="str">
        <f>IFERROR(VLOOKUP(A595,'PAÑOL TÉCNICO'!A595:B1000,2,0))</f>
        <v/>
      </c>
      <c r="C595" s="12"/>
      <c r="D595" s="12"/>
      <c r="E595" s="12"/>
    </row>
    <row r="596" ht="15.75" customHeight="1">
      <c r="A596" s="13"/>
      <c r="B596" s="21" t="str">
        <f>IFERROR(VLOOKUP(A596,'PAÑOL TÉCNICO'!A596:B1000,2,0))</f>
        <v/>
      </c>
      <c r="C596" s="12"/>
      <c r="D596" s="12"/>
      <c r="E596" s="12"/>
    </row>
    <row r="597" ht="15.75" customHeight="1">
      <c r="A597" s="13"/>
      <c r="B597" s="21" t="str">
        <f>IFERROR(VLOOKUP(A597,'PAÑOL TÉCNICO'!A597:B1000,2,0))</f>
        <v/>
      </c>
      <c r="C597" s="12"/>
      <c r="D597" s="12"/>
      <c r="E597" s="12"/>
    </row>
    <row r="598" ht="15.75" customHeight="1">
      <c r="A598" s="13"/>
      <c r="B598" s="21" t="str">
        <f>IFERROR(VLOOKUP(A598,'PAÑOL TÉCNICO'!A598:B1000,2,0))</f>
        <v/>
      </c>
      <c r="C598" s="12"/>
      <c r="D598" s="12"/>
      <c r="E598" s="12"/>
    </row>
    <row r="599" ht="15.75" customHeight="1">
      <c r="A599" s="13"/>
      <c r="B599" s="21" t="str">
        <f>IFERROR(VLOOKUP(A599,'PAÑOL TÉCNICO'!A599:B1000,2,0))</f>
        <v/>
      </c>
      <c r="C599" s="12"/>
      <c r="D599" s="12"/>
      <c r="E599" s="12"/>
    </row>
    <row r="600" ht="15.75" customHeight="1">
      <c r="A600" s="13"/>
      <c r="B600" s="21" t="str">
        <f>IFERROR(VLOOKUP(A600,'PAÑOL TÉCNICO'!A600:B1000,2,0))</f>
        <v/>
      </c>
      <c r="C600" s="12"/>
      <c r="D600" s="12"/>
      <c r="E600" s="12"/>
    </row>
    <row r="601" ht="15.75" customHeight="1">
      <c r="A601" s="13"/>
      <c r="B601" s="21" t="str">
        <f>IFERROR(VLOOKUP(A601,'PAÑOL TÉCNICO'!A601:B1000,2,0))</f>
        <v/>
      </c>
      <c r="C601" s="12"/>
      <c r="D601" s="12"/>
      <c r="E601" s="12"/>
    </row>
    <row r="602" ht="15.75" customHeight="1">
      <c r="A602" s="13"/>
      <c r="B602" s="21" t="str">
        <f>IFERROR(VLOOKUP(A602,'PAÑOL TÉCNICO'!A602:B1000,2,0))</f>
        <v/>
      </c>
      <c r="C602" s="12"/>
      <c r="D602" s="12"/>
      <c r="E602" s="12"/>
    </row>
    <row r="603" ht="15.75" customHeight="1">
      <c r="A603" s="13"/>
      <c r="B603" s="21" t="str">
        <f>IFERROR(VLOOKUP(A603,'PAÑOL TÉCNICO'!A603:B1000,2,0))</f>
        <v/>
      </c>
      <c r="C603" s="12"/>
      <c r="D603" s="12"/>
      <c r="E603" s="12"/>
    </row>
    <row r="604" ht="15.75" customHeight="1">
      <c r="A604" s="13"/>
      <c r="B604" s="21" t="str">
        <f>IFERROR(VLOOKUP(A604,'PAÑOL TÉCNICO'!A604:B1000,2,0))</f>
        <v/>
      </c>
      <c r="C604" s="12"/>
      <c r="D604" s="12"/>
      <c r="E604" s="12"/>
    </row>
    <row r="605" ht="15.75" customHeight="1">
      <c r="A605" s="13"/>
      <c r="B605" s="21" t="str">
        <f>IFERROR(VLOOKUP(A605,'PAÑOL TÉCNICO'!A605:B1000,2,0))</f>
        <v/>
      </c>
      <c r="C605" s="12"/>
      <c r="D605" s="12"/>
      <c r="E605" s="12"/>
    </row>
    <row r="606" ht="15.75" customHeight="1">
      <c r="A606" s="13"/>
      <c r="B606" s="21" t="str">
        <f>IFERROR(VLOOKUP(A606,'PAÑOL TÉCNICO'!A606:B1000,2,0))</f>
        <v/>
      </c>
      <c r="C606" s="12"/>
      <c r="D606" s="12"/>
      <c r="E606" s="12"/>
    </row>
    <row r="607" ht="15.75" customHeight="1">
      <c r="A607" s="13"/>
      <c r="B607" s="21" t="str">
        <f>IFERROR(VLOOKUP(A607,'PAÑOL TÉCNICO'!A607:B1000,2,0))</f>
        <v/>
      </c>
      <c r="C607" s="12"/>
      <c r="D607" s="12"/>
      <c r="E607" s="12"/>
    </row>
    <row r="608" ht="15.75" customHeight="1">
      <c r="A608" s="13"/>
      <c r="B608" s="21" t="str">
        <f>IFERROR(VLOOKUP(A608,'PAÑOL TÉCNICO'!A608:B1000,2,0))</f>
        <v/>
      </c>
      <c r="C608" s="12"/>
      <c r="D608" s="12"/>
      <c r="E608" s="12"/>
    </row>
    <row r="609" ht="15.75" customHeight="1">
      <c r="A609" s="13"/>
      <c r="B609" s="21" t="str">
        <f>IFERROR(VLOOKUP(A609,'PAÑOL TÉCNICO'!A609:B1000,2,0))</f>
        <v/>
      </c>
      <c r="C609" s="12"/>
      <c r="D609" s="12"/>
      <c r="E609" s="12"/>
    </row>
    <row r="610" ht="15.75" customHeight="1">
      <c r="A610" s="13"/>
      <c r="B610" s="21" t="str">
        <f>IFERROR(VLOOKUP(A610,'PAÑOL TÉCNICO'!A610:B1000,2,0))</f>
        <v/>
      </c>
      <c r="C610" s="12"/>
      <c r="D610" s="12"/>
      <c r="E610" s="12"/>
    </row>
    <row r="611" ht="15.75" customHeight="1">
      <c r="A611" s="13"/>
      <c r="B611" s="21" t="str">
        <f>IFERROR(VLOOKUP(A611,'PAÑOL TÉCNICO'!A611:B1000,2,0))</f>
        <v/>
      </c>
      <c r="C611" s="12"/>
      <c r="D611" s="12"/>
      <c r="E611" s="12"/>
    </row>
    <row r="612" ht="15.75" customHeight="1">
      <c r="A612" s="13"/>
      <c r="B612" s="21" t="str">
        <f>IFERROR(VLOOKUP(A612,'PAÑOL TÉCNICO'!A612:B1000,2,0))</f>
        <v/>
      </c>
      <c r="C612" s="12"/>
      <c r="D612" s="12"/>
      <c r="E612" s="12"/>
    </row>
    <row r="613" ht="15.75" customHeight="1">
      <c r="A613" s="13"/>
      <c r="B613" s="21" t="str">
        <f>IFERROR(VLOOKUP(A613,'PAÑOL TÉCNICO'!A613:B1000,2,0))</f>
        <v/>
      </c>
      <c r="C613" s="12"/>
      <c r="D613" s="12"/>
      <c r="E613" s="12"/>
    </row>
    <row r="614" ht="15.75" customHeight="1">
      <c r="A614" s="13"/>
      <c r="B614" s="21" t="str">
        <f>IFERROR(VLOOKUP(A614,'PAÑOL TÉCNICO'!A614:B1000,2,0))</f>
        <v/>
      </c>
      <c r="C614" s="12"/>
      <c r="D614" s="12"/>
      <c r="E614" s="12"/>
    </row>
    <row r="615" ht="15.75" customHeight="1">
      <c r="A615" s="13"/>
      <c r="B615" s="21" t="str">
        <f>IFERROR(VLOOKUP(A615,'PAÑOL TÉCNICO'!A615:B1000,2,0))</f>
        <v/>
      </c>
      <c r="C615" s="12"/>
      <c r="D615" s="12"/>
      <c r="E615" s="12"/>
    </row>
    <row r="616" ht="15.75" customHeight="1">
      <c r="A616" s="13"/>
      <c r="B616" s="21" t="str">
        <f>IFERROR(VLOOKUP(A616,'PAÑOL TÉCNICO'!A616:B1000,2,0))</f>
        <v/>
      </c>
      <c r="C616" s="12"/>
      <c r="D616" s="12"/>
      <c r="E616" s="12"/>
    </row>
    <row r="617" ht="15.75" customHeight="1">
      <c r="A617" s="13"/>
      <c r="B617" s="21" t="str">
        <f>IFERROR(VLOOKUP(A617,'PAÑOL TÉCNICO'!A617:B1000,2,0))</f>
        <v/>
      </c>
      <c r="C617" s="12"/>
      <c r="D617" s="12"/>
      <c r="E617" s="12"/>
    </row>
    <row r="618" ht="15.75" customHeight="1">
      <c r="A618" s="13"/>
      <c r="B618" s="21" t="str">
        <f>IFERROR(VLOOKUP(A618,'PAÑOL TÉCNICO'!A618:B1000,2,0))</f>
        <v/>
      </c>
      <c r="C618" s="12"/>
      <c r="D618" s="12"/>
      <c r="E618" s="12"/>
    </row>
    <row r="619" ht="15.75" customHeight="1">
      <c r="A619" s="13"/>
      <c r="B619" s="21" t="str">
        <f>IFERROR(VLOOKUP(A619,'PAÑOL TÉCNICO'!A619:B1000,2,0))</f>
        <v/>
      </c>
      <c r="C619" s="12"/>
      <c r="D619" s="12"/>
      <c r="E619" s="12"/>
    </row>
    <row r="620" ht="15.75" customHeight="1">
      <c r="A620" s="13"/>
      <c r="B620" s="21" t="str">
        <f>IFERROR(VLOOKUP(A620,'PAÑOL TÉCNICO'!A620:B1000,2,0))</f>
        <v/>
      </c>
      <c r="C620" s="12"/>
      <c r="D620" s="12"/>
      <c r="E620" s="12"/>
    </row>
    <row r="621" ht="15.75" customHeight="1">
      <c r="A621" s="13"/>
      <c r="B621" s="21" t="str">
        <f>IFERROR(VLOOKUP(A621,'PAÑOL TÉCNICO'!A621:B1000,2,0))</f>
        <v/>
      </c>
      <c r="C621" s="12"/>
      <c r="D621" s="12"/>
      <c r="E621" s="12"/>
    </row>
    <row r="622" ht="15.75" customHeight="1">
      <c r="A622" s="13"/>
      <c r="B622" s="21" t="str">
        <f>IFERROR(VLOOKUP(A622,'PAÑOL TÉCNICO'!A622:B1000,2,0))</f>
        <v/>
      </c>
      <c r="C622" s="12"/>
      <c r="D622" s="12"/>
      <c r="E622" s="12"/>
    </row>
    <row r="623" ht="15.75" customHeight="1">
      <c r="A623" s="13"/>
      <c r="B623" s="21" t="str">
        <f>IFERROR(VLOOKUP(A623,'PAÑOL TÉCNICO'!A623:B1000,2,0))</f>
        <v/>
      </c>
      <c r="C623" s="12"/>
      <c r="D623" s="12"/>
      <c r="E623" s="12"/>
    </row>
    <row r="624" ht="15.75" customHeight="1">
      <c r="A624" s="13"/>
      <c r="B624" s="21" t="str">
        <f>IFERROR(VLOOKUP(A624,'PAÑOL TÉCNICO'!A624:B1000,2,0))</f>
        <v/>
      </c>
      <c r="C624" s="12"/>
      <c r="D624" s="12"/>
      <c r="E624" s="12"/>
    </row>
    <row r="625" ht="15.75" customHeight="1">
      <c r="A625" s="13"/>
      <c r="B625" s="21" t="str">
        <f>IFERROR(VLOOKUP(A625,'PAÑOL TÉCNICO'!A625:B1000,2,0))</f>
        <v/>
      </c>
      <c r="C625" s="12"/>
      <c r="D625" s="12"/>
      <c r="E625" s="12"/>
    </row>
    <row r="626" ht="15.75" customHeight="1">
      <c r="A626" s="13"/>
      <c r="B626" s="21" t="str">
        <f>IFERROR(VLOOKUP(A626,'PAÑOL TÉCNICO'!A626:B1000,2,0))</f>
        <v/>
      </c>
      <c r="C626" s="12"/>
      <c r="D626" s="12"/>
      <c r="E626" s="12"/>
    </row>
    <row r="627" ht="15.75" customHeight="1">
      <c r="A627" s="13"/>
      <c r="B627" s="21" t="str">
        <f>IFERROR(VLOOKUP(A627,'PAÑOL TÉCNICO'!A627:B1000,2,0))</f>
        <v/>
      </c>
      <c r="C627" s="12"/>
      <c r="D627" s="12"/>
      <c r="E627" s="12"/>
    </row>
    <row r="628" ht="15.75" customHeight="1">
      <c r="A628" s="13"/>
      <c r="B628" s="21" t="str">
        <f>IFERROR(VLOOKUP(A628,'PAÑOL TÉCNICO'!A628:B1000,2,0))</f>
        <v/>
      </c>
      <c r="C628" s="12"/>
      <c r="D628" s="12"/>
      <c r="E628" s="12"/>
    </row>
    <row r="629" ht="15.75" customHeight="1">
      <c r="A629" s="13"/>
      <c r="B629" s="21" t="str">
        <f>IFERROR(VLOOKUP(A629,'PAÑOL TÉCNICO'!A629:B1000,2,0))</f>
        <v/>
      </c>
      <c r="C629" s="12"/>
      <c r="D629" s="12"/>
      <c r="E629" s="12"/>
    </row>
    <row r="630" ht="15.75" customHeight="1">
      <c r="A630" s="13"/>
      <c r="B630" s="21" t="str">
        <f>IFERROR(VLOOKUP(A630,'PAÑOL TÉCNICO'!A630:B1000,2,0))</f>
        <v/>
      </c>
      <c r="C630" s="12"/>
      <c r="D630" s="12"/>
      <c r="E630" s="12"/>
    </row>
    <row r="631" ht="15.75" customHeight="1">
      <c r="A631" s="13"/>
      <c r="B631" s="21" t="str">
        <f>IFERROR(VLOOKUP(A631,'PAÑOL TÉCNICO'!A631:B1000,2,0))</f>
        <v/>
      </c>
      <c r="C631" s="12"/>
      <c r="D631" s="12"/>
      <c r="E631" s="12"/>
    </row>
    <row r="632" ht="15.75" customHeight="1">
      <c r="A632" s="13"/>
      <c r="B632" s="21" t="str">
        <f>IFERROR(VLOOKUP(A632,'PAÑOL TÉCNICO'!A632:B1000,2,0))</f>
        <v/>
      </c>
      <c r="C632" s="12"/>
      <c r="D632" s="12"/>
      <c r="E632" s="12"/>
    </row>
    <row r="633" ht="15.75" customHeight="1">
      <c r="A633" s="13"/>
      <c r="B633" s="21" t="str">
        <f>IFERROR(VLOOKUP(A633,'PAÑOL TÉCNICO'!A633:B1000,2,0))</f>
        <v/>
      </c>
      <c r="C633" s="12"/>
      <c r="D633" s="12"/>
      <c r="E633" s="12"/>
    </row>
    <row r="634" ht="15.75" customHeight="1">
      <c r="A634" s="13"/>
      <c r="B634" s="21" t="str">
        <f>IFERROR(VLOOKUP(A634,'PAÑOL TÉCNICO'!A634:B1000,2,0))</f>
        <v/>
      </c>
      <c r="C634" s="12"/>
      <c r="D634" s="12"/>
      <c r="E634" s="12"/>
    </row>
    <row r="635" ht="15.75" customHeight="1">
      <c r="A635" s="13"/>
      <c r="B635" s="21" t="str">
        <f>IFERROR(VLOOKUP(A635,'PAÑOL TÉCNICO'!A635:B1000,2,0))</f>
        <v/>
      </c>
      <c r="C635" s="12"/>
      <c r="D635" s="12"/>
      <c r="E635" s="12"/>
    </row>
    <row r="636" ht="15.75" customHeight="1">
      <c r="A636" s="13"/>
      <c r="B636" s="21" t="str">
        <f>IFERROR(VLOOKUP(A636,'PAÑOL TÉCNICO'!A636:B1000,2,0))</f>
        <v/>
      </c>
      <c r="C636" s="12"/>
      <c r="D636" s="12"/>
      <c r="E636" s="12"/>
    </row>
    <row r="637" ht="15.75" customHeight="1">
      <c r="A637" s="13"/>
      <c r="B637" s="21" t="str">
        <f>IFERROR(VLOOKUP(A637,'PAÑOL TÉCNICO'!A637:B1000,2,0))</f>
        <v/>
      </c>
      <c r="C637" s="12"/>
      <c r="D637" s="12"/>
      <c r="E637" s="12"/>
    </row>
    <row r="638" ht="15.75" customHeight="1">
      <c r="A638" s="13"/>
      <c r="B638" s="21" t="str">
        <f>IFERROR(VLOOKUP(A638,'PAÑOL TÉCNICO'!A638:B1000,2,0))</f>
        <v/>
      </c>
      <c r="C638" s="12"/>
      <c r="D638" s="12"/>
      <c r="E638" s="12"/>
    </row>
    <row r="639" ht="15.75" customHeight="1">
      <c r="A639" s="13"/>
      <c r="B639" s="21" t="str">
        <f>IFERROR(VLOOKUP(A639,'PAÑOL TÉCNICO'!A639:B1000,2,0))</f>
        <v/>
      </c>
      <c r="C639" s="12"/>
      <c r="D639" s="12"/>
      <c r="E639" s="12"/>
    </row>
    <row r="640" ht="15.75" customHeight="1">
      <c r="A640" s="13"/>
      <c r="B640" s="21" t="str">
        <f>IFERROR(VLOOKUP(A640,'PAÑOL TÉCNICO'!A640:B1000,2,0))</f>
        <v/>
      </c>
      <c r="C640" s="12"/>
      <c r="D640" s="12"/>
      <c r="E640" s="12"/>
    </row>
    <row r="641" ht="15.75" customHeight="1">
      <c r="A641" s="13"/>
      <c r="B641" s="21" t="str">
        <f>IFERROR(VLOOKUP(A641,'PAÑOL TÉCNICO'!A641:B1000,2,0))</f>
        <v/>
      </c>
      <c r="C641" s="12"/>
      <c r="D641" s="12"/>
      <c r="E641" s="12"/>
    </row>
    <row r="642" ht="15.75" customHeight="1">
      <c r="A642" s="13"/>
      <c r="B642" s="21" t="str">
        <f>IFERROR(VLOOKUP(A642,'PAÑOL TÉCNICO'!A642:B1000,2,0))</f>
        <v/>
      </c>
      <c r="C642" s="12"/>
      <c r="D642" s="12"/>
      <c r="E642" s="12"/>
    </row>
    <row r="643" ht="15.75" customHeight="1">
      <c r="A643" s="13"/>
      <c r="B643" s="21" t="str">
        <f>IFERROR(VLOOKUP(A643,'PAÑOL TÉCNICO'!A643:B1000,2,0))</f>
        <v/>
      </c>
      <c r="C643" s="12"/>
      <c r="D643" s="12"/>
      <c r="E643" s="12"/>
    </row>
    <row r="644" ht="15.75" customHeight="1">
      <c r="A644" s="13"/>
      <c r="B644" s="21" t="str">
        <f>IFERROR(VLOOKUP(A644,'PAÑOL TÉCNICO'!A644:B1000,2,0))</f>
        <v/>
      </c>
      <c r="C644" s="12"/>
      <c r="D644" s="12"/>
      <c r="E644" s="12"/>
    </row>
    <row r="645" ht="15.75" customHeight="1">
      <c r="A645" s="13"/>
      <c r="B645" s="21" t="str">
        <f>IFERROR(VLOOKUP(A645,'PAÑOL TÉCNICO'!A645:B1000,2,0))</f>
        <v/>
      </c>
      <c r="C645" s="12"/>
      <c r="D645" s="12"/>
      <c r="E645" s="12"/>
    </row>
    <row r="646" ht="15.75" customHeight="1">
      <c r="A646" s="13"/>
      <c r="B646" s="21" t="str">
        <f>IFERROR(VLOOKUP(A646,'PAÑOL TÉCNICO'!A646:B1000,2,0))</f>
        <v/>
      </c>
      <c r="C646" s="12"/>
      <c r="D646" s="12"/>
      <c r="E646" s="12"/>
    </row>
    <row r="647" ht="15.75" customHeight="1">
      <c r="A647" s="13"/>
      <c r="B647" s="21" t="str">
        <f>IFERROR(VLOOKUP(A647,'PAÑOL TÉCNICO'!A647:B1000,2,0))</f>
        <v/>
      </c>
      <c r="C647" s="12"/>
      <c r="D647" s="12"/>
      <c r="E647" s="12"/>
    </row>
    <row r="648" ht="15.75" customHeight="1">
      <c r="A648" s="13"/>
      <c r="B648" s="21" t="str">
        <f>IFERROR(VLOOKUP(A648,'PAÑOL TÉCNICO'!A648:B1000,2,0))</f>
        <v/>
      </c>
      <c r="C648" s="12"/>
      <c r="D648" s="12"/>
      <c r="E648" s="12"/>
    </row>
    <row r="649" ht="15.75" customHeight="1">
      <c r="A649" s="13"/>
      <c r="B649" s="21" t="str">
        <f>IFERROR(VLOOKUP(A649,'PAÑOL TÉCNICO'!A649:B1000,2,0))</f>
        <v/>
      </c>
      <c r="C649" s="12"/>
      <c r="D649" s="12"/>
      <c r="E649" s="12"/>
    </row>
    <row r="650" ht="15.75" customHeight="1">
      <c r="A650" s="13"/>
      <c r="B650" s="21" t="str">
        <f>IFERROR(VLOOKUP(A650,'PAÑOL TÉCNICO'!A650:B1000,2,0))</f>
        <v/>
      </c>
      <c r="C650" s="12"/>
      <c r="D650" s="12"/>
      <c r="E650" s="12"/>
    </row>
    <row r="651" ht="15.75" customHeight="1">
      <c r="A651" s="13"/>
      <c r="B651" s="21" t="str">
        <f>IFERROR(VLOOKUP(A651,'PAÑOL TÉCNICO'!A651:B1000,2,0))</f>
        <v/>
      </c>
      <c r="C651" s="12"/>
      <c r="D651" s="12"/>
      <c r="E651" s="12"/>
    </row>
    <row r="652" ht="15.75" customHeight="1">
      <c r="A652" s="13"/>
      <c r="B652" s="21" t="str">
        <f>IFERROR(VLOOKUP(A652,'PAÑOL TÉCNICO'!A652:B1000,2,0))</f>
        <v/>
      </c>
      <c r="C652" s="12"/>
      <c r="D652" s="12"/>
      <c r="E652" s="12"/>
    </row>
    <row r="653" ht="15.75" customHeight="1">
      <c r="A653" s="13"/>
      <c r="B653" s="21" t="str">
        <f>IFERROR(VLOOKUP(A653,'PAÑOL TÉCNICO'!A653:B1000,2,0))</f>
        <v/>
      </c>
      <c r="C653" s="12"/>
      <c r="D653" s="12"/>
      <c r="E653" s="12"/>
    </row>
    <row r="654" ht="15.75" customHeight="1">
      <c r="A654" s="13"/>
      <c r="B654" s="21" t="str">
        <f>IFERROR(VLOOKUP(A654,'PAÑOL TÉCNICO'!A654:B1000,2,0))</f>
        <v/>
      </c>
      <c r="C654" s="12"/>
      <c r="D654" s="12"/>
      <c r="E654" s="12"/>
    </row>
    <row r="655" ht="15.75" customHeight="1">
      <c r="A655" s="13"/>
      <c r="B655" s="21" t="str">
        <f>IFERROR(VLOOKUP(A655,'PAÑOL TÉCNICO'!A655:B1000,2,0))</f>
        <v/>
      </c>
      <c r="C655" s="12"/>
      <c r="D655" s="12"/>
      <c r="E655" s="12"/>
    </row>
    <row r="656" ht="15.75" customHeight="1">
      <c r="A656" s="13"/>
      <c r="B656" s="21" t="str">
        <f>IFERROR(VLOOKUP(A656,'PAÑOL TÉCNICO'!A656:B1000,2,0))</f>
        <v/>
      </c>
      <c r="C656" s="12"/>
      <c r="D656" s="12"/>
      <c r="E656" s="12"/>
    </row>
    <row r="657" ht="15.75" customHeight="1">
      <c r="A657" s="13"/>
      <c r="B657" s="21" t="str">
        <f>IFERROR(VLOOKUP(A657,'PAÑOL TÉCNICO'!A657:B1000,2,0))</f>
        <v/>
      </c>
      <c r="C657" s="12"/>
      <c r="D657" s="12"/>
      <c r="E657" s="12"/>
    </row>
    <row r="658" ht="15.75" customHeight="1">
      <c r="A658" s="13"/>
      <c r="B658" s="21" t="str">
        <f>IFERROR(VLOOKUP(A658,'PAÑOL TÉCNICO'!A658:B1000,2,0))</f>
        <v/>
      </c>
      <c r="C658" s="12"/>
      <c r="D658" s="12"/>
      <c r="E658" s="12"/>
    </row>
    <row r="659" ht="15.75" customHeight="1">
      <c r="A659" s="13"/>
      <c r="B659" s="21" t="str">
        <f>IFERROR(VLOOKUP(A659,'PAÑOL TÉCNICO'!A659:B1000,2,0))</f>
        <v/>
      </c>
      <c r="C659" s="12"/>
      <c r="D659" s="12"/>
      <c r="E659" s="12"/>
    </row>
    <row r="660" ht="15.75" customHeight="1">
      <c r="A660" s="13"/>
      <c r="B660" s="21" t="str">
        <f>IFERROR(VLOOKUP(A660,'PAÑOL TÉCNICO'!A660:B1000,2,0))</f>
        <v/>
      </c>
      <c r="C660" s="12"/>
      <c r="D660" s="12"/>
      <c r="E660" s="12"/>
    </row>
    <row r="661" ht="15.75" customHeight="1">
      <c r="A661" s="13"/>
      <c r="B661" s="21" t="str">
        <f>IFERROR(VLOOKUP(A661,'PAÑOL TÉCNICO'!A661:B1000,2,0))</f>
        <v/>
      </c>
      <c r="C661" s="12"/>
      <c r="D661" s="12"/>
      <c r="E661" s="12"/>
    </row>
    <row r="662" ht="15.75" customHeight="1">
      <c r="A662" s="13"/>
      <c r="B662" s="21" t="str">
        <f>IFERROR(VLOOKUP(A662,'PAÑOL TÉCNICO'!A662:B1000,2,0))</f>
        <v/>
      </c>
      <c r="C662" s="12"/>
      <c r="D662" s="12"/>
      <c r="E662" s="12"/>
    </row>
    <row r="663" ht="15.75" customHeight="1">
      <c r="A663" s="13"/>
      <c r="B663" s="21" t="str">
        <f>IFERROR(VLOOKUP(A663,'PAÑOL TÉCNICO'!A663:B1000,2,0))</f>
        <v/>
      </c>
      <c r="C663" s="12"/>
      <c r="D663" s="12"/>
      <c r="E663" s="12"/>
    </row>
    <row r="664" ht="15.75" customHeight="1">
      <c r="A664" s="13"/>
      <c r="B664" s="21" t="str">
        <f>IFERROR(VLOOKUP(A664,'PAÑOL TÉCNICO'!A664:B1000,2,0))</f>
        <v/>
      </c>
      <c r="C664" s="12"/>
      <c r="D664" s="12"/>
      <c r="E664" s="12"/>
    </row>
    <row r="665" ht="15.75" customHeight="1">
      <c r="A665" s="13"/>
      <c r="B665" s="21" t="str">
        <f>IFERROR(VLOOKUP(A665,'PAÑOL TÉCNICO'!A665:B1000,2,0))</f>
        <v/>
      </c>
      <c r="C665" s="12"/>
      <c r="D665" s="12"/>
      <c r="E665" s="12"/>
    </row>
    <row r="666" ht="15.75" customHeight="1">
      <c r="A666" s="13"/>
      <c r="B666" s="21" t="str">
        <f>IFERROR(VLOOKUP(A666,'PAÑOL TÉCNICO'!A666:B1000,2,0))</f>
        <v/>
      </c>
      <c r="C666" s="12"/>
      <c r="D666" s="12"/>
      <c r="E666" s="12"/>
    </row>
    <row r="667" ht="15.75" customHeight="1">
      <c r="A667" s="13"/>
      <c r="B667" s="21" t="str">
        <f>IFERROR(VLOOKUP(A667,'PAÑOL TÉCNICO'!A667:B1000,2,0))</f>
        <v/>
      </c>
      <c r="C667" s="12"/>
      <c r="D667" s="12"/>
      <c r="E667" s="12"/>
    </row>
    <row r="668" ht="15.75" customHeight="1">
      <c r="A668" s="13"/>
      <c r="B668" s="21" t="str">
        <f>IFERROR(VLOOKUP(A668,'PAÑOL TÉCNICO'!A668:B1000,2,0))</f>
        <v/>
      </c>
      <c r="C668" s="12"/>
      <c r="D668" s="12"/>
      <c r="E668" s="12"/>
    </row>
    <row r="669" ht="15.75" customHeight="1">
      <c r="A669" s="13"/>
      <c r="B669" s="21" t="str">
        <f>IFERROR(VLOOKUP(A669,'PAÑOL TÉCNICO'!A669:B1000,2,0))</f>
        <v/>
      </c>
      <c r="C669" s="12"/>
      <c r="D669" s="12"/>
      <c r="E669" s="12"/>
    </row>
    <row r="670" ht="15.75" customHeight="1">
      <c r="A670" s="13"/>
      <c r="B670" s="21" t="str">
        <f>IFERROR(VLOOKUP(A670,'PAÑOL TÉCNICO'!A670:B1000,2,0))</f>
        <v/>
      </c>
      <c r="C670" s="12"/>
      <c r="D670" s="12"/>
      <c r="E670" s="12"/>
    </row>
    <row r="671" ht="15.75" customHeight="1">
      <c r="A671" s="13"/>
      <c r="B671" s="21" t="str">
        <f>IFERROR(VLOOKUP(A671,'PAÑOL TÉCNICO'!A671:B1000,2,0))</f>
        <v/>
      </c>
      <c r="C671" s="12"/>
      <c r="D671" s="12"/>
      <c r="E671" s="12"/>
    </row>
    <row r="672" ht="15.75" customHeight="1">
      <c r="A672" s="13"/>
      <c r="B672" s="21" t="str">
        <f>IFERROR(VLOOKUP(A672,'PAÑOL TÉCNICO'!A672:B1000,2,0))</f>
        <v/>
      </c>
      <c r="C672" s="12"/>
      <c r="D672" s="12"/>
      <c r="E672" s="12"/>
    </row>
    <row r="673" ht="15.75" customHeight="1">
      <c r="A673" s="13"/>
      <c r="B673" s="21" t="str">
        <f>IFERROR(VLOOKUP(A673,'PAÑOL TÉCNICO'!A673:B1000,2,0))</f>
        <v/>
      </c>
      <c r="C673" s="12"/>
      <c r="D673" s="12"/>
      <c r="E673" s="12"/>
    </row>
    <row r="674" ht="15.75" customHeight="1">
      <c r="A674" s="13"/>
      <c r="B674" s="21" t="str">
        <f>IFERROR(VLOOKUP(A674,'PAÑOL TÉCNICO'!A674:B1000,2,0))</f>
        <v/>
      </c>
      <c r="C674" s="12"/>
      <c r="D674" s="12"/>
      <c r="E674" s="12"/>
    </row>
    <row r="675" ht="15.75" customHeight="1">
      <c r="A675" s="13"/>
      <c r="B675" s="21" t="str">
        <f>IFERROR(VLOOKUP(A675,'PAÑOL TÉCNICO'!A675:B1000,2,0))</f>
        <v/>
      </c>
      <c r="C675" s="12"/>
      <c r="D675" s="12"/>
      <c r="E675" s="12"/>
    </row>
    <row r="676" ht="15.75" customHeight="1">
      <c r="A676" s="13"/>
      <c r="B676" s="21" t="str">
        <f>IFERROR(VLOOKUP(A676,'PAÑOL TÉCNICO'!A676:B1000,2,0))</f>
        <v/>
      </c>
      <c r="C676" s="12"/>
      <c r="D676" s="12"/>
      <c r="E676" s="12"/>
    </row>
    <row r="677" ht="15.75" customHeight="1">
      <c r="A677" s="13"/>
      <c r="B677" s="21" t="str">
        <f>IFERROR(VLOOKUP(A677,'PAÑOL TÉCNICO'!A677:B1000,2,0))</f>
        <v/>
      </c>
      <c r="C677" s="12"/>
      <c r="D677" s="12"/>
      <c r="E677" s="12"/>
    </row>
    <row r="678" ht="15.75" customHeight="1">
      <c r="A678" s="13"/>
      <c r="B678" s="21" t="str">
        <f>IFERROR(VLOOKUP(A678,'PAÑOL TÉCNICO'!A678:B1000,2,0))</f>
        <v/>
      </c>
      <c r="C678" s="12"/>
      <c r="D678" s="12"/>
      <c r="E678" s="12"/>
    </row>
    <row r="679" ht="15.75" customHeight="1">
      <c r="A679" s="13"/>
      <c r="B679" s="21" t="str">
        <f>IFERROR(VLOOKUP(A679,'PAÑOL TÉCNICO'!A679:B1000,2,0))</f>
        <v/>
      </c>
      <c r="C679" s="12"/>
      <c r="D679" s="12"/>
      <c r="E679" s="12"/>
    </row>
    <row r="680" ht="15.75" customHeight="1">
      <c r="A680" s="13"/>
      <c r="B680" s="21" t="str">
        <f>IFERROR(VLOOKUP(A680,'PAÑOL TÉCNICO'!A680:B1000,2,0))</f>
        <v/>
      </c>
      <c r="C680" s="12"/>
      <c r="D680" s="12"/>
      <c r="E680" s="12"/>
    </row>
    <row r="681" ht="15.75" customHeight="1">
      <c r="A681" s="13"/>
      <c r="B681" s="21" t="str">
        <f>IFERROR(VLOOKUP(A681,'PAÑOL TÉCNICO'!A681:B1000,2,0))</f>
        <v/>
      </c>
      <c r="C681" s="12"/>
      <c r="D681" s="12"/>
      <c r="E681" s="12"/>
    </row>
    <row r="682" ht="15.75" customHeight="1">
      <c r="A682" s="13"/>
      <c r="B682" s="21" t="str">
        <f>IFERROR(VLOOKUP(A682,'PAÑOL TÉCNICO'!A682:B1000,2,0))</f>
        <v/>
      </c>
      <c r="C682" s="12"/>
      <c r="D682" s="12"/>
      <c r="E682" s="12"/>
    </row>
    <row r="683" ht="15.75" customHeight="1">
      <c r="A683" s="13"/>
      <c r="B683" s="21" t="str">
        <f>IFERROR(VLOOKUP(A683,'PAÑOL TÉCNICO'!A683:B1000,2,0))</f>
        <v/>
      </c>
      <c r="C683" s="12"/>
      <c r="D683" s="12"/>
      <c r="E683" s="12"/>
    </row>
    <row r="684" ht="15.75" customHeight="1">
      <c r="A684" s="13"/>
      <c r="B684" s="21" t="str">
        <f>IFERROR(VLOOKUP(A684,'PAÑOL TÉCNICO'!A684:B1000,2,0))</f>
        <v/>
      </c>
      <c r="C684" s="12"/>
      <c r="D684" s="12"/>
      <c r="E684" s="12"/>
    </row>
    <row r="685" ht="15.75" customHeight="1">
      <c r="A685" s="13"/>
      <c r="B685" s="21" t="str">
        <f>IFERROR(VLOOKUP(A685,'PAÑOL TÉCNICO'!A685:B1000,2,0))</f>
        <v/>
      </c>
      <c r="C685" s="12"/>
      <c r="D685" s="12"/>
      <c r="E685" s="12"/>
    </row>
    <row r="686" ht="15.75" customHeight="1">
      <c r="A686" s="13"/>
      <c r="B686" s="21" t="str">
        <f>IFERROR(VLOOKUP(A686,'PAÑOL TÉCNICO'!A686:B1000,2,0))</f>
        <v/>
      </c>
      <c r="C686" s="12"/>
      <c r="D686" s="12"/>
      <c r="E686" s="12"/>
    </row>
    <row r="687" ht="15.75" customHeight="1">
      <c r="A687" s="13"/>
      <c r="B687" s="21" t="str">
        <f>IFERROR(VLOOKUP(A687,'PAÑOL TÉCNICO'!A687:B1000,2,0))</f>
        <v/>
      </c>
      <c r="C687" s="12"/>
      <c r="D687" s="12"/>
      <c r="E687" s="12"/>
    </row>
    <row r="688" ht="15.75" customHeight="1">
      <c r="A688" s="13"/>
      <c r="B688" s="21" t="str">
        <f>IFERROR(VLOOKUP(A688,'PAÑOL TÉCNICO'!A688:B1000,2,0))</f>
        <v/>
      </c>
      <c r="C688" s="12"/>
      <c r="D688" s="12"/>
      <c r="E688" s="12"/>
    </row>
    <row r="689" ht="15.75" customHeight="1">
      <c r="A689" s="13"/>
      <c r="B689" s="21" t="str">
        <f>IFERROR(VLOOKUP(A689,'PAÑOL TÉCNICO'!A689:B1000,2,0))</f>
        <v/>
      </c>
      <c r="C689" s="12"/>
      <c r="D689" s="12"/>
      <c r="E689" s="12"/>
    </row>
    <row r="690" ht="15.75" customHeight="1">
      <c r="A690" s="13"/>
      <c r="B690" s="21" t="str">
        <f>IFERROR(VLOOKUP(A690,'PAÑOL TÉCNICO'!A690:B1000,2,0))</f>
        <v/>
      </c>
      <c r="C690" s="12"/>
      <c r="D690" s="12"/>
      <c r="E690" s="12"/>
    </row>
    <row r="691" ht="15.75" customHeight="1">
      <c r="A691" s="13"/>
      <c r="B691" s="21" t="str">
        <f>IFERROR(VLOOKUP(A691,'PAÑOL TÉCNICO'!A691:B1000,2,0))</f>
        <v/>
      </c>
      <c r="C691" s="12"/>
      <c r="D691" s="12"/>
      <c r="E691" s="12"/>
    </row>
    <row r="692" ht="15.75" customHeight="1">
      <c r="A692" s="13"/>
      <c r="B692" s="21" t="str">
        <f>IFERROR(VLOOKUP(A692,'PAÑOL TÉCNICO'!A692:B1000,2,0))</f>
        <v/>
      </c>
      <c r="C692" s="12"/>
      <c r="D692" s="12"/>
      <c r="E692" s="12"/>
    </row>
    <row r="693" ht="15.75" customHeight="1">
      <c r="A693" s="13"/>
      <c r="B693" s="21" t="str">
        <f>IFERROR(VLOOKUP(A693,'PAÑOL TÉCNICO'!A693:B1000,2,0))</f>
        <v/>
      </c>
      <c r="C693" s="12"/>
      <c r="D693" s="12"/>
      <c r="E693" s="12"/>
    </row>
    <row r="694" ht="15.75" customHeight="1">
      <c r="A694" s="13"/>
      <c r="B694" s="21" t="str">
        <f>IFERROR(VLOOKUP(A694,'PAÑOL TÉCNICO'!A694:B1000,2,0))</f>
        <v/>
      </c>
      <c r="C694" s="12"/>
      <c r="D694" s="12"/>
      <c r="E694" s="12"/>
    </row>
    <row r="695" ht="15.75" customHeight="1">
      <c r="A695" s="13"/>
      <c r="B695" s="21" t="str">
        <f>IFERROR(VLOOKUP(A695,'PAÑOL TÉCNICO'!A695:B1000,2,0))</f>
        <v/>
      </c>
      <c r="C695" s="12"/>
      <c r="D695" s="12"/>
      <c r="E695" s="12"/>
    </row>
    <row r="696" ht="15.75" customHeight="1">
      <c r="A696" s="13"/>
      <c r="B696" s="21" t="str">
        <f>IFERROR(VLOOKUP(A696,'PAÑOL TÉCNICO'!A696:B1000,2,0))</f>
        <v/>
      </c>
      <c r="C696" s="12"/>
      <c r="D696" s="12"/>
      <c r="E696" s="12"/>
    </row>
    <row r="697" ht="15.75" customHeight="1">
      <c r="A697" s="13"/>
      <c r="B697" s="21" t="str">
        <f>IFERROR(VLOOKUP(A697,'PAÑOL TÉCNICO'!A697:B1000,2,0))</f>
        <v/>
      </c>
      <c r="C697" s="12"/>
      <c r="D697" s="12"/>
      <c r="E697" s="12"/>
    </row>
    <row r="698" ht="15.75" customHeight="1">
      <c r="A698" s="13"/>
      <c r="B698" s="21" t="str">
        <f>IFERROR(VLOOKUP(A698,'PAÑOL TÉCNICO'!A698:B1000,2,0))</f>
        <v/>
      </c>
      <c r="C698" s="12"/>
      <c r="D698" s="12"/>
      <c r="E698" s="12"/>
    </row>
    <row r="699" ht="15.75" customHeight="1">
      <c r="A699" s="13"/>
      <c r="B699" s="21" t="str">
        <f>IFERROR(VLOOKUP(A699,'PAÑOL TÉCNICO'!A699:B1000,2,0))</f>
        <v/>
      </c>
      <c r="C699" s="12"/>
      <c r="D699" s="12"/>
      <c r="E699" s="12"/>
    </row>
    <row r="700" ht="15.75" customHeight="1">
      <c r="A700" s="13"/>
      <c r="B700" s="21" t="str">
        <f>IFERROR(VLOOKUP(A700,'PAÑOL TÉCNICO'!A700:B1000,2,0))</f>
        <v/>
      </c>
      <c r="C700" s="12"/>
      <c r="D700" s="12"/>
      <c r="E700" s="12"/>
    </row>
    <row r="701" ht="15.75" customHeight="1">
      <c r="A701" s="13"/>
      <c r="B701" s="21" t="str">
        <f>IFERROR(VLOOKUP(A701,'PAÑOL TÉCNICO'!A701:B1000,2,0))</f>
        <v/>
      </c>
      <c r="C701" s="12"/>
      <c r="D701" s="12"/>
      <c r="E701" s="12"/>
    </row>
    <row r="702" ht="15.75" customHeight="1">
      <c r="A702" s="13"/>
      <c r="B702" s="21" t="str">
        <f>IFERROR(VLOOKUP(A702,'PAÑOL TÉCNICO'!A702:B1000,2,0))</f>
        <v/>
      </c>
      <c r="C702" s="12"/>
      <c r="D702" s="12"/>
      <c r="E702" s="12"/>
    </row>
    <row r="703" ht="15.75" customHeight="1">
      <c r="A703" s="13"/>
      <c r="B703" s="21" t="str">
        <f>IFERROR(VLOOKUP(A703,'PAÑOL TÉCNICO'!A703:B1000,2,0))</f>
        <v/>
      </c>
      <c r="C703" s="12"/>
      <c r="D703" s="12"/>
      <c r="E703" s="12"/>
    </row>
    <row r="704" ht="15.75" customHeight="1">
      <c r="A704" s="13"/>
      <c r="B704" s="21" t="str">
        <f>IFERROR(VLOOKUP(A704,'PAÑOL TÉCNICO'!A704:B1000,2,0))</f>
        <v/>
      </c>
      <c r="C704" s="12"/>
      <c r="D704" s="12"/>
      <c r="E704" s="12"/>
    </row>
    <row r="705" ht="15.75" customHeight="1">
      <c r="A705" s="13"/>
      <c r="B705" s="21" t="str">
        <f>IFERROR(VLOOKUP(A705,'PAÑOL TÉCNICO'!A705:B1000,2,0))</f>
        <v/>
      </c>
      <c r="C705" s="12"/>
      <c r="D705" s="12"/>
      <c r="E705" s="12"/>
    </row>
    <row r="706" ht="15.75" customHeight="1">
      <c r="A706" s="13"/>
      <c r="B706" s="21" t="str">
        <f>IFERROR(VLOOKUP(A706,'PAÑOL TÉCNICO'!A706:B1000,2,0))</f>
        <v/>
      </c>
      <c r="C706" s="12"/>
      <c r="D706" s="12"/>
      <c r="E706" s="12"/>
    </row>
    <row r="707" ht="15.75" customHeight="1">
      <c r="A707" s="13"/>
      <c r="B707" s="21" t="str">
        <f>IFERROR(VLOOKUP(A707,'PAÑOL TÉCNICO'!A707:B1000,2,0))</f>
        <v/>
      </c>
      <c r="C707" s="12"/>
      <c r="D707" s="12"/>
      <c r="E707" s="12"/>
    </row>
    <row r="708" ht="15.75" customHeight="1">
      <c r="A708" s="13"/>
      <c r="B708" s="21" t="str">
        <f>IFERROR(VLOOKUP(A708,'PAÑOL TÉCNICO'!A708:B1000,2,0))</f>
        <v/>
      </c>
      <c r="C708" s="12"/>
      <c r="D708" s="12"/>
      <c r="E708" s="12"/>
    </row>
    <row r="709" ht="15.75" customHeight="1">
      <c r="A709" s="13"/>
      <c r="B709" s="21" t="str">
        <f>IFERROR(VLOOKUP(A709,'PAÑOL TÉCNICO'!A709:B1000,2,0))</f>
        <v/>
      </c>
      <c r="C709" s="12"/>
      <c r="D709" s="12"/>
      <c r="E709" s="12"/>
    </row>
    <row r="710" ht="15.75" customHeight="1">
      <c r="A710" s="13"/>
      <c r="B710" s="21" t="str">
        <f>IFERROR(VLOOKUP(A710,'PAÑOL TÉCNICO'!A710:B1000,2,0))</f>
        <v/>
      </c>
      <c r="C710" s="12"/>
      <c r="D710" s="12"/>
      <c r="E710" s="12"/>
    </row>
    <row r="711" ht="15.75" customHeight="1">
      <c r="A711" s="13"/>
      <c r="B711" s="21" t="str">
        <f>IFERROR(VLOOKUP(A711,'PAÑOL TÉCNICO'!A711:B1000,2,0))</f>
        <v/>
      </c>
      <c r="C711" s="12"/>
      <c r="D711" s="12"/>
      <c r="E711" s="12"/>
    </row>
    <row r="712" ht="15.75" customHeight="1">
      <c r="A712" s="13"/>
      <c r="B712" s="21" t="str">
        <f>IFERROR(VLOOKUP(A712,'PAÑOL TÉCNICO'!A712:B1000,2,0))</f>
        <v/>
      </c>
      <c r="C712" s="12"/>
      <c r="D712" s="12"/>
      <c r="E712" s="12"/>
    </row>
    <row r="713" ht="15.75" customHeight="1">
      <c r="A713" s="13"/>
      <c r="B713" s="21" t="str">
        <f>IFERROR(VLOOKUP(A713,'PAÑOL TÉCNICO'!A713:B1000,2,0))</f>
        <v/>
      </c>
      <c r="C713" s="12"/>
      <c r="D713" s="12"/>
      <c r="E713" s="12"/>
    </row>
    <row r="714" ht="15.75" customHeight="1">
      <c r="A714" s="13"/>
      <c r="B714" s="21" t="str">
        <f>IFERROR(VLOOKUP(A714,'PAÑOL TÉCNICO'!A714:B1000,2,0))</f>
        <v/>
      </c>
      <c r="C714" s="12"/>
      <c r="D714" s="12"/>
      <c r="E714" s="12"/>
    </row>
    <row r="715" ht="15.75" customHeight="1">
      <c r="A715" s="13"/>
      <c r="B715" s="21" t="str">
        <f>IFERROR(VLOOKUP(A715,'PAÑOL TÉCNICO'!A715:B1000,2,0))</f>
        <v/>
      </c>
      <c r="C715" s="12"/>
      <c r="D715" s="12"/>
      <c r="E715" s="12"/>
    </row>
    <row r="716" ht="15.75" customHeight="1">
      <c r="A716" s="13"/>
      <c r="B716" s="21" t="str">
        <f>IFERROR(VLOOKUP(A716,'PAÑOL TÉCNICO'!A716:B1000,2,0))</f>
        <v/>
      </c>
      <c r="C716" s="12"/>
      <c r="D716" s="12"/>
      <c r="E716" s="12"/>
    </row>
    <row r="717" ht="15.75" customHeight="1">
      <c r="A717" s="13"/>
      <c r="B717" s="21" t="str">
        <f>IFERROR(VLOOKUP(A717,'PAÑOL TÉCNICO'!A717:B1000,2,0))</f>
        <v/>
      </c>
      <c r="C717" s="12"/>
      <c r="D717" s="12"/>
      <c r="E717" s="12"/>
    </row>
    <row r="718" ht="15.75" customHeight="1">
      <c r="A718" s="13"/>
      <c r="B718" s="21" t="str">
        <f>IFERROR(VLOOKUP(A718,'PAÑOL TÉCNICO'!A718:B1000,2,0))</f>
        <v/>
      </c>
      <c r="C718" s="12"/>
      <c r="D718" s="12"/>
      <c r="E718" s="12"/>
    </row>
    <row r="719" ht="15.75" customHeight="1">
      <c r="A719" s="13"/>
      <c r="B719" s="21" t="str">
        <f>IFERROR(VLOOKUP(A719,'PAÑOL TÉCNICO'!A719:B1000,2,0))</f>
        <v/>
      </c>
      <c r="C719" s="12"/>
      <c r="D719" s="12"/>
      <c r="E719" s="12"/>
    </row>
    <row r="720" ht="15.75" customHeight="1">
      <c r="A720" s="13"/>
      <c r="B720" s="21" t="str">
        <f>IFERROR(VLOOKUP(A720,'PAÑOL TÉCNICO'!A720:B1000,2,0))</f>
        <v/>
      </c>
      <c r="C720" s="12"/>
      <c r="D720" s="12"/>
      <c r="E720" s="12"/>
    </row>
    <row r="721" ht="15.75" customHeight="1">
      <c r="A721" s="13"/>
      <c r="B721" s="21" t="str">
        <f>IFERROR(VLOOKUP(A721,'PAÑOL TÉCNICO'!A721:B1000,2,0))</f>
        <v/>
      </c>
      <c r="C721" s="12"/>
      <c r="D721" s="12"/>
      <c r="E721" s="12"/>
    </row>
    <row r="722" ht="15.75" customHeight="1">
      <c r="A722" s="13"/>
      <c r="B722" s="21" t="str">
        <f>IFERROR(VLOOKUP(A722,'PAÑOL TÉCNICO'!A722:B1000,2,0))</f>
        <v/>
      </c>
      <c r="C722" s="12"/>
      <c r="D722" s="12"/>
      <c r="E722" s="12"/>
    </row>
    <row r="723" ht="15.75" customHeight="1">
      <c r="A723" s="13"/>
      <c r="B723" s="21" t="str">
        <f>IFERROR(VLOOKUP(A723,'PAÑOL TÉCNICO'!A723:B1000,2,0))</f>
        <v/>
      </c>
      <c r="C723" s="12"/>
      <c r="D723" s="12"/>
      <c r="E723" s="12"/>
    </row>
    <row r="724" ht="15.75" customHeight="1">
      <c r="A724" s="13"/>
      <c r="B724" s="21" t="str">
        <f>IFERROR(VLOOKUP(A724,'PAÑOL TÉCNICO'!A724:B1000,2,0))</f>
        <v/>
      </c>
      <c r="C724" s="12"/>
      <c r="D724" s="12"/>
      <c r="E724" s="12"/>
    </row>
    <row r="725" ht="15.75" customHeight="1">
      <c r="A725" s="13"/>
      <c r="B725" s="21" t="str">
        <f>IFERROR(VLOOKUP(A725,'PAÑOL TÉCNICO'!A725:B1000,2,0))</f>
        <v/>
      </c>
      <c r="C725" s="12"/>
      <c r="D725" s="12"/>
      <c r="E725" s="12"/>
    </row>
    <row r="726" ht="15.75" customHeight="1">
      <c r="A726" s="13"/>
      <c r="B726" s="21" t="str">
        <f>IFERROR(VLOOKUP(A726,'PAÑOL TÉCNICO'!A726:B1000,2,0))</f>
        <v/>
      </c>
      <c r="C726" s="12"/>
      <c r="D726" s="12"/>
      <c r="E726" s="12"/>
    </row>
    <row r="727" ht="15.75" customHeight="1">
      <c r="A727" s="13"/>
      <c r="B727" s="21" t="str">
        <f>IFERROR(VLOOKUP(A727,'PAÑOL TÉCNICO'!A727:B1000,2,0))</f>
        <v/>
      </c>
      <c r="C727" s="12"/>
      <c r="D727" s="12"/>
      <c r="E727" s="12"/>
    </row>
    <row r="728" ht="15.75" customHeight="1">
      <c r="A728" s="13"/>
      <c r="B728" s="21" t="str">
        <f>IFERROR(VLOOKUP(A728,'PAÑOL TÉCNICO'!A728:B1000,2,0))</f>
        <v/>
      </c>
      <c r="C728" s="12"/>
      <c r="D728" s="12"/>
      <c r="E728" s="12"/>
    </row>
    <row r="729" ht="15.75" customHeight="1">
      <c r="A729" s="13"/>
      <c r="B729" s="21" t="str">
        <f>IFERROR(VLOOKUP(A729,'PAÑOL TÉCNICO'!A729:B1000,2,0))</f>
        <v/>
      </c>
      <c r="C729" s="12"/>
      <c r="D729" s="12"/>
      <c r="E729" s="12"/>
    </row>
    <row r="730" ht="15.75" customHeight="1">
      <c r="A730" s="13"/>
      <c r="B730" s="21" t="str">
        <f>IFERROR(VLOOKUP(A730,'PAÑOL TÉCNICO'!A730:B1000,2,0))</f>
        <v/>
      </c>
      <c r="C730" s="12"/>
      <c r="D730" s="12"/>
      <c r="E730" s="12"/>
    </row>
    <row r="731" ht="15.75" customHeight="1">
      <c r="A731" s="13"/>
      <c r="B731" s="21" t="str">
        <f>IFERROR(VLOOKUP(A731,'PAÑOL TÉCNICO'!A731:B1000,2,0))</f>
        <v/>
      </c>
      <c r="C731" s="12"/>
      <c r="D731" s="12"/>
      <c r="E731" s="12"/>
    </row>
    <row r="732" ht="15.75" customHeight="1">
      <c r="A732" s="13"/>
      <c r="B732" s="21" t="str">
        <f>IFERROR(VLOOKUP(A732,'PAÑOL TÉCNICO'!A732:B1000,2,0))</f>
        <v/>
      </c>
      <c r="C732" s="12"/>
      <c r="D732" s="12"/>
      <c r="E732" s="12"/>
    </row>
    <row r="733" ht="15.75" customHeight="1">
      <c r="A733" s="13"/>
      <c r="B733" s="21" t="str">
        <f>IFERROR(VLOOKUP(A733,'PAÑOL TÉCNICO'!A733:B1000,2,0))</f>
        <v/>
      </c>
      <c r="C733" s="12"/>
      <c r="D733" s="12"/>
      <c r="E733" s="12"/>
    </row>
    <row r="734" ht="15.75" customHeight="1">
      <c r="A734" s="13"/>
      <c r="B734" s="21" t="str">
        <f>IFERROR(VLOOKUP(A734,'PAÑOL TÉCNICO'!A734:B1000,2,0))</f>
        <v/>
      </c>
      <c r="C734" s="12"/>
      <c r="D734" s="12"/>
      <c r="E734" s="12"/>
    </row>
    <row r="735" ht="15.75" customHeight="1">
      <c r="A735" s="13"/>
      <c r="B735" s="21" t="str">
        <f>IFERROR(VLOOKUP(A735,'PAÑOL TÉCNICO'!A735:B1000,2,0))</f>
        <v/>
      </c>
      <c r="C735" s="12"/>
      <c r="D735" s="12"/>
      <c r="E735" s="12"/>
    </row>
    <row r="736" ht="15.75" customHeight="1">
      <c r="A736" s="13"/>
      <c r="B736" s="21" t="str">
        <f>IFERROR(VLOOKUP(A736,'PAÑOL TÉCNICO'!A736:B1000,2,0))</f>
        <v/>
      </c>
      <c r="C736" s="12"/>
      <c r="D736" s="12"/>
      <c r="E736" s="12"/>
    </row>
    <row r="737" ht="15.75" customHeight="1">
      <c r="A737" s="13"/>
      <c r="B737" s="21" t="str">
        <f>IFERROR(VLOOKUP(A737,'PAÑOL TÉCNICO'!A737:B1000,2,0))</f>
        <v/>
      </c>
      <c r="C737" s="12"/>
      <c r="D737" s="12"/>
      <c r="E737" s="12"/>
    </row>
    <row r="738" ht="15.75" customHeight="1">
      <c r="A738" s="13"/>
      <c r="B738" s="21" t="str">
        <f>IFERROR(VLOOKUP(A738,'PAÑOL TÉCNICO'!A738:B1000,2,0))</f>
        <v/>
      </c>
      <c r="C738" s="12"/>
      <c r="D738" s="12"/>
      <c r="E738" s="12"/>
    </row>
    <row r="739" ht="15.75" customHeight="1">
      <c r="A739" s="13"/>
      <c r="B739" s="21" t="str">
        <f>IFERROR(VLOOKUP(A739,'PAÑOL TÉCNICO'!A739:B1000,2,0))</f>
        <v/>
      </c>
      <c r="C739" s="12"/>
      <c r="D739" s="12"/>
      <c r="E739" s="12"/>
    </row>
    <row r="740" ht="15.75" customHeight="1">
      <c r="A740" s="13"/>
      <c r="B740" s="21" t="str">
        <f>IFERROR(VLOOKUP(A740,'PAÑOL TÉCNICO'!A740:B1000,2,0))</f>
        <v/>
      </c>
      <c r="C740" s="12"/>
      <c r="D740" s="12"/>
      <c r="E740" s="12"/>
    </row>
    <row r="741" ht="15.75" customHeight="1">
      <c r="A741" s="13"/>
      <c r="B741" s="21" t="str">
        <f>IFERROR(VLOOKUP(A741,'PAÑOL TÉCNICO'!A741:B1000,2,0))</f>
        <v/>
      </c>
      <c r="C741" s="12"/>
      <c r="D741" s="12"/>
      <c r="E741" s="12"/>
    </row>
    <row r="742" ht="15.75" customHeight="1">
      <c r="A742" s="13"/>
      <c r="B742" s="21" t="str">
        <f>IFERROR(VLOOKUP(A742,'PAÑOL TÉCNICO'!A742:B1000,2,0))</f>
        <v/>
      </c>
      <c r="C742" s="12"/>
      <c r="D742" s="12"/>
      <c r="E742" s="12"/>
    </row>
    <row r="743" ht="15.75" customHeight="1">
      <c r="A743" s="13"/>
      <c r="B743" s="21" t="str">
        <f>IFERROR(VLOOKUP(A743,'PAÑOL TÉCNICO'!A743:B1000,2,0))</f>
        <v/>
      </c>
      <c r="C743" s="12"/>
      <c r="D743" s="12"/>
      <c r="E743" s="12"/>
    </row>
    <row r="744" ht="15.75" customHeight="1">
      <c r="A744" s="13"/>
      <c r="B744" s="21" t="str">
        <f>IFERROR(VLOOKUP(A744,'PAÑOL TÉCNICO'!A744:B1000,2,0))</f>
        <v/>
      </c>
      <c r="C744" s="12"/>
      <c r="D744" s="12"/>
      <c r="E744" s="12"/>
    </row>
    <row r="745" ht="15.75" customHeight="1">
      <c r="A745" s="13"/>
      <c r="B745" s="21" t="str">
        <f>IFERROR(VLOOKUP(A745,'PAÑOL TÉCNICO'!A745:B1000,2,0))</f>
        <v/>
      </c>
      <c r="C745" s="12"/>
      <c r="D745" s="12"/>
      <c r="E745" s="12"/>
    </row>
    <row r="746" ht="15.75" customHeight="1">
      <c r="A746" s="13"/>
      <c r="B746" s="21" t="str">
        <f>IFERROR(VLOOKUP(A746,'PAÑOL TÉCNICO'!A746:B1000,2,0))</f>
        <v/>
      </c>
      <c r="C746" s="12"/>
      <c r="D746" s="12"/>
      <c r="E746" s="12"/>
    </row>
    <row r="747" ht="15.75" customHeight="1">
      <c r="A747" s="13"/>
      <c r="B747" s="21" t="str">
        <f>IFERROR(VLOOKUP(A747,'PAÑOL TÉCNICO'!A747:B1000,2,0))</f>
        <v/>
      </c>
      <c r="C747" s="12"/>
      <c r="D747" s="12"/>
      <c r="E747" s="12"/>
    </row>
    <row r="748" ht="15.75" customHeight="1">
      <c r="A748" s="13"/>
      <c r="B748" s="21" t="str">
        <f>IFERROR(VLOOKUP(A748,'PAÑOL TÉCNICO'!A748:B1000,2,0))</f>
        <v/>
      </c>
      <c r="C748" s="12"/>
      <c r="D748" s="12"/>
      <c r="E748" s="12"/>
    </row>
    <row r="749" ht="15.75" customHeight="1">
      <c r="A749" s="13"/>
      <c r="B749" s="21" t="str">
        <f>IFERROR(VLOOKUP(A749,'PAÑOL TÉCNICO'!A749:B1000,2,0))</f>
        <v/>
      </c>
      <c r="C749" s="12"/>
      <c r="D749" s="12"/>
      <c r="E749" s="12"/>
    </row>
    <row r="750" ht="15.75" customHeight="1">
      <c r="A750" s="13"/>
      <c r="B750" s="21" t="str">
        <f>IFERROR(VLOOKUP(A750,'PAÑOL TÉCNICO'!A750:B1000,2,0))</f>
        <v/>
      </c>
      <c r="C750" s="12"/>
      <c r="D750" s="12"/>
      <c r="E750" s="12"/>
    </row>
    <row r="751" ht="15.75" customHeight="1">
      <c r="A751" s="13"/>
      <c r="B751" s="21" t="str">
        <f>IFERROR(VLOOKUP(A751,'PAÑOL TÉCNICO'!A751:B1000,2,0))</f>
        <v/>
      </c>
      <c r="C751" s="12"/>
      <c r="D751" s="12"/>
      <c r="E751" s="12"/>
    </row>
    <row r="752" ht="15.75" customHeight="1">
      <c r="A752" s="13"/>
      <c r="B752" s="21" t="str">
        <f>IFERROR(VLOOKUP(A752,'PAÑOL TÉCNICO'!A752:B1000,2,0))</f>
        <v/>
      </c>
      <c r="C752" s="12"/>
      <c r="D752" s="12"/>
      <c r="E752" s="12"/>
    </row>
    <row r="753" ht="15.75" customHeight="1">
      <c r="A753" s="13"/>
      <c r="B753" s="21" t="str">
        <f>IFERROR(VLOOKUP(A753,'PAÑOL TÉCNICO'!A753:B1000,2,0))</f>
        <v/>
      </c>
      <c r="C753" s="12"/>
      <c r="D753" s="12"/>
      <c r="E753" s="12"/>
    </row>
    <row r="754" ht="15.75" customHeight="1">
      <c r="A754" s="13"/>
      <c r="B754" s="21" t="str">
        <f>IFERROR(VLOOKUP(A754,'PAÑOL TÉCNICO'!A754:B1000,2,0))</f>
        <v/>
      </c>
      <c r="C754" s="12"/>
      <c r="D754" s="12"/>
      <c r="E754" s="12"/>
    </row>
    <row r="755" ht="15.75" customHeight="1">
      <c r="A755" s="13"/>
      <c r="B755" s="21" t="str">
        <f>IFERROR(VLOOKUP(A755,'PAÑOL TÉCNICO'!A755:B1000,2,0))</f>
        <v/>
      </c>
      <c r="C755" s="12"/>
      <c r="D755" s="12"/>
      <c r="E755" s="12"/>
    </row>
    <row r="756" ht="15.75" customHeight="1">
      <c r="A756" s="13"/>
      <c r="B756" s="21" t="str">
        <f>IFERROR(VLOOKUP(A756,'PAÑOL TÉCNICO'!A756:B1000,2,0))</f>
        <v/>
      </c>
      <c r="C756" s="12"/>
      <c r="D756" s="12"/>
      <c r="E756" s="12"/>
    </row>
    <row r="757" ht="15.75" customHeight="1">
      <c r="A757" s="13"/>
      <c r="B757" s="21" t="str">
        <f>IFERROR(VLOOKUP(A757,'PAÑOL TÉCNICO'!A757:B1000,2,0))</f>
        <v/>
      </c>
      <c r="C757" s="12"/>
      <c r="D757" s="12"/>
      <c r="E757" s="12"/>
    </row>
    <row r="758" ht="15.75" customHeight="1">
      <c r="A758" s="13"/>
      <c r="B758" s="21" t="str">
        <f>IFERROR(VLOOKUP(A758,'PAÑOL TÉCNICO'!A758:B1000,2,0))</f>
        <v/>
      </c>
      <c r="C758" s="12"/>
      <c r="D758" s="12"/>
      <c r="E758" s="12"/>
    </row>
    <row r="759" ht="15.75" customHeight="1">
      <c r="A759" s="13"/>
      <c r="B759" s="21" t="str">
        <f>IFERROR(VLOOKUP(A759,'PAÑOL TÉCNICO'!A759:B1000,2,0))</f>
        <v/>
      </c>
      <c r="C759" s="12"/>
      <c r="D759" s="12"/>
      <c r="E759" s="12"/>
    </row>
    <row r="760" ht="15.75" customHeight="1">
      <c r="A760" s="13"/>
      <c r="B760" s="21" t="str">
        <f>IFERROR(VLOOKUP(A760,'PAÑOL TÉCNICO'!A760:B1000,2,0))</f>
        <v/>
      </c>
      <c r="C760" s="12"/>
      <c r="D760" s="12"/>
      <c r="E760" s="12"/>
    </row>
    <row r="761" ht="15.75" customHeight="1">
      <c r="A761" s="13"/>
      <c r="B761" s="21" t="str">
        <f>IFERROR(VLOOKUP(A761,'PAÑOL TÉCNICO'!A761:B1000,2,0))</f>
        <v/>
      </c>
      <c r="C761" s="12"/>
      <c r="D761" s="12"/>
      <c r="E761" s="12"/>
    </row>
    <row r="762" ht="15.75" customHeight="1">
      <c r="A762" s="13"/>
      <c r="B762" s="21" t="str">
        <f>IFERROR(VLOOKUP(A762,'PAÑOL TÉCNICO'!A762:B1000,2,0))</f>
        <v/>
      </c>
      <c r="C762" s="12"/>
      <c r="D762" s="12"/>
      <c r="E762" s="12"/>
    </row>
    <row r="763" ht="15.75" customHeight="1">
      <c r="A763" s="13"/>
      <c r="B763" s="21" t="str">
        <f>IFERROR(VLOOKUP(A763,'PAÑOL TÉCNICO'!A763:B1000,2,0))</f>
        <v/>
      </c>
      <c r="C763" s="12"/>
      <c r="D763" s="12"/>
      <c r="E763" s="12"/>
    </row>
    <row r="764" ht="15.75" customHeight="1">
      <c r="A764" s="13"/>
      <c r="B764" s="21" t="str">
        <f>IFERROR(VLOOKUP(A764,'PAÑOL TÉCNICO'!A764:B1000,2,0))</f>
        <v/>
      </c>
      <c r="C764" s="12"/>
      <c r="D764" s="12"/>
      <c r="E764" s="12"/>
    </row>
    <row r="765" ht="15.75" customHeight="1">
      <c r="A765" s="13"/>
      <c r="B765" s="21" t="str">
        <f>IFERROR(VLOOKUP(A765,'PAÑOL TÉCNICO'!A765:B1000,2,0))</f>
        <v/>
      </c>
      <c r="C765" s="12"/>
      <c r="D765" s="12"/>
      <c r="E765" s="12"/>
    </row>
    <row r="766" ht="15.75" customHeight="1">
      <c r="A766" s="13"/>
      <c r="B766" s="21" t="str">
        <f>IFERROR(VLOOKUP(A766,'PAÑOL TÉCNICO'!A766:B1000,2,0))</f>
        <v/>
      </c>
      <c r="C766" s="12"/>
      <c r="D766" s="12"/>
      <c r="E766" s="12"/>
    </row>
    <row r="767" ht="15.75" customHeight="1">
      <c r="A767" s="13"/>
      <c r="B767" s="21" t="str">
        <f>IFERROR(VLOOKUP(A767,'PAÑOL TÉCNICO'!A767:B1000,2,0))</f>
        <v/>
      </c>
      <c r="C767" s="12"/>
      <c r="D767" s="12"/>
      <c r="E767" s="12"/>
    </row>
    <row r="768" ht="15.75" customHeight="1">
      <c r="A768" s="13"/>
      <c r="B768" s="21" t="str">
        <f>IFERROR(VLOOKUP(A768,'PAÑOL TÉCNICO'!A768:B1000,2,0))</f>
        <v/>
      </c>
      <c r="C768" s="12"/>
      <c r="D768" s="12"/>
      <c r="E768" s="12"/>
    </row>
    <row r="769" ht="15.75" customHeight="1">
      <c r="A769" s="13"/>
      <c r="B769" s="21" t="str">
        <f>IFERROR(VLOOKUP(A769,'PAÑOL TÉCNICO'!A769:B1000,2,0))</f>
        <v/>
      </c>
      <c r="C769" s="12"/>
      <c r="D769" s="12"/>
      <c r="E769" s="12"/>
    </row>
    <row r="770" ht="15.75" customHeight="1">
      <c r="A770" s="13"/>
      <c r="B770" s="21" t="str">
        <f>IFERROR(VLOOKUP(A770,'PAÑOL TÉCNICO'!A770:B1000,2,0))</f>
        <v/>
      </c>
      <c r="C770" s="12"/>
      <c r="D770" s="12"/>
      <c r="E770" s="12"/>
    </row>
    <row r="771" ht="15.75" customHeight="1">
      <c r="A771" s="13"/>
      <c r="B771" s="21" t="str">
        <f>IFERROR(VLOOKUP(A771,'PAÑOL TÉCNICO'!A771:B1000,2,0))</f>
        <v/>
      </c>
      <c r="C771" s="12"/>
      <c r="D771" s="12"/>
      <c r="E771" s="12"/>
    </row>
    <row r="772" ht="15.75" customHeight="1">
      <c r="A772" s="13"/>
      <c r="B772" s="21" t="str">
        <f>IFERROR(VLOOKUP(A772,'PAÑOL TÉCNICO'!A772:B1000,2,0))</f>
        <v/>
      </c>
      <c r="C772" s="12"/>
      <c r="D772" s="12"/>
      <c r="E772" s="12"/>
    </row>
    <row r="773" ht="15.75" customHeight="1">
      <c r="A773" s="13"/>
      <c r="B773" s="21" t="str">
        <f>IFERROR(VLOOKUP(A773,'PAÑOL TÉCNICO'!A773:B1000,2,0))</f>
        <v/>
      </c>
      <c r="C773" s="12"/>
      <c r="D773" s="12"/>
      <c r="E773" s="12"/>
    </row>
    <row r="774" ht="15.75" customHeight="1">
      <c r="A774" s="13"/>
      <c r="B774" s="21" t="str">
        <f>IFERROR(VLOOKUP(A774,'PAÑOL TÉCNICO'!A774:B1000,2,0))</f>
        <v/>
      </c>
      <c r="C774" s="12"/>
      <c r="D774" s="12"/>
      <c r="E774" s="12"/>
    </row>
    <row r="775" ht="15.75" customHeight="1">
      <c r="A775" s="13"/>
      <c r="B775" s="21" t="str">
        <f>IFERROR(VLOOKUP(A775,'PAÑOL TÉCNICO'!A775:B1000,2,0))</f>
        <v/>
      </c>
      <c r="C775" s="12"/>
      <c r="D775" s="12"/>
      <c r="E775" s="12"/>
    </row>
    <row r="776" ht="15.75" customHeight="1">
      <c r="A776" s="13"/>
      <c r="B776" s="21" t="str">
        <f>IFERROR(VLOOKUP(A776,'PAÑOL TÉCNICO'!A776:B1000,2,0))</f>
        <v/>
      </c>
      <c r="C776" s="12"/>
      <c r="D776" s="12"/>
      <c r="E776" s="12"/>
    </row>
    <row r="777" ht="15.75" customHeight="1">
      <c r="A777" s="13"/>
      <c r="B777" s="21" t="str">
        <f>IFERROR(VLOOKUP(A777,'PAÑOL TÉCNICO'!A777:B1000,2,0))</f>
        <v/>
      </c>
      <c r="C777" s="12"/>
      <c r="D777" s="12"/>
      <c r="E777" s="12"/>
    </row>
    <row r="778" ht="15.75" customHeight="1">
      <c r="A778" s="13"/>
      <c r="B778" s="21" t="str">
        <f>IFERROR(VLOOKUP(A778,'PAÑOL TÉCNICO'!A778:B1000,2,0))</f>
        <v/>
      </c>
      <c r="C778" s="12"/>
      <c r="D778" s="12"/>
      <c r="E778" s="12"/>
    </row>
    <row r="779" ht="15.75" customHeight="1">
      <c r="A779" s="13"/>
      <c r="B779" s="21" t="str">
        <f>IFERROR(VLOOKUP(A779,'PAÑOL TÉCNICO'!A779:B1000,2,0))</f>
        <v/>
      </c>
      <c r="C779" s="12"/>
      <c r="D779" s="12"/>
      <c r="E779" s="12"/>
    </row>
    <row r="780" ht="15.75" customHeight="1">
      <c r="A780" s="13"/>
      <c r="B780" s="21" t="str">
        <f>IFERROR(VLOOKUP(A780,'PAÑOL TÉCNICO'!A780:B1000,2,0))</f>
        <v/>
      </c>
      <c r="C780" s="12"/>
      <c r="D780" s="12"/>
      <c r="E780" s="12"/>
    </row>
    <row r="781" ht="15.75" customHeight="1">
      <c r="A781" s="13"/>
      <c r="B781" s="21" t="str">
        <f>IFERROR(VLOOKUP(A781,'PAÑOL TÉCNICO'!A781:B1000,2,0))</f>
        <v/>
      </c>
      <c r="C781" s="12"/>
      <c r="D781" s="12"/>
      <c r="E781" s="12"/>
    </row>
    <row r="782" ht="15.75" customHeight="1">
      <c r="A782" s="13"/>
      <c r="B782" s="21" t="str">
        <f>IFERROR(VLOOKUP(A782,'PAÑOL TÉCNICO'!A782:B1000,2,0))</f>
        <v/>
      </c>
      <c r="C782" s="12"/>
      <c r="D782" s="12"/>
      <c r="E782" s="12"/>
    </row>
    <row r="783" ht="15.75" customHeight="1">
      <c r="A783" s="13"/>
      <c r="B783" s="21" t="str">
        <f>IFERROR(VLOOKUP(A783,'PAÑOL TÉCNICO'!A783:B1000,2,0))</f>
        <v/>
      </c>
      <c r="C783" s="12"/>
      <c r="D783" s="12"/>
      <c r="E783" s="12"/>
    </row>
    <row r="784" ht="15.75" customHeight="1">
      <c r="A784" s="13"/>
      <c r="B784" s="21" t="str">
        <f>IFERROR(VLOOKUP(A784,'PAÑOL TÉCNICO'!A784:B1000,2,0))</f>
        <v/>
      </c>
      <c r="C784" s="12"/>
      <c r="D784" s="12"/>
      <c r="E784" s="12"/>
    </row>
    <row r="785" ht="15.75" customHeight="1">
      <c r="A785" s="13"/>
      <c r="B785" s="21" t="str">
        <f>IFERROR(VLOOKUP(A785,'PAÑOL TÉCNICO'!A785:B1000,2,0))</f>
        <v/>
      </c>
      <c r="C785" s="12"/>
      <c r="D785" s="12"/>
      <c r="E785" s="12"/>
    </row>
    <row r="786" ht="15.75" customHeight="1">
      <c r="A786" s="13"/>
      <c r="B786" s="21" t="str">
        <f>IFERROR(VLOOKUP(A786,'PAÑOL TÉCNICO'!A786:B1000,2,0))</f>
        <v/>
      </c>
      <c r="C786" s="12"/>
      <c r="D786" s="12"/>
      <c r="E786" s="12"/>
    </row>
    <row r="787" ht="15.75" customHeight="1">
      <c r="A787" s="13"/>
      <c r="B787" s="21" t="str">
        <f>IFERROR(VLOOKUP(A787,'PAÑOL TÉCNICO'!A787:B1000,2,0))</f>
        <v/>
      </c>
      <c r="C787" s="12"/>
      <c r="D787" s="12"/>
      <c r="E787" s="12"/>
    </row>
    <row r="788" ht="15.75" customHeight="1">
      <c r="A788" s="13"/>
      <c r="B788" s="21" t="str">
        <f>IFERROR(VLOOKUP(A788,'PAÑOL TÉCNICO'!A788:B1000,2,0))</f>
        <v/>
      </c>
      <c r="C788" s="12"/>
      <c r="D788" s="12"/>
      <c r="E788" s="12"/>
    </row>
    <row r="789" ht="15.75" customHeight="1">
      <c r="A789" s="13"/>
      <c r="B789" s="21" t="str">
        <f>IFERROR(VLOOKUP(A789,'PAÑOL TÉCNICO'!A789:B1000,2,0))</f>
        <v/>
      </c>
      <c r="C789" s="12"/>
      <c r="D789" s="12"/>
      <c r="E789" s="12"/>
    </row>
    <row r="790" ht="15.75" customHeight="1">
      <c r="A790" s="13"/>
      <c r="B790" s="21" t="str">
        <f>IFERROR(VLOOKUP(A790,'PAÑOL TÉCNICO'!A790:B1000,2,0))</f>
        <v/>
      </c>
      <c r="C790" s="12"/>
      <c r="D790" s="12"/>
      <c r="E790" s="12"/>
    </row>
    <row r="791" ht="15.75" customHeight="1">
      <c r="A791" s="13"/>
      <c r="B791" s="21" t="str">
        <f>IFERROR(VLOOKUP(A791,'PAÑOL TÉCNICO'!A791:B1000,2,0))</f>
        <v/>
      </c>
      <c r="C791" s="12"/>
      <c r="D791" s="12"/>
      <c r="E791" s="12"/>
    </row>
    <row r="792" ht="15.75" customHeight="1">
      <c r="A792" s="13"/>
      <c r="B792" s="21" t="str">
        <f>IFERROR(VLOOKUP(A792,'PAÑOL TÉCNICO'!A792:B1000,2,0))</f>
        <v/>
      </c>
      <c r="C792" s="12"/>
      <c r="D792" s="12"/>
      <c r="E792" s="12"/>
    </row>
    <row r="793" ht="15.75" customHeight="1">
      <c r="A793" s="13"/>
      <c r="B793" s="21" t="str">
        <f>IFERROR(VLOOKUP(A793,'PAÑOL TÉCNICO'!A793:B1000,2,0))</f>
        <v/>
      </c>
      <c r="C793" s="12"/>
      <c r="D793" s="12"/>
      <c r="E793" s="12"/>
    </row>
    <row r="794" ht="15.75" customHeight="1">
      <c r="A794" s="13"/>
      <c r="B794" s="21" t="str">
        <f>IFERROR(VLOOKUP(A794,'PAÑOL TÉCNICO'!A794:B1000,2,0))</f>
        <v/>
      </c>
      <c r="C794" s="12"/>
      <c r="D794" s="12"/>
      <c r="E794" s="12"/>
    </row>
    <row r="795" ht="15.75" customHeight="1">
      <c r="A795" s="13"/>
      <c r="B795" s="21" t="str">
        <f>IFERROR(VLOOKUP(A795,'PAÑOL TÉCNICO'!A795:B1000,2,0))</f>
        <v/>
      </c>
      <c r="C795" s="12"/>
      <c r="D795" s="12"/>
      <c r="E795" s="12"/>
    </row>
    <row r="796" ht="15.75" customHeight="1">
      <c r="A796" s="13"/>
      <c r="B796" s="21" t="str">
        <f>IFERROR(VLOOKUP(A796,'PAÑOL TÉCNICO'!A796:B1000,2,0))</f>
        <v/>
      </c>
      <c r="C796" s="12"/>
      <c r="D796" s="12"/>
      <c r="E796" s="12"/>
    </row>
    <row r="797" ht="15.75" customHeight="1">
      <c r="A797" s="13"/>
      <c r="B797" s="21" t="str">
        <f>IFERROR(VLOOKUP(A797,'PAÑOL TÉCNICO'!A797:B1000,2,0))</f>
        <v/>
      </c>
      <c r="C797" s="12"/>
      <c r="D797" s="12"/>
      <c r="E797" s="12"/>
    </row>
    <row r="798" ht="15.75" customHeight="1">
      <c r="A798" s="13"/>
      <c r="B798" s="21" t="str">
        <f>IFERROR(VLOOKUP(A798,'PAÑOL TÉCNICO'!A798:B1000,2,0))</f>
        <v/>
      </c>
      <c r="C798" s="12"/>
      <c r="D798" s="12"/>
      <c r="E798" s="12"/>
    </row>
    <row r="799" ht="15.75" customHeight="1">
      <c r="A799" s="13"/>
      <c r="B799" s="21" t="str">
        <f>IFERROR(VLOOKUP(A799,'PAÑOL TÉCNICO'!A799:B1000,2,0))</f>
        <v/>
      </c>
      <c r="C799" s="12"/>
      <c r="D799" s="12"/>
      <c r="E799" s="12"/>
    </row>
    <row r="800" ht="15.75" customHeight="1">
      <c r="A800" s="13"/>
      <c r="B800" s="21" t="str">
        <f>IFERROR(VLOOKUP(A800,'PAÑOL TÉCNICO'!A800:B1000,2,0))</f>
        <v/>
      </c>
      <c r="C800" s="12"/>
      <c r="D800" s="12"/>
      <c r="E800" s="12"/>
    </row>
    <row r="801" ht="15.75" customHeight="1">
      <c r="A801" s="13"/>
      <c r="B801" s="21" t="str">
        <f>IFERROR(VLOOKUP(A801,'PAÑOL TÉCNICO'!A801:B1000,2,0))</f>
        <v/>
      </c>
      <c r="C801" s="12"/>
      <c r="D801" s="12"/>
      <c r="E801" s="12"/>
    </row>
    <row r="802" ht="15.75" customHeight="1">
      <c r="A802" s="13"/>
      <c r="B802" s="21" t="str">
        <f>IFERROR(VLOOKUP(A802,'PAÑOL TÉCNICO'!A802:B1000,2,0))</f>
        <v/>
      </c>
      <c r="C802" s="12"/>
      <c r="D802" s="12"/>
      <c r="E802" s="12"/>
    </row>
    <row r="803" ht="15.75" customHeight="1">
      <c r="A803" s="13"/>
      <c r="B803" s="21" t="str">
        <f>IFERROR(VLOOKUP(A803,'PAÑOL TÉCNICO'!A803:B1000,2,0))</f>
        <v/>
      </c>
      <c r="C803" s="12"/>
      <c r="D803" s="12"/>
      <c r="E803" s="12"/>
    </row>
    <row r="804" ht="15.75" customHeight="1">
      <c r="A804" s="13"/>
      <c r="B804" s="21" t="str">
        <f>IFERROR(VLOOKUP(A804,'PAÑOL TÉCNICO'!A804:B1000,2,0))</f>
        <v/>
      </c>
      <c r="C804" s="12"/>
      <c r="D804" s="12"/>
      <c r="E804" s="12"/>
    </row>
    <row r="805" ht="15.75" customHeight="1">
      <c r="A805" s="13"/>
      <c r="B805" s="21" t="str">
        <f>IFERROR(VLOOKUP(A805,'PAÑOL TÉCNICO'!A805:B1000,2,0))</f>
        <v/>
      </c>
      <c r="C805" s="12"/>
      <c r="D805" s="12"/>
      <c r="E805" s="12"/>
    </row>
    <row r="806" ht="15.75" customHeight="1">
      <c r="A806" s="13"/>
      <c r="B806" s="21" t="str">
        <f>IFERROR(VLOOKUP(A806,'PAÑOL TÉCNICO'!A806:B1000,2,0))</f>
        <v/>
      </c>
      <c r="C806" s="12"/>
      <c r="D806" s="12"/>
      <c r="E806" s="12"/>
    </row>
    <row r="807" ht="15.75" customHeight="1">
      <c r="A807" s="13"/>
      <c r="B807" s="21" t="str">
        <f>IFERROR(VLOOKUP(A807,'PAÑOL TÉCNICO'!A807:B1000,2,0))</f>
        <v/>
      </c>
      <c r="C807" s="12"/>
      <c r="D807" s="12"/>
      <c r="E807" s="12"/>
    </row>
    <row r="808" ht="15.75" customHeight="1">
      <c r="A808" s="13"/>
      <c r="B808" s="21" t="str">
        <f>IFERROR(VLOOKUP(A808,'PAÑOL TÉCNICO'!A808:B1000,2,0))</f>
        <v/>
      </c>
      <c r="C808" s="12"/>
      <c r="D808" s="12"/>
      <c r="E808" s="12"/>
    </row>
    <row r="809" ht="15.75" customHeight="1">
      <c r="A809" s="13"/>
      <c r="B809" s="21" t="str">
        <f>IFERROR(VLOOKUP(A809,'PAÑOL TÉCNICO'!A809:B1000,2,0))</f>
        <v/>
      </c>
      <c r="C809" s="12"/>
      <c r="D809" s="12"/>
      <c r="E809" s="12"/>
    </row>
    <row r="810" ht="15.75" customHeight="1">
      <c r="A810" s="13"/>
      <c r="B810" s="21" t="str">
        <f>IFERROR(VLOOKUP(A810,'PAÑOL TÉCNICO'!A810:B1000,2,0))</f>
        <v/>
      </c>
      <c r="C810" s="12"/>
      <c r="D810" s="12"/>
      <c r="E810" s="12"/>
    </row>
    <row r="811" ht="15.75" customHeight="1">
      <c r="A811" s="13"/>
      <c r="B811" s="21" t="str">
        <f>IFERROR(VLOOKUP(A811,'PAÑOL TÉCNICO'!A811:B1000,2,0))</f>
        <v/>
      </c>
      <c r="C811" s="12"/>
      <c r="D811" s="12"/>
      <c r="E811" s="12"/>
    </row>
    <row r="812" ht="15.75" customHeight="1">
      <c r="A812" s="13"/>
      <c r="B812" s="21" t="str">
        <f>IFERROR(VLOOKUP(A812,'PAÑOL TÉCNICO'!A812:B1000,2,0))</f>
        <v/>
      </c>
      <c r="C812" s="12"/>
      <c r="D812" s="12"/>
      <c r="E812" s="12"/>
    </row>
    <row r="813" ht="15.75" customHeight="1">
      <c r="A813" s="13"/>
      <c r="B813" s="21" t="str">
        <f>IFERROR(VLOOKUP(A813,'PAÑOL TÉCNICO'!A813:B1000,2,0))</f>
        <v/>
      </c>
      <c r="C813" s="12"/>
      <c r="D813" s="12"/>
      <c r="E813" s="12"/>
    </row>
    <row r="814" ht="15.75" customHeight="1">
      <c r="A814" s="13"/>
      <c r="B814" s="21" t="str">
        <f>IFERROR(VLOOKUP(A814,'PAÑOL TÉCNICO'!A814:B1000,2,0))</f>
        <v/>
      </c>
      <c r="C814" s="12"/>
      <c r="D814" s="12"/>
      <c r="E814" s="12"/>
    </row>
    <row r="815" ht="15.75" customHeight="1">
      <c r="A815" s="13"/>
      <c r="B815" s="21" t="str">
        <f>IFERROR(VLOOKUP(A815,'PAÑOL TÉCNICO'!A815:B1000,2,0))</f>
        <v/>
      </c>
      <c r="C815" s="12"/>
      <c r="D815" s="12"/>
      <c r="E815" s="12"/>
    </row>
    <row r="816" ht="15.75" customHeight="1">
      <c r="A816" s="13"/>
      <c r="B816" s="21" t="str">
        <f>IFERROR(VLOOKUP(A816,'PAÑOL TÉCNICO'!A816:B1000,2,0))</f>
        <v/>
      </c>
      <c r="C816" s="12"/>
      <c r="D816" s="12"/>
      <c r="E816" s="12"/>
    </row>
    <row r="817" ht="15.75" customHeight="1">
      <c r="A817" s="13"/>
      <c r="B817" s="21" t="str">
        <f>IFERROR(VLOOKUP(A817,'PAÑOL TÉCNICO'!A817:B1000,2,0))</f>
        <v/>
      </c>
      <c r="C817" s="12"/>
      <c r="D817" s="12"/>
      <c r="E817" s="12"/>
    </row>
    <row r="818" ht="15.75" customHeight="1">
      <c r="A818" s="13"/>
      <c r="B818" s="21" t="str">
        <f>IFERROR(VLOOKUP(A818,'PAÑOL TÉCNICO'!A818:B1000,2,0))</f>
        <v/>
      </c>
      <c r="C818" s="12"/>
      <c r="D818" s="12"/>
      <c r="E818" s="12"/>
    </row>
    <row r="819" ht="15.75" customHeight="1">
      <c r="A819" s="13"/>
      <c r="B819" s="21" t="str">
        <f>IFERROR(VLOOKUP(A819,'PAÑOL TÉCNICO'!A819:B1000,2,0))</f>
        <v/>
      </c>
      <c r="C819" s="12"/>
      <c r="D819" s="12"/>
      <c r="E819" s="12"/>
    </row>
    <row r="820" ht="15.75" customHeight="1">
      <c r="A820" s="13"/>
      <c r="B820" s="21" t="str">
        <f>IFERROR(VLOOKUP(A820,'PAÑOL TÉCNICO'!A820:B1000,2,0))</f>
        <v/>
      </c>
      <c r="C820" s="12"/>
      <c r="D820" s="12"/>
      <c r="E820" s="12"/>
    </row>
    <row r="821" ht="15.75" customHeight="1">
      <c r="A821" s="13"/>
      <c r="B821" s="21" t="str">
        <f>IFERROR(VLOOKUP(A821,'PAÑOL TÉCNICO'!A821:B1000,2,0))</f>
        <v/>
      </c>
      <c r="C821" s="12"/>
      <c r="D821" s="12"/>
      <c r="E821" s="12"/>
    </row>
    <row r="822" ht="15.75" customHeight="1">
      <c r="A822" s="13"/>
      <c r="B822" s="21" t="str">
        <f>IFERROR(VLOOKUP(A822,'PAÑOL TÉCNICO'!A822:B1000,2,0))</f>
        <v/>
      </c>
      <c r="C822" s="12"/>
      <c r="D822" s="12"/>
      <c r="E822" s="12"/>
    </row>
    <row r="823" ht="15.75" customHeight="1">
      <c r="A823" s="13"/>
      <c r="B823" s="21" t="str">
        <f>IFERROR(VLOOKUP(A823,'PAÑOL TÉCNICO'!A823:B1000,2,0))</f>
        <v/>
      </c>
      <c r="C823" s="12"/>
      <c r="D823" s="12"/>
      <c r="E823" s="12"/>
    </row>
    <row r="824" ht="15.75" customHeight="1">
      <c r="A824" s="13"/>
      <c r="B824" s="21" t="str">
        <f>IFERROR(VLOOKUP(A824,'PAÑOL TÉCNICO'!A824:B1000,2,0))</f>
        <v/>
      </c>
      <c r="C824" s="12"/>
      <c r="D824" s="12"/>
      <c r="E824" s="12"/>
    </row>
    <row r="825" ht="15.75" customHeight="1">
      <c r="A825" s="13"/>
      <c r="B825" s="21" t="str">
        <f>IFERROR(VLOOKUP(A825,'PAÑOL TÉCNICO'!A825:B1000,2,0))</f>
        <v/>
      </c>
      <c r="C825" s="12"/>
      <c r="D825" s="12"/>
      <c r="E825" s="12"/>
    </row>
    <row r="826" ht="15.75" customHeight="1">
      <c r="A826" s="13"/>
      <c r="B826" s="21" t="str">
        <f>IFERROR(VLOOKUP(A826,'PAÑOL TÉCNICO'!A826:B1000,2,0))</f>
        <v/>
      </c>
      <c r="C826" s="12"/>
      <c r="D826" s="12"/>
      <c r="E826" s="12"/>
    </row>
    <row r="827" ht="15.75" customHeight="1">
      <c r="A827" s="13"/>
      <c r="B827" s="21" t="str">
        <f>IFERROR(VLOOKUP(A827,'PAÑOL TÉCNICO'!A827:B1000,2,0))</f>
        <v/>
      </c>
      <c r="C827" s="12"/>
      <c r="D827" s="12"/>
      <c r="E827" s="12"/>
    </row>
    <row r="828" ht="15.75" customHeight="1">
      <c r="A828" s="13"/>
      <c r="B828" s="21" t="str">
        <f>IFERROR(VLOOKUP(A828,'PAÑOL TÉCNICO'!A828:B1000,2,0))</f>
        <v/>
      </c>
      <c r="C828" s="12"/>
      <c r="D828" s="12"/>
      <c r="E828" s="12"/>
    </row>
    <row r="829" ht="15.75" customHeight="1">
      <c r="A829" s="13"/>
      <c r="B829" s="21" t="str">
        <f>IFERROR(VLOOKUP(A829,'PAÑOL TÉCNICO'!A829:B1000,2,0))</f>
        <v/>
      </c>
      <c r="C829" s="12"/>
      <c r="D829" s="12"/>
      <c r="E829" s="12"/>
    </row>
    <row r="830" ht="15.75" customHeight="1">
      <c r="A830" s="13"/>
      <c r="B830" s="21" t="str">
        <f>IFERROR(VLOOKUP(A830,'PAÑOL TÉCNICO'!A830:B1000,2,0))</f>
        <v/>
      </c>
      <c r="C830" s="12"/>
      <c r="D830" s="12"/>
      <c r="E830" s="12"/>
    </row>
    <row r="831" ht="15.75" customHeight="1">
      <c r="A831" s="13"/>
      <c r="B831" s="21" t="str">
        <f>IFERROR(VLOOKUP(A831,'PAÑOL TÉCNICO'!A831:B1000,2,0))</f>
        <v/>
      </c>
      <c r="C831" s="12"/>
      <c r="D831" s="12"/>
      <c r="E831" s="12"/>
    </row>
    <row r="832" ht="15.75" customHeight="1">
      <c r="A832" s="13"/>
      <c r="B832" s="21" t="str">
        <f>IFERROR(VLOOKUP(A832,'PAÑOL TÉCNICO'!A832:B1000,2,0))</f>
        <v/>
      </c>
      <c r="C832" s="12"/>
      <c r="D832" s="12"/>
      <c r="E832" s="12"/>
    </row>
    <row r="833" ht="15.75" customHeight="1">
      <c r="A833" s="13"/>
      <c r="B833" s="21" t="str">
        <f>IFERROR(VLOOKUP(A833,'PAÑOL TÉCNICO'!A833:B1000,2,0))</f>
        <v/>
      </c>
      <c r="C833" s="12"/>
      <c r="D833" s="12"/>
      <c r="E833" s="12"/>
    </row>
    <row r="834" ht="15.75" customHeight="1">
      <c r="A834" s="13"/>
      <c r="B834" s="21" t="str">
        <f>IFERROR(VLOOKUP(A834,'PAÑOL TÉCNICO'!A834:B1000,2,0))</f>
        <v/>
      </c>
      <c r="C834" s="12"/>
      <c r="D834" s="12"/>
      <c r="E834" s="12"/>
    </row>
    <row r="835" ht="15.75" customHeight="1">
      <c r="A835" s="13"/>
      <c r="B835" s="21" t="str">
        <f>IFERROR(VLOOKUP(A835,'PAÑOL TÉCNICO'!A835:B1000,2,0))</f>
        <v/>
      </c>
      <c r="C835" s="12"/>
      <c r="D835" s="12"/>
      <c r="E835" s="12"/>
    </row>
    <row r="836" ht="15.75" customHeight="1">
      <c r="A836" s="13"/>
      <c r="B836" s="21" t="str">
        <f>IFERROR(VLOOKUP(A836,'PAÑOL TÉCNICO'!A836:B1000,2,0))</f>
        <v/>
      </c>
      <c r="C836" s="12"/>
      <c r="D836" s="12"/>
      <c r="E836" s="12"/>
    </row>
    <row r="837" ht="15.75" customHeight="1">
      <c r="A837" s="13"/>
      <c r="B837" s="21" t="str">
        <f>IFERROR(VLOOKUP(A837,'PAÑOL TÉCNICO'!A837:B1000,2,0))</f>
        <v/>
      </c>
      <c r="C837" s="12"/>
      <c r="D837" s="12"/>
      <c r="E837" s="12"/>
    </row>
    <row r="838" ht="15.75" customHeight="1">
      <c r="A838" s="13"/>
      <c r="B838" s="21" t="str">
        <f>IFERROR(VLOOKUP(A838,'PAÑOL TÉCNICO'!A838:B1000,2,0))</f>
        <v/>
      </c>
      <c r="C838" s="12"/>
      <c r="D838" s="12"/>
      <c r="E838" s="12"/>
    </row>
    <row r="839" ht="15.75" customHeight="1">
      <c r="A839" s="13"/>
      <c r="B839" s="21" t="str">
        <f>IFERROR(VLOOKUP(A839,'PAÑOL TÉCNICO'!A839:B1000,2,0))</f>
        <v/>
      </c>
      <c r="C839" s="12"/>
      <c r="D839" s="12"/>
      <c r="E839" s="12"/>
    </row>
    <row r="840" ht="15.75" customHeight="1">
      <c r="A840" s="13"/>
      <c r="B840" s="21" t="str">
        <f>IFERROR(VLOOKUP(A840,'PAÑOL TÉCNICO'!A840:B1000,2,0))</f>
        <v/>
      </c>
      <c r="C840" s="12"/>
      <c r="D840" s="12"/>
      <c r="E840" s="12"/>
    </row>
    <row r="841" ht="15.75" customHeight="1">
      <c r="A841" s="13"/>
      <c r="B841" s="21" t="str">
        <f>IFERROR(VLOOKUP(A841,'PAÑOL TÉCNICO'!A841:B1000,2,0))</f>
        <v/>
      </c>
      <c r="C841" s="12"/>
      <c r="D841" s="12"/>
      <c r="E841" s="12"/>
    </row>
    <row r="842" ht="15.75" customHeight="1">
      <c r="A842" s="13"/>
      <c r="B842" s="21" t="str">
        <f>IFERROR(VLOOKUP(A842,'PAÑOL TÉCNICO'!A842:B1000,2,0))</f>
        <v/>
      </c>
      <c r="C842" s="12"/>
      <c r="D842" s="12"/>
      <c r="E842" s="12"/>
    </row>
    <row r="843" ht="15.75" customHeight="1">
      <c r="A843" s="13"/>
      <c r="B843" s="21" t="str">
        <f>IFERROR(VLOOKUP(A843,'PAÑOL TÉCNICO'!A843:B1000,2,0))</f>
        <v/>
      </c>
      <c r="C843" s="12"/>
      <c r="D843" s="12"/>
      <c r="E843" s="12"/>
    </row>
    <row r="844" ht="15.75" customHeight="1">
      <c r="A844" s="13"/>
      <c r="B844" s="21" t="str">
        <f>IFERROR(VLOOKUP(A844,'PAÑOL TÉCNICO'!A844:B1000,2,0))</f>
        <v/>
      </c>
      <c r="C844" s="12"/>
      <c r="D844" s="12"/>
      <c r="E844" s="12"/>
    </row>
    <row r="845" ht="15.75" customHeight="1">
      <c r="A845" s="13"/>
      <c r="B845" s="21" t="str">
        <f>IFERROR(VLOOKUP(A845,'PAÑOL TÉCNICO'!A845:B1000,2,0))</f>
        <v/>
      </c>
      <c r="C845" s="12"/>
      <c r="D845" s="12"/>
      <c r="E845" s="12"/>
    </row>
    <row r="846" ht="15.75" customHeight="1">
      <c r="A846" s="13"/>
      <c r="B846" s="21" t="str">
        <f>IFERROR(VLOOKUP(A846,'PAÑOL TÉCNICO'!A846:B1000,2,0))</f>
        <v/>
      </c>
      <c r="C846" s="12"/>
      <c r="D846" s="12"/>
      <c r="E846" s="12"/>
    </row>
    <row r="847" ht="15.75" customHeight="1">
      <c r="A847" s="13"/>
      <c r="B847" s="21" t="str">
        <f>IFERROR(VLOOKUP(A847,'PAÑOL TÉCNICO'!A847:B1000,2,0))</f>
        <v/>
      </c>
      <c r="C847" s="12"/>
      <c r="D847" s="12"/>
      <c r="E847" s="12"/>
    </row>
    <row r="848" ht="15.75" customHeight="1">
      <c r="A848" s="13"/>
      <c r="B848" s="21" t="str">
        <f>IFERROR(VLOOKUP(A848,'PAÑOL TÉCNICO'!A848:B1000,2,0))</f>
        <v/>
      </c>
      <c r="C848" s="12"/>
      <c r="D848" s="12"/>
      <c r="E848" s="12"/>
    </row>
    <row r="849" ht="15.75" customHeight="1">
      <c r="A849" s="13"/>
      <c r="B849" s="21" t="str">
        <f>IFERROR(VLOOKUP(A849,'PAÑOL TÉCNICO'!A849:B1000,2,0))</f>
        <v/>
      </c>
      <c r="C849" s="12"/>
      <c r="D849" s="12"/>
      <c r="E849" s="12"/>
    </row>
    <row r="850" ht="15.75" customHeight="1">
      <c r="A850" s="13"/>
      <c r="B850" s="21" t="str">
        <f>IFERROR(VLOOKUP(A850,'PAÑOL TÉCNICO'!A850:B1000,2,0))</f>
        <v/>
      </c>
      <c r="C850" s="12"/>
      <c r="D850" s="12"/>
      <c r="E850" s="12"/>
    </row>
    <row r="851" ht="15.75" customHeight="1">
      <c r="A851" s="13"/>
      <c r="B851" s="21" t="str">
        <f>IFERROR(VLOOKUP(A851,'PAÑOL TÉCNICO'!A851:B1000,2,0))</f>
        <v/>
      </c>
      <c r="C851" s="12"/>
      <c r="D851" s="12"/>
      <c r="E851" s="12"/>
    </row>
    <row r="852" ht="15.75" customHeight="1">
      <c r="A852" s="13"/>
      <c r="B852" s="21" t="str">
        <f>IFERROR(VLOOKUP(A852,'PAÑOL TÉCNICO'!A852:B1000,2,0))</f>
        <v/>
      </c>
      <c r="C852" s="12"/>
      <c r="D852" s="12"/>
      <c r="E852" s="12"/>
    </row>
    <row r="853" ht="15.75" customHeight="1">
      <c r="A853" s="13"/>
      <c r="B853" s="21" t="str">
        <f>IFERROR(VLOOKUP(A853,'PAÑOL TÉCNICO'!A853:B1000,2,0))</f>
        <v/>
      </c>
      <c r="C853" s="12"/>
      <c r="D853" s="12"/>
      <c r="E853" s="12"/>
    </row>
    <row r="854" ht="15.75" customHeight="1">
      <c r="A854" s="13"/>
      <c r="B854" s="21" t="str">
        <f>IFERROR(VLOOKUP(A854,'PAÑOL TÉCNICO'!A854:B1000,2,0))</f>
        <v/>
      </c>
      <c r="C854" s="12"/>
      <c r="D854" s="12"/>
      <c r="E854" s="12"/>
    </row>
    <row r="855" ht="15.75" customHeight="1">
      <c r="A855" s="13"/>
      <c r="B855" s="21" t="str">
        <f>IFERROR(VLOOKUP(A855,'PAÑOL TÉCNICO'!A855:B1000,2,0))</f>
        <v/>
      </c>
      <c r="C855" s="12"/>
      <c r="D855" s="12"/>
      <c r="E855" s="12"/>
    </row>
    <row r="856" ht="15.75" customHeight="1">
      <c r="A856" s="13"/>
      <c r="B856" s="21" t="str">
        <f>IFERROR(VLOOKUP(A856,'PAÑOL TÉCNICO'!A856:B1000,2,0))</f>
        <v/>
      </c>
      <c r="C856" s="12"/>
      <c r="D856" s="12"/>
      <c r="E856" s="12"/>
    </row>
    <row r="857" ht="15.75" customHeight="1">
      <c r="A857" s="13"/>
      <c r="B857" s="21" t="str">
        <f>IFERROR(VLOOKUP(A857,'PAÑOL TÉCNICO'!A857:B1000,2,0))</f>
        <v/>
      </c>
      <c r="C857" s="12"/>
      <c r="D857" s="12"/>
      <c r="E857" s="12"/>
    </row>
    <row r="858" ht="15.75" customHeight="1">
      <c r="A858" s="13"/>
      <c r="B858" s="21" t="str">
        <f>IFERROR(VLOOKUP(A858,'PAÑOL TÉCNICO'!A858:B1000,2,0))</f>
        <v/>
      </c>
      <c r="C858" s="12"/>
      <c r="D858" s="12"/>
      <c r="E858" s="12"/>
    </row>
    <row r="859" ht="15.75" customHeight="1">
      <c r="A859" s="13"/>
      <c r="B859" s="21" t="str">
        <f>IFERROR(VLOOKUP(A859,'PAÑOL TÉCNICO'!A859:B1000,2,0))</f>
        <v/>
      </c>
      <c r="C859" s="12"/>
      <c r="D859" s="12"/>
      <c r="E859" s="12"/>
    </row>
    <row r="860" ht="15.75" customHeight="1">
      <c r="A860" s="13"/>
      <c r="B860" s="21" t="str">
        <f>IFERROR(VLOOKUP(A860,'PAÑOL TÉCNICO'!A860:B1000,2,0))</f>
        <v/>
      </c>
      <c r="C860" s="12"/>
      <c r="D860" s="12"/>
      <c r="E860" s="12"/>
    </row>
    <row r="861" ht="15.75" customHeight="1">
      <c r="A861" s="13"/>
      <c r="B861" s="21" t="str">
        <f>IFERROR(VLOOKUP(A861,'PAÑOL TÉCNICO'!A861:B1000,2,0))</f>
        <v/>
      </c>
      <c r="C861" s="12"/>
      <c r="D861" s="12"/>
      <c r="E861" s="12"/>
    </row>
    <row r="862" ht="15.75" customHeight="1">
      <c r="A862" s="13"/>
      <c r="B862" s="21" t="str">
        <f>IFERROR(VLOOKUP(A862,'PAÑOL TÉCNICO'!A862:B1000,2,0))</f>
        <v/>
      </c>
      <c r="C862" s="12"/>
      <c r="D862" s="12"/>
      <c r="E862" s="12"/>
    </row>
    <row r="863" ht="15.75" customHeight="1">
      <c r="A863" s="13"/>
      <c r="B863" s="21" t="str">
        <f>IFERROR(VLOOKUP(A863,'PAÑOL TÉCNICO'!A863:B1000,2,0))</f>
        <v/>
      </c>
      <c r="C863" s="12"/>
      <c r="D863" s="12"/>
      <c r="E863" s="12"/>
    </row>
    <row r="864" ht="15.75" customHeight="1">
      <c r="A864" s="13"/>
      <c r="B864" s="21" t="str">
        <f>IFERROR(VLOOKUP(A864,'PAÑOL TÉCNICO'!A864:B1000,2,0))</f>
        <v/>
      </c>
      <c r="C864" s="12"/>
      <c r="D864" s="12"/>
      <c r="E864" s="12"/>
    </row>
    <row r="865" ht="15.75" customHeight="1">
      <c r="A865" s="13"/>
      <c r="B865" s="21" t="str">
        <f>IFERROR(VLOOKUP(A865,'PAÑOL TÉCNICO'!A865:B1000,2,0))</f>
        <v/>
      </c>
      <c r="C865" s="12"/>
      <c r="D865" s="12"/>
      <c r="E865" s="12"/>
    </row>
    <row r="866" ht="15.75" customHeight="1">
      <c r="A866" s="13"/>
      <c r="B866" s="21" t="str">
        <f>IFERROR(VLOOKUP(A866,'PAÑOL TÉCNICO'!A866:B1000,2,0))</f>
        <v/>
      </c>
      <c r="C866" s="12"/>
      <c r="D866" s="12"/>
      <c r="E866" s="12"/>
    </row>
    <row r="867" ht="15.75" customHeight="1">
      <c r="A867" s="13"/>
      <c r="B867" s="21" t="str">
        <f>IFERROR(VLOOKUP(A867,'PAÑOL TÉCNICO'!A867:B1000,2,0))</f>
        <v/>
      </c>
      <c r="C867" s="12"/>
      <c r="D867" s="12"/>
      <c r="E867" s="12"/>
    </row>
    <row r="868" ht="15.75" customHeight="1">
      <c r="A868" s="13"/>
      <c r="B868" s="21" t="str">
        <f>IFERROR(VLOOKUP(A868,'PAÑOL TÉCNICO'!A868:B1000,2,0))</f>
        <v/>
      </c>
      <c r="C868" s="12"/>
      <c r="D868" s="12"/>
      <c r="E868" s="12"/>
    </row>
    <row r="869" ht="15.75" customHeight="1">
      <c r="A869" s="13"/>
      <c r="B869" s="21" t="str">
        <f>IFERROR(VLOOKUP(A869,'PAÑOL TÉCNICO'!A869:B1000,2,0))</f>
        <v/>
      </c>
      <c r="C869" s="12"/>
      <c r="D869" s="12"/>
      <c r="E869" s="12"/>
    </row>
    <row r="870" ht="15.75" customHeight="1">
      <c r="A870" s="13"/>
      <c r="B870" s="21" t="str">
        <f>IFERROR(VLOOKUP(A870,'PAÑOL TÉCNICO'!A870:B1000,2,0))</f>
        <v/>
      </c>
      <c r="C870" s="12"/>
      <c r="D870" s="12"/>
      <c r="E870" s="12"/>
    </row>
    <row r="871" ht="15.75" customHeight="1">
      <c r="A871" s="13"/>
      <c r="B871" s="21" t="str">
        <f>IFERROR(VLOOKUP(A871,'PAÑOL TÉCNICO'!A871:B1000,2,0))</f>
        <v/>
      </c>
      <c r="C871" s="12"/>
      <c r="D871" s="12"/>
      <c r="E871" s="12"/>
    </row>
    <row r="872" ht="15.75" customHeight="1">
      <c r="A872" s="13"/>
      <c r="B872" s="21" t="str">
        <f>IFERROR(VLOOKUP(A872,'PAÑOL TÉCNICO'!A872:B1000,2,0))</f>
        <v/>
      </c>
      <c r="C872" s="12"/>
      <c r="D872" s="12"/>
      <c r="E872" s="12"/>
    </row>
    <row r="873" ht="15.75" customHeight="1">
      <c r="A873" s="13"/>
      <c r="B873" s="21" t="str">
        <f>IFERROR(VLOOKUP(A873,'PAÑOL TÉCNICO'!A873:B1000,2,0))</f>
        <v/>
      </c>
      <c r="C873" s="12"/>
      <c r="D873" s="12"/>
      <c r="E873" s="12"/>
    </row>
    <row r="874" ht="15.75" customHeight="1">
      <c r="A874" s="13"/>
      <c r="B874" s="21" t="str">
        <f>IFERROR(VLOOKUP(A874,'PAÑOL TÉCNICO'!A874:B1000,2,0))</f>
        <v/>
      </c>
      <c r="C874" s="12"/>
      <c r="D874" s="12"/>
      <c r="E874" s="12"/>
    </row>
    <row r="875" ht="15.75" customHeight="1">
      <c r="A875" s="13"/>
      <c r="B875" s="21" t="str">
        <f>IFERROR(VLOOKUP(A875,'PAÑOL TÉCNICO'!A875:B1000,2,0))</f>
        <v/>
      </c>
      <c r="C875" s="12"/>
      <c r="D875" s="12"/>
      <c r="E875" s="12"/>
    </row>
    <row r="876" ht="15.75" customHeight="1">
      <c r="A876" s="13"/>
      <c r="B876" s="21" t="str">
        <f>IFERROR(VLOOKUP(A876,'PAÑOL TÉCNICO'!A876:B1000,2,0))</f>
        <v/>
      </c>
      <c r="C876" s="12"/>
      <c r="D876" s="12"/>
      <c r="E876" s="12"/>
    </row>
    <row r="877" ht="15.75" customHeight="1">
      <c r="A877" s="13"/>
      <c r="B877" s="21" t="str">
        <f>IFERROR(VLOOKUP(A877,'PAÑOL TÉCNICO'!A877:B1000,2,0))</f>
        <v/>
      </c>
      <c r="C877" s="12"/>
      <c r="D877" s="12"/>
      <c r="E877" s="12"/>
    </row>
    <row r="878" ht="15.75" customHeight="1">
      <c r="A878" s="13"/>
      <c r="B878" s="21" t="str">
        <f>IFERROR(VLOOKUP(A878,'PAÑOL TÉCNICO'!A878:B1000,2,0))</f>
        <v/>
      </c>
      <c r="C878" s="12"/>
      <c r="D878" s="12"/>
      <c r="E878" s="12"/>
    </row>
    <row r="879" ht="15.75" customHeight="1">
      <c r="A879" s="13"/>
      <c r="B879" s="21" t="str">
        <f>IFERROR(VLOOKUP(A879,'PAÑOL TÉCNICO'!A879:B1000,2,0))</f>
        <v/>
      </c>
      <c r="C879" s="12"/>
      <c r="D879" s="12"/>
      <c r="E879" s="12"/>
    </row>
    <row r="880" ht="15.75" customHeight="1">
      <c r="A880" s="13"/>
      <c r="B880" s="21" t="str">
        <f>IFERROR(VLOOKUP(A880,'PAÑOL TÉCNICO'!A880:B1000,2,0))</f>
        <v/>
      </c>
      <c r="C880" s="12"/>
      <c r="D880" s="12"/>
      <c r="E880" s="12"/>
    </row>
    <row r="881" ht="15.75" customHeight="1">
      <c r="A881" s="13"/>
      <c r="B881" s="21" t="str">
        <f>IFERROR(VLOOKUP(A881,'PAÑOL TÉCNICO'!A881:B1000,2,0))</f>
        <v/>
      </c>
      <c r="C881" s="12"/>
      <c r="D881" s="12"/>
      <c r="E881" s="12"/>
    </row>
    <row r="882" ht="15.75" customHeight="1">
      <c r="A882" s="13"/>
      <c r="B882" s="21" t="str">
        <f>IFERROR(VLOOKUP(A882,'PAÑOL TÉCNICO'!A882:B1000,2,0))</f>
        <v/>
      </c>
      <c r="C882" s="12"/>
      <c r="D882" s="12"/>
      <c r="E882" s="12"/>
    </row>
    <row r="883" ht="15.75" customHeight="1">
      <c r="A883" s="13"/>
      <c r="B883" s="21" t="str">
        <f>IFERROR(VLOOKUP(A883,'PAÑOL TÉCNICO'!A883:B1000,2,0))</f>
        <v/>
      </c>
      <c r="C883" s="12"/>
      <c r="D883" s="12"/>
      <c r="E883" s="12"/>
    </row>
    <row r="884" ht="15.75" customHeight="1">
      <c r="A884" s="13"/>
      <c r="B884" s="21" t="str">
        <f>IFERROR(VLOOKUP(A884,'PAÑOL TÉCNICO'!A884:B1000,2,0))</f>
        <v/>
      </c>
      <c r="C884" s="12"/>
      <c r="D884" s="12"/>
      <c r="E884" s="12"/>
    </row>
    <row r="885" ht="15.75" customHeight="1">
      <c r="A885" s="13"/>
      <c r="B885" s="21" t="str">
        <f>IFERROR(VLOOKUP(A885,'PAÑOL TÉCNICO'!A885:B1000,2,0))</f>
        <v/>
      </c>
      <c r="C885" s="12"/>
      <c r="D885" s="12"/>
      <c r="E885" s="12"/>
    </row>
    <row r="886" ht="15.75" customHeight="1">
      <c r="A886" s="13"/>
      <c r="B886" s="21" t="str">
        <f>IFERROR(VLOOKUP(A886,'PAÑOL TÉCNICO'!A886:B1000,2,0))</f>
        <v/>
      </c>
      <c r="C886" s="12"/>
      <c r="D886" s="12"/>
      <c r="E886" s="12"/>
    </row>
    <row r="887" ht="15.75" customHeight="1">
      <c r="A887" s="13"/>
      <c r="B887" s="21" t="str">
        <f>IFERROR(VLOOKUP(A887,'PAÑOL TÉCNICO'!A887:B1000,2,0))</f>
        <v/>
      </c>
      <c r="C887" s="12"/>
      <c r="D887" s="12"/>
      <c r="E887" s="12"/>
    </row>
    <row r="888" ht="15.75" customHeight="1">
      <c r="A888" s="13"/>
      <c r="B888" s="21" t="str">
        <f>IFERROR(VLOOKUP(A888,'PAÑOL TÉCNICO'!A888:B1000,2,0))</f>
        <v/>
      </c>
      <c r="C888" s="12"/>
      <c r="D888" s="12"/>
      <c r="E888" s="12"/>
    </row>
    <row r="889" ht="15.75" customHeight="1">
      <c r="A889" s="13"/>
      <c r="B889" s="21" t="str">
        <f>IFERROR(VLOOKUP(A889,'PAÑOL TÉCNICO'!A889:B1000,2,0))</f>
        <v/>
      </c>
      <c r="C889" s="12"/>
      <c r="D889" s="12"/>
      <c r="E889" s="12"/>
    </row>
    <row r="890" ht="15.75" customHeight="1">
      <c r="A890" s="13"/>
      <c r="B890" s="21" t="str">
        <f>IFERROR(VLOOKUP(A890,'PAÑOL TÉCNICO'!A890:B1000,2,0))</f>
        <v/>
      </c>
      <c r="C890" s="12"/>
      <c r="D890" s="12"/>
      <c r="E890" s="12"/>
    </row>
    <row r="891" ht="15.75" customHeight="1">
      <c r="A891" s="13"/>
      <c r="B891" s="21" t="str">
        <f>IFERROR(VLOOKUP(A891,'PAÑOL TÉCNICO'!A891:B1000,2,0))</f>
        <v/>
      </c>
      <c r="C891" s="12"/>
      <c r="D891" s="12"/>
      <c r="E891" s="12"/>
    </row>
    <row r="892" ht="15.75" customHeight="1">
      <c r="A892" s="13"/>
      <c r="B892" s="21" t="str">
        <f>IFERROR(VLOOKUP(A892,'PAÑOL TÉCNICO'!A892:B1000,2,0))</f>
        <v/>
      </c>
      <c r="C892" s="12"/>
      <c r="D892" s="12"/>
      <c r="E892" s="12"/>
    </row>
    <row r="893" ht="15.75" customHeight="1">
      <c r="A893" s="13"/>
      <c r="B893" s="21" t="str">
        <f>IFERROR(VLOOKUP(A893,'PAÑOL TÉCNICO'!A893:B1000,2,0))</f>
        <v/>
      </c>
      <c r="C893" s="12"/>
      <c r="D893" s="12"/>
      <c r="E893" s="12"/>
    </row>
    <row r="894" ht="15.75" customHeight="1">
      <c r="A894" s="13"/>
      <c r="B894" s="21" t="str">
        <f>IFERROR(VLOOKUP(A894,'PAÑOL TÉCNICO'!A894:B1000,2,0))</f>
        <v/>
      </c>
      <c r="C894" s="12"/>
      <c r="D894" s="12"/>
      <c r="E894" s="12"/>
    </row>
    <row r="895" ht="15.75" customHeight="1">
      <c r="A895" s="13"/>
      <c r="B895" s="21" t="str">
        <f>IFERROR(VLOOKUP(A895,'PAÑOL TÉCNICO'!A895:B1000,2,0))</f>
        <v/>
      </c>
      <c r="C895" s="12"/>
      <c r="D895" s="12"/>
      <c r="E895" s="12"/>
    </row>
    <row r="896" ht="15.75" customHeight="1">
      <c r="A896" s="13"/>
      <c r="B896" s="21" t="str">
        <f>IFERROR(VLOOKUP(A896,'PAÑOL TÉCNICO'!A896:B1000,2,0))</f>
        <v/>
      </c>
      <c r="C896" s="12"/>
      <c r="D896" s="12"/>
      <c r="E896" s="12"/>
    </row>
    <row r="897" ht="15.75" customHeight="1">
      <c r="A897" s="13"/>
      <c r="B897" s="21" t="str">
        <f>IFERROR(VLOOKUP(A897,'PAÑOL TÉCNICO'!A897:B1000,2,0))</f>
        <v/>
      </c>
      <c r="C897" s="12"/>
      <c r="D897" s="12"/>
      <c r="E897" s="12"/>
    </row>
    <row r="898" ht="15.75" customHeight="1">
      <c r="A898" s="13"/>
      <c r="B898" s="21" t="str">
        <f>IFERROR(VLOOKUP(A898,'PAÑOL TÉCNICO'!A898:B1000,2,0))</f>
        <v/>
      </c>
      <c r="C898" s="12"/>
      <c r="D898" s="12"/>
      <c r="E898" s="12"/>
    </row>
    <row r="899" ht="15.75" customHeight="1">
      <c r="A899" s="13"/>
      <c r="B899" s="21" t="str">
        <f>IFERROR(VLOOKUP(A899,'PAÑOL TÉCNICO'!A899:B1000,2,0))</f>
        <v/>
      </c>
      <c r="C899" s="12"/>
      <c r="D899" s="12"/>
      <c r="E899" s="12"/>
    </row>
    <row r="900" ht="15.75" customHeight="1">
      <c r="A900" s="13"/>
      <c r="B900" s="21" t="str">
        <f>IFERROR(VLOOKUP(A900,'PAÑOL TÉCNICO'!A900:B1000,2,0))</f>
        <v/>
      </c>
      <c r="C900" s="12"/>
      <c r="D900" s="12"/>
      <c r="E900" s="12"/>
    </row>
    <row r="901" ht="15.75" customHeight="1">
      <c r="A901" s="13"/>
      <c r="B901" s="21" t="str">
        <f>IFERROR(VLOOKUP(A901,'PAÑOL TÉCNICO'!A901:B1000,2,0))</f>
        <v/>
      </c>
      <c r="C901" s="12"/>
      <c r="D901" s="12"/>
      <c r="E901" s="12"/>
    </row>
    <row r="902" ht="15.75" customHeight="1">
      <c r="A902" s="13"/>
      <c r="B902" s="21" t="str">
        <f>IFERROR(VLOOKUP(A902,'PAÑOL TÉCNICO'!A902:B1000,2,0))</f>
        <v/>
      </c>
      <c r="C902" s="12"/>
      <c r="D902" s="12"/>
      <c r="E902" s="12"/>
    </row>
    <row r="903" ht="15.75" customHeight="1">
      <c r="A903" s="13"/>
      <c r="B903" s="21" t="str">
        <f>IFERROR(VLOOKUP(A903,'PAÑOL TÉCNICO'!A903:B1000,2,0))</f>
        <v/>
      </c>
      <c r="C903" s="12"/>
      <c r="D903" s="12"/>
      <c r="E903" s="12"/>
    </row>
    <row r="904" ht="15.75" customHeight="1">
      <c r="A904" s="13"/>
      <c r="B904" s="21" t="str">
        <f>IFERROR(VLOOKUP(A904,'PAÑOL TÉCNICO'!A904:B1000,2,0))</f>
        <v/>
      </c>
      <c r="C904" s="12"/>
      <c r="D904" s="12"/>
      <c r="E904" s="12"/>
    </row>
    <row r="905" ht="15.75" customHeight="1">
      <c r="A905" s="13"/>
      <c r="B905" s="21" t="str">
        <f>IFERROR(VLOOKUP(A905,'PAÑOL TÉCNICO'!A905:B1000,2,0))</f>
        <v/>
      </c>
      <c r="C905" s="12"/>
      <c r="D905" s="12"/>
      <c r="E905" s="12"/>
    </row>
    <row r="906" ht="15.75" customHeight="1">
      <c r="A906" s="13"/>
      <c r="B906" s="21" t="str">
        <f>IFERROR(VLOOKUP(A906,'PAÑOL TÉCNICO'!A906:B1000,2,0))</f>
        <v/>
      </c>
      <c r="C906" s="12"/>
      <c r="D906" s="12"/>
      <c r="E906" s="12"/>
    </row>
    <row r="907" ht="15.75" customHeight="1">
      <c r="A907" s="13"/>
      <c r="B907" s="21" t="str">
        <f>IFERROR(VLOOKUP(A907,'PAÑOL TÉCNICO'!A907:B1000,2,0))</f>
        <v/>
      </c>
      <c r="C907" s="12"/>
      <c r="D907" s="12"/>
      <c r="E907" s="12"/>
    </row>
    <row r="908" ht="15.75" customHeight="1">
      <c r="A908" s="13"/>
      <c r="B908" s="21" t="str">
        <f>IFERROR(VLOOKUP(A908,'PAÑOL TÉCNICO'!A908:B1000,2,0))</f>
        <v/>
      </c>
      <c r="C908" s="12"/>
      <c r="D908" s="12"/>
      <c r="E908" s="12"/>
    </row>
    <row r="909" ht="15.75" customHeight="1">
      <c r="A909" s="13"/>
      <c r="B909" s="21" t="str">
        <f>IFERROR(VLOOKUP(A909,'PAÑOL TÉCNICO'!A909:B1000,2,0))</f>
        <v/>
      </c>
      <c r="C909" s="12"/>
      <c r="D909" s="12"/>
      <c r="E909" s="12"/>
    </row>
    <row r="910" ht="15.75" customHeight="1">
      <c r="A910" s="13"/>
      <c r="B910" s="21" t="str">
        <f>IFERROR(VLOOKUP(A910,'PAÑOL TÉCNICO'!A910:B1000,2,0))</f>
        <v/>
      </c>
      <c r="C910" s="12"/>
      <c r="D910" s="12"/>
      <c r="E910" s="12"/>
    </row>
    <row r="911" ht="15.75" customHeight="1">
      <c r="A911" s="13"/>
      <c r="B911" s="21" t="str">
        <f>IFERROR(VLOOKUP(A911,'PAÑOL TÉCNICO'!A911:B1000,2,0))</f>
        <v/>
      </c>
      <c r="C911" s="12"/>
      <c r="D911" s="12"/>
      <c r="E911" s="12"/>
    </row>
    <row r="912" ht="15.75" customHeight="1">
      <c r="A912" s="13"/>
      <c r="B912" s="21" t="str">
        <f>IFERROR(VLOOKUP(A912,'PAÑOL TÉCNICO'!A912:B1000,2,0))</f>
        <v/>
      </c>
      <c r="C912" s="12"/>
      <c r="D912" s="12"/>
      <c r="E912" s="12"/>
    </row>
    <row r="913" ht="15.75" customHeight="1">
      <c r="A913" s="13"/>
      <c r="B913" s="21" t="str">
        <f>IFERROR(VLOOKUP(A913,'PAÑOL TÉCNICO'!A913:B1000,2,0))</f>
        <v/>
      </c>
      <c r="C913" s="12"/>
      <c r="D913" s="12"/>
      <c r="E913" s="12"/>
    </row>
    <row r="914" ht="15.75" customHeight="1">
      <c r="A914" s="13"/>
      <c r="B914" s="21" t="str">
        <f>IFERROR(VLOOKUP(A914,'PAÑOL TÉCNICO'!A914:B1000,2,0))</f>
        <v/>
      </c>
      <c r="C914" s="12"/>
      <c r="D914" s="12"/>
      <c r="E914" s="12"/>
    </row>
    <row r="915" ht="15.75" customHeight="1">
      <c r="A915" s="13"/>
      <c r="B915" s="21" t="str">
        <f>IFERROR(VLOOKUP(A915,'PAÑOL TÉCNICO'!A915:B1000,2,0))</f>
        <v/>
      </c>
      <c r="C915" s="12"/>
      <c r="D915" s="12"/>
      <c r="E915" s="12"/>
    </row>
    <row r="916" ht="15.75" customHeight="1">
      <c r="A916" s="13"/>
      <c r="B916" s="21" t="str">
        <f>IFERROR(VLOOKUP(A916,'PAÑOL TÉCNICO'!A916:B1000,2,0))</f>
        <v/>
      </c>
      <c r="C916" s="12"/>
      <c r="D916" s="12"/>
      <c r="E916" s="12"/>
    </row>
    <row r="917" ht="15.75" customHeight="1">
      <c r="A917" s="13"/>
      <c r="B917" s="21" t="str">
        <f>IFERROR(VLOOKUP(A917,'PAÑOL TÉCNICO'!A917:B1000,2,0))</f>
        <v/>
      </c>
      <c r="C917" s="12"/>
      <c r="D917" s="12"/>
      <c r="E917" s="12"/>
    </row>
    <row r="918" ht="15.75" customHeight="1">
      <c r="A918" s="13"/>
      <c r="B918" s="21" t="str">
        <f>IFERROR(VLOOKUP(A918,'PAÑOL TÉCNICO'!A918:B1000,2,0))</f>
        <v/>
      </c>
      <c r="C918" s="12"/>
      <c r="D918" s="12"/>
      <c r="E918" s="12"/>
    </row>
    <row r="919" ht="15.75" customHeight="1">
      <c r="A919" s="13"/>
      <c r="B919" s="21" t="str">
        <f>IFERROR(VLOOKUP(A919,'PAÑOL TÉCNICO'!A919:B1000,2,0))</f>
        <v/>
      </c>
      <c r="C919" s="12"/>
      <c r="D919" s="12"/>
      <c r="E919" s="12"/>
    </row>
    <row r="920" ht="15.75" customHeight="1">
      <c r="A920" s="13"/>
      <c r="B920" s="21" t="str">
        <f>IFERROR(VLOOKUP(A920,'PAÑOL TÉCNICO'!A920:B1000,2,0))</f>
        <v/>
      </c>
      <c r="C920" s="12"/>
      <c r="D920" s="12"/>
      <c r="E920" s="12"/>
    </row>
    <row r="921" ht="15.75" customHeight="1">
      <c r="A921" s="13"/>
      <c r="B921" s="21" t="str">
        <f>IFERROR(VLOOKUP(A921,'PAÑOL TÉCNICO'!A921:B1000,2,0))</f>
        <v/>
      </c>
      <c r="C921" s="12"/>
      <c r="D921" s="12"/>
      <c r="E921" s="12"/>
    </row>
    <row r="922" ht="15.75" customHeight="1">
      <c r="A922" s="13"/>
      <c r="B922" s="21" t="str">
        <f>IFERROR(VLOOKUP(A922,'PAÑOL TÉCNICO'!A922:B1000,2,0))</f>
        <v/>
      </c>
      <c r="C922" s="12"/>
      <c r="D922" s="12"/>
      <c r="E922" s="12"/>
    </row>
    <row r="923" ht="15.75" customHeight="1">
      <c r="A923" s="13"/>
      <c r="B923" s="21" t="str">
        <f>IFERROR(VLOOKUP(A923,'PAÑOL TÉCNICO'!A923:B1000,2,0))</f>
        <v/>
      </c>
      <c r="C923" s="12"/>
      <c r="D923" s="12"/>
      <c r="E923" s="12"/>
    </row>
    <row r="924" ht="15.75" customHeight="1">
      <c r="A924" s="13"/>
      <c r="B924" s="21" t="str">
        <f>IFERROR(VLOOKUP(A924,'PAÑOL TÉCNICO'!A924:B1000,2,0))</f>
        <v/>
      </c>
      <c r="C924" s="12"/>
      <c r="D924" s="12"/>
      <c r="E924" s="12"/>
    </row>
    <row r="925" ht="15.75" customHeight="1">
      <c r="A925" s="13"/>
      <c r="B925" s="21" t="str">
        <f>IFERROR(VLOOKUP(A925,'PAÑOL TÉCNICO'!A925:B1000,2,0))</f>
        <v/>
      </c>
      <c r="C925" s="12"/>
      <c r="D925" s="12"/>
      <c r="E925" s="12"/>
    </row>
    <row r="926" ht="15.75" customHeight="1">
      <c r="A926" s="13"/>
      <c r="B926" s="21" t="str">
        <f>IFERROR(VLOOKUP(A926,'PAÑOL TÉCNICO'!A926:B1000,2,0))</f>
        <v/>
      </c>
      <c r="C926" s="12"/>
      <c r="D926" s="12"/>
      <c r="E926" s="12"/>
    </row>
    <row r="927" ht="15.75" customHeight="1">
      <c r="A927" s="13"/>
      <c r="B927" s="21" t="str">
        <f>IFERROR(VLOOKUP(A927,'PAÑOL TÉCNICO'!A927:B1000,2,0))</f>
        <v/>
      </c>
      <c r="C927" s="12"/>
      <c r="D927" s="12"/>
      <c r="E927" s="12"/>
    </row>
    <row r="928" ht="15.75" customHeight="1">
      <c r="A928" s="13"/>
      <c r="B928" s="21" t="str">
        <f>IFERROR(VLOOKUP(A928,'PAÑOL TÉCNICO'!A928:B1000,2,0))</f>
        <v/>
      </c>
      <c r="C928" s="12"/>
      <c r="D928" s="12"/>
      <c r="E928" s="12"/>
    </row>
    <row r="929" ht="15.75" customHeight="1">
      <c r="A929" s="13"/>
      <c r="B929" s="21" t="str">
        <f>IFERROR(VLOOKUP(A929,'PAÑOL TÉCNICO'!A929:B1000,2,0))</f>
        <v/>
      </c>
      <c r="C929" s="12"/>
      <c r="D929" s="12"/>
      <c r="E929" s="12"/>
    </row>
    <row r="930" ht="15.75" customHeight="1">
      <c r="A930" s="13"/>
      <c r="B930" s="21" t="str">
        <f>IFERROR(VLOOKUP(A930,'PAÑOL TÉCNICO'!A930:B1000,2,0))</f>
        <v/>
      </c>
      <c r="C930" s="12"/>
      <c r="D930" s="12"/>
      <c r="E930" s="12"/>
    </row>
    <row r="931" ht="15.75" customHeight="1">
      <c r="A931" s="13"/>
      <c r="B931" s="21" t="str">
        <f>IFERROR(VLOOKUP(A931,'PAÑOL TÉCNICO'!A931:B1000,2,0))</f>
        <v/>
      </c>
      <c r="C931" s="12"/>
      <c r="D931" s="12"/>
      <c r="E931" s="12"/>
    </row>
    <row r="932" ht="15.75" customHeight="1">
      <c r="A932" s="13"/>
      <c r="B932" s="21" t="str">
        <f>IFERROR(VLOOKUP(A932,'PAÑOL TÉCNICO'!A932:B1000,2,0))</f>
        <v/>
      </c>
      <c r="C932" s="12"/>
      <c r="D932" s="12"/>
      <c r="E932" s="12"/>
    </row>
    <row r="933" ht="15.75" customHeight="1">
      <c r="A933" s="13"/>
      <c r="B933" s="21" t="str">
        <f>IFERROR(VLOOKUP(A933,'PAÑOL TÉCNICO'!A933:B1000,2,0))</f>
        <v/>
      </c>
      <c r="C933" s="12"/>
      <c r="D933" s="12"/>
      <c r="E933" s="12"/>
    </row>
    <row r="934" ht="15.75" customHeight="1">
      <c r="A934" s="13"/>
      <c r="B934" s="21" t="str">
        <f>IFERROR(VLOOKUP(A934,'PAÑOL TÉCNICO'!A934:B1000,2,0))</f>
        <v/>
      </c>
      <c r="C934" s="12"/>
      <c r="D934" s="12"/>
      <c r="E934" s="12"/>
    </row>
    <row r="935" ht="15.75" customHeight="1">
      <c r="A935" s="13"/>
      <c r="B935" s="21" t="str">
        <f>IFERROR(VLOOKUP(A935,'PAÑOL TÉCNICO'!A935:B1000,2,0))</f>
        <v/>
      </c>
      <c r="C935" s="12"/>
      <c r="D935" s="12"/>
      <c r="E935" s="12"/>
    </row>
    <row r="936" ht="15.75" customHeight="1">
      <c r="A936" s="13"/>
      <c r="B936" s="21" t="str">
        <f>IFERROR(VLOOKUP(A936,'PAÑOL TÉCNICO'!A936:B1000,2,0))</f>
        <v/>
      </c>
      <c r="C936" s="12"/>
      <c r="D936" s="12"/>
      <c r="E936" s="12"/>
    </row>
    <row r="937" ht="15.75" customHeight="1">
      <c r="A937" s="13"/>
      <c r="B937" s="21" t="str">
        <f>IFERROR(VLOOKUP(A937,'PAÑOL TÉCNICO'!A937:B1000,2,0))</f>
        <v/>
      </c>
      <c r="C937" s="12"/>
      <c r="D937" s="12"/>
      <c r="E937" s="12"/>
    </row>
    <row r="938" ht="15.75" customHeight="1">
      <c r="A938" s="13"/>
      <c r="B938" s="21" t="str">
        <f>IFERROR(VLOOKUP(A938,'PAÑOL TÉCNICO'!A938:B1000,2,0))</f>
        <v/>
      </c>
      <c r="C938" s="12"/>
      <c r="D938" s="12"/>
      <c r="E938" s="12"/>
    </row>
    <row r="939" ht="15.75" customHeight="1">
      <c r="A939" s="13"/>
      <c r="B939" s="21" t="str">
        <f>IFERROR(VLOOKUP(A939,'PAÑOL TÉCNICO'!A939:B1000,2,0))</f>
        <v/>
      </c>
      <c r="C939" s="12"/>
      <c r="D939" s="12"/>
      <c r="E939" s="12"/>
    </row>
    <row r="940" ht="15.75" customHeight="1">
      <c r="A940" s="13"/>
      <c r="B940" s="21" t="str">
        <f>IFERROR(VLOOKUP(A940,'PAÑOL TÉCNICO'!A940:B1000,2,0))</f>
        <v/>
      </c>
      <c r="C940" s="12"/>
      <c r="D940" s="12"/>
      <c r="E940" s="12"/>
    </row>
    <row r="941" ht="15.75" customHeight="1">
      <c r="A941" s="13"/>
      <c r="B941" s="21" t="str">
        <f>IFERROR(VLOOKUP(A941,'PAÑOL TÉCNICO'!A941:B1000,2,0))</f>
        <v/>
      </c>
      <c r="C941" s="12"/>
      <c r="D941" s="12"/>
      <c r="E941" s="12"/>
    </row>
    <row r="942" ht="15.75" customHeight="1">
      <c r="A942" s="13"/>
      <c r="B942" s="21" t="str">
        <f>IFERROR(VLOOKUP(A942,'PAÑOL TÉCNICO'!A942:B1000,2,0))</f>
        <v/>
      </c>
      <c r="C942" s="12"/>
      <c r="D942" s="12"/>
      <c r="E942" s="12"/>
    </row>
    <row r="943" ht="15.75" customHeight="1">
      <c r="A943" s="13"/>
      <c r="B943" s="21" t="str">
        <f>IFERROR(VLOOKUP(A943,'PAÑOL TÉCNICO'!A943:B1000,2,0))</f>
        <v/>
      </c>
      <c r="C943" s="12"/>
      <c r="D943" s="12"/>
      <c r="E943" s="12"/>
    </row>
    <row r="944" ht="15.75" customHeight="1">
      <c r="A944" s="13"/>
      <c r="B944" s="21" t="str">
        <f>IFERROR(VLOOKUP(A944,'PAÑOL TÉCNICO'!A944:B1000,2,0))</f>
        <v/>
      </c>
      <c r="C944" s="12"/>
      <c r="D944" s="12"/>
      <c r="E944" s="12"/>
    </row>
    <row r="945" ht="15.75" customHeight="1">
      <c r="A945" s="13"/>
      <c r="B945" s="21" t="str">
        <f>IFERROR(VLOOKUP(A945,'PAÑOL TÉCNICO'!A945:B1000,2,0))</f>
        <v/>
      </c>
      <c r="C945" s="12"/>
      <c r="D945" s="12"/>
      <c r="E945" s="12"/>
    </row>
    <row r="946" ht="15.75" customHeight="1">
      <c r="A946" s="13"/>
      <c r="B946" s="21" t="str">
        <f>IFERROR(VLOOKUP(A946,'PAÑOL TÉCNICO'!A946:B1000,2,0))</f>
        <v/>
      </c>
      <c r="C946" s="12"/>
      <c r="D946" s="12"/>
      <c r="E946" s="12"/>
    </row>
    <row r="947" ht="15.75" customHeight="1">
      <c r="A947" s="13"/>
      <c r="B947" s="21" t="str">
        <f>IFERROR(VLOOKUP(A947,'PAÑOL TÉCNICO'!A947:B1000,2,0))</f>
        <v/>
      </c>
      <c r="C947" s="12"/>
      <c r="D947" s="12"/>
      <c r="E947" s="12"/>
    </row>
    <row r="948" ht="15.75" customHeight="1">
      <c r="A948" s="13"/>
      <c r="B948" s="21" t="str">
        <f>IFERROR(VLOOKUP(A948,'PAÑOL TÉCNICO'!A948:B1000,2,0))</f>
        <v/>
      </c>
      <c r="C948" s="12"/>
      <c r="D948" s="12"/>
      <c r="E948" s="12"/>
    </row>
    <row r="949" ht="15.75" customHeight="1">
      <c r="A949" s="13"/>
      <c r="B949" s="21" t="str">
        <f>IFERROR(VLOOKUP(A949,'PAÑOL TÉCNICO'!A949:B1000,2,0))</f>
        <v/>
      </c>
      <c r="C949" s="12"/>
      <c r="D949" s="12"/>
      <c r="E949" s="12"/>
    </row>
    <row r="950" ht="15.75" customHeight="1">
      <c r="A950" s="13"/>
      <c r="B950" s="21" t="str">
        <f>IFERROR(VLOOKUP(A950,'PAÑOL TÉCNICO'!A950:B1000,2,0))</f>
        <v/>
      </c>
      <c r="C950" s="12"/>
      <c r="D950" s="12"/>
      <c r="E950" s="12"/>
    </row>
    <row r="951" ht="15.75" customHeight="1">
      <c r="A951" s="13"/>
      <c r="B951" s="21" t="str">
        <f>IFERROR(VLOOKUP(A951,'PAÑOL TÉCNICO'!A951:B1000,2,0))</f>
        <v/>
      </c>
      <c r="C951" s="12"/>
      <c r="D951" s="12"/>
      <c r="E951" s="12"/>
    </row>
    <row r="952" ht="15.75" customHeight="1">
      <c r="A952" s="13"/>
      <c r="B952" s="21" t="str">
        <f>IFERROR(VLOOKUP(A952,'PAÑOL TÉCNICO'!A952:B1000,2,0))</f>
        <v/>
      </c>
      <c r="C952" s="12"/>
      <c r="D952" s="12"/>
      <c r="E952" s="12"/>
    </row>
    <row r="953" ht="15.75" customHeight="1">
      <c r="A953" s="13"/>
      <c r="B953" s="21" t="str">
        <f>IFERROR(VLOOKUP(A953,'PAÑOL TÉCNICO'!A953:B1000,2,0))</f>
        <v/>
      </c>
      <c r="C953" s="12"/>
      <c r="D953" s="12"/>
      <c r="E953" s="12"/>
    </row>
    <row r="954" ht="15.75" customHeight="1">
      <c r="A954" s="13"/>
      <c r="B954" s="21" t="str">
        <f>IFERROR(VLOOKUP(A954,'PAÑOL TÉCNICO'!A954:B1000,2,0))</f>
        <v/>
      </c>
      <c r="C954" s="12"/>
      <c r="D954" s="12"/>
      <c r="E954" s="12"/>
    </row>
    <row r="955" ht="15.75" customHeight="1">
      <c r="A955" s="13"/>
      <c r="B955" s="21" t="str">
        <f>IFERROR(VLOOKUP(A955,'PAÑOL TÉCNICO'!A955:B1000,2,0))</f>
        <v/>
      </c>
      <c r="C955" s="12"/>
      <c r="D955" s="12"/>
      <c r="E955" s="12"/>
    </row>
    <row r="956" ht="15.75" customHeight="1">
      <c r="A956" s="13"/>
      <c r="B956" s="21" t="str">
        <f>IFERROR(VLOOKUP(A956,'PAÑOL TÉCNICO'!A956:B1000,2,0))</f>
        <v/>
      </c>
      <c r="C956" s="12"/>
      <c r="D956" s="12"/>
      <c r="E956" s="12"/>
    </row>
    <row r="957" ht="15.75" customHeight="1">
      <c r="A957" s="13"/>
      <c r="B957" s="21" t="str">
        <f>IFERROR(VLOOKUP(A957,'PAÑOL TÉCNICO'!A957:B1000,2,0))</f>
        <v/>
      </c>
      <c r="C957" s="12"/>
      <c r="D957" s="12"/>
      <c r="E957" s="12"/>
    </row>
    <row r="958" ht="15.75" customHeight="1">
      <c r="A958" s="13"/>
      <c r="B958" s="21" t="str">
        <f>IFERROR(VLOOKUP(A958,'PAÑOL TÉCNICO'!A958:B1000,2,0))</f>
        <v/>
      </c>
      <c r="C958" s="12"/>
      <c r="D958" s="12"/>
      <c r="E958" s="12"/>
    </row>
    <row r="959" ht="15.75" customHeight="1">
      <c r="A959" s="13"/>
      <c r="B959" s="21" t="str">
        <f>IFERROR(VLOOKUP(A959,'PAÑOL TÉCNICO'!A959:B1000,2,0))</f>
        <v/>
      </c>
      <c r="C959" s="12"/>
      <c r="D959" s="12"/>
      <c r="E959" s="12"/>
    </row>
    <row r="960" ht="15.75" customHeight="1">
      <c r="A960" s="13"/>
      <c r="B960" s="21" t="str">
        <f>IFERROR(VLOOKUP(A960,'PAÑOL TÉCNICO'!A960:B1000,2,0))</f>
        <v/>
      </c>
      <c r="C960" s="12"/>
      <c r="D960" s="12"/>
      <c r="E960" s="12"/>
    </row>
    <row r="961" ht="15.75" customHeight="1">
      <c r="A961" s="13"/>
      <c r="B961" s="21" t="str">
        <f>IFERROR(VLOOKUP(A961,'PAÑOL TÉCNICO'!A961:B1000,2,0))</f>
        <v/>
      </c>
      <c r="C961" s="12"/>
      <c r="D961" s="12"/>
      <c r="E961" s="12"/>
    </row>
    <row r="962" ht="15.75" customHeight="1">
      <c r="A962" s="13"/>
      <c r="B962" s="21" t="str">
        <f>IFERROR(VLOOKUP(A962,'PAÑOL TÉCNICO'!A962:B1000,2,0))</f>
        <v/>
      </c>
      <c r="C962" s="12"/>
      <c r="D962" s="12"/>
      <c r="E962" s="12"/>
    </row>
    <row r="963" ht="15.75" customHeight="1">
      <c r="A963" s="13"/>
      <c r="B963" s="21" t="str">
        <f>IFERROR(VLOOKUP(A963,'PAÑOL TÉCNICO'!A963:B1000,2,0))</f>
        <v/>
      </c>
      <c r="C963" s="12"/>
      <c r="D963" s="12"/>
      <c r="E963" s="12"/>
    </row>
    <row r="964" ht="15.75" customHeight="1">
      <c r="A964" s="13"/>
      <c r="B964" s="21" t="str">
        <f>IFERROR(VLOOKUP(A964,'PAÑOL TÉCNICO'!A964:B1000,2,0))</f>
        <v/>
      </c>
      <c r="C964" s="12"/>
      <c r="D964" s="12"/>
      <c r="E964" s="12"/>
    </row>
    <row r="965" ht="15.75" customHeight="1">
      <c r="A965" s="13"/>
      <c r="B965" s="21" t="str">
        <f>IFERROR(VLOOKUP(A965,'PAÑOL TÉCNICO'!A965:B1000,2,0))</f>
        <v/>
      </c>
      <c r="C965" s="12"/>
      <c r="D965" s="12"/>
      <c r="E965" s="12"/>
    </row>
    <row r="966" ht="15.75" customHeight="1">
      <c r="A966" s="13"/>
      <c r="B966" s="21" t="str">
        <f>IFERROR(VLOOKUP(A966,'PAÑOL TÉCNICO'!A966:B1000,2,0))</f>
        <v/>
      </c>
      <c r="C966" s="12"/>
      <c r="D966" s="12"/>
      <c r="E966" s="12"/>
    </row>
    <row r="967" ht="15.75" customHeight="1">
      <c r="A967" s="13"/>
      <c r="B967" s="21" t="str">
        <f>IFERROR(VLOOKUP(A967,'PAÑOL TÉCNICO'!A967:B1000,2,0))</f>
        <v/>
      </c>
      <c r="C967" s="12"/>
      <c r="D967" s="12"/>
      <c r="E967" s="12"/>
    </row>
    <row r="968" ht="15.75" customHeight="1">
      <c r="A968" s="13"/>
      <c r="B968" s="21" t="str">
        <f>IFERROR(VLOOKUP(A968,'PAÑOL TÉCNICO'!A968:B1000,2,0))</f>
        <v/>
      </c>
      <c r="C968" s="12"/>
      <c r="D968" s="12"/>
      <c r="E968" s="12"/>
    </row>
    <row r="969" ht="15.75" customHeight="1">
      <c r="A969" s="13"/>
      <c r="B969" s="21" t="str">
        <f>IFERROR(VLOOKUP(A969,'PAÑOL TÉCNICO'!A969:B1000,2,0))</f>
        <v/>
      </c>
      <c r="C969" s="12"/>
      <c r="D969" s="12"/>
      <c r="E969" s="12"/>
    </row>
    <row r="970" ht="15.75" customHeight="1">
      <c r="A970" s="13"/>
      <c r="B970" s="21" t="str">
        <f>IFERROR(VLOOKUP(A970,'PAÑOL TÉCNICO'!A970:B1000,2,0))</f>
        <v/>
      </c>
      <c r="C970" s="12"/>
      <c r="D970" s="12"/>
      <c r="E970" s="12"/>
    </row>
    <row r="971" ht="15.75" customHeight="1">
      <c r="A971" s="13"/>
      <c r="B971" s="21" t="str">
        <f>IFERROR(VLOOKUP(A971,'PAÑOL TÉCNICO'!A971:B1000,2,0))</f>
        <v/>
      </c>
      <c r="C971" s="12"/>
      <c r="D971" s="12"/>
      <c r="E971" s="12"/>
    </row>
    <row r="972" ht="15.75" customHeight="1">
      <c r="A972" s="13"/>
      <c r="B972" s="21" t="str">
        <f>IFERROR(VLOOKUP(A972,'PAÑOL TÉCNICO'!A972:B1000,2,0))</f>
        <v/>
      </c>
      <c r="C972" s="12"/>
      <c r="D972" s="12"/>
      <c r="E972" s="12"/>
    </row>
    <row r="973" ht="15.75" customHeight="1">
      <c r="A973" s="13"/>
      <c r="B973" s="21" t="str">
        <f>IFERROR(VLOOKUP(A973,'PAÑOL TÉCNICO'!A973:B1000,2,0))</f>
        <v/>
      </c>
      <c r="C973" s="12"/>
      <c r="D973" s="12"/>
      <c r="E973" s="12"/>
    </row>
    <row r="974" ht="15.75" customHeight="1">
      <c r="A974" s="13"/>
      <c r="B974" s="21" t="str">
        <f>IFERROR(VLOOKUP(A974,'PAÑOL TÉCNICO'!A974:B1000,2,0))</f>
        <v/>
      </c>
      <c r="C974" s="12"/>
      <c r="D974" s="12"/>
      <c r="E974" s="12"/>
    </row>
    <row r="975" ht="15.75" customHeight="1">
      <c r="A975" s="13"/>
      <c r="B975" s="21" t="str">
        <f>IFERROR(VLOOKUP(A975,'PAÑOL TÉCNICO'!A975:B1000,2,0))</f>
        <v/>
      </c>
      <c r="C975" s="12"/>
      <c r="D975" s="12"/>
      <c r="E975" s="12"/>
    </row>
    <row r="976" ht="15.75" customHeight="1">
      <c r="A976" s="13"/>
      <c r="B976" s="21" t="str">
        <f>IFERROR(VLOOKUP(A976,'PAÑOL TÉCNICO'!A976:B1000,2,0))</f>
        <v/>
      </c>
      <c r="C976" s="12"/>
      <c r="D976" s="12"/>
      <c r="E976" s="12"/>
    </row>
    <row r="977" ht="15.75" customHeight="1">
      <c r="A977" s="13"/>
      <c r="B977" s="21" t="str">
        <f>IFERROR(VLOOKUP(A977,'PAÑOL TÉCNICO'!A977:B1000,2,0))</f>
        <v/>
      </c>
      <c r="C977" s="12"/>
      <c r="D977" s="12"/>
      <c r="E977" s="12"/>
    </row>
    <row r="978" ht="15.75" customHeight="1">
      <c r="A978" s="13"/>
      <c r="B978" s="21" t="str">
        <f>IFERROR(VLOOKUP(A978,'PAÑOL TÉCNICO'!A978:B1000,2,0))</f>
        <v/>
      </c>
      <c r="C978" s="12"/>
      <c r="D978" s="12"/>
      <c r="E978" s="12"/>
    </row>
    <row r="979" ht="15.75" customHeight="1">
      <c r="A979" s="13"/>
      <c r="B979" s="21" t="str">
        <f>IFERROR(VLOOKUP(A979,'PAÑOL TÉCNICO'!A979:B1000,2,0))</f>
        <v/>
      </c>
      <c r="C979" s="12"/>
      <c r="D979" s="12"/>
      <c r="E979" s="12"/>
    </row>
    <row r="980" ht="15.75" customHeight="1">
      <c r="A980" s="13"/>
      <c r="B980" s="21" t="str">
        <f>IFERROR(VLOOKUP(A980,'PAÑOL TÉCNICO'!A980:B1000,2,0))</f>
        <v/>
      </c>
      <c r="C980" s="12"/>
      <c r="D980" s="12"/>
      <c r="E980" s="12"/>
    </row>
    <row r="981" ht="15.75" customHeight="1">
      <c r="A981" s="13"/>
      <c r="B981" s="21" t="str">
        <f>IFERROR(VLOOKUP(A981,'PAÑOL TÉCNICO'!A981:B1000,2,0))</f>
        <v/>
      </c>
      <c r="C981" s="12"/>
      <c r="D981" s="12"/>
      <c r="E981" s="12"/>
    </row>
    <row r="982" ht="15.75" customHeight="1">
      <c r="A982" s="13"/>
      <c r="B982" s="21" t="str">
        <f>IFERROR(VLOOKUP(A982,'PAÑOL TÉCNICO'!A982:B1000,2,0))</f>
        <v/>
      </c>
      <c r="C982" s="12"/>
      <c r="D982" s="12"/>
      <c r="E982" s="12"/>
    </row>
    <row r="983" ht="15.75" customHeight="1">
      <c r="A983" s="13"/>
      <c r="B983" s="21" t="str">
        <f>IFERROR(VLOOKUP(A983,'PAÑOL TÉCNICO'!A983:B1000,2,0))</f>
        <v/>
      </c>
      <c r="C983" s="12"/>
      <c r="D983" s="12"/>
      <c r="E983" s="12"/>
    </row>
    <row r="984" ht="15.75" customHeight="1">
      <c r="A984" s="13"/>
      <c r="B984" s="21" t="str">
        <f>IFERROR(VLOOKUP(A984,'PAÑOL TÉCNICO'!A984:B1000,2,0))</f>
        <v/>
      </c>
      <c r="C984" s="12"/>
      <c r="D984" s="12"/>
      <c r="E984" s="12"/>
    </row>
    <row r="985" ht="15.75" customHeight="1">
      <c r="A985" s="13"/>
      <c r="B985" s="21" t="str">
        <f>IFERROR(VLOOKUP(A985,'PAÑOL TÉCNICO'!A985:B1000,2,0))</f>
        <v/>
      </c>
      <c r="C985" s="12"/>
      <c r="D985" s="12"/>
      <c r="E985" s="12"/>
    </row>
    <row r="986" ht="15.75" customHeight="1">
      <c r="A986" s="13"/>
      <c r="B986" s="21" t="str">
        <f>IFERROR(VLOOKUP(A986,'PAÑOL TÉCNICO'!A986:B1000,2,0))</f>
        <v/>
      </c>
      <c r="C986" s="12"/>
      <c r="D986" s="12"/>
      <c r="E986" s="12"/>
    </row>
    <row r="987" ht="15.75" customHeight="1">
      <c r="A987" s="13"/>
      <c r="B987" s="21" t="str">
        <f>IFERROR(VLOOKUP(A987,'PAÑOL TÉCNICO'!A987:B1000,2,0))</f>
        <v/>
      </c>
      <c r="C987" s="12"/>
      <c r="D987" s="12"/>
      <c r="E987" s="12"/>
    </row>
    <row r="988" ht="15.75" customHeight="1">
      <c r="A988" s="13"/>
      <c r="B988" s="21" t="str">
        <f>IFERROR(VLOOKUP(A988,'PAÑOL TÉCNICO'!A988:B1000,2,0))</f>
        <v/>
      </c>
      <c r="C988" s="12"/>
      <c r="D988" s="12"/>
      <c r="E988" s="12"/>
    </row>
    <row r="989" ht="15.75" customHeight="1">
      <c r="A989" s="13"/>
      <c r="B989" s="21" t="str">
        <f>IFERROR(VLOOKUP(A989,'PAÑOL TÉCNICO'!A989:B1000,2,0))</f>
        <v/>
      </c>
      <c r="C989" s="12"/>
      <c r="D989" s="12"/>
      <c r="E989" s="12"/>
    </row>
    <row r="990" ht="15.75" customHeight="1">
      <c r="A990" s="13"/>
      <c r="B990" s="21" t="str">
        <f>IFERROR(VLOOKUP(A990,'PAÑOL TÉCNICO'!A990:B1000,2,0))</f>
        <v/>
      </c>
      <c r="C990" s="12"/>
      <c r="D990" s="12"/>
      <c r="E990" s="12"/>
    </row>
    <row r="991" ht="15.75" customHeight="1">
      <c r="A991" s="13"/>
      <c r="B991" s="21" t="str">
        <f>IFERROR(VLOOKUP(A991,'PAÑOL TÉCNICO'!A991:B1000,2,0))</f>
        <v/>
      </c>
      <c r="C991" s="12"/>
      <c r="D991" s="12"/>
      <c r="E991" s="12"/>
    </row>
    <row r="992" ht="15.75" customHeight="1">
      <c r="A992" s="13"/>
      <c r="B992" s="21" t="str">
        <f>IFERROR(VLOOKUP(A992,'PAÑOL TÉCNICO'!A992:B1000,2,0))</f>
        <v/>
      </c>
      <c r="C992" s="12"/>
      <c r="D992" s="12"/>
      <c r="E992" s="12"/>
    </row>
    <row r="993" ht="15.75" customHeight="1">
      <c r="A993" s="13"/>
      <c r="B993" s="21" t="str">
        <f>IFERROR(VLOOKUP(A993,'PAÑOL TÉCNICO'!A993:B1000,2,0))</f>
        <v/>
      </c>
      <c r="C993" s="12"/>
      <c r="D993" s="12"/>
      <c r="E993" s="12"/>
    </row>
    <row r="994" ht="15.75" customHeight="1">
      <c r="A994" s="13"/>
      <c r="B994" s="21" t="str">
        <f>IFERROR(VLOOKUP(A994,'PAÑOL TÉCNICO'!A994:B1000,2,0))</f>
        <v/>
      </c>
      <c r="C994" s="12"/>
      <c r="D994" s="12"/>
      <c r="E994" s="12"/>
    </row>
    <row r="995" ht="15.75" customHeight="1">
      <c r="A995" s="13"/>
      <c r="B995" s="21" t="str">
        <f>IFERROR(VLOOKUP(A995,'PAÑOL TÉCNICO'!A995:B1000,2,0))</f>
        <v/>
      </c>
      <c r="C995" s="12"/>
      <c r="D995" s="12"/>
      <c r="E995" s="12"/>
    </row>
    <row r="996" ht="15.75" customHeight="1">
      <c r="A996" s="13"/>
      <c r="B996" s="21" t="str">
        <f>IFERROR(VLOOKUP(A996,'PAÑOL TÉCNICO'!A996:B1000,2,0))</f>
        <v/>
      </c>
      <c r="C996" s="12"/>
      <c r="D996" s="12"/>
      <c r="E996" s="12"/>
    </row>
    <row r="997" ht="15.75" customHeight="1">
      <c r="A997" s="13"/>
      <c r="B997" s="21" t="str">
        <f>IFERROR(VLOOKUP(A997,'PAÑOL TÉCNICO'!A997:B1000,2,0))</f>
        <v/>
      </c>
      <c r="C997" s="12"/>
      <c r="D997" s="12"/>
      <c r="E997" s="12"/>
    </row>
    <row r="998" ht="15.75" customHeight="1">
      <c r="A998" s="13"/>
      <c r="B998" s="21" t="str">
        <f>IFERROR(VLOOKUP(A998,'PAÑOL TÉCNICO'!A998:B1000,2,0))</f>
        <v/>
      </c>
      <c r="C998" s="12"/>
      <c r="D998" s="12"/>
      <c r="E998" s="12"/>
    </row>
    <row r="999" ht="15.75" customHeight="1">
      <c r="A999" s="13"/>
      <c r="B999" s="21" t="str">
        <f>IFERROR(VLOOKUP(A999,'PAÑOL TÉCNICO'!A999:B1000,2,0))</f>
        <v/>
      </c>
      <c r="C999" s="12"/>
      <c r="D999" s="12"/>
      <c r="E999" s="12"/>
    </row>
    <row r="1000" ht="15.75" customHeight="1">
      <c r="A1000" s="13"/>
      <c r="B1000" s="21" t="str">
        <f>IFERROR(VLOOKUP(A1000,'PAÑOL TÉCNICO'!A1000:B1000,2,0))</f>
        <v/>
      </c>
      <c r="C1000" s="12"/>
      <c r="D1000" s="12"/>
      <c r="E1000" s="12"/>
    </row>
  </sheetData>
  <mergeCells count="1">
    <mergeCell ref="B1:E2"/>
  </mergeCells>
  <dataValidations>
    <dataValidation type="list" allowBlank="1" showErrorMessage="1" sqref="A4:A1000">
      <formula1>'PAÑOL TÉCNICO'!$A$4:$A$1000</formula1>
    </dataValidation>
  </dataValidations>
  <printOptions horizontalCentered="1"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15.78"/>
    <col customWidth="1" min="2" max="2" width="50.56"/>
    <col customWidth="1" min="3" max="3" width="10.89"/>
    <col customWidth="1" min="4" max="4" width="32.33"/>
    <col customWidth="1" min="5" max="5" width="15.11"/>
  </cols>
  <sheetData>
    <row r="1" ht="15.75" customHeight="1">
      <c r="A1" s="24"/>
      <c r="B1" s="1" t="s">
        <v>545</v>
      </c>
      <c r="C1" s="2"/>
      <c r="D1" s="2"/>
      <c r="E1" s="2"/>
    </row>
    <row r="2" ht="15.75" customHeight="1">
      <c r="A2" s="3"/>
      <c r="B2" s="4"/>
      <c r="C2" s="4"/>
      <c r="D2" s="4"/>
      <c r="E2" s="4"/>
    </row>
    <row r="3" ht="15.75" customHeight="1">
      <c r="A3" s="6" t="s">
        <v>543</v>
      </c>
      <c r="B3" s="6" t="s">
        <v>3</v>
      </c>
      <c r="C3" s="6" t="s">
        <v>544</v>
      </c>
      <c r="D3" s="6" t="s">
        <v>7</v>
      </c>
      <c r="E3" s="6" t="s">
        <v>8</v>
      </c>
    </row>
    <row r="4" ht="15.75" customHeight="1">
      <c r="A4" s="7" t="s">
        <v>9</v>
      </c>
      <c r="B4" s="21" t="str">
        <f>IFERROR(VLOOKUP(A4,'PAÑOL TÉCNICO'!A4:B1000,2,0))</f>
        <v>Alicate</v>
      </c>
      <c r="C4" s="9">
        <f>SUMIF(DIARIOS!D:D,A4,DIARIOS!F:F)</f>
        <v>0</v>
      </c>
      <c r="D4" s="12"/>
      <c r="E4" s="12"/>
    </row>
    <row r="5" ht="15.75" customHeight="1">
      <c r="A5" s="7" t="s">
        <v>12</v>
      </c>
      <c r="B5" s="21" t="str">
        <f>IFERROR(VLOOKUP(A5,'PAÑOL TÉCNICO'!A5:B1000,2,0))</f>
        <v>Arnes con cola de mono</v>
      </c>
      <c r="C5" s="9">
        <f>SUMIF(DIARIOS!D:D,A5,DIARIOS!F:F)</f>
        <v>0</v>
      </c>
      <c r="D5" s="12"/>
      <c r="E5" s="12"/>
    </row>
    <row r="6" ht="15.75" customHeight="1">
      <c r="A6" s="7" t="s">
        <v>15</v>
      </c>
      <c r="B6" s="21" t="str">
        <f>IFERROR(VLOOKUP(A6,'PAÑOL TÉCNICO'!A6:B1000,2,0))</f>
        <v>Arnes sin cola de mono</v>
      </c>
      <c r="C6" s="9">
        <f>SUMIF(DIARIOS!D:D,A6,DIARIOS!F:F)</f>
        <v>0</v>
      </c>
      <c r="D6" s="12"/>
      <c r="E6" s="12"/>
    </row>
    <row r="7" ht="15.75" customHeight="1">
      <c r="A7" s="7" t="s">
        <v>17</v>
      </c>
      <c r="B7" s="21" t="str">
        <f>IFERROR(VLOOKUP(A7,'PAÑOL TÉCNICO'!A7:B1000,2,0))</f>
        <v>Anteojo dual transparente Libus</v>
      </c>
      <c r="C7" s="9">
        <f>SUMIF(DIARIOS!D:D,A7,DIARIOS!F:F)</f>
        <v>1</v>
      </c>
      <c r="D7" s="12"/>
      <c r="E7" s="12"/>
    </row>
    <row r="8" ht="15.75" customHeight="1">
      <c r="A8" s="7" t="s">
        <v>19</v>
      </c>
      <c r="B8" s="21" t="str">
        <f>IFERROR(VLOOKUP(A8,'PAÑOL TÉCNICO'!A8:B1000,2,0))</f>
        <v>Anteojo de protección</v>
      </c>
      <c r="C8" s="9">
        <f>SUMIF(DIARIOS!D:D,A8,DIARIOS!F:F)</f>
        <v>0</v>
      </c>
      <c r="D8" s="12"/>
      <c r="E8" s="12"/>
    </row>
    <row r="9" ht="15.75" customHeight="1">
      <c r="A9" s="7" t="s">
        <v>21</v>
      </c>
      <c r="B9" s="21" t="str">
        <f>IFERROR(VLOOKUP(A9,'PAÑOL TÉCNICO'!A9:B1000,2,0))</f>
        <v>Atornilladora inalámbrica DeWalt (amarilla)</v>
      </c>
      <c r="C9" s="9">
        <f>SUMIF(DIARIOS!D:D,A9,DIARIOS!F:F)</f>
        <v>0</v>
      </c>
      <c r="D9" s="12"/>
      <c r="E9" s="12"/>
    </row>
    <row r="10" ht="15.75" customHeight="1">
      <c r="A10" s="7" t="s">
        <v>24</v>
      </c>
      <c r="B10" s="21" t="str">
        <f>IFERROR(VLOOKUP(A10,'PAÑOL TÉCNICO'!A10:B1000,2,0))</f>
        <v>Atornilladora inalámbrica Hamilton (naranja)</v>
      </c>
      <c r="C10" s="9">
        <f>SUMIF(DIARIOS!D:D,A10,DIARIOS!F:F)</f>
        <v>0</v>
      </c>
      <c r="D10" s="12"/>
      <c r="E10" s="12"/>
    </row>
    <row r="11" ht="15.75" customHeight="1">
      <c r="A11" s="7" t="s">
        <v>26</v>
      </c>
      <c r="B11" s="21" t="str">
        <f>IFERROR(VLOOKUP(A11,'PAÑOL TÉCNICO'!A11:B1000,2,0))</f>
        <v>Abrazadera p/tubo</v>
      </c>
      <c r="C11" s="9">
        <f>SUMIF(DIARIOS!D:D,A11,DIARIOS!F:F)</f>
        <v>0</v>
      </c>
      <c r="D11" s="12"/>
      <c r="E11" s="12"/>
    </row>
    <row r="12" ht="15.75" customHeight="1">
      <c r="A12" s="7" t="s">
        <v>28</v>
      </c>
      <c r="B12" s="21" t="str">
        <f>IFERROR(VLOOKUP(A12,'PAÑOL TÉCNICO'!A12:B1000,2,0))</f>
        <v>Adaptador</v>
      </c>
      <c r="C12" s="9">
        <f>SUMIF(DIARIOS!D:D,A12,DIARIOS!F:F)</f>
        <v>0</v>
      </c>
      <c r="D12" s="12"/>
      <c r="E12" s="12"/>
    </row>
    <row r="13" ht="15.75" customHeight="1">
      <c r="A13" s="7" t="s">
        <v>30</v>
      </c>
      <c r="B13" s="21" t="str">
        <f>IFERROR(VLOOKUP(A13,'PAÑOL TÉCNICO'!A13:B1000,2,0))</f>
        <v>Angulo para estantería</v>
      </c>
      <c r="C13" s="9">
        <f>SUMIF(DIARIOS!D:D,A13,DIARIOS!F:F)</f>
        <v>0</v>
      </c>
      <c r="D13" s="12"/>
      <c r="E13" s="12"/>
    </row>
    <row r="14" ht="15.75" customHeight="1">
      <c r="A14" s="7" t="s">
        <v>32</v>
      </c>
      <c r="B14" s="21" t="str">
        <f>IFERROR(VLOOKUP(A14,'PAÑOL TÉCNICO'!A14:B1000,2,0))</f>
        <v>Arandela</v>
      </c>
      <c r="C14" s="9">
        <f>SUMIF(DIARIOS!D:D,A14,DIARIOS!F:F)</f>
        <v>0</v>
      </c>
      <c r="D14" s="12"/>
      <c r="E14" s="12"/>
    </row>
    <row r="15" ht="15.75" customHeight="1">
      <c r="A15" s="7" t="s">
        <v>34</v>
      </c>
      <c r="B15" s="21" t="str">
        <f>IFERROR(VLOOKUP(A15,'PAÑOL TÉCNICO'!A15:B1000,2,0))</f>
        <v>Arandela grande</v>
      </c>
      <c r="C15" s="9">
        <f>SUMIF(DIARIOS!D:D,A15,DIARIOS!F:F)</f>
        <v>0</v>
      </c>
      <c r="D15" s="12"/>
      <c r="E15" s="12"/>
    </row>
    <row r="16" ht="15.75" customHeight="1">
      <c r="A16" s="7" t="s">
        <v>36</v>
      </c>
      <c r="B16" s="21" t="str">
        <f>IFERROR(VLOOKUP(A16,'PAÑOL TÉCNICO'!A16:B1000,2,0))</f>
        <v>Aspiradora pequeña</v>
      </c>
      <c r="C16" s="9">
        <f>SUMIF(DIARIOS!D:D,A16,DIARIOS!F:F)</f>
        <v>0</v>
      </c>
      <c r="D16" s="12"/>
      <c r="E16" s="12"/>
    </row>
    <row r="17" ht="15.75" customHeight="1">
      <c r="A17" s="7" t="s">
        <v>38</v>
      </c>
      <c r="B17" s="21" t="str">
        <f>IFERROR(VLOOKUP(A17,'PAÑOL TÉCNICO'!A17:B1000,2,0))</f>
        <v>Bandera argentina</v>
      </c>
      <c r="C17" s="9">
        <f>SUMIF(DIARIOS!D:D,A17,DIARIOS!F:F)</f>
        <v>0</v>
      </c>
      <c r="D17" s="12"/>
      <c r="E17" s="12"/>
    </row>
    <row r="18" ht="15.75" customHeight="1">
      <c r="A18" s="7" t="s">
        <v>40</v>
      </c>
      <c r="B18" s="21" t="str">
        <f>IFERROR(VLOOKUP(A18,'PAÑOL TÉCNICO'!A18:B1000,2,0))</f>
        <v>Bidon vacío cortado</v>
      </c>
      <c r="C18" s="9">
        <f>SUMIF(DIARIOS!D:D,A18,DIARIOS!F:F)</f>
        <v>0</v>
      </c>
      <c r="D18" s="12"/>
      <c r="E18" s="12"/>
    </row>
    <row r="19" ht="15.75" customHeight="1">
      <c r="A19" s="7" t="s">
        <v>42</v>
      </c>
      <c r="B19" s="21" t="str">
        <f>IFERROR(VLOOKUP(A19,'PAÑOL TÉCNICO'!A19:B1000,2,0))</f>
        <v>Batería ultimate 12V 1.5 AMP Hamilton (Máquina chica)</v>
      </c>
      <c r="C19" s="9">
        <f>SUMIF(DIARIOS!D:D,A19,DIARIOS!F:F)</f>
        <v>0</v>
      </c>
      <c r="D19" s="12"/>
      <c r="E19" s="12"/>
    </row>
    <row r="20" ht="15.75" customHeight="1">
      <c r="A20" s="22" t="s">
        <v>44</v>
      </c>
      <c r="B20" s="21" t="str">
        <f>IFERROR(VLOOKUP(A20,'PAÑOL TÉCNICO'!A20:B1000,2,0))</f>
        <v>Bidon vacío sin cortar</v>
      </c>
      <c r="C20" s="9">
        <f>SUMIF(DIARIOS!D:D,A20,DIARIOS!F:F)</f>
        <v>0</v>
      </c>
      <c r="D20" s="12"/>
      <c r="E20" s="12"/>
    </row>
    <row r="21" ht="15.75" customHeight="1">
      <c r="A21" s="7" t="s">
        <v>46</v>
      </c>
      <c r="B21" s="21" t="str">
        <f>IFERROR(VLOOKUP(A21,'PAÑOL TÉCNICO'!A21:B1000,2,0))</f>
        <v>Bolsa de tornillos autoperforante punta fisher 8x12" x 400u</v>
      </c>
      <c r="C21" s="9">
        <f>SUMIF(DIARIOS!D:D,A21,DIARIOS!F:F)</f>
        <v>0</v>
      </c>
      <c r="D21" s="12"/>
      <c r="E21" s="12"/>
    </row>
    <row r="22" ht="15.75" customHeight="1">
      <c r="A22" s="7" t="s">
        <v>48</v>
      </c>
      <c r="B22" s="21" t="str">
        <f>IFERROR(VLOOKUP(A22,'PAÑOL TÉCNICO'!A22:B1000,2,0))</f>
        <v>Bolsa de tornillos autoperforante punta fisher x 250u</v>
      </c>
      <c r="C22" s="9">
        <f>SUMIF(DIARIOS!D:D,A22,DIARIOS!F:F)</f>
        <v>0</v>
      </c>
      <c r="D22" s="12"/>
      <c r="E22" s="12"/>
    </row>
    <row r="23" ht="15.75" customHeight="1">
      <c r="A23" s="7" t="s">
        <v>50</v>
      </c>
      <c r="B23" s="21" t="str">
        <f>IFERROR(VLOOKUP(A23,'PAÑOL TÉCNICO'!A23:B1000,2,0))</f>
        <v>Bomba centrífuga</v>
      </c>
      <c r="C23" s="9">
        <f>SUMIF(DIARIOS!D:D,A23,DIARIOS!F:F)</f>
        <v>0</v>
      </c>
      <c r="D23" s="12"/>
      <c r="E23" s="12"/>
    </row>
    <row r="24" ht="15.75" customHeight="1">
      <c r="A24" s="7" t="s">
        <v>52</v>
      </c>
      <c r="B24" s="21" t="str">
        <f>IFERROR(VLOOKUP(A24,'PAÑOL TÉCNICO'!A24:B1000,2,0))</f>
        <v>Par de botas de lluvia</v>
      </c>
      <c r="C24" s="9">
        <f>SUMIF(DIARIOS!D:D,A24,DIARIOS!F:F)</f>
        <v>0</v>
      </c>
      <c r="D24" s="12"/>
      <c r="E24" s="12"/>
    </row>
    <row r="25" ht="15.75" customHeight="1">
      <c r="A25" s="7" t="s">
        <v>54</v>
      </c>
      <c r="B25" s="21" t="str">
        <f>IFERROR(VLOOKUP(A25,'PAÑOL TÉCNICO'!A25:B1000,2,0))</f>
        <v>Bulón de techo</v>
      </c>
      <c r="C25" s="9">
        <f>SUMIF(DIARIOS!D:D,A25,DIARIOS!F:F)</f>
        <v>0</v>
      </c>
      <c r="D25" s="12"/>
      <c r="E25" s="12"/>
    </row>
    <row r="26" ht="15.75" customHeight="1">
      <c r="A26" s="7" t="s">
        <v>56</v>
      </c>
      <c r="B26" s="21" t="str">
        <f>IFERROR(VLOOKUP(A26,'PAÑOL TÉCNICO'!A26:B1000,2,0))</f>
        <v>Bulones de techo de tramo</v>
      </c>
      <c r="C26" s="9">
        <f>SUMIF(DIARIOS!D:D,A26,DIARIOS!F:F)</f>
        <v>0</v>
      </c>
      <c r="D26" s="12"/>
      <c r="E26" s="12"/>
    </row>
    <row r="27" ht="15.75" customHeight="1">
      <c r="A27" s="7" t="s">
        <v>58</v>
      </c>
      <c r="B27" s="21" t="str">
        <f>IFERROR(VLOOKUP(A27,'PAÑOL TÉCNICO'!A27:B1000,2,0))</f>
        <v>Bulones de techo de tramo pequeños</v>
      </c>
      <c r="C27" s="9">
        <f>SUMIF(DIARIOS!D:D,A27,DIARIOS!F:F)</f>
        <v>0</v>
      </c>
      <c r="D27" s="12"/>
      <c r="E27" s="12"/>
    </row>
    <row r="28" ht="15.75" customHeight="1">
      <c r="A28" s="7" t="s">
        <v>60</v>
      </c>
      <c r="B28" s="21" t="str">
        <f>IFERROR(VLOOKUP(A28,'PAÑOL TÉCNICO'!A28:B1000,2,0))</f>
        <v>Bulón grande de unión para techo</v>
      </c>
      <c r="C28" s="9">
        <f>SUMIF(DIARIOS!D:D,A28,DIARIOS!F:F)</f>
        <v>0</v>
      </c>
      <c r="D28" s="12"/>
      <c r="E28" s="12"/>
    </row>
    <row r="29" ht="15.75" customHeight="1">
      <c r="A29" s="7" t="s">
        <v>62</v>
      </c>
      <c r="B29" s="21" t="str">
        <f>IFERROR(VLOOKUP(A29,'PAÑOL TÉCNICO'!A29:B1000,2,0))</f>
        <v>Bulón de unión para techo</v>
      </c>
      <c r="C29" s="9">
        <f>SUMIF(DIARIOS!D:D,A29,DIARIOS!F:F)</f>
        <v>0</v>
      </c>
      <c r="D29" s="12"/>
      <c r="E29" s="12"/>
    </row>
    <row r="30" ht="15.75" customHeight="1">
      <c r="A30" s="7" t="s">
        <v>64</v>
      </c>
      <c r="B30" s="21" t="str">
        <f>IFERROR(VLOOKUP(A30,'PAÑOL TÉCNICO'!A30:B1000,2,0))</f>
        <v>Cable puente para batería reforzado (Taos)</v>
      </c>
      <c r="C30" s="9">
        <f>SUMIF(DIARIOS!D:D,A30,DIARIOS!F:F)</f>
        <v>0</v>
      </c>
      <c r="D30" s="12"/>
      <c r="E30" s="12"/>
    </row>
    <row r="31" ht="15.75" customHeight="1">
      <c r="A31" s="7" t="s">
        <v>67</v>
      </c>
      <c r="B31" s="21" t="str">
        <f>IFERROR(VLOOKUP(A31,'PAÑOL TÉCNICO'!A31:B1000,2,0))</f>
        <v>Chaleco refractario</v>
      </c>
      <c r="C31" s="9">
        <f>SUMIF(DIARIOS!D:D,A31,DIARIOS!F:F)</f>
        <v>0</v>
      </c>
      <c r="D31" s="12"/>
      <c r="E31" s="12"/>
    </row>
    <row r="32" ht="15.75" customHeight="1">
      <c r="A32" s="7" t="s">
        <v>70</v>
      </c>
      <c r="B32" s="21" t="str">
        <f>IFERROR(VLOOKUP(A32,'PAÑOL TÉCNICO'!A32:B1000,2,0))</f>
        <v>Cable acerado</v>
      </c>
      <c r="C32" s="9">
        <f>SUMIF(DIARIOS!D:D,A32,DIARIOS!F:F)</f>
        <v>0</v>
      </c>
      <c r="D32" s="12"/>
      <c r="E32" s="12"/>
    </row>
    <row r="33" ht="15.75" customHeight="1">
      <c r="A33" s="7" t="s">
        <v>72</v>
      </c>
      <c r="B33" s="21" t="str">
        <f>IFERROR(VLOOKUP(A33,'PAÑOL TÉCNICO'!A33:B1000,2,0))</f>
        <v>Cargador de batería ultimate 12v Hamilton (Máquina chica)</v>
      </c>
      <c r="C33" s="9">
        <f>SUMIF(DIARIOS!D:D,A33,DIARIOS!F:F)</f>
        <v>0</v>
      </c>
      <c r="D33" s="12"/>
      <c r="E33" s="12"/>
    </row>
    <row r="34" ht="15.75" customHeight="1">
      <c r="A34" s="22" t="s">
        <v>74</v>
      </c>
      <c r="B34" s="21" t="str">
        <f>IFERROR(VLOOKUP(A34,'PAÑOL TÉCNICO'!A34:B1000,2,0))</f>
        <v>Cadena</v>
      </c>
      <c r="C34" s="9">
        <f>SUMIF(DIARIOS!D:D,A34,DIARIOS!F:F)</f>
        <v>0</v>
      </c>
      <c r="D34" s="12"/>
      <c r="E34" s="12"/>
    </row>
    <row r="35" ht="15.75" customHeight="1">
      <c r="A35" s="7" t="s">
        <v>76</v>
      </c>
      <c r="B35" s="21" t="str">
        <f>IFERROR(VLOOKUP(A35,'PAÑOL TÉCNICO'!A35:B1000,2,0))</f>
        <v>Cinta métrica 50mts (fibra de vidrio)</v>
      </c>
      <c r="C35" s="9">
        <f>SUMIF(DIARIOS!D:D,A35,DIARIOS!F:F)</f>
        <v>0</v>
      </c>
      <c r="D35" s="12"/>
      <c r="E35" s="12"/>
    </row>
    <row r="36" ht="15.75" customHeight="1">
      <c r="A36" s="7" t="s">
        <v>78</v>
      </c>
      <c r="B36" s="21" t="str">
        <f>IFERROR(VLOOKUP(A36,'PAÑOL TÉCNICO'!A36:B1000,2,0))</f>
        <v>Caja de herrramientas para autolevador</v>
      </c>
      <c r="C36" s="9">
        <f>SUMIF(DIARIOS!D:D,A36,DIARIOS!F:F)</f>
        <v>0</v>
      </c>
      <c r="D36" s="12"/>
      <c r="E36" s="12"/>
    </row>
    <row r="37" ht="15.75" customHeight="1">
      <c r="A37" s="7" t="s">
        <v>80</v>
      </c>
      <c r="B37" s="21" t="str">
        <f>IFERROR(VLOOKUP(A37,'PAÑOL TÉCNICO'!A37:B1000,2,0))</f>
        <v>Casco de Altura</v>
      </c>
      <c r="C37" s="9">
        <f>SUMIF(DIARIOS!D:D,A37,DIARIOS!F:F)</f>
        <v>0</v>
      </c>
      <c r="D37" s="12"/>
      <c r="E37" s="12"/>
    </row>
    <row r="38" ht="15.75" customHeight="1">
      <c r="A38" s="7" t="s">
        <v>83</v>
      </c>
      <c r="B38" s="21" t="str">
        <f>IFERROR(VLOOKUP(A38,'PAÑOL TÉCNICO'!A38:B1000,2,0))</f>
        <v>Casco de Obra/Piso</v>
      </c>
      <c r="C38" s="9">
        <f>SUMIF(DIARIOS!D:D,A38,DIARIOS!F:F)</f>
        <v>0</v>
      </c>
      <c r="D38" s="12"/>
      <c r="E38" s="12"/>
    </row>
    <row r="39" ht="15.75" customHeight="1">
      <c r="A39" s="7" t="s">
        <v>85</v>
      </c>
      <c r="B39" s="21" t="str">
        <f>IFERROR(VLOOKUP(A39,'PAÑOL TÉCNICO'!A39:B1000,2,0))</f>
        <v>Curva de techo de layher</v>
      </c>
      <c r="C39" s="9">
        <f>SUMIF(DIARIOS!D:D,A39,DIARIOS!F:F)</f>
        <v>0</v>
      </c>
      <c r="D39" s="12"/>
      <c r="E39" s="12"/>
    </row>
    <row r="40" ht="15.75" customHeight="1">
      <c r="A40" s="7" t="s">
        <v>87</v>
      </c>
      <c r="B40" s="21" t="str">
        <f>IFERROR(VLOOKUP(A40,'PAÑOL TÉCNICO'!A40:B1000,2,0))</f>
        <v>Cono naranja</v>
      </c>
      <c r="C40" s="9">
        <f>SUMIF(DIARIOS!D:D,A40,DIARIOS!F:F)</f>
        <v>0</v>
      </c>
      <c r="D40" s="12"/>
      <c r="E40" s="12"/>
    </row>
    <row r="41" ht="15.75" customHeight="1">
      <c r="A41" s="7" t="s">
        <v>89</v>
      </c>
      <c r="B41" s="21" t="str">
        <f>IFERROR(VLOOKUP(A41,'PAÑOL TÉCNICO'!A41:B1000,2,0))</f>
        <v>Cinta larga</v>
      </c>
      <c r="C41" s="9">
        <f>SUMIF(DIARIOS!D:D,A41,DIARIOS!F:F)</f>
        <v>0</v>
      </c>
      <c r="D41" s="12"/>
      <c r="E41" s="12"/>
    </row>
    <row r="42" ht="15.75" customHeight="1">
      <c r="A42" s="7" t="s">
        <v>91</v>
      </c>
      <c r="B42" s="21" t="str">
        <f>IFERROR(VLOOKUP(A42,'PAÑOL TÉCNICO'!A42:B1000,2,0))</f>
        <v>Cajón vacío</v>
      </c>
      <c r="C42" s="9">
        <f>SUMIF(DIARIOS!D:D,A42,DIARIOS!F:F)</f>
        <v>0</v>
      </c>
      <c r="D42" s="12"/>
      <c r="E42" s="12"/>
    </row>
    <row r="43" ht="15.75" customHeight="1">
      <c r="A43" s="7" t="s">
        <v>93</v>
      </c>
      <c r="B43" s="21" t="str">
        <f>IFERROR(VLOOKUP(A43,'PAÑOL TÉCNICO'!A43:B1000,2,0))</f>
        <v>Caladora</v>
      </c>
      <c r="C43" s="9">
        <f>SUMIF(DIARIOS!D:D,A43,DIARIOS!F:F)</f>
        <v>0</v>
      </c>
      <c r="D43" s="12"/>
      <c r="E43" s="12"/>
    </row>
    <row r="44" ht="15.75" customHeight="1">
      <c r="A44" s="7" t="s">
        <v>95</v>
      </c>
      <c r="B44" s="21" t="str">
        <f>IFERROR(VLOOKUP(A44,'PAÑOL TÉCNICO'!A44:B1000,2,0))</f>
        <v>Capa de lluvia (usada)</v>
      </c>
      <c r="C44" s="9">
        <f>SUMIF(DIARIOS!D:D,A44,DIARIOS!F:F)</f>
        <v>0</v>
      </c>
      <c r="D44" s="12"/>
      <c r="E44" s="12"/>
    </row>
    <row r="45" ht="15.75" customHeight="1">
      <c r="A45" s="7" t="s">
        <v>98</v>
      </c>
      <c r="B45" s="21" t="str">
        <f>IFERROR(VLOOKUP(A45,'PAÑOL TÉCNICO'!A45:B1000,2,0))</f>
        <v>Capa de lluvia (nuevas)</v>
      </c>
      <c r="C45" s="9">
        <f>SUMIF(DIARIOS!D:D,A45,DIARIOS!F:F)</f>
        <v>0</v>
      </c>
      <c r="D45" s="12"/>
      <c r="E45" s="12"/>
    </row>
    <row r="46" ht="15.75" customHeight="1">
      <c r="A46" s="7" t="s">
        <v>100</v>
      </c>
      <c r="B46" s="21" t="str">
        <f>IFERROR(VLOOKUP(A46,'PAÑOL TÉCNICO'!A46:B1000,2,0))</f>
        <v>Cutter</v>
      </c>
      <c r="C46" s="9">
        <f>SUMIF(DIARIOS!D:D,A46,DIARIOS!F:F)</f>
        <v>0</v>
      </c>
      <c r="D46" s="12"/>
      <c r="E46" s="12"/>
    </row>
    <row r="47" ht="15.75" customHeight="1">
      <c r="A47" s="7" t="s">
        <v>102</v>
      </c>
      <c r="B47" s="21" t="str">
        <f>IFERROR(VLOOKUP(A47,'PAÑOL TÉCNICO'!A47:B1000,2,0))</f>
        <v>Central de alarma AT3000</v>
      </c>
      <c r="C47" s="9">
        <f>SUMIF(DIARIOS!D:D,A47,DIARIOS!F:F)</f>
        <v>0</v>
      </c>
      <c r="D47" s="12"/>
      <c r="E47" s="12"/>
    </row>
    <row r="48" ht="15.75" customHeight="1">
      <c r="A48" s="7" t="s">
        <v>104</v>
      </c>
      <c r="B48" s="21" t="str">
        <f>IFERROR(VLOOKUP(A48,'PAÑOL TÉCNICO'!A48:B1000,2,0))</f>
        <v>Cinta métrica de 8 mts</v>
      </c>
      <c r="C48" s="9">
        <f>SUMIF(DIARIOS!D:D,A48,DIARIOS!F:F)</f>
        <v>1</v>
      </c>
      <c r="D48" s="12"/>
      <c r="E48" s="12"/>
    </row>
    <row r="49" ht="15.75" customHeight="1">
      <c r="A49" s="7" t="s">
        <v>106</v>
      </c>
      <c r="B49" s="21" t="str">
        <f>IFERROR(VLOOKUP(A49,'PAÑOL TÉCNICO'!A49:B1000,2,0))</f>
        <v>Caja de herramientas</v>
      </c>
      <c r="C49" s="9">
        <f>SUMIF(DIARIOS!D:D,A49,DIARIOS!F:F)</f>
        <v>0</v>
      </c>
      <c r="D49" s="12"/>
      <c r="E49" s="12"/>
    </row>
    <row r="50" ht="15.75" customHeight="1">
      <c r="A50" s="7" t="s">
        <v>109</v>
      </c>
      <c r="B50" s="21" t="str">
        <f>IFERROR(VLOOKUP(A50,'PAÑOL TÉCNICO'!A50:B1000,2,0))</f>
        <v>Criquet</v>
      </c>
      <c r="C50" s="9">
        <f>SUMIF(DIARIOS!D:D,A50,DIARIOS!F:F)</f>
        <v>0</v>
      </c>
      <c r="D50" s="12"/>
      <c r="E50" s="12"/>
    </row>
    <row r="51" ht="15.75" customHeight="1">
      <c r="A51" s="7" t="s">
        <v>111</v>
      </c>
      <c r="B51" s="21" t="str">
        <f>IFERROR(VLOOKUP(A51,'PAÑOL TÉCNICO'!A51:B1000,2,0))</f>
        <v>Clavija</v>
      </c>
      <c r="C51" s="9">
        <f>SUMIF(DIARIOS!D:D,A51,DIARIOS!F:F)</f>
        <v>0</v>
      </c>
      <c r="D51" s="12"/>
      <c r="E51" s="12"/>
    </row>
    <row r="52" ht="15.75" customHeight="1">
      <c r="A52" s="7" t="s">
        <v>113</v>
      </c>
      <c r="B52" s="21" t="str">
        <f>IFERROR(VLOOKUP(A52,'PAÑOL TÉCNICO'!A52:B1000,2,0))</f>
        <v>Colita de chancho</v>
      </c>
      <c r="C52" s="9">
        <f>SUMIF(DIARIOS!D:D,A52,DIARIOS!F:F)</f>
        <v>0</v>
      </c>
      <c r="D52" s="12"/>
      <c r="E52" s="12"/>
    </row>
    <row r="53" ht="15.75" customHeight="1">
      <c r="A53" s="7" t="s">
        <v>115</v>
      </c>
      <c r="B53" s="21" t="str">
        <f>IFERROR(VLOOKUP(A53,'PAÑOL TÉCNICO'!A53:B1000,2,0))</f>
        <v>Cerradura</v>
      </c>
      <c r="C53" s="9">
        <f>SUMIF(DIARIOS!D:D,A53,DIARIOS!F:F)</f>
        <v>0</v>
      </c>
      <c r="D53" s="12"/>
      <c r="E53" s="12"/>
    </row>
    <row r="54" ht="15.75" customHeight="1">
      <c r="A54" s="7" t="s">
        <v>117</v>
      </c>
      <c r="B54" s="21" t="str">
        <f>IFERROR(VLOOKUP(A54,'PAÑOL TÉCNICO'!A54:B1000,2,0))</f>
        <v>Caja de tornillos philip 10x2" x 500 u</v>
      </c>
      <c r="C54" s="9">
        <f>SUMIF(DIARIOS!D:D,A54,DIARIOS!F:F)</f>
        <v>0</v>
      </c>
      <c r="D54" s="12"/>
      <c r="E54" s="12"/>
    </row>
    <row r="55" ht="15.75" customHeight="1">
      <c r="A55" s="7" t="s">
        <v>119</v>
      </c>
      <c r="B55" s="21" t="str">
        <f>IFERROR(VLOOKUP(A55,'PAÑOL TÉCNICO'!A55:B1000,2,0))</f>
        <v>Cola de Mono</v>
      </c>
      <c r="C55" s="9">
        <f>SUMIF(DIARIOS!D:D,A55,DIARIOS!F:F)</f>
        <v>0</v>
      </c>
      <c r="D55" s="12"/>
      <c r="E55" s="12"/>
    </row>
    <row r="56" ht="15.75" customHeight="1">
      <c r="A56" s="7" t="s">
        <v>121</v>
      </c>
      <c r="B56" s="21" t="str">
        <f>IFERROR(VLOOKUP(A56,'PAÑOL TÉCNICO'!A56:B1000,2,0))</f>
        <v>Caja de 10000 u tornillos negros</v>
      </c>
      <c r="C56" s="9">
        <f>SUMIF(DIARIOS!D:D,A56,DIARIOS!F:F)</f>
        <v>0</v>
      </c>
      <c r="D56" s="12"/>
      <c r="E56" s="12"/>
    </row>
    <row r="57" ht="15.75" customHeight="1">
      <c r="A57" s="7" t="s">
        <v>123</v>
      </c>
      <c r="B57" s="21" t="str">
        <f>IFERROR(VLOOKUP(A57,'PAÑOL TÉCNICO'!A57:B1000,2,0))</f>
        <v>Disco para cocina</v>
      </c>
      <c r="C57" s="9">
        <f>SUMIF(DIARIOS!D:D,A57,DIARIOS!F:F)</f>
        <v>0</v>
      </c>
      <c r="D57" s="12"/>
      <c r="E57" s="12"/>
    </row>
    <row r="58" ht="15.75" customHeight="1">
      <c r="A58" s="7" t="s">
        <v>125</v>
      </c>
      <c r="B58" s="21" t="str">
        <f>IFERROR(VLOOKUP(A58,'PAÑOL TÉCNICO'!A58:B1000,2,0))</f>
        <v>Destornillador philip</v>
      </c>
      <c r="C58" s="9">
        <f>SUMIF(DIARIOS!D:D,A58,DIARIOS!F:F)</f>
        <v>0</v>
      </c>
      <c r="D58" s="12"/>
      <c r="E58" s="12"/>
    </row>
    <row r="59" ht="15.75" customHeight="1">
      <c r="A59" s="7" t="s">
        <v>127</v>
      </c>
      <c r="B59" s="21" t="str">
        <f>IFERROR(VLOOKUP(A59,'PAÑOL TÉCNICO'!A59:B1000,2,0))</f>
        <v>Destornillador plano</v>
      </c>
      <c r="C59" s="9">
        <f>SUMIF(DIARIOS!D:D,A59,DIARIOS!F:F)</f>
        <v>0</v>
      </c>
      <c r="D59" s="12"/>
      <c r="E59" s="12"/>
    </row>
    <row r="60" ht="15.75" customHeight="1">
      <c r="A60" s="7" t="s">
        <v>129</v>
      </c>
      <c r="B60" s="21" t="str">
        <f>IFERROR(VLOOKUP(A60,'PAÑOL TÉCNICO'!A60:B1000,2,0))</f>
        <v>Escalera 4/5 peldaños</v>
      </c>
      <c r="C60" s="9">
        <f>SUMIF(DIARIOS!D:D,A60,DIARIOS!F:F)</f>
        <v>0</v>
      </c>
      <c r="D60" s="12"/>
      <c r="E60" s="12"/>
    </row>
    <row r="61" ht="15.75" customHeight="1">
      <c r="A61" s="7" t="s">
        <v>131</v>
      </c>
      <c r="B61" s="21" t="str">
        <f>IFERROR(VLOOKUP(A61,'PAÑOL TÉCNICO'!A61:B1000,2,0))</f>
        <v>Enganche carro</v>
      </c>
      <c r="C61" s="9">
        <f>SUMIF(DIARIOS!D:D,A61,DIARIOS!F:F)</f>
        <v>0</v>
      </c>
      <c r="D61" s="12"/>
      <c r="E61" s="12"/>
    </row>
    <row r="62" ht="15.75" customHeight="1">
      <c r="A62" s="7" t="s">
        <v>133</v>
      </c>
      <c r="B62" s="21" t="str">
        <f>IFERROR(VLOOKUP(A62,'PAÑOL TÉCNICO'!A62:B1000,2,0))</f>
        <v>Engrampadora</v>
      </c>
      <c r="C62" s="9">
        <f>SUMIF(DIARIOS!D:D,A62,DIARIOS!F:F)</f>
        <v>0</v>
      </c>
      <c r="D62" s="12"/>
      <c r="E62" s="12"/>
    </row>
    <row r="63" ht="15.75" customHeight="1">
      <c r="A63" s="7" t="s">
        <v>136</v>
      </c>
      <c r="B63" s="21" t="str">
        <f>IFERROR(VLOOKUP(A63,'PAÑOL TÉCNICO'!A63:B1000,2,0))</f>
        <v>Espatula</v>
      </c>
      <c r="C63" s="9">
        <f>SUMIF(DIARIOS!D:D,A63,DIARIOS!F:F)</f>
        <v>0</v>
      </c>
      <c r="D63" s="12"/>
      <c r="E63" s="12"/>
    </row>
    <row r="64" ht="15.75" customHeight="1">
      <c r="A64" s="7" t="s">
        <v>138</v>
      </c>
      <c r="B64" s="21" t="str">
        <f>IFERROR(VLOOKUP(A64,'PAÑOL TÉCNICO'!A64:B1000,2,0))</f>
        <v>Enganche tipo bocha</v>
      </c>
      <c r="C64" s="9">
        <f>SUMIF(DIARIOS!D:D,A64,DIARIOS!F:F)</f>
        <v>0</v>
      </c>
      <c r="D64" s="12"/>
      <c r="E64" s="12"/>
    </row>
    <row r="65" ht="15.75" customHeight="1">
      <c r="A65" s="7" t="s">
        <v>140</v>
      </c>
      <c r="B65" s="21" t="str">
        <f>IFERROR(VLOOKUP(A65,'PAÑOL TÉCNICO'!A65:B1000,2,0))</f>
        <v>Escalon de escenario</v>
      </c>
      <c r="C65" s="9">
        <f>SUMIF(DIARIOS!D:D,A65,DIARIOS!F:F)</f>
        <v>0</v>
      </c>
      <c r="D65" s="12"/>
      <c r="E65" s="12"/>
    </row>
    <row r="66" ht="15.75" customHeight="1">
      <c r="A66" s="7" t="s">
        <v>142</v>
      </c>
      <c r="B66" s="21" t="str">
        <f>IFERROR(VLOOKUP(A66,'PAÑOL TÉCNICO'!A66:B1000,2,0))</f>
        <v>Flota flota</v>
      </c>
      <c r="C66" s="9">
        <f>SUMIF(DIARIOS!D:D,A66,DIARIOS!F:F)</f>
        <v>0</v>
      </c>
      <c r="D66" s="12"/>
      <c r="E66" s="12"/>
    </row>
    <row r="67" ht="15.75" customHeight="1">
      <c r="A67" s="7" t="s">
        <v>144</v>
      </c>
      <c r="B67" s="21" t="str">
        <f>IFERROR(VLOOKUP(A67,'PAÑOL TÉCNICO'!A67:B1000,2,0))</f>
        <v>Funda azul</v>
      </c>
      <c r="C67" s="9">
        <f>SUMIF(DIARIOS!D:D,A67,DIARIOS!F:F)</f>
        <v>0</v>
      </c>
      <c r="D67" s="12"/>
      <c r="E67" s="12"/>
    </row>
    <row r="68" ht="15.75" customHeight="1">
      <c r="A68" s="7" t="s">
        <v>146</v>
      </c>
      <c r="B68" s="21" t="str">
        <f>IFERROR(VLOOKUP(A68,'PAÑOL TÉCNICO'!A68:B1000,2,0))</f>
        <v>Guía de techo</v>
      </c>
      <c r="C68" s="9">
        <f>SUMIF(DIARIOS!D:D,A68,DIARIOS!F:F)</f>
        <v>0</v>
      </c>
      <c r="D68" s="12"/>
      <c r="E68" s="12"/>
    </row>
    <row r="69" ht="15.75" customHeight="1">
      <c r="A69" s="7" t="s">
        <v>148</v>
      </c>
      <c r="B69" s="21" t="str">
        <f>IFERROR(VLOOKUP(A69,'PAÑOL TÉCNICO'!A69:B1000,2,0))</f>
        <v>Grillete spanser</v>
      </c>
      <c r="C69" s="9">
        <f>SUMIF(DIARIOS!D:D,A69,DIARIOS!F:F)</f>
        <v>0</v>
      </c>
      <c r="D69" s="12"/>
      <c r="E69" s="12"/>
    </row>
    <row r="70" ht="15.75" customHeight="1">
      <c r="A70" s="7" t="s">
        <v>150</v>
      </c>
      <c r="B70" s="21" t="str">
        <f>IFERROR(VLOOKUP(A70,'PAÑOL TÉCNICO'!A70:B1000,2,0))</f>
        <v>Gancho para rachet</v>
      </c>
      <c r="C70" s="9">
        <f>SUMIF(DIARIOS!D:D,A70,DIARIOS!F:F)</f>
        <v>0</v>
      </c>
      <c r="D70" s="12"/>
      <c r="E70" s="12"/>
    </row>
    <row r="71" ht="15.75" customHeight="1">
      <c r="A71" s="7" t="s">
        <v>152</v>
      </c>
      <c r="B71" s="21" t="str">
        <f>IFERROR(VLOOKUP(A71,'PAÑOL TÉCNICO'!A71:B1000,2,0))</f>
        <v>Goma para guía de techo</v>
      </c>
      <c r="C71" s="9">
        <f>SUMIF(DIARIOS!D:D,A71,DIARIOS!F:F)</f>
        <v>0</v>
      </c>
      <c r="D71" s="12"/>
      <c r="E71" s="12"/>
    </row>
    <row r="72" ht="15.75" customHeight="1">
      <c r="A72" s="7" t="s">
        <v>154</v>
      </c>
      <c r="B72" s="21" t="str">
        <f>IFERROR(VLOOKUP(A72,'PAÑOL TÉCNICO'!A72:B1000,2,0))</f>
        <v>Gancho completo para auto</v>
      </c>
      <c r="C72" s="9">
        <f>SUMIF(DIARIOS!D:D,A72,DIARIOS!F:F)</f>
        <v>0</v>
      </c>
      <c r="D72" s="12"/>
      <c r="E72" s="12"/>
    </row>
    <row r="73" ht="15.75" customHeight="1">
      <c r="A73" s="7" t="s">
        <v>156</v>
      </c>
      <c r="B73" s="21" t="str">
        <f>IFERROR(VLOOKUP(A73,'PAÑOL TÉCNICO'!A73:B1000,2,0))</f>
        <v>Grasera chica</v>
      </c>
      <c r="C73" s="9">
        <f>SUMIF(DIARIOS!D:D,A73,DIARIOS!F:F)</f>
        <v>0</v>
      </c>
      <c r="D73" s="12"/>
      <c r="E73" s="12"/>
    </row>
    <row r="74" ht="15.75" customHeight="1">
      <c r="A74" s="7" t="s">
        <v>159</v>
      </c>
      <c r="B74" s="21" t="str">
        <f>IFERROR(VLOOKUP(A74,'PAÑOL TÉCNICO'!A74:B1000,2,0))</f>
        <v>Gazebo completo</v>
      </c>
      <c r="C74" s="9">
        <f>SUMIF(DIARIOS!D:D,A74,DIARIOS!F:F)</f>
        <v>0</v>
      </c>
      <c r="D74" s="12"/>
      <c r="E74" s="12"/>
    </row>
    <row r="75" ht="15.75" customHeight="1">
      <c r="A75" s="7" t="s">
        <v>161</v>
      </c>
      <c r="B75" s="21" t="str">
        <f>IFERROR(VLOOKUP(A75,'PAÑOL TÉCNICO'!A75:B1000,2,0))</f>
        <v>Hornito portable gas</v>
      </c>
      <c r="C75" s="9">
        <f>SUMIF(DIARIOS!D:D,A75,DIARIOS!F:F)</f>
        <v>0</v>
      </c>
      <c r="D75" s="12"/>
      <c r="E75" s="12"/>
    </row>
    <row r="76" ht="15.75" customHeight="1">
      <c r="A76" s="7" t="s">
        <v>163</v>
      </c>
      <c r="B76" s="21" t="str">
        <f>IFERROR(VLOOKUP(A76,'PAÑOL TÉCNICO'!A76:B1000,2,0))</f>
        <v>Jabalina</v>
      </c>
      <c r="C76" s="9">
        <f>SUMIF(DIARIOS!D:D,A76,DIARIOS!F:F)</f>
        <v>0</v>
      </c>
      <c r="D76" s="12"/>
      <c r="E76" s="12"/>
    </row>
    <row r="77" ht="15.75" customHeight="1">
      <c r="A77" s="7" t="s">
        <v>165</v>
      </c>
      <c r="B77" s="21" t="str">
        <f>IFERROR(VLOOKUP(A77,'PAÑOL TÉCNICO'!A77:B1000,2,0))</f>
        <v>Llave de 1-1/8</v>
      </c>
      <c r="C77" s="9">
        <f>SUMIF(DIARIOS!D:D,A77,DIARIOS!F:F)</f>
        <v>0</v>
      </c>
      <c r="D77" s="12"/>
      <c r="E77" s="12"/>
    </row>
    <row r="78" ht="15.75" customHeight="1">
      <c r="A78" s="7" t="s">
        <v>167</v>
      </c>
      <c r="B78" s="21" t="str">
        <f>IFERROR(VLOOKUP(A78,'PAÑOL TÉCNICO'!A78:B1000,2,0))</f>
        <v>Llave de 22</v>
      </c>
      <c r="C78" s="9">
        <f>SUMIF(DIARIOS!D:D,A78,DIARIOS!F:F)</f>
        <v>0</v>
      </c>
      <c r="D78" s="12"/>
      <c r="E78" s="12"/>
    </row>
    <row r="79" ht="15.75" customHeight="1">
      <c r="A79" s="7" t="s">
        <v>169</v>
      </c>
      <c r="B79" s="21" t="str">
        <f>IFERROR(VLOOKUP(A79,'PAÑOL TÉCNICO'!A79:B1000,2,0))</f>
        <v>Llave de 19</v>
      </c>
      <c r="C79" s="9">
        <f>SUMIF(DIARIOS!D:D,A79,DIARIOS!F:F)</f>
        <v>0</v>
      </c>
      <c r="D79" s="12"/>
      <c r="E79" s="12"/>
    </row>
    <row r="80" ht="15.75" customHeight="1">
      <c r="A80" s="7" t="s">
        <v>171</v>
      </c>
      <c r="B80" s="21" t="str">
        <f>IFERROR(VLOOKUP(A80,'PAÑOL TÉCNICO'!A80:B1000,2,0))</f>
        <v>Llave de 14</v>
      </c>
      <c r="C80" s="9">
        <f>SUMIF(DIARIOS!D:D,A80,DIARIOS!F:F)</f>
        <v>0</v>
      </c>
      <c r="D80" s="12"/>
      <c r="E80" s="12"/>
    </row>
    <row r="81" ht="15.75" customHeight="1">
      <c r="A81" s="7" t="s">
        <v>173</v>
      </c>
      <c r="B81" s="21" t="str">
        <f>IFERROR(VLOOKUP(A81,'PAÑOL TÉCNICO'!A81:B1000,2,0))</f>
        <v>Llave de 13</v>
      </c>
      <c r="C81" s="9">
        <f>SUMIF(DIARIOS!D:D,A81,DIARIOS!F:F)</f>
        <v>0</v>
      </c>
      <c r="D81" s="12"/>
      <c r="E81" s="12"/>
    </row>
    <row r="82" ht="15.75" customHeight="1">
      <c r="A82" s="7" t="s">
        <v>175</v>
      </c>
      <c r="B82" s="21" t="str">
        <f>IFERROR(VLOOKUP(A82,'PAÑOL TÉCNICO'!A82:B1000,2,0))</f>
        <v>Llave de 23</v>
      </c>
      <c r="C82" s="9">
        <f>SUMIF(DIARIOS!D:D,A82,DIARIOS!F:F)</f>
        <v>0</v>
      </c>
      <c r="D82" s="12"/>
      <c r="E82" s="12"/>
    </row>
    <row r="83" ht="15.75" customHeight="1">
      <c r="A83" s="7" t="s">
        <v>177</v>
      </c>
      <c r="B83" s="21" t="str">
        <f>IFERROR(VLOOKUP(A83,'PAÑOL TÉCNICO'!A83:B1000,2,0))</f>
        <v>Llave de 7</v>
      </c>
      <c r="C83" s="9">
        <f>SUMIF(DIARIOS!D:D,A83,DIARIOS!F:F)</f>
        <v>0</v>
      </c>
      <c r="D83" s="12"/>
      <c r="E83" s="12"/>
    </row>
    <row r="84" ht="15.75" customHeight="1">
      <c r="A84" s="7" t="s">
        <v>179</v>
      </c>
      <c r="B84" s="21" t="str">
        <f>IFERROR(VLOOKUP(A84,'PAÑOL TÉCNICO'!A84:B1000,2,0))</f>
        <v>Llave de 17</v>
      </c>
      <c r="C84" s="9">
        <f>SUMIF(DIARIOS!D:D,A84,DIARIOS!F:F)</f>
        <v>0</v>
      </c>
      <c r="D84" s="12"/>
      <c r="E84" s="12"/>
    </row>
    <row r="85" ht="15.75" customHeight="1">
      <c r="A85" s="7" t="s">
        <v>181</v>
      </c>
      <c r="B85" s="21" t="str">
        <f>IFERROR(VLOOKUP(A85,'PAÑOL TÉCNICO'!A85:B1000,2,0))</f>
        <v>Llave inglesa</v>
      </c>
      <c r="C85" s="9">
        <f>SUMIF(DIARIOS!D:D,A85,DIARIOS!F:F)</f>
        <v>0</v>
      </c>
      <c r="D85" s="12"/>
      <c r="E85" s="12"/>
    </row>
    <row r="86" ht="15.75" customHeight="1">
      <c r="A86" s="7" t="s">
        <v>183</v>
      </c>
      <c r="B86" s="21" t="str">
        <f>IFERROR(VLOOKUP(A86,'PAÑOL TÉCNICO'!A86:B1000,2,0))</f>
        <v>Llave inglesa (rota)</v>
      </c>
      <c r="C86" s="9">
        <f>SUMIF(DIARIOS!D:D,A86,DIARIOS!F:F)</f>
        <v>0</v>
      </c>
      <c r="D86" s="12"/>
      <c r="E86" s="12"/>
    </row>
    <row r="87" ht="15.75" customHeight="1">
      <c r="A87" s="7" t="s">
        <v>185</v>
      </c>
      <c r="B87" s="21" t="str">
        <f>IFERROR(VLOOKUP(A87,'PAÑOL TÉCNICO'!A87:B1000,2,0))</f>
        <v>Lingas sin gancho</v>
      </c>
      <c r="C87" s="9">
        <f>SUMIF(DIARIOS!D:D,A87,DIARIOS!F:F)</f>
        <v>0</v>
      </c>
      <c r="D87" s="12"/>
      <c r="E87" s="12"/>
    </row>
    <row r="88" ht="15.75" customHeight="1">
      <c r="A88" s="7" t="s">
        <v>187</v>
      </c>
      <c r="B88" s="21" t="str">
        <f>IFERROR(VLOOKUP(A88,'PAÑOL TÉCNICO'!A88:B1000,2,0))</f>
        <v>Lingas de acero</v>
      </c>
      <c r="C88" s="9">
        <f>SUMIF(DIARIOS!D:D,A88,DIARIOS!F:F)</f>
        <v>0</v>
      </c>
      <c r="D88" s="12"/>
      <c r="E88" s="12"/>
    </row>
    <row r="89" ht="14.25" customHeight="1">
      <c r="A89" s="7" t="s">
        <v>189</v>
      </c>
      <c r="B89" s="21" t="str">
        <f>IFERROR(VLOOKUP(A89,'PAÑOL TÉCNICO'!A89:B1000,2,0))</f>
        <v>Lija grande del 60</v>
      </c>
      <c r="C89" s="9">
        <f>SUMIF(DIARIOS!D:D,A89,DIARIOS!F:F)</f>
        <v>0</v>
      </c>
      <c r="D89" s="12"/>
      <c r="E89" s="12"/>
    </row>
    <row r="90" ht="15.75" customHeight="1">
      <c r="A90" s="7" t="s">
        <v>191</v>
      </c>
      <c r="B90" s="21" t="str">
        <f>IFERROR(VLOOKUP(A90,'PAÑOL TÉCNICO'!A90:B1000,2,0))</f>
        <v>Lingas con gancho</v>
      </c>
      <c r="C90" s="9">
        <f>SUMIF(DIARIOS!D:D,A90,DIARIOS!F:F)</f>
        <v>0</v>
      </c>
      <c r="D90" s="12"/>
      <c r="E90" s="12"/>
    </row>
    <row r="91" ht="15.75" customHeight="1">
      <c r="A91" s="7" t="s">
        <v>193</v>
      </c>
      <c r="B91" s="21" t="str">
        <f>IFERROR(VLOOKUP(A91,'PAÑOL TÉCNICO'!A91:B1000,2,0))</f>
        <v>Linga de acero</v>
      </c>
      <c r="C91" s="9">
        <f>SUMIF(DIARIOS!D:D,A91,DIARIOS!F:F)</f>
        <v>0</v>
      </c>
      <c r="D91" s="12"/>
      <c r="E91" s="12"/>
    </row>
    <row r="92" ht="15.75" customHeight="1">
      <c r="A92" s="7" t="s">
        <v>195</v>
      </c>
      <c r="B92" s="21" t="str">
        <f>IFERROR(VLOOKUP(A92,'PAÑOL TÉCNICO'!A92:B1000,2,0))</f>
        <v>Latex interior "Negro" 20 L (Pintacrem)</v>
      </c>
      <c r="C92" s="9">
        <f>SUMIF(DIARIOS!D:D,A92,DIARIOS!F:F)</f>
        <v>0</v>
      </c>
      <c r="D92" s="12"/>
      <c r="E92" s="12"/>
    </row>
    <row r="93" ht="15.75" customHeight="1">
      <c r="A93" s="7" t="s">
        <v>197</v>
      </c>
      <c r="B93" s="21" t="str">
        <f>IFERROR(VLOOKUP(A93,'PAÑOL TÉCNICO'!A93:B1000,2,0))</f>
        <v>Llave allen 6 mm</v>
      </c>
      <c r="C93" s="9">
        <f>SUMIF(DIARIOS!D:D,A93,DIARIOS!F:F)</f>
        <v>0</v>
      </c>
      <c r="D93" s="12"/>
      <c r="E93" s="12"/>
    </row>
    <row r="94" ht="15.75" customHeight="1">
      <c r="A94" s="7" t="s">
        <v>199</v>
      </c>
      <c r="B94" s="21" t="str">
        <f>IFERROR(VLOOKUP(A94,'PAÑOL TÉCNICO'!A94:B1000,2,0))</f>
        <v>Llave allen 8 mm</v>
      </c>
      <c r="C94" s="9">
        <f>SUMIF(DIARIOS!D:D,A94,DIARIOS!F:F)</f>
        <v>0</v>
      </c>
      <c r="D94" s="12"/>
      <c r="E94" s="12"/>
    </row>
    <row r="95" ht="15.75" customHeight="1">
      <c r="A95" s="7" t="s">
        <v>201</v>
      </c>
      <c r="B95" s="21" t="str">
        <f>IFERROR(VLOOKUP(A95,'PAÑOL TÉCNICO'!A95:B1000,2,0))</f>
        <v>Llave allen 5 mm</v>
      </c>
      <c r="C95" s="9">
        <f>SUMIF(DIARIOS!D:D,A95,DIARIOS!F:F)</f>
        <v>0</v>
      </c>
      <c r="D95" s="12"/>
      <c r="E95" s="12"/>
    </row>
    <row r="96" ht="15.75" customHeight="1">
      <c r="A96" s="7" t="s">
        <v>203</v>
      </c>
      <c r="B96" s="21" t="str">
        <f>IFERROR(VLOOKUP(A96,'PAÑOL TÉCNICO'!A96:B1000,2,0))</f>
        <v>Mascara protectora p/vía respiratoria (1 cartucho)</v>
      </c>
      <c r="C96" s="9">
        <f>SUMIF(DIARIOS!D:D,A96,DIARIOS!F:F)</f>
        <v>0</v>
      </c>
      <c r="D96" s="12"/>
      <c r="E96" s="12"/>
    </row>
    <row r="97" ht="15.75" customHeight="1">
      <c r="A97" s="7" t="s">
        <v>205</v>
      </c>
      <c r="B97" s="21" t="str">
        <f>IFERROR(VLOOKUP(A97,'PAÑOL TÉCNICO'!A97:B1000,2,0))</f>
        <v>Mascara protectora p/vía respiratoria (2 cartuchos)</v>
      </c>
      <c r="C97" s="9">
        <f>SUMIF(DIARIOS!D:D,A97,DIARIOS!F:F)</f>
        <v>0</v>
      </c>
      <c r="D97" s="12"/>
      <c r="E97" s="12"/>
    </row>
    <row r="98" ht="15.75" customHeight="1">
      <c r="A98" s="7" t="s">
        <v>207</v>
      </c>
      <c r="B98" s="21" t="str">
        <f>IFERROR(VLOOKUP(A98,'PAÑOL TÉCNICO'!A98:B1000,2,0))</f>
        <v>Mecha con piedra pome</v>
      </c>
      <c r="C98" s="9">
        <f>SUMIF(DIARIOS!D:D,A98,DIARIOS!F:F)</f>
        <v>0</v>
      </c>
      <c r="D98" s="12"/>
      <c r="E98" s="12"/>
    </row>
    <row r="99" ht="15.75" customHeight="1">
      <c r="A99" s="7" t="s">
        <v>209</v>
      </c>
      <c r="B99" s="21" t="str">
        <f>IFERROR(VLOOKUP(A99,'PAÑOL TÉCNICO'!A99:B1000,2,0))</f>
        <v>Mecha copa</v>
      </c>
      <c r="C99" s="9">
        <f>SUMIF(DIARIOS!D:D,A99,DIARIOS!F:F)</f>
        <v>0</v>
      </c>
      <c r="D99" s="12"/>
      <c r="E99" s="12"/>
    </row>
    <row r="100" ht="15.75" customHeight="1">
      <c r="A100" s="7" t="s">
        <v>211</v>
      </c>
      <c r="B100" s="21" t="str">
        <f>IFERROR(VLOOKUP(A100,'PAÑOL TÉCNICO'!A100:B1000,2,0))</f>
        <v>Mecha para metal de 4cm</v>
      </c>
      <c r="C100" s="9">
        <f>SUMIF(DIARIOS!D:D,A100,DIARIOS!F:F)</f>
        <v>0</v>
      </c>
      <c r="D100" s="12"/>
      <c r="E100" s="12"/>
    </row>
    <row r="101" ht="15.75" customHeight="1">
      <c r="A101" s="7" t="s">
        <v>213</v>
      </c>
      <c r="B101" s="21" t="str">
        <f>IFERROR(VLOOKUP(A101,'PAÑOL TÉCNICO'!A101:B1000,2,0))</f>
        <v>Mosquetón</v>
      </c>
      <c r="C101" s="9">
        <f>SUMIF(DIARIOS!D:D,A101,DIARIOS!F:F)</f>
        <v>0</v>
      </c>
      <c r="D101" s="12"/>
      <c r="E101" s="12"/>
    </row>
    <row r="102" ht="15.75" customHeight="1">
      <c r="A102" s="7" t="s">
        <v>215</v>
      </c>
      <c r="B102" s="21" t="str">
        <f>IFERROR(VLOOKUP(A102,'PAÑOL TÉCNICO'!A102:B1000,2,0))</f>
        <v>Molde para grafitti "Dos57"</v>
      </c>
      <c r="C102" s="9">
        <f>SUMIF(DIARIOS!D:D,A102,DIARIOS!F:F)</f>
        <v>0</v>
      </c>
      <c r="D102" s="12"/>
      <c r="E102" s="12"/>
    </row>
    <row r="103" ht="15.75" customHeight="1">
      <c r="A103" s="7" t="s">
        <v>217</v>
      </c>
      <c r="B103" s="21" t="str">
        <f>IFERROR(VLOOKUP(A103,'PAÑOL TÉCNICO'!A103:B1000,2,0))</f>
        <v>Masa p/estaca de 1mts</v>
      </c>
      <c r="C103" s="9">
        <f>SUMIF(DIARIOS!D:D,A103,DIARIOS!F:F)</f>
        <v>0</v>
      </c>
      <c r="D103" s="12"/>
      <c r="E103" s="12"/>
    </row>
    <row r="104" ht="15.75" customHeight="1">
      <c r="A104" s="7" t="s">
        <v>219</v>
      </c>
      <c r="B104" s="21" t="str">
        <f>IFERROR(VLOOKUP(A104,'PAÑOL TÉCNICO'!A104:B1000,2,0))</f>
        <v>Masa de goma</v>
      </c>
      <c r="C104" s="9">
        <f>SUMIF(DIARIOS!D:D,A104,DIARIOS!F:F)</f>
        <v>0</v>
      </c>
      <c r="D104" s="12"/>
      <c r="E104" s="12"/>
    </row>
    <row r="105" ht="15.75" customHeight="1">
      <c r="A105" s="7" t="s">
        <v>221</v>
      </c>
      <c r="B105" s="21" t="str">
        <f>IFERROR(VLOOKUP(A105,'PAÑOL TÉCNICO'!A105:B1000,2,0))</f>
        <v>Mecha para metal 8.25</v>
      </c>
      <c r="C105" s="9">
        <f>SUMIF(DIARIOS!D:D,A105,DIARIOS!F:F)</f>
        <v>0</v>
      </c>
      <c r="D105" s="12"/>
      <c r="E105" s="12"/>
    </row>
    <row r="106" ht="15.75" customHeight="1">
      <c r="A106" s="7" t="s">
        <v>223</v>
      </c>
      <c r="B106" s="21" t="str">
        <f>IFERROR(VLOOKUP(A106,'PAÑOL TÉCNICO'!A106:B1000,2,0))</f>
        <v>Mecha para metal 12</v>
      </c>
      <c r="C106" s="9">
        <f>SUMIF(DIARIOS!D:D,A106,DIARIOS!F:F)</f>
        <v>0</v>
      </c>
      <c r="D106" s="12"/>
      <c r="E106" s="12"/>
    </row>
    <row r="107" ht="15.75" customHeight="1">
      <c r="A107" s="7" t="s">
        <v>225</v>
      </c>
      <c r="B107" s="21" t="str">
        <f>IFERROR(VLOOKUP(A107,'PAÑOL TÉCNICO'!A107:B1000,2,0))</f>
        <v>Mecha para metal 5</v>
      </c>
      <c r="C107" s="9">
        <f>SUMIF(DIARIOS!D:D,A107,DIARIOS!F:F)</f>
        <v>0</v>
      </c>
      <c r="D107" s="12"/>
      <c r="E107" s="12"/>
    </row>
    <row r="108" ht="15.75" customHeight="1">
      <c r="A108" s="7" t="s">
        <v>227</v>
      </c>
      <c r="B108" s="21" t="str">
        <f>IFERROR(VLOOKUP(A108,'PAÑOL TÉCNICO'!A108:B1000,2,0))</f>
        <v>Mecha para metal 8</v>
      </c>
      <c r="C108" s="9">
        <f>SUMIF(DIARIOS!D:D,A108,DIARIOS!F:F)</f>
        <v>0</v>
      </c>
      <c r="D108" s="12"/>
      <c r="E108" s="12"/>
    </row>
    <row r="109" ht="15.75" customHeight="1">
      <c r="A109" s="7" t="s">
        <v>229</v>
      </c>
      <c r="B109" s="21" t="str">
        <f>IFERROR(VLOOKUP(A109,'PAÑOL TÉCNICO'!A109:B1000,2,0))</f>
        <v>Mecha para metal 3</v>
      </c>
      <c r="C109" s="9">
        <f>SUMIF(DIARIOS!D:D,A109,DIARIOS!F:F)</f>
        <v>0</v>
      </c>
      <c r="D109" s="12"/>
      <c r="E109" s="12"/>
    </row>
    <row r="110" ht="15.75" customHeight="1">
      <c r="A110" s="7" t="s">
        <v>231</v>
      </c>
      <c r="B110" s="21" t="str">
        <f>IFERROR(VLOOKUP(A110,'PAÑOL TÉCNICO'!A110:B1000,2,0))</f>
        <v>Mecha para pared 15/64</v>
      </c>
      <c r="C110" s="9">
        <f>SUMIF(DIARIOS!D:D,A110,DIARIOS!F:F)</f>
        <v>0</v>
      </c>
      <c r="D110" s="12"/>
      <c r="E110" s="12"/>
    </row>
    <row r="111" ht="15.75" customHeight="1">
      <c r="A111" s="7" t="s">
        <v>233</v>
      </c>
      <c r="B111" s="21" t="str">
        <f>IFERROR(VLOOKUP(A111,'PAÑOL TÉCNICO'!A111:B1000,2,0))</f>
        <v>Mecha para pared 5/16 - 8mm</v>
      </c>
      <c r="C111" s="9">
        <f>SUMIF(DIARIOS!D:D,A111,DIARIOS!F:F)</f>
        <v>0</v>
      </c>
      <c r="D111" s="12"/>
      <c r="E111" s="12"/>
    </row>
    <row r="112" ht="15.75" customHeight="1">
      <c r="A112" s="7" t="s">
        <v>235</v>
      </c>
      <c r="B112" s="21" t="str">
        <f>IFERROR(VLOOKUP(A112,'PAÑOL TÉCNICO'!A112:B1000,2,0))</f>
        <v>Mecha para metal 14</v>
      </c>
      <c r="C112" s="9">
        <f>SUMIF(DIARIOS!D:D,A112,DIARIOS!F:F)</f>
        <v>0</v>
      </c>
      <c r="D112" s="12"/>
      <c r="E112" s="12"/>
    </row>
    <row r="113" ht="15.75" customHeight="1">
      <c r="A113" s="7" t="s">
        <v>237</v>
      </c>
      <c r="B113" s="21" t="str">
        <f>IFERROR(VLOOKUP(A113,'PAÑOL TÉCNICO'!A113:B1000,2,0))</f>
        <v>Mecha para metal 6.25</v>
      </c>
      <c r="C113" s="9">
        <f>SUMIF(DIARIOS!D:D,A113,DIARIOS!F:F)</f>
        <v>0</v>
      </c>
      <c r="D113" s="12"/>
      <c r="E113" s="12"/>
    </row>
    <row r="114" ht="15.0" customHeight="1">
      <c r="A114" s="7" t="s">
        <v>239</v>
      </c>
      <c r="B114" s="21" t="str">
        <f>IFERROR(VLOOKUP(A114,'PAÑOL TÉCNICO'!A114:B1000,2,0))</f>
        <v>Martillo de Layher</v>
      </c>
      <c r="C114" s="9">
        <f>SUMIF(DIARIOS!D:D,A114,DIARIOS!F:F)</f>
        <v>0</v>
      </c>
      <c r="D114" s="12"/>
      <c r="E114" s="12"/>
    </row>
    <row r="115" ht="15.75" customHeight="1">
      <c r="A115" s="7" t="s">
        <v>241</v>
      </c>
      <c r="B115" s="21" t="str">
        <f>IFERROR(VLOOKUP(A115,'PAÑOL TÉCNICO'!A115:B1000,2,0))</f>
        <v>Máquina p/rachet</v>
      </c>
      <c r="C115" s="9">
        <f>SUMIF(DIARIOS!D:D,A115,DIARIOS!F:F)</f>
        <v>0</v>
      </c>
      <c r="D115" s="12"/>
      <c r="E115" s="12"/>
    </row>
    <row r="116" ht="15.75" customHeight="1">
      <c r="A116" s="7" t="s">
        <v>243</v>
      </c>
      <c r="B116" s="21" t="str">
        <f>IFERROR(VLOOKUP(A116,'PAÑOL TÉCNICO'!A116:B1000,2,0))</f>
        <v>Machete</v>
      </c>
      <c r="C116" s="9">
        <f>SUMIF(DIARIOS!D:D,A116,DIARIOS!F:F)</f>
        <v>0</v>
      </c>
      <c r="D116" s="12"/>
      <c r="E116" s="12"/>
    </row>
    <row r="117" ht="15.75" customHeight="1">
      <c r="A117" s="7" t="s">
        <v>245</v>
      </c>
      <c r="B117" s="21" t="str">
        <f>IFERROR(VLOOKUP(A117,'PAÑOL TÉCNICO'!A117:B1000,2,0))</f>
        <v>Martillo</v>
      </c>
      <c r="C117" s="9">
        <f>SUMIF(DIARIOS!D:D,A117,DIARIOS!F:F)</f>
        <v>0</v>
      </c>
      <c r="D117" s="12"/>
      <c r="E117" s="12"/>
    </row>
    <row r="118" ht="15.75" customHeight="1">
      <c r="A118" s="7" t="s">
        <v>247</v>
      </c>
      <c r="B118" s="21" t="str">
        <f>IFERROR(VLOOKUP(A118,'PAÑOL TÉCNICO'!A118:B1000,2,0))</f>
        <v>Martillo de acero</v>
      </c>
      <c r="C118" s="9">
        <f>SUMIF(DIARIOS!D:D,A118,DIARIOS!F:F)</f>
        <v>0</v>
      </c>
      <c r="D118" s="12"/>
      <c r="E118" s="12"/>
    </row>
    <row r="119" ht="15.75" customHeight="1">
      <c r="A119" s="7" t="s">
        <v>249</v>
      </c>
      <c r="B119" s="21" t="str">
        <f>IFERROR(VLOOKUP(A119,'PAÑOL TÉCNICO'!A119:B1000,2,0))</f>
        <v>Mameluco impermeable azul</v>
      </c>
      <c r="C119" s="9">
        <f>SUMIF(DIARIOS!D:D,A119,DIARIOS!F:F)</f>
        <v>0</v>
      </c>
      <c r="D119" s="12"/>
      <c r="E119" s="12"/>
    </row>
    <row r="120" ht="15.75" customHeight="1">
      <c r="A120" s="7" t="s">
        <v>251</v>
      </c>
      <c r="B120" s="21" t="str">
        <f>IFERROR(VLOOKUP(A120,'PAÑOL TÉCNICO'!A120:B1000,2,0))</f>
        <v>Mascara de soldar</v>
      </c>
      <c r="C120" s="9">
        <f>SUMIF(DIARIOS!D:D,A120,DIARIOS!F:F)</f>
        <v>0</v>
      </c>
      <c r="D120" s="12"/>
      <c r="E120" s="12"/>
    </row>
    <row r="121" ht="15.75" customHeight="1">
      <c r="A121" s="7" t="s">
        <v>253</v>
      </c>
      <c r="B121" s="21" t="str">
        <f>IFERROR(VLOOKUP(A121,'PAÑOL TÉCNICO'!A121:B1000,2,0))</f>
        <v>Mini rachet</v>
      </c>
      <c r="C121" s="9">
        <f>SUMIF(DIARIOS!D:D,A121,DIARIOS!F:F)</f>
        <v>0</v>
      </c>
      <c r="D121" s="12"/>
      <c r="E121" s="12"/>
    </row>
    <row r="122" ht="15.75" customHeight="1">
      <c r="A122" s="7" t="s">
        <v>255</v>
      </c>
      <c r="B122" s="21" t="str">
        <f>IFERROR(VLOOKUP(A122,'PAÑOL TÉCNICO'!A122:B1000,2,0))</f>
        <v>Nivel de mano regular</v>
      </c>
      <c r="C122" s="9">
        <f>SUMIF(DIARIOS!D:D,A122,DIARIOS!F:F)</f>
        <v>0</v>
      </c>
      <c r="D122" s="12"/>
      <c r="E122" s="12"/>
    </row>
    <row r="123" ht="15.75" customHeight="1">
      <c r="A123" s="7" t="s">
        <v>257</v>
      </c>
      <c r="B123" s="21" t="str">
        <f>IFERROR(VLOOKUP(A123,'PAÑOL TÉCNICO'!A123:B1000,2,0))</f>
        <v>Nivel de mano grande</v>
      </c>
      <c r="C123" s="9">
        <f>SUMIF(DIARIOS!D:D,A123,DIARIOS!F:F)</f>
        <v>0</v>
      </c>
      <c r="D123" s="12"/>
      <c r="E123" s="12"/>
    </row>
    <row r="124" ht="15.75" customHeight="1">
      <c r="A124" s="7" t="s">
        <v>259</v>
      </c>
      <c r="B124" s="21" t="str">
        <f>IFERROR(VLOOKUP(A124,'PAÑOL TÉCNICO'!A124:B1000,2,0))</f>
        <v>Nudo con pin</v>
      </c>
      <c r="C124" s="9">
        <f>SUMIF(DIARIOS!D:D,A124,DIARIOS!F:F)</f>
        <v>0</v>
      </c>
      <c r="D124" s="12"/>
      <c r="E124" s="12"/>
    </row>
    <row r="125" ht="15.75" customHeight="1">
      <c r="A125" s="7" t="s">
        <v>262</v>
      </c>
      <c r="B125" s="21" t="str">
        <f>IFERROR(VLOOKUP(A125,'PAÑOL TÉCNICO'!A125:B1000,2,0))</f>
        <v>Odometro</v>
      </c>
      <c r="C125" s="9">
        <f>SUMIF(DIARIOS!D:D,A125,DIARIOS!F:F)</f>
        <v>0</v>
      </c>
      <c r="D125" s="12"/>
      <c r="E125" s="12"/>
    </row>
    <row r="126" ht="15.75" customHeight="1">
      <c r="A126" s="7" t="s">
        <v>264</v>
      </c>
      <c r="B126" s="21" t="str">
        <f>IFERROR(VLOOKUP(A126,'PAÑOL TÉCNICO'!A126:B1000,2,0))</f>
        <v>Pistola caliente de silicona</v>
      </c>
      <c r="C126" s="9">
        <f>SUMIF(DIARIOS!D:D,A126,DIARIOS!F:F)</f>
        <v>0</v>
      </c>
      <c r="D126" s="12"/>
      <c r="E126" s="12"/>
    </row>
    <row r="127" ht="15.75" customHeight="1">
      <c r="A127" s="7" t="s">
        <v>266</v>
      </c>
      <c r="B127" s="21" t="str">
        <f>IFERROR(VLOOKUP(A127,'PAÑOL TÉCNICO'!A127:B1000,2,0))</f>
        <v>Puntera philip</v>
      </c>
      <c r="C127" s="9">
        <f>SUMIF(DIARIOS!D:D,A127,DIARIOS!F:F)</f>
        <v>0</v>
      </c>
      <c r="D127" s="12"/>
      <c r="E127" s="12"/>
    </row>
    <row r="128" ht="15.75" customHeight="1">
      <c r="A128" s="7" t="s">
        <v>268</v>
      </c>
      <c r="B128" s="21" t="str">
        <f>IFERROR(VLOOKUP(A128,'PAÑOL TÉCNICO'!A128:B1000,2,0))</f>
        <v>Pistola p/pintura profesional (Crossgrob)</v>
      </c>
      <c r="C128" s="9">
        <f>SUMIF(DIARIOS!D:D,A128,DIARIOS!F:F)</f>
        <v>0</v>
      </c>
      <c r="D128" s="12"/>
      <c r="E128" s="12"/>
    </row>
    <row r="129" ht="15.75" customHeight="1">
      <c r="A129" s="7" t="s">
        <v>271</v>
      </c>
      <c r="B129" s="21" t="str">
        <f>IFERROR(VLOOKUP(A129,'PAÑOL TÉCNICO'!A129:B1000,2,0))</f>
        <v>Pistola p/pintura (en uso)</v>
      </c>
      <c r="C129" s="9">
        <f>SUMIF(DIARIOS!D:D,A129,DIARIOS!F:F)</f>
        <v>0</v>
      </c>
      <c r="D129" s="12"/>
      <c r="E129" s="12"/>
    </row>
    <row r="130" ht="15.75" customHeight="1">
      <c r="A130" s="7" t="s">
        <v>273</v>
      </c>
      <c r="B130" s="21" t="str">
        <f>IFERROR(VLOOKUP(A130,'PAÑOL TÉCNICO'!A130:B1000,2,0))</f>
        <v>Pistola  p/pintura (sin funcionar)</v>
      </c>
      <c r="C130" s="9">
        <f>SUMIF(DIARIOS!D:D,A130,DIARIOS!F:F)</f>
        <v>0</v>
      </c>
      <c r="D130" s="12"/>
      <c r="E130" s="12"/>
    </row>
    <row r="131" ht="15.75" customHeight="1">
      <c r="A131" s="7" t="s">
        <v>275</v>
      </c>
      <c r="B131" s="21" t="str">
        <f>IFERROR(VLOOKUP(A131,'PAÑOL TÉCNICO'!A131:B1000,2,0))</f>
        <v>Pinza</v>
      </c>
      <c r="C131" s="9">
        <f>SUMIF(DIARIOS!D:D,A131,DIARIOS!F:F)</f>
        <v>0</v>
      </c>
      <c r="D131" s="12"/>
      <c r="E131" s="12"/>
    </row>
    <row r="132" ht="15.75" customHeight="1">
      <c r="A132" s="7" t="s">
        <v>277</v>
      </c>
      <c r="B132" s="21" t="str">
        <f>IFERROR(VLOOKUP(A132,'PAÑOL TÉCNICO'!A132:B1000,2,0))</f>
        <v>Prolongación 20mts</v>
      </c>
      <c r="C132" s="9">
        <f>SUMIF(DIARIOS!D:D,A132,DIARIOS!F:F)</f>
        <v>0</v>
      </c>
      <c r="D132" s="12"/>
      <c r="E132" s="12"/>
    </row>
    <row r="133" ht="15.75" customHeight="1">
      <c r="A133" s="7" t="s">
        <v>279</v>
      </c>
      <c r="B133" s="21" t="str">
        <f>IFERROR(VLOOKUP(A133,'PAÑOL TÉCNICO'!A133:B1000,2,0))</f>
        <v>Prolongación 14/15mts</v>
      </c>
      <c r="C133" s="9">
        <f>SUMIF(DIARIOS!D:D,A133,DIARIOS!F:F)</f>
        <v>0</v>
      </c>
      <c r="D133" s="12"/>
      <c r="E133" s="12"/>
    </row>
    <row r="134" ht="15.75" customHeight="1">
      <c r="A134" s="7" t="s">
        <v>281</v>
      </c>
      <c r="B134" s="21" t="str">
        <f>IFERROR(VLOOKUP(A134,'PAÑOL TÉCNICO'!A134:B1000,2,0))</f>
        <v>Prolongación 10mts</v>
      </c>
      <c r="C134" s="9">
        <f>SUMIF(DIARIOS!D:D,A134,DIARIOS!F:F)</f>
        <v>0</v>
      </c>
      <c r="D134" s="12"/>
      <c r="E134" s="12"/>
    </row>
    <row r="135" ht="15.75" customHeight="1">
      <c r="A135" s="7" t="s">
        <v>283</v>
      </c>
      <c r="B135" s="21" t="str">
        <f>IFERROR(VLOOKUP(A135,'PAÑOL TÉCNICO'!A135:B1000,2,0))</f>
        <v>Prolongación 5mts (Del generador)</v>
      </c>
      <c r="C135" s="9">
        <f>SUMIF(DIARIOS!D:D,A135,DIARIOS!F:F)</f>
        <v>0</v>
      </c>
      <c r="D135" s="12"/>
      <c r="E135" s="12"/>
    </row>
    <row r="136" ht="15.75" customHeight="1">
      <c r="A136" s="7" t="s">
        <v>285</v>
      </c>
      <c r="B136" s="21" t="str">
        <f>IFERROR(VLOOKUP(A136,'PAÑOL TÉCNICO'!A136:B1000,2,0))</f>
        <v>Pistola infladora </v>
      </c>
      <c r="C136" s="9">
        <f>SUMIF(DIARIOS!D:D,A136,DIARIOS!F:F)</f>
        <v>0</v>
      </c>
      <c r="D136" s="12"/>
      <c r="E136" s="12"/>
    </row>
    <row r="137" ht="15.75" customHeight="1">
      <c r="A137" s="7" t="s">
        <v>287</v>
      </c>
      <c r="B137" s="21" t="str">
        <f>IFERROR(VLOOKUP(A137,'PAÑOL TÉCNICO'!A137:B1000,2,0))</f>
        <v>Pala de punta</v>
      </c>
      <c r="C137" s="9">
        <f>SUMIF(DIARIOS!D:D,A137,DIARIOS!F:F)</f>
        <v>0</v>
      </c>
      <c r="D137" s="12"/>
      <c r="E137" s="12"/>
    </row>
    <row r="138" ht="15.75" customHeight="1">
      <c r="A138" s="7" t="s">
        <v>289</v>
      </c>
      <c r="B138" s="21" t="str">
        <f>IFERROR(VLOOKUP(A138,'PAÑOL TÉCNICO'!A138:B1000,2,0))</f>
        <v>Pico</v>
      </c>
      <c r="C138" s="9">
        <f>SUMIF(DIARIOS!D:D,A138,DIARIOS!F:F)</f>
        <v>0</v>
      </c>
      <c r="D138" s="12"/>
      <c r="E138" s="12"/>
    </row>
    <row r="139" ht="15.75" customHeight="1">
      <c r="A139" s="7" t="s">
        <v>291</v>
      </c>
      <c r="B139" s="21" t="str">
        <f>IFERROR(VLOOKUP(A139,'PAÑOL TÉCNICO'!A139:B1000,2,0))</f>
        <v>Pala ancha</v>
      </c>
      <c r="C139" s="9">
        <f>SUMIF(DIARIOS!D:D,A139,DIARIOS!F:F)</f>
        <v>0</v>
      </c>
      <c r="D139" s="12"/>
      <c r="E139" s="12"/>
    </row>
    <row r="140" ht="15.75" customHeight="1">
      <c r="A140" s="7" t="s">
        <v>293</v>
      </c>
      <c r="B140" s="21" t="str">
        <f>IFERROR(VLOOKUP(A140,'PAÑOL TÉCNICO'!A140:B1000,2,0))</f>
        <v>Pin móvil para Layher</v>
      </c>
      <c r="C140" s="9">
        <f>SUMIF(DIARIOS!D:D,A140,DIARIOS!F:F)</f>
        <v>0</v>
      </c>
      <c r="D140" s="12"/>
      <c r="E140" s="12"/>
    </row>
    <row r="141" ht="15.75" customHeight="1">
      <c r="A141" s="7" t="s">
        <v>295</v>
      </c>
      <c r="B141" s="21" t="str">
        <f>IFERROR(VLOOKUP(A141,'PAÑOL TÉCNICO'!A141:B1000,2,0))</f>
        <v>Porta martillo Layher</v>
      </c>
      <c r="C141" s="9">
        <f>SUMIF(DIARIOS!D:D,A141,DIARIOS!F:F)</f>
        <v>0</v>
      </c>
      <c r="D141" s="12"/>
      <c r="E141" s="12"/>
    </row>
    <row r="142" ht="15.75" customHeight="1">
      <c r="A142" s="7" t="s">
        <v>298</v>
      </c>
      <c r="B142" s="21" t="str">
        <f>IFERROR(VLOOKUP(A142,'PAÑOL TÉCNICO'!A142:B1000,2,0))</f>
        <v>Paneles led</v>
      </c>
      <c r="C142" s="9">
        <f>SUMIF(DIARIOS!D:D,A142,DIARIOS!F:F)</f>
        <v>0</v>
      </c>
      <c r="D142" s="12"/>
      <c r="E142" s="12"/>
    </row>
    <row r="143" ht="15.75" customHeight="1">
      <c r="A143" s="7" t="s">
        <v>300</v>
      </c>
      <c r="B143" s="21" t="str">
        <f>IFERROR(VLOOKUP(A143,'PAÑOL TÉCNICO'!A143:B1000,2,0))</f>
        <v>Pistola de silicona</v>
      </c>
      <c r="C143" s="9">
        <f>SUMIF(DIARIOS!D:D,A143,DIARIOS!F:F)</f>
        <v>0</v>
      </c>
      <c r="D143" s="12"/>
      <c r="E143" s="12"/>
    </row>
    <row r="144" ht="15.75" customHeight="1">
      <c r="A144" s="7" t="s">
        <v>302</v>
      </c>
      <c r="B144" s="21" t="str">
        <f>IFERROR(VLOOKUP(A144,'PAÑOL TÉCNICO'!A144:B1000,2,0))</f>
        <v>Pistola de cinta</v>
      </c>
      <c r="C144" s="9">
        <f>SUMIF(DIARIOS!D:D,A144,DIARIOS!F:F)</f>
        <v>0</v>
      </c>
      <c r="D144" s="12"/>
      <c r="E144" s="12"/>
    </row>
    <row r="145" ht="15.75" customHeight="1">
      <c r="A145" s="7" t="s">
        <v>304</v>
      </c>
      <c r="B145" s="21" t="str">
        <f>IFERROR(VLOOKUP(A145,'PAÑOL TÉCNICO'!A145:B1000,2,0))</f>
        <v>Pin doble de layher</v>
      </c>
      <c r="C145" s="9">
        <f>SUMIF(DIARIOS!D:D,A145,DIARIOS!F:F)</f>
        <v>0</v>
      </c>
      <c r="D145" s="12"/>
      <c r="E145" s="12"/>
    </row>
    <row r="146" ht="15.75" customHeight="1">
      <c r="A146" s="7" t="s">
        <v>306</v>
      </c>
      <c r="B146" s="21" t="str">
        <f>IFERROR(VLOOKUP(A146,'PAÑOL TÉCNICO'!A146:B1000,2,0))</f>
        <v>Porta lámpara</v>
      </c>
      <c r="C146" s="9">
        <f>SUMIF(DIARIOS!D:D,A146,DIARIOS!F:F)</f>
        <v>0</v>
      </c>
      <c r="D146" s="12"/>
      <c r="E146" s="12"/>
    </row>
    <row r="147" ht="15.75" customHeight="1">
      <c r="A147" s="7" t="s">
        <v>308</v>
      </c>
      <c r="B147" s="21" t="str">
        <f>IFERROR(VLOOKUP(A147,'PAÑOL TÉCNICO'!A147:B1000,2,0))</f>
        <v>Plaqueta de TV</v>
      </c>
      <c r="C147" s="9">
        <f>SUMIF(DIARIOS!D:D,A147,DIARIOS!F:F)</f>
        <v>0</v>
      </c>
      <c r="D147" s="12"/>
      <c r="E147" s="12"/>
    </row>
    <row r="148" ht="15.75" customHeight="1">
      <c r="A148" s="7" t="s">
        <v>310</v>
      </c>
      <c r="B148" s="21" t="str">
        <f>IFERROR(VLOOKUP(A148,'PAÑOL TÉCNICO'!A148:B1000,2,0))</f>
        <v>Picaporte fijo</v>
      </c>
      <c r="C148" s="9">
        <f>SUMIF(DIARIOS!D:D,A148,DIARIOS!F:F)</f>
        <v>0</v>
      </c>
      <c r="D148" s="12"/>
      <c r="E148" s="12"/>
    </row>
    <row r="149" ht="15.75" customHeight="1">
      <c r="A149" s="7" t="s">
        <v>312</v>
      </c>
      <c r="B149" s="21" t="str">
        <f>IFERROR(VLOOKUP(A149,'PAÑOL TÉCNICO'!A149:B1000,2,0))</f>
        <v>Puntera fina</v>
      </c>
      <c r="C149" s="9">
        <f>SUMIF(DIARIOS!D:D,A149,DIARIOS!F:F)</f>
        <v>0</v>
      </c>
      <c r="D149" s="12"/>
      <c r="E149" s="12"/>
    </row>
    <row r="150" ht="15.75" customHeight="1">
      <c r="A150" s="7" t="s">
        <v>314</v>
      </c>
      <c r="B150" s="21" t="str">
        <f>IFERROR(VLOOKUP(A150,'PAÑOL TÉCNICO'!A150:B1000,2,0))</f>
        <v>Remachadora neumatica</v>
      </c>
      <c r="C150" s="9">
        <f>SUMIF(DIARIOS!D:D,A150,DIARIOS!F:F)</f>
        <v>0</v>
      </c>
      <c r="D150" s="12"/>
      <c r="E150" s="12"/>
    </row>
    <row r="151" ht="15.75" customHeight="1">
      <c r="A151" s="7" t="s">
        <v>316</v>
      </c>
      <c r="B151" s="21" t="str">
        <f>IFERROR(VLOOKUP(A151,'PAÑOL TÉCNICO'!A151:B1000,2,0))</f>
        <v>Rachet 9mts.</v>
      </c>
      <c r="C151" s="9">
        <f>SUMIF(DIARIOS!D:D,A151,DIARIOS!F:F)</f>
        <v>31</v>
      </c>
      <c r="D151" s="12"/>
      <c r="E151" s="12"/>
    </row>
    <row r="152" ht="15.75" customHeight="1">
      <c r="A152" s="7" t="s">
        <v>318</v>
      </c>
      <c r="B152" s="21" t="str">
        <f>IFERROR(VLOOKUP(A152,'PAÑOL TÉCNICO'!A152:B1000,2,0))</f>
        <v>Rachet 3mts.</v>
      </c>
      <c r="C152" s="9">
        <f>SUMIF(DIARIOS!D:D,A152,DIARIOS!F:F)</f>
        <v>3</v>
      </c>
      <c r="D152" s="12"/>
      <c r="E152" s="12"/>
    </row>
    <row r="153" ht="15.75" customHeight="1">
      <c r="A153" s="7" t="s">
        <v>320</v>
      </c>
      <c r="B153" s="21" t="str">
        <f>IFERROR(VLOOKUP(A153,'PAÑOL TÉCNICO'!A153:B1000,2,0))</f>
        <v>Rachet 1mts.</v>
      </c>
      <c r="C153" s="9">
        <f>SUMIF(DIARIOS!D:D,A153,DIARIOS!F:F)</f>
        <v>0</v>
      </c>
      <c r="D153" s="12"/>
      <c r="E153" s="12"/>
    </row>
    <row r="154" ht="15.75" customHeight="1">
      <c r="A154" s="7" t="s">
        <v>322</v>
      </c>
      <c r="B154" s="21" t="str">
        <f>IFERROR(VLOOKUP(A154,'PAÑOL TÉCNICO'!A154:B1000,2,0))</f>
        <v>Reflectores</v>
      </c>
      <c r="C154" s="9">
        <f>SUMIF(DIARIOS!D:D,A154,DIARIOS!F:F)</f>
        <v>0</v>
      </c>
      <c r="D154" s="12"/>
      <c r="E154" s="12"/>
    </row>
    <row r="155" ht="15.75" customHeight="1">
      <c r="A155" s="7" t="s">
        <v>324</v>
      </c>
      <c r="B155" s="21" t="str">
        <f>IFERROR(VLOOKUP(A155,'PAÑOL TÉCNICO'!A155:B1000,2,0))</f>
        <v>Ruleta métrica de 45mts (Amarilla)</v>
      </c>
      <c r="C155" s="9">
        <f>SUMIF(DIARIOS!D:D,A155,DIARIOS!F:F)</f>
        <v>0</v>
      </c>
      <c r="D155" s="12"/>
      <c r="E155" s="12"/>
    </row>
    <row r="156" ht="15.75" customHeight="1">
      <c r="A156" s="7" t="s">
        <v>326</v>
      </c>
      <c r="B156" s="21" t="str">
        <f>IFERROR(VLOOKUP(A156,'PAÑOL TÉCNICO'!A156:B1000,2,0))</f>
        <v>Roldana para cadena larga</v>
      </c>
      <c r="C156" s="9">
        <f>SUMIF(DIARIOS!D:D,A156,DIARIOS!F:F)</f>
        <v>0</v>
      </c>
      <c r="D156" s="12"/>
      <c r="E156" s="12"/>
    </row>
    <row r="157" ht="15.75" customHeight="1">
      <c r="A157" s="7" t="s">
        <v>328</v>
      </c>
      <c r="B157" s="21" t="str">
        <f>IFERROR(VLOOKUP(A157,'PAÑOL TÉCNICO'!A157:B1000,2,0))</f>
        <v>Rueda ámbil/tarima</v>
      </c>
      <c r="C157" s="9">
        <f>SUMIF(DIARIOS!D:D,A157,DIARIOS!F:F)</f>
        <v>0</v>
      </c>
      <c r="D157" s="12"/>
      <c r="E157" s="12"/>
    </row>
    <row r="158" ht="15.75" customHeight="1">
      <c r="A158" s="7" t="s">
        <v>330</v>
      </c>
      <c r="B158" s="21" t="str">
        <f>IFERROR(VLOOKUP(A158,'PAÑOL TÉCNICO'!A158:B1000,2,0))</f>
        <v>Resorte</v>
      </c>
      <c r="C158" s="9">
        <f>SUMIF(DIARIOS!D:D,A158,DIARIOS!F:F)</f>
        <v>0</v>
      </c>
      <c r="D158" s="12"/>
      <c r="E158" s="12"/>
    </row>
    <row r="159" ht="15.75" customHeight="1">
      <c r="A159" s="7" t="s">
        <v>332</v>
      </c>
      <c r="B159" s="21" t="str">
        <f>IFERROR(VLOOKUP(A159,'PAÑOL TÉCNICO'!A159:B1000,2,0))</f>
        <v>Roseta simple</v>
      </c>
      <c r="C159" s="9">
        <f>SUMIF(DIARIOS!D:D,A159,DIARIOS!F:F)</f>
        <v>0</v>
      </c>
      <c r="D159" s="12"/>
      <c r="E159" s="12"/>
    </row>
    <row r="160" ht="15.75" customHeight="1">
      <c r="A160" s="7" t="s">
        <v>335</v>
      </c>
      <c r="B160" s="21" t="str">
        <f>IFERROR(VLOOKUP(A160,'PAÑOL TÉCNICO'!A160:B1000,2,0))</f>
        <v>Roseta móvil</v>
      </c>
      <c r="C160" s="9">
        <f>SUMIF(DIARIOS!D:D,A160,DIARIOS!F:F)</f>
        <v>0</v>
      </c>
      <c r="D160" s="12"/>
      <c r="E160" s="12"/>
    </row>
    <row r="161" ht="15.75" customHeight="1">
      <c r="A161" s="7" t="s">
        <v>337</v>
      </c>
      <c r="B161" s="21" t="str">
        <f>IFERROR(VLOOKUP(A161,'PAÑOL TÉCNICO'!A161:B1000,2,0))</f>
        <v>Seguro free</v>
      </c>
      <c r="C161" s="9">
        <f>SUMIF(DIARIOS!D:D,A161,DIARIOS!F:F)</f>
        <v>0</v>
      </c>
      <c r="D161" s="12"/>
      <c r="E161" s="12"/>
    </row>
    <row r="162" ht="15.75" customHeight="1">
      <c r="A162" s="7" t="s">
        <v>339</v>
      </c>
      <c r="B162" s="21" t="str">
        <f>IFERROR(VLOOKUP(A162,'PAÑOL TÉCNICO'!A162:B1000,2,0))</f>
        <v>Spanser con linga de acero</v>
      </c>
      <c r="C162" s="9">
        <f>SUMIF(DIARIOS!D:D,A162,DIARIOS!F:F)</f>
        <v>0</v>
      </c>
      <c r="D162" s="12"/>
      <c r="E162" s="12"/>
    </row>
    <row r="163" ht="15.75" customHeight="1">
      <c r="A163" s="7" t="s">
        <v>341</v>
      </c>
      <c r="B163" s="21" t="str">
        <f>IFERROR(VLOOKUP(A163,'PAÑOL TÉCNICO'!A163:B1000,2,0))</f>
        <v>Spanser</v>
      </c>
      <c r="C163" s="9">
        <f>SUMIF(DIARIOS!D:D,A163,DIARIOS!F:F)</f>
        <v>0</v>
      </c>
      <c r="D163" s="12"/>
      <c r="E163" s="12"/>
    </row>
    <row r="164" ht="15.75" customHeight="1">
      <c r="A164" s="7" t="s">
        <v>343</v>
      </c>
      <c r="B164" s="21" t="str">
        <f>IFERROR(VLOOKUP(A164,'PAÑOL TÉCNICO'!A164:B1000,2,0))</f>
        <v>Soporte ventilador</v>
      </c>
      <c r="C164" s="9">
        <f>SUMIF(DIARIOS!D:D,A164,DIARIOS!F:F)</f>
        <v>0</v>
      </c>
      <c r="D164" s="12"/>
      <c r="E164" s="12"/>
    </row>
    <row r="165" ht="15.75" customHeight="1">
      <c r="A165" s="7" t="s">
        <v>345</v>
      </c>
      <c r="B165" s="21" t="str">
        <f>IFERROR(VLOOKUP(A165,'PAÑOL TÉCNICO'!A165:B1000,2,0))</f>
        <v>Strich</v>
      </c>
      <c r="C165" s="9">
        <f>SUMIF(DIARIOS!D:D,A165,DIARIOS!F:F)</f>
        <v>0</v>
      </c>
      <c r="D165" s="12"/>
      <c r="E165" s="12"/>
    </row>
    <row r="166" ht="15.75" customHeight="1">
      <c r="A166" s="7" t="s">
        <v>347</v>
      </c>
      <c r="B166" s="21" t="str">
        <f>IFERROR(VLOOKUP(A166,'PAÑOL TÉCNICO'!A166:B1000,2,0))</f>
        <v>Soporte TV con mueca</v>
      </c>
      <c r="C166" s="9">
        <f>SUMIF(DIARIOS!D:D,A166,DIARIOS!F:F)</f>
        <v>0</v>
      </c>
      <c r="D166" s="12"/>
      <c r="E166" s="12"/>
    </row>
    <row r="167" ht="15.75" customHeight="1">
      <c r="A167" s="7" t="s">
        <v>349</v>
      </c>
      <c r="B167" s="21" t="str">
        <f>IFERROR(VLOOKUP(A167,'PAÑOL TÉCNICO'!A167:B1000,2,0))</f>
        <v>Soporte TV plano</v>
      </c>
      <c r="C167" s="9">
        <f>SUMIF(DIARIOS!D:D,A167,DIARIOS!F:F)</f>
        <v>0</v>
      </c>
      <c r="D167" s="12"/>
      <c r="E167" s="12"/>
    </row>
    <row r="168" ht="15.75" customHeight="1">
      <c r="A168" s="7" t="s">
        <v>351</v>
      </c>
      <c r="B168" s="21" t="str">
        <f>IFERROR(VLOOKUP(A168,'PAÑOL TÉCNICO'!A168:B1000,2,0))</f>
        <v>Spanser a rosca (distintos tamaños)</v>
      </c>
      <c r="C168" s="9">
        <f>SUMIF(DIARIOS!D:D,A168,DIARIOS!F:F)</f>
        <v>0</v>
      </c>
      <c r="D168" s="12"/>
      <c r="E168" s="12"/>
    </row>
    <row r="169" ht="15.75" customHeight="1">
      <c r="A169" s="7" t="s">
        <v>353</v>
      </c>
      <c r="B169" s="21" t="str">
        <f>IFERROR(VLOOKUP(A169,'PAÑOL TÉCNICO'!A169:B1000,2,0))</f>
        <v>Sierra circular</v>
      </c>
      <c r="C169" s="9">
        <f>SUMIF(DIARIOS!D:D,A169,DIARIOS!F:F)</f>
        <v>0</v>
      </c>
      <c r="D169" s="12"/>
      <c r="E169" s="12"/>
    </row>
    <row r="170" ht="15.75" customHeight="1">
      <c r="A170" s="7" t="s">
        <v>356</v>
      </c>
      <c r="B170" s="21" t="str">
        <f>IFERROR(VLOOKUP(A170,'PAÑOL TÉCNICO'!A170:B1000,2,0))</f>
        <v>Saca filtro a fleje giratorio</v>
      </c>
      <c r="C170" s="9">
        <f>SUMIF(DIARIOS!D:D,A170,DIARIOS!F:F)</f>
        <v>0</v>
      </c>
      <c r="D170" s="12"/>
      <c r="E170" s="12"/>
    </row>
    <row r="171" ht="15.75" customHeight="1">
      <c r="A171" s="7" t="s">
        <v>358</v>
      </c>
      <c r="B171" s="21" t="str">
        <f>IFERROR(VLOOKUP(A171,'PAÑOL TÉCNICO'!A171:B1000,2,0))</f>
        <v>Spanser de 1mts</v>
      </c>
      <c r="C171" s="9">
        <f>SUMIF(DIARIOS!D:D,A171,DIARIOS!F:F)</f>
        <v>0</v>
      </c>
      <c r="D171" s="12"/>
      <c r="E171" s="12"/>
    </row>
    <row r="172" ht="15.75" customHeight="1">
      <c r="A172" s="7" t="s">
        <v>360</v>
      </c>
      <c r="B172" s="21" t="str">
        <f>IFERROR(VLOOKUP(A172,'PAÑOL TÉCNICO'!A172:B1000,2,0))</f>
        <v>Spanser de 2,80mts</v>
      </c>
      <c r="C172" s="9">
        <f>SUMIF(DIARIOS!D:D,A172,DIARIOS!F:F)</f>
        <v>0</v>
      </c>
      <c r="D172" s="12"/>
      <c r="E172" s="12"/>
    </row>
    <row r="173" ht="15.75" customHeight="1">
      <c r="A173" s="7" t="s">
        <v>362</v>
      </c>
      <c r="B173" s="21" t="str">
        <f>IFERROR(VLOOKUP(A173,'PAÑOL TÉCNICO'!A173:B1000,2,0))</f>
        <v>Spanser de 1,90</v>
      </c>
      <c r="C173" s="9">
        <f>SUMIF(DIARIOS!D:D,A173,DIARIOS!F:F)</f>
        <v>0</v>
      </c>
      <c r="D173" s="12"/>
      <c r="E173" s="12"/>
    </row>
    <row r="174" ht="15.75" customHeight="1">
      <c r="A174" s="7" t="s">
        <v>364</v>
      </c>
      <c r="B174" s="21" t="str">
        <f>IFERROR(VLOOKUP(A174,'PAÑOL TÉCNICO'!A174:B1000,2,0))</f>
        <v>Spanser de 2mts</v>
      </c>
      <c r="C174" s="9">
        <f>SUMIF(DIARIOS!D:D,A174,DIARIOS!F:F)</f>
        <v>0</v>
      </c>
      <c r="D174" s="12"/>
      <c r="E174" s="12"/>
    </row>
    <row r="175" ht="15.75" customHeight="1">
      <c r="A175" s="7" t="s">
        <v>366</v>
      </c>
      <c r="B175" s="21" t="str">
        <f>IFERROR(VLOOKUP(A175,'PAÑOL TÉCNICO'!A175:B1000,2,0))</f>
        <v>Spanser de acero</v>
      </c>
      <c r="C175" s="9">
        <f>SUMIF(DIARIOS!D:D,A175,DIARIOS!F:F)</f>
        <v>0</v>
      </c>
      <c r="D175" s="12"/>
      <c r="E175" s="12"/>
    </row>
    <row r="176" ht="15.75" customHeight="1">
      <c r="A176" s="7" t="s">
        <v>368</v>
      </c>
      <c r="B176" s="21" t="str">
        <f>IFERROR(VLOOKUP(A176,'PAÑOL TÉCNICO'!A176:B1000,2,0))</f>
        <v>Sombrilla azul</v>
      </c>
      <c r="C176" s="9">
        <f>SUMIF(DIARIOS!D:D,A176,DIARIOS!F:F)</f>
        <v>0</v>
      </c>
      <c r="D176" s="12"/>
      <c r="E176" s="12"/>
    </row>
    <row r="177" ht="15.75" customHeight="1">
      <c r="A177" s="7" t="s">
        <v>370</v>
      </c>
      <c r="B177" s="21" t="str">
        <f>IFERROR(VLOOKUP(A177,'PAÑOL TÉCNICO'!A177:B1000,2,0))</f>
        <v>Seguro de cable acerado</v>
      </c>
      <c r="C177" s="9">
        <f>SUMIF(DIARIOS!D:D,A177,DIARIOS!F:F)</f>
        <v>0</v>
      </c>
      <c r="D177" s="12"/>
      <c r="E177" s="12"/>
    </row>
    <row r="178" ht="15.75" customHeight="1">
      <c r="A178" s="7" t="s">
        <v>372</v>
      </c>
      <c r="B178" s="21" t="str">
        <f>IFERROR(VLOOKUP(A178,'PAÑOL TÉCNICO'!A178:B1000,2,0))</f>
        <v>Sogin negro</v>
      </c>
      <c r="C178" s="9">
        <f>SUMIF(DIARIOS!D:D,A178,DIARIOS!F:F)</f>
        <v>0</v>
      </c>
      <c r="D178" s="12"/>
      <c r="E178" s="12"/>
    </row>
    <row r="179" ht="15.75" customHeight="1">
      <c r="A179" s="7" t="s">
        <v>374</v>
      </c>
      <c r="B179" s="21" t="str">
        <f>IFERROR(VLOOKUP(A179,'PAÑOL TÉCNICO'!A179:B1000,2,0))</f>
        <v>Sogin blanco</v>
      </c>
      <c r="C179" s="9">
        <f>SUMIF(DIARIOS!D:D,A179,DIARIOS!F:F)</f>
        <v>0</v>
      </c>
      <c r="D179" s="12"/>
      <c r="E179" s="12"/>
    </row>
    <row r="180" ht="15.75" customHeight="1">
      <c r="A180" s="7" t="s">
        <v>376</v>
      </c>
      <c r="B180" s="21" t="str">
        <f>IFERROR(VLOOKUP(A180,'PAÑOL TÉCNICO'!A180:B1000,2,0))</f>
        <v>Soga</v>
      </c>
      <c r="C180" s="9">
        <f>SUMIF(DIARIOS!D:D,A180,DIARIOS!F:F)</f>
        <v>0</v>
      </c>
      <c r="D180" s="12"/>
      <c r="E180" s="12"/>
    </row>
    <row r="181" ht="15.75" customHeight="1">
      <c r="A181" s="7" t="s">
        <v>378</v>
      </c>
      <c r="B181" s="21" t="str">
        <f>IFERROR(VLOOKUP(A181,'PAÑOL TÉCNICO'!A181:B1000,2,0))</f>
        <v>Tapa para luz de techo</v>
      </c>
      <c r="C181" s="9">
        <f>SUMIF(DIARIOS!D:D,A181,DIARIOS!F:F)</f>
        <v>0</v>
      </c>
      <c r="D181" s="12"/>
      <c r="E181" s="12"/>
    </row>
    <row r="182" ht="15.75" customHeight="1">
      <c r="A182" s="7" t="s">
        <v>380</v>
      </c>
      <c r="B182" s="21" t="str">
        <f>IFERROR(VLOOKUP(A182,'PAÑOL TÉCNICO'!A182:B1000,2,0))</f>
        <v>Tuerca para free</v>
      </c>
      <c r="C182" s="9">
        <f>SUMIF(DIARIOS!D:D,A182,DIARIOS!F:F)</f>
        <v>0</v>
      </c>
      <c r="D182" s="12"/>
      <c r="E182" s="12"/>
    </row>
    <row r="183" ht="15.75" customHeight="1">
      <c r="A183" s="7" t="s">
        <v>382</v>
      </c>
      <c r="B183" s="21" t="str">
        <f>IFERROR(VLOOKUP(A183,'PAÑOL TÉCNICO'!A183:B1000,2,0))</f>
        <v>Tuerca mediana</v>
      </c>
      <c r="C183" s="9">
        <f>SUMIF(DIARIOS!D:D,A183,DIARIOS!F:F)</f>
        <v>0</v>
      </c>
      <c r="D183" s="12"/>
      <c r="E183" s="12"/>
    </row>
    <row r="184" ht="15.75" customHeight="1">
      <c r="A184" s="7" t="s">
        <v>384</v>
      </c>
      <c r="B184" s="21" t="str">
        <f>IFERROR(VLOOKUP(A184,'PAÑOL TÉCNICO'!A184:B1000,2,0))</f>
        <v>Tuerca grande (techo)</v>
      </c>
      <c r="C184" s="9">
        <f>SUMIF(DIARIOS!D:D,A184,DIARIOS!F:F)</f>
        <v>0</v>
      </c>
      <c r="D184" s="12"/>
      <c r="E184" s="12"/>
    </row>
    <row r="185" ht="15.75" customHeight="1">
      <c r="A185" s="7" t="s">
        <v>386</v>
      </c>
      <c r="B185" s="21" t="str">
        <f>IFERROR(VLOOKUP(A185,'PAÑOL TÉCNICO'!A185:B1000,2,0))</f>
        <v>Tuerca med/chica</v>
      </c>
      <c r="C185" s="9">
        <f>SUMIF(DIARIOS!D:D,A185,DIARIOS!F:F)</f>
        <v>0</v>
      </c>
      <c r="D185" s="12"/>
      <c r="E185" s="12"/>
    </row>
    <row r="186" ht="15.75" customHeight="1">
      <c r="A186" s="7" t="s">
        <v>388</v>
      </c>
      <c r="B186" s="21" t="str">
        <f>IFERROR(VLOOKUP(A186,'PAÑOL TÉCNICO'!A186:B1000,2,0))</f>
        <v>Tuerca chica</v>
      </c>
      <c r="C186" s="9">
        <f>SUMIF(DIARIOS!D:D,A186,DIARIOS!F:F)</f>
        <v>0</v>
      </c>
      <c r="D186" s="12"/>
      <c r="E186" s="12"/>
    </row>
    <row r="187" ht="15.75" customHeight="1">
      <c r="A187" s="7" t="s">
        <v>390</v>
      </c>
      <c r="B187" s="21" t="str">
        <f>IFERROR(VLOOKUP(A187,'PAÑOL TÉCNICO'!A187:B1000,2,0))</f>
        <v>Tuerca mini</v>
      </c>
      <c r="C187" s="9">
        <f>SUMIF(DIARIOS!D:D,A187,DIARIOS!F:F)</f>
        <v>0</v>
      </c>
      <c r="D187" s="12"/>
      <c r="E187" s="12"/>
    </row>
    <row r="188" ht="15.75" customHeight="1">
      <c r="A188" s="7" t="s">
        <v>392</v>
      </c>
      <c r="B188" s="21" t="str">
        <f>IFERROR(VLOOKUP(A188,'PAÑOL TÉCNICO'!A188:B1000,2,0))</f>
        <v>Terminal de batería</v>
      </c>
      <c r="C188" s="9">
        <f>SUMIF(DIARIOS!D:D,A188,DIARIOS!F:F)</f>
        <v>0</v>
      </c>
      <c r="D188" s="12"/>
      <c r="E188" s="12"/>
    </row>
    <row r="189" ht="15.75" customHeight="1">
      <c r="A189" s="7" t="s">
        <v>394</v>
      </c>
      <c r="B189" s="21" t="str">
        <f>IFERROR(VLOOKUP(A189,'PAÑOL TÉCNICO'!A189:B1000,2,0))</f>
        <v>Traba placas cieloraso</v>
      </c>
      <c r="C189" s="9">
        <f>SUMIF(DIARIOS!D:D,A189,DIARIOS!F:F)</f>
        <v>0</v>
      </c>
      <c r="D189" s="12"/>
      <c r="E189" s="12"/>
    </row>
    <row r="190" ht="15.75" customHeight="1">
      <c r="A190" s="7" t="s">
        <v>396</v>
      </c>
      <c r="B190" s="21" t="str">
        <f>IFERROR(VLOOKUP(A190,'PAÑOL TÉCNICO'!A190:B1000,2,0))</f>
        <v>Triled</v>
      </c>
      <c r="C190" s="9">
        <f>SUMIF(DIARIOS!D:D,A190,DIARIOS!F:F)</f>
        <v>0</v>
      </c>
      <c r="D190" s="12"/>
      <c r="E190" s="12"/>
    </row>
    <row r="191" ht="15.75" customHeight="1">
      <c r="A191" s="7" t="s">
        <v>398</v>
      </c>
      <c r="B191" s="21" t="str">
        <f>IFERROR(VLOOKUP(A191,'PAÑOL TÉCNICO'!A191:B1000,2,0))</f>
        <v>Termica</v>
      </c>
      <c r="C191" s="9">
        <f>SUMIF(DIARIOS!D:D,A191,DIARIOS!F:F)</f>
        <v>0</v>
      </c>
      <c r="D191" s="12"/>
      <c r="E191" s="12"/>
    </row>
    <row r="192" ht="15.75" customHeight="1">
      <c r="A192" s="7" t="s">
        <v>400</v>
      </c>
      <c r="B192" s="21" t="str">
        <f>IFERROR(VLOOKUP(A192,'PAÑOL TÉCNICO'!A192:B1000,2,0))</f>
        <v>Tenaza</v>
      </c>
      <c r="C192" s="9">
        <f>SUMIF(DIARIOS!D:D,A192,DIARIOS!F:F)</f>
        <v>0</v>
      </c>
      <c r="D192" s="12"/>
      <c r="E192" s="12"/>
    </row>
    <row r="193" ht="15.75" customHeight="1">
      <c r="A193" s="7" t="s">
        <v>402</v>
      </c>
      <c r="B193" s="21" t="str">
        <f>IFERROR(VLOOKUP(A193,'PAÑOL TÉCNICO'!A193:B1000,2,0))</f>
        <v>Terminal de cable</v>
      </c>
      <c r="C193" s="9">
        <f>SUMIF(DIARIOS!D:D,A193,DIARIOS!F:F)</f>
        <v>0</v>
      </c>
      <c r="D193" s="12"/>
      <c r="E193" s="12"/>
    </row>
    <row r="194" ht="15.75" customHeight="1">
      <c r="A194" s="7" t="s">
        <v>404</v>
      </c>
      <c r="B194" s="21" t="str">
        <f>IFERROR(VLOOKUP(A194,'PAÑOL TÉCNICO'!A194:B1000,2,0))</f>
        <v>Tornillo autoperforante cabeza philip (suelto)</v>
      </c>
      <c r="C194" s="9">
        <f>SUMIF(DIARIOS!D:D,A194,DIARIOS!F:F)</f>
        <v>30</v>
      </c>
      <c r="D194" s="12"/>
      <c r="E194" s="12"/>
    </row>
    <row r="195" ht="15.75" customHeight="1">
      <c r="A195" s="7" t="s">
        <v>406</v>
      </c>
      <c r="B195" s="21" t="str">
        <f>IFERROR(VLOOKUP(A195,'PAÑOL TÉCNICO'!A195:B1000,2,0))</f>
        <v>Tornillo autoperforante cabeza hexagonal (suelto)</v>
      </c>
      <c r="C195" s="9">
        <f>SUMIF(DIARIOS!D:D,A195,DIARIOS!F:F)</f>
        <v>0</v>
      </c>
      <c r="D195" s="12"/>
      <c r="E195" s="12"/>
    </row>
    <row r="196" ht="15.75" customHeight="1">
      <c r="A196" s="7" t="s">
        <v>408</v>
      </c>
      <c r="B196" s="21" t="str">
        <f>IFERROR(VLOOKUP(A196,'PAÑOL TÉCNICO'!A196:B1000,2,0))</f>
        <v>Tornillo autoperforante cabeza philip (2cm) (suelto)</v>
      </c>
      <c r="C196" s="9">
        <f>SUMIF(DIARIOS!D:D,A196,DIARIOS!F:F)</f>
        <v>0</v>
      </c>
      <c r="D196" s="12"/>
      <c r="E196" s="12"/>
    </row>
    <row r="197" ht="15.75" customHeight="1">
      <c r="A197" s="7" t="s">
        <v>410</v>
      </c>
      <c r="B197" s="21" t="str">
        <f>IFERROR(VLOOKUP(A197,'PAÑOL TÉCNICO'!A197:B1000,2,0))</f>
        <v>Tornillo 6cm (averiguar función)</v>
      </c>
      <c r="C197" s="9">
        <f>SUMIF(DIARIOS!D:D,A197,DIARIOS!F:F)</f>
        <v>0</v>
      </c>
      <c r="D197" s="12"/>
      <c r="E197" s="12"/>
    </row>
    <row r="198" ht="15.75" customHeight="1">
      <c r="A198" s="7" t="s">
        <v>412</v>
      </c>
      <c r="B198" s="21" t="str">
        <f>IFERROR(VLOOKUP(A198,'PAÑOL TÉCNICO'!A198:B1000,2,0))</f>
        <v>Tornillo 8cm (con punta) (averiguar función)</v>
      </c>
      <c r="C198" s="9">
        <f>SUMIF(DIARIOS!D:D,A198,DIARIOS!F:F)</f>
        <v>0</v>
      </c>
      <c r="D198" s="12"/>
      <c r="E198" s="12"/>
    </row>
    <row r="199" ht="15.75" customHeight="1">
      <c r="A199" s="7" t="s">
        <v>414</v>
      </c>
      <c r="B199" s="21" t="str">
        <f>IFERROR(VLOOKUP(A199,'PAÑOL TÉCNICO'!A199:B1000,2,0))</f>
        <v>TORNILLOS AUTOPERFORANTES HEXAGONAL 14X2"</v>
      </c>
      <c r="C199" s="9">
        <f>SUMIF(DIARIOS!D:D,A199,DIARIOS!F:F)</f>
        <v>0</v>
      </c>
      <c r="D199" s="12"/>
      <c r="E199" s="12"/>
    </row>
    <row r="200" ht="15.75" customHeight="1">
      <c r="A200" s="7" t="s">
        <v>416</v>
      </c>
      <c r="B200" s="21" t="str">
        <f>IFERROR(VLOOKUP(A200,'PAÑOL TÉCNICO'!A200:B1000,2,0))</f>
        <v>Tornillos p/free cortos (6cm, 7cm y 8cm) (Sin A/T)</v>
      </c>
      <c r="C200" s="9">
        <f>SUMIF(DIARIOS!D:D,A200,DIARIOS!F:F)</f>
        <v>0</v>
      </c>
      <c r="D200" s="12"/>
      <c r="E200" s="12"/>
    </row>
    <row r="201" ht="15.75" customHeight="1">
      <c r="A201" s="7" t="s">
        <v>418</v>
      </c>
      <c r="B201" s="21" t="str">
        <f>IFERROR(VLOOKUP(A201,'PAÑOL TÉCNICO'!A201:B1000,2,0))</f>
        <v>Tornillos p/free largos (9cm, 10cm, 11cm, 12cm y 13cm) (Sin A/T)</v>
      </c>
      <c r="C201" s="9">
        <f>SUMIF(DIARIOS!D:D,A201,DIARIOS!F:F)</f>
        <v>0</v>
      </c>
      <c r="D201" s="12"/>
      <c r="E201" s="12"/>
    </row>
    <row r="202" ht="15.75" customHeight="1">
      <c r="A202" s="7" t="s">
        <v>420</v>
      </c>
      <c r="B202" s="21" t="str">
        <f>IFERROR(VLOOKUP(A202,'PAÑOL TÉCNICO'!A202:B1000,2,0))</f>
        <v>Tornillos p/free cortos (6cm, 7cm y 8cm)</v>
      </c>
      <c r="C202" s="9">
        <f>SUMIF(DIARIOS!D:D,A202,DIARIOS!F:F)</f>
        <v>0</v>
      </c>
      <c r="D202" s="12"/>
      <c r="E202" s="12"/>
    </row>
    <row r="203" ht="15.75" customHeight="1">
      <c r="A203" s="7" t="s">
        <v>422</v>
      </c>
      <c r="B203" s="21" t="str">
        <f>IFERROR(VLOOKUP(A203,'PAÑOL TÉCNICO'!A203:B1000,2,0))</f>
        <v>Tornillos p/free largos (9cm, 10cm, 11cm, 12cm y 13cm)</v>
      </c>
      <c r="C203" s="9">
        <f>SUMIF(DIARIOS!D:D,A203,DIARIOS!F:F)</f>
        <v>0</v>
      </c>
      <c r="D203" s="12"/>
      <c r="E203" s="12"/>
    </row>
    <row r="204" ht="15.75" customHeight="1">
      <c r="A204" s="7" t="s">
        <v>424</v>
      </c>
      <c r="B204" s="21" t="str">
        <f>IFERROR(VLOOKUP(A204,'PAÑOL TÉCNICO'!A204:B1000,2,0))</f>
        <v>Unifila</v>
      </c>
      <c r="C204" s="9">
        <f>SUMIF(DIARIOS!D:D,A204,DIARIOS!F:F)</f>
        <v>0</v>
      </c>
      <c r="D204" s="12"/>
      <c r="E204" s="12"/>
    </row>
    <row r="205" ht="15.75" customHeight="1">
      <c r="A205" s="7" t="s">
        <v>426</v>
      </c>
      <c r="B205" s="21" t="str">
        <f>IFERROR(VLOOKUP(A205,'PAÑOL TÉCNICO'!A205:B1000,2,0))</f>
        <v>Varilla roscada</v>
      </c>
      <c r="C205" s="9">
        <f>SUMIF(DIARIOS!D:D,A205,DIARIOS!F:F)</f>
        <v>0</v>
      </c>
      <c r="D205" s="12"/>
      <c r="E205" s="12"/>
    </row>
    <row r="206" ht="15.75" customHeight="1">
      <c r="A206" s="7" t="s">
        <v>428</v>
      </c>
      <c r="B206" s="21" t="str">
        <f>IFERROR(VLOOKUP(A206,'PAÑOL TÉCNICO'!A206:B1000,2,0))</f>
        <v>Ventilador (roto)</v>
      </c>
      <c r="C206" s="9">
        <f>SUMIF(DIARIOS!D:D,A206,DIARIOS!F:F)</f>
        <v>0</v>
      </c>
      <c r="D206" s="12"/>
      <c r="E206" s="12"/>
    </row>
    <row r="207" ht="15.75" customHeight="1">
      <c r="A207" s="7" t="s">
        <v>430</v>
      </c>
      <c r="B207" s="21" t="str">
        <f>IFERROR(VLOOKUP(A207,'PAÑOL TÉCNICO'!A207:B1000,2,0))</f>
        <v>Zapatilla eléctrica</v>
      </c>
      <c r="C207" s="9">
        <f>SUMIF(DIARIOS!D:D,A207,DIARIOS!F:F)</f>
        <v>1</v>
      </c>
      <c r="D207" s="12"/>
      <c r="E207" s="12"/>
    </row>
    <row r="208" ht="15.75" customHeight="1">
      <c r="A208" s="7" t="s">
        <v>433</v>
      </c>
      <c r="B208" s="21" t="str">
        <f>IFERROR(VLOOKUP(A208,'PAÑOL TÉCNICO'!A208:B1000,2,0))</f>
        <v>Soga con gancho (23mts) (Rafa)</v>
      </c>
      <c r="C208" s="9">
        <f>SUMIF(DIARIOS!D:D,A208,DIARIOS!F:F)</f>
        <v>0</v>
      </c>
      <c r="D208" s="12"/>
      <c r="E208" s="12"/>
    </row>
    <row r="209" ht="15.75" customHeight="1">
      <c r="A209" s="7" t="s">
        <v>436</v>
      </c>
      <c r="B209" s="21" t="str">
        <f>IFERROR(VLOOKUP(A209,'PAÑOL TÉCNICO'!A209:B1000,2,0))</f>
        <v>Soga con gancho (25mts) (Rafa)</v>
      </c>
      <c r="C209" s="9">
        <f>SUMIF(DIARIOS!D:D,A209,DIARIOS!F:F)</f>
        <v>0</v>
      </c>
      <c r="D209" s="12"/>
      <c r="E209" s="12"/>
    </row>
    <row r="210" ht="15.75" customHeight="1">
      <c r="A210" s="7" t="s">
        <v>438</v>
      </c>
      <c r="B210" s="21" t="str">
        <f>IFERROR(VLOOKUP(A210,'PAÑOL TÉCNICO'!A210:B1000,2,0))</f>
        <v>Conservadora roja</v>
      </c>
      <c r="C210" s="9">
        <f>SUMIF(DIARIOS!D:D,A210,DIARIOS!F:F)</f>
        <v>0</v>
      </c>
      <c r="D210" s="12"/>
      <c r="E210" s="12"/>
    </row>
    <row r="211" ht="15.75" customHeight="1">
      <c r="A211" s="7" t="s">
        <v>440</v>
      </c>
      <c r="B211" s="21" t="str">
        <f>IFERROR(VLOOKUP(A211,'PAÑOL TÉCNICO'!A211:B1000,2,0))</f>
        <v>Casco de altura roto</v>
      </c>
      <c r="C211" s="9">
        <f>SUMIF(DIARIOS!D:D,A211,DIARIOS!F:F)</f>
        <v>0</v>
      </c>
      <c r="D211" s="12"/>
      <c r="E211" s="12"/>
    </row>
    <row r="212" ht="15.75" customHeight="1">
      <c r="A212" s="7" t="s">
        <v>442</v>
      </c>
      <c r="B212" s="21" t="str">
        <f>IFERROR(VLOOKUP(A212,'PAÑOL TÉCNICO'!A212:B1000,2,0))</f>
        <v>Acople criquet</v>
      </c>
      <c r="C212" s="9">
        <f>SUMIF(DIARIOS!D:D,A212,DIARIOS!F:F)</f>
        <v>0</v>
      </c>
      <c r="D212" s="12"/>
      <c r="E212" s="12"/>
    </row>
    <row r="213" ht="15.75" customHeight="1">
      <c r="A213" s="7" t="s">
        <v>444</v>
      </c>
      <c r="B213" s="21" t="str">
        <f>IFERROR(VLOOKUP(A213,'PAÑOL TÉCNICO'!A213:B1000,2,0))</f>
        <v>Destornillador criquet</v>
      </c>
      <c r="C213" s="9">
        <f>SUMIF(DIARIOS!D:D,A213,DIARIOS!F:F)</f>
        <v>0</v>
      </c>
      <c r="D213" s="12"/>
      <c r="E213" s="12"/>
    </row>
    <row r="214" ht="15.75" customHeight="1">
      <c r="A214" s="7" t="s">
        <v>446</v>
      </c>
      <c r="B214" s="21" t="str">
        <f>IFERROR(VLOOKUP(A214,'PAÑOL TÉCNICO'!A214:B1000,2,0))</f>
        <v>Tubo 10</v>
      </c>
      <c r="C214" s="9">
        <f>SUMIF(DIARIOS!D:D,A214,DIARIOS!F:F)</f>
        <v>0</v>
      </c>
      <c r="D214" s="12"/>
      <c r="E214" s="12"/>
    </row>
    <row r="215" ht="15.75" customHeight="1">
      <c r="A215" s="7" t="s">
        <v>448</v>
      </c>
      <c r="B215" s="21" t="str">
        <f>IFERROR(VLOOKUP(A215,'PAÑOL TÉCNICO'!A215:B1000,2,0))</f>
        <v>Tubo 11</v>
      </c>
      <c r="C215" s="9">
        <f>SUMIF(DIARIOS!D:D,A215,DIARIOS!F:F)</f>
        <v>0</v>
      </c>
      <c r="D215" s="12"/>
      <c r="E215" s="12"/>
    </row>
    <row r="216" ht="15.75" customHeight="1">
      <c r="A216" s="7" t="s">
        <v>450</v>
      </c>
      <c r="B216" s="21" t="str">
        <f>IFERROR(VLOOKUP(A216,'PAÑOL TÉCNICO'!A216:B1000,2,0))</f>
        <v>Tubo 12</v>
      </c>
      <c r="C216" s="9">
        <f>SUMIF(DIARIOS!D:D,A216,DIARIOS!F:F)</f>
        <v>0</v>
      </c>
      <c r="D216" s="12"/>
      <c r="E216" s="12"/>
    </row>
    <row r="217" ht="15.75" customHeight="1">
      <c r="A217" s="7" t="s">
        <v>452</v>
      </c>
      <c r="B217" s="21" t="str">
        <f>IFERROR(VLOOKUP(A217,'PAÑOL TÉCNICO'!A217:B1000,2,0))</f>
        <v>Tubo 22</v>
      </c>
      <c r="C217" s="9">
        <f>SUMIF(DIARIOS!D:D,A217,DIARIOS!F:F)</f>
        <v>0</v>
      </c>
      <c r="D217" s="12"/>
      <c r="E217" s="12"/>
    </row>
    <row r="218" ht="15.75" customHeight="1">
      <c r="A218" s="7" t="s">
        <v>454</v>
      </c>
      <c r="B218" s="21" t="str">
        <f>IFERROR(VLOOKUP(A218,'PAÑOL TÉCNICO'!A218:B1000,2,0))</f>
        <v>Tubo 18</v>
      </c>
      <c r="C218" s="9">
        <f>SUMIF(DIARIOS!D:D,A218,DIARIOS!F:F)</f>
        <v>0</v>
      </c>
      <c r="D218" s="12"/>
      <c r="E218" s="12"/>
    </row>
    <row r="219" ht="15.75" customHeight="1">
      <c r="A219" s="7" t="s">
        <v>456</v>
      </c>
      <c r="B219" s="21" t="str">
        <f>IFERROR(VLOOKUP(A219,'PAÑOL TÉCNICO'!A219:B1000,2,0))</f>
        <v>Tubo 19</v>
      </c>
      <c r="C219" s="9">
        <f>SUMIF(DIARIOS!D:D,A219,DIARIOS!F:F)</f>
        <v>0</v>
      </c>
      <c r="D219" s="12"/>
      <c r="E219" s="12"/>
    </row>
    <row r="220" ht="15.75" customHeight="1">
      <c r="A220" s="7" t="s">
        <v>458</v>
      </c>
      <c r="B220" s="21" t="str">
        <f>IFERROR(VLOOKUP(A220,'PAÑOL TÉCNICO'!A220:B1000,2,0))</f>
        <v>Tubo 21</v>
      </c>
      <c r="C220" s="9">
        <f>SUMIF(DIARIOS!D:D,A220,DIARIOS!F:F)</f>
        <v>0</v>
      </c>
      <c r="D220" s="12"/>
      <c r="E220" s="12"/>
    </row>
    <row r="221" ht="15.75" customHeight="1">
      <c r="A221" s="7" t="s">
        <v>460</v>
      </c>
      <c r="B221" s="21" t="str">
        <f>IFERROR(VLOOKUP(A221,'PAÑOL TÉCNICO'!A221:B1000,2,0))</f>
        <v>Tubo 20</v>
      </c>
      <c r="C221" s="9">
        <f>SUMIF(DIARIOS!D:D,A221,DIARIOS!F:F)</f>
        <v>0</v>
      </c>
      <c r="D221" s="12"/>
      <c r="E221" s="12"/>
    </row>
    <row r="222" ht="15.75" customHeight="1">
      <c r="A222" s="7" t="s">
        <v>462</v>
      </c>
      <c r="B222" s="21" t="str">
        <f>IFERROR(VLOOKUP(A222,'PAÑOL TÉCNICO'!A222:B1000,2,0))</f>
        <v>Tubo 23</v>
      </c>
      <c r="C222" s="9">
        <f>SUMIF(DIARIOS!D:D,A222,DIARIOS!F:F)</f>
        <v>0</v>
      </c>
      <c r="D222" s="12"/>
      <c r="E222" s="12"/>
    </row>
    <row r="223" ht="15.75" customHeight="1">
      <c r="A223" s="7" t="s">
        <v>464</v>
      </c>
      <c r="B223" s="21" t="str">
        <f>IFERROR(VLOOKUP(A223,'PAÑOL TÉCNICO'!A223:B1000,2,0))</f>
        <v>Tubo 24</v>
      </c>
      <c r="C223" s="9">
        <f>SUMIF(DIARIOS!D:D,A223,DIARIOS!F:F)</f>
        <v>0</v>
      </c>
      <c r="D223" s="12"/>
      <c r="E223" s="12"/>
    </row>
    <row r="224" ht="15.75" customHeight="1">
      <c r="A224" s="7" t="s">
        <v>466</v>
      </c>
      <c r="B224" s="21" t="str">
        <f>IFERROR(VLOOKUP(A224,'PAÑOL TÉCNICO'!A224:B1000,2,0))</f>
        <v>Tubo 12</v>
      </c>
      <c r="C224" s="9">
        <f>SUMIF(DIARIOS!D:D,A224,DIARIOS!F:F)</f>
        <v>0</v>
      </c>
      <c r="D224" s="12"/>
      <c r="E224" s="12"/>
    </row>
    <row r="225" ht="15.75" customHeight="1">
      <c r="A225" s="7" t="s">
        <v>467</v>
      </c>
      <c r="B225" s="21" t="str">
        <f>IFERROR(VLOOKUP(A225,'PAÑOL TÉCNICO'!A225:B1000,2,0))</f>
        <v>Tubo 13</v>
      </c>
      <c r="C225" s="9">
        <f>SUMIF(DIARIOS!D:D,A225,DIARIOS!F:F)</f>
        <v>0</v>
      </c>
      <c r="D225" s="12"/>
      <c r="E225" s="12"/>
    </row>
    <row r="226" ht="15.75" customHeight="1">
      <c r="A226" s="7" t="s">
        <v>469</v>
      </c>
      <c r="B226" s="21" t="str">
        <f>IFERROR(VLOOKUP(A226,'PAÑOL TÉCNICO'!A226:B1000,2,0))</f>
        <v>Tubo 14</v>
      </c>
      <c r="C226" s="9">
        <f>SUMIF(DIARIOS!D:D,A226,DIARIOS!F:F)</f>
        <v>0</v>
      </c>
      <c r="D226" s="12"/>
      <c r="E226" s="12"/>
    </row>
    <row r="227" ht="15.75" customHeight="1">
      <c r="A227" s="7" t="s">
        <v>471</v>
      </c>
      <c r="B227" s="21" t="str">
        <f>IFERROR(VLOOKUP(A227,'PAÑOL TÉCNICO'!A227:B1000,2,0))</f>
        <v>Tubo 15</v>
      </c>
      <c r="C227" s="9">
        <f>SUMIF(DIARIOS!D:D,A227,DIARIOS!F:F)</f>
        <v>0</v>
      </c>
      <c r="D227" s="12"/>
      <c r="E227" s="12"/>
    </row>
    <row r="228" ht="15.75" customHeight="1">
      <c r="A228" s="7" t="s">
        <v>473</v>
      </c>
      <c r="B228" s="21" t="str">
        <f>IFERROR(VLOOKUP(A228,'PAÑOL TÉCNICO'!A228:B1000,2,0))</f>
        <v>Tubo 17</v>
      </c>
      <c r="C228" s="9">
        <f>SUMIF(DIARIOS!D:D,A228,DIARIOS!F:F)</f>
        <v>0</v>
      </c>
      <c r="D228" s="12"/>
      <c r="E228" s="12"/>
    </row>
    <row r="229" ht="15.75" customHeight="1">
      <c r="A229" s="7" t="s">
        <v>475</v>
      </c>
      <c r="B229" s="21" t="str">
        <f>IFERROR(VLOOKUP(A229,'PAÑOL TÉCNICO'!A229:B1000,2,0))</f>
        <v>Tubo 30</v>
      </c>
      <c r="C229" s="9">
        <f>SUMIF(DIARIOS!D:D,A229,DIARIOS!F:F)</f>
        <v>0</v>
      </c>
      <c r="D229" s="12"/>
      <c r="E229" s="12"/>
    </row>
    <row r="230">
      <c r="A230" s="7" t="s">
        <v>477</v>
      </c>
      <c r="B230" s="21" t="str">
        <f>IFERROR(VLOOKUP(A230,'PAÑOL TÉCNICO'!A230:B1000,2,0))</f>
        <v>Tubo 32</v>
      </c>
      <c r="C230" s="9">
        <f>SUMIF(DIARIOS!D:D,A230,DIARIOS!F:F)</f>
        <v>0</v>
      </c>
      <c r="D230" s="12"/>
      <c r="E230" s="12"/>
    </row>
    <row r="231">
      <c r="A231" s="7" t="s">
        <v>479</v>
      </c>
      <c r="B231" s="21" t="str">
        <f>IFERROR(VLOOKUP(A231,'PAÑOL TÉCNICO'!A231:B1000,2,0))</f>
        <v>Tubo 28</v>
      </c>
      <c r="C231" s="9">
        <f>SUMIF(DIARIOS!D:D,A231,DIARIOS!F:F)</f>
        <v>0</v>
      </c>
      <c r="D231" s="12"/>
      <c r="E231" s="12"/>
    </row>
    <row r="232" ht="15.75" customHeight="1">
      <c r="A232" s="7" t="s">
        <v>481</v>
      </c>
      <c r="B232" s="21" t="str">
        <f>IFERROR(VLOOKUP(A232,'PAÑOL TÉCNICO'!A232:B1000,2,0))</f>
        <v>Tubo 9</v>
      </c>
      <c r="C232" s="9">
        <f>SUMIF(DIARIOS!D:D,A232,DIARIOS!F:F)</f>
        <v>0</v>
      </c>
      <c r="D232" s="12"/>
      <c r="E232" s="12"/>
    </row>
    <row r="233" ht="15.75" customHeight="1">
      <c r="A233" s="7" t="s">
        <v>483</v>
      </c>
      <c r="B233" s="21" t="str">
        <f>IFERROR(VLOOKUP(A233,'PAÑOL TÉCNICO'!A233:B1000,2,0))</f>
        <v>Tubo 4</v>
      </c>
      <c r="C233" s="9">
        <f>SUMIF(DIARIOS!D:D,A233,DIARIOS!F:F)</f>
        <v>0</v>
      </c>
      <c r="D233" s="12"/>
      <c r="E233" s="12"/>
    </row>
    <row r="234" ht="15.75" customHeight="1">
      <c r="A234" s="7" t="s">
        <v>485</v>
      </c>
      <c r="B234" s="21" t="str">
        <f>IFERROR(VLOOKUP(A234,'PAÑOL TÉCNICO'!A234:B1000,2,0))</f>
        <v>Tubo 4,5</v>
      </c>
      <c r="C234" s="9">
        <f>SUMIF(DIARIOS!D:D,A234,DIARIOS!F:F)</f>
        <v>0</v>
      </c>
      <c r="D234" s="12"/>
      <c r="E234" s="12"/>
    </row>
    <row r="235" ht="15.75" customHeight="1">
      <c r="A235" s="7" t="s">
        <v>487</v>
      </c>
      <c r="B235" s="21" t="str">
        <f>IFERROR(VLOOKUP(A235,'PAÑOL TÉCNICO'!A235:B1000,2,0))</f>
        <v>Tubo 5</v>
      </c>
      <c r="C235" s="9">
        <f>SUMIF(DIARIOS!D:D,A235,DIARIOS!F:F)</f>
        <v>0</v>
      </c>
      <c r="D235" s="12"/>
      <c r="E235" s="12"/>
    </row>
    <row r="236" ht="15.75" customHeight="1">
      <c r="A236" s="7" t="s">
        <v>489</v>
      </c>
      <c r="B236" s="21" t="str">
        <f>IFERROR(VLOOKUP(A236,'PAÑOL TÉCNICO'!A236:B1000,2,0))</f>
        <v>Amoladora</v>
      </c>
      <c r="C236" s="9">
        <f>SUMIF(DIARIOS!D:D,A236,DIARIOS!F:F)</f>
        <v>0</v>
      </c>
      <c r="D236" s="12"/>
      <c r="E236" s="12"/>
    </row>
    <row r="237" ht="15.75" customHeight="1">
      <c r="A237" s="7" t="s">
        <v>492</v>
      </c>
      <c r="B237" s="21" t="str">
        <f>IFERROR(VLOOKUP(A237,'PAÑOL TÉCNICO'!A237:B1000,2,0))</f>
        <v>Amoladora inalámbrica</v>
      </c>
      <c r="C237" s="9">
        <f>SUMIF(DIARIOS!D:D,A237,DIARIOS!F:F)</f>
        <v>0</v>
      </c>
      <c r="D237" s="12"/>
      <c r="E237" s="12"/>
    </row>
    <row r="238" ht="15.75" customHeight="1">
      <c r="A238" s="7" t="s">
        <v>495</v>
      </c>
      <c r="B238" s="21" t="str">
        <f>IFERROR(VLOOKUP(A238,'PAÑOL TÉCNICO'!A238:B1000,2,0))</f>
        <v>Espatula stanley 2"</v>
      </c>
      <c r="C238" s="9">
        <f>SUMIF(DIARIOS!D:D,A238,DIARIOS!F:F)</f>
        <v>0</v>
      </c>
      <c r="D238" s="12"/>
      <c r="E238" s="12"/>
    </row>
    <row r="239" ht="15.75" customHeight="1">
      <c r="A239" s="7" t="s">
        <v>497</v>
      </c>
      <c r="B239" s="21" t="str">
        <f>IFERROR(VLOOKUP(A239,'PAÑOL TÉCNICO'!A239:B1000,2,0))</f>
        <v>Hidrolavadora</v>
      </c>
      <c r="C239" s="9">
        <f>SUMIF(DIARIOS!D:D,A239,DIARIOS!F:F)</f>
        <v>0</v>
      </c>
      <c r="D239" s="12"/>
      <c r="E239" s="12"/>
    </row>
    <row r="240" ht="15.75" customHeight="1">
      <c r="A240" s="7" t="s">
        <v>499</v>
      </c>
      <c r="B240" s="21" t="str">
        <f>IFERROR(VLOOKUP(A240,'PAÑOL TÉCNICO'!A240:B1000,2,0))</f>
        <v>Aspiradora</v>
      </c>
      <c r="C240" s="9">
        <f>SUMIF(DIARIOS!D:D,A240,DIARIOS!F:F)</f>
        <v>0</v>
      </c>
      <c r="D240" s="12"/>
      <c r="E240" s="12"/>
    </row>
    <row r="241" ht="15.75" customHeight="1">
      <c r="A241" s="7" t="s">
        <v>501</v>
      </c>
      <c r="B241" s="21" t="str">
        <f>IFERROR(VLOOKUP(A241,'PAÑOL TÉCNICO'!A241:B1000,2,0))</f>
        <v>Chapas Fenolicos</v>
      </c>
      <c r="C241" s="9">
        <f>SUMIF(DIARIOS!D:D,A241,DIARIOS!F:F)</f>
        <v>0</v>
      </c>
      <c r="D241" s="12"/>
      <c r="E241" s="12"/>
    </row>
    <row r="242" ht="15.75" customHeight="1">
      <c r="A242" s="7" t="s">
        <v>503</v>
      </c>
      <c r="B242" s="21" t="str">
        <f>IFERROR(VLOOKUP(A242,'PAÑOL TÉCNICO'!A242:B1000,2,0))</f>
        <v>Grilletes 3/8</v>
      </c>
      <c r="C242" s="9">
        <f>SUMIF(DIARIOS!D:D,A242,DIARIOS!F:F)</f>
        <v>0</v>
      </c>
      <c r="D242" s="12"/>
      <c r="E242" s="12"/>
    </row>
    <row r="243" ht="15.75" customHeight="1">
      <c r="A243" s="7" t="s">
        <v>505</v>
      </c>
      <c r="B243" s="21" t="str">
        <f>IFERROR(VLOOKUP(A243,'PAÑOL TÉCNICO'!A243:B1000,2,0))</f>
        <v>Grilletes 3/4</v>
      </c>
      <c r="C243" s="9">
        <f>SUMIF(DIARIOS!D:D,A243,DIARIOS!F:F)</f>
        <v>0</v>
      </c>
      <c r="D243" s="12"/>
      <c r="E243" s="12"/>
    </row>
    <row r="244" ht="15.75" customHeight="1">
      <c r="A244" s="7" t="s">
        <v>507</v>
      </c>
      <c r="B244" s="21" t="str">
        <f>IFERROR(VLOOKUP(A244,'PAÑOL TÉCNICO'!A244:B1000,2,0))</f>
        <v>Grilletes 5/8</v>
      </c>
      <c r="C244" s="9">
        <f>SUMIF(DIARIOS!D:D,A244,DIARIOS!F:F)</f>
        <v>0</v>
      </c>
      <c r="D244" s="12"/>
      <c r="E244" s="12"/>
    </row>
    <row r="245" ht="15.75" customHeight="1">
      <c r="A245" s="7" t="s">
        <v>509</v>
      </c>
      <c r="B245" s="21" t="str">
        <f>IFERROR(VLOOKUP(A245,'PAÑOL TÉCNICO'!A245:B1000,2,0))</f>
        <v>Taladro percutor </v>
      </c>
      <c r="C245" s="9">
        <f>SUMIF(DIARIOS!D:D,A245,DIARIOS!F:F)</f>
        <v>0</v>
      </c>
      <c r="D245" s="12"/>
      <c r="E245" s="12"/>
    </row>
    <row r="246" ht="15.75" customHeight="1">
      <c r="A246" s="7" t="s">
        <v>512</v>
      </c>
      <c r="B246" s="21" t="str">
        <f>IFERROR(VLOOKUP(A246,'PAÑOL TÉCNICO'!A246:B1000,2,0))</f>
        <v>Llave 22</v>
      </c>
      <c r="C246" s="9">
        <f>SUMIF(DIARIOS!D:D,A246,DIARIOS!F:F)</f>
        <v>0</v>
      </c>
      <c r="D246" s="12"/>
      <c r="E246" s="12"/>
    </row>
    <row r="247" ht="15.75" customHeight="1">
      <c r="A247" s="7" t="s">
        <v>514</v>
      </c>
      <c r="B247" s="21" t="str">
        <f>IFERROR(VLOOKUP(A247,'PAÑOL TÉCNICO'!A247:B1000,2,0))</f>
        <v>Llave 24</v>
      </c>
      <c r="C247" s="9">
        <f>SUMIF(DIARIOS!D:D,A247,DIARIOS!F:F)</f>
        <v>0</v>
      </c>
      <c r="D247" s="12"/>
      <c r="E247" s="12"/>
    </row>
    <row r="248" ht="15.75" customHeight="1">
      <c r="A248" s="7" t="s">
        <v>516</v>
      </c>
      <c r="B248" s="21" t="str">
        <f>IFERROR(VLOOKUP(A248,'PAÑOL TÉCNICO'!A248:B1000,2,0))</f>
        <v>Cinta metrica 100Mts</v>
      </c>
      <c r="C248" s="9">
        <f>SUMIF(DIARIOS!D:D,A248,DIARIOS!F:F)</f>
        <v>0</v>
      </c>
      <c r="D248" s="12"/>
      <c r="E248" s="12"/>
    </row>
    <row r="249" ht="15.75" customHeight="1">
      <c r="A249" s="7" t="s">
        <v>518</v>
      </c>
      <c r="B249" s="21" t="str">
        <f>IFERROR(VLOOKUP(A249,'PAÑOL TÉCNICO'!A249:B1000,2,0))</f>
        <v>Anteojos oscuros </v>
      </c>
      <c r="C249" s="9">
        <f>SUMIF(DIARIOS!D:D,A249,DIARIOS!F:F)</f>
        <v>0</v>
      </c>
      <c r="D249" s="12"/>
      <c r="E249" s="12"/>
    </row>
    <row r="250" ht="15.75" customHeight="1">
      <c r="A250" s="7" t="s">
        <v>520</v>
      </c>
      <c r="B250" s="21" t="str">
        <f>IFERROR(VLOOKUP(A250,'PAÑOL TÉCNICO'!A250:B1000,2,0))</f>
        <v>Anteojos amarillos</v>
      </c>
      <c r="C250" s="9">
        <f>SUMIF(DIARIOS!D:D,A250,DIARIOS!F:F)</f>
        <v>0</v>
      </c>
      <c r="D250" s="12"/>
      <c r="E250" s="12"/>
    </row>
    <row r="251" ht="15.75" customHeight="1">
      <c r="A251" s="7" t="s">
        <v>522</v>
      </c>
      <c r="B251" s="21" t="str">
        <f>IFERROR(VLOOKUP(A251,'PAÑOL TÉCNICO'!A251:B1000,2,0))</f>
        <v>Anteojos espejados</v>
      </c>
      <c r="C251" s="9">
        <f>SUMIF(DIARIOS!D:D,A251,DIARIOS!F:F)</f>
        <v>0</v>
      </c>
      <c r="D251" s="12"/>
      <c r="E251" s="12"/>
    </row>
    <row r="252" ht="15.75" customHeight="1">
      <c r="A252" s="7" t="s">
        <v>524</v>
      </c>
      <c r="B252" s="21" t="str">
        <f>IFERROR(VLOOKUP(A252,'PAÑOL TÉCNICO'!A252:B1000,2,0))</f>
        <v>Megáfono</v>
      </c>
      <c r="C252" s="9">
        <f>SUMIF(DIARIOS!D:D,A252,DIARIOS!F:F)</f>
        <v>1</v>
      </c>
      <c r="D252" s="12"/>
      <c r="E252" s="12"/>
    </row>
    <row r="253" ht="15.75" customHeight="1">
      <c r="A253" s="7" t="s">
        <v>527</v>
      </c>
      <c r="B253" s="21" t="str">
        <f>IFERROR(VLOOKUP(A253,'PAÑOL TÉCNICO'!A253:B1000,2,0))</f>
        <v>Gancho mosquetón grande</v>
      </c>
      <c r="C253" s="9">
        <f>SUMIF(DIARIOS!D:D,A253,DIARIOS!F:F)</f>
        <v>0</v>
      </c>
      <c r="D253" s="12"/>
      <c r="E253" s="12"/>
    </row>
    <row r="254" ht="15.75" customHeight="1">
      <c r="A254" s="7" t="s">
        <v>529</v>
      </c>
      <c r="B254" s="21" t="str">
        <f>IFERROR(VLOOKUP(A254,'PAÑOL TÉCNICO'!A254:B1000,2,0))</f>
        <v>Roldana grande</v>
      </c>
      <c r="C254" s="9">
        <f>SUMIF(DIARIOS!D:D,A254,DIARIOS!F:F)</f>
        <v>0</v>
      </c>
      <c r="D254" s="12"/>
      <c r="E254" s="12"/>
    </row>
    <row r="255" ht="15.75" customHeight="1">
      <c r="A255" s="7" t="s">
        <v>531</v>
      </c>
      <c r="B255" s="21" t="str">
        <f>IFERROR(VLOOKUP(A255,'PAÑOL TÉCNICO'!A255:B1000,2,0))</f>
        <v>Roldana chica</v>
      </c>
      <c r="C255" s="9">
        <f>SUMIF(DIARIOS!D:D,A255,DIARIOS!F:F)</f>
        <v>0</v>
      </c>
      <c r="D255" s="12"/>
      <c r="E255" s="12"/>
    </row>
    <row r="256" ht="15.75" customHeight="1">
      <c r="A256" s="7" t="s">
        <v>533</v>
      </c>
      <c r="B256" s="21" t="str">
        <f>IFERROR(VLOOKUP(A256,'PAÑOL TÉCNICO'!A256:B1000,2,0))</f>
        <v>Termo de 12L</v>
      </c>
      <c r="C256" s="9">
        <f>SUMIF(DIARIOS!D:D,A256,DIARIOS!F:F)</f>
        <v>0</v>
      </c>
      <c r="D256" s="12"/>
      <c r="E256" s="12"/>
    </row>
    <row r="257" ht="15.75" customHeight="1">
      <c r="A257" s="7" t="s">
        <v>535</v>
      </c>
      <c r="B257" s="21" t="str">
        <f>IFERROR(VLOOKUP(A257,'PAÑOL TÉCNICO'!A257:B1000,2,0))</f>
        <v>Pinza de punta </v>
      </c>
      <c r="C257" s="9">
        <f>SUMIF(DIARIOS!D:D,A257,DIARIOS!F:F)</f>
        <v>0</v>
      </c>
      <c r="D257" s="12"/>
      <c r="E257" s="12"/>
    </row>
    <row r="258" ht="15.75" customHeight="1">
      <c r="A258" s="7" t="s">
        <v>537</v>
      </c>
      <c r="B258" s="21" t="str">
        <f>IFERROR(VLOOKUP(A258,'PAÑOL TÉCNICO'!A258:B1000,2,0))</f>
        <v>Tensor de cable de acero</v>
      </c>
      <c r="C258" s="9">
        <f>SUMIF(DIARIOS!D:D,A258,DIARIOS!F:F)</f>
        <v>0</v>
      </c>
      <c r="D258" s="12"/>
      <c r="E258" s="12"/>
    </row>
    <row r="259" ht="15.75" customHeight="1">
      <c r="A259" s="7" t="s">
        <v>539</v>
      </c>
      <c r="B259" s="21" t="str">
        <f>IFERROR(VLOOKUP(A259,'PAÑOL TÉCNICO'!A259:B1000,2,0))</f>
        <v>Ficha macho/hembra</v>
      </c>
      <c r="C259" s="9">
        <f>SUMIF(DIARIOS!D:D,A259,DIARIOS!F:F)</f>
        <v>0</v>
      </c>
      <c r="D259" s="12"/>
      <c r="E259" s="12"/>
    </row>
    <row r="260" ht="15.75" customHeight="1">
      <c r="A260" s="13"/>
      <c r="B260" s="21" t="str">
        <f>IFERROR(VLOOKUP(A260,'PAÑOL TÉCNICO'!A260:B1000,2,0))</f>
        <v/>
      </c>
      <c r="C260" s="9">
        <f>SUMIF(DIARIOS!D:D,A260,DIARIOS!F:F)</f>
        <v>0</v>
      </c>
      <c r="D260" s="12"/>
      <c r="E260" s="12"/>
    </row>
    <row r="261" ht="15.75" customHeight="1">
      <c r="A261" s="13"/>
      <c r="B261" s="21" t="str">
        <f>IFERROR(VLOOKUP(A261,'PAÑOL TÉCNICO'!A261:B1000,2,0))</f>
        <v/>
      </c>
      <c r="C261" s="9">
        <f>SUMIF(DIARIOS!D:D,A261,DIARIOS!F:F)</f>
        <v>0</v>
      </c>
      <c r="D261" s="12"/>
      <c r="E261" s="12"/>
    </row>
    <row r="262" ht="15.75" customHeight="1">
      <c r="A262" s="13"/>
      <c r="B262" s="21" t="str">
        <f>IFERROR(VLOOKUP(A262,'PAÑOL TÉCNICO'!A262:B1000,2,0))</f>
        <v/>
      </c>
      <c r="C262" s="9">
        <f>SUMIF(DIARIOS!D:D,A262,DIARIOS!F:F)</f>
        <v>0</v>
      </c>
      <c r="D262" s="12"/>
      <c r="E262" s="12"/>
    </row>
    <row r="263" ht="15.75" customHeight="1">
      <c r="A263" s="13"/>
      <c r="B263" s="21" t="str">
        <f>IFERROR(VLOOKUP(A263,'PAÑOL TÉCNICO'!A263:B1000,2,0))</f>
        <v/>
      </c>
      <c r="C263" s="9">
        <f>SUMIF(DIARIOS!D:D,A263,DIARIOS!F:F)</f>
        <v>0</v>
      </c>
      <c r="D263" s="12"/>
      <c r="E263" s="12"/>
    </row>
    <row r="264" ht="15.75" customHeight="1">
      <c r="A264" s="13"/>
      <c r="B264" s="21" t="str">
        <f>IFERROR(VLOOKUP(A264,'PAÑOL TÉCNICO'!A264:B1000,2,0))</f>
        <v/>
      </c>
      <c r="C264" s="9">
        <f>SUMIF(DIARIOS!D:D,A264,DIARIOS!F:F)</f>
        <v>0</v>
      </c>
      <c r="D264" s="12"/>
      <c r="E264" s="12"/>
    </row>
    <row r="265" ht="15.75" customHeight="1">
      <c r="A265" s="13"/>
      <c r="B265" s="21" t="str">
        <f>IFERROR(VLOOKUP(A265,'PAÑOL TÉCNICO'!A265:B1000,2,0))</f>
        <v/>
      </c>
      <c r="C265" s="9">
        <f>SUMIF(DIARIOS!D:D,A265,DIARIOS!F:F)</f>
        <v>0</v>
      </c>
      <c r="D265" s="12"/>
      <c r="E265" s="12"/>
    </row>
    <row r="266" ht="15.75" customHeight="1">
      <c r="A266" s="13"/>
      <c r="B266" s="21" t="str">
        <f>IFERROR(VLOOKUP(A266,'PAÑOL TÉCNICO'!A266:B1000,2,0))</f>
        <v/>
      </c>
      <c r="C266" s="9">
        <f>SUMIF(DIARIOS!D:D,A266,DIARIOS!F:F)</f>
        <v>0</v>
      </c>
      <c r="D266" s="12"/>
      <c r="E266" s="12"/>
    </row>
    <row r="267" ht="15.75" customHeight="1">
      <c r="A267" s="13"/>
      <c r="B267" s="21" t="str">
        <f>IFERROR(VLOOKUP(A267,'PAÑOL TÉCNICO'!A267:B1000,2,0))</f>
        <v/>
      </c>
      <c r="C267" s="9">
        <f>SUMIF(DIARIOS!D:D,A267,DIARIOS!F:F)</f>
        <v>0</v>
      </c>
      <c r="D267" s="12"/>
      <c r="E267" s="12"/>
    </row>
    <row r="268" ht="15.75" customHeight="1">
      <c r="A268" s="13"/>
      <c r="B268" s="21" t="str">
        <f>IFERROR(VLOOKUP(A268,'PAÑOL TÉCNICO'!A268:B1000,2,0))</f>
        <v/>
      </c>
      <c r="C268" s="9">
        <f>SUMIF(DIARIOS!D:D,A268,DIARIOS!F:F)</f>
        <v>0</v>
      </c>
      <c r="D268" s="12"/>
      <c r="E268" s="12"/>
    </row>
    <row r="269" ht="15.75" customHeight="1">
      <c r="A269" s="13"/>
      <c r="B269" s="21" t="str">
        <f>IFERROR(VLOOKUP(A269,'PAÑOL TÉCNICO'!A269:B1000,2,0))</f>
        <v/>
      </c>
      <c r="C269" s="9">
        <f>SUMIF(DIARIOS!D:D,A269,DIARIOS!F:F)</f>
        <v>0</v>
      </c>
      <c r="D269" s="12"/>
      <c r="E269" s="12"/>
    </row>
    <row r="270" ht="15.75" customHeight="1">
      <c r="A270" s="13"/>
      <c r="B270" s="21" t="str">
        <f>IFERROR(VLOOKUP(A270,'PAÑOL TÉCNICO'!A270:B1000,2,0))</f>
        <v/>
      </c>
      <c r="C270" s="9">
        <f>SUMIF(DIARIOS!D:D,A270,DIARIOS!F:F)</f>
        <v>0</v>
      </c>
      <c r="D270" s="12"/>
      <c r="E270" s="12"/>
    </row>
    <row r="271" ht="15.75" customHeight="1">
      <c r="A271" s="13"/>
      <c r="B271" s="21" t="str">
        <f>IFERROR(VLOOKUP(A271,'PAÑOL TÉCNICO'!A271:B1000,2,0))</f>
        <v/>
      </c>
      <c r="C271" s="9">
        <f>SUMIF(DIARIOS!D:D,A271,DIARIOS!F:F)</f>
        <v>0</v>
      </c>
      <c r="D271" s="12"/>
      <c r="E271" s="12"/>
    </row>
    <row r="272" ht="15.75" customHeight="1">
      <c r="A272" s="13"/>
      <c r="B272" s="21" t="str">
        <f>IFERROR(VLOOKUP(A272,'PAÑOL TÉCNICO'!A272:B1000,2,0))</f>
        <v/>
      </c>
      <c r="C272" s="9">
        <f>SUMIF(DIARIOS!D:D,A272,DIARIOS!F:F)</f>
        <v>0</v>
      </c>
      <c r="D272" s="12"/>
      <c r="E272" s="12"/>
    </row>
    <row r="273" ht="15.75" customHeight="1">
      <c r="A273" s="13"/>
      <c r="B273" s="21" t="str">
        <f>IFERROR(VLOOKUP(A273,'PAÑOL TÉCNICO'!A273:B1000,2,0))</f>
        <v/>
      </c>
      <c r="C273" s="9">
        <f>SUMIF(DIARIOS!D:D,A273,DIARIOS!F:F)</f>
        <v>0</v>
      </c>
      <c r="D273" s="12"/>
      <c r="E273" s="12"/>
    </row>
    <row r="274" ht="15.75" customHeight="1">
      <c r="A274" s="13"/>
      <c r="B274" s="21" t="str">
        <f>IFERROR(VLOOKUP(A274,'PAÑOL TÉCNICO'!A274:B1000,2,0))</f>
        <v/>
      </c>
      <c r="C274" s="9">
        <f>SUMIF(DIARIOS!D:D,A274,DIARIOS!F:F)</f>
        <v>0</v>
      </c>
      <c r="D274" s="12"/>
      <c r="E274" s="12"/>
    </row>
    <row r="275" ht="15.75" customHeight="1">
      <c r="A275" s="13"/>
      <c r="B275" s="21" t="str">
        <f>IFERROR(VLOOKUP(A275,'PAÑOL TÉCNICO'!A275:B1000,2,0))</f>
        <v/>
      </c>
      <c r="C275" s="9">
        <f>SUMIF(DIARIOS!D:D,A275,DIARIOS!F:F)</f>
        <v>0</v>
      </c>
      <c r="D275" s="12"/>
      <c r="E275" s="12"/>
    </row>
    <row r="276" ht="15.75" customHeight="1">
      <c r="A276" s="13"/>
      <c r="B276" s="21" t="str">
        <f>IFERROR(VLOOKUP(A276,'PAÑOL TÉCNICO'!A276:B1000,2,0))</f>
        <v/>
      </c>
      <c r="C276" s="9">
        <f>SUMIF(DIARIOS!D:D,A276,DIARIOS!F:F)</f>
        <v>0</v>
      </c>
      <c r="D276" s="12"/>
      <c r="E276" s="12"/>
    </row>
    <row r="277" ht="15.75" customHeight="1">
      <c r="A277" s="13"/>
      <c r="B277" s="21" t="str">
        <f>IFERROR(VLOOKUP(A277,'PAÑOL TÉCNICO'!A277:B1000,2,0))</f>
        <v/>
      </c>
      <c r="C277" s="9">
        <f>SUMIF(DIARIOS!D:D,A277,DIARIOS!F:F)</f>
        <v>0</v>
      </c>
      <c r="D277" s="12"/>
      <c r="E277" s="12"/>
    </row>
    <row r="278" ht="15.75" customHeight="1">
      <c r="A278" s="13"/>
      <c r="B278" s="21" t="str">
        <f>IFERROR(VLOOKUP(A278,'PAÑOL TÉCNICO'!A278:B1000,2,0))</f>
        <v/>
      </c>
      <c r="C278" s="9">
        <f>SUMIF(DIARIOS!D:D,A278,DIARIOS!F:F)</f>
        <v>0</v>
      </c>
      <c r="D278" s="12"/>
      <c r="E278" s="12"/>
    </row>
    <row r="279" ht="15.75" customHeight="1">
      <c r="A279" s="13"/>
      <c r="B279" s="21" t="str">
        <f>IFERROR(VLOOKUP(A279,'PAÑOL TÉCNICO'!A279:B1000,2,0))</f>
        <v/>
      </c>
      <c r="C279" s="9">
        <f>SUMIF(DIARIOS!D:D,A279,DIARIOS!F:F)</f>
        <v>0</v>
      </c>
      <c r="D279" s="12"/>
      <c r="E279" s="12"/>
    </row>
    <row r="280" ht="15.75" customHeight="1">
      <c r="A280" s="13"/>
      <c r="B280" s="21" t="str">
        <f>IFERROR(VLOOKUP(A280,'PAÑOL TÉCNICO'!A280:B1000,2,0))</f>
        <v/>
      </c>
      <c r="C280" s="9">
        <f>SUMIF(DIARIOS!D:D,A280,DIARIOS!F:F)</f>
        <v>0</v>
      </c>
      <c r="D280" s="12"/>
      <c r="E280" s="12"/>
    </row>
    <row r="281" ht="15.75" customHeight="1">
      <c r="A281" s="13"/>
      <c r="B281" s="21" t="str">
        <f>IFERROR(VLOOKUP(A281,'PAÑOL TÉCNICO'!A281:B1000,2,0))</f>
        <v/>
      </c>
      <c r="C281" s="9">
        <f>SUMIF(DIARIOS!D:D,A281,DIARIOS!F:F)</f>
        <v>0</v>
      </c>
      <c r="D281" s="12"/>
      <c r="E281" s="12"/>
    </row>
    <row r="282" ht="15.75" customHeight="1">
      <c r="A282" s="13"/>
      <c r="B282" s="21" t="str">
        <f>IFERROR(VLOOKUP(A282,'PAÑOL TÉCNICO'!A282:B1000,2,0))</f>
        <v/>
      </c>
      <c r="C282" s="9">
        <f>SUMIF(DIARIOS!D:D,A282,DIARIOS!F:F)</f>
        <v>0</v>
      </c>
      <c r="D282" s="12"/>
      <c r="E282" s="12"/>
    </row>
    <row r="283" ht="15.75" customHeight="1">
      <c r="A283" s="13"/>
      <c r="B283" s="21" t="str">
        <f>IFERROR(VLOOKUP(A283,'PAÑOL TÉCNICO'!A283:B1000,2,0))</f>
        <v/>
      </c>
      <c r="C283" s="9">
        <f>SUMIF(DIARIOS!D:D,A283,DIARIOS!F:F)</f>
        <v>0</v>
      </c>
      <c r="D283" s="12"/>
      <c r="E283" s="12"/>
    </row>
    <row r="284" ht="15.75" customHeight="1">
      <c r="A284" s="13"/>
      <c r="B284" s="21" t="str">
        <f>IFERROR(VLOOKUP(A284,'PAÑOL TÉCNICO'!A284:B1000,2,0))</f>
        <v/>
      </c>
      <c r="C284" s="9">
        <f>SUMIF(DIARIOS!D:D,A284,DIARIOS!F:F)</f>
        <v>0</v>
      </c>
      <c r="D284" s="12"/>
      <c r="E284" s="12"/>
    </row>
    <row r="285" ht="15.75" customHeight="1">
      <c r="A285" s="13"/>
      <c r="B285" s="21" t="str">
        <f>IFERROR(VLOOKUP(A285,'PAÑOL TÉCNICO'!A285:B1000,2,0))</f>
        <v/>
      </c>
      <c r="C285" s="9">
        <f>SUMIF(DIARIOS!D:D,A285,DIARIOS!F:F)</f>
        <v>0</v>
      </c>
      <c r="D285" s="12"/>
      <c r="E285" s="12"/>
    </row>
    <row r="286" ht="15.75" customHeight="1">
      <c r="A286" s="13"/>
      <c r="B286" s="21" t="str">
        <f>IFERROR(VLOOKUP(A286,'PAÑOL TÉCNICO'!A286:B1000,2,0))</f>
        <v/>
      </c>
      <c r="C286" s="9">
        <f>SUMIF(DIARIOS!D:D,A286,DIARIOS!F:F)</f>
        <v>0</v>
      </c>
      <c r="D286" s="12"/>
      <c r="E286" s="12"/>
    </row>
    <row r="287" ht="15.75" customHeight="1">
      <c r="A287" s="13"/>
      <c r="B287" s="21" t="str">
        <f>IFERROR(VLOOKUP(A287,'PAÑOL TÉCNICO'!A287:B1000,2,0))</f>
        <v/>
      </c>
      <c r="C287" s="9">
        <f>SUMIF(DIARIOS!D:D,A287,DIARIOS!F:F)</f>
        <v>0</v>
      </c>
      <c r="D287" s="12"/>
      <c r="E287" s="12"/>
    </row>
    <row r="288" ht="15.75" customHeight="1">
      <c r="A288" s="13"/>
      <c r="B288" s="21" t="str">
        <f>IFERROR(VLOOKUP(A288,'PAÑOL TÉCNICO'!A288:B1000,2,0))</f>
        <v/>
      </c>
      <c r="C288" s="9">
        <f>SUMIF(DIARIOS!D:D,A288,DIARIOS!F:F)</f>
        <v>0</v>
      </c>
      <c r="D288" s="12"/>
      <c r="E288" s="12"/>
    </row>
    <row r="289" ht="15.75" customHeight="1">
      <c r="A289" s="13"/>
      <c r="B289" s="21" t="str">
        <f>IFERROR(VLOOKUP(A289,'PAÑOL TÉCNICO'!A289:B1000,2,0))</f>
        <v/>
      </c>
      <c r="C289" s="9">
        <f>SUMIF(DIARIOS!D:D,A289,DIARIOS!F:F)</f>
        <v>0</v>
      </c>
      <c r="D289" s="12"/>
      <c r="E289" s="12"/>
    </row>
    <row r="290" ht="15.75" customHeight="1">
      <c r="A290" s="13"/>
      <c r="B290" s="21" t="str">
        <f>IFERROR(VLOOKUP(A290,'PAÑOL TÉCNICO'!A290:B1000,2,0))</f>
        <v/>
      </c>
      <c r="C290" s="9">
        <f>SUMIF(DIARIOS!D:D,A290,DIARIOS!F:F)</f>
        <v>0</v>
      </c>
      <c r="D290" s="12"/>
      <c r="E290" s="12"/>
    </row>
    <row r="291" ht="15.75" customHeight="1">
      <c r="A291" s="13"/>
      <c r="B291" s="21" t="str">
        <f>IFERROR(VLOOKUP(A291,'PAÑOL TÉCNICO'!A291:B1000,2,0))</f>
        <v/>
      </c>
      <c r="C291" s="9">
        <f>SUMIF(DIARIOS!D:D,A291,DIARIOS!F:F)</f>
        <v>0</v>
      </c>
      <c r="D291" s="12"/>
      <c r="E291" s="12"/>
    </row>
    <row r="292" ht="15.75" customHeight="1">
      <c r="A292" s="13"/>
      <c r="B292" s="21" t="str">
        <f>IFERROR(VLOOKUP(A292,'PAÑOL TÉCNICO'!A292:B1000,2,0))</f>
        <v/>
      </c>
      <c r="C292" s="9">
        <f>SUMIF(DIARIOS!D:D,A292,DIARIOS!F:F)</f>
        <v>0</v>
      </c>
      <c r="D292" s="12"/>
      <c r="E292" s="12"/>
    </row>
    <row r="293" ht="15.75" customHeight="1">
      <c r="A293" s="13"/>
      <c r="B293" s="21" t="str">
        <f>IFERROR(VLOOKUP(A293,'PAÑOL TÉCNICO'!A293:B1000,2,0))</f>
        <v/>
      </c>
      <c r="C293" s="9">
        <f>SUMIF(DIARIOS!D:D,A293,DIARIOS!F:F)</f>
        <v>0</v>
      </c>
      <c r="D293" s="12"/>
      <c r="E293" s="12"/>
    </row>
    <row r="294" ht="15.75" customHeight="1">
      <c r="A294" s="13"/>
      <c r="B294" s="21" t="str">
        <f>IFERROR(VLOOKUP(A294,'PAÑOL TÉCNICO'!A294:B1000,2,0))</f>
        <v/>
      </c>
      <c r="C294" s="9">
        <f>SUMIF(DIARIOS!D:D,A294,DIARIOS!F:F)</f>
        <v>0</v>
      </c>
      <c r="D294" s="12"/>
      <c r="E294" s="12"/>
    </row>
    <row r="295" ht="15.75" customHeight="1">
      <c r="A295" s="13"/>
      <c r="B295" s="21" t="str">
        <f>IFERROR(VLOOKUP(A295,'PAÑOL TÉCNICO'!A295:B1000,2,0))</f>
        <v/>
      </c>
      <c r="C295" s="9">
        <f>SUMIF(DIARIOS!D:D,A295,DIARIOS!F:F)</f>
        <v>0</v>
      </c>
      <c r="D295" s="12"/>
      <c r="E295" s="12"/>
    </row>
    <row r="296" ht="15.75" customHeight="1">
      <c r="A296" s="13"/>
      <c r="B296" s="21" t="str">
        <f>IFERROR(VLOOKUP(A296,'PAÑOL TÉCNICO'!A296:B1000,2,0))</f>
        <v/>
      </c>
      <c r="C296" s="9">
        <f>SUMIF(DIARIOS!D:D,A296,DIARIOS!F:F)</f>
        <v>0</v>
      </c>
      <c r="D296" s="12"/>
      <c r="E296" s="12"/>
    </row>
    <row r="297" ht="15.75" customHeight="1">
      <c r="A297" s="13"/>
      <c r="B297" s="21" t="str">
        <f>IFERROR(VLOOKUP(A297,'PAÑOL TÉCNICO'!A297:B1000,2,0))</f>
        <v/>
      </c>
      <c r="C297" s="9">
        <f>SUMIF(DIARIOS!D:D,A297,DIARIOS!F:F)</f>
        <v>0</v>
      </c>
      <c r="D297" s="12"/>
      <c r="E297" s="12"/>
    </row>
    <row r="298" ht="15.75" customHeight="1">
      <c r="A298" s="13"/>
      <c r="B298" s="21" t="str">
        <f>IFERROR(VLOOKUP(A298,'PAÑOL TÉCNICO'!A298:B1000,2,0))</f>
        <v/>
      </c>
      <c r="C298" s="9">
        <f>SUMIF(DIARIOS!D:D,A298,DIARIOS!F:F)</f>
        <v>0</v>
      </c>
      <c r="D298" s="12"/>
      <c r="E298" s="12"/>
    </row>
    <row r="299" ht="15.75" customHeight="1">
      <c r="A299" s="13"/>
      <c r="B299" s="21" t="str">
        <f>IFERROR(VLOOKUP(A299,'PAÑOL TÉCNICO'!A299:B1000,2,0))</f>
        <v/>
      </c>
      <c r="C299" s="9">
        <f>SUMIF(DIARIOS!D:D,A299,DIARIOS!F:F)</f>
        <v>0</v>
      </c>
      <c r="D299" s="12"/>
      <c r="E299" s="12"/>
    </row>
    <row r="300" ht="15.75" customHeight="1">
      <c r="A300" s="13"/>
      <c r="B300" s="21" t="str">
        <f>IFERROR(VLOOKUP(A300,'PAÑOL TÉCNICO'!A300:B1000,2,0))</f>
        <v/>
      </c>
      <c r="C300" s="9">
        <f>SUMIF(DIARIOS!D:D,A300,DIARIOS!F:F)</f>
        <v>0</v>
      </c>
      <c r="D300" s="12"/>
      <c r="E300" s="12"/>
    </row>
    <row r="301" ht="15.75" customHeight="1">
      <c r="A301" s="13"/>
      <c r="B301" s="21" t="str">
        <f>IFERROR(VLOOKUP(A301,'PAÑOL TÉCNICO'!A301:B1000,2,0))</f>
        <v/>
      </c>
      <c r="C301" s="9">
        <f>SUMIF(DIARIOS!D:D,A301,DIARIOS!F:F)</f>
        <v>0</v>
      </c>
      <c r="D301" s="12"/>
      <c r="E301" s="12"/>
    </row>
    <row r="302" ht="15.75" customHeight="1">
      <c r="A302" s="13"/>
      <c r="B302" s="21" t="str">
        <f>IFERROR(VLOOKUP(A302,'PAÑOL TÉCNICO'!A302:B1000,2,0))</f>
        <v/>
      </c>
      <c r="C302" s="9">
        <f>SUMIF(DIARIOS!D:D,A302,DIARIOS!F:F)</f>
        <v>0</v>
      </c>
      <c r="D302" s="12"/>
      <c r="E302" s="12"/>
    </row>
    <row r="303" ht="15.75" customHeight="1">
      <c r="A303" s="13"/>
      <c r="B303" s="21" t="str">
        <f>IFERROR(VLOOKUP(A303,'PAÑOL TÉCNICO'!A303:B1000,2,0))</f>
        <v/>
      </c>
      <c r="C303" s="9">
        <f>SUMIF(DIARIOS!D:D,A303,DIARIOS!F:F)</f>
        <v>0</v>
      </c>
      <c r="D303" s="12"/>
      <c r="E303" s="12"/>
    </row>
    <row r="304" ht="15.75" customHeight="1">
      <c r="A304" s="13"/>
      <c r="B304" s="21" t="str">
        <f>IFERROR(VLOOKUP(A304,'PAÑOL TÉCNICO'!A304:B1000,2,0))</f>
        <v/>
      </c>
      <c r="C304" s="9">
        <f>SUMIF(DIARIOS!D:D,A304,DIARIOS!F:F)</f>
        <v>0</v>
      </c>
      <c r="D304" s="12"/>
      <c r="E304" s="12"/>
    </row>
    <row r="305" ht="15.75" customHeight="1">
      <c r="A305" s="13"/>
      <c r="B305" s="21" t="str">
        <f>IFERROR(VLOOKUP(A305,'PAÑOL TÉCNICO'!A305:B1000,2,0))</f>
        <v/>
      </c>
      <c r="C305" s="9">
        <f>SUMIF(DIARIOS!D:D,A305,DIARIOS!F:F)</f>
        <v>0</v>
      </c>
      <c r="D305" s="12"/>
      <c r="E305" s="12"/>
    </row>
    <row r="306" ht="15.75" customHeight="1">
      <c r="A306" s="13"/>
      <c r="B306" s="21" t="str">
        <f>IFERROR(VLOOKUP(A306,'PAÑOL TÉCNICO'!A306:B1000,2,0))</f>
        <v/>
      </c>
      <c r="C306" s="9">
        <f>SUMIF(DIARIOS!D:D,A306,DIARIOS!F:F)</f>
        <v>0</v>
      </c>
      <c r="D306" s="12"/>
      <c r="E306" s="12"/>
    </row>
    <row r="307" ht="15.75" customHeight="1">
      <c r="A307" s="13"/>
      <c r="B307" s="21" t="str">
        <f>IFERROR(VLOOKUP(A307,'PAÑOL TÉCNICO'!A307:B1000,2,0))</f>
        <v/>
      </c>
      <c r="C307" s="9">
        <f>SUMIF(DIARIOS!D:D,A307,DIARIOS!F:F)</f>
        <v>0</v>
      </c>
      <c r="D307" s="12"/>
      <c r="E307" s="12"/>
    </row>
    <row r="308" ht="15.75" customHeight="1">
      <c r="A308" s="13"/>
      <c r="B308" s="21" t="str">
        <f>IFERROR(VLOOKUP(A308,'PAÑOL TÉCNICO'!A308:B1000,2,0))</f>
        <v/>
      </c>
      <c r="C308" s="9">
        <f>SUMIF(DIARIOS!D:D,A308,DIARIOS!F:F)</f>
        <v>0</v>
      </c>
      <c r="D308" s="12"/>
      <c r="E308" s="12"/>
    </row>
    <row r="309" ht="15.75" customHeight="1">
      <c r="A309" s="13"/>
      <c r="B309" s="21" t="str">
        <f>IFERROR(VLOOKUP(A309,'PAÑOL TÉCNICO'!A309:B1000,2,0))</f>
        <v/>
      </c>
      <c r="C309" s="9">
        <f>SUMIF(DIARIOS!D:D,A309,DIARIOS!F:F)</f>
        <v>0</v>
      </c>
      <c r="D309" s="12"/>
      <c r="E309" s="12"/>
    </row>
    <row r="310" ht="15.75" customHeight="1">
      <c r="A310" s="13"/>
      <c r="B310" s="21" t="str">
        <f>IFERROR(VLOOKUP(A310,'PAÑOL TÉCNICO'!A310:B1000,2,0))</f>
        <v/>
      </c>
      <c r="C310" s="9">
        <f>SUMIF(DIARIOS!D:D,A310,DIARIOS!F:F)</f>
        <v>0</v>
      </c>
      <c r="D310" s="12"/>
      <c r="E310" s="12"/>
    </row>
    <row r="311" ht="15.75" customHeight="1">
      <c r="A311" s="13"/>
      <c r="B311" s="21" t="str">
        <f>IFERROR(VLOOKUP(A311,'PAÑOL TÉCNICO'!A311:B1000,2,0))</f>
        <v/>
      </c>
      <c r="C311" s="9">
        <f>SUMIF(DIARIOS!D:D,A311,DIARIOS!F:F)</f>
        <v>0</v>
      </c>
      <c r="D311" s="12"/>
      <c r="E311" s="12"/>
    </row>
    <row r="312" ht="15.75" customHeight="1">
      <c r="A312" s="13"/>
      <c r="B312" s="21" t="str">
        <f>IFERROR(VLOOKUP(A312,'PAÑOL TÉCNICO'!A312:B1000,2,0))</f>
        <v/>
      </c>
      <c r="C312" s="9">
        <f>SUMIF(DIARIOS!D:D,A312,DIARIOS!F:F)</f>
        <v>0</v>
      </c>
      <c r="D312" s="12"/>
      <c r="E312" s="12"/>
    </row>
    <row r="313" ht="15.75" customHeight="1">
      <c r="A313" s="13"/>
      <c r="B313" s="21" t="str">
        <f>IFERROR(VLOOKUP(A313,'PAÑOL TÉCNICO'!A313:B1000,2,0))</f>
        <v/>
      </c>
      <c r="C313" s="9">
        <f>SUMIF(DIARIOS!D:D,A313,DIARIOS!F:F)</f>
        <v>0</v>
      </c>
      <c r="D313" s="12"/>
      <c r="E313" s="12"/>
    </row>
    <row r="314" ht="15.75" customHeight="1">
      <c r="A314" s="13"/>
      <c r="B314" s="21" t="str">
        <f>IFERROR(VLOOKUP(A314,'PAÑOL TÉCNICO'!A314:B1000,2,0))</f>
        <v/>
      </c>
      <c r="C314" s="9">
        <f>SUMIF(DIARIOS!D:D,A314,DIARIOS!F:F)</f>
        <v>0</v>
      </c>
      <c r="D314" s="12"/>
      <c r="E314" s="12"/>
    </row>
    <row r="315" ht="15.75" customHeight="1">
      <c r="A315" s="13"/>
      <c r="B315" s="21" t="str">
        <f>IFERROR(VLOOKUP(A315,'PAÑOL TÉCNICO'!A315:B1000,2,0))</f>
        <v/>
      </c>
      <c r="C315" s="9">
        <f>SUMIF(DIARIOS!D:D,A315,DIARIOS!F:F)</f>
        <v>0</v>
      </c>
      <c r="D315" s="12"/>
      <c r="E315" s="12"/>
    </row>
    <row r="316" ht="15.75" customHeight="1">
      <c r="A316" s="13"/>
      <c r="B316" s="21" t="str">
        <f>IFERROR(VLOOKUP(A316,'PAÑOL TÉCNICO'!A316:B1000,2,0))</f>
        <v/>
      </c>
      <c r="C316" s="9">
        <f>SUMIF(DIARIOS!D:D,A316,DIARIOS!F:F)</f>
        <v>0</v>
      </c>
      <c r="D316" s="12"/>
      <c r="E316" s="12"/>
    </row>
    <row r="317" ht="15.75" customHeight="1">
      <c r="A317" s="13"/>
      <c r="B317" s="21" t="str">
        <f>IFERROR(VLOOKUP(A317,'PAÑOL TÉCNICO'!A317:B1000,2,0))</f>
        <v/>
      </c>
      <c r="C317" s="9">
        <f>SUMIF(DIARIOS!D:D,A317,DIARIOS!F:F)</f>
        <v>0</v>
      </c>
      <c r="D317" s="12"/>
      <c r="E317" s="12"/>
    </row>
    <row r="318" ht="15.75" customHeight="1">
      <c r="A318" s="13"/>
      <c r="B318" s="21" t="str">
        <f>IFERROR(VLOOKUP(A318,'PAÑOL TÉCNICO'!A318:B1000,2,0))</f>
        <v/>
      </c>
      <c r="C318" s="9">
        <f>SUMIF(DIARIOS!D:D,A318,DIARIOS!F:F)</f>
        <v>0</v>
      </c>
      <c r="D318" s="12"/>
      <c r="E318" s="12"/>
    </row>
    <row r="319" ht="15.75" customHeight="1">
      <c r="A319" s="13"/>
      <c r="B319" s="21" t="str">
        <f>IFERROR(VLOOKUP(A319,'PAÑOL TÉCNICO'!A319:B1000,2,0))</f>
        <v/>
      </c>
      <c r="C319" s="9">
        <f>SUMIF(DIARIOS!D:D,A319,DIARIOS!F:F)</f>
        <v>0</v>
      </c>
      <c r="D319" s="12"/>
      <c r="E319" s="12"/>
    </row>
    <row r="320" ht="15.75" customHeight="1">
      <c r="A320" s="13"/>
      <c r="B320" s="21" t="str">
        <f>IFERROR(VLOOKUP(A320,'PAÑOL TÉCNICO'!A320:B1000,2,0))</f>
        <v/>
      </c>
      <c r="C320" s="9">
        <f>SUMIF(DIARIOS!D:D,A320,DIARIOS!F:F)</f>
        <v>0</v>
      </c>
      <c r="D320" s="12"/>
      <c r="E320" s="12"/>
    </row>
    <row r="321" ht="15.75" customHeight="1">
      <c r="A321" s="13"/>
      <c r="B321" s="21" t="str">
        <f>IFERROR(VLOOKUP(A321,'PAÑOL TÉCNICO'!A321:B1000,2,0))</f>
        <v/>
      </c>
      <c r="C321" s="9">
        <f>SUMIF(DIARIOS!D:D,A321,DIARIOS!F:F)</f>
        <v>0</v>
      </c>
      <c r="D321" s="12"/>
      <c r="E321" s="12"/>
    </row>
    <row r="322" ht="15.75" customHeight="1">
      <c r="A322" s="13"/>
      <c r="B322" s="21" t="str">
        <f>IFERROR(VLOOKUP(A322,'PAÑOL TÉCNICO'!A322:B1000,2,0))</f>
        <v/>
      </c>
      <c r="C322" s="9">
        <f>SUMIF(DIARIOS!D:D,A322,DIARIOS!F:F)</f>
        <v>0</v>
      </c>
      <c r="D322" s="12"/>
      <c r="E322" s="12"/>
    </row>
    <row r="323" ht="15.75" customHeight="1">
      <c r="A323" s="13"/>
      <c r="B323" s="21" t="str">
        <f>IFERROR(VLOOKUP(A323,'PAÑOL TÉCNICO'!A323:B1000,2,0))</f>
        <v/>
      </c>
      <c r="C323" s="9">
        <f>SUMIF(DIARIOS!D:D,A323,DIARIOS!F:F)</f>
        <v>0</v>
      </c>
      <c r="D323" s="12"/>
      <c r="E323" s="12"/>
    </row>
    <row r="324" ht="15.75" customHeight="1">
      <c r="A324" s="13"/>
      <c r="B324" s="21" t="str">
        <f>IFERROR(VLOOKUP(A324,'PAÑOL TÉCNICO'!A324:B1000,2,0))</f>
        <v/>
      </c>
      <c r="C324" s="9">
        <f>SUMIF(DIARIOS!D:D,A324,DIARIOS!F:F)</f>
        <v>0</v>
      </c>
      <c r="D324" s="12"/>
      <c r="E324" s="12"/>
    </row>
    <row r="325" ht="15.75" customHeight="1">
      <c r="A325" s="13"/>
      <c r="B325" s="21" t="str">
        <f>IFERROR(VLOOKUP(A325,'PAÑOL TÉCNICO'!A325:B1000,2,0))</f>
        <v/>
      </c>
      <c r="C325" s="9">
        <f>SUMIF(DIARIOS!D:D,A325,DIARIOS!F:F)</f>
        <v>0</v>
      </c>
      <c r="D325" s="12"/>
      <c r="E325" s="12"/>
    </row>
    <row r="326" ht="15.75" customHeight="1">
      <c r="A326" s="13"/>
      <c r="B326" s="21" t="str">
        <f>IFERROR(VLOOKUP(A326,'PAÑOL TÉCNICO'!A326:B1000,2,0))</f>
        <v/>
      </c>
      <c r="C326" s="9">
        <f>SUMIF(DIARIOS!D:D,A326,DIARIOS!F:F)</f>
        <v>0</v>
      </c>
      <c r="D326" s="12"/>
      <c r="E326" s="12"/>
    </row>
    <row r="327" ht="15.75" customHeight="1">
      <c r="A327" s="13"/>
      <c r="B327" s="21" t="str">
        <f>IFERROR(VLOOKUP(A327,'PAÑOL TÉCNICO'!A327:B1000,2,0))</f>
        <v/>
      </c>
      <c r="C327" s="9">
        <f>SUMIF(DIARIOS!D:D,A327,DIARIOS!F:F)</f>
        <v>0</v>
      </c>
      <c r="D327" s="12"/>
      <c r="E327" s="12"/>
    </row>
    <row r="328" ht="15.75" customHeight="1">
      <c r="A328" s="13"/>
      <c r="B328" s="21" t="str">
        <f>IFERROR(VLOOKUP(A328,'PAÑOL TÉCNICO'!A328:B1000,2,0))</f>
        <v/>
      </c>
      <c r="C328" s="9">
        <f>SUMIF(DIARIOS!D:D,A328,DIARIOS!F:F)</f>
        <v>0</v>
      </c>
      <c r="D328" s="12"/>
      <c r="E328" s="12"/>
    </row>
    <row r="329" ht="15.75" customHeight="1">
      <c r="A329" s="13"/>
      <c r="B329" s="21" t="str">
        <f>IFERROR(VLOOKUP(A329,'PAÑOL TÉCNICO'!A329:B1000,2,0))</f>
        <v/>
      </c>
      <c r="C329" s="9">
        <f>SUMIF(DIARIOS!D:D,A329,DIARIOS!F:F)</f>
        <v>0</v>
      </c>
      <c r="D329" s="12"/>
      <c r="E329" s="12"/>
    </row>
    <row r="330" ht="15.75" customHeight="1">
      <c r="A330" s="13"/>
      <c r="B330" s="21" t="str">
        <f>IFERROR(VLOOKUP(A330,'PAÑOL TÉCNICO'!A330:B1000,2,0))</f>
        <v/>
      </c>
      <c r="C330" s="9">
        <f>SUMIF(DIARIOS!D:D,A330,DIARIOS!F:F)</f>
        <v>0</v>
      </c>
      <c r="D330" s="12"/>
      <c r="E330" s="12"/>
    </row>
    <row r="331" ht="15.75" customHeight="1">
      <c r="A331" s="13"/>
      <c r="B331" s="21" t="str">
        <f>IFERROR(VLOOKUP(A331,'PAÑOL TÉCNICO'!A331:B1000,2,0))</f>
        <v/>
      </c>
      <c r="C331" s="9">
        <f>SUMIF(DIARIOS!D:D,A331,DIARIOS!F:F)</f>
        <v>0</v>
      </c>
      <c r="D331" s="12"/>
      <c r="E331" s="12"/>
    </row>
    <row r="332" ht="15.75" customHeight="1">
      <c r="A332" s="13"/>
      <c r="B332" s="21" t="str">
        <f>IFERROR(VLOOKUP(A332,'PAÑOL TÉCNICO'!A332:B1000,2,0))</f>
        <v/>
      </c>
      <c r="C332" s="9">
        <f>SUMIF(DIARIOS!D:D,A332,DIARIOS!F:F)</f>
        <v>0</v>
      </c>
      <c r="D332" s="12"/>
      <c r="E332" s="12"/>
    </row>
    <row r="333" ht="15.75" customHeight="1">
      <c r="A333" s="13"/>
      <c r="B333" s="21" t="str">
        <f>IFERROR(VLOOKUP(A333,'PAÑOL TÉCNICO'!A333:B1000,2,0))</f>
        <v/>
      </c>
      <c r="C333" s="9">
        <f>SUMIF(DIARIOS!D:D,A333,DIARIOS!F:F)</f>
        <v>0</v>
      </c>
      <c r="D333" s="12"/>
      <c r="E333" s="12"/>
    </row>
    <row r="334" ht="15.75" customHeight="1">
      <c r="A334" s="13"/>
      <c r="B334" s="21" t="str">
        <f>IFERROR(VLOOKUP(A334,'PAÑOL TÉCNICO'!A334:B1000,2,0))</f>
        <v/>
      </c>
      <c r="C334" s="9">
        <f>SUMIF(DIARIOS!D:D,A334,DIARIOS!F:F)</f>
        <v>0</v>
      </c>
      <c r="D334" s="12"/>
      <c r="E334" s="12"/>
    </row>
    <row r="335" ht="15.75" customHeight="1">
      <c r="A335" s="13"/>
      <c r="B335" s="21" t="str">
        <f>IFERROR(VLOOKUP(A335,'PAÑOL TÉCNICO'!A335:B1000,2,0))</f>
        <v/>
      </c>
      <c r="C335" s="9">
        <f>SUMIF(DIARIOS!D:D,A335,DIARIOS!F:F)</f>
        <v>0</v>
      </c>
      <c r="D335" s="12"/>
      <c r="E335" s="12"/>
    </row>
    <row r="336" ht="15.75" customHeight="1">
      <c r="A336" s="13"/>
      <c r="B336" s="21" t="str">
        <f>IFERROR(VLOOKUP(A336,'PAÑOL TÉCNICO'!A336:B1000,2,0))</f>
        <v/>
      </c>
      <c r="C336" s="9">
        <f>SUMIF(DIARIOS!D:D,A336,DIARIOS!F:F)</f>
        <v>0</v>
      </c>
      <c r="D336" s="12"/>
      <c r="E336" s="12"/>
    </row>
    <row r="337" ht="15.75" customHeight="1">
      <c r="A337" s="13"/>
      <c r="B337" s="21" t="str">
        <f>IFERROR(VLOOKUP(A337,'PAÑOL TÉCNICO'!A337:B1000,2,0))</f>
        <v/>
      </c>
      <c r="C337" s="9">
        <f>SUMIF(DIARIOS!D:D,A337,DIARIOS!F:F)</f>
        <v>0</v>
      </c>
      <c r="D337" s="12"/>
      <c r="E337" s="12"/>
    </row>
    <row r="338" ht="15.75" customHeight="1">
      <c r="A338" s="13"/>
      <c r="B338" s="21" t="str">
        <f>IFERROR(VLOOKUP(A338,'PAÑOL TÉCNICO'!A338:B1000,2,0))</f>
        <v/>
      </c>
      <c r="C338" s="9">
        <f>SUMIF(DIARIOS!D:D,A338,DIARIOS!F:F)</f>
        <v>0</v>
      </c>
      <c r="D338" s="12"/>
      <c r="E338" s="12"/>
    </row>
    <row r="339" ht="15.75" customHeight="1">
      <c r="A339" s="13"/>
      <c r="B339" s="21" t="str">
        <f>IFERROR(VLOOKUP(A339,'PAÑOL TÉCNICO'!A339:B1000,2,0))</f>
        <v/>
      </c>
      <c r="C339" s="9">
        <f>SUMIF(DIARIOS!D:D,A339,DIARIOS!F:F)</f>
        <v>0</v>
      </c>
      <c r="D339" s="12"/>
      <c r="E339" s="12"/>
    </row>
    <row r="340" ht="15.75" customHeight="1">
      <c r="A340" s="13"/>
      <c r="B340" s="21" t="str">
        <f>IFERROR(VLOOKUP(A340,'PAÑOL TÉCNICO'!A340:B1000,2,0))</f>
        <v/>
      </c>
      <c r="C340" s="9">
        <f>SUMIF(DIARIOS!D:D,A340,DIARIOS!F:F)</f>
        <v>0</v>
      </c>
      <c r="D340" s="12"/>
      <c r="E340" s="12"/>
    </row>
    <row r="341" ht="15.75" customHeight="1">
      <c r="A341" s="13"/>
      <c r="B341" s="21" t="str">
        <f>IFERROR(VLOOKUP(A341,'PAÑOL TÉCNICO'!A341:B1000,2,0))</f>
        <v/>
      </c>
      <c r="C341" s="9">
        <f>SUMIF(DIARIOS!D:D,A341,DIARIOS!F:F)</f>
        <v>0</v>
      </c>
      <c r="D341" s="12"/>
      <c r="E341" s="12"/>
    </row>
    <row r="342" ht="15.75" customHeight="1">
      <c r="A342" s="13"/>
      <c r="B342" s="21" t="str">
        <f>IFERROR(VLOOKUP(A342,'PAÑOL TÉCNICO'!A342:B1000,2,0))</f>
        <v/>
      </c>
      <c r="C342" s="9">
        <f>SUMIF(DIARIOS!D:D,A342,DIARIOS!F:F)</f>
        <v>0</v>
      </c>
      <c r="D342" s="12"/>
      <c r="E342" s="12"/>
    </row>
    <row r="343" ht="15.75" customHeight="1">
      <c r="A343" s="13"/>
      <c r="B343" s="21" t="str">
        <f>IFERROR(VLOOKUP(A343,'PAÑOL TÉCNICO'!A343:B1000,2,0))</f>
        <v/>
      </c>
      <c r="C343" s="9">
        <f>SUMIF(DIARIOS!D:D,A343,DIARIOS!F:F)</f>
        <v>0</v>
      </c>
      <c r="D343" s="12"/>
      <c r="E343" s="12"/>
    </row>
    <row r="344" ht="15.75" customHeight="1">
      <c r="A344" s="13"/>
      <c r="B344" s="21" t="str">
        <f>IFERROR(VLOOKUP(A344,'PAÑOL TÉCNICO'!A344:B1000,2,0))</f>
        <v/>
      </c>
      <c r="C344" s="9">
        <f>SUMIF(DIARIOS!D:D,A344,DIARIOS!F:F)</f>
        <v>0</v>
      </c>
      <c r="D344" s="12"/>
      <c r="E344" s="12"/>
    </row>
    <row r="345" ht="15.75" customHeight="1">
      <c r="A345" s="13"/>
      <c r="B345" s="21" t="str">
        <f>IFERROR(VLOOKUP(A345,'PAÑOL TÉCNICO'!A345:B1000,2,0))</f>
        <v/>
      </c>
      <c r="C345" s="9">
        <f>SUMIF(DIARIOS!D:D,A345,DIARIOS!F:F)</f>
        <v>0</v>
      </c>
      <c r="D345" s="12"/>
      <c r="E345" s="12"/>
    </row>
    <row r="346" ht="15.75" customHeight="1">
      <c r="A346" s="13"/>
      <c r="B346" s="21" t="str">
        <f>IFERROR(VLOOKUP(A346,'PAÑOL TÉCNICO'!A346:B1000,2,0))</f>
        <v/>
      </c>
      <c r="C346" s="9">
        <f>SUMIF(DIARIOS!D:D,A346,DIARIOS!F:F)</f>
        <v>0</v>
      </c>
      <c r="D346" s="12"/>
      <c r="E346" s="12"/>
    </row>
    <row r="347" ht="15.75" customHeight="1">
      <c r="A347" s="13"/>
      <c r="B347" s="21" t="str">
        <f>IFERROR(VLOOKUP(A347,'PAÑOL TÉCNICO'!A347:B1000,2,0))</f>
        <v/>
      </c>
      <c r="C347" s="9">
        <f>SUMIF(DIARIOS!D:D,A347,DIARIOS!F:F)</f>
        <v>0</v>
      </c>
      <c r="D347" s="12"/>
      <c r="E347" s="12"/>
    </row>
    <row r="348" ht="15.75" customHeight="1">
      <c r="A348" s="13"/>
      <c r="B348" s="21" t="str">
        <f>IFERROR(VLOOKUP(A348,'PAÑOL TÉCNICO'!A348:B1000,2,0))</f>
        <v/>
      </c>
      <c r="C348" s="9">
        <f>SUMIF(DIARIOS!D:D,A348,DIARIOS!F:F)</f>
        <v>0</v>
      </c>
      <c r="D348" s="12"/>
      <c r="E348" s="12"/>
    </row>
    <row r="349" ht="15.75" customHeight="1">
      <c r="A349" s="13"/>
      <c r="B349" s="21" t="str">
        <f>IFERROR(VLOOKUP(A349,'PAÑOL TÉCNICO'!A349:B1000,2,0))</f>
        <v/>
      </c>
      <c r="C349" s="9">
        <f>SUMIF(DIARIOS!D:D,A349,DIARIOS!F:F)</f>
        <v>0</v>
      </c>
      <c r="D349" s="12"/>
      <c r="E349" s="12"/>
    </row>
    <row r="350" ht="15.75" customHeight="1">
      <c r="A350" s="13"/>
      <c r="B350" s="21" t="str">
        <f>IFERROR(VLOOKUP(A350,'PAÑOL TÉCNICO'!A350:B1000,2,0))</f>
        <v/>
      </c>
      <c r="C350" s="9">
        <f>SUMIF(DIARIOS!D:D,A350,DIARIOS!F:F)</f>
        <v>0</v>
      </c>
      <c r="D350" s="12"/>
      <c r="E350" s="12"/>
    </row>
    <row r="351" ht="15.75" customHeight="1">
      <c r="A351" s="13"/>
      <c r="B351" s="21" t="str">
        <f>IFERROR(VLOOKUP(A351,'PAÑOL TÉCNICO'!A351:B1000,2,0))</f>
        <v/>
      </c>
      <c r="C351" s="9">
        <f>SUMIF(DIARIOS!D:D,A351,DIARIOS!F:F)</f>
        <v>0</v>
      </c>
      <c r="D351" s="12"/>
      <c r="E351" s="12"/>
    </row>
    <row r="352" ht="15.75" customHeight="1">
      <c r="A352" s="13"/>
      <c r="B352" s="21" t="str">
        <f>IFERROR(VLOOKUP(A352,'PAÑOL TÉCNICO'!A352:B1000,2,0))</f>
        <v/>
      </c>
      <c r="C352" s="9">
        <f>SUMIF(DIARIOS!D:D,A352,DIARIOS!F:F)</f>
        <v>0</v>
      </c>
      <c r="D352" s="12"/>
      <c r="E352" s="12"/>
    </row>
    <row r="353" ht="15.75" customHeight="1">
      <c r="A353" s="13"/>
      <c r="B353" s="21" t="str">
        <f>IFERROR(VLOOKUP(A353,'PAÑOL TÉCNICO'!A353:B1000,2,0))</f>
        <v/>
      </c>
      <c r="C353" s="9">
        <f>SUMIF(DIARIOS!D:D,A353,DIARIOS!F:F)</f>
        <v>0</v>
      </c>
      <c r="D353" s="12"/>
      <c r="E353" s="12"/>
    </row>
    <row r="354" ht="15.75" customHeight="1">
      <c r="A354" s="13"/>
      <c r="B354" s="21" t="str">
        <f>IFERROR(VLOOKUP(A354,'PAÑOL TÉCNICO'!A354:B1000,2,0))</f>
        <v/>
      </c>
      <c r="C354" s="9">
        <f>SUMIF(DIARIOS!D:D,A354,DIARIOS!F:F)</f>
        <v>0</v>
      </c>
      <c r="D354" s="12"/>
      <c r="E354" s="12"/>
    </row>
    <row r="355" ht="15.75" customHeight="1">
      <c r="A355" s="13"/>
      <c r="B355" s="21" t="str">
        <f>IFERROR(VLOOKUP(A355,'PAÑOL TÉCNICO'!A355:B1000,2,0))</f>
        <v/>
      </c>
      <c r="C355" s="9">
        <f>SUMIF(DIARIOS!D:D,A355,DIARIOS!F:F)</f>
        <v>0</v>
      </c>
      <c r="D355" s="12"/>
      <c r="E355" s="12"/>
    </row>
    <row r="356" ht="15.75" customHeight="1">
      <c r="A356" s="13"/>
      <c r="B356" s="21" t="str">
        <f>IFERROR(VLOOKUP(A356,'PAÑOL TÉCNICO'!A356:B1000,2,0))</f>
        <v/>
      </c>
      <c r="C356" s="9">
        <f>SUMIF(DIARIOS!D:D,A356,DIARIOS!F:F)</f>
        <v>0</v>
      </c>
      <c r="D356" s="12"/>
      <c r="E356" s="12"/>
    </row>
    <row r="357" ht="15.75" customHeight="1">
      <c r="A357" s="13"/>
      <c r="B357" s="21" t="str">
        <f>IFERROR(VLOOKUP(A357,'PAÑOL TÉCNICO'!A357:B1000,2,0))</f>
        <v/>
      </c>
      <c r="C357" s="9">
        <f>SUMIF(DIARIOS!D:D,A357,DIARIOS!F:F)</f>
        <v>0</v>
      </c>
      <c r="D357" s="12"/>
      <c r="E357" s="12"/>
    </row>
    <row r="358" ht="15.75" customHeight="1">
      <c r="A358" s="13"/>
      <c r="B358" s="21" t="str">
        <f>IFERROR(VLOOKUP(A358,'PAÑOL TÉCNICO'!A358:B1000,2,0))</f>
        <v/>
      </c>
      <c r="C358" s="9">
        <f>SUMIF(DIARIOS!D:D,A358,DIARIOS!F:F)</f>
        <v>0</v>
      </c>
      <c r="D358" s="12"/>
      <c r="E358" s="12"/>
    </row>
    <row r="359" ht="15.75" customHeight="1">
      <c r="A359" s="13"/>
      <c r="B359" s="21" t="str">
        <f>IFERROR(VLOOKUP(A359,'PAÑOL TÉCNICO'!A359:B1000,2,0))</f>
        <v/>
      </c>
      <c r="C359" s="9">
        <f>SUMIF(DIARIOS!D:D,A359,DIARIOS!F:F)</f>
        <v>0</v>
      </c>
      <c r="D359" s="12"/>
      <c r="E359" s="12"/>
    </row>
    <row r="360" ht="15.75" customHeight="1">
      <c r="A360" s="13"/>
      <c r="B360" s="21" t="str">
        <f>IFERROR(VLOOKUP(A360,'PAÑOL TÉCNICO'!A360:B1000,2,0))</f>
        <v/>
      </c>
      <c r="C360" s="9">
        <f>SUMIF(DIARIOS!D:D,A360,DIARIOS!F:F)</f>
        <v>0</v>
      </c>
      <c r="D360" s="12"/>
      <c r="E360" s="12"/>
    </row>
    <row r="361" ht="15.75" customHeight="1">
      <c r="A361" s="13"/>
      <c r="B361" s="21" t="str">
        <f>IFERROR(VLOOKUP(A361,'PAÑOL TÉCNICO'!A361:B1000,2,0))</f>
        <v/>
      </c>
      <c r="C361" s="9">
        <f>SUMIF(DIARIOS!D:D,A361,DIARIOS!F:F)</f>
        <v>0</v>
      </c>
      <c r="D361" s="12"/>
      <c r="E361" s="12"/>
    </row>
    <row r="362" ht="15.75" customHeight="1">
      <c r="A362" s="13"/>
      <c r="B362" s="21" t="str">
        <f>IFERROR(VLOOKUP(A362,'PAÑOL TÉCNICO'!A362:B1000,2,0))</f>
        <v/>
      </c>
      <c r="C362" s="9">
        <f>SUMIF(DIARIOS!D:D,A362,DIARIOS!F:F)</f>
        <v>0</v>
      </c>
      <c r="D362" s="12"/>
      <c r="E362" s="12"/>
    </row>
    <row r="363" ht="15.75" customHeight="1">
      <c r="A363" s="13"/>
      <c r="B363" s="21" t="str">
        <f>IFERROR(VLOOKUP(A363,'PAÑOL TÉCNICO'!A363:B1000,2,0))</f>
        <v/>
      </c>
      <c r="C363" s="9">
        <f>SUMIF(DIARIOS!D:D,A363,DIARIOS!F:F)</f>
        <v>0</v>
      </c>
      <c r="D363" s="12"/>
      <c r="E363" s="12"/>
    </row>
    <row r="364" ht="15.75" customHeight="1">
      <c r="A364" s="13"/>
      <c r="B364" s="21" t="str">
        <f>IFERROR(VLOOKUP(A364,'PAÑOL TÉCNICO'!A364:B1000,2,0))</f>
        <v/>
      </c>
      <c r="C364" s="9">
        <f>SUMIF(DIARIOS!D:D,A364,DIARIOS!F:F)</f>
        <v>0</v>
      </c>
      <c r="D364" s="12"/>
      <c r="E364" s="12"/>
    </row>
    <row r="365" ht="15.75" customHeight="1">
      <c r="A365" s="13"/>
      <c r="B365" s="21" t="str">
        <f>IFERROR(VLOOKUP(A365,'PAÑOL TÉCNICO'!A365:B1000,2,0))</f>
        <v/>
      </c>
      <c r="C365" s="9">
        <f>SUMIF(DIARIOS!D:D,A365,DIARIOS!F:F)</f>
        <v>0</v>
      </c>
      <c r="D365" s="12"/>
      <c r="E365" s="12"/>
    </row>
    <row r="366" ht="15.75" customHeight="1">
      <c r="A366" s="13"/>
      <c r="B366" s="21" t="str">
        <f>IFERROR(VLOOKUP(A366,'PAÑOL TÉCNICO'!A366:B1000,2,0))</f>
        <v/>
      </c>
      <c r="C366" s="9">
        <f>SUMIF(DIARIOS!D:D,A366,DIARIOS!F:F)</f>
        <v>0</v>
      </c>
      <c r="D366" s="12"/>
      <c r="E366" s="12"/>
    </row>
    <row r="367" ht="15.75" customHeight="1">
      <c r="A367" s="13"/>
      <c r="B367" s="21" t="str">
        <f>IFERROR(VLOOKUP(A367,'PAÑOL TÉCNICO'!A367:B1000,2,0))</f>
        <v/>
      </c>
      <c r="C367" s="9">
        <f>SUMIF(DIARIOS!D:D,A367,DIARIOS!F:F)</f>
        <v>0</v>
      </c>
      <c r="D367" s="12"/>
      <c r="E367" s="12"/>
    </row>
    <row r="368" ht="15.75" customHeight="1">
      <c r="A368" s="13"/>
      <c r="B368" s="21" t="str">
        <f>IFERROR(VLOOKUP(A368,'PAÑOL TÉCNICO'!A368:B1000,2,0))</f>
        <v/>
      </c>
      <c r="C368" s="9">
        <f>SUMIF(DIARIOS!D:D,A368,DIARIOS!F:F)</f>
        <v>0</v>
      </c>
      <c r="D368" s="12"/>
      <c r="E368" s="12"/>
    </row>
    <row r="369" ht="15.75" customHeight="1">
      <c r="A369" s="13"/>
      <c r="B369" s="21" t="str">
        <f>IFERROR(VLOOKUP(A369,'PAÑOL TÉCNICO'!A369:B1000,2,0))</f>
        <v/>
      </c>
      <c r="C369" s="9">
        <f>SUMIF(DIARIOS!D:D,A369,DIARIOS!F:F)</f>
        <v>0</v>
      </c>
      <c r="D369" s="12"/>
      <c r="E369" s="12"/>
    </row>
    <row r="370" ht="15.75" customHeight="1">
      <c r="A370" s="13"/>
      <c r="B370" s="21" t="str">
        <f>IFERROR(VLOOKUP(A370,'PAÑOL TÉCNICO'!A370:B1000,2,0))</f>
        <v/>
      </c>
      <c r="C370" s="9">
        <f>SUMIF(DIARIOS!D:D,A370,DIARIOS!F:F)</f>
        <v>0</v>
      </c>
      <c r="D370" s="12"/>
      <c r="E370" s="12"/>
    </row>
    <row r="371" ht="15.75" customHeight="1">
      <c r="A371" s="13"/>
      <c r="B371" s="21" t="str">
        <f>IFERROR(VLOOKUP(A371,'PAÑOL TÉCNICO'!A371:B1000,2,0))</f>
        <v/>
      </c>
      <c r="C371" s="9">
        <f>SUMIF(DIARIOS!D:D,A371,DIARIOS!F:F)</f>
        <v>0</v>
      </c>
      <c r="D371" s="12"/>
      <c r="E371" s="12"/>
    </row>
    <row r="372" ht="15.75" customHeight="1">
      <c r="A372" s="13"/>
      <c r="B372" s="21" t="str">
        <f>IFERROR(VLOOKUP(A372,'PAÑOL TÉCNICO'!A372:B1000,2,0))</f>
        <v/>
      </c>
      <c r="C372" s="9">
        <f>SUMIF(DIARIOS!D:D,A372,DIARIOS!F:F)</f>
        <v>0</v>
      </c>
      <c r="D372" s="12"/>
      <c r="E372" s="12"/>
    </row>
    <row r="373" ht="15.75" customHeight="1">
      <c r="A373" s="13"/>
      <c r="B373" s="21" t="str">
        <f>IFERROR(VLOOKUP(A373,'PAÑOL TÉCNICO'!A373:B1000,2,0))</f>
        <v/>
      </c>
      <c r="C373" s="9">
        <f>SUMIF(DIARIOS!D:D,A373,DIARIOS!F:F)</f>
        <v>0</v>
      </c>
      <c r="D373" s="12"/>
      <c r="E373" s="12"/>
    </row>
    <row r="374" ht="15.75" customHeight="1">
      <c r="A374" s="13"/>
      <c r="B374" s="21" t="str">
        <f>IFERROR(VLOOKUP(A374,'PAÑOL TÉCNICO'!A374:B1000,2,0))</f>
        <v/>
      </c>
      <c r="C374" s="9">
        <f>SUMIF(DIARIOS!D:D,A374,DIARIOS!F:F)</f>
        <v>0</v>
      </c>
      <c r="D374" s="12"/>
      <c r="E374" s="12"/>
    </row>
    <row r="375" ht="15.75" customHeight="1">
      <c r="A375" s="13"/>
      <c r="B375" s="21" t="str">
        <f>IFERROR(VLOOKUP(A375,'PAÑOL TÉCNICO'!A375:B1000,2,0))</f>
        <v/>
      </c>
      <c r="C375" s="9">
        <f>SUMIF(DIARIOS!D:D,A375,DIARIOS!F:F)</f>
        <v>0</v>
      </c>
      <c r="D375" s="12"/>
      <c r="E375" s="12"/>
    </row>
    <row r="376" ht="15.75" customHeight="1">
      <c r="A376" s="13"/>
      <c r="B376" s="21" t="str">
        <f>IFERROR(VLOOKUP(A376,'PAÑOL TÉCNICO'!A376:B1000,2,0))</f>
        <v/>
      </c>
      <c r="C376" s="9">
        <f>SUMIF(DIARIOS!D:D,A376,DIARIOS!F:F)</f>
        <v>0</v>
      </c>
      <c r="D376" s="12"/>
      <c r="E376" s="12"/>
    </row>
    <row r="377" ht="15.75" customHeight="1">
      <c r="A377" s="13"/>
      <c r="B377" s="21" t="str">
        <f>IFERROR(VLOOKUP(A377,'PAÑOL TÉCNICO'!A377:B1000,2,0))</f>
        <v/>
      </c>
      <c r="C377" s="9">
        <f>SUMIF(DIARIOS!D:D,A377,DIARIOS!F:F)</f>
        <v>0</v>
      </c>
      <c r="D377" s="12"/>
      <c r="E377" s="12"/>
    </row>
    <row r="378" ht="15.75" customHeight="1">
      <c r="A378" s="13"/>
      <c r="B378" s="21" t="str">
        <f>IFERROR(VLOOKUP(A378,'PAÑOL TÉCNICO'!A378:B1000,2,0))</f>
        <v/>
      </c>
      <c r="C378" s="9">
        <f>SUMIF(DIARIOS!D:D,A378,DIARIOS!F:F)</f>
        <v>0</v>
      </c>
      <c r="D378" s="12"/>
      <c r="E378" s="12"/>
    </row>
    <row r="379" ht="15.75" customHeight="1">
      <c r="A379" s="13"/>
      <c r="B379" s="21" t="str">
        <f>IFERROR(VLOOKUP(A379,'PAÑOL TÉCNICO'!A379:B1000,2,0))</f>
        <v/>
      </c>
      <c r="C379" s="9">
        <f>SUMIF(DIARIOS!D:D,A379,DIARIOS!F:F)</f>
        <v>0</v>
      </c>
      <c r="D379" s="12"/>
      <c r="E379" s="12"/>
    </row>
    <row r="380" ht="15.75" customHeight="1">
      <c r="A380" s="13"/>
      <c r="B380" s="21" t="str">
        <f>IFERROR(VLOOKUP(A380,'PAÑOL TÉCNICO'!A380:B1000,2,0))</f>
        <v/>
      </c>
      <c r="C380" s="9">
        <f>SUMIF(DIARIOS!D:D,A380,DIARIOS!F:F)</f>
        <v>0</v>
      </c>
      <c r="D380" s="12"/>
      <c r="E380" s="12"/>
    </row>
    <row r="381" ht="15.75" customHeight="1">
      <c r="A381" s="13"/>
      <c r="B381" s="21" t="str">
        <f>IFERROR(VLOOKUP(A381,'PAÑOL TÉCNICO'!A381:B1000,2,0))</f>
        <v/>
      </c>
      <c r="C381" s="9">
        <f>SUMIF(DIARIOS!D:D,A381,DIARIOS!F:F)</f>
        <v>0</v>
      </c>
      <c r="D381" s="12"/>
      <c r="E381" s="12"/>
    </row>
    <row r="382" ht="15.75" customHeight="1">
      <c r="A382" s="13"/>
      <c r="B382" s="21" t="str">
        <f>IFERROR(VLOOKUP(A382,'PAÑOL TÉCNICO'!A382:B1000,2,0))</f>
        <v/>
      </c>
      <c r="C382" s="9">
        <f>SUMIF(DIARIOS!D:D,A382,DIARIOS!F:F)</f>
        <v>0</v>
      </c>
      <c r="D382" s="12"/>
      <c r="E382" s="12"/>
    </row>
    <row r="383" ht="15.75" customHeight="1">
      <c r="A383" s="13"/>
      <c r="B383" s="21" t="str">
        <f>IFERROR(VLOOKUP(A383,'PAÑOL TÉCNICO'!A383:B1000,2,0))</f>
        <v/>
      </c>
      <c r="C383" s="9">
        <f>SUMIF(DIARIOS!D:D,A383,DIARIOS!F:F)</f>
        <v>0</v>
      </c>
      <c r="D383" s="12"/>
      <c r="E383" s="12"/>
    </row>
    <row r="384" ht="15.75" customHeight="1">
      <c r="A384" s="13"/>
      <c r="B384" s="21" t="str">
        <f>IFERROR(VLOOKUP(A384,'PAÑOL TÉCNICO'!A384:B1000,2,0))</f>
        <v/>
      </c>
      <c r="C384" s="9">
        <f>SUMIF(DIARIOS!D:D,A384,DIARIOS!F:F)</f>
        <v>0</v>
      </c>
      <c r="D384" s="12"/>
      <c r="E384" s="12"/>
    </row>
    <row r="385" ht="15.75" customHeight="1">
      <c r="A385" s="13"/>
      <c r="B385" s="21" t="str">
        <f>IFERROR(VLOOKUP(A385,'PAÑOL TÉCNICO'!A385:B1000,2,0))</f>
        <v/>
      </c>
      <c r="C385" s="9">
        <f>SUMIF(DIARIOS!D:D,A385,DIARIOS!F:F)</f>
        <v>0</v>
      </c>
      <c r="D385" s="12"/>
      <c r="E385" s="12"/>
    </row>
    <row r="386" ht="15.75" customHeight="1">
      <c r="A386" s="13"/>
      <c r="B386" s="21" t="str">
        <f>IFERROR(VLOOKUP(A386,'PAÑOL TÉCNICO'!A386:B1000,2,0))</f>
        <v/>
      </c>
      <c r="C386" s="9">
        <f>SUMIF(DIARIOS!D:D,A386,DIARIOS!F:F)</f>
        <v>0</v>
      </c>
      <c r="D386" s="12"/>
      <c r="E386" s="12"/>
    </row>
    <row r="387" ht="15.75" customHeight="1">
      <c r="A387" s="13"/>
      <c r="B387" s="21" t="str">
        <f>IFERROR(VLOOKUP(A387,'PAÑOL TÉCNICO'!A387:B1000,2,0))</f>
        <v/>
      </c>
      <c r="C387" s="9">
        <f>SUMIF(DIARIOS!D:D,A387,DIARIOS!F:F)</f>
        <v>0</v>
      </c>
      <c r="D387" s="12"/>
      <c r="E387" s="12"/>
    </row>
    <row r="388" ht="15.75" customHeight="1">
      <c r="A388" s="13"/>
      <c r="B388" s="21" t="str">
        <f>IFERROR(VLOOKUP(A388,'PAÑOL TÉCNICO'!A388:B1000,2,0))</f>
        <v/>
      </c>
      <c r="C388" s="9">
        <f>SUMIF(DIARIOS!D:D,A388,DIARIOS!F:F)</f>
        <v>0</v>
      </c>
      <c r="D388" s="12"/>
      <c r="E388" s="12"/>
    </row>
    <row r="389" ht="15.75" customHeight="1">
      <c r="A389" s="13"/>
      <c r="B389" s="21" t="str">
        <f>IFERROR(VLOOKUP(A389,'PAÑOL TÉCNICO'!A389:B1000,2,0))</f>
        <v/>
      </c>
      <c r="C389" s="9">
        <f>SUMIF(DIARIOS!D:D,A389,DIARIOS!F:F)</f>
        <v>0</v>
      </c>
      <c r="D389" s="12"/>
      <c r="E389" s="12"/>
    </row>
    <row r="390" ht="15.75" customHeight="1">
      <c r="A390" s="13"/>
      <c r="B390" s="21" t="str">
        <f>IFERROR(VLOOKUP(A390,'PAÑOL TÉCNICO'!A390:B1000,2,0))</f>
        <v/>
      </c>
      <c r="C390" s="9">
        <f>SUMIF(DIARIOS!D:D,A390,DIARIOS!F:F)</f>
        <v>0</v>
      </c>
      <c r="D390" s="12"/>
      <c r="E390" s="12"/>
    </row>
    <row r="391" ht="15.75" customHeight="1">
      <c r="A391" s="13"/>
      <c r="B391" s="21" t="str">
        <f>IFERROR(VLOOKUP(A391,'PAÑOL TÉCNICO'!A391:B1000,2,0))</f>
        <v/>
      </c>
      <c r="C391" s="9">
        <f>SUMIF(DIARIOS!D:D,A391,DIARIOS!F:F)</f>
        <v>0</v>
      </c>
      <c r="D391" s="12"/>
      <c r="E391" s="12"/>
    </row>
    <row r="392" ht="15.75" customHeight="1">
      <c r="A392" s="13"/>
      <c r="B392" s="21" t="str">
        <f>IFERROR(VLOOKUP(A392,'PAÑOL TÉCNICO'!A392:B1000,2,0))</f>
        <v/>
      </c>
      <c r="C392" s="9">
        <f>SUMIF(DIARIOS!D:D,A392,DIARIOS!F:F)</f>
        <v>0</v>
      </c>
      <c r="D392" s="12"/>
      <c r="E392" s="12"/>
    </row>
    <row r="393" ht="15.75" customHeight="1">
      <c r="A393" s="13"/>
      <c r="B393" s="21" t="str">
        <f>IFERROR(VLOOKUP(A393,'PAÑOL TÉCNICO'!A393:B1000,2,0))</f>
        <v/>
      </c>
      <c r="C393" s="9">
        <f>SUMIF(DIARIOS!D:D,A393,DIARIOS!F:F)</f>
        <v>0</v>
      </c>
      <c r="D393" s="12"/>
      <c r="E393" s="12"/>
    </row>
    <row r="394" ht="15.75" customHeight="1">
      <c r="A394" s="13"/>
      <c r="B394" s="21" t="str">
        <f>IFERROR(VLOOKUP(A394,'PAÑOL TÉCNICO'!A394:B1000,2,0))</f>
        <v/>
      </c>
      <c r="C394" s="9">
        <f>SUMIF(DIARIOS!D:D,A394,DIARIOS!F:F)</f>
        <v>0</v>
      </c>
      <c r="D394" s="12"/>
      <c r="E394" s="12"/>
    </row>
    <row r="395" ht="15.75" customHeight="1">
      <c r="A395" s="13"/>
      <c r="B395" s="21" t="str">
        <f>IFERROR(VLOOKUP(A395,'PAÑOL TÉCNICO'!A395:B1000,2,0))</f>
        <v/>
      </c>
      <c r="C395" s="9">
        <f>SUMIF(DIARIOS!D:D,A395,DIARIOS!F:F)</f>
        <v>0</v>
      </c>
      <c r="D395" s="12"/>
      <c r="E395" s="12"/>
    </row>
    <row r="396" ht="15.75" customHeight="1">
      <c r="A396" s="13"/>
      <c r="B396" s="21" t="str">
        <f>IFERROR(VLOOKUP(A396,'PAÑOL TÉCNICO'!A396:B1000,2,0))</f>
        <v/>
      </c>
      <c r="C396" s="9">
        <f>SUMIF(DIARIOS!D:D,A396,DIARIOS!F:F)</f>
        <v>0</v>
      </c>
      <c r="D396" s="12"/>
      <c r="E396" s="12"/>
    </row>
    <row r="397" ht="15.75" customHeight="1">
      <c r="A397" s="13"/>
      <c r="B397" s="21" t="str">
        <f>IFERROR(VLOOKUP(A397,'PAÑOL TÉCNICO'!A397:B1000,2,0))</f>
        <v/>
      </c>
      <c r="C397" s="9">
        <f>SUMIF(DIARIOS!D:D,A397,DIARIOS!F:F)</f>
        <v>0</v>
      </c>
      <c r="D397" s="12"/>
      <c r="E397" s="12"/>
    </row>
    <row r="398" ht="15.75" customHeight="1">
      <c r="A398" s="13"/>
      <c r="B398" s="21" t="str">
        <f>IFERROR(VLOOKUP(A398,'PAÑOL TÉCNICO'!A398:B1000,2,0))</f>
        <v/>
      </c>
      <c r="C398" s="9">
        <f>SUMIF(DIARIOS!D:D,A398,DIARIOS!F:F)</f>
        <v>0</v>
      </c>
      <c r="D398" s="12"/>
      <c r="E398" s="12"/>
    </row>
    <row r="399" ht="15.75" customHeight="1">
      <c r="A399" s="13"/>
      <c r="B399" s="21" t="str">
        <f>IFERROR(VLOOKUP(A399,'PAÑOL TÉCNICO'!A399:B1000,2,0))</f>
        <v/>
      </c>
      <c r="C399" s="9">
        <f>SUMIF(DIARIOS!D:D,A399,DIARIOS!F:F)</f>
        <v>0</v>
      </c>
      <c r="D399" s="12"/>
      <c r="E399" s="12"/>
    </row>
    <row r="400" ht="15.75" customHeight="1">
      <c r="A400" s="13"/>
      <c r="B400" s="21" t="str">
        <f>IFERROR(VLOOKUP(A400,'PAÑOL TÉCNICO'!A400:B1000,2,0))</f>
        <v/>
      </c>
      <c r="C400" s="9">
        <f>SUMIF(DIARIOS!D:D,A400,DIARIOS!F:F)</f>
        <v>0</v>
      </c>
      <c r="D400" s="12"/>
      <c r="E400" s="12"/>
    </row>
    <row r="401" ht="15.75" customHeight="1">
      <c r="A401" s="13"/>
      <c r="B401" s="21" t="str">
        <f>IFERROR(VLOOKUP(A401,'PAÑOL TÉCNICO'!A401:B1000,2,0))</f>
        <v/>
      </c>
      <c r="C401" s="9">
        <f>SUMIF(DIARIOS!D:D,A401,DIARIOS!F:F)</f>
        <v>0</v>
      </c>
      <c r="D401" s="12"/>
      <c r="E401" s="12"/>
    </row>
    <row r="402" ht="15.75" customHeight="1">
      <c r="A402" s="13"/>
      <c r="B402" s="21" t="str">
        <f>IFERROR(VLOOKUP(A402,'PAÑOL TÉCNICO'!A402:B1000,2,0))</f>
        <v/>
      </c>
      <c r="C402" s="9">
        <f>SUMIF(DIARIOS!D:D,A402,DIARIOS!F:F)</f>
        <v>0</v>
      </c>
      <c r="D402" s="12"/>
      <c r="E402" s="12"/>
    </row>
    <row r="403" ht="15.75" customHeight="1">
      <c r="A403" s="13"/>
      <c r="B403" s="21" t="str">
        <f>IFERROR(VLOOKUP(A403,'PAÑOL TÉCNICO'!A403:B1000,2,0))</f>
        <v/>
      </c>
      <c r="C403" s="9">
        <f>SUMIF(DIARIOS!D:D,A403,DIARIOS!F:F)</f>
        <v>0</v>
      </c>
      <c r="D403" s="12"/>
      <c r="E403" s="12"/>
    </row>
    <row r="404" ht="15.75" customHeight="1">
      <c r="A404" s="13"/>
      <c r="B404" s="21" t="str">
        <f>IFERROR(VLOOKUP(A404,'PAÑOL TÉCNICO'!A404:B1000,2,0))</f>
        <v/>
      </c>
      <c r="C404" s="9">
        <f>SUMIF(DIARIOS!D:D,A404,DIARIOS!F:F)</f>
        <v>0</v>
      </c>
      <c r="D404" s="12"/>
      <c r="E404" s="12"/>
    </row>
    <row r="405" ht="15.75" customHeight="1">
      <c r="A405" s="13"/>
      <c r="B405" s="21" t="str">
        <f>IFERROR(VLOOKUP(A405,'PAÑOL TÉCNICO'!A405:B1000,2,0))</f>
        <v/>
      </c>
      <c r="C405" s="9">
        <f>SUMIF(DIARIOS!D:D,A405,DIARIOS!F:F)</f>
        <v>0</v>
      </c>
      <c r="D405" s="12"/>
      <c r="E405" s="12"/>
    </row>
    <row r="406" ht="15.75" customHeight="1">
      <c r="A406" s="13"/>
      <c r="B406" s="21" t="str">
        <f>IFERROR(VLOOKUP(A406,'PAÑOL TÉCNICO'!A406:B1000,2,0))</f>
        <v/>
      </c>
      <c r="C406" s="9">
        <f>SUMIF(DIARIOS!D:D,A406,DIARIOS!F:F)</f>
        <v>0</v>
      </c>
      <c r="D406" s="12"/>
      <c r="E406" s="12"/>
    </row>
    <row r="407" ht="15.75" customHeight="1">
      <c r="A407" s="13"/>
      <c r="B407" s="21" t="str">
        <f>IFERROR(VLOOKUP(A407,'PAÑOL TÉCNICO'!A407:B1000,2,0))</f>
        <v/>
      </c>
      <c r="C407" s="9">
        <f>SUMIF(DIARIOS!D:D,A407,DIARIOS!F:F)</f>
        <v>0</v>
      </c>
      <c r="D407" s="12"/>
      <c r="E407" s="12"/>
    </row>
    <row r="408" ht="15.75" customHeight="1">
      <c r="A408" s="13"/>
      <c r="B408" s="21" t="str">
        <f>IFERROR(VLOOKUP(A408,'PAÑOL TÉCNICO'!A408:B1000,2,0))</f>
        <v/>
      </c>
      <c r="C408" s="9">
        <f>SUMIF(DIARIOS!D:D,A408,DIARIOS!F:F)</f>
        <v>0</v>
      </c>
      <c r="D408" s="12"/>
      <c r="E408" s="12"/>
    </row>
    <row r="409" ht="15.75" customHeight="1">
      <c r="A409" s="13"/>
      <c r="B409" s="21" t="str">
        <f>IFERROR(VLOOKUP(A409,'PAÑOL TÉCNICO'!A409:B1000,2,0))</f>
        <v/>
      </c>
      <c r="C409" s="9">
        <f>SUMIF(DIARIOS!D:D,A409,DIARIOS!F:F)</f>
        <v>0</v>
      </c>
      <c r="D409" s="12"/>
      <c r="E409" s="12"/>
    </row>
    <row r="410" ht="15.75" customHeight="1">
      <c r="A410" s="13"/>
      <c r="B410" s="21" t="str">
        <f>IFERROR(VLOOKUP(A410,'PAÑOL TÉCNICO'!A410:B1000,2,0))</f>
        <v/>
      </c>
      <c r="C410" s="9">
        <f>SUMIF(DIARIOS!D:D,A410,DIARIOS!F:F)</f>
        <v>0</v>
      </c>
      <c r="D410" s="12"/>
      <c r="E410" s="12"/>
    </row>
    <row r="411" ht="15.75" customHeight="1">
      <c r="A411" s="13"/>
      <c r="B411" s="21" t="str">
        <f>IFERROR(VLOOKUP(A411,'PAÑOL TÉCNICO'!A411:B1000,2,0))</f>
        <v/>
      </c>
      <c r="C411" s="9">
        <f>SUMIF(DIARIOS!D:D,A411,DIARIOS!F:F)</f>
        <v>0</v>
      </c>
      <c r="D411" s="12"/>
      <c r="E411" s="12"/>
    </row>
    <row r="412" ht="15.75" customHeight="1">
      <c r="A412" s="13"/>
      <c r="B412" s="21" t="str">
        <f>IFERROR(VLOOKUP(A412,'PAÑOL TÉCNICO'!A412:B1000,2,0))</f>
        <v/>
      </c>
      <c r="C412" s="9">
        <f>SUMIF(DIARIOS!D:D,A412,DIARIOS!F:F)</f>
        <v>0</v>
      </c>
      <c r="D412" s="12"/>
      <c r="E412" s="12"/>
    </row>
    <row r="413" ht="15.75" customHeight="1">
      <c r="A413" s="13"/>
      <c r="B413" s="21" t="str">
        <f>IFERROR(VLOOKUP(A413,'PAÑOL TÉCNICO'!A413:B1000,2,0))</f>
        <v/>
      </c>
      <c r="C413" s="9">
        <f>SUMIF(DIARIOS!D:D,A413,DIARIOS!F:F)</f>
        <v>0</v>
      </c>
      <c r="D413" s="12"/>
      <c r="E413" s="12"/>
    </row>
    <row r="414" ht="15.75" customHeight="1">
      <c r="A414" s="13"/>
      <c r="B414" s="21" t="str">
        <f>IFERROR(VLOOKUP(A414,'PAÑOL TÉCNICO'!A414:B1000,2,0))</f>
        <v/>
      </c>
      <c r="C414" s="9">
        <f>SUMIF(DIARIOS!D:D,A414,DIARIOS!F:F)</f>
        <v>0</v>
      </c>
      <c r="D414" s="12"/>
      <c r="E414" s="12"/>
    </row>
    <row r="415" ht="15.75" customHeight="1">
      <c r="A415" s="13"/>
      <c r="B415" s="21" t="str">
        <f>IFERROR(VLOOKUP(A415,'PAÑOL TÉCNICO'!A415:B1000,2,0))</f>
        <v/>
      </c>
      <c r="C415" s="9">
        <f>SUMIF(DIARIOS!D:D,A415,DIARIOS!F:F)</f>
        <v>0</v>
      </c>
      <c r="D415" s="12"/>
      <c r="E415" s="12"/>
    </row>
    <row r="416" ht="15.75" customHeight="1">
      <c r="A416" s="13"/>
      <c r="B416" s="21" t="str">
        <f>IFERROR(VLOOKUP(A416,'PAÑOL TÉCNICO'!A416:B1000,2,0))</f>
        <v/>
      </c>
      <c r="C416" s="9">
        <f>SUMIF(DIARIOS!D:D,A416,DIARIOS!F:F)</f>
        <v>0</v>
      </c>
      <c r="D416" s="12"/>
      <c r="E416" s="12"/>
    </row>
    <row r="417" ht="15.75" customHeight="1">
      <c r="A417" s="13"/>
      <c r="B417" s="21" t="str">
        <f>IFERROR(VLOOKUP(A417,'PAÑOL TÉCNICO'!A417:B1000,2,0))</f>
        <v/>
      </c>
      <c r="C417" s="9">
        <f>SUMIF(DIARIOS!D:D,A417,DIARIOS!F:F)</f>
        <v>0</v>
      </c>
      <c r="D417" s="12"/>
      <c r="E417" s="12"/>
    </row>
    <row r="418" ht="15.75" customHeight="1">
      <c r="A418" s="13"/>
      <c r="B418" s="21" t="str">
        <f>IFERROR(VLOOKUP(A418,'PAÑOL TÉCNICO'!A418:B1000,2,0))</f>
        <v/>
      </c>
      <c r="C418" s="9">
        <f>SUMIF(DIARIOS!D:D,A418,DIARIOS!F:F)</f>
        <v>0</v>
      </c>
      <c r="D418" s="12"/>
      <c r="E418" s="12"/>
    </row>
    <row r="419" ht="15.75" customHeight="1">
      <c r="A419" s="13"/>
      <c r="B419" s="21" t="str">
        <f>IFERROR(VLOOKUP(A419,'PAÑOL TÉCNICO'!A419:B1000,2,0))</f>
        <v/>
      </c>
      <c r="C419" s="9">
        <f>SUMIF(DIARIOS!D:D,A419,DIARIOS!F:F)</f>
        <v>0</v>
      </c>
      <c r="D419" s="12"/>
      <c r="E419" s="12"/>
    </row>
    <row r="420" ht="15.75" customHeight="1">
      <c r="A420" s="13"/>
      <c r="B420" s="21" t="str">
        <f>IFERROR(VLOOKUP(A420,'PAÑOL TÉCNICO'!A420:B1000,2,0))</f>
        <v/>
      </c>
      <c r="C420" s="9">
        <f>SUMIF(DIARIOS!D:D,A420,DIARIOS!F:F)</f>
        <v>0</v>
      </c>
      <c r="D420" s="12"/>
      <c r="E420" s="12"/>
    </row>
    <row r="421" ht="15.75" customHeight="1">
      <c r="A421" s="13"/>
      <c r="B421" s="21" t="str">
        <f>IFERROR(VLOOKUP(A421,'PAÑOL TÉCNICO'!A421:B1000,2,0))</f>
        <v/>
      </c>
      <c r="C421" s="9">
        <f>SUMIF(DIARIOS!D:D,A421,DIARIOS!F:F)</f>
        <v>0</v>
      </c>
      <c r="D421" s="12"/>
      <c r="E421" s="12"/>
    </row>
    <row r="422" ht="15.75" customHeight="1">
      <c r="A422" s="13"/>
      <c r="B422" s="21" t="str">
        <f>IFERROR(VLOOKUP(A422,'PAÑOL TÉCNICO'!A422:B1000,2,0))</f>
        <v/>
      </c>
      <c r="C422" s="9">
        <f>SUMIF(DIARIOS!D:D,A422,DIARIOS!F:F)</f>
        <v>0</v>
      </c>
      <c r="D422" s="12"/>
      <c r="E422" s="12"/>
    </row>
    <row r="423" ht="15.75" customHeight="1">
      <c r="A423" s="13"/>
      <c r="B423" s="21" t="str">
        <f>IFERROR(VLOOKUP(A423,'PAÑOL TÉCNICO'!A423:B1000,2,0))</f>
        <v/>
      </c>
      <c r="C423" s="9">
        <f>SUMIF(DIARIOS!D:D,A423,DIARIOS!F:F)</f>
        <v>0</v>
      </c>
      <c r="D423" s="12"/>
      <c r="E423" s="12"/>
    </row>
    <row r="424" ht="15.75" customHeight="1">
      <c r="A424" s="13"/>
      <c r="B424" s="21" t="str">
        <f>IFERROR(VLOOKUP(A424,'PAÑOL TÉCNICO'!A424:B1000,2,0))</f>
        <v/>
      </c>
      <c r="C424" s="9">
        <f>SUMIF(DIARIOS!D:D,A424,DIARIOS!F:F)</f>
        <v>0</v>
      </c>
      <c r="D424" s="12"/>
      <c r="E424" s="12"/>
    </row>
    <row r="425" ht="15.75" customHeight="1">
      <c r="A425" s="13"/>
      <c r="B425" s="21" t="str">
        <f>IFERROR(VLOOKUP(A425,'PAÑOL TÉCNICO'!A425:B1000,2,0))</f>
        <v/>
      </c>
      <c r="C425" s="9">
        <f>SUMIF(DIARIOS!D:D,A425,DIARIOS!F:F)</f>
        <v>0</v>
      </c>
      <c r="D425" s="12"/>
      <c r="E425" s="12"/>
    </row>
    <row r="426" ht="15.75" customHeight="1">
      <c r="A426" s="13"/>
      <c r="B426" s="21" t="str">
        <f>IFERROR(VLOOKUP(A426,'PAÑOL TÉCNICO'!A426:B1000,2,0))</f>
        <v/>
      </c>
      <c r="C426" s="9">
        <f>SUMIF(DIARIOS!D:D,A426,DIARIOS!F:F)</f>
        <v>0</v>
      </c>
      <c r="D426" s="12"/>
      <c r="E426" s="12"/>
    </row>
    <row r="427" ht="15.75" customHeight="1">
      <c r="A427" s="13"/>
      <c r="B427" s="21" t="str">
        <f>IFERROR(VLOOKUP(A427,'PAÑOL TÉCNICO'!A427:B1000,2,0))</f>
        <v/>
      </c>
      <c r="C427" s="9">
        <f>SUMIF(DIARIOS!D:D,A427,DIARIOS!F:F)</f>
        <v>0</v>
      </c>
      <c r="D427" s="12"/>
      <c r="E427" s="12"/>
    </row>
    <row r="428" ht="15.75" customHeight="1">
      <c r="A428" s="13"/>
      <c r="B428" s="21" t="str">
        <f>IFERROR(VLOOKUP(A428,'PAÑOL TÉCNICO'!A428:B1000,2,0))</f>
        <v/>
      </c>
      <c r="C428" s="9">
        <f>SUMIF(DIARIOS!D:D,A428,DIARIOS!F:F)</f>
        <v>0</v>
      </c>
      <c r="D428" s="12"/>
      <c r="E428" s="12"/>
    </row>
    <row r="429" ht="15.75" customHeight="1">
      <c r="A429" s="13"/>
      <c r="B429" s="21" t="str">
        <f>IFERROR(VLOOKUP(A429,'PAÑOL TÉCNICO'!A429:B1000,2,0))</f>
        <v/>
      </c>
      <c r="C429" s="9">
        <f>SUMIF(DIARIOS!D:D,A429,DIARIOS!F:F)</f>
        <v>0</v>
      </c>
      <c r="D429" s="12"/>
      <c r="E429" s="12"/>
    </row>
    <row r="430" ht="15.75" customHeight="1">
      <c r="A430" s="13"/>
      <c r="B430" s="21" t="str">
        <f>IFERROR(VLOOKUP(A430,'PAÑOL TÉCNICO'!A430:B1000,2,0))</f>
        <v/>
      </c>
      <c r="C430" s="9">
        <f>SUMIF(DIARIOS!D:D,A430,DIARIOS!F:F)</f>
        <v>0</v>
      </c>
      <c r="D430" s="12"/>
      <c r="E430" s="12"/>
    </row>
    <row r="431" ht="15.75" customHeight="1">
      <c r="A431" s="13"/>
      <c r="B431" s="21" t="str">
        <f>IFERROR(VLOOKUP(A431,'PAÑOL TÉCNICO'!A431:B1000,2,0))</f>
        <v/>
      </c>
      <c r="C431" s="9">
        <f>SUMIF(DIARIOS!D:D,A431,DIARIOS!F:F)</f>
        <v>0</v>
      </c>
      <c r="D431" s="12"/>
      <c r="E431" s="12"/>
    </row>
    <row r="432" ht="15.75" customHeight="1">
      <c r="A432" s="13"/>
      <c r="B432" s="21" t="str">
        <f>IFERROR(VLOOKUP(A432,'PAÑOL TÉCNICO'!A432:B1000,2,0))</f>
        <v/>
      </c>
      <c r="C432" s="9">
        <f>SUMIF(DIARIOS!D:D,A432,DIARIOS!F:F)</f>
        <v>0</v>
      </c>
      <c r="D432" s="12"/>
      <c r="E432" s="12"/>
    </row>
    <row r="433" ht="15.75" customHeight="1">
      <c r="A433" s="13"/>
      <c r="B433" s="21" t="str">
        <f>IFERROR(VLOOKUP(A433,'PAÑOL TÉCNICO'!A433:B1000,2,0))</f>
        <v/>
      </c>
      <c r="C433" s="9">
        <f>SUMIF(DIARIOS!D:D,A433,DIARIOS!F:F)</f>
        <v>0</v>
      </c>
      <c r="D433" s="12"/>
      <c r="E433" s="12"/>
    </row>
    <row r="434" ht="15.75" customHeight="1">
      <c r="A434" s="13"/>
      <c r="B434" s="21" t="str">
        <f>IFERROR(VLOOKUP(A434,'PAÑOL TÉCNICO'!A434:B1000,2,0))</f>
        <v/>
      </c>
      <c r="C434" s="9">
        <f>SUMIF(DIARIOS!D:D,A434,DIARIOS!F:F)</f>
        <v>0</v>
      </c>
      <c r="D434" s="12"/>
      <c r="E434" s="12"/>
    </row>
    <row r="435" ht="15.75" customHeight="1">
      <c r="A435" s="13"/>
      <c r="B435" s="21" t="str">
        <f>IFERROR(VLOOKUP(A435,'PAÑOL TÉCNICO'!A435:B1000,2,0))</f>
        <v/>
      </c>
      <c r="C435" s="9">
        <f>SUMIF(DIARIOS!D:D,A435,DIARIOS!F:F)</f>
        <v>0</v>
      </c>
      <c r="D435" s="12"/>
      <c r="E435" s="12"/>
    </row>
    <row r="436" ht="15.75" customHeight="1">
      <c r="A436" s="13"/>
      <c r="B436" s="21" t="str">
        <f>IFERROR(VLOOKUP(A436,'PAÑOL TÉCNICO'!A436:B1000,2,0))</f>
        <v/>
      </c>
      <c r="C436" s="9">
        <f>SUMIF(DIARIOS!D:D,A436,DIARIOS!F:F)</f>
        <v>0</v>
      </c>
      <c r="D436" s="12"/>
      <c r="E436" s="12"/>
    </row>
    <row r="437" ht="15.75" customHeight="1">
      <c r="A437" s="13"/>
      <c r="B437" s="21" t="str">
        <f>IFERROR(VLOOKUP(A437,'PAÑOL TÉCNICO'!A437:B1000,2,0))</f>
        <v/>
      </c>
      <c r="C437" s="9">
        <f>SUMIF(DIARIOS!D:D,A437,DIARIOS!F:F)</f>
        <v>0</v>
      </c>
      <c r="D437" s="12"/>
      <c r="E437" s="12"/>
    </row>
    <row r="438" ht="15.75" customHeight="1">
      <c r="A438" s="13"/>
      <c r="B438" s="21" t="str">
        <f>IFERROR(VLOOKUP(A438,'PAÑOL TÉCNICO'!A438:B1000,2,0))</f>
        <v/>
      </c>
      <c r="C438" s="9">
        <f>SUMIF(DIARIOS!D:D,A438,DIARIOS!F:F)</f>
        <v>0</v>
      </c>
      <c r="D438" s="12"/>
      <c r="E438" s="12"/>
    </row>
    <row r="439" ht="15.75" customHeight="1">
      <c r="A439" s="13"/>
      <c r="B439" s="21" t="str">
        <f>IFERROR(VLOOKUP(A439,'PAÑOL TÉCNICO'!A439:B1000,2,0))</f>
        <v/>
      </c>
      <c r="C439" s="9">
        <f>SUMIF(DIARIOS!D:D,A439,DIARIOS!F:F)</f>
        <v>0</v>
      </c>
      <c r="D439" s="12"/>
      <c r="E439" s="12"/>
    </row>
    <row r="440" ht="15.75" customHeight="1">
      <c r="A440" s="13"/>
      <c r="B440" s="21" t="str">
        <f>IFERROR(VLOOKUP(A440,'PAÑOL TÉCNICO'!A440:B1000,2,0))</f>
        <v/>
      </c>
      <c r="C440" s="9">
        <f>SUMIF(DIARIOS!D:D,A440,DIARIOS!F:F)</f>
        <v>0</v>
      </c>
      <c r="D440" s="12"/>
      <c r="E440" s="12"/>
    </row>
    <row r="441" ht="15.75" customHeight="1">
      <c r="A441" s="13"/>
      <c r="B441" s="21" t="str">
        <f>IFERROR(VLOOKUP(A441,'PAÑOL TÉCNICO'!A441:B1000,2,0))</f>
        <v/>
      </c>
      <c r="C441" s="9">
        <f>SUMIF(DIARIOS!D:D,A441,DIARIOS!F:F)</f>
        <v>0</v>
      </c>
      <c r="D441" s="12"/>
      <c r="E441" s="12"/>
    </row>
    <row r="442" ht="15.75" customHeight="1">
      <c r="A442" s="13"/>
      <c r="B442" s="21" t="str">
        <f>IFERROR(VLOOKUP(A442,'PAÑOL TÉCNICO'!A442:B1000,2,0))</f>
        <v/>
      </c>
      <c r="C442" s="9">
        <f>SUMIF(DIARIOS!D:D,A442,DIARIOS!F:F)</f>
        <v>0</v>
      </c>
      <c r="D442" s="12"/>
      <c r="E442" s="12"/>
    </row>
    <row r="443" ht="15.75" customHeight="1">
      <c r="A443" s="13"/>
      <c r="B443" s="21" t="str">
        <f>IFERROR(VLOOKUP(A443,'PAÑOL TÉCNICO'!A443:B1000,2,0))</f>
        <v/>
      </c>
      <c r="C443" s="9">
        <f>SUMIF(DIARIOS!D:D,A443,DIARIOS!F:F)</f>
        <v>0</v>
      </c>
      <c r="D443" s="12"/>
      <c r="E443" s="12"/>
    </row>
    <row r="444" ht="15.75" customHeight="1">
      <c r="A444" s="13"/>
      <c r="B444" s="21" t="str">
        <f>IFERROR(VLOOKUP(A444,'PAÑOL TÉCNICO'!A444:B1000,2,0))</f>
        <v/>
      </c>
      <c r="C444" s="9">
        <f>SUMIF(DIARIOS!D:D,A444,DIARIOS!F:F)</f>
        <v>0</v>
      </c>
      <c r="D444" s="12"/>
      <c r="E444" s="12"/>
    </row>
    <row r="445" ht="15.75" customHeight="1">
      <c r="A445" s="13"/>
      <c r="B445" s="21" t="str">
        <f>IFERROR(VLOOKUP(A445,'PAÑOL TÉCNICO'!A445:B1000,2,0))</f>
        <v/>
      </c>
      <c r="C445" s="9">
        <f>SUMIF(DIARIOS!D:D,A445,DIARIOS!F:F)</f>
        <v>0</v>
      </c>
      <c r="D445" s="12"/>
      <c r="E445" s="12"/>
    </row>
    <row r="446" ht="15.75" customHeight="1">
      <c r="A446" s="13"/>
      <c r="B446" s="21" t="str">
        <f>IFERROR(VLOOKUP(A446,'PAÑOL TÉCNICO'!A446:B1000,2,0))</f>
        <v/>
      </c>
      <c r="C446" s="9">
        <f>SUMIF(DIARIOS!D:D,A446,DIARIOS!F:F)</f>
        <v>0</v>
      </c>
      <c r="D446" s="12"/>
      <c r="E446" s="12"/>
    </row>
    <row r="447" ht="15.75" customHeight="1">
      <c r="A447" s="13"/>
      <c r="B447" s="21" t="str">
        <f>IFERROR(VLOOKUP(A447,'PAÑOL TÉCNICO'!A447:B1000,2,0))</f>
        <v/>
      </c>
      <c r="C447" s="9">
        <f>SUMIF(DIARIOS!D:D,A447,DIARIOS!F:F)</f>
        <v>0</v>
      </c>
      <c r="D447" s="12"/>
      <c r="E447" s="12"/>
    </row>
    <row r="448" ht="15.75" customHeight="1">
      <c r="A448" s="13"/>
      <c r="B448" s="21" t="str">
        <f>IFERROR(VLOOKUP(A448,'PAÑOL TÉCNICO'!A448:B1000,2,0))</f>
        <v/>
      </c>
      <c r="C448" s="9">
        <f>SUMIF(DIARIOS!D:D,A448,DIARIOS!F:F)</f>
        <v>0</v>
      </c>
      <c r="D448" s="12"/>
      <c r="E448" s="12"/>
    </row>
    <row r="449" ht="15.75" customHeight="1">
      <c r="A449" s="13"/>
      <c r="B449" s="21" t="str">
        <f>IFERROR(VLOOKUP(A449,'PAÑOL TÉCNICO'!A449:B1000,2,0))</f>
        <v/>
      </c>
      <c r="C449" s="9">
        <f>SUMIF(DIARIOS!D:D,A449,DIARIOS!F:F)</f>
        <v>0</v>
      </c>
      <c r="D449" s="12"/>
      <c r="E449" s="12"/>
    </row>
    <row r="450" ht="15.75" customHeight="1">
      <c r="A450" s="13"/>
      <c r="B450" s="21" t="str">
        <f>IFERROR(VLOOKUP(A450,'PAÑOL TÉCNICO'!A450:B1000,2,0))</f>
        <v/>
      </c>
      <c r="C450" s="9">
        <f>SUMIF(DIARIOS!D:D,A450,DIARIOS!F:F)</f>
        <v>0</v>
      </c>
      <c r="D450" s="12"/>
      <c r="E450" s="12"/>
    </row>
    <row r="451" ht="15.75" customHeight="1">
      <c r="A451" s="13"/>
      <c r="B451" s="21" t="str">
        <f>IFERROR(VLOOKUP(A451,'PAÑOL TÉCNICO'!A451:B1000,2,0))</f>
        <v/>
      </c>
      <c r="C451" s="9">
        <f>SUMIF(DIARIOS!D:D,A451,DIARIOS!F:F)</f>
        <v>0</v>
      </c>
      <c r="D451" s="12"/>
      <c r="E451" s="12"/>
    </row>
    <row r="452" ht="15.75" customHeight="1">
      <c r="A452" s="13"/>
      <c r="B452" s="21" t="str">
        <f>IFERROR(VLOOKUP(A452,'PAÑOL TÉCNICO'!A452:B1000,2,0))</f>
        <v/>
      </c>
      <c r="C452" s="9">
        <f>SUMIF(DIARIOS!D:D,A452,DIARIOS!F:F)</f>
        <v>0</v>
      </c>
      <c r="D452" s="12"/>
      <c r="E452" s="12"/>
    </row>
    <row r="453" ht="15.75" customHeight="1">
      <c r="A453" s="13"/>
      <c r="B453" s="21" t="str">
        <f>IFERROR(VLOOKUP(A453,'PAÑOL TÉCNICO'!A453:B1000,2,0))</f>
        <v/>
      </c>
      <c r="C453" s="9">
        <f>SUMIF(DIARIOS!D:D,A453,DIARIOS!F:F)</f>
        <v>0</v>
      </c>
      <c r="D453" s="12"/>
      <c r="E453" s="12"/>
    </row>
    <row r="454" ht="15.75" customHeight="1">
      <c r="A454" s="13"/>
      <c r="B454" s="21" t="str">
        <f>IFERROR(VLOOKUP(A454,'PAÑOL TÉCNICO'!A454:B1000,2,0))</f>
        <v/>
      </c>
      <c r="C454" s="9">
        <f>SUMIF(DIARIOS!D:D,A454,DIARIOS!F:F)</f>
        <v>0</v>
      </c>
      <c r="D454" s="12"/>
      <c r="E454" s="12"/>
    </row>
    <row r="455" ht="15.75" customHeight="1">
      <c r="A455" s="13"/>
      <c r="B455" s="21" t="str">
        <f>IFERROR(VLOOKUP(A455,'PAÑOL TÉCNICO'!A455:B1000,2,0))</f>
        <v/>
      </c>
      <c r="C455" s="9">
        <f>SUMIF(DIARIOS!D:D,A455,DIARIOS!F:F)</f>
        <v>0</v>
      </c>
      <c r="D455" s="12"/>
      <c r="E455" s="12"/>
    </row>
    <row r="456" ht="15.75" customHeight="1">
      <c r="A456" s="13"/>
      <c r="B456" s="21" t="str">
        <f>IFERROR(VLOOKUP(A456,'PAÑOL TÉCNICO'!A456:B1000,2,0))</f>
        <v/>
      </c>
      <c r="C456" s="9">
        <f>SUMIF(DIARIOS!D:D,A456,DIARIOS!F:F)</f>
        <v>0</v>
      </c>
      <c r="D456" s="12"/>
      <c r="E456" s="12"/>
    </row>
    <row r="457" ht="15.75" customHeight="1">
      <c r="A457" s="13"/>
      <c r="B457" s="21" t="str">
        <f>IFERROR(VLOOKUP(A457,'PAÑOL TÉCNICO'!A457:B1000,2,0))</f>
        <v/>
      </c>
      <c r="C457" s="9">
        <f>SUMIF(DIARIOS!D:D,A457,DIARIOS!F:F)</f>
        <v>0</v>
      </c>
      <c r="D457" s="12"/>
      <c r="E457" s="12"/>
    </row>
    <row r="458" ht="15.75" customHeight="1">
      <c r="A458" s="13"/>
      <c r="B458" s="21" t="str">
        <f>IFERROR(VLOOKUP(A458,'PAÑOL TÉCNICO'!A458:B1000,2,0))</f>
        <v/>
      </c>
      <c r="C458" s="9">
        <f>SUMIF(DIARIOS!D:D,A458,DIARIOS!F:F)</f>
        <v>0</v>
      </c>
      <c r="D458" s="12"/>
      <c r="E458" s="12"/>
    </row>
    <row r="459" ht="15.75" customHeight="1">
      <c r="A459" s="13"/>
      <c r="B459" s="21" t="str">
        <f>IFERROR(VLOOKUP(A459,'PAÑOL TÉCNICO'!A459:B1000,2,0))</f>
        <v/>
      </c>
      <c r="C459" s="9">
        <f>SUMIF(DIARIOS!D:D,A459,DIARIOS!F:F)</f>
        <v>0</v>
      </c>
      <c r="D459" s="12"/>
      <c r="E459" s="12"/>
    </row>
    <row r="460" ht="15.75" customHeight="1">
      <c r="A460" s="13"/>
      <c r="B460" s="21" t="str">
        <f>IFERROR(VLOOKUP(A460,'PAÑOL TÉCNICO'!A460:B1000,2,0))</f>
        <v/>
      </c>
      <c r="C460" s="9">
        <f>SUMIF(DIARIOS!D:D,A460,DIARIOS!F:F)</f>
        <v>0</v>
      </c>
      <c r="D460" s="12"/>
      <c r="E460" s="12"/>
    </row>
    <row r="461" ht="15.75" customHeight="1">
      <c r="A461" s="13"/>
      <c r="B461" s="21" t="str">
        <f>IFERROR(VLOOKUP(A461,'PAÑOL TÉCNICO'!A461:B1000,2,0))</f>
        <v/>
      </c>
      <c r="C461" s="9">
        <f>SUMIF(DIARIOS!D:D,A461,DIARIOS!F:F)</f>
        <v>0</v>
      </c>
      <c r="D461" s="12"/>
      <c r="E461" s="12"/>
    </row>
    <row r="462" ht="15.75" customHeight="1">
      <c r="A462" s="13"/>
      <c r="B462" s="21" t="str">
        <f>IFERROR(VLOOKUP(A462,'PAÑOL TÉCNICO'!A462:B1000,2,0))</f>
        <v/>
      </c>
      <c r="C462" s="9">
        <f>SUMIF(DIARIOS!D:D,A462,DIARIOS!F:F)</f>
        <v>0</v>
      </c>
      <c r="D462" s="12"/>
      <c r="E462" s="12"/>
    </row>
    <row r="463" ht="15.75" customHeight="1">
      <c r="A463" s="13"/>
      <c r="B463" s="21" t="str">
        <f>IFERROR(VLOOKUP(A463,'PAÑOL TÉCNICO'!A463:B1000,2,0))</f>
        <v/>
      </c>
      <c r="C463" s="9">
        <f>SUMIF(DIARIOS!D:D,A463,DIARIOS!F:F)</f>
        <v>0</v>
      </c>
      <c r="D463" s="12"/>
      <c r="E463" s="12"/>
    </row>
    <row r="464" ht="15.75" customHeight="1">
      <c r="A464" s="13"/>
      <c r="B464" s="21" t="str">
        <f>IFERROR(VLOOKUP(A464,'PAÑOL TÉCNICO'!A464:B1000,2,0))</f>
        <v/>
      </c>
      <c r="C464" s="9">
        <f>SUMIF(DIARIOS!D:D,A464,DIARIOS!F:F)</f>
        <v>0</v>
      </c>
      <c r="D464" s="12"/>
      <c r="E464" s="12"/>
    </row>
    <row r="465" ht="15.75" customHeight="1">
      <c r="A465" s="13"/>
      <c r="B465" s="21" t="str">
        <f>IFERROR(VLOOKUP(A465,'PAÑOL TÉCNICO'!A465:B1000,2,0))</f>
        <v/>
      </c>
      <c r="C465" s="9">
        <f>SUMIF(DIARIOS!D:D,A465,DIARIOS!F:F)</f>
        <v>0</v>
      </c>
      <c r="D465" s="12"/>
      <c r="E465" s="12"/>
    </row>
    <row r="466" ht="15.75" customHeight="1">
      <c r="A466" s="13"/>
      <c r="B466" s="21" t="str">
        <f>IFERROR(VLOOKUP(A466,'PAÑOL TÉCNICO'!A466:B1000,2,0))</f>
        <v/>
      </c>
      <c r="C466" s="9">
        <f>SUMIF(DIARIOS!D:D,A466,DIARIOS!F:F)</f>
        <v>0</v>
      </c>
      <c r="D466" s="12"/>
      <c r="E466" s="12"/>
    </row>
    <row r="467" ht="15.75" customHeight="1">
      <c r="A467" s="13"/>
      <c r="B467" s="21" t="str">
        <f>IFERROR(VLOOKUP(A467,'PAÑOL TÉCNICO'!A467:B1000,2,0))</f>
        <v/>
      </c>
      <c r="C467" s="9">
        <f>SUMIF(DIARIOS!D:D,A467,DIARIOS!F:F)</f>
        <v>0</v>
      </c>
      <c r="D467" s="12"/>
      <c r="E467" s="12"/>
    </row>
    <row r="468" ht="15.75" customHeight="1">
      <c r="A468" s="13"/>
      <c r="B468" s="21" t="str">
        <f>IFERROR(VLOOKUP(A468,'PAÑOL TÉCNICO'!A468:B1000,2,0))</f>
        <v/>
      </c>
      <c r="C468" s="9">
        <f>SUMIF(DIARIOS!D:D,A468,DIARIOS!F:F)</f>
        <v>0</v>
      </c>
      <c r="D468" s="12"/>
      <c r="E468" s="12"/>
    </row>
    <row r="469" ht="15.75" customHeight="1">
      <c r="A469" s="13"/>
      <c r="B469" s="21" t="str">
        <f>IFERROR(VLOOKUP(A469,'PAÑOL TÉCNICO'!A469:B1000,2,0))</f>
        <v/>
      </c>
      <c r="C469" s="9">
        <f>SUMIF(DIARIOS!D:D,A469,DIARIOS!F:F)</f>
        <v>0</v>
      </c>
      <c r="D469" s="12"/>
      <c r="E469" s="12"/>
    </row>
    <row r="470" ht="15.75" customHeight="1">
      <c r="A470" s="13"/>
      <c r="B470" s="21" t="str">
        <f>IFERROR(VLOOKUP(A470,'PAÑOL TÉCNICO'!A470:B1000,2,0))</f>
        <v/>
      </c>
      <c r="C470" s="9">
        <f>SUMIF(DIARIOS!D:D,A470,DIARIOS!F:F)</f>
        <v>0</v>
      </c>
      <c r="D470" s="12"/>
      <c r="E470" s="12"/>
    </row>
    <row r="471" ht="15.75" customHeight="1">
      <c r="A471" s="13"/>
      <c r="B471" s="21" t="str">
        <f>IFERROR(VLOOKUP(A471,'PAÑOL TÉCNICO'!A471:B1000,2,0))</f>
        <v/>
      </c>
      <c r="C471" s="9">
        <f>SUMIF(DIARIOS!D:D,A471,DIARIOS!F:F)</f>
        <v>0</v>
      </c>
      <c r="D471" s="12"/>
      <c r="E471" s="12"/>
    </row>
    <row r="472" ht="15.75" customHeight="1">
      <c r="A472" s="13"/>
      <c r="B472" s="21" t="str">
        <f>IFERROR(VLOOKUP(A472,'PAÑOL TÉCNICO'!A472:B1000,2,0))</f>
        <v/>
      </c>
      <c r="C472" s="9">
        <f>SUMIF(DIARIOS!D:D,A472,DIARIOS!F:F)</f>
        <v>0</v>
      </c>
      <c r="D472" s="12"/>
      <c r="E472" s="12"/>
    </row>
    <row r="473" ht="15.75" customHeight="1">
      <c r="A473" s="13"/>
      <c r="B473" s="21" t="str">
        <f>IFERROR(VLOOKUP(A473,'PAÑOL TÉCNICO'!A473:B1000,2,0))</f>
        <v/>
      </c>
      <c r="C473" s="9">
        <f>SUMIF(DIARIOS!D:D,A473,DIARIOS!F:F)</f>
        <v>0</v>
      </c>
      <c r="D473" s="12"/>
      <c r="E473" s="12"/>
    </row>
    <row r="474" ht="15.75" customHeight="1">
      <c r="A474" s="13"/>
      <c r="B474" s="21" t="str">
        <f>IFERROR(VLOOKUP(A474,'PAÑOL TÉCNICO'!A474:B1000,2,0))</f>
        <v/>
      </c>
      <c r="C474" s="9">
        <f>SUMIF(DIARIOS!D:D,A474,DIARIOS!F:F)</f>
        <v>0</v>
      </c>
      <c r="D474" s="12"/>
      <c r="E474" s="12"/>
    </row>
    <row r="475" ht="15.75" customHeight="1">
      <c r="A475" s="13"/>
      <c r="B475" s="21" t="str">
        <f>IFERROR(VLOOKUP(A475,'PAÑOL TÉCNICO'!A475:B1000,2,0))</f>
        <v/>
      </c>
      <c r="C475" s="9">
        <f>SUMIF(DIARIOS!D:D,A475,DIARIOS!F:F)</f>
        <v>0</v>
      </c>
      <c r="D475" s="12"/>
      <c r="E475" s="12"/>
    </row>
    <row r="476" ht="15.75" customHeight="1">
      <c r="A476" s="13"/>
      <c r="B476" s="21" t="str">
        <f>IFERROR(VLOOKUP(A476,'PAÑOL TÉCNICO'!A476:B1000,2,0))</f>
        <v/>
      </c>
      <c r="C476" s="9">
        <f>SUMIF(DIARIOS!D:D,A476,DIARIOS!F:F)</f>
        <v>0</v>
      </c>
      <c r="D476" s="12"/>
      <c r="E476" s="12"/>
    </row>
    <row r="477" ht="15.75" customHeight="1">
      <c r="A477" s="13"/>
      <c r="B477" s="21" t="str">
        <f>IFERROR(VLOOKUP(A477,'PAÑOL TÉCNICO'!A477:B1000,2,0))</f>
        <v/>
      </c>
      <c r="C477" s="9">
        <f>SUMIF(DIARIOS!D:D,A477,DIARIOS!F:F)</f>
        <v>0</v>
      </c>
      <c r="D477" s="12"/>
      <c r="E477" s="12"/>
    </row>
    <row r="478" ht="15.75" customHeight="1">
      <c r="A478" s="13"/>
      <c r="B478" s="21" t="str">
        <f>IFERROR(VLOOKUP(A478,'PAÑOL TÉCNICO'!A478:B1000,2,0))</f>
        <v/>
      </c>
      <c r="C478" s="9">
        <f>SUMIF(DIARIOS!D:D,A478,DIARIOS!F:F)</f>
        <v>0</v>
      </c>
      <c r="D478" s="12"/>
      <c r="E478" s="12"/>
    </row>
    <row r="479" ht="15.75" customHeight="1">
      <c r="A479" s="13"/>
      <c r="B479" s="21" t="str">
        <f>IFERROR(VLOOKUP(A479,'PAÑOL TÉCNICO'!A479:B1000,2,0))</f>
        <v/>
      </c>
      <c r="C479" s="9">
        <f>SUMIF(DIARIOS!D:D,A479,DIARIOS!F:F)</f>
        <v>0</v>
      </c>
      <c r="D479" s="12"/>
      <c r="E479" s="12"/>
    </row>
    <row r="480" ht="15.75" customHeight="1">
      <c r="A480" s="13"/>
      <c r="B480" s="21" t="str">
        <f>IFERROR(VLOOKUP(A480,'PAÑOL TÉCNICO'!A480:B1000,2,0))</f>
        <v/>
      </c>
      <c r="C480" s="9">
        <f>SUMIF(DIARIOS!D:D,A480,DIARIOS!F:F)</f>
        <v>0</v>
      </c>
      <c r="D480" s="12"/>
      <c r="E480" s="12"/>
    </row>
    <row r="481" ht="15.75" customHeight="1">
      <c r="A481" s="13"/>
      <c r="B481" s="21" t="str">
        <f>IFERROR(VLOOKUP(A481,'PAÑOL TÉCNICO'!A481:B1000,2,0))</f>
        <v/>
      </c>
      <c r="C481" s="9">
        <f>SUMIF(DIARIOS!D:D,A481,DIARIOS!F:F)</f>
        <v>0</v>
      </c>
      <c r="D481" s="12"/>
      <c r="E481" s="12"/>
    </row>
    <row r="482" ht="15.75" customHeight="1">
      <c r="A482" s="13"/>
      <c r="B482" s="21" t="str">
        <f>IFERROR(VLOOKUP(A482,'PAÑOL TÉCNICO'!A482:B1000,2,0))</f>
        <v/>
      </c>
      <c r="C482" s="9">
        <f>SUMIF(DIARIOS!D:D,A482,DIARIOS!F:F)</f>
        <v>0</v>
      </c>
      <c r="D482" s="12"/>
      <c r="E482" s="12"/>
    </row>
    <row r="483" ht="15.75" customHeight="1">
      <c r="A483" s="13"/>
      <c r="B483" s="21" t="str">
        <f>IFERROR(VLOOKUP(A483,'PAÑOL TÉCNICO'!A483:B1000,2,0))</f>
        <v/>
      </c>
      <c r="C483" s="9">
        <f>SUMIF(DIARIOS!D:D,A483,DIARIOS!F:F)</f>
        <v>0</v>
      </c>
      <c r="D483" s="12"/>
      <c r="E483" s="12"/>
    </row>
    <row r="484" ht="15.75" customHeight="1">
      <c r="A484" s="13"/>
      <c r="B484" s="21" t="str">
        <f>IFERROR(VLOOKUP(A484,'PAÑOL TÉCNICO'!A484:B1000,2,0))</f>
        <v/>
      </c>
      <c r="C484" s="9">
        <f>SUMIF(DIARIOS!D:D,A484,DIARIOS!F:F)</f>
        <v>0</v>
      </c>
      <c r="D484" s="12"/>
      <c r="E484" s="12"/>
    </row>
    <row r="485" ht="15.75" customHeight="1">
      <c r="A485" s="13"/>
      <c r="B485" s="21" t="str">
        <f>IFERROR(VLOOKUP(A485,'PAÑOL TÉCNICO'!A485:B1000,2,0))</f>
        <v/>
      </c>
      <c r="C485" s="9">
        <f>SUMIF(DIARIOS!D:D,A485,DIARIOS!F:F)</f>
        <v>0</v>
      </c>
      <c r="D485" s="12"/>
      <c r="E485" s="12"/>
    </row>
    <row r="486" ht="15.75" customHeight="1">
      <c r="A486" s="13"/>
      <c r="B486" s="21" t="str">
        <f>IFERROR(VLOOKUP(A486,'PAÑOL TÉCNICO'!A486:B1000,2,0))</f>
        <v/>
      </c>
      <c r="C486" s="9">
        <f>SUMIF(DIARIOS!D:D,A486,DIARIOS!F:F)</f>
        <v>0</v>
      </c>
      <c r="D486" s="12"/>
      <c r="E486" s="12"/>
    </row>
    <row r="487" ht="15.75" customHeight="1">
      <c r="A487" s="13"/>
      <c r="B487" s="21" t="str">
        <f>IFERROR(VLOOKUP(A487,'PAÑOL TÉCNICO'!A487:B1000,2,0))</f>
        <v/>
      </c>
      <c r="C487" s="9">
        <f>SUMIF(DIARIOS!D:D,A487,DIARIOS!F:F)</f>
        <v>0</v>
      </c>
      <c r="D487" s="12"/>
      <c r="E487" s="12"/>
    </row>
    <row r="488" ht="15.75" customHeight="1">
      <c r="A488" s="13"/>
      <c r="B488" s="21" t="str">
        <f>IFERROR(VLOOKUP(A488,'PAÑOL TÉCNICO'!A488:B1000,2,0))</f>
        <v/>
      </c>
      <c r="C488" s="9">
        <f>SUMIF(DIARIOS!D:D,A488,DIARIOS!F:F)</f>
        <v>0</v>
      </c>
      <c r="D488" s="12"/>
      <c r="E488" s="12"/>
    </row>
    <row r="489" ht="15.75" customHeight="1">
      <c r="A489" s="13"/>
      <c r="B489" s="21" t="str">
        <f>IFERROR(VLOOKUP(A489,'PAÑOL TÉCNICO'!A489:B1000,2,0))</f>
        <v/>
      </c>
      <c r="C489" s="9">
        <f>SUMIF(DIARIOS!D:D,A489,DIARIOS!F:F)</f>
        <v>0</v>
      </c>
      <c r="D489" s="12"/>
      <c r="E489" s="12"/>
    </row>
    <row r="490" ht="15.75" customHeight="1">
      <c r="A490" s="13"/>
      <c r="B490" s="21" t="str">
        <f>IFERROR(VLOOKUP(A490,'PAÑOL TÉCNICO'!A490:B1000,2,0))</f>
        <v/>
      </c>
      <c r="C490" s="9">
        <f>SUMIF(DIARIOS!D:D,A490,DIARIOS!F:F)</f>
        <v>0</v>
      </c>
      <c r="D490" s="12"/>
      <c r="E490" s="12"/>
    </row>
    <row r="491" ht="15.75" customHeight="1">
      <c r="A491" s="13"/>
      <c r="B491" s="21" t="str">
        <f>IFERROR(VLOOKUP(A491,'PAÑOL TÉCNICO'!A491:B1000,2,0))</f>
        <v/>
      </c>
      <c r="C491" s="9">
        <f>SUMIF(DIARIOS!D:D,A491,DIARIOS!F:F)</f>
        <v>0</v>
      </c>
      <c r="D491" s="12"/>
      <c r="E491" s="12"/>
    </row>
    <row r="492" ht="15.75" customHeight="1">
      <c r="A492" s="13"/>
      <c r="B492" s="21" t="str">
        <f>IFERROR(VLOOKUP(A492,'PAÑOL TÉCNICO'!A492:B1000,2,0))</f>
        <v/>
      </c>
      <c r="C492" s="9">
        <f>SUMIF(DIARIOS!D:D,A492,DIARIOS!F:F)</f>
        <v>0</v>
      </c>
      <c r="D492" s="12"/>
      <c r="E492" s="12"/>
    </row>
    <row r="493" ht="15.75" customHeight="1">
      <c r="A493" s="13"/>
      <c r="B493" s="21" t="str">
        <f>IFERROR(VLOOKUP(A493,'PAÑOL TÉCNICO'!A493:B1000,2,0))</f>
        <v/>
      </c>
      <c r="C493" s="9">
        <f>SUMIF(DIARIOS!D:D,A493,DIARIOS!F:F)</f>
        <v>0</v>
      </c>
      <c r="D493" s="12"/>
      <c r="E493" s="12"/>
    </row>
    <row r="494" ht="15.75" customHeight="1">
      <c r="A494" s="13"/>
      <c r="B494" s="21" t="str">
        <f>IFERROR(VLOOKUP(A494,'PAÑOL TÉCNICO'!A494:B1000,2,0))</f>
        <v/>
      </c>
      <c r="C494" s="9">
        <f>SUMIF(DIARIOS!D:D,A494,DIARIOS!F:F)</f>
        <v>0</v>
      </c>
      <c r="D494" s="12"/>
      <c r="E494" s="12"/>
    </row>
    <row r="495" ht="15.75" customHeight="1">
      <c r="A495" s="13"/>
      <c r="B495" s="21" t="str">
        <f>IFERROR(VLOOKUP(A495,'PAÑOL TÉCNICO'!A495:B1000,2,0))</f>
        <v/>
      </c>
      <c r="C495" s="9">
        <f>SUMIF(DIARIOS!D:D,A495,DIARIOS!F:F)</f>
        <v>0</v>
      </c>
      <c r="D495" s="12"/>
      <c r="E495" s="12"/>
    </row>
    <row r="496" ht="15.75" customHeight="1">
      <c r="A496" s="13"/>
      <c r="B496" s="21" t="str">
        <f>IFERROR(VLOOKUP(A496,'PAÑOL TÉCNICO'!A496:B1000,2,0))</f>
        <v/>
      </c>
      <c r="C496" s="9">
        <f>SUMIF(DIARIOS!D:D,A496,DIARIOS!F:F)</f>
        <v>0</v>
      </c>
      <c r="D496" s="12"/>
      <c r="E496" s="12"/>
    </row>
    <row r="497" ht="15.75" customHeight="1">
      <c r="A497" s="13"/>
      <c r="B497" s="21" t="str">
        <f>IFERROR(VLOOKUP(A497,'PAÑOL TÉCNICO'!A497:B1000,2,0))</f>
        <v/>
      </c>
      <c r="C497" s="9">
        <f>SUMIF(DIARIOS!D:D,A497,DIARIOS!F:F)</f>
        <v>0</v>
      </c>
      <c r="D497" s="12"/>
      <c r="E497" s="12"/>
    </row>
    <row r="498" ht="15.75" customHeight="1">
      <c r="A498" s="13"/>
      <c r="B498" s="21" t="str">
        <f>IFERROR(VLOOKUP(A498,'PAÑOL TÉCNICO'!A498:B1000,2,0))</f>
        <v/>
      </c>
      <c r="C498" s="9">
        <f>SUMIF(DIARIOS!D:D,A498,DIARIOS!F:F)</f>
        <v>0</v>
      </c>
      <c r="D498" s="12"/>
      <c r="E498" s="12"/>
    </row>
    <row r="499" ht="15.75" customHeight="1">
      <c r="A499" s="13"/>
      <c r="B499" s="21" t="str">
        <f>IFERROR(VLOOKUP(A499,'PAÑOL TÉCNICO'!A499:B1000,2,0))</f>
        <v/>
      </c>
      <c r="C499" s="9">
        <f>SUMIF(DIARIOS!D:D,A499,DIARIOS!F:F)</f>
        <v>0</v>
      </c>
      <c r="D499" s="12"/>
      <c r="E499" s="12"/>
    </row>
    <row r="500" ht="15.75" customHeight="1">
      <c r="A500" s="13"/>
      <c r="B500" s="21" t="str">
        <f>IFERROR(VLOOKUP(A500,'PAÑOL TÉCNICO'!A500:B1000,2,0))</f>
        <v/>
      </c>
      <c r="C500" s="9">
        <f>SUMIF(DIARIOS!D:D,A500,DIARIOS!F:F)</f>
        <v>0</v>
      </c>
      <c r="D500" s="12"/>
      <c r="E500" s="12"/>
    </row>
    <row r="501" ht="15.75" customHeight="1">
      <c r="A501" s="13"/>
      <c r="B501" s="21" t="str">
        <f>IFERROR(VLOOKUP(A501,'PAÑOL TÉCNICO'!A501:B1000,2,0))</f>
        <v/>
      </c>
      <c r="C501" s="9">
        <f>SUMIF(DIARIOS!D:D,A501,DIARIOS!F:F)</f>
        <v>0</v>
      </c>
      <c r="D501" s="12"/>
      <c r="E501" s="12"/>
    </row>
    <row r="502" ht="15.75" customHeight="1">
      <c r="A502" s="13"/>
      <c r="B502" s="21" t="str">
        <f>IFERROR(VLOOKUP(A502,'PAÑOL TÉCNICO'!A502:B1000,2,0))</f>
        <v/>
      </c>
      <c r="C502" s="9">
        <f>SUMIF(DIARIOS!D:D,A502,DIARIOS!F:F)</f>
        <v>0</v>
      </c>
      <c r="D502" s="12"/>
      <c r="E502" s="12"/>
    </row>
    <row r="503" ht="15.75" customHeight="1">
      <c r="A503" s="13"/>
      <c r="B503" s="21" t="str">
        <f>IFERROR(VLOOKUP(A503,'PAÑOL TÉCNICO'!A503:B1000,2,0))</f>
        <v/>
      </c>
      <c r="C503" s="9">
        <f>SUMIF(DIARIOS!D:D,A503,DIARIOS!F:F)</f>
        <v>0</v>
      </c>
      <c r="D503" s="12"/>
      <c r="E503" s="12"/>
    </row>
    <row r="504" ht="15.75" customHeight="1">
      <c r="A504" s="13"/>
      <c r="B504" s="21" t="str">
        <f>IFERROR(VLOOKUP(A504,'PAÑOL TÉCNICO'!A504:B1000,2,0))</f>
        <v/>
      </c>
      <c r="C504" s="9">
        <f>SUMIF(DIARIOS!D:D,A504,DIARIOS!F:F)</f>
        <v>0</v>
      </c>
      <c r="D504" s="12"/>
      <c r="E504" s="12"/>
    </row>
    <row r="505" ht="15.75" customHeight="1">
      <c r="A505" s="13"/>
      <c r="B505" s="21" t="str">
        <f>IFERROR(VLOOKUP(A505,'PAÑOL TÉCNICO'!A505:B1000,2,0))</f>
        <v/>
      </c>
      <c r="C505" s="9">
        <f>SUMIF(DIARIOS!D:D,A505,DIARIOS!F:F)</f>
        <v>0</v>
      </c>
      <c r="D505" s="12"/>
      <c r="E505" s="12"/>
    </row>
    <row r="506" ht="15.75" customHeight="1">
      <c r="A506" s="13"/>
      <c r="B506" s="21" t="str">
        <f>IFERROR(VLOOKUP(A506,'PAÑOL TÉCNICO'!A506:B1000,2,0))</f>
        <v/>
      </c>
      <c r="C506" s="9">
        <f>SUMIF(DIARIOS!D:D,A506,DIARIOS!F:F)</f>
        <v>0</v>
      </c>
      <c r="D506" s="12"/>
      <c r="E506" s="12"/>
    </row>
    <row r="507" ht="15.75" customHeight="1">
      <c r="A507" s="13"/>
      <c r="B507" s="21" t="str">
        <f>IFERROR(VLOOKUP(A507,'PAÑOL TÉCNICO'!A507:B1000,2,0))</f>
        <v/>
      </c>
      <c r="C507" s="9">
        <f>SUMIF(DIARIOS!D:D,A507,DIARIOS!F:F)</f>
        <v>0</v>
      </c>
      <c r="D507" s="12"/>
      <c r="E507" s="12"/>
    </row>
    <row r="508" ht="15.75" customHeight="1">
      <c r="A508" s="13"/>
      <c r="B508" s="21" t="str">
        <f>IFERROR(VLOOKUP(A508,'PAÑOL TÉCNICO'!A508:B1000,2,0))</f>
        <v/>
      </c>
      <c r="C508" s="9">
        <f>SUMIF(DIARIOS!D:D,A508,DIARIOS!F:F)</f>
        <v>0</v>
      </c>
      <c r="D508" s="12"/>
      <c r="E508" s="12"/>
    </row>
    <row r="509" ht="15.75" customHeight="1">
      <c r="A509" s="13"/>
      <c r="B509" s="21" t="str">
        <f>IFERROR(VLOOKUP(A509,'PAÑOL TÉCNICO'!A509:B1000,2,0))</f>
        <v/>
      </c>
      <c r="C509" s="9">
        <f>SUMIF(DIARIOS!D:D,A509,DIARIOS!F:F)</f>
        <v>0</v>
      </c>
      <c r="D509" s="12"/>
      <c r="E509" s="12"/>
    </row>
    <row r="510" ht="15.75" customHeight="1">
      <c r="A510" s="13"/>
      <c r="B510" s="21" t="str">
        <f>IFERROR(VLOOKUP(A510,'PAÑOL TÉCNICO'!A510:B1000,2,0))</f>
        <v/>
      </c>
      <c r="C510" s="9">
        <f>SUMIF(DIARIOS!D:D,A510,DIARIOS!F:F)</f>
        <v>0</v>
      </c>
      <c r="D510" s="12"/>
      <c r="E510" s="12"/>
    </row>
    <row r="511" ht="15.75" customHeight="1">
      <c r="A511" s="13"/>
      <c r="B511" s="21" t="str">
        <f>IFERROR(VLOOKUP(A511,'PAÑOL TÉCNICO'!A511:B1000,2,0))</f>
        <v/>
      </c>
      <c r="C511" s="9">
        <f>SUMIF(DIARIOS!D:D,A511,DIARIOS!F:F)</f>
        <v>0</v>
      </c>
      <c r="D511" s="12"/>
      <c r="E511" s="12"/>
    </row>
    <row r="512" ht="15.75" customHeight="1">
      <c r="A512" s="13"/>
      <c r="B512" s="21" t="str">
        <f>IFERROR(VLOOKUP(A512,'PAÑOL TÉCNICO'!A512:B1000,2,0))</f>
        <v/>
      </c>
      <c r="C512" s="9">
        <f>SUMIF(DIARIOS!D:D,A512,DIARIOS!F:F)</f>
        <v>0</v>
      </c>
      <c r="D512" s="12"/>
      <c r="E512" s="12"/>
    </row>
    <row r="513" ht="15.75" customHeight="1">
      <c r="A513" s="13"/>
      <c r="B513" s="21" t="str">
        <f>IFERROR(VLOOKUP(A513,'PAÑOL TÉCNICO'!A513:B1000,2,0))</f>
        <v/>
      </c>
      <c r="C513" s="9">
        <f>SUMIF(DIARIOS!D:D,A513,DIARIOS!F:F)</f>
        <v>0</v>
      </c>
      <c r="D513" s="12"/>
      <c r="E513" s="12"/>
    </row>
    <row r="514" ht="15.75" customHeight="1">
      <c r="A514" s="13"/>
      <c r="B514" s="21" t="str">
        <f>IFERROR(VLOOKUP(A514,'PAÑOL TÉCNICO'!A514:B1000,2,0))</f>
        <v/>
      </c>
      <c r="C514" s="9">
        <f>SUMIF(DIARIOS!D:D,A514,DIARIOS!F:F)</f>
        <v>0</v>
      </c>
      <c r="D514" s="12"/>
      <c r="E514" s="12"/>
    </row>
    <row r="515" ht="15.75" customHeight="1">
      <c r="A515" s="13"/>
      <c r="B515" s="21" t="str">
        <f>IFERROR(VLOOKUP(A515,'PAÑOL TÉCNICO'!A515:B1000,2,0))</f>
        <v/>
      </c>
      <c r="C515" s="9">
        <f>SUMIF(DIARIOS!D:D,A515,DIARIOS!F:F)</f>
        <v>0</v>
      </c>
      <c r="D515" s="12"/>
      <c r="E515" s="12"/>
    </row>
    <row r="516" ht="15.75" customHeight="1">
      <c r="A516" s="13"/>
      <c r="B516" s="21" t="str">
        <f>IFERROR(VLOOKUP(A516,'PAÑOL TÉCNICO'!A516:B1000,2,0))</f>
        <v/>
      </c>
      <c r="C516" s="9">
        <f>SUMIF(DIARIOS!D:D,A516,DIARIOS!F:F)</f>
        <v>0</v>
      </c>
      <c r="D516" s="12"/>
      <c r="E516" s="12"/>
    </row>
    <row r="517" ht="15.75" customHeight="1">
      <c r="A517" s="13"/>
      <c r="B517" s="21" t="str">
        <f>IFERROR(VLOOKUP(A517,'PAÑOL TÉCNICO'!A517:B1000,2,0))</f>
        <v/>
      </c>
      <c r="C517" s="9">
        <f>SUMIF(DIARIOS!D:D,A517,DIARIOS!F:F)</f>
        <v>0</v>
      </c>
      <c r="D517" s="12"/>
      <c r="E517" s="12"/>
    </row>
    <row r="518" ht="15.75" customHeight="1">
      <c r="A518" s="13"/>
      <c r="B518" s="21" t="str">
        <f>IFERROR(VLOOKUP(A518,'PAÑOL TÉCNICO'!A518:B1000,2,0))</f>
        <v/>
      </c>
      <c r="C518" s="9">
        <f>SUMIF(DIARIOS!D:D,A518,DIARIOS!F:F)</f>
        <v>0</v>
      </c>
      <c r="D518" s="12"/>
      <c r="E518" s="12"/>
    </row>
    <row r="519" ht="15.75" customHeight="1">
      <c r="A519" s="13"/>
      <c r="B519" s="21" t="str">
        <f>IFERROR(VLOOKUP(A519,'PAÑOL TÉCNICO'!A519:B1000,2,0))</f>
        <v/>
      </c>
      <c r="C519" s="9">
        <f>SUMIF(DIARIOS!D:D,A519,DIARIOS!F:F)</f>
        <v>0</v>
      </c>
      <c r="D519" s="12"/>
      <c r="E519" s="12"/>
    </row>
    <row r="520" ht="15.75" customHeight="1">
      <c r="A520" s="13"/>
      <c r="B520" s="21" t="str">
        <f>IFERROR(VLOOKUP(A520,'PAÑOL TÉCNICO'!A520:B1000,2,0))</f>
        <v/>
      </c>
      <c r="C520" s="9">
        <f>SUMIF(DIARIOS!D:D,A520,DIARIOS!F:F)</f>
        <v>0</v>
      </c>
      <c r="D520" s="12"/>
      <c r="E520" s="12"/>
    </row>
    <row r="521" ht="15.75" customHeight="1">
      <c r="A521" s="13"/>
      <c r="B521" s="21" t="str">
        <f>IFERROR(VLOOKUP(A521,'PAÑOL TÉCNICO'!A521:B1000,2,0))</f>
        <v/>
      </c>
      <c r="C521" s="9">
        <f>SUMIF(DIARIOS!D:D,A521,DIARIOS!F:F)</f>
        <v>0</v>
      </c>
      <c r="D521" s="12"/>
      <c r="E521" s="12"/>
    </row>
    <row r="522" ht="15.75" customHeight="1">
      <c r="A522" s="13"/>
      <c r="B522" s="21" t="str">
        <f>IFERROR(VLOOKUP(A522,'PAÑOL TÉCNICO'!A522:B1000,2,0))</f>
        <v/>
      </c>
      <c r="C522" s="9">
        <f>SUMIF(DIARIOS!D:D,A522,DIARIOS!F:F)</f>
        <v>0</v>
      </c>
      <c r="D522" s="12"/>
      <c r="E522" s="12"/>
    </row>
    <row r="523" ht="15.75" customHeight="1">
      <c r="A523" s="13"/>
      <c r="B523" s="21" t="str">
        <f>IFERROR(VLOOKUP(A523,'PAÑOL TÉCNICO'!A523:B1000,2,0))</f>
        <v/>
      </c>
      <c r="C523" s="9">
        <f>SUMIF(DIARIOS!D:D,A523,DIARIOS!F:F)</f>
        <v>0</v>
      </c>
      <c r="D523" s="12"/>
      <c r="E523" s="12"/>
    </row>
    <row r="524" ht="15.75" customHeight="1">
      <c r="A524" s="13"/>
      <c r="B524" s="21" t="str">
        <f>IFERROR(VLOOKUP(A524,'PAÑOL TÉCNICO'!A524:B1000,2,0))</f>
        <v/>
      </c>
      <c r="C524" s="9">
        <f>SUMIF(DIARIOS!D:D,A524,DIARIOS!F:F)</f>
        <v>0</v>
      </c>
      <c r="D524" s="12"/>
      <c r="E524" s="12"/>
    </row>
    <row r="525" ht="15.75" customHeight="1">
      <c r="A525" s="13"/>
      <c r="B525" s="21" t="str">
        <f>IFERROR(VLOOKUP(A525,'PAÑOL TÉCNICO'!A525:B1000,2,0))</f>
        <v/>
      </c>
      <c r="C525" s="9">
        <f>SUMIF(DIARIOS!D:D,A525,DIARIOS!F:F)</f>
        <v>0</v>
      </c>
      <c r="D525" s="12"/>
      <c r="E525" s="12"/>
    </row>
    <row r="526" ht="15.75" customHeight="1">
      <c r="A526" s="13"/>
      <c r="B526" s="21" t="str">
        <f>IFERROR(VLOOKUP(A526,'PAÑOL TÉCNICO'!A526:B1000,2,0))</f>
        <v/>
      </c>
      <c r="C526" s="9">
        <f>SUMIF(DIARIOS!D:D,A526,DIARIOS!F:F)</f>
        <v>0</v>
      </c>
      <c r="D526" s="12"/>
      <c r="E526" s="12"/>
    </row>
    <row r="527" ht="15.75" customHeight="1">
      <c r="A527" s="13"/>
      <c r="B527" s="21" t="str">
        <f>IFERROR(VLOOKUP(A527,'PAÑOL TÉCNICO'!A527:B1000,2,0))</f>
        <v/>
      </c>
      <c r="C527" s="9">
        <f>SUMIF(DIARIOS!D:D,A527,DIARIOS!F:F)</f>
        <v>0</v>
      </c>
      <c r="D527" s="12"/>
      <c r="E527" s="12"/>
    </row>
    <row r="528" ht="15.75" customHeight="1">
      <c r="A528" s="13"/>
      <c r="B528" s="21" t="str">
        <f>IFERROR(VLOOKUP(A528,'PAÑOL TÉCNICO'!A528:B1000,2,0))</f>
        <v/>
      </c>
      <c r="C528" s="9">
        <f>SUMIF(DIARIOS!D:D,A528,DIARIOS!F:F)</f>
        <v>0</v>
      </c>
      <c r="D528" s="12"/>
      <c r="E528" s="12"/>
    </row>
    <row r="529" ht="15.75" customHeight="1">
      <c r="A529" s="13"/>
      <c r="B529" s="21" t="str">
        <f>IFERROR(VLOOKUP(A529,'PAÑOL TÉCNICO'!A529:B1000,2,0))</f>
        <v/>
      </c>
      <c r="C529" s="9">
        <f>SUMIF(DIARIOS!D:D,A529,DIARIOS!F:F)</f>
        <v>0</v>
      </c>
      <c r="D529" s="12"/>
      <c r="E529" s="12"/>
    </row>
    <row r="530" ht="15.75" customHeight="1">
      <c r="A530" s="13"/>
      <c r="B530" s="21" t="str">
        <f>IFERROR(VLOOKUP(A530,'PAÑOL TÉCNICO'!A530:B1000,2,0))</f>
        <v/>
      </c>
      <c r="C530" s="9">
        <f>SUMIF(DIARIOS!D:D,A530,DIARIOS!F:F)</f>
        <v>0</v>
      </c>
      <c r="D530" s="12"/>
      <c r="E530" s="12"/>
    </row>
    <row r="531" ht="15.75" customHeight="1">
      <c r="A531" s="13"/>
      <c r="B531" s="21" t="str">
        <f>IFERROR(VLOOKUP(A531,'PAÑOL TÉCNICO'!A531:B1000,2,0))</f>
        <v/>
      </c>
      <c r="C531" s="9">
        <f>SUMIF(DIARIOS!D:D,A531,DIARIOS!F:F)</f>
        <v>0</v>
      </c>
      <c r="D531" s="12"/>
      <c r="E531" s="12"/>
    </row>
    <row r="532" ht="15.75" customHeight="1">
      <c r="A532" s="13"/>
      <c r="B532" s="21" t="str">
        <f>IFERROR(VLOOKUP(A532,'PAÑOL TÉCNICO'!A532:B1000,2,0))</f>
        <v/>
      </c>
      <c r="C532" s="9">
        <f>SUMIF(DIARIOS!D:D,A532,DIARIOS!F:F)</f>
        <v>0</v>
      </c>
      <c r="D532" s="12"/>
      <c r="E532" s="12"/>
    </row>
    <row r="533" ht="15.75" customHeight="1">
      <c r="A533" s="13"/>
      <c r="B533" s="21" t="str">
        <f>IFERROR(VLOOKUP(A533,'PAÑOL TÉCNICO'!A533:B1000,2,0))</f>
        <v/>
      </c>
      <c r="C533" s="9">
        <f>SUMIF(DIARIOS!D:D,A533,DIARIOS!F:F)</f>
        <v>0</v>
      </c>
      <c r="D533" s="12"/>
      <c r="E533" s="12"/>
    </row>
    <row r="534" ht="15.75" customHeight="1">
      <c r="A534" s="13"/>
      <c r="B534" s="21" t="str">
        <f>IFERROR(VLOOKUP(A534,'PAÑOL TÉCNICO'!A534:B1000,2,0))</f>
        <v/>
      </c>
      <c r="C534" s="9">
        <f>SUMIF(DIARIOS!D:D,A534,DIARIOS!F:F)</f>
        <v>0</v>
      </c>
      <c r="D534" s="12"/>
      <c r="E534" s="12"/>
    </row>
    <row r="535" ht="15.75" customHeight="1">
      <c r="A535" s="13"/>
      <c r="B535" s="21" t="str">
        <f>IFERROR(VLOOKUP(A535,'PAÑOL TÉCNICO'!A535:B1000,2,0))</f>
        <v/>
      </c>
      <c r="C535" s="9">
        <f>SUMIF(DIARIOS!D:D,A535,DIARIOS!F:F)</f>
        <v>0</v>
      </c>
      <c r="D535" s="12"/>
      <c r="E535" s="12"/>
    </row>
    <row r="536" ht="15.75" customHeight="1">
      <c r="A536" s="13"/>
      <c r="B536" s="21" t="str">
        <f>IFERROR(VLOOKUP(A536,'PAÑOL TÉCNICO'!A536:B1000,2,0))</f>
        <v/>
      </c>
      <c r="C536" s="9">
        <f>SUMIF(DIARIOS!D:D,A536,DIARIOS!F:F)</f>
        <v>0</v>
      </c>
      <c r="D536" s="12"/>
      <c r="E536" s="12"/>
    </row>
    <row r="537" ht="15.75" customHeight="1">
      <c r="A537" s="13"/>
      <c r="B537" s="21" t="str">
        <f>IFERROR(VLOOKUP(A537,'PAÑOL TÉCNICO'!A537:B1000,2,0))</f>
        <v/>
      </c>
      <c r="C537" s="9">
        <f>SUMIF(DIARIOS!D:D,A537,DIARIOS!F:F)</f>
        <v>0</v>
      </c>
      <c r="D537" s="12"/>
      <c r="E537" s="12"/>
    </row>
    <row r="538" ht="15.75" customHeight="1">
      <c r="A538" s="13"/>
      <c r="B538" s="21" t="str">
        <f>IFERROR(VLOOKUP(A538,'PAÑOL TÉCNICO'!A538:B1000,2,0))</f>
        <v/>
      </c>
      <c r="C538" s="9">
        <f>SUMIF(DIARIOS!D:D,A538,DIARIOS!F:F)</f>
        <v>0</v>
      </c>
      <c r="D538" s="12"/>
      <c r="E538" s="12"/>
    </row>
    <row r="539" ht="15.75" customHeight="1">
      <c r="A539" s="13"/>
      <c r="B539" s="21" t="str">
        <f>IFERROR(VLOOKUP(A539,'PAÑOL TÉCNICO'!A539:B1000,2,0))</f>
        <v/>
      </c>
      <c r="C539" s="9">
        <f>SUMIF(DIARIOS!D:D,A539,DIARIOS!F:F)</f>
        <v>0</v>
      </c>
      <c r="D539" s="12"/>
      <c r="E539" s="12"/>
    </row>
    <row r="540" ht="15.75" customHeight="1">
      <c r="A540" s="13"/>
      <c r="B540" s="21" t="str">
        <f>IFERROR(VLOOKUP(A540,'PAÑOL TÉCNICO'!A540:B1000,2,0))</f>
        <v/>
      </c>
      <c r="C540" s="9">
        <f>SUMIF(DIARIOS!D:D,A540,DIARIOS!F:F)</f>
        <v>0</v>
      </c>
      <c r="D540" s="12"/>
      <c r="E540" s="12"/>
    </row>
    <row r="541" ht="15.75" customHeight="1">
      <c r="A541" s="13"/>
      <c r="B541" s="21" t="str">
        <f>IFERROR(VLOOKUP(A541,'PAÑOL TÉCNICO'!A541:B1000,2,0))</f>
        <v/>
      </c>
      <c r="C541" s="9">
        <f>SUMIF(DIARIOS!D:D,A541,DIARIOS!F:F)</f>
        <v>0</v>
      </c>
      <c r="D541" s="12"/>
      <c r="E541" s="12"/>
    </row>
    <row r="542" ht="15.75" customHeight="1">
      <c r="A542" s="13"/>
      <c r="B542" s="21" t="str">
        <f>IFERROR(VLOOKUP(A542,'PAÑOL TÉCNICO'!A542:B1000,2,0))</f>
        <v/>
      </c>
      <c r="C542" s="9">
        <f>SUMIF(DIARIOS!D:D,A542,DIARIOS!F:F)</f>
        <v>0</v>
      </c>
      <c r="D542" s="12"/>
      <c r="E542" s="12"/>
    </row>
    <row r="543" ht="15.75" customHeight="1">
      <c r="A543" s="13"/>
      <c r="B543" s="21" t="str">
        <f>IFERROR(VLOOKUP(A543,'PAÑOL TÉCNICO'!A543:B1000,2,0))</f>
        <v/>
      </c>
      <c r="C543" s="9">
        <f>SUMIF(DIARIOS!D:D,A543,DIARIOS!F:F)</f>
        <v>0</v>
      </c>
      <c r="D543" s="12"/>
      <c r="E543" s="12"/>
    </row>
    <row r="544" ht="15.75" customHeight="1">
      <c r="A544" s="13"/>
      <c r="B544" s="21" t="str">
        <f>IFERROR(VLOOKUP(A544,'PAÑOL TÉCNICO'!A544:B1000,2,0))</f>
        <v/>
      </c>
      <c r="C544" s="9">
        <f>SUMIF(DIARIOS!D:D,A544,DIARIOS!F:F)</f>
        <v>0</v>
      </c>
      <c r="D544" s="12"/>
      <c r="E544" s="12"/>
    </row>
    <row r="545" ht="15.75" customHeight="1">
      <c r="A545" s="13"/>
      <c r="B545" s="21" t="str">
        <f>IFERROR(VLOOKUP(A545,'PAÑOL TÉCNICO'!A545:B1000,2,0))</f>
        <v/>
      </c>
      <c r="C545" s="9">
        <f>SUMIF(DIARIOS!D:D,A545,DIARIOS!F:F)</f>
        <v>0</v>
      </c>
      <c r="D545" s="12"/>
      <c r="E545" s="12"/>
    </row>
    <row r="546" ht="15.75" customHeight="1">
      <c r="A546" s="13"/>
      <c r="B546" s="21" t="str">
        <f>IFERROR(VLOOKUP(A546,'PAÑOL TÉCNICO'!A546:B1000,2,0))</f>
        <v/>
      </c>
      <c r="C546" s="9">
        <f>SUMIF(DIARIOS!D:D,A546,DIARIOS!F:F)</f>
        <v>0</v>
      </c>
      <c r="D546" s="12"/>
      <c r="E546" s="12"/>
    </row>
    <row r="547" ht="15.75" customHeight="1">
      <c r="A547" s="13"/>
      <c r="B547" s="21" t="str">
        <f>IFERROR(VLOOKUP(A547,'PAÑOL TÉCNICO'!A547:B1000,2,0))</f>
        <v/>
      </c>
      <c r="C547" s="9">
        <f>SUMIF(DIARIOS!D:D,A547,DIARIOS!F:F)</f>
        <v>0</v>
      </c>
      <c r="D547" s="12"/>
      <c r="E547" s="12"/>
    </row>
    <row r="548" ht="15.75" customHeight="1">
      <c r="A548" s="13"/>
      <c r="B548" s="21" t="str">
        <f>IFERROR(VLOOKUP(A548,'PAÑOL TÉCNICO'!A548:B1000,2,0))</f>
        <v/>
      </c>
      <c r="C548" s="9">
        <f>SUMIF(DIARIOS!D:D,A548,DIARIOS!F:F)</f>
        <v>0</v>
      </c>
      <c r="D548" s="12"/>
      <c r="E548" s="12"/>
    </row>
    <row r="549" ht="15.75" customHeight="1">
      <c r="A549" s="13"/>
      <c r="B549" s="21" t="str">
        <f>IFERROR(VLOOKUP(A549,'PAÑOL TÉCNICO'!A549:B1000,2,0))</f>
        <v/>
      </c>
      <c r="C549" s="9">
        <f>SUMIF(DIARIOS!D:D,A549,DIARIOS!F:F)</f>
        <v>0</v>
      </c>
      <c r="D549" s="12"/>
      <c r="E549" s="12"/>
    </row>
    <row r="550" ht="15.75" customHeight="1">
      <c r="A550" s="13"/>
      <c r="B550" s="21" t="str">
        <f>IFERROR(VLOOKUP(A550,'PAÑOL TÉCNICO'!A550:B1000,2,0))</f>
        <v/>
      </c>
      <c r="C550" s="9">
        <f>SUMIF(DIARIOS!D:D,A550,DIARIOS!F:F)</f>
        <v>0</v>
      </c>
      <c r="D550" s="12"/>
      <c r="E550" s="12"/>
    </row>
    <row r="551" ht="15.75" customHeight="1">
      <c r="A551" s="13"/>
      <c r="B551" s="21" t="str">
        <f>IFERROR(VLOOKUP(A551,'PAÑOL TÉCNICO'!A551:B1000,2,0))</f>
        <v/>
      </c>
      <c r="C551" s="9">
        <f>SUMIF(DIARIOS!D:D,A551,DIARIOS!F:F)</f>
        <v>0</v>
      </c>
      <c r="D551" s="12"/>
      <c r="E551" s="12"/>
    </row>
    <row r="552" ht="15.75" customHeight="1">
      <c r="A552" s="13"/>
      <c r="B552" s="21" t="str">
        <f>IFERROR(VLOOKUP(A552,'PAÑOL TÉCNICO'!A552:B1000,2,0))</f>
        <v/>
      </c>
      <c r="C552" s="9">
        <f>SUMIF(DIARIOS!D:D,A552,DIARIOS!F:F)</f>
        <v>0</v>
      </c>
      <c r="D552" s="12"/>
      <c r="E552" s="12"/>
    </row>
    <row r="553" ht="15.75" customHeight="1">
      <c r="A553" s="13"/>
      <c r="B553" s="21" t="str">
        <f>IFERROR(VLOOKUP(A553,'PAÑOL TÉCNICO'!A553:B1000,2,0))</f>
        <v/>
      </c>
      <c r="C553" s="9">
        <f>SUMIF(DIARIOS!D:D,A553,DIARIOS!F:F)</f>
        <v>0</v>
      </c>
      <c r="D553" s="12"/>
      <c r="E553" s="12"/>
    </row>
    <row r="554" ht="15.75" customHeight="1">
      <c r="A554" s="13"/>
      <c r="B554" s="21" t="str">
        <f>IFERROR(VLOOKUP(A554,'PAÑOL TÉCNICO'!A554:B1000,2,0))</f>
        <v/>
      </c>
      <c r="C554" s="9">
        <f>SUMIF(DIARIOS!D:D,A554,DIARIOS!F:F)</f>
        <v>0</v>
      </c>
      <c r="D554" s="12"/>
      <c r="E554" s="12"/>
    </row>
    <row r="555" ht="15.75" customHeight="1">
      <c r="A555" s="13"/>
      <c r="B555" s="21" t="str">
        <f>IFERROR(VLOOKUP(A555,'PAÑOL TÉCNICO'!A555:B1000,2,0))</f>
        <v/>
      </c>
      <c r="C555" s="9">
        <f>SUMIF(DIARIOS!D:D,A555,DIARIOS!F:F)</f>
        <v>0</v>
      </c>
      <c r="D555" s="12"/>
      <c r="E555" s="12"/>
    </row>
    <row r="556" ht="15.75" customHeight="1">
      <c r="A556" s="13"/>
      <c r="B556" s="21" t="str">
        <f>IFERROR(VLOOKUP(A556,'PAÑOL TÉCNICO'!A556:B1000,2,0))</f>
        <v/>
      </c>
      <c r="C556" s="9">
        <f>SUMIF(DIARIOS!D:D,A556,DIARIOS!F:F)</f>
        <v>0</v>
      </c>
      <c r="D556" s="12"/>
      <c r="E556" s="12"/>
    </row>
    <row r="557" ht="15.75" customHeight="1">
      <c r="A557" s="13"/>
      <c r="B557" s="21" t="str">
        <f>IFERROR(VLOOKUP(A557,'PAÑOL TÉCNICO'!A557:B1000,2,0))</f>
        <v/>
      </c>
      <c r="C557" s="9">
        <f>SUMIF(DIARIOS!D:D,A557,DIARIOS!F:F)</f>
        <v>0</v>
      </c>
      <c r="D557" s="12"/>
      <c r="E557" s="12"/>
    </row>
    <row r="558" ht="15.75" customHeight="1">
      <c r="A558" s="13"/>
      <c r="B558" s="21" t="str">
        <f>IFERROR(VLOOKUP(A558,'PAÑOL TÉCNICO'!A558:B1000,2,0))</f>
        <v/>
      </c>
      <c r="C558" s="9">
        <f>SUMIF(DIARIOS!D:D,A558,DIARIOS!F:F)</f>
        <v>0</v>
      </c>
      <c r="D558" s="12"/>
      <c r="E558" s="12"/>
    </row>
    <row r="559" ht="15.75" customHeight="1">
      <c r="A559" s="13"/>
      <c r="B559" s="21" t="str">
        <f>IFERROR(VLOOKUP(A559,'PAÑOL TÉCNICO'!A559:B1000,2,0))</f>
        <v/>
      </c>
      <c r="C559" s="9">
        <f>SUMIF(DIARIOS!D:D,A559,DIARIOS!F:F)</f>
        <v>0</v>
      </c>
      <c r="D559" s="12"/>
      <c r="E559" s="12"/>
    </row>
    <row r="560" ht="15.75" customHeight="1">
      <c r="A560" s="13"/>
      <c r="B560" s="21" t="str">
        <f>IFERROR(VLOOKUP(A560,'PAÑOL TÉCNICO'!A560:B1000,2,0))</f>
        <v/>
      </c>
      <c r="C560" s="9">
        <f>SUMIF(DIARIOS!D:D,A560,DIARIOS!F:F)</f>
        <v>0</v>
      </c>
      <c r="D560" s="12"/>
      <c r="E560" s="12"/>
    </row>
    <row r="561" ht="15.75" customHeight="1">
      <c r="A561" s="13"/>
      <c r="B561" s="21" t="str">
        <f>IFERROR(VLOOKUP(A561,'PAÑOL TÉCNICO'!A561:B1000,2,0))</f>
        <v/>
      </c>
      <c r="C561" s="9">
        <f>SUMIF(DIARIOS!D:D,A561,DIARIOS!F:F)</f>
        <v>0</v>
      </c>
      <c r="D561" s="12"/>
      <c r="E561" s="12"/>
    </row>
    <row r="562" ht="15.75" customHeight="1">
      <c r="A562" s="13"/>
      <c r="B562" s="21" t="str">
        <f>IFERROR(VLOOKUP(A562,'PAÑOL TÉCNICO'!A562:B1000,2,0))</f>
        <v/>
      </c>
      <c r="C562" s="9">
        <f>SUMIF(DIARIOS!D:D,A562,DIARIOS!F:F)</f>
        <v>0</v>
      </c>
      <c r="D562" s="12"/>
      <c r="E562" s="12"/>
    </row>
    <row r="563" ht="15.75" customHeight="1">
      <c r="A563" s="13"/>
      <c r="B563" s="21" t="str">
        <f>IFERROR(VLOOKUP(A563,'PAÑOL TÉCNICO'!A563:B1000,2,0))</f>
        <v/>
      </c>
      <c r="C563" s="9">
        <f>SUMIF(DIARIOS!D:D,A563,DIARIOS!F:F)</f>
        <v>0</v>
      </c>
      <c r="D563" s="12"/>
      <c r="E563" s="12"/>
    </row>
    <row r="564" ht="15.75" customHeight="1">
      <c r="A564" s="13"/>
      <c r="B564" s="21" t="str">
        <f>IFERROR(VLOOKUP(A564,'PAÑOL TÉCNICO'!A564:B1000,2,0))</f>
        <v/>
      </c>
      <c r="C564" s="9">
        <f>SUMIF(DIARIOS!D:D,A564,DIARIOS!F:F)</f>
        <v>0</v>
      </c>
      <c r="D564" s="12"/>
      <c r="E564" s="12"/>
    </row>
    <row r="565" ht="15.75" customHeight="1">
      <c r="A565" s="13"/>
      <c r="B565" s="21" t="str">
        <f>IFERROR(VLOOKUP(A565,'PAÑOL TÉCNICO'!A565:B1000,2,0))</f>
        <v/>
      </c>
      <c r="C565" s="9">
        <f>SUMIF(DIARIOS!D:D,A565,DIARIOS!F:F)</f>
        <v>0</v>
      </c>
      <c r="D565" s="12"/>
      <c r="E565" s="12"/>
    </row>
    <row r="566" ht="15.75" customHeight="1">
      <c r="A566" s="13"/>
      <c r="B566" s="21" t="str">
        <f>IFERROR(VLOOKUP(A566,'PAÑOL TÉCNICO'!A566:B1000,2,0))</f>
        <v/>
      </c>
      <c r="C566" s="9">
        <f>SUMIF(DIARIOS!D:D,A566,DIARIOS!F:F)</f>
        <v>0</v>
      </c>
      <c r="D566" s="12"/>
      <c r="E566" s="12"/>
    </row>
    <row r="567" ht="15.75" customHeight="1">
      <c r="A567" s="13"/>
      <c r="B567" s="21" t="str">
        <f>IFERROR(VLOOKUP(A567,'PAÑOL TÉCNICO'!A567:B1000,2,0))</f>
        <v/>
      </c>
      <c r="C567" s="9">
        <f>SUMIF(DIARIOS!D:D,A567,DIARIOS!F:F)</f>
        <v>0</v>
      </c>
      <c r="D567" s="12"/>
      <c r="E567" s="12"/>
    </row>
    <row r="568" ht="15.75" customHeight="1">
      <c r="A568" s="13"/>
      <c r="B568" s="21" t="str">
        <f>IFERROR(VLOOKUP(A568,'PAÑOL TÉCNICO'!A568:B1000,2,0))</f>
        <v/>
      </c>
      <c r="C568" s="9">
        <f>SUMIF(DIARIOS!D:D,A568,DIARIOS!F:F)</f>
        <v>0</v>
      </c>
      <c r="D568" s="12"/>
      <c r="E568" s="12"/>
    </row>
    <row r="569" ht="15.75" customHeight="1">
      <c r="A569" s="13"/>
      <c r="B569" s="21" t="str">
        <f>IFERROR(VLOOKUP(A569,'PAÑOL TÉCNICO'!A569:B1000,2,0))</f>
        <v/>
      </c>
      <c r="C569" s="9">
        <f>SUMIF(DIARIOS!D:D,A569,DIARIOS!F:F)</f>
        <v>0</v>
      </c>
      <c r="D569" s="12"/>
      <c r="E569" s="12"/>
    </row>
    <row r="570" ht="15.75" customHeight="1">
      <c r="A570" s="13"/>
      <c r="B570" s="21" t="str">
        <f>IFERROR(VLOOKUP(A570,'PAÑOL TÉCNICO'!A570:B1000,2,0))</f>
        <v/>
      </c>
      <c r="C570" s="9">
        <f>SUMIF(DIARIOS!D:D,A570,DIARIOS!F:F)</f>
        <v>0</v>
      </c>
      <c r="D570" s="12"/>
      <c r="E570" s="12"/>
    </row>
    <row r="571" ht="15.75" customHeight="1">
      <c r="A571" s="13"/>
      <c r="B571" s="21" t="str">
        <f>IFERROR(VLOOKUP(A571,'PAÑOL TÉCNICO'!A571:B1000,2,0))</f>
        <v/>
      </c>
      <c r="C571" s="9">
        <f>SUMIF(DIARIOS!D:D,A571,DIARIOS!F:F)</f>
        <v>0</v>
      </c>
      <c r="D571" s="12"/>
      <c r="E571" s="12"/>
    </row>
    <row r="572" ht="15.75" customHeight="1">
      <c r="A572" s="13"/>
      <c r="B572" s="21" t="str">
        <f>IFERROR(VLOOKUP(A572,'PAÑOL TÉCNICO'!A572:B1000,2,0))</f>
        <v/>
      </c>
      <c r="C572" s="9">
        <f>SUMIF(DIARIOS!D:D,A572,DIARIOS!F:F)</f>
        <v>0</v>
      </c>
      <c r="D572" s="12"/>
      <c r="E572" s="12"/>
    </row>
    <row r="573" ht="15.75" customHeight="1">
      <c r="A573" s="13"/>
      <c r="B573" s="21" t="str">
        <f>IFERROR(VLOOKUP(A573,'PAÑOL TÉCNICO'!A573:B1000,2,0))</f>
        <v/>
      </c>
      <c r="C573" s="9">
        <f>SUMIF(DIARIOS!D:D,A573,DIARIOS!F:F)</f>
        <v>0</v>
      </c>
      <c r="D573" s="12"/>
      <c r="E573" s="12"/>
    </row>
    <row r="574" ht="15.75" customHeight="1">
      <c r="A574" s="13"/>
      <c r="B574" s="21" t="str">
        <f>IFERROR(VLOOKUP(A574,'PAÑOL TÉCNICO'!A574:B1000,2,0))</f>
        <v/>
      </c>
      <c r="C574" s="9">
        <f>SUMIF(DIARIOS!D:D,A574,DIARIOS!F:F)</f>
        <v>0</v>
      </c>
      <c r="D574" s="12"/>
      <c r="E574" s="12"/>
    </row>
    <row r="575" ht="15.75" customHeight="1">
      <c r="A575" s="13"/>
      <c r="B575" s="21" t="str">
        <f>IFERROR(VLOOKUP(A575,'PAÑOL TÉCNICO'!A575:B1000,2,0))</f>
        <v/>
      </c>
      <c r="C575" s="9">
        <f>SUMIF(DIARIOS!D:D,A575,DIARIOS!F:F)</f>
        <v>0</v>
      </c>
      <c r="D575" s="12"/>
      <c r="E575" s="12"/>
    </row>
    <row r="576" ht="15.75" customHeight="1">
      <c r="A576" s="13"/>
      <c r="B576" s="21" t="str">
        <f>IFERROR(VLOOKUP(A576,'PAÑOL TÉCNICO'!A576:B1000,2,0))</f>
        <v/>
      </c>
      <c r="C576" s="9">
        <f>SUMIF(DIARIOS!D:D,A576,DIARIOS!F:F)</f>
        <v>0</v>
      </c>
      <c r="D576" s="12"/>
      <c r="E576" s="12"/>
    </row>
    <row r="577" ht="15.75" customHeight="1">
      <c r="A577" s="13"/>
      <c r="B577" s="21" t="str">
        <f>IFERROR(VLOOKUP(A577,'PAÑOL TÉCNICO'!A577:B1000,2,0))</f>
        <v/>
      </c>
      <c r="C577" s="9">
        <f>SUMIF(DIARIOS!D:D,A577,DIARIOS!F:F)</f>
        <v>0</v>
      </c>
      <c r="D577" s="12"/>
      <c r="E577" s="12"/>
    </row>
    <row r="578" ht="15.75" customHeight="1">
      <c r="A578" s="13"/>
      <c r="B578" s="21" t="str">
        <f>IFERROR(VLOOKUP(A578,'PAÑOL TÉCNICO'!A578:B1000,2,0))</f>
        <v/>
      </c>
      <c r="C578" s="9">
        <f>SUMIF(DIARIOS!D:D,A578,DIARIOS!F:F)</f>
        <v>0</v>
      </c>
      <c r="D578" s="12"/>
      <c r="E578" s="12"/>
    </row>
    <row r="579" ht="15.75" customHeight="1">
      <c r="A579" s="13"/>
      <c r="B579" s="21" t="str">
        <f>IFERROR(VLOOKUP(A579,'PAÑOL TÉCNICO'!A579:B1000,2,0))</f>
        <v/>
      </c>
      <c r="C579" s="9">
        <f>SUMIF(DIARIOS!D:D,A579,DIARIOS!F:F)</f>
        <v>0</v>
      </c>
      <c r="D579" s="12"/>
      <c r="E579" s="12"/>
    </row>
    <row r="580" ht="15.75" customHeight="1">
      <c r="A580" s="13"/>
      <c r="B580" s="21" t="str">
        <f>IFERROR(VLOOKUP(A580,'PAÑOL TÉCNICO'!A580:B1000,2,0))</f>
        <v/>
      </c>
      <c r="C580" s="9">
        <f>SUMIF(DIARIOS!D:D,A580,DIARIOS!F:F)</f>
        <v>0</v>
      </c>
      <c r="D580" s="12"/>
      <c r="E580" s="12"/>
    </row>
    <row r="581" ht="15.75" customHeight="1">
      <c r="A581" s="13"/>
      <c r="B581" s="21" t="str">
        <f>IFERROR(VLOOKUP(A581,'PAÑOL TÉCNICO'!A581:B1000,2,0))</f>
        <v/>
      </c>
      <c r="C581" s="9">
        <f>SUMIF(DIARIOS!D:D,A581,DIARIOS!F:F)</f>
        <v>0</v>
      </c>
      <c r="D581" s="12"/>
      <c r="E581" s="12"/>
    </row>
    <row r="582" ht="15.75" customHeight="1">
      <c r="A582" s="13"/>
      <c r="B582" s="21" t="str">
        <f>IFERROR(VLOOKUP(A582,'PAÑOL TÉCNICO'!A582:B1000,2,0))</f>
        <v/>
      </c>
      <c r="C582" s="9">
        <f>SUMIF(DIARIOS!D:D,A582,DIARIOS!F:F)</f>
        <v>0</v>
      </c>
      <c r="D582" s="12"/>
      <c r="E582" s="12"/>
    </row>
    <row r="583" ht="15.75" customHeight="1">
      <c r="A583" s="13"/>
      <c r="B583" s="21" t="str">
        <f>IFERROR(VLOOKUP(A583,'PAÑOL TÉCNICO'!A583:B1000,2,0))</f>
        <v/>
      </c>
      <c r="C583" s="9">
        <f>SUMIF(DIARIOS!D:D,A583,DIARIOS!F:F)</f>
        <v>0</v>
      </c>
      <c r="D583" s="12"/>
      <c r="E583" s="12"/>
    </row>
    <row r="584" ht="15.75" customHeight="1">
      <c r="A584" s="13"/>
      <c r="B584" s="21" t="str">
        <f>IFERROR(VLOOKUP(A584,'PAÑOL TÉCNICO'!A584:B1000,2,0))</f>
        <v/>
      </c>
      <c r="C584" s="9">
        <f>SUMIF(DIARIOS!D:D,A584,DIARIOS!F:F)</f>
        <v>0</v>
      </c>
      <c r="D584" s="12"/>
      <c r="E584" s="12"/>
    </row>
    <row r="585" ht="15.75" customHeight="1">
      <c r="A585" s="13"/>
      <c r="B585" s="21" t="str">
        <f>IFERROR(VLOOKUP(A585,'PAÑOL TÉCNICO'!A585:B1000,2,0))</f>
        <v/>
      </c>
      <c r="C585" s="9">
        <f>SUMIF(DIARIOS!D:D,A585,DIARIOS!F:F)</f>
        <v>0</v>
      </c>
      <c r="D585" s="12"/>
      <c r="E585" s="12"/>
    </row>
    <row r="586" ht="15.75" customHeight="1">
      <c r="A586" s="13"/>
      <c r="B586" s="21" t="str">
        <f>IFERROR(VLOOKUP(A586,'PAÑOL TÉCNICO'!A586:B1000,2,0))</f>
        <v/>
      </c>
      <c r="C586" s="9">
        <f>SUMIF(DIARIOS!D:D,A586,DIARIOS!F:F)</f>
        <v>0</v>
      </c>
      <c r="D586" s="12"/>
      <c r="E586" s="12"/>
    </row>
    <row r="587" ht="15.75" customHeight="1">
      <c r="A587" s="13"/>
      <c r="B587" s="21" t="str">
        <f>IFERROR(VLOOKUP(A587,'PAÑOL TÉCNICO'!A587:B1000,2,0))</f>
        <v/>
      </c>
      <c r="C587" s="9">
        <f>SUMIF(DIARIOS!D:D,A587,DIARIOS!F:F)</f>
        <v>0</v>
      </c>
      <c r="D587" s="12"/>
      <c r="E587" s="12"/>
    </row>
    <row r="588" ht="15.75" customHeight="1">
      <c r="A588" s="13"/>
      <c r="B588" s="21" t="str">
        <f>IFERROR(VLOOKUP(A588,'PAÑOL TÉCNICO'!A588:B1000,2,0))</f>
        <v/>
      </c>
      <c r="C588" s="9">
        <f>SUMIF(DIARIOS!D:D,A588,DIARIOS!F:F)</f>
        <v>0</v>
      </c>
      <c r="D588" s="12"/>
      <c r="E588" s="12"/>
    </row>
    <row r="589" ht="15.75" customHeight="1">
      <c r="A589" s="13"/>
      <c r="B589" s="21" t="str">
        <f>IFERROR(VLOOKUP(A589,'PAÑOL TÉCNICO'!A589:B1000,2,0))</f>
        <v/>
      </c>
      <c r="C589" s="9">
        <f>SUMIF(DIARIOS!D:D,A589,DIARIOS!F:F)</f>
        <v>0</v>
      </c>
      <c r="D589" s="12"/>
      <c r="E589" s="12"/>
    </row>
    <row r="590" ht="15.75" customHeight="1">
      <c r="A590" s="13"/>
      <c r="B590" s="21" t="str">
        <f>IFERROR(VLOOKUP(A590,'PAÑOL TÉCNICO'!A590:B1000,2,0))</f>
        <v/>
      </c>
      <c r="C590" s="9">
        <f>SUMIF(DIARIOS!D:D,A590,DIARIOS!F:F)</f>
        <v>0</v>
      </c>
      <c r="D590" s="12"/>
      <c r="E590" s="12"/>
    </row>
    <row r="591" ht="15.75" customHeight="1">
      <c r="A591" s="13"/>
      <c r="B591" s="21" t="str">
        <f>IFERROR(VLOOKUP(A591,'PAÑOL TÉCNICO'!A591:B1000,2,0))</f>
        <v/>
      </c>
      <c r="C591" s="9">
        <f>SUMIF(DIARIOS!D:D,A591,DIARIOS!F:F)</f>
        <v>0</v>
      </c>
      <c r="D591" s="12"/>
      <c r="E591" s="12"/>
    </row>
    <row r="592" ht="15.75" customHeight="1">
      <c r="A592" s="13"/>
      <c r="B592" s="21" t="str">
        <f>IFERROR(VLOOKUP(A592,'PAÑOL TÉCNICO'!A592:B1000,2,0))</f>
        <v/>
      </c>
      <c r="C592" s="9">
        <f>SUMIF(DIARIOS!D:D,A592,DIARIOS!F:F)</f>
        <v>0</v>
      </c>
      <c r="D592" s="12"/>
      <c r="E592" s="12"/>
    </row>
    <row r="593" ht="15.75" customHeight="1">
      <c r="A593" s="13"/>
      <c r="B593" s="21" t="str">
        <f>IFERROR(VLOOKUP(A593,'PAÑOL TÉCNICO'!A593:B1000,2,0))</f>
        <v/>
      </c>
      <c r="C593" s="9">
        <f>SUMIF(DIARIOS!D:D,A593,DIARIOS!F:F)</f>
        <v>0</v>
      </c>
      <c r="D593" s="12"/>
      <c r="E593" s="12"/>
    </row>
    <row r="594" ht="15.75" customHeight="1">
      <c r="A594" s="13"/>
      <c r="B594" s="21" t="str">
        <f>IFERROR(VLOOKUP(A594,'PAÑOL TÉCNICO'!A594:B1000,2,0))</f>
        <v/>
      </c>
      <c r="C594" s="9">
        <f>SUMIF(DIARIOS!D:D,A594,DIARIOS!F:F)</f>
        <v>0</v>
      </c>
      <c r="D594" s="12"/>
      <c r="E594" s="12"/>
    </row>
    <row r="595" ht="15.75" customHeight="1">
      <c r="A595" s="13"/>
      <c r="B595" s="21" t="str">
        <f>IFERROR(VLOOKUP(A595,'PAÑOL TÉCNICO'!A595:B1000,2,0))</f>
        <v/>
      </c>
      <c r="C595" s="9">
        <f>SUMIF(DIARIOS!D:D,A595,DIARIOS!F:F)</f>
        <v>0</v>
      </c>
      <c r="D595" s="12"/>
      <c r="E595" s="12"/>
    </row>
    <row r="596" ht="15.75" customHeight="1">
      <c r="A596" s="13"/>
      <c r="B596" s="21" t="str">
        <f>IFERROR(VLOOKUP(A596,'PAÑOL TÉCNICO'!A596:B1000,2,0))</f>
        <v/>
      </c>
      <c r="C596" s="9">
        <f>SUMIF(DIARIOS!D:D,A596,DIARIOS!F:F)</f>
        <v>0</v>
      </c>
      <c r="D596" s="12"/>
      <c r="E596" s="12"/>
    </row>
    <row r="597" ht="15.75" customHeight="1">
      <c r="A597" s="13"/>
      <c r="B597" s="21" t="str">
        <f>IFERROR(VLOOKUP(A597,'PAÑOL TÉCNICO'!A597:B1000,2,0))</f>
        <v/>
      </c>
      <c r="C597" s="9">
        <f>SUMIF(DIARIOS!D:D,A597,DIARIOS!F:F)</f>
        <v>0</v>
      </c>
      <c r="D597" s="12"/>
      <c r="E597" s="12"/>
    </row>
    <row r="598" ht="15.75" customHeight="1">
      <c r="A598" s="13"/>
      <c r="B598" s="21" t="str">
        <f>IFERROR(VLOOKUP(A598,'PAÑOL TÉCNICO'!A598:B1000,2,0))</f>
        <v/>
      </c>
      <c r="C598" s="9">
        <f>SUMIF(DIARIOS!D:D,A598,DIARIOS!F:F)</f>
        <v>0</v>
      </c>
      <c r="D598" s="12"/>
      <c r="E598" s="12"/>
    </row>
    <row r="599" ht="15.75" customHeight="1">
      <c r="A599" s="13"/>
      <c r="B599" s="21" t="str">
        <f>IFERROR(VLOOKUP(A599,'PAÑOL TÉCNICO'!A599:B1000,2,0))</f>
        <v/>
      </c>
      <c r="C599" s="9">
        <f>SUMIF(DIARIOS!D:D,A599,DIARIOS!F:F)</f>
        <v>0</v>
      </c>
      <c r="D599" s="12"/>
      <c r="E599" s="12"/>
    </row>
    <row r="600" ht="15.75" customHeight="1">
      <c r="A600" s="13"/>
      <c r="B600" s="21" t="str">
        <f>IFERROR(VLOOKUP(A600,'PAÑOL TÉCNICO'!A600:B1000,2,0))</f>
        <v/>
      </c>
      <c r="C600" s="9">
        <f>SUMIF(DIARIOS!D:D,A600,DIARIOS!F:F)</f>
        <v>0</v>
      </c>
      <c r="D600" s="12"/>
      <c r="E600" s="12"/>
    </row>
    <row r="601" ht="15.75" customHeight="1">
      <c r="A601" s="13"/>
      <c r="B601" s="21" t="str">
        <f>IFERROR(VLOOKUP(A601,'PAÑOL TÉCNICO'!A601:B1000,2,0))</f>
        <v/>
      </c>
      <c r="C601" s="9">
        <f>SUMIF(DIARIOS!D:D,A601,DIARIOS!F:F)</f>
        <v>0</v>
      </c>
      <c r="D601" s="12"/>
      <c r="E601" s="12"/>
    </row>
    <row r="602" ht="15.75" customHeight="1">
      <c r="A602" s="13"/>
      <c r="B602" s="21" t="str">
        <f>IFERROR(VLOOKUP(A602,'PAÑOL TÉCNICO'!A602:B1000,2,0))</f>
        <v/>
      </c>
      <c r="C602" s="9">
        <f>SUMIF(DIARIOS!D:D,A602,DIARIOS!F:F)</f>
        <v>0</v>
      </c>
      <c r="D602" s="12"/>
      <c r="E602" s="12"/>
    </row>
    <row r="603" ht="15.75" customHeight="1">
      <c r="A603" s="13"/>
      <c r="B603" s="21" t="str">
        <f>IFERROR(VLOOKUP(A603,'PAÑOL TÉCNICO'!A603:B1000,2,0))</f>
        <v/>
      </c>
      <c r="C603" s="9">
        <f>SUMIF(DIARIOS!D:D,A603,DIARIOS!F:F)</f>
        <v>0</v>
      </c>
      <c r="D603" s="12"/>
      <c r="E603" s="12"/>
    </row>
    <row r="604" ht="15.75" customHeight="1">
      <c r="A604" s="13"/>
      <c r="B604" s="21" t="str">
        <f>IFERROR(VLOOKUP(A604,'PAÑOL TÉCNICO'!A604:B1000,2,0))</f>
        <v/>
      </c>
      <c r="C604" s="9">
        <f>SUMIF(DIARIOS!D:D,A604,DIARIOS!F:F)</f>
        <v>0</v>
      </c>
      <c r="D604" s="12"/>
      <c r="E604" s="12"/>
    </row>
    <row r="605" ht="15.75" customHeight="1">
      <c r="A605" s="13"/>
      <c r="B605" s="21" t="str">
        <f>IFERROR(VLOOKUP(A605,'PAÑOL TÉCNICO'!A605:B1000,2,0))</f>
        <v/>
      </c>
      <c r="C605" s="9">
        <f>SUMIF(DIARIOS!D:D,A605,DIARIOS!F:F)</f>
        <v>0</v>
      </c>
      <c r="D605" s="12"/>
      <c r="E605" s="12"/>
    </row>
    <row r="606" ht="15.75" customHeight="1">
      <c r="A606" s="13"/>
      <c r="B606" s="21" t="str">
        <f>IFERROR(VLOOKUP(A606,'PAÑOL TÉCNICO'!A606:B1000,2,0))</f>
        <v/>
      </c>
      <c r="C606" s="9">
        <f>SUMIF(DIARIOS!D:D,A606,DIARIOS!F:F)</f>
        <v>0</v>
      </c>
      <c r="D606" s="12"/>
      <c r="E606" s="12"/>
    </row>
    <row r="607" ht="15.75" customHeight="1">
      <c r="A607" s="13"/>
      <c r="B607" s="21" t="str">
        <f>IFERROR(VLOOKUP(A607,'PAÑOL TÉCNICO'!A607:B1000,2,0))</f>
        <v/>
      </c>
      <c r="C607" s="9">
        <f>SUMIF(DIARIOS!D:D,A607,DIARIOS!F:F)</f>
        <v>0</v>
      </c>
      <c r="D607" s="12"/>
      <c r="E607" s="12"/>
    </row>
    <row r="608" ht="15.75" customHeight="1">
      <c r="A608" s="13"/>
      <c r="B608" s="21" t="str">
        <f>IFERROR(VLOOKUP(A608,'PAÑOL TÉCNICO'!A608:B1000,2,0))</f>
        <v/>
      </c>
      <c r="C608" s="9">
        <f>SUMIF(DIARIOS!D:D,A608,DIARIOS!F:F)</f>
        <v>0</v>
      </c>
      <c r="D608" s="12"/>
      <c r="E608" s="12"/>
    </row>
    <row r="609" ht="15.75" customHeight="1">
      <c r="A609" s="13"/>
      <c r="B609" s="21" t="str">
        <f>IFERROR(VLOOKUP(A609,'PAÑOL TÉCNICO'!A609:B1000,2,0))</f>
        <v/>
      </c>
      <c r="C609" s="9">
        <f>SUMIF(DIARIOS!D:D,A609,DIARIOS!F:F)</f>
        <v>0</v>
      </c>
      <c r="D609" s="12"/>
      <c r="E609" s="12"/>
    </row>
    <row r="610" ht="15.75" customHeight="1">
      <c r="A610" s="13"/>
      <c r="B610" s="21" t="str">
        <f>IFERROR(VLOOKUP(A610,'PAÑOL TÉCNICO'!A610:B1000,2,0))</f>
        <v/>
      </c>
      <c r="C610" s="9">
        <f>SUMIF(DIARIOS!D:D,A610,DIARIOS!F:F)</f>
        <v>0</v>
      </c>
      <c r="D610" s="12"/>
      <c r="E610" s="12"/>
    </row>
    <row r="611" ht="15.75" customHeight="1">
      <c r="A611" s="13"/>
      <c r="B611" s="21" t="str">
        <f>IFERROR(VLOOKUP(A611,'PAÑOL TÉCNICO'!A611:B1000,2,0))</f>
        <v/>
      </c>
      <c r="C611" s="9">
        <f>SUMIF(DIARIOS!D:D,A611,DIARIOS!F:F)</f>
        <v>0</v>
      </c>
      <c r="D611" s="12"/>
      <c r="E611" s="12"/>
    </row>
    <row r="612" ht="15.75" customHeight="1">
      <c r="A612" s="13"/>
      <c r="B612" s="21" t="str">
        <f>IFERROR(VLOOKUP(A612,'PAÑOL TÉCNICO'!A612:B1000,2,0))</f>
        <v/>
      </c>
      <c r="C612" s="9">
        <f>SUMIF(DIARIOS!D:D,A612,DIARIOS!F:F)</f>
        <v>0</v>
      </c>
      <c r="D612" s="12"/>
      <c r="E612" s="12"/>
    </row>
    <row r="613" ht="15.75" customHeight="1">
      <c r="A613" s="13"/>
      <c r="B613" s="21" t="str">
        <f>IFERROR(VLOOKUP(A613,'PAÑOL TÉCNICO'!A613:B1000,2,0))</f>
        <v/>
      </c>
      <c r="C613" s="9">
        <f>SUMIF(DIARIOS!D:D,A613,DIARIOS!F:F)</f>
        <v>0</v>
      </c>
      <c r="D613" s="12"/>
      <c r="E613" s="12"/>
    </row>
    <row r="614" ht="15.75" customHeight="1">
      <c r="A614" s="13"/>
      <c r="B614" s="21" t="str">
        <f>IFERROR(VLOOKUP(A614,'PAÑOL TÉCNICO'!A614:B1000,2,0))</f>
        <v/>
      </c>
      <c r="C614" s="9">
        <f>SUMIF(DIARIOS!D:D,A614,DIARIOS!F:F)</f>
        <v>0</v>
      </c>
      <c r="D614" s="12"/>
      <c r="E614" s="12"/>
    </row>
    <row r="615" ht="15.75" customHeight="1">
      <c r="A615" s="13"/>
      <c r="B615" s="21" t="str">
        <f>IFERROR(VLOOKUP(A615,'PAÑOL TÉCNICO'!A615:B1000,2,0))</f>
        <v/>
      </c>
      <c r="C615" s="9">
        <f>SUMIF(DIARIOS!D:D,A615,DIARIOS!F:F)</f>
        <v>0</v>
      </c>
      <c r="D615" s="12"/>
      <c r="E615" s="12"/>
    </row>
    <row r="616" ht="15.75" customHeight="1">
      <c r="A616" s="13"/>
      <c r="B616" s="21" t="str">
        <f>IFERROR(VLOOKUP(A616,'PAÑOL TÉCNICO'!A616:B1000,2,0))</f>
        <v/>
      </c>
      <c r="C616" s="9">
        <f>SUMIF(DIARIOS!D:D,A616,DIARIOS!F:F)</f>
        <v>0</v>
      </c>
      <c r="D616" s="12"/>
      <c r="E616" s="12"/>
    </row>
    <row r="617" ht="15.75" customHeight="1">
      <c r="A617" s="13"/>
      <c r="B617" s="21" t="str">
        <f>IFERROR(VLOOKUP(A617,'PAÑOL TÉCNICO'!A617:B1000,2,0))</f>
        <v/>
      </c>
      <c r="C617" s="9">
        <f>SUMIF(DIARIOS!D:D,A617,DIARIOS!F:F)</f>
        <v>0</v>
      </c>
      <c r="D617" s="12"/>
      <c r="E617" s="12"/>
    </row>
    <row r="618" ht="15.75" customHeight="1">
      <c r="A618" s="13"/>
      <c r="B618" s="21" t="str">
        <f>IFERROR(VLOOKUP(A618,'PAÑOL TÉCNICO'!A618:B1000,2,0))</f>
        <v/>
      </c>
      <c r="C618" s="9">
        <f>SUMIF(DIARIOS!D:D,A618,DIARIOS!F:F)</f>
        <v>0</v>
      </c>
      <c r="D618" s="12"/>
      <c r="E618" s="12"/>
    </row>
    <row r="619" ht="15.75" customHeight="1">
      <c r="A619" s="13"/>
      <c r="B619" s="21" t="str">
        <f>IFERROR(VLOOKUP(A619,'PAÑOL TÉCNICO'!A619:B1000,2,0))</f>
        <v/>
      </c>
      <c r="C619" s="9">
        <f>SUMIF(DIARIOS!D:D,A619,DIARIOS!F:F)</f>
        <v>0</v>
      </c>
      <c r="D619" s="12"/>
      <c r="E619" s="12"/>
    </row>
    <row r="620" ht="15.75" customHeight="1">
      <c r="A620" s="13"/>
      <c r="B620" s="21" t="str">
        <f>IFERROR(VLOOKUP(A620,'PAÑOL TÉCNICO'!A620:B1000,2,0))</f>
        <v/>
      </c>
      <c r="C620" s="9">
        <f>SUMIF(DIARIOS!D:D,A620,DIARIOS!F:F)</f>
        <v>0</v>
      </c>
      <c r="D620" s="12"/>
      <c r="E620" s="12"/>
    </row>
    <row r="621" ht="15.75" customHeight="1">
      <c r="A621" s="13"/>
      <c r="B621" s="21" t="str">
        <f>IFERROR(VLOOKUP(A621,'PAÑOL TÉCNICO'!A621:B1000,2,0))</f>
        <v/>
      </c>
      <c r="C621" s="9">
        <f>SUMIF(DIARIOS!D:D,A621,DIARIOS!F:F)</f>
        <v>0</v>
      </c>
      <c r="D621" s="12"/>
      <c r="E621" s="12"/>
    </row>
    <row r="622" ht="15.75" customHeight="1">
      <c r="A622" s="13"/>
      <c r="B622" s="21" t="str">
        <f>IFERROR(VLOOKUP(A622,'PAÑOL TÉCNICO'!A622:B1000,2,0))</f>
        <v/>
      </c>
      <c r="C622" s="9">
        <f>SUMIF(DIARIOS!D:D,A622,DIARIOS!F:F)</f>
        <v>0</v>
      </c>
      <c r="D622" s="12"/>
      <c r="E622" s="12"/>
    </row>
    <row r="623" ht="15.75" customHeight="1">
      <c r="A623" s="13"/>
      <c r="B623" s="21" t="str">
        <f>IFERROR(VLOOKUP(A623,'PAÑOL TÉCNICO'!A623:B1000,2,0))</f>
        <v/>
      </c>
      <c r="C623" s="9">
        <f>SUMIF(DIARIOS!D:D,A623,DIARIOS!F:F)</f>
        <v>0</v>
      </c>
      <c r="D623" s="12"/>
      <c r="E623" s="12"/>
    </row>
    <row r="624" ht="15.75" customHeight="1">
      <c r="A624" s="13"/>
      <c r="B624" s="21" t="str">
        <f>IFERROR(VLOOKUP(A624,'PAÑOL TÉCNICO'!A624:B1000,2,0))</f>
        <v/>
      </c>
      <c r="C624" s="9">
        <f>SUMIF(DIARIOS!D:D,A624,DIARIOS!F:F)</f>
        <v>0</v>
      </c>
      <c r="D624" s="12"/>
      <c r="E624" s="12"/>
    </row>
    <row r="625" ht="15.75" customHeight="1">
      <c r="A625" s="13"/>
      <c r="B625" s="21" t="str">
        <f>IFERROR(VLOOKUP(A625,'PAÑOL TÉCNICO'!A625:B1000,2,0))</f>
        <v/>
      </c>
      <c r="C625" s="9">
        <f>SUMIF(DIARIOS!D:D,A625,DIARIOS!F:F)</f>
        <v>0</v>
      </c>
      <c r="D625" s="12"/>
      <c r="E625" s="12"/>
    </row>
    <row r="626" ht="15.75" customHeight="1">
      <c r="A626" s="13"/>
      <c r="B626" s="21" t="str">
        <f>IFERROR(VLOOKUP(A626,'PAÑOL TÉCNICO'!A626:B1000,2,0))</f>
        <v/>
      </c>
      <c r="C626" s="9">
        <f>SUMIF(DIARIOS!D:D,A626,DIARIOS!F:F)</f>
        <v>0</v>
      </c>
      <c r="D626" s="12"/>
      <c r="E626" s="12"/>
    </row>
    <row r="627" ht="15.75" customHeight="1">
      <c r="A627" s="13"/>
      <c r="B627" s="21" t="str">
        <f>IFERROR(VLOOKUP(A627,'PAÑOL TÉCNICO'!A627:B1000,2,0))</f>
        <v/>
      </c>
      <c r="C627" s="9">
        <f>SUMIF(DIARIOS!D:D,A627,DIARIOS!F:F)</f>
        <v>0</v>
      </c>
      <c r="D627" s="12"/>
      <c r="E627" s="12"/>
    </row>
    <row r="628" ht="15.75" customHeight="1">
      <c r="A628" s="13"/>
      <c r="B628" s="21" t="str">
        <f>IFERROR(VLOOKUP(A628,'PAÑOL TÉCNICO'!A628:B1000,2,0))</f>
        <v/>
      </c>
      <c r="C628" s="9">
        <f>SUMIF(DIARIOS!D:D,A628,DIARIOS!F:F)</f>
        <v>0</v>
      </c>
      <c r="D628" s="12"/>
      <c r="E628" s="12"/>
    </row>
    <row r="629" ht="15.75" customHeight="1">
      <c r="A629" s="13"/>
      <c r="B629" s="21" t="str">
        <f>IFERROR(VLOOKUP(A629,'PAÑOL TÉCNICO'!A629:B1000,2,0))</f>
        <v/>
      </c>
      <c r="C629" s="9">
        <f>SUMIF(DIARIOS!D:D,A629,DIARIOS!F:F)</f>
        <v>0</v>
      </c>
      <c r="D629" s="12"/>
      <c r="E629" s="12"/>
    </row>
    <row r="630" ht="15.75" customHeight="1">
      <c r="A630" s="13"/>
      <c r="B630" s="21" t="str">
        <f>IFERROR(VLOOKUP(A630,'PAÑOL TÉCNICO'!A630:B1000,2,0))</f>
        <v/>
      </c>
      <c r="C630" s="9">
        <f>SUMIF(DIARIOS!D:D,A630,DIARIOS!F:F)</f>
        <v>0</v>
      </c>
      <c r="D630" s="12"/>
      <c r="E630" s="12"/>
    </row>
    <row r="631" ht="15.75" customHeight="1">
      <c r="A631" s="13"/>
      <c r="B631" s="21" t="str">
        <f>IFERROR(VLOOKUP(A631,'PAÑOL TÉCNICO'!A631:B1000,2,0))</f>
        <v/>
      </c>
      <c r="C631" s="9">
        <f>SUMIF(DIARIOS!D:D,A631,DIARIOS!F:F)</f>
        <v>0</v>
      </c>
      <c r="D631" s="12"/>
      <c r="E631" s="12"/>
    </row>
    <row r="632" ht="15.75" customHeight="1">
      <c r="A632" s="13"/>
      <c r="B632" s="21" t="str">
        <f>IFERROR(VLOOKUP(A632,'PAÑOL TÉCNICO'!A632:B1000,2,0))</f>
        <v/>
      </c>
      <c r="C632" s="9">
        <f>SUMIF(DIARIOS!D:D,A632,DIARIOS!F:F)</f>
        <v>0</v>
      </c>
      <c r="D632" s="12"/>
      <c r="E632" s="12"/>
    </row>
    <row r="633" ht="15.75" customHeight="1">
      <c r="A633" s="13"/>
      <c r="B633" s="21" t="str">
        <f>IFERROR(VLOOKUP(A633,'PAÑOL TÉCNICO'!A633:B1000,2,0))</f>
        <v/>
      </c>
      <c r="C633" s="9">
        <f>SUMIF(DIARIOS!D:D,A633,DIARIOS!F:F)</f>
        <v>0</v>
      </c>
      <c r="D633" s="12"/>
      <c r="E633" s="12"/>
    </row>
    <row r="634" ht="15.75" customHeight="1">
      <c r="A634" s="13"/>
      <c r="B634" s="21" t="str">
        <f>IFERROR(VLOOKUP(A634,'PAÑOL TÉCNICO'!A634:B1000,2,0))</f>
        <v/>
      </c>
      <c r="C634" s="9">
        <f>SUMIF(DIARIOS!D:D,A634,DIARIOS!F:F)</f>
        <v>0</v>
      </c>
      <c r="D634" s="12"/>
      <c r="E634" s="12"/>
    </row>
    <row r="635" ht="15.75" customHeight="1">
      <c r="A635" s="13"/>
      <c r="B635" s="21" t="str">
        <f>IFERROR(VLOOKUP(A635,'PAÑOL TÉCNICO'!A635:B1000,2,0))</f>
        <v/>
      </c>
      <c r="C635" s="9">
        <f>SUMIF(DIARIOS!D:D,A635,DIARIOS!F:F)</f>
        <v>0</v>
      </c>
      <c r="D635" s="12"/>
      <c r="E635" s="12"/>
    </row>
    <row r="636" ht="15.75" customHeight="1">
      <c r="A636" s="13"/>
      <c r="B636" s="21" t="str">
        <f>IFERROR(VLOOKUP(A636,'PAÑOL TÉCNICO'!A636:B1000,2,0))</f>
        <v/>
      </c>
      <c r="C636" s="9">
        <f>SUMIF(DIARIOS!D:D,A636,DIARIOS!F:F)</f>
        <v>0</v>
      </c>
      <c r="D636" s="12"/>
      <c r="E636" s="12"/>
    </row>
    <row r="637" ht="15.75" customHeight="1">
      <c r="A637" s="13"/>
      <c r="B637" s="21" t="str">
        <f>IFERROR(VLOOKUP(A637,'PAÑOL TÉCNICO'!A637:B1000,2,0))</f>
        <v/>
      </c>
      <c r="C637" s="9">
        <f>SUMIF(DIARIOS!D:D,A637,DIARIOS!F:F)</f>
        <v>0</v>
      </c>
      <c r="D637" s="12"/>
      <c r="E637" s="12"/>
    </row>
    <row r="638" ht="15.75" customHeight="1">
      <c r="A638" s="13"/>
      <c r="B638" s="21" t="str">
        <f>IFERROR(VLOOKUP(A638,'PAÑOL TÉCNICO'!A638:B1000,2,0))</f>
        <v/>
      </c>
      <c r="C638" s="9">
        <f>SUMIF(DIARIOS!D:D,A638,DIARIOS!F:F)</f>
        <v>0</v>
      </c>
      <c r="D638" s="12"/>
      <c r="E638" s="12"/>
    </row>
    <row r="639" ht="15.75" customHeight="1">
      <c r="A639" s="13"/>
      <c r="B639" s="21" t="str">
        <f>IFERROR(VLOOKUP(A639,'PAÑOL TÉCNICO'!A639:B1000,2,0))</f>
        <v/>
      </c>
      <c r="C639" s="9">
        <f>SUMIF(DIARIOS!D:D,A639,DIARIOS!F:F)</f>
        <v>0</v>
      </c>
      <c r="D639" s="12"/>
      <c r="E639" s="12"/>
    </row>
    <row r="640" ht="15.75" customHeight="1">
      <c r="A640" s="13"/>
      <c r="B640" s="21" t="str">
        <f>IFERROR(VLOOKUP(A640,'PAÑOL TÉCNICO'!A640:B1000,2,0))</f>
        <v/>
      </c>
      <c r="C640" s="9">
        <f>SUMIF(DIARIOS!D:D,A640,DIARIOS!F:F)</f>
        <v>0</v>
      </c>
      <c r="D640" s="12"/>
      <c r="E640" s="12"/>
    </row>
    <row r="641" ht="15.75" customHeight="1">
      <c r="A641" s="13"/>
      <c r="B641" s="21" t="str">
        <f>IFERROR(VLOOKUP(A641,'PAÑOL TÉCNICO'!A641:B1000,2,0))</f>
        <v/>
      </c>
      <c r="C641" s="9">
        <f>SUMIF(DIARIOS!D:D,A641,DIARIOS!F:F)</f>
        <v>0</v>
      </c>
      <c r="D641" s="12"/>
      <c r="E641" s="12"/>
    </row>
    <row r="642" ht="15.75" customHeight="1">
      <c r="A642" s="13"/>
      <c r="B642" s="21" t="str">
        <f>IFERROR(VLOOKUP(A642,'PAÑOL TÉCNICO'!A642:B1000,2,0))</f>
        <v/>
      </c>
      <c r="C642" s="9">
        <f>SUMIF(DIARIOS!D:D,A642,DIARIOS!F:F)</f>
        <v>0</v>
      </c>
      <c r="D642" s="12"/>
      <c r="E642" s="12"/>
    </row>
    <row r="643" ht="15.75" customHeight="1">
      <c r="A643" s="13"/>
      <c r="B643" s="21" t="str">
        <f>IFERROR(VLOOKUP(A643,'PAÑOL TÉCNICO'!A643:B1000,2,0))</f>
        <v/>
      </c>
      <c r="C643" s="9">
        <f>SUMIF(DIARIOS!D:D,A643,DIARIOS!F:F)</f>
        <v>0</v>
      </c>
      <c r="D643" s="12"/>
      <c r="E643" s="12"/>
    </row>
    <row r="644" ht="15.75" customHeight="1">
      <c r="A644" s="13"/>
      <c r="B644" s="21" t="str">
        <f>IFERROR(VLOOKUP(A644,'PAÑOL TÉCNICO'!A644:B1000,2,0))</f>
        <v/>
      </c>
      <c r="C644" s="9">
        <f>SUMIF(DIARIOS!D:D,A644,DIARIOS!F:F)</f>
        <v>0</v>
      </c>
      <c r="D644" s="12"/>
      <c r="E644" s="12"/>
    </row>
    <row r="645" ht="15.75" customHeight="1">
      <c r="A645" s="13"/>
      <c r="B645" s="21" t="str">
        <f>IFERROR(VLOOKUP(A645,'PAÑOL TÉCNICO'!A645:B1000,2,0))</f>
        <v/>
      </c>
      <c r="C645" s="9">
        <f>SUMIF(DIARIOS!D:D,A645,DIARIOS!F:F)</f>
        <v>0</v>
      </c>
      <c r="D645" s="12"/>
      <c r="E645" s="12"/>
    </row>
    <row r="646" ht="15.75" customHeight="1">
      <c r="A646" s="13"/>
      <c r="B646" s="21" t="str">
        <f>IFERROR(VLOOKUP(A646,'PAÑOL TÉCNICO'!A646:B1000,2,0))</f>
        <v/>
      </c>
      <c r="C646" s="9">
        <f>SUMIF(DIARIOS!D:D,A646,DIARIOS!F:F)</f>
        <v>0</v>
      </c>
      <c r="D646" s="12"/>
      <c r="E646" s="12"/>
    </row>
    <row r="647" ht="15.75" customHeight="1">
      <c r="A647" s="13"/>
      <c r="B647" s="21" t="str">
        <f>IFERROR(VLOOKUP(A647,'PAÑOL TÉCNICO'!A647:B1000,2,0))</f>
        <v/>
      </c>
      <c r="C647" s="9">
        <f>SUMIF(DIARIOS!D:D,A647,DIARIOS!F:F)</f>
        <v>0</v>
      </c>
      <c r="D647" s="12"/>
      <c r="E647" s="12"/>
    </row>
    <row r="648" ht="15.75" customHeight="1">
      <c r="A648" s="13"/>
      <c r="B648" s="21" t="str">
        <f>IFERROR(VLOOKUP(A648,'PAÑOL TÉCNICO'!A648:B1000,2,0))</f>
        <v/>
      </c>
      <c r="C648" s="9">
        <f>SUMIF(DIARIOS!D:D,A648,DIARIOS!F:F)</f>
        <v>0</v>
      </c>
      <c r="D648" s="12"/>
      <c r="E648" s="12"/>
    </row>
    <row r="649" ht="15.75" customHeight="1">
      <c r="A649" s="13"/>
      <c r="B649" s="21" t="str">
        <f>IFERROR(VLOOKUP(A649,'PAÑOL TÉCNICO'!A649:B1000,2,0))</f>
        <v/>
      </c>
      <c r="C649" s="9">
        <f>SUMIF(DIARIOS!D:D,A649,DIARIOS!F:F)</f>
        <v>0</v>
      </c>
      <c r="D649" s="12"/>
      <c r="E649" s="12"/>
    </row>
    <row r="650" ht="15.75" customHeight="1">
      <c r="A650" s="13"/>
      <c r="B650" s="21" t="str">
        <f>IFERROR(VLOOKUP(A650,'PAÑOL TÉCNICO'!A650:B1000,2,0))</f>
        <v/>
      </c>
      <c r="C650" s="9">
        <f>SUMIF(DIARIOS!D:D,A650,DIARIOS!F:F)</f>
        <v>0</v>
      </c>
      <c r="D650" s="12"/>
      <c r="E650" s="12"/>
    </row>
    <row r="651" ht="15.75" customHeight="1">
      <c r="A651" s="13"/>
      <c r="B651" s="21" t="str">
        <f>IFERROR(VLOOKUP(A651,'PAÑOL TÉCNICO'!A651:B1000,2,0))</f>
        <v/>
      </c>
      <c r="C651" s="9">
        <f>SUMIF(DIARIOS!D:D,A651,DIARIOS!F:F)</f>
        <v>0</v>
      </c>
      <c r="D651" s="12"/>
      <c r="E651" s="12"/>
    </row>
    <row r="652" ht="15.75" customHeight="1">
      <c r="A652" s="13"/>
      <c r="B652" s="21" t="str">
        <f>IFERROR(VLOOKUP(A652,'PAÑOL TÉCNICO'!A652:B1000,2,0))</f>
        <v/>
      </c>
      <c r="C652" s="9">
        <f>SUMIF(DIARIOS!D:D,A652,DIARIOS!F:F)</f>
        <v>0</v>
      </c>
      <c r="D652" s="12"/>
      <c r="E652" s="12"/>
    </row>
    <row r="653" ht="15.75" customHeight="1">
      <c r="A653" s="13"/>
      <c r="B653" s="21" t="str">
        <f>IFERROR(VLOOKUP(A653,'PAÑOL TÉCNICO'!A653:B1000,2,0))</f>
        <v/>
      </c>
      <c r="C653" s="9">
        <f>SUMIF(DIARIOS!D:D,A653,DIARIOS!F:F)</f>
        <v>0</v>
      </c>
      <c r="D653" s="12"/>
      <c r="E653" s="12"/>
    </row>
    <row r="654" ht="15.75" customHeight="1">
      <c r="A654" s="13"/>
      <c r="B654" s="21" t="str">
        <f>IFERROR(VLOOKUP(A654,'PAÑOL TÉCNICO'!A654:B1000,2,0))</f>
        <v/>
      </c>
      <c r="C654" s="9">
        <f>SUMIF(DIARIOS!D:D,A654,DIARIOS!F:F)</f>
        <v>0</v>
      </c>
      <c r="D654" s="12"/>
      <c r="E654" s="12"/>
    </row>
    <row r="655" ht="15.75" customHeight="1">
      <c r="A655" s="13"/>
      <c r="B655" s="21" t="str">
        <f>IFERROR(VLOOKUP(A655,'PAÑOL TÉCNICO'!A655:B1000,2,0))</f>
        <v/>
      </c>
      <c r="C655" s="9">
        <f>SUMIF(DIARIOS!D:D,A655,DIARIOS!F:F)</f>
        <v>0</v>
      </c>
      <c r="D655" s="12"/>
      <c r="E655" s="12"/>
    </row>
    <row r="656" ht="15.75" customHeight="1">
      <c r="A656" s="13"/>
      <c r="B656" s="21" t="str">
        <f>IFERROR(VLOOKUP(A656,'PAÑOL TÉCNICO'!A656:B1000,2,0))</f>
        <v/>
      </c>
      <c r="C656" s="9">
        <f>SUMIF(DIARIOS!D:D,A656,DIARIOS!F:F)</f>
        <v>0</v>
      </c>
      <c r="D656" s="12"/>
      <c r="E656" s="12"/>
    </row>
    <row r="657" ht="15.75" customHeight="1">
      <c r="A657" s="13"/>
      <c r="B657" s="21" t="str">
        <f>IFERROR(VLOOKUP(A657,'PAÑOL TÉCNICO'!A657:B1000,2,0))</f>
        <v/>
      </c>
      <c r="C657" s="9">
        <f>SUMIF(DIARIOS!D:D,A657,DIARIOS!F:F)</f>
        <v>0</v>
      </c>
      <c r="D657" s="12"/>
      <c r="E657" s="12"/>
    </row>
    <row r="658" ht="15.75" customHeight="1">
      <c r="A658" s="13"/>
      <c r="B658" s="21" t="str">
        <f>IFERROR(VLOOKUP(A658,'PAÑOL TÉCNICO'!A658:B1000,2,0))</f>
        <v/>
      </c>
      <c r="C658" s="9">
        <f>SUMIF(DIARIOS!D:D,A658,DIARIOS!F:F)</f>
        <v>0</v>
      </c>
      <c r="D658" s="12"/>
      <c r="E658" s="12"/>
    </row>
    <row r="659" ht="15.75" customHeight="1">
      <c r="A659" s="13"/>
      <c r="B659" s="21" t="str">
        <f>IFERROR(VLOOKUP(A659,'PAÑOL TÉCNICO'!A659:B1000,2,0))</f>
        <v/>
      </c>
      <c r="C659" s="9">
        <f>SUMIF(DIARIOS!D:D,A659,DIARIOS!F:F)</f>
        <v>0</v>
      </c>
      <c r="D659" s="12"/>
      <c r="E659" s="12"/>
    </row>
    <row r="660" ht="15.75" customHeight="1">
      <c r="A660" s="13"/>
      <c r="B660" s="21" t="str">
        <f>IFERROR(VLOOKUP(A660,'PAÑOL TÉCNICO'!A660:B1000,2,0))</f>
        <v/>
      </c>
      <c r="C660" s="9">
        <f>SUMIF(DIARIOS!D:D,A660,DIARIOS!F:F)</f>
        <v>0</v>
      </c>
      <c r="D660" s="12"/>
      <c r="E660" s="12"/>
    </row>
    <row r="661" ht="15.75" customHeight="1">
      <c r="A661" s="13"/>
      <c r="B661" s="21" t="str">
        <f>IFERROR(VLOOKUP(A661,'PAÑOL TÉCNICO'!A661:B1000,2,0))</f>
        <v/>
      </c>
      <c r="C661" s="9">
        <f>SUMIF(DIARIOS!D:D,A661,DIARIOS!F:F)</f>
        <v>0</v>
      </c>
      <c r="D661" s="12"/>
      <c r="E661" s="12"/>
    </row>
    <row r="662" ht="15.75" customHeight="1">
      <c r="A662" s="13"/>
      <c r="B662" s="21" t="str">
        <f>IFERROR(VLOOKUP(A662,'PAÑOL TÉCNICO'!A662:B1000,2,0))</f>
        <v/>
      </c>
      <c r="C662" s="9">
        <f>SUMIF(DIARIOS!D:D,A662,DIARIOS!F:F)</f>
        <v>0</v>
      </c>
      <c r="D662" s="12"/>
      <c r="E662" s="12"/>
    </row>
    <row r="663" ht="15.75" customHeight="1">
      <c r="A663" s="13"/>
      <c r="B663" s="21" t="str">
        <f>IFERROR(VLOOKUP(A663,'PAÑOL TÉCNICO'!A663:B1000,2,0))</f>
        <v/>
      </c>
      <c r="C663" s="9">
        <f>SUMIF(DIARIOS!D:D,A663,DIARIOS!F:F)</f>
        <v>0</v>
      </c>
      <c r="D663" s="12"/>
      <c r="E663" s="12"/>
    </row>
    <row r="664" ht="15.75" customHeight="1">
      <c r="A664" s="13"/>
      <c r="B664" s="21" t="str">
        <f>IFERROR(VLOOKUP(A664,'PAÑOL TÉCNICO'!A664:B1000,2,0))</f>
        <v/>
      </c>
      <c r="C664" s="9">
        <f>SUMIF(DIARIOS!D:D,A664,DIARIOS!F:F)</f>
        <v>0</v>
      </c>
      <c r="D664" s="12"/>
      <c r="E664" s="12"/>
    </row>
    <row r="665" ht="15.75" customHeight="1">
      <c r="A665" s="13"/>
      <c r="B665" s="21" t="str">
        <f>IFERROR(VLOOKUP(A665,'PAÑOL TÉCNICO'!A665:B1000,2,0))</f>
        <v/>
      </c>
      <c r="C665" s="9">
        <f>SUMIF(DIARIOS!D:D,A665,DIARIOS!F:F)</f>
        <v>0</v>
      </c>
      <c r="D665" s="12"/>
      <c r="E665" s="12"/>
    </row>
    <row r="666" ht="15.75" customHeight="1">
      <c r="A666" s="13"/>
      <c r="B666" s="21" t="str">
        <f>IFERROR(VLOOKUP(A666,'PAÑOL TÉCNICO'!A666:B1000,2,0))</f>
        <v/>
      </c>
      <c r="C666" s="9">
        <f>SUMIF(DIARIOS!D:D,A666,DIARIOS!F:F)</f>
        <v>0</v>
      </c>
      <c r="D666" s="12"/>
      <c r="E666" s="12"/>
    </row>
    <row r="667" ht="15.75" customHeight="1">
      <c r="A667" s="13"/>
      <c r="B667" s="21" t="str">
        <f>IFERROR(VLOOKUP(A667,'PAÑOL TÉCNICO'!A667:B1000,2,0))</f>
        <v/>
      </c>
      <c r="C667" s="9">
        <f>SUMIF(DIARIOS!D:D,A667,DIARIOS!F:F)</f>
        <v>0</v>
      </c>
      <c r="D667" s="12"/>
      <c r="E667" s="12"/>
    </row>
    <row r="668" ht="15.75" customHeight="1">
      <c r="A668" s="13"/>
      <c r="B668" s="21" t="str">
        <f>IFERROR(VLOOKUP(A668,'PAÑOL TÉCNICO'!A668:B1000,2,0))</f>
        <v/>
      </c>
      <c r="C668" s="9">
        <f>SUMIF(DIARIOS!D:D,A668,DIARIOS!F:F)</f>
        <v>0</v>
      </c>
      <c r="D668" s="12"/>
      <c r="E668" s="12"/>
    </row>
    <row r="669" ht="15.75" customHeight="1">
      <c r="A669" s="13"/>
      <c r="B669" s="21" t="str">
        <f>IFERROR(VLOOKUP(A669,'PAÑOL TÉCNICO'!A669:B1000,2,0))</f>
        <v/>
      </c>
      <c r="C669" s="9">
        <f>SUMIF(DIARIOS!D:D,A669,DIARIOS!F:F)</f>
        <v>0</v>
      </c>
      <c r="D669" s="12"/>
      <c r="E669" s="12"/>
    </row>
    <row r="670" ht="15.75" customHeight="1">
      <c r="A670" s="13"/>
      <c r="B670" s="21" t="str">
        <f>IFERROR(VLOOKUP(A670,'PAÑOL TÉCNICO'!A670:B1000,2,0))</f>
        <v/>
      </c>
      <c r="C670" s="9">
        <f>SUMIF(DIARIOS!D:D,A670,DIARIOS!F:F)</f>
        <v>0</v>
      </c>
      <c r="D670" s="12"/>
      <c r="E670" s="12"/>
    </row>
    <row r="671" ht="15.75" customHeight="1">
      <c r="A671" s="13"/>
      <c r="B671" s="21" t="str">
        <f>IFERROR(VLOOKUP(A671,'PAÑOL TÉCNICO'!A671:B1000,2,0))</f>
        <v/>
      </c>
      <c r="C671" s="9">
        <f>SUMIF(DIARIOS!D:D,A671,DIARIOS!F:F)</f>
        <v>0</v>
      </c>
      <c r="D671" s="12"/>
      <c r="E671" s="12"/>
    </row>
    <row r="672" ht="15.75" customHeight="1">
      <c r="A672" s="13"/>
      <c r="B672" s="21" t="str">
        <f>IFERROR(VLOOKUP(A672,'PAÑOL TÉCNICO'!A672:B1000,2,0))</f>
        <v/>
      </c>
      <c r="C672" s="9">
        <f>SUMIF(DIARIOS!D:D,A672,DIARIOS!F:F)</f>
        <v>0</v>
      </c>
      <c r="D672" s="12"/>
      <c r="E672" s="12"/>
    </row>
    <row r="673" ht="15.75" customHeight="1">
      <c r="A673" s="13"/>
      <c r="B673" s="21" t="str">
        <f>IFERROR(VLOOKUP(A673,'PAÑOL TÉCNICO'!A673:B1000,2,0))</f>
        <v/>
      </c>
      <c r="C673" s="9">
        <f>SUMIF(DIARIOS!D:D,A673,DIARIOS!F:F)</f>
        <v>0</v>
      </c>
      <c r="D673" s="12"/>
      <c r="E673" s="12"/>
    </row>
    <row r="674" ht="15.75" customHeight="1">
      <c r="A674" s="13"/>
      <c r="B674" s="21" t="str">
        <f>IFERROR(VLOOKUP(A674,'PAÑOL TÉCNICO'!A674:B1000,2,0))</f>
        <v/>
      </c>
      <c r="C674" s="9">
        <f>SUMIF(DIARIOS!D:D,A674,DIARIOS!F:F)</f>
        <v>0</v>
      </c>
      <c r="D674" s="12"/>
      <c r="E674" s="12"/>
    </row>
    <row r="675" ht="15.75" customHeight="1">
      <c r="A675" s="13"/>
      <c r="B675" s="21" t="str">
        <f>IFERROR(VLOOKUP(A675,'PAÑOL TÉCNICO'!A675:B1000,2,0))</f>
        <v/>
      </c>
      <c r="C675" s="9">
        <f>SUMIF(DIARIOS!D:D,A675,DIARIOS!F:F)</f>
        <v>0</v>
      </c>
      <c r="D675" s="12"/>
      <c r="E675" s="12"/>
    </row>
    <row r="676" ht="15.75" customHeight="1">
      <c r="A676" s="13"/>
      <c r="B676" s="21" t="str">
        <f>IFERROR(VLOOKUP(A676,'PAÑOL TÉCNICO'!A676:B1000,2,0))</f>
        <v/>
      </c>
      <c r="C676" s="9">
        <f>SUMIF(DIARIOS!D:D,A676,DIARIOS!F:F)</f>
        <v>0</v>
      </c>
      <c r="D676" s="12"/>
      <c r="E676" s="12"/>
    </row>
    <row r="677" ht="15.75" customHeight="1">
      <c r="A677" s="13"/>
      <c r="B677" s="21" t="str">
        <f>IFERROR(VLOOKUP(A677,'PAÑOL TÉCNICO'!A677:B1000,2,0))</f>
        <v/>
      </c>
      <c r="C677" s="9">
        <f>SUMIF(DIARIOS!D:D,A677,DIARIOS!F:F)</f>
        <v>0</v>
      </c>
      <c r="D677" s="12"/>
      <c r="E677" s="12"/>
    </row>
    <row r="678" ht="15.75" customHeight="1">
      <c r="A678" s="13"/>
      <c r="B678" s="21" t="str">
        <f>IFERROR(VLOOKUP(A678,'PAÑOL TÉCNICO'!A678:B1000,2,0))</f>
        <v/>
      </c>
      <c r="C678" s="9">
        <f>SUMIF(DIARIOS!D:D,A678,DIARIOS!F:F)</f>
        <v>0</v>
      </c>
      <c r="D678" s="12"/>
      <c r="E678" s="12"/>
    </row>
    <row r="679" ht="15.75" customHeight="1">
      <c r="A679" s="13"/>
      <c r="B679" s="21" t="str">
        <f>IFERROR(VLOOKUP(A679,'PAÑOL TÉCNICO'!A679:B1000,2,0))</f>
        <v/>
      </c>
      <c r="C679" s="9">
        <f>SUMIF(DIARIOS!D:D,A679,DIARIOS!F:F)</f>
        <v>0</v>
      </c>
      <c r="D679" s="12"/>
      <c r="E679" s="12"/>
    </row>
    <row r="680" ht="15.75" customHeight="1">
      <c r="A680" s="13"/>
      <c r="B680" s="21" t="str">
        <f>IFERROR(VLOOKUP(A680,'PAÑOL TÉCNICO'!A680:B1000,2,0))</f>
        <v/>
      </c>
      <c r="C680" s="9">
        <f>SUMIF(DIARIOS!D:D,A680,DIARIOS!F:F)</f>
        <v>0</v>
      </c>
      <c r="D680" s="12"/>
      <c r="E680" s="12"/>
    </row>
    <row r="681" ht="15.75" customHeight="1">
      <c r="A681" s="13"/>
      <c r="B681" s="21" t="str">
        <f>IFERROR(VLOOKUP(A681,'PAÑOL TÉCNICO'!A681:B1000,2,0))</f>
        <v/>
      </c>
      <c r="C681" s="9">
        <f>SUMIF(DIARIOS!D:D,A681,DIARIOS!F:F)</f>
        <v>0</v>
      </c>
      <c r="D681" s="12"/>
      <c r="E681" s="12"/>
    </row>
    <row r="682" ht="15.75" customHeight="1">
      <c r="A682" s="13"/>
      <c r="B682" s="21" t="str">
        <f>IFERROR(VLOOKUP(A682,'PAÑOL TÉCNICO'!A682:B1000,2,0))</f>
        <v/>
      </c>
      <c r="C682" s="9">
        <f>SUMIF(DIARIOS!D:D,A682,DIARIOS!F:F)</f>
        <v>0</v>
      </c>
      <c r="D682" s="12"/>
      <c r="E682" s="12"/>
    </row>
    <row r="683" ht="15.75" customHeight="1">
      <c r="A683" s="13"/>
      <c r="B683" s="21" t="str">
        <f>IFERROR(VLOOKUP(A683,'PAÑOL TÉCNICO'!A683:B1000,2,0))</f>
        <v/>
      </c>
      <c r="C683" s="9">
        <f>SUMIF(DIARIOS!D:D,A683,DIARIOS!F:F)</f>
        <v>0</v>
      </c>
      <c r="D683" s="12"/>
      <c r="E683" s="12"/>
    </row>
    <row r="684" ht="15.75" customHeight="1">
      <c r="A684" s="13"/>
      <c r="B684" s="21" t="str">
        <f>IFERROR(VLOOKUP(A684,'PAÑOL TÉCNICO'!A684:B1000,2,0))</f>
        <v/>
      </c>
      <c r="C684" s="9">
        <f>SUMIF(DIARIOS!D:D,A684,DIARIOS!F:F)</f>
        <v>0</v>
      </c>
      <c r="D684" s="12"/>
      <c r="E684" s="12"/>
    </row>
    <row r="685" ht="15.75" customHeight="1">
      <c r="A685" s="13"/>
      <c r="B685" s="21" t="str">
        <f>IFERROR(VLOOKUP(A685,'PAÑOL TÉCNICO'!A685:B1000,2,0))</f>
        <v/>
      </c>
      <c r="C685" s="9">
        <f>SUMIF(DIARIOS!D:D,A685,DIARIOS!F:F)</f>
        <v>0</v>
      </c>
      <c r="D685" s="12"/>
      <c r="E685" s="12"/>
    </row>
    <row r="686" ht="15.75" customHeight="1">
      <c r="A686" s="13"/>
      <c r="B686" s="21" t="str">
        <f>IFERROR(VLOOKUP(A686,'PAÑOL TÉCNICO'!A686:B1000,2,0))</f>
        <v/>
      </c>
      <c r="C686" s="9">
        <f>SUMIF(DIARIOS!D:D,A686,DIARIOS!F:F)</f>
        <v>0</v>
      </c>
      <c r="D686" s="12"/>
      <c r="E686" s="12"/>
    </row>
    <row r="687" ht="15.75" customHeight="1">
      <c r="A687" s="13"/>
      <c r="B687" s="21" t="str">
        <f>IFERROR(VLOOKUP(A687,'PAÑOL TÉCNICO'!A687:B1000,2,0))</f>
        <v/>
      </c>
      <c r="C687" s="9">
        <f>SUMIF(DIARIOS!D:D,A687,DIARIOS!F:F)</f>
        <v>0</v>
      </c>
      <c r="D687" s="12"/>
      <c r="E687" s="12"/>
    </row>
    <row r="688" ht="15.75" customHeight="1">
      <c r="A688" s="13"/>
      <c r="B688" s="21" t="str">
        <f>IFERROR(VLOOKUP(A688,'PAÑOL TÉCNICO'!A688:B1000,2,0))</f>
        <v/>
      </c>
      <c r="C688" s="9">
        <f>SUMIF(DIARIOS!D:D,A688,DIARIOS!F:F)</f>
        <v>0</v>
      </c>
      <c r="D688" s="12"/>
      <c r="E688" s="12"/>
    </row>
    <row r="689" ht="15.75" customHeight="1">
      <c r="A689" s="13"/>
      <c r="B689" s="21" t="str">
        <f>IFERROR(VLOOKUP(A689,'PAÑOL TÉCNICO'!A689:B1000,2,0))</f>
        <v/>
      </c>
      <c r="C689" s="9">
        <f>SUMIF(DIARIOS!D:D,A689,DIARIOS!F:F)</f>
        <v>0</v>
      </c>
      <c r="D689" s="12"/>
      <c r="E689" s="12"/>
    </row>
    <row r="690" ht="15.75" customHeight="1">
      <c r="A690" s="13"/>
      <c r="B690" s="21" t="str">
        <f>IFERROR(VLOOKUP(A690,'PAÑOL TÉCNICO'!A690:B1000,2,0))</f>
        <v/>
      </c>
      <c r="C690" s="9">
        <f>SUMIF(DIARIOS!D:D,A690,DIARIOS!F:F)</f>
        <v>0</v>
      </c>
      <c r="D690" s="12"/>
      <c r="E690" s="12"/>
    </row>
    <row r="691" ht="15.75" customHeight="1">
      <c r="A691" s="13"/>
      <c r="B691" s="21" t="str">
        <f>IFERROR(VLOOKUP(A691,'PAÑOL TÉCNICO'!A691:B1000,2,0))</f>
        <v/>
      </c>
      <c r="C691" s="9">
        <f>SUMIF(DIARIOS!D:D,A691,DIARIOS!F:F)</f>
        <v>0</v>
      </c>
      <c r="D691" s="12"/>
      <c r="E691" s="12"/>
    </row>
    <row r="692" ht="15.75" customHeight="1">
      <c r="A692" s="13"/>
      <c r="B692" s="21" t="str">
        <f>IFERROR(VLOOKUP(A692,'PAÑOL TÉCNICO'!A692:B1000,2,0))</f>
        <v/>
      </c>
      <c r="C692" s="9">
        <f>SUMIF(DIARIOS!D:D,A692,DIARIOS!F:F)</f>
        <v>0</v>
      </c>
      <c r="D692" s="12"/>
      <c r="E692" s="12"/>
    </row>
    <row r="693" ht="15.75" customHeight="1">
      <c r="A693" s="13"/>
      <c r="B693" s="21" t="str">
        <f>IFERROR(VLOOKUP(A693,'PAÑOL TÉCNICO'!A693:B1000,2,0))</f>
        <v/>
      </c>
      <c r="C693" s="9">
        <f>SUMIF(DIARIOS!D:D,A693,DIARIOS!F:F)</f>
        <v>0</v>
      </c>
      <c r="D693" s="12"/>
      <c r="E693" s="12"/>
    </row>
    <row r="694" ht="15.75" customHeight="1">
      <c r="A694" s="13"/>
      <c r="B694" s="21" t="str">
        <f>IFERROR(VLOOKUP(A694,'PAÑOL TÉCNICO'!A694:B1000,2,0))</f>
        <v/>
      </c>
      <c r="C694" s="9">
        <f>SUMIF(DIARIOS!D:D,A694,DIARIOS!F:F)</f>
        <v>0</v>
      </c>
      <c r="D694" s="12"/>
      <c r="E694" s="12"/>
    </row>
    <row r="695" ht="15.75" customHeight="1">
      <c r="A695" s="13"/>
      <c r="B695" s="21" t="str">
        <f>IFERROR(VLOOKUP(A695,'PAÑOL TÉCNICO'!A695:B1000,2,0))</f>
        <v/>
      </c>
      <c r="C695" s="9">
        <f>SUMIF(DIARIOS!D:D,A695,DIARIOS!F:F)</f>
        <v>0</v>
      </c>
      <c r="D695" s="12"/>
      <c r="E695" s="12"/>
    </row>
    <row r="696" ht="15.75" customHeight="1">
      <c r="A696" s="13"/>
      <c r="B696" s="21" t="str">
        <f>IFERROR(VLOOKUP(A696,'PAÑOL TÉCNICO'!A696:B1000,2,0))</f>
        <v/>
      </c>
      <c r="C696" s="9">
        <f>SUMIF(DIARIOS!D:D,A696,DIARIOS!F:F)</f>
        <v>0</v>
      </c>
      <c r="D696" s="12"/>
      <c r="E696" s="12"/>
    </row>
    <row r="697" ht="15.75" customHeight="1">
      <c r="A697" s="13"/>
      <c r="B697" s="21" t="str">
        <f>IFERROR(VLOOKUP(A697,'PAÑOL TÉCNICO'!A697:B1000,2,0))</f>
        <v/>
      </c>
      <c r="C697" s="9">
        <f>SUMIF(DIARIOS!D:D,A697,DIARIOS!F:F)</f>
        <v>0</v>
      </c>
      <c r="D697" s="12"/>
      <c r="E697" s="12"/>
    </row>
    <row r="698" ht="15.75" customHeight="1">
      <c r="A698" s="13"/>
      <c r="B698" s="21" t="str">
        <f>IFERROR(VLOOKUP(A698,'PAÑOL TÉCNICO'!A698:B1000,2,0))</f>
        <v/>
      </c>
      <c r="C698" s="9">
        <f>SUMIF(DIARIOS!D:D,A698,DIARIOS!F:F)</f>
        <v>0</v>
      </c>
      <c r="D698" s="12"/>
      <c r="E698" s="12"/>
    </row>
    <row r="699" ht="15.75" customHeight="1">
      <c r="A699" s="13"/>
      <c r="B699" s="21" t="str">
        <f>IFERROR(VLOOKUP(A699,'PAÑOL TÉCNICO'!A699:B1000,2,0))</f>
        <v/>
      </c>
      <c r="C699" s="9">
        <f>SUMIF(DIARIOS!D:D,A699,DIARIOS!F:F)</f>
        <v>0</v>
      </c>
      <c r="D699" s="12"/>
      <c r="E699" s="12"/>
    </row>
    <row r="700" ht="15.75" customHeight="1">
      <c r="A700" s="13"/>
      <c r="B700" s="21" t="str">
        <f>IFERROR(VLOOKUP(A700,'PAÑOL TÉCNICO'!A700:B1000,2,0))</f>
        <v/>
      </c>
      <c r="C700" s="9">
        <f>SUMIF(DIARIOS!D:D,A700,DIARIOS!F:F)</f>
        <v>0</v>
      </c>
      <c r="D700" s="12"/>
      <c r="E700" s="12"/>
    </row>
    <row r="701" ht="15.75" customHeight="1">
      <c r="A701" s="13"/>
      <c r="B701" s="21" t="str">
        <f>IFERROR(VLOOKUP(A701,'PAÑOL TÉCNICO'!A701:B1000,2,0))</f>
        <v/>
      </c>
      <c r="C701" s="9">
        <f>SUMIF(DIARIOS!D:D,A701,DIARIOS!F:F)</f>
        <v>0</v>
      </c>
      <c r="D701" s="12"/>
      <c r="E701" s="12"/>
    </row>
    <row r="702" ht="15.75" customHeight="1">
      <c r="A702" s="13"/>
      <c r="B702" s="21" t="str">
        <f>IFERROR(VLOOKUP(A702,'PAÑOL TÉCNICO'!A702:B1000,2,0))</f>
        <v/>
      </c>
      <c r="C702" s="9">
        <f>SUMIF(DIARIOS!D:D,A702,DIARIOS!F:F)</f>
        <v>0</v>
      </c>
      <c r="D702" s="12"/>
      <c r="E702" s="12"/>
    </row>
    <row r="703" ht="15.75" customHeight="1">
      <c r="A703" s="13"/>
      <c r="B703" s="21" t="str">
        <f>IFERROR(VLOOKUP(A703,'PAÑOL TÉCNICO'!A703:B1000,2,0))</f>
        <v/>
      </c>
      <c r="C703" s="9">
        <f>SUMIF(DIARIOS!D:D,A703,DIARIOS!F:F)</f>
        <v>0</v>
      </c>
      <c r="D703" s="12"/>
      <c r="E703" s="12"/>
    </row>
    <row r="704" ht="15.75" customHeight="1">
      <c r="A704" s="13"/>
      <c r="B704" s="21" t="str">
        <f>IFERROR(VLOOKUP(A704,'PAÑOL TÉCNICO'!A704:B1000,2,0))</f>
        <v/>
      </c>
      <c r="C704" s="9">
        <f>SUMIF(DIARIOS!D:D,A704,DIARIOS!F:F)</f>
        <v>0</v>
      </c>
      <c r="D704" s="12"/>
      <c r="E704" s="12"/>
    </row>
    <row r="705" ht="15.75" customHeight="1">
      <c r="A705" s="13"/>
      <c r="B705" s="21" t="str">
        <f>IFERROR(VLOOKUP(A705,'PAÑOL TÉCNICO'!A705:B1000,2,0))</f>
        <v/>
      </c>
      <c r="C705" s="9">
        <f>SUMIF(DIARIOS!D:D,A705,DIARIOS!F:F)</f>
        <v>0</v>
      </c>
      <c r="D705" s="12"/>
      <c r="E705" s="12"/>
    </row>
    <row r="706" ht="15.75" customHeight="1">
      <c r="A706" s="13"/>
      <c r="B706" s="21" t="str">
        <f>IFERROR(VLOOKUP(A706,'PAÑOL TÉCNICO'!A706:B1000,2,0))</f>
        <v/>
      </c>
      <c r="C706" s="9">
        <f>SUMIF(DIARIOS!D:D,A706,DIARIOS!F:F)</f>
        <v>0</v>
      </c>
      <c r="D706" s="12"/>
      <c r="E706" s="12"/>
    </row>
    <row r="707" ht="15.75" customHeight="1">
      <c r="A707" s="13"/>
      <c r="B707" s="21" t="str">
        <f>IFERROR(VLOOKUP(A707,'PAÑOL TÉCNICO'!A707:B1000,2,0))</f>
        <v/>
      </c>
      <c r="C707" s="9">
        <f>SUMIF(DIARIOS!D:D,A707,DIARIOS!F:F)</f>
        <v>0</v>
      </c>
      <c r="D707" s="12"/>
      <c r="E707" s="12"/>
    </row>
    <row r="708" ht="15.75" customHeight="1">
      <c r="A708" s="13"/>
      <c r="B708" s="21" t="str">
        <f>IFERROR(VLOOKUP(A708,'PAÑOL TÉCNICO'!A708:B1000,2,0))</f>
        <v/>
      </c>
      <c r="C708" s="9">
        <f>SUMIF(DIARIOS!D:D,A708,DIARIOS!F:F)</f>
        <v>0</v>
      </c>
      <c r="D708" s="12"/>
      <c r="E708" s="12"/>
    </row>
    <row r="709" ht="15.75" customHeight="1">
      <c r="A709" s="13"/>
      <c r="B709" s="21" t="str">
        <f>IFERROR(VLOOKUP(A709,'PAÑOL TÉCNICO'!A709:B1000,2,0))</f>
        <v/>
      </c>
      <c r="C709" s="9">
        <f>SUMIF(DIARIOS!D:D,A709,DIARIOS!F:F)</f>
        <v>0</v>
      </c>
      <c r="D709" s="12"/>
      <c r="E709" s="12"/>
    </row>
    <row r="710" ht="15.75" customHeight="1">
      <c r="A710" s="13"/>
      <c r="B710" s="21" t="str">
        <f>IFERROR(VLOOKUP(A710,'PAÑOL TÉCNICO'!A710:B1000,2,0))</f>
        <v/>
      </c>
      <c r="C710" s="9">
        <f>SUMIF(DIARIOS!D:D,A710,DIARIOS!F:F)</f>
        <v>0</v>
      </c>
      <c r="D710" s="12"/>
      <c r="E710" s="12"/>
    </row>
    <row r="711" ht="15.75" customHeight="1">
      <c r="A711" s="13"/>
      <c r="B711" s="21" t="str">
        <f>IFERROR(VLOOKUP(A711,'PAÑOL TÉCNICO'!A711:B1000,2,0))</f>
        <v/>
      </c>
      <c r="C711" s="9">
        <f>SUMIF(DIARIOS!D:D,A711,DIARIOS!F:F)</f>
        <v>0</v>
      </c>
      <c r="D711" s="12"/>
      <c r="E711" s="12"/>
    </row>
    <row r="712" ht="15.75" customHeight="1">
      <c r="A712" s="13"/>
      <c r="B712" s="21" t="str">
        <f>IFERROR(VLOOKUP(A712,'PAÑOL TÉCNICO'!A712:B1000,2,0))</f>
        <v/>
      </c>
      <c r="C712" s="9">
        <f>SUMIF(DIARIOS!D:D,A712,DIARIOS!F:F)</f>
        <v>0</v>
      </c>
      <c r="D712" s="12"/>
      <c r="E712" s="12"/>
    </row>
    <row r="713" ht="15.75" customHeight="1">
      <c r="A713" s="13"/>
      <c r="B713" s="21" t="str">
        <f>IFERROR(VLOOKUP(A713,'PAÑOL TÉCNICO'!A713:B1000,2,0))</f>
        <v/>
      </c>
      <c r="C713" s="9">
        <f>SUMIF(DIARIOS!D:D,A713,DIARIOS!F:F)</f>
        <v>0</v>
      </c>
      <c r="D713" s="12"/>
      <c r="E713" s="12"/>
    </row>
    <row r="714" ht="15.75" customHeight="1">
      <c r="A714" s="13"/>
      <c r="B714" s="21" t="str">
        <f>IFERROR(VLOOKUP(A714,'PAÑOL TÉCNICO'!A714:B1000,2,0))</f>
        <v/>
      </c>
      <c r="C714" s="9">
        <f>SUMIF(DIARIOS!D:D,A714,DIARIOS!F:F)</f>
        <v>0</v>
      </c>
      <c r="D714" s="12"/>
      <c r="E714" s="12"/>
    </row>
    <row r="715" ht="15.75" customHeight="1">
      <c r="A715" s="13"/>
      <c r="B715" s="21" t="str">
        <f>IFERROR(VLOOKUP(A715,'PAÑOL TÉCNICO'!A715:B1000,2,0))</f>
        <v/>
      </c>
      <c r="C715" s="9">
        <f>SUMIF(DIARIOS!D:D,A715,DIARIOS!F:F)</f>
        <v>0</v>
      </c>
      <c r="D715" s="12"/>
      <c r="E715" s="12"/>
    </row>
    <row r="716" ht="15.75" customHeight="1">
      <c r="A716" s="13"/>
      <c r="B716" s="21" t="str">
        <f>IFERROR(VLOOKUP(A716,'PAÑOL TÉCNICO'!A716:B1000,2,0))</f>
        <v/>
      </c>
      <c r="C716" s="9">
        <f>SUMIF(DIARIOS!D:D,A716,DIARIOS!F:F)</f>
        <v>0</v>
      </c>
      <c r="D716" s="12"/>
      <c r="E716" s="12"/>
    </row>
    <row r="717" ht="15.75" customHeight="1">
      <c r="A717" s="13"/>
      <c r="B717" s="21" t="str">
        <f>IFERROR(VLOOKUP(A717,'PAÑOL TÉCNICO'!A717:B1000,2,0))</f>
        <v/>
      </c>
      <c r="C717" s="9">
        <f>SUMIF(DIARIOS!D:D,A717,DIARIOS!F:F)</f>
        <v>0</v>
      </c>
      <c r="D717" s="12"/>
      <c r="E717" s="12"/>
    </row>
    <row r="718" ht="15.75" customHeight="1">
      <c r="A718" s="13"/>
      <c r="B718" s="21" t="str">
        <f>IFERROR(VLOOKUP(A718,'PAÑOL TÉCNICO'!A718:B1000,2,0))</f>
        <v/>
      </c>
      <c r="C718" s="9">
        <f>SUMIF(DIARIOS!D:D,A718,DIARIOS!F:F)</f>
        <v>0</v>
      </c>
      <c r="D718" s="12"/>
      <c r="E718" s="12"/>
    </row>
    <row r="719" ht="15.75" customHeight="1">
      <c r="A719" s="13"/>
      <c r="B719" s="21" t="str">
        <f>IFERROR(VLOOKUP(A719,'PAÑOL TÉCNICO'!A719:B1000,2,0))</f>
        <v/>
      </c>
      <c r="C719" s="9">
        <f>SUMIF(DIARIOS!D:D,A719,DIARIOS!F:F)</f>
        <v>0</v>
      </c>
      <c r="D719" s="12"/>
      <c r="E719" s="12"/>
    </row>
    <row r="720" ht="15.75" customHeight="1">
      <c r="A720" s="13"/>
      <c r="B720" s="21" t="str">
        <f>IFERROR(VLOOKUP(A720,'PAÑOL TÉCNICO'!A720:B1000,2,0))</f>
        <v/>
      </c>
      <c r="C720" s="9">
        <f>SUMIF(DIARIOS!D:D,A720,DIARIOS!F:F)</f>
        <v>0</v>
      </c>
      <c r="D720" s="12"/>
      <c r="E720" s="12"/>
    </row>
    <row r="721" ht="15.75" customHeight="1">
      <c r="A721" s="13"/>
      <c r="B721" s="21" t="str">
        <f>IFERROR(VLOOKUP(A721,'PAÑOL TÉCNICO'!A721:B1000,2,0))</f>
        <v/>
      </c>
      <c r="C721" s="9">
        <f>SUMIF(DIARIOS!D:D,A721,DIARIOS!F:F)</f>
        <v>0</v>
      </c>
      <c r="D721" s="12"/>
      <c r="E721" s="12"/>
    </row>
    <row r="722" ht="15.75" customHeight="1">
      <c r="A722" s="13"/>
      <c r="B722" s="21" t="str">
        <f>IFERROR(VLOOKUP(A722,'PAÑOL TÉCNICO'!A722:B1000,2,0))</f>
        <v/>
      </c>
      <c r="C722" s="9">
        <f>SUMIF(DIARIOS!D:D,A722,DIARIOS!F:F)</f>
        <v>0</v>
      </c>
      <c r="D722" s="12"/>
      <c r="E722" s="12"/>
    </row>
    <row r="723" ht="15.75" customHeight="1">
      <c r="A723" s="13"/>
      <c r="B723" s="21" t="str">
        <f>IFERROR(VLOOKUP(A723,'PAÑOL TÉCNICO'!A723:B1000,2,0))</f>
        <v/>
      </c>
      <c r="C723" s="9">
        <f>SUMIF(DIARIOS!D:D,A723,DIARIOS!F:F)</f>
        <v>0</v>
      </c>
      <c r="D723" s="12"/>
      <c r="E723" s="12"/>
    </row>
    <row r="724" ht="15.75" customHeight="1">
      <c r="A724" s="13"/>
      <c r="B724" s="21" t="str">
        <f>IFERROR(VLOOKUP(A724,'PAÑOL TÉCNICO'!A724:B1000,2,0))</f>
        <v/>
      </c>
      <c r="C724" s="9">
        <f>SUMIF(DIARIOS!D:D,A724,DIARIOS!F:F)</f>
        <v>0</v>
      </c>
      <c r="D724" s="12"/>
      <c r="E724" s="12"/>
    </row>
    <row r="725" ht="15.75" customHeight="1">
      <c r="A725" s="13"/>
      <c r="B725" s="21" t="str">
        <f>IFERROR(VLOOKUP(A725,'PAÑOL TÉCNICO'!A725:B1000,2,0))</f>
        <v/>
      </c>
      <c r="C725" s="9">
        <f>SUMIF(DIARIOS!D:D,A725,DIARIOS!F:F)</f>
        <v>0</v>
      </c>
      <c r="D725" s="12"/>
      <c r="E725" s="12"/>
    </row>
    <row r="726" ht="15.75" customHeight="1">
      <c r="A726" s="13"/>
      <c r="B726" s="21" t="str">
        <f>IFERROR(VLOOKUP(A726,'PAÑOL TÉCNICO'!A726:B1000,2,0))</f>
        <v/>
      </c>
      <c r="C726" s="9">
        <f>SUMIF(DIARIOS!D:D,A726,DIARIOS!F:F)</f>
        <v>0</v>
      </c>
      <c r="D726" s="12"/>
      <c r="E726" s="12"/>
    </row>
    <row r="727" ht="15.75" customHeight="1">
      <c r="A727" s="13"/>
      <c r="B727" s="21" t="str">
        <f>IFERROR(VLOOKUP(A727,'PAÑOL TÉCNICO'!A727:B1000,2,0))</f>
        <v/>
      </c>
      <c r="C727" s="9">
        <f>SUMIF(DIARIOS!D:D,A727,DIARIOS!F:F)</f>
        <v>0</v>
      </c>
      <c r="D727" s="12"/>
      <c r="E727" s="12"/>
    </row>
    <row r="728" ht="15.75" customHeight="1">
      <c r="A728" s="13"/>
      <c r="B728" s="21" t="str">
        <f>IFERROR(VLOOKUP(A728,'PAÑOL TÉCNICO'!A728:B1000,2,0))</f>
        <v/>
      </c>
      <c r="C728" s="9">
        <f>SUMIF(DIARIOS!D:D,A728,DIARIOS!F:F)</f>
        <v>0</v>
      </c>
      <c r="D728" s="12"/>
      <c r="E728" s="12"/>
    </row>
    <row r="729" ht="15.75" customHeight="1">
      <c r="A729" s="13"/>
      <c r="B729" s="21" t="str">
        <f>IFERROR(VLOOKUP(A729,'PAÑOL TÉCNICO'!A729:B1000,2,0))</f>
        <v/>
      </c>
      <c r="C729" s="9">
        <f>SUMIF(DIARIOS!D:D,A729,DIARIOS!F:F)</f>
        <v>0</v>
      </c>
      <c r="D729" s="12"/>
      <c r="E729" s="12"/>
    </row>
    <row r="730" ht="15.75" customHeight="1">
      <c r="A730" s="13"/>
      <c r="B730" s="21" t="str">
        <f>IFERROR(VLOOKUP(A730,'PAÑOL TÉCNICO'!A730:B1000,2,0))</f>
        <v/>
      </c>
      <c r="C730" s="9">
        <f>SUMIF(DIARIOS!D:D,A730,DIARIOS!F:F)</f>
        <v>0</v>
      </c>
      <c r="D730" s="12"/>
      <c r="E730" s="12"/>
    </row>
    <row r="731" ht="15.75" customHeight="1">
      <c r="A731" s="13"/>
      <c r="B731" s="21" t="str">
        <f>IFERROR(VLOOKUP(A731,'PAÑOL TÉCNICO'!A731:B1000,2,0))</f>
        <v/>
      </c>
      <c r="C731" s="9">
        <f>SUMIF(DIARIOS!D:D,A731,DIARIOS!F:F)</f>
        <v>0</v>
      </c>
      <c r="D731" s="12"/>
      <c r="E731" s="12"/>
    </row>
    <row r="732" ht="15.75" customHeight="1">
      <c r="A732" s="13"/>
      <c r="B732" s="21" t="str">
        <f>IFERROR(VLOOKUP(A732,'PAÑOL TÉCNICO'!A732:B1000,2,0))</f>
        <v/>
      </c>
      <c r="C732" s="9">
        <f>SUMIF(DIARIOS!D:D,A732,DIARIOS!F:F)</f>
        <v>0</v>
      </c>
      <c r="D732" s="12"/>
      <c r="E732" s="12"/>
    </row>
    <row r="733" ht="15.75" customHeight="1">
      <c r="A733" s="13"/>
      <c r="B733" s="21" t="str">
        <f>IFERROR(VLOOKUP(A733,'PAÑOL TÉCNICO'!A733:B1000,2,0))</f>
        <v/>
      </c>
      <c r="C733" s="9">
        <f>SUMIF(DIARIOS!D:D,A733,DIARIOS!F:F)</f>
        <v>0</v>
      </c>
      <c r="D733" s="12"/>
      <c r="E733" s="12"/>
    </row>
    <row r="734" ht="15.75" customHeight="1">
      <c r="A734" s="13"/>
      <c r="B734" s="21" t="str">
        <f>IFERROR(VLOOKUP(A734,'PAÑOL TÉCNICO'!A734:B1000,2,0))</f>
        <v/>
      </c>
      <c r="C734" s="9">
        <f>SUMIF(DIARIOS!D:D,A734,DIARIOS!F:F)</f>
        <v>0</v>
      </c>
      <c r="D734" s="12"/>
      <c r="E734" s="12"/>
    </row>
    <row r="735" ht="15.75" customHeight="1">
      <c r="A735" s="13"/>
      <c r="B735" s="21" t="str">
        <f>IFERROR(VLOOKUP(A735,'PAÑOL TÉCNICO'!A735:B1000,2,0))</f>
        <v/>
      </c>
      <c r="C735" s="9">
        <f>SUMIF(DIARIOS!D:D,A735,DIARIOS!F:F)</f>
        <v>0</v>
      </c>
      <c r="D735" s="12"/>
      <c r="E735" s="12"/>
    </row>
    <row r="736" ht="15.75" customHeight="1">
      <c r="A736" s="13"/>
      <c r="B736" s="21" t="str">
        <f>IFERROR(VLOOKUP(A736,'PAÑOL TÉCNICO'!A736:B1000,2,0))</f>
        <v/>
      </c>
      <c r="C736" s="9">
        <f>SUMIF(DIARIOS!D:D,A736,DIARIOS!F:F)</f>
        <v>0</v>
      </c>
      <c r="D736" s="12"/>
      <c r="E736" s="12"/>
    </row>
    <row r="737" ht="15.75" customHeight="1">
      <c r="A737" s="13"/>
      <c r="B737" s="21" t="str">
        <f>IFERROR(VLOOKUP(A737,'PAÑOL TÉCNICO'!A737:B1000,2,0))</f>
        <v/>
      </c>
      <c r="C737" s="9">
        <f>SUMIF(DIARIOS!D:D,A737,DIARIOS!F:F)</f>
        <v>0</v>
      </c>
      <c r="D737" s="12"/>
      <c r="E737" s="12"/>
    </row>
    <row r="738" ht="15.75" customHeight="1">
      <c r="A738" s="13"/>
      <c r="B738" s="21" t="str">
        <f>IFERROR(VLOOKUP(A738,'PAÑOL TÉCNICO'!A738:B1000,2,0))</f>
        <v/>
      </c>
      <c r="C738" s="9">
        <f>SUMIF(DIARIOS!D:D,A738,DIARIOS!F:F)</f>
        <v>0</v>
      </c>
      <c r="D738" s="12"/>
      <c r="E738" s="12"/>
    </row>
    <row r="739" ht="15.75" customHeight="1">
      <c r="A739" s="13"/>
      <c r="B739" s="21" t="str">
        <f>IFERROR(VLOOKUP(A739,'PAÑOL TÉCNICO'!A739:B1000,2,0))</f>
        <v/>
      </c>
      <c r="C739" s="9">
        <f>SUMIF(DIARIOS!D:D,A739,DIARIOS!F:F)</f>
        <v>0</v>
      </c>
      <c r="D739" s="12"/>
      <c r="E739" s="12"/>
    </row>
    <row r="740" ht="15.75" customHeight="1">
      <c r="A740" s="13"/>
      <c r="B740" s="21" t="str">
        <f>IFERROR(VLOOKUP(A740,'PAÑOL TÉCNICO'!A740:B1000,2,0))</f>
        <v/>
      </c>
      <c r="C740" s="9">
        <f>SUMIF(DIARIOS!D:D,A740,DIARIOS!F:F)</f>
        <v>0</v>
      </c>
      <c r="D740" s="12"/>
      <c r="E740" s="12"/>
    </row>
    <row r="741" ht="15.75" customHeight="1">
      <c r="A741" s="13"/>
      <c r="B741" s="21" t="str">
        <f>IFERROR(VLOOKUP(A741,'PAÑOL TÉCNICO'!A741:B1000,2,0))</f>
        <v/>
      </c>
      <c r="C741" s="9">
        <f>SUMIF(DIARIOS!D:D,A741,DIARIOS!F:F)</f>
        <v>0</v>
      </c>
      <c r="D741" s="12"/>
      <c r="E741" s="12"/>
    </row>
    <row r="742" ht="15.75" customHeight="1">
      <c r="A742" s="13"/>
      <c r="B742" s="21" t="str">
        <f>IFERROR(VLOOKUP(A742,'PAÑOL TÉCNICO'!A742:B1000,2,0))</f>
        <v/>
      </c>
      <c r="C742" s="9">
        <f>SUMIF(DIARIOS!D:D,A742,DIARIOS!F:F)</f>
        <v>0</v>
      </c>
      <c r="D742" s="12"/>
      <c r="E742" s="12"/>
    </row>
    <row r="743" ht="15.75" customHeight="1">
      <c r="A743" s="13"/>
      <c r="B743" s="21" t="str">
        <f>IFERROR(VLOOKUP(A743,'PAÑOL TÉCNICO'!A743:B1000,2,0))</f>
        <v/>
      </c>
      <c r="C743" s="9">
        <f>SUMIF(DIARIOS!D:D,A743,DIARIOS!F:F)</f>
        <v>0</v>
      </c>
      <c r="D743" s="12"/>
      <c r="E743" s="12"/>
    </row>
    <row r="744" ht="15.75" customHeight="1">
      <c r="A744" s="13"/>
      <c r="B744" s="21" t="str">
        <f>IFERROR(VLOOKUP(A744,'PAÑOL TÉCNICO'!A744:B1000,2,0))</f>
        <v/>
      </c>
      <c r="C744" s="9">
        <f>SUMIF(DIARIOS!D:D,A744,DIARIOS!F:F)</f>
        <v>0</v>
      </c>
      <c r="D744" s="12"/>
      <c r="E744" s="12"/>
    </row>
    <row r="745" ht="15.75" customHeight="1">
      <c r="A745" s="13"/>
      <c r="B745" s="21" t="str">
        <f>IFERROR(VLOOKUP(A745,'PAÑOL TÉCNICO'!A745:B1000,2,0))</f>
        <v/>
      </c>
      <c r="C745" s="9">
        <f>SUMIF(DIARIOS!D:D,A745,DIARIOS!F:F)</f>
        <v>0</v>
      </c>
      <c r="D745" s="12"/>
      <c r="E745" s="12"/>
    </row>
    <row r="746" ht="15.75" customHeight="1">
      <c r="A746" s="13"/>
      <c r="B746" s="21" t="str">
        <f>IFERROR(VLOOKUP(A746,'PAÑOL TÉCNICO'!A746:B1000,2,0))</f>
        <v/>
      </c>
      <c r="C746" s="9">
        <f>SUMIF(DIARIOS!D:D,A746,DIARIOS!F:F)</f>
        <v>0</v>
      </c>
      <c r="D746" s="12"/>
      <c r="E746" s="12"/>
    </row>
    <row r="747" ht="15.75" customHeight="1">
      <c r="A747" s="13"/>
      <c r="B747" s="21" t="str">
        <f>IFERROR(VLOOKUP(A747,'PAÑOL TÉCNICO'!A747:B1000,2,0))</f>
        <v/>
      </c>
      <c r="C747" s="9">
        <f>SUMIF(DIARIOS!D:D,A747,DIARIOS!F:F)</f>
        <v>0</v>
      </c>
      <c r="D747" s="12"/>
      <c r="E747" s="12"/>
    </row>
    <row r="748" ht="15.75" customHeight="1">
      <c r="A748" s="13"/>
      <c r="B748" s="21" t="str">
        <f>IFERROR(VLOOKUP(A748,'PAÑOL TÉCNICO'!A748:B1000,2,0))</f>
        <v/>
      </c>
      <c r="C748" s="9">
        <f>SUMIF(DIARIOS!D:D,A748,DIARIOS!F:F)</f>
        <v>0</v>
      </c>
      <c r="D748" s="12"/>
      <c r="E748" s="12"/>
    </row>
    <row r="749" ht="15.75" customHeight="1">
      <c r="A749" s="13"/>
      <c r="B749" s="21" t="str">
        <f>IFERROR(VLOOKUP(A749,'PAÑOL TÉCNICO'!A749:B1000,2,0))</f>
        <v/>
      </c>
      <c r="C749" s="9">
        <f>SUMIF(DIARIOS!D:D,A749,DIARIOS!F:F)</f>
        <v>0</v>
      </c>
      <c r="D749" s="12"/>
      <c r="E749" s="12"/>
    </row>
    <row r="750" ht="15.75" customHeight="1">
      <c r="A750" s="13"/>
      <c r="B750" s="21" t="str">
        <f>IFERROR(VLOOKUP(A750,'PAÑOL TÉCNICO'!A750:B1000,2,0))</f>
        <v/>
      </c>
      <c r="C750" s="9">
        <f>SUMIF(DIARIOS!D:D,A750,DIARIOS!F:F)</f>
        <v>0</v>
      </c>
      <c r="D750" s="12"/>
      <c r="E750" s="12"/>
    </row>
    <row r="751" ht="15.75" customHeight="1">
      <c r="A751" s="13"/>
      <c r="B751" s="21" t="str">
        <f>IFERROR(VLOOKUP(A751,'PAÑOL TÉCNICO'!A751:B1000,2,0))</f>
        <v/>
      </c>
      <c r="C751" s="9">
        <f>SUMIF(DIARIOS!D:D,A751,DIARIOS!F:F)</f>
        <v>0</v>
      </c>
      <c r="D751" s="12"/>
      <c r="E751" s="12"/>
    </row>
    <row r="752" ht="15.75" customHeight="1">
      <c r="A752" s="13"/>
      <c r="B752" s="21" t="str">
        <f>IFERROR(VLOOKUP(A752,'PAÑOL TÉCNICO'!A752:B1000,2,0))</f>
        <v/>
      </c>
      <c r="C752" s="9">
        <f>SUMIF(DIARIOS!D:D,A752,DIARIOS!F:F)</f>
        <v>0</v>
      </c>
      <c r="D752" s="12"/>
      <c r="E752" s="12"/>
    </row>
    <row r="753" ht="15.75" customHeight="1">
      <c r="A753" s="13"/>
      <c r="B753" s="21" t="str">
        <f>IFERROR(VLOOKUP(A753,'PAÑOL TÉCNICO'!A753:B1000,2,0))</f>
        <v/>
      </c>
      <c r="C753" s="9">
        <f>SUMIF(DIARIOS!D:D,A753,DIARIOS!F:F)</f>
        <v>0</v>
      </c>
      <c r="D753" s="12"/>
      <c r="E753" s="12"/>
    </row>
    <row r="754" ht="15.75" customHeight="1">
      <c r="A754" s="13"/>
      <c r="B754" s="21" t="str">
        <f>IFERROR(VLOOKUP(A754,'PAÑOL TÉCNICO'!A754:B1000,2,0))</f>
        <v/>
      </c>
      <c r="C754" s="9">
        <f>SUMIF(DIARIOS!D:D,A754,DIARIOS!F:F)</f>
        <v>0</v>
      </c>
      <c r="D754" s="12"/>
      <c r="E754" s="12"/>
    </row>
    <row r="755" ht="15.75" customHeight="1">
      <c r="A755" s="13"/>
      <c r="B755" s="21" t="str">
        <f>IFERROR(VLOOKUP(A755,'PAÑOL TÉCNICO'!A755:B1000,2,0))</f>
        <v/>
      </c>
      <c r="C755" s="9">
        <f>SUMIF(DIARIOS!D:D,A755,DIARIOS!F:F)</f>
        <v>0</v>
      </c>
      <c r="D755" s="12"/>
      <c r="E755" s="12"/>
    </row>
    <row r="756" ht="15.75" customHeight="1">
      <c r="A756" s="13"/>
      <c r="B756" s="21" t="str">
        <f>IFERROR(VLOOKUP(A756,'PAÑOL TÉCNICO'!A756:B1000,2,0))</f>
        <v/>
      </c>
      <c r="C756" s="9">
        <f>SUMIF(DIARIOS!D:D,A756,DIARIOS!F:F)</f>
        <v>0</v>
      </c>
      <c r="D756" s="12"/>
      <c r="E756" s="12"/>
    </row>
    <row r="757" ht="15.75" customHeight="1">
      <c r="A757" s="13"/>
      <c r="B757" s="21" t="str">
        <f>IFERROR(VLOOKUP(A757,'PAÑOL TÉCNICO'!A757:B1000,2,0))</f>
        <v/>
      </c>
      <c r="C757" s="9">
        <f>SUMIF(DIARIOS!D:D,A757,DIARIOS!F:F)</f>
        <v>0</v>
      </c>
      <c r="D757" s="12"/>
      <c r="E757" s="12"/>
    </row>
    <row r="758" ht="15.75" customHeight="1">
      <c r="A758" s="13"/>
      <c r="B758" s="21" t="str">
        <f>IFERROR(VLOOKUP(A758,'PAÑOL TÉCNICO'!A758:B1000,2,0))</f>
        <v/>
      </c>
      <c r="C758" s="9">
        <f>SUMIF(DIARIOS!D:D,A758,DIARIOS!F:F)</f>
        <v>0</v>
      </c>
      <c r="D758" s="12"/>
      <c r="E758" s="12"/>
    </row>
    <row r="759" ht="15.75" customHeight="1">
      <c r="A759" s="13"/>
      <c r="B759" s="21" t="str">
        <f>IFERROR(VLOOKUP(A759,'PAÑOL TÉCNICO'!A759:B1000,2,0))</f>
        <v/>
      </c>
      <c r="C759" s="9">
        <f>SUMIF(DIARIOS!D:D,A759,DIARIOS!F:F)</f>
        <v>0</v>
      </c>
      <c r="D759" s="12"/>
      <c r="E759" s="12"/>
    </row>
    <row r="760" ht="15.75" customHeight="1">
      <c r="A760" s="13"/>
      <c r="B760" s="21" t="str">
        <f>IFERROR(VLOOKUP(A760,'PAÑOL TÉCNICO'!A760:B1000,2,0))</f>
        <v/>
      </c>
      <c r="C760" s="9">
        <f>SUMIF(DIARIOS!D:D,A760,DIARIOS!F:F)</f>
        <v>0</v>
      </c>
      <c r="D760" s="12"/>
      <c r="E760" s="12"/>
    </row>
    <row r="761" ht="15.75" customHeight="1">
      <c r="A761" s="13"/>
      <c r="B761" s="21" t="str">
        <f>IFERROR(VLOOKUP(A761,'PAÑOL TÉCNICO'!A761:B1000,2,0))</f>
        <v/>
      </c>
      <c r="C761" s="9">
        <f>SUMIF(DIARIOS!D:D,A761,DIARIOS!F:F)</f>
        <v>0</v>
      </c>
      <c r="D761" s="12"/>
      <c r="E761" s="12"/>
    </row>
    <row r="762" ht="15.75" customHeight="1">
      <c r="A762" s="13"/>
      <c r="B762" s="21" t="str">
        <f>IFERROR(VLOOKUP(A762,'PAÑOL TÉCNICO'!A762:B1000,2,0))</f>
        <v/>
      </c>
      <c r="C762" s="9">
        <f>SUMIF(DIARIOS!D:D,A762,DIARIOS!F:F)</f>
        <v>0</v>
      </c>
      <c r="D762" s="12"/>
      <c r="E762" s="12"/>
    </row>
    <row r="763" ht="15.75" customHeight="1">
      <c r="A763" s="13"/>
      <c r="B763" s="21" t="str">
        <f>IFERROR(VLOOKUP(A763,'PAÑOL TÉCNICO'!A763:B1000,2,0))</f>
        <v/>
      </c>
      <c r="C763" s="9">
        <f>SUMIF(DIARIOS!D:D,A763,DIARIOS!F:F)</f>
        <v>0</v>
      </c>
      <c r="D763" s="12"/>
      <c r="E763" s="12"/>
    </row>
    <row r="764" ht="15.75" customHeight="1">
      <c r="A764" s="13"/>
      <c r="B764" s="21" t="str">
        <f>IFERROR(VLOOKUP(A764,'PAÑOL TÉCNICO'!A764:B1000,2,0))</f>
        <v/>
      </c>
      <c r="C764" s="9">
        <f>SUMIF(DIARIOS!D:D,A764,DIARIOS!F:F)</f>
        <v>0</v>
      </c>
      <c r="D764" s="12"/>
      <c r="E764" s="12"/>
    </row>
    <row r="765" ht="15.75" customHeight="1">
      <c r="A765" s="13"/>
      <c r="B765" s="21" t="str">
        <f>IFERROR(VLOOKUP(A765,'PAÑOL TÉCNICO'!A765:B1000,2,0))</f>
        <v/>
      </c>
      <c r="C765" s="9">
        <f>SUMIF(DIARIOS!D:D,A765,DIARIOS!F:F)</f>
        <v>0</v>
      </c>
      <c r="D765" s="12"/>
      <c r="E765" s="12"/>
    </row>
    <row r="766" ht="15.75" customHeight="1">
      <c r="A766" s="13"/>
      <c r="B766" s="21" t="str">
        <f>IFERROR(VLOOKUP(A766,'PAÑOL TÉCNICO'!A766:B1000,2,0))</f>
        <v/>
      </c>
      <c r="C766" s="9">
        <f>SUMIF(DIARIOS!D:D,A766,DIARIOS!F:F)</f>
        <v>0</v>
      </c>
      <c r="D766" s="12"/>
      <c r="E766" s="12"/>
    </row>
    <row r="767" ht="15.75" customHeight="1">
      <c r="A767" s="13"/>
      <c r="B767" s="21" t="str">
        <f>IFERROR(VLOOKUP(A767,'PAÑOL TÉCNICO'!A767:B1000,2,0))</f>
        <v/>
      </c>
      <c r="C767" s="9">
        <f>SUMIF(DIARIOS!D:D,A767,DIARIOS!F:F)</f>
        <v>0</v>
      </c>
      <c r="D767" s="12"/>
      <c r="E767" s="12"/>
    </row>
    <row r="768" ht="15.75" customHeight="1">
      <c r="A768" s="13"/>
      <c r="B768" s="21" t="str">
        <f>IFERROR(VLOOKUP(A768,'PAÑOL TÉCNICO'!A768:B1000,2,0))</f>
        <v/>
      </c>
      <c r="C768" s="9">
        <f>SUMIF(DIARIOS!D:D,A768,DIARIOS!F:F)</f>
        <v>0</v>
      </c>
      <c r="D768" s="12"/>
      <c r="E768" s="12"/>
    </row>
    <row r="769" ht="15.75" customHeight="1">
      <c r="A769" s="13"/>
      <c r="B769" s="21" t="str">
        <f>IFERROR(VLOOKUP(A769,'PAÑOL TÉCNICO'!A769:B1000,2,0))</f>
        <v/>
      </c>
      <c r="C769" s="9">
        <f>SUMIF(DIARIOS!D:D,A769,DIARIOS!F:F)</f>
        <v>0</v>
      </c>
      <c r="D769" s="12"/>
      <c r="E769" s="12"/>
    </row>
    <row r="770" ht="15.75" customHeight="1">
      <c r="A770" s="13"/>
      <c r="B770" s="21" t="str">
        <f>IFERROR(VLOOKUP(A770,'PAÑOL TÉCNICO'!A770:B1000,2,0))</f>
        <v/>
      </c>
      <c r="C770" s="9">
        <f>SUMIF(DIARIOS!D:D,A770,DIARIOS!F:F)</f>
        <v>0</v>
      </c>
      <c r="D770" s="12"/>
      <c r="E770" s="12"/>
    </row>
    <row r="771" ht="15.75" customHeight="1">
      <c r="A771" s="13"/>
      <c r="B771" s="21" t="str">
        <f>IFERROR(VLOOKUP(A771,'PAÑOL TÉCNICO'!A771:B1000,2,0))</f>
        <v/>
      </c>
      <c r="C771" s="9">
        <f>SUMIF(DIARIOS!D:D,A771,DIARIOS!F:F)</f>
        <v>0</v>
      </c>
      <c r="D771" s="12"/>
      <c r="E771" s="12"/>
    </row>
    <row r="772" ht="15.75" customHeight="1">
      <c r="A772" s="13"/>
      <c r="B772" s="21" t="str">
        <f>IFERROR(VLOOKUP(A772,'PAÑOL TÉCNICO'!A772:B1000,2,0))</f>
        <v/>
      </c>
      <c r="C772" s="9">
        <f>SUMIF(DIARIOS!D:D,A772,DIARIOS!F:F)</f>
        <v>0</v>
      </c>
      <c r="D772" s="12"/>
      <c r="E772" s="12"/>
    </row>
    <row r="773" ht="15.75" customHeight="1">
      <c r="A773" s="13"/>
      <c r="B773" s="21" t="str">
        <f>IFERROR(VLOOKUP(A773,'PAÑOL TÉCNICO'!A773:B1000,2,0))</f>
        <v/>
      </c>
      <c r="C773" s="9">
        <f>SUMIF(DIARIOS!D:D,A773,DIARIOS!F:F)</f>
        <v>0</v>
      </c>
      <c r="D773" s="12"/>
      <c r="E773" s="12"/>
    </row>
    <row r="774" ht="15.75" customHeight="1">
      <c r="A774" s="13"/>
      <c r="B774" s="21" t="str">
        <f>IFERROR(VLOOKUP(A774,'PAÑOL TÉCNICO'!A774:B1000,2,0))</f>
        <v/>
      </c>
      <c r="C774" s="9">
        <f>SUMIF(DIARIOS!D:D,A774,DIARIOS!F:F)</f>
        <v>0</v>
      </c>
      <c r="D774" s="12"/>
      <c r="E774" s="12"/>
    </row>
    <row r="775" ht="15.75" customHeight="1">
      <c r="A775" s="13"/>
      <c r="B775" s="21" t="str">
        <f>IFERROR(VLOOKUP(A775,'PAÑOL TÉCNICO'!A775:B1000,2,0))</f>
        <v/>
      </c>
      <c r="C775" s="9">
        <f>SUMIF(DIARIOS!D:D,A775,DIARIOS!F:F)</f>
        <v>0</v>
      </c>
      <c r="D775" s="12"/>
      <c r="E775" s="12"/>
    </row>
    <row r="776" ht="15.75" customHeight="1">
      <c r="A776" s="13"/>
      <c r="B776" s="21" t="str">
        <f>IFERROR(VLOOKUP(A776,'PAÑOL TÉCNICO'!A776:B1000,2,0))</f>
        <v/>
      </c>
      <c r="C776" s="9">
        <f>SUMIF(DIARIOS!D:D,A776,DIARIOS!F:F)</f>
        <v>0</v>
      </c>
      <c r="D776" s="12"/>
      <c r="E776" s="12"/>
    </row>
    <row r="777" ht="15.75" customHeight="1">
      <c r="A777" s="13"/>
      <c r="B777" s="21" t="str">
        <f>IFERROR(VLOOKUP(A777,'PAÑOL TÉCNICO'!A777:B1000,2,0))</f>
        <v/>
      </c>
      <c r="C777" s="9">
        <f>SUMIF(DIARIOS!D:D,A777,DIARIOS!F:F)</f>
        <v>0</v>
      </c>
      <c r="D777" s="12"/>
      <c r="E777" s="12"/>
    </row>
    <row r="778" ht="15.75" customHeight="1">
      <c r="A778" s="13"/>
      <c r="B778" s="21" t="str">
        <f>IFERROR(VLOOKUP(A778,'PAÑOL TÉCNICO'!A778:B1000,2,0))</f>
        <v/>
      </c>
      <c r="C778" s="9">
        <f>SUMIF(DIARIOS!D:D,A778,DIARIOS!F:F)</f>
        <v>0</v>
      </c>
      <c r="D778" s="12"/>
      <c r="E778" s="12"/>
    </row>
    <row r="779" ht="15.75" customHeight="1">
      <c r="A779" s="13"/>
      <c r="B779" s="21" t="str">
        <f>IFERROR(VLOOKUP(A779,'PAÑOL TÉCNICO'!A779:B1000,2,0))</f>
        <v/>
      </c>
      <c r="C779" s="9">
        <f>SUMIF(DIARIOS!D:D,A779,DIARIOS!F:F)</f>
        <v>0</v>
      </c>
      <c r="D779" s="12"/>
      <c r="E779" s="12"/>
    </row>
    <row r="780" ht="15.75" customHeight="1">
      <c r="A780" s="13"/>
      <c r="B780" s="21" t="str">
        <f>IFERROR(VLOOKUP(A780,'PAÑOL TÉCNICO'!A780:B1000,2,0))</f>
        <v/>
      </c>
      <c r="C780" s="9">
        <f>SUMIF(DIARIOS!D:D,A780,DIARIOS!F:F)</f>
        <v>0</v>
      </c>
      <c r="D780" s="12"/>
      <c r="E780" s="12"/>
    </row>
    <row r="781" ht="15.75" customHeight="1">
      <c r="A781" s="13"/>
      <c r="B781" s="21" t="str">
        <f>IFERROR(VLOOKUP(A781,'PAÑOL TÉCNICO'!A781:B1000,2,0))</f>
        <v/>
      </c>
      <c r="C781" s="9">
        <f>SUMIF(DIARIOS!D:D,A781,DIARIOS!F:F)</f>
        <v>0</v>
      </c>
      <c r="D781" s="12"/>
      <c r="E781" s="12"/>
    </row>
    <row r="782" ht="15.75" customHeight="1">
      <c r="A782" s="13"/>
      <c r="B782" s="21" t="str">
        <f>IFERROR(VLOOKUP(A782,'PAÑOL TÉCNICO'!A782:B1000,2,0))</f>
        <v/>
      </c>
      <c r="C782" s="9">
        <f>SUMIF(DIARIOS!D:D,A782,DIARIOS!F:F)</f>
        <v>0</v>
      </c>
      <c r="D782" s="12"/>
      <c r="E782" s="12"/>
    </row>
    <row r="783" ht="15.75" customHeight="1">
      <c r="A783" s="13"/>
      <c r="B783" s="21" t="str">
        <f>IFERROR(VLOOKUP(A783,'PAÑOL TÉCNICO'!A783:B1000,2,0))</f>
        <v/>
      </c>
      <c r="C783" s="9">
        <f>SUMIF(DIARIOS!D:D,A783,DIARIOS!F:F)</f>
        <v>0</v>
      </c>
      <c r="D783" s="12"/>
      <c r="E783" s="12"/>
    </row>
    <row r="784" ht="15.75" customHeight="1">
      <c r="A784" s="13"/>
      <c r="B784" s="21" t="str">
        <f>IFERROR(VLOOKUP(A784,'PAÑOL TÉCNICO'!A784:B1000,2,0))</f>
        <v/>
      </c>
      <c r="C784" s="9">
        <f>SUMIF(DIARIOS!D:D,A784,DIARIOS!F:F)</f>
        <v>0</v>
      </c>
      <c r="D784" s="12"/>
      <c r="E784" s="12"/>
    </row>
    <row r="785" ht="15.75" customHeight="1">
      <c r="A785" s="13"/>
      <c r="B785" s="21" t="str">
        <f>IFERROR(VLOOKUP(A785,'PAÑOL TÉCNICO'!A785:B1000,2,0))</f>
        <v/>
      </c>
      <c r="C785" s="9">
        <f>SUMIF(DIARIOS!D:D,A785,DIARIOS!F:F)</f>
        <v>0</v>
      </c>
      <c r="D785" s="12"/>
      <c r="E785" s="12"/>
    </row>
    <row r="786" ht="15.75" customHeight="1">
      <c r="A786" s="13"/>
      <c r="B786" s="21" t="str">
        <f>IFERROR(VLOOKUP(A786,'PAÑOL TÉCNICO'!A786:B1000,2,0))</f>
        <v/>
      </c>
      <c r="C786" s="9">
        <f>SUMIF(DIARIOS!D:D,A786,DIARIOS!F:F)</f>
        <v>0</v>
      </c>
      <c r="D786" s="12"/>
      <c r="E786" s="12"/>
    </row>
    <row r="787" ht="15.75" customHeight="1">
      <c r="A787" s="13"/>
      <c r="B787" s="21" t="str">
        <f>IFERROR(VLOOKUP(A787,'PAÑOL TÉCNICO'!A787:B1000,2,0))</f>
        <v/>
      </c>
      <c r="C787" s="9">
        <f>SUMIF(DIARIOS!D:D,A787,DIARIOS!F:F)</f>
        <v>0</v>
      </c>
      <c r="D787" s="12"/>
      <c r="E787" s="12"/>
    </row>
    <row r="788" ht="15.75" customHeight="1">
      <c r="A788" s="13"/>
      <c r="B788" s="21" t="str">
        <f>IFERROR(VLOOKUP(A788,'PAÑOL TÉCNICO'!A788:B1000,2,0))</f>
        <v/>
      </c>
      <c r="C788" s="9">
        <f>SUMIF(DIARIOS!D:D,A788,DIARIOS!F:F)</f>
        <v>0</v>
      </c>
      <c r="D788" s="12"/>
      <c r="E788" s="12"/>
    </row>
    <row r="789" ht="15.75" customHeight="1">
      <c r="A789" s="13"/>
      <c r="B789" s="21" t="str">
        <f>IFERROR(VLOOKUP(A789,'PAÑOL TÉCNICO'!A789:B1000,2,0))</f>
        <v/>
      </c>
      <c r="C789" s="9">
        <f>SUMIF(DIARIOS!D:D,A789,DIARIOS!F:F)</f>
        <v>0</v>
      </c>
      <c r="D789" s="12"/>
      <c r="E789" s="12"/>
    </row>
    <row r="790" ht="15.75" customHeight="1">
      <c r="A790" s="13"/>
      <c r="B790" s="21" t="str">
        <f>IFERROR(VLOOKUP(A790,'PAÑOL TÉCNICO'!A790:B1000,2,0))</f>
        <v/>
      </c>
      <c r="C790" s="9">
        <f>SUMIF(DIARIOS!D:D,A790,DIARIOS!F:F)</f>
        <v>0</v>
      </c>
      <c r="D790" s="12"/>
      <c r="E790" s="12"/>
    </row>
    <row r="791" ht="15.75" customHeight="1">
      <c r="A791" s="13"/>
      <c r="B791" s="21" t="str">
        <f>IFERROR(VLOOKUP(A791,'PAÑOL TÉCNICO'!A791:B1000,2,0))</f>
        <v/>
      </c>
      <c r="C791" s="9">
        <f>SUMIF(DIARIOS!D:D,A791,DIARIOS!F:F)</f>
        <v>0</v>
      </c>
      <c r="D791" s="12"/>
      <c r="E791" s="12"/>
    </row>
    <row r="792" ht="15.75" customHeight="1">
      <c r="A792" s="13"/>
      <c r="B792" s="21" t="str">
        <f>IFERROR(VLOOKUP(A792,'PAÑOL TÉCNICO'!A792:B1000,2,0))</f>
        <v/>
      </c>
      <c r="C792" s="9">
        <f>SUMIF(DIARIOS!D:D,A792,DIARIOS!F:F)</f>
        <v>0</v>
      </c>
      <c r="D792" s="12"/>
      <c r="E792" s="12"/>
    </row>
    <row r="793" ht="15.75" customHeight="1">
      <c r="A793" s="13"/>
      <c r="B793" s="21" t="str">
        <f>IFERROR(VLOOKUP(A793,'PAÑOL TÉCNICO'!A793:B1000,2,0))</f>
        <v/>
      </c>
      <c r="C793" s="9">
        <f>SUMIF(DIARIOS!D:D,A793,DIARIOS!F:F)</f>
        <v>0</v>
      </c>
      <c r="D793" s="12"/>
      <c r="E793" s="12"/>
    </row>
    <row r="794" ht="15.75" customHeight="1">
      <c r="A794" s="13"/>
      <c r="B794" s="21" t="str">
        <f>IFERROR(VLOOKUP(A794,'PAÑOL TÉCNICO'!A794:B1000,2,0))</f>
        <v/>
      </c>
      <c r="C794" s="9">
        <f>SUMIF(DIARIOS!D:D,A794,DIARIOS!F:F)</f>
        <v>0</v>
      </c>
      <c r="D794" s="12"/>
      <c r="E794" s="12"/>
    </row>
    <row r="795" ht="15.75" customHeight="1">
      <c r="A795" s="13"/>
      <c r="B795" s="21" t="str">
        <f>IFERROR(VLOOKUP(A795,'PAÑOL TÉCNICO'!A795:B1000,2,0))</f>
        <v/>
      </c>
      <c r="C795" s="9">
        <f>SUMIF(DIARIOS!D:D,A795,DIARIOS!F:F)</f>
        <v>0</v>
      </c>
      <c r="D795" s="12"/>
      <c r="E795" s="12"/>
    </row>
    <row r="796" ht="15.75" customHeight="1">
      <c r="A796" s="13"/>
      <c r="B796" s="21" t="str">
        <f>IFERROR(VLOOKUP(A796,'PAÑOL TÉCNICO'!A796:B1000,2,0))</f>
        <v/>
      </c>
      <c r="C796" s="9">
        <f>SUMIF(DIARIOS!D:D,A796,DIARIOS!F:F)</f>
        <v>0</v>
      </c>
      <c r="D796" s="12"/>
      <c r="E796" s="12"/>
    </row>
    <row r="797" ht="15.75" customHeight="1">
      <c r="A797" s="13"/>
      <c r="B797" s="21" t="str">
        <f>IFERROR(VLOOKUP(A797,'PAÑOL TÉCNICO'!A797:B1000,2,0))</f>
        <v/>
      </c>
      <c r="C797" s="9">
        <f>SUMIF(DIARIOS!D:D,A797,DIARIOS!F:F)</f>
        <v>0</v>
      </c>
      <c r="D797" s="12"/>
      <c r="E797" s="12"/>
    </row>
    <row r="798" ht="15.75" customHeight="1">
      <c r="A798" s="13"/>
      <c r="B798" s="21" t="str">
        <f>IFERROR(VLOOKUP(A798,'PAÑOL TÉCNICO'!A798:B1000,2,0))</f>
        <v/>
      </c>
      <c r="C798" s="9">
        <f>SUMIF(DIARIOS!D:D,A798,DIARIOS!F:F)</f>
        <v>0</v>
      </c>
      <c r="D798" s="12"/>
      <c r="E798" s="12"/>
    </row>
    <row r="799" ht="15.75" customHeight="1">
      <c r="A799" s="13"/>
      <c r="B799" s="21" t="str">
        <f>IFERROR(VLOOKUP(A799,'PAÑOL TÉCNICO'!A799:B1000,2,0))</f>
        <v/>
      </c>
      <c r="C799" s="9">
        <f>SUMIF(DIARIOS!D:D,A799,DIARIOS!F:F)</f>
        <v>0</v>
      </c>
      <c r="D799" s="12"/>
      <c r="E799" s="12"/>
    </row>
    <row r="800" ht="15.75" customHeight="1">
      <c r="A800" s="13"/>
      <c r="B800" s="21" t="str">
        <f>IFERROR(VLOOKUP(A800,'PAÑOL TÉCNICO'!A800:B1000,2,0))</f>
        <v/>
      </c>
      <c r="C800" s="9">
        <f>SUMIF(DIARIOS!D:D,A800,DIARIOS!F:F)</f>
        <v>0</v>
      </c>
      <c r="D800" s="12"/>
      <c r="E800" s="12"/>
    </row>
    <row r="801" ht="15.75" customHeight="1">
      <c r="A801" s="13"/>
      <c r="B801" s="21" t="str">
        <f>IFERROR(VLOOKUP(A801,'PAÑOL TÉCNICO'!A801:B1000,2,0))</f>
        <v/>
      </c>
      <c r="C801" s="9">
        <f>SUMIF(DIARIOS!D:D,A801,DIARIOS!F:F)</f>
        <v>0</v>
      </c>
      <c r="D801" s="12"/>
      <c r="E801" s="12"/>
    </row>
    <row r="802" ht="15.75" customHeight="1">
      <c r="A802" s="13"/>
      <c r="B802" s="21" t="str">
        <f>IFERROR(VLOOKUP(A802,'PAÑOL TÉCNICO'!A802:B1000,2,0))</f>
        <v/>
      </c>
      <c r="C802" s="9">
        <f>SUMIF(DIARIOS!D:D,A802,DIARIOS!F:F)</f>
        <v>0</v>
      </c>
      <c r="D802" s="12"/>
      <c r="E802" s="12"/>
    </row>
    <row r="803" ht="15.75" customHeight="1">
      <c r="A803" s="13"/>
      <c r="B803" s="21" t="str">
        <f>IFERROR(VLOOKUP(A803,'PAÑOL TÉCNICO'!A803:B1000,2,0))</f>
        <v/>
      </c>
      <c r="C803" s="9">
        <f>SUMIF(DIARIOS!D:D,A803,DIARIOS!F:F)</f>
        <v>0</v>
      </c>
      <c r="D803" s="12"/>
      <c r="E803" s="12"/>
    </row>
    <row r="804" ht="15.75" customHeight="1">
      <c r="A804" s="13"/>
      <c r="B804" s="21" t="str">
        <f>IFERROR(VLOOKUP(A804,'PAÑOL TÉCNICO'!A804:B1000,2,0))</f>
        <v/>
      </c>
      <c r="C804" s="9">
        <f>SUMIF(DIARIOS!D:D,A804,DIARIOS!F:F)</f>
        <v>0</v>
      </c>
      <c r="D804" s="12"/>
      <c r="E804" s="12"/>
    </row>
    <row r="805" ht="15.75" customHeight="1">
      <c r="A805" s="13"/>
      <c r="B805" s="21" t="str">
        <f>IFERROR(VLOOKUP(A805,'PAÑOL TÉCNICO'!A805:B1000,2,0))</f>
        <v/>
      </c>
      <c r="C805" s="9">
        <f>SUMIF(DIARIOS!D:D,A805,DIARIOS!F:F)</f>
        <v>0</v>
      </c>
      <c r="D805" s="12"/>
      <c r="E805" s="12"/>
    </row>
    <row r="806" ht="15.75" customHeight="1">
      <c r="A806" s="13"/>
      <c r="B806" s="21" t="str">
        <f>IFERROR(VLOOKUP(A806,'PAÑOL TÉCNICO'!A806:B1000,2,0))</f>
        <v/>
      </c>
      <c r="C806" s="9">
        <f>SUMIF(DIARIOS!D:D,A806,DIARIOS!F:F)</f>
        <v>0</v>
      </c>
      <c r="D806" s="12"/>
      <c r="E806" s="12"/>
    </row>
    <row r="807" ht="15.75" customHeight="1">
      <c r="A807" s="13"/>
      <c r="B807" s="21" t="str">
        <f>IFERROR(VLOOKUP(A807,'PAÑOL TÉCNICO'!A807:B1000,2,0))</f>
        <v/>
      </c>
      <c r="C807" s="9">
        <f>SUMIF(DIARIOS!D:D,A807,DIARIOS!F:F)</f>
        <v>0</v>
      </c>
      <c r="D807" s="12"/>
      <c r="E807" s="12"/>
    </row>
    <row r="808" ht="15.75" customHeight="1">
      <c r="A808" s="13"/>
      <c r="B808" s="21" t="str">
        <f>IFERROR(VLOOKUP(A808,'PAÑOL TÉCNICO'!A808:B1000,2,0))</f>
        <v/>
      </c>
      <c r="C808" s="9">
        <f>SUMIF(DIARIOS!D:D,A808,DIARIOS!F:F)</f>
        <v>0</v>
      </c>
      <c r="D808" s="12"/>
      <c r="E808" s="12"/>
    </row>
    <row r="809" ht="15.75" customHeight="1">
      <c r="A809" s="13"/>
      <c r="B809" s="21" t="str">
        <f>IFERROR(VLOOKUP(A809,'PAÑOL TÉCNICO'!A809:B1000,2,0))</f>
        <v/>
      </c>
      <c r="C809" s="9">
        <f>SUMIF(DIARIOS!D:D,A809,DIARIOS!F:F)</f>
        <v>0</v>
      </c>
      <c r="D809" s="12"/>
      <c r="E809" s="12"/>
    </row>
    <row r="810" ht="15.75" customHeight="1">
      <c r="A810" s="13"/>
      <c r="B810" s="21" t="str">
        <f>IFERROR(VLOOKUP(A810,'PAÑOL TÉCNICO'!A810:B1000,2,0))</f>
        <v/>
      </c>
      <c r="C810" s="9">
        <f>SUMIF(DIARIOS!D:D,A810,DIARIOS!F:F)</f>
        <v>0</v>
      </c>
      <c r="D810" s="12"/>
      <c r="E810" s="12"/>
    </row>
    <row r="811" ht="15.75" customHeight="1">
      <c r="A811" s="13"/>
      <c r="B811" s="21" t="str">
        <f>IFERROR(VLOOKUP(A811,'PAÑOL TÉCNICO'!A811:B1000,2,0))</f>
        <v/>
      </c>
      <c r="C811" s="9">
        <f>SUMIF(DIARIOS!D:D,A811,DIARIOS!F:F)</f>
        <v>0</v>
      </c>
      <c r="D811" s="12"/>
      <c r="E811" s="12"/>
    </row>
    <row r="812" ht="15.75" customHeight="1">
      <c r="A812" s="13"/>
      <c r="B812" s="21" t="str">
        <f>IFERROR(VLOOKUP(A812,'PAÑOL TÉCNICO'!A812:B1000,2,0))</f>
        <v/>
      </c>
      <c r="C812" s="9">
        <f>SUMIF(DIARIOS!D:D,A812,DIARIOS!F:F)</f>
        <v>0</v>
      </c>
      <c r="D812" s="12"/>
      <c r="E812" s="12"/>
    </row>
    <row r="813" ht="15.75" customHeight="1">
      <c r="A813" s="13"/>
      <c r="B813" s="21" t="str">
        <f>IFERROR(VLOOKUP(A813,'PAÑOL TÉCNICO'!A813:B1000,2,0))</f>
        <v/>
      </c>
      <c r="C813" s="9">
        <f>SUMIF(DIARIOS!D:D,A813,DIARIOS!F:F)</f>
        <v>0</v>
      </c>
      <c r="D813" s="12"/>
      <c r="E813" s="12"/>
    </row>
    <row r="814" ht="15.75" customHeight="1">
      <c r="A814" s="13"/>
      <c r="B814" s="21" t="str">
        <f>IFERROR(VLOOKUP(A814,'PAÑOL TÉCNICO'!A814:B1000,2,0))</f>
        <v/>
      </c>
      <c r="C814" s="9">
        <f>SUMIF(DIARIOS!D:D,A814,DIARIOS!F:F)</f>
        <v>0</v>
      </c>
      <c r="D814" s="12"/>
      <c r="E814" s="12"/>
    </row>
    <row r="815" ht="15.75" customHeight="1">
      <c r="A815" s="13"/>
      <c r="B815" s="21" t="str">
        <f>IFERROR(VLOOKUP(A815,'PAÑOL TÉCNICO'!A815:B1000,2,0))</f>
        <v/>
      </c>
      <c r="C815" s="9">
        <f>SUMIF(DIARIOS!D:D,A815,DIARIOS!F:F)</f>
        <v>0</v>
      </c>
      <c r="D815" s="12"/>
      <c r="E815" s="12"/>
    </row>
    <row r="816" ht="15.75" customHeight="1">
      <c r="A816" s="13"/>
      <c r="B816" s="21" t="str">
        <f>IFERROR(VLOOKUP(A816,'PAÑOL TÉCNICO'!A816:B1000,2,0))</f>
        <v/>
      </c>
      <c r="C816" s="9">
        <f>SUMIF(DIARIOS!D:D,A816,DIARIOS!F:F)</f>
        <v>0</v>
      </c>
      <c r="D816" s="12"/>
      <c r="E816" s="12"/>
    </row>
    <row r="817" ht="15.75" customHeight="1">
      <c r="A817" s="13"/>
      <c r="B817" s="21" t="str">
        <f>IFERROR(VLOOKUP(A817,'PAÑOL TÉCNICO'!A817:B1000,2,0))</f>
        <v/>
      </c>
      <c r="C817" s="9">
        <f>SUMIF(DIARIOS!D:D,A817,DIARIOS!F:F)</f>
        <v>0</v>
      </c>
      <c r="D817" s="12"/>
      <c r="E817" s="12"/>
    </row>
    <row r="818" ht="15.75" customHeight="1">
      <c r="A818" s="13"/>
      <c r="B818" s="21" t="str">
        <f>IFERROR(VLOOKUP(A818,'PAÑOL TÉCNICO'!A818:B1000,2,0))</f>
        <v/>
      </c>
      <c r="C818" s="9">
        <f>SUMIF(DIARIOS!D:D,A818,DIARIOS!F:F)</f>
        <v>0</v>
      </c>
      <c r="D818" s="12"/>
      <c r="E818" s="12"/>
    </row>
    <row r="819" ht="15.75" customHeight="1">
      <c r="A819" s="13"/>
      <c r="B819" s="21" t="str">
        <f>IFERROR(VLOOKUP(A819,'PAÑOL TÉCNICO'!A819:B1000,2,0))</f>
        <v/>
      </c>
      <c r="C819" s="9">
        <f>SUMIF(DIARIOS!D:D,A819,DIARIOS!F:F)</f>
        <v>0</v>
      </c>
      <c r="D819" s="12"/>
      <c r="E819" s="12"/>
    </row>
    <row r="820" ht="15.75" customHeight="1">
      <c r="A820" s="13"/>
      <c r="B820" s="21" t="str">
        <f>IFERROR(VLOOKUP(A820,'PAÑOL TÉCNICO'!A820:B1000,2,0))</f>
        <v/>
      </c>
      <c r="C820" s="9">
        <f>SUMIF(DIARIOS!D:D,A820,DIARIOS!F:F)</f>
        <v>0</v>
      </c>
      <c r="D820" s="12"/>
      <c r="E820" s="12"/>
    </row>
    <row r="821" ht="15.75" customHeight="1">
      <c r="A821" s="13"/>
      <c r="B821" s="21" t="str">
        <f>IFERROR(VLOOKUP(A821,'PAÑOL TÉCNICO'!A821:B1000,2,0))</f>
        <v/>
      </c>
      <c r="C821" s="9">
        <f>SUMIF(DIARIOS!D:D,A821,DIARIOS!F:F)</f>
        <v>0</v>
      </c>
      <c r="D821" s="12"/>
      <c r="E821" s="12"/>
    </row>
    <row r="822" ht="15.75" customHeight="1">
      <c r="A822" s="13"/>
      <c r="B822" s="21" t="str">
        <f>IFERROR(VLOOKUP(A822,'PAÑOL TÉCNICO'!A822:B1000,2,0))</f>
        <v/>
      </c>
      <c r="C822" s="9">
        <f>SUMIF(DIARIOS!D:D,A822,DIARIOS!F:F)</f>
        <v>0</v>
      </c>
      <c r="D822" s="12"/>
      <c r="E822" s="12"/>
    </row>
    <row r="823" ht="15.75" customHeight="1">
      <c r="A823" s="13"/>
      <c r="B823" s="21" t="str">
        <f>IFERROR(VLOOKUP(A823,'PAÑOL TÉCNICO'!A823:B1000,2,0))</f>
        <v/>
      </c>
      <c r="C823" s="9">
        <f>SUMIF(DIARIOS!D:D,A823,DIARIOS!F:F)</f>
        <v>0</v>
      </c>
      <c r="D823" s="12"/>
      <c r="E823" s="12"/>
    </row>
    <row r="824" ht="15.75" customHeight="1">
      <c r="A824" s="13"/>
      <c r="B824" s="21" t="str">
        <f>IFERROR(VLOOKUP(A824,'PAÑOL TÉCNICO'!A824:B1000,2,0))</f>
        <v/>
      </c>
      <c r="C824" s="9">
        <f>SUMIF(DIARIOS!D:D,A824,DIARIOS!F:F)</f>
        <v>0</v>
      </c>
      <c r="D824" s="12"/>
      <c r="E824" s="12"/>
    </row>
    <row r="825" ht="15.75" customHeight="1">
      <c r="A825" s="13"/>
      <c r="B825" s="21" t="str">
        <f>IFERROR(VLOOKUP(A825,'PAÑOL TÉCNICO'!A825:B1000,2,0))</f>
        <v/>
      </c>
      <c r="C825" s="9">
        <f>SUMIF(DIARIOS!D:D,A825,DIARIOS!F:F)</f>
        <v>0</v>
      </c>
      <c r="D825" s="12"/>
      <c r="E825" s="12"/>
    </row>
    <row r="826" ht="15.75" customHeight="1">
      <c r="A826" s="13"/>
      <c r="B826" s="21" t="str">
        <f>IFERROR(VLOOKUP(A826,'PAÑOL TÉCNICO'!A826:B1000,2,0))</f>
        <v/>
      </c>
      <c r="C826" s="9">
        <f>SUMIF(DIARIOS!D:D,A826,DIARIOS!F:F)</f>
        <v>0</v>
      </c>
      <c r="D826" s="12"/>
      <c r="E826" s="12"/>
    </row>
    <row r="827" ht="15.75" customHeight="1">
      <c r="A827" s="13"/>
      <c r="B827" s="21" t="str">
        <f>IFERROR(VLOOKUP(A827,'PAÑOL TÉCNICO'!A827:B1000,2,0))</f>
        <v/>
      </c>
      <c r="C827" s="9">
        <f>SUMIF(DIARIOS!D:D,A827,DIARIOS!F:F)</f>
        <v>0</v>
      </c>
      <c r="D827" s="12"/>
      <c r="E827" s="12"/>
    </row>
    <row r="828" ht="15.75" customHeight="1">
      <c r="A828" s="13"/>
      <c r="B828" s="21" t="str">
        <f>IFERROR(VLOOKUP(A828,'PAÑOL TÉCNICO'!A828:B1000,2,0))</f>
        <v/>
      </c>
      <c r="C828" s="9">
        <f>SUMIF(DIARIOS!D:D,A828,DIARIOS!F:F)</f>
        <v>0</v>
      </c>
      <c r="D828" s="12"/>
      <c r="E828" s="12"/>
    </row>
    <row r="829" ht="15.75" customHeight="1">
      <c r="A829" s="13"/>
      <c r="B829" s="21" t="str">
        <f>IFERROR(VLOOKUP(A829,'PAÑOL TÉCNICO'!A829:B1000,2,0))</f>
        <v/>
      </c>
      <c r="C829" s="9">
        <f>SUMIF(DIARIOS!D:D,A829,DIARIOS!F:F)</f>
        <v>0</v>
      </c>
      <c r="D829" s="12"/>
      <c r="E829" s="12"/>
    </row>
    <row r="830" ht="15.75" customHeight="1">
      <c r="A830" s="13"/>
      <c r="B830" s="21" t="str">
        <f>IFERROR(VLOOKUP(A830,'PAÑOL TÉCNICO'!A830:B1000,2,0))</f>
        <v/>
      </c>
      <c r="C830" s="9">
        <f>SUMIF(DIARIOS!D:D,A830,DIARIOS!F:F)</f>
        <v>0</v>
      </c>
      <c r="D830" s="12"/>
      <c r="E830" s="12"/>
    </row>
    <row r="831" ht="15.75" customHeight="1">
      <c r="A831" s="13"/>
      <c r="B831" s="21" t="str">
        <f>IFERROR(VLOOKUP(A831,'PAÑOL TÉCNICO'!A831:B1000,2,0))</f>
        <v/>
      </c>
      <c r="C831" s="9">
        <f>SUMIF(DIARIOS!D:D,A831,DIARIOS!F:F)</f>
        <v>0</v>
      </c>
      <c r="D831" s="12"/>
      <c r="E831" s="12"/>
    </row>
    <row r="832" ht="15.75" customHeight="1">
      <c r="A832" s="13"/>
      <c r="B832" s="21" t="str">
        <f>IFERROR(VLOOKUP(A832,'PAÑOL TÉCNICO'!A832:B1000,2,0))</f>
        <v/>
      </c>
      <c r="C832" s="9">
        <f>SUMIF(DIARIOS!D:D,A832,DIARIOS!F:F)</f>
        <v>0</v>
      </c>
      <c r="D832" s="12"/>
      <c r="E832" s="12"/>
    </row>
    <row r="833" ht="15.75" customHeight="1">
      <c r="A833" s="13"/>
      <c r="B833" s="21" t="str">
        <f>IFERROR(VLOOKUP(A833,'PAÑOL TÉCNICO'!A833:B1000,2,0))</f>
        <v/>
      </c>
      <c r="C833" s="9">
        <f>SUMIF(DIARIOS!D:D,A833,DIARIOS!F:F)</f>
        <v>0</v>
      </c>
      <c r="D833" s="12"/>
      <c r="E833" s="12"/>
    </row>
    <row r="834" ht="15.75" customHeight="1">
      <c r="A834" s="13"/>
      <c r="B834" s="21" t="str">
        <f>IFERROR(VLOOKUP(A834,'PAÑOL TÉCNICO'!A834:B1000,2,0))</f>
        <v/>
      </c>
      <c r="C834" s="9">
        <f>SUMIF(DIARIOS!D:D,A834,DIARIOS!F:F)</f>
        <v>0</v>
      </c>
      <c r="D834" s="12"/>
      <c r="E834" s="12"/>
    </row>
    <row r="835" ht="15.75" customHeight="1">
      <c r="A835" s="13"/>
      <c r="B835" s="21" t="str">
        <f>IFERROR(VLOOKUP(A835,'PAÑOL TÉCNICO'!A835:B1000,2,0))</f>
        <v/>
      </c>
      <c r="C835" s="9">
        <f>SUMIF(DIARIOS!D:D,A835,DIARIOS!F:F)</f>
        <v>0</v>
      </c>
      <c r="D835" s="12"/>
      <c r="E835" s="12"/>
    </row>
    <row r="836" ht="15.75" customHeight="1">
      <c r="A836" s="13"/>
      <c r="B836" s="21" t="str">
        <f>IFERROR(VLOOKUP(A836,'PAÑOL TÉCNICO'!A836:B1000,2,0))</f>
        <v/>
      </c>
      <c r="C836" s="9">
        <f>SUMIF(DIARIOS!D:D,A836,DIARIOS!F:F)</f>
        <v>0</v>
      </c>
      <c r="D836" s="12"/>
      <c r="E836" s="12"/>
    </row>
    <row r="837" ht="15.75" customHeight="1">
      <c r="A837" s="13"/>
      <c r="B837" s="21" t="str">
        <f>IFERROR(VLOOKUP(A837,'PAÑOL TÉCNICO'!A837:B1000,2,0))</f>
        <v/>
      </c>
      <c r="C837" s="9">
        <f>SUMIF(DIARIOS!D:D,A837,DIARIOS!F:F)</f>
        <v>0</v>
      </c>
      <c r="D837" s="12"/>
      <c r="E837" s="12"/>
    </row>
    <row r="838" ht="15.75" customHeight="1">
      <c r="A838" s="13"/>
      <c r="B838" s="21" t="str">
        <f>IFERROR(VLOOKUP(A838,'PAÑOL TÉCNICO'!A838:B1000,2,0))</f>
        <v/>
      </c>
      <c r="C838" s="9">
        <f>SUMIF(DIARIOS!D:D,A838,DIARIOS!F:F)</f>
        <v>0</v>
      </c>
      <c r="D838" s="12"/>
      <c r="E838" s="12"/>
    </row>
    <row r="839" ht="15.75" customHeight="1">
      <c r="A839" s="13"/>
      <c r="B839" s="21" t="str">
        <f>IFERROR(VLOOKUP(A839,'PAÑOL TÉCNICO'!A839:B1000,2,0))</f>
        <v/>
      </c>
      <c r="C839" s="9">
        <f>SUMIF(DIARIOS!D:D,A839,DIARIOS!F:F)</f>
        <v>0</v>
      </c>
      <c r="D839" s="12"/>
      <c r="E839" s="12"/>
    </row>
    <row r="840" ht="15.75" customHeight="1">
      <c r="A840" s="13"/>
      <c r="B840" s="21" t="str">
        <f>IFERROR(VLOOKUP(A840,'PAÑOL TÉCNICO'!A840:B1000,2,0))</f>
        <v/>
      </c>
      <c r="C840" s="9">
        <f>SUMIF(DIARIOS!D:D,A840,DIARIOS!F:F)</f>
        <v>0</v>
      </c>
      <c r="D840" s="12"/>
      <c r="E840" s="12"/>
    </row>
    <row r="841" ht="15.75" customHeight="1">
      <c r="A841" s="13"/>
      <c r="B841" s="21" t="str">
        <f>IFERROR(VLOOKUP(A841,'PAÑOL TÉCNICO'!A841:B1000,2,0))</f>
        <v/>
      </c>
      <c r="C841" s="9">
        <f>SUMIF(DIARIOS!D:D,A841,DIARIOS!F:F)</f>
        <v>0</v>
      </c>
      <c r="D841" s="12"/>
      <c r="E841" s="12"/>
    </row>
    <row r="842" ht="15.75" customHeight="1">
      <c r="A842" s="13"/>
      <c r="B842" s="21" t="str">
        <f>IFERROR(VLOOKUP(A842,'PAÑOL TÉCNICO'!A842:B1000,2,0))</f>
        <v/>
      </c>
      <c r="C842" s="9">
        <f>SUMIF(DIARIOS!D:D,A842,DIARIOS!F:F)</f>
        <v>0</v>
      </c>
      <c r="D842" s="12"/>
      <c r="E842" s="12"/>
    </row>
    <row r="843" ht="15.75" customHeight="1">
      <c r="A843" s="13"/>
      <c r="B843" s="21" t="str">
        <f>IFERROR(VLOOKUP(A843,'PAÑOL TÉCNICO'!A843:B1000,2,0))</f>
        <v/>
      </c>
      <c r="C843" s="9">
        <f>SUMIF(DIARIOS!D:D,A843,DIARIOS!F:F)</f>
        <v>0</v>
      </c>
      <c r="D843" s="12"/>
      <c r="E843" s="12"/>
    </row>
    <row r="844" ht="15.75" customHeight="1">
      <c r="A844" s="13"/>
      <c r="B844" s="21" t="str">
        <f>IFERROR(VLOOKUP(A844,'PAÑOL TÉCNICO'!A844:B1000,2,0))</f>
        <v/>
      </c>
      <c r="C844" s="9">
        <f>SUMIF(DIARIOS!D:D,A844,DIARIOS!F:F)</f>
        <v>0</v>
      </c>
      <c r="D844" s="12"/>
      <c r="E844" s="12"/>
    </row>
    <row r="845" ht="15.75" customHeight="1">
      <c r="A845" s="13"/>
      <c r="B845" s="21" t="str">
        <f>IFERROR(VLOOKUP(A845,'PAÑOL TÉCNICO'!A845:B1000,2,0))</f>
        <v/>
      </c>
      <c r="C845" s="9">
        <f>SUMIF(DIARIOS!D:D,A845,DIARIOS!F:F)</f>
        <v>0</v>
      </c>
      <c r="D845" s="12"/>
      <c r="E845" s="12"/>
    </row>
    <row r="846" ht="15.75" customHeight="1">
      <c r="A846" s="13"/>
      <c r="B846" s="21" t="str">
        <f>IFERROR(VLOOKUP(A846,'PAÑOL TÉCNICO'!A846:B1000,2,0))</f>
        <v/>
      </c>
      <c r="C846" s="9">
        <f>SUMIF(DIARIOS!D:D,A846,DIARIOS!F:F)</f>
        <v>0</v>
      </c>
      <c r="D846" s="12"/>
      <c r="E846" s="12"/>
    </row>
    <row r="847" ht="15.75" customHeight="1">
      <c r="A847" s="13"/>
      <c r="B847" s="21" t="str">
        <f>IFERROR(VLOOKUP(A847,'PAÑOL TÉCNICO'!A847:B1000,2,0))</f>
        <v/>
      </c>
      <c r="C847" s="9">
        <f>SUMIF(DIARIOS!D:D,A847,DIARIOS!F:F)</f>
        <v>0</v>
      </c>
      <c r="D847" s="12"/>
      <c r="E847" s="12"/>
    </row>
    <row r="848" ht="15.75" customHeight="1">
      <c r="A848" s="13"/>
      <c r="B848" s="21" t="str">
        <f>IFERROR(VLOOKUP(A848,'PAÑOL TÉCNICO'!A848:B1000,2,0))</f>
        <v/>
      </c>
      <c r="C848" s="9">
        <f>SUMIF(DIARIOS!D:D,A848,DIARIOS!F:F)</f>
        <v>0</v>
      </c>
      <c r="D848" s="12"/>
      <c r="E848" s="12"/>
    </row>
    <row r="849" ht="15.75" customHeight="1">
      <c r="A849" s="13"/>
      <c r="B849" s="21" t="str">
        <f>IFERROR(VLOOKUP(A849,'PAÑOL TÉCNICO'!A849:B1000,2,0))</f>
        <v/>
      </c>
      <c r="C849" s="9">
        <f>SUMIF(DIARIOS!D:D,A849,DIARIOS!F:F)</f>
        <v>0</v>
      </c>
      <c r="D849" s="12"/>
      <c r="E849" s="12"/>
    </row>
    <row r="850" ht="15.75" customHeight="1">
      <c r="A850" s="13"/>
      <c r="B850" s="21" t="str">
        <f>IFERROR(VLOOKUP(A850,'PAÑOL TÉCNICO'!A850:B1000,2,0))</f>
        <v/>
      </c>
      <c r="C850" s="9">
        <f>SUMIF(DIARIOS!D:D,A850,DIARIOS!F:F)</f>
        <v>0</v>
      </c>
      <c r="D850" s="12"/>
      <c r="E850" s="12"/>
    </row>
    <row r="851" ht="15.75" customHeight="1">
      <c r="A851" s="13"/>
      <c r="B851" s="21" t="str">
        <f>IFERROR(VLOOKUP(A851,'PAÑOL TÉCNICO'!A851:B1000,2,0))</f>
        <v/>
      </c>
      <c r="C851" s="9">
        <f>SUMIF(DIARIOS!D:D,A851,DIARIOS!F:F)</f>
        <v>0</v>
      </c>
      <c r="D851" s="12"/>
      <c r="E851" s="12"/>
    </row>
    <row r="852" ht="15.75" customHeight="1">
      <c r="A852" s="13"/>
      <c r="B852" s="21" t="str">
        <f>IFERROR(VLOOKUP(A852,'PAÑOL TÉCNICO'!A852:B1000,2,0))</f>
        <v/>
      </c>
      <c r="C852" s="9">
        <f>SUMIF(DIARIOS!D:D,A852,DIARIOS!F:F)</f>
        <v>0</v>
      </c>
      <c r="D852" s="12"/>
      <c r="E852" s="12"/>
    </row>
    <row r="853" ht="15.75" customHeight="1">
      <c r="A853" s="13"/>
      <c r="B853" s="21" t="str">
        <f>IFERROR(VLOOKUP(A853,'PAÑOL TÉCNICO'!A853:B1000,2,0))</f>
        <v/>
      </c>
      <c r="C853" s="9">
        <f>SUMIF(DIARIOS!D:D,A853,DIARIOS!F:F)</f>
        <v>0</v>
      </c>
      <c r="D853" s="12"/>
      <c r="E853" s="12"/>
    </row>
    <row r="854" ht="15.75" customHeight="1">
      <c r="A854" s="13"/>
      <c r="B854" s="21" t="str">
        <f>IFERROR(VLOOKUP(A854,'PAÑOL TÉCNICO'!A854:B1000,2,0))</f>
        <v/>
      </c>
      <c r="C854" s="9">
        <f>SUMIF(DIARIOS!D:D,A854,DIARIOS!F:F)</f>
        <v>0</v>
      </c>
      <c r="D854" s="12"/>
      <c r="E854" s="12"/>
    </row>
    <row r="855" ht="15.75" customHeight="1">
      <c r="A855" s="13"/>
      <c r="B855" s="21" t="str">
        <f>IFERROR(VLOOKUP(A855,'PAÑOL TÉCNICO'!A855:B1000,2,0))</f>
        <v/>
      </c>
      <c r="C855" s="9">
        <f>SUMIF(DIARIOS!D:D,A855,DIARIOS!F:F)</f>
        <v>0</v>
      </c>
      <c r="D855" s="12"/>
      <c r="E855" s="12"/>
    </row>
    <row r="856" ht="15.75" customHeight="1">
      <c r="A856" s="13"/>
      <c r="B856" s="21" t="str">
        <f>IFERROR(VLOOKUP(A856,'PAÑOL TÉCNICO'!A856:B1000,2,0))</f>
        <v/>
      </c>
      <c r="C856" s="9">
        <f>SUMIF(DIARIOS!D:D,A856,DIARIOS!F:F)</f>
        <v>0</v>
      </c>
      <c r="D856" s="12"/>
      <c r="E856" s="12"/>
    </row>
    <row r="857" ht="15.75" customHeight="1">
      <c r="A857" s="13"/>
      <c r="B857" s="21" t="str">
        <f>IFERROR(VLOOKUP(A857,'PAÑOL TÉCNICO'!A857:B1000,2,0))</f>
        <v/>
      </c>
      <c r="C857" s="9">
        <f>SUMIF(DIARIOS!D:D,A857,DIARIOS!F:F)</f>
        <v>0</v>
      </c>
      <c r="D857" s="12"/>
      <c r="E857" s="12"/>
    </row>
    <row r="858" ht="15.75" customHeight="1">
      <c r="A858" s="13"/>
      <c r="B858" s="21" t="str">
        <f>IFERROR(VLOOKUP(A858,'PAÑOL TÉCNICO'!A858:B1000,2,0))</f>
        <v/>
      </c>
      <c r="C858" s="9">
        <f>SUMIF(DIARIOS!D:D,A858,DIARIOS!F:F)</f>
        <v>0</v>
      </c>
      <c r="D858" s="12"/>
      <c r="E858" s="12"/>
    </row>
    <row r="859" ht="15.75" customHeight="1">
      <c r="A859" s="13"/>
      <c r="B859" s="21" t="str">
        <f>IFERROR(VLOOKUP(A859,'PAÑOL TÉCNICO'!A859:B1000,2,0))</f>
        <v/>
      </c>
      <c r="C859" s="9">
        <f>SUMIF(DIARIOS!D:D,A859,DIARIOS!F:F)</f>
        <v>0</v>
      </c>
      <c r="D859" s="12"/>
      <c r="E859" s="12"/>
    </row>
    <row r="860" ht="15.75" customHeight="1">
      <c r="A860" s="13"/>
      <c r="B860" s="21" t="str">
        <f>IFERROR(VLOOKUP(A860,'PAÑOL TÉCNICO'!A860:B1000,2,0))</f>
        <v/>
      </c>
      <c r="C860" s="9">
        <f>SUMIF(DIARIOS!D:D,A860,DIARIOS!F:F)</f>
        <v>0</v>
      </c>
      <c r="D860" s="12"/>
      <c r="E860" s="12"/>
    </row>
    <row r="861" ht="15.75" customHeight="1">
      <c r="A861" s="13"/>
      <c r="B861" s="21" t="str">
        <f>IFERROR(VLOOKUP(A861,'PAÑOL TÉCNICO'!A861:B1000,2,0))</f>
        <v/>
      </c>
      <c r="C861" s="9">
        <f>SUMIF(DIARIOS!D:D,A861,DIARIOS!F:F)</f>
        <v>0</v>
      </c>
      <c r="D861" s="12"/>
      <c r="E861" s="12"/>
    </row>
    <row r="862" ht="15.75" customHeight="1">
      <c r="A862" s="13"/>
      <c r="B862" s="21" t="str">
        <f>IFERROR(VLOOKUP(A862,'PAÑOL TÉCNICO'!A862:B1000,2,0))</f>
        <v/>
      </c>
      <c r="C862" s="9">
        <f>SUMIF(DIARIOS!D:D,A862,DIARIOS!F:F)</f>
        <v>0</v>
      </c>
      <c r="D862" s="12"/>
      <c r="E862" s="12"/>
    </row>
    <row r="863" ht="15.75" customHeight="1">
      <c r="A863" s="13"/>
      <c r="B863" s="21" t="str">
        <f>IFERROR(VLOOKUP(A863,'PAÑOL TÉCNICO'!A863:B1000,2,0))</f>
        <v/>
      </c>
      <c r="C863" s="9">
        <f>SUMIF(DIARIOS!D:D,A863,DIARIOS!F:F)</f>
        <v>0</v>
      </c>
      <c r="D863" s="12"/>
      <c r="E863" s="12"/>
    </row>
    <row r="864" ht="15.75" customHeight="1">
      <c r="A864" s="13"/>
      <c r="B864" s="21" t="str">
        <f>IFERROR(VLOOKUP(A864,'PAÑOL TÉCNICO'!A864:B1000,2,0))</f>
        <v/>
      </c>
      <c r="C864" s="9">
        <f>SUMIF(DIARIOS!D:D,A864,DIARIOS!F:F)</f>
        <v>0</v>
      </c>
      <c r="D864" s="12"/>
      <c r="E864" s="12"/>
    </row>
    <row r="865" ht="15.75" customHeight="1">
      <c r="A865" s="13"/>
      <c r="B865" s="21" t="str">
        <f>IFERROR(VLOOKUP(A865,'PAÑOL TÉCNICO'!A865:B1000,2,0))</f>
        <v/>
      </c>
      <c r="C865" s="9">
        <f>SUMIF(DIARIOS!D:D,A865,DIARIOS!F:F)</f>
        <v>0</v>
      </c>
      <c r="D865" s="12"/>
      <c r="E865" s="12"/>
    </row>
    <row r="866" ht="15.75" customHeight="1">
      <c r="A866" s="13"/>
      <c r="B866" s="21" t="str">
        <f>IFERROR(VLOOKUP(A866,'PAÑOL TÉCNICO'!A866:B1000,2,0))</f>
        <v/>
      </c>
      <c r="C866" s="9">
        <f>SUMIF(DIARIOS!D:D,A866,DIARIOS!F:F)</f>
        <v>0</v>
      </c>
      <c r="D866" s="12"/>
      <c r="E866" s="12"/>
    </row>
    <row r="867" ht="15.75" customHeight="1">
      <c r="A867" s="13"/>
      <c r="B867" s="21" t="str">
        <f>IFERROR(VLOOKUP(A867,'PAÑOL TÉCNICO'!A867:B1000,2,0))</f>
        <v/>
      </c>
      <c r="C867" s="9">
        <f>SUMIF(DIARIOS!D:D,A867,DIARIOS!F:F)</f>
        <v>0</v>
      </c>
      <c r="D867" s="12"/>
      <c r="E867" s="12"/>
    </row>
    <row r="868" ht="15.75" customHeight="1">
      <c r="A868" s="13"/>
      <c r="B868" s="21" t="str">
        <f>IFERROR(VLOOKUP(A868,'PAÑOL TÉCNICO'!A868:B1000,2,0))</f>
        <v/>
      </c>
      <c r="C868" s="9">
        <f>SUMIF(DIARIOS!D:D,A868,DIARIOS!F:F)</f>
        <v>0</v>
      </c>
      <c r="D868" s="12"/>
      <c r="E868" s="12"/>
    </row>
    <row r="869" ht="15.75" customHeight="1">
      <c r="A869" s="13"/>
      <c r="B869" s="21" t="str">
        <f>IFERROR(VLOOKUP(A869,'PAÑOL TÉCNICO'!A869:B1000,2,0))</f>
        <v/>
      </c>
      <c r="C869" s="9">
        <f>SUMIF(DIARIOS!D:D,A869,DIARIOS!F:F)</f>
        <v>0</v>
      </c>
      <c r="D869" s="12"/>
      <c r="E869" s="12"/>
    </row>
    <row r="870" ht="15.75" customHeight="1">
      <c r="A870" s="13"/>
      <c r="B870" s="21" t="str">
        <f>IFERROR(VLOOKUP(A870,'PAÑOL TÉCNICO'!A870:B1000,2,0))</f>
        <v/>
      </c>
      <c r="C870" s="9">
        <f>SUMIF(DIARIOS!D:D,A870,DIARIOS!F:F)</f>
        <v>0</v>
      </c>
      <c r="D870" s="12"/>
      <c r="E870" s="12"/>
    </row>
    <row r="871" ht="15.75" customHeight="1">
      <c r="A871" s="13"/>
      <c r="B871" s="21" t="str">
        <f>IFERROR(VLOOKUP(A871,'PAÑOL TÉCNICO'!A871:B1000,2,0))</f>
        <v/>
      </c>
      <c r="C871" s="9">
        <f>SUMIF(DIARIOS!D:D,A871,DIARIOS!F:F)</f>
        <v>0</v>
      </c>
      <c r="D871" s="12"/>
      <c r="E871" s="12"/>
    </row>
    <row r="872" ht="15.75" customHeight="1">
      <c r="A872" s="13"/>
      <c r="B872" s="21" t="str">
        <f>IFERROR(VLOOKUP(A872,'PAÑOL TÉCNICO'!A872:B1000,2,0))</f>
        <v/>
      </c>
      <c r="C872" s="9">
        <f>SUMIF(DIARIOS!D:D,A872,DIARIOS!F:F)</f>
        <v>0</v>
      </c>
      <c r="D872" s="12"/>
      <c r="E872" s="12"/>
    </row>
    <row r="873" ht="15.75" customHeight="1">
      <c r="A873" s="13"/>
      <c r="B873" s="21" t="str">
        <f>IFERROR(VLOOKUP(A873,'PAÑOL TÉCNICO'!A873:B1000,2,0))</f>
        <v/>
      </c>
      <c r="C873" s="9">
        <f>SUMIF(DIARIOS!D:D,A873,DIARIOS!F:F)</f>
        <v>0</v>
      </c>
      <c r="D873" s="12"/>
      <c r="E873" s="12"/>
    </row>
    <row r="874" ht="15.75" customHeight="1">
      <c r="A874" s="13"/>
      <c r="B874" s="21" t="str">
        <f>IFERROR(VLOOKUP(A874,'PAÑOL TÉCNICO'!A874:B1000,2,0))</f>
        <v/>
      </c>
      <c r="C874" s="9">
        <f>SUMIF(DIARIOS!D:D,A874,DIARIOS!F:F)</f>
        <v>0</v>
      </c>
      <c r="D874" s="12"/>
      <c r="E874" s="12"/>
    </row>
    <row r="875" ht="15.75" customHeight="1">
      <c r="A875" s="13"/>
      <c r="B875" s="21" t="str">
        <f>IFERROR(VLOOKUP(A875,'PAÑOL TÉCNICO'!A875:B1000,2,0))</f>
        <v/>
      </c>
      <c r="C875" s="9">
        <f>SUMIF(DIARIOS!D:D,A875,DIARIOS!F:F)</f>
        <v>0</v>
      </c>
      <c r="D875" s="12"/>
      <c r="E875" s="12"/>
    </row>
    <row r="876" ht="15.75" customHeight="1">
      <c r="A876" s="13"/>
      <c r="B876" s="21" t="str">
        <f>IFERROR(VLOOKUP(A876,'PAÑOL TÉCNICO'!A876:B1000,2,0))</f>
        <v/>
      </c>
      <c r="C876" s="9">
        <f>SUMIF(DIARIOS!D:D,A876,DIARIOS!F:F)</f>
        <v>0</v>
      </c>
      <c r="D876" s="12"/>
      <c r="E876" s="12"/>
    </row>
    <row r="877" ht="15.75" customHeight="1">
      <c r="A877" s="13"/>
      <c r="B877" s="21" t="str">
        <f>IFERROR(VLOOKUP(A877,'PAÑOL TÉCNICO'!A877:B1000,2,0))</f>
        <v/>
      </c>
      <c r="C877" s="9">
        <f>SUMIF(DIARIOS!D:D,A877,DIARIOS!F:F)</f>
        <v>0</v>
      </c>
      <c r="D877" s="12"/>
      <c r="E877" s="12"/>
    </row>
    <row r="878" ht="15.75" customHeight="1">
      <c r="A878" s="13"/>
      <c r="B878" s="21" t="str">
        <f>IFERROR(VLOOKUP(A878,'PAÑOL TÉCNICO'!A878:B1000,2,0))</f>
        <v/>
      </c>
      <c r="C878" s="9">
        <f>SUMIF(DIARIOS!D:D,A878,DIARIOS!F:F)</f>
        <v>0</v>
      </c>
      <c r="D878" s="12"/>
      <c r="E878" s="12"/>
    </row>
    <row r="879" ht="15.75" customHeight="1">
      <c r="A879" s="13"/>
      <c r="B879" s="21" t="str">
        <f>IFERROR(VLOOKUP(A879,'PAÑOL TÉCNICO'!A879:B1000,2,0))</f>
        <v/>
      </c>
      <c r="C879" s="9">
        <f>SUMIF(DIARIOS!D:D,A879,DIARIOS!F:F)</f>
        <v>0</v>
      </c>
      <c r="D879" s="12"/>
      <c r="E879" s="12"/>
    </row>
    <row r="880" ht="15.75" customHeight="1">
      <c r="A880" s="13"/>
      <c r="B880" s="21" t="str">
        <f>IFERROR(VLOOKUP(A880,'PAÑOL TÉCNICO'!A880:B1000,2,0))</f>
        <v/>
      </c>
      <c r="C880" s="9">
        <f>SUMIF(DIARIOS!D:D,A880,DIARIOS!F:F)</f>
        <v>0</v>
      </c>
      <c r="D880" s="12"/>
      <c r="E880" s="12"/>
    </row>
    <row r="881" ht="15.75" customHeight="1">
      <c r="A881" s="13"/>
      <c r="B881" s="21" t="str">
        <f>IFERROR(VLOOKUP(A881,'PAÑOL TÉCNICO'!A881:B1000,2,0))</f>
        <v/>
      </c>
      <c r="C881" s="9">
        <f>SUMIF(DIARIOS!D:D,A881,DIARIOS!F:F)</f>
        <v>0</v>
      </c>
      <c r="D881" s="12"/>
      <c r="E881" s="12"/>
    </row>
    <row r="882" ht="15.75" customHeight="1">
      <c r="A882" s="13"/>
      <c r="B882" s="21" t="str">
        <f>IFERROR(VLOOKUP(A882,'PAÑOL TÉCNICO'!A882:B1000,2,0))</f>
        <v/>
      </c>
      <c r="C882" s="9">
        <f>SUMIF(DIARIOS!D:D,A882,DIARIOS!F:F)</f>
        <v>0</v>
      </c>
      <c r="D882" s="12"/>
      <c r="E882" s="12"/>
    </row>
    <row r="883" ht="15.75" customHeight="1">
      <c r="A883" s="13"/>
      <c r="B883" s="21" t="str">
        <f>IFERROR(VLOOKUP(A883,'PAÑOL TÉCNICO'!A883:B1000,2,0))</f>
        <v/>
      </c>
      <c r="C883" s="9">
        <f>SUMIF(DIARIOS!D:D,A883,DIARIOS!F:F)</f>
        <v>0</v>
      </c>
      <c r="D883" s="12"/>
      <c r="E883" s="12"/>
    </row>
    <row r="884" ht="15.75" customHeight="1">
      <c r="A884" s="13"/>
      <c r="B884" s="21" t="str">
        <f>IFERROR(VLOOKUP(A884,'PAÑOL TÉCNICO'!A884:B1000,2,0))</f>
        <v/>
      </c>
      <c r="C884" s="9">
        <f>SUMIF(DIARIOS!D:D,A884,DIARIOS!F:F)</f>
        <v>0</v>
      </c>
      <c r="D884" s="12"/>
      <c r="E884" s="12"/>
    </row>
    <row r="885" ht="15.75" customHeight="1">
      <c r="A885" s="13"/>
      <c r="B885" s="21" t="str">
        <f>IFERROR(VLOOKUP(A885,'PAÑOL TÉCNICO'!A885:B1000,2,0))</f>
        <v/>
      </c>
      <c r="C885" s="9">
        <f>SUMIF(DIARIOS!D:D,A885,DIARIOS!F:F)</f>
        <v>0</v>
      </c>
      <c r="D885" s="12"/>
      <c r="E885" s="12"/>
    </row>
    <row r="886" ht="15.75" customHeight="1">
      <c r="A886" s="13"/>
      <c r="B886" s="21" t="str">
        <f>IFERROR(VLOOKUP(A886,'PAÑOL TÉCNICO'!A886:B1000,2,0))</f>
        <v/>
      </c>
      <c r="C886" s="9">
        <f>SUMIF(DIARIOS!D:D,A886,DIARIOS!F:F)</f>
        <v>0</v>
      </c>
      <c r="D886" s="12"/>
      <c r="E886" s="12"/>
    </row>
    <row r="887" ht="15.75" customHeight="1">
      <c r="A887" s="13"/>
      <c r="B887" s="21" t="str">
        <f>IFERROR(VLOOKUP(A887,'PAÑOL TÉCNICO'!A887:B1000,2,0))</f>
        <v/>
      </c>
      <c r="C887" s="9">
        <f>SUMIF(DIARIOS!D:D,A887,DIARIOS!F:F)</f>
        <v>0</v>
      </c>
      <c r="D887" s="12"/>
      <c r="E887" s="12"/>
    </row>
    <row r="888" ht="15.75" customHeight="1">
      <c r="A888" s="13"/>
      <c r="B888" s="21" t="str">
        <f>IFERROR(VLOOKUP(A888,'PAÑOL TÉCNICO'!A888:B1000,2,0))</f>
        <v/>
      </c>
      <c r="C888" s="9">
        <f>SUMIF(DIARIOS!D:D,A888,DIARIOS!F:F)</f>
        <v>0</v>
      </c>
      <c r="D888" s="12"/>
      <c r="E888" s="12"/>
    </row>
    <row r="889" ht="15.75" customHeight="1">
      <c r="A889" s="13"/>
      <c r="B889" s="21" t="str">
        <f>IFERROR(VLOOKUP(A889,'PAÑOL TÉCNICO'!A889:B1000,2,0))</f>
        <v/>
      </c>
      <c r="C889" s="9">
        <f>SUMIF(DIARIOS!D:D,A889,DIARIOS!F:F)</f>
        <v>0</v>
      </c>
      <c r="D889" s="12"/>
      <c r="E889" s="12"/>
    </row>
    <row r="890" ht="15.75" customHeight="1">
      <c r="A890" s="13"/>
      <c r="B890" s="21" t="str">
        <f>IFERROR(VLOOKUP(A890,'PAÑOL TÉCNICO'!A890:B1000,2,0))</f>
        <v/>
      </c>
      <c r="C890" s="9">
        <f>SUMIF(DIARIOS!D:D,A890,DIARIOS!F:F)</f>
        <v>0</v>
      </c>
      <c r="D890" s="12"/>
      <c r="E890" s="12"/>
    </row>
    <row r="891" ht="15.75" customHeight="1">
      <c r="A891" s="13"/>
      <c r="B891" s="21" t="str">
        <f>IFERROR(VLOOKUP(A891,'PAÑOL TÉCNICO'!A891:B1000,2,0))</f>
        <v/>
      </c>
      <c r="C891" s="9">
        <f>SUMIF(DIARIOS!D:D,A891,DIARIOS!F:F)</f>
        <v>0</v>
      </c>
      <c r="D891" s="12"/>
      <c r="E891" s="12"/>
    </row>
    <row r="892" ht="15.75" customHeight="1">
      <c r="A892" s="13"/>
      <c r="B892" s="21" t="str">
        <f>IFERROR(VLOOKUP(A892,'PAÑOL TÉCNICO'!A892:B1000,2,0))</f>
        <v/>
      </c>
      <c r="C892" s="9">
        <f>SUMIF(DIARIOS!D:D,A892,DIARIOS!F:F)</f>
        <v>0</v>
      </c>
      <c r="D892" s="12"/>
      <c r="E892" s="12"/>
    </row>
    <row r="893" ht="15.75" customHeight="1">
      <c r="A893" s="13"/>
      <c r="B893" s="21" t="str">
        <f>IFERROR(VLOOKUP(A893,'PAÑOL TÉCNICO'!A893:B1000,2,0))</f>
        <v/>
      </c>
      <c r="C893" s="9">
        <f>SUMIF(DIARIOS!D:D,A893,DIARIOS!F:F)</f>
        <v>0</v>
      </c>
      <c r="D893" s="12"/>
      <c r="E893" s="12"/>
    </row>
    <row r="894" ht="15.75" customHeight="1">
      <c r="A894" s="13"/>
      <c r="B894" s="21" t="str">
        <f>IFERROR(VLOOKUP(A894,'PAÑOL TÉCNICO'!A894:B1000,2,0))</f>
        <v/>
      </c>
      <c r="C894" s="9">
        <f>SUMIF(DIARIOS!D:D,A894,DIARIOS!F:F)</f>
        <v>0</v>
      </c>
      <c r="D894" s="12"/>
      <c r="E894" s="12"/>
    </row>
    <row r="895" ht="15.75" customHeight="1">
      <c r="A895" s="13"/>
      <c r="B895" s="21" t="str">
        <f>IFERROR(VLOOKUP(A895,'PAÑOL TÉCNICO'!A895:B1000,2,0))</f>
        <v/>
      </c>
      <c r="C895" s="9">
        <f>SUMIF(DIARIOS!D:D,A895,DIARIOS!F:F)</f>
        <v>0</v>
      </c>
      <c r="D895" s="12"/>
      <c r="E895" s="12"/>
    </row>
    <row r="896" ht="15.75" customHeight="1">
      <c r="A896" s="13"/>
      <c r="B896" s="21" t="str">
        <f>IFERROR(VLOOKUP(A896,'PAÑOL TÉCNICO'!A896:B1000,2,0))</f>
        <v/>
      </c>
      <c r="C896" s="9">
        <f>SUMIF(DIARIOS!D:D,A896,DIARIOS!F:F)</f>
        <v>0</v>
      </c>
      <c r="D896" s="12"/>
      <c r="E896" s="12"/>
    </row>
    <row r="897" ht="15.75" customHeight="1">
      <c r="A897" s="13"/>
      <c r="B897" s="21" t="str">
        <f>IFERROR(VLOOKUP(A897,'PAÑOL TÉCNICO'!A897:B1000,2,0))</f>
        <v/>
      </c>
      <c r="C897" s="9">
        <f>SUMIF(DIARIOS!D:D,A897,DIARIOS!F:F)</f>
        <v>0</v>
      </c>
      <c r="D897" s="12"/>
      <c r="E897" s="12"/>
    </row>
    <row r="898" ht="15.75" customHeight="1">
      <c r="A898" s="13"/>
      <c r="B898" s="21" t="str">
        <f>IFERROR(VLOOKUP(A898,'PAÑOL TÉCNICO'!A898:B1000,2,0))</f>
        <v/>
      </c>
      <c r="C898" s="9">
        <f>SUMIF(DIARIOS!D:D,A898,DIARIOS!F:F)</f>
        <v>0</v>
      </c>
      <c r="D898" s="12"/>
      <c r="E898" s="12"/>
    </row>
    <row r="899" ht="15.75" customHeight="1">
      <c r="A899" s="13"/>
      <c r="B899" s="21" t="str">
        <f>IFERROR(VLOOKUP(A899,'PAÑOL TÉCNICO'!A899:B1000,2,0))</f>
        <v/>
      </c>
      <c r="C899" s="9">
        <f>SUMIF(DIARIOS!D:D,A899,DIARIOS!F:F)</f>
        <v>0</v>
      </c>
      <c r="D899" s="12"/>
      <c r="E899" s="12"/>
    </row>
    <row r="900" ht="15.75" customHeight="1">
      <c r="A900" s="13"/>
      <c r="B900" s="21" t="str">
        <f>IFERROR(VLOOKUP(A900,'PAÑOL TÉCNICO'!A900:B1000,2,0))</f>
        <v/>
      </c>
      <c r="C900" s="9">
        <f>SUMIF(DIARIOS!D:D,A900,DIARIOS!F:F)</f>
        <v>0</v>
      </c>
      <c r="D900" s="12"/>
      <c r="E900" s="12"/>
    </row>
    <row r="901" ht="15.75" customHeight="1">
      <c r="A901" s="13"/>
      <c r="B901" s="21" t="str">
        <f>IFERROR(VLOOKUP(A901,'PAÑOL TÉCNICO'!A901:B1000,2,0))</f>
        <v/>
      </c>
      <c r="C901" s="9">
        <f>SUMIF(DIARIOS!D:D,A901,DIARIOS!F:F)</f>
        <v>0</v>
      </c>
      <c r="D901" s="12"/>
      <c r="E901" s="12"/>
    </row>
    <row r="902" ht="15.75" customHeight="1">
      <c r="A902" s="13"/>
      <c r="B902" s="21" t="str">
        <f>IFERROR(VLOOKUP(A902,'PAÑOL TÉCNICO'!A902:B1000,2,0))</f>
        <v/>
      </c>
      <c r="C902" s="9">
        <f>SUMIF(DIARIOS!D:D,A902,DIARIOS!F:F)</f>
        <v>0</v>
      </c>
      <c r="D902" s="12"/>
      <c r="E902" s="12"/>
    </row>
    <row r="903" ht="15.75" customHeight="1">
      <c r="A903" s="13"/>
      <c r="B903" s="21" t="str">
        <f>IFERROR(VLOOKUP(A903,'PAÑOL TÉCNICO'!A903:B1000,2,0))</f>
        <v/>
      </c>
      <c r="C903" s="9">
        <f>SUMIF(DIARIOS!D:D,A903,DIARIOS!F:F)</f>
        <v>0</v>
      </c>
      <c r="D903" s="12"/>
      <c r="E903" s="12"/>
    </row>
    <row r="904" ht="15.75" customHeight="1">
      <c r="A904" s="13"/>
      <c r="B904" s="21" t="str">
        <f>IFERROR(VLOOKUP(A904,'PAÑOL TÉCNICO'!A904:B1000,2,0))</f>
        <v/>
      </c>
      <c r="C904" s="9">
        <f>SUMIF(DIARIOS!D:D,A904,DIARIOS!F:F)</f>
        <v>0</v>
      </c>
      <c r="D904" s="12"/>
      <c r="E904" s="12"/>
    </row>
    <row r="905" ht="15.75" customHeight="1">
      <c r="A905" s="13"/>
      <c r="B905" s="21" t="str">
        <f>IFERROR(VLOOKUP(A905,'PAÑOL TÉCNICO'!A905:B1000,2,0))</f>
        <v/>
      </c>
      <c r="C905" s="9">
        <f>SUMIF(DIARIOS!D:D,A905,DIARIOS!F:F)</f>
        <v>0</v>
      </c>
      <c r="D905" s="12"/>
      <c r="E905" s="12"/>
    </row>
    <row r="906" ht="15.75" customHeight="1">
      <c r="A906" s="13"/>
      <c r="B906" s="21" t="str">
        <f>IFERROR(VLOOKUP(A906,'PAÑOL TÉCNICO'!A906:B1000,2,0))</f>
        <v/>
      </c>
      <c r="C906" s="9">
        <f>SUMIF(DIARIOS!D:D,A906,DIARIOS!F:F)</f>
        <v>0</v>
      </c>
      <c r="D906" s="12"/>
      <c r="E906" s="12"/>
    </row>
    <row r="907" ht="15.75" customHeight="1">
      <c r="A907" s="13"/>
      <c r="B907" s="21" t="str">
        <f>IFERROR(VLOOKUP(A907,'PAÑOL TÉCNICO'!A907:B1000,2,0))</f>
        <v/>
      </c>
      <c r="C907" s="9">
        <f>SUMIF(DIARIOS!D:D,A907,DIARIOS!F:F)</f>
        <v>0</v>
      </c>
      <c r="D907" s="12"/>
      <c r="E907" s="12"/>
    </row>
    <row r="908" ht="15.75" customHeight="1">
      <c r="A908" s="13"/>
      <c r="B908" s="21" t="str">
        <f>IFERROR(VLOOKUP(A908,'PAÑOL TÉCNICO'!A908:B1000,2,0))</f>
        <v/>
      </c>
      <c r="C908" s="9">
        <f>SUMIF(DIARIOS!D:D,A908,DIARIOS!F:F)</f>
        <v>0</v>
      </c>
      <c r="D908" s="12"/>
      <c r="E908" s="12"/>
    </row>
    <row r="909" ht="15.75" customHeight="1">
      <c r="A909" s="13"/>
      <c r="B909" s="21" t="str">
        <f>IFERROR(VLOOKUP(A909,'PAÑOL TÉCNICO'!A909:B1000,2,0))</f>
        <v/>
      </c>
      <c r="C909" s="9">
        <f>SUMIF(DIARIOS!D:D,A909,DIARIOS!F:F)</f>
        <v>0</v>
      </c>
      <c r="D909" s="12"/>
      <c r="E909" s="12"/>
    </row>
    <row r="910" ht="15.75" customHeight="1">
      <c r="A910" s="13"/>
      <c r="B910" s="21" t="str">
        <f>IFERROR(VLOOKUP(A910,'PAÑOL TÉCNICO'!A910:B1000,2,0))</f>
        <v/>
      </c>
      <c r="C910" s="9">
        <f>SUMIF(DIARIOS!D:D,A910,DIARIOS!F:F)</f>
        <v>0</v>
      </c>
      <c r="D910" s="12"/>
      <c r="E910" s="12"/>
    </row>
    <row r="911" ht="15.75" customHeight="1">
      <c r="A911" s="13"/>
      <c r="B911" s="21" t="str">
        <f>IFERROR(VLOOKUP(A911,'PAÑOL TÉCNICO'!A911:B1000,2,0))</f>
        <v/>
      </c>
      <c r="C911" s="9">
        <f>SUMIF(DIARIOS!D:D,A911,DIARIOS!F:F)</f>
        <v>0</v>
      </c>
      <c r="D911" s="12"/>
      <c r="E911" s="12"/>
    </row>
    <row r="912" ht="15.75" customHeight="1">
      <c r="A912" s="13"/>
      <c r="B912" s="21" t="str">
        <f>IFERROR(VLOOKUP(A912,'PAÑOL TÉCNICO'!A912:B1000,2,0))</f>
        <v/>
      </c>
      <c r="C912" s="9">
        <f>SUMIF(DIARIOS!D:D,A912,DIARIOS!F:F)</f>
        <v>0</v>
      </c>
      <c r="D912" s="12"/>
      <c r="E912" s="12"/>
    </row>
    <row r="913" ht="15.75" customHeight="1">
      <c r="A913" s="13"/>
      <c r="B913" s="21" t="str">
        <f>IFERROR(VLOOKUP(A913,'PAÑOL TÉCNICO'!A913:B1000,2,0))</f>
        <v/>
      </c>
      <c r="C913" s="9">
        <f>SUMIF(DIARIOS!D:D,A913,DIARIOS!F:F)</f>
        <v>0</v>
      </c>
      <c r="D913" s="12"/>
      <c r="E913" s="12"/>
    </row>
    <row r="914" ht="15.75" customHeight="1">
      <c r="A914" s="13"/>
      <c r="B914" s="21" t="str">
        <f>IFERROR(VLOOKUP(A914,'PAÑOL TÉCNICO'!A914:B1000,2,0))</f>
        <v/>
      </c>
      <c r="C914" s="9">
        <f>SUMIF(DIARIOS!D:D,A914,DIARIOS!F:F)</f>
        <v>0</v>
      </c>
      <c r="D914" s="12"/>
      <c r="E914" s="12"/>
    </row>
    <row r="915" ht="15.75" customHeight="1">
      <c r="A915" s="13"/>
      <c r="B915" s="21" t="str">
        <f>IFERROR(VLOOKUP(A915,'PAÑOL TÉCNICO'!A915:B1000,2,0))</f>
        <v/>
      </c>
      <c r="C915" s="9">
        <f>SUMIF(DIARIOS!D:D,A915,DIARIOS!F:F)</f>
        <v>0</v>
      </c>
      <c r="D915" s="12"/>
      <c r="E915" s="12"/>
    </row>
    <row r="916" ht="15.75" customHeight="1">
      <c r="A916" s="13"/>
      <c r="B916" s="21" t="str">
        <f>IFERROR(VLOOKUP(A916,'PAÑOL TÉCNICO'!A916:B1000,2,0))</f>
        <v/>
      </c>
      <c r="C916" s="9">
        <f>SUMIF(DIARIOS!D:D,A916,DIARIOS!F:F)</f>
        <v>0</v>
      </c>
      <c r="D916" s="12"/>
      <c r="E916" s="12"/>
    </row>
    <row r="917" ht="15.75" customHeight="1">
      <c r="A917" s="13"/>
      <c r="B917" s="21" t="str">
        <f>IFERROR(VLOOKUP(A917,'PAÑOL TÉCNICO'!A917:B1000,2,0))</f>
        <v/>
      </c>
      <c r="C917" s="9">
        <f>SUMIF(DIARIOS!D:D,A917,DIARIOS!F:F)</f>
        <v>0</v>
      </c>
      <c r="D917" s="12"/>
      <c r="E917" s="12"/>
    </row>
    <row r="918" ht="15.75" customHeight="1">
      <c r="A918" s="13"/>
      <c r="B918" s="21" t="str">
        <f>IFERROR(VLOOKUP(A918,'PAÑOL TÉCNICO'!A918:B1000,2,0))</f>
        <v/>
      </c>
      <c r="C918" s="9">
        <f>SUMIF(DIARIOS!D:D,A918,DIARIOS!F:F)</f>
        <v>0</v>
      </c>
      <c r="D918" s="12"/>
      <c r="E918" s="12"/>
    </row>
    <row r="919" ht="15.75" customHeight="1">
      <c r="A919" s="13"/>
      <c r="B919" s="21" t="str">
        <f>IFERROR(VLOOKUP(A919,'PAÑOL TÉCNICO'!A919:B1000,2,0))</f>
        <v/>
      </c>
      <c r="C919" s="9">
        <f>SUMIF(DIARIOS!D:D,A919,DIARIOS!F:F)</f>
        <v>0</v>
      </c>
      <c r="D919" s="12"/>
      <c r="E919" s="12"/>
    </row>
    <row r="920" ht="15.75" customHeight="1">
      <c r="A920" s="13"/>
      <c r="B920" s="21" t="str">
        <f>IFERROR(VLOOKUP(A920,'PAÑOL TÉCNICO'!A920:B1000,2,0))</f>
        <v/>
      </c>
      <c r="C920" s="9">
        <f>SUMIF(DIARIOS!D:D,A920,DIARIOS!F:F)</f>
        <v>0</v>
      </c>
      <c r="D920" s="12"/>
      <c r="E920" s="12"/>
    </row>
    <row r="921" ht="15.75" customHeight="1">
      <c r="A921" s="13"/>
      <c r="B921" s="21" t="str">
        <f>IFERROR(VLOOKUP(A921,'PAÑOL TÉCNICO'!A921:B1000,2,0))</f>
        <v/>
      </c>
      <c r="C921" s="9">
        <f>SUMIF(DIARIOS!D:D,A921,DIARIOS!F:F)</f>
        <v>0</v>
      </c>
      <c r="D921" s="12"/>
      <c r="E921" s="12"/>
    </row>
    <row r="922" ht="15.75" customHeight="1">
      <c r="A922" s="13"/>
      <c r="B922" s="21" t="str">
        <f>IFERROR(VLOOKUP(A922,'PAÑOL TÉCNICO'!A922:B1000,2,0))</f>
        <v/>
      </c>
      <c r="C922" s="9">
        <f>SUMIF(DIARIOS!D:D,A922,DIARIOS!F:F)</f>
        <v>0</v>
      </c>
      <c r="D922" s="12"/>
      <c r="E922" s="12"/>
    </row>
    <row r="923" ht="15.75" customHeight="1">
      <c r="A923" s="13"/>
      <c r="B923" s="21" t="str">
        <f>IFERROR(VLOOKUP(A923,'PAÑOL TÉCNICO'!A923:B1000,2,0))</f>
        <v/>
      </c>
      <c r="C923" s="9">
        <f>SUMIF(DIARIOS!D:D,A923,DIARIOS!F:F)</f>
        <v>0</v>
      </c>
      <c r="D923" s="12"/>
      <c r="E923" s="12"/>
    </row>
    <row r="924" ht="15.75" customHeight="1">
      <c r="A924" s="13"/>
      <c r="B924" s="21" t="str">
        <f>IFERROR(VLOOKUP(A924,'PAÑOL TÉCNICO'!A924:B1000,2,0))</f>
        <v/>
      </c>
      <c r="C924" s="9">
        <f>SUMIF(DIARIOS!D:D,A924,DIARIOS!F:F)</f>
        <v>0</v>
      </c>
      <c r="D924" s="12"/>
      <c r="E924" s="12"/>
    </row>
    <row r="925" ht="15.75" customHeight="1">
      <c r="A925" s="13"/>
      <c r="B925" s="21" t="str">
        <f>IFERROR(VLOOKUP(A925,'PAÑOL TÉCNICO'!A925:B1000,2,0))</f>
        <v/>
      </c>
      <c r="C925" s="9">
        <f>SUMIF(DIARIOS!D:D,A925,DIARIOS!F:F)</f>
        <v>0</v>
      </c>
      <c r="D925" s="12"/>
      <c r="E925" s="12"/>
    </row>
    <row r="926" ht="15.75" customHeight="1">
      <c r="A926" s="13"/>
      <c r="B926" s="21" t="str">
        <f>IFERROR(VLOOKUP(A926,'PAÑOL TÉCNICO'!A926:B1000,2,0))</f>
        <v/>
      </c>
      <c r="C926" s="9">
        <f>SUMIF(DIARIOS!D:D,A926,DIARIOS!F:F)</f>
        <v>0</v>
      </c>
      <c r="D926" s="12"/>
      <c r="E926" s="12"/>
    </row>
    <row r="927" ht="15.75" customHeight="1">
      <c r="A927" s="13"/>
      <c r="B927" s="21" t="str">
        <f>IFERROR(VLOOKUP(A927,'PAÑOL TÉCNICO'!A927:B1000,2,0))</f>
        <v/>
      </c>
      <c r="C927" s="9">
        <f>SUMIF(DIARIOS!D:D,A927,DIARIOS!F:F)</f>
        <v>0</v>
      </c>
      <c r="D927" s="12"/>
      <c r="E927" s="12"/>
    </row>
    <row r="928" ht="15.75" customHeight="1">
      <c r="A928" s="13"/>
      <c r="B928" s="21" t="str">
        <f>IFERROR(VLOOKUP(A928,'PAÑOL TÉCNICO'!A928:B1000,2,0))</f>
        <v/>
      </c>
      <c r="C928" s="9">
        <f>SUMIF(DIARIOS!D:D,A928,DIARIOS!F:F)</f>
        <v>0</v>
      </c>
      <c r="D928" s="12"/>
      <c r="E928" s="12"/>
    </row>
    <row r="929" ht="15.75" customHeight="1">
      <c r="A929" s="13"/>
      <c r="B929" s="21" t="str">
        <f>IFERROR(VLOOKUP(A929,'PAÑOL TÉCNICO'!A929:B1000,2,0))</f>
        <v/>
      </c>
      <c r="C929" s="9">
        <f>SUMIF(DIARIOS!D:D,A929,DIARIOS!F:F)</f>
        <v>0</v>
      </c>
      <c r="D929" s="12"/>
      <c r="E929" s="12"/>
    </row>
    <row r="930" ht="15.75" customHeight="1">
      <c r="A930" s="13"/>
      <c r="B930" s="21" t="str">
        <f>IFERROR(VLOOKUP(A930,'PAÑOL TÉCNICO'!A930:B1000,2,0))</f>
        <v/>
      </c>
      <c r="C930" s="9">
        <f>SUMIF(DIARIOS!D:D,A930,DIARIOS!F:F)</f>
        <v>0</v>
      </c>
      <c r="D930" s="12"/>
      <c r="E930" s="12"/>
    </row>
    <row r="931" ht="15.75" customHeight="1">
      <c r="A931" s="13"/>
      <c r="B931" s="21" t="str">
        <f>IFERROR(VLOOKUP(A931,'PAÑOL TÉCNICO'!A931:B1000,2,0))</f>
        <v/>
      </c>
      <c r="C931" s="9">
        <f>SUMIF(DIARIOS!D:D,A931,DIARIOS!F:F)</f>
        <v>0</v>
      </c>
      <c r="D931" s="12"/>
      <c r="E931" s="12"/>
    </row>
    <row r="932" ht="15.75" customHeight="1">
      <c r="A932" s="13"/>
      <c r="B932" s="21" t="str">
        <f>IFERROR(VLOOKUP(A932,'PAÑOL TÉCNICO'!A932:B1000,2,0))</f>
        <v/>
      </c>
      <c r="C932" s="9">
        <f>SUMIF(DIARIOS!D:D,A932,DIARIOS!F:F)</f>
        <v>0</v>
      </c>
      <c r="D932" s="12"/>
      <c r="E932" s="12"/>
    </row>
    <row r="933" ht="15.75" customHeight="1">
      <c r="A933" s="13"/>
      <c r="B933" s="21" t="str">
        <f>IFERROR(VLOOKUP(A933,'PAÑOL TÉCNICO'!A933:B1000,2,0))</f>
        <v/>
      </c>
      <c r="C933" s="9">
        <f>SUMIF(DIARIOS!D:D,A933,DIARIOS!F:F)</f>
        <v>0</v>
      </c>
      <c r="D933" s="12"/>
      <c r="E933" s="12"/>
    </row>
    <row r="934" ht="15.75" customHeight="1">
      <c r="A934" s="13"/>
      <c r="B934" s="21" t="str">
        <f>IFERROR(VLOOKUP(A934,'PAÑOL TÉCNICO'!A934:B1000,2,0))</f>
        <v/>
      </c>
      <c r="C934" s="9">
        <f>SUMIF(DIARIOS!D:D,A934,DIARIOS!F:F)</f>
        <v>0</v>
      </c>
      <c r="D934" s="12"/>
      <c r="E934" s="12"/>
    </row>
    <row r="935" ht="15.75" customHeight="1">
      <c r="A935" s="13"/>
      <c r="B935" s="21" t="str">
        <f>IFERROR(VLOOKUP(A935,'PAÑOL TÉCNICO'!A935:B1000,2,0))</f>
        <v/>
      </c>
      <c r="C935" s="9">
        <f>SUMIF(DIARIOS!D:D,A935,DIARIOS!F:F)</f>
        <v>0</v>
      </c>
      <c r="D935" s="12"/>
      <c r="E935" s="12"/>
    </row>
    <row r="936" ht="15.75" customHeight="1">
      <c r="A936" s="13"/>
      <c r="B936" s="21" t="str">
        <f>IFERROR(VLOOKUP(A936,'PAÑOL TÉCNICO'!A936:B1000,2,0))</f>
        <v/>
      </c>
      <c r="C936" s="9">
        <f>SUMIF(DIARIOS!D:D,A936,DIARIOS!F:F)</f>
        <v>0</v>
      </c>
      <c r="D936" s="12"/>
      <c r="E936" s="12"/>
    </row>
    <row r="937" ht="15.75" customHeight="1">
      <c r="A937" s="13"/>
      <c r="B937" s="21" t="str">
        <f>IFERROR(VLOOKUP(A937,'PAÑOL TÉCNICO'!A937:B1000,2,0))</f>
        <v/>
      </c>
      <c r="C937" s="9">
        <f>SUMIF(DIARIOS!D:D,A937,DIARIOS!F:F)</f>
        <v>0</v>
      </c>
      <c r="D937" s="12"/>
      <c r="E937" s="12"/>
    </row>
    <row r="938" ht="15.75" customHeight="1">
      <c r="A938" s="13"/>
      <c r="B938" s="21" t="str">
        <f>IFERROR(VLOOKUP(A938,'PAÑOL TÉCNICO'!A938:B1000,2,0))</f>
        <v/>
      </c>
      <c r="C938" s="9">
        <f>SUMIF(DIARIOS!D:D,A938,DIARIOS!F:F)</f>
        <v>0</v>
      </c>
      <c r="D938" s="12"/>
      <c r="E938" s="12"/>
    </row>
    <row r="939" ht="15.75" customHeight="1">
      <c r="A939" s="13"/>
      <c r="B939" s="21" t="str">
        <f>IFERROR(VLOOKUP(A939,'PAÑOL TÉCNICO'!A939:B1000,2,0))</f>
        <v/>
      </c>
      <c r="C939" s="9">
        <f>SUMIF(DIARIOS!D:D,A939,DIARIOS!F:F)</f>
        <v>0</v>
      </c>
      <c r="D939" s="12"/>
      <c r="E939" s="12"/>
    </row>
    <row r="940" ht="15.75" customHeight="1">
      <c r="A940" s="13"/>
      <c r="B940" s="21" t="str">
        <f>IFERROR(VLOOKUP(A940,'PAÑOL TÉCNICO'!A940:B1000,2,0))</f>
        <v/>
      </c>
      <c r="C940" s="9">
        <f>SUMIF(DIARIOS!D:D,A940,DIARIOS!F:F)</f>
        <v>0</v>
      </c>
      <c r="D940" s="12"/>
      <c r="E940" s="12"/>
    </row>
    <row r="941" ht="15.75" customHeight="1">
      <c r="A941" s="13"/>
      <c r="B941" s="21" t="str">
        <f>IFERROR(VLOOKUP(A941,'PAÑOL TÉCNICO'!A941:B1000,2,0))</f>
        <v/>
      </c>
      <c r="C941" s="9">
        <f>SUMIF(DIARIOS!D:D,A941,DIARIOS!F:F)</f>
        <v>0</v>
      </c>
      <c r="D941" s="12"/>
      <c r="E941" s="12"/>
    </row>
    <row r="942" ht="15.75" customHeight="1">
      <c r="A942" s="13"/>
      <c r="B942" s="21" t="str">
        <f>IFERROR(VLOOKUP(A942,'PAÑOL TÉCNICO'!A942:B1000,2,0))</f>
        <v/>
      </c>
      <c r="C942" s="9">
        <f>SUMIF(DIARIOS!D:D,A942,DIARIOS!F:F)</f>
        <v>0</v>
      </c>
      <c r="D942" s="12"/>
      <c r="E942" s="12"/>
    </row>
    <row r="943" ht="15.75" customHeight="1">
      <c r="A943" s="13"/>
      <c r="B943" s="21" t="str">
        <f>IFERROR(VLOOKUP(A943,'PAÑOL TÉCNICO'!A943:B1000,2,0))</f>
        <v/>
      </c>
      <c r="C943" s="9">
        <f>SUMIF(DIARIOS!D:D,A943,DIARIOS!F:F)</f>
        <v>0</v>
      </c>
      <c r="D943" s="12"/>
      <c r="E943" s="12"/>
    </row>
    <row r="944" ht="15.75" customHeight="1">
      <c r="A944" s="13"/>
      <c r="B944" s="21" t="str">
        <f>IFERROR(VLOOKUP(A944,'PAÑOL TÉCNICO'!A944:B1000,2,0))</f>
        <v/>
      </c>
      <c r="C944" s="9">
        <f>SUMIF(DIARIOS!D:D,A944,DIARIOS!F:F)</f>
        <v>0</v>
      </c>
      <c r="D944" s="12"/>
      <c r="E944" s="12"/>
    </row>
    <row r="945" ht="15.75" customHeight="1">
      <c r="A945" s="13"/>
      <c r="B945" s="21" t="str">
        <f>IFERROR(VLOOKUP(A945,'PAÑOL TÉCNICO'!A945:B1000,2,0))</f>
        <v/>
      </c>
      <c r="C945" s="9">
        <f>SUMIF(DIARIOS!D:D,A945,DIARIOS!F:F)</f>
        <v>0</v>
      </c>
      <c r="D945" s="12"/>
      <c r="E945" s="12"/>
    </row>
    <row r="946" ht="15.75" customHeight="1">
      <c r="A946" s="13"/>
      <c r="B946" s="21" t="str">
        <f>IFERROR(VLOOKUP(A946,'PAÑOL TÉCNICO'!A946:B1000,2,0))</f>
        <v/>
      </c>
      <c r="C946" s="9">
        <f>SUMIF(DIARIOS!D:D,A946,DIARIOS!F:F)</f>
        <v>0</v>
      </c>
      <c r="D946" s="12"/>
      <c r="E946" s="12"/>
    </row>
    <row r="947" ht="15.75" customHeight="1">
      <c r="A947" s="13"/>
      <c r="B947" s="21" t="str">
        <f>IFERROR(VLOOKUP(A947,'PAÑOL TÉCNICO'!A947:B1000,2,0))</f>
        <v/>
      </c>
      <c r="C947" s="9">
        <f>SUMIF(DIARIOS!D:D,A947,DIARIOS!F:F)</f>
        <v>0</v>
      </c>
      <c r="D947" s="12"/>
      <c r="E947" s="12"/>
    </row>
    <row r="948" ht="15.75" customHeight="1">
      <c r="A948" s="13"/>
      <c r="B948" s="21" t="str">
        <f>IFERROR(VLOOKUP(A948,'PAÑOL TÉCNICO'!A948:B1000,2,0))</f>
        <v/>
      </c>
      <c r="C948" s="9">
        <f>SUMIF(DIARIOS!D:D,A948,DIARIOS!F:F)</f>
        <v>0</v>
      </c>
      <c r="D948" s="12"/>
      <c r="E948" s="12"/>
    </row>
    <row r="949" ht="15.75" customHeight="1">
      <c r="A949" s="13"/>
      <c r="B949" s="21" t="str">
        <f>IFERROR(VLOOKUP(A949,'PAÑOL TÉCNICO'!A949:B1000,2,0))</f>
        <v/>
      </c>
      <c r="C949" s="9">
        <f>SUMIF(DIARIOS!D:D,A949,DIARIOS!F:F)</f>
        <v>0</v>
      </c>
      <c r="D949" s="12"/>
      <c r="E949" s="12"/>
    </row>
    <row r="950" ht="15.75" customHeight="1">
      <c r="A950" s="13"/>
      <c r="B950" s="21" t="str">
        <f>IFERROR(VLOOKUP(A950,'PAÑOL TÉCNICO'!A950:B1000,2,0))</f>
        <v/>
      </c>
      <c r="C950" s="9">
        <f>SUMIF(DIARIOS!D:D,A950,DIARIOS!F:F)</f>
        <v>0</v>
      </c>
      <c r="D950" s="12"/>
      <c r="E950" s="12"/>
    </row>
    <row r="951" ht="15.75" customHeight="1">
      <c r="A951" s="13"/>
      <c r="B951" s="21" t="str">
        <f>IFERROR(VLOOKUP(A951,'PAÑOL TÉCNICO'!A951:B1000,2,0))</f>
        <v/>
      </c>
      <c r="C951" s="9">
        <f>SUMIF(DIARIOS!D:D,A951,DIARIOS!F:F)</f>
        <v>0</v>
      </c>
      <c r="D951" s="12"/>
      <c r="E951" s="12"/>
    </row>
    <row r="952" ht="15.75" customHeight="1">
      <c r="A952" s="13"/>
      <c r="B952" s="21" t="str">
        <f>IFERROR(VLOOKUP(A952,'PAÑOL TÉCNICO'!A952:B1000,2,0))</f>
        <v/>
      </c>
      <c r="C952" s="9">
        <f>SUMIF(DIARIOS!D:D,A952,DIARIOS!F:F)</f>
        <v>0</v>
      </c>
      <c r="D952" s="12"/>
      <c r="E952" s="12"/>
    </row>
    <row r="953" ht="15.75" customHeight="1">
      <c r="A953" s="13"/>
      <c r="B953" s="21" t="str">
        <f>IFERROR(VLOOKUP(A953,'PAÑOL TÉCNICO'!A953:B1000,2,0))</f>
        <v/>
      </c>
      <c r="C953" s="9">
        <f>SUMIF(DIARIOS!D:D,A953,DIARIOS!F:F)</f>
        <v>0</v>
      </c>
      <c r="D953" s="12"/>
      <c r="E953" s="12"/>
    </row>
    <row r="954" ht="15.75" customHeight="1">
      <c r="A954" s="13"/>
      <c r="B954" s="21" t="str">
        <f>IFERROR(VLOOKUP(A954,'PAÑOL TÉCNICO'!A954:B1000,2,0))</f>
        <v/>
      </c>
      <c r="C954" s="9">
        <f>SUMIF(DIARIOS!D:D,A954,DIARIOS!F:F)</f>
        <v>0</v>
      </c>
      <c r="D954" s="12"/>
      <c r="E954" s="12"/>
    </row>
    <row r="955" ht="15.75" customHeight="1">
      <c r="A955" s="13"/>
      <c r="B955" s="21" t="str">
        <f>IFERROR(VLOOKUP(A955,'PAÑOL TÉCNICO'!A955:B1000,2,0))</f>
        <v/>
      </c>
      <c r="C955" s="9">
        <f>SUMIF(DIARIOS!D:D,A955,DIARIOS!F:F)</f>
        <v>0</v>
      </c>
      <c r="D955" s="12"/>
      <c r="E955" s="12"/>
    </row>
    <row r="956" ht="15.75" customHeight="1">
      <c r="A956" s="13"/>
      <c r="B956" s="21" t="str">
        <f>IFERROR(VLOOKUP(A956,'PAÑOL TÉCNICO'!A956:B1000,2,0))</f>
        <v/>
      </c>
      <c r="C956" s="9">
        <f>SUMIF(DIARIOS!D:D,A956,DIARIOS!F:F)</f>
        <v>0</v>
      </c>
      <c r="D956" s="12"/>
      <c r="E956" s="12"/>
    </row>
    <row r="957" ht="15.75" customHeight="1">
      <c r="A957" s="13"/>
      <c r="B957" s="21" t="str">
        <f>IFERROR(VLOOKUP(A957,'PAÑOL TÉCNICO'!A957:B1000,2,0))</f>
        <v/>
      </c>
      <c r="C957" s="9">
        <f>SUMIF(DIARIOS!D:D,A957,DIARIOS!F:F)</f>
        <v>0</v>
      </c>
      <c r="D957" s="12"/>
      <c r="E957" s="12"/>
    </row>
    <row r="958" ht="15.75" customHeight="1">
      <c r="A958" s="13"/>
      <c r="B958" s="21" t="str">
        <f>IFERROR(VLOOKUP(A958,'PAÑOL TÉCNICO'!A958:B1000,2,0))</f>
        <v/>
      </c>
      <c r="C958" s="9">
        <f>SUMIF(DIARIOS!D:D,A958,DIARIOS!F:F)</f>
        <v>0</v>
      </c>
      <c r="D958" s="12"/>
      <c r="E958" s="12"/>
    </row>
    <row r="959" ht="15.75" customHeight="1">
      <c r="A959" s="13"/>
      <c r="B959" s="21" t="str">
        <f>IFERROR(VLOOKUP(A959,'PAÑOL TÉCNICO'!A959:B1000,2,0))</f>
        <v/>
      </c>
      <c r="C959" s="9">
        <f>SUMIF(DIARIOS!D:D,A959,DIARIOS!F:F)</f>
        <v>0</v>
      </c>
      <c r="D959" s="12"/>
      <c r="E959" s="12"/>
    </row>
    <row r="960" ht="15.75" customHeight="1">
      <c r="A960" s="13"/>
      <c r="B960" s="21" t="str">
        <f>IFERROR(VLOOKUP(A960,'PAÑOL TÉCNICO'!A960:B1000,2,0))</f>
        <v/>
      </c>
      <c r="C960" s="9">
        <f>SUMIF(DIARIOS!D:D,A960,DIARIOS!F:F)</f>
        <v>0</v>
      </c>
      <c r="D960" s="12"/>
      <c r="E960" s="12"/>
    </row>
    <row r="961" ht="15.75" customHeight="1">
      <c r="A961" s="13"/>
      <c r="B961" s="21" t="str">
        <f>IFERROR(VLOOKUP(A961,'PAÑOL TÉCNICO'!A961:B1000,2,0))</f>
        <v/>
      </c>
      <c r="C961" s="9">
        <f>SUMIF(DIARIOS!D:D,A961,DIARIOS!F:F)</f>
        <v>0</v>
      </c>
      <c r="D961" s="12"/>
      <c r="E961" s="12"/>
    </row>
    <row r="962" ht="15.75" customHeight="1">
      <c r="A962" s="13"/>
      <c r="B962" s="21" t="str">
        <f>IFERROR(VLOOKUP(A962,'PAÑOL TÉCNICO'!A962:B1000,2,0))</f>
        <v/>
      </c>
      <c r="C962" s="9">
        <f>SUMIF(DIARIOS!D:D,A962,DIARIOS!F:F)</f>
        <v>0</v>
      </c>
      <c r="D962" s="12"/>
      <c r="E962" s="12"/>
    </row>
    <row r="963" ht="15.75" customHeight="1">
      <c r="A963" s="13"/>
      <c r="B963" s="21" t="str">
        <f>IFERROR(VLOOKUP(A963,'PAÑOL TÉCNICO'!A963:B1000,2,0))</f>
        <v/>
      </c>
      <c r="C963" s="9">
        <f>SUMIF(DIARIOS!D:D,A963,DIARIOS!F:F)</f>
        <v>0</v>
      </c>
      <c r="D963" s="12"/>
      <c r="E963" s="12"/>
    </row>
    <row r="964" ht="15.75" customHeight="1">
      <c r="A964" s="13"/>
      <c r="B964" s="21" t="str">
        <f>IFERROR(VLOOKUP(A964,'PAÑOL TÉCNICO'!A964:B1000,2,0))</f>
        <v/>
      </c>
      <c r="C964" s="9">
        <f>SUMIF(DIARIOS!D:D,A964,DIARIOS!F:F)</f>
        <v>0</v>
      </c>
      <c r="D964" s="12"/>
      <c r="E964" s="12"/>
    </row>
    <row r="965" ht="15.75" customHeight="1">
      <c r="A965" s="13"/>
      <c r="B965" s="21" t="str">
        <f>IFERROR(VLOOKUP(A965,'PAÑOL TÉCNICO'!A965:B1000,2,0))</f>
        <v/>
      </c>
      <c r="C965" s="9">
        <f>SUMIF(DIARIOS!D:D,A965,DIARIOS!F:F)</f>
        <v>0</v>
      </c>
      <c r="D965" s="12"/>
      <c r="E965" s="12"/>
    </row>
    <row r="966" ht="15.75" customHeight="1">
      <c r="A966" s="13"/>
      <c r="B966" s="21" t="str">
        <f>IFERROR(VLOOKUP(A966,'PAÑOL TÉCNICO'!A966:B1000,2,0))</f>
        <v/>
      </c>
      <c r="C966" s="9">
        <f>SUMIF(DIARIOS!D:D,A966,DIARIOS!F:F)</f>
        <v>0</v>
      </c>
      <c r="D966" s="12"/>
      <c r="E966" s="12"/>
    </row>
    <row r="967" ht="15.75" customHeight="1">
      <c r="A967" s="13"/>
      <c r="B967" s="21" t="str">
        <f>IFERROR(VLOOKUP(A967,'PAÑOL TÉCNICO'!A967:B1000,2,0))</f>
        <v/>
      </c>
      <c r="C967" s="9">
        <f>SUMIF(DIARIOS!D:D,A967,DIARIOS!F:F)</f>
        <v>0</v>
      </c>
      <c r="D967" s="12"/>
      <c r="E967" s="12"/>
    </row>
    <row r="968" ht="15.75" customHeight="1">
      <c r="A968" s="13"/>
      <c r="B968" s="21" t="str">
        <f>IFERROR(VLOOKUP(A968,'PAÑOL TÉCNICO'!A968:B1000,2,0))</f>
        <v/>
      </c>
      <c r="C968" s="9">
        <f>SUMIF(DIARIOS!D:D,A968,DIARIOS!F:F)</f>
        <v>0</v>
      </c>
      <c r="D968" s="12"/>
      <c r="E968" s="12"/>
    </row>
    <row r="969" ht="15.75" customHeight="1">
      <c r="A969" s="13"/>
      <c r="B969" s="21" t="str">
        <f>IFERROR(VLOOKUP(A969,'PAÑOL TÉCNICO'!A969:B1000,2,0))</f>
        <v/>
      </c>
      <c r="C969" s="9">
        <f>SUMIF(DIARIOS!D:D,A969,DIARIOS!F:F)</f>
        <v>0</v>
      </c>
      <c r="D969" s="12"/>
      <c r="E969" s="12"/>
    </row>
    <row r="970" ht="15.75" customHeight="1">
      <c r="A970" s="13"/>
      <c r="B970" s="21" t="str">
        <f>IFERROR(VLOOKUP(A970,'PAÑOL TÉCNICO'!A970:B1000,2,0))</f>
        <v/>
      </c>
      <c r="C970" s="9">
        <f>SUMIF(DIARIOS!D:D,A970,DIARIOS!F:F)</f>
        <v>0</v>
      </c>
      <c r="D970" s="12"/>
      <c r="E970" s="12"/>
    </row>
    <row r="971" ht="15.75" customHeight="1">
      <c r="A971" s="13"/>
      <c r="B971" s="21" t="str">
        <f>IFERROR(VLOOKUP(A971,'PAÑOL TÉCNICO'!A971:B1000,2,0))</f>
        <v/>
      </c>
      <c r="C971" s="9">
        <f>SUMIF(DIARIOS!D:D,A971,DIARIOS!F:F)</f>
        <v>0</v>
      </c>
      <c r="D971" s="12"/>
      <c r="E971" s="12"/>
    </row>
    <row r="972" ht="15.75" customHeight="1">
      <c r="A972" s="13"/>
      <c r="B972" s="21" t="str">
        <f>IFERROR(VLOOKUP(A972,'PAÑOL TÉCNICO'!A972:B1000,2,0))</f>
        <v/>
      </c>
      <c r="C972" s="9">
        <f>SUMIF(DIARIOS!D:D,A972,DIARIOS!F:F)</f>
        <v>0</v>
      </c>
      <c r="D972" s="12"/>
      <c r="E972" s="12"/>
    </row>
    <row r="973" ht="15.75" customHeight="1">
      <c r="A973" s="13"/>
      <c r="B973" s="21" t="str">
        <f>IFERROR(VLOOKUP(A973,'PAÑOL TÉCNICO'!A973:B1000,2,0))</f>
        <v/>
      </c>
      <c r="C973" s="9">
        <f>SUMIF(DIARIOS!D:D,A973,DIARIOS!F:F)</f>
        <v>0</v>
      </c>
      <c r="D973" s="12"/>
      <c r="E973" s="12"/>
    </row>
    <row r="974" ht="15.75" customHeight="1">
      <c r="A974" s="13"/>
      <c r="B974" s="21" t="str">
        <f>IFERROR(VLOOKUP(A974,'PAÑOL TÉCNICO'!A974:B1000,2,0))</f>
        <v/>
      </c>
      <c r="C974" s="9">
        <f>SUMIF(DIARIOS!D:D,A974,DIARIOS!F:F)</f>
        <v>0</v>
      </c>
      <c r="D974" s="12"/>
      <c r="E974" s="12"/>
    </row>
    <row r="975" ht="15.75" customHeight="1">
      <c r="A975" s="13"/>
      <c r="B975" s="21" t="str">
        <f>IFERROR(VLOOKUP(A975,'PAÑOL TÉCNICO'!A975:B1000,2,0))</f>
        <v/>
      </c>
      <c r="C975" s="9">
        <f>SUMIF(DIARIOS!D:D,A975,DIARIOS!F:F)</f>
        <v>0</v>
      </c>
      <c r="D975" s="12"/>
      <c r="E975" s="12"/>
    </row>
    <row r="976" ht="15.75" customHeight="1">
      <c r="A976" s="13"/>
      <c r="B976" s="21" t="str">
        <f>IFERROR(VLOOKUP(A976,'PAÑOL TÉCNICO'!A976:B1000,2,0))</f>
        <v/>
      </c>
      <c r="C976" s="9">
        <f>SUMIF(DIARIOS!D:D,A976,DIARIOS!F:F)</f>
        <v>0</v>
      </c>
      <c r="D976" s="12"/>
      <c r="E976" s="12"/>
    </row>
    <row r="977" ht="15.75" customHeight="1">
      <c r="A977" s="13"/>
      <c r="B977" s="21" t="str">
        <f>IFERROR(VLOOKUP(A977,'PAÑOL TÉCNICO'!A977:B1000,2,0))</f>
        <v/>
      </c>
      <c r="C977" s="9">
        <f>SUMIF(DIARIOS!D:D,A977,DIARIOS!F:F)</f>
        <v>0</v>
      </c>
      <c r="D977" s="12"/>
      <c r="E977" s="12"/>
    </row>
    <row r="978" ht="15.75" customHeight="1">
      <c r="A978" s="13"/>
      <c r="B978" s="21" t="str">
        <f>IFERROR(VLOOKUP(A978,'PAÑOL TÉCNICO'!A978:B1000,2,0))</f>
        <v/>
      </c>
      <c r="C978" s="9">
        <f>SUMIF(DIARIOS!D:D,A978,DIARIOS!F:F)</f>
        <v>0</v>
      </c>
      <c r="D978" s="12"/>
      <c r="E978" s="12"/>
    </row>
    <row r="979" ht="15.75" customHeight="1">
      <c r="A979" s="13"/>
      <c r="B979" s="21" t="str">
        <f>IFERROR(VLOOKUP(A979,'PAÑOL TÉCNICO'!A979:B1000,2,0))</f>
        <v/>
      </c>
      <c r="C979" s="9">
        <f>SUMIF(DIARIOS!D:D,A979,DIARIOS!F:F)</f>
        <v>0</v>
      </c>
      <c r="D979" s="12"/>
      <c r="E979" s="12"/>
    </row>
    <row r="980" ht="15.75" customHeight="1">
      <c r="A980" s="13"/>
      <c r="B980" s="21" t="str">
        <f>IFERROR(VLOOKUP(A980,'PAÑOL TÉCNICO'!A980:B1000,2,0))</f>
        <v/>
      </c>
      <c r="C980" s="9">
        <f>SUMIF(DIARIOS!D:D,A980,DIARIOS!F:F)</f>
        <v>0</v>
      </c>
      <c r="D980" s="12"/>
      <c r="E980" s="12"/>
    </row>
    <row r="981" ht="15.75" customHeight="1">
      <c r="A981" s="13"/>
      <c r="B981" s="21" t="str">
        <f>IFERROR(VLOOKUP(A981,'PAÑOL TÉCNICO'!A981:B1000,2,0))</f>
        <v/>
      </c>
      <c r="C981" s="9">
        <f>SUMIF(DIARIOS!D:D,A981,DIARIOS!F:F)</f>
        <v>0</v>
      </c>
      <c r="D981" s="12"/>
      <c r="E981" s="12"/>
    </row>
    <row r="982" ht="15.75" customHeight="1">
      <c r="A982" s="13"/>
      <c r="B982" s="21" t="str">
        <f>IFERROR(VLOOKUP(A982,'PAÑOL TÉCNICO'!A982:B1000,2,0))</f>
        <v/>
      </c>
      <c r="C982" s="9">
        <f>SUMIF(DIARIOS!D:D,A982,DIARIOS!F:F)</f>
        <v>0</v>
      </c>
      <c r="D982" s="12"/>
      <c r="E982" s="12"/>
    </row>
    <row r="983" ht="15.75" customHeight="1">
      <c r="A983" s="13"/>
      <c r="B983" s="21" t="str">
        <f>IFERROR(VLOOKUP(A983,'PAÑOL TÉCNICO'!A983:B1000,2,0))</f>
        <v/>
      </c>
      <c r="C983" s="9">
        <f>SUMIF(DIARIOS!D:D,A983,DIARIOS!F:F)</f>
        <v>0</v>
      </c>
      <c r="D983" s="12"/>
      <c r="E983" s="12"/>
    </row>
    <row r="984" ht="15.75" customHeight="1">
      <c r="A984" s="13"/>
      <c r="B984" s="21" t="str">
        <f>IFERROR(VLOOKUP(A984,'PAÑOL TÉCNICO'!A984:B1000,2,0))</f>
        <v/>
      </c>
      <c r="C984" s="9">
        <f>SUMIF(DIARIOS!D:D,A984,DIARIOS!F:F)</f>
        <v>0</v>
      </c>
      <c r="D984" s="12"/>
      <c r="E984" s="12"/>
    </row>
    <row r="985" ht="15.75" customHeight="1">
      <c r="A985" s="13"/>
      <c r="B985" s="21" t="str">
        <f>IFERROR(VLOOKUP(A985,'PAÑOL TÉCNICO'!A985:B1000,2,0))</f>
        <v/>
      </c>
      <c r="C985" s="9">
        <f>SUMIF(DIARIOS!D:D,A985,DIARIOS!F:F)</f>
        <v>0</v>
      </c>
      <c r="D985" s="12"/>
      <c r="E985" s="12"/>
    </row>
    <row r="986" ht="15.75" customHeight="1">
      <c r="A986" s="13"/>
      <c r="B986" s="21" t="str">
        <f>IFERROR(VLOOKUP(A986,'PAÑOL TÉCNICO'!A986:B1000,2,0))</f>
        <v/>
      </c>
      <c r="C986" s="9">
        <f>SUMIF(DIARIOS!D:D,A986,DIARIOS!F:F)</f>
        <v>0</v>
      </c>
      <c r="D986" s="12"/>
      <c r="E986" s="12"/>
    </row>
    <row r="987" ht="15.75" customHeight="1">
      <c r="A987" s="13"/>
      <c r="B987" s="21" t="str">
        <f>IFERROR(VLOOKUP(A987,'PAÑOL TÉCNICO'!A987:B1000,2,0))</f>
        <v/>
      </c>
      <c r="C987" s="9">
        <f>SUMIF(DIARIOS!D:D,A987,DIARIOS!F:F)</f>
        <v>0</v>
      </c>
      <c r="D987" s="12"/>
      <c r="E987" s="12"/>
    </row>
    <row r="988" ht="15.75" customHeight="1">
      <c r="A988" s="13"/>
      <c r="B988" s="21" t="str">
        <f>IFERROR(VLOOKUP(A988,'PAÑOL TÉCNICO'!A988:B1000,2,0))</f>
        <v/>
      </c>
      <c r="C988" s="9">
        <f>SUMIF(DIARIOS!D:D,A988,DIARIOS!F:F)</f>
        <v>0</v>
      </c>
      <c r="D988" s="12"/>
      <c r="E988" s="12"/>
    </row>
    <row r="989" ht="15.75" customHeight="1">
      <c r="A989" s="13"/>
      <c r="B989" s="21" t="str">
        <f>IFERROR(VLOOKUP(A989,'PAÑOL TÉCNICO'!A989:B1000,2,0))</f>
        <v/>
      </c>
      <c r="C989" s="9">
        <f>SUMIF(DIARIOS!D:D,A989,DIARIOS!F:F)</f>
        <v>0</v>
      </c>
      <c r="D989" s="12"/>
      <c r="E989" s="12"/>
    </row>
    <row r="990" ht="15.75" customHeight="1">
      <c r="A990" s="13"/>
      <c r="B990" s="21" t="str">
        <f>IFERROR(VLOOKUP(A990,'PAÑOL TÉCNICO'!A990:B1000,2,0))</f>
        <v/>
      </c>
      <c r="C990" s="9">
        <f>SUMIF(DIARIOS!D:D,A990,DIARIOS!F:F)</f>
        <v>0</v>
      </c>
      <c r="D990" s="12"/>
      <c r="E990" s="12"/>
    </row>
    <row r="991" ht="15.75" customHeight="1">
      <c r="A991" s="13"/>
      <c r="B991" s="21" t="str">
        <f>IFERROR(VLOOKUP(A991,'PAÑOL TÉCNICO'!A991:B1000,2,0))</f>
        <v/>
      </c>
      <c r="C991" s="9">
        <f>SUMIF(DIARIOS!D:D,A991,DIARIOS!F:F)</f>
        <v>0</v>
      </c>
      <c r="D991" s="12"/>
      <c r="E991" s="12"/>
    </row>
    <row r="992" ht="15.75" customHeight="1">
      <c r="A992" s="13"/>
      <c r="B992" s="21" t="str">
        <f>IFERROR(VLOOKUP(A992,'PAÑOL TÉCNICO'!A992:B1000,2,0))</f>
        <v/>
      </c>
      <c r="C992" s="9">
        <f>SUMIF(DIARIOS!D:D,A992,DIARIOS!F:F)</f>
        <v>0</v>
      </c>
      <c r="D992" s="12"/>
      <c r="E992" s="12"/>
    </row>
    <row r="993" ht="15.75" customHeight="1">
      <c r="A993" s="13"/>
      <c r="B993" s="21" t="str">
        <f>IFERROR(VLOOKUP(A993,'PAÑOL TÉCNICO'!A993:B1000,2,0))</f>
        <v/>
      </c>
      <c r="C993" s="9">
        <f>SUMIF(DIARIOS!D:D,A993,DIARIOS!F:F)</f>
        <v>0</v>
      </c>
      <c r="D993" s="12"/>
      <c r="E993" s="12"/>
    </row>
    <row r="994" ht="15.75" customHeight="1">
      <c r="A994" s="13"/>
      <c r="B994" s="21" t="str">
        <f>IFERROR(VLOOKUP(A994,'PAÑOL TÉCNICO'!A994:B1000,2,0))</f>
        <v/>
      </c>
      <c r="C994" s="9">
        <f>SUMIF(DIARIOS!D:D,A994,DIARIOS!F:F)</f>
        <v>0</v>
      </c>
      <c r="D994" s="12"/>
      <c r="E994" s="12"/>
    </row>
    <row r="995" ht="15.75" customHeight="1">
      <c r="A995" s="13"/>
      <c r="B995" s="21" t="str">
        <f>IFERROR(VLOOKUP(A995,'PAÑOL TÉCNICO'!A995:B1000,2,0))</f>
        <v/>
      </c>
      <c r="C995" s="9">
        <f>SUMIF(DIARIOS!D:D,A995,DIARIOS!F:F)</f>
        <v>0</v>
      </c>
      <c r="D995" s="12"/>
      <c r="E995" s="12"/>
    </row>
    <row r="996" ht="15.75" customHeight="1">
      <c r="A996" s="13"/>
      <c r="B996" s="21" t="str">
        <f>IFERROR(VLOOKUP(A996,'PAÑOL TÉCNICO'!A996:B1000,2,0))</f>
        <v/>
      </c>
      <c r="C996" s="9">
        <f>SUMIF(DIARIOS!D:D,A996,DIARIOS!F:F)</f>
        <v>0</v>
      </c>
      <c r="D996" s="12"/>
      <c r="E996" s="12"/>
    </row>
    <row r="997" ht="15.75" customHeight="1">
      <c r="A997" s="13"/>
      <c r="B997" s="21" t="str">
        <f>IFERROR(VLOOKUP(A997,'PAÑOL TÉCNICO'!A997:B1000,2,0))</f>
        <v/>
      </c>
      <c r="C997" s="9">
        <f>SUMIF(DIARIOS!D:D,A997,DIARIOS!F:F)</f>
        <v>0</v>
      </c>
      <c r="D997" s="12"/>
      <c r="E997" s="12"/>
    </row>
    <row r="998" ht="15.75" customHeight="1">
      <c r="A998" s="13"/>
      <c r="B998" s="21" t="str">
        <f>IFERROR(VLOOKUP(A998,'PAÑOL TÉCNICO'!A998:B1000,2,0))</f>
        <v/>
      </c>
      <c r="C998" s="9">
        <f>SUMIF(DIARIOS!D:D,A998,DIARIOS!F:F)</f>
        <v>0</v>
      </c>
      <c r="D998" s="12"/>
      <c r="E998" s="12"/>
    </row>
    <row r="999" ht="15.75" customHeight="1">
      <c r="A999" s="13"/>
      <c r="B999" s="21" t="str">
        <f>IFERROR(VLOOKUP(A999,'PAÑOL TÉCNICO'!A999:B1000,2,0))</f>
        <v/>
      </c>
      <c r="C999" s="9">
        <f>SUMIF(DIARIOS!D:D,A999,DIARIOS!F:F)</f>
        <v>0</v>
      </c>
      <c r="D999" s="12"/>
      <c r="E999" s="12"/>
    </row>
    <row r="1000" ht="15.75" customHeight="1">
      <c r="A1000" s="13"/>
      <c r="B1000" s="21" t="str">
        <f>IFERROR(VLOOKUP(A1000,'PAÑOL TÉCNICO'!A1000:B1000,2,0))</f>
        <v/>
      </c>
      <c r="C1000" s="9">
        <f>SUMIF(DIARIOS!D:D,A1000,DIARIOS!F:F)</f>
        <v>0</v>
      </c>
      <c r="D1000" s="12"/>
      <c r="E1000" s="12"/>
    </row>
  </sheetData>
  <mergeCells count="1">
    <mergeCell ref="B1:E2"/>
  </mergeCells>
  <dataValidations>
    <dataValidation type="list" allowBlank="1" showErrorMessage="1" sqref="A4:A1000">
      <formula1>'PAÑOL TÉCNICO'!$A$4:$A$1000</formula1>
    </dataValidation>
  </dataValidations>
  <printOptions horizontalCentered="1"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13.89"/>
    <col customWidth="1" min="2" max="2" width="22.44"/>
    <col customWidth="1" min="3" max="3" width="21.89"/>
    <col customWidth="1" min="4" max="4" width="11.0"/>
    <col customWidth="1" min="5" max="5" width="39.89"/>
    <col customWidth="1" min="6" max="6" width="10.67"/>
    <col customWidth="1" min="7" max="7" width="22.11"/>
    <col customWidth="1" min="8" max="8" width="17.78"/>
    <col customWidth="1" min="9" max="9" width="24.67"/>
  </cols>
  <sheetData>
    <row r="1" ht="15.75" customHeight="1">
      <c r="A1" s="25" t="s">
        <v>546</v>
      </c>
      <c r="B1" s="25" t="s">
        <v>547</v>
      </c>
      <c r="C1" s="2"/>
      <c r="D1" s="2"/>
      <c r="E1" s="2"/>
      <c r="F1" s="2"/>
      <c r="G1" s="2"/>
      <c r="H1" s="2"/>
      <c r="I1" s="2"/>
    </row>
    <row r="2" ht="15.75" customHeight="1">
      <c r="A2" s="26"/>
      <c r="B2" s="4"/>
      <c r="C2" s="4"/>
      <c r="D2" s="4"/>
      <c r="E2" s="4"/>
      <c r="F2" s="4"/>
      <c r="G2" s="4"/>
      <c r="H2" s="4"/>
      <c r="I2" s="4"/>
    </row>
    <row r="3" ht="15.75" customHeight="1">
      <c r="A3" s="27" t="s">
        <v>548</v>
      </c>
      <c r="B3" s="27" t="s">
        <v>549</v>
      </c>
      <c r="C3" s="27" t="s">
        <v>550</v>
      </c>
      <c r="D3" s="27" t="s">
        <v>2</v>
      </c>
      <c r="E3" s="27" t="s">
        <v>3</v>
      </c>
      <c r="F3" s="27" t="s">
        <v>551</v>
      </c>
      <c r="G3" s="27" t="s">
        <v>552</v>
      </c>
      <c r="H3" s="27" t="s">
        <v>553</v>
      </c>
      <c r="I3" s="27" t="s">
        <v>7</v>
      </c>
    </row>
    <row r="4" ht="15.75" customHeight="1">
      <c r="A4" s="28">
        <v>45138.0</v>
      </c>
      <c r="B4" s="29" t="s">
        <v>554</v>
      </c>
      <c r="C4" s="29" t="s">
        <v>554</v>
      </c>
      <c r="D4" s="30" t="s">
        <v>21</v>
      </c>
      <c r="E4" s="31" t="str">
        <f>IFERROR(VLOOKUP(D4,'PAÑOL TÉCNICO'!A4:B1000,2,0))</f>
        <v>Atornilladora inalámbrica DeWalt (amarilla)</v>
      </c>
      <c r="F4" s="31">
        <v>0.0</v>
      </c>
      <c r="G4" s="29" t="s">
        <v>555</v>
      </c>
      <c r="H4" s="28">
        <v>45148.0</v>
      </c>
      <c r="I4" s="32"/>
    </row>
    <row r="5" ht="15.75" customHeight="1">
      <c r="A5" s="28">
        <v>45138.0</v>
      </c>
      <c r="B5" s="29" t="s">
        <v>554</v>
      </c>
      <c r="C5" s="29" t="s">
        <v>554</v>
      </c>
      <c r="D5" s="30" t="s">
        <v>433</v>
      </c>
      <c r="E5" s="31" t="s">
        <v>434</v>
      </c>
      <c r="F5" s="31">
        <v>0.0</v>
      </c>
      <c r="G5" s="29" t="s">
        <v>555</v>
      </c>
      <c r="H5" s="28">
        <v>45148.0</v>
      </c>
      <c r="I5" s="32"/>
    </row>
    <row r="6" ht="15.75" customHeight="1">
      <c r="A6" s="28">
        <v>45138.0</v>
      </c>
      <c r="B6" s="29" t="s">
        <v>554</v>
      </c>
      <c r="C6" s="29" t="s">
        <v>554</v>
      </c>
      <c r="D6" s="30" t="s">
        <v>436</v>
      </c>
      <c r="E6" s="31" t="s">
        <v>437</v>
      </c>
      <c r="F6" s="31">
        <v>0.0</v>
      </c>
      <c r="G6" s="29" t="s">
        <v>555</v>
      </c>
      <c r="H6" s="28">
        <v>45148.0</v>
      </c>
      <c r="I6" s="33"/>
    </row>
    <row r="7" ht="15.75" customHeight="1">
      <c r="A7" s="28">
        <v>45138.0</v>
      </c>
      <c r="B7" s="29" t="s">
        <v>554</v>
      </c>
      <c r="C7" s="29" t="s">
        <v>554</v>
      </c>
      <c r="D7" s="30" t="s">
        <v>83</v>
      </c>
      <c r="E7" s="31" t="s">
        <v>84</v>
      </c>
      <c r="F7" s="31">
        <v>0.0</v>
      </c>
      <c r="G7" s="29" t="s">
        <v>555</v>
      </c>
      <c r="H7" s="28">
        <v>45148.0</v>
      </c>
      <c r="I7" s="30"/>
    </row>
    <row r="8" ht="15.75" customHeight="1">
      <c r="A8" s="28">
        <v>45138.0</v>
      </c>
      <c r="B8" s="29" t="s">
        <v>554</v>
      </c>
      <c r="C8" s="29" t="s">
        <v>554</v>
      </c>
      <c r="D8" s="30" t="s">
        <v>318</v>
      </c>
      <c r="E8" s="31" t="s">
        <v>319</v>
      </c>
      <c r="F8" s="31">
        <v>0.0</v>
      </c>
      <c r="G8" s="29" t="s">
        <v>555</v>
      </c>
      <c r="H8" s="34">
        <v>45146.0</v>
      </c>
      <c r="I8" s="30"/>
    </row>
    <row r="9" ht="15.75" customHeight="1">
      <c r="A9" s="28">
        <v>45138.0</v>
      </c>
      <c r="B9" s="29" t="s">
        <v>554</v>
      </c>
      <c r="C9" s="29" t="s">
        <v>554</v>
      </c>
      <c r="D9" s="30" t="s">
        <v>320</v>
      </c>
      <c r="E9" s="31" t="s">
        <v>321</v>
      </c>
      <c r="F9" s="31">
        <v>0.0</v>
      </c>
      <c r="G9" s="29" t="s">
        <v>555</v>
      </c>
      <c r="H9" s="34">
        <v>45146.0</v>
      </c>
      <c r="I9" s="30"/>
    </row>
    <row r="10" ht="15.75" customHeight="1">
      <c r="A10" s="28">
        <v>45138.0</v>
      </c>
      <c r="B10" s="29" t="s">
        <v>554</v>
      </c>
      <c r="C10" s="29" t="s">
        <v>554</v>
      </c>
      <c r="D10" s="30" t="s">
        <v>438</v>
      </c>
      <c r="E10" s="31" t="s">
        <v>439</v>
      </c>
      <c r="F10" s="31">
        <v>0.0</v>
      </c>
      <c r="G10" s="29" t="s">
        <v>555</v>
      </c>
      <c r="H10" s="34">
        <v>45146.0</v>
      </c>
      <c r="I10" s="33"/>
    </row>
    <row r="11" ht="15.75" customHeight="1">
      <c r="A11" s="28">
        <v>45138.0</v>
      </c>
      <c r="B11" s="29" t="s">
        <v>554</v>
      </c>
      <c r="C11" s="29" t="s">
        <v>554</v>
      </c>
      <c r="D11" s="30" t="s">
        <v>76</v>
      </c>
      <c r="E11" s="31" t="s">
        <v>77</v>
      </c>
      <c r="F11" s="31">
        <v>0.0</v>
      </c>
      <c r="G11" s="29" t="s">
        <v>555</v>
      </c>
      <c r="H11" s="29" t="s">
        <v>556</v>
      </c>
      <c r="I11" s="32"/>
    </row>
    <row r="12" ht="15.75" customHeight="1">
      <c r="A12" s="28">
        <v>45138.0</v>
      </c>
      <c r="B12" s="29" t="s">
        <v>554</v>
      </c>
      <c r="C12" s="29" t="s">
        <v>554</v>
      </c>
      <c r="D12" s="30" t="s">
        <v>113</v>
      </c>
      <c r="E12" s="31" t="s">
        <v>114</v>
      </c>
      <c r="F12" s="31">
        <v>0.0</v>
      </c>
      <c r="G12" s="29" t="s">
        <v>555</v>
      </c>
      <c r="H12" s="32"/>
      <c r="I12" s="32"/>
    </row>
    <row r="13" ht="15.75" customHeight="1">
      <c r="A13" s="28">
        <v>45139.0</v>
      </c>
      <c r="B13" s="29" t="s">
        <v>554</v>
      </c>
      <c r="C13" s="29" t="s">
        <v>554</v>
      </c>
      <c r="D13" s="30" t="s">
        <v>316</v>
      </c>
      <c r="E13" s="31" t="s">
        <v>317</v>
      </c>
      <c r="F13" s="31">
        <v>0.0</v>
      </c>
      <c r="G13" s="29" t="s">
        <v>555</v>
      </c>
      <c r="H13" s="28">
        <v>45148.0</v>
      </c>
      <c r="I13" s="33"/>
    </row>
    <row r="14" ht="15.75" customHeight="1">
      <c r="A14" s="28">
        <v>45141.0</v>
      </c>
      <c r="B14" s="29" t="s">
        <v>554</v>
      </c>
      <c r="C14" s="29" t="s">
        <v>554</v>
      </c>
      <c r="D14" s="30" t="s">
        <v>353</v>
      </c>
      <c r="E14" s="31" t="s">
        <v>354</v>
      </c>
      <c r="F14" s="31">
        <v>0.0</v>
      </c>
      <c r="G14" s="29" t="s">
        <v>555</v>
      </c>
      <c r="H14" s="34">
        <v>45145.0</v>
      </c>
      <c r="I14" s="33"/>
    </row>
    <row r="15" ht="15.75" customHeight="1">
      <c r="A15" s="28">
        <v>45141.0</v>
      </c>
      <c r="B15" s="29" t="s">
        <v>554</v>
      </c>
      <c r="C15" s="29" t="s">
        <v>554</v>
      </c>
      <c r="D15" s="30" t="s">
        <v>277</v>
      </c>
      <c r="E15" s="35" t="s">
        <v>278</v>
      </c>
      <c r="F15" s="31">
        <v>0.0</v>
      </c>
      <c r="G15" s="29" t="s">
        <v>555</v>
      </c>
      <c r="H15" s="34">
        <v>45145.0</v>
      </c>
      <c r="I15" s="33"/>
    </row>
    <row r="16" ht="15.75" customHeight="1">
      <c r="A16" s="28">
        <v>45141.0</v>
      </c>
      <c r="B16" s="29" t="s">
        <v>554</v>
      </c>
      <c r="C16" s="29" t="s">
        <v>554</v>
      </c>
      <c r="D16" s="30" t="s">
        <v>320</v>
      </c>
      <c r="E16" s="31" t="s">
        <v>321</v>
      </c>
      <c r="F16" s="31">
        <v>0.0</v>
      </c>
      <c r="G16" s="29" t="s">
        <v>555</v>
      </c>
      <c r="H16" s="28">
        <v>45148.0</v>
      </c>
      <c r="I16" s="33"/>
    </row>
    <row r="17" ht="15.75" customHeight="1">
      <c r="A17" s="28">
        <v>45141.0</v>
      </c>
      <c r="B17" s="29" t="s">
        <v>554</v>
      </c>
      <c r="C17" s="29" t="s">
        <v>554</v>
      </c>
      <c r="D17" s="30" t="s">
        <v>80</v>
      </c>
      <c r="E17" s="35" t="s">
        <v>81</v>
      </c>
      <c r="F17" s="31">
        <v>0.0</v>
      </c>
      <c r="G17" s="29" t="s">
        <v>555</v>
      </c>
      <c r="H17" s="28">
        <v>45148.0</v>
      </c>
      <c r="I17" s="32"/>
    </row>
    <row r="18" ht="15.75" customHeight="1">
      <c r="A18" s="28">
        <v>45141.0</v>
      </c>
      <c r="B18" s="29" t="s">
        <v>554</v>
      </c>
      <c r="C18" s="29" t="s">
        <v>554</v>
      </c>
      <c r="D18" s="30" t="s">
        <v>12</v>
      </c>
      <c r="E18" s="31" t="s">
        <v>13</v>
      </c>
      <c r="F18" s="31">
        <v>0.0</v>
      </c>
      <c r="G18" s="29" t="s">
        <v>555</v>
      </c>
      <c r="H18" s="28">
        <v>45148.0</v>
      </c>
      <c r="I18" s="33"/>
    </row>
    <row r="19" ht="15.75" customHeight="1">
      <c r="A19" s="28">
        <v>45141.0</v>
      </c>
      <c r="B19" s="29" t="s">
        <v>554</v>
      </c>
      <c r="C19" s="29" t="s">
        <v>554</v>
      </c>
      <c r="D19" s="30" t="s">
        <v>372</v>
      </c>
      <c r="E19" s="31" t="s">
        <v>373</v>
      </c>
      <c r="F19" s="31">
        <v>0.0</v>
      </c>
      <c r="G19" s="29" t="s">
        <v>555</v>
      </c>
      <c r="H19" s="33"/>
      <c r="I19" s="33"/>
    </row>
    <row r="20" ht="15.75" customHeight="1">
      <c r="A20" s="28">
        <v>45141.0</v>
      </c>
      <c r="B20" s="29" t="s">
        <v>554</v>
      </c>
      <c r="C20" s="29" t="s">
        <v>554</v>
      </c>
      <c r="D20" s="30" t="s">
        <v>318</v>
      </c>
      <c r="E20" s="31" t="s">
        <v>319</v>
      </c>
      <c r="F20" s="31">
        <v>0.0</v>
      </c>
      <c r="G20" s="29" t="s">
        <v>555</v>
      </c>
      <c r="H20" s="28">
        <v>45148.0</v>
      </c>
      <c r="I20" s="33"/>
    </row>
    <row r="21" ht="15.75" customHeight="1">
      <c r="A21" s="28">
        <v>45142.0</v>
      </c>
      <c r="B21" s="29" t="s">
        <v>554</v>
      </c>
      <c r="C21" s="29" t="s">
        <v>554</v>
      </c>
      <c r="D21" s="30" t="s">
        <v>320</v>
      </c>
      <c r="E21" s="31" t="s">
        <v>321</v>
      </c>
      <c r="F21" s="31">
        <v>0.0</v>
      </c>
      <c r="G21" s="29" t="s">
        <v>555</v>
      </c>
      <c r="H21" s="34">
        <v>45145.0</v>
      </c>
      <c r="I21" s="29"/>
    </row>
    <row r="22" ht="15.75" customHeight="1">
      <c r="A22" s="28">
        <v>45142.0</v>
      </c>
      <c r="B22" s="29" t="s">
        <v>554</v>
      </c>
      <c r="C22" s="29" t="s">
        <v>554</v>
      </c>
      <c r="D22" s="30" t="s">
        <v>316</v>
      </c>
      <c r="E22" s="31" t="s">
        <v>317</v>
      </c>
      <c r="F22" s="31">
        <v>0.0</v>
      </c>
      <c r="G22" s="29" t="s">
        <v>555</v>
      </c>
      <c r="H22" s="34">
        <v>45148.0</v>
      </c>
      <c r="I22" s="33"/>
    </row>
    <row r="23" ht="15.75" customHeight="1">
      <c r="A23" s="28">
        <v>45142.0</v>
      </c>
      <c r="B23" s="29" t="s">
        <v>554</v>
      </c>
      <c r="C23" s="29" t="s">
        <v>554</v>
      </c>
      <c r="D23" s="30" t="s">
        <v>376</v>
      </c>
      <c r="E23" s="31" t="s">
        <v>377</v>
      </c>
      <c r="F23" s="31">
        <v>0.0</v>
      </c>
      <c r="G23" s="29" t="s">
        <v>555</v>
      </c>
      <c r="H23" s="34">
        <v>45148.0</v>
      </c>
      <c r="I23" s="32"/>
    </row>
    <row r="24" ht="15.75" customHeight="1">
      <c r="A24" s="28">
        <v>45142.0</v>
      </c>
      <c r="B24" s="29" t="s">
        <v>554</v>
      </c>
      <c r="C24" s="29" t="s">
        <v>554</v>
      </c>
      <c r="D24" s="30" t="s">
        <v>255</v>
      </c>
      <c r="E24" s="35" t="s">
        <v>256</v>
      </c>
      <c r="F24" s="31">
        <v>0.0</v>
      </c>
      <c r="G24" s="29" t="s">
        <v>555</v>
      </c>
      <c r="H24" s="33"/>
      <c r="I24" s="30"/>
    </row>
    <row r="25" ht="15.75" customHeight="1">
      <c r="A25" s="28">
        <v>45142.0</v>
      </c>
      <c r="B25" s="29" t="s">
        <v>554</v>
      </c>
      <c r="C25" s="29" t="s">
        <v>554</v>
      </c>
      <c r="D25" s="30" t="s">
        <v>217</v>
      </c>
      <c r="E25" s="35" t="s">
        <v>557</v>
      </c>
      <c r="F25" s="31">
        <v>0.0</v>
      </c>
      <c r="G25" s="29" t="s">
        <v>555</v>
      </c>
      <c r="H25" s="34">
        <v>45145.0</v>
      </c>
      <c r="I25" s="33"/>
    </row>
    <row r="26" ht="15.75" customHeight="1">
      <c r="A26" s="28">
        <v>45142.0</v>
      </c>
      <c r="B26" s="29" t="s">
        <v>554</v>
      </c>
      <c r="C26" s="29" t="s">
        <v>554</v>
      </c>
      <c r="D26" s="30" t="s">
        <v>473</v>
      </c>
      <c r="E26" s="31" t="s">
        <v>474</v>
      </c>
      <c r="F26" s="31">
        <v>0.0</v>
      </c>
      <c r="G26" s="29" t="s">
        <v>555</v>
      </c>
      <c r="H26" s="28">
        <v>45148.0</v>
      </c>
      <c r="I26" s="33"/>
    </row>
    <row r="27" ht="15.75" customHeight="1">
      <c r="A27" s="28">
        <v>45142.0</v>
      </c>
      <c r="B27" s="29" t="s">
        <v>554</v>
      </c>
      <c r="C27" s="29" t="s">
        <v>554</v>
      </c>
      <c r="D27" s="30" t="s">
        <v>404</v>
      </c>
      <c r="E27" s="31" t="s">
        <v>405</v>
      </c>
      <c r="F27" s="31">
        <v>30.0</v>
      </c>
      <c r="G27" s="29" t="s">
        <v>555</v>
      </c>
      <c r="H27" s="28">
        <v>45148.0</v>
      </c>
      <c r="I27" s="33"/>
    </row>
    <row r="28" ht="15.75" customHeight="1">
      <c r="A28" s="28">
        <v>45142.0</v>
      </c>
      <c r="B28" s="29" t="s">
        <v>554</v>
      </c>
      <c r="C28" s="29" t="s">
        <v>554</v>
      </c>
      <c r="D28" s="30" t="s">
        <v>64</v>
      </c>
      <c r="E28" s="31" t="s">
        <v>65</v>
      </c>
      <c r="F28" s="31">
        <v>0.0</v>
      </c>
      <c r="G28" s="29" t="s">
        <v>555</v>
      </c>
      <c r="H28" s="34">
        <v>45145.0</v>
      </c>
      <c r="I28" s="33"/>
    </row>
    <row r="29" ht="15.75" customHeight="1">
      <c r="A29" s="28">
        <v>45142.0</v>
      </c>
      <c r="B29" s="29" t="s">
        <v>554</v>
      </c>
      <c r="C29" s="29" t="s">
        <v>554</v>
      </c>
      <c r="D29" s="30" t="s">
        <v>259</v>
      </c>
      <c r="E29" s="31" t="s">
        <v>260</v>
      </c>
      <c r="F29" s="31">
        <v>0.0</v>
      </c>
      <c r="G29" s="29" t="s">
        <v>555</v>
      </c>
      <c r="H29" s="34">
        <v>45146.0</v>
      </c>
      <c r="I29" s="33"/>
    </row>
    <row r="30" ht="15.75" customHeight="1">
      <c r="A30" s="28">
        <v>45145.0</v>
      </c>
      <c r="B30" s="29" t="s">
        <v>554</v>
      </c>
      <c r="C30" s="29" t="s">
        <v>554</v>
      </c>
      <c r="D30" s="30" t="s">
        <v>80</v>
      </c>
      <c r="E30" s="31" t="s">
        <v>558</v>
      </c>
      <c r="F30" s="31">
        <v>0.0</v>
      </c>
      <c r="G30" s="29" t="s">
        <v>555</v>
      </c>
      <c r="H30" s="34">
        <v>45148.0</v>
      </c>
      <c r="I30" s="33"/>
    </row>
    <row r="31" ht="15.75" customHeight="1">
      <c r="A31" s="28">
        <v>45145.0</v>
      </c>
      <c r="B31" s="29" t="s">
        <v>554</v>
      </c>
      <c r="C31" s="29" t="s">
        <v>554</v>
      </c>
      <c r="D31" s="30" t="s">
        <v>15</v>
      </c>
      <c r="E31" s="35" t="s">
        <v>16</v>
      </c>
      <c r="F31" s="31">
        <v>0.0</v>
      </c>
      <c r="G31" s="29" t="s">
        <v>555</v>
      </c>
      <c r="H31" s="28">
        <v>45148.0</v>
      </c>
      <c r="I31" s="32"/>
    </row>
    <row r="32" ht="15.75" customHeight="1">
      <c r="A32" s="28">
        <v>45141.0</v>
      </c>
      <c r="B32" s="29" t="s">
        <v>559</v>
      </c>
      <c r="C32" s="29" t="s">
        <v>559</v>
      </c>
      <c r="D32" s="30" t="s">
        <v>12</v>
      </c>
      <c r="E32" s="31" t="s">
        <v>13</v>
      </c>
      <c r="F32" s="31">
        <v>0.0</v>
      </c>
      <c r="G32" s="29" t="s">
        <v>560</v>
      </c>
      <c r="H32" s="32"/>
      <c r="I32" s="29" t="s">
        <v>561</v>
      </c>
    </row>
    <row r="33" ht="15.75" customHeight="1">
      <c r="A33" s="28">
        <v>45141.0</v>
      </c>
      <c r="B33" s="29" t="s">
        <v>559</v>
      </c>
      <c r="C33" s="29" t="s">
        <v>559</v>
      </c>
      <c r="D33" s="30" t="s">
        <v>80</v>
      </c>
      <c r="E33" s="31" t="s">
        <v>558</v>
      </c>
      <c r="F33" s="31">
        <v>0.0</v>
      </c>
      <c r="G33" s="29" t="s">
        <v>560</v>
      </c>
      <c r="H33" s="33"/>
      <c r="I33" s="30"/>
    </row>
    <row r="34" ht="15.75" customHeight="1">
      <c r="A34" s="28">
        <v>45141.0</v>
      </c>
      <c r="B34" s="29" t="s">
        <v>559</v>
      </c>
      <c r="C34" s="29" t="s">
        <v>559</v>
      </c>
      <c r="D34" s="30" t="s">
        <v>318</v>
      </c>
      <c r="E34" s="31" t="s">
        <v>319</v>
      </c>
      <c r="F34" s="31">
        <v>0.0</v>
      </c>
      <c r="G34" s="29" t="s">
        <v>560</v>
      </c>
      <c r="H34" s="28">
        <v>45148.0</v>
      </c>
      <c r="I34" s="32"/>
    </row>
    <row r="35" ht="15.75" customHeight="1">
      <c r="A35" s="28">
        <v>45142.0</v>
      </c>
      <c r="B35" s="29" t="s">
        <v>559</v>
      </c>
      <c r="C35" s="29" t="s">
        <v>559</v>
      </c>
      <c r="D35" s="30" t="s">
        <v>400</v>
      </c>
      <c r="E35" s="31" t="s">
        <v>401</v>
      </c>
      <c r="F35" s="31">
        <v>0.0</v>
      </c>
      <c r="G35" s="29" t="s">
        <v>560</v>
      </c>
      <c r="H35" s="34">
        <v>45145.0</v>
      </c>
      <c r="I35" s="33"/>
    </row>
    <row r="36" ht="15.75" customHeight="1">
      <c r="A36" s="28">
        <v>45141.0</v>
      </c>
      <c r="B36" s="29" t="s">
        <v>559</v>
      </c>
      <c r="C36" s="29" t="s">
        <v>559</v>
      </c>
      <c r="D36" s="30" t="s">
        <v>21</v>
      </c>
      <c r="E36" s="31" t="s">
        <v>22</v>
      </c>
      <c r="F36" s="31">
        <v>0.0</v>
      </c>
      <c r="G36" s="29" t="s">
        <v>560</v>
      </c>
      <c r="H36" s="28">
        <v>45148.0</v>
      </c>
      <c r="I36" s="33"/>
    </row>
    <row r="37" ht="15.75" customHeight="1">
      <c r="A37" s="28">
        <v>45142.0</v>
      </c>
      <c r="B37" s="29" t="s">
        <v>559</v>
      </c>
      <c r="C37" s="29" t="s">
        <v>559</v>
      </c>
      <c r="D37" s="30" t="s">
        <v>100</v>
      </c>
      <c r="E37" s="31" t="s">
        <v>101</v>
      </c>
      <c r="F37" s="31">
        <v>0.0</v>
      </c>
      <c r="G37" s="29" t="s">
        <v>560</v>
      </c>
      <c r="H37" s="34">
        <v>45145.0</v>
      </c>
      <c r="I37" s="32"/>
    </row>
    <row r="38" ht="15.75" customHeight="1">
      <c r="A38" s="28">
        <v>45142.0</v>
      </c>
      <c r="B38" s="29" t="s">
        <v>559</v>
      </c>
      <c r="C38" s="29" t="s">
        <v>559</v>
      </c>
      <c r="D38" s="30" t="s">
        <v>316</v>
      </c>
      <c r="E38" s="31" t="s">
        <v>317</v>
      </c>
      <c r="F38" s="31">
        <v>0.0</v>
      </c>
      <c r="G38" s="29" t="s">
        <v>560</v>
      </c>
      <c r="H38" s="28">
        <v>45148.0</v>
      </c>
      <c r="I38" s="32"/>
    </row>
    <row r="39" ht="15.75" customHeight="1">
      <c r="A39" s="28">
        <v>45142.0</v>
      </c>
      <c r="B39" s="29" t="s">
        <v>559</v>
      </c>
      <c r="C39" s="29" t="s">
        <v>559</v>
      </c>
      <c r="D39" s="30" t="s">
        <v>106</v>
      </c>
      <c r="E39" s="35" t="s">
        <v>107</v>
      </c>
      <c r="F39" s="31">
        <v>0.0</v>
      </c>
      <c r="G39" s="29" t="s">
        <v>560</v>
      </c>
      <c r="H39" s="28">
        <v>45148.0</v>
      </c>
      <c r="I39" s="33"/>
    </row>
    <row r="40" ht="15.75" customHeight="1">
      <c r="A40" s="28">
        <v>45142.0</v>
      </c>
      <c r="B40" s="29" t="s">
        <v>559</v>
      </c>
      <c r="C40" s="29" t="s">
        <v>559</v>
      </c>
      <c r="D40" s="30" t="s">
        <v>159</v>
      </c>
      <c r="E40" s="31" t="s">
        <v>160</v>
      </c>
      <c r="F40" s="31">
        <v>0.0</v>
      </c>
      <c r="G40" s="29" t="s">
        <v>560</v>
      </c>
      <c r="H40" s="34">
        <v>45145.0</v>
      </c>
      <c r="I40" s="32"/>
    </row>
    <row r="41" ht="15.75" customHeight="1">
      <c r="A41" s="28">
        <v>45142.0</v>
      </c>
      <c r="B41" s="29" t="s">
        <v>559</v>
      </c>
      <c r="C41" s="29" t="s">
        <v>559</v>
      </c>
      <c r="D41" s="30" t="s">
        <v>9</v>
      </c>
      <c r="E41" s="31" t="s">
        <v>10</v>
      </c>
      <c r="F41" s="31">
        <v>0.0</v>
      </c>
      <c r="G41" s="29" t="s">
        <v>560</v>
      </c>
      <c r="H41" s="28">
        <v>45148.0</v>
      </c>
      <c r="I41" s="32"/>
    </row>
    <row r="42" ht="15.75" customHeight="1">
      <c r="A42" s="28">
        <v>45142.0</v>
      </c>
      <c r="B42" s="29" t="s">
        <v>559</v>
      </c>
      <c r="C42" s="29" t="s">
        <v>559</v>
      </c>
      <c r="D42" s="30" t="s">
        <v>133</v>
      </c>
      <c r="E42" s="31" t="s">
        <v>134</v>
      </c>
      <c r="F42" s="31">
        <v>0.0</v>
      </c>
      <c r="G42" s="29" t="s">
        <v>560</v>
      </c>
      <c r="H42" s="34">
        <v>45145.0</v>
      </c>
      <c r="I42" s="33"/>
    </row>
    <row r="43" ht="15.75" customHeight="1">
      <c r="A43" s="28">
        <v>45145.0</v>
      </c>
      <c r="B43" s="29" t="s">
        <v>559</v>
      </c>
      <c r="C43" s="29" t="s">
        <v>559</v>
      </c>
      <c r="D43" s="30" t="s">
        <v>318</v>
      </c>
      <c r="E43" s="31" t="s">
        <v>562</v>
      </c>
      <c r="F43" s="31">
        <v>0.0</v>
      </c>
      <c r="G43" s="29" t="s">
        <v>560</v>
      </c>
      <c r="H43" s="28">
        <v>45148.0</v>
      </c>
      <c r="I43" s="30"/>
    </row>
    <row r="44" ht="15.75" customHeight="1">
      <c r="A44" s="28">
        <v>45145.0</v>
      </c>
      <c r="B44" s="29" t="s">
        <v>559</v>
      </c>
      <c r="C44" s="29" t="s">
        <v>559</v>
      </c>
      <c r="D44" s="30" t="s">
        <v>438</v>
      </c>
      <c r="E44" s="31" t="s">
        <v>439</v>
      </c>
      <c r="F44" s="31">
        <v>0.0</v>
      </c>
      <c r="G44" s="29" t="s">
        <v>560</v>
      </c>
      <c r="H44" s="28">
        <v>45148.0</v>
      </c>
      <c r="I44" s="33"/>
    </row>
    <row r="45" ht="15.75" customHeight="1">
      <c r="A45" s="28">
        <v>45145.0</v>
      </c>
      <c r="B45" s="29" t="s">
        <v>559</v>
      </c>
      <c r="C45" s="29" t="s">
        <v>559</v>
      </c>
      <c r="D45" s="30" t="s">
        <v>67</v>
      </c>
      <c r="E45" s="35" t="s">
        <v>68</v>
      </c>
      <c r="F45" s="31">
        <v>0.0</v>
      </c>
      <c r="G45" s="29" t="s">
        <v>563</v>
      </c>
      <c r="H45" s="30" t="s">
        <v>564</v>
      </c>
      <c r="I45" s="30"/>
    </row>
    <row r="46" ht="15.75" customHeight="1">
      <c r="A46" s="28">
        <v>45145.0</v>
      </c>
      <c r="B46" s="29" t="s">
        <v>559</v>
      </c>
      <c r="C46" s="29" t="s">
        <v>559</v>
      </c>
      <c r="D46" s="30" t="s">
        <v>430</v>
      </c>
      <c r="E46" s="35" t="s">
        <v>431</v>
      </c>
      <c r="F46" s="31">
        <v>0.0</v>
      </c>
      <c r="G46" s="29" t="s">
        <v>563</v>
      </c>
      <c r="H46" s="28">
        <v>45148.0</v>
      </c>
      <c r="I46" s="33"/>
    </row>
    <row r="47" ht="15.75" customHeight="1">
      <c r="A47" s="28">
        <v>45145.0</v>
      </c>
      <c r="B47" s="29" t="s">
        <v>559</v>
      </c>
      <c r="C47" s="29" t="s">
        <v>559</v>
      </c>
      <c r="D47" s="30" t="s">
        <v>9</v>
      </c>
      <c r="E47" s="31" t="s">
        <v>10</v>
      </c>
      <c r="F47" s="31">
        <v>0.0</v>
      </c>
      <c r="G47" s="29" t="s">
        <v>563</v>
      </c>
      <c r="H47" s="28">
        <v>45148.0</v>
      </c>
      <c r="I47" s="33"/>
    </row>
    <row r="48" ht="15.75" customHeight="1">
      <c r="A48" s="28">
        <v>45145.0</v>
      </c>
      <c r="B48" s="29" t="s">
        <v>559</v>
      </c>
      <c r="C48" s="29" t="s">
        <v>559</v>
      </c>
      <c r="D48" s="30" t="s">
        <v>277</v>
      </c>
      <c r="E48" s="35" t="s">
        <v>278</v>
      </c>
      <c r="F48" s="31">
        <v>0.0</v>
      </c>
      <c r="G48" s="29" t="s">
        <v>563</v>
      </c>
      <c r="H48" s="28">
        <v>45148.0</v>
      </c>
      <c r="I48" s="33"/>
    </row>
    <row r="49" ht="14.25" customHeight="1">
      <c r="A49" s="28">
        <v>45145.0</v>
      </c>
      <c r="B49" s="29" t="s">
        <v>559</v>
      </c>
      <c r="C49" s="29" t="s">
        <v>559</v>
      </c>
      <c r="D49" s="30" t="s">
        <v>353</v>
      </c>
      <c r="E49" s="31" t="s">
        <v>354</v>
      </c>
      <c r="F49" s="31">
        <v>0.0</v>
      </c>
      <c r="G49" s="29" t="s">
        <v>563</v>
      </c>
      <c r="H49" s="28">
        <v>45148.0</v>
      </c>
      <c r="I49" s="32"/>
    </row>
    <row r="50" ht="15.75" customHeight="1">
      <c r="A50" s="28">
        <v>45145.0</v>
      </c>
      <c r="B50" s="29" t="s">
        <v>559</v>
      </c>
      <c r="C50" s="29" t="s">
        <v>559</v>
      </c>
      <c r="D50" s="30" t="s">
        <v>171</v>
      </c>
      <c r="E50" s="35" t="s">
        <v>172</v>
      </c>
      <c r="F50" s="31">
        <v>0.0</v>
      </c>
      <c r="G50" s="29" t="s">
        <v>563</v>
      </c>
      <c r="H50" s="28">
        <v>45148.0</v>
      </c>
      <c r="I50" s="33"/>
    </row>
    <row r="51" ht="15.75" customHeight="1">
      <c r="A51" s="28">
        <v>45145.0</v>
      </c>
      <c r="B51" s="29" t="s">
        <v>559</v>
      </c>
      <c r="C51" s="29" t="s">
        <v>559</v>
      </c>
      <c r="D51" s="30" t="s">
        <v>181</v>
      </c>
      <c r="E51" s="31" t="s">
        <v>182</v>
      </c>
      <c r="F51" s="31">
        <v>0.0</v>
      </c>
      <c r="G51" s="29" t="s">
        <v>563</v>
      </c>
      <c r="H51" s="28">
        <v>45148.0</v>
      </c>
      <c r="I51" s="33"/>
    </row>
    <row r="52" ht="15.75" customHeight="1">
      <c r="A52" s="28">
        <v>45145.0</v>
      </c>
      <c r="B52" s="29" t="s">
        <v>559</v>
      </c>
      <c r="C52" s="29" t="s">
        <v>559</v>
      </c>
      <c r="D52" s="30" t="s">
        <v>100</v>
      </c>
      <c r="E52" s="31" t="s">
        <v>101</v>
      </c>
      <c r="F52" s="31">
        <v>0.0</v>
      </c>
      <c r="G52" s="29" t="s">
        <v>563</v>
      </c>
      <c r="H52" s="32"/>
      <c r="I52" s="29"/>
    </row>
    <row r="53" ht="15.75" customHeight="1">
      <c r="A53" s="28">
        <v>45145.0</v>
      </c>
      <c r="B53" s="29" t="s">
        <v>559</v>
      </c>
      <c r="C53" s="29" t="s">
        <v>559</v>
      </c>
      <c r="D53" s="30" t="s">
        <v>159</v>
      </c>
      <c r="E53" s="31" t="s">
        <v>160</v>
      </c>
      <c r="F53" s="31">
        <v>0.0</v>
      </c>
      <c r="G53" s="29" t="s">
        <v>563</v>
      </c>
      <c r="H53" s="33"/>
      <c r="I53" s="33"/>
    </row>
    <row r="54" ht="15.0" customHeight="1">
      <c r="A54" s="28">
        <v>45145.0</v>
      </c>
      <c r="B54" s="29" t="s">
        <v>559</v>
      </c>
      <c r="C54" s="29" t="s">
        <v>559</v>
      </c>
      <c r="D54" s="30" t="s">
        <v>133</v>
      </c>
      <c r="E54" s="35" t="s">
        <v>134</v>
      </c>
      <c r="F54" s="31">
        <v>0.0</v>
      </c>
      <c r="G54" s="29" t="s">
        <v>563</v>
      </c>
      <c r="H54" s="28">
        <v>45148.0</v>
      </c>
      <c r="I54" s="33"/>
    </row>
    <row r="55" ht="15.75" customHeight="1">
      <c r="A55" s="28">
        <v>45145.0</v>
      </c>
      <c r="B55" s="29" t="s">
        <v>559</v>
      </c>
      <c r="C55" s="29" t="s">
        <v>559</v>
      </c>
      <c r="D55" s="30" t="s">
        <v>400</v>
      </c>
      <c r="E55" s="31" t="s">
        <v>401</v>
      </c>
      <c r="F55" s="31">
        <v>0.0</v>
      </c>
      <c r="G55" s="29" t="s">
        <v>563</v>
      </c>
      <c r="H55" s="28">
        <v>45148.0</v>
      </c>
      <c r="I55" s="33"/>
    </row>
    <row r="56" ht="15.75" customHeight="1">
      <c r="A56" s="28">
        <v>45145.0</v>
      </c>
      <c r="B56" s="29" t="s">
        <v>559</v>
      </c>
      <c r="C56" s="29" t="s">
        <v>559</v>
      </c>
      <c r="D56" s="30" t="s">
        <v>21</v>
      </c>
      <c r="E56" s="31" t="s">
        <v>22</v>
      </c>
      <c r="F56" s="31">
        <v>0.0</v>
      </c>
      <c r="G56" s="29" t="s">
        <v>563</v>
      </c>
      <c r="H56" s="34"/>
      <c r="I56" s="33"/>
    </row>
    <row r="57" ht="15.75" customHeight="1">
      <c r="A57" s="28">
        <v>45145.0</v>
      </c>
      <c r="B57" s="29" t="s">
        <v>559</v>
      </c>
      <c r="C57" s="29" t="s">
        <v>559</v>
      </c>
      <c r="D57" s="30" t="s">
        <v>438</v>
      </c>
      <c r="E57" s="31" t="s">
        <v>439</v>
      </c>
      <c r="F57" s="31">
        <v>0.0</v>
      </c>
      <c r="G57" s="29" t="s">
        <v>563</v>
      </c>
      <c r="H57" s="34"/>
      <c r="I57" s="33"/>
    </row>
    <row r="58" ht="15.75" customHeight="1">
      <c r="A58" s="28">
        <v>45145.0</v>
      </c>
      <c r="B58" s="29" t="s">
        <v>559</v>
      </c>
      <c r="C58" s="29" t="s">
        <v>559</v>
      </c>
      <c r="D58" s="30" t="s">
        <v>440</v>
      </c>
      <c r="E58" s="31" t="s">
        <v>441</v>
      </c>
      <c r="F58" s="31">
        <v>0.0</v>
      </c>
      <c r="G58" s="29" t="s">
        <v>563</v>
      </c>
      <c r="H58" s="34"/>
      <c r="I58" s="33"/>
    </row>
    <row r="59" ht="15.75" customHeight="1">
      <c r="A59" s="28">
        <v>45145.0</v>
      </c>
      <c r="B59" s="29" t="s">
        <v>559</v>
      </c>
      <c r="C59" s="29" t="s">
        <v>559</v>
      </c>
      <c r="D59" s="30" t="s">
        <v>316</v>
      </c>
      <c r="E59" s="31" t="s">
        <v>317</v>
      </c>
      <c r="F59" s="31">
        <v>0.0</v>
      </c>
      <c r="G59" s="29" t="s">
        <v>563</v>
      </c>
      <c r="H59" s="28">
        <v>45148.0</v>
      </c>
      <c r="I59" s="33"/>
    </row>
    <row r="60" ht="15.75" customHeight="1">
      <c r="A60" s="28">
        <v>45145.0</v>
      </c>
      <c r="B60" s="29" t="s">
        <v>559</v>
      </c>
      <c r="C60" s="29" t="s">
        <v>559</v>
      </c>
      <c r="D60" s="30" t="s">
        <v>241</v>
      </c>
      <c r="E60" s="31" t="s">
        <v>242</v>
      </c>
      <c r="F60" s="31">
        <v>0.0</v>
      </c>
      <c r="G60" s="29" t="s">
        <v>563</v>
      </c>
      <c r="H60" s="34">
        <v>45148.0</v>
      </c>
      <c r="I60" s="33"/>
    </row>
    <row r="61" ht="10.5" customHeight="1">
      <c r="A61" s="36"/>
    </row>
    <row r="62" ht="15.75" customHeight="1">
      <c r="A62" s="28">
        <v>45149.0</v>
      </c>
      <c r="B62" s="29" t="s">
        <v>565</v>
      </c>
      <c r="C62" s="29" t="s">
        <v>566</v>
      </c>
      <c r="D62" s="30" t="s">
        <v>131</v>
      </c>
      <c r="E62" s="35" t="s">
        <v>132</v>
      </c>
      <c r="F62" s="31">
        <v>0.0</v>
      </c>
      <c r="G62" s="29" t="s">
        <v>567</v>
      </c>
      <c r="H62" s="32"/>
      <c r="I62" s="32"/>
    </row>
    <row r="63" ht="15.75" customHeight="1">
      <c r="A63" s="28">
        <v>45149.0</v>
      </c>
      <c r="B63" s="29" t="s">
        <v>565</v>
      </c>
      <c r="C63" s="29" t="s">
        <v>568</v>
      </c>
      <c r="D63" s="30" t="s">
        <v>318</v>
      </c>
      <c r="E63" s="31" t="s">
        <v>319</v>
      </c>
      <c r="F63" s="31">
        <v>0.0</v>
      </c>
      <c r="G63" s="30" t="s">
        <v>569</v>
      </c>
      <c r="H63" s="34"/>
      <c r="I63" s="33"/>
    </row>
    <row r="64" ht="15.75" customHeight="1">
      <c r="A64" s="28">
        <v>45149.0</v>
      </c>
      <c r="B64" s="29" t="s">
        <v>565</v>
      </c>
      <c r="C64" s="29" t="s">
        <v>570</v>
      </c>
      <c r="D64" s="30" t="s">
        <v>277</v>
      </c>
      <c r="E64" s="31" t="s">
        <v>278</v>
      </c>
      <c r="F64" s="31">
        <v>0.0</v>
      </c>
      <c r="G64" s="30" t="s">
        <v>569</v>
      </c>
      <c r="H64" s="34"/>
      <c r="I64" s="33"/>
    </row>
    <row r="65" ht="15.75" customHeight="1">
      <c r="A65" s="28">
        <v>45149.0</v>
      </c>
      <c r="B65" s="29" t="s">
        <v>565</v>
      </c>
      <c r="C65" s="29" t="s">
        <v>570</v>
      </c>
      <c r="D65" s="30" t="s">
        <v>17</v>
      </c>
      <c r="E65" s="31" t="s">
        <v>571</v>
      </c>
      <c r="F65" s="31">
        <v>0.0</v>
      </c>
      <c r="G65" s="30" t="s">
        <v>569</v>
      </c>
      <c r="H65" s="33"/>
      <c r="I65" s="33"/>
    </row>
    <row r="66" ht="15.75" customHeight="1">
      <c r="A66" s="28">
        <v>45149.0</v>
      </c>
      <c r="B66" s="29" t="s">
        <v>565</v>
      </c>
      <c r="C66" s="29" t="s">
        <v>572</v>
      </c>
      <c r="D66" s="30" t="s">
        <v>136</v>
      </c>
      <c r="E66" s="31" t="s">
        <v>137</v>
      </c>
      <c r="F66" s="31">
        <v>0.0</v>
      </c>
      <c r="G66" s="30" t="s">
        <v>569</v>
      </c>
      <c r="H66" s="33"/>
      <c r="I66" s="33"/>
    </row>
    <row r="67" ht="15.75" customHeight="1">
      <c r="A67" s="28">
        <v>45149.0</v>
      </c>
      <c r="B67" s="29" t="s">
        <v>565</v>
      </c>
      <c r="C67" s="29" t="s">
        <v>573</v>
      </c>
      <c r="D67" s="30" t="s">
        <v>17</v>
      </c>
      <c r="E67" s="31" t="s">
        <v>571</v>
      </c>
      <c r="F67" s="31">
        <v>0.0</v>
      </c>
      <c r="G67" s="30" t="s">
        <v>569</v>
      </c>
      <c r="H67" s="33"/>
      <c r="I67" s="33"/>
    </row>
    <row r="68" ht="15.75" customHeight="1">
      <c r="A68" s="28">
        <v>45149.0</v>
      </c>
      <c r="B68" s="29" t="s">
        <v>565</v>
      </c>
      <c r="C68" s="29" t="s">
        <v>570</v>
      </c>
      <c r="D68" s="30" t="s">
        <v>353</v>
      </c>
      <c r="E68" s="31" t="s">
        <v>354</v>
      </c>
      <c r="F68" s="31">
        <v>0.0</v>
      </c>
      <c r="G68" s="30" t="s">
        <v>569</v>
      </c>
      <c r="H68" s="33"/>
      <c r="I68" s="33"/>
    </row>
    <row r="69" ht="15.75" customHeight="1">
      <c r="A69" s="28">
        <v>45149.0</v>
      </c>
      <c r="B69" s="29" t="s">
        <v>565</v>
      </c>
      <c r="C69" s="29" t="s">
        <v>574</v>
      </c>
      <c r="D69" s="30" t="s">
        <v>17</v>
      </c>
      <c r="E69" s="31" t="s">
        <v>571</v>
      </c>
      <c r="F69" s="31">
        <v>0.0</v>
      </c>
      <c r="G69" s="30" t="s">
        <v>575</v>
      </c>
      <c r="H69" s="33"/>
      <c r="I69" s="33"/>
    </row>
    <row r="70" ht="15.75" customHeight="1">
      <c r="A70" s="28">
        <v>45149.0</v>
      </c>
      <c r="B70" s="29" t="s">
        <v>565</v>
      </c>
      <c r="C70" s="29" t="s">
        <v>570</v>
      </c>
      <c r="D70" s="30" t="s">
        <v>277</v>
      </c>
      <c r="E70" s="31" t="s">
        <v>278</v>
      </c>
      <c r="F70" s="31">
        <v>0.0</v>
      </c>
      <c r="G70" s="30" t="s">
        <v>569</v>
      </c>
      <c r="H70" s="33"/>
      <c r="I70" s="33"/>
    </row>
    <row r="71" ht="15.75" customHeight="1">
      <c r="A71" s="28">
        <v>45149.0</v>
      </c>
      <c r="B71" s="29" t="s">
        <v>565</v>
      </c>
      <c r="C71" s="29" t="s">
        <v>573</v>
      </c>
      <c r="D71" s="30" t="s">
        <v>314</v>
      </c>
      <c r="E71" s="31" t="s">
        <v>315</v>
      </c>
      <c r="F71" s="31">
        <v>0.0</v>
      </c>
      <c r="G71" s="30" t="s">
        <v>569</v>
      </c>
      <c r="H71" s="33"/>
      <c r="I71" s="33"/>
    </row>
    <row r="72" ht="15.75" customHeight="1">
      <c r="A72" s="28">
        <v>45149.0</v>
      </c>
      <c r="B72" s="29" t="s">
        <v>565</v>
      </c>
      <c r="C72" s="29" t="s">
        <v>566</v>
      </c>
      <c r="D72" s="30" t="s">
        <v>400</v>
      </c>
      <c r="E72" s="31" t="s">
        <v>401</v>
      </c>
      <c r="F72" s="31">
        <v>0.0</v>
      </c>
      <c r="G72" s="30" t="s">
        <v>567</v>
      </c>
      <c r="H72" s="33"/>
      <c r="I72" s="33"/>
    </row>
    <row r="73" ht="15.75" customHeight="1">
      <c r="A73" s="28">
        <v>45149.0</v>
      </c>
      <c r="B73" s="29" t="s">
        <v>565</v>
      </c>
      <c r="C73" s="29" t="s">
        <v>566</v>
      </c>
      <c r="D73" s="30" t="s">
        <v>21</v>
      </c>
      <c r="E73" s="31" t="s">
        <v>22</v>
      </c>
      <c r="F73" s="31">
        <v>0.0</v>
      </c>
      <c r="G73" s="30" t="s">
        <v>567</v>
      </c>
      <c r="H73" s="33"/>
      <c r="I73" s="33"/>
    </row>
    <row r="74" ht="15.75" customHeight="1">
      <c r="A74" s="28">
        <v>45149.0</v>
      </c>
      <c r="B74" s="29" t="s">
        <v>565</v>
      </c>
      <c r="C74" s="29" t="s">
        <v>566</v>
      </c>
      <c r="D74" s="30" t="s">
        <v>159</v>
      </c>
      <c r="E74" s="31" t="s">
        <v>160</v>
      </c>
      <c r="F74" s="31">
        <v>0.0</v>
      </c>
      <c r="G74" s="30" t="s">
        <v>567</v>
      </c>
      <c r="H74" s="33"/>
      <c r="I74" s="33"/>
    </row>
    <row r="75" ht="15.75" customHeight="1">
      <c r="A75" s="28">
        <v>45149.0</v>
      </c>
      <c r="B75" s="29" t="s">
        <v>565</v>
      </c>
      <c r="C75" s="29" t="s">
        <v>576</v>
      </c>
      <c r="D75" s="30" t="s">
        <v>104</v>
      </c>
      <c r="E75" s="31" t="s">
        <v>577</v>
      </c>
      <c r="F75" s="31">
        <v>0.0</v>
      </c>
      <c r="G75" s="30" t="s">
        <v>569</v>
      </c>
      <c r="H75" s="33"/>
      <c r="I75" s="33"/>
    </row>
    <row r="76" ht="15.75" customHeight="1">
      <c r="A76" s="28">
        <v>45149.0</v>
      </c>
      <c r="B76" s="29" t="s">
        <v>565</v>
      </c>
      <c r="C76" s="29" t="s">
        <v>566</v>
      </c>
      <c r="D76" s="30" t="s">
        <v>316</v>
      </c>
      <c r="E76" s="31" t="s">
        <v>317</v>
      </c>
      <c r="F76" s="31">
        <v>0.0</v>
      </c>
      <c r="G76" s="30" t="s">
        <v>567</v>
      </c>
      <c r="H76" s="33"/>
      <c r="I76" s="33"/>
    </row>
    <row r="77" ht="15.75" customHeight="1">
      <c r="A77" s="28">
        <v>45149.0</v>
      </c>
      <c r="B77" s="29" t="s">
        <v>565</v>
      </c>
      <c r="C77" s="29" t="s">
        <v>578</v>
      </c>
      <c r="D77" s="30" t="s">
        <v>100</v>
      </c>
      <c r="E77" s="31" t="s">
        <v>101</v>
      </c>
      <c r="F77" s="31">
        <v>0.0</v>
      </c>
      <c r="G77" s="30" t="s">
        <v>567</v>
      </c>
      <c r="H77" s="33"/>
      <c r="I77" s="33"/>
    </row>
    <row r="78" ht="15.75" customHeight="1">
      <c r="A78" s="28">
        <v>45149.0</v>
      </c>
      <c r="B78" s="29" t="s">
        <v>565</v>
      </c>
      <c r="C78" s="29" t="s">
        <v>568</v>
      </c>
      <c r="D78" s="30" t="s">
        <v>17</v>
      </c>
      <c r="E78" s="31" t="s">
        <v>571</v>
      </c>
      <c r="F78" s="31">
        <v>0.0</v>
      </c>
      <c r="G78" s="30" t="s">
        <v>569</v>
      </c>
      <c r="H78" s="33"/>
      <c r="I78" s="33"/>
    </row>
    <row r="79" ht="15.75" customHeight="1">
      <c r="A79" s="28">
        <v>45149.0</v>
      </c>
      <c r="B79" s="29" t="s">
        <v>565</v>
      </c>
      <c r="C79" s="29" t="s">
        <v>566</v>
      </c>
      <c r="D79" s="30" t="s">
        <v>229</v>
      </c>
      <c r="E79" s="31" t="s">
        <v>230</v>
      </c>
      <c r="F79" s="31">
        <v>0.0</v>
      </c>
      <c r="G79" s="30" t="s">
        <v>579</v>
      </c>
      <c r="H79" s="33"/>
      <c r="I79" s="33"/>
    </row>
    <row r="80" ht="15.75" customHeight="1">
      <c r="A80" s="28">
        <v>45149.0</v>
      </c>
      <c r="B80" s="29" t="s">
        <v>565</v>
      </c>
      <c r="C80" s="29" t="s">
        <v>580</v>
      </c>
      <c r="D80" s="30" t="s">
        <v>316</v>
      </c>
      <c r="E80" s="31" t="s">
        <v>317</v>
      </c>
      <c r="F80" s="31">
        <v>0.0</v>
      </c>
      <c r="G80" s="30" t="s">
        <v>581</v>
      </c>
      <c r="H80" s="33"/>
      <c r="I80" s="33"/>
    </row>
    <row r="81" ht="15.75" customHeight="1">
      <c r="A81" s="28">
        <v>45149.0</v>
      </c>
      <c r="B81" s="29" t="s">
        <v>565</v>
      </c>
      <c r="C81" s="29" t="s">
        <v>570</v>
      </c>
      <c r="D81" s="30" t="s">
        <v>19</v>
      </c>
      <c r="E81" s="31" t="s">
        <v>582</v>
      </c>
      <c r="F81" s="31">
        <v>0.0</v>
      </c>
      <c r="G81" s="30" t="s">
        <v>569</v>
      </c>
      <c r="H81" s="33"/>
      <c r="I81" s="33"/>
    </row>
    <row r="82" ht="15.75" customHeight="1">
      <c r="A82" s="28">
        <v>45149.0</v>
      </c>
      <c r="B82" s="29" t="s">
        <v>565</v>
      </c>
      <c r="C82" s="29" t="s">
        <v>573</v>
      </c>
      <c r="D82" s="30" t="s">
        <v>21</v>
      </c>
      <c r="E82" s="31" t="str">
        <f>IFERROR(VLOOKUP(D82,'PAÑOL TÉCNICO'!A3:B1000,2,0))</f>
        <v>Atornilladora inalámbrica DeWalt (amarilla)</v>
      </c>
      <c r="F82" s="31">
        <v>0.0</v>
      </c>
      <c r="G82" s="29" t="s">
        <v>569</v>
      </c>
      <c r="H82" s="32"/>
      <c r="I82" s="32"/>
    </row>
    <row r="83" ht="15.75" customHeight="1">
      <c r="A83" s="28">
        <v>45149.0</v>
      </c>
      <c r="B83" s="29" t="s">
        <v>565</v>
      </c>
      <c r="C83" s="30" t="s">
        <v>583</v>
      </c>
      <c r="D83" s="30" t="s">
        <v>438</v>
      </c>
      <c r="E83" s="31" t="str">
        <f>IFERROR(VLOOKUP(D83,'PAÑOL TÉCNICO'!A4:B1000,2,0))</f>
        <v>Conservadora roja</v>
      </c>
      <c r="F83" s="31">
        <v>0.0</v>
      </c>
      <c r="G83" s="30" t="s">
        <v>567</v>
      </c>
      <c r="H83" s="33"/>
      <c r="I83" s="33"/>
    </row>
    <row r="84" ht="10.5" customHeight="1">
      <c r="A84" s="36"/>
    </row>
    <row r="85" ht="15.75" customHeight="1">
      <c r="A85" s="28">
        <v>45150.0</v>
      </c>
      <c r="B85" s="29" t="s">
        <v>565</v>
      </c>
      <c r="C85" s="29" t="s">
        <v>568</v>
      </c>
      <c r="D85" s="30" t="s">
        <v>430</v>
      </c>
      <c r="E85" s="37" t="str">
        <f>IFERROR(VLOOKUP(D85,'PAÑOL TÉCNICO'!A5:B1000,2,0))</f>
        <v>Zapatilla eléctrica</v>
      </c>
      <c r="F85" s="30">
        <v>1.0</v>
      </c>
      <c r="G85" s="29" t="s">
        <v>584</v>
      </c>
      <c r="H85" s="32"/>
      <c r="I85" s="32"/>
    </row>
    <row r="86" ht="15.75" customHeight="1">
      <c r="A86" s="28">
        <v>45150.0</v>
      </c>
      <c r="B86" s="29" t="s">
        <v>565</v>
      </c>
      <c r="C86" s="29" t="s">
        <v>566</v>
      </c>
      <c r="D86" s="30" t="s">
        <v>21</v>
      </c>
      <c r="E86" s="31" t="str">
        <f>IFERROR(VLOOKUP(D86,'PAÑOL TÉCNICO'!A6:B1000,2,0))</f>
        <v>Atornilladora inalámbrica DeWalt (amarilla)</v>
      </c>
      <c r="F86" s="31">
        <v>0.0</v>
      </c>
      <c r="G86" s="30" t="s">
        <v>579</v>
      </c>
      <c r="H86" s="33"/>
      <c r="I86" s="33"/>
    </row>
    <row r="87" ht="10.5" customHeight="1">
      <c r="A87" s="36"/>
    </row>
    <row r="88" ht="15.75" customHeight="1">
      <c r="A88" s="28">
        <v>45146.0</v>
      </c>
      <c r="B88" s="29" t="s">
        <v>565</v>
      </c>
      <c r="C88" s="29" t="s">
        <v>585</v>
      </c>
      <c r="D88" s="30" t="s">
        <v>438</v>
      </c>
      <c r="E88" s="31" t="str">
        <f>IFERROR(VLOOKUP(D88,'PAÑOL TÉCNICO'!A7:B1000,2,0))</f>
        <v>Conservadora roja</v>
      </c>
      <c r="F88" s="31">
        <v>0.0</v>
      </c>
      <c r="G88" s="30" t="s">
        <v>586</v>
      </c>
      <c r="H88" s="33"/>
      <c r="I88" s="33"/>
    </row>
    <row r="89" ht="15.75" customHeight="1">
      <c r="A89" s="28">
        <v>45146.0</v>
      </c>
      <c r="B89" s="29" t="s">
        <v>565</v>
      </c>
      <c r="C89" s="29" t="s">
        <v>585</v>
      </c>
      <c r="D89" s="30" t="s">
        <v>376</v>
      </c>
      <c r="E89" s="31" t="str">
        <f>IFERROR(VLOOKUP(D89,'PAÑOL TÉCNICO'!A8:B1000,2,0))</f>
        <v>Soga</v>
      </c>
      <c r="F89" s="31">
        <v>0.0</v>
      </c>
      <c r="G89" s="30" t="s">
        <v>586</v>
      </c>
      <c r="H89" s="33"/>
      <c r="I89" s="33"/>
    </row>
    <row r="90" ht="15.75" customHeight="1">
      <c r="A90" s="28">
        <v>45146.0</v>
      </c>
      <c r="B90" s="29" t="s">
        <v>565</v>
      </c>
      <c r="C90" s="29" t="s">
        <v>585</v>
      </c>
      <c r="D90" s="30" t="s">
        <v>320</v>
      </c>
      <c r="E90" s="31" t="str">
        <f>IFERROR(VLOOKUP(D90,'PAÑOL TÉCNICO'!A9:B1000,2,0))</f>
        <v>Rachet 1mts.</v>
      </c>
      <c r="F90" s="31">
        <v>0.0</v>
      </c>
      <c r="G90" s="30" t="s">
        <v>586</v>
      </c>
      <c r="H90" s="33"/>
      <c r="I90" s="33"/>
    </row>
    <row r="91" ht="15.75" customHeight="1">
      <c r="A91" s="28">
        <v>45146.0</v>
      </c>
      <c r="B91" s="29" t="s">
        <v>565</v>
      </c>
      <c r="C91" s="29" t="s">
        <v>585</v>
      </c>
      <c r="D91" s="30" t="s">
        <v>316</v>
      </c>
      <c r="E91" s="31" t="str">
        <f>IFERROR(VLOOKUP(D91,'PAÑOL TÉCNICO'!A10:B1000,2,0))</f>
        <v>Rachet 9mts.</v>
      </c>
      <c r="F91" s="31">
        <v>0.0</v>
      </c>
      <c r="G91" s="30" t="s">
        <v>586</v>
      </c>
      <c r="H91" s="33"/>
      <c r="I91" s="33"/>
    </row>
    <row r="92" ht="10.5" customHeight="1">
      <c r="A92" s="36"/>
    </row>
    <row r="93" ht="15.75" customHeight="1">
      <c r="A93" s="28">
        <v>45152.0</v>
      </c>
      <c r="B93" s="29" t="s">
        <v>565</v>
      </c>
      <c r="C93" s="29" t="s">
        <v>570</v>
      </c>
      <c r="D93" s="30" t="s">
        <v>104</v>
      </c>
      <c r="E93" s="31" t="str">
        <f>IFERROR(VLOOKUP(D93,'PAÑOL TÉCNICO'!A11:B1000,2,0))</f>
        <v>Cinta métrica de 8 mts</v>
      </c>
      <c r="F93" s="31">
        <v>0.0</v>
      </c>
      <c r="G93" s="30" t="s">
        <v>569</v>
      </c>
      <c r="H93" s="33"/>
      <c r="I93" s="33"/>
    </row>
    <row r="94" ht="15.75" customHeight="1">
      <c r="A94" s="28">
        <v>45152.0</v>
      </c>
      <c r="B94" s="29" t="s">
        <v>565</v>
      </c>
      <c r="C94" s="29" t="s">
        <v>587</v>
      </c>
      <c r="D94" s="30" t="s">
        <v>131</v>
      </c>
      <c r="E94" s="31" t="str">
        <f>IFERROR(VLOOKUP(D94,'PAÑOL TÉCNICO'!A12:B1000,2,0))</f>
        <v>Enganche carro</v>
      </c>
      <c r="F94" s="31">
        <v>0.0</v>
      </c>
      <c r="G94" s="30" t="s">
        <v>588</v>
      </c>
      <c r="H94" s="33"/>
      <c r="I94" s="33"/>
    </row>
    <row r="95" ht="15.75" customHeight="1">
      <c r="A95" s="28">
        <v>45152.0</v>
      </c>
      <c r="B95" s="29" t="s">
        <v>565</v>
      </c>
      <c r="C95" s="29" t="s">
        <v>570</v>
      </c>
      <c r="D95" s="30" t="s">
        <v>353</v>
      </c>
      <c r="E95" s="31" t="str">
        <f>IFERROR(VLOOKUP(D95,'PAÑOL TÉCNICO'!A13:B1000,2,0))</f>
        <v>Sierra circular</v>
      </c>
      <c r="F95" s="31">
        <v>0.0</v>
      </c>
      <c r="G95" s="30" t="s">
        <v>569</v>
      </c>
      <c r="H95" s="33"/>
      <c r="I95" s="33"/>
    </row>
    <row r="96" ht="15.0" customHeight="1">
      <c r="A96" s="28">
        <v>45152.0</v>
      </c>
      <c r="B96" s="29" t="s">
        <v>565</v>
      </c>
      <c r="C96" s="29" t="s">
        <v>589</v>
      </c>
      <c r="D96" s="30" t="s">
        <v>316</v>
      </c>
      <c r="E96" s="31" t="str">
        <f>IFERROR(VLOOKUP(D96,'PAÑOL TÉCNICO'!A14:B1000,2,0))</f>
        <v>Rachet 9mts.</v>
      </c>
      <c r="F96" s="31">
        <v>0.0</v>
      </c>
      <c r="G96" s="29" t="s">
        <v>590</v>
      </c>
      <c r="H96" s="32"/>
      <c r="I96" s="32"/>
    </row>
    <row r="97" ht="15.75" customHeight="1">
      <c r="A97" s="28">
        <v>45152.0</v>
      </c>
      <c r="B97" s="29" t="s">
        <v>565</v>
      </c>
      <c r="C97" s="29" t="s">
        <v>591</v>
      </c>
      <c r="D97" s="30" t="s">
        <v>320</v>
      </c>
      <c r="E97" s="31" t="str">
        <f>IFERROR(VLOOKUP(D97,'PAÑOL TÉCNICO'!A15:B1000,2,0))</f>
        <v>Rachet 1mts.</v>
      </c>
      <c r="F97" s="31">
        <v>0.0</v>
      </c>
      <c r="G97" s="29" t="s">
        <v>592</v>
      </c>
      <c r="H97" s="32"/>
      <c r="I97" s="32"/>
    </row>
    <row r="98" ht="15.75" customHeight="1">
      <c r="A98" s="28">
        <v>45152.0</v>
      </c>
      <c r="B98" s="29" t="s">
        <v>565</v>
      </c>
      <c r="C98" s="29" t="s">
        <v>573</v>
      </c>
      <c r="D98" s="30" t="s">
        <v>400</v>
      </c>
      <c r="E98" s="31" t="str">
        <f>IFERROR(VLOOKUP(D98,'PAÑOL TÉCNICO'!A16:B1000,2,0))</f>
        <v>Tenaza</v>
      </c>
      <c r="F98" s="31">
        <v>0.0</v>
      </c>
      <c r="G98" s="30" t="s">
        <v>569</v>
      </c>
      <c r="H98" s="33"/>
      <c r="I98" s="33"/>
    </row>
    <row r="99" ht="15.75" customHeight="1">
      <c r="A99" s="28">
        <v>45152.0</v>
      </c>
      <c r="B99" s="29" t="s">
        <v>565</v>
      </c>
      <c r="C99" s="29" t="s">
        <v>587</v>
      </c>
      <c r="D99" s="30" t="s">
        <v>21</v>
      </c>
      <c r="E99" s="31" t="s">
        <v>22</v>
      </c>
      <c r="F99" s="31">
        <v>0.0</v>
      </c>
      <c r="G99" s="30" t="s">
        <v>588</v>
      </c>
      <c r="H99" s="33"/>
      <c r="I99" s="33"/>
    </row>
    <row r="100" ht="15.75" customHeight="1">
      <c r="A100" s="28">
        <v>45152.0</v>
      </c>
      <c r="B100" s="29" t="s">
        <v>565</v>
      </c>
      <c r="C100" s="29" t="s">
        <v>587</v>
      </c>
      <c r="D100" s="30" t="s">
        <v>133</v>
      </c>
      <c r="E100" s="31" t="str">
        <f>IFERROR(VLOOKUP(D100,'PAÑOL TÉCNICO'!A18:B1000,2,0))</f>
        <v>Engrampadora</v>
      </c>
      <c r="F100" s="31">
        <v>0.0</v>
      </c>
      <c r="G100" s="30" t="s">
        <v>588</v>
      </c>
      <c r="H100" s="33"/>
      <c r="I100" s="33"/>
    </row>
    <row r="101" ht="15.75" customHeight="1">
      <c r="A101" s="28">
        <v>45152.0</v>
      </c>
      <c r="B101" s="29" t="s">
        <v>565</v>
      </c>
      <c r="C101" s="30" t="s">
        <v>572</v>
      </c>
      <c r="D101" s="30" t="s">
        <v>127</v>
      </c>
      <c r="E101" s="31" t="str">
        <f>IFERROR(VLOOKUP(D101,'PAÑOL TÉCNICO'!A19:B1000,2,0))</f>
        <v>Destornillador plano</v>
      </c>
      <c r="F101" s="31">
        <v>0.0</v>
      </c>
      <c r="G101" s="30" t="s">
        <v>569</v>
      </c>
      <c r="H101" s="33"/>
      <c r="I101" s="33"/>
    </row>
    <row r="102" ht="10.5" customHeight="1">
      <c r="A102" s="36"/>
    </row>
    <row r="103" ht="15.75" customHeight="1">
      <c r="A103" s="28">
        <v>45153.0</v>
      </c>
      <c r="B103" s="29" t="s">
        <v>565</v>
      </c>
      <c r="C103" s="30" t="s">
        <v>593</v>
      </c>
      <c r="D103" s="30" t="s">
        <v>316</v>
      </c>
      <c r="E103" s="31" t="s">
        <v>317</v>
      </c>
      <c r="F103" s="31">
        <v>0.0</v>
      </c>
      <c r="G103" s="30" t="s">
        <v>560</v>
      </c>
      <c r="H103" s="33"/>
      <c r="I103" s="33"/>
    </row>
    <row r="104" ht="15.75" customHeight="1">
      <c r="A104" s="28">
        <v>45153.0</v>
      </c>
      <c r="B104" s="29" t="s">
        <v>565</v>
      </c>
      <c r="C104" s="30" t="s">
        <v>593</v>
      </c>
      <c r="D104" s="30" t="s">
        <v>131</v>
      </c>
      <c r="E104" s="31" t="str">
        <f>IFERROR(VLOOKUP(D104,'PAÑOL TÉCNICO'!A21:B1000,2,0))</f>
        <v>Enganche carro</v>
      </c>
      <c r="F104" s="31">
        <v>0.0</v>
      </c>
      <c r="G104" s="30" t="s">
        <v>560</v>
      </c>
      <c r="H104" s="33"/>
      <c r="I104" s="33"/>
    </row>
    <row r="105" ht="15.75" customHeight="1">
      <c r="A105" s="28">
        <v>45153.0</v>
      </c>
      <c r="B105" s="29" t="s">
        <v>565</v>
      </c>
      <c r="C105" s="30" t="s">
        <v>594</v>
      </c>
      <c r="D105" s="30" t="s">
        <v>285</v>
      </c>
      <c r="E105" s="31" t="str">
        <f>IFERROR(VLOOKUP(D105,'PAÑOL TÉCNICO'!A22:B1000,2,0))</f>
        <v>Pistola infladora </v>
      </c>
      <c r="F105" s="31">
        <v>0.0</v>
      </c>
      <c r="G105" s="30" t="s">
        <v>595</v>
      </c>
      <c r="H105" s="33"/>
      <c r="I105" s="33"/>
    </row>
    <row r="106" ht="15.75" customHeight="1">
      <c r="A106" s="28">
        <v>45153.0</v>
      </c>
      <c r="B106" s="29" t="s">
        <v>565</v>
      </c>
      <c r="C106" s="30" t="s">
        <v>568</v>
      </c>
      <c r="D106" s="30" t="s">
        <v>497</v>
      </c>
      <c r="E106" s="37" t="str">
        <f>IFERROR(VLOOKUP(D106,'PAÑOL TÉCNICO'!A23:B1000,2,0))</f>
        <v>Hidrolavadora</v>
      </c>
      <c r="F106" s="30">
        <v>0.0</v>
      </c>
      <c r="G106" s="30" t="s">
        <v>596</v>
      </c>
      <c r="H106" s="33"/>
      <c r="I106" s="33"/>
    </row>
    <row r="107" ht="15.75" customHeight="1">
      <c r="A107" s="28">
        <v>45153.0</v>
      </c>
      <c r="B107" s="29" t="s">
        <v>565</v>
      </c>
      <c r="C107" s="30" t="s">
        <v>597</v>
      </c>
      <c r="D107" s="30" t="s">
        <v>400</v>
      </c>
      <c r="E107" s="31" t="str">
        <f>IFERROR(VLOOKUP(D107,'PAÑOL TÉCNICO'!A24:B1000,2,0))</f>
        <v>Tenaza</v>
      </c>
      <c r="F107" s="31">
        <v>0.0</v>
      </c>
      <c r="G107" s="30" t="s">
        <v>595</v>
      </c>
      <c r="H107" s="33"/>
      <c r="I107" s="33"/>
    </row>
    <row r="108" ht="15.75" customHeight="1">
      <c r="A108" s="28">
        <v>45153.0</v>
      </c>
      <c r="B108" s="29" t="s">
        <v>565</v>
      </c>
      <c r="C108" s="30" t="s">
        <v>594</v>
      </c>
      <c r="D108" s="30" t="s">
        <v>21</v>
      </c>
      <c r="E108" s="31" t="s">
        <v>22</v>
      </c>
      <c r="F108" s="31">
        <v>0.0</v>
      </c>
      <c r="G108" s="30" t="s">
        <v>595</v>
      </c>
      <c r="H108" s="33"/>
      <c r="I108" s="33"/>
    </row>
    <row r="109" ht="15.75" customHeight="1">
      <c r="A109" s="28">
        <v>45153.0</v>
      </c>
      <c r="B109" s="29" t="s">
        <v>565</v>
      </c>
      <c r="C109" s="29" t="s">
        <v>598</v>
      </c>
      <c r="D109" s="30" t="s">
        <v>499</v>
      </c>
      <c r="E109" s="31" t="str">
        <f>IFERROR(VLOOKUP(D109,'PAÑOL TÉCNICO'!A26:B1000,2,0))</f>
        <v>Aspiradora</v>
      </c>
      <c r="F109" s="31">
        <v>0.0</v>
      </c>
      <c r="G109" s="30" t="s">
        <v>595</v>
      </c>
      <c r="H109" s="33"/>
      <c r="I109" s="33"/>
    </row>
    <row r="110" ht="15.75" customHeight="1">
      <c r="A110" s="28">
        <v>45153.0</v>
      </c>
      <c r="B110" s="29" t="s">
        <v>565</v>
      </c>
      <c r="C110" s="29" t="s">
        <v>598</v>
      </c>
      <c r="D110" s="30" t="s">
        <v>277</v>
      </c>
      <c r="E110" s="31" t="str">
        <f>IFERROR(VLOOKUP(D110,'PAÑOL TÉCNICO'!A27:B1000,2,0))</f>
        <v>Prolongación 20mts</v>
      </c>
      <c r="F110" s="31">
        <v>0.0</v>
      </c>
      <c r="G110" s="30" t="s">
        <v>595</v>
      </c>
      <c r="H110" s="33"/>
      <c r="I110" s="33"/>
    </row>
    <row r="111" ht="15.75" customHeight="1">
      <c r="A111" s="28">
        <v>45153.0</v>
      </c>
      <c r="B111" s="29" t="s">
        <v>565</v>
      </c>
      <c r="C111" s="29" t="s">
        <v>572</v>
      </c>
      <c r="D111" s="30" t="s">
        <v>136</v>
      </c>
      <c r="E111" s="31" t="str">
        <f>IFERROR(VLOOKUP(D111,'PAÑOL TÉCNICO'!A28:B1000,2,0))</f>
        <v>Espatula</v>
      </c>
      <c r="F111" s="31">
        <v>0.0</v>
      </c>
      <c r="G111" s="30" t="s">
        <v>595</v>
      </c>
      <c r="H111" s="33"/>
      <c r="I111" s="33"/>
    </row>
    <row r="112" ht="15.75" customHeight="1">
      <c r="A112" s="28">
        <v>45153.0</v>
      </c>
      <c r="B112" s="29" t="s">
        <v>565</v>
      </c>
      <c r="C112" s="29" t="s">
        <v>554</v>
      </c>
      <c r="D112" s="30" t="s">
        <v>492</v>
      </c>
      <c r="E112" s="31" t="str">
        <f>IFERROR(VLOOKUP(D112,'PAÑOL TÉCNICO'!A29:B1000,2,0))</f>
        <v>Amoladora inalámbrica</v>
      </c>
      <c r="F112" s="31">
        <v>0.0</v>
      </c>
      <c r="G112" s="30" t="s">
        <v>599</v>
      </c>
      <c r="H112" s="33"/>
      <c r="I112" s="33"/>
    </row>
    <row r="113" ht="15.75" customHeight="1">
      <c r="A113" s="28">
        <v>45153.0</v>
      </c>
      <c r="B113" s="29" t="s">
        <v>565</v>
      </c>
      <c r="C113" s="29" t="s">
        <v>600</v>
      </c>
      <c r="D113" s="30" t="s">
        <v>279</v>
      </c>
      <c r="E113" s="31" t="str">
        <f>IFERROR(VLOOKUP(D113,'PAÑOL TÉCNICO'!A30:B1000,2,0))</f>
        <v>Prolongación 14/15mts</v>
      </c>
      <c r="F113" s="31">
        <v>0.0</v>
      </c>
      <c r="G113" s="29" t="s">
        <v>595</v>
      </c>
      <c r="H113" s="32"/>
      <c r="I113" s="32"/>
    </row>
    <row r="114" ht="15.75" customHeight="1">
      <c r="A114" s="28">
        <v>45153.0</v>
      </c>
      <c r="B114" s="29" t="s">
        <v>565</v>
      </c>
      <c r="C114" s="29" t="s">
        <v>601</v>
      </c>
      <c r="D114" s="30" t="s">
        <v>314</v>
      </c>
      <c r="E114" s="31" t="str">
        <f>IFERROR(VLOOKUP(D114,'PAÑOL TÉCNICO'!A31:B1000,2,0))</f>
        <v>Remachadora neumatica</v>
      </c>
      <c r="F114" s="31">
        <v>0.0</v>
      </c>
      <c r="G114" s="29" t="s">
        <v>599</v>
      </c>
      <c r="H114" s="32"/>
      <c r="I114" s="32"/>
    </row>
    <row r="115" ht="15.75" customHeight="1">
      <c r="A115" s="28">
        <v>45153.0</v>
      </c>
      <c r="B115" s="29" t="s">
        <v>565</v>
      </c>
      <c r="C115" s="29" t="s">
        <v>572</v>
      </c>
      <c r="D115" s="30" t="s">
        <v>100</v>
      </c>
      <c r="E115" s="31" t="str">
        <f>IFERROR(VLOOKUP(D115,'PAÑOL TÉCNICO'!A32:B1000,2,0))</f>
        <v>Cutter</v>
      </c>
      <c r="F115" s="31">
        <v>0.0</v>
      </c>
      <c r="G115" s="29" t="s">
        <v>595</v>
      </c>
      <c r="H115" s="32"/>
      <c r="I115" s="32"/>
    </row>
    <row r="116" ht="15.75" customHeight="1">
      <c r="A116" s="28">
        <v>45153.0</v>
      </c>
      <c r="B116" s="29" t="s">
        <v>565</v>
      </c>
      <c r="C116" s="29" t="s">
        <v>602</v>
      </c>
      <c r="D116" s="30" t="s">
        <v>324</v>
      </c>
      <c r="E116" s="31" t="str">
        <f>IFERROR(VLOOKUP(D116,'PAÑOL TÉCNICO'!A33:B1000,2,0))</f>
        <v>Ruleta métrica de 45mts (Amarilla)</v>
      </c>
      <c r="F116" s="31">
        <v>0.0</v>
      </c>
      <c r="G116" s="29" t="s">
        <v>595</v>
      </c>
      <c r="H116" s="32"/>
      <c r="I116" s="32"/>
    </row>
    <row r="117" ht="15.75" customHeight="1">
      <c r="A117" s="28">
        <v>45153.0</v>
      </c>
      <c r="B117" s="29" t="s">
        <v>565</v>
      </c>
      <c r="C117" s="29" t="s">
        <v>594</v>
      </c>
      <c r="D117" s="30" t="s">
        <v>93</v>
      </c>
      <c r="E117" s="31" t="str">
        <f>IFERROR(VLOOKUP(D117,'PAÑOL TÉCNICO'!A34:B1000,2,0))</f>
        <v>Caladora</v>
      </c>
      <c r="F117" s="31">
        <v>0.0</v>
      </c>
      <c r="G117" s="30" t="s">
        <v>595</v>
      </c>
      <c r="H117" s="32"/>
      <c r="I117" s="32"/>
    </row>
    <row r="118" ht="15.75" customHeight="1">
      <c r="A118" s="28">
        <v>45153.0</v>
      </c>
      <c r="B118" s="29" t="s">
        <v>565</v>
      </c>
      <c r="C118" s="29" t="s">
        <v>594</v>
      </c>
      <c r="D118" s="30" t="s">
        <v>279</v>
      </c>
      <c r="E118" s="31" t="str">
        <f>IFERROR(VLOOKUP(D118,'PAÑOL TÉCNICO'!A35:B1000,2,0))</f>
        <v>Prolongación 14/15mts</v>
      </c>
      <c r="F118" s="31">
        <v>0.0</v>
      </c>
      <c r="G118" s="30" t="s">
        <v>595</v>
      </c>
      <c r="H118" s="33"/>
      <c r="I118" s="33"/>
    </row>
    <row r="119" ht="15.75" customHeight="1">
      <c r="A119" s="28">
        <v>45153.0</v>
      </c>
      <c r="B119" s="29" t="s">
        <v>565</v>
      </c>
      <c r="C119" s="29" t="s">
        <v>594</v>
      </c>
      <c r="D119" s="30" t="s">
        <v>9</v>
      </c>
      <c r="E119" s="31" t="s">
        <v>10</v>
      </c>
      <c r="F119" s="31">
        <v>0.0</v>
      </c>
      <c r="G119" s="30" t="s">
        <v>595</v>
      </c>
      <c r="H119" s="33"/>
      <c r="I119" s="33"/>
    </row>
    <row r="120" ht="15.75" customHeight="1">
      <c r="A120" s="28">
        <v>45153.0</v>
      </c>
      <c r="B120" s="29" t="s">
        <v>565</v>
      </c>
      <c r="C120" s="29" t="s">
        <v>572</v>
      </c>
      <c r="D120" s="30" t="s">
        <v>24</v>
      </c>
      <c r="E120" s="31" t="s">
        <v>603</v>
      </c>
      <c r="F120" s="31">
        <v>0.0</v>
      </c>
      <c r="G120" s="30" t="s">
        <v>569</v>
      </c>
      <c r="H120" s="33"/>
      <c r="I120" s="33"/>
    </row>
    <row r="121" ht="15.75" customHeight="1">
      <c r="A121" s="28">
        <v>45153.0</v>
      </c>
      <c r="B121" s="32"/>
      <c r="C121" s="29" t="s">
        <v>572</v>
      </c>
      <c r="D121" s="30" t="s">
        <v>227</v>
      </c>
      <c r="E121" s="31" t="str">
        <f>IFERROR(VLOOKUP(D121,'PAÑOL TÉCNICO'!A38:B1000,2,0))</f>
        <v>Mecha para metal 8</v>
      </c>
      <c r="F121" s="31">
        <v>0.0</v>
      </c>
      <c r="G121" s="29" t="s">
        <v>569</v>
      </c>
      <c r="H121" s="32"/>
      <c r="I121" s="32"/>
    </row>
    <row r="122" ht="15.75" customHeight="1">
      <c r="A122" s="28">
        <v>45153.0</v>
      </c>
      <c r="B122" s="32"/>
      <c r="C122" s="29" t="s">
        <v>572</v>
      </c>
      <c r="D122" s="30" t="s">
        <v>136</v>
      </c>
      <c r="E122" s="31" t="str">
        <f>IFERROR(VLOOKUP(D122,'PAÑOL TÉCNICO'!A39:B1000,2,0))</f>
        <v>Espatula</v>
      </c>
      <c r="F122" s="31">
        <v>0.0</v>
      </c>
      <c r="G122" s="29" t="s">
        <v>569</v>
      </c>
      <c r="H122" s="32"/>
      <c r="I122" s="32"/>
    </row>
    <row r="123" ht="15.75" customHeight="1">
      <c r="A123" s="28">
        <v>45153.0</v>
      </c>
      <c r="B123" s="32"/>
      <c r="C123" s="29" t="s">
        <v>602</v>
      </c>
      <c r="D123" s="30" t="s">
        <v>400</v>
      </c>
      <c r="E123" s="31" t="str">
        <f>IFERROR(VLOOKUP(D123,'PAÑOL TÉCNICO'!A40:B1000,2,0))</f>
        <v>Tenaza</v>
      </c>
      <c r="F123" s="31">
        <v>0.0</v>
      </c>
      <c r="G123" s="30" t="s">
        <v>569</v>
      </c>
      <c r="H123" s="33"/>
      <c r="I123" s="33"/>
    </row>
    <row r="124" ht="15.75" customHeight="1">
      <c r="A124" s="28">
        <v>45154.0</v>
      </c>
      <c r="B124" s="32"/>
      <c r="C124" s="29" t="s">
        <v>554</v>
      </c>
      <c r="D124" s="30" t="s">
        <v>21</v>
      </c>
      <c r="E124" s="31" t="s">
        <v>604</v>
      </c>
      <c r="F124" s="31">
        <v>0.0</v>
      </c>
      <c r="G124" s="30" t="s">
        <v>605</v>
      </c>
      <c r="H124" s="33"/>
      <c r="I124" s="33"/>
    </row>
    <row r="125" ht="15.75" customHeight="1">
      <c r="A125" s="28">
        <v>45154.0</v>
      </c>
      <c r="B125" s="32"/>
      <c r="C125" s="29" t="s">
        <v>572</v>
      </c>
      <c r="D125" s="30" t="s">
        <v>21</v>
      </c>
      <c r="E125" s="31" t="s">
        <v>604</v>
      </c>
      <c r="F125" s="31">
        <v>0.0</v>
      </c>
      <c r="G125" s="30" t="s">
        <v>569</v>
      </c>
      <c r="H125" s="33"/>
      <c r="I125" s="33"/>
    </row>
    <row r="126" ht="15.75" customHeight="1">
      <c r="A126" s="28">
        <v>45154.0</v>
      </c>
      <c r="B126" s="32"/>
      <c r="C126" s="29" t="s">
        <v>594</v>
      </c>
      <c r="D126" s="30" t="s">
        <v>93</v>
      </c>
      <c r="E126" s="31" t="str">
        <f>IFERROR(VLOOKUP(D126,'PAÑOL TÉCNICO'!A43:B1000,2,0))</f>
        <v>Caladora</v>
      </c>
      <c r="F126" s="31">
        <v>0.0</v>
      </c>
      <c r="G126" s="30" t="s">
        <v>569</v>
      </c>
      <c r="H126" s="33"/>
      <c r="I126" s="33"/>
    </row>
    <row r="127" ht="15.75" customHeight="1">
      <c r="A127" s="28">
        <v>45154.0</v>
      </c>
      <c r="B127" s="32"/>
      <c r="C127" s="29" t="s">
        <v>594</v>
      </c>
      <c r="D127" s="30" t="s">
        <v>277</v>
      </c>
      <c r="E127" s="38">
        <v>45155.0</v>
      </c>
      <c r="F127" s="31">
        <v>0.0</v>
      </c>
      <c r="G127" s="30" t="s">
        <v>569</v>
      </c>
      <c r="H127" s="33"/>
      <c r="I127" s="33"/>
    </row>
    <row r="128" ht="15.75" customHeight="1">
      <c r="A128" s="28">
        <v>45154.0</v>
      </c>
      <c r="B128" s="32"/>
      <c r="C128" s="29" t="s">
        <v>594</v>
      </c>
      <c r="D128" s="30" t="s">
        <v>400</v>
      </c>
      <c r="E128" s="31" t="str">
        <f>IFERROR(VLOOKUP(D128,'PAÑOL TÉCNICO'!A45:B1000,2,0))</f>
        <v>Tenaza</v>
      </c>
      <c r="F128" s="31">
        <v>0.0</v>
      </c>
      <c r="G128" s="30" t="s">
        <v>569</v>
      </c>
      <c r="H128" s="33"/>
      <c r="I128" s="33"/>
    </row>
    <row r="129" ht="15.75" customHeight="1">
      <c r="A129" s="28">
        <v>45154.0</v>
      </c>
      <c r="B129" s="32"/>
      <c r="C129" s="29" t="s">
        <v>572</v>
      </c>
      <c r="D129" s="30" t="s">
        <v>136</v>
      </c>
      <c r="E129" s="31" t="str">
        <f>IFERROR(VLOOKUP(D129,'PAÑOL TÉCNICO'!A46:B1000,2,0))</f>
        <v>Espatula</v>
      </c>
      <c r="F129" s="31">
        <v>0.0</v>
      </c>
      <c r="G129" s="30" t="s">
        <v>569</v>
      </c>
      <c r="H129" s="33"/>
      <c r="I129" s="33"/>
    </row>
    <row r="130" ht="15.75" customHeight="1">
      <c r="A130" s="28">
        <v>45154.0</v>
      </c>
      <c r="B130" s="32"/>
      <c r="C130" s="29" t="s">
        <v>572</v>
      </c>
      <c r="D130" s="30" t="s">
        <v>9</v>
      </c>
      <c r="E130" s="31" t="s">
        <v>10</v>
      </c>
      <c r="F130" s="31">
        <v>0.0</v>
      </c>
      <c r="G130" s="30" t="s">
        <v>569</v>
      </c>
      <c r="H130" s="33"/>
      <c r="I130" s="33"/>
    </row>
    <row r="131" ht="15.75" customHeight="1">
      <c r="A131" s="28">
        <v>45155.0</v>
      </c>
      <c r="B131" s="32"/>
      <c r="C131" s="29" t="s">
        <v>573</v>
      </c>
      <c r="D131" s="30" t="s">
        <v>21</v>
      </c>
      <c r="E131" s="31" t="s">
        <v>604</v>
      </c>
      <c r="F131" s="31">
        <v>0.0</v>
      </c>
      <c r="G131" s="30" t="s">
        <v>569</v>
      </c>
      <c r="H131" s="33"/>
      <c r="I131" s="33"/>
    </row>
    <row r="132" ht="15.75" customHeight="1">
      <c r="A132" s="28">
        <v>45155.0</v>
      </c>
      <c r="B132" s="32"/>
      <c r="C132" s="29" t="s">
        <v>573</v>
      </c>
      <c r="D132" s="30" t="s">
        <v>93</v>
      </c>
      <c r="E132" s="31" t="s">
        <v>94</v>
      </c>
      <c r="F132" s="31">
        <v>0.0</v>
      </c>
      <c r="G132" s="30" t="s">
        <v>569</v>
      </c>
      <c r="H132" s="33"/>
      <c r="I132" s="33"/>
    </row>
    <row r="133" ht="15.75" customHeight="1">
      <c r="A133" s="28">
        <v>45155.0</v>
      </c>
      <c r="B133" s="32"/>
      <c r="C133" s="29" t="s">
        <v>573</v>
      </c>
      <c r="D133" s="30" t="s">
        <v>277</v>
      </c>
      <c r="E133" s="31" t="str">
        <f>IFERROR(VLOOKUP(D133,'PAÑOL TÉCNICO'!A50:B1000,2,0))</f>
        <v>Prolongación 20mts</v>
      </c>
      <c r="F133" s="31">
        <v>0.0</v>
      </c>
      <c r="G133" s="29" t="s">
        <v>569</v>
      </c>
      <c r="H133" s="32"/>
      <c r="I133" s="32"/>
    </row>
    <row r="134" ht="15.75" customHeight="1">
      <c r="A134" s="28">
        <v>45155.0</v>
      </c>
      <c r="B134" s="33"/>
      <c r="C134" s="30" t="s">
        <v>570</v>
      </c>
      <c r="D134" s="30" t="s">
        <v>353</v>
      </c>
      <c r="E134" s="31" t="str">
        <f>IFERROR(VLOOKUP(D134,'PAÑOL TÉCNICO'!A51:B1000,2,0))</f>
        <v>Sierra circular</v>
      </c>
      <c r="F134" s="31">
        <v>0.0</v>
      </c>
      <c r="G134" s="30" t="s">
        <v>569</v>
      </c>
      <c r="H134" s="33"/>
      <c r="I134" s="33"/>
    </row>
    <row r="135" ht="15.75" customHeight="1">
      <c r="A135" s="28">
        <v>45155.0</v>
      </c>
      <c r="B135" s="32"/>
      <c r="C135" s="29" t="s">
        <v>602</v>
      </c>
      <c r="D135" s="30" t="s">
        <v>489</v>
      </c>
      <c r="E135" s="31" t="str">
        <f>IFERROR(VLOOKUP(D135,'PAÑOL TÉCNICO'!A52:B1000,2,0))</f>
        <v>Amoladora</v>
      </c>
      <c r="F135" s="31">
        <v>0.0</v>
      </c>
      <c r="G135" s="29" t="s">
        <v>569</v>
      </c>
      <c r="H135" s="32"/>
      <c r="I135" s="32"/>
    </row>
    <row r="136" ht="15.75" customHeight="1">
      <c r="A136" s="28">
        <v>45155.0</v>
      </c>
      <c r="B136" s="32"/>
      <c r="C136" s="29" t="s">
        <v>593</v>
      </c>
      <c r="D136" s="30" t="s">
        <v>495</v>
      </c>
      <c r="E136" s="31" t="str">
        <f>IFERROR(VLOOKUP(D136,'PAÑOL TÉCNICO'!A53:B1000,2,0))</f>
        <v>Espatula stanley 2"</v>
      </c>
      <c r="F136" s="31">
        <v>0.0</v>
      </c>
      <c r="G136" s="30" t="s">
        <v>575</v>
      </c>
      <c r="H136" s="33"/>
      <c r="I136" s="33"/>
    </row>
    <row r="137" ht="15.75" customHeight="1">
      <c r="A137" s="28">
        <v>45155.0</v>
      </c>
      <c r="B137" s="32"/>
      <c r="C137" s="29" t="s">
        <v>602</v>
      </c>
      <c r="D137" s="30" t="s">
        <v>279</v>
      </c>
      <c r="E137" s="31" t="str">
        <f>IFERROR(VLOOKUP(D137,'PAÑOL TÉCNICO'!A54:B1000,2,0))</f>
        <v>Prolongación 14/15mts</v>
      </c>
      <c r="F137" s="31">
        <v>0.0</v>
      </c>
      <c r="G137" s="30" t="s">
        <v>569</v>
      </c>
      <c r="H137" s="33"/>
      <c r="I137" s="33"/>
    </row>
    <row r="138" ht="15.75" customHeight="1">
      <c r="A138" s="28">
        <v>45155.0</v>
      </c>
      <c r="B138" s="32"/>
      <c r="C138" s="29" t="s">
        <v>606</v>
      </c>
      <c r="D138" s="30" t="s">
        <v>131</v>
      </c>
      <c r="E138" s="31" t="str">
        <f>IFERROR(VLOOKUP(D138,'PAÑOL TÉCNICO'!A55:B1000,2,0))</f>
        <v>Enganche carro</v>
      </c>
      <c r="F138" s="31">
        <v>0.0</v>
      </c>
      <c r="G138" s="33"/>
      <c r="H138" s="33"/>
      <c r="I138" s="33"/>
    </row>
    <row r="139" ht="15.75" customHeight="1">
      <c r="A139" s="28">
        <v>45155.0</v>
      </c>
      <c r="B139" s="32"/>
      <c r="C139" s="29" t="s">
        <v>606</v>
      </c>
      <c r="D139" s="30" t="s">
        <v>213</v>
      </c>
      <c r="E139" s="31" t="str">
        <f>IFERROR(VLOOKUP(D139,'PAÑOL TÉCNICO'!A56:B1000,2,0))</f>
        <v>Mosquetón</v>
      </c>
      <c r="F139" s="31">
        <v>0.0</v>
      </c>
      <c r="G139" s="33"/>
      <c r="H139" s="33"/>
      <c r="I139" s="33"/>
    </row>
    <row r="140" ht="15.75" customHeight="1">
      <c r="A140" s="28">
        <v>45155.0</v>
      </c>
      <c r="B140" s="32"/>
      <c r="C140" s="29" t="s">
        <v>594</v>
      </c>
      <c r="D140" s="30" t="s">
        <v>497</v>
      </c>
      <c r="E140" s="31" t="str">
        <f>IFERROR(VLOOKUP(D140,'PAÑOL TÉCNICO'!A57:B1000,2,0))</f>
        <v>Hidrolavadora</v>
      </c>
      <c r="F140" s="31">
        <v>0.0</v>
      </c>
      <c r="G140" s="30" t="s">
        <v>569</v>
      </c>
      <c r="H140" s="33"/>
      <c r="I140" s="33"/>
    </row>
    <row r="141" ht="15.75" customHeight="1">
      <c r="A141" s="28">
        <v>45155.0</v>
      </c>
      <c r="B141" s="32"/>
      <c r="C141" s="29" t="s">
        <v>594</v>
      </c>
      <c r="D141" s="30" t="s">
        <v>277</v>
      </c>
      <c r="E141" s="31" t="str">
        <f>IFERROR(VLOOKUP(D141,'PAÑOL TÉCNICO'!A58:B1000,2,0))</f>
        <v>Prolongación 20mts</v>
      </c>
      <c r="F141" s="31">
        <v>0.0</v>
      </c>
      <c r="G141" s="30" t="s">
        <v>569</v>
      </c>
      <c r="H141" s="33"/>
      <c r="I141" s="33"/>
    </row>
    <row r="142" ht="15.75" customHeight="1">
      <c r="A142" s="28">
        <v>45156.0</v>
      </c>
      <c r="B142" s="32"/>
      <c r="C142" s="29" t="s">
        <v>573</v>
      </c>
      <c r="D142" s="30" t="s">
        <v>353</v>
      </c>
      <c r="E142" s="31" t="str">
        <f>IFERROR(VLOOKUP(D142,'PAÑOL TÉCNICO'!A59:B1000,2,0))</f>
        <v>Sierra circular</v>
      </c>
      <c r="F142" s="31">
        <v>0.0</v>
      </c>
      <c r="G142" s="30" t="s">
        <v>569</v>
      </c>
      <c r="H142" s="33"/>
      <c r="I142" s="33"/>
    </row>
    <row r="143" ht="15.75" customHeight="1">
      <c r="A143" s="28">
        <v>45156.0</v>
      </c>
      <c r="B143" s="32"/>
      <c r="C143" s="29" t="s">
        <v>573</v>
      </c>
      <c r="D143" s="30" t="s">
        <v>279</v>
      </c>
      <c r="E143" s="31" t="str">
        <f>IFERROR(VLOOKUP(D143,'PAÑOL TÉCNICO'!A60:B1000,2,0))</f>
        <v>Prolongación 14/15mts</v>
      </c>
      <c r="F143" s="31">
        <v>0.0</v>
      </c>
      <c r="G143" s="30" t="s">
        <v>569</v>
      </c>
      <c r="H143" s="33"/>
      <c r="I143" s="33"/>
    </row>
    <row r="144" ht="15.75" customHeight="1">
      <c r="A144" s="28">
        <v>45156.0</v>
      </c>
      <c r="B144" s="32"/>
      <c r="C144" s="29" t="s">
        <v>573</v>
      </c>
      <c r="D144" s="30" t="s">
        <v>21</v>
      </c>
      <c r="E144" s="31" t="s">
        <v>604</v>
      </c>
      <c r="F144" s="31">
        <v>0.0</v>
      </c>
      <c r="G144" s="30" t="s">
        <v>569</v>
      </c>
      <c r="H144" s="33"/>
      <c r="I144" s="33"/>
    </row>
    <row r="145" ht="15.75" customHeight="1">
      <c r="A145" s="28">
        <v>45156.0</v>
      </c>
      <c r="B145" s="32"/>
      <c r="C145" s="29" t="s">
        <v>570</v>
      </c>
      <c r="D145" s="30" t="s">
        <v>104</v>
      </c>
      <c r="E145" s="31" t="s">
        <v>577</v>
      </c>
      <c r="F145" s="31">
        <v>0.0</v>
      </c>
      <c r="G145" s="30" t="s">
        <v>569</v>
      </c>
      <c r="H145" s="33"/>
      <c r="I145" s="33"/>
    </row>
    <row r="146" ht="15.75" customHeight="1">
      <c r="A146" s="28">
        <v>45156.0</v>
      </c>
      <c r="B146" s="32"/>
      <c r="C146" s="29" t="s">
        <v>594</v>
      </c>
      <c r="D146" s="30" t="s">
        <v>316</v>
      </c>
      <c r="E146" s="31" t="str">
        <f>IFERROR(VLOOKUP(D146,'PAÑOL TÉCNICO'!A63:B1000,2,0))</f>
        <v>Rachet 9mts.</v>
      </c>
      <c r="F146" s="31">
        <v>0.0</v>
      </c>
      <c r="G146" s="30" t="s">
        <v>569</v>
      </c>
      <c r="H146" s="33"/>
      <c r="I146" s="33"/>
    </row>
    <row r="147" ht="15.75" customHeight="1">
      <c r="A147" s="28">
        <v>45156.0</v>
      </c>
      <c r="B147" s="32"/>
      <c r="C147" s="29" t="s">
        <v>607</v>
      </c>
      <c r="D147" s="30" t="s">
        <v>133</v>
      </c>
      <c r="E147" s="31" t="s">
        <v>608</v>
      </c>
      <c r="F147" s="31">
        <v>0.0</v>
      </c>
      <c r="G147" s="30" t="s">
        <v>575</v>
      </c>
      <c r="H147" s="33"/>
      <c r="I147" s="33"/>
    </row>
    <row r="148" ht="15.75" customHeight="1">
      <c r="A148" s="28">
        <v>45156.0</v>
      </c>
      <c r="B148" s="32"/>
      <c r="C148" s="29" t="s">
        <v>601</v>
      </c>
      <c r="D148" s="30" t="s">
        <v>318</v>
      </c>
      <c r="E148" s="31" t="str">
        <f>IFERROR(VLOOKUP(D148,'PAÑOL TÉCNICO'!A65:B1000,2,0))</f>
        <v>Rachet 3mts.</v>
      </c>
      <c r="F148" s="31">
        <v>0.0</v>
      </c>
      <c r="G148" s="30" t="s">
        <v>569</v>
      </c>
      <c r="H148" s="33"/>
      <c r="I148" s="33"/>
    </row>
    <row r="149" ht="15.75" customHeight="1">
      <c r="A149" s="28">
        <v>45156.0</v>
      </c>
      <c r="B149" s="32"/>
      <c r="C149" s="29" t="s">
        <v>598</v>
      </c>
      <c r="D149" s="30" t="s">
        <v>277</v>
      </c>
      <c r="E149" s="31" t="str">
        <f>IFERROR(VLOOKUP(D149,'PAÑOL TÉCNICO'!A66:B1000,2,0))</f>
        <v>Prolongación 20mts</v>
      </c>
      <c r="F149" s="31">
        <v>0.0</v>
      </c>
      <c r="G149" s="30" t="s">
        <v>569</v>
      </c>
      <c r="H149" s="33"/>
      <c r="I149" s="33"/>
    </row>
    <row r="150" ht="15.75" customHeight="1">
      <c r="A150" s="28">
        <v>45156.0</v>
      </c>
      <c r="B150" s="32"/>
      <c r="C150" s="29" t="s">
        <v>598</v>
      </c>
      <c r="D150" s="30" t="s">
        <v>499</v>
      </c>
      <c r="E150" s="31" t="str">
        <f>IFERROR(VLOOKUP(D150,'PAÑOL TÉCNICO'!A67:B1000,2,0))</f>
        <v>Aspiradora</v>
      </c>
      <c r="F150" s="31">
        <v>0.0</v>
      </c>
      <c r="G150" s="30" t="s">
        <v>569</v>
      </c>
      <c r="H150" s="33"/>
      <c r="I150" s="33"/>
    </row>
    <row r="151" ht="15.75" customHeight="1">
      <c r="A151" s="28">
        <v>45156.0</v>
      </c>
      <c r="B151" s="32"/>
      <c r="C151" s="29" t="s">
        <v>572</v>
      </c>
      <c r="D151" s="30" t="s">
        <v>275</v>
      </c>
      <c r="E151" s="31" t="str">
        <f>IFERROR(VLOOKUP(D151,'PAÑOL TÉCNICO'!A68:B1000,2,0))</f>
        <v>Pinza</v>
      </c>
      <c r="F151" s="31">
        <v>0.0</v>
      </c>
      <c r="G151" s="30" t="s">
        <v>569</v>
      </c>
      <c r="H151" s="33"/>
      <c r="I151" s="33"/>
    </row>
    <row r="152" ht="15.75" customHeight="1">
      <c r="A152" s="28">
        <v>45156.0</v>
      </c>
      <c r="B152" s="32"/>
      <c r="C152" s="29" t="s">
        <v>572</v>
      </c>
      <c r="D152" s="30" t="s">
        <v>21</v>
      </c>
      <c r="E152" s="31" t="s">
        <v>604</v>
      </c>
      <c r="F152" s="31">
        <v>0.0</v>
      </c>
      <c r="G152" s="30" t="s">
        <v>569</v>
      </c>
      <c r="H152" s="33"/>
      <c r="I152" s="33"/>
    </row>
    <row r="153" ht="15.75" customHeight="1">
      <c r="A153" s="28">
        <v>45156.0</v>
      </c>
      <c r="B153" s="32"/>
      <c r="C153" s="29" t="s">
        <v>572</v>
      </c>
      <c r="D153" s="30" t="s">
        <v>9</v>
      </c>
      <c r="E153" s="31" t="s">
        <v>10</v>
      </c>
      <c r="F153" s="31">
        <v>0.0</v>
      </c>
      <c r="G153" s="29" t="s">
        <v>569</v>
      </c>
      <c r="H153" s="32"/>
      <c r="I153" s="32"/>
    </row>
    <row r="154" ht="15.75" customHeight="1">
      <c r="A154" s="28">
        <v>45157.0</v>
      </c>
      <c r="B154" s="32"/>
      <c r="C154" s="29" t="s">
        <v>566</v>
      </c>
      <c r="D154" s="30" t="s">
        <v>131</v>
      </c>
      <c r="E154" s="31" t="s">
        <v>132</v>
      </c>
      <c r="F154" s="31">
        <v>0.0</v>
      </c>
      <c r="G154" s="30" t="s">
        <v>609</v>
      </c>
      <c r="H154" s="33"/>
      <c r="I154" s="33"/>
    </row>
    <row r="155" ht="15.75" customHeight="1">
      <c r="A155" s="28">
        <v>45157.0</v>
      </c>
      <c r="B155" s="32"/>
      <c r="C155" s="29" t="s">
        <v>606</v>
      </c>
      <c r="D155" s="30" t="s">
        <v>131</v>
      </c>
      <c r="E155" s="31" t="s">
        <v>132</v>
      </c>
      <c r="F155" s="31">
        <v>0.0</v>
      </c>
      <c r="G155" s="30" t="s">
        <v>610</v>
      </c>
      <c r="H155" s="33"/>
      <c r="I155" s="33"/>
    </row>
    <row r="156" ht="15.75" customHeight="1">
      <c r="A156" s="28">
        <v>45157.0</v>
      </c>
      <c r="B156" s="32"/>
      <c r="C156" s="29" t="s">
        <v>566</v>
      </c>
      <c r="D156" s="30" t="s">
        <v>213</v>
      </c>
      <c r="E156" s="31" t="str">
        <f>IFERROR(VLOOKUP(D156,'PAÑOL TÉCNICO'!A73:B1000,2,0))</f>
        <v>Mosquetón</v>
      </c>
      <c r="F156" s="31">
        <v>0.0</v>
      </c>
      <c r="G156" s="30" t="s">
        <v>609</v>
      </c>
      <c r="H156" s="33"/>
      <c r="I156" s="33"/>
    </row>
    <row r="157" ht="15.75" customHeight="1">
      <c r="A157" s="28">
        <v>45157.0</v>
      </c>
      <c r="B157" s="32"/>
      <c r="C157" s="29" t="s">
        <v>566</v>
      </c>
      <c r="D157" s="30" t="s">
        <v>316</v>
      </c>
      <c r="E157" s="31" t="str">
        <f>IFERROR(VLOOKUP(D157,'PAÑOL TÉCNICO'!A74:B1000,2,0))</f>
        <v>Rachet 9mts.</v>
      </c>
      <c r="F157" s="31">
        <v>0.0</v>
      </c>
      <c r="G157" s="29" t="s">
        <v>609</v>
      </c>
      <c r="H157" s="32"/>
      <c r="I157" s="32"/>
    </row>
    <row r="158" ht="15.75" customHeight="1">
      <c r="A158" s="28">
        <v>45157.0</v>
      </c>
      <c r="B158" s="32"/>
      <c r="C158" s="29" t="s">
        <v>606</v>
      </c>
      <c r="D158" s="30" t="s">
        <v>316</v>
      </c>
      <c r="E158" s="31" t="str">
        <f>IFERROR(VLOOKUP(D158,'PAÑOL TÉCNICO'!A75:B1000,2,0))</f>
        <v>Rachet 9mts.</v>
      </c>
      <c r="F158" s="31">
        <v>0.0</v>
      </c>
      <c r="G158" s="29" t="s">
        <v>610</v>
      </c>
      <c r="H158" s="32"/>
      <c r="I158" s="32"/>
    </row>
    <row r="159" ht="15.75" customHeight="1">
      <c r="A159" s="28">
        <v>45157.0</v>
      </c>
      <c r="B159" s="32"/>
      <c r="C159" s="29" t="s">
        <v>606</v>
      </c>
      <c r="D159" s="30" t="s">
        <v>21</v>
      </c>
      <c r="E159" s="31" t="s">
        <v>604</v>
      </c>
      <c r="F159" s="31">
        <v>0.0</v>
      </c>
      <c r="G159" s="29" t="s">
        <v>610</v>
      </c>
      <c r="H159" s="32"/>
      <c r="I159" s="32"/>
    </row>
    <row r="160" ht="15.75" customHeight="1">
      <c r="A160" s="28">
        <v>45157.0</v>
      </c>
      <c r="B160" s="32"/>
      <c r="C160" s="29" t="s">
        <v>611</v>
      </c>
      <c r="D160" s="30" t="s">
        <v>131</v>
      </c>
      <c r="E160" s="31" t="s">
        <v>132</v>
      </c>
      <c r="F160" s="31">
        <v>0.0</v>
      </c>
      <c r="G160" s="32"/>
      <c r="H160" s="32"/>
      <c r="I160" s="32"/>
    </row>
    <row r="161" ht="15.75" customHeight="1">
      <c r="A161" s="28">
        <v>45159.0</v>
      </c>
      <c r="B161" s="32"/>
      <c r="C161" s="29" t="s">
        <v>573</v>
      </c>
      <c r="D161" s="30" t="s">
        <v>21</v>
      </c>
      <c r="E161" s="31" t="s">
        <v>604</v>
      </c>
      <c r="F161" s="31">
        <v>0.0</v>
      </c>
      <c r="G161" s="29" t="s">
        <v>569</v>
      </c>
      <c r="H161" s="32"/>
      <c r="I161" s="32"/>
    </row>
    <row r="162" ht="15.75" customHeight="1">
      <c r="A162" s="28">
        <v>45159.0</v>
      </c>
      <c r="B162" s="32"/>
      <c r="C162" s="29" t="s">
        <v>573</v>
      </c>
      <c r="D162" s="30" t="s">
        <v>353</v>
      </c>
      <c r="E162" s="31" t="str">
        <f>IFERROR(VLOOKUP(D162,'PAÑOL TÉCNICO'!A79:B1000,2,0))</f>
        <v>Sierra circular</v>
      </c>
      <c r="F162" s="31">
        <v>0.0</v>
      </c>
      <c r="G162" s="29" t="s">
        <v>569</v>
      </c>
      <c r="H162" s="32"/>
      <c r="I162" s="32"/>
    </row>
    <row r="163" ht="15.75" customHeight="1">
      <c r="A163" s="28">
        <v>45159.0</v>
      </c>
      <c r="B163" s="32"/>
      <c r="C163" s="29" t="s">
        <v>573</v>
      </c>
      <c r="D163" s="30" t="s">
        <v>277</v>
      </c>
      <c r="E163" s="31" t="str">
        <f>IFERROR(VLOOKUP(D163,'PAÑOL TÉCNICO'!A80:B1000,2,0))</f>
        <v>Prolongación 20mts</v>
      </c>
      <c r="F163" s="31">
        <v>0.0</v>
      </c>
      <c r="G163" s="29" t="s">
        <v>569</v>
      </c>
      <c r="H163" s="32"/>
      <c r="I163" s="32"/>
    </row>
    <row r="164" ht="15.75" customHeight="1">
      <c r="A164" s="28">
        <v>45159.0</v>
      </c>
      <c r="B164" s="32"/>
      <c r="C164" s="29" t="s">
        <v>573</v>
      </c>
      <c r="D164" s="30" t="s">
        <v>430</v>
      </c>
      <c r="E164" s="31" t="str">
        <f>IFERROR(VLOOKUP(D164,'PAÑOL TÉCNICO'!A81:B1000,2,0))</f>
        <v>Zapatilla eléctrica</v>
      </c>
      <c r="F164" s="31">
        <v>0.0</v>
      </c>
      <c r="G164" s="29" t="s">
        <v>569</v>
      </c>
      <c r="H164" s="32"/>
      <c r="I164" s="32"/>
    </row>
    <row r="165" ht="15.75" customHeight="1">
      <c r="A165" s="28">
        <v>45159.0</v>
      </c>
      <c r="B165" s="32"/>
      <c r="C165" s="29" t="s">
        <v>573</v>
      </c>
      <c r="D165" s="30" t="s">
        <v>104</v>
      </c>
      <c r="E165" s="31" t="s">
        <v>577</v>
      </c>
      <c r="F165" s="31">
        <v>0.0</v>
      </c>
      <c r="G165" s="29" t="s">
        <v>569</v>
      </c>
      <c r="H165" s="32"/>
      <c r="I165" s="32"/>
    </row>
    <row r="166" ht="15.75" customHeight="1">
      <c r="A166" s="28">
        <v>45159.0</v>
      </c>
      <c r="B166" s="32"/>
      <c r="C166" s="29" t="s">
        <v>576</v>
      </c>
      <c r="D166" s="30" t="s">
        <v>251</v>
      </c>
      <c r="E166" s="31" t="str">
        <f>IFERROR(VLOOKUP(D166,'PAÑOL TÉCNICO'!A83:B1000,2,0))</f>
        <v>Mascara de soldar</v>
      </c>
      <c r="F166" s="31">
        <v>0.0</v>
      </c>
      <c r="G166" s="29" t="s">
        <v>569</v>
      </c>
      <c r="H166" s="32"/>
      <c r="I166" s="32"/>
    </row>
    <row r="167" ht="15.75" customHeight="1">
      <c r="A167" s="28">
        <v>45159.0</v>
      </c>
      <c r="B167" s="32"/>
      <c r="C167" s="29" t="s">
        <v>612</v>
      </c>
      <c r="D167" s="30" t="s">
        <v>316</v>
      </c>
      <c r="E167" s="37" t="str">
        <f>IFERROR(VLOOKUP(D167,'PAÑOL TÉCNICO'!A84:B1000,2,0))</f>
        <v>Rachet 9mts.</v>
      </c>
      <c r="F167" s="30">
        <v>8.0</v>
      </c>
      <c r="G167" s="29" t="s">
        <v>575</v>
      </c>
      <c r="H167" s="32"/>
      <c r="I167" s="32"/>
    </row>
    <row r="168" ht="15.75" customHeight="1">
      <c r="A168" s="28">
        <v>45159.0</v>
      </c>
      <c r="B168" s="32"/>
      <c r="C168" s="29" t="s">
        <v>612</v>
      </c>
      <c r="D168" s="30" t="s">
        <v>316</v>
      </c>
      <c r="E168" s="37" t="str">
        <f>IFERROR(VLOOKUP(D168,'PAÑOL TÉCNICO'!A85:B1000,2,0))</f>
        <v>Rachet 9mts.</v>
      </c>
      <c r="F168" s="30">
        <v>7.0</v>
      </c>
      <c r="G168" s="29" t="s">
        <v>569</v>
      </c>
      <c r="H168" s="32"/>
      <c r="I168" s="32"/>
    </row>
    <row r="169" ht="15.75" customHeight="1">
      <c r="A169" s="28">
        <v>45160.0</v>
      </c>
      <c r="B169" s="32"/>
      <c r="C169" s="29" t="s">
        <v>573</v>
      </c>
      <c r="D169" s="30" t="s">
        <v>21</v>
      </c>
      <c r="E169" s="31" t="s">
        <v>604</v>
      </c>
      <c r="F169" s="31">
        <v>0.0</v>
      </c>
      <c r="G169" s="29" t="s">
        <v>569</v>
      </c>
      <c r="H169" s="32"/>
      <c r="I169" s="32"/>
    </row>
    <row r="170" ht="15.75" customHeight="1">
      <c r="A170" s="28">
        <v>45160.0</v>
      </c>
      <c r="B170" s="32"/>
      <c r="C170" s="29" t="s">
        <v>573</v>
      </c>
      <c r="D170" s="30" t="s">
        <v>353</v>
      </c>
      <c r="E170" s="31" t="str">
        <f>IFERROR(VLOOKUP(D170,'PAÑOL TÉCNICO'!A87:B1000,2,0))</f>
        <v>Sierra circular</v>
      </c>
      <c r="F170" s="31">
        <v>0.0</v>
      </c>
      <c r="G170" s="29" t="s">
        <v>569</v>
      </c>
      <c r="H170" s="32"/>
      <c r="I170" s="32"/>
    </row>
    <row r="171" ht="15.75" customHeight="1">
      <c r="A171" s="28">
        <v>45160.0</v>
      </c>
      <c r="B171" s="32"/>
      <c r="C171" s="29" t="s">
        <v>573</v>
      </c>
      <c r="D171" s="30" t="s">
        <v>277</v>
      </c>
      <c r="E171" s="31" t="str">
        <f>IFERROR(VLOOKUP(D171,'PAÑOL TÉCNICO'!A88:B1000,2,0))</f>
        <v>Prolongación 20mts</v>
      </c>
      <c r="F171" s="31">
        <v>0.0</v>
      </c>
      <c r="G171" s="29" t="s">
        <v>569</v>
      </c>
      <c r="H171" s="32"/>
      <c r="I171" s="32"/>
    </row>
    <row r="172" ht="15.75" customHeight="1">
      <c r="A172" s="28">
        <v>45160.0</v>
      </c>
      <c r="B172" s="32"/>
      <c r="C172" s="29" t="s">
        <v>573</v>
      </c>
      <c r="D172" s="30" t="s">
        <v>430</v>
      </c>
      <c r="E172" s="31" t="str">
        <f>IFERROR(VLOOKUP(D172,'PAÑOL TÉCNICO'!A89:B1000,2,0))</f>
        <v>Zapatilla eléctrica</v>
      </c>
      <c r="F172" s="31">
        <v>0.0</v>
      </c>
      <c r="G172" s="29" t="s">
        <v>569</v>
      </c>
      <c r="H172" s="32"/>
      <c r="I172" s="32"/>
    </row>
    <row r="173" ht="15.75" customHeight="1">
      <c r="A173" s="28">
        <v>45160.0</v>
      </c>
      <c r="B173" s="32"/>
      <c r="C173" s="29" t="s">
        <v>573</v>
      </c>
      <c r="D173" s="30" t="s">
        <v>104</v>
      </c>
      <c r="E173" s="31" t="s">
        <v>577</v>
      </c>
      <c r="F173" s="31">
        <v>0.0</v>
      </c>
      <c r="G173" s="29" t="s">
        <v>569</v>
      </c>
      <c r="H173" s="32"/>
      <c r="I173" s="32"/>
    </row>
    <row r="174" ht="15.75" customHeight="1">
      <c r="A174" s="28">
        <v>45160.0</v>
      </c>
      <c r="B174" s="32"/>
      <c r="C174" s="29" t="s">
        <v>572</v>
      </c>
      <c r="D174" s="30" t="s">
        <v>21</v>
      </c>
      <c r="E174" s="31" t="s">
        <v>604</v>
      </c>
      <c r="F174" s="31">
        <v>0.0</v>
      </c>
      <c r="G174" s="29" t="s">
        <v>569</v>
      </c>
      <c r="H174" s="32"/>
      <c r="I174" s="32"/>
    </row>
    <row r="175" ht="15.75" customHeight="1">
      <c r="A175" s="28">
        <v>45160.0</v>
      </c>
      <c r="B175" s="32"/>
      <c r="C175" s="29" t="s">
        <v>593</v>
      </c>
      <c r="D175" s="30" t="s">
        <v>314</v>
      </c>
      <c r="E175" s="31" t="str">
        <f>IFERROR(VLOOKUP(D175,'PAÑOL TÉCNICO'!A92:B1000,2,0))</f>
        <v>Remachadora neumatica</v>
      </c>
      <c r="F175" s="31">
        <v>0.0</v>
      </c>
      <c r="G175" s="29" t="s">
        <v>569</v>
      </c>
      <c r="H175" s="32"/>
      <c r="I175" s="32"/>
    </row>
    <row r="176" ht="15.75" customHeight="1">
      <c r="A176" s="28">
        <v>45160.0</v>
      </c>
      <c r="B176" s="32"/>
      <c r="C176" s="29" t="s">
        <v>570</v>
      </c>
      <c r="D176" s="30" t="s">
        <v>318</v>
      </c>
      <c r="E176" s="31" t="str">
        <f>IFERROR(VLOOKUP(D176,'PAÑOL TÉCNICO'!A93:B1000,2,0))</f>
        <v>Rachet 3mts.</v>
      </c>
      <c r="F176" s="31">
        <v>0.0</v>
      </c>
      <c r="G176" s="29" t="s">
        <v>569</v>
      </c>
      <c r="H176" s="32"/>
      <c r="I176" s="32"/>
    </row>
    <row r="177" ht="15.75" customHeight="1">
      <c r="A177" s="28">
        <v>45160.0</v>
      </c>
      <c r="B177" s="32"/>
      <c r="C177" s="29" t="s">
        <v>611</v>
      </c>
      <c r="D177" s="30" t="s">
        <v>341</v>
      </c>
      <c r="E177" s="31" t="str">
        <f>IFERROR(VLOOKUP(D177,'PAÑOL TÉCNICO'!A94:B1000,2,0))</f>
        <v>Spanser</v>
      </c>
      <c r="F177" s="31">
        <v>0.0</v>
      </c>
      <c r="G177" s="29" t="s">
        <v>613</v>
      </c>
      <c r="H177" s="32"/>
      <c r="I177" s="32"/>
    </row>
    <row r="178" ht="15.75" customHeight="1">
      <c r="A178" s="28">
        <v>45160.0</v>
      </c>
      <c r="B178" s="32"/>
      <c r="C178" s="29" t="s">
        <v>614</v>
      </c>
      <c r="D178" s="30" t="s">
        <v>148</v>
      </c>
      <c r="E178" s="31" t="s">
        <v>149</v>
      </c>
      <c r="F178" s="31">
        <v>0.0</v>
      </c>
      <c r="G178" s="30" t="s">
        <v>613</v>
      </c>
      <c r="H178" s="33"/>
      <c r="I178" s="33"/>
    </row>
    <row r="179" ht="15.75" customHeight="1">
      <c r="A179" s="28">
        <v>45160.0</v>
      </c>
      <c r="B179" s="32"/>
      <c r="C179" s="29" t="s">
        <v>607</v>
      </c>
      <c r="D179" s="30" t="s">
        <v>291</v>
      </c>
      <c r="E179" s="31" t="str">
        <f>IFERROR(VLOOKUP(D179,'PAÑOL TÉCNICO'!A96:B1000,2,0))</f>
        <v>Pala ancha</v>
      </c>
      <c r="F179" s="31">
        <v>0.0</v>
      </c>
      <c r="G179" s="30" t="s">
        <v>615</v>
      </c>
      <c r="H179" s="33"/>
      <c r="I179" s="33"/>
    </row>
    <row r="180" ht="15.75" customHeight="1">
      <c r="A180" s="28">
        <v>45160.0</v>
      </c>
      <c r="B180" s="32"/>
      <c r="C180" s="29" t="s">
        <v>570</v>
      </c>
      <c r="D180" s="30" t="s">
        <v>318</v>
      </c>
      <c r="E180" s="31" t="str">
        <f>IFERROR(VLOOKUP(D180,'PAÑOL TÉCNICO'!A97:B1000,2,0))</f>
        <v>Rachet 3mts.</v>
      </c>
      <c r="F180" s="31">
        <v>0.0</v>
      </c>
      <c r="G180" s="30" t="s">
        <v>569</v>
      </c>
      <c r="H180" s="33"/>
      <c r="I180" s="33"/>
    </row>
    <row r="181" ht="15.75" customHeight="1">
      <c r="A181" s="28">
        <v>45160.0</v>
      </c>
      <c r="B181" s="32"/>
      <c r="C181" s="29" t="s">
        <v>606</v>
      </c>
      <c r="D181" s="30" t="s">
        <v>21</v>
      </c>
      <c r="E181" s="31" t="s">
        <v>604</v>
      </c>
      <c r="F181" s="31">
        <v>0.0</v>
      </c>
      <c r="G181" s="29" t="s">
        <v>569</v>
      </c>
      <c r="H181" s="32"/>
      <c r="I181" s="32"/>
    </row>
    <row r="182" ht="15.75" customHeight="1">
      <c r="A182" s="28">
        <v>45160.0</v>
      </c>
      <c r="B182" s="32"/>
      <c r="C182" s="29" t="s">
        <v>573</v>
      </c>
      <c r="D182" s="30" t="s">
        <v>21</v>
      </c>
      <c r="E182" s="31" t="s">
        <v>604</v>
      </c>
      <c r="F182" s="31">
        <v>0.0</v>
      </c>
      <c r="G182" s="30" t="s">
        <v>569</v>
      </c>
      <c r="H182" s="33"/>
      <c r="I182" s="33"/>
    </row>
    <row r="183" ht="15.75" customHeight="1">
      <c r="A183" s="28">
        <v>45160.0</v>
      </c>
      <c r="B183" s="32"/>
      <c r="C183" s="29" t="s">
        <v>573</v>
      </c>
      <c r="D183" s="30" t="s">
        <v>277</v>
      </c>
      <c r="E183" s="31" t="str">
        <f>IFERROR(VLOOKUP(D183,'PAÑOL TÉCNICO'!A100:B1000,2,0))</f>
        <v>Prolongación 20mts</v>
      </c>
      <c r="F183" s="31">
        <v>0.0</v>
      </c>
      <c r="G183" s="30" t="s">
        <v>569</v>
      </c>
      <c r="H183" s="33"/>
      <c r="I183" s="33"/>
    </row>
    <row r="184" ht="15.75" customHeight="1">
      <c r="A184" s="28">
        <v>45160.0</v>
      </c>
      <c r="B184" s="32"/>
      <c r="C184" s="29" t="s">
        <v>606</v>
      </c>
      <c r="D184" s="30" t="s">
        <v>316</v>
      </c>
      <c r="E184" s="31" t="str">
        <f>IFERROR(VLOOKUP(D184,'PAÑOL TÉCNICO'!A101:B1000,2,0))</f>
        <v>Rachet 9mts.</v>
      </c>
      <c r="F184" s="31">
        <v>0.0</v>
      </c>
      <c r="G184" s="30" t="s">
        <v>569</v>
      </c>
      <c r="H184" s="33"/>
      <c r="I184" s="33"/>
    </row>
    <row r="185" ht="15.75" customHeight="1">
      <c r="A185" s="28">
        <v>45161.0</v>
      </c>
      <c r="B185" s="32"/>
      <c r="C185" s="29" t="s">
        <v>573</v>
      </c>
      <c r="D185" s="30" t="s">
        <v>353</v>
      </c>
      <c r="E185" s="31" t="str">
        <f>IFERROR(VLOOKUP(D185,'PAÑOL TÉCNICO'!A102:B1000,2,0))</f>
        <v>Sierra circular</v>
      </c>
      <c r="F185" s="31">
        <v>0.0</v>
      </c>
      <c r="G185" s="30" t="s">
        <v>569</v>
      </c>
      <c r="H185" s="33"/>
      <c r="I185" s="33"/>
    </row>
    <row r="186" ht="15.75" customHeight="1">
      <c r="A186" s="28">
        <v>45161.0</v>
      </c>
      <c r="B186" s="32"/>
      <c r="C186" s="29" t="s">
        <v>573</v>
      </c>
      <c r="D186" s="30" t="s">
        <v>21</v>
      </c>
      <c r="E186" s="31" t="s">
        <v>604</v>
      </c>
      <c r="F186" s="31">
        <v>0.0</v>
      </c>
      <c r="G186" s="30" t="s">
        <v>569</v>
      </c>
      <c r="H186" s="33"/>
      <c r="I186" s="33"/>
    </row>
    <row r="187" ht="15.75" customHeight="1">
      <c r="A187" s="28">
        <v>45161.0</v>
      </c>
      <c r="B187" s="32"/>
      <c r="C187" s="29" t="s">
        <v>616</v>
      </c>
      <c r="D187" s="30" t="s">
        <v>104</v>
      </c>
      <c r="E187" s="31" t="s">
        <v>577</v>
      </c>
      <c r="F187" s="31">
        <v>0.0</v>
      </c>
      <c r="G187" s="30" t="s">
        <v>569</v>
      </c>
      <c r="H187" s="33"/>
      <c r="I187" s="33"/>
    </row>
    <row r="188" ht="15.75" customHeight="1">
      <c r="A188" s="28">
        <v>45161.0</v>
      </c>
      <c r="B188" s="33"/>
      <c r="C188" s="30" t="s">
        <v>573</v>
      </c>
      <c r="D188" s="30" t="s">
        <v>277</v>
      </c>
      <c r="E188" s="31" t="str">
        <f>IFERROR(VLOOKUP(D188,'PAÑOL TÉCNICO'!A105:B1000,2,0))</f>
        <v>Prolongación 20mts</v>
      </c>
      <c r="F188" s="31">
        <v>0.0</v>
      </c>
      <c r="G188" s="30" t="s">
        <v>569</v>
      </c>
      <c r="H188" s="33"/>
      <c r="I188" s="33"/>
    </row>
    <row r="189" ht="15.75" customHeight="1">
      <c r="A189" s="28">
        <v>45161.0</v>
      </c>
      <c r="B189" s="32"/>
      <c r="C189" s="29" t="s">
        <v>573</v>
      </c>
      <c r="D189" s="30" t="s">
        <v>430</v>
      </c>
      <c r="E189" s="31" t="str">
        <f>IFERROR(VLOOKUP(D189,'PAÑOL TÉCNICO'!A106:B1000,2,0))</f>
        <v>Zapatilla eléctrica</v>
      </c>
      <c r="F189" s="31">
        <v>0.0</v>
      </c>
      <c r="G189" s="29" t="s">
        <v>569</v>
      </c>
      <c r="H189" s="32"/>
      <c r="I189" s="32"/>
    </row>
    <row r="190" ht="15.75" customHeight="1">
      <c r="A190" s="28">
        <v>45161.0</v>
      </c>
      <c r="B190" s="32"/>
      <c r="C190" s="29" t="s">
        <v>566</v>
      </c>
      <c r="D190" s="30" t="s">
        <v>131</v>
      </c>
      <c r="E190" s="31" t="s">
        <v>132</v>
      </c>
      <c r="F190" s="31">
        <v>0.0</v>
      </c>
      <c r="G190" s="29" t="s">
        <v>617</v>
      </c>
      <c r="H190" s="32"/>
      <c r="I190" s="32"/>
    </row>
    <row r="191" ht="15.75" customHeight="1">
      <c r="A191" s="28">
        <v>45161.0</v>
      </c>
      <c r="B191" s="32"/>
      <c r="C191" s="29" t="s">
        <v>566</v>
      </c>
      <c r="D191" s="30" t="s">
        <v>316</v>
      </c>
      <c r="E191" s="31" t="str">
        <f>IFERROR(VLOOKUP(D191,'PAÑOL TÉCNICO'!A108:B1000,2,0))</f>
        <v>Rachet 9mts.</v>
      </c>
      <c r="F191" s="31">
        <v>0.0</v>
      </c>
      <c r="G191" s="29" t="s">
        <v>617</v>
      </c>
      <c r="H191" s="32"/>
      <c r="I191" s="32"/>
    </row>
    <row r="192" ht="15.75" customHeight="1">
      <c r="A192" s="28">
        <v>45161.0</v>
      </c>
      <c r="B192" s="32"/>
      <c r="C192" s="29" t="s">
        <v>587</v>
      </c>
      <c r="D192" s="30" t="s">
        <v>489</v>
      </c>
      <c r="E192" s="31" t="str">
        <f>IFERROR(VLOOKUP(D192,'PAÑOL TÉCNICO'!A109:B1000,2,0))</f>
        <v>Amoladora</v>
      </c>
      <c r="F192" s="31">
        <v>0.0</v>
      </c>
      <c r="G192" s="30" t="s">
        <v>569</v>
      </c>
      <c r="H192" s="33"/>
      <c r="I192" s="33"/>
    </row>
    <row r="193" ht="15.75" customHeight="1">
      <c r="A193" s="28">
        <v>45161.0</v>
      </c>
      <c r="B193" s="32"/>
      <c r="C193" s="29" t="s">
        <v>587</v>
      </c>
      <c r="D193" s="30" t="s">
        <v>277</v>
      </c>
      <c r="E193" s="31" t="str">
        <f>IFERROR(VLOOKUP(D193,'PAÑOL TÉCNICO'!A110:B1000,2,0))</f>
        <v>Prolongación 20mts</v>
      </c>
      <c r="F193" s="31">
        <v>0.0</v>
      </c>
      <c r="G193" s="30" t="s">
        <v>569</v>
      </c>
      <c r="H193" s="33"/>
      <c r="I193" s="33"/>
    </row>
    <row r="194" ht="15.75" customHeight="1">
      <c r="A194" s="28">
        <v>45161.0</v>
      </c>
      <c r="B194" s="32"/>
      <c r="C194" s="29" t="s">
        <v>593</v>
      </c>
      <c r="D194" s="30" t="s">
        <v>314</v>
      </c>
      <c r="E194" s="31" t="str">
        <f>IFERROR(VLOOKUP(D194,'PAÑOL TÉCNICO'!A111:B1000,2,0))</f>
        <v>Remachadora neumatica</v>
      </c>
      <c r="F194" s="31">
        <v>0.0</v>
      </c>
      <c r="G194" s="30" t="s">
        <v>569</v>
      </c>
      <c r="H194" s="33"/>
      <c r="I194" s="33"/>
    </row>
    <row r="195" ht="15.75" customHeight="1">
      <c r="A195" s="28">
        <v>45161.0</v>
      </c>
      <c r="B195" s="32"/>
      <c r="C195" s="29" t="s">
        <v>606</v>
      </c>
      <c r="D195" s="30" t="s">
        <v>21</v>
      </c>
      <c r="E195" s="31" t="s">
        <v>604</v>
      </c>
      <c r="F195" s="31">
        <v>0.0</v>
      </c>
      <c r="G195" s="29" t="s">
        <v>618</v>
      </c>
      <c r="H195" s="32"/>
      <c r="I195" s="32"/>
    </row>
    <row r="196" ht="15.75" customHeight="1">
      <c r="A196" s="28">
        <v>45161.0</v>
      </c>
      <c r="B196" s="32"/>
      <c r="C196" s="29" t="s">
        <v>606</v>
      </c>
      <c r="D196" s="30" t="s">
        <v>400</v>
      </c>
      <c r="E196" s="31" t="str">
        <f>IFERROR(VLOOKUP(D196,'PAÑOL TÉCNICO'!A113:B1000,2,0))</f>
        <v>Tenaza</v>
      </c>
      <c r="F196" s="31">
        <v>0.0</v>
      </c>
      <c r="G196" s="30" t="s">
        <v>618</v>
      </c>
      <c r="H196" s="33"/>
      <c r="I196" s="33"/>
    </row>
    <row r="197" ht="15.75" customHeight="1">
      <c r="A197" s="28">
        <v>45161.0</v>
      </c>
      <c r="B197" s="32"/>
      <c r="C197" s="29" t="s">
        <v>606</v>
      </c>
      <c r="D197" s="30" t="s">
        <v>227</v>
      </c>
      <c r="E197" s="31" t="s">
        <v>228</v>
      </c>
      <c r="F197" s="31">
        <v>0.0</v>
      </c>
      <c r="G197" s="30" t="s">
        <v>618</v>
      </c>
      <c r="H197" s="33"/>
      <c r="I197" s="33"/>
    </row>
    <row r="198" ht="15.75" customHeight="1">
      <c r="A198" s="28">
        <v>45161.0</v>
      </c>
      <c r="B198" s="32"/>
      <c r="C198" s="29" t="s">
        <v>619</v>
      </c>
      <c r="D198" s="30" t="s">
        <v>316</v>
      </c>
      <c r="E198" s="31" t="str">
        <f>IFERROR(VLOOKUP(D198,'PAÑOL TÉCNICO'!A115:B1000,2,0))</f>
        <v>Rachet 9mts.</v>
      </c>
      <c r="F198" s="31">
        <v>0.0</v>
      </c>
      <c r="G198" s="30" t="s">
        <v>620</v>
      </c>
      <c r="H198" s="33"/>
      <c r="I198" s="33"/>
    </row>
    <row r="199" ht="15.75" customHeight="1">
      <c r="A199" s="28">
        <v>45161.0</v>
      </c>
      <c r="B199" s="32"/>
      <c r="C199" s="29" t="s">
        <v>566</v>
      </c>
      <c r="D199" s="30" t="s">
        <v>213</v>
      </c>
      <c r="E199" s="31" t="s">
        <v>214</v>
      </c>
      <c r="F199" s="31">
        <v>0.0</v>
      </c>
      <c r="G199" s="29" t="s">
        <v>617</v>
      </c>
      <c r="H199" s="32"/>
      <c r="I199" s="32"/>
    </row>
    <row r="200" ht="15.75" customHeight="1">
      <c r="A200" s="28">
        <v>45161.0</v>
      </c>
      <c r="B200" s="32"/>
      <c r="C200" s="29" t="s">
        <v>621</v>
      </c>
      <c r="D200" s="30" t="s">
        <v>316</v>
      </c>
      <c r="E200" s="31" t="str">
        <f>IFERROR(VLOOKUP(D200,'PAÑOL TÉCNICO'!A117:B1000,2,0))</f>
        <v>Rachet 9mts.</v>
      </c>
      <c r="F200" s="31">
        <v>2.0</v>
      </c>
      <c r="G200" s="30" t="s">
        <v>621</v>
      </c>
      <c r="H200" s="33"/>
      <c r="I200" s="33"/>
    </row>
    <row r="201" ht="15.75" customHeight="1">
      <c r="A201" s="28">
        <v>45161.0</v>
      </c>
      <c r="B201" s="32"/>
      <c r="C201" s="29" t="s">
        <v>622</v>
      </c>
      <c r="D201" s="30" t="s">
        <v>277</v>
      </c>
      <c r="E201" s="31" t="str">
        <f>IFERROR(VLOOKUP(D201,'PAÑOL TÉCNICO'!A118:B1000,2,0))</f>
        <v>Prolongación 20mts</v>
      </c>
      <c r="F201" s="31">
        <v>0.0</v>
      </c>
      <c r="G201" s="29" t="s">
        <v>623</v>
      </c>
      <c r="H201" s="32"/>
      <c r="I201" s="32"/>
    </row>
    <row r="202" ht="15.75" customHeight="1">
      <c r="A202" s="28">
        <v>45161.0</v>
      </c>
      <c r="B202" s="32"/>
      <c r="C202" s="29" t="s">
        <v>576</v>
      </c>
      <c r="D202" s="30" t="s">
        <v>104</v>
      </c>
      <c r="E202" s="31" t="s">
        <v>577</v>
      </c>
      <c r="F202" s="31">
        <v>0.0</v>
      </c>
      <c r="G202" s="29" t="s">
        <v>569</v>
      </c>
      <c r="H202" s="32"/>
      <c r="I202" s="32"/>
    </row>
    <row r="203" ht="15.75" customHeight="1">
      <c r="A203" s="28">
        <v>45162.0</v>
      </c>
      <c r="B203" s="32"/>
      <c r="C203" s="29" t="s">
        <v>624</v>
      </c>
      <c r="D203" s="30" t="s">
        <v>316</v>
      </c>
      <c r="E203" s="31" t="str">
        <f>IFERROR(VLOOKUP(D203,'PAÑOL TÉCNICO'!A120:B1000,2,0))</f>
        <v>Rachet 9mts.</v>
      </c>
      <c r="F203" s="31">
        <v>0.0</v>
      </c>
      <c r="G203" s="29" t="s">
        <v>625</v>
      </c>
      <c r="H203" s="32"/>
      <c r="I203" s="32"/>
    </row>
    <row r="204" ht="15.75" customHeight="1">
      <c r="A204" s="28">
        <v>45162.0</v>
      </c>
      <c r="B204" s="32"/>
      <c r="C204" s="29" t="s">
        <v>573</v>
      </c>
      <c r="D204" s="30" t="s">
        <v>21</v>
      </c>
      <c r="E204" s="31" t="s">
        <v>604</v>
      </c>
      <c r="F204" s="31">
        <v>0.0</v>
      </c>
      <c r="G204" s="29" t="s">
        <v>569</v>
      </c>
      <c r="H204" s="32"/>
      <c r="I204" s="32"/>
    </row>
    <row r="205" ht="15.75" customHeight="1">
      <c r="A205" s="28">
        <v>45162.0</v>
      </c>
      <c r="B205" s="32"/>
      <c r="C205" s="29" t="s">
        <v>626</v>
      </c>
      <c r="D205" s="30" t="s">
        <v>271</v>
      </c>
      <c r="E205" s="31" t="str">
        <f>IFERROR(VLOOKUP(D205,'PAÑOL TÉCNICO'!A122:B1000,2,0))</f>
        <v>Pistola p/pintura (en uso)</v>
      </c>
      <c r="F205" s="31">
        <v>0.0</v>
      </c>
      <c r="G205" s="29" t="s">
        <v>575</v>
      </c>
      <c r="H205" s="32"/>
      <c r="I205" s="32"/>
    </row>
    <row r="206" ht="15.75" customHeight="1">
      <c r="A206" s="28">
        <v>45162.0</v>
      </c>
      <c r="B206" s="32"/>
      <c r="C206" s="29" t="s">
        <v>570</v>
      </c>
      <c r="D206" s="30" t="s">
        <v>353</v>
      </c>
      <c r="E206" s="31" t="str">
        <f>IFERROR(VLOOKUP(D206,'PAÑOL TÉCNICO'!A123:B1000,2,0))</f>
        <v>Sierra circular</v>
      </c>
      <c r="F206" s="31">
        <v>0.0</v>
      </c>
      <c r="G206" s="29" t="s">
        <v>569</v>
      </c>
      <c r="H206" s="32"/>
      <c r="I206" s="32"/>
    </row>
    <row r="207" ht="15.75" customHeight="1">
      <c r="A207" s="28">
        <v>45162.0</v>
      </c>
      <c r="B207" s="32"/>
      <c r="C207" s="29" t="s">
        <v>570</v>
      </c>
      <c r="D207" s="30" t="s">
        <v>277</v>
      </c>
      <c r="E207" s="31" t="str">
        <f>IFERROR(VLOOKUP(D207,'PAÑOL TÉCNICO'!A124:B1000,2,0))</f>
        <v>Prolongación 20mts</v>
      </c>
      <c r="F207" s="31">
        <v>0.0</v>
      </c>
      <c r="G207" s="30" t="s">
        <v>569</v>
      </c>
      <c r="H207" s="33"/>
      <c r="I207" s="33"/>
    </row>
    <row r="208" ht="15.75" customHeight="1">
      <c r="A208" s="28">
        <v>45162.0</v>
      </c>
      <c r="B208" s="32"/>
      <c r="C208" s="29" t="s">
        <v>570</v>
      </c>
      <c r="D208" s="30" t="s">
        <v>430</v>
      </c>
      <c r="E208" s="31" t="str">
        <f>IFERROR(VLOOKUP(D208,'PAÑOL TÉCNICO'!A125:B1000,2,0))</f>
        <v>Zapatilla eléctrica</v>
      </c>
      <c r="F208" s="31">
        <v>0.0</v>
      </c>
      <c r="G208" s="30" t="s">
        <v>569</v>
      </c>
      <c r="H208" s="33"/>
      <c r="I208" s="33"/>
    </row>
    <row r="209" ht="15.75" customHeight="1">
      <c r="A209" s="28">
        <v>45162.0</v>
      </c>
      <c r="B209" s="32"/>
      <c r="C209" s="29" t="s">
        <v>573</v>
      </c>
      <c r="D209" s="30" t="s">
        <v>400</v>
      </c>
      <c r="E209" s="31" t="str">
        <f>IFERROR(VLOOKUP(D209,'PAÑOL TÉCNICO'!A126:B1000,2,0))</f>
        <v>Tenaza</v>
      </c>
      <c r="F209" s="31">
        <v>0.0</v>
      </c>
      <c r="G209" s="30" t="s">
        <v>569</v>
      </c>
      <c r="H209" s="33"/>
      <c r="I209" s="33"/>
    </row>
    <row r="210" ht="15.75" customHeight="1">
      <c r="A210" s="28">
        <v>45162.0</v>
      </c>
      <c r="B210" s="32"/>
      <c r="C210" s="29" t="s">
        <v>570</v>
      </c>
      <c r="D210" s="30" t="s">
        <v>104</v>
      </c>
      <c r="E210" s="31" t="s">
        <v>577</v>
      </c>
      <c r="F210" s="31">
        <v>0.0</v>
      </c>
      <c r="G210" s="30" t="s">
        <v>569</v>
      </c>
      <c r="H210" s="33"/>
      <c r="I210" s="33"/>
    </row>
    <row r="211" ht="15.75" customHeight="1">
      <c r="A211" s="28">
        <v>45162.0</v>
      </c>
      <c r="B211" s="32"/>
      <c r="C211" s="29" t="s">
        <v>606</v>
      </c>
      <c r="D211" s="30" t="s">
        <v>21</v>
      </c>
      <c r="E211" s="31" t="s">
        <v>604</v>
      </c>
      <c r="F211" s="31">
        <v>0.0</v>
      </c>
      <c r="G211" s="30" t="s">
        <v>627</v>
      </c>
      <c r="H211" s="33"/>
      <c r="I211" s="33"/>
    </row>
    <row r="212">
      <c r="A212" s="28">
        <v>45162.0</v>
      </c>
      <c r="B212" s="32"/>
      <c r="C212" s="29" t="s">
        <v>606</v>
      </c>
      <c r="D212" s="30" t="s">
        <v>400</v>
      </c>
      <c r="E212" s="31" t="str">
        <f>IFERROR(VLOOKUP(D212,'PAÑOL TÉCNICO'!A129:B1000,2,0))</f>
        <v>Tenaza</v>
      </c>
      <c r="F212" s="31">
        <v>0.0</v>
      </c>
      <c r="G212" s="29" t="s">
        <v>627</v>
      </c>
      <c r="H212" s="32"/>
      <c r="I212" s="32"/>
    </row>
    <row r="213">
      <c r="A213" s="28">
        <v>45162.0</v>
      </c>
      <c r="B213" s="32"/>
      <c r="C213" s="29" t="s">
        <v>606</v>
      </c>
      <c r="D213" s="30" t="s">
        <v>316</v>
      </c>
      <c r="E213" s="31" t="str">
        <f>IFERROR(VLOOKUP(D213,'PAÑOL TÉCNICO'!A130:B1000,2,0))</f>
        <v>Rachet 9mts.</v>
      </c>
      <c r="F213" s="31">
        <v>0.0</v>
      </c>
      <c r="G213" s="29" t="s">
        <v>627</v>
      </c>
      <c r="H213" s="32"/>
      <c r="I213" s="32"/>
    </row>
    <row r="214" ht="15.75" customHeight="1">
      <c r="A214" s="28">
        <v>45162.0</v>
      </c>
      <c r="B214" s="32"/>
      <c r="C214" s="29" t="s">
        <v>606</v>
      </c>
      <c r="D214" s="30" t="s">
        <v>21</v>
      </c>
      <c r="E214" s="31" t="s">
        <v>604</v>
      </c>
      <c r="F214" s="31">
        <v>0.0</v>
      </c>
      <c r="G214" s="33"/>
      <c r="H214" s="33"/>
      <c r="I214" s="33"/>
    </row>
    <row r="215" ht="15.75" customHeight="1">
      <c r="A215" s="28">
        <v>45162.0</v>
      </c>
      <c r="B215" s="32"/>
      <c r="C215" s="29" t="s">
        <v>598</v>
      </c>
      <c r="D215" s="30" t="s">
        <v>499</v>
      </c>
      <c r="E215" s="31" t="str">
        <f>IFERROR(VLOOKUP(D215,'PAÑOL TÉCNICO'!A132:B1000,2,0))</f>
        <v>Aspiradora</v>
      </c>
      <c r="F215" s="31">
        <v>0.0</v>
      </c>
      <c r="G215" s="30" t="s">
        <v>628</v>
      </c>
      <c r="H215" s="33"/>
      <c r="I215" s="33"/>
    </row>
    <row r="216" ht="15.75" customHeight="1">
      <c r="A216" s="28">
        <v>45162.0</v>
      </c>
      <c r="B216" s="32"/>
      <c r="C216" s="29" t="s">
        <v>616</v>
      </c>
      <c r="D216" s="30" t="s">
        <v>80</v>
      </c>
      <c r="E216" s="31" t="s">
        <v>558</v>
      </c>
      <c r="F216" s="31">
        <v>0.0</v>
      </c>
      <c r="G216" s="33"/>
      <c r="H216" s="33"/>
      <c r="I216" s="33"/>
    </row>
    <row r="217" ht="15.75" customHeight="1">
      <c r="A217" s="28">
        <v>45162.0</v>
      </c>
      <c r="B217" s="32"/>
      <c r="C217" s="29" t="s">
        <v>573</v>
      </c>
      <c r="D217" s="30" t="s">
        <v>12</v>
      </c>
      <c r="E217" s="31" t="s">
        <v>13</v>
      </c>
      <c r="F217" s="31">
        <v>0.0</v>
      </c>
      <c r="G217" s="32"/>
      <c r="H217" s="32"/>
      <c r="I217" s="32"/>
    </row>
    <row r="218" ht="15.75" customHeight="1">
      <c r="A218" s="28">
        <v>45163.0</v>
      </c>
      <c r="B218" s="32"/>
      <c r="C218" s="29" t="s">
        <v>606</v>
      </c>
      <c r="D218" s="30" t="s">
        <v>316</v>
      </c>
      <c r="E218" s="31" t="str">
        <f>IFERROR(VLOOKUP(D218,'PAÑOL TÉCNICO'!A135:B1000,2,0))</f>
        <v>Rachet 9mts.</v>
      </c>
      <c r="F218" s="31">
        <v>0.0</v>
      </c>
      <c r="G218" s="29" t="s">
        <v>565</v>
      </c>
      <c r="H218" s="32"/>
      <c r="I218" s="32"/>
    </row>
    <row r="219" ht="15.75" customHeight="1">
      <c r="A219" s="28">
        <v>45163.0</v>
      </c>
      <c r="B219" s="32"/>
      <c r="C219" s="29" t="s">
        <v>606</v>
      </c>
      <c r="D219" s="30" t="s">
        <v>285</v>
      </c>
      <c r="E219" s="31" t="str">
        <f>IFERROR(VLOOKUP(D219,'PAÑOL TÉCNICO'!A136:B1000,2,0))</f>
        <v>Pistola infladora </v>
      </c>
      <c r="F219" s="31">
        <v>0.0</v>
      </c>
      <c r="G219" s="32"/>
      <c r="H219" s="32"/>
      <c r="I219" s="32"/>
    </row>
    <row r="220" ht="15.75" customHeight="1">
      <c r="A220" s="28">
        <v>45163.0</v>
      </c>
      <c r="B220" s="32"/>
      <c r="C220" s="29" t="s">
        <v>624</v>
      </c>
      <c r="D220" s="30" t="s">
        <v>21</v>
      </c>
      <c r="E220" s="31" t="s">
        <v>604</v>
      </c>
      <c r="F220" s="31">
        <v>0.0</v>
      </c>
      <c r="G220" s="30" t="s">
        <v>560</v>
      </c>
      <c r="H220" s="33"/>
      <c r="I220" s="33"/>
    </row>
    <row r="221" ht="15.75" customHeight="1">
      <c r="A221" s="28">
        <v>45163.0</v>
      </c>
      <c r="B221" s="33"/>
      <c r="C221" s="30" t="s">
        <v>624</v>
      </c>
      <c r="D221" s="30" t="s">
        <v>400</v>
      </c>
      <c r="E221" s="31" t="str">
        <f>IFERROR(VLOOKUP(D221,'PAÑOL TÉCNICO'!A138:B1000,2,0))</f>
        <v>Tenaza</v>
      </c>
      <c r="F221" s="31">
        <v>0.0</v>
      </c>
      <c r="G221" s="30" t="s">
        <v>560</v>
      </c>
      <c r="H221" s="33"/>
      <c r="I221" s="33"/>
    </row>
    <row r="222" ht="15.75" customHeight="1">
      <c r="A222" s="28">
        <v>45163.0</v>
      </c>
      <c r="B222" s="32"/>
      <c r="C222" s="29" t="s">
        <v>606</v>
      </c>
      <c r="D222" s="30" t="s">
        <v>21</v>
      </c>
      <c r="E222" s="31" t="s">
        <v>604</v>
      </c>
      <c r="F222" s="31">
        <v>0.0</v>
      </c>
      <c r="G222" s="30" t="s">
        <v>629</v>
      </c>
      <c r="H222" s="33"/>
      <c r="I222" s="33"/>
    </row>
    <row r="223" ht="15.75" customHeight="1">
      <c r="A223" s="28">
        <v>45163.0</v>
      </c>
      <c r="B223" s="32"/>
      <c r="C223" s="29" t="s">
        <v>606</v>
      </c>
      <c r="D223" s="30" t="s">
        <v>316</v>
      </c>
      <c r="E223" s="31" t="str">
        <f>IFERROR(VLOOKUP(D223,'PAÑOL TÉCNICO'!A140:B1000,2,0))</f>
        <v>Rachet 9mts.</v>
      </c>
      <c r="F223" s="31">
        <v>0.0</v>
      </c>
      <c r="G223" s="30" t="s">
        <v>629</v>
      </c>
      <c r="H223" s="33"/>
      <c r="I223" s="33"/>
    </row>
    <row r="224" ht="15.75" customHeight="1">
      <c r="A224" s="28">
        <v>45163.0</v>
      </c>
      <c r="B224" s="33"/>
      <c r="C224" s="30" t="s">
        <v>606</v>
      </c>
      <c r="D224" s="30" t="s">
        <v>131</v>
      </c>
      <c r="E224" s="31" t="s">
        <v>132</v>
      </c>
      <c r="F224" s="31">
        <v>0.0</v>
      </c>
      <c r="G224" s="30" t="s">
        <v>629</v>
      </c>
      <c r="H224" s="33"/>
      <c r="I224" s="33"/>
    </row>
    <row r="225" ht="15.75" customHeight="1">
      <c r="A225" s="28">
        <v>45163.0</v>
      </c>
      <c r="B225" s="32"/>
      <c r="C225" s="29" t="s">
        <v>630</v>
      </c>
      <c r="D225" s="30" t="s">
        <v>12</v>
      </c>
      <c r="E225" s="31" t="s">
        <v>13</v>
      </c>
      <c r="F225" s="31">
        <v>0.0</v>
      </c>
      <c r="G225" s="30" t="s">
        <v>631</v>
      </c>
      <c r="H225" s="33"/>
      <c r="I225" s="33"/>
    </row>
    <row r="226" ht="15.75" customHeight="1">
      <c r="A226" s="28">
        <v>45163.0</v>
      </c>
      <c r="B226" s="33"/>
      <c r="C226" s="30" t="s">
        <v>626</v>
      </c>
      <c r="D226" s="30" t="s">
        <v>316</v>
      </c>
      <c r="E226" s="31" t="str">
        <f>IFERROR(VLOOKUP(D226,'PAÑOL TÉCNICO'!A142:B1000,2,0))</f>
        <v>Rachet 9mts.</v>
      </c>
      <c r="F226" s="31">
        <v>0.0</v>
      </c>
      <c r="G226" s="30" t="s">
        <v>560</v>
      </c>
      <c r="H226" s="33"/>
      <c r="I226" s="33"/>
    </row>
    <row r="227" ht="15.75" customHeight="1">
      <c r="A227" s="28">
        <v>45163.0</v>
      </c>
      <c r="B227" s="33"/>
      <c r="C227" s="30" t="s">
        <v>626</v>
      </c>
      <c r="D227" s="30" t="s">
        <v>131</v>
      </c>
      <c r="E227" s="31" t="s">
        <v>132</v>
      </c>
      <c r="F227" s="31">
        <v>0.0</v>
      </c>
      <c r="G227" s="33"/>
      <c r="H227" s="33"/>
      <c r="I227" s="33"/>
    </row>
    <row r="228" ht="15.75" customHeight="1">
      <c r="A228" s="28">
        <v>45164.0</v>
      </c>
      <c r="B228" s="33"/>
      <c r="C228" s="30" t="s">
        <v>566</v>
      </c>
      <c r="D228" s="30" t="s">
        <v>131</v>
      </c>
      <c r="E228" s="31" t="s">
        <v>132</v>
      </c>
      <c r="F228" s="31">
        <v>0.0</v>
      </c>
      <c r="G228" s="30" t="s">
        <v>632</v>
      </c>
      <c r="H228" s="33"/>
      <c r="I228" s="33"/>
    </row>
    <row r="229" ht="15.75" customHeight="1">
      <c r="A229" s="28">
        <v>45103.0</v>
      </c>
      <c r="B229" s="32"/>
      <c r="C229" s="29" t="s">
        <v>602</v>
      </c>
      <c r="D229" s="30" t="s">
        <v>21</v>
      </c>
      <c r="E229" s="31" t="s">
        <v>604</v>
      </c>
      <c r="F229" s="31">
        <v>0.0</v>
      </c>
      <c r="G229" s="29" t="s">
        <v>633</v>
      </c>
      <c r="H229" s="32"/>
      <c r="I229" s="32"/>
    </row>
    <row r="230" ht="15.75" customHeight="1">
      <c r="A230" s="28">
        <v>45164.0</v>
      </c>
      <c r="B230" s="32"/>
      <c r="C230" s="29" t="s">
        <v>589</v>
      </c>
      <c r="D230" s="30" t="s">
        <v>316</v>
      </c>
      <c r="E230" s="31" t="str">
        <f>IFERROR(VLOOKUP(D230,'PAÑOL TÉCNICO'!A146:B1000,2,0))</f>
        <v>Rachet 9mts.</v>
      </c>
      <c r="F230" s="31">
        <v>0.0</v>
      </c>
      <c r="G230" s="29" t="s">
        <v>632</v>
      </c>
      <c r="H230" s="32"/>
      <c r="I230" s="32"/>
    </row>
    <row r="231" ht="15.75" customHeight="1">
      <c r="A231" s="28">
        <v>45164.0</v>
      </c>
      <c r="B231" s="32"/>
      <c r="C231" s="29" t="s">
        <v>602</v>
      </c>
      <c r="D231" s="30" t="s">
        <v>131</v>
      </c>
      <c r="E231" s="31" t="s">
        <v>132</v>
      </c>
      <c r="F231" s="31">
        <v>0.0</v>
      </c>
      <c r="G231" s="29" t="s">
        <v>633</v>
      </c>
      <c r="H231" s="32"/>
      <c r="I231" s="32"/>
    </row>
    <row r="232" ht="15.75" customHeight="1">
      <c r="A232" s="28">
        <v>45164.0</v>
      </c>
      <c r="B232" s="32"/>
      <c r="C232" s="29" t="s">
        <v>566</v>
      </c>
      <c r="D232" s="30" t="s">
        <v>320</v>
      </c>
      <c r="E232" s="31" t="str">
        <f>IFERROR(VLOOKUP(D232,'PAÑOL TÉCNICO'!A148:B1000,2,0))</f>
        <v>Rachet 1mts.</v>
      </c>
      <c r="F232" s="31">
        <v>0.0</v>
      </c>
      <c r="G232" s="29" t="s">
        <v>632</v>
      </c>
      <c r="H232" s="32"/>
      <c r="I232" s="32"/>
    </row>
    <row r="233" ht="15.75" customHeight="1">
      <c r="A233" s="28">
        <v>45164.0</v>
      </c>
      <c r="B233" s="32"/>
      <c r="C233" s="29" t="s">
        <v>606</v>
      </c>
      <c r="D233" s="30" t="s">
        <v>316</v>
      </c>
      <c r="E233" s="31" t="str">
        <f>IFERROR(VLOOKUP(D233,'PAÑOL TÉCNICO'!A149:B1000,2,0))</f>
        <v>Rachet 9mts.</v>
      </c>
      <c r="F233" s="31">
        <v>0.0</v>
      </c>
      <c r="G233" s="32"/>
      <c r="H233" s="32"/>
      <c r="I233" s="32"/>
    </row>
    <row r="234" ht="15.75" customHeight="1">
      <c r="A234" s="28">
        <v>45164.0</v>
      </c>
      <c r="B234" s="32"/>
      <c r="C234" s="29" t="s">
        <v>626</v>
      </c>
      <c r="D234" s="30" t="s">
        <v>181</v>
      </c>
      <c r="E234" s="31" t="s">
        <v>182</v>
      </c>
      <c r="F234" s="31">
        <v>0.0</v>
      </c>
      <c r="G234" s="32"/>
      <c r="H234" s="32"/>
      <c r="I234" s="32"/>
    </row>
    <row r="235" ht="15.75" customHeight="1">
      <c r="A235" s="28">
        <v>45164.0</v>
      </c>
      <c r="B235" s="33"/>
      <c r="C235" s="30" t="s">
        <v>587</v>
      </c>
      <c r="D235" s="30" t="s">
        <v>133</v>
      </c>
      <c r="E235" s="31" t="s">
        <v>608</v>
      </c>
      <c r="F235" s="31">
        <v>0.0</v>
      </c>
      <c r="G235" s="30" t="s">
        <v>634</v>
      </c>
      <c r="H235" s="33"/>
      <c r="I235" s="33"/>
    </row>
    <row r="236" ht="15.75" customHeight="1">
      <c r="A236" s="28">
        <v>45164.0</v>
      </c>
      <c r="B236" s="32"/>
      <c r="C236" s="29" t="s">
        <v>587</v>
      </c>
      <c r="D236" s="30" t="s">
        <v>12</v>
      </c>
      <c r="E236" s="31" t="s">
        <v>13</v>
      </c>
      <c r="F236" s="31">
        <v>0.0</v>
      </c>
      <c r="G236" s="29" t="s">
        <v>634</v>
      </c>
      <c r="H236" s="32"/>
      <c r="I236" s="32"/>
    </row>
    <row r="237" ht="15.75" customHeight="1">
      <c r="A237" s="28">
        <v>45164.0</v>
      </c>
      <c r="B237" s="32"/>
      <c r="C237" s="29" t="s">
        <v>587</v>
      </c>
      <c r="D237" s="30" t="s">
        <v>80</v>
      </c>
      <c r="E237" s="31" t="s">
        <v>558</v>
      </c>
      <c r="F237" s="31">
        <v>0.0</v>
      </c>
      <c r="G237" s="29" t="s">
        <v>634</v>
      </c>
      <c r="H237" s="32"/>
      <c r="I237" s="32"/>
    </row>
    <row r="238" ht="15.75" customHeight="1">
      <c r="A238" s="28">
        <v>45164.0</v>
      </c>
      <c r="B238" s="32"/>
      <c r="C238" s="29" t="s">
        <v>587</v>
      </c>
      <c r="D238" s="30" t="s">
        <v>316</v>
      </c>
      <c r="E238" s="31" t="s">
        <v>317</v>
      </c>
      <c r="F238" s="31">
        <v>0.0</v>
      </c>
      <c r="G238" s="29" t="s">
        <v>634</v>
      </c>
      <c r="H238" s="32"/>
      <c r="I238" s="32"/>
    </row>
    <row r="239" ht="15.75" customHeight="1">
      <c r="A239" s="28">
        <v>45164.0</v>
      </c>
      <c r="B239" s="32"/>
      <c r="C239" s="29" t="s">
        <v>587</v>
      </c>
      <c r="D239" s="30" t="s">
        <v>21</v>
      </c>
      <c r="E239" s="31" t="s">
        <v>604</v>
      </c>
      <c r="F239" s="31">
        <v>0.0</v>
      </c>
      <c r="G239" s="29" t="s">
        <v>634</v>
      </c>
      <c r="H239" s="32"/>
      <c r="I239" s="32"/>
    </row>
    <row r="240" ht="15.75" customHeight="1">
      <c r="A240" s="28">
        <v>45166.0</v>
      </c>
      <c r="B240" s="32"/>
      <c r="C240" s="29" t="s">
        <v>566</v>
      </c>
      <c r="D240" s="30" t="s">
        <v>12</v>
      </c>
      <c r="E240" s="31" t="s">
        <v>13</v>
      </c>
      <c r="F240" s="31">
        <v>0.0</v>
      </c>
      <c r="G240" s="29" t="s">
        <v>634</v>
      </c>
      <c r="H240" s="32"/>
      <c r="I240" s="32"/>
    </row>
    <row r="241" ht="15.75" customHeight="1">
      <c r="A241" s="28">
        <v>45166.0</v>
      </c>
      <c r="B241" s="33"/>
      <c r="C241" s="30" t="s">
        <v>566</v>
      </c>
      <c r="D241" s="30" t="s">
        <v>80</v>
      </c>
      <c r="E241" s="31" t="s">
        <v>558</v>
      </c>
      <c r="F241" s="31">
        <v>0.0</v>
      </c>
      <c r="G241" s="30" t="s">
        <v>634</v>
      </c>
      <c r="H241" s="33"/>
      <c r="I241" s="33"/>
    </row>
    <row r="242" ht="15.75" customHeight="1">
      <c r="A242" s="28">
        <v>45166.0</v>
      </c>
      <c r="B242" s="32"/>
      <c r="C242" s="29" t="s">
        <v>566</v>
      </c>
      <c r="D242" s="30" t="s">
        <v>21</v>
      </c>
      <c r="E242" s="31" t="s">
        <v>604</v>
      </c>
      <c r="F242" s="31">
        <v>0.0</v>
      </c>
      <c r="G242" s="30" t="s">
        <v>634</v>
      </c>
      <c r="H242" s="33"/>
      <c r="I242" s="33"/>
    </row>
    <row r="243" ht="15.75" customHeight="1">
      <c r="A243" s="28">
        <v>45166.0</v>
      </c>
      <c r="B243" s="32"/>
      <c r="C243" s="29" t="s">
        <v>624</v>
      </c>
      <c r="D243" s="30" t="s">
        <v>316</v>
      </c>
      <c r="E243" s="31" t="s">
        <v>317</v>
      </c>
      <c r="F243" s="31">
        <v>0.0</v>
      </c>
      <c r="G243" s="30" t="s">
        <v>560</v>
      </c>
      <c r="H243" s="33"/>
      <c r="I243" s="33"/>
    </row>
    <row r="244" ht="15.75" customHeight="1">
      <c r="A244" s="28">
        <v>45166.0</v>
      </c>
      <c r="B244" s="32"/>
      <c r="C244" s="29" t="s">
        <v>624</v>
      </c>
      <c r="D244" s="30" t="s">
        <v>438</v>
      </c>
      <c r="E244" s="31" t="str">
        <f>IFERROR(VLOOKUP(D244,'PAÑOL TÉCNICO'!A160:B1000,2,0))</f>
        <v>Conservadora roja</v>
      </c>
      <c r="F244" s="31">
        <v>0.0</v>
      </c>
      <c r="G244" s="29" t="s">
        <v>560</v>
      </c>
      <c r="H244" s="32"/>
      <c r="I244" s="32"/>
    </row>
    <row r="245" ht="15.75" customHeight="1">
      <c r="A245" s="28">
        <v>45166.0</v>
      </c>
      <c r="B245" s="32"/>
      <c r="C245" s="29" t="s">
        <v>597</v>
      </c>
      <c r="D245" s="30" t="s">
        <v>21</v>
      </c>
      <c r="E245" s="31" t="s">
        <v>604</v>
      </c>
      <c r="F245" s="31">
        <v>0.0</v>
      </c>
      <c r="G245" s="29" t="s">
        <v>569</v>
      </c>
      <c r="H245" s="32"/>
      <c r="I245" s="32"/>
    </row>
    <row r="246" ht="15.75" customHeight="1">
      <c r="A246" s="28">
        <v>45166.0</v>
      </c>
      <c r="B246" s="32"/>
      <c r="C246" s="29" t="s">
        <v>635</v>
      </c>
      <c r="D246" s="30" t="s">
        <v>316</v>
      </c>
      <c r="E246" s="31" t="s">
        <v>317</v>
      </c>
      <c r="F246" s="31">
        <v>0.0</v>
      </c>
      <c r="G246" s="30" t="s">
        <v>560</v>
      </c>
      <c r="H246" s="33"/>
      <c r="I246" s="33"/>
    </row>
    <row r="247" ht="15.75" customHeight="1">
      <c r="A247" s="28">
        <v>45166.0</v>
      </c>
      <c r="B247" s="32"/>
      <c r="C247" s="29" t="s">
        <v>554</v>
      </c>
      <c r="D247" s="30" t="s">
        <v>104</v>
      </c>
      <c r="E247" s="31" t="s">
        <v>577</v>
      </c>
      <c r="F247" s="31">
        <v>0.0</v>
      </c>
      <c r="G247" s="30" t="s">
        <v>636</v>
      </c>
      <c r="H247" s="33"/>
      <c r="I247" s="33"/>
    </row>
    <row r="248" ht="15.75" customHeight="1">
      <c r="A248" s="28">
        <v>45166.0</v>
      </c>
      <c r="B248" s="32"/>
      <c r="C248" s="29" t="s">
        <v>576</v>
      </c>
      <c r="D248" s="30" t="s">
        <v>104</v>
      </c>
      <c r="E248" s="30" t="s">
        <v>577</v>
      </c>
      <c r="F248" s="30">
        <v>1.0</v>
      </c>
      <c r="G248" s="30" t="s">
        <v>569</v>
      </c>
      <c r="H248" s="33"/>
      <c r="I248" s="33"/>
    </row>
    <row r="249" ht="15.75" customHeight="1">
      <c r="A249" s="28">
        <v>45166.0</v>
      </c>
      <c r="B249" s="32"/>
      <c r="C249" s="29" t="s">
        <v>637</v>
      </c>
      <c r="D249" s="30" t="s">
        <v>104</v>
      </c>
      <c r="E249" s="31" t="s">
        <v>577</v>
      </c>
      <c r="F249" s="31">
        <v>0.0</v>
      </c>
      <c r="G249" s="30" t="s">
        <v>628</v>
      </c>
      <c r="H249" s="33"/>
      <c r="I249" s="33"/>
    </row>
    <row r="250" ht="15.75" customHeight="1">
      <c r="A250" s="28">
        <v>45166.0</v>
      </c>
      <c r="B250" s="32"/>
      <c r="C250" s="29" t="s">
        <v>573</v>
      </c>
      <c r="D250" s="30" t="s">
        <v>316</v>
      </c>
      <c r="E250" s="31" t="s">
        <v>317</v>
      </c>
      <c r="F250" s="31">
        <v>0.0</v>
      </c>
      <c r="G250" s="30" t="s">
        <v>638</v>
      </c>
      <c r="H250" s="33"/>
      <c r="I250" s="33"/>
    </row>
    <row r="251" ht="15.75" customHeight="1">
      <c r="A251" s="28">
        <v>45167.0</v>
      </c>
      <c r="B251" s="33"/>
      <c r="C251" s="30" t="s">
        <v>635</v>
      </c>
      <c r="D251" s="30" t="s">
        <v>131</v>
      </c>
      <c r="E251" s="31" t="s">
        <v>132</v>
      </c>
      <c r="F251" s="31">
        <v>0.0</v>
      </c>
      <c r="G251" s="30" t="s">
        <v>638</v>
      </c>
      <c r="H251" s="33"/>
      <c r="I251" s="33"/>
    </row>
    <row r="252" ht="15.75" customHeight="1">
      <c r="A252" s="28">
        <v>45167.0</v>
      </c>
      <c r="B252" s="33"/>
      <c r="C252" s="30" t="s">
        <v>635</v>
      </c>
      <c r="D252" s="30" t="s">
        <v>80</v>
      </c>
      <c r="E252" s="31" t="s">
        <v>558</v>
      </c>
      <c r="F252" s="31">
        <v>0.0</v>
      </c>
      <c r="G252" s="30" t="s">
        <v>638</v>
      </c>
      <c r="H252" s="33"/>
      <c r="I252" s="33"/>
    </row>
    <row r="253" ht="15.75" customHeight="1">
      <c r="A253" s="28">
        <v>45167.0</v>
      </c>
      <c r="B253" s="32"/>
      <c r="C253" s="29" t="s">
        <v>635</v>
      </c>
      <c r="D253" s="30" t="s">
        <v>83</v>
      </c>
      <c r="E253" s="31" t="s">
        <v>639</v>
      </c>
      <c r="F253" s="31">
        <v>0.0</v>
      </c>
      <c r="G253" s="30" t="s">
        <v>638</v>
      </c>
      <c r="H253" s="33"/>
      <c r="I253" s="33"/>
    </row>
    <row r="254" ht="15.75" customHeight="1">
      <c r="A254" s="28">
        <v>45167.0</v>
      </c>
      <c r="B254" s="32"/>
      <c r="C254" s="29" t="s">
        <v>635</v>
      </c>
      <c r="D254" s="30" t="s">
        <v>12</v>
      </c>
      <c r="E254" s="31" t="s">
        <v>13</v>
      </c>
      <c r="F254" s="31">
        <v>0.0</v>
      </c>
      <c r="G254" s="30" t="s">
        <v>638</v>
      </c>
      <c r="H254" s="33"/>
      <c r="I254" s="33"/>
    </row>
    <row r="255" ht="15.75" customHeight="1">
      <c r="A255" s="28">
        <v>45167.0</v>
      </c>
      <c r="B255" s="32"/>
      <c r="C255" s="29" t="s">
        <v>635</v>
      </c>
      <c r="D255" s="30" t="s">
        <v>67</v>
      </c>
      <c r="E255" s="31" t="s">
        <v>640</v>
      </c>
      <c r="F255" s="31">
        <v>0.0</v>
      </c>
      <c r="G255" s="30" t="s">
        <v>638</v>
      </c>
      <c r="H255" s="33"/>
      <c r="I255" s="33"/>
    </row>
    <row r="256" ht="15.75" customHeight="1">
      <c r="A256" s="28">
        <v>45167.0</v>
      </c>
      <c r="B256" s="32"/>
      <c r="C256" s="29" t="s">
        <v>635</v>
      </c>
      <c r="D256" s="30" t="s">
        <v>171</v>
      </c>
      <c r="E256" s="31" t="s">
        <v>172</v>
      </c>
      <c r="F256" s="31">
        <v>0.0</v>
      </c>
      <c r="G256" s="30" t="s">
        <v>638</v>
      </c>
      <c r="H256" s="33"/>
      <c r="I256" s="33"/>
    </row>
    <row r="257" ht="15.75" customHeight="1">
      <c r="A257" s="28">
        <v>45167.0</v>
      </c>
      <c r="B257" s="32"/>
      <c r="C257" s="29" t="s">
        <v>635</v>
      </c>
      <c r="D257" s="30" t="s">
        <v>173</v>
      </c>
      <c r="E257" s="31" t="s">
        <v>174</v>
      </c>
      <c r="F257" s="31">
        <v>0.0</v>
      </c>
      <c r="G257" s="30" t="s">
        <v>638</v>
      </c>
      <c r="H257" s="33"/>
      <c r="I257" s="33"/>
    </row>
    <row r="258" ht="15.75" customHeight="1">
      <c r="A258" s="28">
        <v>45167.0</v>
      </c>
      <c r="B258" s="33"/>
      <c r="C258" s="30" t="s">
        <v>606</v>
      </c>
      <c r="D258" s="30" t="s">
        <v>316</v>
      </c>
      <c r="E258" s="31" t="s">
        <v>317</v>
      </c>
      <c r="F258" s="31">
        <v>0.0</v>
      </c>
      <c r="G258" s="33"/>
      <c r="H258" s="33"/>
      <c r="I258" s="33"/>
    </row>
    <row r="259" ht="15.75" customHeight="1">
      <c r="A259" s="28">
        <v>45167.0</v>
      </c>
      <c r="B259" s="32"/>
      <c r="C259" s="29" t="s">
        <v>626</v>
      </c>
      <c r="D259" s="30" t="s">
        <v>489</v>
      </c>
      <c r="E259" s="31" t="str">
        <f>IFERROR(VLOOKUP(D259,'PAÑOL TÉCNICO'!A176:B1000,2,0))</f>
        <v>Amoladora</v>
      </c>
      <c r="F259" s="31">
        <v>0.0</v>
      </c>
      <c r="G259" s="30" t="s">
        <v>569</v>
      </c>
      <c r="H259" s="33"/>
      <c r="I259" s="33"/>
    </row>
    <row r="260" ht="15.75" customHeight="1">
      <c r="A260" s="28">
        <v>45167.0</v>
      </c>
      <c r="B260" s="32"/>
      <c r="C260" s="29" t="s">
        <v>626</v>
      </c>
      <c r="D260" s="30" t="s">
        <v>19</v>
      </c>
      <c r="E260" s="31" t="s">
        <v>641</v>
      </c>
      <c r="F260" s="31">
        <v>0.0</v>
      </c>
      <c r="G260" s="30" t="s">
        <v>569</v>
      </c>
      <c r="H260" s="33"/>
      <c r="I260" s="33"/>
    </row>
    <row r="261" ht="15.75" customHeight="1">
      <c r="A261" s="28">
        <v>45169.0</v>
      </c>
      <c r="B261" s="32"/>
      <c r="C261" s="29" t="s">
        <v>573</v>
      </c>
      <c r="D261" s="30" t="s">
        <v>497</v>
      </c>
      <c r="E261" s="31" t="str">
        <f>IFERROR(VLOOKUP(D261,'PAÑOL TÉCNICO'!A178:B1000,2,0))</f>
        <v>Hidrolavadora</v>
      </c>
      <c r="F261" s="31">
        <v>0.0</v>
      </c>
      <c r="G261" s="29" t="s">
        <v>569</v>
      </c>
      <c r="H261" s="32"/>
      <c r="I261" s="32"/>
    </row>
    <row r="262" ht="15.75" customHeight="1">
      <c r="A262" s="28">
        <v>45169.0</v>
      </c>
      <c r="B262" s="32"/>
      <c r="C262" s="29" t="s">
        <v>573</v>
      </c>
      <c r="D262" s="30" t="s">
        <v>277</v>
      </c>
      <c r="E262" s="31" t="s">
        <v>642</v>
      </c>
      <c r="F262" s="31">
        <v>0.0</v>
      </c>
      <c r="G262" s="29" t="s">
        <v>569</v>
      </c>
      <c r="H262" s="32"/>
      <c r="I262" s="32"/>
    </row>
    <row r="263" ht="15.75" customHeight="1">
      <c r="A263" s="28">
        <v>45169.0</v>
      </c>
      <c r="B263" s="32"/>
      <c r="C263" s="29" t="s">
        <v>606</v>
      </c>
      <c r="D263" s="30" t="s">
        <v>316</v>
      </c>
      <c r="E263" s="31" t="s">
        <v>317</v>
      </c>
      <c r="F263" s="31">
        <v>0.0</v>
      </c>
      <c r="G263" s="32"/>
      <c r="H263" s="32"/>
      <c r="I263" s="32"/>
    </row>
    <row r="264" ht="15.75" customHeight="1">
      <c r="A264" s="28">
        <v>45169.0</v>
      </c>
      <c r="B264" s="32"/>
      <c r="C264" s="29" t="s">
        <v>643</v>
      </c>
      <c r="D264" s="30" t="s">
        <v>21</v>
      </c>
      <c r="E264" s="31" t="s">
        <v>604</v>
      </c>
      <c r="F264" s="31">
        <v>0.0</v>
      </c>
      <c r="G264" s="29" t="s">
        <v>636</v>
      </c>
      <c r="H264" s="32"/>
      <c r="I264" s="32"/>
    </row>
    <row r="265" ht="15.75" customHeight="1">
      <c r="A265" s="28">
        <v>45169.0</v>
      </c>
      <c r="B265" s="32"/>
      <c r="C265" s="29" t="s">
        <v>643</v>
      </c>
      <c r="D265" s="30" t="s">
        <v>400</v>
      </c>
      <c r="E265" s="31" t="str">
        <f>IFERROR(VLOOKUP(D265,'PAÑOL TÉCNICO'!A182:B1000,2,0))</f>
        <v>Tenaza</v>
      </c>
      <c r="F265" s="31">
        <v>0.0</v>
      </c>
      <c r="G265" s="29" t="s">
        <v>636</v>
      </c>
      <c r="H265" s="32"/>
      <c r="I265" s="32"/>
    </row>
    <row r="266" ht="15.75" customHeight="1">
      <c r="A266" s="28">
        <v>45170.0</v>
      </c>
      <c r="B266" s="32"/>
      <c r="C266" s="29" t="s">
        <v>573</v>
      </c>
      <c r="D266" s="30" t="s">
        <v>497</v>
      </c>
      <c r="E266" s="31" t="s">
        <v>498</v>
      </c>
      <c r="F266" s="31">
        <v>0.0</v>
      </c>
      <c r="G266" s="29" t="s">
        <v>569</v>
      </c>
      <c r="H266" s="32"/>
      <c r="I266" s="32"/>
    </row>
    <row r="267" ht="15.75" customHeight="1">
      <c r="A267" s="28">
        <v>45170.0</v>
      </c>
      <c r="B267" s="32"/>
      <c r="C267" s="29" t="s">
        <v>573</v>
      </c>
      <c r="D267" s="30" t="s">
        <v>277</v>
      </c>
      <c r="E267" s="31" t="s">
        <v>642</v>
      </c>
      <c r="F267" s="39">
        <v>0.0</v>
      </c>
      <c r="G267" s="30" t="s">
        <v>569</v>
      </c>
      <c r="H267" s="33"/>
      <c r="I267" s="33"/>
    </row>
    <row r="268" ht="15.75" customHeight="1">
      <c r="A268" s="28">
        <v>45170.0</v>
      </c>
      <c r="B268" s="32"/>
      <c r="C268" s="29" t="s">
        <v>606</v>
      </c>
      <c r="D268" s="30" t="s">
        <v>131</v>
      </c>
      <c r="E268" s="31" t="s">
        <v>132</v>
      </c>
      <c r="F268" s="31">
        <v>0.0</v>
      </c>
      <c r="G268" s="33"/>
      <c r="H268" s="33"/>
      <c r="I268" s="33"/>
    </row>
    <row r="269" ht="15.75" customHeight="1">
      <c r="A269" s="28">
        <v>45173.0</v>
      </c>
      <c r="B269" s="32"/>
      <c r="C269" s="29" t="s">
        <v>606</v>
      </c>
      <c r="D269" s="30" t="s">
        <v>316</v>
      </c>
      <c r="E269" s="31" t="s">
        <v>317</v>
      </c>
      <c r="F269" s="31">
        <v>0.0</v>
      </c>
      <c r="G269" s="30" t="s">
        <v>638</v>
      </c>
      <c r="H269" s="33"/>
      <c r="I269" s="33"/>
    </row>
    <row r="270" ht="15.75" customHeight="1">
      <c r="A270" s="28">
        <v>45173.0</v>
      </c>
      <c r="B270" s="32"/>
      <c r="C270" s="29" t="s">
        <v>606</v>
      </c>
      <c r="D270" s="30" t="s">
        <v>12</v>
      </c>
      <c r="E270" s="31" t="s">
        <v>13</v>
      </c>
      <c r="F270" s="31">
        <v>0.0</v>
      </c>
      <c r="G270" s="30" t="s">
        <v>638</v>
      </c>
      <c r="H270" s="33"/>
      <c r="I270" s="33"/>
    </row>
    <row r="271" ht="15.75" customHeight="1">
      <c r="A271" s="28">
        <v>45173.0</v>
      </c>
      <c r="B271" s="32"/>
      <c r="C271" s="29" t="s">
        <v>606</v>
      </c>
      <c r="D271" s="30" t="s">
        <v>80</v>
      </c>
      <c r="E271" s="31" t="s">
        <v>558</v>
      </c>
      <c r="F271" s="31">
        <v>0.0</v>
      </c>
      <c r="G271" s="30" t="s">
        <v>638</v>
      </c>
      <c r="H271" s="33"/>
      <c r="I271" s="33"/>
    </row>
    <row r="272" ht="15.75" customHeight="1">
      <c r="A272" s="28">
        <v>45173.0</v>
      </c>
      <c r="B272" s="32"/>
      <c r="C272" s="29" t="s">
        <v>573</v>
      </c>
      <c r="D272" s="30" t="s">
        <v>497</v>
      </c>
      <c r="E272" s="31" t="str">
        <f>IFERROR(VLOOKUP(D272,'PAÑOL TÉCNICO'!A189:B1000,2,0))</f>
        <v>Hidrolavadora</v>
      </c>
      <c r="F272" s="31">
        <v>0.0</v>
      </c>
      <c r="G272" s="30" t="s">
        <v>569</v>
      </c>
      <c r="H272" s="33"/>
      <c r="I272" s="33"/>
    </row>
    <row r="273" ht="15.75" customHeight="1">
      <c r="A273" s="28">
        <v>45173.0</v>
      </c>
      <c r="B273" s="32"/>
      <c r="C273" s="29" t="s">
        <v>573</v>
      </c>
      <c r="D273" s="30" t="s">
        <v>277</v>
      </c>
      <c r="E273" s="31" t="s">
        <v>642</v>
      </c>
      <c r="F273" s="31">
        <v>0.0</v>
      </c>
      <c r="G273" s="30" t="s">
        <v>569</v>
      </c>
      <c r="H273" s="33"/>
      <c r="I273" s="33"/>
    </row>
    <row r="274" ht="15.75" customHeight="1">
      <c r="A274" s="28">
        <v>45173.0</v>
      </c>
      <c r="B274" s="32"/>
      <c r="C274" s="29" t="s">
        <v>644</v>
      </c>
      <c r="D274" s="30" t="s">
        <v>104</v>
      </c>
      <c r="E274" s="31" t="s">
        <v>577</v>
      </c>
      <c r="F274" s="31">
        <v>0.0</v>
      </c>
      <c r="G274" s="30" t="s">
        <v>569</v>
      </c>
      <c r="H274" s="33"/>
      <c r="I274" s="33"/>
    </row>
    <row r="275" ht="15.75" customHeight="1">
      <c r="A275" s="28">
        <v>45173.0</v>
      </c>
      <c r="B275" s="32"/>
      <c r="C275" s="29" t="s">
        <v>572</v>
      </c>
      <c r="D275" s="30" t="s">
        <v>316</v>
      </c>
      <c r="E275" s="30" t="s">
        <v>317</v>
      </c>
      <c r="F275" s="30">
        <v>0.0</v>
      </c>
      <c r="G275" s="30" t="s">
        <v>645</v>
      </c>
      <c r="H275" s="33"/>
      <c r="I275" s="33"/>
    </row>
    <row r="276" ht="15.75" customHeight="1">
      <c r="A276" s="28">
        <v>45173.0</v>
      </c>
      <c r="B276" s="32"/>
      <c r="C276" s="29" t="s">
        <v>572</v>
      </c>
      <c r="D276" s="30" t="s">
        <v>9</v>
      </c>
      <c r="E276" s="30" t="s">
        <v>10</v>
      </c>
      <c r="F276" s="30">
        <v>0.0</v>
      </c>
      <c r="G276" s="30" t="s">
        <v>645</v>
      </c>
      <c r="H276" s="33"/>
      <c r="I276" s="33"/>
    </row>
    <row r="277" ht="15.75" customHeight="1">
      <c r="A277" s="28">
        <v>45173.0</v>
      </c>
      <c r="B277" s="32"/>
      <c r="C277" s="29" t="s">
        <v>626</v>
      </c>
      <c r="D277" s="30" t="s">
        <v>268</v>
      </c>
      <c r="E277" s="37" t="s">
        <v>646</v>
      </c>
      <c r="F277" s="37">
        <v>0.0</v>
      </c>
      <c r="G277" s="30" t="s">
        <v>575</v>
      </c>
      <c r="H277" s="33"/>
      <c r="I277" s="33"/>
    </row>
    <row r="278" ht="15.75" customHeight="1">
      <c r="A278" s="28">
        <v>45173.0</v>
      </c>
      <c r="B278" s="32"/>
      <c r="C278" s="29" t="s">
        <v>626</v>
      </c>
      <c r="D278" s="30" t="s">
        <v>271</v>
      </c>
      <c r="E278" s="37" t="s">
        <v>647</v>
      </c>
      <c r="F278" s="37">
        <v>0.0</v>
      </c>
      <c r="G278" s="30" t="s">
        <v>575</v>
      </c>
      <c r="H278" s="33"/>
      <c r="I278" s="33"/>
    </row>
    <row r="279" ht="15.75" customHeight="1">
      <c r="A279" s="28">
        <v>45142.0</v>
      </c>
      <c r="B279" s="32"/>
      <c r="C279" s="29" t="s">
        <v>626</v>
      </c>
      <c r="D279" s="30" t="s">
        <v>277</v>
      </c>
      <c r="E279" s="37" t="s">
        <v>642</v>
      </c>
      <c r="F279" s="37">
        <v>0.0</v>
      </c>
      <c r="G279" s="30" t="s">
        <v>575</v>
      </c>
      <c r="H279" s="33"/>
      <c r="I279" s="33"/>
    </row>
    <row r="280" ht="15.75" customHeight="1">
      <c r="A280" s="28">
        <v>45173.0</v>
      </c>
      <c r="B280" s="32"/>
      <c r="C280" s="29" t="s">
        <v>626</v>
      </c>
      <c r="D280" s="30" t="s">
        <v>400</v>
      </c>
      <c r="E280" s="37" t="s">
        <v>401</v>
      </c>
      <c r="F280" s="37">
        <v>0.0</v>
      </c>
      <c r="G280" s="30" t="s">
        <v>575</v>
      </c>
      <c r="H280" s="33"/>
      <c r="I280" s="33"/>
    </row>
    <row r="281" ht="15.75" customHeight="1">
      <c r="A281" s="28">
        <v>45142.0</v>
      </c>
      <c r="B281" s="32"/>
      <c r="C281" s="29" t="s">
        <v>626</v>
      </c>
      <c r="D281" s="30" t="s">
        <v>17</v>
      </c>
      <c r="E281" s="31" t="s">
        <v>648</v>
      </c>
      <c r="F281" s="31">
        <v>0.0</v>
      </c>
      <c r="G281" s="29" t="s">
        <v>575</v>
      </c>
      <c r="H281" s="40"/>
      <c r="I281" s="40"/>
    </row>
    <row r="282" ht="15.75" customHeight="1">
      <c r="A282" s="28">
        <v>45174.0</v>
      </c>
      <c r="B282" s="32"/>
      <c r="C282" s="29" t="s">
        <v>566</v>
      </c>
      <c r="D282" s="30" t="s">
        <v>131</v>
      </c>
      <c r="E282" s="31" t="s">
        <v>132</v>
      </c>
      <c r="F282" s="31">
        <v>0.0</v>
      </c>
      <c r="G282" s="33"/>
      <c r="H282" s="33"/>
      <c r="I282" s="33"/>
    </row>
    <row r="283" ht="15.75" customHeight="1">
      <c r="A283" s="28">
        <v>45174.0</v>
      </c>
      <c r="B283" s="32"/>
      <c r="C283" s="29" t="s">
        <v>566</v>
      </c>
      <c r="D283" s="30" t="s">
        <v>316</v>
      </c>
      <c r="E283" s="31" t="s">
        <v>317</v>
      </c>
      <c r="F283" s="31">
        <v>0.0</v>
      </c>
      <c r="G283" s="33"/>
      <c r="H283" s="33"/>
      <c r="I283" s="33"/>
    </row>
    <row r="284" ht="15.75" customHeight="1">
      <c r="A284" s="28">
        <v>45174.0</v>
      </c>
      <c r="B284" s="32"/>
      <c r="C284" s="29" t="s">
        <v>580</v>
      </c>
      <c r="D284" s="30" t="s">
        <v>489</v>
      </c>
      <c r="E284" s="31" t="str">
        <f>IFERROR(VLOOKUP(D284,'PAÑOL TÉCNICO'!A201:B1000,2,0))</f>
        <v>Amoladora</v>
      </c>
      <c r="F284" s="31">
        <v>0.0</v>
      </c>
      <c r="G284" s="30" t="s">
        <v>569</v>
      </c>
      <c r="H284" s="33"/>
      <c r="I284" s="33"/>
    </row>
    <row r="285" ht="15.75" customHeight="1">
      <c r="A285" s="28">
        <v>45174.0</v>
      </c>
      <c r="B285" s="32"/>
      <c r="C285" s="29" t="s">
        <v>649</v>
      </c>
      <c r="D285" s="30" t="s">
        <v>316</v>
      </c>
      <c r="E285" s="31" t="s">
        <v>317</v>
      </c>
      <c r="F285" s="31">
        <v>0.0</v>
      </c>
      <c r="G285" s="33"/>
      <c r="H285" s="33"/>
      <c r="I285" s="33"/>
    </row>
    <row r="286" ht="15.75" customHeight="1">
      <c r="A286" s="28">
        <v>45143.0</v>
      </c>
      <c r="B286" s="32"/>
      <c r="C286" s="29" t="s">
        <v>573</v>
      </c>
      <c r="D286" s="30" t="s">
        <v>497</v>
      </c>
      <c r="E286" s="31" t="str">
        <f>IFERROR(VLOOKUP(D286,'PAÑOL TÉCNICO'!A203:B1000,2,0))</f>
        <v>Hidrolavadora</v>
      </c>
      <c r="F286" s="31">
        <v>0.0</v>
      </c>
      <c r="G286" s="30" t="s">
        <v>569</v>
      </c>
      <c r="H286" s="33"/>
      <c r="I286" s="33"/>
    </row>
    <row r="287" ht="15.75" customHeight="1">
      <c r="A287" s="28">
        <v>45143.0</v>
      </c>
      <c r="B287" s="32"/>
      <c r="C287" s="29" t="s">
        <v>616</v>
      </c>
      <c r="D287" s="30" t="s">
        <v>277</v>
      </c>
      <c r="E287" s="31" t="s">
        <v>642</v>
      </c>
      <c r="F287" s="31">
        <v>0.0</v>
      </c>
      <c r="G287" s="30" t="s">
        <v>569</v>
      </c>
      <c r="H287" s="33"/>
      <c r="I287" s="33"/>
    </row>
    <row r="288" ht="15.75" customHeight="1">
      <c r="A288" s="28">
        <v>45174.0</v>
      </c>
      <c r="B288" s="32"/>
      <c r="C288" s="29" t="s">
        <v>650</v>
      </c>
      <c r="D288" s="30" t="s">
        <v>17</v>
      </c>
      <c r="E288" s="30" t="s">
        <v>648</v>
      </c>
      <c r="F288" s="30">
        <v>1.0</v>
      </c>
      <c r="G288" s="29" t="s">
        <v>651</v>
      </c>
      <c r="H288" s="32"/>
      <c r="I288" s="32"/>
    </row>
    <row r="289" ht="15.75" customHeight="1">
      <c r="A289" s="28">
        <v>45174.0</v>
      </c>
      <c r="B289" s="32"/>
      <c r="C289" s="29" t="s">
        <v>580</v>
      </c>
      <c r="D289" s="30" t="s">
        <v>21</v>
      </c>
      <c r="E289" s="31" t="s">
        <v>604</v>
      </c>
      <c r="F289" s="31">
        <v>0.0</v>
      </c>
      <c r="G289" s="29" t="s">
        <v>569</v>
      </c>
      <c r="H289" s="32"/>
      <c r="I289" s="32"/>
    </row>
    <row r="290" ht="15.75" customHeight="1">
      <c r="A290" s="28">
        <v>45175.0</v>
      </c>
      <c r="B290" s="32"/>
      <c r="C290" s="29" t="s">
        <v>606</v>
      </c>
      <c r="D290" s="30" t="s">
        <v>131</v>
      </c>
      <c r="E290" s="31" t="s">
        <v>132</v>
      </c>
      <c r="F290" s="31">
        <v>0.0</v>
      </c>
      <c r="G290" s="32"/>
      <c r="H290" s="32"/>
      <c r="I290" s="32"/>
    </row>
    <row r="291" ht="15.75" customHeight="1">
      <c r="A291" s="28">
        <v>45175.0</v>
      </c>
      <c r="B291" s="32"/>
      <c r="C291" s="29" t="s">
        <v>606</v>
      </c>
      <c r="D291" s="30" t="s">
        <v>316</v>
      </c>
      <c r="E291" s="31" t="s">
        <v>317</v>
      </c>
      <c r="F291" s="31">
        <v>0.0</v>
      </c>
      <c r="G291" s="32"/>
      <c r="H291" s="32"/>
      <c r="I291" s="32"/>
    </row>
    <row r="292" ht="15.75" customHeight="1">
      <c r="A292" s="28">
        <v>45175.0</v>
      </c>
      <c r="B292" s="32"/>
      <c r="C292" s="29" t="s">
        <v>573</v>
      </c>
      <c r="D292" s="30" t="s">
        <v>497</v>
      </c>
      <c r="E292" s="31" t="str">
        <f>IFERROR(VLOOKUP(D292,'PAÑOL TÉCNICO'!A209:B1000,2,0))</f>
        <v>Hidrolavadora</v>
      </c>
      <c r="F292" s="31">
        <v>0.0</v>
      </c>
      <c r="G292" s="29" t="s">
        <v>569</v>
      </c>
      <c r="H292" s="32"/>
      <c r="I292" s="32"/>
    </row>
    <row r="293" ht="15.75" customHeight="1">
      <c r="A293" s="28">
        <v>45175.0</v>
      </c>
      <c r="B293" s="32"/>
      <c r="C293" s="29" t="s">
        <v>573</v>
      </c>
      <c r="D293" s="30" t="s">
        <v>277</v>
      </c>
      <c r="E293" s="31" t="s">
        <v>642</v>
      </c>
      <c r="F293" s="31">
        <v>0.0</v>
      </c>
      <c r="G293" s="29" t="s">
        <v>652</v>
      </c>
      <c r="H293" s="32"/>
      <c r="I293" s="32"/>
    </row>
    <row r="294" ht="15.75" customHeight="1">
      <c r="A294" s="28">
        <v>45175.0</v>
      </c>
      <c r="B294" s="32"/>
      <c r="C294" s="29" t="s">
        <v>611</v>
      </c>
      <c r="D294" s="30" t="s">
        <v>316</v>
      </c>
      <c r="E294" s="31" t="s">
        <v>317</v>
      </c>
      <c r="F294" s="31">
        <v>0.0</v>
      </c>
      <c r="G294" s="32"/>
      <c r="H294" s="32"/>
      <c r="I294" s="32"/>
    </row>
    <row r="295" ht="15.75" customHeight="1">
      <c r="A295" s="28">
        <v>45175.0</v>
      </c>
      <c r="B295" s="32"/>
      <c r="C295" s="29" t="s">
        <v>570</v>
      </c>
      <c r="D295" s="30" t="s">
        <v>52</v>
      </c>
      <c r="E295" s="31" t="s">
        <v>653</v>
      </c>
      <c r="F295" s="31">
        <v>0.0</v>
      </c>
      <c r="G295" s="29" t="s">
        <v>569</v>
      </c>
      <c r="H295" s="32"/>
      <c r="I295" s="32"/>
    </row>
    <row r="296" ht="15.75" customHeight="1">
      <c r="A296" s="28">
        <v>45175.0</v>
      </c>
      <c r="B296" s="32"/>
      <c r="C296" s="29" t="s">
        <v>594</v>
      </c>
      <c r="D296" s="30" t="s">
        <v>320</v>
      </c>
      <c r="E296" s="31" t="s">
        <v>321</v>
      </c>
      <c r="F296" s="31">
        <v>0.0</v>
      </c>
      <c r="G296" s="33"/>
      <c r="H296" s="33"/>
      <c r="I296" s="33"/>
    </row>
    <row r="297" ht="15.75" customHeight="1">
      <c r="A297" s="28">
        <v>45175.0</v>
      </c>
      <c r="B297" s="32"/>
      <c r="C297" s="29" t="s">
        <v>593</v>
      </c>
      <c r="D297" s="30" t="s">
        <v>489</v>
      </c>
      <c r="E297" s="31" t="str">
        <f>IFERROR(VLOOKUP(D297,'PAÑOL TÉCNICO'!A214:B1000,2,0))</f>
        <v>Amoladora</v>
      </c>
      <c r="F297" s="31">
        <v>0.0</v>
      </c>
      <c r="G297" s="29" t="s">
        <v>569</v>
      </c>
      <c r="H297" s="32"/>
      <c r="I297" s="32"/>
    </row>
    <row r="298" ht="15.75" customHeight="1">
      <c r="A298" s="28">
        <v>45175.0</v>
      </c>
      <c r="B298" s="32"/>
      <c r="C298" s="29" t="s">
        <v>593</v>
      </c>
      <c r="D298" s="30" t="s">
        <v>277</v>
      </c>
      <c r="E298" s="31" t="s">
        <v>642</v>
      </c>
      <c r="F298" s="31">
        <v>0.0</v>
      </c>
      <c r="G298" s="29" t="s">
        <v>569</v>
      </c>
      <c r="H298" s="32"/>
      <c r="I298" s="32"/>
    </row>
    <row r="299" ht="15.75" customHeight="1">
      <c r="A299" s="28">
        <v>45175.0</v>
      </c>
      <c r="B299" s="32"/>
      <c r="C299" s="29" t="s">
        <v>593</v>
      </c>
      <c r="D299" s="30" t="s">
        <v>104</v>
      </c>
      <c r="E299" s="31" t="s">
        <v>577</v>
      </c>
      <c r="F299" s="31">
        <v>0.0</v>
      </c>
      <c r="G299" s="29" t="s">
        <v>569</v>
      </c>
      <c r="H299" s="32"/>
      <c r="I299" s="32"/>
    </row>
    <row r="300" ht="15.75" customHeight="1">
      <c r="A300" s="28">
        <v>45175.0</v>
      </c>
      <c r="B300" s="32"/>
      <c r="C300" s="29" t="s">
        <v>654</v>
      </c>
      <c r="D300" s="30" t="s">
        <v>316</v>
      </c>
      <c r="E300" s="31" t="s">
        <v>317</v>
      </c>
      <c r="F300" s="31">
        <v>11.0</v>
      </c>
      <c r="G300" s="29" t="s">
        <v>655</v>
      </c>
      <c r="H300" s="32"/>
      <c r="I300" s="32"/>
    </row>
    <row r="301" ht="15.75" customHeight="1">
      <c r="A301" s="28">
        <v>45175.0</v>
      </c>
      <c r="B301" s="32"/>
      <c r="C301" s="29" t="s">
        <v>573</v>
      </c>
      <c r="D301" s="30" t="s">
        <v>21</v>
      </c>
      <c r="E301" s="31" t="s">
        <v>604</v>
      </c>
      <c r="F301" s="31">
        <v>0.0</v>
      </c>
      <c r="G301" s="29" t="s">
        <v>569</v>
      </c>
      <c r="H301" s="32"/>
      <c r="I301" s="32"/>
    </row>
    <row r="302" ht="15.75" customHeight="1">
      <c r="A302" s="28">
        <v>45175.0</v>
      </c>
      <c r="B302" s="29" t="s">
        <v>656</v>
      </c>
      <c r="C302" s="29"/>
      <c r="D302" s="30" t="s">
        <v>524</v>
      </c>
      <c r="E302" s="30" t="str">
        <f>IFERROR(VLOOKUP(D302,'PAÑOL TÉCNICO'!A219:B1000,2,0))</f>
        <v>Megáfono</v>
      </c>
      <c r="F302" s="30">
        <v>1.0</v>
      </c>
      <c r="G302" s="29" t="s">
        <v>657</v>
      </c>
      <c r="H302" s="32"/>
      <c r="I302" s="32"/>
    </row>
    <row r="303" ht="15.75" customHeight="1">
      <c r="A303" s="28">
        <v>45175.0</v>
      </c>
      <c r="B303" s="32"/>
      <c r="C303" s="29" t="s">
        <v>658</v>
      </c>
      <c r="D303" s="30" t="s">
        <v>21</v>
      </c>
      <c r="E303" s="31" t="s">
        <v>604</v>
      </c>
      <c r="F303" s="31">
        <v>0.0</v>
      </c>
      <c r="G303" s="29" t="s">
        <v>659</v>
      </c>
      <c r="H303" s="32"/>
      <c r="I303" s="32"/>
    </row>
    <row r="304" ht="15.75" customHeight="1">
      <c r="A304" s="28">
        <v>45176.0</v>
      </c>
      <c r="B304" s="32"/>
      <c r="C304" s="29" t="s">
        <v>606</v>
      </c>
      <c r="D304" s="30" t="s">
        <v>131</v>
      </c>
      <c r="E304" s="31" t="s">
        <v>132</v>
      </c>
      <c r="F304" s="31">
        <v>0.0</v>
      </c>
      <c r="G304" s="33"/>
      <c r="H304" s="33"/>
      <c r="I304" s="33"/>
    </row>
    <row r="305" ht="15.75" customHeight="1">
      <c r="A305" s="41">
        <v>45176.0</v>
      </c>
      <c r="B305" s="32"/>
      <c r="C305" s="29" t="s">
        <v>606</v>
      </c>
      <c r="D305" s="30" t="s">
        <v>316</v>
      </c>
      <c r="E305" s="31" t="s">
        <v>317</v>
      </c>
      <c r="F305" s="31">
        <v>0.0</v>
      </c>
      <c r="G305" s="33"/>
      <c r="H305" s="33"/>
      <c r="I305" s="33"/>
    </row>
    <row r="306" ht="15.75" customHeight="1">
      <c r="A306" s="28">
        <v>45176.0</v>
      </c>
      <c r="B306" s="32"/>
      <c r="C306" s="29" t="s">
        <v>660</v>
      </c>
      <c r="D306" s="30" t="s">
        <v>318</v>
      </c>
      <c r="E306" s="30" t="s">
        <v>319</v>
      </c>
      <c r="F306" s="30">
        <v>0.0</v>
      </c>
      <c r="G306" s="33"/>
      <c r="H306" s="33"/>
      <c r="I306" s="33"/>
    </row>
    <row r="307" ht="15.75" customHeight="1">
      <c r="A307" s="28">
        <v>45175.0</v>
      </c>
      <c r="B307" s="32"/>
      <c r="C307" s="29" t="s">
        <v>602</v>
      </c>
      <c r="D307" s="30" t="s">
        <v>21</v>
      </c>
      <c r="E307" s="30" t="s">
        <v>604</v>
      </c>
      <c r="F307" s="30">
        <v>0.0</v>
      </c>
      <c r="G307" s="30" t="s">
        <v>661</v>
      </c>
      <c r="H307" s="33"/>
      <c r="I307" s="33"/>
    </row>
    <row r="308" ht="15.75" customHeight="1">
      <c r="A308" s="28">
        <v>45175.0</v>
      </c>
      <c r="B308" s="32"/>
      <c r="C308" s="29" t="s">
        <v>602</v>
      </c>
      <c r="D308" s="30" t="s">
        <v>266</v>
      </c>
      <c r="E308" s="30" t="s">
        <v>662</v>
      </c>
      <c r="F308" s="30">
        <v>0.0</v>
      </c>
      <c r="G308" s="30" t="s">
        <v>661</v>
      </c>
      <c r="H308" s="33"/>
      <c r="I308" s="33"/>
    </row>
    <row r="309" ht="15.75" customHeight="1">
      <c r="A309" s="28">
        <v>45175.0</v>
      </c>
      <c r="B309" s="32"/>
      <c r="C309" s="29" t="s">
        <v>602</v>
      </c>
      <c r="D309" s="30" t="s">
        <v>80</v>
      </c>
      <c r="E309" s="30" t="s">
        <v>663</v>
      </c>
      <c r="F309" s="30">
        <v>0.0</v>
      </c>
      <c r="G309" s="30" t="s">
        <v>661</v>
      </c>
      <c r="H309" s="33"/>
      <c r="I309" s="33"/>
    </row>
    <row r="310" ht="15.75" customHeight="1">
      <c r="A310" s="28">
        <v>45175.0</v>
      </c>
      <c r="B310" s="32"/>
      <c r="C310" s="29" t="s">
        <v>664</v>
      </c>
      <c r="D310" s="30" t="s">
        <v>83</v>
      </c>
      <c r="E310" s="30" t="s">
        <v>665</v>
      </c>
      <c r="F310" s="30">
        <v>0.0</v>
      </c>
      <c r="G310" s="29" t="s">
        <v>661</v>
      </c>
      <c r="H310" s="32"/>
      <c r="I310" s="32"/>
    </row>
    <row r="311" ht="15.75" customHeight="1">
      <c r="A311" s="28">
        <v>45175.0</v>
      </c>
      <c r="B311" s="32"/>
      <c r="C311" s="29" t="s">
        <v>602</v>
      </c>
      <c r="D311" s="30" t="s">
        <v>12</v>
      </c>
      <c r="E311" s="30" t="s">
        <v>13</v>
      </c>
      <c r="F311" s="30">
        <v>0.0</v>
      </c>
      <c r="G311" s="30" t="s">
        <v>661</v>
      </c>
      <c r="H311" s="33"/>
      <c r="I311" s="33"/>
    </row>
    <row r="312" ht="15.75" customHeight="1">
      <c r="A312" s="28">
        <v>45176.0</v>
      </c>
      <c r="B312" s="32"/>
      <c r="C312" s="29" t="s">
        <v>660</v>
      </c>
      <c r="D312" s="30" t="s">
        <v>104</v>
      </c>
      <c r="E312" s="31" t="s">
        <v>577</v>
      </c>
      <c r="F312" s="31">
        <v>0.0</v>
      </c>
      <c r="G312" s="30" t="s">
        <v>569</v>
      </c>
      <c r="H312" s="33"/>
      <c r="I312" s="33"/>
    </row>
    <row r="313" ht="15.75" customHeight="1">
      <c r="A313" s="28">
        <v>45176.0</v>
      </c>
      <c r="B313" s="32"/>
      <c r="C313" s="29" t="s">
        <v>660</v>
      </c>
      <c r="D313" s="30" t="s">
        <v>277</v>
      </c>
      <c r="E313" s="31" t="s">
        <v>642</v>
      </c>
      <c r="F313" s="31">
        <v>0.0</v>
      </c>
      <c r="G313" s="29" t="s">
        <v>569</v>
      </c>
      <c r="H313" s="32"/>
      <c r="I313" s="32"/>
    </row>
    <row r="314" ht="15.75" customHeight="1">
      <c r="A314" s="28">
        <v>45177.0</v>
      </c>
      <c r="B314" s="32"/>
      <c r="C314" s="29" t="s">
        <v>606</v>
      </c>
      <c r="D314" s="30" t="s">
        <v>316</v>
      </c>
      <c r="E314" s="31" t="s">
        <v>317</v>
      </c>
      <c r="F314" s="31">
        <v>0.0</v>
      </c>
      <c r="G314" s="32"/>
      <c r="H314" s="32"/>
      <c r="I314" s="32"/>
    </row>
    <row r="315" ht="15.75" customHeight="1">
      <c r="A315" s="28">
        <v>45177.0</v>
      </c>
      <c r="B315" s="32"/>
      <c r="C315" s="29" t="s">
        <v>606</v>
      </c>
      <c r="D315" s="30" t="s">
        <v>131</v>
      </c>
      <c r="E315" s="31" t="s">
        <v>132</v>
      </c>
      <c r="F315" s="31">
        <v>0.0</v>
      </c>
      <c r="G315" s="32"/>
      <c r="H315" s="32"/>
      <c r="I315" s="32"/>
    </row>
    <row r="316" ht="15.75" customHeight="1">
      <c r="A316" s="28">
        <v>45178.0</v>
      </c>
      <c r="B316" s="32"/>
      <c r="C316" s="29" t="s">
        <v>611</v>
      </c>
      <c r="D316" s="30" t="s">
        <v>316</v>
      </c>
      <c r="E316" s="30" t="s">
        <v>317</v>
      </c>
      <c r="F316" s="30">
        <v>2.0</v>
      </c>
      <c r="G316" s="29" t="s">
        <v>666</v>
      </c>
      <c r="H316" s="32"/>
      <c r="I316" s="32"/>
    </row>
    <row r="317" ht="15.75" customHeight="1">
      <c r="A317" s="28">
        <v>45178.0</v>
      </c>
      <c r="B317" s="32"/>
      <c r="C317" s="29" t="s">
        <v>611</v>
      </c>
      <c r="D317" s="30" t="s">
        <v>318</v>
      </c>
      <c r="E317" s="30" t="s">
        <v>319</v>
      </c>
      <c r="F317" s="30">
        <v>3.0</v>
      </c>
      <c r="G317" s="29" t="s">
        <v>666</v>
      </c>
      <c r="H317" s="32"/>
      <c r="I317" s="32"/>
    </row>
    <row r="318" ht="15.75" customHeight="1">
      <c r="A318" s="28">
        <v>45180.0</v>
      </c>
      <c r="B318" s="32"/>
      <c r="C318" s="29" t="s">
        <v>606</v>
      </c>
      <c r="D318" s="30" t="s">
        <v>316</v>
      </c>
      <c r="E318" s="30" t="s">
        <v>317</v>
      </c>
      <c r="F318" s="30">
        <v>1.0</v>
      </c>
      <c r="G318" s="29" t="s">
        <v>667</v>
      </c>
      <c r="H318" s="32"/>
      <c r="I318" s="32"/>
    </row>
    <row r="319" ht="15.75" customHeight="1">
      <c r="A319" s="28">
        <v>45180.0</v>
      </c>
      <c r="B319" s="32"/>
      <c r="C319" s="29" t="s">
        <v>606</v>
      </c>
      <c r="D319" s="30" t="s">
        <v>21</v>
      </c>
      <c r="E319" s="31" t="s">
        <v>604</v>
      </c>
      <c r="F319" s="31">
        <v>0.0</v>
      </c>
      <c r="G319" s="32"/>
      <c r="H319" s="32"/>
      <c r="I319" s="32"/>
    </row>
    <row r="320" ht="15.75" customHeight="1">
      <c r="A320" s="28">
        <v>45180.0</v>
      </c>
      <c r="B320" s="32"/>
      <c r="C320" s="29" t="s">
        <v>606</v>
      </c>
      <c r="D320" s="30" t="s">
        <v>131</v>
      </c>
      <c r="E320" s="31" t="s">
        <v>132</v>
      </c>
      <c r="F320" s="31">
        <v>0.0</v>
      </c>
      <c r="G320" s="32"/>
      <c r="H320" s="32"/>
      <c r="I320" s="32"/>
    </row>
    <row r="321" ht="15.75" customHeight="1">
      <c r="A321" s="28">
        <v>45181.0</v>
      </c>
      <c r="B321" s="32"/>
      <c r="C321" s="29" t="s">
        <v>658</v>
      </c>
      <c r="D321" s="30" t="s">
        <v>21</v>
      </c>
      <c r="E321" s="31" t="s">
        <v>604</v>
      </c>
      <c r="F321" s="31">
        <v>0.0</v>
      </c>
      <c r="G321" s="29" t="s">
        <v>560</v>
      </c>
      <c r="H321" s="32"/>
      <c r="I321" s="32"/>
    </row>
    <row r="322" ht="15.75" customHeight="1">
      <c r="A322" s="28">
        <v>45181.0</v>
      </c>
      <c r="B322" s="32"/>
      <c r="C322" s="29" t="s">
        <v>658</v>
      </c>
      <c r="D322" s="30" t="s">
        <v>400</v>
      </c>
      <c r="E322" s="31" t="s">
        <v>401</v>
      </c>
      <c r="F322" s="31">
        <v>0.0</v>
      </c>
      <c r="G322" s="29" t="s">
        <v>560</v>
      </c>
      <c r="H322" s="32"/>
      <c r="I322" s="32"/>
    </row>
    <row r="323" ht="15.75" customHeight="1">
      <c r="A323" s="28">
        <v>45181.0</v>
      </c>
      <c r="B323" s="32"/>
      <c r="C323" s="29" t="s">
        <v>658</v>
      </c>
      <c r="D323" s="30" t="s">
        <v>316</v>
      </c>
      <c r="E323" s="31" t="s">
        <v>317</v>
      </c>
      <c r="F323" s="31">
        <v>0.0</v>
      </c>
      <c r="G323" s="30" t="s">
        <v>560</v>
      </c>
      <c r="H323" s="33"/>
      <c r="I323" s="33"/>
    </row>
    <row r="324" ht="15.75" customHeight="1">
      <c r="A324" s="28">
        <v>45181.0</v>
      </c>
      <c r="B324" s="32"/>
      <c r="C324" s="29" t="s">
        <v>660</v>
      </c>
      <c r="D324" s="30" t="s">
        <v>131</v>
      </c>
      <c r="E324" s="31" t="s">
        <v>132</v>
      </c>
      <c r="F324" s="31">
        <v>0.0</v>
      </c>
      <c r="G324" s="30" t="s">
        <v>560</v>
      </c>
      <c r="H324" s="33"/>
      <c r="I324" s="33"/>
    </row>
    <row r="325" ht="15.75" customHeight="1">
      <c r="A325" s="28">
        <v>45183.0</v>
      </c>
      <c r="B325" s="32"/>
      <c r="C325" s="29" t="s">
        <v>606</v>
      </c>
      <c r="D325" s="30" t="s">
        <v>131</v>
      </c>
      <c r="E325" s="31" t="s">
        <v>317</v>
      </c>
      <c r="F325" s="31">
        <v>0.0</v>
      </c>
      <c r="G325" s="29" t="s">
        <v>560</v>
      </c>
      <c r="H325" s="32"/>
      <c r="I325" s="32"/>
    </row>
    <row r="326" ht="15.75" customHeight="1">
      <c r="A326" s="28">
        <v>45183.0</v>
      </c>
      <c r="B326" s="32"/>
      <c r="C326" s="29" t="s">
        <v>658</v>
      </c>
      <c r="D326" s="30" t="s">
        <v>21</v>
      </c>
      <c r="E326" s="31" t="s">
        <v>604</v>
      </c>
      <c r="F326" s="31">
        <v>0.0</v>
      </c>
      <c r="G326" s="30" t="s">
        <v>560</v>
      </c>
      <c r="H326" s="33"/>
      <c r="I326" s="33"/>
    </row>
    <row r="327" ht="15.75" customHeight="1">
      <c r="A327" s="28">
        <v>45183.0</v>
      </c>
      <c r="B327" s="32"/>
      <c r="C327" s="29" t="s">
        <v>658</v>
      </c>
      <c r="D327" s="30" t="s">
        <v>400</v>
      </c>
      <c r="E327" s="31" t="s">
        <v>401</v>
      </c>
      <c r="F327" s="31">
        <v>0.0</v>
      </c>
      <c r="G327" s="29" t="s">
        <v>560</v>
      </c>
      <c r="H327" s="32"/>
      <c r="I327" s="32"/>
    </row>
    <row r="328" ht="15.75" customHeight="1">
      <c r="A328" s="28">
        <v>45152.0</v>
      </c>
      <c r="B328" s="32"/>
      <c r="C328" s="29" t="s">
        <v>624</v>
      </c>
      <c r="D328" s="30" t="s">
        <v>80</v>
      </c>
      <c r="E328" s="31" t="s">
        <v>663</v>
      </c>
      <c r="F328" s="31">
        <v>0.0</v>
      </c>
      <c r="G328" s="32"/>
      <c r="H328" s="32"/>
      <c r="I328" s="32"/>
    </row>
    <row r="329" ht="15.75" customHeight="1">
      <c r="A329" s="28">
        <v>45183.0</v>
      </c>
      <c r="B329" s="32"/>
      <c r="C329" s="29" t="s">
        <v>624</v>
      </c>
      <c r="D329" s="30" t="s">
        <v>12</v>
      </c>
      <c r="E329" s="31" t="s">
        <v>13</v>
      </c>
      <c r="F329" s="31">
        <v>0.0</v>
      </c>
      <c r="G329" s="32"/>
      <c r="H329" s="32"/>
      <c r="I329" s="32"/>
    </row>
    <row r="330" ht="15.75" customHeight="1">
      <c r="A330" s="28">
        <v>45183.0</v>
      </c>
      <c r="B330" s="32"/>
      <c r="C330" s="29" t="s">
        <v>630</v>
      </c>
      <c r="D330" s="30" t="s">
        <v>21</v>
      </c>
      <c r="E330" s="31" t="s">
        <v>604</v>
      </c>
      <c r="F330" s="31">
        <v>0.0</v>
      </c>
      <c r="G330" s="32"/>
      <c r="H330" s="32"/>
      <c r="I330" s="32"/>
    </row>
    <row r="331" ht="15.75" customHeight="1">
      <c r="A331" s="28">
        <v>45184.0</v>
      </c>
      <c r="B331" s="32"/>
      <c r="C331" s="29" t="s">
        <v>566</v>
      </c>
      <c r="D331" s="30" t="s">
        <v>131</v>
      </c>
      <c r="E331" s="31" t="s">
        <v>317</v>
      </c>
      <c r="F331" s="31">
        <v>0.0</v>
      </c>
      <c r="G331" s="32"/>
      <c r="H331" s="32"/>
      <c r="I331" s="32"/>
    </row>
    <row r="332" ht="15.75" customHeight="1">
      <c r="A332" s="28">
        <v>45184.0</v>
      </c>
      <c r="B332" s="32"/>
      <c r="C332" s="29" t="s">
        <v>606</v>
      </c>
      <c r="D332" s="30" t="s">
        <v>80</v>
      </c>
      <c r="E332" s="31" t="s">
        <v>663</v>
      </c>
      <c r="F332" s="31">
        <v>0.0</v>
      </c>
      <c r="G332" s="32"/>
      <c r="H332" s="32"/>
      <c r="I332" s="32"/>
    </row>
    <row r="333" ht="15.75" customHeight="1">
      <c r="A333" s="28">
        <v>45184.0</v>
      </c>
      <c r="B333" s="32"/>
      <c r="C333" s="29" t="s">
        <v>606</v>
      </c>
      <c r="D333" s="30" t="s">
        <v>12</v>
      </c>
      <c r="E333" s="31" t="s">
        <v>13</v>
      </c>
      <c r="F333" s="31">
        <v>0.0</v>
      </c>
      <c r="G333" s="32"/>
      <c r="H333" s="32"/>
      <c r="I333" s="32"/>
    </row>
    <row r="334" ht="15.75" customHeight="1">
      <c r="A334" s="28">
        <v>45184.0</v>
      </c>
      <c r="B334" s="32"/>
      <c r="C334" s="29" t="s">
        <v>668</v>
      </c>
      <c r="D334" s="30" t="s">
        <v>80</v>
      </c>
      <c r="E334" s="31" t="s">
        <v>663</v>
      </c>
      <c r="F334" s="31">
        <v>0.0</v>
      </c>
      <c r="G334" s="32"/>
      <c r="H334" s="32"/>
      <c r="I334" s="32"/>
    </row>
    <row r="335" ht="15.75" customHeight="1">
      <c r="A335" s="28">
        <v>45184.0</v>
      </c>
      <c r="B335" s="32"/>
      <c r="C335" s="29" t="s">
        <v>668</v>
      </c>
      <c r="D335" s="30" t="s">
        <v>12</v>
      </c>
      <c r="E335" s="31" t="s">
        <v>13</v>
      </c>
      <c r="F335" s="31">
        <v>0.0</v>
      </c>
      <c r="G335" s="32"/>
      <c r="H335" s="32"/>
      <c r="I335" s="32"/>
    </row>
    <row r="336" ht="15.75" customHeight="1">
      <c r="A336" s="28">
        <v>45184.0</v>
      </c>
      <c r="B336" s="32"/>
      <c r="C336" s="29" t="s">
        <v>606</v>
      </c>
      <c r="D336" s="30" t="s">
        <v>131</v>
      </c>
      <c r="E336" s="31" t="s">
        <v>317</v>
      </c>
      <c r="F336" s="31">
        <v>0.0</v>
      </c>
      <c r="G336" s="32"/>
      <c r="H336" s="32"/>
      <c r="I336" s="32"/>
    </row>
    <row r="337" ht="15.75" customHeight="1">
      <c r="A337" s="28">
        <v>45185.0</v>
      </c>
      <c r="B337" s="32"/>
      <c r="C337" s="29" t="s">
        <v>606</v>
      </c>
      <c r="D337" s="30" t="s">
        <v>80</v>
      </c>
      <c r="E337" s="31" t="s">
        <v>663</v>
      </c>
      <c r="F337" s="31">
        <v>0.0</v>
      </c>
      <c r="G337" s="32"/>
      <c r="H337" s="32"/>
      <c r="I337" s="32"/>
    </row>
    <row r="338" ht="15.75" customHeight="1">
      <c r="A338" s="28">
        <v>45185.0</v>
      </c>
      <c r="B338" s="32"/>
      <c r="C338" s="29" t="s">
        <v>606</v>
      </c>
      <c r="D338" s="30" t="s">
        <v>12</v>
      </c>
      <c r="E338" s="31" t="s">
        <v>13</v>
      </c>
      <c r="F338" s="31">
        <v>0.0</v>
      </c>
      <c r="G338" s="32"/>
      <c r="H338" s="32"/>
      <c r="I338" s="32"/>
    </row>
    <row r="339" ht="15.75" customHeight="1">
      <c r="A339" s="41">
        <v>45185.0</v>
      </c>
      <c r="B339" s="32"/>
      <c r="C339" s="29" t="s">
        <v>606</v>
      </c>
      <c r="D339" s="30" t="s">
        <v>131</v>
      </c>
      <c r="E339" s="31" t="s">
        <v>317</v>
      </c>
      <c r="F339" s="31">
        <v>0.0</v>
      </c>
      <c r="G339" s="32"/>
      <c r="H339" s="32"/>
      <c r="I339" s="32"/>
    </row>
    <row r="340" ht="15.75" customHeight="1">
      <c r="A340" s="28">
        <v>45185.0</v>
      </c>
      <c r="B340" s="32"/>
      <c r="C340" s="29" t="s">
        <v>658</v>
      </c>
      <c r="D340" s="30" t="s">
        <v>131</v>
      </c>
      <c r="E340" s="31" t="s">
        <v>317</v>
      </c>
      <c r="F340" s="31">
        <v>0.0</v>
      </c>
      <c r="G340" s="32"/>
      <c r="H340" s="32"/>
      <c r="I340" s="32"/>
    </row>
    <row r="341" ht="15.75" customHeight="1">
      <c r="A341" s="28">
        <v>45187.0</v>
      </c>
      <c r="B341" s="32"/>
      <c r="C341" s="29" t="s">
        <v>566</v>
      </c>
      <c r="D341" s="30" t="s">
        <v>12</v>
      </c>
      <c r="E341" s="30" t="s">
        <v>13</v>
      </c>
      <c r="F341" s="30">
        <v>0.0</v>
      </c>
      <c r="G341" s="32"/>
      <c r="H341" s="32"/>
      <c r="I341" s="32"/>
    </row>
    <row r="342" ht="15.75" customHeight="1">
      <c r="A342" s="28">
        <v>45187.0</v>
      </c>
      <c r="B342" s="32"/>
      <c r="C342" s="29" t="s">
        <v>566</v>
      </c>
      <c r="D342" s="30" t="s">
        <v>80</v>
      </c>
      <c r="E342" s="30" t="s">
        <v>558</v>
      </c>
      <c r="F342" s="30">
        <v>0.0</v>
      </c>
      <c r="G342" s="32"/>
      <c r="H342" s="32"/>
      <c r="I342" s="32"/>
    </row>
    <row r="343" ht="15.75" customHeight="1">
      <c r="A343" s="28">
        <v>45156.0</v>
      </c>
      <c r="B343" s="32"/>
      <c r="C343" s="29" t="s">
        <v>669</v>
      </c>
      <c r="D343" s="30" t="s">
        <v>239</v>
      </c>
      <c r="E343" s="30" t="s">
        <v>240</v>
      </c>
      <c r="F343" s="30">
        <v>0.0</v>
      </c>
      <c r="G343" s="32"/>
      <c r="H343" s="32"/>
      <c r="I343" s="32"/>
    </row>
    <row r="344" ht="15.75" customHeight="1">
      <c r="A344" s="28">
        <v>45187.0</v>
      </c>
      <c r="B344" s="32"/>
      <c r="C344" s="29" t="s">
        <v>658</v>
      </c>
      <c r="D344" s="30" t="s">
        <v>21</v>
      </c>
      <c r="E344" s="31" t="s">
        <v>604</v>
      </c>
      <c r="F344" s="31">
        <v>0.0</v>
      </c>
      <c r="G344" s="32"/>
      <c r="H344" s="32"/>
      <c r="I344" s="32"/>
    </row>
    <row r="345" ht="15.75" customHeight="1">
      <c r="A345" s="28">
        <v>45187.0</v>
      </c>
      <c r="B345" s="32"/>
      <c r="C345" s="29" t="s">
        <v>658</v>
      </c>
      <c r="D345" s="30" t="s">
        <v>131</v>
      </c>
      <c r="E345" s="30" t="s">
        <v>317</v>
      </c>
      <c r="F345" s="30">
        <v>0.0</v>
      </c>
      <c r="G345" s="32"/>
      <c r="H345" s="32"/>
      <c r="I345" s="32"/>
    </row>
    <row r="346" ht="15.75" customHeight="1">
      <c r="A346" s="32"/>
      <c r="B346" s="32"/>
      <c r="C346" s="32"/>
      <c r="D346" s="33"/>
      <c r="E346" s="30" t="str">
        <f>IFERROR(VLOOKUP(D346,'PAÑOL TÉCNICO'!A263:B1000,2,0))</f>
        <v/>
      </c>
      <c r="F346" s="33"/>
      <c r="G346" s="32"/>
      <c r="H346" s="32"/>
      <c r="I346" s="32"/>
    </row>
    <row r="347" ht="15.75" customHeight="1">
      <c r="A347" s="32"/>
      <c r="B347" s="32"/>
      <c r="C347" s="32"/>
      <c r="D347" s="33"/>
      <c r="E347" s="30" t="str">
        <f>IFERROR(VLOOKUP(D347,'PAÑOL TÉCNICO'!A264:B1000,2,0))</f>
        <v/>
      </c>
      <c r="F347" s="33"/>
      <c r="G347" s="32"/>
      <c r="H347" s="42"/>
      <c r="I347" s="42"/>
    </row>
    <row r="348" ht="15.75" customHeight="1">
      <c r="A348" s="32"/>
      <c r="B348" s="32"/>
      <c r="C348" s="32"/>
      <c r="D348" s="33"/>
      <c r="E348" s="30" t="str">
        <f>IFERROR(VLOOKUP(D348,'PAÑOL TÉCNICO'!A265:B1000,2,0))</f>
        <v/>
      </c>
      <c r="F348" s="33"/>
      <c r="G348" s="33"/>
      <c r="H348" s="33"/>
      <c r="I348" s="33"/>
    </row>
    <row r="349" ht="15.75" customHeight="1">
      <c r="A349" s="32"/>
      <c r="B349" s="32"/>
      <c r="C349" s="32"/>
      <c r="D349" s="33"/>
      <c r="E349" s="30" t="str">
        <f>IFERROR(VLOOKUP(D349,'PAÑOL TÉCNICO'!A266:B1000,2,0))</f>
        <v/>
      </c>
      <c r="F349" s="33"/>
      <c r="G349" s="33"/>
      <c r="H349" s="33"/>
      <c r="I349" s="33"/>
    </row>
    <row r="350" ht="15.75" customHeight="1">
      <c r="A350" s="32"/>
      <c r="B350" s="32"/>
      <c r="C350" s="32"/>
      <c r="D350" s="33"/>
      <c r="E350" s="30" t="str">
        <f>IFERROR(VLOOKUP(D350,'PAÑOL TÉCNICO'!A267:B1000,2,0))</f>
        <v/>
      </c>
      <c r="F350" s="33"/>
      <c r="G350" s="33"/>
      <c r="H350" s="33"/>
      <c r="I350" s="33"/>
    </row>
    <row r="351" ht="15.75" customHeight="1">
      <c r="A351" s="32"/>
      <c r="B351" s="32"/>
      <c r="C351" s="32"/>
      <c r="D351" s="33"/>
      <c r="E351" s="30" t="str">
        <f>IFERROR(VLOOKUP(D351,'PAÑOL TÉCNICO'!A268:B1000,2,0))</f>
        <v/>
      </c>
      <c r="F351" s="33"/>
      <c r="G351" s="33"/>
      <c r="H351" s="33"/>
      <c r="I351" s="33"/>
    </row>
    <row r="352" ht="15.75" customHeight="1">
      <c r="A352" s="32"/>
      <c r="B352" s="32"/>
      <c r="C352" s="32"/>
      <c r="D352" s="33"/>
      <c r="E352" s="30" t="str">
        <f>IFERROR(VLOOKUP(D352,'PAÑOL TÉCNICO'!A269:B1000,2,0))</f>
        <v/>
      </c>
      <c r="F352" s="33"/>
      <c r="G352" s="33"/>
      <c r="H352" s="33"/>
      <c r="I352" s="33"/>
    </row>
    <row r="353" ht="15.75" customHeight="1">
      <c r="A353" s="32"/>
      <c r="B353" s="32"/>
      <c r="C353" s="32"/>
      <c r="D353" s="33"/>
      <c r="E353" s="30" t="str">
        <f>IFERROR(VLOOKUP(D353,'PAÑOL TÉCNICO'!A270:B1000,2,0))</f>
        <v/>
      </c>
      <c r="F353" s="33"/>
      <c r="G353" s="33"/>
      <c r="H353" s="33"/>
      <c r="I353" s="33"/>
    </row>
    <row r="354" ht="15.75" customHeight="1">
      <c r="A354" s="32"/>
      <c r="B354" s="32"/>
      <c r="C354" s="32"/>
      <c r="D354" s="33"/>
      <c r="E354" s="30" t="str">
        <f>IFERROR(VLOOKUP(D354,'PAÑOL TÉCNICO'!A271:B1000,2,0))</f>
        <v/>
      </c>
      <c r="F354" s="33"/>
      <c r="G354" s="33"/>
      <c r="H354" s="33"/>
      <c r="I354" s="33"/>
    </row>
    <row r="355" ht="15.75" customHeight="1">
      <c r="A355" s="32"/>
      <c r="B355" s="32"/>
      <c r="C355" s="32"/>
      <c r="D355" s="33"/>
      <c r="E355" s="30" t="str">
        <f>IFERROR(VLOOKUP(D355,'PAÑOL TÉCNICO'!A272:B1000,2,0))</f>
        <v/>
      </c>
      <c r="F355" s="33"/>
      <c r="G355" s="33"/>
      <c r="H355" s="33"/>
      <c r="I355" s="33"/>
    </row>
    <row r="356" ht="15.75" customHeight="1">
      <c r="A356" s="32"/>
      <c r="B356" s="32"/>
      <c r="C356" s="32"/>
      <c r="D356" s="33"/>
      <c r="E356" s="30" t="str">
        <f>IFERROR(VLOOKUP(D356,'PAÑOL TÉCNICO'!A273:B1000,2,0))</f>
        <v/>
      </c>
      <c r="F356" s="33"/>
      <c r="G356" s="33"/>
      <c r="H356" s="33"/>
      <c r="I356" s="33"/>
    </row>
    <row r="357" ht="15.75" customHeight="1">
      <c r="A357" s="32"/>
      <c r="B357" s="32"/>
      <c r="C357" s="32"/>
      <c r="D357" s="33"/>
      <c r="E357" s="30" t="str">
        <f>IFERROR(VLOOKUP(D357,'PAÑOL TÉCNICO'!A274:B1000,2,0))</f>
        <v/>
      </c>
      <c r="F357" s="33"/>
      <c r="G357" s="33"/>
      <c r="H357" s="33"/>
      <c r="I357" s="33"/>
    </row>
    <row r="358" ht="15.75" customHeight="1">
      <c r="A358" s="32"/>
      <c r="B358" s="32"/>
      <c r="C358" s="32"/>
      <c r="D358" s="33"/>
      <c r="E358" s="30" t="str">
        <f>IFERROR(VLOOKUP(D358,'PAÑOL TÉCNICO'!A275:B1000,2,0))</f>
        <v/>
      </c>
      <c r="F358" s="33"/>
      <c r="G358" s="33"/>
      <c r="H358" s="33"/>
      <c r="I358" s="33"/>
    </row>
    <row r="359" ht="15.75" customHeight="1">
      <c r="A359" s="32"/>
      <c r="B359" s="32"/>
      <c r="C359" s="32"/>
      <c r="D359" s="33"/>
      <c r="E359" s="30" t="str">
        <f>IFERROR(VLOOKUP(D359,'PAÑOL TÉCNICO'!A276:B1000,2,0))</f>
        <v/>
      </c>
      <c r="F359" s="33"/>
      <c r="G359" s="33"/>
      <c r="H359" s="33"/>
      <c r="I359" s="33"/>
    </row>
    <row r="360" ht="15.75" customHeight="1">
      <c r="A360" s="32"/>
      <c r="B360" s="32"/>
      <c r="C360" s="32"/>
      <c r="D360" s="33"/>
      <c r="E360" s="30" t="str">
        <f>IFERROR(VLOOKUP(D360,'PAÑOL TÉCNICO'!A277:B1000,2,0))</f>
        <v/>
      </c>
      <c r="F360" s="33"/>
      <c r="G360" s="33"/>
      <c r="H360" s="33"/>
      <c r="I360" s="33"/>
    </row>
    <row r="361" ht="15.75" customHeight="1">
      <c r="A361" s="32"/>
      <c r="B361" s="32"/>
      <c r="C361" s="32"/>
      <c r="D361" s="33"/>
      <c r="E361" s="30" t="str">
        <f>IFERROR(VLOOKUP(D361,'PAÑOL TÉCNICO'!A278:B1000,2,0))</f>
        <v/>
      </c>
      <c r="F361" s="33"/>
      <c r="G361" s="33"/>
      <c r="H361" s="33"/>
      <c r="I361" s="33"/>
    </row>
    <row r="362" ht="15.75" customHeight="1">
      <c r="A362" s="32"/>
      <c r="B362" s="32"/>
      <c r="C362" s="32"/>
      <c r="D362" s="33"/>
      <c r="E362" s="30" t="str">
        <f>IFERROR(VLOOKUP(D362,'PAÑOL TÉCNICO'!A279:B1000,2,0))</f>
        <v/>
      </c>
      <c r="F362" s="33"/>
      <c r="G362" s="33"/>
      <c r="H362" s="33"/>
      <c r="I362" s="33"/>
    </row>
    <row r="363" ht="15.75" customHeight="1">
      <c r="A363" s="32"/>
      <c r="B363" s="32"/>
      <c r="C363" s="32"/>
      <c r="D363" s="33"/>
      <c r="E363" s="30" t="str">
        <f>IFERROR(VLOOKUP(D363,'PAÑOL TÉCNICO'!A280:B1000,2,0))</f>
        <v/>
      </c>
      <c r="F363" s="33"/>
      <c r="G363" s="33"/>
      <c r="H363" s="33"/>
      <c r="I363" s="33"/>
    </row>
    <row r="364" ht="15.75" customHeight="1">
      <c r="A364" s="32"/>
      <c r="B364" s="32"/>
      <c r="C364" s="32"/>
      <c r="D364" s="33"/>
      <c r="E364" s="30" t="str">
        <f>IFERROR(VLOOKUP(D364,'PAÑOL TÉCNICO'!A281:B1000,2,0))</f>
        <v/>
      </c>
      <c r="F364" s="33"/>
      <c r="G364" s="33"/>
      <c r="H364" s="33"/>
      <c r="I364" s="33"/>
    </row>
    <row r="365" ht="15.75" customHeight="1">
      <c r="A365" s="32"/>
      <c r="B365" s="32"/>
      <c r="C365" s="32"/>
      <c r="D365" s="33"/>
      <c r="E365" s="30" t="str">
        <f>IFERROR(VLOOKUP(D365,'PAÑOL TÉCNICO'!A282:B1000,2,0))</f>
        <v/>
      </c>
      <c r="F365" s="33"/>
      <c r="G365" s="32"/>
      <c r="H365" s="32"/>
      <c r="I365" s="32"/>
    </row>
    <row r="366" ht="15.75" customHeight="1">
      <c r="A366" s="32"/>
      <c r="B366" s="32"/>
      <c r="C366" s="32"/>
      <c r="D366" s="33"/>
      <c r="E366" s="30" t="str">
        <f>IFERROR(VLOOKUP(D366,'PAÑOL TÉCNICO'!A283:B1000,2,0))</f>
        <v/>
      </c>
      <c r="F366" s="33"/>
      <c r="G366" s="32"/>
      <c r="H366" s="32"/>
      <c r="I366" s="32"/>
    </row>
    <row r="367" ht="15.75" customHeight="1">
      <c r="A367" s="32"/>
      <c r="B367" s="32"/>
      <c r="C367" s="32"/>
      <c r="D367" s="33"/>
      <c r="E367" s="30" t="str">
        <f>IFERROR(VLOOKUP(D367,'PAÑOL TÉCNICO'!A284:B1000,2,0))</f>
        <v/>
      </c>
      <c r="F367" s="33"/>
      <c r="G367" s="32"/>
      <c r="H367" s="32"/>
      <c r="I367" s="32"/>
    </row>
    <row r="368" ht="15.75" customHeight="1">
      <c r="A368" s="32"/>
      <c r="B368" s="32"/>
      <c r="C368" s="32"/>
      <c r="D368" s="33"/>
      <c r="E368" s="30" t="str">
        <f>IFERROR(VLOOKUP(D368,'PAÑOL TÉCNICO'!A285:B1000,2,0))</f>
        <v/>
      </c>
      <c r="F368" s="33"/>
      <c r="G368" s="33"/>
      <c r="H368" s="33"/>
      <c r="I368" s="33"/>
    </row>
    <row r="369" ht="15.75" customHeight="1">
      <c r="A369" s="32"/>
      <c r="B369" s="32"/>
      <c r="C369" s="32"/>
      <c r="D369" s="33"/>
      <c r="E369" s="30" t="str">
        <f>IFERROR(VLOOKUP(D369,'PAÑOL TÉCNICO'!A286:B1000,2,0))</f>
        <v/>
      </c>
      <c r="F369" s="33"/>
      <c r="G369" s="33"/>
      <c r="H369" s="33"/>
      <c r="I369" s="33"/>
    </row>
    <row r="370" ht="15.75" customHeight="1">
      <c r="A370" s="32"/>
      <c r="B370" s="32"/>
      <c r="C370" s="32"/>
      <c r="D370" s="33"/>
      <c r="E370" s="30" t="str">
        <f>IFERROR(VLOOKUP(D370,'PAÑOL TÉCNICO'!A287:B1000,2,0))</f>
        <v/>
      </c>
      <c r="F370" s="33"/>
      <c r="G370" s="33"/>
      <c r="H370" s="32"/>
      <c r="I370" s="32"/>
    </row>
    <row r="371" ht="15.75" customHeight="1">
      <c r="A371" s="32"/>
      <c r="B371" s="32"/>
      <c r="C371" s="32"/>
      <c r="D371" s="33"/>
      <c r="E371" s="30" t="str">
        <f>IFERROR(VLOOKUP(D371,'PAÑOL TÉCNICO'!A288:B1000,2,0))</f>
        <v/>
      </c>
      <c r="F371" s="33"/>
      <c r="G371" s="32"/>
      <c r="H371" s="32"/>
      <c r="I371" s="32"/>
    </row>
    <row r="372" ht="15.75" customHeight="1">
      <c r="A372" s="32"/>
      <c r="B372" s="32"/>
      <c r="C372" s="32"/>
      <c r="D372" s="33"/>
      <c r="E372" s="30" t="str">
        <f>IFERROR(VLOOKUP(D372,'PAÑOL TÉCNICO'!A289:B1000,2,0))</f>
        <v/>
      </c>
      <c r="F372" s="33"/>
      <c r="G372" s="32"/>
      <c r="H372" s="32"/>
      <c r="I372" s="32"/>
    </row>
    <row r="373" ht="15.75" customHeight="1">
      <c r="A373" s="32"/>
      <c r="B373" s="32"/>
      <c r="C373" s="32"/>
      <c r="D373" s="33"/>
      <c r="E373" s="30" t="str">
        <f>IFERROR(VLOOKUP(D373,'PAÑOL TÉCNICO'!A290:B1000,2,0))</f>
        <v/>
      </c>
      <c r="F373" s="33"/>
      <c r="G373" s="32"/>
      <c r="H373" s="32"/>
      <c r="I373" s="32"/>
    </row>
    <row r="374" ht="15.75" customHeight="1">
      <c r="A374" s="32"/>
      <c r="B374" s="32"/>
      <c r="C374" s="32"/>
      <c r="D374" s="33"/>
      <c r="E374" s="30" t="str">
        <f>IFERROR(VLOOKUP(D374,'PAÑOL TÉCNICO'!A291:B1000,2,0))</f>
        <v/>
      </c>
      <c r="F374" s="33"/>
      <c r="G374" s="32"/>
      <c r="H374" s="32"/>
      <c r="I374" s="32"/>
    </row>
    <row r="375" ht="15.75" customHeight="1">
      <c r="A375" s="32"/>
      <c r="B375" s="32"/>
      <c r="C375" s="32"/>
      <c r="D375" s="33"/>
      <c r="E375" s="30" t="str">
        <f>IFERROR(VLOOKUP(D375,'PAÑOL TÉCNICO'!A292:B1000,2,0))</f>
        <v/>
      </c>
      <c r="F375" s="33"/>
      <c r="G375" s="32"/>
      <c r="H375" s="32"/>
      <c r="I375" s="32"/>
    </row>
    <row r="376" ht="15.75" customHeight="1">
      <c r="A376" s="32"/>
      <c r="B376" s="32"/>
      <c r="C376" s="32"/>
      <c r="D376" s="33"/>
      <c r="E376" s="30" t="str">
        <f>IFERROR(VLOOKUP(D376,'PAÑOL TÉCNICO'!A293:B1000,2,0))</f>
        <v/>
      </c>
      <c r="F376" s="33"/>
      <c r="G376" s="32"/>
      <c r="H376" s="32"/>
      <c r="I376" s="32"/>
    </row>
    <row r="377" ht="15.75" customHeight="1">
      <c r="A377" s="32"/>
      <c r="B377" s="32"/>
      <c r="C377" s="32"/>
      <c r="D377" s="33"/>
      <c r="E377" s="30" t="str">
        <f>IFERROR(VLOOKUP(D377,'PAÑOL TÉCNICO'!A294:B1000,2,0))</f>
        <v/>
      </c>
      <c r="F377" s="33"/>
      <c r="G377" s="32"/>
      <c r="H377" s="32"/>
      <c r="I377" s="32"/>
    </row>
    <row r="378" ht="15.75" customHeight="1">
      <c r="A378" s="32"/>
      <c r="B378" s="32"/>
      <c r="C378" s="32"/>
      <c r="D378" s="33"/>
      <c r="E378" s="30" t="str">
        <f>IFERROR(VLOOKUP(D378,'PAÑOL TÉCNICO'!A295:B1000,2,0))</f>
        <v/>
      </c>
      <c r="F378" s="33"/>
      <c r="G378" s="32"/>
      <c r="H378" s="32"/>
      <c r="I378" s="32"/>
    </row>
    <row r="379" ht="15.75" customHeight="1">
      <c r="A379" s="32"/>
      <c r="B379" s="32"/>
      <c r="C379" s="32"/>
      <c r="D379" s="33"/>
      <c r="E379" s="30" t="str">
        <f>IFERROR(VLOOKUP(D379,'PAÑOL TÉCNICO'!A296:B1000,2,0))</f>
        <v/>
      </c>
      <c r="F379" s="33"/>
      <c r="G379" s="32"/>
      <c r="H379" s="32"/>
      <c r="I379" s="32"/>
    </row>
    <row r="380" ht="15.75" customHeight="1">
      <c r="A380" s="32"/>
      <c r="B380" s="32"/>
      <c r="C380" s="32"/>
      <c r="D380" s="33"/>
      <c r="E380" s="30" t="str">
        <f>IFERROR(VLOOKUP(D380,'PAÑOL TÉCNICO'!A297:B1000,2,0))</f>
        <v/>
      </c>
      <c r="F380" s="33"/>
      <c r="G380" s="32"/>
      <c r="H380" s="32"/>
      <c r="I380" s="32"/>
    </row>
    <row r="381" ht="15.75" customHeight="1">
      <c r="A381" s="32"/>
      <c r="B381" s="32"/>
      <c r="C381" s="32"/>
      <c r="D381" s="33"/>
      <c r="E381" s="30" t="str">
        <f>IFERROR(VLOOKUP(D381,'PAÑOL TÉCNICO'!A298:B1000,2,0))</f>
        <v/>
      </c>
      <c r="F381" s="33"/>
      <c r="G381" s="32"/>
      <c r="H381" s="32"/>
      <c r="I381" s="32"/>
    </row>
    <row r="382" ht="15.75" customHeight="1">
      <c r="A382" s="32"/>
      <c r="B382" s="32"/>
      <c r="C382" s="32"/>
      <c r="D382" s="33"/>
      <c r="E382" s="30" t="str">
        <f>IFERROR(VLOOKUP(D382,'PAÑOL TÉCNICO'!A299:B1000,2,0))</f>
        <v/>
      </c>
      <c r="F382" s="33"/>
      <c r="G382" s="32"/>
      <c r="H382" s="32"/>
      <c r="I382" s="32"/>
    </row>
    <row r="383" ht="15.75" customHeight="1">
      <c r="A383" s="32"/>
      <c r="B383" s="32"/>
      <c r="C383" s="32"/>
      <c r="D383" s="33"/>
      <c r="E383" s="30" t="str">
        <f>IFERROR(VLOOKUP(D383,'PAÑOL TÉCNICO'!A300:B1000,2,0))</f>
        <v/>
      </c>
      <c r="F383" s="33"/>
      <c r="G383" s="32"/>
      <c r="H383" s="32"/>
      <c r="I383" s="32"/>
    </row>
    <row r="384" ht="15.75" customHeight="1">
      <c r="A384" s="32"/>
      <c r="B384" s="32"/>
      <c r="C384" s="32"/>
      <c r="D384" s="33"/>
      <c r="E384" s="30" t="str">
        <f>IFERROR(VLOOKUP(D384,'PAÑOL TÉCNICO'!A301:B1000,2,0))</f>
        <v/>
      </c>
      <c r="F384" s="33"/>
      <c r="G384" s="32"/>
      <c r="H384" s="32"/>
      <c r="I384" s="32"/>
    </row>
    <row r="385" ht="15.75" customHeight="1">
      <c r="A385" s="32"/>
      <c r="B385" s="32"/>
      <c r="C385" s="32"/>
      <c r="D385" s="33"/>
      <c r="E385" s="30" t="str">
        <f>IFERROR(VLOOKUP(D385,'PAÑOL TÉCNICO'!A302:B1000,2,0))</f>
        <v/>
      </c>
      <c r="F385" s="33"/>
      <c r="G385" s="32"/>
      <c r="H385" s="32"/>
      <c r="I385" s="32"/>
    </row>
    <row r="386" ht="15.75" customHeight="1">
      <c r="A386" s="32"/>
      <c r="B386" s="32"/>
      <c r="C386" s="32"/>
      <c r="D386" s="33"/>
      <c r="E386" s="30" t="str">
        <f>IFERROR(VLOOKUP(D386,'PAÑOL TÉCNICO'!A303:B1000,2,0))</f>
        <v/>
      </c>
      <c r="F386" s="33"/>
      <c r="G386" s="32"/>
      <c r="H386" s="32"/>
      <c r="I386" s="32"/>
    </row>
    <row r="387" ht="15.75" customHeight="1">
      <c r="A387" s="32"/>
      <c r="B387" s="32"/>
      <c r="C387" s="32"/>
      <c r="D387" s="33"/>
      <c r="E387" s="30" t="str">
        <f>IFERROR(VLOOKUP(D387,'PAÑOL TÉCNICO'!A304:B1000,2,0))</f>
        <v/>
      </c>
      <c r="F387" s="33"/>
      <c r="G387" s="32"/>
      <c r="H387" s="32"/>
      <c r="I387" s="32"/>
    </row>
    <row r="388" ht="15.75" customHeight="1">
      <c r="A388" s="32"/>
      <c r="B388" s="32"/>
      <c r="C388" s="32"/>
      <c r="D388" s="33"/>
      <c r="E388" s="30" t="str">
        <f>IFERROR(VLOOKUP(D388,'PAÑOL TÉCNICO'!A305:B1000,2,0))</f>
        <v/>
      </c>
      <c r="F388" s="33"/>
      <c r="G388" s="32"/>
      <c r="H388" s="32"/>
      <c r="I388" s="32"/>
    </row>
    <row r="389" ht="15.75" customHeight="1">
      <c r="A389" s="32"/>
      <c r="B389" s="32"/>
      <c r="C389" s="32"/>
      <c r="D389" s="33"/>
      <c r="E389" s="30" t="str">
        <f>IFERROR(VLOOKUP(D389,'PAÑOL TÉCNICO'!A306:B1000,2,0))</f>
        <v/>
      </c>
      <c r="F389" s="33"/>
      <c r="G389" s="32"/>
      <c r="H389" s="32"/>
      <c r="I389" s="32"/>
    </row>
    <row r="390" ht="15.75" customHeight="1">
      <c r="A390" s="32"/>
      <c r="B390" s="32"/>
      <c r="C390" s="32"/>
      <c r="D390" s="33"/>
      <c r="E390" s="30" t="str">
        <f>IFERROR(VLOOKUP(D390,'PAÑOL TÉCNICO'!A307:B1000,2,0))</f>
        <v/>
      </c>
      <c r="F390" s="33"/>
      <c r="G390" s="32"/>
      <c r="H390" s="32"/>
      <c r="I390" s="32"/>
    </row>
    <row r="391" ht="15.75" customHeight="1">
      <c r="A391" s="32"/>
      <c r="B391" s="32"/>
      <c r="C391" s="32"/>
      <c r="D391" s="33"/>
      <c r="E391" s="30" t="str">
        <f>IFERROR(VLOOKUP(D391,'PAÑOL TÉCNICO'!A308:B1000,2,0))</f>
        <v/>
      </c>
      <c r="F391" s="33"/>
      <c r="G391" s="32"/>
      <c r="H391" s="32"/>
      <c r="I391" s="32"/>
    </row>
    <row r="392" ht="15.75" customHeight="1">
      <c r="A392" s="32"/>
      <c r="B392" s="32"/>
      <c r="C392" s="32"/>
      <c r="D392" s="33"/>
      <c r="E392" s="30" t="str">
        <f>IFERROR(VLOOKUP(D392,'PAÑOL TÉCNICO'!A309:B1000,2,0))</f>
        <v/>
      </c>
      <c r="F392" s="33"/>
      <c r="G392" s="32"/>
      <c r="H392" s="32"/>
      <c r="I392" s="32"/>
    </row>
    <row r="393" ht="15.75" customHeight="1">
      <c r="A393" s="32"/>
      <c r="B393" s="32"/>
      <c r="C393" s="32"/>
      <c r="D393" s="33"/>
      <c r="E393" s="30" t="str">
        <f>IFERROR(VLOOKUP(D393,'PAÑOL TÉCNICO'!A310:B1000,2,0))</f>
        <v/>
      </c>
      <c r="F393" s="33"/>
      <c r="G393" s="32"/>
      <c r="H393" s="32"/>
      <c r="I393" s="32"/>
    </row>
    <row r="394" ht="15.75" customHeight="1">
      <c r="A394" s="32"/>
      <c r="B394" s="32"/>
      <c r="C394" s="32"/>
      <c r="D394" s="33"/>
      <c r="E394" s="30" t="str">
        <f>IFERROR(VLOOKUP(D394,'PAÑOL TÉCNICO'!A311:B1000,2,0))</f>
        <v/>
      </c>
      <c r="F394" s="33"/>
      <c r="G394" s="32"/>
      <c r="H394" s="32"/>
      <c r="I394" s="32"/>
    </row>
    <row r="395" ht="15.75" customHeight="1">
      <c r="A395" s="32"/>
      <c r="B395" s="32"/>
      <c r="C395" s="32"/>
      <c r="D395" s="33"/>
      <c r="E395" s="30" t="str">
        <f>IFERROR(VLOOKUP(D395,'PAÑOL TÉCNICO'!A312:B1000,2,0))</f>
        <v/>
      </c>
      <c r="F395" s="33"/>
      <c r="G395" s="32"/>
      <c r="H395" s="32"/>
      <c r="I395" s="32"/>
    </row>
    <row r="396" ht="15.75" customHeight="1">
      <c r="A396" s="32"/>
      <c r="B396" s="32"/>
      <c r="C396" s="32"/>
      <c r="D396" s="33"/>
      <c r="E396" s="30" t="str">
        <f>IFERROR(VLOOKUP(D396,'PAÑOL TÉCNICO'!A313:B1000,2,0))</f>
        <v/>
      </c>
      <c r="F396" s="33"/>
      <c r="G396" s="32"/>
      <c r="H396" s="32"/>
      <c r="I396" s="32"/>
    </row>
    <row r="397" ht="15.75" customHeight="1">
      <c r="A397" s="32"/>
      <c r="B397" s="32"/>
      <c r="C397" s="32"/>
      <c r="D397" s="33"/>
      <c r="E397" s="30" t="str">
        <f>IFERROR(VLOOKUP(D397,'PAÑOL TÉCNICO'!A314:B1000,2,0))</f>
        <v/>
      </c>
      <c r="F397" s="33"/>
      <c r="G397" s="32"/>
      <c r="H397" s="32"/>
      <c r="I397" s="32"/>
    </row>
    <row r="398" ht="15.75" customHeight="1">
      <c r="A398" s="32"/>
      <c r="B398" s="32"/>
      <c r="C398" s="32"/>
      <c r="D398" s="33"/>
      <c r="E398" s="30" t="str">
        <f>IFERROR(VLOOKUP(D398,'PAÑOL TÉCNICO'!A315:B1000,2,0))</f>
        <v/>
      </c>
      <c r="F398" s="33"/>
      <c r="G398" s="32"/>
      <c r="H398" s="32"/>
      <c r="I398" s="32"/>
    </row>
    <row r="399" ht="15.75" customHeight="1">
      <c r="A399" s="32"/>
      <c r="B399" s="32"/>
      <c r="C399" s="32"/>
      <c r="D399" s="33"/>
      <c r="E399" s="30" t="str">
        <f>IFERROR(VLOOKUP(D399,'PAÑOL TÉCNICO'!A316:B1000,2,0))</f>
        <v/>
      </c>
      <c r="F399" s="33"/>
      <c r="G399" s="32"/>
      <c r="H399" s="32"/>
      <c r="I399" s="32"/>
    </row>
    <row r="400" ht="15.75" customHeight="1">
      <c r="A400" s="32"/>
      <c r="B400" s="32"/>
      <c r="C400" s="32"/>
      <c r="D400" s="33"/>
      <c r="E400" s="30" t="str">
        <f>IFERROR(VLOOKUP(D400,'PAÑOL TÉCNICO'!A317:B1000,2,0))</f>
        <v/>
      </c>
      <c r="F400" s="33"/>
      <c r="G400" s="32"/>
      <c r="H400" s="32"/>
      <c r="I400" s="32"/>
    </row>
    <row r="401" ht="15.75" customHeight="1">
      <c r="A401" s="32"/>
      <c r="B401" s="32"/>
      <c r="C401" s="32"/>
      <c r="D401" s="33"/>
      <c r="E401" s="30" t="str">
        <f>IFERROR(VLOOKUP(D401,'PAÑOL TÉCNICO'!A318:B1000,2,0))</f>
        <v/>
      </c>
      <c r="F401" s="33"/>
      <c r="G401" s="32"/>
      <c r="H401" s="32"/>
      <c r="I401" s="32"/>
    </row>
    <row r="402" ht="15.75" customHeight="1">
      <c r="A402" s="32"/>
      <c r="B402" s="32"/>
      <c r="C402" s="32"/>
      <c r="D402" s="33"/>
      <c r="E402" s="30" t="str">
        <f>IFERROR(VLOOKUP(D402,'PAÑOL TÉCNICO'!A319:B1000,2,0))</f>
        <v/>
      </c>
      <c r="F402" s="33"/>
      <c r="G402" s="32"/>
      <c r="H402" s="32"/>
      <c r="I402" s="32"/>
    </row>
    <row r="403" ht="15.75" customHeight="1">
      <c r="A403" s="32"/>
      <c r="B403" s="32"/>
      <c r="C403" s="32"/>
      <c r="D403" s="33"/>
      <c r="E403" s="30" t="str">
        <f>IFERROR(VLOOKUP(D403,'PAÑOL TÉCNICO'!A320:B1000,2,0))</f>
        <v/>
      </c>
      <c r="F403" s="33"/>
      <c r="G403" s="32"/>
      <c r="H403" s="32"/>
      <c r="I403" s="32"/>
    </row>
    <row r="404" ht="15.75" customHeight="1">
      <c r="A404" s="32"/>
      <c r="B404" s="32"/>
      <c r="C404" s="32"/>
      <c r="D404" s="33"/>
      <c r="E404" s="30" t="str">
        <f>IFERROR(VLOOKUP(D404,'PAÑOL TÉCNICO'!A321:B1000,2,0))</f>
        <v/>
      </c>
      <c r="F404" s="33"/>
      <c r="G404" s="32"/>
      <c r="H404" s="32"/>
      <c r="I404" s="32"/>
    </row>
    <row r="405" ht="15.75" customHeight="1">
      <c r="A405" s="32"/>
      <c r="B405" s="32"/>
      <c r="C405" s="32"/>
      <c r="D405" s="33"/>
      <c r="E405" s="30" t="str">
        <f>IFERROR(VLOOKUP(D405,'PAÑOL TÉCNICO'!A322:B1000,2,0))</f>
        <v/>
      </c>
      <c r="F405" s="33"/>
      <c r="G405" s="32"/>
      <c r="H405" s="32"/>
      <c r="I405" s="32"/>
    </row>
    <row r="406" ht="15.75" customHeight="1">
      <c r="A406" s="32"/>
      <c r="B406" s="32"/>
      <c r="C406" s="32"/>
      <c r="D406" s="33"/>
      <c r="E406" s="30" t="str">
        <f>IFERROR(VLOOKUP(D406,'PAÑOL TÉCNICO'!A323:B1000,2,0))</f>
        <v/>
      </c>
      <c r="F406" s="33"/>
      <c r="G406" s="32"/>
      <c r="H406" s="32"/>
      <c r="I406" s="32"/>
    </row>
    <row r="407" ht="15.75" customHeight="1">
      <c r="A407" s="32"/>
      <c r="B407" s="32"/>
      <c r="C407" s="32"/>
      <c r="D407" s="33"/>
      <c r="E407" s="30" t="str">
        <f>IFERROR(VLOOKUP(D407,'PAÑOL TÉCNICO'!A324:B1000,2,0))</f>
        <v/>
      </c>
      <c r="F407" s="33"/>
      <c r="G407" s="32"/>
      <c r="H407" s="32"/>
      <c r="I407" s="32"/>
    </row>
    <row r="408" ht="15.75" customHeight="1">
      <c r="A408" s="32"/>
      <c r="B408" s="32"/>
      <c r="C408" s="32"/>
      <c r="D408" s="33"/>
      <c r="E408" s="30" t="str">
        <f>IFERROR(VLOOKUP(D408,'PAÑOL TÉCNICO'!A325:B1000,2,0))</f>
        <v/>
      </c>
      <c r="F408" s="33"/>
      <c r="G408" s="32"/>
      <c r="H408" s="32"/>
      <c r="I408" s="32"/>
    </row>
    <row r="409" ht="15.75" customHeight="1">
      <c r="A409" s="32"/>
      <c r="B409" s="32"/>
      <c r="C409" s="32"/>
      <c r="D409" s="33"/>
      <c r="E409" s="30" t="str">
        <f>IFERROR(VLOOKUP(D409,'PAÑOL TÉCNICO'!A326:B1000,2,0))</f>
        <v/>
      </c>
      <c r="F409" s="33"/>
      <c r="G409" s="32"/>
      <c r="H409" s="32"/>
      <c r="I409" s="32"/>
    </row>
    <row r="410" ht="15.75" customHeight="1">
      <c r="A410" s="32"/>
      <c r="B410" s="32"/>
      <c r="C410" s="32"/>
      <c r="D410" s="33"/>
      <c r="E410" s="30" t="str">
        <f>IFERROR(VLOOKUP(D410,'PAÑOL TÉCNICO'!A327:B1000,2,0))</f>
        <v/>
      </c>
      <c r="F410" s="33"/>
      <c r="G410" s="32"/>
      <c r="H410" s="32"/>
      <c r="I410" s="32"/>
    </row>
    <row r="411" ht="15.75" customHeight="1">
      <c r="A411" s="32"/>
      <c r="B411" s="32"/>
      <c r="C411" s="32"/>
      <c r="D411" s="33"/>
      <c r="E411" s="30" t="str">
        <f>IFERROR(VLOOKUP(D411,'PAÑOL TÉCNICO'!A328:B1000,2,0))</f>
        <v/>
      </c>
      <c r="F411" s="33"/>
      <c r="G411" s="32"/>
      <c r="H411" s="32"/>
      <c r="I411" s="32"/>
    </row>
    <row r="412" ht="15.75" customHeight="1">
      <c r="A412" s="32"/>
      <c r="B412" s="32"/>
      <c r="C412" s="32"/>
      <c r="D412" s="33"/>
      <c r="E412" s="30" t="str">
        <f>IFERROR(VLOOKUP(D412,'PAÑOL TÉCNICO'!A329:B1000,2,0))</f>
        <v/>
      </c>
      <c r="F412" s="33"/>
      <c r="G412" s="32"/>
      <c r="H412" s="32"/>
      <c r="I412" s="32"/>
    </row>
    <row r="413" ht="15.75" customHeight="1">
      <c r="A413" s="32"/>
      <c r="B413" s="32"/>
      <c r="C413" s="32"/>
      <c r="D413" s="33"/>
      <c r="E413" s="30" t="str">
        <f>IFERROR(VLOOKUP(D413,'PAÑOL TÉCNICO'!A330:B1000,2,0))</f>
        <v/>
      </c>
      <c r="F413" s="33"/>
      <c r="G413" s="32"/>
      <c r="H413" s="32"/>
      <c r="I413" s="32"/>
    </row>
    <row r="414" ht="15.75" customHeight="1">
      <c r="A414" s="32"/>
      <c r="B414" s="32"/>
      <c r="C414" s="32"/>
      <c r="D414" s="33"/>
      <c r="E414" s="30" t="str">
        <f>IFERROR(VLOOKUP(D414,'PAÑOL TÉCNICO'!A331:B1000,2,0))</f>
        <v/>
      </c>
      <c r="F414" s="33"/>
      <c r="G414" s="32"/>
      <c r="H414" s="32"/>
      <c r="I414" s="32"/>
    </row>
    <row r="415" ht="15.75" customHeight="1">
      <c r="A415" s="32"/>
      <c r="B415" s="32"/>
      <c r="C415" s="32"/>
      <c r="D415" s="33"/>
      <c r="E415" s="30" t="str">
        <f>IFERROR(VLOOKUP(D415,'PAÑOL TÉCNICO'!A332:B1000,2,0))</f>
        <v/>
      </c>
      <c r="F415" s="33"/>
      <c r="G415" s="32"/>
      <c r="H415" s="32"/>
      <c r="I415" s="32"/>
    </row>
    <row r="416" ht="15.75" customHeight="1">
      <c r="A416" s="32"/>
      <c r="B416" s="32"/>
      <c r="C416" s="32"/>
      <c r="D416" s="33"/>
      <c r="E416" s="30" t="str">
        <f>IFERROR(VLOOKUP(D416,'PAÑOL TÉCNICO'!A333:B1000,2,0))</f>
        <v/>
      </c>
      <c r="F416" s="33"/>
      <c r="G416" s="32"/>
      <c r="H416" s="32"/>
      <c r="I416" s="32"/>
    </row>
    <row r="417" ht="15.75" customHeight="1">
      <c r="A417" s="32"/>
      <c r="B417" s="32"/>
      <c r="C417" s="32"/>
      <c r="D417" s="33"/>
      <c r="E417" s="30" t="str">
        <f>IFERROR(VLOOKUP(D417,'PAÑOL TÉCNICO'!A334:B1000,2,0))</f>
        <v/>
      </c>
      <c r="F417" s="33"/>
      <c r="G417" s="32"/>
      <c r="H417" s="32"/>
      <c r="I417" s="32"/>
    </row>
    <row r="418" ht="15.75" customHeight="1">
      <c r="A418" s="32"/>
      <c r="B418" s="32"/>
      <c r="C418" s="32"/>
      <c r="D418" s="33"/>
      <c r="E418" s="30" t="str">
        <f>IFERROR(VLOOKUP(D418,'PAÑOL TÉCNICO'!A335:B1000,2,0))</f>
        <v/>
      </c>
      <c r="F418" s="33"/>
      <c r="G418" s="32"/>
      <c r="H418" s="32"/>
      <c r="I418" s="32"/>
    </row>
    <row r="419" ht="15.75" customHeight="1">
      <c r="A419" s="32"/>
      <c r="B419" s="32"/>
      <c r="C419" s="32"/>
      <c r="D419" s="33"/>
      <c r="E419" s="30" t="str">
        <f>IFERROR(VLOOKUP(D419,'PAÑOL TÉCNICO'!A336:B1000,2,0))</f>
        <v/>
      </c>
      <c r="F419" s="33"/>
      <c r="G419" s="32"/>
      <c r="H419" s="32"/>
      <c r="I419" s="32"/>
    </row>
    <row r="420" ht="15.75" customHeight="1">
      <c r="A420" s="32"/>
      <c r="B420" s="32"/>
      <c r="C420" s="32"/>
      <c r="D420" s="33"/>
      <c r="E420" s="30" t="str">
        <f>IFERROR(VLOOKUP(D420,'PAÑOL TÉCNICO'!A337:B1000,2,0))</f>
        <v/>
      </c>
      <c r="F420" s="33"/>
      <c r="G420" s="32"/>
      <c r="H420" s="32"/>
      <c r="I420" s="32"/>
    </row>
    <row r="421" ht="15.75" customHeight="1">
      <c r="A421" s="32"/>
      <c r="B421" s="32"/>
      <c r="C421" s="32"/>
      <c r="D421" s="33"/>
      <c r="E421" s="30" t="str">
        <f>IFERROR(VLOOKUP(D421,'PAÑOL TÉCNICO'!A338:B1000,2,0))</f>
        <v/>
      </c>
      <c r="F421" s="33"/>
      <c r="G421" s="32"/>
      <c r="H421" s="32"/>
      <c r="I421" s="32"/>
    </row>
    <row r="422" ht="15.75" customHeight="1">
      <c r="A422" s="32"/>
      <c r="B422" s="32"/>
      <c r="C422" s="32"/>
      <c r="D422" s="33"/>
      <c r="E422" s="30" t="str">
        <f>IFERROR(VLOOKUP(D422,'PAÑOL TÉCNICO'!A339:B1000,2,0))</f>
        <v/>
      </c>
      <c r="F422" s="33"/>
      <c r="G422" s="32"/>
      <c r="H422" s="32"/>
      <c r="I422" s="32"/>
    </row>
    <row r="423" ht="15.75" customHeight="1">
      <c r="A423" s="32"/>
      <c r="B423" s="32"/>
      <c r="C423" s="32"/>
      <c r="D423" s="33"/>
      <c r="E423" s="30" t="str">
        <f>IFERROR(VLOOKUP(D423,'PAÑOL TÉCNICO'!A340:B1000,2,0))</f>
        <v/>
      </c>
      <c r="F423" s="33"/>
      <c r="G423" s="32"/>
      <c r="H423" s="32"/>
      <c r="I423" s="32"/>
    </row>
    <row r="424" ht="15.75" customHeight="1">
      <c r="A424" s="32"/>
      <c r="B424" s="32"/>
      <c r="C424" s="32"/>
      <c r="D424" s="33"/>
      <c r="E424" s="30" t="str">
        <f>IFERROR(VLOOKUP(D424,'PAÑOL TÉCNICO'!A341:B1000,2,0))</f>
        <v/>
      </c>
      <c r="F424" s="33"/>
      <c r="G424" s="32"/>
      <c r="H424" s="32"/>
      <c r="I424" s="32"/>
    </row>
    <row r="425" ht="15.75" customHeight="1">
      <c r="A425" s="32"/>
      <c r="B425" s="32"/>
      <c r="C425" s="32"/>
      <c r="D425" s="33"/>
      <c r="E425" s="30" t="str">
        <f>IFERROR(VLOOKUP(D425,'PAÑOL TÉCNICO'!A342:B1000,2,0))</f>
        <v/>
      </c>
      <c r="F425" s="33"/>
      <c r="G425" s="32"/>
      <c r="H425" s="32"/>
      <c r="I425" s="32"/>
    </row>
    <row r="426" ht="15.75" customHeight="1">
      <c r="A426" s="32"/>
      <c r="B426" s="32"/>
      <c r="C426" s="32"/>
      <c r="D426" s="33"/>
      <c r="E426" s="30" t="str">
        <f>IFERROR(VLOOKUP(D426,'PAÑOL TÉCNICO'!A343:B1000,2,0))</f>
        <v/>
      </c>
      <c r="F426" s="33"/>
      <c r="G426" s="32"/>
      <c r="H426" s="32"/>
      <c r="I426" s="32"/>
    </row>
    <row r="427" ht="15.75" customHeight="1">
      <c r="A427" s="32"/>
      <c r="B427" s="32"/>
      <c r="C427" s="32"/>
      <c r="D427" s="33"/>
      <c r="E427" s="30" t="str">
        <f>IFERROR(VLOOKUP(D427,'PAÑOL TÉCNICO'!A344:B1000,2,0))</f>
        <v/>
      </c>
      <c r="F427" s="33"/>
      <c r="G427" s="32"/>
      <c r="H427" s="32"/>
      <c r="I427" s="32"/>
    </row>
    <row r="428" ht="15.75" customHeight="1">
      <c r="A428" s="32"/>
      <c r="B428" s="32"/>
      <c r="C428" s="32"/>
      <c r="D428" s="33"/>
      <c r="E428" s="30" t="str">
        <f>IFERROR(VLOOKUP(D428,'PAÑOL TÉCNICO'!A345:B1000,2,0))</f>
        <v/>
      </c>
      <c r="F428" s="33"/>
      <c r="G428" s="32"/>
      <c r="H428" s="32"/>
      <c r="I428" s="32"/>
    </row>
    <row r="429" ht="15.75" customHeight="1">
      <c r="A429" s="32"/>
      <c r="B429" s="32"/>
      <c r="C429" s="32"/>
      <c r="D429" s="33"/>
      <c r="E429" s="30" t="str">
        <f>IFERROR(VLOOKUP(D429,'PAÑOL TÉCNICO'!A346:B1000,2,0))</f>
        <v/>
      </c>
      <c r="F429" s="33"/>
      <c r="G429" s="32"/>
      <c r="H429" s="32"/>
      <c r="I429" s="32"/>
    </row>
    <row r="430" ht="15.75" customHeight="1">
      <c r="A430" s="32"/>
      <c r="B430" s="32"/>
      <c r="C430" s="32"/>
      <c r="D430" s="33"/>
      <c r="E430" s="30" t="str">
        <f>IFERROR(VLOOKUP(D430,'PAÑOL TÉCNICO'!A347:B1000,2,0))</f>
        <v/>
      </c>
      <c r="F430" s="33"/>
      <c r="G430" s="32"/>
      <c r="H430" s="32"/>
      <c r="I430" s="32"/>
    </row>
    <row r="431" ht="15.75" customHeight="1">
      <c r="A431" s="32"/>
      <c r="B431" s="32"/>
      <c r="C431" s="32"/>
      <c r="D431" s="33"/>
      <c r="E431" s="30" t="str">
        <f>IFERROR(VLOOKUP(D431,'PAÑOL TÉCNICO'!A348:B1000,2,0))</f>
        <v/>
      </c>
      <c r="F431" s="33"/>
      <c r="G431" s="32"/>
      <c r="H431" s="32"/>
      <c r="I431" s="32"/>
    </row>
    <row r="432" ht="15.75" customHeight="1">
      <c r="A432" s="32"/>
      <c r="B432" s="32"/>
      <c r="C432" s="32"/>
      <c r="D432" s="33"/>
      <c r="E432" s="30" t="str">
        <f>IFERROR(VLOOKUP(D432,'PAÑOL TÉCNICO'!A349:B1000,2,0))</f>
        <v/>
      </c>
      <c r="F432" s="33"/>
      <c r="G432" s="32"/>
      <c r="H432" s="32"/>
      <c r="I432" s="32"/>
    </row>
    <row r="433" ht="15.75" customHeight="1">
      <c r="A433" s="32"/>
      <c r="B433" s="32"/>
      <c r="C433" s="32"/>
      <c r="D433" s="33"/>
      <c r="E433" s="30" t="str">
        <f>IFERROR(VLOOKUP(D433,'PAÑOL TÉCNICO'!A350:B1000,2,0))</f>
        <v/>
      </c>
      <c r="F433" s="33"/>
      <c r="G433" s="32"/>
      <c r="H433" s="32"/>
      <c r="I433" s="32"/>
    </row>
    <row r="434" ht="15.75" customHeight="1">
      <c r="A434" s="32"/>
      <c r="B434" s="32"/>
      <c r="C434" s="32"/>
      <c r="D434" s="33"/>
      <c r="E434" s="30" t="str">
        <f>IFERROR(VLOOKUP(D434,'PAÑOL TÉCNICO'!A351:B1000,2,0))</f>
        <v/>
      </c>
      <c r="F434" s="33"/>
      <c r="G434" s="32"/>
      <c r="H434" s="32"/>
      <c r="I434" s="32"/>
    </row>
    <row r="435" ht="15.75" customHeight="1">
      <c r="A435" s="32"/>
      <c r="B435" s="32"/>
      <c r="C435" s="32"/>
      <c r="D435" s="33"/>
      <c r="E435" s="30" t="str">
        <f>IFERROR(VLOOKUP(D435,'PAÑOL TÉCNICO'!A352:B1000,2,0))</f>
        <v/>
      </c>
      <c r="F435" s="33"/>
      <c r="G435" s="32"/>
      <c r="H435" s="32"/>
      <c r="I435" s="32"/>
    </row>
    <row r="436" ht="15.75" customHeight="1">
      <c r="A436" s="32"/>
      <c r="B436" s="32"/>
      <c r="C436" s="32"/>
      <c r="D436" s="33"/>
      <c r="E436" s="30" t="str">
        <f>IFERROR(VLOOKUP(D436,'PAÑOL TÉCNICO'!A353:B1000,2,0))</f>
        <v/>
      </c>
      <c r="F436" s="33"/>
      <c r="G436" s="32"/>
      <c r="H436" s="32"/>
      <c r="I436" s="32"/>
    </row>
    <row r="437" ht="15.75" customHeight="1">
      <c r="A437" s="32"/>
      <c r="B437" s="32"/>
      <c r="C437" s="32"/>
      <c r="D437" s="33"/>
      <c r="E437" s="30" t="str">
        <f>IFERROR(VLOOKUP(D437,'PAÑOL TÉCNICO'!A354:B1000,2,0))</f>
        <v/>
      </c>
      <c r="F437" s="33"/>
      <c r="G437" s="32"/>
      <c r="H437" s="32"/>
      <c r="I437" s="32"/>
    </row>
    <row r="438" ht="15.75" customHeight="1">
      <c r="A438" s="32"/>
      <c r="B438" s="32"/>
      <c r="C438" s="32"/>
      <c r="D438" s="33"/>
      <c r="E438" s="30" t="str">
        <f>IFERROR(VLOOKUP(D438,'PAÑOL TÉCNICO'!A355:B1000,2,0))</f>
        <v/>
      </c>
      <c r="F438" s="33"/>
      <c r="G438" s="32"/>
      <c r="H438" s="32"/>
      <c r="I438" s="32"/>
    </row>
    <row r="439" ht="15.75" customHeight="1">
      <c r="A439" s="32"/>
      <c r="B439" s="32"/>
      <c r="C439" s="32"/>
      <c r="D439" s="33"/>
      <c r="E439" s="30" t="str">
        <f>IFERROR(VLOOKUP(D439,'PAÑOL TÉCNICO'!A356:B1000,2,0))</f>
        <v/>
      </c>
      <c r="F439" s="33"/>
      <c r="G439" s="32"/>
      <c r="H439" s="32"/>
      <c r="I439" s="32"/>
    </row>
    <row r="440" ht="15.75" customHeight="1">
      <c r="A440" s="32"/>
      <c r="B440" s="32"/>
      <c r="C440" s="32"/>
      <c r="D440" s="33"/>
      <c r="E440" s="30" t="str">
        <f>IFERROR(VLOOKUP(D440,'PAÑOL TÉCNICO'!A357:B1000,2,0))</f>
        <v/>
      </c>
      <c r="F440" s="33"/>
      <c r="G440" s="32"/>
      <c r="H440" s="32"/>
      <c r="I440" s="32"/>
    </row>
    <row r="441" ht="15.75" customHeight="1">
      <c r="A441" s="32"/>
      <c r="B441" s="32"/>
      <c r="C441" s="32"/>
      <c r="D441" s="33"/>
      <c r="E441" s="30" t="str">
        <f>IFERROR(VLOOKUP(D441,'PAÑOL TÉCNICO'!A358:B1000,2,0))</f>
        <v/>
      </c>
      <c r="F441" s="33"/>
      <c r="G441" s="32"/>
      <c r="H441" s="32"/>
      <c r="I441" s="32"/>
    </row>
    <row r="442" ht="15.75" customHeight="1">
      <c r="A442" s="32"/>
      <c r="B442" s="32"/>
      <c r="C442" s="32"/>
      <c r="D442" s="33"/>
      <c r="E442" s="30" t="str">
        <f>IFERROR(VLOOKUP(D442,'PAÑOL TÉCNICO'!A359:B1000,2,0))</f>
        <v/>
      </c>
      <c r="F442" s="33"/>
      <c r="G442" s="32"/>
      <c r="H442" s="32"/>
      <c r="I442" s="32"/>
    </row>
    <row r="443" ht="15.75" customHeight="1">
      <c r="A443" s="32"/>
      <c r="B443" s="32"/>
      <c r="C443" s="32"/>
      <c r="D443" s="33"/>
      <c r="E443" s="30" t="str">
        <f>IFERROR(VLOOKUP(D443,'PAÑOL TÉCNICO'!A360:B1000,2,0))</f>
        <v/>
      </c>
      <c r="F443" s="33"/>
      <c r="G443" s="32"/>
      <c r="H443" s="32"/>
      <c r="I443" s="32"/>
    </row>
    <row r="444" ht="15.75" customHeight="1">
      <c r="A444" s="32"/>
      <c r="B444" s="32"/>
      <c r="C444" s="32"/>
      <c r="D444" s="33"/>
      <c r="E444" s="30" t="str">
        <f>IFERROR(VLOOKUP(D444,'PAÑOL TÉCNICO'!A361:B1000,2,0))</f>
        <v/>
      </c>
      <c r="F444" s="33"/>
      <c r="G444" s="32"/>
      <c r="H444" s="32"/>
      <c r="I444" s="32"/>
    </row>
    <row r="445" ht="15.75" customHeight="1">
      <c r="A445" s="32"/>
      <c r="B445" s="32"/>
      <c r="C445" s="32"/>
      <c r="D445" s="33"/>
      <c r="E445" s="30" t="str">
        <f>IFERROR(VLOOKUP(D445,'PAÑOL TÉCNICO'!A362:B1000,2,0))</f>
        <v/>
      </c>
      <c r="F445" s="33"/>
      <c r="G445" s="32"/>
      <c r="H445" s="32"/>
      <c r="I445" s="32"/>
    </row>
    <row r="446" ht="15.75" customHeight="1">
      <c r="A446" s="32"/>
      <c r="B446" s="32"/>
      <c r="C446" s="32"/>
      <c r="D446" s="33"/>
      <c r="E446" s="30" t="str">
        <f>IFERROR(VLOOKUP(D446,'PAÑOL TÉCNICO'!A363:B1000,2,0))</f>
        <v/>
      </c>
      <c r="F446" s="33"/>
      <c r="G446" s="32"/>
      <c r="H446" s="32"/>
      <c r="I446" s="32"/>
    </row>
    <row r="447" ht="15.75" customHeight="1">
      <c r="A447" s="32"/>
      <c r="B447" s="32"/>
      <c r="C447" s="32"/>
      <c r="D447" s="33"/>
      <c r="E447" s="30" t="str">
        <f>IFERROR(VLOOKUP(D447,'PAÑOL TÉCNICO'!A364:B1000,2,0))</f>
        <v/>
      </c>
      <c r="F447" s="33"/>
      <c r="G447" s="32"/>
      <c r="H447" s="32"/>
      <c r="I447" s="32"/>
    </row>
    <row r="448" ht="15.75" customHeight="1">
      <c r="A448" s="32"/>
      <c r="B448" s="32"/>
      <c r="C448" s="32"/>
      <c r="D448" s="33"/>
      <c r="E448" s="30" t="str">
        <f>IFERROR(VLOOKUP(D448,'PAÑOL TÉCNICO'!A365:B1000,2,0))</f>
        <v/>
      </c>
      <c r="F448" s="33"/>
      <c r="G448" s="32"/>
      <c r="H448" s="32"/>
      <c r="I448" s="32"/>
    </row>
    <row r="449" ht="15.75" customHeight="1">
      <c r="A449" s="32"/>
      <c r="B449" s="32"/>
      <c r="C449" s="32"/>
      <c r="D449" s="33"/>
      <c r="E449" s="30" t="str">
        <f>IFERROR(VLOOKUP(D449,'PAÑOL TÉCNICO'!A366:B1000,2,0))</f>
        <v/>
      </c>
      <c r="F449" s="33"/>
      <c r="G449" s="32"/>
      <c r="H449" s="32"/>
      <c r="I449" s="32"/>
    </row>
    <row r="450" ht="15.75" customHeight="1">
      <c r="A450" s="32"/>
      <c r="B450" s="32"/>
      <c r="C450" s="32"/>
      <c r="D450" s="33"/>
      <c r="E450" s="30" t="str">
        <f>IFERROR(VLOOKUP(D450,'PAÑOL TÉCNICO'!A367:B1000,2,0))</f>
        <v/>
      </c>
      <c r="F450" s="33"/>
      <c r="G450" s="32"/>
      <c r="H450" s="32"/>
      <c r="I450" s="32"/>
    </row>
    <row r="451" ht="15.75" customHeight="1">
      <c r="A451" s="32"/>
      <c r="B451" s="32"/>
      <c r="C451" s="32"/>
      <c r="D451" s="33"/>
      <c r="E451" s="30" t="str">
        <f>IFERROR(VLOOKUP(D451,'PAÑOL TÉCNICO'!A368:B1000,2,0))</f>
        <v/>
      </c>
      <c r="F451" s="33"/>
      <c r="G451" s="32"/>
      <c r="H451" s="32"/>
      <c r="I451" s="32"/>
    </row>
    <row r="452" ht="15.75" customHeight="1">
      <c r="A452" s="32"/>
      <c r="B452" s="32"/>
      <c r="C452" s="32"/>
      <c r="D452" s="33"/>
      <c r="E452" s="30" t="str">
        <f>IFERROR(VLOOKUP(D452,'PAÑOL TÉCNICO'!A369:B1000,2,0))</f>
        <v/>
      </c>
      <c r="F452" s="33"/>
      <c r="G452" s="32"/>
      <c r="H452" s="32"/>
      <c r="I452" s="32"/>
    </row>
    <row r="453" ht="15.75" customHeight="1">
      <c r="A453" s="32"/>
      <c r="B453" s="32"/>
      <c r="C453" s="32"/>
      <c r="D453" s="33"/>
      <c r="E453" s="30" t="str">
        <f>IFERROR(VLOOKUP(D453,'PAÑOL TÉCNICO'!A370:B1000,2,0))</f>
        <v/>
      </c>
      <c r="F453" s="33"/>
      <c r="G453" s="32"/>
      <c r="H453" s="32"/>
      <c r="I453" s="32"/>
    </row>
    <row r="454" ht="15.75" customHeight="1">
      <c r="A454" s="32"/>
      <c r="B454" s="32"/>
      <c r="C454" s="32"/>
      <c r="D454" s="33"/>
      <c r="E454" s="30" t="str">
        <f>IFERROR(VLOOKUP(D454,'PAÑOL TÉCNICO'!A371:B1000,2,0))</f>
        <v/>
      </c>
      <c r="F454" s="33"/>
      <c r="G454" s="32"/>
      <c r="H454" s="32"/>
      <c r="I454" s="32"/>
    </row>
    <row r="455" ht="15.75" customHeight="1">
      <c r="A455" s="32"/>
      <c r="B455" s="32"/>
      <c r="C455" s="32"/>
      <c r="D455" s="33"/>
      <c r="E455" s="30" t="str">
        <f>IFERROR(VLOOKUP(D455,'PAÑOL TÉCNICO'!A372:B1000,2,0))</f>
        <v/>
      </c>
      <c r="F455" s="33"/>
      <c r="G455" s="32"/>
      <c r="H455" s="32"/>
      <c r="I455" s="32"/>
    </row>
    <row r="456" ht="15.75" customHeight="1">
      <c r="A456" s="32"/>
      <c r="B456" s="32"/>
      <c r="C456" s="32"/>
      <c r="D456" s="33"/>
      <c r="E456" s="30" t="str">
        <f>IFERROR(VLOOKUP(D456,'PAÑOL TÉCNICO'!A373:B1000,2,0))</f>
        <v/>
      </c>
      <c r="F456" s="33"/>
      <c r="G456" s="32"/>
      <c r="H456" s="32"/>
      <c r="I456" s="32"/>
    </row>
    <row r="457" ht="15.75" customHeight="1">
      <c r="A457" s="32"/>
      <c r="B457" s="32"/>
      <c r="C457" s="32"/>
      <c r="D457" s="33"/>
      <c r="E457" s="30" t="str">
        <f>IFERROR(VLOOKUP(D457,'PAÑOL TÉCNICO'!A374:B1000,2,0))</f>
        <v/>
      </c>
      <c r="F457" s="33"/>
      <c r="G457" s="32"/>
      <c r="H457" s="32"/>
      <c r="I457" s="32"/>
    </row>
    <row r="458" ht="15.75" customHeight="1">
      <c r="A458" s="32"/>
      <c r="B458" s="32"/>
      <c r="C458" s="32"/>
      <c r="D458" s="33"/>
      <c r="E458" s="30" t="str">
        <f>IFERROR(VLOOKUP(D458,'PAÑOL TÉCNICO'!A375:B1000,2,0))</f>
        <v/>
      </c>
      <c r="F458" s="33"/>
      <c r="G458" s="32"/>
      <c r="H458" s="32"/>
      <c r="I458" s="32"/>
    </row>
    <row r="459" ht="15.75" customHeight="1">
      <c r="A459" s="32"/>
      <c r="B459" s="32"/>
      <c r="C459" s="32"/>
      <c r="D459" s="33"/>
      <c r="E459" s="30" t="str">
        <f>IFERROR(VLOOKUP(D459,'PAÑOL TÉCNICO'!A376:B1000,2,0))</f>
        <v/>
      </c>
      <c r="F459" s="33"/>
      <c r="G459" s="32"/>
      <c r="H459" s="32"/>
      <c r="I459" s="32"/>
    </row>
    <row r="460" ht="15.75" customHeight="1">
      <c r="A460" s="32"/>
      <c r="B460" s="32"/>
      <c r="C460" s="32"/>
      <c r="D460" s="33"/>
      <c r="E460" s="30" t="str">
        <f>IFERROR(VLOOKUP(D460,'PAÑOL TÉCNICO'!A377:B1000,2,0))</f>
        <v/>
      </c>
      <c r="F460" s="33"/>
      <c r="G460" s="32"/>
      <c r="H460" s="32"/>
      <c r="I460" s="32"/>
    </row>
    <row r="461" ht="15.75" customHeight="1">
      <c r="A461" s="32"/>
      <c r="B461" s="32"/>
      <c r="C461" s="32"/>
      <c r="D461" s="33"/>
      <c r="E461" s="30" t="str">
        <f>IFERROR(VLOOKUP(D461,'PAÑOL TÉCNICO'!A378:B1000,2,0))</f>
        <v/>
      </c>
      <c r="F461" s="33"/>
      <c r="G461" s="32"/>
      <c r="H461" s="32"/>
      <c r="I461" s="32"/>
    </row>
    <row r="462" ht="15.75" customHeight="1">
      <c r="A462" s="32"/>
      <c r="B462" s="32"/>
      <c r="C462" s="32"/>
      <c r="D462" s="33"/>
      <c r="E462" s="30" t="str">
        <f>IFERROR(VLOOKUP(D462,'PAÑOL TÉCNICO'!A379:B1000,2,0))</f>
        <v/>
      </c>
      <c r="F462" s="33"/>
      <c r="G462" s="32"/>
      <c r="H462" s="32"/>
      <c r="I462" s="32"/>
    </row>
    <row r="463" ht="15.75" customHeight="1">
      <c r="A463" s="32"/>
      <c r="B463" s="32"/>
      <c r="C463" s="32"/>
      <c r="D463" s="33"/>
      <c r="E463" s="30" t="str">
        <f>IFERROR(VLOOKUP(D463,'PAÑOL TÉCNICO'!A380:B1000,2,0))</f>
        <v/>
      </c>
      <c r="F463" s="33"/>
      <c r="G463" s="32"/>
      <c r="H463" s="32"/>
      <c r="I463" s="32"/>
    </row>
    <row r="464" ht="15.75" customHeight="1">
      <c r="A464" s="32"/>
      <c r="B464" s="32"/>
      <c r="C464" s="32"/>
      <c r="D464" s="33"/>
      <c r="E464" s="30" t="str">
        <f>IFERROR(VLOOKUP(D464,'PAÑOL TÉCNICO'!A381:B1000,2,0))</f>
        <v/>
      </c>
      <c r="F464" s="33"/>
      <c r="G464" s="32"/>
      <c r="H464" s="32"/>
      <c r="I464" s="32"/>
    </row>
    <row r="465" ht="15.75" customHeight="1">
      <c r="A465" s="32"/>
      <c r="B465" s="32"/>
      <c r="C465" s="32"/>
      <c r="D465" s="33"/>
      <c r="E465" s="30" t="str">
        <f>IFERROR(VLOOKUP(D465,'PAÑOL TÉCNICO'!A382:B1000,2,0))</f>
        <v/>
      </c>
      <c r="F465" s="33"/>
      <c r="G465" s="32"/>
      <c r="H465" s="32"/>
      <c r="I465" s="32"/>
    </row>
    <row r="466" ht="15.75" customHeight="1">
      <c r="A466" s="32"/>
      <c r="B466" s="32"/>
      <c r="C466" s="32"/>
      <c r="D466" s="33"/>
      <c r="E466" s="30" t="str">
        <f>IFERROR(VLOOKUP(D466,'PAÑOL TÉCNICO'!A383:B1000,2,0))</f>
        <v/>
      </c>
      <c r="F466" s="33"/>
      <c r="G466" s="32"/>
      <c r="H466" s="32"/>
      <c r="I466" s="32"/>
    </row>
    <row r="467" ht="15.75" customHeight="1">
      <c r="A467" s="32"/>
      <c r="B467" s="32"/>
      <c r="C467" s="32"/>
      <c r="D467" s="33"/>
      <c r="E467" s="30" t="str">
        <f>IFERROR(VLOOKUP(D467,'PAÑOL TÉCNICO'!A384:B1000,2,0))</f>
        <v/>
      </c>
      <c r="F467" s="33"/>
      <c r="G467" s="32"/>
      <c r="H467" s="32"/>
      <c r="I467" s="32"/>
    </row>
    <row r="468" ht="15.75" customHeight="1">
      <c r="A468" s="32"/>
      <c r="B468" s="32"/>
      <c r="C468" s="32"/>
      <c r="D468" s="33"/>
      <c r="E468" s="30" t="str">
        <f>IFERROR(VLOOKUP(D468,'PAÑOL TÉCNICO'!A385:B1000,2,0))</f>
        <v/>
      </c>
      <c r="F468" s="33"/>
      <c r="G468" s="32"/>
      <c r="H468" s="32"/>
      <c r="I468" s="32"/>
    </row>
    <row r="469" ht="15.75" customHeight="1">
      <c r="A469" s="32"/>
      <c r="B469" s="32"/>
      <c r="C469" s="32"/>
      <c r="D469" s="33"/>
      <c r="E469" s="30" t="str">
        <f>IFERROR(VLOOKUP(D469,'PAÑOL TÉCNICO'!A386:B1000,2,0))</f>
        <v/>
      </c>
      <c r="F469" s="33"/>
      <c r="G469" s="32"/>
      <c r="H469" s="32"/>
      <c r="I469" s="32"/>
    </row>
    <row r="470" ht="15.75" customHeight="1">
      <c r="A470" s="32"/>
      <c r="B470" s="32"/>
      <c r="C470" s="32"/>
      <c r="D470" s="33"/>
      <c r="E470" s="30" t="str">
        <f>IFERROR(VLOOKUP(D470,'PAÑOL TÉCNICO'!A387:B1000,2,0))</f>
        <v/>
      </c>
      <c r="F470" s="33"/>
      <c r="G470" s="32"/>
      <c r="H470" s="32"/>
      <c r="I470" s="32"/>
    </row>
    <row r="471" ht="15.75" customHeight="1">
      <c r="A471" s="32"/>
      <c r="B471" s="32"/>
      <c r="C471" s="32"/>
      <c r="D471" s="33"/>
      <c r="E471" s="30" t="str">
        <f>IFERROR(VLOOKUP(D471,'PAÑOL TÉCNICO'!A388:B1000,2,0))</f>
        <v/>
      </c>
      <c r="F471" s="33"/>
      <c r="G471" s="32"/>
      <c r="H471" s="32"/>
      <c r="I471" s="32"/>
    </row>
    <row r="472" ht="15.75" customHeight="1">
      <c r="A472" s="32"/>
      <c r="B472" s="32"/>
      <c r="C472" s="32"/>
      <c r="D472" s="33"/>
      <c r="E472" s="30" t="str">
        <f>IFERROR(VLOOKUP(D472,'PAÑOL TÉCNICO'!A389:B1000,2,0))</f>
        <v/>
      </c>
      <c r="F472" s="33"/>
      <c r="G472" s="32"/>
      <c r="H472" s="32"/>
      <c r="I472" s="32"/>
    </row>
    <row r="473" ht="15.75" customHeight="1">
      <c r="A473" s="32"/>
      <c r="B473" s="32"/>
      <c r="C473" s="32"/>
      <c r="D473" s="33"/>
      <c r="E473" s="30" t="str">
        <f>IFERROR(VLOOKUP(D473,'PAÑOL TÉCNICO'!A390:B1000,2,0))</f>
        <v/>
      </c>
      <c r="F473" s="33"/>
      <c r="G473" s="32"/>
      <c r="H473" s="32"/>
      <c r="I473" s="32"/>
    </row>
    <row r="474" ht="15.75" customHeight="1">
      <c r="A474" s="32"/>
      <c r="B474" s="32"/>
      <c r="C474" s="32"/>
      <c r="D474" s="33"/>
      <c r="E474" s="30" t="str">
        <f>IFERROR(VLOOKUP(D474,'PAÑOL TÉCNICO'!A391:B1000,2,0))</f>
        <v/>
      </c>
      <c r="F474" s="33"/>
      <c r="G474" s="32"/>
      <c r="H474" s="32"/>
      <c r="I474" s="32"/>
    </row>
    <row r="475" ht="15.75" customHeight="1">
      <c r="A475" s="32"/>
      <c r="B475" s="32"/>
      <c r="C475" s="32"/>
      <c r="D475" s="33"/>
      <c r="E475" s="30" t="str">
        <f>IFERROR(VLOOKUP(D475,'PAÑOL TÉCNICO'!A392:B1000,2,0))</f>
        <v/>
      </c>
      <c r="F475" s="33"/>
      <c r="G475" s="32"/>
      <c r="H475" s="32"/>
      <c r="I475" s="32"/>
    </row>
    <row r="476" ht="15.75" customHeight="1">
      <c r="A476" s="32"/>
      <c r="B476" s="32"/>
      <c r="C476" s="32"/>
      <c r="D476" s="33"/>
      <c r="E476" s="30" t="str">
        <f>IFERROR(VLOOKUP(D476,'PAÑOL TÉCNICO'!A393:B1000,2,0))</f>
        <v/>
      </c>
      <c r="F476" s="33"/>
      <c r="G476" s="32"/>
      <c r="H476" s="32"/>
      <c r="I476" s="32"/>
    </row>
    <row r="477" ht="15.75" customHeight="1">
      <c r="A477" s="32"/>
      <c r="B477" s="32"/>
      <c r="C477" s="32"/>
      <c r="D477" s="33"/>
      <c r="E477" s="30" t="str">
        <f>IFERROR(VLOOKUP(D477,'PAÑOL TÉCNICO'!A394:B1000,2,0))</f>
        <v/>
      </c>
      <c r="F477" s="33"/>
      <c r="G477" s="32"/>
      <c r="H477" s="32"/>
      <c r="I477" s="32"/>
    </row>
    <row r="478" ht="15.75" customHeight="1">
      <c r="A478" s="32"/>
      <c r="B478" s="32"/>
      <c r="C478" s="32"/>
      <c r="D478" s="33"/>
      <c r="E478" s="30" t="str">
        <f>IFERROR(VLOOKUP(D478,'PAÑOL TÉCNICO'!A395:B1000,2,0))</f>
        <v/>
      </c>
      <c r="F478" s="33"/>
      <c r="G478" s="32"/>
      <c r="H478" s="32"/>
      <c r="I478" s="32"/>
    </row>
    <row r="479" ht="15.75" customHeight="1">
      <c r="A479" s="32"/>
      <c r="B479" s="32"/>
      <c r="C479" s="32"/>
      <c r="D479" s="33"/>
      <c r="E479" s="30" t="str">
        <f>IFERROR(VLOOKUP(D479,'PAÑOL TÉCNICO'!A396:B1000,2,0))</f>
        <v/>
      </c>
      <c r="F479" s="33"/>
      <c r="G479" s="32"/>
      <c r="H479" s="32"/>
      <c r="I479" s="32"/>
    </row>
    <row r="480" ht="15.75" customHeight="1">
      <c r="A480" s="32"/>
      <c r="B480" s="32"/>
      <c r="C480" s="32"/>
      <c r="D480" s="33"/>
      <c r="E480" s="30" t="str">
        <f>IFERROR(VLOOKUP(D480,'PAÑOL TÉCNICO'!A397:B1000,2,0))</f>
        <v/>
      </c>
      <c r="F480" s="33"/>
      <c r="G480" s="32"/>
      <c r="H480" s="32"/>
      <c r="I480" s="32"/>
    </row>
    <row r="481" ht="15.75" customHeight="1">
      <c r="A481" s="32"/>
      <c r="B481" s="32"/>
      <c r="C481" s="32"/>
      <c r="D481" s="33"/>
      <c r="E481" s="30" t="str">
        <f>IFERROR(VLOOKUP(D481,'PAÑOL TÉCNICO'!A398:B1000,2,0))</f>
        <v/>
      </c>
      <c r="F481" s="33"/>
      <c r="G481" s="32"/>
      <c r="H481" s="32"/>
      <c r="I481" s="32"/>
    </row>
    <row r="482" ht="15.75" customHeight="1">
      <c r="A482" s="32"/>
      <c r="B482" s="32"/>
      <c r="C482" s="32"/>
      <c r="D482" s="33"/>
      <c r="E482" s="30" t="str">
        <f>IFERROR(VLOOKUP(D482,'PAÑOL TÉCNICO'!A399:B1000,2,0))</f>
        <v/>
      </c>
      <c r="F482" s="33"/>
      <c r="G482" s="32"/>
      <c r="H482" s="32"/>
      <c r="I482" s="32"/>
    </row>
    <row r="483" ht="15.75" customHeight="1">
      <c r="A483" s="32"/>
      <c r="B483" s="32"/>
      <c r="C483" s="32"/>
      <c r="D483" s="33"/>
      <c r="E483" s="30" t="str">
        <f>IFERROR(VLOOKUP(D483,'PAÑOL TÉCNICO'!A400:B1000,2,0))</f>
        <v/>
      </c>
      <c r="F483" s="33"/>
      <c r="G483" s="32"/>
      <c r="H483" s="32"/>
      <c r="I483" s="32"/>
    </row>
    <row r="484" ht="15.75" customHeight="1">
      <c r="A484" s="32"/>
      <c r="B484" s="32"/>
      <c r="C484" s="32"/>
      <c r="D484" s="33"/>
      <c r="E484" s="30" t="str">
        <f>IFERROR(VLOOKUP(D484,'PAÑOL TÉCNICO'!A401:B1000,2,0))</f>
        <v/>
      </c>
      <c r="F484" s="33"/>
      <c r="G484" s="32"/>
      <c r="H484" s="32"/>
      <c r="I484" s="32"/>
    </row>
    <row r="485" ht="15.75" customHeight="1">
      <c r="A485" s="32"/>
      <c r="B485" s="32"/>
      <c r="C485" s="32"/>
      <c r="D485" s="33"/>
      <c r="E485" s="30" t="str">
        <f>IFERROR(VLOOKUP(D485,'PAÑOL TÉCNICO'!A402:B1000,2,0))</f>
        <v/>
      </c>
      <c r="F485" s="33"/>
      <c r="G485" s="32"/>
      <c r="H485" s="32"/>
      <c r="I485" s="32"/>
    </row>
    <row r="486" ht="15.75" customHeight="1">
      <c r="A486" s="32"/>
      <c r="B486" s="32"/>
      <c r="C486" s="32"/>
      <c r="D486" s="33"/>
      <c r="E486" s="30" t="str">
        <f>IFERROR(VLOOKUP(D486,'PAÑOL TÉCNICO'!A403:B1000,2,0))</f>
        <v/>
      </c>
      <c r="F486" s="33"/>
      <c r="G486" s="32"/>
      <c r="H486" s="32"/>
      <c r="I486" s="32"/>
    </row>
    <row r="487" ht="15.75" customHeight="1">
      <c r="A487" s="32"/>
      <c r="B487" s="32"/>
      <c r="C487" s="32"/>
      <c r="D487" s="33"/>
      <c r="E487" s="30" t="str">
        <f>IFERROR(VLOOKUP(D487,'PAÑOL TÉCNICO'!A404:B1000,2,0))</f>
        <v/>
      </c>
      <c r="F487" s="33"/>
      <c r="G487" s="32"/>
      <c r="H487" s="32"/>
      <c r="I487" s="32"/>
    </row>
    <row r="488" ht="15.75" customHeight="1">
      <c r="A488" s="32"/>
      <c r="B488" s="32"/>
      <c r="C488" s="32"/>
      <c r="D488" s="33"/>
      <c r="E488" s="30" t="str">
        <f>IFERROR(VLOOKUP(D488,'PAÑOL TÉCNICO'!A405:B1000,2,0))</f>
        <v/>
      </c>
      <c r="F488" s="33"/>
      <c r="G488" s="32"/>
      <c r="H488" s="32"/>
      <c r="I488" s="32"/>
    </row>
    <row r="489" ht="15.75" customHeight="1">
      <c r="A489" s="32"/>
      <c r="B489" s="32"/>
      <c r="C489" s="32"/>
      <c r="D489" s="33"/>
      <c r="E489" s="30" t="str">
        <f>IFERROR(VLOOKUP(D489,'PAÑOL TÉCNICO'!A406:B1000,2,0))</f>
        <v/>
      </c>
      <c r="F489" s="33"/>
      <c r="G489" s="32"/>
      <c r="H489" s="32"/>
      <c r="I489" s="32"/>
    </row>
    <row r="490" ht="15.75" customHeight="1">
      <c r="A490" s="32"/>
      <c r="B490" s="32"/>
      <c r="C490" s="32"/>
      <c r="D490" s="33"/>
      <c r="E490" s="30" t="str">
        <f>IFERROR(VLOOKUP(D490,'PAÑOL TÉCNICO'!A407:B1000,2,0))</f>
        <v/>
      </c>
      <c r="F490" s="33"/>
      <c r="G490" s="32"/>
      <c r="H490" s="32"/>
      <c r="I490" s="32"/>
    </row>
    <row r="491" ht="15.75" customHeight="1">
      <c r="A491" s="32"/>
      <c r="B491" s="32"/>
      <c r="C491" s="32"/>
      <c r="D491" s="33"/>
      <c r="E491" s="30" t="str">
        <f>IFERROR(VLOOKUP(D491,'PAÑOL TÉCNICO'!A408:B1000,2,0))</f>
        <v/>
      </c>
      <c r="F491" s="33"/>
      <c r="G491" s="32"/>
      <c r="H491" s="32"/>
      <c r="I491" s="32"/>
    </row>
    <row r="492" ht="15.75" customHeight="1">
      <c r="A492" s="32"/>
      <c r="B492" s="32"/>
      <c r="C492" s="32"/>
      <c r="D492" s="33"/>
      <c r="E492" s="30" t="str">
        <f>IFERROR(VLOOKUP(D492,'PAÑOL TÉCNICO'!A409:B1000,2,0))</f>
        <v/>
      </c>
      <c r="F492" s="33"/>
      <c r="G492" s="32"/>
      <c r="H492" s="32"/>
      <c r="I492" s="32"/>
    </row>
    <row r="493" ht="15.75" customHeight="1">
      <c r="A493" s="32"/>
      <c r="B493" s="32"/>
      <c r="C493" s="32"/>
      <c r="D493" s="33"/>
      <c r="E493" s="30" t="str">
        <f>IFERROR(VLOOKUP(D493,'PAÑOL TÉCNICO'!A410:B1000,2,0))</f>
        <v/>
      </c>
      <c r="F493" s="33"/>
      <c r="G493" s="32"/>
      <c r="H493" s="32"/>
      <c r="I493" s="32"/>
    </row>
    <row r="494" ht="15.75" customHeight="1">
      <c r="A494" s="32"/>
      <c r="B494" s="32"/>
      <c r="C494" s="32"/>
      <c r="D494" s="33"/>
      <c r="E494" s="30" t="str">
        <f>IFERROR(VLOOKUP(D494,'PAÑOL TÉCNICO'!A411:B1000,2,0))</f>
        <v/>
      </c>
      <c r="F494" s="33"/>
      <c r="G494" s="32"/>
      <c r="H494" s="32"/>
      <c r="I494" s="32"/>
    </row>
    <row r="495" ht="15.75" customHeight="1">
      <c r="A495" s="32"/>
      <c r="B495" s="32"/>
      <c r="C495" s="32"/>
      <c r="D495" s="33"/>
      <c r="E495" s="30" t="str">
        <f>IFERROR(VLOOKUP(D495,'PAÑOL TÉCNICO'!A412:B1000,2,0))</f>
        <v/>
      </c>
      <c r="F495" s="33"/>
      <c r="G495" s="32"/>
      <c r="H495" s="32"/>
      <c r="I495" s="32"/>
    </row>
    <row r="496" ht="15.75" customHeight="1">
      <c r="A496" s="32"/>
      <c r="B496" s="32"/>
      <c r="C496" s="32"/>
      <c r="D496" s="33"/>
      <c r="E496" s="30" t="str">
        <f>IFERROR(VLOOKUP(D496,'PAÑOL TÉCNICO'!A413:B1000,2,0))</f>
        <v/>
      </c>
      <c r="F496" s="33"/>
      <c r="G496" s="32"/>
      <c r="H496" s="32"/>
      <c r="I496" s="32"/>
    </row>
    <row r="497" ht="15.75" customHeight="1">
      <c r="A497" s="32"/>
      <c r="B497" s="32"/>
      <c r="C497" s="32"/>
      <c r="D497" s="33"/>
      <c r="E497" s="30" t="str">
        <f>IFERROR(VLOOKUP(D497,'PAÑOL TÉCNICO'!A414:B1000,2,0))</f>
        <v/>
      </c>
      <c r="F497" s="33"/>
      <c r="G497" s="32"/>
      <c r="H497" s="32"/>
      <c r="I497" s="32"/>
    </row>
    <row r="498" ht="15.75" customHeight="1">
      <c r="A498" s="32"/>
      <c r="B498" s="32"/>
      <c r="C498" s="32"/>
      <c r="D498" s="33"/>
      <c r="E498" s="30" t="str">
        <f>IFERROR(VLOOKUP(D498,'PAÑOL TÉCNICO'!A415:B1000,2,0))</f>
        <v/>
      </c>
      <c r="F498" s="33"/>
      <c r="G498" s="32"/>
      <c r="H498" s="32"/>
      <c r="I498" s="32"/>
    </row>
    <row r="499" ht="15.75" customHeight="1">
      <c r="A499" s="32"/>
      <c r="B499" s="32"/>
      <c r="C499" s="32"/>
      <c r="D499" s="33"/>
      <c r="E499" s="30" t="str">
        <f>IFERROR(VLOOKUP(D499,'PAÑOL TÉCNICO'!A416:B1000,2,0))</f>
        <v/>
      </c>
      <c r="F499" s="33"/>
      <c r="G499" s="32"/>
      <c r="H499" s="32"/>
      <c r="I499" s="32"/>
    </row>
    <row r="500" ht="15.75" customHeight="1">
      <c r="A500" s="32"/>
      <c r="B500" s="32"/>
      <c r="C500" s="32"/>
      <c r="D500" s="33"/>
      <c r="E500" s="30" t="str">
        <f>IFERROR(VLOOKUP(D500,'PAÑOL TÉCNICO'!A417:B1000,2,0))</f>
        <v/>
      </c>
      <c r="F500" s="33"/>
      <c r="G500" s="32"/>
      <c r="H500" s="32"/>
      <c r="I500" s="32"/>
    </row>
    <row r="501" ht="15.75" customHeight="1">
      <c r="A501" s="32"/>
      <c r="B501" s="32"/>
      <c r="C501" s="32"/>
      <c r="D501" s="33"/>
      <c r="E501" s="30" t="str">
        <f>IFERROR(VLOOKUP(D501,'PAÑOL TÉCNICO'!A418:B1000,2,0))</f>
        <v/>
      </c>
      <c r="F501" s="33"/>
      <c r="G501" s="32"/>
      <c r="H501" s="32"/>
      <c r="I501" s="32"/>
    </row>
    <row r="502" ht="15.75" customHeight="1">
      <c r="A502" s="32"/>
      <c r="B502" s="32"/>
      <c r="C502" s="32"/>
      <c r="D502" s="33"/>
      <c r="E502" s="30" t="str">
        <f>IFERROR(VLOOKUP(D502,'PAÑOL TÉCNICO'!A419:B1000,2,0))</f>
        <v/>
      </c>
      <c r="F502" s="33"/>
      <c r="G502" s="32"/>
      <c r="H502" s="32"/>
      <c r="I502" s="32"/>
    </row>
    <row r="503" ht="15.75" customHeight="1">
      <c r="A503" s="32"/>
      <c r="B503" s="32"/>
      <c r="C503" s="32"/>
      <c r="D503" s="33"/>
      <c r="E503" s="30" t="str">
        <f>IFERROR(VLOOKUP(D503,'PAÑOL TÉCNICO'!A420:B1000,2,0))</f>
        <v/>
      </c>
      <c r="F503" s="33"/>
      <c r="G503" s="32"/>
      <c r="H503" s="32"/>
      <c r="I503" s="32"/>
    </row>
    <row r="504" ht="15.75" customHeight="1">
      <c r="A504" s="32"/>
      <c r="B504" s="32"/>
      <c r="C504" s="32"/>
      <c r="D504" s="33"/>
      <c r="E504" s="30" t="str">
        <f>IFERROR(VLOOKUP(D504,'PAÑOL TÉCNICO'!A421:B1000,2,0))</f>
        <v/>
      </c>
      <c r="F504" s="33"/>
      <c r="G504" s="32"/>
      <c r="H504" s="32"/>
      <c r="I504" s="32"/>
    </row>
    <row r="505" ht="15.75" customHeight="1">
      <c r="A505" s="32"/>
      <c r="B505" s="32"/>
      <c r="C505" s="32"/>
      <c r="D505" s="33"/>
      <c r="E505" s="30" t="str">
        <f>IFERROR(VLOOKUP(D505,'PAÑOL TÉCNICO'!A422:B1000,2,0))</f>
        <v/>
      </c>
      <c r="F505" s="33"/>
      <c r="G505" s="32"/>
      <c r="H505" s="32"/>
      <c r="I505" s="32"/>
    </row>
    <row r="506" ht="15.75" customHeight="1">
      <c r="A506" s="32"/>
      <c r="B506" s="32"/>
      <c r="C506" s="32"/>
      <c r="D506" s="33"/>
      <c r="E506" s="30" t="str">
        <f>IFERROR(VLOOKUP(D506,'PAÑOL TÉCNICO'!A423:B1000,2,0))</f>
        <v/>
      </c>
      <c r="F506" s="33"/>
      <c r="G506" s="32"/>
      <c r="H506" s="32"/>
      <c r="I506" s="32"/>
    </row>
    <row r="507" ht="15.75" customHeight="1">
      <c r="A507" s="32"/>
      <c r="B507" s="32"/>
      <c r="C507" s="32"/>
      <c r="D507" s="33"/>
      <c r="E507" s="30" t="str">
        <f>IFERROR(VLOOKUP(D507,'PAÑOL TÉCNICO'!A424:B1000,2,0))</f>
        <v/>
      </c>
      <c r="F507" s="33"/>
      <c r="G507" s="32"/>
      <c r="H507" s="32"/>
      <c r="I507" s="32"/>
    </row>
    <row r="508" ht="15.75" customHeight="1">
      <c r="A508" s="32"/>
      <c r="B508" s="32"/>
      <c r="C508" s="32"/>
      <c r="D508" s="33"/>
      <c r="E508" s="30" t="str">
        <f>IFERROR(VLOOKUP(D508,'PAÑOL TÉCNICO'!A425:B1000,2,0))</f>
        <v/>
      </c>
      <c r="F508" s="33"/>
      <c r="G508" s="32"/>
      <c r="H508" s="32"/>
      <c r="I508" s="32"/>
    </row>
    <row r="509" ht="15.75" customHeight="1">
      <c r="A509" s="32"/>
      <c r="B509" s="32"/>
      <c r="C509" s="32"/>
      <c r="D509" s="33"/>
      <c r="E509" s="30" t="str">
        <f>IFERROR(VLOOKUP(D509,'PAÑOL TÉCNICO'!A426:B1000,2,0))</f>
        <v/>
      </c>
      <c r="F509" s="33"/>
      <c r="G509" s="32"/>
      <c r="H509" s="32"/>
      <c r="I509" s="32"/>
    </row>
    <row r="510" ht="15.75" customHeight="1">
      <c r="A510" s="32"/>
      <c r="B510" s="32"/>
      <c r="C510" s="32"/>
      <c r="D510" s="33"/>
      <c r="E510" s="30" t="str">
        <f>IFERROR(VLOOKUP(D510,'PAÑOL TÉCNICO'!A427:B1000,2,0))</f>
        <v/>
      </c>
      <c r="F510" s="33"/>
      <c r="G510" s="32"/>
      <c r="H510" s="32"/>
      <c r="I510" s="32"/>
    </row>
    <row r="511" ht="15.75" customHeight="1">
      <c r="A511" s="32"/>
      <c r="B511" s="32"/>
      <c r="C511" s="32"/>
      <c r="D511" s="33"/>
      <c r="E511" s="30" t="str">
        <f>IFERROR(VLOOKUP(D511,'PAÑOL TÉCNICO'!A428:B1000,2,0))</f>
        <v/>
      </c>
      <c r="F511" s="33"/>
      <c r="G511" s="32"/>
      <c r="H511" s="32"/>
      <c r="I511" s="32"/>
    </row>
    <row r="512" ht="15.75" customHeight="1">
      <c r="A512" s="32"/>
      <c r="B512" s="32"/>
      <c r="C512" s="32"/>
      <c r="D512" s="33"/>
      <c r="E512" s="30" t="str">
        <f>IFERROR(VLOOKUP(D512,'PAÑOL TÉCNICO'!A429:B1000,2,0))</f>
        <v/>
      </c>
      <c r="F512" s="33"/>
      <c r="G512" s="32"/>
      <c r="H512" s="32"/>
      <c r="I512" s="32"/>
    </row>
    <row r="513" ht="15.75" customHeight="1">
      <c r="A513" s="32"/>
      <c r="B513" s="32"/>
      <c r="C513" s="32"/>
      <c r="D513" s="33"/>
      <c r="E513" s="30" t="str">
        <f>IFERROR(VLOOKUP(D513,'PAÑOL TÉCNICO'!A430:B1000,2,0))</f>
        <v/>
      </c>
      <c r="F513" s="33"/>
      <c r="G513" s="32"/>
      <c r="H513" s="32"/>
      <c r="I513" s="32"/>
    </row>
    <row r="514" ht="15.75" customHeight="1">
      <c r="A514" s="32"/>
      <c r="B514" s="32"/>
      <c r="C514" s="32"/>
      <c r="D514" s="33"/>
      <c r="E514" s="30" t="str">
        <f>IFERROR(VLOOKUP(D514,'PAÑOL TÉCNICO'!A431:B1000,2,0))</f>
        <v/>
      </c>
      <c r="F514" s="33"/>
      <c r="G514" s="32"/>
      <c r="H514" s="32"/>
      <c r="I514" s="32"/>
    </row>
    <row r="515" ht="15.75" customHeight="1">
      <c r="A515" s="32"/>
      <c r="B515" s="32"/>
      <c r="C515" s="32"/>
      <c r="D515" s="33"/>
      <c r="E515" s="30" t="str">
        <f>IFERROR(VLOOKUP(D515,'PAÑOL TÉCNICO'!A432:B1000,2,0))</f>
        <v/>
      </c>
      <c r="F515" s="33"/>
      <c r="G515" s="32"/>
      <c r="H515" s="32"/>
      <c r="I515" s="32"/>
    </row>
    <row r="516" ht="15.75" customHeight="1">
      <c r="A516" s="32"/>
      <c r="B516" s="32"/>
      <c r="C516" s="32"/>
      <c r="D516" s="33"/>
      <c r="E516" s="30" t="str">
        <f>IFERROR(VLOOKUP(D516,'PAÑOL TÉCNICO'!A433:B1000,2,0))</f>
        <v/>
      </c>
      <c r="F516" s="33"/>
      <c r="G516" s="32"/>
      <c r="H516" s="32"/>
      <c r="I516" s="32"/>
    </row>
    <row r="517" ht="15.75" customHeight="1">
      <c r="A517" s="32"/>
      <c r="B517" s="32"/>
      <c r="C517" s="32"/>
      <c r="D517" s="33"/>
      <c r="E517" s="30" t="str">
        <f>IFERROR(VLOOKUP(D517,'PAÑOL TÉCNICO'!A434:B1000,2,0))</f>
        <v/>
      </c>
      <c r="F517" s="33"/>
      <c r="G517" s="32"/>
      <c r="H517" s="32"/>
      <c r="I517" s="32"/>
    </row>
    <row r="518" ht="15.75" customHeight="1">
      <c r="A518" s="32"/>
      <c r="B518" s="32"/>
      <c r="C518" s="32"/>
      <c r="D518" s="33"/>
      <c r="E518" s="30" t="str">
        <f>IFERROR(VLOOKUP(D518,'PAÑOL TÉCNICO'!A435:B1000,2,0))</f>
        <v/>
      </c>
      <c r="F518" s="33"/>
      <c r="G518" s="32"/>
      <c r="H518" s="32"/>
      <c r="I518" s="32"/>
    </row>
    <row r="519" ht="15.75" customHeight="1">
      <c r="A519" s="32"/>
      <c r="B519" s="32"/>
      <c r="C519" s="32"/>
      <c r="D519" s="33"/>
      <c r="E519" s="30" t="str">
        <f>IFERROR(VLOOKUP(D519,'PAÑOL TÉCNICO'!A436:B1000,2,0))</f>
        <v/>
      </c>
      <c r="F519" s="33"/>
      <c r="G519" s="32"/>
      <c r="H519" s="32"/>
      <c r="I519" s="32"/>
    </row>
    <row r="520" ht="15.75" customHeight="1">
      <c r="A520" s="32"/>
      <c r="B520" s="32"/>
      <c r="C520" s="32"/>
      <c r="D520" s="33"/>
      <c r="E520" s="30" t="str">
        <f>IFERROR(VLOOKUP(D520,'PAÑOL TÉCNICO'!A437:B1000,2,0))</f>
        <v/>
      </c>
      <c r="F520" s="33"/>
      <c r="G520" s="32"/>
      <c r="H520" s="32"/>
      <c r="I520" s="32"/>
    </row>
    <row r="521" ht="15.75" customHeight="1">
      <c r="A521" s="32"/>
      <c r="B521" s="32"/>
      <c r="C521" s="32"/>
      <c r="D521" s="33"/>
      <c r="E521" s="30" t="str">
        <f>IFERROR(VLOOKUP(D521,'PAÑOL TÉCNICO'!A438:B1000,2,0))</f>
        <v/>
      </c>
      <c r="F521" s="33"/>
      <c r="G521" s="32"/>
      <c r="H521" s="32"/>
      <c r="I521" s="32"/>
    </row>
    <row r="522" ht="15.75" customHeight="1">
      <c r="A522" s="32"/>
      <c r="B522" s="32"/>
      <c r="C522" s="32"/>
      <c r="D522" s="33"/>
      <c r="E522" s="30" t="str">
        <f>IFERROR(VLOOKUP(D522,'PAÑOL TÉCNICO'!A439:B1000,2,0))</f>
        <v/>
      </c>
      <c r="F522" s="33"/>
      <c r="G522" s="32"/>
      <c r="H522" s="32"/>
      <c r="I522" s="32"/>
    </row>
    <row r="523" ht="15.75" customHeight="1">
      <c r="A523" s="32"/>
      <c r="B523" s="32"/>
      <c r="C523" s="32"/>
      <c r="D523" s="33"/>
      <c r="E523" s="30" t="str">
        <f>IFERROR(VLOOKUP(D523,'PAÑOL TÉCNICO'!A440:B1000,2,0))</f>
        <v/>
      </c>
      <c r="F523" s="33"/>
      <c r="G523" s="32"/>
      <c r="H523" s="32"/>
      <c r="I523" s="32"/>
    </row>
    <row r="524" ht="15.75" customHeight="1">
      <c r="A524" s="32"/>
      <c r="B524" s="32"/>
      <c r="C524" s="32"/>
      <c r="D524" s="33"/>
      <c r="E524" s="30" t="str">
        <f>IFERROR(VLOOKUP(D524,'PAÑOL TÉCNICO'!A441:B1000,2,0))</f>
        <v/>
      </c>
      <c r="F524" s="33"/>
      <c r="G524" s="32"/>
      <c r="H524" s="32"/>
      <c r="I524" s="32"/>
    </row>
    <row r="525" ht="15.75" customHeight="1">
      <c r="A525" s="32"/>
      <c r="B525" s="32"/>
      <c r="C525" s="32"/>
      <c r="D525" s="33"/>
      <c r="E525" s="30" t="str">
        <f>IFERROR(VLOOKUP(D525,'PAÑOL TÉCNICO'!A442:B1000,2,0))</f>
        <v/>
      </c>
      <c r="F525" s="33"/>
      <c r="G525" s="32"/>
      <c r="H525" s="32"/>
      <c r="I525" s="32"/>
    </row>
    <row r="526" ht="15.75" customHeight="1">
      <c r="A526" s="32"/>
      <c r="B526" s="32"/>
      <c r="C526" s="32"/>
      <c r="D526" s="33"/>
      <c r="E526" s="30" t="str">
        <f>IFERROR(VLOOKUP(D526,'PAÑOL TÉCNICO'!A443:B1000,2,0))</f>
        <v/>
      </c>
      <c r="F526" s="33"/>
      <c r="G526" s="32"/>
      <c r="H526" s="32"/>
      <c r="I526" s="32"/>
    </row>
    <row r="527" ht="15.75" customHeight="1">
      <c r="A527" s="32"/>
      <c r="B527" s="32"/>
      <c r="C527" s="32"/>
      <c r="D527" s="33"/>
      <c r="E527" s="30" t="str">
        <f>IFERROR(VLOOKUP(D527,'PAÑOL TÉCNICO'!A444:B1000,2,0))</f>
        <v/>
      </c>
      <c r="F527" s="33"/>
      <c r="G527" s="32"/>
      <c r="H527" s="32"/>
      <c r="I527" s="32"/>
    </row>
    <row r="528" ht="15.75" customHeight="1">
      <c r="A528" s="32"/>
      <c r="B528" s="32"/>
      <c r="C528" s="32"/>
      <c r="D528" s="33"/>
      <c r="E528" s="30" t="str">
        <f>IFERROR(VLOOKUP(D528,'PAÑOL TÉCNICO'!A445:B1000,2,0))</f>
        <v/>
      </c>
      <c r="F528" s="33"/>
      <c r="G528" s="32"/>
      <c r="H528" s="32"/>
      <c r="I528" s="32"/>
    </row>
    <row r="529" ht="15.75" customHeight="1">
      <c r="A529" s="32"/>
      <c r="B529" s="32"/>
      <c r="C529" s="32"/>
      <c r="D529" s="33"/>
      <c r="E529" s="30" t="str">
        <f>IFERROR(VLOOKUP(D529,'PAÑOL TÉCNICO'!A446:B1000,2,0))</f>
        <v/>
      </c>
      <c r="F529" s="33"/>
      <c r="G529" s="32"/>
      <c r="H529" s="32"/>
      <c r="I529" s="32"/>
    </row>
    <row r="530" ht="15.75" customHeight="1">
      <c r="A530" s="32"/>
      <c r="B530" s="32"/>
      <c r="C530" s="32"/>
      <c r="D530" s="33"/>
      <c r="E530" s="30" t="str">
        <f>IFERROR(VLOOKUP(D530,'PAÑOL TÉCNICO'!A447:B1000,2,0))</f>
        <v/>
      </c>
      <c r="F530" s="33"/>
      <c r="G530" s="32"/>
      <c r="H530" s="32"/>
      <c r="I530" s="32"/>
    </row>
    <row r="531" ht="15.75" customHeight="1">
      <c r="A531" s="32"/>
      <c r="B531" s="32"/>
      <c r="C531" s="32"/>
      <c r="D531" s="33"/>
      <c r="E531" s="30" t="str">
        <f>IFERROR(VLOOKUP(D531,'PAÑOL TÉCNICO'!A448:B1000,2,0))</f>
        <v/>
      </c>
      <c r="F531" s="33"/>
      <c r="G531" s="32"/>
      <c r="H531" s="32"/>
      <c r="I531" s="32"/>
    </row>
    <row r="532" ht="15.75" customHeight="1">
      <c r="A532" s="32"/>
      <c r="B532" s="32"/>
      <c r="C532" s="32"/>
      <c r="D532" s="33"/>
      <c r="E532" s="30" t="str">
        <f>IFERROR(VLOOKUP(D532,'PAÑOL TÉCNICO'!A449:B1000,2,0))</f>
        <v/>
      </c>
      <c r="F532" s="33"/>
      <c r="G532" s="32"/>
      <c r="H532" s="32"/>
      <c r="I532" s="32"/>
    </row>
    <row r="533" ht="15.75" customHeight="1">
      <c r="A533" s="32"/>
      <c r="B533" s="32"/>
      <c r="C533" s="32"/>
      <c r="D533" s="33"/>
      <c r="E533" s="30" t="str">
        <f>IFERROR(VLOOKUP(D533,'PAÑOL TÉCNICO'!A450:B1000,2,0))</f>
        <v/>
      </c>
      <c r="F533" s="33"/>
      <c r="G533" s="32"/>
      <c r="H533" s="32"/>
      <c r="I533" s="32"/>
    </row>
    <row r="534" ht="15.75" customHeight="1">
      <c r="A534" s="32"/>
      <c r="B534" s="32"/>
      <c r="C534" s="32"/>
      <c r="D534" s="33"/>
      <c r="E534" s="30" t="str">
        <f>IFERROR(VLOOKUP(D534,'PAÑOL TÉCNICO'!A451:B1000,2,0))</f>
        <v/>
      </c>
      <c r="F534" s="33"/>
      <c r="G534" s="32"/>
      <c r="H534" s="32"/>
      <c r="I534" s="32"/>
    </row>
    <row r="535" ht="15.75" customHeight="1">
      <c r="A535" s="32"/>
      <c r="B535" s="32"/>
      <c r="C535" s="32"/>
      <c r="D535" s="33"/>
      <c r="E535" s="30" t="str">
        <f>IFERROR(VLOOKUP(D535,'PAÑOL TÉCNICO'!A452:B1000,2,0))</f>
        <v/>
      </c>
      <c r="F535" s="33"/>
      <c r="G535" s="32"/>
      <c r="H535" s="32"/>
      <c r="I535" s="32"/>
    </row>
    <row r="536" ht="15.75" customHeight="1">
      <c r="A536" s="32"/>
      <c r="B536" s="32"/>
      <c r="C536" s="32"/>
      <c r="D536" s="33"/>
      <c r="E536" s="30" t="str">
        <f>IFERROR(VLOOKUP(D536,'PAÑOL TÉCNICO'!A453:B1000,2,0))</f>
        <v/>
      </c>
      <c r="F536" s="33"/>
      <c r="G536" s="32"/>
      <c r="H536" s="32"/>
      <c r="I536" s="32"/>
    </row>
    <row r="537" ht="15.75" customHeight="1">
      <c r="A537" s="32"/>
      <c r="B537" s="32"/>
      <c r="C537" s="32"/>
      <c r="D537" s="33"/>
      <c r="E537" s="30" t="str">
        <f>IFERROR(VLOOKUP(D537,'PAÑOL TÉCNICO'!A454:B1000,2,0))</f>
        <v/>
      </c>
      <c r="F537" s="33"/>
      <c r="G537" s="32"/>
      <c r="H537" s="32"/>
      <c r="I537" s="32"/>
    </row>
    <row r="538" ht="15.75" customHeight="1">
      <c r="A538" s="32"/>
      <c r="B538" s="32"/>
      <c r="C538" s="32"/>
      <c r="D538" s="33"/>
      <c r="E538" s="30" t="str">
        <f>IFERROR(VLOOKUP(D538,'PAÑOL TÉCNICO'!A455:B1000,2,0))</f>
        <v/>
      </c>
      <c r="F538" s="33"/>
      <c r="G538" s="32"/>
      <c r="H538" s="32"/>
      <c r="I538" s="32"/>
    </row>
    <row r="539" ht="15.75" customHeight="1">
      <c r="A539" s="32"/>
      <c r="B539" s="32"/>
      <c r="C539" s="32"/>
      <c r="D539" s="33"/>
      <c r="E539" s="30" t="str">
        <f>IFERROR(VLOOKUP(D539,'PAÑOL TÉCNICO'!A456:B1000,2,0))</f>
        <v/>
      </c>
      <c r="F539" s="33"/>
      <c r="G539" s="32"/>
      <c r="H539" s="32"/>
      <c r="I539" s="32"/>
    </row>
    <row r="540" ht="15.75" customHeight="1">
      <c r="A540" s="32"/>
      <c r="B540" s="32"/>
      <c r="C540" s="32"/>
      <c r="D540" s="33"/>
      <c r="E540" s="30" t="str">
        <f>IFERROR(VLOOKUP(D540,'PAÑOL TÉCNICO'!A457:B1000,2,0))</f>
        <v/>
      </c>
      <c r="F540" s="33"/>
      <c r="G540" s="32"/>
      <c r="H540" s="32"/>
      <c r="I540" s="32"/>
    </row>
    <row r="541" ht="15.75" customHeight="1">
      <c r="A541" s="32"/>
      <c r="B541" s="32"/>
      <c r="C541" s="32"/>
      <c r="D541" s="33"/>
      <c r="E541" s="30" t="str">
        <f>IFERROR(VLOOKUP(D541,'PAÑOL TÉCNICO'!A458:B1000,2,0))</f>
        <v/>
      </c>
      <c r="F541" s="33"/>
      <c r="G541" s="32"/>
      <c r="H541" s="32"/>
      <c r="I541" s="32"/>
    </row>
    <row r="542" ht="15.75" customHeight="1">
      <c r="A542" s="32"/>
      <c r="B542" s="32"/>
      <c r="C542" s="32"/>
      <c r="D542" s="33"/>
      <c r="E542" s="30" t="str">
        <f>IFERROR(VLOOKUP(D542,'PAÑOL TÉCNICO'!A459:B1000,2,0))</f>
        <v/>
      </c>
      <c r="F542" s="33"/>
      <c r="G542" s="32"/>
      <c r="H542" s="32"/>
      <c r="I542" s="32"/>
    </row>
    <row r="543" ht="15.75" customHeight="1">
      <c r="A543" s="32"/>
      <c r="B543" s="32"/>
      <c r="C543" s="32"/>
      <c r="D543" s="33"/>
      <c r="E543" s="30" t="str">
        <f>IFERROR(VLOOKUP(D543,'PAÑOL TÉCNICO'!A460:B1000,2,0))</f>
        <v/>
      </c>
      <c r="F543" s="33"/>
      <c r="G543" s="32"/>
      <c r="H543" s="32"/>
      <c r="I543" s="32"/>
    </row>
    <row r="544" ht="15.75" customHeight="1">
      <c r="A544" s="32"/>
      <c r="B544" s="32"/>
      <c r="C544" s="32"/>
      <c r="D544" s="33"/>
      <c r="E544" s="30" t="str">
        <f>IFERROR(VLOOKUP(D544,'PAÑOL TÉCNICO'!A461:B1000,2,0))</f>
        <v/>
      </c>
      <c r="F544" s="33"/>
      <c r="G544" s="32"/>
      <c r="H544" s="32"/>
      <c r="I544" s="32"/>
    </row>
    <row r="545" ht="15.75" customHeight="1">
      <c r="A545" s="32"/>
      <c r="B545" s="32"/>
      <c r="C545" s="32"/>
      <c r="D545" s="33"/>
      <c r="E545" s="30" t="str">
        <f>IFERROR(VLOOKUP(D545,'PAÑOL TÉCNICO'!A462:B1000,2,0))</f>
        <v/>
      </c>
      <c r="F545" s="33"/>
      <c r="G545" s="32"/>
      <c r="H545" s="32"/>
      <c r="I545" s="32"/>
    </row>
    <row r="546" ht="15.75" customHeight="1">
      <c r="A546" s="32"/>
      <c r="B546" s="32"/>
      <c r="C546" s="32"/>
      <c r="D546" s="33"/>
      <c r="E546" s="30" t="str">
        <f>IFERROR(VLOOKUP(D546,'PAÑOL TÉCNICO'!A463:B1000,2,0))</f>
        <v/>
      </c>
      <c r="F546" s="33"/>
      <c r="G546" s="32"/>
      <c r="H546" s="32"/>
      <c r="I546" s="32"/>
    </row>
    <row r="547" ht="15.75" customHeight="1">
      <c r="A547" s="32"/>
      <c r="B547" s="32"/>
      <c r="C547" s="32"/>
      <c r="D547" s="33"/>
      <c r="E547" s="30" t="str">
        <f>IFERROR(VLOOKUP(D547,'PAÑOL TÉCNICO'!A464:B1000,2,0))</f>
        <v/>
      </c>
      <c r="F547" s="33"/>
      <c r="G547" s="32"/>
      <c r="H547" s="32"/>
      <c r="I547" s="32"/>
    </row>
    <row r="548" ht="15.75" customHeight="1">
      <c r="A548" s="32"/>
      <c r="B548" s="32"/>
      <c r="C548" s="32"/>
      <c r="D548" s="33"/>
      <c r="E548" s="30" t="str">
        <f>IFERROR(VLOOKUP(D548,'PAÑOL TÉCNICO'!A465:B1000,2,0))</f>
        <v/>
      </c>
      <c r="F548" s="33"/>
      <c r="G548" s="32"/>
      <c r="H548" s="32"/>
      <c r="I548" s="32"/>
    </row>
    <row r="549" ht="15.75" customHeight="1">
      <c r="A549" s="32"/>
      <c r="B549" s="32"/>
      <c r="C549" s="32"/>
      <c r="D549" s="33"/>
      <c r="E549" s="30" t="str">
        <f>IFERROR(VLOOKUP(D549,'PAÑOL TÉCNICO'!A466:B1000,2,0))</f>
        <v/>
      </c>
      <c r="F549" s="33"/>
      <c r="G549" s="32"/>
      <c r="H549" s="32"/>
      <c r="I549" s="32"/>
    </row>
    <row r="550" ht="15.75" customHeight="1">
      <c r="A550" s="32"/>
      <c r="B550" s="32"/>
      <c r="C550" s="32"/>
      <c r="D550" s="33"/>
      <c r="E550" s="30" t="str">
        <f>IFERROR(VLOOKUP(D550,'PAÑOL TÉCNICO'!A467:B1000,2,0))</f>
        <v/>
      </c>
      <c r="F550" s="33"/>
      <c r="G550" s="32"/>
      <c r="H550" s="32"/>
      <c r="I550" s="32"/>
    </row>
    <row r="551" ht="15.75" customHeight="1">
      <c r="A551" s="32"/>
      <c r="B551" s="32"/>
      <c r="C551" s="32"/>
      <c r="D551" s="33"/>
      <c r="E551" s="30" t="str">
        <f>IFERROR(VLOOKUP(D551,'PAÑOL TÉCNICO'!A468:B1000,2,0))</f>
        <v/>
      </c>
      <c r="F551" s="33"/>
      <c r="G551" s="32"/>
      <c r="H551" s="32"/>
      <c r="I551" s="32"/>
    </row>
    <row r="552" ht="15.75" customHeight="1">
      <c r="A552" s="32"/>
      <c r="B552" s="32"/>
      <c r="C552" s="32"/>
      <c r="D552" s="33"/>
      <c r="E552" s="30" t="str">
        <f>IFERROR(VLOOKUP(D552,'PAÑOL TÉCNICO'!A469:B1000,2,0))</f>
        <v/>
      </c>
      <c r="F552" s="33"/>
      <c r="G552" s="32"/>
      <c r="H552" s="32"/>
      <c r="I552" s="32"/>
    </row>
    <row r="553" ht="15.75" customHeight="1">
      <c r="A553" s="32"/>
      <c r="B553" s="32"/>
      <c r="C553" s="32"/>
      <c r="D553" s="33"/>
      <c r="E553" s="30" t="str">
        <f>IFERROR(VLOOKUP(D553,'PAÑOL TÉCNICO'!A470:B1000,2,0))</f>
        <v/>
      </c>
      <c r="F553" s="33"/>
      <c r="G553" s="32"/>
      <c r="H553" s="32"/>
      <c r="I553" s="32"/>
    </row>
    <row r="554" ht="15.75" customHeight="1">
      <c r="A554" s="32"/>
      <c r="B554" s="32"/>
      <c r="C554" s="32"/>
      <c r="D554" s="33"/>
      <c r="E554" s="30" t="str">
        <f>IFERROR(VLOOKUP(D554,'PAÑOL TÉCNICO'!A471:B1000,2,0))</f>
        <v/>
      </c>
      <c r="F554" s="33"/>
      <c r="G554" s="32"/>
      <c r="H554" s="32"/>
      <c r="I554" s="32"/>
    </row>
    <row r="555" ht="15.75" customHeight="1">
      <c r="A555" s="32"/>
      <c r="B555" s="32"/>
      <c r="C555" s="32"/>
      <c r="D555" s="33"/>
      <c r="E555" s="30" t="str">
        <f>IFERROR(VLOOKUP(D555,'PAÑOL TÉCNICO'!A472:B1000,2,0))</f>
        <v/>
      </c>
      <c r="F555" s="33"/>
      <c r="G555" s="32"/>
      <c r="H555" s="32"/>
      <c r="I555" s="32"/>
    </row>
    <row r="556" ht="15.75" customHeight="1">
      <c r="A556" s="32"/>
      <c r="B556" s="32"/>
      <c r="C556" s="32"/>
      <c r="D556" s="33"/>
      <c r="E556" s="30" t="str">
        <f>IFERROR(VLOOKUP(D556,'PAÑOL TÉCNICO'!A473:B1000,2,0))</f>
        <v/>
      </c>
      <c r="F556" s="33"/>
      <c r="G556" s="32"/>
      <c r="H556" s="32"/>
      <c r="I556" s="32"/>
    </row>
    <row r="557" ht="15.75" customHeight="1">
      <c r="A557" s="32"/>
      <c r="B557" s="32"/>
      <c r="C557" s="32"/>
      <c r="D557" s="33"/>
      <c r="E557" s="30" t="str">
        <f>IFERROR(VLOOKUP(D557,'PAÑOL TÉCNICO'!A474:B1000,2,0))</f>
        <v/>
      </c>
      <c r="F557" s="33"/>
      <c r="G557" s="32"/>
      <c r="H557" s="32"/>
      <c r="I557" s="32"/>
    </row>
    <row r="558" ht="15.75" customHeight="1">
      <c r="A558" s="32"/>
      <c r="B558" s="32"/>
      <c r="C558" s="32"/>
      <c r="D558" s="33"/>
      <c r="E558" s="30" t="str">
        <f>IFERROR(VLOOKUP(D558,'PAÑOL TÉCNICO'!A475:B1000,2,0))</f>
        <v/>
      </c>
      <c r="F558" s="33"/>
      <c r="G558" s="32"/>
      <c r="H558" s="32"/>
      <c r="I558" s="32"/>
    </row>
    <row r="559" ht="15.75" customHeight="1">
      <c r="A559" s="32"/>
      <c r="B559" s="32"/>
      <c r="C559" s="32"/>
      <c r="D559" s="33"/>
      <c r="E559" s="30" t="str">
        <f>IFERROR(VLOOKUP(D559,'PAÑOL TÉCNICO'!A476:B1000,2,0))</f>
        <v/>
      </c>
      <c r="F559" s="33"/>
      <c r="G559" s="32"/>
      <c r="H559" s="32"/>
      <c r="I559" s="32"/>
    </row>
    <row r="560" ht="15.75" customHeight="1">
      <c r="A560" s="32"/>
      <c r="B560" s="32"/>
      <c r="C560" s="32"/>
      <c r="D560" s="33"/>
      <c r="E560" s="30" t="str">
        <f>IFERROR(VLOOKUP(D560,'PAÑOL TÉCNICO'!A477:B1000,2,0))</f>
        <v/>
      </c>
      <c r="F560" s="33"/>
      <c r="G560" s="32"/>
      <c r="H560" s="32"/>
      <c r="I560" s="32"/>
    </row>
    <row r="561" ht="15.75" customHeight="1">
      <c r="A561" s="32"/>
      <c r="B561" s="32"/>
      <c r="C561" s="32"/>
      <c r="D561" s="33"/>
      <c r="E561" s="30" t="str">
        <f>IFERROR(VLOOKUP(D561,'PAÑOL TÉCNICO'!A478:B1000,2,0))</f>
        <v/>
      </c>
      <c r="F561" s="33"/>
      <c r="G561" s="32"/>
      <c r="H561" s="32"/>
      <c r="I561" s="32"/>
    </row>
    <row r="562" ht="15.75" customHeight="1">
      <c r="A562" s="32"/>
      <c r="B562" s="32"/>
      <c r="C562" s="32"/>
      <c r="D562" s="33"/>
      <c r="E562" s="30" t="str">
        <f>IFERROR(VLOOKUP(D562,'PAÑOL TÉCNICO'!A479:B1000,2,0))</f>
        <v/>
      </c>
      <c r="F562" s="33"/>
      <c r="G562" s="32"/>
      <c r="H562" s="32"/>
      <c r="I562" s="32"/>
    </row>
    <row r="563" ht="15.75" customHeight="1">
      <c r="A563" s="32"/>
      <c r="B563" s="32"/>
      <c r="C563" s="32"/>
      <c r="D563" s="33"/>
      <c r="E563" s="30" t="str">
        <f>IFERROR(VLOOKUP(D563,'PAÑOL TÉCNICO'!A480:B1000,2,0))</f>
        <v/>
      </c>
      <c r="F563" s="33"/>
      <c r="G563" s="32"/>
      <c r="H563" s="32"/>
      <c r="I563" s="32"/>
    </row>
    <row r="564" ht="15.75" customHeight="1">
      <c r="A564" s="32"/>
      <c r="B564" s="32"/>
      <c r="C564" s="32"/>
      <c r="D564" s="33"/>
      <c r="E564" s="30" t="str">
        <f>IFERROR(VLOOKUP(D564,'PAÑOL TÉCNICO'!A481:B1000,2,0))</f>
        <v/>
      </c>
      <c r="F564" s="33"/>
      <c r="G564" s="32"/>
      <c r="H564" s="32"/>
      <c r="I564" s="32"/>
    </row>
    <row r="565" ht="15.75" customHeight="1">
      <c r="A565" s="32"/>
      <c r="B565" s="32"/>
      <c r="C565" s="32"/>
      <c r="D565" s="33"/>
      <c r="E565" s="30" t="str">
        <f>IFERROR(VLOOKUP(D565,'PAÑOL TÉCNICO'!A482:B1000,2,0))</f>
        <v/>
      </c>
      <c r="F565" s="33"/>
      <c r="G565" s="32"/>
      <c r="H565" s="32"/>
      <c r="I565" s="32"/>
    </row>
    <row r="566" ht="15.75" customHeight="1">
      <c r="A566" s="32"/>
      <c r="B566" s="32"/>
      <c r="C566" s="32"/>
      <c r="D566" s="33"/>
      <c r="E566" s="30" t="str">
        <f>IFERROR(VLOOKUP(D566,'PAÑOL TÉCNICO'!A483:B1000,2,0))</f>
        <v/>
      </c>
      <c r="F566" s="33"/>
      <c r="G566" s="32"/>
      <c r="H566" s="32"/>
      <c r="I566" s="32"/>
    </row>
    <row r="567" ht="15.75" customHeight="1">
      <c r="A567" s="32"/>
      <c r="B567" s="32"/>
      <c r="C567" s="32"/>
      <c r="D567" s="33"/>
      <c r="E567" s="30" t="str">
        <f>IFERROR(VLOOKUP(D567,'PAÑOL TÉCNICO'!A484:B1000,2,0))</f>
        <v/>
      </c>
      <c r="F567" s="33"/>
      <c r="G567" s="32"/>
      <c r="H567" s="32"/>
      <c r="I567" s="32"/>
    </row>
    <row r="568" ht="15.75" customHeight="1">
      <c r="A568" s="32"/>
      <c r="B568" s="32"/>
      <c r="C568" s="32"/>
      <c r="D568" s="33"/>
      <c r="E568" s="30" t="str">
        <f>IFERROR(VLOOKUP(D568,'PAÑOL TÉCNICO'!A485:B1000,2,0))</f>
        <v/>
      </c>
      <c r="F568" s="33"/>
      <c r="G568" s="32"/>
      <c r="H568" s="32"/>
      <c r="I568" s="32"/>
    </row>
    <row r="569" ht="15.75" customHeight="1">
      <c r="A569" s="32"/>
      <c r="B569" s="32"/>
      <c r="C569" s="32"/>
      <c r="D569" s="33"/>
      <c r="E569" s="30" t="str">
        <f>IFERROR(VLOOKUP(D569,'PAÑOL TÉCNICO'!A486:B1000,2,0))</f>
        <v/>
      </c>
      <c r="F569" s="33"/>
      <c r="G569" s="32"/>
      <c r="H569" s="32"/>
      <c r="I569" s="32"/>
    </row>
    <row r="570" ht="15.75" customHeight="1">
      <c r="A570" s="32"/>
      <c r="B570" s="32"/>
      <c r="C570" s="32"/>
      <c r="D570" s="33"/>
      <c r="E570" s="30" t="str">
        <f>IFERROR(VLOOKUP(D570,'PAÑOL TÉCNICO'!A487:B1000,2,0))</f>
        <v/>
      </c>
      <c r="F570" s="33"/>
      <c r="G570" s="32"/>
      <c r="H570" s="32"/>
      <c r="I570" s="32"/>
    </row>
    <row r="571" ht="15.75" customHeight="1">
      <c r="A571" s="32"/>
      <c r="B571" s="32"/>
      <c r="C571" s="32"/>
      <c r="D571" s="33"/>
      <c r="E571" s="30" t="str">
        <f>IFERROR(VLOOKUP(D571,'PAÑOL TÉCNICO'!A488:B1000,2,0))</f>
        <v/>
      </c>
      <c r="F571" s="33"/>
      <c r="G571" s="32"/>
      <c r="H571" s="32"/>
      <c r="I571" s="32"/>
    </row>
    <row r="572" ht="15.75" customHeight="1">
      <c r="A572" s="32"/>
      <c r="B572" s="32"/>
      <c r="C572" s="32"/>
      <c r="D572" s="33"/>
      <c r="E572" s="30" t="str">
        <f>IFERROR(VLOOKUP(D572,'PAÑOL TÉCNICO'!A489:B1000,2,0))</f>
        <v/>
      </c>
      <c r="F572" s="33"/>
      <c r="G572" s="32"/>
      <c r="H572" s="32"/>
      <c r="I572" s="32"/>
    </row>
    <row r="573" ht="15.75" customHeight="1">
      <c r="A573" s="32"/>
      <c r="B573" s="32"/>
      <c r="C573" s="32"/>
      <c r="D573" s="33"/>
      <c r="E573" s="30" t="str">
        <f>IFERROR(VLOOKUP(D573,'PAÑOL TÉCNICO'!A490:B1000,2,0))</f>
        <v/>
      </c>
      <c r="F573" s="33"/>
      <c r="G573" s="32"/>
      <c r="H573" s="32"/>
      <c r="I573" s="32"/>
    </row>
    <row r="574" ht="15.75" customHeight="1">
      <c r="A574" s="32"/>
      <c r="B574" s="32"/>
      <c r="C574" s="32"/>
      <c r="D574" s="33"/>
      <c r="E574" s="30" t="str">
        <f>IFERROR(VLOOKUP(D574,'PAÑOL TÉCNICO'!A491:B1000,2,0))</f>
        <v/>
      </c>
      <c r="F574" s="33"/>
      <c r="G574" s="32"/>
      <c r="H574" s="32"/>
      <c r="I574" s="32"/>
    </row>
    <row r="575" ht="15.75" customHeight="1">
      <c r="A575" s="32"/>
      <c r="B575" s="32"/>
      <c r="C575" s="32"/>
      <c r="D575" s="33"/>
      <c r="E575" s="30" t="str">
        <f>IFERROR(VLOOKUP(D575,'PAÑOL TÉCNICO'!A492:B1000,2,0))</f>
        <v/>
      </c>
      <c r="F575" s="33"/>
      <c r="G575" s="32"/>
      <c r="H575" s="32"/>
      <c r="I575" s="32"/>
    </row>
    <row r="576" ht="15.75" customHeight="1">
      <c r="A576" s="32"/>
      <c r="B576" s="32"/>
      <c r="C576" s="32"/>
      <c r="D576" s="33"/>
      <c r="E576" s="30" t="str">
        <f>IFERROR(VLOOKUP(D576,'PAÑOL TÉCNICO'!A493:B1000,2,0))</f>
        <v/>
      </c>
      <c r="F576" s="33"/>
      <c r="G576" s="32"/>
      <c r="H576" s="32"/>
      <c r="I576" s="32"/>
    </row>
    <row r="577" ht="15.75" customHeight="1">
      <c r="A577" s="32"/>
      <c r="B577" s="32"/>
      <c r="C577" s="32"/>
      <c r="D577" s="33"/>
      <c r="E577" s="30" t="str">
        <f>IFERROR(VLOOKUP(D577,'PAÑOL TÉCNICO'!A494:B1000,2,0))</f>
        <v/>
      </c>
      <c r="F577" s="33"/>
      <c r="G577" s="32"/>
      <c r="H577" s="32"/>
      <c r="I577" s="32"/>
    </row>
    <row r="578" ht="15.75" customHeight="1">
      <c r="A578" s="32"/>
      <c r="B578" s="32"/>
      <c r="C578" s="32"/>
      <c r="D578" s="33"/>
      <c r="E578" s="30" t="str">
        <f>IFERROR(VLOOKUP(D578,'PAÑOL TÉCNICO'!A495:B1000,2,0))</f>
        <v/>
      </c>
      <c r="F578" s="33"/>
      <c r="G578" s="32"/>
      <c r="H578" s="32"/>
      <c r="I578" s="32"/>
    </row>
    <row r="579" ht="15.75" customHeight="1">
      <c r="A579" s="32"/>
      <c r="B579" s="32"/>
      <c r="C579" s="32"/>
      <c r="D579" s="33"/>
      <c r="E579" s="30" t="str">
        <f>IFERROR(VLOOKUP(D579,'PAÑOL TÉCNICO'!A496:B1000,2,0))</f>
        <v/>
      </c>
      <c r="F579" s="33"/>
      <c r="G579" s="32"/>
      <c r="H579" s="32"/>
      <c r="I579" s="32"/>
    </row>
    <row r="580" ht="15.75" customHeight="1">
      <c r="A580" s="32"/>
      <c r="B580" s="32"/>
      <c r="C580" s="32"/>
      <c r="D580" s="33"/>
      <c r="E580" s="30" t="str">
        <f>IFERROR(VLOOKUP(D580,'PAÑOL TÉCNICO'!A497:B1000,2,0))</f>
        <v/>
      </c>
      <c r="F580" s="33"/>
      <c r="G580" s="32"/>
      <c r="H580" s="32"/>
      <c r="I580" s="32"/>
    </row>
    <row r="581" ht="15.75" customHeight="1">
      <c r="A581" s="32"/>
      <c r="B581" s="32"/>
      <c r="C581" s="32"/>
      <c r="D581" s="33"/>
      <c r="E581" s="30" t="str">
        <f>IFERROR(VLOOKUP(D581,'PAÑOL TÉCNICO'!A498:B1000,2,0))</f>
        <v/>
      </c>
      <c r="F581" s="33"/>
      <c r="G581" s="32"/>
      <c r="H581" s="32"/>
      <c r="I581" s="32"/>
    </row>
    <row r="582" ht="15.75" customHeight="1">
      <c r="A582" s="32"/>
      <c r="B582" s="32"/>
      <c r="C582" s="32"/>
      <c r="D582" s="33"/>
      <c r="E582" s="30" t="str">
        <f>IFERROR(VLOOKUP(D582,'PAÑOL TÉCNICO'!A499:B1000,2,0))</f>
        <v/>
      </c>
      <c r="F582" s="33"/>
      <c r="G582" s="32"/>
      <c r="H582" s="32"/>
      <c r="I582" s="32"/>
    </row>
    <row r="583" ht="15.75" customHeight="1">
      <c r="A583" s="32"/>
      <c r="B583" s="32"/>
      <c r="C583" s="32"/>
      <c r="D583" s="33"/>
      <c r="E583" s="30" t="str">
        <f>IFERROR(VLOOKUP(D583,'PAÑOL TÉCNICO'!A500:B1000,2,0))</f>
        <v/>
      </c>
      <c r="F583" s="33"/>
      <c r="G583" s="32"/>
      <c r="H583" s="32"/>
      <c r="I583" s="32"/>
    </row>
    <row r="584" ht="15.75" customHeight="1">
      <c r="A584" s="32"/>
      <c r="B584" s="32"/>
      <c r="C584" s="32"/>
      <c r="D584" s="33"/>
      <c r="E584" s="30" t="str">
        <f>IFERROR(VLOOKUP(D584,'PAÑOL TÉCNICO'!A501:B1000,2,0))</f>
        <v/>
      </c>
      <c r="F584" s="33"/>
      <c r="G584" s="32"/>
      <c r="H584" s="32"/>
      <c r="I584" s="32"/>
    </row>
    <row r="585" ht="15.75" customHeight="1">
      <c r="A585" s="32"/>
      <c r="B585" s="32"/>
      <c r="C585" s="32"/>
      <c r="D585" s="33"/>
      <c r="E585" s="30" t="str">
        <f>IFERROR(VLOOKUP(D585,'PAÑOL TÉCNICO'!A502:B1000,2,0))</f>
        <v/>
      </c>
      <c r="F585" s="33"/>
      <c r="G585" s="32"/>
      <c r="H585" s="32"/>
      <c r="I585" s="32"/>
    </row>
    <row r="586" ht="15.75" customHeight="1">
      <c r="A586" s="32"/>
      <c r="B586" s="32"/>
      <c r="C586" s="32"/>
      <c r="D586" s="33"/>
      <c r="E586" s="30" t="str">
        <f>IFERROR(VLOOKUP(D586,'PAÑOL TÉCNICO'!A503:B1000,2,0))</f>
        <v/>
      </c>
      <c r="F586" s="33"/>
      <c r="G586" s="32"/>
      <c r="H586" s="32"/>
      <c r="I586" s="32"/>
    </row>
    <row r="587" ht="15.75" customHeight="1">
      <c r="A587" s="32"/>
      <c r="B587" s="32"/>
      <c r="C587" s="32"/>
      <c r="D587" s="33"/>
      <c r="E587" s="30" t="str">
        <f>IFERROR(VLOOKUP(D587,'PAÑOL TÉCNICO'!A504:B1000,2,0))</f>
        <v/>
      </c>
      <c r="F587" s="33"/>
      <c r="G587" s="32"/>
      <c r="H587" s="32"/>
      <c r="I587" s="32"/>
    </row>
    <row r="588" ht="15.75" customHeight="1">
      <c r="A588" s="32"/>
      <c r="B588" s="32"/>
      <c r="C588" s="32"/>
      <c r="D588" s="33"/>
      <c r="E588" s="30" t="str">
        <f>IFERROR(VLOOKUP(D588,'PAÑOL TÉCNICO'!A505:B1000,2,0))</f>
        <v/>
      </c>
      <c r="F588" s="33"/>
      <c r="G588" s="32"/>
      <c r="H588" s="32"/>
      <c r="I588" s="32"/>
    </row>
    <row r="589" ht="15.75" customHeight="1">
      <c r="A589" s="32"/>
      <c r="B589" s="32"/>
      <c r="C589" s="32"/>
      <c r="D589" s="33"/>
      <c r="E589" s="30" t="str">
        <f>IFERROR(VLOOKUP(D589,'PAÑOL TÉCNICO'!A506:B1000,2,0))</f>
        <v/>
      </c>
      <c r="F589" s="33"/>
      <c r="G589" s="32"/>
      <c r="H589" s="32"/>
      <c r="I589" s="32"/>
    </row>
    <row r="590" ht="15.75" customHeight="1">
      <c r="A590" s="32"/>
      <c r="B590" s="32"/>
      <c r="C590" s="32"/>
      <c r="D590" s="33"/>
      <c r="E590" s="30" t="str">
        <f>IFERROR(VLOOKUP(D590,'PAÑOL TÉCNICO'!A507:B1000,2,0))</f>
        <v/>
      </c>
      <c r="F590" s="33"/>
      <c r="G590" s="32"/>
      <c r="H590" s="32"/>
      <c r="I590" s="32"/>
    </row>
    <row r="591" ht="15.75" customHeight="1">
      <c r="A591" s="32"/>
      <c r="B591" s="32"/>
      <c r="C591" s="32"/>
      <c r="D591" s="33"/>
      <c r="E591" s="30" t="str">
        <f>IFERROR(VLOOKUP(D591,'PAÑOL TÉCNICO'!A508:B1000,2,0))</f>
        <v/>
      </c>
      <c r="F591" s="33"/>
      <c r="G591" s="32"/>
      <c r="H591" s="32"/>
      <c r="I591" s="32"/>
    </row>
    <row r="592" ht="15.75" customHeight="1">
      <c r="A592" s="32"/>
      <c r="B592" s="32"/>
      <c r="C592" s="32"/>
      <c r="D592" s="33"/>
      <c r="E592" s="30" t="str">
        <f>IFERROR(VLOOKUP(D592,'PAÑOL TÉCNICO'!A509:B1000,2,0))</f>
        <v/>
      </c>
      <c r="F592" s="33"/>
      <c r="G592" s="32"/>
      <c r="H592" s="32"/>
      <c r="I592" s="32"/>
    </row>
    <row r="593" ht="15.75" customHeight="1">
      <c r="A593" s="32"/>
      <c r="B593" s="32"/>
      <c r="C593" s="32"/>
      <c r="D593" s="33"/>
      <c r="E593" s="30" t="str">
        <f>IFERROR(VLOOKUP(D593,'PAÑOL TÉCNICO'!A510:B1000,2,0))</f>
        <v/>
      </c>
      <c r="F593" s="33"/>
      <c r="G593" s="32"/>
      <c r="H593" s="32"/>
      <c r="I593" s="32"/>
    </row>
    <row r="594" ht="15.75" customHeight="1">
      <c r="A594" s="32"/>
      <c r="B594" s="32"/>
      <c r="C594" s="32"/>
      <c r="D594" s="33"/>
      <c r="E594" s="30" t="str">
        <f>IFERROR(VLOOKUP(D594,'PAÑOL TÉCNICO'!A511:B1000,2,0))</f>
        <v/>
      </c>
      <c r="F594" s="33"/>
      <c r="G594" s="32"/>
      <c r="H594" s="32"/>
      <c r="I594" s="32"/>
    </row>
    <row r="595" ht="15.75" customHeight="1">
      <c r="A595" s="32"/>
      <c r="B595" s="32"/>
      <c r="C595" s="32"/>
      <c r="D595" s="33"/>
      <c r="E595" s="30" t="str">
        <f>IFERROR(VLOOKUP(D595,'PAÑOL TÉCNICO'!A512:B1000,2,0))</f>
        <v/>
      </c>
      <c r="F595" s="33"/>
      <c r="G595" s="32"/>
      <c r="H595" s="32"/>
      <c r="I595" s="32"/>
    </row>
    <row r="596" ht="15.75" customHeight="1">
      <c r="A596" s="32"/>
      <c r="B596" s="32"/>
      <c r="C596" s="32"/>
      <c r="D596" s="33"/>
      <c r="E596" s="30" t="str">
        <f>IFERROR(VLOOKUP(D596,'PAÑOL TÉCNICO'!A513:B1000,2,0))</f>
        <v/>
      </c>
      <c r="F596" s="33"/>
      <c r="G596" s="32"/>
      <c r="H596" s="32"/>
      <c r="I596" s="32"/>
    </row>
    <row r="597" ht="15.75" customHeight="1">
      <c r="A597" s="32"/>
      <c r="B597" s="32"/>
      <c r="C597" s="32"/>
      <c r="D597" s="33"/>
      <c r="E597" s="30" t="str">
        <f>IFERROR(VLOOKUP(D597,'PAÑOL TÉCNICO'!A514:B1000,2,0))</f>
        <v/>
      </c>
      <c r="F597" s="33"/>
      <c r="G597" s="32"/>
      <c r="H597" s="32"/>
      <c r="I597" s="32"/>
    </row>
    <row r="598" ht="15.75" customHeight="1">
      <c r="A598" s="32"/>
      <c r="B598" s="32"/>
      <c r="C598" s="32"/>
      <c r="D598" s="33"/>
      <c r="E598" s="30" t="str">
        <f>IFERROR(VLOOKUP(D598,'PAÑOL TÉCNICO'!A515:B1000,2,0))</f>
        <v/>
      </c>
      <c r="F598" s="33"/>
      <c r="G598" s="32"/>
      <c r="H598" s="32"/>
      <c r="I598" s="32"/>
    </row>
    <row r="599" ht="15.75" customHeight="1">
      <c r="A599" s="32"/>
      <c r="B599" s="32"/>
      <c r="C599" s="32"/>
      <c r="D599" s="33"/>
      <c r="E599" s="30" t="str">
        <f>IFERROR(VLOOKUP(D599,'PAÑOL TÉCNICO'!A516:B1000,2,0))</f>
        <v/>
      </c>
      <c r="F599" s="33"/>
      <c r="G599" s="32"/>
      <c r="H599" s="32"/>
      <c r="I599" s="32"/>
    </row>
    <row r="600" ht="15.75" customHeight="1">
      <c r="A600" s="32"/>
      <c r="B600" s="32"/>
      <c r="C600" s="32"/>
      <c r="D600" s="33"/>
      <c r="E600" s="30" t="str">
        <f>IFERROR(VLOOKUP(D600,'PAÑOL TÉCNICO'!A517:B1000,2,0))</f>
        <v/>
      </c>
      <c r="F600" s="33"/>
      <c r="G600" s="32"/>
      <c r="H600" s="32"/>
      <c r="I600" s="32"/>
    </row>
    <row r="601" ht="15.75" customHeight="1">
      <c r="A601" s="32"/>
      <c r="B601" s="32"/>
      <c r="C601" s="32"/>
      <c r="D601" s="33"/>
      <c r="E601" s="30" t="str">
        <f>IFERROR(VLOOKUP(D601,'PAÑOL TÉCNICO'!A518:B1000,2,0))</f>
        <v/>
      </c>
      <c r="F601" s="33"/>
      <c r="G601" s="32"/>
      <c r="H601" s="32"/>
      <c r="I601" s="32"/>
    </row>
    <row r="602" ht="15.75" customHeight="1">
      <c r="A602" s="32"/>
      <c r="B602" s="32"/>
      <c r="C602" s="32"/>
      <c r="D602" s="33"/>
      <c r="E602" s="30" t="str">
        <f>IFERROR(VLOOKUP(D602,'PAÑOL TÉCNICO'!A519:B1000,2,0))</f>
        <v/>
      </c>
      <c r="F602" s="33"/>
      <c r="G602" s="32"/>
      <c r="H602" s="32"/>
      <c r="I602" s="32"/>
    </row>
    <row r="603" ht="15.75" customHeight="1">
      <c r="A603" s="32"/>
      <c r="B603" s="32"/>
      <c r="C603" s="32"/>
      <c r="D603" s="33"/>
      <c r="E603" s="30" t="str">
        <f>IFERROR(VLOOKUP(D603,'PAÑOL TÉCNICO'!A520:B1000,2,0))</f>
        <v/>
      </c>
      <c r="F603" s="33"/>
      <c r="G603" s="32"/>
      <c r="H603" s="32"/>
      <c r="I603" s="32"/>
    </row>
    <row r="604" ht="15.75" customHeight="1">
      <c r="A604" s="32"/>
      <c r="B604" s="32"/>
      <c r="C604" s="32"/>
      <c r="D604" s="33"/>
      <c r="E604" s="30" t="str">
        <f>IFERROR(VLOOKUP(D604,'PAÑOL TÉCNICO'!A521:B1000,2,0))</f>
        <v/>
      </c>
      <c r="F604" s="33"/>
      <c r="G604" s="32"/>
      <c r="H604" s="32"/>
      <c r="I604" s="32"/>
    </row>
    <row r="605" ht="15.75" customHeight="1">
      <c r="A605" s="32"/>
      <c r="B605" s="32"/>
      <c r="C605" s="32"/>
      <c r="D605" s="33"/>
      <c r="E605" s="30" t="str">
        <f>IFERROR(VLOOKUP(D605,'PAÑOL TÉCNICO'!A522:B1000,2,0))</f>
        <v/>
      </c>
      <c r="F605" s="33"/>
      <c r="G605" s="32"/>
      <c r="H605" s="32"/>
      <c r="I605" s="32"/>
    </row>
    <row r="606" ht="15.75" customHeight="1">
      <c r="A606" s="32"/>
      <c r="B606" s="32"/>
      <c r="C606" s="32"/>
      <c r="D606" s="33"/>
      <c r="E606" s="30" t="str">
        <f>IFERROR(VLOOKUP(D606,'PAÑOL TÉCNICO'!A523:B1000,2,0))</f>
        <v/>
      </c>
      <c r="F606" s="33"/>
      <c r="G606" s="32"/>
      <c r="H606" s="32"/>
      <c r="I606" s="32"/>
    </row>
    <row r="607" ht="15.75" customHeight="1">
      <c r="A607" s="32"/>
      <c r="B607" s="32"/>
      <c r="C607" s="32"/>
      <c r="D607" s="33"/>
      <c r="E607" s="30" t="str">
        <f>IFERROR(VLOOKUP(D607,'PAÑOL TÉCNICO'!A524:B1000,2,0))</f>
        <v/>
      </c>
      <c r="F607" s="33"/>
      <c r="G607" s="32"/>
      <c r="H607" s="32"/>
      <c r="I607" s="32"/>
    </row>
    <row r="608" ht="15.75" customHeight="1">
      <c r="A608" s="32"/>
      <c r="B608" s="32"/>
      <c r="C608" s="32"/>
      <c r="D608" s="33"/>
      <c r="E608" s="30" t="str">
        <f>IFERROR(VLOOKUP(D608,'PAÑOL TÉCNICO'!A525:B1000,2,0))</f>
        <v/>
      </c>
      <c r="F608" s="33"/>
      <c r="G608" s="32"/>
      <c r="H608" s="32"/>
      <c r="I608" s="32"/>
    </row>
    <row r="609" ht="15.75" customHeight="1">
      <c r="A609" s="32"/>
      <c r="B609" s="32"/>
      <c r="C609" s="32"/>
      <c r="D609" s="33"/>
      <c r="E609" s="30" t="str">
        <f>IFERROR(VLOOKUP(D609,'PAÑOL TÉCNICO'!A526:B1000,2,0))</f>
        <v/>
      </c>
      <c r="F609" s="33"/>
      <c r="G609" s="32"/>
      <c r="H609" s="32"/>
      <c r="I609" s="32"/>
    </row>
    <row r="610" ht="15.75" customHeight="1">
      <c r="A610" s="32"/>
      <c r="B610" s="32"/>
      <c r="C610" s="32"/>
      <c r="D610" s="33"/>
      <c r="E610" s="30" t="str">
        <f>IFERROR(VLOOKUP(D610,'PAÑOL TÉCNICO'!A527:B1000,2,0))</f>
        <v/>
      </c>
      <c r="F610" s="33"/>
      <c r="G610" s="32"/>
      <c r="H610" s="32"/>
      <c r="I610" s="32"/>
    </row>
    <row r="611" ht="15.75" customHeight="1">
      <c r="A611" s="32"/>
      <c r="B611" s="32"/>
      <c r="C611" s="32"/>
      <c r="D611" s="33"/>
      <c r="E611" s="30" t="str">
        <f>IFERROR(VLOOKUP(D611,'PAÑOL TÉCNICO'!A528:B1000,2,0))</f>
        <v/>
      </c>
      <c r="F611" s="33"/>
      <c r="G611" s="32"/>
      <c r="H611" s="32"/>
      <c r="I611" s="32"/>
    </row>
    <row r="612" ht="15.75" customHeight="1">
      <c r="A612" s="32"/>
      <c r="B612" s="32"/>
      <c r="C612" s="32"/>
      <c r="D612" s="33"/>
      <c r="E612" s="30" t="str">
        <f>IFERROR(VLOOKUP(D612,'PAÑOL TÉCNICO'!A529:B1000,2,0))</f>
        <v/>
      </c>
      <c r="F612" s="33"/>
      <c r="G612" s="32"/>
      <c r="H612" s="32"/>
      <c r="I612" s="32"/>
    </row>
    <row r="613" ht="15.75" customHeight="1">
      <c r="A613" s="32"/>
      <c r="B613" s="32"/>
      <c r="C613" s="32"/>
      <c r="D613" s="33"/>
      <c r="E613" s="30" t="str">
        <f>IFERROR(VLOOKUP(D613,'PAÑOL TÉCNICO'!A530:B1000,2,0))</f>
        <v/>
      </c>
      <c r="F613" s="33"/>
      <c r="G613" s="32"/>
      <c r="H613" s="32"/>
      <c r="I613" s="32"/>
    </row>
    <row r="614" ht="15.75" customHeight="1">
      <c r="A614" s="32"/>
      <c r="B614" s="32"/>
      <c r="C614" s="32"/>
      <c r="D614" s="33"/>
      <c r="E614" s="30" t="str">
        <f>IFERROR(VLOOKUP(D614,'PAÑOL TÉCNICO'!A531:B1000,2,0))</f>
        <v/>
      </c>
      <c r="F614" s="33"/>
      <c r="G614" s="32"/>
      <c r="H614" s="32"/>
      <c r="I614" s="32"/>
    </row>
    <row r="615" ht="15.75" customHeight="1">
      <c r="A615" s="32"/>
      <c r="B615" s="32"/>
      <c r="C615" s="32"/>
      <c r="D615" s="33"/>
      <c r="E615" s="30" t="str">
        <f>IFERROR(VLOOKUP(D615,'PAÑOL TÉCNICO'!A532:B1000,2,0))</f>
        <v/>
      </c>
      <c r="F615" s="33"/>
      <c r="G615" s="32"/>
      <c r="H615" s="32"/>
      <c r="I615" s="32"/>
    </row>
    <row r="616" ht="15.75" customHeight="1">
      <c r="A616" s="32"/>
      <c r="B616" s="32"/>
      <c r="C616" s="32"/>
      <c r="D616" s="33"/>
      <c r="E616" s="30" t="str">
        <f>IFERROR(VLOOKUP(D616,'PAÑOL TÉCNICO'!A533:B1000,2,0))</f>
        <v/>
      </c>
      <c r="F616" s="33"/>
      <c r="G616" s="32"/>
      <c r="H616" s="32"/>
      <c r="I616" s="32"/>
    </row>
    <row r="617" ht="15.75" customHeight="1">
      <c r="A617" s="32"/>
      <c r="B617" s="32"/>
      <c r="C617" s="32"/>
      <c r="D617" s="33"/>
      <c r="E617" s="30" t="str">
        <f>IFERROR(VLOOKUP(D617,'PAÑOL TÉCNICO'!A534:B1000,2,0))</f>
        <v/>
      </c>
      <c r="F617" s="33"/>
      <c r="G617" s="32"/>
      <c r="H617" s="32"/>
      <c r="I617" s="32"/>
    </row>
    <row r="618" ht="15.75" customHeight="1">
      <c r="A618" s="32"/>
      <c r="B618" s="32"/>
      <c r="C618" s="32"/>
      <c r="D618" s="33"/>
      <c r="E618" s="30" t="str">
        <f>IFERROR(VLOOKUP(D618,'PAÑOL TÉCNICO'!A535:B1000,2,0))</f>
        <v/>
      </c>
      <c r="F618" s="33"/>
      <c r="G618" s="32"/>
      <c r="H618" s="32"/>
      <c r="I618" s="32"/>
    </row>
    <row r="619" ht="15.75" customHeight="1">
      <c r="A619" s="32"/>
      <c r="B619" s="32"/>
      <c r="C619" s="32"/>
      <c r="D619" s="33"/>
      <c r="E619" s="30" t="str">
        <f>IFERROR(VLOOKUP(D619,'PAÑOL TÉCNICO'!A536:B1000,2,0))</f>
        <v/>
      </c>
      <c r="F619" s="33"/>
      <c r="G619" s="32"/>
      <c r="H619" s="32"/>
      <c r="I619" s="32"/>
    </row>
    <row r="620" ht="15.75" customHeight="1">
      <c r="A620" s="32"/>
      <c r="B620" s="32"/>
      <c r="C620" s="32"/>
      <c r="D620" s="33"/>
      <c r="E620" s="30" t="str">
        <f>IFERROR(VLOOKUP(D620,'PAÑOL TÉCNICO'!A537:B1000,2,0))</f>
        <v/>
      </c>
      <c r="F620" s="33"/>
      <c r="G620" s="32"/>
      <c r="H620" s="32"/>
      <c r="I620" s="32"/>
    </row>
    <row r="621" ht="15.75" customHeight="1">
      <c r="A621" s="32"/>
      <c r="B621" s="32"/>
      <c r="C621" s="32"/>
      <c r="D621" s="33"/>
      <c r="E621" s="30" t="str">
        <f>IFERROR(VLOOKUP(D621,'PAÑOL TÉCNICO'!A538:B1000,2,0))</f>
        <v/>
      </c>
      <c r="F621" s="33"/>
      <c r="G621" s="32"/>
      <c r="H621" s="32"/>
      <c r="I621" s="32"/>
    </row>
    <row r="622" ht="15.75" customHeight="1">
      <c r="A622" s="32"/>
      <c r="B622" s="32"/>
      <c r="C622" s="32"/>
      <c r="D622" s="33"/>
      <c r="E622" s="30" t="str">
        <f>IFERROR(VLOOKUP(D622,'PAÑOL TÉCNICO'!A539:B1000,2,0))</f>
        <v/>
      </c>
      <c r="F622" s="33"/>
      <c r="G622" s="32"/>
      <c r="H622" s="32"/>
      <c r="I622" s="32"/>
    </row>
    <row r="623" ht="15.75" customHeight="1">
      <c r="A623" s="32"/>
      <c r="B623" s="32"/>
      <c r="C623" s="32"/>
      <c r="D623" s="33"/>
      <c r="E623" s="30" t="str">
        <f>IFERROR(VLOOKUP(D623,'PAÑOL TÉCNICO'!A540:B1000,2,0))</f>
        <v/>
      </c>
      <c r="F623" s="33"/>
      <c r="G623" s="32"/>
      <c r="H623" s="32"/>
      <c r="I623" s="32"/>
    </row>
    <row r="624" ht="15.75" customHeight="1">
      <c r="A624" s="32"/>
      <c r="B624" s="32"/>
      <c r="C624" s="32"/>
      <c r="D624" s="33"/>
      <c r="E624" s="30" t="str">
        <f>IFERROR(VLOOKUP(D624,'PAÑOL TÉCNICO'!A541:B1000,2,0))</f>
        <v/>
      </c>
      <c r="F624" s="33"/>
      <c r="G624" s="32"/>
      <c r="H624" s="32"/>
      <c r="I624" s="32"/>
    </row>
    <row r="625" ht="15.75" customHeight="1">
      <c r="A625" s="32"/>
      <c r="B625" s="32"/>
      <c r="C625" s="32"/>
      <c r="D625" s="33"/>
      <c r="E625" s="30" t="str">
        <f>IFERROR(VLOOKUP(D625,'PAÑOL TÉCNICO'!A542:B1000,2,0))</f>
        <v/>
      </c>
      <c r="F625" s="33"/>
      <c r="G625" s="32"/>
      <c r="H625" s="32"/>
      <c r="I625" s="32"/>
    </row>
    <row r="626" ht="15.75" customHeight="1">
      <c r="A626" s="32"/>
      <c r="B626" s="32"/>
      <c r="C626" s="32"/>
      <c r="D626" s="33"/>
      <c r="E626" s="30" t="str">
        <f>IFERROR(VLOOKUP(D626,'PAÑOL TÉCNICO'!A543:B1000,2,0))</f>
        <v/>
      </c>
      <c r="F626" s="33"/>
      <c r="G626" s="32"/>
      <c r="H626" s="32"/>
      <c r="I626" s="32"/>
    </row>
    <row r="627" ht="15.75" customHeight="1">
      <c r="A627" s="32"/>
      <c r="B627" s="32"/>
      <c r="C627" s="32"/>
      <c r="D627" s="33"/>
      <c r="E627" s="30" t="str">
        <f>IFERROR(VLOOKUP(D627,'PAÑOL TÉCNICO'!A544:B1000,2,0))</f>
        <v/>
      </c>
      <c r="F627" s="33"/>
      <c r="G627" s="32"/>
      <c r="H627" s="32"/>
      <c r="I627" s="32"/>
    </row>
    <row r="628" ht="15.75" customHeight="1">
      <c r="A628" s="32"/>
      <c r="B628" s="32"/>
      <c r="C628" s="32"/>
      <c r="D628" s="33"/>
      <c r="E628" s="30" t="str">
        <f>IFERROR(VLOOKUP(D628,'PAÑOL TÉCNICO'!A545:B1000,2,0))</f>
        <v/>
      </c>
      <c r="F628" s="33"/>
      <c r="G628" s="32"/>
      <c r="H628" s="32"/>
      <c r="I628" s="32"/>
    </row>
    <row r="629" ht="15.75" customHeight="1">
      <c r="A629" s="32"/>
      <c r="B629" s="32"/>
      <c r="C629" s="32"/>
      <c r="D629" s="33"/>
      <c r="E629" s="30" t="str">
        <f>IFERROR(VLOOKUP(D629,'PAÑOL TÉCNICO'!A546:B1000,2,0))</f>
        <v/>
      </c>
      <c r="F629" s="33"/>
      <c r="G629" s="32"/>
      <c r="H629" s="32"/>
      <c r="I629" s="32"/>
    </row>
    <row r="630" ht="15.75" customHeight="1">
      <c r="A630" s="32"/>
      <c r="B630" s="32"/>
      <c r="C630" s="32"/>
      <c r="D630" s="33"/>
      <c r="E630" s="30" t="str">
        <f>IFERROR(VLOOKUP(D630,'PAÑOL TÉCNICO'!A547:B1000,2,0))</f>
        <v/>
      </c>
      <c r="F630" s="33"/>
      <c r="G630" s="32"/>
      <c r="H630" s="32"/>
      <c r="I630" s="32"/>
    </row>
    <row r="631" ht="15.75" customHeight="1">
      <c r="A631" s="32"/>
      <c r="B631" s="32"/>
      <c r="C631" s="32"/>
      <c r="D631" s="33"/>
      <c r="E631" s="30" t="str">
        <f>IFERROR(VLOOKUP(D631,'PAÑOL TÉCNICO'!A548:B1000,2,0))</f>
        <v/>
      </c>
      <c r="F631" s="33"/>
      <c r="G631" s="32"/>
      <c r="H631" s="32"/>
      <c r="I631" s="32"/>
    </row>
    <row r="632" ht="15.75" customHeight="1">
      <c r="A632" s="32"/>
      <c r="B632" s="32"/>
      <c r="C632" s="32"/>
      <c r="D632" s="33"/>
      <c r="E632" s="30" t="str">
        <f>IFERROR(VLOOKUP(D632,'PAÑOL TÉCNICO'!A549:B1000,2,0))</f>
        <v/>
      </c>
      <c r="F632" s="33"/>
      <c r="G632" s="32"/>
      <c r="H632" s="32"/>
      <c r="I632" s="32"/>
    </row>
    <row r="633" ht="15.75" customHeight="1">
      <c r="A633" s="32"/>
      <c r="B633" s="32"/>
      <c r="C633" s="32"/>
      <c r="D633" s="33"/>
      <c r="E633" s="30" t="str">
        <f>IFERROR(VLOOKUP(D633,'PAÑOL TÉCNICO'!A550:B1000,2,0))</f>
        <v/>
      </c>
      <c r="F633" s="33"/>
      <c r="G633" s="32"/>
      <c r="H633" s="32"/>
      <c r="I633" s="32"/>
    </row>
    <row r="634" ht="15.75" customHeight="1">
      <c r="A634" s="32"/>
      <c r="B634" s="32"/>
      <c r="C634" s="32"/>
      <c r="D634" s="33"/>
      <c r="E634" s="30" t="str">
        <f>IFERROR(VLOOKUP(D634,'PAÑOL TÉCNICO'!A551:B1000,2,0))</f>
        <v/>
      </c>
      <c r="F634" s="33"/>
      <c r="G634" s="32"/>
      <c r="H634" s="32"/>
      <c r="I634" s="32"/>
    </row>
    <row r="635" ht="15.75" customHeight="1">
      <c r="A635" s="32"/>
      <c r="B635" s="32"/>
      <c r="C635" s="32"/>
      <c r="D635" s="33"/>
      <c r="E635" s="30" t="str">
        <f>IFERROR(VLOOKUP(D635,'PAÑOL TÉCNICO'!A552:B1000,2,0))</f>
        <v/>
      </c>
      <c r="F635" s="33"/>
      <c r="G635" s="32"/>
      <c r="H635" s="32"/>
      <c r="I635" s="32"/>
    </row>
    <row r="636" ht="15.75" customHeight="1">
      <c r="A636" s="32"/>
      <c r="B636" s="32"/>
      <c r="C636" s="32"/>
      <c r="D636" s="33"/>
      <c r="E636" s="30" t="str">
        <f>IFERROR(VLOOKUP(D636,'PAÑOL TÉCNICO'!A553:B1000,2,0))</f>
        <v/>
      </c>
      <c r="F636" s="33"/>
      <c r="G636" s="32"/>
      <c r="H636" s="32"/>
      <c r="I636" s="32"/>
    </row>
    <row r="637" ht="15.75" customHeight="1">
      <c r="A637" s="32"/>
      <c r="B637" s="32"/>
      <c r="C637" s="32"/>
      <c r="D637" s="33"/>
      <c r="E637" s="30" t="str">
        <f>IFERROR(VLOOKUP(D637,'PAÑOL TÉCNICO'!A554:B1000,2,0))</f>
        <v/>
      </c>
      <c r="F637" s="33"/>
      <c r="G637" s="32"/>
      <c r="H637" s="32"/>
      <c r="I637" s="32"/>
    </row>
    <row r="638" ht="15.75" customHeight="1">
      <c r="A638" s="32"/>
      <c r="B638" s="32"/>
      <c r="C638" s="32"/>
      <c r="D638" s="33"/>
      <c r="E638" s="30" t="str">
        <f>IFERROR(VLOOKUP(D638,'PAÑOL TÉCNICO'!A555:B1000,2,0))</f>
        <v/>
      </c>
      <c r="F638" s="33"/>
      <c r="G638" s="32"/>
      <c r="H638" s="32"/>
      <c r="I638" s="32"/>
    </row>
    <row r="639" ht="15.75" customHeight="1">
      <c r="A639" s="32"/>
      <c r="B639" s="32"/>
      <c r="C639" s="32"/>
      <c r="D639" s="33"/>
      <c r="E639" s="30" t="str">
        <f>IFERROR(VLOOKUP(D639,'PAÑOL TÉCNICO'!A556:B1000,2,0))</f>
        <v/>
      </c>
      <c r="F639" s="33"/>
      <c r="G639" s="32"/>
      <c r="H639" s="32"/>
      <c r="I639" s="32"/>
    </row>
    <row r="640" ht="15.75" customHeight="1">
      <c r="A640" s="32"/>
      <c r="B640" s="32"/>
      <c r="C640" s="32"/>
      <c r="D640" s="33"/>
      <c r="E640" s="30" t="str">
        <f>IFERROR(VLOOKUP(D640,'PAÑOL TÉCNICO'!A557:B1000,2,0))</f>
        <v/>
      </c>
      <c r="F640" s="33"/>
      <c r="G640" s="32"/>
      <c r="H640" s="32"/>
      <c r="I640" s="32"/>
    </row>
    <row r="641" ht="15.75" customHeight="1">
      <c r="A641" s="32"/>
      <c r="B641" s="32"/>
      <c r="C641" s="32"/>
      <c r="D641" s="33"/>
      <c r="E641" s="30" t="str">
        <f>IFERROR(VLOOKUP(D641,'PAÑOL TÉCNICO'!A558:B1000,2,0))</f>
        <v/>
      </c>
      <c r="F641" s="33"/>
      <c r="G641" s="32"/>
      <c r="H641" s="32"/>
      <c r="I641" s="32"/>
    </row>
    <row r="642" ht="15.75" customHeight="1">
      <c r="A642" s="32"/>
      <c r="B642" s="32"/>
      <c r="C642" s="32"/>
      <c r="D642" s="33"/>
      <c r="E642" s="30" t="str">
        <f>IFERROR(VLOOKUP(D642,'PAÑOL TÉCNICO'!A559:B1000,2,0))</f>
        <v/>
      </c>
      <c r="F642" s="33"/>
      <c r="G642" s="32"/>
      <c r="H642" s="32"/>
      <c r="I642" s="32"/>
    </row>
    <row r="643" ht="15.75" customHeight="1">
      <c r="A643" s="32"/>
      <c r="B643" s="32"/>
      <c r="C643" s="32"/>
      <c r="D643" s="33"/>
      <c r="E643" s="30" t="str">
        <f>IFERROR(VLOOKUP(D643,'PAÑOL TÉCNICO'!A560:B1000,2,0))</f>
        <v/>
      </c>
      <c r="F643" s="33"/>
      <c r="G643" s="32"/>
      <c r="H643" s="32"/>
      <c r="I643" s="32"/>
    </row>
    <row r="644" ht="15.75" customHeight="1">
      <c r="A644" s="32"/>
      <c r="B644" s="32"/>
      <c r="C644" s="32"/>
      <c r="D644" s="33"/>
      <c r="E644" s="30" t="str">
        <f>IFERROR(VLOOKUP(D644,'PAÑOL TÉCNICO'!A561:B1000,2,0))</f>
        <v/>
      </c>
      <c r="F644" s="33"/>
      <c r="G644" s="32"/>
      <c r="H644" s="32"/>
      <c r="I644" s="32"/>
    </row>
    <row r="645" ht="15.75" customHeight="1">
      <c r="A645" s="32"/>
      <c r="B645" s="32"/>
      <c r="C645" s="32"/>
      <c r="D645" s="33"/>
      <c r="E645" s="30" t="str">
        <f>IFERROR(VLOOKUP(D645,'PAÑOL TÉCNICO'!A562:B1000,2,0))</f>
        <v/>
      </c>
      <c r="F645" s="33"/>
      <c r="G645" s="32"/>
      <c r="H645" s="32"/>
      <c r="I645" s="32"/>
    </row>
    <row r="646" ht="15.75" customHeight="1">
      <c r="A646" s="32"/>
      <c r="B646" s="32"/>
      <c r="C646" s="32"/>
      <c r="D646" s="33"/>
      <c r="E646" s="30" t="str">
        <f>IFERROR(VLOOKUP(D646,'PAÑOL TÉCNICO'!A563:B1000,2,0))</f>
        <v/>
      </c>
      <c r="F646" s="33"/>
      <c r="G646" s="32"/>
      <c r="H646" s="32"/>
      <c r="I646" s="32"/>
    </row>
    <row r="647" ht="15.75" customHeight="1">
      <c r="A647" s="32"/>
      <c r="B647" s="32"/>
      <c r="C647" s="32"/>
      <c r="D647" s="33"/>
      <c r="E647" s="30" t="str">
        <f>IFERROR(VLOOKUP(D647,'PAÑOL TÉCNICO'!A564:B1000,2,0))</f>
        <v/>
      </c>
      <c r="F647" s="33"/>
      <c r="G647" s="32"/>
      <c r="H647" s="32"/>
      <c r="I647" s="32"/>
    </row>
    <row r="648" ht="15.75" customHeight="1">
      <c r="A648" s="32"/>
      <c r="B648" s="32"/>
      <c r="C648" s="32"/>
      <c r="D648" s="33"/>
      <c r="E648" s="30" t="str">
        <f>IFERROR(VLOOKUP(D648,'PAÑOL TÉCNICO'!A565:B1000,2,0))</f>
        <v/>
      </c>
      <c r="F648" s="33"/>
      <c r="G648" s="32"/>
      <c r="H648" s="32"/>
      <c r="I648" s="32"/>
    </row>
    <row r="649" ht="15.75" customHeight="1">
      <c r="A649" s="32"/>
      <c r="B649" s="32"/>
      <c r="C649" s="32"/>
      <c r="D649" s="33"/>
      <c r="E649" s="30" t="str">
        <f>IFERROR(VLOOKUP(D649,'PAÑOL TÉCNICO'!A566:B1000,2,0))</f>
        <v/>
      </c>
      <c r="F649" s="33"/>
      <c r="G649" s="32"/>
      <c r="H649" s="32"/>
      <c r="I649" s="32"/>
    </row>
    <row r="650" ht="15.75" customHeight="1">
      <c r="A650" s="32"/>
      <c r="B650" s="32"/>
      <c r="C650" s="32"/>
      <c r="D650" s="33"/>
      <c r="E650" s="30" t="str">
        <f>IFERROR(VLOOKUP(D650,'PAÑOL TÉCNICO'!A567:B1000,2,0))</f>
        <v/>
      </c>
      <c r="F650" s="33"/>
      <c r="G650" s="32"/>
      <c r="H650" s="32"/>
      <c r="I650" s="32"/>
    </row>
    <row r="651" ht="15.75" customHeight="1">
      <c r="A651" s="32"/>
      <c r="B651" s="32"/>
      <c r="C651" s="32"/>
      <c r="D651" s="33"/>
      <c r="E651" s="30" t="str">
        <f>IFERROR(VLOOKUP(D651,'PAÑOL TÉCNICO'!A568:B1000,2,0))</f>
        <v/>
      </c>
      <c r="F651" s="33"/>
      <c r="G651" s="32"/>
      <c r="H651" s="32"/>
      <c r="I651" s="32"/>
    </row>
    <row r="652" ht="15.75" customHeight="1">
      <c r="A652" s="32"/>
      <c r="B652" s="32"/>
      <c r="C652" s="32"/>
      <c r="D652" s="33"/>
      <c r="E652" s="30" t="str">
        <f>IFERROR(VLOOKUP(D652,'PAÑOL TÉCNICO'!A569:B1000,2,0))</f>
        <v/>
      </c>
      <c r="F652" s="33"/>
      <c r="G652" s="32"/>
      <c r="H652" s="32"/>
      <c r="I652" s="32"/>
    </row>
    <row r="653" ht="15.75" customHeight="1">
      <c r="A653" s="32"/>
      <c r="B653" s="32"/>
      <c r="C653" s="32"/>
      <c r="D653" s="33"/>
      <c r="E653" s="30" t="str">
        <f>IFERROR(VLOOKUP(D653,'PAÑOL TÉCNICO'!A570:B1000,2,0))</f>
        <v/>
      </c>
      <c r="F653" s="33"/>
      <c r="G653" s="32"/>
      <c r="H653" s="32"/>
      <c r="I653" s="32"/>
    </row>
    <row r="654" ht="15.75" customHeight="1">
      <c r="A654" s="32"/>
      <c r="B654" s="32"/>
      <c r="C654" s="32"/>
      <c r="D654" s="33"/>
      <c r="E654" s="30" t="str">
        <f>IFERROR(VLOOKUP(D654,'PAÑOL TÉCNICO'!A571:B1000,2,0))</f>
        <v/>
      </c>
      <c r="F654" s="33"/>
      <c r="G654" s="32"/>
      <c r="H654" s="32"/>
      <c r="I654" s="32"/>
    </row>
    <row r="655" ht="15.75" customHeight="1">
      <c r="A655" s="32"/>
      <c r="B655" s="32"/>
      <c r="C655" s="32"/>
      <c r="D655" s="33"/>
      <c r="E655" s="30" t="str">
        <f>IFERROR(VLOOKUP(D655,'PAÑOL TÉCNICO'!A572:B1000,2,0))</f>
        <v/>
      </c>
      <c r="F655" s="33"/>
      <c r="G655" s="32"/>
      <c r="H655" s="32"/>
      <c r="I655" s="32"/>
    </row>
    <row r="656" ht="15.75" customHeight="1">
      <c r="A656" s="32"/>
      <c r="B656" s="32"/>
      <c r="C656" s="32"/>
      <c r="D656" s="33"/>
      <c r="E656" s="30" t="str">
        <f>IFERROR(VLOOKUP(D656,'PAÑOL TÉCNICO'!A573:B1000,2,0))</f>
        <v/>
      </c>
      <c r="F656" s="33"/>
      <c r="G656" s="32"/>
      <c r="H656" s="32"/>
      <c r="I656" s="32"/>
    </row>
    <row r="657" ht="15.75" customHeight="1">
      <c r="A657" s="32"/>
      <c r="B657" s="32"/>
      <c r="C657" s="32"/>
      <c r="D657" s="33"/>
      <c r="E657" s="30" t="str">
        <f>IFERROR(VLOOKUP(D657,'PAÑOL TÉCNICO'!A574:B1000,2,0))</f>
        <v/>
      </c>
      <c r="F657" s="33"/>
      <c r="G657" s="32"/>
      <c r="H657" s="32"/>
      <c r="I657" s="32"/>
    </row>
    <row r="658" ht="15.75" customHeight="1">
      <c r="A658" s="32"/>
      <c r="B658" s="32"/>
      <c r="C658" s="32"/>
      <c r="D658" s="33"/>
      <c r="E658" s="30" t="str">
        <f>IFERROR(VLOOKUP(D658,'PAÑOL TÉCNICO'!A575:B1000,2,0))</f>
        <v/>
      </c>
      <c r="F658" s="33"/>
      <c r="G658" s="32"/>
      <c r="H658" s="32"/>
      <c r="I658" s="32"/>
    </row>
    <row r="659" ht="15.75" customHeight="1">
      <c r="A659" s="32"/>
      <c r="B659" s="32"/>
      <c r="C659" s="32"/>
      <c r="D659" s="33"/>
      <c r="E659" s="30" t="str">
        <f>IFERROR(VLOOKUP(D659,'PAÑOL TÉCNICO'!A576:B1000,2,0))</f>
        <v/>
      </c>
      <c r="F659" s="33"/>
      <c r="G659" s="32"/>
      <c r="H659" s="32"/>
      <c r="I659" s="32"/>
    </row>
    <row r="660" ht="15.75" customHeight="1">
      <c r="A660" s="32"/>
      <c r="B660" s="32"/>
      <c r="C660" s="32"/>
      <c r="D660" s="33"/>
      <c r="E660" s="30" t="str">
        <f>IFERROR(VLOOKUP(D660,'PAÑOL TÉCNICO'!A577:B1000,2,0))</f>
        <v/>
      </c>
      <c r="F660" s="33"/>
      <c r="G660" s="32"/>
      <c r="H660" s="32"/>
      <c r="I660" s="32"/>
    </row>
    <row r="661" ht="15.75" customHeight="1">
      <c r="A661" s="32"/>
      <c r="B661" s="32"/>
      <c r="C661" s="32"/>
      <c r="D661" s="33"/>
      <c r="E661" s="30" t="str">
        <f>IFERROR(VLOOKUP(D661,'PAÑOL TÉCNICO'!A578:B1000,2,0))</f>
        <v/>
      </c>
      <c r="F661" s="33"/>
      <c r="G661" s="32"/>
      <c r="H661" s="32"/>
      <c r="I661" s="32"/>
    </row>
    <row r="662" ht="15.75" customHeight="1">
      <c r="A662" s="32"/>
      <c r="B662" s="32"/>
      <c r="C662" s="32"/>
      <c r="D662" s="33"/>
      <c r="E662" s="30" t="str">
        <f>IFERROR(VLOOKUP(D662,'PAÑOL TÉCNICO'!A579:B1000,2,0))</f>
        <v/>
      </c>
      <c r="F662" s="33"/>
      <c r="G662" s="32"/>
      <c r="H662" s="32"/>
      <c r="I662" s="32"/>
    </row>
    <row r="663" ht="15.75" customHeight="1">
      <c r="A663" s="32"/>
      <c r="B663" s="32"/>
      <c r="C663" s="32"/>
      <c r="D663" s="33"/>
      <c r="E663" s="30" t="str">
        <f>IFERROR(VLOOKUP(D663,'PAÑOL TÉCNICO'!A580:B1000,2,0))</f>
        <v/>
      </c>
      <c r="F663" s="33"/>
      <c r="G663" s="32"/>
      <c r="H663" s="32"/>
      <c r="I663" s="32"/>
    </row>
    <row r="664" ht="15.75" customHeight="1">
      <c r="A664" s="32"/>
      <c r="B664" s="32"/>
      <c r="C664" s="32"/>
      <c r="D664" s="33"/>
      <c r="E664" s="30" t="str">
        <f>IFERROR(VLOOKUP(D664,'PAÑOL TÉCNICO'!A581:B1000,2,0))</f>
        <v/>
      </c>
      <c r="F664" s="33"/>
      <c r="G664" s="32"/>
      <c r="H664" s="32"/>
      <c r="I664" s="32"/>
    </row>
    <row r="665" ht="15.75" customHeight="1">
      <c r="A665" s="32"/>
      <c r="B665" s="32"/>
      <c r="C665" s="32"/>
      <c r="D665" s="33"/>
      <c r="E665" s="30" t="str">
        <f>IFERROR(VLOOKUP(D665,'PAÑOL TÉCNICO'!A582:B1000,2,0))</f>
        <v/>
      </c>
      <c r="F665" s="33"/>
      <c r="G665" s="32"/>
      <c r="H665" s="32"/>
      <c r="I665" s="32"/>
    </row>
    <row r="666" ht="15.75" customHeight="1">
      <c r="A666" s="32"/>
      <c r="B666" s="32"/>
      <c r="C666" s="32"/>
      <c r="D666" s="33"/>
      <c r="E666" s="30" t="str">
        <f>IFERROR(VLOOKUP(D666,'PAÑOL TÉCNICO'!A583:B1000,2,0))</f>
        <v/>
      </c>
      <c r="F666" s="33"/>
      <c r="G666" s="32"/>
      <c r="H666" s="32"/>
      <c r="I666" s="32"/>
    </row>
    <row r="667" ht="15.75" customHeight="1">
      <c r="A667" s="32"/>
      <c r="B667" s="32"/>
      <c r="C667" s="32"/>
      <c r="D667" s="33"/>
      <c r="E667" s="30" t="str">
        <f>IFERROR(VLOOKUP(D667,'PAÑOL TÉCNICO'!A584:B1000,2,0))</f>
        <v/>
      </c>
      <c r="F667" s="33"/>
      <c r="G667" s="32"/>
      <c r="H667" s="32"/>
      <c r="I667" s="32"/>
    </row>
    <row r="668" ht="15.75" customHeight="1">
      <c r="A668" s="32"/>
      <c r="B668" s="32"/>
      <c r="C668" s="32"/>
      <c r="D668" s="33"/>
      <c r="E668" s="30" t="str">
        <f>IFERROR(VLOOKUP(D668,'PAÑOL TÉCNICO'!A585:B1000,2,0))</f>
        <v/>
      </c>
      <c r="F668" s="33"/>
      <c r="G668" s="32"/>
      <c r="H668" s="32"/>
      <c r="I668" s="32"/>
    </row>
    <row r="669" ht="15.75" customHeight="1">
      <c r="A669" s="32"/>
      <c r="B669" s="32"/>
      <c r="C669" s="32"/>
      <c r="D669" s="33"/>
      <c r="E669" s="30" t="str">
        <f>IFERROR(VLOOKUP(D669,'PAÑOL TÉCNICO'!A586:B1000,2,0))</f>
        <v/>
      </c>
      <c r="F669" s="33"/>
      <c r="G669" s="32"/>
      <c r="H669" s="32"/>
      <c r="I669" s="32"/>
    </row>
    <row r="670" ht="15.75" customHeight="1">
      <c r="A670" s="32"/>
      <c r="B670" s="32"/>
      <c r="C670" s="32"/>
      <c r="D670" s="33"/>
      <c r="E670" s="30" t="str">
        <f>IFERROR(VLOOKUP(D670,'PAÑOL TÉCNICO'!A587:B1000,2,0))</f>
        <v/>
      </c>
      <c r="F670" s="33"/>
      <c r="G670" s="32"/>
      <c r="H670" s="32"/>
      <c r="I670" s="32"/>
    </row>
    <row r="671" ht="15.75" customHeight="1">
      <c r="A671" s="32"/>
      <c r="B671" s="32"/>
      <c r="C671" s="32"/>
      <c r="D671" s="33"/>
      <c r="E671" s="30" t="str">
        <f>IFERROR(VLOOKUP(D671,'PAÑOL TÉCNICO'!A588:B1000,2,0))</f>
        <v/>
      </c>
      <c r="F671" s="33"/>
      <c r="G671" s="32"/>
      <c r="H671" s="32"/>
      <c r="I671" s="32"/>
    </row>
    <row r="672" ht="15.75" customHeight="1">
      <c r="A672" s="32"/>
      <c r="B672" s="32"/>
      <c r="C672" s="32"/>
      <c r="D672" s="33"/>
      <c r="E672" s="30" t="str">
        <f>IFERROR(VLOOKUP(D672,'PAÑOL TÉCNICO'!A589:B1000,2,0))</f>
        <v/>
      </c>
      <c r="F672" s="33"/>
      <c r="G672" s="32"/>
      <c r="H672" s="32"/>
      <c r="I672" s="32"/>
    </row>
    <row r="673" ht="15.75" customHeight="1">
      <c r="A673" s="32"/>
      <c r="B673" s="32"/>
      <c r="C673" s="32"/>
      <c r="D673" s="33"/>
      <c r="E673" s="30" t="str">
        <f>IFERROR(VLOOKUP(D673,'PAÑOL TÉCNICO'!A590:B1000,2,0))</f>
        <v/>
      </c>
      <c r="F673" s="33"/>
      <c r="G673" s="32"/>
      <c r="H673" s="32"/>
      <c r="I673" s="32"/>
    </row>
    <row r="674" ht="15.75" customHeight="1">
      <c r="A674" s="32"/>
      <c r="B674" s="32"/>
      <c r="C674" s="32"/>
      <c r="D674" s="33"/>
      <c r="E674" s="30" t="str">
        <f>IFERROR(VLOOKUP(D674,'PAÑOL TÉCNICO'!A591:B1000,2,0))</f>
        <v/>
      </c>
      <c r="F674" s="33"/>
      <c r="G674" s="32"/>
      <c r="H674" s="32"/>
      <c r="I674" s="32"/>
    </row>
    <row r="675" ht="15.75" customHeight="1">
      <c r="A675" s="32"/>
      <c r="B675" s="32"/>
      <c r="C675" s="32"/>
      <c r="D675" s="33"/>
      <c r="E675" s="30" t="str">
        <f>IFERROR(VLOOKUP(D675,'PAÑOL TÉCNICO'!A592:B1000,2,0))</f>
        <v/>
      </c>
      <c r="F675" s="33"/>
      <c r="G675" s="32"/>
      <c r="H675" s="32"/>
      <c r="I675" s="32"/>
    </row>
    <row r="676" ht="15.75" customHeight="1">
      <c r="A676" s="32"/>
      <c r="B676" s="32"/>
      <c r="C676" s="32"/>
      <c r="D676" s="33"/>
      <c r="E676" s="30" t="str">
        <f>IFERROR(VLOOKUP(D676,'PAÑOL TÉCNICO'!A593:B1000,2,0))</f>
        <v/>
      </c>
      <c r="F676" s="33"/>
      <c r="G676" s="32"/>
      <c r="H676" s="32"/>
      <c r="I676" s="32"/>
    </row>
    <row r="677" ht="15.75" customHeight="1">
      <c r="A677" s="32"/>
      <c r="B677" s="32"/>
      <c r="C677" s="32"/>
      <c r="D677" s="33"/>
      <c r="E677" s="30" t="str">
        <f>IFERROR(VLOOKUP(D677,'PAÑOL TÉCNICO'!A594:B1000,2,0))</f>
        <v/>
      </c>
      <c r="F677" s="33"/>
      <c r="G677" s="32"/>
      <c r="H677" s="32"/>
      <c r="I677" s="32"/>
    </row>
    <row r="678" ht="15.75" customHeight="1">
      <c r="A678" s="32"/>
      <c r="B678" s="32"/>
      <c r="C678" s="32"/>
      <c r="D678" s="33"/>
      <c r="E678" s="30" t="str">
        <f>IFERROR(VLOOKUP(D678,'PAÑOL TÉCNICO'!A595:B1000,2,0))</f>
        <v/>
      </c>
      <c r="F678" s="33"/>
      <c r="G678" s="32"/>
      <c r="H678" s="32"/>
      <c r="I678" s="32"/>
    </row>
    <row r="679" ht="15.75" customHeight="1">
      <c r="A679" s="32"/>
      <c r="B679" s="32"/>
      <c r="C679" s="32"/>
      <c r="D679" s="33"/>
      <c r="E679" s="30" t="str">
        <f>IFERROR(VLOOKUP(D679,'PAÑOL TÉCNICO'!A596:B1000,2,0))</f>
        <v/>
      </c>
      <c r="F679" s="33"/>
      <c r="G679" s="32"/>
      <c r="H679" s="32"/>
      <c r="I679" s="32"/>
    </row>
    <row r="680" ht="15.75" customHeight="1">
      <c r="A680" s="32"/>
      <c r="B680" s="32"/>
      <c r="C680" s="32"/>
      <c r="D680" s="33"/>
      <c r="E680" s="30" t="str">
        <f>IFERROR(VLOOKUP(D680,'PAÑOL TÉCNICO'!A597:B1000,2,0))</f>
        <v/>
      </c>
      <c r="F680" s="33"/>
      <c r="G680" s="32"/>
      <c r="H680" s="32"/>
      <c r="I680" s="32"/>
    </row>
    <row r="681" ht="15.75" customHeight="1">
      <c r="A681" s="32"/>
      <c r="B681" s="32"/>
      <c r="C681" s="32"/>
      <c r="D681" s="33"/>
      <c r="E681" s="30" t="str">
        <f>IFERROR(VLOOKUP(D681,'PAÑOL TÉCNICO'!A598:B1000,2,0))</f>
        <v/>
      </c>
      <c r="F681" s="33"/>
      <c r="G681" s="32"/>
      <c r="H681" s="32"/>
      <c r="I681" s="32"/>
    </row>
    <row r="682" ht="15.75" customHeight="1">
      <c r="A682" s="32"/>
      <c r="B682" s="32"/>
      <c r="C682" s="32"/>
      <c r="D682" s="33"/>
      <c r="E682" s="30" t="str">
        <f>IFERROR(VLOOKUP(D682,'PAÑOL TÉCNICO'!A599:B1000,2,0))</f>
        <v/>
      </c>
      <c r="F682" s="33"/>
      <c r="G682" s="32"/>
      <c r="H682" s="32"/>
      <c r="I682" s="32"/>
    </row>
    <row r="683" ht="15.75" customHeight="1">
      <c r="A683" s="32"/>
      <c r="B683" s="32"/>
      <c r="C683" s="32"/>
      <c r="D683" s="33"/>
      <c r="E683" s="30" t="str">
        <f>IFERROR(VLOOKUP(D683,'PAÑOL TÉCNICO'!A600:B1000,2,0))</f>
        <v/>
      </c>
      <c r="F683" s="33"/>
      <c r="G683" s="32"/>
      <c r="H683" s="32"/>
      <c r="I683" s="32"/>
    </row>
    <row r="684" ht="15.75" customHeight="1">
      <c r="A684" s="32"/>
      <c r="B684" s="32"/>
      <c r="C684" s="32"/>
      <c r="D684" s="33"/>
      <c r="E684" s="30" t="str">
        <f>IFERROR(VLOOKUP(D684,'PAÑOL TÉCNICO'!A601:B1000,2,0))</f>
        <v/>
      </c>
      <c r="F684" s="33"/>
      <c r="G684" s="32"/>
      <c r="H684" s="32"/>
      <c r="I684" s="32"/>
    </row>
    <row r="685" ht="15.75" customHeight="1">
      <c r="A685" s="32"/>
      <c r="B685" s="32"/>
      <c r="C685" s="32"/>
      <c r="D685" s="33"/>
      <c r="E685" s="30" t="str">
        <f>IFERROR(VLOOKUP(D685,'PAÑOL TÉCNICO'!A602:B1000,2,0))</f>
        <v/>
      </c>
      <c r="F685" s="33"/>
      <c r="G685" s="32"/>
      <c r="H685" s="32"/>
      <c r="I685" s="32"/>
    </row>
    <row r="686" ht="15.75" customHeight="1">
      <c r="A686" s="32"/>
      <c r="B686" s="32"/>
      <c r="C686" s="32"/>
      <c r="D686" s="33"/>
      <c r="E686" s="30" t="str">
        <f>IFERROR(VLOOKUP(D686,'PAÑOL TÉCNICO'!A603:B1000,2,0))</f>
        <v/>
      </c>
      <c r="F686" s="33"/>
      <c r="G686" s="32"/>
      <c r="H686" s="32"/>
      <c r="I686" s="32"/>
    </row>
    <row r="687" ht="15.75" customHeight="1">
      <c r="A687" s="32"/>
      <c r="B687" s="32"/>
      <c r="C687" s="32"/>
      <c r="D687" s="33"/>
      <c r="E687" s="30" t="str">
        <f>IFERROR(VLOOKUP(D687,'PAÑOL TÉCNICO'!A604:B1000,2,0))</f>
        <v/>
      </c>
      <c r="F687" s="33"/>
      <c r="G687" s="32"/>
      <c r="H687" s="32"/>
      <c r="I687" s="32"/>
    </row>
    <row r="688" ht="15.75" customHeight="1">
      <c r="A688" s="32"/>
      <c r="B688" s="32"/>
      <c r="C688" s="32"/>
      <c r="D688" s="33"/>
      <c r="E688" s="30" t="str">
        <f>IFERROR(VLOOKUP(D688,'PAÑOL TÉCNICO'!A605:B1000,2,0))</f>
        <v/>
      </c>
      <c r="F688" s="33"/>
      <c r="G688" s="32"/>
      <c r="H688" s="32"/>
      <c r="I688" s="32"/>
    </row>
    <row r="689" ht="15.75" customHeight="1">
      <c r="A689" s="32"/>
      <c r="B689" s="32"/>
      <c r="C689" s="32"/>
      <c r="D689" s="33"/>
      <c r="E689" s="30" t="str">
        <f>IFERROR(VLOOKUP(D689,'PAÑOL TÉCNICO'!A606:B1000,2,0))</f>
        <v/>
      </c>
      <c r="F689" s="33"/>
      <c r="G689" s="32"/>
      <c r="H689" s="32"/>
      <c r="I689" s="32"/>
    </row>
    <row r="690" ht="15.75" customHeight="1">
      <c r="A690" s="32"/>
      <c r="B690" s="32"/>
      <c r="C690" s="32"/>
      <c r="D690" s="33"/>
      <c r="E690" s="30" t="str">
        <f>IFERROR(VLOOKUP(D690,'PAÑOL TÉCNICO'!A607:B1000,2,0))</f>
        <v/>
      </c>
      <c r="F690" s="33"/>
      <c r="G690" s="32"/>
      <c r="H690" s="32"/>
      <c r="I690" s="32"/>
    </row>
    <row r="691" ht="15.75" customHeight="1">
      <c r="A691" s="32"/>
      <c r="B691" s="32"/>
      <c r="C691" s="32"/>
      <c r="D691" s="33"/>
      <c r="E691" s="30" t="str">
        <f>IFERROR(VLOOKUP(D691,'PAÑOL TÉCNICO'!A608:B1000,2,0))</f>
        <v/>
      </c>
      <c r="F691" s="33"/>
      <c r="G691" s="32"/>
      <c r="H691" s="32"/>
      <c r="I691" s="32"/>
    </row>
    <row r="692" ht="15.75" customHeight="1">
      <c r="A692" s="32"/>
      <c r="B692" s="32"/>
      <c r="C692" s="32"/>
      <c r="D692" s="33"/>
      <c r="E692" s="30" t="str">
        <f>IFERROR(VLOOKUP(D692,'PAÑOL TÉCNICO'!A609:B1000,2,0))</f>
        <v/>
      </c>
      <c r="F692" s="33"/>
      <c r="G692" s="32"/>
      <c r="H692" s="32"/>
      <c r="I692" s="32"/>
    </row>
    <row r="693" ht="15.75" customHeight="1">
      <c r="A693" s="32"/>
      <c r="B693" s="32"/>
      <c r="C693" s="32"/>
      <c r="D693" s="33"/>
      <c r="E693" s="30" t="str">
        <f>IFERROR(VLOOKUP(D693,'PAÑOL TÉCNICO'!A610:B1000,2,0))</f>
        <v/>
      </c>
      <c r="F693" s="33"/>
      <c r="G693" s="32"/>
      <c r="H693" s="32"/>
      <c r="I693" s="32"/>
    </row>
    <row r="694" ht="15.75" customHeight="1">
      <c r="A694" s="32"/>
      <c r="B694" s="32"/>
      <c r="C694" s="32"/>
      <c r="D694" s="33"/>
      <c r="E694" s="30" t="str">
        <f>IFERROR(VLOOKUP(D694,'PAÑOL TÉCNICO'!A611:B1000,2,0))</f>
        <v/>
      </c>
      <c r="F694" s="33"/>
      <c r="G694" s="32"/>
      <c r="H694" s="32"/>
      <c r="I694" s="32"/>
    </row>
    <row r="695" ht="15.75" customHeight="1">
      <c r="A695" s="32"/>
      <c r="B695" s="32"/>
      <c r="C695" s="32"/>
      <c r="D695" s="33"/>
      <c r="E695" s="30" t="str">
        <f>IFERROR(VLOOKUP(D695,'PAÑOL TÉCNICO'!A612:B1000,2,0))</f>
        <v/>
      </c>
      <c r="F695" s="33"/>
      <c r="G695" s="32"/>
      <c r="H695" s="32"/>
      <c r="I695" s="32"/>
    </row>
    <row r="696" ht="15.75" customHeight="1">
      <c r="A696" s="32"/>
      <c r="B696" s="32"/>
      <c r="C696" s="32"/>
      <c r="D696" s="33"/>
      <c r="E696" s="30" t="str">
        <f>IFERROR(VLOOKUP(D696,'PAÑOL TÉCNICO'!A613:B1000,2,0))</f>
        <v/>
      </c>
      <c r="F696" s="33"/>
      <c r="G696" s="32"/>
      <c r="H696" s="32"/>
      <c r="I696" s="32"/>
    </row>
    <row r="697" ht="15.75" customHeight="1">
      <c r="A697" s="32"/>
      <c r="B697" s="32"/>
      <c r="C697" s="32"/>
      <c r="D697" s="33"/>
      <c r="E697" s="30" t="str">
        <f>IFERROR(VLOOKUP(D697,'PAÑOL TÉCNICO'!A614:B1000,2,0))</f>
        <v/>
      </c>
      <c r="F697" s="33"/>
      <c r="G697" s="32"/>
      <c r="H697" s="32"/>
      <c r="I697" s="32"/>
    </row>
    <row r="698" ht="15.75" customHeight="1">
      <c r="A698" s="32"/>
      <c r="B698" s="32"/>
      <c r="C698" s="32"/>
      <c r="D698" s="33"/>
      <c r="E698" s="30" t="str">
        <f>IFERROR(VLOOKUP(D698,'PAÑOL TÉCNICO'!A615:B1000,2,0))</f>
        <v/>
      </c>
      <c r="F698" s="33"/>
      <c r="G698" s="32"/>
      <c r="H698" s="32"/>
      <c r="I698" s="32"/>
    </row>
    <row r="699" ht="15.75" customHeight="1">
      <c r="A699" s="32"/>
      <c r="B699" s="32"/>
      <c r="C699" s="32"/>
      <c r="D699" s="33"/>
      <c r="E699" s="30" t="str">
        <f>IFERROR(VLOOKUP(D699,'PAÑOL TÉCNICO'!A616:B1000,2,0))</f>
        <v/>
      </c>
      <c r="F699" s="33"/>
      <c r="G699" s="32"/>
      <c r="H699" s="32"/>
      <c r="I699" s="32"/>
    </row>
    <row r="700" ht="15.75" customHeight="1">
      <c r="A700" s="32"/>
      <c r="B700" s="32"/>
      <c r="C700" s="32"/>
      <c r="D700" s="33"/>
      <c r="E700" s="30" t="str">
        <f>IFERROR(VLOOKUP(D700,'PAÑOL TÉCNICO'!A617:B1000,2,0))</f>
        <v/>
      </c>
      <c r="F700" s="33"/>
      <c r="G700" s="32"/>
      <c r="H700" s="32"/>
      <c r="I700" s="32"/>
    </row>
    <row r="701" ht="15.75" customHeight="1">
      <c r="A701" s="32"/>
      <c r="B701" s="32"/>
      <c r="C701" s="32"/>
      <c r="D701" s="33"/>
      <c r="E701" s="30" t="str">
        <f>IFERROR(VLOOKUP(D701,'PAÑOL TÉCNICO'!A618:B1000,2,0))</f>
        <v/>
      </c>
      <c r="F701" s="33"/>
      <c r="G701" s="32"/>
      <c r="H701" s="32"/>
      <c r="I701" s="32"/>
    </row>
    <row r="702" ht="15.75" customHeight="1">
      <c r="A702" s="32"/>
      <c r="B702" s="32"/>
      <c r="C702" s="32"/>
      <c r="D702" s="33"/>
      <c r="E702" s="30" t="str">
        <f>IFERROR(VLOOKUP(D702,'PAÑOL TÉCNICO'!A619:B1000,2,0))</f>
        <v/>
      </c>
      <c r="F702" s="33"/>
      <c r="G702" s="32"/>
      <c r="H702" s="32"/>
      <c r="I702" s="32"/>
    </row>
    <row r="703" ht="15.75" customHeight="1">
      <c r="A703" s="32"/>
      <c r="B703" s="32"/>
      <c r="C703" s="32"/>
      <c r="D703" s="33"/>
      <c r="E703" s="30" t="str">
        <f>IFERROR(VLOOKUP(D703,'PAÑOL TÉCNICO'!A620:B1000,2,0))</f>
        <v/>
      </c>
      <c r="F703" s="33"/>
      <c r="G703" s="32"/>
      <c r="H703" s="32"/>
      <c r="I703" s="32"/>
    </row>
    <row r="704" ht="15.75" customHeight="1">
      <c r="A704" s="32"/>
      <c r="B704" s="32"/>
      <c r="C704" s="32"/>
      <c r="D704" s="33"/>
      <c r="E704" s="30" t="str">
        <f>IFERROR(VLOOKUP(D704,'PAÑOL TÉCNICO'!A621:B1000,2,0))</f>
        <v/>
      </c>
      <c r="F704" s="33"/>
      <c r="G704" s="32"/>
      <c r="H704" s="32"/>
      <c r="I704" s="32"/>
    </row>
    <row r="705" ht="15.75" customHeight="1">
      <c r="A705" s="32"/>
      <c r="B705" s="32"/>
      <c r="C705" s="32"/>
      <c r="D705" s="33"/>
      <c r="E705" s="30" t="str">
        <f>IFERROR(VLOOKUP(D705,'PAÑOL TÉCNICO'!A622:B1000,2,0))</f>
        <v/>
      </c>
      <c r="F705" s="33"/>
      <c r="G705" s="32"/>
      <c r="H705" s="32"/>
      <c r="I705" s="32"/>
    </row>
    <row r="706" ht="15.75" customHeight="1">
      <c r="A706" s="32"/>
      <c r="B706" s="32"/>
      <c r="C706" s="32"/>
      <c r="D706" s="33"/>
      <c r="E706" s="30" t="str">
        <f>IFERROR(VLOOKUP(D706,'PAÑOL TÉCNICO'!A623:B1000,2,0))</f>
        <v/>
      </c>
      <c r="F706" s="33"/>
      <c r="G706" s="32"/>
      <c r="H706" s="32"/>
      <c r="I706" s="32"/>
    </row>
    <row r="707" ht="15.75" customHeight="1">
      <c r="A707" s="32"/>
      <c r="B707" s="32"/>
      <c r="C707" s="32"/>
      <c r="D707" s="33"/>
      <c r="E707" s="30" t="str">
        <f>IFERROR(VLOOKUP(D707,'PAÑOL TÉCNICO'!A624:B1000,2,0))</f>
        <v/>
      </c>
      <c r="F707" s="33"/>
      <c r="G707" s="32"/>
      <c r="H707" s="32"/>
      <c r="I707" s="32"/>
    </row>
    <row r="708" ht="15.75" customHeight="1">
      <c r="A708" s="32"/>
      <c r="B708" s="32"/>
      <c r="C708" s="32"/>
      <c r="D708" s="33"/>
      <c r="E708" s="30" t="str">
        <f>IFERROR(VLOOKUP(D708,'PAÑOL TÉCNICO'!A625:B1000,2,0))</f>
        <v/>
      </c>
      <c r="F708" s="33"/>
      <c r="G708" s="32"/>
      <c r="H708" s="32"/>
      <c r="I708" s="32"/>
    </row>
    <row r="709" ht="15.75" customHeight="1">
      <c r="A709" s="32"/>
      <c r="B709" s="32"/>
      <c r="C709" s="32"/>
      <c r="D709" s="33"/>
      <c r="E709" s="30" t="str">
        <f>IFERROR(VLOOKUP(D709,'PAÑOL TÉCNICO'!A626:B1000,2,0))</f>
        <v/>
      </c>
      <c r="F709" s="33"/>
      <c r="G709" s="32"/>
      <c r="H709" s="32"/>
      <c r="I709" s="32"/>
    </row>
    <row r="710" ht="15.75" customHeight="1">
      <c r="A710" s="32"/>
      <c r="B710" s="32"/>
      <c r="C710" s="32"/>
      <c r="D710" s="33"/>
      <c r="E710" s="30" t="str">
        <f>IFERROR(VLOOKUP(D710,'PAÑOL TÉCNICO'!A627:B1000,2,0))</f>
        <v/>
      </c>
      <c r="F710" s="33"/>
      <c r="G710" s="32"/>
      <c r="H710" s="32"/>
      <c r="I710" s="32"/>
    </row>
    <row r="711" ht="15.75" customHeight="1">
      <c r="A711" s="32"/>
      <c r="B711" s="32"/>
      <c r="C711" s="32"/>
      <c r="D711" s="33"/>
      <c r="E711" s="30" t="str">
        <f>IFERROR(VLOOKUP(D711,'PAÑOL TÉCNICO'!A628:B1000,2,0))</f>
        <v/>
      </c>
      <c r="F711" s="33"/>
      <c r="G711" s="32"/>
      <c r="H711" s="32"/>
      <c r="I711" s="32"/>
    </row>
    <row r="712" ht="15.75" customHeight="1">
      <c r="A712" s="32"/>
      <c r="B712" s="32"/>
      <c r="C712" s="32"/>
      <c r="D712" s="33"/>
      <c r="E712" s="30" t="str">
        <f>IFERROR(VLOOKUP(D712,'PAÑOL TÉCNICO'!A629:B1000,2,0))</f>
        <v/>
      </c>
      <c r="F712" s="33"/>
      <c r="G712" s="32"/>
      <c r="H712" s="32"/>
      <c r="I712" s="32"/>
    </row>
    <row r="713" ht="15.75" customHeight="1">
      <c r="A713" s="32"/>
      <c r="B713" s="32"/>
      <c r="C713" s="32"/>
      <c r="D713" s="33"/>
      <c r="E713" s="30" t="str">
        <f>IFERROR(VLOOKUP(D713,'PAÑOL TÉCNICO'!A630:B1000,2,0))</f>
        <v/>
      </c>
      <c r="F713" s="33"/>
      <c r="G713" s="32"/>
      <c r="H713" s="32"/>
      <c r="I713" s="32"/>
    </row>
    <row r="714" ht="15.75" customHeight="1">
      <c r="A714" s="32"/>
      <c r="B714" s="32"/>
      <c r="C714" s="32"/>
      <c r="D714" s="33"/>
      <c r="E714" s="30" t="str">
        <f>IFERROR(VLOOKUP(D714,'PAÑOL TÉCNICO'!A631:B1000,2,0))</f>
        <v/>
      </c>
      <c r="F714" s="33"/>
      <c r="G714" s="32"/>
      <c r="H714" s="32"/>
      <c r="I714" s="32"/>
    </row>
    <row r="715" ht="15.75" customHeight="1">
      <c r="A715" s="32"/>
      <c r="B715" s="32"/>
      <c r="C715" s="32"/>
      <c r="D715" s="33"/>
      <c r="E715" s="30" t="str">
        <f>IFERROR(VLOOKUP(D715,'PAÑOL TÉCNICO'!A632:B1000,2,0))</f>
        <v/>
      </c>
      <c r="F715" s="33"/>
      <c r="G715" s="32"/>
      <c r="H715" s="32"/>
      <c r="I715" s="32"/>
    </row>
    <row r="716" ht="15.75" customHeight="1">
      <c r="A716" s="32"/>
      <c r="B716" s="32"/>
      <c r="C716" s="32"/>
      <c r="D716" s="33"/>
      <c r="E716" s="30" t="str">
        <f>IFERROR(VLOOKUP(D716,'PAÑOL TÉCNICO'!A633:B1000,2,0))</f>
        <v/>
      </c>
      <c r="F716" s="33"/>
      <c r="G716" s="32"/>
      <c r="H716" s="32"/>
      <c r="I716" s="32"/>
    </row>
    <row r="717" ht="15.75" customHeight="1">
      <c r="A717" s="32"/>
      <c r="B717" s="32"/>
      <c r="C717" s="32"/>
      <c r="D717" s="33"/>
      <c r="E717" s="30" t="str">
        <f>IFERROR(VLOOKUP(D717,'PAÑOL TÉCNICO'!A634:B1000,2,0))</f>
        <v/>
      </c>
      <c r="F717" s="33"/>
      <c r="G717" s="32"/>
      <c r="H717" s="32"/>
      <c r="I717" s="32"/>
    </row>
    <row r="718" ht="15.75" customHeight="1">
      <c r="A718" s="32"/>
      <c r="B718" s="32"/>
      <c r="C718" s="32"/>
      <c r="D718" s="33"/>
      <c r="E718" s="30" t="str">
        <f>IFERROR(VLOOKUP(D718,'PAÑOL TÉCNICO'!A635:B1000,2,0))</f>
        <v/>
      </c>
      <c r="F718" s="33"/>
      <c r="G718" s="32"/>
      <c r="H718" s="32"/>
      <c r="I718" s="32"/>
    </row>
    <row r="719" ht="15.75" customHeight="1">
      <c r="A719" s="32"/>
      <c r="B719" s="32"/>
      <c r="C719" s="32"/>
      <c r="D719" s="33"/>
      <c r="E719" s="30" t="str">
        <f>IFERROR(VLOOKUP(D719,'PAÑOL TÉCNICO'!A636:B1000,2,0))</f>
        <v/>
      </c>
      <c r="F719" s="33"/>
      <c r="G719" s="32"/>
      <c r="H719" s="32"/>
      <c r="I719" s="32"/>
    </row>
    <row r="720" ht="15.75" customHeight="1">
      <c r="A720" s="32"/>
      <c r="B720" s="32"/>
      <c r="C720" s="32"/>
      <c r="D720" s="33"/>
      <c r="E720" s="30" t="str">
        <f>IFERROR(VLOOKUP(D720,'PAÑOL TÉCNICO'!A637:B1000,2,0))</f>
        <v/>
      </c>
      <c r="F720" s="33"/>
      <c r="G720" s="32"/>
      <c r="H720" s="32"/>
      <c r="I720" s="32"/>
    </row>
    <row r="721" ht="15.75" customHeight="1">
      <c r="A721" s="32"/>
      <c r="B721" s="32"/>
      <c r="C721" s="32"/>
      <c r="D721" s="33"/>
      <c r="E721" s="30" t="str">
        <f>IFERROR(VLOOKUP(D721,'PAÑOL TÉCNICO'!A638:B1000,2,0))</f>
        <v/>
      </c>
      <c r="F721" s="33"/>
      <c r="G721" s="32"/>
      <c r="H721" s="32"/>
      <c r="I721" s="32"/>
    </row>
    <row r="722" ht="15.75" customHeight="1">
      <c r="A722" s="32"/>
      <c r="B722" s="32"/>
      <c r="C722" s="32"/>
      <c r="D722" s="33"/>
      <c r="E722" s="30" t="str">
        <f>IFERROR(VLOOKUP(D722,'PAÑOL TÉCNICO'!A639:B1000,2,0))</f>
        <v/>
      </c>
      <c r="F722" s="33"/>
      <c r="G722" s="32"/>
      <c r="H722" s="32"/>
      <c r="I722" s="32"/>
    </row>
    <row r="723" ht="15.75" customHeight="1">
      <c r="A723" s="32"/>
      <c r="B723" s="32"/>
      <c r="C723" s="32"/>
      <c r="D723" s="33"/>
      <c r="E723" s="30" t="str">
        <f>IFERROR(VLOOKUP(D723,'PAÑOL TÉCNICO'!A640:B1000,2,0))</f>
        <v/>
      </c>
      <c r="F723" s="33"/>
      <c r="G723" s="32"/>
      <c r="H723" s="32"/>
      <c r="I723" s="32"/>
    </row>
    <row r="724" ht="15.75" customHeight="1">
      <c r="A724" s="32"/>
      <c r="B724" s="32"/>
      <c r="C724" s="32"/>
      <c r="D724" s="33"/>
      <c r="E724" s="30" t="str">
        <f>IFERROR(VLOOKUP(D724,'PAÑOL TÉCNICO'!A641:B1000,2,0))</f>
        <v/>
      </c>
      <c r="F724" s="33"/>
      <c r="G724" s="32"/>
      <c r="H724" s="32"/>
      <c r="I724" s="32"/>
    </row>
    <row r="725" ht="15.75" customHeight="1">
      <c r="A725" s="32"/>
      <c r="B725" s="32"/>
      <c r="C725" s="32"/>
      <c r="D725" s="33"/>
      <c r="E725" s="30" t="str">
        <f>IFERROR(VLOOKUP(D725,'PAÑOL TÉCNICO'!A642:B1000,2,0))</f>
        <v/>
      </c>
      <c r="F725" s="33"/>
      <c r="G725" s="32"/>
      <c r="H725" s="32"/>
      <c r="I725" s="32"/>
    </row>
    <row r="726" ht="15.75" customHeight="1">
      <c r="A726" s="32"/>
      <c r="B726" s="32"/>
      <c r="C726" s="32"/>
      <c r="D726" s="33"/>
      <c r="E726" s="30" t="str">
        <f>IFERROR(VLOOKUP(D726,'PAÑOL TÉCNICO'!A643:B1000,2,0))</f>
        <v/>
      </c>
      <c r="F726" s="33"/>
      <c r="G726" s="32"/>
      <c r="H726" s="32"/>
      <c r="I726" s="32"/>
    </row>
    <row r="727" ht="15.75" customHeight="1">
      <c r="A727" s="32"/>
      <c r="B727" s="32"/>
      <c r="C727" s="32"/>
      <c r="D727" s="33"/>
      <c r="E727" s="30" t="str">
        <f>IFERROR(VLOOKUP(D727,'PAÑOL TÉCNICO'!A644:B1000,2,0))</f>
        <v/>
      </c>
      <c r="F727" s="33"/>
      <c r="G727" s="32"/>
      <c r="H727" s="32"/>
      <c r="I727" s="32"/>
    </row>
    <row r="728" ht="15.75" customHeight="1">
      <c r="A728" s="32"/>
      <c r="B728" s="32"/>
      <c r="C728" s="32"/>
      <c r="D728" s="33"/>
      <c r="E728" s="30" t="str">
        <f>IFERROR(VLOOKUP(D728,'PAÑOL TÉCNICO'!A645:B1000,2,0))</f>
        <v/>
      </c>
      <c r="F728" s="33"/>
      <c r="G728" s="32"/>
      <c r="H728" s="32"/>
      <c r="I728" s="32"/>
    </row>
    <row r="729" ht="15.75" customHeight="1">
      <c r="A729" s="32"/>
      <c r="B729" s="32"/>
      <c r="C729" s="32"/>
      <c r="D729" s="33"/>
      <c r="E729" s="30" t="str">
        <f>IFERROR(VLOOKUP(D729,'PAÑOL TÉCNICO'!A646:B1000,2,0))</f>
        <v/>
      </c>
      <c r="F729" s="33"/>
      <c r="G729" s="32"/>
      <c r="H729" s="32"/>
      <c r="I729" s="32"/>
    </row>
    <row r="730" ht="15.75" customHeight="1">
      <c r="A730" s="32"/>
      <c r="B730" s="32"/>
      <c r="C730" s="32"/>
      <c r="D730" s="33"/>
      <c r="E730" s="30" t="str">
        <f>IFERROR(VLOOKUP(D730,'PAÑOL TÉCNICO'!A647:B1000,2,0))</f>
        <v/>
      </c>
      <c r="F730" s="33"/>
      <c r="G730" s="32"/>
      <c r="H730" s="32"/>
      <c r="I730" s="32"/>
    </row>
    <row r="731" ht="15.75" customHeight="1">
      <c r="A731" s="32"/>
      <c r="B731" s="32"/>
      <c r="C731" s="32"/>
      <c r="D731" s="33"/>
      <c r="E731" s="30" t="str">
        <f>IFERROR(VLOOKUP(D731,'PAÑOL TÉCNICO'!A648:B1000,2,0))</f>
        <v/>
      </c>
      <c r="F731" s="33"/>
      <c r="G731" s="32"/>
      <c r="H731" s="32"/>
      <c r="I731" s="32"/>
    </row>
    <row r="732" ht="15.75" customHeight="1">
      <c r="A732" s="32"/>
      <c r="B732" s="32"/>
      <c r="C732" s="32"/>
      <c r="D732" s="33"/>
      <c r="E732" s="30" t="str">
        <f>IFERROR(VLOOKUP(D732,'PAÑOL TÉCNICO'!A649:B1000,2,0))</f>
        <v/>
      </c>
      <c r="F732" s="33"/>
      <c r="G732" s="32"/>
      <c r="H732" s="32"/>
      <c r="I732" s="32"/>
    </row>
    <row r="733" ht="15.75" customHeight="1">
      <c r="A733" s="32"/>
      <c r="B733" s="32"/>
      <c r="C733" s="32"/>
      <c r="D733" s="33"/>
      <c r="E733" s="30" t="str">
        <f>IFERROR(VLOOKUP(D733,'PAÑOL TÉCNICO'!A650:B1000,2,0))</f>
        <v/>
      </c>
      <c r="F733" s="33"/>
      <c r="G733" s="32"/>
      <c r="H733" s="32"/>
      <c r="I733" s="32"/>
    </row>
    <row r="734" ht="15.75" customHeight="1">
      <c r="A734" s="32"/>
      <c r="B734" s="32"/>
      <c r="C734" s="32"/>
      <c r="D734" s="33"/>
      <c r="E734" s="30" t="str">
        <f>IFERROR(VLOOKUP(D734,'PAÑOL TÉCNICO'!A651:B1000,2,0))</f>
        <v/>
      </c>
      <c r="F734" s="33"/>
      <c r="G734" s="32"/>
      <c r="H734" s="32"/>
      <c r="I734" s="32"/>
    </row>
    <row r="735" ht="15.75" customHeight="1">
      <c r="A735" s="32"/>
      <c r="B735" s="32"/>
      <c r="C735" s="32"/>
      <c r="D735" s="33"/>
      <c r="E735" s="30" t="str">
        <f>IFERROR(VLOOKUP(D735,'PAÑOL TÉCNICO'!A652:B1000,2,0))</f>
        <v/>
      </c>
      <c r="F735" s="33"/>
      <c r="G735" s="32"/>
      <c r="H735" s="32"/>
      <c r="I735" s="32"/>
    </row>
    <row r="736" ht="15.75" customHeight="1">
      <c r="A736" s="32"/>
      <c r="B736" s="32"/>
      <c r="C736" s="32"/>
      <c r="D736" s="33"/>
      <c r="E736" s="30" t="str">
        <f>IFERROR(VLOOKUP(D736,'PAÑOL TÉCNICO'!A653:B1000,2,0))</f>
        <v/>
      </c>
      <c r="F736" s="33"/>
      <c r="G736" s="32"/>
      <c r="H736" s="32"/>
      <c r="I736" s="32"/>
    </row>
    <row r="737" ht="15.75" customHeight="1">
      <c r="A737" s="32"/>
      <c r="B737" s="32"/>
      <c r="C737" s="32"/>
      <c r="D737" s="33"/>
      <c r="E737" s="30" t="str">
        <f>IFERROR(VLOOKUP(D737,'PAÑOL TÉCNICO'!A654:B1000,2,0))</f>
        <v/>
      </c>
      <c r="F737" s="33"/>
      <c r="G737" s="32"/>
      <c r="H737" s="32"/>
      <c r="I737" s="32"/>
    </row>
    <row r="738" ht="15.75" customHeight="1">
      <c r="A738" s="32"/>
      <c r="B738" s="32"/>
      <c r="C738" s="32"/>
      <c r="D738" s="33"/>
      <c r="E738" s="30" t="str">
        <f>IFERROR(VLOOKUP(D738,'PAÑOL TÉCNICO'!A655:B1000,2,0))</f>
        <v/>
      </c>
      <c r="F738" s="33"/>
      <c r="G738" s="32"/>
      <c r="H738" s="32"/>
      <c r="I738" s="32"/>
    </row>
    <row r="739" ht="15.75" customHeight="1">
      <c r="A739" s="32"/>
      <c r="B739" s="32"/>
      <c r="C739" s="32"/>
      <c r="D739" s="33"/>
      <c r="E739" s="30" t="str">
        <f>IFERROR(VLOOKUP(D739,'PAÑOL TÉCNICO'!A656:B1000,2,0))</f>
        <v/>
      </c>
      <c r="F739" s="33"/>
      <c r="G739" s="32"/>
      <c r="H739" s="32"/>
      <c r="I739" s="32"/>
    </row>
    <row r="740" ht="15.75" customHeight="1">
      <c r="A740" s="32"/>
      <c r="B740" s="32"/>
      <c r="C740" s="32"/>
      <c r="D740" s="33"/>
      <c r="E740" s="30" t="str">
        <f>IFERROR(VLOOKUP(D740,'PAÑOL TÉCNICO'!A657:B1000,2,0))</f>
        <v/>
      </c>
      <c r="F740" s="33"/>
      <c r="G740" s="32"/>
      <c r="H740" s="32"/>
      <c r="I740" s="32"/>
    </row>
    <row r="741" ht="15.75" customHeight="1">
      <c r="A741" s="32"/>
      <c r="B741" s="32"/>
      <c r="C741" s="32"/>
      <c r="D741" s="33"/>
      <c r="E741" s="30" t="str">
        <f>IFERROR(VLOOKUP(D741,'PAÑOL TÉCNICO'!A658:B1000,2,0))</f>
        <v/>
      </c>
      <c r="F741" s="33"/>
      <c r="G741" s="32"/>
      <c r="H741" s="32"/>
      <c r="I741" s="32"/>
    </row>
    <row r="742" ht="15.75" customHeight="1">
      <c r="A742" s="32"/>
      <c r="B742" s="32"/>
      <c r="C742" s="32"/>
      <c r="D742" s="33"/>
      <c r="E742" s="30" t="str">
        <f>IFERROR(VLOOKUP(D742,'PAÑOL TÉCNICO'!A659:B1000,2,0))</f>
        <v/>
      </c>
      <c r="F742" s="33"/>
      <c r="G742" s="32"/>
      <c r="H742" s="32"/>
      <c r="I742" s="32"/>
    </row>
    <row r="743" ht="15.75" customHeight="1">
      <c r="A743" s="32"/>
      <c r="B743" s="32"/>
      <c r="C743" s="32"/>
      <c r="D743" s="33"/>
      <c r="E743" s="30" t="str">
        <f>IFERROR(VLOOKUP(D743,'PAÑOL TÉCNICO'!A660:B1000,2,0))</f>
        <v/>
      </c>
      <c r="F743" s="33"/>
      <c r="G743" s="32"/>
      <c r="H743" s="32"/>
      <c r="I743" s="32"/>
    </row>
    <row r="744" ht="15.75" customHeight="1">
      <c r="A744" s="32"/>
      <c r="B744" s="32"/>
      <c r="C744" s="32"/>
      <c r="D744" s="33"/>
      <c r="E744" s="30" t="str">
        <f>IFERROR(VLOOKUP(D744,'PAÑOL TÉCNICO'!A661:B1000,2,0))</f>
        <v/>
      </c>
      <c r="F744" s="33"/>
      <c r="G744" s="32"/>
      <c r="H744" s="32"/>
      <c r="I744" s="32"/>
    </row>
    <row r="745" ht="15.75" customHeight="1">
      <c r="A745" s="32"/>
      <c r="B745" s="32"/>
      <c r="C745" s="32"/>
      <c r="D745" s="33"/>
      <c r="E745" s="30" t="str">
        <f>IFERROR(VLOOKUP(D745,'PAÑOL TÉCNICO'!A662:B1000,2,0))</f>
        <v/>
      </c>
      <c r="F745" s="33"/>
      <c r="G745" s="32"/>
      <c r="H745" s="32"/>
      <c r="I745" s="32"/>
    </row>
    <row r="746" ht="15.75" customHeight="1">
      <c r="A746" s="32"/>
      <c r="B746" s="32"/>
      <c r="C746" s="32"/>
      <c r="D746" s="33"/>
      <c r="E746" s="30" t="str">
        <f>IFERROR(VLOOKUP(D746,'PAÑOL TÉCNICO'!A663:B1000,2,0))</f>
        <v/>
      </c>
      <c r="F746" s="33"/>
      <c r="G746" s="32"/>
      <c r="H746" s="32"/>
      <c r="I746" s="32"/>
    </row>
    <row r="747" ht="15.75" customHeight="1">
      <c r="A747" s="32"/>
      <c r="B747" s="32"/>
      <c r="C747" s="32"/>
      <c r="D747" s="33"/>
      <c r="E747" s="30" t="str">
        <f>IFERROR(VLOOKUP(D747,'PAÑOL TÉCNICO'!A664:B1000,2,0))</f>
        <v/>
      </c>
      <c r="F747" s="33"/>
      <c r="G747" s="32"/>
      <c r="H747" s="32"/>
      <c r="I747" s="32"/>
    </row>
    <row r="748" ht="15.75" customHeight="1">
      <c r="A748" s="32"/>
      <c r="B748" s="32"/>
      <c r="C748" s="32"/>
      <c r="D748" s="33"/>
      <c r="E748" s="30" t="str">
        <f>IFERROR(VLOOKUP(D748,'PAÑOL TÉCNICO'!A665:B1000,2,0))</f>
        <v/>
      </c>
      <c r="F748" s="33"/>
      <c r="G748" s="32"/>
      <c r="H748" s="32"/>
      <c r="I748" s="32"/>
    </row>
    <row r="749" ht="15.75" customHeight="1">
      <c r="A749" s="32"/>
      <c r="B749" s="32"/>
      <c r="C749" s="32"/>
      <c r="D749" s="33"/>
      <c r="E749" s="30" t="str">
        <f>IFERROR(VLOOKUP(D749,'PAÑOL TÉCNICO'!A666:B1000,2,0))</f>
        <v/>
      </c>
      <c r="F749" s="33"/>
      <c r="G749" s="32"/>
      <c r="H749" s="32"/>
      <c r="I749" s="32"/>
    </row>
    <row r="750" ht="15.75" customHeight="1">
      <c r="A750" s="32"/>
      <c r="B750" s="32"/>
      <c r="C750" s="32"/>
      <c r="D750" s="33"/>
      <c r="E750" s="30" t="str">
        <f>IFERROR(VLOOKUP(D750,'PAÑOL TÉCNICO'!A667:B1000,2,0))</f>
        <v/>
      </c>
      <c r="F750" s="33"/>
      <c r="G750" s="32"/>
      <c r="H750" s="32"/>
      <c r="I750" s="32"/>
    </row>
    <row r="751" ht="15.75" customHeight="1">
      <c r="A751" s="32"/>
      <c r="B751" s="32"/>
      <c r="C751" s="32"/>
      <c r="D751" s="33"/>
      <c r="E751" s="30" t="str">
        <f>IFERROR(VLOOKUP(D751,'PAÑOL TÉCNICO'!A668:B1000,2,0))</f>
        <v/>
      </c>
      <c r="F751" s="33"/>
      <c r="G751" s="32"/>
      <c r="H751" s="32"/>
      <c r="I751" s="32"/>
    </row>
    <row r="752" ht="15.75" customHeight="1">
      <c r="A752" s="32"/>
      <c r="B752" s="32"/>
      <c r="C752" s="32"/>
      <c r="D752" s="33"/>
      <c r="E752" s="30" t="str">
        <f>IFERROR(VLOOKUP(D752,'PAÑOL TÉCNICO'!A669:B1000,2,0))</f>
        <v/>
      </c>
      <c r="F752" s="33"/>
      <c r="G752" s="32"/>
      <c r="H752" s="32"/>
      <c r="I752" s="32"/>
    </row>
    <row r="753" ht="15.75" customHeight="1">
      <c r="A753" s="32"/>
      <c r="B753" s="32"/>
      <c r="C753" s="32"/>
      <c r="D753" s="33"/>
      <c r="E753" s="30" t="str">
        <f>IFERROR(VLOOKUP(D753,'PAÑOL TÉCNICO'!A670:B1000,2,0))</f>
        <v/>
      </c>
      <c r="F753" s="33"/>
      <c r="G753" s="32"/>
      <c r="H753" s="32"/>
      <c r="I753" s="32"/>
    </row>
    <row r="754" ht="15.75" customHeight="1">
      <c r="A754" s="32"/>
      <c r="B754" s="32"/>
      <c r="C754" s="32"/>
      <c r="D754" s="33"/>
      <c r="E754" s="30" t="str">
        <f>IFERROR(VLOOKUP(D754,'PAÑOL TÉCNICO'!A671:B1000,2,0))</f>
        <v/>
      </c>
      <c r="F754" s="33"/>
      <c r="G754" s="32"/>
      <c r="H754" s="32"/>
      <c r="I754" s="32"/>
    </row>
    <row r="755" ht="15.75" customHeight="1">
      <c r="A755" s="32"/>
      <c r="B755" s="32"/>
      <c r="C755" s="32"/>
      <c r="D755" s="33"/>
      <c r="E755" s="30" t="str">
        <f>IFERROR(VLOOKUP(D755,'PAÑOL TÉCNICO'!A672:B1000,2,0))</f>
        <v/>
      </c>
      <c r="F755" s="33"/>
      <c r="G755" s="32"/>
      <c r="H755" s="32"/>
      <c r="I755" s="32"/>
    </row>
    <row r="756" ht="15.75" customHeight="1">
      <c r="A756" s="32"/>
      <c r="B756" s="32"/>
      <c r="C756" s="32"/>
      <c r="D756" s="33"/>
      <c r="E756" s="30" t="str">
        <f>IFERROR(VLOOKUP(D756,'PAÑOL TÉCNICO'!A673:B1000,2,0))</f>
        <v/>
      </c>
      <c r="F756" s="33"/>
      <c r="G756" s="32"/>
      <c r="H756" s="32"/>
      <c r="I756" s="32"/>
    </row>
    <row r="757" ht="15.75" customHeight="1">
      <c r="A757" s="32"/>
      <c r="B757" s="32"/>
      <c r="C757" s="32"/>
      <c r="D757" s="33"/>
      <c r="E757" s="30" t="str">
        <f>IFERROR(VLOOKUP(D757,'PAÑOL TÉCNICO'!A674:B1000,2,0))</f>
        <v/>
      </c>
      <c r="F757" s="33"/>
      <c r="G757" s="32"/>
      <c r="H757" s="32"/>
      <c r="I757" s="32"/>
    </row>
    <row r="758" ht="15.75" customHeight="1">
      <c r="A758" s="32"/>
      <c r="B758" s="32"/>
      <c r="C758" s="32"/>
      <c r="D758" s="33"/>
      <c r="E758" s="30" t="str">
        <f>IFERROR(VLOOKUP(D758,'PAÑOL TÉCNICO'!A675:B1000,2,0))</f>
        <v/>
      </c>
      <c r="F758" s="33"/>
      <c r="G758" s="32"/>
      <c r="H758" s="32"/>
      <c r="I758" s="32"/>
    </row>
    <row r="759" ht="15.75" customHeight="1">
      <c r="A759" s="32"/>
      <c r="B759" s="32"/>
      <c r="C759" s="32"/>
      <c r="D759" s="33"/>
      <c r="E759" s="30" t="str">
        <f>IFERROR(VLOOKUP(D759,'PAÑOL TÉCNICO'!A676:B1000,2,0))</f>
        <v/>
      </c>
      <c r="F759" s="33"/>
      <c r="G759" s="32"/>
      <c r="H759" s="32"/>
      <c r="I759" s="32"/>
    </row>
    <row r="760" ht="15.75" customHeight="1">
      <c r="A760" s="32"/>
      <c r="B760" s="32"/>
      <c r="C760" s="32"/>
      <c r="D760" s="33"/>
      <c r="E760" s="30" t="str">
        <f>IFERROR(VLOOKUP(D760,'PAÑOL TÉCNICO'!A677:B1000,2,0))</f>
        <v/>
      </c>
      <c r="F760" s="33"/>
      <c r="G760" s="32"/>
      <c r="H760" s="32"/>
      <c r="I760" s="32"/>
    </row>
    <row r="761" ht="15.75" customHeight="1">
      <c r="A761" s="32"/>
      <c r="B761" s="32"/>
      <c r="C761" s="32"/>
      <c r="D761" s="33"/>
      <c r="E761" s="30" t="str">
        <f>IFERROR(VLOOKUP(D761,'PAÑOL TÉCNICO'!A678:B1000,2,0))</f>
        <v/>
      </c>
      <c r="F761" s="33"/>
      <c r="G761" s="32"/>
      <c r="H761" s="32"/>
      <c r="I761" s="32"/>
    </row>
    <row r="762" ht="15.75" customHeight="1">
      <c r="A762" s="32"/>
      <c r="B762" s="32"/>
      <c r="C762" s="32"/>
      <c r="D762" s="33"/>
      <c r="E762" s="30" t="str">
        <f>IFERROR(VLOOKUP(D762,'PAÑOL TÉCNICO'!A679:B1000,2,0))</f>
        <v/>
      </c>
      <c r="F762" s="33"/>
      <c r="G762" s="32"/>
      <c r="H762" s="32"/>
      <c r="I762" s="32"/>
    </row>
    <row r="763" ht="15.75" customHeight="1">
      <c r="A763" s="32"/>
      <c r="B763" s="32"/>
      <c r="C763" s="32"/>
      <c r="D763" s="33"/>
      <c r="E763" s="30" t="str">
        <f>IFERROR(VLOOKUP(D763,'PAÑOL TÉCNICO'!A680:B1000,2,0))</f>
        <v/>
      </c>
      <c r="F763" s="33"/>
      <c r="G763" s="32"/>
      <c r="H763" s="32"/>
      <c r="I763" s="32"/>
    </row>
    <row r="764" ht="15.75" customHeight="1">
      <c r="A764" s="32"/>
      <c r="B764" s="32"/>
      <c r="C764" s="32"/>
      <c r="D764" s="33"/>
      <c r="E764" s="30" t="str">
        <f>IFERROR(VLOOKUP(D764,'PAÑOL TÉCNICO'!A681:B1000,2,0))</f>
        <v/>
      </c>
      <c r="F764" s="33"/>
      <c r="G764" s="32"/>
      <c r="H764" s="32"/>
      <c r="I764" s="32"/>
    </row>
    <row r="765" ht="15.75" customHeight="1">
      <c r="A765" s="32"/>
      <c r="B765" s="32"/>
      <c r="C765" s="32"/>
      <c r="D765" s="33"/>
      <c r="E765" s="30" t="str">
        <f>IFERROR(VLOOKUP(D765,'PAÑOL TÉCNICO'!A682:B1000,2,0))</f>
        <v/>
      </c>
      <c r="F765" s="33"/>
      <c r="G765" s="32"/>
      <c r="H765" s="32"/>
      <c r="I765" s="32"/>
    </row>
    <row r="766" ht="15.75" customHeight="1">
      <c r="A766" s="32"/>
      <c r="B766" s="32"/>
      <c r="C766" s="32"/>
      <c r="D766" s="33"/>
      <c r="E766" s="30" t="str">
        <f>IFERROR(VLOOKUP(D766,'PAÑOL TÉCNICO'!A683:B1000,2,0))</f>
        <v/>
      </c>
      <c r="F766" s="33"/>
      <c r="G766" s="32"/>
      <c r="H766" s="32"/>
      <c r="I766" s="32"/>
    </row>
    <row r="767" ht="15.75" customHeight="1">
      <c r="A767" s="32"/>
      <c r="B767" s="32"/>
      <c r="C767" s="32"/>
      <c r="D767" s="33"/>
      <c r="E767" s="30" t="str">
        <f>IFERROR(VLOOKUP(D767,'PAÑOL TÉCNICO'!A684:B1000,2,0))</f>
        <v/>
      </c>
      <c r="F767" s="33"/>
      <c r="G767" s="32"/>
      <c r="H767" s="32"/>
      <c r="I767" s="32"/>
    </row>
    <row r="768" ht="15.75" customHeight="1">
      <c r="A768" s="32"/>
      <c r="B768" s="32"/>
      <c r="C768" s="32"/>
      <c r="D768" s="33"/>
      <c r="E768" s="30" t="str">
        <f>IFERROR(VLOOKUP(D768,'PAÑOL TÉCNICO'!A685:B1000,2,0))</f>
        <v/>
      </c>
      <c r="F768" s="33"/>
      <c r="G768" s="32"/>
      <c r="H768" s="32"/>
      <c r="I768" s="32"/>
    </row>
    <row r="769" ht="15.75" customHeight="1">
      <c r="A769" s="32"/>
      <c r="B769" s="32"/>
      <c r="C769" s="32"/>
      <c r="D769" s="33"/>
      <c r="E769" s="30" t="str">
        <f>IFERROR(VLOOKUP(D769,'PAÑOL TÉCNICO'!A686:B1000,2,0))</f>
        <v/>
      </c>
      <c r="F769" s="33"/>
      <c r="G769" s="32"/>
      <c r="H769" s="32"/>
      <c r="I769" s="32"/>
    </row>
    <row r="770" ht="15.75" customHeight="1">
      <c r="A770" s="32"/>
      <c r="B770" s="32"/>
      <c r="C770" s="32"/>
      <c r="D770" s="33"/>
      <c r="E770" s="30" t="str">
        <f>IFERROR(VLOOKUP(D770,'PAÑOL TÉCNICO'!A687:B1000,2,0))</f>
        <v/>
      </c>
      <c r="F770" s="33"/>
      <c r="G770" s="32"/>
      <c r="H770" s="32"/>
      <c r="I770" s="32"/>
    </row>
    <row r="771" ht="15.75" customHeight="1">
      <c r="A771" s="32"/>
      <c r="B771" s="32"/>
      <c r="C771" s="32"/>
      <c r="D771" s="33"/>
      <c r="E771" s="30" t="str">
        <f>IFERROR(VLOOKUP(D771,'PAÑOL TÉCNICO'!A688:B1000,2,0))</f>
        <v/>
      </c>
      <c r="F771" s="33"/>
      <c r="G771" s="32"/>
      <c r="H771" s="32"/>
      <c r="I771" s="32"/>
    </row>
    <row r="772" ht="15.75" customHeight="1">
      <c r="A772" s="32"/>
      <c r="B772" s="32"/>
      <c r="C772" s="32"/>
      <c r="D772" s="33"/>
      <c r="E772" s="30" t="str">
        <f>IFERROR(VLOOKUP(D772,'PAÑOL TÉCNICO'!A689:B1000,2,0))</f>
        <v/>
      </c>
      <c r="F772" s="33"/>
      <c r="G772" s="32"/>
      <c r="H772" s="32"/>
      <c r="I772" s="32"/>
    </row>
    <row r="773" ht="15.75" customHeight="1">
      <c r="A773" s="32"/>
      <c r="B773" s="32"/>
      <c r="C773" s="32"/>
      <c r="D773" s="33"/>
      <c r="E773" s="30" t="str">
        <f>IFERROR(VLOOKUP(D773,'PAÑOL TÉCNICO'!A690:B1000,2,0))</f>
        <v/>
      </c>
      <c r="F773" s="33"/>
      <c r="G773" s="32"/>
      <c r="H773" s="32"/>
      <c r="I773" s="32"/>
    </row>
    <row r="774" ht="15.75" customHeight="1">
      <c r="A774" s="32"/>
      <c r="B774" s="32"/>
      <c r="C774" s="32"/>
      <c r="D774" s="33"/>
      <c r="E774" s="30" t="str">
        <f>IFERROR(VLOOKUP(D774,'PAÑOL TÉCNICO'!A691:B1000,2,0))</f>
        <v/>
      </c>
      <c r="F774" s="33"/>
      <c r="G774" s="32"/>
      <c r="H774" s="32"/>
      <c r="I774" s="32"/>
    </row>
    <row r="775" ht="15.75" customHeight="1">
      <c r="A775" s="32"/>
      <c r="B775" s="32"/>
      <c r="C775" s="32"/>
      <c r="D775" s="33"/>
      <c r="E775" s="30" t="str">
        <f>IFERROR(VLOOKUP(D775,'PAÑOL TÉCNICO'!A692:B1000,2,0))</f>
        <v/>
      </c>
      <c r="F775" s="33"/>
      <c r="G775" s="32"/>
      <c r="H775" s="32"/>
      <c r="I775" s="32"/>
    </row>
    <row r="776" ht="15.75" customHeight="1">
      <c r="A776" s="32"/>
      <c r="B776" s="32"/>
      <c r="C776" s="32"/>
      <c r="D776" s="33"/>
      <c r="E776" s="30" t="str">
        <f>IFERROR(VLOOKUP(D776,'PAÑOL TÉCNICO'!A693:B1000,2,0))</f>
        <v/>
      </c>
      <c r="F776" s="33"/>
      <c r="G776" s="32"/>
      <c r="H776" s="32"/>
      <c r="I776" s="32"/>
    </row>
    <row r="777" ht="15.75" customHeight="1">
      <c r="A777" s="32"/>
      <c r="B777" s="32"/>
      <c r="C777" s="32"/>
      <c r="D777" s="33"/>
      <c r="E777" s="30" t="str">
        <f>IFERROR(VLOOKUP(D777,'PAÑOL TÉCNICO'!A694:B1000,2,0))</f>
        <v/>
      </c>
      <c r="F777" s="33"/>
      <c r="G777" s="32"/>
      <c r="H777" s="32"/>
      <c r="I777" s="32"/>
    </row>
    <row r="778" ht="15.75" customHeight="1">
      <c r="A778" s="32"/>
      <c r="B778" s="32"/>
      <c r="C778" s="32"/>
      <c r="D778" s="33"/>
      <c r="E778" s="30" t="str">
        <f>IFERROR(VLOOKUP(D778,'PAÑOL TÉCNICO'!A695:B1000,2,0))</f>
        <v/>
      </c>
      <c r="F778" s="33"/>
      <c r="G778" s="32"/>
      <c r="H778" s="32"/>
      <c r="I778" s="32"/>
    </row>
    <row r="779" ht="15.75" customHeight="1">
      <c r="A779" s="32"/>
      <c r="B779" s="32"/>
      <c r="C779" s="32"/>
      <c r="D779" s="33"/>
      <c r="E779" s="30" t="str">
        <f>IFERROR(VLOOKUP(D779,'PAÑOL TÉCNICO'!A696:B1000,2,0))</f>
        <v/>
      </c>
      <c r="F779" s="33"/>
      <c r="G779" s="32"/>
      <c r="H779" s="32"/>
      <c r="I779" s="32"/>
    </row>
    <row r="780" ht="15.75" customHeight="1">
      <c r="A780" s="32"/>
      <c r="B780" s="32"/>
      <c r="C780" s="32"/>
      <c r="D780" s="33"/>
      <c r="E780" s="30" t="str">
        <f>IFERROR(VLOOKUP(D780,'PAÑOL TÉCNICO'!A697:B1000,2,0))</f>
        <v/>
      </c>
      <c r="F780" s="33"/>
      <c r="G780" s="32"/>
      <c r="H780" s="32"/>
      <c r="I780" s="32"/>
    </row>
    <row r="781" ht="15.75" customHeight="1">
      <c r="A781" s="32"/>
      <c r="B781" s="32"/>
      <c r="C781" s="32"/>
      <c r="D781" s="33"/>
      <c r="E781" s="30" t="str">
        <f>IFERROR(VLOOKUP(D781,'PAÑOL TÉCNICO'!A698:B1000,2,0))</f>
        <v/>
      </c>
      <c r="F781" s="33"/>
      <c r="G781" s="32"/>
      <c r="H781" s="32"/>
      <c r="I781" s="32"/>
    </row>
    <row r="782" ht="15.75" customHeight="1">
      <c r="A782" s="32"/>
      <c r="B782" s="32"/>
      <c r="C782" s="32"/>
      <c r="D782" s="33"/>
      <c r="E782" s="30" t="str">
        <f>IFERROR(VLOOKUP(D782,'PAÑOL TÉCNICO'!A699:B1000,2,0))</f>
        <v/>
      </c>
      <c r="F782" s="33"/>
      <c r="G782" s="32"/>
      <c r="H782" s="32"/>
      <c r="I782" s="32"/>
    </row>
    <row r="783" ht="15.75" customHeight="1">
      <c r="A783" s="32"/>
      <c r="B783" s="32"/>
      <c r="C783" s="32"/>
      <c r="D783" s="33"/>
      <c r="E783" s="30" t="str">
        <f>IFERROR(VLOOKUP(D783,'PAÑOL TÉCNICO'!A700:B1000,2,0))</f>
        <v/>
      </c>
      <c r="F783" s="33"/>
      <c r="G783" s="32"/>
      <c r="H783" s="32"/>
      <c r="I783" s="32"/>
    </row>
    <row r="784" ht="15.75" customHeight="1">
      <c r="A784" s="32"/>
      <c r="B784" s="32"/>
      <c r="C784" s="32"/>
      <c r="D784" s="33"/>
      <c r="E784" s="30" t="str">
        <f>IFERROR(VLOOKUP(D784,'PAÑOL TÉCNICO'!A701:B1000,2,0))</f>
        <v/>
      </c>
      <c r="F784" s="33"/>
      <c r="G784" s="32"/>
      <c r="H784" s="32"/>
      <c r="I784" s="32"/>
    </row>
    <row r="785" ht="15.75" customHeight="1">
      <c r="A785" s="32"/>
      <c r="B785" s="32"/>
      <c r="C785" s="32"/>
      <c r="D785" s="33"/>
      <c r="E785" s="30" t="str">
        <f>IFERROR(VLOOKUP(D785,'PAÑOL TÉCNICO'!A702:B1000,2,0))</f>
        <v/>
      </c>
      <c r="F785" s="33"/>
      <c r="G785" s="32"/>
      <c r="H785" s="32"/>
      <c r="I785" s="32"/>
    </row>
    <row r="786" ht="15.75" customHeight="1">
      <c r="A786" s="32"/>
      <c r="B786" s="32"/>
      <c r="C786" s="32"/>
      <c r="D786" s="33"/>
      <c r="E786" s="30" t="str">
        <f>IFERROR(VLOOKUP(D786,'PAÑOL TÉCNICO'!A703:B1000,2,0))</f>
        <v/>
      </c>
      <c r="F786" s="33"/>
      <c r="G786" s="32"/>
      <c r="H786" s="32"/>
      <c r="I786" s="32"/>
    </row>
    <row r="787" ht="15.75" customHeight="1">
      <c r="A787" s="32"/>
      <c r="B787" s="32"/>
      <c r="C787" s="32"/>
      <c r="D787" s="33"/>
      <c r="E787" s="30" t="str">
        <f>IFERROR(VLOOKUP(D787,'PAÑOL TÉCNICO'!A704:B1000,2,0))</f>
        <v/>
      </c>
      <c r="F787" s="33"/>
      <c r="G787" s="32"/>
      <c r="H787" s="32"/>
      <c r="I787" s="32"/>
    </row>
    <row r="788" ht="15.75" customHeight="1">
      <c r="A788" s="32"/>
      <c r="B788" s="32"/>
      <c r="C788" s="32"/>
      <c r="D788" s="33"/>
      <c r="E788" s="30" t="str">
        <f>IFERROR(VLOOKUP(D788,'PAÑOL TÉCNICO'!A705:B1000,2,0))</f>
        <v/>
      </c>
      <c r="F788" s="33"/>
      <c r="G788" s="32"/>
      <c r="H788" s="32"/>
      <c r="I788" s="32"/>
    </row>
    <row r="789" ht="15.75" customHeight="1">
      <c r="A789" s="32"/>
      <c r="B789" s="32"/>
      <c r="C789" s="32"/>
      <c r="D789" s="33"/>
      <c r="E789" s="30" t="str">
        <f>IFERROR(VLOOKUP(D789,'PAÑOL TÉCNICO'!A706:B1000,2,0))</f>
        <v/>
      </c>
      <c r="F789" s="33"/>
      <c r="G789" s="32"/>
      <c r="H789" s="32"/>
      <c r="I789" s="32"/>
    </row>
    <row r="790" ht="15.75" customHeight="1">
      <c r="A790" s="32"/>
      <c r="B790" s="32"/>
      <c r="C790" s="32"/>
      <c r="D790" s="33"/>
      <c r="E790" s="30" t="str">
        <f>IFERROR(VLOOKUP(D790,'PAÑOL TÉCNICO'!A707:B1000,2,0))</f>
        <v/>
      </c>
      <c r="F790" s="33"/>
      <c r="G790" s="32"/>
      <c r="H790" s="32"/>
      <c r="I790" s="32"/>
    </row>
    <row r="791" ht="15.75" customHeight="1">
      <c r="A791" s="32"/>
      <c r="B791" s="32"/>
      <c r="C791" s="32"/>
      <c r="D791" s="33"/>
      <c r="E791" s="30" t="str">
        <f>IFERROR(VLOOKUP(D791,'PAÑOL TÉCNICO'!A708:B1000,2,0))</f>
        <v/>
      </c>
      <c r="F791" s="33"/>
      <c r="G791" s="32"/>
      <c r="H791" s="32"/>
      <c r="I791" s="32"/>
    </row>
    <row r="792" ht="15.75" customHeight="1">
      <c r="A792" s="32"/>
      <c r="B792" s="32"/>
      <c r="C792" s="32"/>
      <c r="D792" s="33"/>
      <c r="E792" s="30" t="str">
        <f>IFERROR(VLOOKUP(D792,'PAÑOL TÉCNICO'!A709:B1000,2,0))</f>
        <v/>
      </c>
      <c r="F792" s="33"/>
      <c r="G792" s="32"/>
      <c r="H792" s="32"/>
      <c r="I792" s="32"/>
    </row>
    <row r="793" ht="15.75" customHeight="1">
      <c r="A793" s="32"/>
      <c r="B793" s="32"/>
      <c r="C793" s="32"/>
      <c r="D793" s="33"/>
      <c r="E793" s="30" t="str">
        <f>IFERROR(VLOOKUP(D793,'PAÑOL TÉCNICO'!A710:B1000,2,0))</f>
        <v/>
      </c>
      <c r="F793" s="33"/>
      <c r="G793" s="32"/>
      <c r="H793" s="32"/>
      <c r="I793" s="32"/>
    </row>
    <row r="794" ht="15.75" customHeight="1">
      <c r="A794" s="32"/>
      <c r="B794" s="32"/>
      <c r="C794" s="32"/>
      <c r="D794" s="33"/>
      <c r="E794" s="30" t="str">
        <f>IFERROR(VLOOKUP(D794,'PAÑOL TÉCNICO'!A711:B1000,2,0))</f>
        <v/>
      </c>
      <c r="F794" s="33"/>
      <c r="G794" s="32"/>
      <c r="H794" s="32"/>
      <c r="I794" s="32"/>
    </row>
    <row r="795" ht="15.75" customHeight="1">
      <c r="A795" s="32"/>
      <c r="B795" s="32"/>
      <c r="C795" s="32"/>
      <c r="D795" s="33"/>
      <c r="E795" s="30" t="str">
        <f>IFERROR(VLOOKUP(D795,'PAÑOL TÉCNICO'!A712:B1000,2,0))</f>
        <v/>
      </c>
      <c r="F795" s="33"/>
      <c r="G795" s="32"/>
      <c r="H795" s="32"/>
      <c r="I795" s="32"/>
    </row>
    <row r="796" ht="15.75" customHeight="1">
      <c r="A796" s="32"/>
      <c r="B796" s="32"/>
      <c r="C796" s="32"/>
      <c r="D796" s="33"/>
      <c r="E796" s="30" t="str">
        <f>IFERROR(VLOOKUP(D796,'PAÑOL TÉCNICO'!A713:B1000,2,0))</f>
        <v/>
      </c>
      <c r="F796" s="33"/>
      <c r="G796" s="32"/>
      <c r="H796" s="32"/>
      <c r="I796" s="32"/>
    </row>
    <row r="797" ht="15.75" customHeight="1">
      <c r="A797" s="32"/>
      <c r="B797" s="32"/>
      <c r="C797" s="32"/>
      <c r="D797" s="33"/>
      <c r="E797" s="30" t="str">
        <f>IFERROR(VLOOKUP(D797,'PAÑOL TÉCNICO'!A714:B1000,2,0))</f>
        <v/>
      </c>
      <c r="F797" s="33"/>
      <c r="G797" s="32"/>
      <c r="H797" s="32"/>
      <c r="I797" s="32"/>
    </row>
    <row r="798" ht="15.75" customHeight="1">
      <c r="A798" s="32"/>
      <c r="B798" s="32"/>
      <c r="C798" s="32"/>
      <c r="D798" s="33"/>
      <c r="E798" s="30" t="str">
        <f>IFERROR(VLOOKUP(D798,'PAÑOL TÉCNICO'!A715:B1000,2,0))</f>
        <v/>
      </c>
      <c r="F798" s="33"/>
      <c r="G798" s="32"/>
      <c r="H798" s="32"/>
      <c r="I798" s="32"/>
    </row>
    <row r="799" ht="15.75" customHeight="1">
      <c r="A799" s="32"/>
      <c r="B799" s="32"/>
      <c r="C799" s="32"/>
      <c r="D799" s="33"/>
      <c r="E799" s="30" t="str">
        <f>IFERROR(VLOOKUP(D799,'PAÑOL TÉCNICO'!A716:B1000,2,0))</f>
        <v/>
      </c>
      <c r="F799" s="33"/>
      <c r="G799" s="32"/>
      <c r="H799" s="32"/>
      <c r="I799" s="32"/>
    </row>
    <row r="800" ht="15.75" customHeight="1">
      <c r="A800" s="32"/>
      <c r="B800" s="32"/>
      <c r="C800" s="32"/>
      <c r="D800" s="33"/>
      <c r="E800" s="30" t="str">
        <f>IFERROR(VLOOKUP(D800,'PAÑOL TÉCNICO'!A717:B1000,2,0))</f>
        <v/>
      </c>
      <c r="F800" s="33"/>
      <c r="G800" s="32"/>
      <c r="H800" s="32"/>
      <c r="I800" s="32"/>
    </row>
    <row r="801" ht="15.75" customHeight="1">
      <c r="A801" s="32"/>
      <c r="B801" s="32"/>
      <c r="C801" s="32"/>
      <c r="D801" s="33"/>
      <c r="E801" s="30" t="str">
        <f>IFERROR(VLOOKUP(D801,'PAÑOL TÉCNICO'!A718:B1000,2,0))</f>
        <v/>
      </c>
      <c r="F801" s="33"/>
      <c r="G801" s="32"/>
      <c r="H801" s="32"/>
      <c r="I801" s="32"/>
    </row>
    <row r="802" ht="15.75" customHeight="1">
      <c r="A802" s="32"/>
      <c r="B802" s="32"/>
      <c r="C802" s="32"/>
      <c r="D802" s="33"/>
      <c r="E802" s="30" t="str">
        <f>IFERROR(VLOOKUP(D802,'PAÑOL TÉCNICO'!A719:B1000,2,0))</f>
        <v/>
      </c>
      <c r="F802" s="33"/>
      <c r="G802" s="32"/>
      <c r="H802" s="32"/>
      <c r="I802" s="32"/>
    </row>
    <row r="803" ht="15.75" customHeight="1">
      <c r="A803" s="32"/>
      <c r="B803" s="32"/>
      <c r="C803" s="32"/>
      <c r="D803" s="33"/>
      <c r="E803" s="30" t="str">
        <f>IFERROR(VLOOKUP(D803,'PAÑOL TÉCNICO'!A720:B1000,2,0))</f>
        <v/>
      </c>
      <c r="F803" s="33"/>
      <c r="G803" s="32"/>
      <c r="H803" s="32"/>
      <c r="I803" s="32"/>
    </row>
    <row r="804" ht="15.75" customHeight="1">
      <c r="A804" s="32"/>
      <c r="B804" s="32"/>
      <c r="C804" s="32"/>
      <c r="D804" s="33"/>
      <c r="E804" s="30" t="str">
        <f>IFERROR(VLOOKUP(D804,'PAÑOL TÉCNICO'!A721:B1000,2,0))</f>
        <v/>
      </c>
      <c r="F804" s="33"/>
      <c r="G804" s="32"/>
      <c r="H804" s="32"/>
      <c r="I804" s="32"/>
    </row>
    <row r="805" ht="15.75" customHeight="1">
      <c r="A805" s="32"/>
      <c r="B805" s="32"/>
      <c r="C805" s="32"/>
      <c r="D805" s="33"/>
      <c r="E805" s="30" t="str">
        <f>IFERROR(VLOOKUP(D805,'PAÑOL TÉCNICO'!A722:B1000,2,0))</f>
        <v/>
      </c>
      <c r="F805" s="33"/>
      <c r="G805" s="32"/>
      <c r="H805" s="32"/>
      <c r="I805" s="32"/>
    </row>
    <row r="806" ht="15.75" customHeight="1">
      <c r="A806" s="32"/>
      <c r="B806" s="32"/>
      <c r="C806" s="32"/>
      <c r="D806" s="33"/>
      <c r="E806" s="30" t="str">
        <f>IFERROR(VLOOKUP(D806,'PAÑOL TÉCNICO'!A723:B1000,2,0))</f>
        <v/>
      </c>
      <c r="F806" s="33"/>
      <c r="G806" s="32"/>
      <c r="H806" s="32"/>
      <c r="I806" s="32"/>
    </row>
    <row r="807" ht="15.75" customHeight="1">
      <c r="A807" s="32"/>
      <c r="B807" s="32"/>
      <c r="C807" s="32"/>
      <c r="D807" s="33"/>
      <c r="E807" s="30" t="str">
        <f>IFERROR(VLOOKUP(D807,'PAÑOL TÉCNICO'!A724:B1000,2,0))</f>
        <v/>
      </c>
      <c r="F807" s="33"/>
      <c r="G807" s="32"/>
      <c r="H807" s="32"/>
      <c r="I807" s="32"/>
    </row>
    <row r="808" ht="15.75" customHeight="1">
      <c r="A808" s="32"/>
      <c r="B808" s="32"/>
      <c r="C808" s="32"/>
      <c r="D808" s="33"/>
      <c r="E808" s="30" t="str">
        <f>IFERROR(VLOOKUP(D808,'PAÑOL TÉCNICO'!A725:B1000,2,0))</f>
        <v/>
      </c>
      <c r="F808" s="33"/>
      <c r="G808" s="32"/>
      <c r="H808" s="32"/>
      <c r="I808" s="32"/>
    </row>
    <row r="809" ht="15.75" customHeight="1">
      <c r="A809" s="32"/>
      <c r="B809" s="32"/>
      <c r="C809" s="32"/>
      <c r="D809" s="33"/>
      <c r="E809" s="30" t="str">
        <f>IFERROR(VLOOKUP(D809,'PAÑOL TÉCNICO'!A726:B1000,2,0))</f>
        <v/>
      </c>
      <c r="F809" s="33"/>
      <c r="G809" s="32"/>
      <c r="H809" s="32"/>
      <c r="I809" s="32"/>
    </row>
    <row r="810" ht="15.75" customHeight="1">
      <c r="A810" s="32"/>
      <c r="B810" s="32"/>
      <c r="C810" s="32"/>
      <c r="D810" s="33"/>
      <c r="E810" s="30" t="str">
        <f>IFERROR(VLOOKUP(D810,'PAÑOL TÉCNICO'!A727:B1000,2,0))</f>
        <v/>
      </c>
      <c r="F810" s="33"/>
      <c r="G810" s="32"/>
      <c r="H810" s="32"/>
      <c r="I810" s="32"/>
    </row>
    <row r="811" ht="15.75" customHeight="1">
      <c r="A811" s="32"/>
      <c r="B811" s="32"/>
      <c r="C811" s="32"/>
      <c r="D811" s="33"/>
      <c r="E811" s="30" t="str">
        <f>IFERROR(VLOOKUP(D811,'PAÑOL TÉCNICO'!A728:B1000,2,0))</f>
        <v/>
      </c>
      <c r="F811" s="33"/>
      <c r="G811" s="32"/>
      <c r="H811" s="32"/>
      <c r="I811" s="32"/>
    </row>
    <row r="812" ht="15.75" customHeight="1">
      <c r="A812" s="32"/>
      <c r="B812" s="32"/>
      <c r="C812" s="32"/>
      <c r="D812" s="33"/>
      <c r="E812" s="30" t="str">
        <f>IFERROR(VLOOKUP(D812,'PAÑOL TÉCNICO'!A729:B1000,2,0))</f>
        <v/>
      </c>
      <c r="F812" s="33"/>
      <c r="G812" s="32"/>
      <c r="H812" s="32"/>
      <c r="I812" s="32"/>
    </row>
    <row r="813" ht="15.75" customHeight="1">
      <c r="A813" s="32"/>
      <c r="B813" s="32"/>
      <c r="C813" s="32"/>
      <c r="D813" s="33"/>
      <c r="E813" s="30" t="str">
        <f>IFERROR(VLOOKUP(D813,'PAÑOL TÉCNICO'!A730:B1000,2,0))</f>
        <v/>
      </c>
      <c r="F813" s="33"/>
      <c r="G813" s="32"/>
      <c r="H813" s="32"/>
      <c r="I813" s="32"/>
    </row>
    <row r="814" ht="15.75" customHeight="1">
      <c r="A814" s="32"/>
      <c r="B814" s="32"/>
      <c r="C814" s="32"/>
      <c r="D814" s="33"/>
      <c r="E814" s="30" t="str">
        <f>IFERROR(VLOOKUP(D814,'PAÑOL TÉCNICO'!A731:B1000,2,0))</f>
        <v/>
      </c>
      <c r="F814" s="33"/>
      <c r="G814" s="32"/>
      <c r="H814" s="32"/>
      <c r="I814" s="32"/>
    </row>
    <row r="815" ht="15.75" customHeight="1">
      <c r="A815" s="32"/>
      <c r="B815" s="32"/>
      <c r="C815" s="32"/>
      <c r="D815" s="33"/>
      <c r="E815" s="30" t="str">
        <f>IFERROR(VLOOKUP(D815,'PAÑOL TÉCNICO'!A732:B1000,2,0))</f>
        <v/>
      </c>
      <c r="F815" s="33"/>
      <c r="G815" s="32"/>
      <c r="H815" s="32"/>
      <c r="I815" s="32"/>
    </row>
    <row r="816" ht="15.75" customHeight="1">
      <c r="A816" s="32"/>
      <c r="B816" s="32"/>
      <c r="C816" s="32"/>
      <c r="D816" s="33"/>
      <c r="E816" s="30" t="str">
        <f>IFERROR(VLOOKUP(D816,'PAÑOL TÉCNICO'!A733:B1000,2,0))</f>
        <v/>
      </c>
      <c r="F816" s="33"/>
      <c r="G816" s="32"/>
      <c r="H816" s="32"/>
      <c r="I816" s="32"/>
    </row>
    <row r="817" ht="15.75" customHeight="1">
      <c r="A817" s="32"/>
      <c r="B817" s="32"/>
      <c r="C817" s="32"/>
      <c r="D817" s="33"/>
      <c r="E817" s="30" t="str">
        <f>IFERROR(VLOOKUP(D817,'PAÑOL TÉCNICO'!A734:B1000,2,0))</f>
        <v/>
      </c>
      <c r="F817" s="33"/>
      <c r="G817" s="32"/>
      <c r="H817" s="32"/>
      <c r="I817" s="32"/>
    </row>
    <row r="818" ht="15.75" customHeight="1">
      <c r="A818" s="32"/>
      <c r="B818" s="32"/>
      <c r="C818" s="32"/>
      <c r="D818" s="33"/>
      <c r="E818" s="30" t="str">
        <f>IFERROR(VLOOKUP(D818,'PAÑOL TÉCNICO'!A735:B1000,2,0))</f>
        <v/>
      </c>
      <c r="F818" s="33"/>
      <c r="G818" s="32"/>
      <c r="H818" s="32"/>
      <c r="I818" s="32"/>
    </row>
    <row r="819" ht="15.75" customHeight="1">
      <c r="A819" s="32"/>
      <c r="B819" s="32"/>
      <c r="C819" s="32"/>
      <c r="D819" s="33"/>
      <c r="E819" s="30" t="str">
        <f>IFERROR(VLOOKUP(D819,'PAÑOL TÉCNICO'!A736:B1000,2,0))</f>
        <v/>
      </c>
      <c r="F819" s="33"/>
      <c r="G819" s="32"/>
      <c r="H819" s="32"/>
      <c r="I819" s="32"/>
    </row>
    <row r="820" ht="15.75" customHeight="1">
      <c r="A820" s="32"/>
      <c r="B820" s="32"/>
      <c r="C820" s="32"/>
      <c r="D820" s="33"/>
      <c r="E820" s="30" t="str">
        <f>IFERROR(VLOOKUP(D820,'PAÑOL TÉCNICO'!A737:B1000,2,0))</f>
        <v/>
      </c>
      <c r="F820" s="33"/>
      <c r="G820" s="32"/>
      <c r="H820" s="32"/>
      <c r="I820" s="32"/>
    </row>
    <row r="821" ht="15.75" customHeight="1">
      <c r="A821" s="32"/>
      <c r="B821" s="32"/>
      <c r="C821" s="32"/>
      <c r="D821" s="33"/>
      <c r="E821" s="30" t="str">
        <f>IFERROR(VLOOKUP(D821,'PAÑOL TÉCNICO'!A738:B1000,2,0))</f>
        <v/>
      </c>
      <c r="F821" s="33"/>
      <c r="G821" s="32"/>
      <c r="H821" s="32"/>
      <c r="I821" s="32"/>
    </row>
    <row r="822" ht="15.75" customHeight="1">
      <c r="A822" s="32"/>
      <c r="B822" s="32"/>
      <c r="C822" s="32"/>
      <c r="D822" s="33"/>
      <c r="E822" s="30" t="str">
        <f>IFERROR(VLOOKUP(D822,'PAÑOL TÉCNICO'!A739:B1000,2,0))</f>
        <v/>
      </c>
      <c r="F822" s="33"/>
      <c r="G822" s="32"/>
      <c r="H822" s="32"/>
      <c r="I822" s="32"/>
    </row>
    <row r="823" ht="15.75" customHeight="1">
      <c r="A823" s="32"/>
      <c r="B823" s="32"/>
      <c r="C823" s="32"/>
      <c r="D823" s="33"/>
      <c r="E823" s="30" t="str">
        <f>IFERROR(VLOOKUP(D823,'PAÑOL TÉCNICO'!A740:B1000,2,0))</f>
        <v/>
      </c>
      <c r="F823" s="33"/>
      <c r="G823" s="32"/>
      <c r="H823" s="32"/>
      <c r="I823" s="32"/>
    </row>
    <row r="824" ht="15.75" customHeight="1">
      <c r="A824" s="32"/>
      <c r="B824" s="32"/>
      <c r="C824" s="32"/>
      <c r="D824" s="33"/>
      <c r="E824" s="30" t="str">
        <f>IFERROR(VLOOKUP(D824,'PAÑOL TÉCNICO'!A741:B1000,2,0))</f>
        <v/>
      </c>
      <c r="F824" s="33"/>
      <c r="G824" s="32"/>
      <c r="H824" s="32"/>
      <c r="I824" s="32"/>
    </row>
    <row r="825" ht="15.75" customHeight="1">
      <c r="A825" s="32"/>
      <c r="B825" s="32"/>
      <c r="C825" s="32"/>
      <c r="D825" s="33"/>
      <c r="E825" s="30" t="str">
        <f>IFERROR(VLOOKUP(D825,'PAÑOL TÉCNICO'!A742:B1000,2,0))</f>
        <v/>
      </c>
      <c r="F825" s="33"/>
      <c r="G825" s="32"/>
      <c r="H825" s="32"/>
      <c r="I825" s="32"/>
    </row>
    <row r="826" ht="15.75" customHeight="1">
      <c r="A826" s="32"/>
      <c r="B826" s="32"/>
      <c r="C826" s="32"/>
      <c r="D826" s="33"/>
      <c r="E826" s="30" t="str">
        <f>IFERROR(VLOOKUP(D826,'PAÑOL TÉCNICO'!A743:B1000,2,0))</f>
        <v/>
      </c>
      <c r="F826" s="33"/>
      <c r="G826" s="32"/>
      <c r="H826" s="32"/>
      <c r="I826" s="32"/>
    </row>
    <row r="827" ht="15.75" customHeight="1">
      <c r="A827" s="32"/>
      <c r="B827" s="32"/>
      <c r="C827" s="32"/>
      <c r="D827" s="33"/>
      <c r="E827" s="30" t="str">
        <f>IFERROR(VLOOKUP(D827,'PAÑOL TÉCNICO'!A744:B1000,2,0))</f>
        <v/>
      </c>
      <c r="F827" s="33"/>
      <c r="G827" s="32"/>
      <c r="H827" s="32"/>
      <c r="I827" s="32"/>
    </row>
    <row r="828" ht="15.75" customHeight="1">
      <c r="A828" s="32"/>
      <c r="B828" s="32"/>
      <c r="C828" s="32"/>
      <c r="D828" s="33"/>
      <c r="E828" s="30" t="str">
        <f>IFERROR(VLOOKUP(D828,'PAÑOL TÉCNICO'!A745:B1000,2,0))</f>
        <v/>
      </c>
      <c r="F828" s="33"/>
      <c r="G828" s="32"/>
      <c r="H828" s="32"/>
      <c r="I828" s="32"/>
    </row>
    <row r="829" ht="15.75" customHeight="1">
      <c r="A829" s="32"/>
      <c r="B829" s="32"/>
      <c r="C829" s="32"/>
      <c r="D829" s="33"/>
      <c r="E829" s="30" t="str">
        <f>IFERROR(VLOOKUP(D829,'PAÑOL TÉCNICO'!A746:B1000,2,0))</f>
        <v/>
      </c>
      <c r="F829" s="33"/>
      <c r="G829" s="32"/>
      <c r="H829" s="32"/>
      <c r="I829" s="32"/>
    </row>
    <row r="830" ht="15.75" customHeight="1">
      <c r="A830" s="32"/>
      <c r="B830" s="32"/>
      <c r="C830" s="32"/>
      <c r="D830" s="33"/>
      <c r="E830" s="30" t="str">
        <f>IFERROR(VLOOKUP(D830,'PAÑOL TÉCNICO'!A747:B1000,2,0))</f>
        <v/>
      </c>
      <c r="F830" s="33"/>
      <c r="G830" s="32"/>
      <c r="H830" s="32"/>
      <c r="I830" s="32"/>
    </row>
    <row r="831" ht="15.75" customHeight="1">
      <c r="A831" s="32"/>
      <c r="B831" s="32"/>
      <c r="C831" s="32"/>
      <c r="D831" s="33"/>
      <c r="E831" s="30" t="str">
        <f>IFERROR(VLOOKUP(D831,'PAÑOL TÉCNICO'!A748:B1000,2,0))</f>
        <v/>
      </c>
      <c r="F831" s="33"/>
      <c r="G831" s="32"/>
      <c r="H831" s="32"/>
      <c r="I831" s="32"/>
    </row>
    <row r="832" ht="15.75" customHeight="1">
      <c r="A832" s="32"/>
      <c r="B832" s="32"/>
      <c r="C832" s="32"/>
      <c r="D832" s="33"/>
      <c r="E832" s="30" t="str">
        <f>IFERROR(VLOOKUP(D832,'PAÑOL TÉCNICO'!A749:B1000,2,0))</f>
        <v/>
      </c>
      <c r="F832" s="33"/>
      <c r="G832" s="32"/>
      <c r="H832" s="32"/>
      <c r="I832" s="32"/>
    </row>
    <row r="833" ht="15.75" customHeight="1">
      <c r="A833" s="32"/>
      <c r="B833" s="32"/>
      <c r="C833" s="32"/>
      <c r="D833" s="33"/>
      <c r="E833" s="30" t="str">
        <f>IFERROR(VLOOKUP(D833,'PAÑOL TÉCNICO'!A750:B1000,2,0))</f>
        <v/>
      </c>
      <c r="F833" s="33"/>
      <c r="G833" s="32"/>
      <c r="H833" s="32"/>
      <c r="I833" s="32"/>
    </row>
    <row r="834" ht="15.75" customHeight="1">
      <c r="A834" s="32"/>
      <c r="B834" s="32"/>
      <c r="C834" s="32"/>
      <c r="D834" s="33"/>
      <c r="E834" s="30" t="str">
        <f>IFERROR(VLOOKUP(D834,'PAÑOL TÉCNICO'!A751:B1000,2,0))</f>
        <v/>
      </c>
      <c r="F834" s="33"/>
      <c r="G834" s="32"/>
      <c r="H834" s="32"/>
      <c r="I834" s="32"/>
    </row>
    <row r="835" ht="15.75" customHeight="1">
      <c r="A835" s="32"/>
      <c r="B835" s="32"/>
      <c r="C835" s="32"/>
      <c r="D835" s="33"/>
      <c r="E835" s="30" t="str">
        <f>IFERROR(VLOOKUP(D835,'PAÑOL TÉCNICO'!A752:B1000,2,0))</f>
        <v/>
      </c>
      <c r="F835" s="33"/>
      <c r="G835" s="32"/>
      <c r="H835" s="32"/>
      <c r="I835" s="32"/>
    </row>
    <row r="836" ht="15.75" customHeight="1">
      <c r="A836" s="32"/>
      <c r="B836" s="32"/>
      <c r="C836" s="32"/>
      <c r="D836" s="33"/>
      <c r="E836" s="30" t="str">
        <f>IFERROR(VLOOKUP(D836,'PAÑOL TÉCNICO'!A753:B1000,2,0))</f>
        <v/>
      </c>
      <c r="F836" s="33"/>
      <c r="G836" s="32"/>
      <c r="H836" s="32"/>
      <c r="I836" s="32"/>
    </row>
    <row r="837" ht="15.75" customHeight="1">
      <c r="A837" s="32"/>
      <c r="B837" s="32"/>
      <c r="C837" s="32"/>
      <c r="D837" s="33"/>
      <c r="E837" s="30" t="str">
        <f>IFERROR(VLOOKUP(D837,'PAÑOL TÉCNICO'!A754:B1000,2,0))</f>
        <v/>
      </c>
      <c r="F837" s="33"/>
      <c r="G837" s="32"/>
      <c r="H837" s="32"/>
      <c r="I837" s="32"/>
    </row>
    <row r="838" ht="15.75" customHeight="1">
      <c r="A838" s="32"/>
      <c r="B838" s="32"/>
      <c r="C838" s="32"/>
      <c r="D838" s="33"/>
      <c r="E838" s="30" t="str">
        <f>IFERROR(VLOOKUP(D838,'PAÑOL TÉCNICO'!A755:B1000,2,0))</f>
        <v/>
      </c>
      <c r="F838" s="33"/>
      <c r="G838" s="32"/>
      <c r="H838" s="32"/>
      <c r="I838" s="32"/>
    </row>
    <row r="839" ht="15.75" customHeight="1">
      <c r="A839" s="32"/>
      <c r="B839" s="32"/>
      <c r="C839" s="32"/>
      <c r="D839" s="33"/>
      <c r="E839" s="30" t="str">
        <f>IFERROR(VLOOKUP(D839,'PAÑOL TÉCNICO'!A756:B1000,2,0))</f>
        <v/>
      </c>
      <c r="F839" s="33"/>
      <c r="G839" s="32"/>
      <c r="H839" s="32"/>
      <c r="I839" s="32"/>
    </row>
    <row r="840" ht="15.75" customHeight="1">
      <c r="A840" s="32"/>
      <c r="B840" s="32"/>
      <c r="C840" s="32"/>
      <c r="D840" s="33"/>
      <c r="E840" s="30" t="str">
        <f>IFERROR(VLOOKUP(D840,'PAÑOL TÉCNICO'!A757:B1000,2,0))</f>
        <v/>
      </c>
      <c r="F840" s="33"/>
      <c r="G840" s="32"/>
      <c r="H840" s="32"/>
      <c r="I840" s="32"/>
    </row>
    <row r="841" ht="15.75" customHeight="1">
      <c r="A841" s="32"/>
      <c r="B841" s="32"/>
      <c r="C841" s="32"/>
      <c r="D841" s="33"/>
      <c r="E841" s="30" t="str">
        <f>IFERROR(VLOOKUP(D841,'PAÑOL TÉCNICO'!A758:B1000,2,0))</f>
        <v/>
      </c>
      <c r="F841" s="33"/>
      <c r="G841" s="32"/>
      <c r="H841" s="32"/>
      <c r="I841" s="32"/>
    </row>
    <row r="842" ht="15.75" customHeight="1">
      <c r="A842" s="32"/>
      <c r="B842" s="32"/>
      <c r="C842" s="32"/>
      <c r="D842" s="33"/>
      <c r="E842" s="30" t="str">
        <f>IFERROR(VLOOKUP(D842,'PAÑOL TÉCNICO'!A759:B1000,2,0))</f>
        <v/>
      </c>
      <c r="F842" s="33"/>
      <c r="G842" s="32"/>
      <c r="H842" s="32"/>
      <c r="I842" s="32"/>
    </row>
    <row r="843" ht="15.75" customHeight="1">
      <c r="A843" s="32"/>
      <c r="B843" s="32"/>
      <c r="C843" s="32"/>
      <c r="D843" s="33"/>
      <c r="E843" s="30" t="str">
        <f>IFERROR(VLOOKUP(D843,'PAÑOL TÉCNICO'!A760:B1000,2,0))</f>
        <v/>
      </c>
      <c r="F843" s="33"/>
      <c r="G843" s="32"/>
      <c r="H843" s="32"/>
      <c r="I843" s="32"/>
    </row>
    <row r="844" ht="15.75" customHeight="1">
      <c r="A844" s="32"/>
      <c r="B844" s="32"/>
      <c r="C844" s="32"/>
      <c r="D844" s="33"/>
      <c r="E844" s="30" t="str">
        <f>IFERROR(VLOOKUP(D844,'PAÑOL TÉCNICO'!A761:B1000,2,0))</f>
        <v/>
      </c>
      <c r="F844" s="33"/>
      <c r="G844" s="32"/>
      <c r="H844" s="32"/>
      <c r="I844" s="32"/>
    </row>
    <row r="845" ht="15.75" customHeight="1">
      <c r="A845" s="32"/>
      <c r="B845" s="32"/>
      <c r="C845" s="32"/>
      <c r="D845" s="33"/>
      <c r="E845" s="30" t="str">
        <f>IFERROR(VLOOKUP(D845,'PAÑOL TÉCNICO'!A762:B1000,2,0))</f>
        <v/>
      </c>
      <c r="F845" s="33"/>
      <c r="G845" s="32"/>
      <c r="H845" s="32"/>
      <c r="I845" s="32"/>
    </row>
    <row r="846" ht="15.75" customHeight="1">
      <c r="A846" s="32"/>
      <c r="B846" s="32"/>
      <c r="C846" s="32"/>
      <c r="D846" s="33"/>
      <c r="E846" s="30" t="str">
        <f>IFERROR(VLOOKUP(D846,'PAÑOL TÉCNICO'!A763:B1000,2,0))</f>
        <v/>
      </c>
      <c r="F846" s="33"/>
      <c r="G846" s="32"/>
      <c r="H846" s="32"/>
      <c r="I846" s="32"/>
    </row>
    <row r="847" ht="15.75" customHeight="1">
      <c r="A847" s="32"/>
      <c r="B847" s="32"/>
      <c r="C847" s="32"/>
      <c r="D847" s="33"/>
      <c r="E847" s="30" t="str">
        <f>IFERROR(VLOOKUP(D847,'PAÑOL TÉCNICO'!A764:B1000,2,0))</f>
        <v/>
      </c>
      <c r="F847" s="33"/>
      <c r="G847" s="32"/>
      <c r="H847" s="32"/>
      <c r="I847" s="32"/>
    </row>
    <row r="848" ht="15.75" customHeight="1">
      <c r="A848" s="32"/>
      <c r="B848" s="32"/>
      <c r="C848" s="32"/>
      <c r="D848" s="33"/>
      <c r="E848" s="30" t="str">
        <f>IFERROR(VLOOKUP(D848,'PAÑOL TÉCNICO'!A765:B1000,2,0))</f>
        <v/>
      </c>
      <c r="F848" s="33"/>
      <c r="G848" s="32"/>
      <c r="H848" s="32"/>
      <c r="I848" s="32"/>
    </row>
    <row r="849" ht="15.75" customHeight="1">
      <c r="A849" s="32"/>
      <c r="B849" s="32"/>
      <c r="C849" s="32"/>
      <c r="D849" s="33"/>
      <c r="E849" s="30" t="str">
        <f>IFERROR(VLOOKUP(D849,'PAÑOL TÉCNICO'!A766:B1000,2,0))</f>
        <v/>
      </c>
      <c r="F849" s="33"/>
      <c r="G849" s="32"/>
      <c r="H849" s="32"/>
      <c r="I849" s="32"/>
    </row>
    <row r="850" ht="15.75" customHeight="1">
      <c r="A850" s="32"/>
      <c r="B850" s="32"/>
      <c r="C850" s="32"/>
      <c r="D850" s="33"/>
      <c r="E850" s="30" t="str">
        <f>IFERROR(VLOOKUP(D850,'PAÑOL TÉCNICO'!A767:B1000,2,0))</f>
        <v/>
      </c>
      <c r="F850" s="33"/>
      <c r="G850" s="32"/>
      <c r="H850" s="32"/>
      <c r="I850" s="32"/>
    </row>
    <row r="851" ht="15.75" customHeight="1">
      <c r="A851" s="32"/>
      <c r="B851" s="32"/>
      <c r="C851" s="32"/>
      <c r="D851" s="33"/>
      <c r="E851" s="30" t="str">
        <f>IFERROR(VLOOKUP(D851,'PAÑOL TÉCNICO'!A768:B1000,2,0))</f>
        <v/>
      </c>
      <c r="F851" s="33"/>
      <c r="G851" s="32"/>
      <c r="H851" s="32"/>
      <c r="I851" s="32"/>
    </row>
    <row r="852" ht="15.75" customHeight="1">
      <c r="A852" s="32"/>
      <c r="B852" s="32"/>
      <c r="C852" s="32"/>
      <c r="D852" s="33"/>
      <c r="E852" s="30" t="str">
        <f>IFERROR(VLOOKUP(D852,'PAÑOL TÉCNICO'!A769:B1000,2,0))</f>
        <v/>
      </c>
      <c r="F852" s="33"/>
      <c r="G852" s="32"/>
      <c r="H852" s="32"/>
      <c r="I852" s="32"/>
    </row>
    <row r="853" ht="15.75" customHeight="1">
      <c r="A853" s="32"/>
      <c r="B853" s="32"/>
      <c r="C853" s="32"/>
      <c r="D853" s="33"/>
      <c r="E853" s="30" t="str">
        <f>IFERROR(VLOOKUP(D853,'PAÑOL TÉCNICO'!A770:B1000,2,0))</f>
        <v/>
      </c>
      <c r="F853" s="33"/>
      <c r="G853" s="32"/>
      <c r="H853" s="32"/>
      <c r="I853" s="32"/>
    </row>
    <row r="854" ht="15.75" customHeight="1">
      <c r="A854" s="32"/>
      <c r="B854" s="32"/>
      <c r="C854" s="32"/>
      <c r="D854" s="33"/>
      <c r="E854" s="30" t="str">
        <f>IFERROR(VLOOKUP(D854,'PAÑOL TÉCNICO'!A771:B1000,2,0))</f>
        <v/>
      </c>
      <c r="F854" s="33"/>
      <c r="G854" s="32"/>
      <c r="H854" s="32"/>
      <c r="I854" s="32"/>
    </row>
    <row r="855" ht="15.75" customHeight="1">
      <c r="A855" s="32"/>
      <c r="B855" s="32"/>
      <c r="C855" s="32"/>
      <c r="D855" s="33"/>
      <c r="E855" s="30" t="str">
        <f>IFERROR(VLOOKUP(D855,'PAÑOL TÉCNICO'!A772:B1000,2,0))</f>
        <v/>
      </c>
      <c r="F855" s="33"/>
      <c r="G855" s="32"/>
      <c r="H855" s="32"/>
      <c r="I855" s="32"/>
    </row>
    <row r="856" ht="15.75" customHeight="1">
      <c r="A856" s="32"/>
      <c r="B856" s="32"/>
      <c r="C856" s="32"/>
      <c r="D856" s="33"/>
      <c r="E856" s="30" t="str">
        <f>IFERROR(VLOOKUP(D856,'PAÑOL TÉCNICO'!A773:B1000,2,0))</f>
        <v/>
      </c>
      <c r="F856" s="33"/>
      <c r="G856" s="32"/>
      <c r="H856" s="32"/>
      <c r="I856" s="32"/>
    </row>
    <row r="857" ht="15.75" customHeight="1">
      <c r="A857" s="32"/>
      <c r="B857" s="32"/>
      <c r="C857" s="32"/>
      <c r="D857" s="33"/>
      <c r="E857" s="30" t="str">
        <f>IFERROR(VLOOKUP(D857,'PAÑOL TÉCNICO'!A774:B1000,2,0))</f>
        <v/>
      </c>
      <c r="F857" s="33"/>
      <c r="G857" s="32"/>
      <c r="H857" s="32"/>
      <c r="I857" s="32"/>
    </row>
    <row r="858" ht="15.75" customHeight="1">
      <c r="A858" s="32"/>
      <c r="B858" s="32"/>
      <c r="C858" s="32"/>
      <c r="D858" s="33"/>
      <c r="E858" s="30" t="str">
        <f>IFERROR(VLOOKUP(D858,'PAÑOL TÉCNICO'!A775:B1000,2,0))</f>
        <v/>
      </c>
      <c r="F858" s="33"/>
      <c r="G858" s="32"/>
      <c r="H858" s="32"/>
      <c r="I858" s="32"/>
    </row>
    <row r="859" ht="15.75" customHeight="1">
      <c r="A859" s="32"/>
      <c r="B859" s="32"/>
      <c r="C859" s="32"/>
      <c r="D859" s="33"/>
      <c r="E859" s="30" t="str">
        <f>IFERROR(VLOOKUP(D859,'PAÑOL TÉCNICO'!A776:B1000,2,0))</f>
        <v/>
      </c>
      <c r="F859" s="33"/>
      <c r="G859" s="32"/>
      <c r="H859" s="32"/>
      <c r="I859" s="32"/>
    </row>
    <row r="860" ht="15.75" customHeight="1">
      <c r="A860" s="32"/>
      <c r="B860" s="32"/>
      <c r="C860" s="32"/>
      <c r="D860" s="33"/>
      <c r="E860" s="30" t="str">
        <f>IFERROR(VLOOKUP(D860,'PAÑOL TÉCNICO'!A777:B1000,2,0))</f>
        <v/>
      </c>
      <c r="F860" s="33"/>
      <c r="G860" s="32"/>
      <c r="H860" s="32"/>
      <c r="I860" s="32"/>
    </row>
    <row r="861" ht="15.75" customHeight="1">
      <c r="A861" s="32"/>
      <c r="B861" s="32"/>
      <c r="C861" s="32"/>
      <c r="D861" s="33"/>
      <c r="E861" s="30" t="str">
        <f>IFERROR(VLOOKUP(D861,'PAÑOL TÉCNICO'!A778:B1000,2,0))</f>
        <v/>
      </c>
      <c r="F861" s="33"/>
      <c r="G861" s="32"/>
      <c r="H861" s="32"/>
      <c r="I861" s="32"/>
    </row>
    <row r="862" ht="15.75" customHeight="1">
      <c r="A862" s="32"/>
      <c r="B862" s="32"/>
      <c r="C862" s="32"/>
      <c r="D862" s="33"/>
      <c r="E862" s="30" t="str">
        <f>IFERROR(VLOOKUP(D862,'PAÑOL TÉCNICO'!A779:B1000,2,0))</f>
        <v/>
      </c>
      <c r="F862" s="33"/>
      <c r="G862" s="32"/>
      <c r="H862" s="32"/>
      <c r="I862" s="32"/>
    </row>
    <row r="863" ht="15.75" customHeight="1">
      <c r="A863" s="32"/>
      <c r="B863" s="32"/>
      <c r="C863" s="32"/>
      <c r="D863" s="33"/>
      <c r="E863" s="30" t="str">
        <f>IFERROR(VLOOKUP(D863,'PAÑOL TÉCNICO'!A780:B1000,2,0))</f>
        <v/>
      </c>
      <c r="F863" s="33"/>
      <c r="G863" s="32"/>
      <c r="H863" s="32"/>
      <c r="I863" s="32"/>
    </row>
    <row r="864" ht="15.75" customHeight="1">
      <c r="A864" s="32"/>
      <c r="B864" s="32"/>
      <c r="C864" s="32"/>
      <c r="D864" s="33"/>
      <c r="E864" s="30" t="str">
        <f>IFERROR(VLOOKUP(D864,'PAÑOL TÉCNICO'!A781:B1000,2,0))</f>
        <v/>
      </c>
      <c r="F864" s="33"/>
      <c r="G864" s="32"/>
      <c r="H864" s="32"/>
      <c r="I864" s="32"/>
    </row>
    <row r="865" ht="15.75" customHeight="1">
      <c r="A865" s="32"/>
      <c r="B865" s="32"/>
      <c r="C865" s="32"/>
      <c r="D865" s="33"/>
      <c r="E865" s="30" t="str">
        <f>IFERROR(VLOOKUP(D865,'PAÑOL TÉCNICO'!A782:B1000,2,0))</f>
        <v/>
      </c>
      <c r="F865" s="33"/>
      <c r="G865" s="32"/>
      <c r="H865" s="32"/>
      <c r="I865" s="32"/>
    </row>
    <row r="866" ht="15.75" customHeight="1">
      <c r="A866" s="32"/>
      <c r="B866" s="32"/>
      <c r="C866" s="32"/>
      <c r="D866" s="33"/>
      <c r="E866" s="30" t="str">
        <f>IFERROR(VLOOKUP(D866,'PAÑOL TÉCNICO'!A783:B1000,2,0))</f>
        <v/>
      </c>
      <c r="F866" s="33"/>
      <c r="G866" s="32"/>
      <c r="H866" s="32"/>
      <c r="I866" s="32"/>
    </row>
    <row r="867" ht="15.75" customHeight="1">
      <c r="A867" s="32"/>
      <c r="B867" s="32"/>
      <c r="C867" s="32"/>
      <c r="D867" s="33"/>
      <c r="E867" s="30" t="str">
        <f>IFERROR(VLOOKUP(D867,'PAÑOL TÉCNICO'!A784:B1000,2,0))</f>
        <v/>
      </c>
      <c r="F867" s="33"/>
      <c r="G867" s="32"/>
      <c r="H867" s="32"/>
      <c r="I867" s="32"/>
    </row>
    <row r="868" ht="15.75" customHeight="1">
      <c r="A868" s="32"/>
      <c r="B868" s="32"/>
      <c r="C868" s="32"/>
      <c r="D868" s="33"/>
      <c r="E868" s="30" t="str">
        <f>IFERROR(VLOOKUP(D868,'PAÑOL TÉCNICO'!A785:B1000,2,0))</f>
        <v/>
      </c>
      <c r="F868" s="33"/>
      <c r="G868" s="32"/>
      <c r="H868" s="32"/>
      <c r="I868" s="32"/>
    </row>
    <row r="869" ht="15.75" customHeight="1">
      <c r="A869" s="32"/>
      <c r="B869" s="32"/>
      <c r="C869" s="32"/>
      <c r="D869" s="33"/>
      <c r="E869" s="30" t="str">
        <f>IFERROR(VLOOKUP(D869,'PAÑOL TÉCNICO'!A786:B1000,2,0))</f>
        <v/>
      </c>
      <c r="F869" s="33"/>
      <c r="G869" s="32"/>
      <c r="H869" s="32"/>
      <c r="I869" s="32"/>
    </row>
    <row r="870" ht="15.75" customHeight="1">
      <c r="A870" s="32"/>
      <c r="B870" s="32"/>
      <c r="C870" s="32"/>
      <c r="D870" s="33"/>
      <c r="E870" s="30" t="str">
        <f>IFERROR(VLOOKUP(D870,'PAÑOL TÉCNICO'!A787:B1000,2,0))</f>
        <v/>
      </c>
      <c r="F870" s="33"/>
      <c r="G870" s="32"/>
      <c r="H870" s="32"/>
      <c r="I870" s="32"/>
    </row>
    <row r="871" ht="15.75" customHeight="1">
      <c r="A871" s="32"/>
      <c r="B871" s="32"/>
      <c r="C871" s="32"/>
      <c r="D871" s="33"/>
      <c r="E871" s="30" t="str">
        <f>IFERROR(VLOOKUP(D871,'PAÑOL TÉCNICO'!A788:B1000,2,0))</f>
        <v/>
      </c>
      <c r="F871" s="33"/>
      <c r="G871" s="32"/>
      <c r="H871" s="32"/>
      <c r="I871" s="32"/>
    </row>
    <row r="872" ht="15.75" customHeight="1">
      <c r="A872" s="32"/>
      <c r="B872" s="32"/>
      <c r="C872" s="32"/>
      <c r="D872" s="33"/>
      <c r="E872" s="30" t="str">
        <f>IFERROR(VLOOKUP(D872,'PAÑOL TÉCNICO'!A789:B1000,2,0))</f>
        <v/>
      </c>
      <c r="F872" s="33"/>
      <c r="G872" s="32"/>
      <c r="H872" s="32"/>
      <c r="I872" s="32"/>
    </row>
    <row r="873" ht="15.75" customHeight="1">
      <c r="A873" s="32"/>
      <c r="B873" s="32"/>
      <c r="C873" s="32"/>
      <c r="D873" s="33"/>
      <c r="E873" s="30" t="str">
        <f>IFERROR(VLOOKUP(D873,'PAÑOL TÉCNICO'!A790:B1000,2,0))</f>
        <v/>
      </c>
      <c r="F873" s="33"/>
      <c r="G873" s="32"/>
      <c r="H873" s="32"/>
      <c r="I873" s="32"/>
    </row>
    <row r="874" ht="15.75" customHeight="1">
      <c r="A874" s="32"/>
      <c r="B874" s="32"/>
      <c r="C874" s="32"/>
      <c r="D874" s="33"/>
      <c r="E874" s="30" t="str">
        <f>IFERROR(VLOOKUP(D874,'PAÑOL TÉCNICO'!A791:B1000,2,0))</f>
        <v/>
      </c>
      <c r="F874" s="33"/>
      <c r="G874" s="32"/>
      <c r="H874" s="32"/>
      <c r="I874" s="32"/>
    </row>
    <row r="875" ht="15.75" customHeight="1">
      <c r="A875" s="32"/>
      <c r="B875" s="32"/>
      <c r="C875" s="32"/>
      <c r="D875" s="33"/>
      <c r="E875" s="30" t="str">
        <f>IFERROR(VLOOKUP(D875,'PAÑOL TÉCNICO'!A792:B1000,2,0))</f>
        <v/>
      </c>
      <c r="F875" s="33"/>
      <c r="G875" s="32"/>
      <c r="H875" s="32"/>
      <c r="I875" s="32"/>
    </row>
    <row r="876" ht="15.75" customHeight="1">
      <c r="A876" s="32"/>
      <c r="B876" s="32"/>
      <c r="C876" s="32"/>
      <c r="D876" s="33"/>
      <c r="E876" s="30" t="str">
        <f>IFERROR(VLOOKUP(D876,'PAÑOL TÉCNICO'!A793:B1000,2,0))</f>
        <v/>
      </c>
      <c r="F876" s="33"/>
      <c r="G876" s="32"/>
      <c r="H876" s="32"/>
      <c r="I876" s="32"/>
    </row>
    <row r="877" ht="15.75" customHeight="1">
      <c r="A877" s="32"/>
      <c r="B877" s="32"/>
      <c r="C877" s="32"/>
      <c r="D877" s="33"/>
      <c r="E877" s="30" t="str">
        <f>IFERROR(VLOOKUP(D877,'PAÑOL TÉCNICO'!A794:B1000,2,0))</f>
        <v/>
      </c>
      <c r="F877" s="33"/>
      <c r="G877" s="32"/>
      <c r="H877" s="32"/>
      <c r="I877" s="32"/>
    </row>
    <row r="878" ht="15.75" customHeight="1">
      <c r="A878" s="32"/>
      <c r="B878" s="32"/>
      <c r="C878" s="32"/>
      <c r="D878" s="33"/>
      <c r="E878" s="30" t="str">
        <f>IFERROR(VLOOKUP(D878,'PAÑOL TÉCNICO'!A795:B1000,2,0))</f>
        <v/>
      </c>
      <c r="F878" s="33"/>
      <c r="G878" s="32"/>
      <c r="H878" s="32"/>
      <c r="I878" s="32"/>
    </row>
    <row r="879" ht="15.75" customHeight="1">
      <c r="A879" s="32"/>
      <c r="B879" s="32"/>
      <c r="C879" s="32"/>
      <c r="D879" s="33"/>
      <c r="E879" s="30" t="str">
        <f>IFERROR(VLOOKUP(D879,'PAÑOL TÉCNICO'!A796:B1000,2,0))</f>
        <v/>
      </c>
      <c r="F879" s="33"/>
      <c r="G879" s="32"/>
      <c r="H879" s="32"/>
      <c r="I879" s="32"/>
    </row>
    <row r="880" ht="15.75" customHeight="1">
      <c r="A880" s="32"/>
      <c r="B880" s="32"/>
      <c r="C880" s="32"/>
      <c r="D880" s="33"/>
      <c r="E880" s="30" t="str">
        <f>IFERROR(VLOOKUP(D880,'PAÑOL TÉCNICO'!A797:B1000,2,0))</f>
        <v/>
      </c>
      <c r="F880" s="33"/>
      <c r="G880" s="32"/>
      <c r="H880" s="32"/>
      <c r="I880" s="32"/>
    </row>
    <row r="881" ht="15.75" customHeight="1">
      <c r="A881" s="32"/>
      <c r="B881" s="32"/>
      <c r="C881" s="32"/>
      <c r="D881" s="33"/>
      <c r="E881" s="30" t="str">
        <f>IFERROR(VLOOKUP(D881,'PAÑOL TÉCNICO'!A798:B1000,2,0))</f>
        <v/>
      </c>
      <c r="F881" s="33"/>
      <c r="G881" s="32"/>
      <c r="H881" s="32"/>
      <c r="I881" s="32"/>
    </row>
    <row r="882" ht="15.75" customHeight="1">
      <c r="A882" s="32"/>
      <c r="B882" s="32"/>
      <c r="C882" s="32"/>
      <c r="D882" s="33"/>
      <c r="E882" s="30" t="str">
        <f>IFERROR(VLOOKUP(D882,'PAÑOL TÉCNICO'!A799:B1000,2,0))</f>
        <v/>
      </c>
      <c r="F882" s="33"/>
      <c r="G882" s="32"/>
      <c r="H882" s="32"/>
      <c r="I882" s="32"/>
    </row>
    <row r="883" ht="15.75" customHeight="1">
      <c r="A883" s="32"/>
      <c r="B883" s="32"/>
      <c r="C883" s="32"/>
      <c r="D883" s="33"/>
      <c r="E883" s="30" t="str">
        <f>IFERROR(VLOOKUP(D883,'PAÑOL TÉCNICO'!A800:B1000,2,0))</f>
        <v/>
      </c>
      <c r="F883" s="33"/>
      <c r="G883" s="32"/>
      <c r="H883" s="32"/>
      <c r="I883" s="32"/>
    </row>
    <row r="884" ht="15.75" customHeight="1">
      <c r="A884" s="32"/>
      <c r="B884" s="32"/>
      <c r="C884" s="32"/>
      <c r="D884" s="33"/>
      <c r="E884" s="30" t="str">
        <f>IFERROR(VLOOKUP(D884,'PAÑOL TÉCNICO'!A801:B1000,2,0))</f>
        <v/>
      </c>
      <c r="F884" s="33"/>
      <c r="G884" s="32"/>
      <c r="H884" s="32"/>
      <c r="I884" s="32"/>
    </row>
    <row r="885" ht="15.75" customHeight="1">
      <c r="A885" s="32"/>
      <c r="B885" s="32"/>
      <c r="C885" s="32"/>
      <c r="D885" s="33"/>
      <c r="E885" s="30" t="str">
        <f>IFERROR(VLOOKUP(D885,'PAÑOL TÉCNICO'!A802:B1000,2,0))</f>
        <v/>
      </c>
      <c r="F885" s="33"/>
      <c r="G885" s="32"/>
      <c r="H885" s="32"/>
      <c r="I885" s="32"/>
    </row>
    <row r="886" ht="15.75" customHeight="1">
      <c r="A886" s="32"/>
      <c r="B886" s="32"/>
      <c r="C886" s="32"/>
      <c r="D886" s="33"/>
      <c r="E886" s="30" t="str">
        <f>IFERROR(VLOOKUP(D886,'PAÑOL TÉCNICO'!A803:B1000,2,0))</f>
        <v/>
      </c>
      <c r="F886" s="33"/>
      <c r="G886" s="32"/>
      <c r="H886" s="32"/>
      <c r="I886" s="32"/>
    </row>
    <row r="887" ht="15.75" customHeight="1">
      <c r="A887" s="32"/>
      <c r="B887" s="32"/>
      <c r="C887" s="32"/>
      <c r="D887" s="33"/>
      <c r="E887" s="30" t="str">
        <f>IFERROR(VLOOKUP(D887,'PAÑOL TÉCNICO'!A804:B1000,2,0))</f>
        <v/>
      </c>
      <c r="F887" s="33"/>
      <c r="G887" s="32"/>
      <c r="H887" s="32"/>
      <c r="I887" s="32"/>
    </row>
    <row r="888" ht="15.75" customHeight="1">
      <c r="A888" s="32"/>
      <c r="B888" s="32"/>
      <c r="C888" s="32"/>
      <c r="D888" s="33"/>
      <c r="E888" s="30" t="str">
        <f>IFERROR(VLOOKUP(D888,'PAÑOL TÉCNICO'!A805:B1000,2,0))</f>
        <v/>
      </c>
      <c r="F888" s="33"/>
      <c r="G888" s="32"/>
      <c r="H888" s="32"/>
      <c r="I888" s="32"/>
    </row>
    <row r="889" ht="15.75" customHeight="1">
      <c r="A889" s="32"/>
      <c r="B889" s="32"/>
      <c r="C889" s="32"/>
      <c r="D889" s="33"/>
      <c r="E889" s="30" t="str">
        <f>IFERROR(VLOOKUP(D889,'PAÑOL TÉCNICO'!A806:B1000,2,0))</f>
        <v/>
      </c>
      <c r="F889" s="33"/>
      <c r="G889" s="32"/>
      <c r="H889" s="32"/>
      <c r="I889" s="32"/>
    </row>
    <row r="890" ht="15.75" customHeight="1">
      <c r="A890" s="32"/>
      <c r="B890" s="32"/>
      <c r="C890" s="32"/>
      <c r="D890" s="33"/>
      <c r="E890" s="30" t="str">
        <f>IFERROR(VLOOKUP(D890,'PAÑOL TÉCNICO'!A807:B1000,2,0))</f>
        <v/>
      </c>
      <c r="F890" s="33"/>
      <c r="G890" s="32"/>
      <c r="H890" s="32"/>
      <c r="I890" s="32"/>
    </row>
    <row r="891" ht="15.75" customHeight="1">
      <c r="A891" s="32"/>
      <c r="B891" s="32"/>
      <c r="C891" s="32"/>
      <c r="D891" s="33"/>
      <c r="E891" s="30" t="str">
        <f>IFERROR(VLOOKUP(D891,'PAÑOL TÉCNICO'!A808:B1000,2,0))</f>
        <v/>
      </c>
      <c r="F891" s="33"/>
      <c r="G891" s="32"/>
      <c r="H891" s="32"/>
      <c r="I891" s="32"/>
    </row>
    <row r="892" ht="15.75" customHeight="1">
      <c r="A892" s="32"/>
      <c r="B892" s="32"/>
      <c r="C892" s="32"/>
      <c r="D892" s="33"/>
      <c r="E892" s="30" t="str">
        <f>IFERROR(VLOOKUP(D892,'PAÑOL TÉCNICO'!A809:B1000,2,0))</f>
        <v/>
      </c>
      <c r="F892" s="33"/>
      <c r="G892" s="32"/>
      <c r="H892" s="32"/>
      <c r="I892" s="32"/>
    </row>
    <row r="893" ht="15.75" customHeight="1">
      <c r="A893" s="32"/>
      <c r="B893" s="32"/>
      <c r="C893" s="32"/>
      <c r="D893" s="33"/>
      <c r="E893" s="30" t="str">
        <f>IFERROR(VLOOKUP(D893,'PAÑOL TÉCNICO'!A810:B1000,2,0))</f>
        <v/>
      </c>
      <c r="F893" s="33"/>
      <c r="G893" s="32"/>
      <c r="H893" s="32"/>
      <c r="I893" s="32"/>
    </row>
    <row r="894" ht="15.75" customHeight="1">
      <c r="A894" s="32"/>
      <c r="B894" s="32"/>
      <c r="C894" s="32"/>
      <c r="D894" s="33"/>
      <c r="E894" s="30" t="str">
        <f>IFERROR(VLOOKUP(D894,'PAÑOL TÉCNICO'!A811:B1000,2,0))</f>
        <v/>
      </c>
      <c r="F894" s="33"/>
      <c r="G894" s="32"/>
      <c r="H894" s="32"/>
      <c r="I894" s="32"/>
    </row>
    <row r="895" ht="15.75" customHeight="1">
      <c r="A895" s="32"/>
      <c r="B895" s="32"/>
      <c r="C895" s="32"/>
      <c r="D895" s="33"/>
      <c r="E895" s="30" t="str">
        <f>IFERROR(VLOOKUP(D895,'PAÑOL TÉCNICO'!A812:B1000,2,0))</f>
        <v/>
      </c>
      <c r="F895" s="33"/>
      <c r="G895" s="32"/>
      <c r="H895" s="32"/>
      <c r="I895" s="32"/>
    </row>
    <row r="896" ht="15.75" customHeight="1">
      <c r="A896" s="32"/>
      <c r="B896" s="32"/>
      <c r="C896" s="32"/>
      <c r="D896" s="33"/>
      <c r="E896" s="30" t="str">
        <f>IFERROR(VLOOKUP(D896,'PAÑOL TÉCNICO'!A813:B1000,2,0))</f>
        <v/>
      </c>
      <c r="F896" s="33"/>
      <c r="G896" s="32"/>
      <c r="H896" s="32"/>
      <c r="I896" s="32"/>
    </row>
    <row r="897" ht="15.75" customHeight="1">
      <c r="A897" s="32"/>
      <c r="B897" s="32"/>
      <c r="C897" s="32"/>
      <c r="D897" s="33"/>
      <c r="E897" s="30" t="str">
        <f>IFERROR(VLOOKUP(D897,'PAÑOL TÉCNICO'!A814:B1000,2,0))</f>
        <v/>
      </c>
      <c r="F897" s="33"/>
      <c r="G897" s="32"/>
      <c r="H897" s="32"/>
      <c r="I897" s="32"/>
    </row>
    <row r="898" ht="15.75" customHeight="1">
      <c r="A898" s="32"/>
      <c r="B898" s="32"/>
      <c r="C898" s="32"/>
      <c r="D898" s="33"/>
      <c r="E898" s="30" t="str">
        <f>IFERROR(VLOOKUP(D898,'PAÑOL TÉCNICO'!A815:B1000,2,0))</f>
        <v/>
      </c>
      <c r="F898" s="33"/>
      <c r="G898" s="32"/>
      <c r="H898" s="32"/>
      <c r="I898" s="32"/>
    </row>
    <row r="899" ht="15.75" customHeight="1">
      <c r="A899" s="32"/>
      <c r="B899" s="32"/>
      <c r="C899" s="32"/>
      <c r="D899" s="33"/>
      <c r="E899" s="30" t="str">
        <f>IFERROR(VLOOKUP(D899,'PAÑOL TÉCNICO'!A816:B1000,2,0))</f>
        <v/>
      </c>
      <c r="F899" s="33"/>
      <c r="G899" s="32"/>
      <c r="H899" s="32"/>
      <c r="I899" s="32"/>
    </row>
    <row r="900" ht="15.75" customHeight="1">
      <c r="A900" s="32"/>
      <c r="B900" s="32"/>
      <c r="C900" s="32"/>
      <c r="D900" s="33"/>
      <c r="E900" s="30" t="str">
        <f>IFERROR(VLOOKUP(D900,'PAÑOL TÉCNICO'!A817:B1000,2,0))</f>
        <v/>
      </c>
      <c r="F900" s="33"/>
      <c r="G900" s="32"/>
      <c r="H900" s="32"/>
      <c r="I900" s="32"/>
    </row>
    <row r="901" ht="15.75" customHeight="1">
      <c r="A901" s="32"/>
      <c r="B901" s="32"/>
      <c r="C901" s="32"/>
      <c r="D901" s="33"/>
      <c r="E901" s="30" t="str">
        <f>IFERROR(VLOOKUP(D901,'PAÑOL TÉCNICO'!A818:B1000,2,0))</f>
        <v/>
      </c>
      <c r="F901" s="33"/>
      <c r="G901" s="32"/>
      <c r="H901" s="32"/>
      <c r="I901" s="32"/>
    </row>
    <row r="902" ht="15.75" customHeight="1">
      <c r="A902" s="32"/>
      <c r="B902" s="32"/>
      <c r="C902" s="32"/>
      <c r="D902" s="33"/>
      <c r="E902" s="30" t="str">
        <f>IFERROR(VLOOKUP(D902,'PAÑOL TÉCNICO'!A819:B1000,2,0))</f>
        <v/>
      </c>
      <c r="F902" s="33"/>
      <c r="G902" s="32"/>
      <c r="H902" s="32"/>
      <c r="I902" s="32"/>
    </row>
    <row r="903" ht="15.75" customHeight="1">
      <c r="A903" s="32"/>
      <c r="B903" s="32"/>
      <c r="C903" s="32"/>
      <c r="D903" s="33"/>
      <c r="E903" s="30" t="str">
        <f>IFERROR(VLOOKUP(D903,'PAÑOL TÉCNICO'!A820:B1000,2,0))</f>
        <v/>
      </c>
      <c r="F903" s="33"/>
      <c r="G903" s="32"/>
      <c r="H903" s="32"/>
      <c r="I903" s="32"/>
    </row>
    <row r="904" ht="15.75" customHeight="1">
      <c r="A904" s="32"/>
      <c r="B904" s="32"/>
      <c r="C904" s="32"/>
      <c r="D904" s="33"/>
      <c r="E904" s="30" t="str">
        <f>IFERROR(VLOOKUP(D904,'PAÑOL TÉCNICO'!A821:B1000,2,0))</f>
        <v/>
      </c>
      <c r="F904" s="33"/>
      <c r="G904" s="32"/>
      <c r="H904" s="32"/>
      <c r="I904" s="32"/>
    </row>
    <row r="905" ht="15.75" customHeight="1">
      <c r="A905" s="32"/>
      <c r="B905" s="32"/>
      <c r="C905" s="32"/>
      <c r="D905" s="33"/>
      <c r="E905" s="30" t="str">
        <f>IFERROR(VLOOKUP(D905,'PAÑOL TÉCNICO'!A822:B1000,2,0))</f>
        <v/>
      </c>
      <c r="F905" s="33"/>
      <c r="G905" s="32"/>
      <c r="H905" s="32"/>
      <c r="I905" s="32"/>
    </row>
    <row r="906" ht="15.75" customHeight="1">
      <c r="A906" s="32"/>
      <c r="B906" s="32"/>
      <c r="C906" s="32"/>
      <c r="D906" s="33"/>
      <c r="E906" s="30" t="str">
        <f>IFERROR(VLOOKUP(D906,'PAÑOL TÉCNICO'!A823:B1000,2,0))</f>
        <v/>
      </c>
      <c r="F906" s="33"/>
      <c r="G906" s="32"/>
      <c r="H906" s="32"/>
      <c r="I906" s="32"/>
    </row>
    <row r="907" ht="15.75" customHeight="1">
      <c r="A907" s="32"/>
      <c r="B907" s="32"/>
      <c r="C907" s="32"/>
      <c r="D907" s="33"/>
      <c r="E907" s="30" t="str">
        <f>IFERROR(VLOOKUP(D907,'PAÑOL TÉCNICO'!A824:B1000,2,0))</f>
        <v/>
      </c>
      <c r="F907" s="33"/>
      <c r="G907" s="32"/>
      <c r="H907" s="32"/>
      <c r="I907" s="32"/>
    </row>
    <row r="908" ht="15.75" customHeight="1">
      <c r="A908" s="32"/>
      <c r="B908" s="32"/>
      <c r="C908" s="32"/>
      <c r="D908" s="33"/>
      <c r="E908" s="30" t="str">
        <f>IFERROR(VLOOKUP(D908,'PAÑOL TÉCNICO'!A825:B1000,2,0))</f>
        <v/>
      </c>
      <c r="F908" s="33"/>
      <c r="G908" s="32"/>
      <c r="H908" s="32"/>
      <c r="I908" s="32"/>
    </row>
    <row r="909" ht="15.75" customHeight="1">
      <c r="A909" s="32"/>
      <c r="B909" s="32"/>
      <c r="C909" s="32"/>
      <c r="D909" s="33"/>
      <c r="E909" s="30" t="str">
        <f>IFERROR(VLOOKUP(D909,'PAÑOL TÉCNICO'!A826:B1000,2,0))</f>
        <v/>
      </c>
      <c r="F909" s="33"/>
      <c r="G909" s="32"/>
      <c r="H909" s="32"/>
      <c r="I909" s="32"/>
    </row>
    <row r="910" ht="15.75" customHeight="1">
      <c r="A910" s="32"/>
      <c r="B910" s="32"/>
      <c r="C910" s="32"/>
      <c r="D910" s="33"/>
      <c r="E910" s="30" t="str">
        <f>IFERROR(VLOOKUP(D910,'PAÑOL TÉCNICO'!A827:B1000,2,0))</f>
        <v/>
      </c>
      <c r="F910" s="33"/>
      <c r="G910" s="32"/>
      <c r="H910" s="32"/>
      <c r="I910" s="32"/>
    </row>
    <row r="911" ht="15.75" customHeight="1">
      <c r="A911" s="32"/>
      <c r="B911" s="32"/>
      <c r="C911" s="32"/>
      <c r="D911" s="33"/>
      <c r="E911" s="30" t="str">
        <f>IFERROR(VLOOKUP(D911,'PAÑOL TÉCNICO'!A828:B1000,2,0))</f>
        <v/>
      </c>
      <c r="F911" s="33"/>
      <c r="G911" s="32"/>
      <c r="H911" s="32"/>
      <c r="I911" s="32"/>
    </row>
    <row r="912" ht="15.75" customHeight="1">
      <c r="A912" s="32"/>
      <c r="B912" s="32"/>
      <c r="C912" s="32"/>
      <c r="D912" s="33"/>
      <c r="E912" s="30" t="str">
        <f>IFERROR(VLOOKUP(D912,'PAÑOL TÉCNICO'!A829:B1000,2,0))</f>
        <v/>
      </c>
      <c r="F912" s="33"/>
      <c r="G912" s="32"/>
      <c r="H912" s="32"/>
      <c r="I912" s="32"/>
    </row>
    <row r="913" ht="15.75" customHeight="1">
      <c r="A913" s="32"/>
      <c r="B913" s="32"/>
      <c r="C913" s="32"/>
      <c r="D913" s="33"/>
      <c r="E913" s="30" t="str">
        <f>IFERROR(VLOOKUP(D913,'PAÑOL TÉCNICO'!A830:B1000,2,0))</f>
        <v/>
      </c>
      <c r="F913" s="33"/>
      <c r="G913" s="32"/>
      <c r="H913" s="32"/>
      <c r="I913" s="32"/>
    </row>
    <row r="914" ht="15.75" customHeight="1">
      <c r="A914" s="32"/>
      <c r="B914" s="32"/>
      <c r="C914" s="32"/>
      <c r="D914" s="33"/>
      <c r="E914" s="30" t="str">
        <f>IFERROR(VLOOKUP(D914,'PAÑOL TÉCNICO'!A831:B1000,2,0))</f>
        <v/>
      </c>
      <c r="F914" s="33"/>
      <c r="G914" s="32"/>
      <c r="H914" s="32"/>
      <c r="I914" s="32"/>
    </row>
    <row r="915" ht="15.75" customHeight="1">
      <c r="A915" s="32"/>
      <c r="B915" s="32"/>
      <c r="C915" s="32"/>
      <c r="D915" s="33"/>
      <c r="E915" s="30" t="str">
        <f>IFERROR(VLOOKUP(D915,'PAÑOL TÉCNICO'!A832:B1000,2,0))</f>
        <v/>
      </c>
      <c r="F915" s="33"/>
      <c r="G915" s="32"/>
      <c r="H915" s="32"/>
      <c r="I915" s="32"/>
    </row>
    <row r="916" ht="15.75" customHeight="1">
      <c r="A916" s="32"/>
      <c r="B916" s="32"/>
      <c r="C916" s="32"/>
      <c r="D916" s="33"/>
      <c r="E916" s="30" t="str">
        <f>IFERROR(VLOOKUP(D916,'PAÑOL TÉCNICO'!A833:B1000,2,0))</f>
        <v/>
      </c>
      <c r="F916" s="33"/>
      <c r="G916" s="32"/>
      <c r="H916" s="32"/>
      <c r="I916" s="32"/>
    </row>
    <row r="917" ht="15.75" customHeight="1">
      <c r="A917" s="32"/>
      <c r="B917" s="32"/>
      <c r="C917" s="32"/>
      <c r="D917" s="33"/>
      <c r="E917" s="30" t="str">
        <f>IFERROR(VLOOKUP(D917,'PAÑOL TÉCNICO'!A834:B1000,2,0))</f>
        <v/>
      </c>
      <c r="F917" s="33"/>
      <c r="G917" s="32"/>
      <c r="H917" s="32"/>
      <c r="I917" s="32"/>
    </row>
    <row r="918" ht="15.75" customHeight="1">
      <c r="A918" s="32"/>
      <c r="B918" s="32"/>
      <c r="C918" s="32"/>
      <c r="D918" s="33"/>
      <c r="E918" s="30" t="str">
        <f>IFERROR(VLOOKUP(D918,'PAÑOL TÉCNICO'!A835:B1000,2,0))</f>
        <v/>
      </c>
      <c r="F918" s="33"/>
      <c r="G918" s="32"/>
      <c r="H918" s="32"/>
      <c r="I918" s="32"/>
    </row>
    <row r="919" ht="15.75" customHeight="1">
      <c r="A919" s="32"/>
      <c r="B919" s="32"/>
      <c r="C919" s="32"/>
      <c r="D919" s="33"/>
      <c r="E919" s="30" t="str">
        <f>IFERROR(VLOOKUP(D919,'PAÑOL TÉCNICO'!A836:B1000,2,0))</f>
        <v/>
      </c>
      <c r="F919" s="33"/>
      <c r="G919" s="32"/>
      <c r="H919" s="32"/>
      <c r="I919" s="32"/>
    </row>
    <row r="920" ht="15.75" customHeight="1">
      <c r="A920" s="32"/>
      <c r="B920" s="32"/>
      <c r="C920" s="32"/>
      <c r="D920" s="33"/>
      <c r="E920" s="30" t="str">
        <f>IFERROR(VLOOKUP(D920,'PAÑOL TÉCNICO'!A837:B1000,2,0))</f>
        <v/>
      </c>
      <c r="F920" s="33"/>
      <c r="G920" s="32"/>
      <c r="H920" s="32"/>
      <c r="I920" s="32"/>
    </row>
    <row r="921" ht="15.75" customHeight="1">
      <c r="A921" s="32"/>
      <c r="B921" s="32"/>
      <c r="C921" s="32"/>
      <c r="D921" s="33"/>
      <c r="E921" s="30" t="str">
        <f>IFERROR(VLOOKUP(D921,'PAÑOL TÉCNICO'!A838:B1000,2,0))</f>
        <v/>
      </c>
      <c r="F921" s="33"/>
      <c r="G921" s="32"/>
      <c r="H921" s="32"/>
      <c r="I921" s="32"/>
    </row>
    <row r="922" ht="15.75" customHeight="1">
      <c r="A922" s="32"/>
      <c r="B922" s="32"/>
      <c r="C922" s="32"/>
      <c r="D922" s="33"/>
      <c r="E922" s="30" t="str">
        <f>IFERROR(VLOOKUP(D922,'PAÑOL TÉCNICO'!A839:B1000,2,0))</f>
        <v/>
      </c>
      <c r="F922" s="33"/>
      <c r="G922" s="32"/>
      <c r="H922" s="32"/>
      <c r="I922" s="32"/>
    </row>
    <row r="923" ht="15.75" customHeight="1">
      <c r="A923" s="32"/>
      <c r="B923" s="32"/>
      <c r="C923" s="32"/>
      <c r="D923" s="33"/>
      <c r="E923" s="30" t="str">
        <f>IFERROR(VLOOKUP(D923,'PAÑOL TÉCNICO'!A840:B1000,2,0))</f>
        <v/>
      </c>
      <c r="F923" s="33"/>
      <c r="G923" s="32"/>
      <c r="H923" s="32"/>
      <c r="I923" s="32"/>
    </row>
    <row r="924" ht="15.75" customHeight="1">
      <c r="A924" s="32"/>
      <c r="B924" s="32"/>
      <c r="C924" s="32"/>
      <c r="D924" s="33"/>
      <c r="E924" s="30" t="str">
        <f>IFERROR(VLOOKUP(D924,'PAÑOL TÉCNICO'!A841:B1000,2,0))</f>
        <v/>
      </c>
      <c r="F924" s="33"/>
      <c r="G924" s="32"/>
      <c r="H924" s="32"/>
      <c r="I924" s="32"/>
    </row>
    <row r="925" ht="15.75" customHeight="1">
      <c r="A925" s="32"/>
      <c r="B925" s="32"/>
      <c r="C925" s="32"/>
      <c r="D925" s="33"/>
      <c r="E925" s="30" t="str">
        <f>IFERROR(VLOOKUP(D925,'PAÑOL TÉCNICO'!A842:B1000,2,0))</f>
        <v/>
      </c>
      <c r="F925" s="33"/>
      <c r="G925" s="32"/>
      <c r="H925" s="32"/>
      <c r="I925" s="32"/>
    </row>
    <row r="926" ht="15.75" customHeight="1">
      <c r="A926" s="32"/>
      <c r="B926" s="32"/>
      <c r="C926" s="32"/>
      <c r="D926" s="33"/>
      <c r="E926" s="30" t="str">
        <f>IFERROR(VLOOKUP(D926,'PAÑOL TÉCNICO'!A843:B1000,2,0))</f>
        <v/>
      </c>
      <c r="F926" s="33"/>
      <c r="G926" s="32"/>
      <c r="H926" s="32"/>
      <c r="I926" s="32"/>
    </row>
    <row r="927" ht="15.75" customHeight="1">
      <c r="A927" s="32"/>
      <c r="B927" s="32"/>
      <c r="C927" s="32"/>
      <c r="D927" s="33"/>
      <c r="E927" s="30" t="str">
        <f>IFERROR(VLOOKUP(D927,'PAÑOL TÉCNICO'!A844:B1000,2,0))</f>
        <v/>
      </c>
      <c r="F927" s="33"/>
      <c r="G927" s="32"/>
      <c r="H927" s="32"/>
      <c r="I927" s="32"/>
    </row>
    <row r="928" ht="15.75" customHeight="1">
      <c r="A928" s="32"/>
      <c r="B928" s="32"/>
      <c r="C928" s="32"/>
      <c r="D928" s="33"/>
      <c r="E928" s="30" t="str">
        <f>IFERROR(VLOOKUP(D928,'PAÑOL TÉCNICO'!A845:B1000,2,0))</f>
        <v/>
      </c>
      <c r="F928" s="33"/>
      <c r="G928" s="32"/>
      <c r="H928" s="32"/>
      <c r="I928" s="32"/>
    </row>
    <row r="929" ht="15.75" customHeight="1">
      <c r="A929" s="32"/>
      <c r="B929" s="32"/>
      <c r="C929" s="32"/>
      <c r="D929" s="33"/>
      <c r="E929" s="30" t="str">
        <f>IFERROR(VLOOKUP(D929,'PAÑOL TÉCNICO'!A846:B1000,2,0))</f>
        <v/>
      </c>
      <c r="F929" s="33"/>
      <c r="G929" s="32"/>
      <c r="H929" s="32"/>
      <c r="I929" s="32"/>
    </row>
    <row r="930" ht="15.75" customHeight="1">
      <c r="A930" s="32"/>
      <c r="B930" s="32"/>
      <c r="C930" s="32"/>
      <c r="D930" s="33"/>
      <c r="E930" s="30" t="str">
        <f>IFERROR(VLOOKUP(D930,'PAÑOL TÉCNICO'!A847:B1000,2,0))</f>
        <v/>
      </c>
      <c r="F930" s="33"/>
      <c r="G930" s="32"/>
      <c r="H930" s="32"/>
      <c r="I930" s="32"/>
    </row>
    <row r="931" ht="15.75" customHeight="1">
      <c r="A931" s="32"/>
      <c r="B931" s="32"/>
      <c r="C931" s="32"/>
      <c r="D931" s="33"/>
      <c r="E931" s="30" t="str">
        <f>IFERROR(VLOOKUP(D931,'PAÑOL TÉCNICO'!A848:B1000,2,0))</f>
        <v/>
      </c>
      <c r="F931" s="33"/>
      <c r="G931" s="32"/>
      <c r="H931" s="32"/>
      <c r="I931" s="32"/>
    </row>
    <row r="932" ht="15.75" customHeight="1">
      <c r="A932" s="32"/>
      <c r="B932" s="32"/>
      <c r="C932" s="32"/>
      <c r="D932" s="33"/>
      <c r="E932" s="30" t="str">
        <f>IFERROR(VLOOKUP(D932,'PAÑOL TÉCNICO'!A849:B1000,2,0))</f>
        <v/>
      </c>
      <c r="F932" s="33"/>
      <c r="G932" s="32"/>
      <c r="H932" s="32"/>
      <c r="I932" s="32"/>
    </row>
    <row r="933" ht="15.75" customHeight="1">
      <c r="A933" s="32"/>
      <c r="B933" s="32"/>
      <c r="C933" s="32"/>
      <c r="D933" s="33"/>
      <c r="E933" s="30" t="str">
        <f>IFERROR(VLOOKUP(D933,'PAÑOL TÉCNICO'!A850:B1000,2,0))</f>
        <v/>
      </c>
      <c r="F933" s="33"/>
      <c r="G933" s="32"/>
      <c r="H933" s="32"/>
      <c r="I933" s="32"/>
    </row>
    <row r="934" ht="15.75" customHeight="1">
      <c r="A934" s="32"/>
      <c r="B934" s="32"/>
      <c r="C934" s="32"/>
      <c r="D934" s="33"/>
      <c r="E934" s="30" t="str">
        <f>IFERROR(VLOOKUP(D934,'PAÑOL TÉCNICO'!A851:B1000,2,0))</f>
        <v/>
      </c>
      <c r="F934" s="33"/>
      <c r="G934" s="32"/>
      <c r="H934" s="32"/>
      <c r="I934" s="32"/>
    </row>
    <row r="935" ht="15.75" customHeight="1">
      <c r="A935" s="32"/>
      <c r="B935" s="32"/>
      <c r="C935" s="32"/>
      <c r="D935" s="33"/>
      <c r="E935" s="30" t="str">
        <f>IFERROR(VLOOKUP(D935,'PAÑOL TÉCNICO'!A852:B1000,2,0))</f>
        <v/>
      </c>
      <c r="F935" s="33"/>
      <c r="G935" s="32"/>
      <c r="H935" s="32"/>
      <c r="I935" s="32"/>
    </row>
    <row r="936" ht="15.75" customHeight="1">
      <c r="A936" s="32"/>
      <c r="B936" s="32"/>
      <c r="C936" s="32"/>
      <c r="D936" s="33"/>
      <c r="E936" s="30" t="str">
        <f>IFERROR(VLOOKUP(D936,'PAÑOL TÉCNICO'!A853:B1000,2,0))</f>
        <v/>
      </c>
      <c r="F936" s="33"/>
      <c r="G936" s="32"/>
      <c r="H936" s="32"/>
      <c r="I936" s="32"/>
    </row>
    <row r="937" ht="15.75" customHeight="1">
      <c r="A937" s="32"/>
      <c r="B937" s="32"/>
      <c r="C937" s="32"/>
      <c r="D937" s="33"/>
      <c r="E937" s="30" t="str">
        <f>IFERROR(VLOOKUP(D937,'PAÑOL TÉCNICO'!A854:B1000,2,0))</f>
        <v/>
      </c>
      <c r="F937" s="33"/>
      <c r="G937" s="32"/>
      <c r="H937" s="32"/>
      <c r="I937" s="32"/>
    </row>
    <row r="938" ht="15.75" customHeight="1">
      <c r="A938" s="32"/>
      <c r="B938" s="32"/>
      <c r="C938" s="32"/>
      <c r="D938" s="33"/>
      <c r="E938" s="30" t="str">
        <f>IFERROR(VLOOKUP(D938,'PAÑOL TÉCNICO'!A855:B1000,2,0))</f>
        <v/>
      </c>
      <c r="F938" s="33"/>
      <c r="G938" s="32"/>
      <c r="H938" s="32"/>
      <c r="I938" s="32"/>
    </row>
    <row r="939" ht="15.75" customHeight="1">
      <c r="A939" s="32"/>
      <c r="B939" s="32"/>
      <c r="C939" s="32"/>
      <c r="D939" s="33"/>
      <c r="E939" s="30" t="str">
        <f>IFERROR(VLOOKUP(D939,'PAÑOL TÉCNICO'!A856:B1000,2,0))</f>
        <v/>
      </c>
      <c r="F939" s="33"/>
      <c r="G939" s="32"/>
      <c r="H939" s="32"/>
      <c r="I939" s="32"/>
    </row>
    <row r="940" ht="15.75" customHeight="1">
      <c r="A940" s="32"/>
      <c r="B940" s="32"/>
      <c r="C940" s="32"/>
      <c r="D940" s="33"/>
      <c r="E940" s="30" t="str">
        <f>IFERROR(VLOOKUP(D940,'PAÑOL TÉCNICO'!A857:B1000,2,0))</f>
        <v/>
      </c>
      <c r="F940" s="33"/>
      <c r="G940" s="32"/>
      <c r="H940" s="32"/>
      <c r="I940" s="32"/>
    </row>
    <row r="941" ht="15.75" customHeight="1">
      <c r="A941" s="32"/>
      <c r="B941" s="32"/>
      <c r="C941" s="32"/>
      <c r="D941" s="33"/>
      <c r="E941" s="30" t="str">
        <f>IFERROR(VLOOKUP(D941,'PAÑOL TÉCNICO'!A858:B1000,2,0))</f>
        <v/>
      </c>
      <c r="F941" s="33"/>
      <c r="G941" s="32"/>
      <c r="H941" s="32"/>
      <c r="I941" s="32"/>
    </row>
    <row r="942" ht="15.75" customHeight="1">
      <c r="A942" s="32"/>
      <c r="B942" s="32"/>
      <c r="C942" s="32"/>
      <c r="D942" s="33"/>
      <c r="E942" s="30" t="str">
        <f>IFERROR(VLOOKUP(D942,'PAÑOL TÉCNICO'!A859:B1000,2,0))</f>
        <v/>
      </c>
      <c r="F942" s="33"/>
      <c r="G942" s="32"/>
      <c r="H942" s="32"/>
      <c r="I942" s="32"/>
    </row>
    <row r="943" ht="15.75" customHeight="1">
      <c r="A943" s="32"/>
      <c r="B943" s="32"/>
      <c r="C943" s="32"/>
      <c r="D943" s="33"/>
      <c r="E943" s="30" t="str">
        <f>IFERROR(VLOOKUP(D943,'PAÑOL TÉCNICO'!A860:B1000,2,0))</f>
        <v/>
      </c>
      <c r="F943" s="33"/>
      <c r="G943" s="32"/>
      <c r="H943" s="32"/>
      <c r="I943" s="32"/>
    </row>
    <row r="944" ht="15.75" customHeight="1">
      <c r="A944" s="32"/>
      <c r="B944" s="32"/>
      <c r="C944" s="32"/>
      <c r="D944" s="33"/>
      <c r="E944" s="30" t="str">
        <f>IFERROR(VLOOKUP(D944,'PAÑOL TÉCNICO'!A861:B1000,2,0))</f>
        <v/>
      </c>
      <c r="F944" s="33"/>
      <c r="G944" s="32"/>
      <c r="H944" s="32"/>
      <c r="I944" s="32"/>
    </row>
    <row r="945" ht="15.75" customHeight="1">
      <c r="A945" s="32"/>
      <c r="B945" s="32"/>
      <c r="C945" s="32"/>
      <c r="D945" s="33"/>
      <c r="E945" s="30" t="str">
        <f>IFERROR(VLOOKUP(D945,'PAÑOL TÉCNICO'!A862:B1000,2,0))</f>
        <v/>
      </c>
      <c r="F945" s="33"/>
      <c r="G945" s="32"/>
      <c r="H945" s="32"/>
      <c r="I945" s="32"/>
    </row>
    <row r="946" ht="15.75" customHeight="1">
      <c r="A946" s="32"/>
      <c r="B946" s="32"/>
      <c r="C946" s="32"/>
      <c r="D946" s="33"/>
      <c r="E946" s="30" t="str">
        <f>IFERROR(VLOOKUP(D946,'PAÑOL TÉCNICO'!A863:B1000,2,0))</f>
        <v/>
      </c>
      <c r="F946" s="33"/>
      <c r="G946" s="32"/>
      <c r="H946" s="32"/>
      <c r="I946" s="32"/>
    </row>
    <row r="947" ht="15.75" customHeight="1">
      <c r="A947" s="32"/>
      <c r="B947" s="32"/>
      <c r="C947" s="32"/>
      <c r="D947" s="33"/>
      <c r="E947" s="30" t="str">
        <f>IFERROR(VLOOKUP(D947,'PAÑOL TÉCNICO'!A864:B1000,2,0))</f>
        <v/>
      </c>
      <c r="F947" s="33"/>
      <c r="G947" s="32"/>
      <c r="H947" s="32"/>
      <c r="I947" s="32"/>
    </row>
    <row r="948" ht="15.75" customHeight="1">
      <c r="A948" s="32"/>
      <c r="B948" s="32"/>
      <c r="C948" s="32"/>
      <c r="D948" s="33"/>
      <c r="E948" s="30" t="str">
        <f>IFERROR(VLOOKUP(D948,'PAÑOL TÉCNICO'!A865:B1000,2,0))</f>
        <v/>
      </c>
      <c r="F948" s="33"/>
      <c r="G948" s="32"/>
      <c r="H948" s="32"/>
      <c r="I948" s="32"/>
    </row>
    <row r="949" ht="15.75" customHeight="1">
      <c r="A949" s="32"/>
      <c r="B949" s="32"/>
      <c r="C949" s="32"/>
      <c r="D949" s="33"/>
      <c r="E949" s="30" t="str">
        <f>IFERROR(VLOOKUP(D949,'PAÑOL TÉCNICO'!A866:B1000,2,0))</f>
        <v/>
      </c>
      <c r="F949" s="33"/>
      <c r="G949" s="32"/>
      <c r="H949" s="32"/>
      <c r="I949" s="32"/>
    </row>
    <row r="950" ht="15.75" customHeight="1">
      <c r="A950" s="32"/>
      <c r="B950" s="32"/>
      <c r="C950" s="32"/>
      <c r="D950" s="33"/>
      <c r="E950" s="30" t="str">
        <f>IFERROR(VLOOKUP(D950,'PAÑOL TÉCNICO'!A867:B1000,2,0))</f>
        <v/>
      </c>
      <c r="F950" s="33"/>
      <c r="G950" s="32"/>
      <c r="H950" s="32"/>
      <c r="I950" s="32"/>
    </row>
    <row r="951" ht="15.75" customHeight="1">
      <c r="A951" s="32"/>
      <c r="B951" s="32"/>
      <c r="C951" s="32"/>
      <c r="D951" s="33"/>
      <c r="E951" s="30" t="str">
        <f>IFERROR(VLOOKUP(D951,'PAÑOL TÉCNICO'!A868:B1000,2,0))</f>
        <v/>
      </c>
      <c r="F951" s="33"/>
      <c r="G951" s="32"/>
      <c r="H951" s="32"/>
      <c r="I951" s="32"/>
    </row>
    <row r="952" ht="15.75" customHeight="1">
      <c r="A952" s="32"/>
      <c r="B952" s="32"/>
      <c r="C952" s="32"/>
      <c r="D952" s="33"/>
      <c r="E952" s="30" t="str">
        <f>IFERROR(VLOOKUP(D952,'PAÑOL TÉCNICO'!A869:B1000,2,0))</f>
        <v/>
      </c>
      <c r="F952" s="33"/>
      <c r="G952" s="32"/>
      <c r="H952" s="32"/>
      <c r="I952" s="32"/>
    </row>
    <row r="953" ht="15.75" customHeight="1">
      <c r="A953" s="32"/>
      <c r="B953" s="32"/>
      <c r="C953" s="32"/>
      <c r="D953" s="33"/>
      <c r="E953" s="30" t="str">
        <f>IFERROR(VLOOKUP(D953,'PAÑOL TÉCNICO'!A870:B1000,2,0))</f>
        <v/>
      </c>
      <c r="F953" s="33"/>
      <c r="G953" s="32"/>
      <c r="H953" s="32"/>
      <c r="I953" s="32"/>
    </row>
    <row r="954" ht="15.75" customHeight="1">
      <c r="A954" s="32"/>
      <c r="B954" s="32"/>
      <c r="C954" s="32"/>
      <c r="D954" s="33"/>
      <c r="E954" s="30" t="str">
        <f>IFERROR(VLOOKUP(D954,'PAÑOL TÉCNICO'!A871:B1000,2,0))</f>
        <v/>
      </c>
      <c r="F954" s="33"/>
      <c r="G954" s="32"/>
      <c r="H954" s="32"/>
      <c r="I954" s="32"/>
    </row>
    <row r="955" ht="15.75" customHeight="1">
      <c r="A955" s="32"/>
      <c r="B955" s="32"/>
      <c r="C955" s="32"/>
      <c r="D955" s="33"/>
      <c r="E955" s="30" t="str">
        <f>IFERROR(VLOOKUP(D955,'PAÑOL TÉCNICO'!A872:B1000,2,0))</f>
        <v/>
      </c>
      <c r="F955" s="33"/>
      <c r="G955" s="32"/>
      <c r="H955" s="32"/>
      <c r="I955" s="32"/>
    </row>
    <row r="956" ht="15.75" customHeight="1">
      <c r="A956" s="32"/>
      <c r="B956" s="32"/>
      <c r="C956" s="32"/>
      <c r="D956" s="33"/>
      <c r="E956" s="30" t="str">
        <f>IFERROR(VLOOKUP(D956,'PAÑOL TÉCNICO'!A873:B1000,2,0))</f>
        <v/>
      </c>
      <c r="F956" s="33"/>
      <c r="G956" s="32"/>
      <c r="H956" s="32"/>
      <c r="I956" s="32"/>
    </row>
    <row r="957" ht="15.75" customHeight="1">
      <c r="A957" s="32"/>
      <c r="B957" s="32"/>
      <c r="C957" s="32"/>
      <c r="D957" s="33"/>
      <c r="E957" s="30" t="str">
        <f>IFERROR(VLOOKUP(D957,'PAÑOL TÉCNICO'!A874:B1000,2,0))</f>
        <v/>
      </c>
      <c r="F957" s="33"/>
      <c r="G957" s="32"/>
      <c r="H957" s="32"/>
      <c r="I957" s="32"/>
    </row>
    <row r="958" ht="15.75" customHeight="1">
      <c r="A958" s="32"/>
      <c r="B958" s="32"/>
      <c r="C958" s="32"/>
      <c r="D958" s="33"/>
      <c r="E958" s="30" t="str">
        <f>IFERROR(VLOOKUP(D958,'PAÑOL TÉCNICO'!A875:B1000,2,0))</f>
        <v/>
      </c>
      <c r="F958" s="33"/>
      <c r="G958" s="32"/>
      <c r="H958" s="32"/>
      <c r="I958" s="32"/>
    </row>
    <row r="959" ht="15.75" customHeight="1">
      <c r="A959" s="32"/>
      <c r="B959" s="32"/>
      <c r="C959" s="32"/>
      <c r="D959" s="33"/>
      <c r="E959" s="30" t="str">
        <f>IFERROR(VLOOKUP(D959,'PAÑOL TÉCNICO'!A876:B1000,2,0))</f>
        <v/>
      </c>
      <c r="F959" s="33"/>
      <c r="G959" s="32"/>
      <c r="H959" s="32"/>
      <c r="I959" s="32"/>
    </row>
    <row r="960" ht="15.75" customHeight="1">
      <c r="A960" s="32"/>
      <c r="B960" s="32"/>
      <c r="C960" s="32"/>
      <c r="D960" s="33"/>
      <c r="E960" s="30" t="str">
        <f>IFERROR(VLOOKUP(D960,'PAÑOL TÉCNICO'!A877:B1000,2,0))</f>
        <v/>
      </c>
      <c r="F960" s="33"/>
      <c r="G960" s="32"/>
      <c r="H960" s="32"/>
      <c r="I960" s="32"/>
    </row>
    <row r="961" ht="15.75" customHeight="1">
      <c r="A961" s="32"/>
      <c r="B961" s="32"/>
      <c r="C961" s="32"/>
      <c r="D961" s="33"/>
      <c r="E961" s="30" t="str">
        <f>IFERROR(VLOOKUP(D961,'PAÑOL TÉCNICO'!A878:B1000,2,0))</f>
        <v/>
      </c>
      <c r="F961" s="33"/>
      <c r="G961" s="32"/>
      <c r="H961" s="32"/>
      <c r="I961" s="32"/>
    </row>
    <row r="962" ht="15.75" customHeight="1">
      <c r="A962" s="32"/>
      <c r="B962" s="32"/>
      <c r="C962" s="32"/>
      <c r="D962" s="33"/>
      <c r="E962" s="30" t="str">
        <f>IFERROR(VLOOKUP(D962,'PAÑOL TÉCNICO'!A879:B1000,2,0))</f>
        <v/>
      </c>
      <c r="F962" s="33"/>
      <c r="G962" s="32"/>
      <c r="H962" s="32"/>
      <c r="I962" s="32"/>
    </row>
    <row r="963" ht="15.75" customHeight="1">
      <c r="A963" s="32"/>
      <c r="B963" s="32"/>
      <c r="C963" s="32"/>
      <c r="D963" s="33"/>
      <c r="E963" s="30" t="str">
        <f>IFERROR(VLOOKUP(D963,'PAÑOL TÉCNICO'!A880:B1000,2,0))</f>
        <v/>
      </c>
      <c r="F963" s="33"/>
      <c r="G963" s="32"/>
      <c r="H963" s="32"/>
      <c r="I963" s="32"/>
    </row>
    <row r="964" ht="15.75" customHeight="1">
      <c r="A964" s="32"/>
      <c r="B964" s="32"/>
      <c r="C964" s="32"/>
      <c r="D964" s="33"/>
      <c r="E964" s="30" t="str">
        <f>IFERROR(VLOOKUP(D964,'PAÑOL TÉCNICO'!A881:B1000,2,0))</f>
        <v/>
      </c>
      <c r="F964" s="33"/>
      <c r="G964" s="32"/>
      <c r="H964" s="32"/>
      <c r="I964" s="32"/>
    </row>
    <row r="965" ht="15.75" customHeight="1">
      <c r="A965" s="32"/>
      <c r="B965" s="32"/>
      <c r="C965" s="32"/>
      <c r="D965" s="33"/>
      <c r="E965" s="30" t="str">
        <f>IFERROR(VLOOKUP(D965,'PAÑOL TÉCNICO'!A882:B1000,2,0))</f>
        <v/>
      </c>
      <c r="F965" s="33"/>
      <c r="G965" s="32"/>
      <c r="H965" s="32"/>
      <c r="I965" s="32"/>
    </row>
    <row r="966" ht="15.75" customHeight="1">
      <c r="A966" s="32"/>
      <c r="B966" s="32"/>
      <c r="C966" s="32"/>
      <c r="D966" s="33"/>
      <c r="E966" s="30" t="str">
        <f>IFERROR(VLOOKUP(D966,'PAÑOL TÉCNICO'!A883:B1000,2,0))</f>
        <v/>
      </c>
      <c r="F966" s="33"/>
      <c r="G966" s="32"/>
      <c r="H966" s="32"/>
      <c r="I966" s="32"/>
    </row>
    <row r="967" ht="15.75" customHeight="1">
      <c r="A967" s="32"/>
      <c r="B967" s="32"/>
      <c r="C967" s="32"/>
      <c r="D967" s="33"/>
      <c r="E967" s="30" t="str">
        <f>IFERROR(VLOOKUP(D967,'PAÑOL TÉCNICO'!A884:B1000,2,0))</f>
        <v/>
      </c>
      <c r="F967" s="33"/>
      <c r="G967" s="32"/>
      <c r="H967" s="32"/>
      <c r="I967" s="32"/>
    </row>
    <row r="968" ht="15.75" customHeight="1">
      <c r="A968" s="32"/>
      <c r="B968" s="32"/>
      <c r="C968" s="32"/>
      <c r="D968" s="33"/>
      <c r="E968" s="30" t="str">
        <f>IFERROR(VLOOKUP(D968,'PAÑOL TÉCNICO'!A885:B1000,2,0))</f>
        <v/>
      </c>
      <c r="F968" s="33"/>
      <c r="G968" s="32"/>
      <c r="H968" s="32"/>
      <c r="I968" s="32"/>
    </row>
    <row r="969" ht="15.75" customHeight="1">
      <c r="A969" s="32"/>
      <c r="B969" s="32"/>
      <c r="C969" s="32"/>
      <c r="D969" s="33"/>
      <c r="E969" s="30" t="str">
        <f>IFERROR(VLOOKUP(D969,'PAÑOL TÉCNICO'!A886:B1000,2,0))</f>
        <v/>
      </c>
      <c r="F969" s="33"/>
      <c r="G969" s="32"/>
      <c r="H969" s="32"/>
      <c r="I969" s="32"/>
    </row>
    <row r="970" ht="15.75" customHeight="1">
      <c r="A970" s="32"/>
      <c r="B970" s="32"/>
      <c r="C970" s="32"/>
      <c r="D970" s="33"/>
      <c r="E970" s="30" t="str">
        <f>IFERROR(VLOOKUP(D970,'PAÑOL TÉCNICO'!A887:B1000,2,0))</f>
        <v/>
      </c>
      <c r="F970" s="33"/>
      <c r="G970" s="32"/>
      <c r="H970" s="32"/>
      <c r="I970" s="32"/>
    </row>
    <row r="971" ht="15.75" customHeight="1">
      <c r="A971" s="32"/>
      <c r="B971" s="32"/>
      <c r="C971" s="32"/>
      <c r="D971" s="33"/>
      <c r="E971" s="30" t="str">
        <f>IFERROR(VLOOKUP(D971,'PAÑOL TÉCNICO'!A888:B1000,2,0))</f>
        <v/>
      </c>
      <c r="F971" s="33"/>
      <c r="G971" s="32"/>
      <c r="H971" s="32"/>
      <c r="I971" s="32"/>
    </row>
    <row r="972" ht="15.75" customHeight="1">
      <c r="A972" s="32"/>
      <c r="B972" s="32"/>
      <c r="C972" s="32"/>
      <c r="D972" s="33"/>
      <c r="E972" s="30" t="str">
        <f>IFERROR(VLOOKUP(D972,'PAÑOL TÉCNICO'!A889:B1000,2,0))</f>
        <v/>
      </c>
      <c r="F972" s="33"/>
      <c r="G972" s="32"/>
      <c r="H972" s="32"/>
      <c r="I972" s="32"/>
    </row>
    <row r="973" ht="15.75" customHeight="1">
      <c r="A973" s="32"/>
      <c r="B973" s="32"/>
      <c r="C973" s="32"/>
      <c r="D973" s="33"/>
      <c r="E973" s="30" t="str">
        <f>IFERROR(VLOOKUP(D973,'PAÑOL TÉCNICO'!A890:B1000,2,0))</f>
        <v/>
      </c>
      <c r="F973" s="33"/>
      <c r="G973" s="32"/>
      <c r="H973" s="32"/>
      <c r="I973" s="32"/>
    </row>
    <row r="974" ht="15.75" customHeight="1">
      <c r="A974" s="32"/>
      <c r="B974" s="32"/>
      <c r="C974" s="32"/>
      <c r="D974" s="33"/>
      <c r="E974" s="30" t="str">
        <f>IFERROR(VLOOKUP(D974,'PAÑOL TÉCNICO'!A891:B1000,2,0))</f>
        <v/>
      </c>
      <c r="F974" s="33"/>
      <c r="G974" s="32"/>
      <c r="H974" s="32"/>
      <c r="I974" s="32"/>
    </row>
    <row r="975" ht="15.75" customHeight="1">
      <c r="A975" s="32"/>
      <c r="B975" s="32"/>
      <c r="C975" s="32"/>
      <c r="D975" s="33"/>
      <c r="E975" s="30" t="str">
        <f>IFERROR(VLOOKUP(D975,'PAÑOL TÉCNICO'!A892:B1000,2,0))</f>
        <v/>
      </c>
      <c r="F975" s="33"/>
      <c r="G975" s="32"/>
      <c r="H975" s="32"/>
      <c r="I975" s="32"/>
    </row>
    <row r="976" ht="15.75" customHeight="1">
      <c r="A976" s="32"/>
      <c r="B976" s="32"/>
      <c r="C976" s="32"/>
      <c r="D976" s="33"/>
      <c r="E976" s="30" t="str">
        <f>IFERROR(VLOOKUP(D976,'PAÑOL TÉCNICO'!A893:B1000,2,0))</f>
        <v/>
      </c>
      <c r="F976" s="33"/>
      <c r="G976" s="32"/>
      <c r="H976" s="32"/>
      <c r="I976" s="32"/>
    </row>
    <row r="977" ht="15.75" customHeight="1">
      <c r="A977" s="32"/>
      <c r="B977" s="32"/>
      <c r="C977" s="32"/>
      <c r="D977" s="33"/>
      <c r="E977" s="30" t="str">
        <f>IFERROR(VLOOKUP(D977,'PAÑOL TÉCNICO'!A894:B1000,2,0))</f>
        <v/>
      </c>
      <c r="F977" s="33"/>
      <c r="G977" s="32"/>
      <c r="H977" s="32"/>
      <c r="I977" s="32"/>
    </row>
    <row r="978" ht="15.75" customHeight="1">
      <c r="A978" s="32"/>
      <c r="B978" s="32"/>
      <c r="C978" s="32"/>
      <c r="D978" s="33"/>
      <c r="E978" s="30" t="str">
        <f>IFERROR(VLOOKUP(D978,'PAÑOL TÉCNICO'!A895:B1000,2,0))</f>
        <v/>
      </c>
      <c r="F978" s="33"/>
      <c r="G978" s="32"/>
      <c r="H978" s="32"/>
      <c r="I978" s="32"/>
    </row>
    <row r="979" ht="15.75" customHeight="1">
      <c r="A979" s="32"/>
      <c r="B979" s="32"/>
      <c r="C979" s="32"/>
      <c r="D979" s="33"/>
      <c r="E979" s="30" t="str">
        <f>IFERROR(VLOOKUP(D979,'PAÑOL TÉCNICO'!A896:B1000,2,0))</f>
        <v/>
      </c>
      <c r="F979" s="33"/>
      <c r="G979" s="32"/>
      <c r="H979" s="32"/>
      <c r="I979" s="32"/>
    </row>
    <row r="980" ht="15.75" customHeight="1">
      <c r="A980" s="32"/>
      <c r="B980" s="32"/>
      <c r="C980" s="32"/>
      <c r="D980" s="33"/>
      <c r="E980" s="30" t="str">
        <f>IFERROR(VLOOKUP(D980,'PAÑOL TÉCNICO'!A897:B1000,2,0))</f>
        <v/>
      </c>
      <c r="F980" s="33"/>
      <c r="G980" s="32"/>
      <c r="H980" s="32"/>
      <c r="I980" s="32"/>
    </row>
    <row r="981" ht="15.75" customHeight="1">
      <c r="A981" s="32"/>
      <c r="B981" s="32"/>
      <c r="C981" s="32"/>
      <c r="D981" s="33"/>
      <c r="E981" s="30" t="str">
        <f>IFERROR(VLOOKUP(D981,'PAÑOL TÉCNICO'!A898:B1000,2,0))</f>
        <v/>
      </c>
      <c r="F981" s="33"/>
      <c r="G981" s="32"/>
      <c r="H981" s="32"/>
      <c r="I981" s="32"/>
    </row>
    <row r="982" ht="15.75" customHeight="1">
      <c r="A982" s="32"/>
      <c r="B982" s="32"/>
      <c r="C982" s="32"/>
      <c r="D982" s="33"/>
      <c r="E982" s="30" t="str">
        <f>IFERROR(VLOOKUP(D982,'PAÑOL TÉCNICO'!A899:B1000,2,0))</f>
        <v/>
      </c>
      <c r="F982" s="33"/>
      <c r="G982" s="32"/>
      <c r="H982" s="32"/>
      <c r="I982" s="32"/>
    </row>
    <row r="983" ht="15.75" customHeight="1">
      <c r="A983" s="32"/>
      <c r="B983" s="32"/>
      <c r="C983" s="32"/>
      <c r="D983" s="33"/>
      <c r="E983" s="30" t="str">
        <f>IFERROR(VLOOKUP(D983,'PAÑOL TÉCNICO'!A900:B1000,2,0))</f>
        <v/>
      </c>
      <c r="F983" s="33"/>
      <c r="G983" s="32"/>
      <c r="H983" s="32"/>
      <c r="I983" s="32"/>
    </row>
    <row r="984" ht="15.75" customHeight="1">
      <c r="A984" s="32"/>
      <c r="B984" s="32"/>
      <c r="C984" s="32"/>
      <c r="D984" s="33"/>
      <c r="E984" s="30" t="str">
        <f>IFERROR(VLOOKUP(D984,'PAÑOL TÉCNICO'!A901:B1000,2,0))</f>
        <v/>
      </c>
      <c r="F984" s="33"/>
      <c r="G984" s="32"/>
      <c r="H984" s="32"/>
      <c r="I984" s="32"/>
    </row>
    <row r="985" ht="15.75" customHeight="1">
      <c r="A985" s="32"/>
      <c r="B985" s="32"/>
      <c r="C985" s="32"/>
      <c r="D985" s="33"/>
      <c r="E985" s="30" t="str">
        <f>IFERROR(VLOOKUP(D985,'PAÑOL TÉCNICO'!A902:B1000,2,0))</f>
        <v/>
      </c>
      <c r="F985" s="33"/>
      <c r="G985" s="32"/>
      <c r="H985" s="32"/>
      <c r="I985" s="32"/>
    </row>
    <row r="986" ht="15.75" customHeight="1">
      <c r="A986" s="32"/>
      <c r="B986" s="32"/>
      <c r="C986" s="32"/>
      <c r="D986" s="33"/>
      <c r="E986" s="30" t="str">
        <f>IFERROR(VLOOKUP(D986,'PAÑOL TÉCNICO'!A903:B1000,2,0))</f>
        <v/>
      </c>
      <c r="F986" s="33"/>
      <c r="G986" s="32"/>
      <c r="H986" s="32"/>
      <c r="I986" s="32"/>
    </row>
    <row r="987" ht="15.75" customHeight="1">
      <c r="A987" s="32"/>
      <c r="B987" s="32"/>
      <c r="C987" s="32"/>
      <c r="D987" s="33"/>
      <c r="E987" s="30" t="str">
        <f>IFERROR(VLOOKUP(D987,'PAÑOL TÉCNICO'!A904:B1000,2,0))</f>
        <v/>
      </c>
      <c r="F987" s="33"/>
      <c r="G987" s="32"/>
      <c r="H987" s="32"/>
      <c r="I987" s="32"/>
    </row>
    <row r="988" ht="15.75" customHeight="1">
      <c r="A988" s="32"/>
      <c r="B988" s="32"/>
      <c r="C988" s="32"/>
      <c r="D988" s="33"/>
      <c r="E988" s="30" t="str">
        <f>IFERROR(VLOOKUP(D988,'PAÑOL TÉCNICO'!A905:B1000,2,0))</f>
        <v/>
      </c>
      <c r="F988" s="33"/>
      <c r="G988" s="32"/>
      <c r="H988" s="32"/>
      <c r="I988" s="32"/>
    </row>
    <row r="989" ht="15.75" customHeight="1">
      <c r="A989" s="32"/>
      <c r="B989" s="32"/>
      <c r="C989" s="32"/>
      <c r="D989" s="33"/>
      <c r="E989" s="30" t="str">
        <f>IFERROR(VLOOKUP(D989,'PAÑOL TÉCNICO'!A906:B1000,2,0))</f>
        <v/>
      </c>
      <c r="F989" s="33"/>
      <c r="G989" s="32"/>
      <c r="H989" s="32"/>
      <c r="I989" s="32"/>
    </row>
    <row r="990" ht="15.75" customHeight="1">
      <c r="A990" s="32"/>
      <c r="B990" s="32"/>
      <c r="C990" s="32"/>
      <c r="D990" s="33"/>
      <c r="E990" s="30" t="str">
        <f>IFERROR(VLOOKUP(D990,'PAÑOL TÉCNICO'!A907:B1000,2,0))</f>
        <v/>
      </c>
      <c r="F990" s="33"/>
      <c r="G990" s="32"/>
      <c r="H990" s="32"/>
      <c r="I990" s="32"/>
    </row>
    <row r="991" ht="15.75" customHeight="1">
      <c r="A991" s="32"/>
      <c r="B991" s="32"/>
      <c r="C991" s="32"/>
      <c r="D991" s="33"/>
      <c r="E991" s="30" t="str">
        <f>IFERROR(VLOOKUP(D991,'PAÑOL TÉCNICO'!A908:B1000,2,0))</f>
        <v/>
      </c>
      <c r="F991" s="33"/>
      <c r="G991" s="32"/>
      <c r="H991" s="32"/>
      <c r="I991" s="32"/>
    </row>
    <row r="992" ht="15.75" customHeight="1">
      <c r="A992" s="32"/>
      <c r="B992" s="32"/>
      <c r="C992" s="32"/>
      <c r="D992" s="33"/>
      <c r="E992" s="30" t="str">
        <f>IFERROR(VLOOKUP(D992,'PAÑOL TÉCNICO'!A909:B1000,2,0))</f>
        <v/>
      </c>
      <c r="F992" s="33"/>
      <c r="G992" s="32"/>
      <c r="H992" s="32"/>
      <c r="I992" s="32"/>
    </row>
    <row r="993" ht="15.75" customHeight="1">
      <c r="A993" s="32"/>
      <c r="B993" s="32"/>
      <c r="C993" s="32"/>
      <c r="D993" s="33"/>
      <c r="E993" s="30" t="str">
        <f>IFERROR(VLOOKUP(D993,'PAÑOL TÉCNICO'!A910:B1000,2,0))</f>
        <v/>
      </c>
      <c r="F993" s="33"/>
      <c r="G993" s="32"/>
      <c r="H993" s="32"/>
      <c r="I993" s="32"/>
    </row>
    <row r="994" ht="15.75" customHeight="1">
      <c r="A994" s="32"/>
      <c r="B994" s="32"/>
      <c r="C994" s="32"/>
      <c r="D994" s="33"/>
      <c r="E994" s="30" t="str">
        <f>IFERROR(VLOOKUP(D994,'PAÑOL TÉCNICO'!A911:B1000,2,0))</f>
        <v/>
      </c>
      <c r="F994" s="33"/>
      <c r="G994" s="32"/>
      <c r="H994" s="32"/>
      <c r="I994" s="32"/>
    </row>
    <row r="995" ht="15.75" customHeight="1">
      <c r="A995" s="32"/>
      <c r="B995" s="32"/>
      <c r="C995" s="32"/>
      <c r="D995" s="33"/>
      <c r="E995" s="30" t="str">
        <f>IFERROR(VLOOKUP(D995,'PAÑOL TÉCNICO'!A912:B1000,2,0))</f>
        <v/>
      </c>
      <c r="F995" s="33"/>
      <c r="G995" s="32"/>
      <c r="H995" s="32"/>
      <c r="I995" s="32"/>
    </row>
    <row r="996" ht="15.75" customHeight="1">
      <c r="A996" s="32"/>
      <c r="B996" s="32"/>
      <c r="C996" s="32"/>
      <c r="D996" s="33"/>
      <c r="E996" s="30" t="str">
        <f>IFERROR(VLOOKUP(D996,'PAÑOL TÉCNICO'!A913:B1000,2,0))</f>
        <v/>
      </c>
      <c r="F996" s="33"/>
      <c r="G996" s="32"/>
      <c r="H996" s="32"/>
      <c r="I996" s="32"/>
    </row>
    <row r="997" ht="15.75" customHeight="1">
      <c r="A997" s="32"/>
      <c r="B997" s="32"/>
      <c r="C997" s="32"/>
      <c r="D997" s="33"/>
      <c r="E997" s="30" t="str">
        <f>IFERROR(VLOOKUP(D997,'PAÑOL TÉCNICO'!A914:B1000,2,0))</f>
        <v/>
      </c>
      <c r="F997" s="33"/>
      <c r="G997" s="32"/>
      <c r="H997" s="32"/>
      <c r="I997" s="32"/>
    </row>
    <row r="998" ht="15.75" customHeight="1">
      <c r="A998" s="32"/>
      <c r="B998" s="32"/>
      <c r="C998" s="32"/>
      <c r="D998" s="33"/>
      <c r="E998" s="30" t="str">
        <f>IFERROR(VLOOKUP(D998,'PAÑOL TÉCNICO'!A915:B1000,2,0))</f>
        <v/>
      </c>
      <c r="F998" s="33"/>
      <c r="G998" s="32"/>
      <c r="H998" s="32"/>
      <c r="I998" s="32"/>
    </row>
    <row r="999" ht="15.75" customHeight="1">
      <c r="A999" s="32"/>
      <c r="B999" s="32"/>
      <c r="C999" s="32"/>
      <c r="D999" s="33"/>
      <c r="E999" s="30" t="str">
        <f>IFERROR(VLOOKUP(D999,'PAÑOL TÉCNICO'!A916:B1000,2,0))</f>
        <v/>
      </c>
      <c r="F999" s="33"/>
      <c r="G999" s="32"/>
      <c r="H999" s="32"/>
      <c r="I999" s="32"/>
    </row>
    <row r="1000" ht="15.75" customHeight="1">
      <c r="A1000" s="32"/>
      <c r="B1000" s="32"/>
      <c r="C1000" s="32"/>
      <c r="D1000" s="33"/>
      <c r="E1000" s="30" t="str">
        <f>IFERROR(VLOOKUP(D1000,'PAÑOL TÉCNICO'!A917:B1000,2,0))</f>
        <v/>
      </c>
      <c r="F1000" s="33"/>
      <c r="G1000" s="32"/>
      <c r="H1000" s="32"/>
      <c r="I1000" s="32"/>
    </row>
  </sheetData>
  <mergeCells count="6">
    <mergeCell ref="B1:I2"/>
    <mergeCell ref="A61:I61"/>
    <mergeCell ref="A84:I84"/>
    <mergeCell ref="A87:I87"/>
    <mergeCell ref="A92:I92"/>
    <mergeCell ref="A102:I102"/>
  </mergeCells>
  <dataValidations>
    <dataValidation type="list" allowBlank="1" showErrorMessage="1" sqref="D4:D60 D62:D83 D85:D86 D88:D91 D93:D101 D103:D1000">
      <formula1>'PAÑOL TÉCNICO'!$A$4:$A$1000</formula1>
    </dataValidation>
  </dataValidation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15.78"/>
    <col customWidth="1" min="2" max="2" width="43.22"/>
    <col customWidth="1" min="3" max="3" width="10.89"/>
    <col customWidth="1" min="4" max="4" width="26.78"/>
    <col customWidth="1" min="5" max="5" width="32.33"/>
    <col customWidth="1" min="6" max="6" width="16.56"/>
  </cols>
  <sheetData>
    <row r="1" ht="15.75" customHeight="1">
      <c r="A1" s="24"/>
      <c r="B1" s="1" t="s">
        <v>670</v>
      </c>
      <c r="C1" s="2"/>
      <c r="D1" s="2"/>
      <c r="E1" s="2"/>
      <c r="F1" s="2"/>
    </row>
    <row r="2" ht="15.75" customHeight="1">
      <c r="A2" s="3"/>
      <c r="B2" s="4"/>
      <c r="C2" s="4"/>
      <c r="D2" s="4"/>
      <c r="E2" s="4"/>
      <c r="F2" s="4"/>
    </row>
    <row r="3" ht="15.75" customHeight="1">
      <c r="A3" s="6" t="s">
        <v>671</v>
      </c>
      <c r="B3" s="5" t="s">
        <v>3</v>
      </c>
      <c r="C3" s="6" t="s">
        <v>544</v>
      </c>
      <c r="D3" s="6" t="s">
        <v>672</v>
      </c>
      <c r="E3" s="6" t="s">
        <v>7</v>
      </c>
      <c r="F3" s="6" t="s">
        <v>8</v>
      </c>
    </row>
    <row r="4" ht="15.75" customHeight="1">
      <c r="A4" s="43">
        <v>45135.0</v>
      </c>
      <c r="B4" s="7" t="s">
        <v>673</v>
      </c>
      <c r="C4" s="11">
        <v>15.0</v>
      </c>
      <c r="D4" s="11" t="s">
        <v>674</v>
      </c>
      <c r="E4" s="12"/>
      <c r="F4" s="12"/>
    </row>
    <row r="5" ht="15.75" customHeight="1">
      <c r="A5" s="43">
        <v>45143.0</v>
      </c>
      <c r="B5" s="7" t="s">
        <v>675</v>
      </c>
      <c r="C5" s="11">
        <v>48.0</v>
      </c>
      <c r="D5" s="11" t="s">
        <v>676</v>
      </c>
      <c r="E5" s="12"/>
      <c r="F5" s="12"/>
    </row>
    <row r="6" ht="15.75" customHeight="1">
      <c r="A6" s="43">
        <v>45143.0</v>
      </c>
      <c r="B6" s="7" t="s">
        <v>677</v>
      </c>
      <c r="C6" s="11">
        <v>300.0</v>
      </c>
      <c r="D6" s="11" t="s">
        <v>676</v>
      </c>
      <c r="E6" s="12"/>
      <c r="F6" s="12"/>
    </row>
    <row r="7" ht="15.75" customHeight="1">
      <c r="A7" s="43">
        <v>45143.0</v>
      </c>
      <c r="B7" s="7" t="s">
        <v>678</v>
      </c>
      <c r="C7" s="11">
        <v>18.0</v>
      </c>
      <c r="D7" s="11" t="s">
        <v>676</v>
      </c>
      <c r="E7" s="12"/>
      <c r="F7" s="12"/>
    </row>
    <row r="8" ht="15.75" customHeight="1">
      <c r="A8" s="44">
        <v>45146.0</v>
      </c>
      <c r="B8" s="7" t="s">
        <v>679</v>
      </c>
      <c r="C8" s="11">
        <v>2.0</v>
      </c>
      <c r="D8" s="11" t="s">
        <v>680</v>
      </c>
      <c r="E8" s="12"/>
      <c r="F8" s="12"/>
    </row>
    <row r="9" ht="15.75" customHeight="1">
      <c r="A9" s="44">
        <v>45146.0</v>
      </c>
      <c r="B9" s="7" t="s">
        <v>681</v>
      </c>
      <c r="C9" s="11">
        <v>6.0</v>
      </c>
      <c r="D9" s="11" t="s">
        <v>680</v>
      </c>
      <c r="E9" s="12"/>
      <c r="F9" s="12"/>
    </row>
    <row r="10" ht="15.75" customHeight="1">
      <c r="A10" s="44">
        <v>45146.0</v>
      </c>
      <c r="B10" s="7" t="s">
        <v>682</v>
      </c>
      <c r="C10" s="11">
        <v>10.0</v>
      </c>
      <c r="D10" s="11" t="s">
        <v>680</v>
      </c>
      <c r="E10" s="12"/>
      <c r="F10" s="12"/>
    </row>
    <row r="11" ht="15.75" customHeight="1">
      <c r="A11" s="44">
        <v>45146.0</v>
      </c>
      <c r="B11" s="7" t="s">
        <v>683</v>
      </c>
      <c r="C11" s="11">
        <v>500.0</v>
      </c>
      <c r="D11" s="11" t="s">
        <v>680</v>
      </c>
      <c r="E11" s="12"/>
      <c r="F11" s="12"/>
    </row>
    <row r="12" ht="15.75" customHeight="1">
      <c r="A12" s="44">
        <v>45146.0</v>
      </c>
      <c r="B12" s="7" t="s">
        <v>684</v>
      </c>
      <c r="C12" s="11">
        <v>10.0</v>
      </c>
      <c r="D12" s="11" t="s">
        <v>680</v>
      </c>
      <c r="E12" s="12"/>
      <c r="F12" s="12"/>
    </row>
    <row r="13" ht="15.75" customHeight="1">
      <c r="A13" s="44">
        <v>45146.0</v>
      </c>
      <c r="B13" s="7" t="s">
        <v>685</v>
      </c>
      <c r="C13" s="11">
        <v>1.0</v>
      </c>
      <c r="D13" s="11" t="s">
        <v>680</v>
      </c>
      <c r="E13" s="12"/>
      <c r="F13" s="12"/>
    </row>
    <row r="14" ht="15.75" customHeight="1">
      <c r="A14" s="44">
        <v>45146.0</v>
      </c>
      <c r="B14" s="7" t="s">
        <v>686</v>
      </c>
      <c r="C14" s="11">
        <v>4.0</v>
      </c>
      <c r="D14" s="11" t="s">
        <v>680</v>
      </c>
      <c r="E14" s="12"/>
      <c r="F14" s="12"/>
    </row>
    <row r="15" ht="15.75" customHeight="1">
      <c r="A15" s="44">
        <v>45146.0</v>
      </c>
      <c r="B15" s="7" t="s">
        <v>687</v>
      </c>
      <c r="C15" s="11">
        <v>20.0</v>
      </c>
      <c r="D15" s="11" t="s">
        <v>680</v>
      </c>
      <c r="E15" s="12"/>
      <c r="F15" s="12"/>
    </row>
    <row r="16" ht="15.75" customHeight="1">
      <c r="A16" s="44">
        <v>45150.0</v>
      </c>
      <c r="B16" s="7" t="s">
        <v>688</v>
      </c>
      <c r="C16" s="11">
        <v>3.0</v>
      </c>
      <c r="D16" s="11" t="s">
        <v>689</v>
      </c>
      <c r="E16" s="12"/>
      <c r="F16" s="12"/>
    </row>
    <row r="17" ht="15.75" customHeight="1">
      <c r="A17" s="44">
        <v>45150.0</v>
      </c>
      <c r="B17" s="7" t="s">
        <v>690</v>
      </c>
      <c r="C17" s="11">
        <v>2.0</v>
      </c>
      <c r="D17" s="11" t="s">
        <v>680</v>
      </c>
      <c r="E17" s="12"/>
      <c r="F17" s="12"/>
    </row>
    <row r="18" ht="15.75" customHeight="1">
      <c r="A18" s="44">
        <v>45150.0</v>
      </c>
      <c r="B18" s="7" t="s">
        <v>691</v>
      </c>
      <c r="C18" s="11">
        <v>12.0</v>
      </c>
      <c r="D18" s="11" t="s">
        <v>680</v>
      </c>
      <c r="E18" s="12"/>
      <c r="F18" s="12"/>
    </row>
    <row r="19" ht="15.75" customHeight="1">
      <c r="A19" s="43">
        <v>45152.0</v>
      </c>
      <c r="B19" s="7" t="s">
        <v>490</v>
      </c>
      <c r="C19" s="11">
        <v>1.0</v>
      </c>
      <c r="D19" s="11" t="s">
        <v>692</v>
      </c>
      <c r="E19" s="12"/>
      <c r="F19" s="12"/>
    </row>
    <row r="20" ht="15.75" customHeight="1">
      <c r="A20" s="43">
        <v>45152.0</v>
      </c>
      <c r="B20" s="7" t="s">
        <v>693</v>
      </c>
      <c r="C20" s="11">
        <v>1.0</v>
      </c>
      <c r="D20" s="11" t="s">
        <v>692</v>
      </c>
      <c r="E20" s="12"/>
      <c r="F20" s="12"/>
    </row>
    <row r="21" ht="15.75" customHeight="1">
      <c r="A21" s="43">
        <v>45152.0</v>
      </c>
      <c r="B21" s="7" t="s">
        <v>694</v>
      </c>
      <c r="C21" s="11">
        <v>2.0</v>
      </c>
      <c r="D21" s="11" t="s">
        <v>680</v>
      </c>
      <c r="E21" s="12"/>
      <c r="F21" s="12"/>
    </row>
    <row r="22" ht="15.75" customHeight="1">
      <c r="A22" s="43">
        <v>45152.0</v>
      </c>
      <c r="B22" s="7" t="s">
        <v>695</v>
      </c>
      <c r="C22" s="11">
        <v>2.0</v>
      </c>
      <c r="D22" s="11" t="s">
        <v>680</v>
      </c>
      <c r="E22" s="12"/>
      <c r="F22" s="12"/>
    </row>
    <row r="23" ht="15.75" customHeight="1">
      <c r="A23" s="43">
        <v>45152.0</v>
      </c>
      <c r="B23" s="7" t="s">
        <v>696</v>
      </c>
      <c r="C23" s="11">
        <v>10.0</v>
      </c>
      <c r="D23" s="11" t="s">
        <v>680</v>
      </c>
      <c r="E23" s="12"/>
      <c r="F23" s="12"/>
    </row>
    <row r="24" ht="15.75" customHeight="1">
      <c r="A24" s="43">
        <v>45152.0</v>
      </c>
      <c r="B24" s="7" t="s">
        <v>697</v>
      </c>
      <c r="C24" s="11">
        <v>10.0</v>
      </c>
      <c r="D24" s="11" t="s">
        <v>680</v>
      </c>
      <c r="E24" s="12"/>
      <c r="F24" s="12"/>
    </row>
    <row r="25" ht="15.75" customHeight="1">
      <c r="A25" s="43">
        <v>45152.0</v>
      </c>
      <c r="B25" s="7" t="s">
        <v>698</v>
      </c>
      <c r="C25" s="11">
        <v>2.0</v>
      </c>
      <c r="D25" s="11" t="s">
        <v>699</v>
      </c>
      <c r="E25" s="12"/>
      <c r="F25" s="12"/>
    </row>
    <row r="26" ht="15.75" customHeight="1">
      <c r="A26" s="43">
        <v>45169.0</v>
      </c>
      <c r="B26" s="7" t="s">
        <v>700</v>
      </c>
      <c r="C26" s="11">
        <v>1.0</v>
      </c>
      <c r="D26" s="11" t="s">
        <v>701</v>
      </c>
      <c r="E26" s="12"/>
      <c r="F26" s="12"/>
    </row>
    <row r="27" ht="15.75" customHeight="1">
      <c r="A27" s="43">
        <v>45169.0</v>
      </c>
      <c r="B27" s="7" t="s">
        <v>490</v>
      </c>
      <c r="C27" s="11">
        <v>1.0</v>
      </c>
      <c r="D27" s="11" t="s">
        <v>701</v>
      </c>
      <c r="E27" s="12"/>
      <c r="F27" s="12"/>
    </row>
    <row r="28" ht="15.75" customHeight="1">
      <c r="A28" s="43">
        <v>45169.0</v>
      </c>
      <c r="B28" s="7" t="s">
        <v>513</v>
      </c>
      <c r="C28" s="11">
        <v>5.0</v>
      </c>
      <c r="D28" s="11" t="s">
        <v>701</v>
      </c>
      <c r="E28" s="12"/>
      <c r="F28" s="12"/>
    </row>
    <row r="29" ht="15.75" customHeight="1">
      <c r="A29" s="43">
        <v>45169.0</v>
      </c>
      <c r="B29" s="7" t="s">
        <v>515</v>
      </c>
      <c r="C29" s="11">
        <v>2.0</v>
      </c>
      <c r="D29" s="11" t="s">
        <v>701</v>
      </c>
      <c r="E29" s="12"/>
      <c r="F29" s="12"/>
    </row>
    <row r="30" ht="15.75" customHeight="1">
      <c r="A30" s="13"/>
      <c r="B30" s="7"/>
      <c r="C30" s="11"/>
      <c r="D30" s="12"/>
      <c r="E30" s="12"/>
      <c r="F30" s="12"/>
    </row>
    <row r="31" ht="15.75" customHeight="1">
      <c r="A31" s="13"/>
      <c r="B31" s="7"/>
      <c r="C31" s="11"/>
      <c r="D31" s="12"/>
      <c r="E31" s="12"/>
      <c r="F31" s="12"/>
    </row>
    <row r="32" ht="15.75" customHeight="1">
      <c r="A32" s="13"/>
      <c r="B32" s="7"/>
      <c r="C32" s="11"/>
      <c r="D32" s="12"/>
      <c r="E32" s="12"/>
      <c r="F32" s="12"/>
    </row>
    <row r="33" ht="15.75" customHeight="1">
      <c r="A33" s="13"/>
      <c r="B33" s="7"/>
      <c r="C33" s="11"/>
      <c r="D33" s="12"/>
      <c r="E33" s="12"/>
      <c r="F33" s="12"/>
    </row>
    <row r="34" ht="15.75" customHeight="1">
      <c r="A34" s="13"/>
      <c r="B34" s="7"/>
      <c r="C34" s="11"/>
      <c r="D34" s="12"/>
      <c r="E34" s="12"/>
      <c r="F34" s="12"/>
    </row>
    <row r="35" ht="15.75" customHeight="1">
      <c r="A35" s="13"/>
      <c r="B35" s="7"/>
      <c r="C35" s="11"/>
      <c r="D35" s="12"/>
      <c r="E35" s="12"/>
      <c r="F35" s="12"/>
    </row>
    <row r="36" ht="15.75" customHeight="1">
      <c r="A36" s="13"/>
      <c r="B36" s="7"/>
      <c r="C36" s="11"/>
      <c r="D36" s="12"/>
      <c r="E36" s="12"/>
      <c r="F36" s="12"/>
    </row>
    <row r="37" ht="15.75" customHeight="1">
      <c r="A37" s="13"/>
      <c r="B37" s="7"/>
      <c r="C37" s="11"/>
      <c r="D37" s="12"/>
      <c r="E37" s="12"/>
      <c r="F37" s="12"/>
    </row>
    <row r="38" ht="15.75" customHeight="1">
      <c r="A38" s="13"/>
      <c r="B38" s="7"/>
      <c r="C38" s="11"/>
      <c r="D38" s="12"/>
      <c r="E38" s="12"/>
      <c r="F38" s="12"/>
    </row>
    <row r="39" ht="15.75" customHeight="1">
      <c r="A39" s="13"/>
      <c r="B39" s="7"/>
      <c r="C39" s="11"/>
      <c r="D39" s="12"/>
      <c r="E39" s="12"/>
      <c r="F39" s="12"/>
    </row>
    <row r="40" ht="15.75" customHeight="1">
      <c r="A40" s="13"/>
      <c r="B40" s="7"/>
      <c r="C40" s="11"/>
      <c r="D40" s="12"/>
      <c r="E40" s="12"/>
      <c r="F40" s="12"/>
    </row>
    <row r="41" ht="15.75" customHeight="1">
      <c r="A41" s="13"/>
      <c r="B41" s="7"/>
      <c r="C41" s="11"/>
      <c r="D41" s="12"/>
      <c r="E41" s="12"/>
      <c r="F41" s="12"/>
    </row>
    <row r="42" ht="15.75" customHeight="1">
      <c r="A42" s="13"/>
      <c r="B42" s="7"/>
      <c r="C42" s="11"/>
      <c r="D42" s="12"/>
      <c r="E42" s="12"/>
      <c r="F42" s="12"/>
    </row>
    <row r="43" ht="15.75" customHeight="1">
      <c r="A43" s="13"/>
      <c r="B43" s="7"/>
      <c r="C43" s="11"/>
      <c r="D43" s="12"/>
      <c r="E43" s="12"/>
      <c r="F43" s="12"/>
    </row>
    <row r="44" ht="15.75" customHeight="1">
      <c r="A44" s="13"/>
      <c r="B44" s="7"/>
      <c r="C44" s="11"/>
      <c r="D44" s="12"/>
      <c r="E44" s="12"/>
      <c r="F44" s="12"/>
    </row>
    <row r="45" ht="15.75" customHeight="1">
      <c r="A45" s="13"/>
      <c r="B45" s="7"/>
      <c r="C45" s="11"/>
      <c r="D45" s="12"/>
      <c r="E45" s="12"/>
      <c r="F45" s="12"/>
    </row>
    <row r="46" ht="15.75" customHeight="1">
      <c r="A46" s="13"/>
      <c r="B46" s="7"/>
      <c r="C46" s="11"/>
      <c r="D46" s="12"/>
      <c r="E46" s="12"/>
      <c r="F46" s="12"/>
    </row>
    <row r="47" ht="15.75" customHeight="1">
      <c r="A47" s="13"/>
      <c r="B47" s="7"/>
      <c r="C47" s="11"/>
      <c r="D47" s="12"/>
      <c r="E47" s="12"/>
      <c r="F47" s="12"/>
    </row>
    <row r="48" ht="15.75" customHeight="1">
      <c r="A48" s="13"/>
      <c r="B48" s="22"/>
      <c r="C48" s="11"/>
      <c r="D48" s="12"/>
      <c r="E48" s="12"/>
      <c r="F48" s="12"/>
    </row>
    <row r="49" ht="15.75" customHeight="1">
      <c r="A49" s="13"/>
      <c r="B49" s="7"/>
      <c r="C49" s="11"/>
      <c r="D49" s="12"/>
      <c r="E49" s="12"/>
      <c r="F49" s="12"/>
    </row>
    <row r="50" ht="15.75" customHeight="1">
      <c r="A50" s="13"/>
      <c r="B50" s="7"/>
      <c r="C50" s="11"/>
      <c r="D50" s="12"/>
      <c r="E50" s="12"/>
      <c r="F50" s="12"/>
    </row>
    <row r="51" ht="15.75" customHeight="1">
      <c r="A51" s="13"/>
      <c r="B51" s="7"/>
      <c r="C51" s="11"/>
      <c r="D51" s="12"/>
      <c r="E51" s="12"/>
      <c r="F51" s="12"/>
    </row>
    <row r="52" ht="15.75" customHeight="1">
      <c r="A52" s="13"/>
      <c r="B52" s="7"/>
      <c r="C52" s="11"/>
      <c r="D52" s="12"/>
      <c r="E52" s="12"/>
      <c r="F52" s="12"/>
    </row>
    <row r="53" ht="15.75" customHeight="1">
      <c r="A53" s="13"/>
      <c r="B53" s="7"/>
      <c r="C53" s="11"/>
      <c r="D53" s="12"/>
      <c r="E53" s="12"/>
      <c r="F53" s="12"/>
    </row>
    <row r="54" ht="15.75" customHeight="1">
      <c r="A54" s="13"/>
      <c r="B54" s="7"/>
      <c r="C54" s="11"/>
      <c r="D54" s="12"/>
      <c r="E54" s="12"/>
      <c r="F54" s="12"/>
    </row>
    <row r="55" ht="15.75" customHeight="1">
      <c r="A55" s="13"/>
      <c r="B55" s="7"/>
      <c r="C55" s="11"/>
      <c r="D55" s="12"/>
      <c r="E55" s="12"/>
      <c r="F55" s="12"/>
    </row>
    <row r="56" ht="15.75" customHeight="1">
      <c r="A56" s="13"/>
      <c r="B56" s="7"/>
      <c r="C56" s="11"/>
      <c r="D56" s="12"/>
      <c r="E56" s="12"/>
      <c r="F56" s="12"/>
    </row>
    <row r="57" ht="15.75" customHeight="1">
      <c r="A57" s="13"/>
      <c r="B57" s="7"/>
      <c r="C57" s="11"/>
      <c r="D57" s="12"/>
      <c r="E57" s="12"/>
      <c r="F57" s="12"/>
    </row>
    <row r="58" ht="15.75" customHeight="1">
      <c r="A58" s="13"/>
      <c r="B58" s="7"/>
      <c r="C58" s="11"/>
      <c r="D58" s="12"/>
      <c r="E58" s="12"/>
      <c r="F58" s="12"/>
    </row>
    <row r="59" ht="15.75" customHeight="1">
      <c r="A59" s="13"/>
      <c r="B59" s="7"/>
      <c r="C59" s="11"/>
      <c r="D59" s="12"/>
      <c r="E59" s="12"/>
      <c r="F59" s="12"/>
    </row>
    <row r="60" ht="15.75" customHeight="1">
      <c r="A60" s="13"/>
      <c r="B60" s="7"/>
      <c r="C60" s="11"/>
      <c r="D60" s="12"/>
      <c r="E60" s="12"/>
      <c r="F60" s="12"/>
    </row>
    <row r="61" ht="15.75" customHeight="1">
      <c r="A61" s="13"/>
      <c r="B61" s="7"/>
      <c r="C61" s="11"/>
      <c r="D61" s="12"/>
      <c r="E61" s="12"/>
      <c r="F61" s="12"/>
    </row>
    <row r="62" ht="15.75" customHeight="1">
      <c r="A62" s="13"/>
      <c r="B62" s="7"/>
      <c r="C62" s="11"/>
      <c r="D62" s="12"/>
      <c r="E62" s="12"/>
      <c r="F62" s="12"/>
    </row>
    <row r="63" ht="15.75" customHeight="1">
      <c r="A63" s="13"/>
      <c r="B63" s="7"/>
      <c r="C63" s="11"/>
      <c r="D63" s="12"/>
      <c r="E63" s="12"/>
      <c r="F63" s="12"/>
    </row>
    <row r="64" ht="15.75" customHeight="1">
      <c r="A64" s="13"/>
      <c r="B64" s="7"/>
      <c r="C64" s="11"/>
      <c r="D64" s="12"/>
      <c r="E64" s="12"/>
      <c r="F64" s="12"/>
    </row>
    <row r="65" ht="15.75" customHeight="1">
      <c r="A65" s="13"/>
      <c r="B65" s="7"/>
      <c r="C65" s="11"/>
      <c r="D65" s="12"/>
      <c r="E65" s="12"/>
      <c r="F65" s="12"/>
    </row>
    <row r="66" ht="15.75" customHeight="1">
      <c r="A66" s="13"/>
      <c r="B66" s="7"/>
      <c r="C66" s="11"/>
      <c r="D66" s="12"/>
      <c r="E66" s="12"/>
      <c r="F66" s="12"/>
    </row>
    <row r="67" ht="15.75" customHeight="1">
      <c r="A67" s="13"/>
      <c r="B67" s="7"/>
      <c r="C67" s="11"/>
      <c r="D67" s="12"/>
      <c r="E67" s="12"/>
      <c r="F67" s="12"/>
    </row>
    <row r="68" ht="15.75" customHeight="1">
      <c r="A68" s="13"/>
      <c r="B68" s="7"/>
      <c r="C68" s="11"/>
      <c r="D68" s="12"/>
      <c r="E68" s="12"/>
      <c r="F68" s="12"/>
    </row>
    <row r="69" ht="15.75" customHeight="1">
      <c r="A69" s="13"/>
      <c r="B69" s="7"/>
      <c r="C69" s="11"/>
      <c r="D69" s="12"/>
      <c r="E69" s="12"/>
      <c r="F69" s="12"/>
    </row>
    <row r="70" ht="15.75" customHeight="1">
      <c r="A70" s="13"/>
      <c r="B70" s="7"/>
      <c r="C70" s="11"/>
      <c r="D70" s="12"/>
      <c r="E70" s="12"/>
      <c r="F70" s="12"/>
    </row>
    <row r="71" ht="15.75" customHeight="1">
      <c r="A71" s="13"/>
      <c r="B71" s="7"/>
      <c r="C71" s="11"/>
      <c r="D71" s="12"/>
      <c r="E71" s="12"/>
      <c r="F71" s="12"/>
    </row>
    <row r="72" ht="15.75" customHeight="1">
      <c r="A72" s="13"/>
      <c r="B72" s="7"/>
      <c r="C72" s="11"/>
      <c r="D72" s="12"/>
      <c r="E72" s="12"/>
      <c r="F72" s="12"/>
    </row>
    <row r="73" ht="15.75" customHeight="1">
      <c r="A73" s="13"/>
      <c r="B73" s="7"/>
      <c r="C73" s="11"/>
      <c r="D73" s="12"/>
      <c r="E73" s="12"/>
      <c r="F73" s="12"/>
    </row>
    <row r="74" ht="15.75" customHeight="1">
      <c r="A74" s="13"/>
      <c r="B74" s="7"/>
      <c r="C74" s="11"/>
      <c r="D74" s="12"/>
      <c r="E74" s="12"/>
      <c r="F74" s="12"/>
    </row>
    <row r="75" ht="15.75" customHeight="1">
      <c r="A75" s="13"/>
      <c r="B75" s="7"/>
      <c r="C75" s="11"/>
      <c r="D75" s="12"/>
      <c r="E75" s="12"/>
      <c r="F75" s="12"/>
    </row>
    <row r="76" ht="15.75" customHeight="1">
      <c r="A76" s="13"/>
      <c r="B76" s="7"/>
      <c r="C76" s="11"/>
      <c r="D76" s="12"/>
      <c r="E76" s="12"/>
      <c r="F76" s="12"/>
    </row>
    <row r="77" ht="15.75" customHeight="1">
      <c r="A77" s="13"/>
      <c r="B77" s="7"/>
      <c r="C77" s="11"/>
      <c r="D77" s="12"/>
      <c r="E77" s="12"/>
      <c r="F77" s="12"/>
    </row>
    <row r="78" ht="15.75" customHeight="1">
      <c r="A78" s="13"/>
      <c r="B78" s="7"/>
      <c r="C78" s="11"/>
      <c r="D78" s="12"/>
      <c r="E78" s="12"/>
      <c r="F78" s="12"/>
    </row>
    <row r="79" ht="15.75" customHeight="1">
      <c r="A79" s="13"/>
      <c r="B79" s="7"/>
      <c r="C79" s="11"/>
      <c r="D79" s="12"/>
      <c r="E79" s="12"/>
      <c r="F79" s="12"/>
    </row>
    <row r="80" ht="15.75" customHeight="1">
      <c r="A80" s="13"/>
      <c r="B80" s="7"/>
      <c r="C80" s="11"/>
      <c r="D80" s="12"/>
      <c r="E80" s="12"/>
      <c r="F80" s="12"/>
    </row>
    <row r="81" ht="15.75" customHeight="1">
      <c r="A81" s="13"/>
      <c r="B81" s="7"/>
      <c r="C81" s="11"/>
      <c r="D81" s="12"/>
      <c r="E81" s="12"/>
      <c r="F81" s="12"/>
    </row>
    <row r="82" ht="15.75" customHeight="1">
      <c r="A82" s="13"/>
      <c r="B82" s="7"/>
      <c r="C82" s="11"/>
      <c r="D82" s="12"/>
      <c r="E82" s="12"/>
      <c r="F82" s="12"/>
    </row>
    <row r="83" ht="15.75" customHeight="1">
      <c r="A83" s="13"/>
      <c r="B83" s="7"/>
      <c r="C83" s="11"/>
      <c r="D83" s="12"/>
      <c r="E83" s="12"/>
      <c r="F83" s="12"/>
    </row>
    <row r="84" ht="15.75" customHeight="1">
      <c r="A84" s="13"/>
      <c r="B84" s="7"/>
      <c r="C84" s="11"/>
      <c r="D84" s="12"/>
      <c r="E84" s="12"/>
      <c r="F84" s="12"/>
    </row>
    <row r="85" ht="15.75" customHeight="1">
      <c r="A85" s="13"/>
      <c r="B85" s="7"/>
      <c r="C85" s="11"/>
      <c r="D85" s="12"/>
      <c r="E85" s="12"/>
      <c r="F85" s="12"/>
    </row>
    <row r="86" ht="15.75" customHeight="1">
      <c r="A86" s="13"/>
      <c r="B86" s="7"/>
      <c r="C86" s="11"/>
      <c r="D86" s="12"/>
      <c r="E86" s="12"/>
      <c r="F86" s="12"/>
    </row>
    <row r="87" ht="15.75" customHeight="1">
      <c r="A87" s="13"/>
      <c r="B87" s="7"/>
      <c r="C87" s="11"/>
      <c r="D87" s="12"/>
      <c r="E87" s="12"/>
      <c r="F87" s="12"/>
    </row>
    <row r="88" ht="15.75" customHeight="1">
      <c r="A88" s="13"/>
      <c r="B88" s="13"/>
      <c r="C88" s="12"/>
      <c r="D88" s="12"/>
      <c r="E88" s="12"/>
      <c r="F88" s="12"/>
    </row>
    <row r="89" ht="14.25" customHeight="1">
      <c r="A89" s="13"/>
      <c r="B89" s="7"/>
      <c r="C89" s="11"/>
      <c r="D89" s="12"/>
      <c r="E89" s="12"/>
      <c r="F89" s="12"/>
    </row>
    <row r="90" ht="15.75" customHeight="1">
      <c r="A90" s="13"/>
      <c r="B90" s="7"/>
      <c r="C90" s="11"/>
      <c r="D90" s="12"/>
      <c r="E90" s="12"/>
      <c r="F90" s="12"/>
    </row>
    <row r="91" ht="15.75" customHeight="1">
      <c r="A91" s="13"/>
      <c r="B91" s="7"/>
      <c r="C91" s="11"/>
      <c r="D91" s="12"/>
      <c r="E91" s="12"/>
      <c r="F91" s="12"/>
    </row>
    <row r="92" ht="15.75" customHeight="1">
      <c r="A92" s="13"/>
      <c r="B92" s="7"/>
      <c r="C92" s="11"/>
      <c r="D92" s="12"/>
      <c r="E92" s="12"/>
      <c r="F92" s="12"/>
    </row>
    <row r="93" ht="15.75" customHeight="1">
      <c r="A93" s="13"/>
      <c r="B93" s="7"/>
      <c r="C93" s="11"/>
      <c r="D93" s="12"/>
      <c r="E93" s="12"/>
      <c r="F93" s="12"/>
    </row>
    <row r="94" ht="15.75" customHeight="1">
      <c r="A94" s="13"/>
      <c r="B94" s="7"/>
      <c r="C94" s="11"/>
      <c r="D94" s="12"/>
      <c r="E94" s="12"/>
      <c r="F94" s="12"/>
    </row>
    <row r="95" ht="15.75" customHeight="1">
      <c r="A95" s="13"/>
      <c r="B95" s="7"/>
      <c r="C95" s="11"/>
      <c r="D95" s="12"/>
      <c r="E95" s="12"/>
      <c r="F95" s="12"/>
    </row>
    <row r="96" ht="15.75" customHeight="1">
      <c r="A96" s="13"/>
      <c r="B96" s="7"/>
      <c r="C96" s="11"/>
      <c r="D96" s="12"/>
      <c r="E96" s="12"/>
      <c r="F96" s="12"/>
    </row>
    <row r="97" ht="15.75" customHeight="1">
      <c r="A97" s="13"/>
      <c r="B97" s="7"/>
      <c r="C97" s="11"/>
      <c r="D97" s="12"/>
      <c r="E97" s="12"/>
      <c r="F97" s="12"/>
    </row>
    <row r="98" ht="15.75" customHeight="1">
      <c r="A98" s="13"/>
      <c r="B98" s="7"/>
      <c r="C98" s="11"/>
      <c r="D98" s="12"/>
      <c r="E98" s="12"/>
      <c r="F98" s="12"/>
    </row>
    <row r="99" ht="15.75" customHeight="1">
      <c r="A99" s="13"/>
      <c r="B99" s="7"/>
      <c r="C99" s="11"/>
      <c r="D99" s="12"/>
      <c r="E99" s="12"/>
      <c r="F99" s="12"/>
    </row>
    <row r="100" ht="15.75" customHeight="1">
      <c r="A100" s="13"/>
      <c r="B100" s="7"/>
      <c r="C100" s="11"/>
      <c r="D100" s="12"/>
      <c r="E100" s="12"/>
      <c r="F100" s="12"/>
    </row>
    <row r="101" ht="15.75" customHeight="1">
      <c r="A101" s="13"/>
      <c r="B101" s="7"/>
      <c r="C101" s="11"/>
      <c r="D101" s="12"/>
      <c r="E101" s="12"/>
      <c r="F101" s="12"/>
    </row>
    <row r="102" ht="15.75" customHeight="1">
      <c r="A102" s="13"/>
      <c r="B102" s="7"/>
      <c r="C102" s="11"/>
      <c r="D102" s="12"/>
      <c r="E102" s="12"/>
      <c r="F102" s="12"/>
    </row>
    <row r="103" ht="15.75" customHeight="1">
      <c r="A103" s="13"/>
      <c r="B103" s="17"/>
      <c r="C103" s="11"/>
      <c r="D103" s="12"/>
      <c r="E103" s="12"/>
      <c r="F103" s="12"/>
    </row>
    <row r="104" ht="15.75" customHeight="1">
      <c r="A104" s="13"/>
      <c r="B104" s="7"/>
      <c r="C104" s="11"/>
      <c r="D104" s="12"/>
      <c r="E104" s="12"/>
      <c r="F104" s="12"/>
    </row>
    <row r="105" ht="15.75" customHeight="1">
      <c r="A105" s="13"/>
      <c r="B105" s="7"/>
      <c r="C105" s="11"/>
      <c r="D105" s="12"/>
      <c r="E105" s="12"/>
      <c r="F105" s="12"/>
    </row>
    <row r="106" ht="15.75" customHeight="1">
      <c r="A106" s="13"/>
      <c r="B106" s="7"/>
      <c r="C106" s="11"/>
      <c r="D106" s="12"/>
      <c r="E106" s="12"/>
      <c r="F106" s="12"/>
    </row>
    <row r="107" ht="15.75" customHeight="1">
      <c r="A107" s="13"/>
      <c r="B107" s="7"/>
      <c r="C107" s="11"/>
      <c r="D107" s="12"/>
      <c r="E107" s="12"/>
      <c r="F107" s="12"/>
    </row>
    <row r="108" ht="15.75" customHeight="1">
      <c r="A108" s="13"/>
      <c r="B108" s="13"/>
      <c r="C108" s="12"/>
      <c r="D108" s="12"/>
      <c r="E108" s="12"/>
      <c r="F108" s="12"/>
    </row>
    <row r="109" ht="15.75" customHeight="1">
      <c r="A109" s="13"/>
      <c r="B109" s="13"/>
      <c r="C109" s="12"/>
      <c r="D109" s="12"/>
      <c r="E109" s="12"/>
      <c r="F109" s="12"/>
    </row>
    <row r="110" ht="15.75" customHeight="1">
      <c r="A110" s="13"/>
      <c r="B110" s="13"/>
      <c r="C110" s="12"/>
      <c r="D110" s="12"/>
      <c r="E110" s="12"/>
      <c r="F110" s="12"/>
    </row>
    <row r="111" ht="15.75" customHeight="1">
      <c r="A111" s="13"/>
      <c r="B111" s="13"/>
      <c r="C111" s="12"/>
      <c r="D111" s="12"/>
      <c r="E111" s="12"/>
      <c r="F111" s="12"/>
    </row>
    <row r="112" ht="15.75" customHeight="1">
      <c r="A112" s="13"/>
      <c r="B112" s="13"/>
      <c r="C112" s="12"/>
      <c r="D112" s="12"/>
      <c r="E112" s="12"/>
      <c r="F112" s="12"/>
    </row>
    <row r="113" ht="15.75" customHeight="1">
      <c r="A113" s="13"/>
      <c r="B113" s="13"/>
      <c r="C113" s="12"/>
      <c r="D113" s="12"/>
      <c r="E113" s="12"/>
      <c r="F113" s="12"/>
    </row>
    <row r="114" ht="15.0" customHeight="1">
      <c r="A114" s="13"/>
      <c r="B114" s="13"/>
      <c r="C114" s="12"/>
      <c r="D114" s="12"/>
      <c r="E114" s="12"/>
      <c r="F114" s="12"/>
    </row>
    <row r="115" ht="15.75" customHeight="1">
      <c r="A115" s="13"/>
      <c r="B115" s="13"/>
      <c r="C115" s="12"/>
      <c r="D115" s="12"/>
      <c r="E115" s="12"/>
      <c r="F115" s="12"/>
    </row>
    <row r="116" ht="15.75" customHeight="1">
      <c r="A116" s="13"/>
      <c r="B116" s="13"/>
      <c r="C116" s="12"/>
      <c r="D116" s="12"/>
      <c r="E116" s="12"/>
      <c r="F116" s="12"/>
    </row>
    <row r="117" ht="15.75" customHeight="1">
      <c r="A117" s="13"/>
      <c r="B117" s="13"/>
      <c r="C117" s="12"/>
      <c r="D117" s="12"/>
      <c r="E117" s="12"/>
      <c r="F117" s="12"/>
    </row>
    <row r="118" ht="15.75" customHeight="1">
      <c r="A118" s="13"/>
      <c r="B118" s="13"/>
      <c r="C118" s="12"/>
      <c r="D118" s="12"/>
      <c r="E118" s="12"/>
      <c r="F118" s="12"/>
    </row>
    <row r="119" ht="15.75" customHeight="1">
      <c r="A119" s="13"/>
      <c r="B119" s="19"/>
      <c r="C119" s="12"/>
      <c r="D119" s="12"/>
      <c r="E119" s="12"/>
      <c r="F119" s="12"/>
    </row>
    <row r="120" ht="15.75" customHeight="1">
      <c r="A120" s="13"/>
      <c r="B120" s="19"/>
      <c r="C120" s="12"/>
      <c r="D120" s="12"/>
      <c r="E120" s="12"/>
      <c r="F120" s="12"/>
    </row>
    <row r="121" ht="15.75" customHeight="1">
      <c r="A121" s="13"/>
      <c r="B121" s="19"/>
      <c r="C121" s="12"/>
      <c r="D121" s="12"/>
      <c r="E121" s="12"/>
      <c r="F121" s="12"/>
    </row>
    <row r="122" ht="15.75" customHeight="1">
      <c r="A122" s="13"/>
      <c r="B122" s="19"/>
      <c r="C122" s="12"/>
      <c r="D122" s="12"/>
      <c r="E122" s="12"/>
      <c r="F122" s="12"/>
    </row>
    <row r="123" ht="15.75" customHeight="1">
      <c r="A123" s="13"/>
      <c r="B123" s="19"/>
      <c r="C123" s="12"/>
      <c r="D123" s="12"/>
      <c r="E123" s="12"/>
      <c r="F123" s="12"/>
    </row>
    <row r="124" ht="15.75" customHeight="1">
      <c r="A124" s="13"/>
      <c r="B124" s="19"/>
      <c r="C124" s="12"/>
      <c r="D124" s="12"/>
      <c r="E124" s="12"/>
      <c r="F124" s="12"/>
    </row>
    <row r="125" ht="15.75" customHeight="1">
      <c r="A125" s="13"/>
      <c r="B125" s="19"/>
      <c r="C125" s="12"/>
      <c r="D125" s="12"/>
      <c r="E125" s="12"/>
      <c r="F125" s="12"/>
    </row>
    <row r="126" ht="15.75" customHeight="1">
      <c r="A126" s="13"/>
      <c r="B126" s="19"/>
      <c r="C126" s="12"/>
      <c r="D126" s="12"/>
      <c r="E126" s="12"/>
      <c r="F126" s="12"/>
    </row>
    <row r="127" ht="15.75" customHeight="1">
      <c r="A127" s="13"/>
      <c r="B127" s="13"/>
      <c r="C127" s="12"/>
      <c r="D127" s="12"/>
      <c r="E127" s="12"/>
      <c r="F127" s="12"/>
    </row>
    <row r="128" ht="15.75" customHeight="1">
      <c r="A128" s="13"/>
      <c r="B128" s="13"/>
      <c r="C128" s="12"/>
      <c r="D128" s="12"/>
      <c r="E128" s="12"/>
      <c r="F128" s="12"/>
    </row>
    <row r="129" ht="15.75" customHeight="1">
      <c r="A129" s="13"/>
      <c r="B129" s="13"/>
      <c r="C129" s="12"/>
      <c r="D129" s="12"/>
      <c r="E129" s="12"/>
      <c r="F129" s="12"/>
    </row>
    <row r="130" ht="15.75" customHeight="1">
      <c r="A130" s="13"/>
      <c r="B130" s="13"/>
      <c r="C130" s="12"/>
      <c r="D130" s="12"/>
      <c r="E130" s="12"/>
      <c r="F130" s="12"/>
    </row>
    <row r="131" ht="15.75" customHeight="1">
      <c r="A131" s="13"/>
      <c r="B131" s="13"/>
      <c r="C131" s="12"/>
      <c r="D131" s="12"/>
      <c r="E131" s="12"/>
      <c r="F131" s="12"/>
    </row>
    <row r="132" ht="15.75" customHeight="1">
      <c r="A132" s="13"/>
      <c r="B132" s="13"/>
      <c r="C132" s="12"/>
      <c r="D132" s="12"/>
      <c r="E132" s="12"/>
      <c r="F132" s="12"/>
    </row>
    <row r="133" ht="15.75" customHeight="1">
      <c r="A133" s="13"/>
      <c r="B133" s="13"/>
      <c r="C133" s="12"/>
      <c r="D133" s="12"/>
      <c r="E133" s="12"/>
      <c r="F133" s="12"/>
    </row>
    <row r="134" ht="15.75" customHeight="1">
      <c r="A134" s="13"/>
      <c r="B134" s="13"/>
      <c r="C134" s="12"/>
      <c r="D134" s="12"/>
      <c r="E134" s="12"/>
      <c r="F134" s="12"/>
    </row>
    <row r="135" ht="15.75" customHeight="1">
      <c r="A135" s="13"/>
      <c r="B135" s="13"/>
      <c r="C135" s="12"/>
      <c r="D135" s="12"/>
      <c r="E135" s="12"/>
      <c r="F135" s="12"/>
    </row>
    <row r="136" ht="15.75" customHeight="1">
      <c r="A136" s="13"/>
      <c r="B136" s="13"/>
      <c r="C136" s="12"/>
      <c r="D136" s="12"/>
      <c r="E136" s="12"/>
      <c r="F136" s="12"/>
    </row>
    <row r="137" ht="15.75" customHeight="1">
      <c r="A137" s="13"/>
      <c r="B137" s="13"/>
      <c r="C137" s="12"/>
      <c r="D137" s="12"/>
      <c r="E137" s="12"/>
      <c r="F137" s="12"/>
    </row>
    <row r="138" ht="15.75" customHeight="1">
      <c r="A138" s="13"/>
      <c r="B138" s="13"/>
      <c r="C138" s="12"/>
      <c r="D138" s="12"/>
      <c r="E138" s="12"/>
      <c r="F138" s="12"/>
    </row>
    <row r="139" ht="15.75" customHeight="1">
      <c r="A139" s="13"/>
      <c r="B139" s="13"/>
      <c r="C139" s="12"/>
      <c r="D139" s="12"/>
      <c r="E139" s="12"/>
      <c r="F139" s="12"/>
    </row>
    <row r="140" ht="15.75" customHeight="1">
      <c r="A140" s="13"/>
      <c r="B140" s="13"/>
      <c r="C140" s="12"/>
      <c r="D140" s="12"/>
      <c r="E140" s="12"/>
      <c r="F140" s="12"/>
    </row>
    <row r="141" ht="15.75" customHeight="1">
      <c r="A141" s="13"/>
      <c r="B141" s="13"/>
      <c r="C141" s="12"/>
      <c r="D141" s="12"/>
      <c r="E141" s="12"/>
      <c r="F141" s="12"/>
    </row>
    <row r="142" ht="15.75" customHeight="1">
      <c r="A142" s="13"/>
      <c r="B142" s="13"/>
      <c r="C142" s="12"/>
      <c r="D142" s="12"/>
      <c r="E142" s="12"/>
      <c r="F142" s="12"/>
    </row>
    <row r="143" ht="15.75" customHeight="1">
      <c r="A143" s="13"/>
      <c r="B143" s="13"/>
      <c r="C143" s="12"/>
      <c r="D143" s="12"/>
      <c r="E143" s="12"/>
      <c r="F143" s="12"/>
    </row>
    <row r="144" ht="15.75" customHeight="1">
      <c r="A144" s="13"/>
      <c r="B144" s="13"/>
      <c r="C144" s="12"/>
      <c r="D144" s="12"/>
      <c r="E144" s="12"/>
      <c r="F144" s="12"/>
    </row>
    <row r="145" ht="15.75" customHeight="1">
      <c r="A145" s="13"/>
      <c r="B145" s="13"/>
      <c r="C145" s="12"/>
      <c r="D145" s="12"/>
      <c r="E145" s="12"/>
      <c r="F145" s="12"/>
    </row>
    <row r="146" ht="15.75" customHeight="1">
      <c r="A146" s="13"/>
      <c r="B146" s="13"/>
      <c r="C146" s="12"/>
      <c r="D146" s="12"/>
      <c r="E146" s="12"/>
      <c r="F146" s="12"/>
    </row>
    <row r="147" ht="15.75" customHeight="1">
      <c r="A147" s="13"/>
      <c r="B147" s="13"/>
      <c r="C147" s="12"/>
      <c r="D147" s="12"/>
      <c r="E147" s="12"/>
      <c r="F147" s="12"/>
    </row>
    <row r="148" ht="15.75" customHeight="1">
      <c r="A148" s="13"/>
      <c r="B148" s="13"/>
      <c r="C148" s="12"/>
      <c r="D148" s="12"/>
      <c r="E148" s="12"/>
      <c r="F148" s="12"/>
    </row>
    <row r="149" ht="15.75" customHeight="1">
      <c r="A149" s="13"/>
      <c r="B149" s="13"/>
      <c r="C149" s="12"/>
      <c r="D149" s="12"/>
      <c r="E149" s="12"/>
      <c r="F149" s="12"/>
    </row>
    <row r="150" ht="15.75" customHeight="1">
      <c r="A150" s="13"/>
      <c r="B150" s="13"/>
      <c r="C150" s="12"/>
      <c r="D150" s="12"/>
      <c r="E150" s="12"/>
      <c r="F150" s="12"/>
    </row>
    <row r="151" ht="15.75" customHeight="1">
      <c r="A151" s="13"/>
      <c r="B151" s="13"/>
      <c r="C151" s="12"/>
      <c r="D151" s="12"/>
      <c r="E151" s="12"/>
      <c r="F151" s="12"/>
    </row>
    <row r="152" ht="15.75" customHeight="1">
      <c r="A152" s="13"/>
      <c r="B152" s="19"/>
      <c r="C152" s="12"/>
      <c r="D152" s="12"/>
      <c r="E152" s="12"/>
      <c r="F152" s="12"/>
    </row>
    <row r="153" ht="15.75" customHeight="1">
      <c r="A153" s="13"/>
      <c r="B153" s="13"/>
      <c r="C153" s="12"/>
      <c r="D153" s="12"/>
      <c r="E153" s="12"/>
      <c r="F153" s="12"/>
    </row>
    <row r="154" ht="15.75" customHeight="1">
      <c r="A154" s="13"/>
      <c r="B154" s="13"/>
      <c r="C154" s="12"/>
      <c r="D154" s="12"/>
      <c r="E154" s="12"/>
      <c r="F154" s="12"/>
    </row>
    <row r="155" ht="15.75" customHeight="1">
      <c r="A155" s="13"/>
      <c r="B155" s="13"/>
      <c r="C155" s="12"/>
      <c r="D155" s="12"/>
      <c r="E155" s="12"/>
      <c r="F155" s="12"/>
    </row>
    <row r="156" ht="15.75" customHeight="1">
      <c r="A156" s="13"/>
      <c r="B156" s="13"/>
      <c r="C156" s="12"/>
      <c r="D156" s="12"/>
      <c r="E156" s="12"/>
      <c r="F156" s="12"/>
    </row>
    <row r="157" ht="15.75" customHeight="1">
      <c r="A157" s="13"/>
      <c r="B157" s="13"/>
      <c r="C157" s="12"/>
      <c r="D157" s="12"/>
      <c r="E157" s="12"/>
      <c r="F157" s="12"/>
    </row>
    <row r="158" ht="15.75" customHeight="1">
      <c r="A158" s="13"/>
      <c r="B158" s="13"/>
      <c r="C158" s="12"/>
      <c r="D158" s="12"/>
      <c r="E158" s="12"/>
      <c r="F158" s="12"/>
    </row>
    <row r="159" ht="15.75" customHeight="1">
      <c r="A159" s="13"/>
      <c r="B159" s="13"/>
      <c r="C159" s="12"/>
      <c r="D159" s="12"/>
      <c r="E159" s="12"/>
      <c r="F159" s="12"/>
    </row>
    <row r="160" ht="15.75" customHeight="1">
      <c r="A160" s="13"/>
      <c r="B160" s="13"/>
      <c r="C160" s="12"/>
      <c r="D160" s="12"/>
      <c r="E160" s="12"/>
      <c r="F160" s="12"/>
    </row>
    <row r="161" ht="15.75" customHeight="1">
      <c r="A161" s="13"/>
      <c r="B161" s="13"/>
      <c r="C161" s="12"/>
      <c r="D161" s="12"/>
      <c r="E161" s="12"/>
      <c r="F161" s="12"/>
    </row>
    <row r="162" ht="15.75" customHeight="1">
      <c r="A162" s="13"/>
      <c r="B162" s="13"/>
      <c r="C162" s="12"/>
      <c r="D162" s="12"/>
      <c r="E162" s="12"/>
      <c r="F162" s="12"/>
    </row>
    <row r="163" ht="15.75" customHeight="1">
      <c r="A163" s="13"/>
      <c r="B163" s="13"/>
      <c r="C163" s="12"/>
      <c r="D163" s="12"/>
      <c r="E163" s="12"/>
      <c r="F163" s="12"/>
    </row>
    <row r="164" ht="15.75" customHeight="1">
      <c r="A164" s="13"/>
      <c r="B164" s="13"/>
      <c r="C164" s="12"/>
      <c r="D164" s="12"/>
      <c r="E164" s="12"/>
      <c r="F164" s="12"/>
    </row>
    <row r="165" ht="15.75" customHeight="1">
      <c r="A165" s="13"/>
      <c r="B165" s="13"/>
      <c r="C165" s="12"/>
      <c r="D165" s="12"/>
      <c r="E165" s="12"/>
      <c r="F165" s="12"/>
    </row>
    <row r="166" ht="15.75" customHeight="1">
      <c r="A166" s="13"/>
      <c r="B166" s="13"/>
      <c r="C166" s="12"/>
      <c r="D166" s="12"/>
      <c r="E166" s="12"/>
      <c r="F166" s="12"/>
    </row>
    <row r="167" ht="15.75" customHeight="1">
      <c r="A167" s="13"/>
      <c r="B167" s="13"/>
      <c r="C167" s="12"/>
      <c r="D167" s="12"/>
      <c r="E167" s="12"/>
      <c r="F167" s="12"/>
    </row>
    <row r="168" ht="15.75" customHeight="1">
      <c r="A168" s="13"/>
      <c r="B168" s="13"/>
      <c r="C168" s="12"/>
      <c r="D168" s="12"/>
      <c r="E168" s="12"/>
      <c r="F168" s="12"/>
    </row>
    <row r="169" ht="15.75" customHeight="1">
      <c r="A169" s="13"/>
      <c r="B169" s="13"/>
      <c r="C169" s="12"/>
      <c r="D169" s="12"/>
      <c r="E169" s="12"/>
      <c r="F169" s="12"/>
    </row>
    <row r="170" ht="15.75" customHeight="1">
      <c r="A170" s="13"/>
      <c r="B170" s="13"/>
      <c r="C170" s="12"/>
      <c r="D170" s="12"/>
      <c r="E170" s="12"/>
      <c r="F170" s="12"/>
    </row>
    <row r="171" ht="15.75" customHeight="1">
      <c r="A171" s="13"/>
      <c r="B171" s="13"/>
      <c r="C171" s="12"/>
      <c r="D171" s="12"/>
      <c r="E171" s="12"/>
      <c r="F171" s="12"/>
    </row>
    <row r="172" ht="15.75" customHeight="1">
      <c r="A172" s="13"/>
      <c r="B172" s="13"/>
      <c r="C172" s="12"/>
      <c r="D172" s="12"/>
      <c r="E172" s="12"/>
      <c r="F172" s="12"/>
    </row>
    <row r="173" ht="15.75" customHeight="1">
      <c r="A173" s="13"/>
      <c r="B173" s="13"/>
      <c r="C173" s="12"/>
      <c r="D173" s="12"/>
      <c r="E173" s="12"/>
      <c r="F173" s="12"/>
    </row>
    <row r="174" ht="15.75" customHeight="1">
      <c r="A174" s="13"/>
      <c r="B174" s="13"/>
      <c r="C174" s="12"/>
      <c r="D174" s="12"/>
      <c r="E174" s="12"/>
      <c r="F174" s="12"/>
    </row>
    <row r="175" ht="15.75" customHeight="1">
      <c r="A175" s="13"/>
      <c r="B175" s="13"/>
      <c r="C175" s="12"/>
      <c r="D175" s="12"/>
      <c r="E175" s="12"/>
      <c r="F175" s="12"/>
    </row>
    <row r="176" ht="15.75" customHeight="1">
      <c r="A176" s="13"/>
      <c r="B176" s="13"/>
      <c r="C176" s="12"/>
      <c r="D176" s="12"/>
      <c r="E176" s="12"/>
      <c r="F176" s="12"/>
    </row>
    <row r="177" ht="15.75" customHeight="1">
      <c r="A177" s="13"/>
      <c r="B177" s="13"/>
      <c r="C177" s="12"/>
      <c r="D177" s="12"/>
      <c r="E177" s="12"/>
      <c r="F177" s="12"/>
    </row>
    <row r="178" ht="15.75" customHeight="1">
      <c r="A178" s="13"/>
      <c r="B178" s="13"/>
      <c r="C178" s="12"/>
      <c r="D178" s="12"/>
      <c r="E178" s="12"/>
      <c r="F178" s="12"/>
    </row>
    <row r="179" ht="15.75" customHeight="1">
      <c r="A179" s="13"/>
      <c r="B179" s="13"/>
      <c r="C179" s="12"/>
      <c r="D179" s="12"/>
      <c r="E179" s="12"/>
      <c r="F179" s="12"/>
    </row>
    <row r="180" ht="15.75" customHeight="1">
      <c r="A180" s="13"/>
      <c r="B180" s="13"/>
      <c r="C180" s="12"/>
      <c r="D180" s="12"/>
      <c r="E180" s="12"/>
      <c r="F180" s="12"/>
    </row>
    <row r="181" ht="15.75" customHeight="1">
      <c r="A181" s="13"/>
      <c r="B181" s="13"/>
      <c r="C181" s="12"/>
      <c r="D181" s="12"/>
      <c r="E181" s="12"/>
      <c r="F181" s="12"/>
    </row>
    <row r="182" ht="15.75" customHeight="1">
      <c r="A182" s="13"/>
      <c r="B182" s="13"/>
      <c r="C182" s="12"/>
      <c r="D182" s="12"/>
      <c r="E182" s="12"/>
      <c r="F182" s="12"/>
    </row>
    <row r="183" ht="15.75" customHeight="1">
      <c r="A183" s="13"/>
      <c r="B183" s="13"/>
      <c r="C183" s="12"/>
      <c r="D183" s="12"/>
      <c r="E183" s="12"/>
      <c r="F183" s="12"/>
    </row>
    <row r="184" ht="15.75" customHeight="1">
      <c r="A184" s="13"/>
      <c r="B184" s="13"/>
      <c r="C184" s="12"/>
      <c r="D184" s="12"/>
      <c r="E184" s="12"/>
      <c r="F184" s="12"/>
    </row>
    <row r="185" ht="15.75" customHeight="1">
      <c r="A185" s="13"/>
      <c r="B185" s="13"/>
      <c r="C185" s="12"/>
      <c r="D185" s="12"/>
      <c r="E185" s="12"/>
      <c r="F185" s="12"/>
    </row>
    <row r="186" ht="15.75" customHeight="1">
      <c r="A186" s="13"/>
      <c r="B186" s="13"/>
      <c r="C186" s="12"/>
      <c r="D186" s="12"/>
      <c r="E186" s="12"/>
      <c r="F186" s="12"/>
    </row>
    <row r="187" ht="15.75" customHeight="1">
      <c r="A187" s="13"/>
      <c r="B187" s="13"/>
      <c r="C187" s="12"/>
      <c r="D187" s="12"/>
      <c r="E187" s="12"/>
      <c r="F187" s="12"/>
    </row>
    <row r="188" ht="15.75" customHeight="1">
      <c r="A188" s="13"/>
      <c r="B188" s="13"/>
      <c r="C188" s="12"/>
      <c r="D188" s="12"/>
      <c r="E188" s="12"/>
      <c r="F188" s="12"/>
    </row>
    <row r="189" ht="15.75" customHeight="1">
      <c r="A189" s="13"/>
      <c r="B189" s="13"/>
      <c r="C189" s="12"/>
      <c r="D189" s="12"/>
      <c r="E189" s="12"/>
      <c r="F189" s="12"/>
    </row>
    <row r="190" ht="15.75" customHeight="1">
      <c r="A190" s="13"/>
      <c r="B190" s="13"/>
      <c r="C190" s="12"/>
      <c r="D190" s="12"/>
      <c r="E190" s="12"/>
      <c r="F190" s="12"/>
    </row>
    <row r="191" ht="15.75" customHeight="1">
      <c r="A191" s="13"/>
      <c r="B191" s="13"/>
      <c r="C191" s="12"/>
      <c r="D191" s="12"/>
      <c r="E191" s="12"/>
      <c r="F191" s="12"/>
    </row>
    <row r="192" ht="15.75" customHeight="1">
      <c r="A192" s="13"/>
      <c r="B192" s="13"/>
      <c r="C192" s="12"/>
      <c r="D192" s="12"/>
      <c r="E192" s="12"/>
      <c r="F192" s="12"/>
    </row>
    <row r="193" ht="15.75" customHeight="1">
      <c r="A193" s="13"/>
      <c r="B193" s="13"/>
      <c r="C193" s="12"/>
      <c r="D193" s="12"/>
      <c r="E193" s="12"/>
      <c r="F193" s="12"/>
    </row>
    <row r="194" ht="15.75" customHeight="1">
      <c r="A194" s="13"/>
      <c r="B194" s="13"/>
      <c r="C194" s="12"/>
      <c r="D194" s="12"/>
      <c r="E194" s="12"/>
      <c r="F194" s="12"/>
    </row>
    <row r="195" ht="15.75" customHeight="1">
      <c r="A195" s="13"/>
      <c r="B195" s="13"/>
      <c r="C195" s="12"/>
      <c r="D195" s="12"/>
      <c r="E195" s="12"/>
      <c r="F195" s="12"/>
    </row>
    <row r="196" ht="15.75" customHeight="1">
      <c r="A196" s="13"/>
      <c r="B196" s="13"/>
      <c r="C196" s="12"/>
      <c r="D196" s="12"/>
      <c r="E196" s="12"/>
      <c r="F196" s="12"/>
    </row>
    <row r="197" ht="15.75" customHeight="1">
      <c r="A197" s="13"/>
      <c r="B197" s="13"/>
      <c r="C197" s="12"/>
      <c r="D197" s="12"/>
      <c r="E197" s="12"/>
      <c r="F197" s="12"/>
    </row>
    <row r="198" ht="15.75" customHeight="1">
      <c r="A198" s="13"/>
      <c r="B198" s="13"/>
      <c r="C198" s="12"/>
      <c r="D198" s="12"/>
      <c r="E198" s="12"/>
      <c r="F198" s="12"/>
    </row>
    <row r="199" ht="15.75" customHeight="1">
      <c r="A199" s="13"/>
      <c r="B199" s="13"/>
      <c r="C199" s="12"/>
      <c r="D199" s="12"/>
      <c r="E199" s="12"/>
      <c r="F199" s="12"/>
    </row>
    <row r="200" ht="15.75" customHeight="1">
      <c r="A200" s="13"/>
      <c r="B200" s="13"/>
      <c r="C200" s="12"/>
      <c r="D200" s="12"/>
      <c r="E200" s="12"/>
      <c r="F200" s="12"/>
    </row>
    <row r="201" ht="15.75" customHeight="1">
      <c r="A201" s="13"/>
      <c r="B201" s="13"/>
      <c r="C201" s="12"/>
      <c r="D201" s="12"/>
      <c r="E201" s="12"/>
      <c r="F201" s="12"/>
    </row>
    <row r="202" ht="15.75" customHeight="1">
      <c r="A202" s="13"/>
      <c r="B202" s="13"/>
      <c r="C202" s="12"/>
      <c r="D202" s="12"/>
      <c r="E202" s="12"/>
      <c r="F202" s="12"/>
    </row>
    <row r="203" ht="15.75" customHeight="1">
      <c r="A203" s="13"/>
      <c r="B203" s="13"/>
      <c r="C203" s="12"/>
      <c r="D203" s="12"/>
      <c r="E203" s="12"/>
      <c r="F203" s="12"/>
    </row>
    <row r="204" ht="15.75" customHeight="1">
      <c r="A204" s="13"/>
      <c r="B204" s="13"/>
      <c r="C204" s="12"/>
      <c r="D204" s="12"/>
      <c r="E204" s="12"/>
      <c r="F204" s="12"/>
    </row>
    <row r="205" ht="15.75" customHeight="1">
      <c r="A205" s="13"/>
      <c r="B205" s="13"/>
      <c r="C205" s="12"/>
      <c r="D205" s="12"/>
      <c r="E205" s="12"/>
      <c r="F205" s="12"/>
    </row>
    <row r="206" ht="15.75" customHeight="1">
      <c r="A206" s="13"/>
      <c r="B206" s="19"/>
      <c r="C206" s="12"/>
      <c r="D206" s="12"/>
      <c r="E206" s="12"/>
      <c r="F206" s="12"/>
    </row>
    <row r="207" ht="15.75" customHeight="1">
      <c r="A207" s="13"/>
      <c r="B207" s="13"/>
      <c r="C207" s="12"/>
      <c r="D207" s="12"/>
      <c r="E207" s="12"/>
      <c r="F207" s="12"/>
    </row>
    <row r="208" ht="15.75" customHeight="1">
      <c r="A208" s="13"/>
      <c r="B208" s="13"/>
      <c r="C208" s="12"/>
      <c r="D208" s="12"/>
      <c r="E208" s="12"/>
      <c r="F208" s="12"/>
    </row>
    <row r="209" ht="15.75" customHeight="1">
      <c r="A209" s="13"/>
      <c r="B209" s="13"/>
      <c r="C209" s="12"/>
      <c r="D209" s="12"/>
      <c r="E209" s="12"/>
      <c r="F209" s="12"/>
    </row>
    <row r="210" ht="15.75" customHeight="1">
      <c r="A210" s="13"/>
      <c r="B210" s="13"/>
      <c r="C210" s="12"/>
      <c r="D210" s="12"/>
      <c r="E210" s="12"/>
      <c r="F210" s="12"/>
    </row>
    <row r="211" ht="15.75" customHeight="1">
      <c r="A211" s="13"/>
      <c r="B211" s="13"/>
      <c r="C211" s="12"/>
      <c r="D211" s="12"/>
      <c r="E211" s="12"/>
      <c r="F211" s="12"/>
    </row>
    <row r="212" ht="15.75" customHeight="1">
      <c r="A212" s="13"/>
      <c r="B212" s="13"/>
      <c r="C212" s="12"/>
      <c r="D212" s="12"/>
      <c r="E212" s="12"/>
      <c r="F212" s="12"/>
    </row>
    <row r="213" ht="15.75" customHeight="1">
      <c r="A213" s="13"/>
      <c r="B213" s="13"/>
      <c r="C213" s="12"/>
      <c r="D213" s="12"/>
      <c r="E213" s="12"/>
      <c r="F213" s="12"/>
    </row>
    <row r="214" ht="15.75" customHeight="1">
      <c r="A214" s="13"/>
      <c r="B214" s="13"/>
      <c r="C214" s="12"/>
      <c r="D214" s="12"/>
      <c r="E214" s="12"/>
      <c r="F214" s="12"/>
    </row>
    <row r="215" ht="15.75" customHeight="1">
      <c r="A215" s="13"/>
      <c r="B215" s="13"/>
      <c r="C215" s="12"/>
      <c r="D215" s="12"/>
      <c r="E215" s="12"/>
      <c r="F215" s="12"/>
    </row>
    <row r="216" ht="15.75" customHeight="1">
      <c r="A216" s="13"/>
      <c r="B216" s="13"/>
      <c r="C216" s="12"/>
      <c r="D216" s="12"/>
      <c r="E216" s="12"/>
      <c r="F216" s="12"/>
    </row>
    <row r="217" ht="15.75" customHeight="1">
      <c r="A217" s="13"/>
      <c r="B217" s="13"/>
      <c r="C217" s="12"/>
      <c r="D217" s="12"/>
      <c r="E217" s="12"/>
      <c r="F217" s="12"/>
    </row>
    <row r="218" ht="15.75" customHeight="1">
      <c r="A218" s="13"/>
      <c r="B218" s="13"/>
      <c r="C218" s="12"/>
      <c r="D218" s="12"/>
      <c r="E218" s="12"/>
      <c r="F218" s="12"/>
    </row>
    <row r="219" ht="15.75" customHeight="1">
      <c r="A219" s="13"/>
      <c r="B219" s="13"/>
      <c r="C219" s="12"/>
      <c r="D219" s="12"/>
      <c r="E219" s="12"/>
      <c r="F219" s="12"/>
    </row>
    <row r="220" ht="15.75" customHeight="1">
      <c r="A220" s="13"/>
      <c r="B220" s="13"/>
      <c r="C220" s="12"/>
      <c r="D220" s="12"/>
      <c r="E220" s="12"/>
      <c r="F220" s="12"/>
    </row>
    <row r="221" ht="15.75" customHeight="1">
      <c r="A221" s="13"/>
      <c r="B221" s="13"/>
      <c r="C221" s="12"/>
      <c r="D221" s="12"/>
      <c r="E221" s="12"/>
      <c r="F221" s="12"/>
    </row>
    <row r="222" ht="15.75" customHeight="1">
      <c r="A222" s="13"/>
      <c r="B222" s="13"/>
      <c r="C222" s="12"/>
      <c r="D222" s="12"/>
      <c r="E222" s="12"/>
      <c r="F222" s="12"/>
    </row>
    <row r="223" ht="15.75" customHeight="1">
      <c r="A223" s="13"/>
      <c r="B223" s="13"/>
      <c r="C223" s="12"/>
      <c r="D223" s="12"/>
      <c r="E223" s="12"/>
      <c r="F223" s="12"/>
    </row>
    <row r="224" ht="15.75" customHeight="1">
      <c r="A224" s="13"/>
      <c r="B224" s="13"/>
      <c r="C224" s="12"/>
      <c r="D224" s="12"/>
      <c r="E224" s="12"/>
      <c r="F224" s="12"/>
    </row>
    <row r="225" ht="15.75" customHeight="1">
      <c r="A225" s="13"/>
      <c r="B225" s="13"/>
      <c r="C225" s="12"/>
      <c r="D225" s="12"/>
      <c r="E225" s="12"/>
      <c r="F225" s="12"/>
    </row>
    <row r="226" ht="15.75" customHeight="1">
      <c r="A226" s="13"/>
      <c r="B226" s="13"/>
      <c r="C226" s="12"/>
      <c r="D226" s="12"/>
      <c r="E226" s="12"/>
      <c r="F226" s="12"/>
    </row>
    <row r="227" ht="15.75" customHeight="1">
      <c r="A227" s="13"/>
      <c r="B227" s="13"/>
      <c r="C227" s="12"/>
      <c r="D227" s="12"/>
      <c r="E227" s="12"/>
      <c r="F227" s="12"/>
    </row>
    <row r="228" ht="15.75" customHeight="1">
      <c r="A228" s="13"/>
      <c r="B228" s="13"/>
      <c r="C228" s="12"/>
      <c r="D228" s="12"/>
      <c r="E228" s="12"/>
      <c r="F228" s="12"/>
    </row>
    <row r="229" ht="15.75" customHeight="1">
      <c r="A229" s="13"/>
      <c r="B229" s="13"/>
      <c r="C229" s="12"/>
      <c r="D229" s="12"/>
      <c r="E229" s="12"/>
      <c r="F229" s="12"/>
    </row>
    <row r="230">
      <c r="A230" s="13"/>
      <c r="B230" s="13"/>
      <c r="C230" s="12"/>
      <c r="D230" s="12"/>
      <c r="E230" s="12"/>
      <c r="F230" s="12"/>
    </row>
    <row r="231">
      <c r="A231" s="13"/>
      <c r="B231" s="13"/>
      <c r="C231" s="12"/>
      <c r="D231" s="12"/>
      <c r="E231" s="12"/>
      <c r="F231" s="12"/>
    </row>
    <row r="232" ht="15.75" customHeight="1">
      <c r="A232" s="13"/>
      <c r="B232" s="13"/>
      <c r="C232" s="12"/>
      <c r="D232" s="12"/>
      <c r="E232" s="12"/>
      <c r="F232" s="12"/>
    </row>
    <row r="233" ht="15.75" customHeight="1">
      <c r="A233" s="13"/>
      <c r="B233" s="13"/>
      <c r="C233" s="12"/>
      <c r="D233" s="12"/>
      <c r="E233" s="12"/>
      <c r="F233" s="12"/>
    </row>
    <row r="234" ht="15.75" customHeight="1">
      <c r="A234" s="13"/>
      <c r="B234" s="13"/>
      <c r="C234" s="12"/>
      <c r="D234" s="12"/>
      <c r="E234" s="12"/>
      <c r="F234" s="12"/>
    </row>
    <row r="235" ht="15.75" customHeight="1">
      <c r="A235" s="13"/>
      <c r="B235" s="13"/>
      <c r="C235" s="12"/>
      <c r="D235" s="12"/>
      <c r="E235" s="12"/>
      <c r="F235" s="12"/>
    </row>
    <row r="236" ht="15.75" customHeight="1">
      <c r="A236" s="13"/>
      <c r="B236" s="13"/>
      <c r="C236" s="12"/>
      <c r="D236" s="12"/>
      <c r="E236" s="12"/>
      <c r="F236" s="12"/>
    </row>
    <row r="237" ht="15.75" customHeight="1">
      <c r="A237" s="13"/>
      <c r="B237" s="13"/>
      <c r="C237" s="12"/>
      <c r="D237" s="12"/>
      <c r="E237" s="12"/>
      <c r="F237" s="12"/>
    </row>
    <row r="238" ht="15.75" customHeight="1">
      <c r="A238" s="13"/>
      <c r="B238" s="13"/>
      <c r="C238" s="12"/>
      <c r="D238" s="12"/>
      <c r="E238" s="12"/>
      <c r="F238" s="12"/>
    </row>
    <row r="239" ht="15.75" customHeight="1">
      <c r="A239" s="13"/>
      <c r="B239" s="19"/>
      <c r="C239" s="12"/>
      <c r="D239" s="12"/>
      <c r="E239" s="12"/>
      <c r="F239" s="12"/>
    </row>
    <row r="240" ht="15.75" customHeight="1">
      <c r="A240" s="13"/>
      <c r="B240" s="13"/>
      <c r="C240" s="12"/>
      <c r="D240" s="12"/>
      <c r="E240" s="12"/>
      <c r="F240" s="12"/>
    </row>
    <row r="241" ht="15.75" customHeight="1">
      <c r="A241" s="13"/>
      <c r="B241" s="13"/>
      <c r="C241" s="12"/>
      <c r="D241" s="12"/>
      <c r="E241" s="12"/>
      <c r="F241" s="12"/>
    </row>
    <row r="242" ht="15.75" customHeight="1">
      <c r="A242" s="13"/>
      <c r="B242" s="19"/>
      <c r="C242" s="12"/>
      <c r="D242" s="12"/>
      <c r="E242" s="12"/>
      <c r="F242" s="12"/>
    </row>
    <row r="243" ht="15.75" customHeight="1">
      <c r="A243" s="13"/>
      <c r="B243" s="19"/>
      <c r="C243" s="12"/>
      <c r="D243" s="12"/>
      <c r="E243" s="12"/>
      <c r="F243" s="12"/>
    </row>
    <row r="244" ht="15.75" customHeight="1">
      <c r="A244" s="13"/>
      <c r="B244" s="19"/>
      <c r="C244" s="12"/>
      <c r="D244" s="12"/>
      <c r="E244" s="12"/>
      <c r="F244" s="12"/>
    </row>
    <row r="245" ht="15.75" customHeight="1">
      <c r="A245" s="13"/>
      <c r="B245" s="19"/>
      <c r="C245" s="12"/>
      <c r="D245" s="12"/>
      <c r="E245" s="12"/>
      <c r="F245" s="12"/>
    </row>
    <row r="246" ht="15.75" customHeight="1">
      <c r="A246" s="13"/>
      <c r="B246" s="13"/>
      <c r="C246" s="12"/>
      <c r="D246" s="12"/>
      <c r="E246" s="12"/>
      <c r="F246" s="12"/>
    </row>
    <row r="247" ht="15.75" customHeight="1">
      <c r="A247" s="13"/>
      <c r="B247" s="13"/>
      <c r="C247" s="12"/>
      <c r="D247" s="12"/>
      <c r="E247" s="12"/>
      <c r="F247" s="12"/>
    </row>
    <row r="248" ht="15.75" customHeight="1">
      <c r="A248" s="13"/>
      <c r="B248" s="13"/>
      <c r="C248" s="12"/>
      <c r="D248" s="12"/>
      <c r="E248" s="12"/>
      <c r="F248" s="12"/>
    </row>
    <row r="249" ht="15.75" customHeight="1">
      <c r="A249" s="13"/>
      <c r="B249" s="13"/>
      <c r="C249" s="12"/>
      <c r="D249" s="12"/>
      <c r="E249" s="12"/>
      <c r="F249" s="12"/>
    </row>
    <row r="250" ht="15.75" customHeight="1">
      <c r="A250" s="13"/>
      <c r="B250" s="13"/>
      <c r="C250" s="12"/>
      <c r="D250" s="12"/>
      <c r="E250" s="12"/>
      <c r="F250" s="12"/>
    </row>
    <row r="251" ht="15.75" customHeight="1">
      <c r="A251" s="13"/>
      <c r="B251" s="13"/>
      <c r="C251" s="12"/>
      <c r="D251" s="12"/>
      <c r="E251" s="12"/>
      <c r="F251" s="12"/>
    </row>
    <row r="252" ht="15.75" customHeight="1">
      <c r="A252" s="13"/>
      <c r="B252" s="19"/>
      <c r="C252" s="12"/>
      <c r="D252" s="12"/>
      <c r="E252" s="12"/>
      <c r="F252" s="12"/>
    </row>
    <row r="253" ht="15.75" customHeight="1">
      <c r="A253" s="13"/>
      <c r="B253" s="13"/>
      <c r="C253" s="12"/>
      <c r="D253" s="12"/>
      <c r="E253" s="12"/>
      <c r="F253" s="12"/>
    </row>
    <row r="254" ht="15.75" customHeight="1">
      <c r="A254" s="13"/>
      <c r="B254" s="13"/>
      <c r="C254" s="12"/>
      <c r="D254" s="12"/>
      <c r="E254" s="12"/>
      <c r="F254" s="12"/>
    </row>
    <row r="255" ht="15.75" customHeight="1">
      <c r="A255" s="13"/>
      <c r="B255" s="13"/>
      <c r="C255" s="12"/>
      <c r="D255" s="12"/>
      <c r="E255" s="12"/>
      <c r="F255" s="12"/>
    </row>
    <row r="256" ht="15.75" customHeight="1">
      <c r="A256" s="13"/>
      <c r="B256" s="13"/>
      <c r="C256" s="12"/>
      <c r="D256" s="12"/>
      <c r="E256" s="12"/>
      <c r="F256" s="12"/>
    </row>
    <row r="257" ht="15.75" customHeight="1">
      <c r="A257" s="13"/>
      <c r="B257" s="13"/>
      <c r="C257" s="12"/>
      <c r="D257" s="12"/>
      <c r="E257" s="12"/>
      <c r="F257" s="12"/>
    </row>
    <row r="258" ht="15.75" customHeight="1">
      <c r="A258" s="13"/>
      <c r="B258" s="19"/>
      <c r="C258" s="12"/>
      <c r="D258" s="12"/>
      <c r="E258" s="12"/>
      <c r="F258" s="12"/>
    </row>
    <row r="259" ht="15.75" customHeight="1">
      <c r="A259" s="13"/>
      <c r="B259" s="13"/>
      <c r="C259" s="12"/>
      <c r="D259" s="12"/>
      <c r="E259" s="12"/>
      <c r="F259" s="12"/>
    </row>
    <row r="260" ht="15.75" customHeight="1">
      <c r="A260" s="13"/>
      <c r="B260" s="13"/>
      <c r="C260" s="12"/>
      <c r="D260" s="12"/>
      <c r="E260" s="12"/>
      <c r="F260" s="12"/>
    </row>
    <row r="261" ht="15.75" customHeight="1">
      <c r="A261" s="13"/>
      <c r="B261" s="13"/>
      <c r="C261" s="12"/>
      <c r="D261" s="12"/>
      <c r="E261" s="12"/>
      <c r="F261" s="12"/>
    </row>
    <row r="262" ht="15.75" customHeight="1">
      <c r="A262" s="13"/>
      <c r="B262" s="13"/>
      <c r="C262" s="12"/>
      <c r="D262" s="12"/>
      <c r="E262" s="12"/>
      <c r="F262" s="12"/>
    </row>
    <row r="263" ht="15.75" customHeight="1">
      <c r="A263" s="13"/>
      <c r="B263" s="13"/>
      <c r="C263" s="12"/>
      <c r="D263" s="12"/>
      <c r="E263" s="12"/>
      <c r="F263" s="12"/>
    </row>
    <row r="264" ht="15.75" customHeight="1">
      <c r="A264" s="13"/>
      <c r="B264" s="13"/>
      <c r="C264" s="12"/>
      <c r="D264" s="12"/>
      <c r="E264" s="12"/>
      <c r="F264" s="12"/>
    </row>
    <row r="265" ht="15.75" customHeight="1">
      <c r="A265" s="13"/>
      <c r="B265" s="13"/>
      <c r="C265" s="12"/>
      <c r="D265" s="12"/>
      <c r="E265" s="12"/>
      <c r="F265" s="12"/>
    </row>
    <row r="266" ht="15.75" customHeight="1">
      <c r="A266" s="13"/>
      <c r="B266" s="13"/>
      <c r="C266" s="12"/>
      <c r="D266" s="12"/>
      <c r="E266" s="12"/>
      <c r="F266" s="12"/>
    </row>
    <row r="267" ht="15.75" customHeight="1">
      <c r="A267" s="13"/>
      <c r="B267" s="13"/>
      <c r="C267" s="12"/>
      <c r="D267" s="12"/>
      <c r="E267" s="12"/>
      <c r="F267" s="12"/>
    </row>
    <row r="268" ht="15.75" customHeight="1">
      <c r="A268" s="13"/>
      <c r="B268" s="19"/>
      <c r="C268" s="12"/>
      <c r="D268" s="12"/>
      <c r="E268" s="12"/>
      <c r="F268" s="12"/>
    </row>
    <row r="269" ht="15.75" customHeight="1">
      <c r="A269" s="13"/>
      <c r="B269" s="19"/>
      <c r="C269" s="12"/>
      <c r="D269" s="12"/>
      <c r="E269" s="12"/>
      <c r="F269" s="12"/>
    </row>
    <row r="270" ht="15.75" customHeight="1">
      <c r="A270" s="13"/>
      <c r="B270" s="13"/>
      <c r="C270" s="12"/>
      <c r="D270" s="12"/>
      <c r="E270" s="12"/>
      <c r="F270" s="12"/>
    </row>
    <row r="271" ht="15.75" customHeight="1">
      <c r="A271" s="13"/>
      <c r="B271" s="13"/>
      <c r="C271" s="12"/>
      <c r="D271" s="12"/>
      <c r="E271" s="12"/>
      <c r="F271" s="12"/>
    </row>
    <row r="272" ht="15.75" customHeight="1">
      <c r="A272" s="13"/>
      <c r="B272" s="13"/>
      <c r="C272" s="12"/>
      <c r="D272" s="12"/>
      <c r="E272" s="12"/>
      <c r="F272" s="12"/>
    </row>
    <row r="273" ht="15.75" customHeight="1">
      <c r="A273" s="13"/>
      <c r="B273" s="13"/>
      <c r="C273" s="12"/>
      <c r="D273" s="12"/>
      <c r="E273" s="12"/>
      <c r="F273" s="12"/>
    </row>
    <row r="274" ht="15.75" customHeight="1">
      <c r="A274" s="13"/>
      <c r="B274" s="13"/>
      <c r="C274" s="12"/>
      <c r="D274" s="12"/>
      <c r="E274" s="12"/>
      <c r="F274" s="12"/>
    </row>
    <row r="275" ht="15.75" customHeight="1">
      <c r="A275" s="13"/>
      <c r="B275" s="13"/>
      <c r="C275" s="12"/>
      <c r="D275" s="12"/>
      <c r="E275" s="12"/>
      <c r="F275" s="12"/>
    </row>
    <row r="276" ht="15.75" customHeight="1">
      <c r="A276" s="13"/>
      <c r="B276" s="19"/>
      <c r="C276" s="12"/>
      <c r="D276" s="12"/>
      <c r="E276" s="12"/>
      <c r="F276" s="12"/>
    </row>
    <row r="277" ht="15.75" customHeight="1">
      <c r="A277" s="13"/>
      <c r="B277" s="13"/>
      <c r="C277" s="12"/>
      <c r="D277" s="12"/>
      <c r="E277" s="12"/>
      <c r="F277" s="12"/>
    </row>
    <row r="278" ht="15.75" customHeight="1">
      <c r="A278" s="13"/>
      <c r="B278" s="13"/>
      <c r="C278" s="12"/>
      <c r="D278" s="12"/>
      <c r="E278" s="12"/>
      <c r="F278" s="12"/>
    </row>
    <row r="279" ht="15.75" customHeight="1">
      <c r="A279" s="13"/>
      <c r="B279" s="13"/>
      <c r="C279" s="12"/>
      <c r="D279" s="12"/>
      <c r="E279" s="12"/>
      <c r="F279" s="12"/>
    </row>
    <row r="280" ht="15.75" customHeight="1">
      <c r="A280" s="13"/>
      <c r="B280" s="13"/>
      <c r="C280" s="12"/>
      <c r="D280" s="12"/>
      <c r="E280" s="12"/>
      <c r="F280" s="12"/>
    </row>
    <row r="281" ht="15.75" customHeight="1">
      <c r="A281" s="13"/>
      <c r="B281" s="13"/>
      <c r="C281" s="12"/>
      <c r="D281" s="12"/>
      <c r="E281" s="12"/>
      <c r="F281" s="12"/>
    </row>
    <row r="282" ht="15.75" customHeight="1">
      <c r="A282" s="13"/>
      <c r="B282" s="13"/>
      <c r="C282" s="12"/>
      <c r="D282" s="12"/>
      <c r="E282" s="12"/>
      <c r="F282" s="12"/>
    </row>
    <row r="283" ht="15.75" customHeight="1">
      <c r="A283" s="13"/>
      <c r="B283" s="13"/>
      <c r="C283" s="12"/>
      <c r="D283" s="12"/>
      <c r="E283" s="12"/>
      <c r="F283" s="12"/>
    </row>
    <row r="284" ht="15.75" customHeight="1">
      <c r="A284" s="13"/>
      <c r="B284" s="13"/>
      <c r="C284" s="12"/>
      <c r="D284" s="12"/>
      <c r="E284" s="12"/>
      <c r="F284" s="12"/>
    </row>
    <row r="285" ht="15.75" customHeight="1">
      <c r="A285" s="13"/>
      <c r="B285" s="13"/>
      <c r="C285" s="12"/>
      <c r="D285" s="12"/>
      <c r="E285" s="12"/>
      <c r="F285" s="12"/>
    </row>
    <row r="286" ht="15.75" customHeight="1">
      <c r="A286" s="13"/>
      <c r="B286" s="13"/>
      <c r="C286" s="12"/>
      <c r="D286" s="12"/>
      <c r="E286" s="12"/>
      <c r="F286" s="12"/>
    </row>
    <row r="287" ht="15.75" customHeight="1">
      <c r="A287" s="13"/>
      <c r="B287" s="13"/>
      <c r="C287" s="12"/>
      <c r="D287" s="12"/>
      <c r="E287" s="12"/>
      <c r="F287" s="12"/>
    </row>
    <row r="288" ht="15.75" customHeight="1">
      <c r="A288" s="13"/>
      <c r="B288" s="13"/>
      <c r="C288" s="12"/>
      <c r="D288" s="12"/>
      <c r="E288" s="12"/>
      <c r="F288" s="12"/>
    </row>
    <row r="289" ht="15.75" customHeight="1">
      <c r="A289" s="13"/>
      <c r="B289" s="13"/>
      <c r="C289" s="12"/>
      <c r="D289" s="12"/>
      <c r="E289" s="12"/>
      <c r="F289" s="12"/>
    </row>
    <row r="290" ht="15.75" customHeight="1">
      <c r="A290" s="13"/>
      <c r="B290" s="13"/>
      <c r="C290" s="12"/>
      <c r="D290" s="12"/>
      <c r="E290" s="12"/>
      <c r="F290" s="12"/>
    </row>
    <row r="291" ht="15.75" customHeight="1">
      <c r="A291" s="13"/>
      <c r="B291" s="13"/>
      <c r="C291" s="12"/>
      <c r="D291" s="12"/>
      <c r="E291" s="12"/>
      <c r="F291" s="12"/>
    </row>
    <row r="292" ht="15.75" customHeight="1">
      <c r="A292" s="13"/>
      <c r="B292" s="13"/>
      <c r="C292" s="12"/>
      <c r="D292" s="12"/>
      <c r="E292" s="12"/>
      <c r="F292" s="12"/>
    </row>
    <row r="293" ht="15.75" customHeight="1">
      <c r="A293" s="13"/>
      <c r="B293" s="13"/>
      <c r="C293" s="12"/>
      <c r="D293" s="12"/>
      <c r="E293" s="12"/>
      <c r="F293" s="12"/>
    </row>
    <row r="294" ht="15.75" customHeight="1">
      <c r="A294" s="13"/>
      <c r="B294" s="13"/>
      <c r="C294" s="12"/>
      <c r="D294" s="12"/>
      <c r="E294" s="12"/>
      <c r="F294" s="12"/>
    </row>
    <row r="295" ht="15.75" customHeight="1">
      <c r="A295" s="13"/>
      <c r="B295" s="13"/>
      <c r="C295" s="12"/>
      <c r="D295" s="12"/>
      <c r="E295" s="12"/>
      <c r="F295" s="12"/>
    </row>
    <row r="296" ht="15.75" customHeight="1">
      <c r="A296" s="13"/>
      <c r="B296" s="13"/>
      <c r="C296" s="12"/>
      <c r="D296" s="12"/>
      <c r="E296" s="12"/>
      <c r="F296" s="12"/>
    </row>
    <row r="297" ht="15.75" customHeight="1">
      <c r="A297" s="13"/>
      <c r="B297" s="13"/>
      <c r="C297" s="12"/>
      <c r="D297" s="12"/>
      <c r="E297" s="12"/>
      <c r="F297" s="12"/>
    </row>
    <row r="298" ht="15.75" customHeight="1">
      <c r="A298" s="13"/>
      <c r="B298" s="13"/>
      <c r="C298" s="12"/>
      <c r="D298" s="12"/>
      <c r="E298" s="12"/>
      <c r="F298" s="12"/>
    </row>
    <row r="299" ht="15.75" customHeight="1">
      <c r="A299" s="13"/>
      <c r="B299" s="13"/>
      <c r="C299" s="12"/>
      <c r="D299" s="12"/>
      <c r="E299" s="12"/>
      <c r="F299" s="12"/>
    </row>
    <row r="300" ht="15.75" customHeight="1">
      <c r="A300" s="13"/>
      <c r="B300" s="13"/>
      <c r="C300" s="12"/>
      <c r="D300" s="12"/>
      <c r="E300" s="12"/>
      <c r="F300" s="12"/>
    </row>
    <row r="301" ht="15.75" customHeight="1">
      <c r="A301" s="13"/>
      <c r="B301" s="13"/>
      <c r="C301" s="12"/>
      <c r="D301" s="12"/>
      <c r="E301" s="12"/>
      <c r="F301" s="12"/>
    </row>
    <row r="302" ht="15.75" customHeight="1">
      <c r="A302" s="13"/>
      <c r="B302" s="13"/>
      <c r="C302" s="12"/>
      <c r="D302" s="12"/>
      <c r="E302" s="12"/>
      <c r="F302" s="12"/>
    </row>
    <row r="303" ht="15.75" customHeight="1">
      <c r="A303" s="13"/>
      <c r="B303" s="13"/>
      <c r="C303" s="12"/>
      <c r="D303" s="12"/>
      <c r="E303" s="12"/>
      <c r="F303" s="12"/>
    </row>
    <row r="304" ht="15.75" customHeight="1">
      <c r="A304" s="13"/>
      <c r="B304" s="13"/>
      <c r="C304" s="12"/>
      <c r="D304" s="12"/>
      <c r="E304" s="12"/>
      <c r="F304" s="12"/>
    </row>
    <row r="305" ht="15.75" customHeight="1">
      <c r="A305" s="13"/>
      <c r="B305" s="13"/>
      <c r="C305" s="12"/>
      <c r="D305" s="12"/>
      <c r="E305" s="12"/>
      <c r="F305" s="12"/>
    </row>
    <row r="306" ht="15.75" customHeight="1">
      <c r="A306" s="13"/>
      <c r="B306" s="13"/>
      <c r="C306" s="12"/>
      <c r="D306" s="12"/>
      <c r="E306" s="12"/>
      <c r="F306" s="12"/>
    </row>
    <row r="307" ht="15.75" customHeight="1">
      <c r="A307" s="13"/>
      <c r="B307" s="13"/>
      <c r="C307" s="12"/>
      <c r="D307" s="12"/>
      <c r="E307" s="12"/>
      <c r="F307" s="12"/>
    </row>
    <row r="308" ht="15.75" customHeight="1">
      <c r="A308" s="13"/>
      <c r="B308" s="13"/>
      <c r="C308" s="12"/>
      <c r="D308" s="12"/>
      <c r="E308" s="12"/>
      <c r="F308" s="12"/>
    </row>
    <row r="309" ht="15.75" customHeight="1">
      <c r="A309" s="13"/>
      <c r="B309" s="13"/>
      <c r="C309" s="12"/>
      <c r="D309" s="12"/>
      <c r="E309" s="12"/>
      <c r="F309" s="12"/>
    </row>
    <row r="310" ht="15.75" customHeight="1">
      <c r="A310" s="13"/>
      <c r="B310" s="13"/>
      <c r="C310" s="12"/>
      <c r="D310" s="12"/>
      <c r="E310" s="12"/>
      <c r="F310" s="12"/>
    </row>
    <row r="311" ht="15.75" customHeight="1">
      <c r="A311" s="13"/>
      <c r="B311" s="13"/>
      <c r="C311" s="12"/>
      <c r="D311" s="12"/>
      <c r="E311" s="12"/>
      <c r="F311" s="12"/>
    </row>
    <row r="312" ht="15.75" customHeight="1">
      <c r="A312" s="13"/>
      <c r="B312" s="13"/>
      <c r="C312" s="12"/>
      <c r="D312" s="12"/>
      <c r="E312" s="12"/>
      <c r="F312" s="12"/>
    </row>
    <row r="313" ht="15.75" customHeight="1">
      <c r="A313" s="13"/>
      <c r="B313" s="13"/>
      <c r="C313" s="12"/>
      <c r="D313" s="12"/>
      <c r="E313" s="12"/>
      <c r="F313" s="12"/>
    </row>
    <row r="314" ht="15.75" customHeight="1">
      <c r="A314" s="13"/>
      <c r="B314" s="13"/>
      <c r="C314" s="12"/>
      <c r="D314" s="12"/>
      <c r="E314" s="12"/>
      <c r="F314" s="12"/>
    </row>
    <row r="315" ht="15.75" customHeight="1">
      <c r="A315" s="13"/>
      <c r="B315" s="13"/>
      <c r="C315" s="12"/>
      <c r="D315" s="12"/>
      <c r="E315" s="12"/>
      <c r="F315" s="12"/>
    </row>
    <row r="316" ht="15.75" customHeight="1">
      <c r="A316" s="13"/>
      <c r="B316" s="13"/>
      <c r="C316" s="12"/>
      <c r="D316" s="12"/>
      <c r="E316" s="12"/>
      <c r="F316" s="12"/>
    </row>
    <row r="317" ht="15.75" customHeight="1">
      <c r="A317" s="13"/>
      <c r="B317" s="13"/>
      <c r="C317" s="12"/>
      <c r="D317" s="12"/>
      <c r="E317" s="12"/>
      <c r="F317" s="12"/>
    </row>
    <row r="318" ht="15.75" customHeight="1">
      <c r="A318" s="13"/>
      <c r="B318" s="13"/>
      <c r="C318" s="12"/>
      <c r="D318" s="12"/>
      <c r="E318" s="12"/>
      <c r="F318" s="12"/>
    </row>
    <row r="319" ht="15.75" customHeight="1">
      <c r="A319" s="13"/>
      <c r="B319" s="13"/>
      <c r="C319" s="12"/>
      <c r="D319" s="12"/>
      <c r="E319" s="12"/>
      <c r="F319" s="12"/>
    </row>
    <row r="320" ht="15.75" customHeight="1">
      <c r="A320" s="13"/>
      <c r="B320" s="13"/>
      <c r="C320" s="12"/>
      <c r="D320" s="12"/>
      <c r="E320" s="12"/>
      <c r="F320" s="12"/>
    </row>
    <row r="321" ht="15.75" customHeight="1">
      <c r="A321" s="13"/>
      <c r="B321" s="13"/>
      <c r="C321" s="12"/>
      <c r="D321" s="12"/>
      <c r="E321" s="12"/>
      <c r="F321" s="12"/>
    </row>
    <row r="322" ht="15.75" customHeight="1">
      <c r="A322" s="13"/>
      <c r="B322" s="13"/>
      <c r="C322" s="12"/>
      <c r="D322" s="12"/>
      <c r="E322" s="12"/>
      <c r="F322" s="12"/>
    </row>
    <row r="323" ht="15.75" customHeight="1">
      <c r="A323" s="13"/>
      <c r="B323" s="13"/>
      <c r="C323" s="12"/>
      <c r="D323" s="12"/>
      <c r="E323" s="12"/>
      <c r="F323" s="12"/>
    </row>
    <row r="324" ht="15.75" customHeight="1">
      <c r="A324" s="13"/>
      <c r="B324" s="13"/>
      <c r="C324" s="12"/>
      <c r="D324" s="12"/>
      <c r="E324" s="12"/>
      <c r="F324" s="12"/>
    </row>
    <row r="325" ht="15.75" customHeight="1">
      <c r="A325" s="13"/>
      <c r="B325" s="13"/>
      <c r="C325" s="12"/>
      <c r="D325" s="12"/>
      <c r="E325" s="12"/>
      <c r="F325" s="12"/>
    </row>
    <row r="326" ht="15.75" customHeight="1">
      <c r="A326" s="13"/>
      <c r="B326" s="13"/>
      <c r="C326" s="12"/>
      <c r="D326" s="12"/>
      <c r="E326" s="12"/>
      <c r="F326" s="12"/>
    </row>
    <row r="327" ht="15.75" customHeight="1">
      <c r="A327" s="13"/>
      <c r="B327" s="13"/>
      <c r="C327" s="12"/>
      <c r="D327" s="12"/>
      <c r="E327" s="12"/>
      <c r="F327" s="12"/>
    </row>
    <row r="328" ht="15.75" customHeight="1">
      <c r="A328" s="13"/>
      <c r="B328" s="13"/>
      <c r="C328" s="12"/>
      <c r="D328" s="12"/>
      <c r="E328" s="12"/>
      <c r="F328" s="12"/>
    </row>
    <row r="329" ht="15.75" customHeight="1">
      <c r="A329" s="13"/>
      <c r="B329" s="13"/>
      <c r="C329" s="12"/>
      <c r="D329" s="12"/>
      <c r="E329" s="12"/>
      <c r="F329" s="12"/>
    </row>
    <row r="330" ht="15.75" customHeight="1">
      <c r="A330" s="13"/>
      <c r="B330" s="13"/>
      <c r="C330" s="12"/>
      <c r="D330" s="12"/>
      <c r="E330" s="12"/>
      <c r="F330" s="12"/>
    </row>
    <row r="331" ht="15.75" customHeight="1">
      <c r="A331" s="13"/>
      <c r="B331" s="13"/>
      <c r="C331" s="12"/>
      <c r="D331" s="12"/>
      <c r="E331" s="12"/>
      <c r="F331" s="12"/>
    </row>
    <row r="332" ht="15.75" customHeight="1">
      <c r="A332" s="13"/>
      <c r="B332" s="13"/>
      <c r="C332" s="12"/>
      <c r="D332" s="12"/>
      <c r="E332" s="12"/>
      <c r="F332" s="12"/>
    </row>
    <row r="333" ht="15.75" customHeight="1">
      <c r="A333" s="13"/>
      <c r="B333" s="13"/>
      <c r="C333" s="12"/>
      <c r="D333" s="12"/>
      <c r="E333" s="12"/>
      <c r="F333" s="12"/>
    </row>
    <row r="334" ht="15.75" customHeight="1">
      <c r="A334" s="13"/>
      <c r="B334" s="13"/>
      <c r="C334" s="12"/>
      <c r="D334" s="12"/>
      <c r="E334" s="12"/>
      <c r="F334" s="12"/>
    </row>
    <row r="335" ht="15.75" customHeight="1">
      <c r="A335" s="13"/>
      <c r="B335" s="13"/>
      <c r="C335" s="12"/>
      <c r="D335" s="12"/>
      <c r="E335" s="12"/>
      <c r="F335" s="12"/>
    </row>
    <row r="336" ht="15.75" customHeight="1">
      <c r="A336" s="13"/>
      <c r="B336" s="13"/>
      <c r="C336" s="12"/>
      <c r="D336" s="12"/>
      <c r="E336" s="12"/>
      <c r="F336" s="12"/>
    </row>
    <row r="337" ht="15.75" customHeight="1">
      <c r="A337" s="13"/>
      <c r="B337" s="13"/>
      <c r="C337" s="12"/>
      <c r="D337" s="12"/>
      <c r="E337" s="12"/>
      <c r="F337" s="12"/>
    </row>
    <row r="338" ht="15.75" customHeight="1">
      <c r="A338" s="13"/>
      <c r="B338" s="13"/>
      <c r="C338" s="12"/>
      <c r="D338" s="12"/>
      <c r="E338" s="12"/>
      <c r="F338" s="12"/>
    </row>
    <row r="339" ht="15.75" customHeight="1">
      <c r="A339" s="13"/>
      <c r="B339" s="13"/>
      <c r="C339" s="12"/>
      <c r="D339" s="12"/>
      <c r="E339" s="12"/>
      <c r="F339" s="12"/>
    </row>
    <row r="340" ht="15.75" customHeight="1">
      <c r="A340" s="13"/>
      <c r="B340" s="13"/>
      <c r="C340" s="12"/>
      <c r="D340" s="12"/>
      <c r="E340" s="12"/>
      <c r="F340" s="12"/>
    </row>
    <row r="341" ht="15.75" customHeight="1">
      <c r="A341" s="13"/>
      <c r="B341" s="13"/>
      <c r="C341" s="12"/>
      <c r="D341" s="12"/>
      <c r="E341" s="12"/>
      <c r="F341" s="12"/>
    </row>
    <row r="342" ht="15.75" customHeight="1">
      <c r="A342" s="13"/>
      <c r="B342" s="13"/>
      <c r="C342" s="12"/>
      <c r="D342" s="12"/>
      <c r="E342" s="12"/>
      <c r="F342" s="12"/>
    </row>
    <row r="343" ht="15.75" customHeight="1">
      <c r="A343" s="13"/>
      <c r="B343" s="13"/>
      <c r="C343" s="12"/>
      <c r="D343" s="12"/>
      <c r="E343" s="12"/>
      <c r="F343" s="12"/>
    </row>
    <row r="344" ht="15.75" customHeight="1">
      <c r="A344" s="13"/>
      <c r="B344" s="13"/>
      <c r="C344" s="12"/>
      <c r="D344" s="12"/>
      <c r="E344" s="12"/>
      <c r="F344" s="12"/>
    </row>
    <row r="345" ht="15.75" customHeight="1">
      <c r="A345" s="13"/>
      <c r="B345" s="13"/>
      <c r="C345" s="12"/>
      <c r="D345" s="12"/>
      <c r="E345" s="12"/>
      <c r="F345" s="12"/>
    </row>
    <row r="346" ht="15.75" customHeight="1">
      <c r="A346" s="13"/>
      <c r="B346" s="13"/>
      <c r="C346" s="12"/>
      <c r="D346" s="12"/>
      <c r="E346" s="12"/>
      <c r="F346" s="12"/>
    </row>
    <row r="347" ht="15.75" customHeight="1">
      <c r="A347" s="13"/>
      <c r="B347" s="13"/>
      <c r="C347" s="12"/>
      <c r="D347" s="12"/>
      <c r="E347" s="12"/>
      <c r="F347" s="12"/>
    </row>
    <row r="348" ht="15.75" customHeight="1">
      <c r="A348" s="13"/>
      <c r="B348" s="13"/>
      <c r="C348" s="12"/>
      <c r="D348" s="12"/>
      <c r="E348" s="12"/>
      <c r="F348" s="12"/>
    </row>
    <row r="349" ht="15.75" customHeight="1">
      <c r="A349" s="13"/>
      <c r="B349" s="13"/>
      <c r="C349" s="12"/>
      <c r="D349" s="12"/>
      <c r="E349" s="12"/>
      <c r="F349" s="12"/>
    </row>
    <row r="350" ht="15.75" customHeight="1">
      <c r="A350" s="13"/>
      <c r="B350" s="13"/>
      <c r="C350" s="12"/>
      <c r="D350" s="12"/>
      <c r="E350" s="12"/>
      <c r="F350" s="12"/>
    </row>
    <row r="351" ht="15.75" customHeight="1">
      <c r="A351" s="13"/>
      <c r="B351" s="13"/>
      <c r="C351" s="12"/>
      <c r="D351" s="12"/>
      <c r="E351" s="12"/>
      <c r="F351" s="12"/>
    </row>
    <row r="352" ht="15.75" customHeight="1">
      <c r="A352" s="13"/>
      <c r="B352" s="13"/>
      <c r="C352" s="12"/>
      <c r="D352" s="12"/>
      <c r="E352" s="12"/>
      <c r="F352" s="12"/>
    </row>
    <row r="353" ht="15.75" customHeight="1">
      <c r="A353" s="13"/>
      <c r="B353" s="13"/>
      <c r="C353" s="12"/>
      <c r="D353" s="12"/>
      <c r="E353" s="12"/>
      <c r="F353" s="12"/>
    </row>
    <row r="354" ht="15.75" customHeight="1">
      <c r="A354" s="13"/>
      <c r="B354" s="13"/>
      <c r="C354" s="12"/>
      <c r="D354" s="12"/>
      <c r="E354" s="12"/>
      <c r="F354" s="12"/>
    </row>
    <row r="355" ht="15.75" customHeight="1">
      <c r="A355" s="13"/>
      <c r="B355" s="13"/>
      <c r="C355" s="12"/>
      <c r="D355" s="12"/>
      <c r="E355" s="12"/>
      <c r="F355" s="12"/>
    </row>
    <row r="356" ht="15.75" customHeight="1">
      <c r="A356" s="13"/>
      <c r="B356" s="13"/>
      <c r="C356" s="12"/>
      <c r="D356" s="12"/>
      <c r="E356" s="12"/>
      <c r="F356" s="12"/>
    </row>
    <row r="357" ht="15.75" customHeight="1">
      <c r="A357" s="13"/>
      <c r="B357" s="13"/>
      <c r="C357" s="12"/>
      <c r="D357" s="12"/>
      <c r="E357" s="12"/>
      <c r="F357" s="12"/>
    </row>
    <row r="358" ht="15.75" customHeight="1">
      <c r="A358" s="13"/>
      <c r="B358" s="13"/>
      <c r="C358" s="12"/>
      <c r="D358" s="12"/>
      <c r="E358" s="12"/>
      <c r="F358" s="12"/>
    </row>
    <row r="359" ht="15.75" customHeight="1">
      <c r="A359" s="13"/>
      <c r="B359" s="13"/>
      <c r="C359" s="12"/>
      <c r="D359" s="12"/>
      <c r="E359" s="12"/>
      <c r="F359" s="12"/>
    </row>
    <row r="360" ht="15.75" customHeight="1">
      <c r="A360" s="13"/>
      <c r="B360" s="13"/>
      <c r="C360" s="12"/>
      <c r="D360" s="12"/>
      <c r="E360" s="12"/>
      <c r="F360" s="12"/>
    </row>
    <row r="361" ht="15.75" customHeight="1">
      <c r="A361" s="13"/>
      <c r="B361" s="13"/>
      <c r="C361" s="12"/>
      <c r="D361" s="12"/>
      <c r="E361" s="12"/>
      <c r="F361" s="12"/>
    </row>
    <row r="362" ht="15.75" customHeight="1">
      <c r="A362" s="13"/>
      <c r="B362" s="13"/>
      <c r="C362" s="12"/>
      <c r="D362" s="12"/>
      <c r="E362" s="12"/>
      <c r="F362" s="12"/>
    </row>
    <row r="363" ht="15.75" customHeight="1">
      <c r="A363" s="13"/>
      <c r="B363" s="13"/>
      <c r="C363" s="12"/>
      <c r="D363" s="12"/>
      <c r="E363" s="12"/>
      <c r="F363" s="12"/>
    </row>
    <row r="364" ht="15.75" customHeight="1">
      <c r="A364" s="13"/>
      <c r="B364" s="13"/>
      <c r="C364" s="12"/>
      <c r="D364" s="12"/>
      <c r="E364" s="12"/>
      <c r="F364" s="12"/>
    </row>
    <row r="365" ht="15.75" customHeight="1">
      <c r="A365" s="13"/>
      <c r="B365" s="13"/>
      <c r="C365" s="12"/>
      <c r="D365" s="12"/>
      <c r="E365" s="12"/>
      <c r="F365" s="12"/>
    </row>
    <row r="366" ht="15.75" customHeight="1">
      <c r="A366" s="13"/>
      <c r="B366" s="13"/>
      <c r="C366" s="12"/>
      <c r="D366" s="12"/>
      <c r="E366" s="12"/>
      <c r="F366" s="12"/>
    </row>
    <row r="367" ht="15.75" customHeight="1">
      <c r="A367" s="13"/>
      <c r="B367" s="13"/>
      <c r="C367" s="12"/>
      <c r="D367" s="12"/>
      <c r="E367" s="12"/>
      <c r="F367" s="12"/>
    </row>
    <row r="368" ht="15.75" customHeight="1">
      <c r="A368" s="13"/>
      <c r="B368" s="13"/>
      <c r="C368" s="12"/>
      <c r="D368" s="12"/>
      <c r="E368" s="12"/>
      <c r="F368" s="12"/>
    </row>
    <row r="369" ht="15.75" customHeight="1">
      <c r="A369" s="13"/>
      <c r="B369" s="13"/>
      <c r="C369" s="12"/>
      <c r="D369" s="12"/>
      <c r="E369" s="12"/>
      <c r="F369" s="12"/>
    </row>
    <row r="370" ht="15.75" customHeight="1">
      <c r="A370" s="13"/>
      <c r="B370" s="13"/>
      <c r="C370" s="12"/>
      <c r="D370" s="12"/>
      <c r="E370" s="12"/>
      <c r="F370" s="12"/>
    </row>
    <row r="371" ht="15.75" customHeight="1">
      <c r="A371" s="13"/>
      <c r="B371" s="13"/>
      <c r="C371" s="12"/>
      <c r="D371" s="12"/>
      <c r="E371" s="12"/>
      <c r="F371" s="12"/>
    </row>
    <row r="372" ht="15.75" customHeight="1">
      <c r="A372" s="13"/>
      <c r="B372" s="13"/>
      <c r="C372" s="12"/>
      <c r="D372" s="12"/>
      <c r="E372" s="12"/>
      <c r="F372" s="12"/>
    </row>
    <row r="373" ht="15.75" customHeight="1">
      <c r="A373" s="13"/>
      <c r="B373" s="13"/>
      <c r="C373" s="12"/>
      <c r="D373" s="12"/>
      <c r="E373" s="12"/>
      <c r="F373" s="12"/>
    </row>
    <row r="374" ht="15.75" customHeight="1">
      <c r="A374" s="13"/>
      <c r="B374" s="13"/>
      <c r="C374" s="12"/>
      <c r="D374" s="12"/>
      <c r="E374" s="12"/>
      <c r="F374" s="12"/>
    </row>
    <row r="375" ht="15.75" customHeight="1">
      <c r="A375" s="13"/>
      <c r="B375" s="13"/>
      <c r="C375" s="12"/>
      <c r="D375" s="12"/>
      <c r="E375" s="12"/>
      <c r="F375" s="12"/>
    </row>
    <row r="376" ht="15.75" customHeight="1">
      <c r="A376" s="13"/>
      <c r="B376" s="13"/>
      <c r="C376" s="12"/>
      <c r="D376" s="12"/>
      <c r="E376" s="12"/>
      <c r="F376" s="12"/>
    </row>
    <row r="377" ht="15.75" customHeight="1">
      <c r="A377" s="13"/>
      <c r="B377" s="13"/>
      <c r="C377" s="12"/>
      <c r="D377" s="12"/>
      <c r="E377" s="12"/>
      <c r="F377" s="12"/>
    </row>
    <row r="378" ht="15.75" customHeight="1">
      <c r="A378" s="13"/>
      <c r="B378" s="13"/>
      <c r="C378" s="12"/>
      <c r="D378" s="12"/>
      <c r="E378" s="12"/>
      <c r="F378" s="12"/>
    </row>
    <row r="379" ht="15.75" customHeight="1">
      <c r="A379" s="13"/>
      <c r="B379" s="13"/>
      <c r="C379" s="12"/>
      <c r="D379" s="12"/>
      <c r="E379" s="12"/>
      <c r="F379" s="12"/>
    </row>
    <row r="380" ht="15.75" customHeight="1">
      <c r="A380" s="13"/>
      <c r="B380" s="13"/>
      <c r="C380" s="12"/>
      <c r="D380" s="12"/>
      <c r="E380" s="12"/>
      <c r="F380" s="12"/>
    </row>
    <row r="381" ht="15.75" customHeight="1">
      <c r="A381" s="13"/>
      <c r="B381" s="13"/>
      <c r="C381" s="12"/>
      <c r="D381" s="12"/>
      <c r="E381" s="12"/>
      <c r="F381" s="12"/>
    </row>
    <row r="382" ht="15.75" customHeight="1">
      <c r="A382" s="13"/>
      <c r="B382" s="13"/>
      <c r="C382" s="12"/>
      <c r="D382" s="12"/>
      <c r="E382" s="12"/>
      <c r="F382" s="12"/>
    </row>
    <row r="383" ht="15.75" customHeight="1">
      <c r="A383" s="13"/>
      <c r="B383" s="13"/>
      <c r="C383" s="12"/>
      <c r="D383" s="12"/>
      <c r="E383" s="12"/>
      <c r="F383" s="12"/>
    </row>
    <row r="384" ht="15.75" customHeight="1">
      <c r="A384" s="13"/>
      <c r="B384" s="13"/>
      <c r="C384" s="12"/>
      <c r="D384" s="12"/>
      <c r="E384" s="12"/>
      <c r="F384" s="12"/>
    </row>
    <row r="385" ht="15.75" customHeight="1">
      <c r="A385" s="13"/>
      <c r="B385" s="13"/>
      <c r="C385" s="12"/>
      <c r="D385" s="12"/>
      <c r="E385" s="12"/>
      <c r="F385" s="12"/>
    </row>
    <row r="386" ht="15.75" customHeight="1">
      <c r="A386" s="13"/>
      <c r="B386" s="13"/>
      <c r="C386" s="12"/>
      <c r="D386" s="12"/>
      <c r="E386" s="12"/>
      <c r="F386" s="12"/>
    </row>
    <row r="387" ht="15.75" customHeight="1">
      <c r="A387" s="13"/>
      <c r="B387" s="13"/>
      <c r="C387" s="12"/>
      <c r="D387" s="12"/>
      <c r="E387" s="12"/>
      <c r="F387" s="12"/>
    </row>
    <row r="388" ht="15.75" customHeight="1">
      <c r="A388" s="13"/>
      <c r="B388" s="13"/>
      <c r="C388" s="12"/>
      <c r="D388" s="12"/>
      <c r="E388" s="12"/>
      <c r="F388" s="12"/>
    </row>
    <row r="389" ht="15.75" customHeight="1">
      <c r="A389" s="13"/>
      <c r="B389" s="13"/>
      <c r="C389" s="12"/>
      <c r="D389" s="12"/>
      <c r="E389" s="12"/>
      <c r="F389" s="12"/>
    </row>
    <row r="390" ht="15.75" customHeight="1">
      <c r="A390" s="13"/>
      <c r="B390" s="13"/>
      <c r="C390" s="12"/>
      <c r="D390" s="12"/>
      <c r="E390" s="12"/>
      <c r="F390" s="12"/>
    </row>
    <row r="391" ht="15.75" customHeight="1">
      <c r="A391" s="13"/>
      <c r="B391" s="13"/>
      <c r="C391" s="12"/>
      <c r="D391" s="12"/>
      <c r="E391" s="12"/>
      <c r="F391" s="12"/>
    </row>
    <row r="392" ht="15.75" customHeight="1">
      <c r="A392" s="13"/>
      <c r="B392" s="13"/>
      <c r="C392" s="12"/>
      <c r="D392" s="12"/>
      <c r="E392" s="12"/>
      <c r="F392" s="12"/>
    </row>
    <row r="393" ht="15.75" customHeight="1">
      <c r="A393" s="13"/>
      <c r="B393" s="13"/>
      <c r="C393" s="12"/>
      <c r="D393" s="12"/>
      <c r="E393" s="12"/>
      <c r="F393" s="12"/>
    </row>
    <row r="394" ht="15.75" customHeight="1">
      <c r="A394" s="13"/>
      <c r="B394" s="13"/>
      <c r="C394" s="12"/>
      <c r="D394" s="12"/>
      <c r="E394" s="12"/>
      <c r="F394" s="12"/>
    </row>
    <row r="395" ht="15.75" customHeight="1">
      <c r="A395" s="13"/>
      <c r="B395" s="13"/>
      <c r="C395" s="12"/>
      <c r="D395" s="12"/>
      <c r="E395" s="12"/>
      <c r="F395" s="12"/>
    </row>
    <row r="396" ht="15.75" customHeight="1">
      <c r="A396" s="13"/>
      <c r="B396" s="13"/>
      <c r="C396" s="12"/>
      <c r="D396" s="12"/>
      <c r="E396" s="12"/>
      <c r="F396" s="12"/>
    </row>
    <row r="397" ht="15.75" customHeight="1">
      <c r="A397" s="13"/>
      <c r="B397" s="13"/>
      <c r="C397" s="12"/>
      <c r="D397" s="12"/>
      <c r="E397" s="12"/>
      <c r="F397" s="12"/>
    </row>
    <row r="398" ht="15.75" customHeight="1">
      <c r="A398" s="13"/>
      <c r="B398" s="13"/>
      <c r="C398" s="12"/>
      <c r="D398" s="12"/>
      <c r="E398" s="12"/>
      <c r="F398" s="12"/>
    </row>
    <row r="399" ht="15.75" customHeight="1">
      <c r="A399" s="13"/>
      <c r="B399" s="13"/>
      <c r="C399" s="12"/>
      <c r="D399" s="12"/>
      <c r="E399" s="12"/>
      <c r="F399" s="12"/>
    </row>
    <row r="400" ht="15.75" customHeight="1">
      <c r="A400" s="13"/>
      <c r="B400" s="13"/>
      <c r="C400" s="12"/>
      <c r="D400" s="12"/>
      <c r="E400" s="12"/>
      <c r="F400" s="12"/>
    </row>
    <row r="401" ht="15.75" customHeight="1">
      <c r="A401" s="13"/>
      <c r="B401" s="13"/>
      <c r="C401" s="12"/>
      <c r="D401" s="12"/>
      <c r="E401" s="12"/>
      <c r="F401" s="12"/>
    </row>
    <row r="402" ht="15.75" customHeight="1">
      <c r="A402" s="13"/>
      <c r="B402" s="13"/>
      <c r="C402" s="12"/>
      <c r="D402" s="12"/>
      <c r="E402" s="12"/>
      <c r="F402" s="12"/>
    </row>
    <row r="403" ht="15.75" customHeight="1">
      <c r="A403" s="13"/>
      <c r="B403" s="13"/>
      <c r="C403" s="12"/>
      <c r="D403" s="12"/>
      <c r="E403" s="12"/>
      <c r="F403" s="12"/>
    </row>
    <row r="404" ht="15.75" customHeight="1">
      <c r="A404" s="13"/>
      <c r="B404" s="13"/>
      <c r="C404" s="12"/>
      <c r="D404" s="12"/>
      <c r="E404" s="12"/>
      <c r="F404" s="12"/>
    </row>
    <row r="405" ht="15.75" customHeight="1">
      <c r="A405" s="13"/>
      <c r="B405" s="13"/>
      <c r="C405" s="12"/>
      <c r="D405" s="12"/>
      <c r="E405" s="12"/>
      <c r="F405" s="12"/>
    </row>
    <row r="406" ht="15.75" customHeight="1">
      <c r="A406" s="13"/>
      <c r="B406" s="13"/>
      <c r="C406" s="12"/>
      <c r="D406" s="12"/>
      <c r="E406" s="12"/>
      <c r="F406" s="12"/>
    </row>
    <row r="407" ht="15.75" customHeight="1">
      <c r="A407" s="13"/>
      <c r="B407" s="13"/>
      <c r="C407" s="12"/>
      <c r="D407" s="12"/>
      <c r="E407" s="12"/>
      <c r="F407" s="12"/>
    </row>
    <row r="408" ht="15.75" customHeight="1">
      <c r="A408" s="13"/>
      <c r="B408" s="13"/>
      <c r="C408" s="12"/>
      <c r="D408" s="12"/>
      <c r="E408" s="12"/>
      <c r="F408" s="12"/>
    </row>
    <row r="409" ht="15.75" customHeight="1">
      <c r="A409" s="13"/>
      <c r="B409" s="13"/>
      <c r="C409" s="12"/>
      <c r="D409" s="12"/>
      <c r="E409" s="12"/>
      <c r="F409" s="12"/>
    </row>
    <row r="410" ht="15.75" customHeight="1">
      <c r="A410" s="13"/>
      <c r="B410" s="13"/>
      <c r="C410" s="12"/>
      <c r="D410" s="12"/>
      <c r="E410" s="12"/>
      <c r="F410" s="12"/>
    </row>
    <row r="411" ht="15.75" customHeight="1">
      <c r="A411" s="13"/>
      <c r="B411" s="13"/>
      <c r="C411" s="12"/>
      <c r="D411" s="12"/>
      <c r="E411" s="12"/>
      <c r="F411" s="12"/>
    </row>
    <row r="412" ht="15.75" customHeight="1">
      <c r="A412" s="13"/>
      <c r="B412" s="13"/>
      <c r="C412" s="12"/>
      <c r="D412" s="12"/>
      <c r="E412" s="12"/>
      <c r="F412" s="12"/>
    </row>
    <row r="413" ht="15.75" customHeight="1">
      <c r="A413" s="13"/>
      <c r="B413" s="13"/>
      <c r="C413" s="12"/>
      <c r="D413" s="12"/>
      <c r="E413" s="12"/>
      <c r="F413" s="12"/>
    </row>
    <row r="414" ht="15.75" customHeight="1">
      <c r="A414" s="13"/>
      <c r="B414" s="13"/>
      <c r="C414" s="12"/>
      <c r="D414" s="12"/>
      <c r="E414" s="12"/>
      <c r="F414" s="12"/>
    </row>
    <row r="415" ht="15.75" customHeight="1">
      <c r="A415" s="13"/>
      <c r="B415" s="13"/>
      <c r="C415" s="12"/>
      <c r="D415" s="12"/>
      <c r="E415" s="12"/>
      <c r="F415" s="12"/>
    </row>
    <row r="416" ht="15.75" customHeight="1">
      <c r="A416" s="13"/>
      <c r="B416" s="13"/>
      <c r="C416" s="12"/>
      <c r="D416" s="12"/>
      <c r="E416" s="12"/>
      <c r="F416" s="12"/>
    </row>
    <row r="417" ht="15.75" customHeight="1">
      <c r="A417" s="13"/>
      <c r="B417" s="13"/>
      <c r="C417" s="12"/>
      <c r="D417" s="12"/>
      <c r="E417" s="12"/>
      <c r="F417" s="12"/>
    </row>
    <row r="418" ht="15.75" customHeight="1">
      <c r="A418" s="13"/>
      <c r="B418" s="13"/>
      <c r="C418" s="12"/>
      <c r="D418" s="12"/>
      <c r="E418" s="12"/>
      <c r="F418" s="12"/>
    </row>
    <row r="419" ht="15.75" customHeight="1">
      <c r="A419" s="13"/>
      <c r="B419" s="13"/>
      <c r="C419" s="12"/>
      <c r="D419" s="12"/>
      <c r="E419" s="12"/>
      <c r="F419" s="12"/>
    </row>
    <row r="420" ht="15.75" customHeight="1">
      <c r="A420" s="13"/>
      <c r="B420" s="13"/>
      <c r="C420" s="12"/>
      <c r="D420" s="12"/>
      <c r="E420" s="12"/>
      <c r="F420" s="12"/>
    </row>
    <row r="421" ht="15.75" customHeight="1">
      <c r="A421" s="13"/>
      <c r="B421" s="13"/>
      <c r="C421" s="12"/>
      <c r="D421" s="12"/>
      <c r="E421" s="12"/>
      <c r="F421" s="12"/>
    </row>
    <row r="422" ht="15.75" customHeight="1">
      <c r="A422" s="13"/>
      <c r="B422" s="13"/>
      <c r="C422" s="12"/>
      <c r="D422" s="12"/>
      <c r="E422" s="12"/>
      <c r="F422" s="12"/>
    </row>
    <row r="423" ht="15.75" customHeight="1">
      <c r="A423" s="13"/>
      <c r="B423" s="13"/>
      <c r="C423" s="12"/>
      <c r="D423" s="12"/>
      <c r="E423" s="12"/>
      <c r="F423" s="12"/>
    </row>
    <row r="424" ht="15.75" customHeight="1">
      <c r="A424" s="13"/>
      <c r="B424" s="13"/>
      <c r="C424" s="12"/>
      <c r="D424" s="12"/>
      <c r="E424" s="12"/>
      <c r="F424" s="12"/>
    </row>
    <row r="425" ht="15.75" customHeight="1">
      <c r="A425" s="13"/>
      <c r="B425" s="13"/>
      <c r="C425" s="12"/>
      <c r="D425" s="12"/>
      <c r="E425" s="12"/>
      <c r="F425" s="12"/>
    </row>
    <row r="426" ht="15.75" customHeight="1">
      <c r="A426" s="13"/>
      <c r="B426" s="13"/>
      <c r="C426" s="12"/>
      <c r="D426" s="12"/>
      <c r="E426" s="12"/>
      <c r="F426" s="12"/>
    </row>
    <row r="427" ht="15.75" customHeight="1">
      <c r="A427" s="13"/>
      <c r="B427" s="13"/>
      <c r="C427" s="12"/>
      <c r="D427" s="12"/>
      <c r="E427" s="12"/>
      <c r="F427" s="12"/>
    </row>
    <row r="428" ht="15.75" customHeight="1">
      <c r="A428" s="13"/>
      <c r="B428" s="13"/>
      <c r="C428" s="12"/>
      <c r="D428" s="12"/>
      <c r="E428" s="12"/>
      <c r="F428" s="12"/>
    </row>
    <row r="429" ht="15.75" customHeight="1">
      <c r="A429" s="13"/>
      <c r="B429" s="13"/>
      <c r="C429" s="12"/>
      <c r="D429" s="12"/>
      <c r="E429" s="12"/>
      <c r="F429" s="12"/>
    </row>
    <row r="430" ht="15.75" customHeight="1">
      <c r="A430" s="13"/>
      <c r="B430" s="13"/>
      <c r="C430" s="12"/>
      <c r="D430" s="12"/>
      <c r="E430" s="12"/>
      <c r="F430" s="12"/>
    </row>
    <row r="431" ht="15.75" customHeight="1">
      <c r="A431" s="13"/>
      <c r="B431" s="13"/>
      <c r="C431" s="12"/>
      <c r="D431" s="12"/>
      <c r="E431" s="12"/>
      <c r="F431" s="12"/>
    </row>
    <row r="432" ht="15.75" customHeight="1">
      <c r="A432" s="13"/>
      <c r="B432" s="13"/>
      <c r="C432" s="12"/>
      <c r="D432" s="12"/>
      <c r="E432" s="12"/>
      <c r="F432" s="12"/>
    </row>
    <row r="433" ht="15.75" customHeight="1">
      <c r="A433" s="13"/>
      <c r="B433" s="13"/>
      <c r="C433" s="12"/>
      <c r="D433" s="12"/>
      <c r="E433" s="12"/>
      <c r="F433" s="12"/>
    </row>
    <row r="434" ht="15.75" customHeight="1">
      <c r="A434" s="13"/>
      <c r="B434" s="13"/>
      <c r="C434" s="12"/>
      <c r="D434" s="12"/>
      <c r="E434" s="12"/>
      <c r="F434" s="12"/>
    </row>
    <row r="435" ht="15.75" customHeight="1">
      <c r="A435" s="13"/>
      <c r="B435" s="13"/>
      <c r="C435" s="12"/>
      <c r="D435" s="12"/>
      <c r="E435" s="12"/>
      <c r="F435" s="12"/>
    </row>
    <row r="436" ht="15.75" customHeight="1">
      <c r="A436" s="13"/>
      <c r="B436" s="13"/>
      <c r="C436" s="12"/>
      <c r="D436" s="12"/>
      <c r="E436" s="12"/>
      <c r="F436" s="12"/>
    </row>
    <row r="437" ht="15.75" customHeight="1">
      <c r="A437" s="13"/>
      <c r="B437" s="13"/>
      <c r="C437" s="12"/>
      <c r="D437" s="12"/>
      <c r="E437" s="12"/>
      <c r="F437" s="12"/>
    </row>
    <row r="438" ht="15.75" customHeight="1">
      <c r="A438" s="13"/>
      <c r="B438" s="13"/>
      <c r="C438" s="12"/>
      <c r="D438" s="12"/>
      <c r="E438" s="12"/>
      <c r="F438" s="12"/>
    </row>
    <row r="439" ht="15.75" customHeight="1">
      <c r="A439" s="13"/>
      <c r="B439" s="13"/>
      <c r="C439" s="12"/>
      <c r="D439" s="12"/>
      <c r="E439" s="12"/>
      <c r="F439" s="12"/>
    </row>
    <row r="440" ht="15.75" customHeight="1">
      <c r="A440" s="13"/>
      <c r="B440" s="13"/>
      <c r="C440" s="12"/>
      <c r="D440" s="12"/>
      <c r="E440" s="12"/>
      <c r="F440" s="12"/>
    </row>
    <row r="441" ht="15.75" customHeight="1">
      <c r="A441" s="13"/>
      <c r="B441" s="13"/>
      <c r="C441" s="12"/>
      <c r="D441" s="12"/>
      <c r="E441" s="12"/>
      <c r="F441" s="12"/>
    </row>
    <row r="442" ht="15.75" customHeight="1">
      <c r="A442" s="13"/>
      <c r="B442" s="13"/>
      <c r="C442" s="12"/>
      <c r="D442" s="12"/>
      <c r="E442" s="12"/>
      <c r="F442" s="12"/>
    </row>
    <row r="443" ht="15.75" customHeight="1">
      <c r="A443" s="13"/>
      <c r="B443" s="13"/>
      <c r="C443" s="12"/>
      <c r="D443" s="12"/>
      <c r="E443" s="12"/>
      <c r="F443" s="12"/>
    </row>
    <row r="444" ht="15.75" customHeight="1">
      <c r="A444" s="13"/>
      <c r="B444" s="13"/>
      <c r="C444" s="12"/>
      <c r="D444" s="12"/>
      <c r="E444" s="12"/>
      <c r="F444" s="12"/>
    </row>
    <row r="445" ht="15.75" customHeight="1">
      <c r="A445" s="13"/>
      <c r="B445" s="13"/>
      <c r="C445" s="12"/>
      <c r="D445" s="12"/>
      <c r="E445" s="12"/>
      <c r="F445" s="12"/>
    </row>
    <row r="446" ht="15.75" customHeight="1">
      <c r="A446" s="13"/>
      <c r="B446" s="13"/>
      <c r="C446" s="12"/>
      <c r="D446" s="12"/>
      <c r="E446" s="12"/>
      <c r="F446" s="12"/>
    </row>
    <row r="447" ht="15.75" customHeight="1">
      <c r="A447" s="13"/>
      <c r="B447" s="13"/>
      <c r="C447" s="12"/>
      <c r="D447" s="12"/>
      <c r="E447" s="12"/>
      <c r="F447" s="12"/>
    </row>
    <row r="448" ht="15.75" customHeight="1">
      <c r="A448" s="13"/>
      <c r="B448" s="13"/>
      <c r="C448" s="12"/>
      <c r="D448" s="12"/>
      <c r="E448" s="12"/>
      <c r="F448" s="12"/>
    </row>
    <row r="449" ht="15.75" customHeight="1">
      <c r="A449" s="13"/>
      <c r="B449" s="13"/>
      <c r="C449" s="12"/>
      <c r="D449" s="12"/>
      <c r="E449" s="12"/>
      <c r="F449" s="12"/>
    </row>
    <row r="450" ht="15.75" customHeight="1">
      <c r="A450" s="13"/>
      <c r="B450" s="13"/>
      <c r="C450" s="12"/>
      <c r="D450" s="12"/>
      <c r="E450" s="12"/>
      <c r="F450" s="12"/>
    </row>
    <row r="451" ht="15.75" customHeight="1">
      <c r="A451" s="13"/>
      <c r="B451" s="13"/>
      <c r="C451" s="12"/>
      <c r="D451" s="12"/>
      <c r="E451" s="12"/>
      <c r="F451" s="12"/>
    </row>
    <row r="452" ht="15.75" customHeight="1">
      <c r="A452" s="13"/>
      <c r="B452" s="13"/>
      <c r="C452" s="12"/>
      <c r="D452" s="12"/>
      <c r="E452" s="12"/>
      <c r="F452" s="12"/>
    </row>
    <row r="453" ht="15.75" customHeight="1">
      <c r="A453" s="13"/>
      <c r="B453" s="13"/>
      <c r="C453" s="12"/>
      <c r="D453" s="12"/>
      <c r="E453" s="12"/>
      <c r="F453" s="12"/>
    </row>
    <row r="454" ht="15.75" customHeight="1">
      <c r="A454" s="13"/>
      <c r="B454" s="13"/>
      <c r="C454" s="12"/>
      <c r="D454" s="12"/>
      <c r="E454" s="12"/>
      <c r="F454" s="12"/>
    </row>
    <row r="455" ht="15.75" customHeight="1">
      <c r="A455" s="13"/>
      <c r="B455" s="13"/>
      <c r="C455" s="12"/>
      <c r="D455" s="12"/>
      <c r="E455" s="12"/>
      <c r="F455" s="12"/>
    </row>
    <row r="456" ht="15.75" customHeight="1">
      <c r="A456" s="13"/>
      <c r="B456" s="13"/>
      <c r="C456" s="12"/>
      <c r="D456" s="12"/>
      <c r="E456" s="12"/>
      <c r="F456" s="12"/>
    </row>
    <row r="457" ht="15.75" customHeight="1">
      <c r="A457" s="13"/>
      <c r="B457" s="13"/>
      <c r="C457" s="12"/>
      <c r="D457" s="12"/>
      <c r="E457" s="12"/>
      <c r="F457" s="12"/>
    </row>
    <row r="458" ht="15.75" customHeight="1">
      <c r="A458" s="13"/>
      <c r="B458" s="13"/>
      <c r="C458" s="12"/>
      <c r="D458" s="12"/>
      <c r="E458" s="12"/>
      <c r="F458" s="12"/>
    </row>
    <row r="459" ht="15.75" customHeight="1">
      <c r="A459" s="13"/>
      <c r="B459" s="13"/>
      <c r="C459" s="12"/>
      <c r="D459" s="12"/>
      <c r="E459" s="12"/>
      <c r="F459" s="12"/>
    </row>
    <row r="460" ht="15.75" customHeight="1">
      <c r="A460" s="13"/>
      <c r="B460" s="13"/>
      <c r="C460" s="12"/>
      <c r="D460" s="12"/>
      <c r="E460" s="12"/>
      <c r="F460" s="12"/>
    </row>
    <row r="461" ht="15.75" customHeight="1">
      <c r="A461" s="13"/>
      <c r="B461" s="13"/>
      <c r="C461" s="12"/>
      <c r="D461" s="12"/>
      <c r="E461" s="12"/>
      <c r="F461" s="12"/>
    </row>
    <row r="462" ht="15.75" customHeight="1">
      <c r="A462" s="13"/>
      <c r="B462" s="13"/>
      <c r="C462" s="12"/>
      <c r="D462" s="12"/>
      <c r="E462" s="12"/>
      <c r="F462" s="12"/>
    </row>
    <row r="463" ht="15.75" customHeight="1">
      <c r="A463" s="13"/>
      <c r="B463" s="13"/>
      <c r="C463" s="12"/>
      <c r="D463" s="12"/>
      <c r="E463" s="12"/>
      <c r="F463" s="12"/>
    </row>
    <row r="464" ht="15.75" customHeight="1">
      <c r="A464" s="13"/>
      <c r="B464" s="13"/>
      <c r="C464" s="12"/>
      <c r="D464" s="12"/>
      <c r="E464" s="12"/>
      <c r="F464" s="12"/>
    </row>
    <row r="465" ht="15.75" customHeight="1">
      <c r="A465" s="13"/>
      <c r="B465" s="13"/>
      <c r="C465" s="12"/>
      <c r="D465" s="12"/>
      <c r="E465" s="12"/>
      <c r="F465" s="12"/>
    </row>
    <row r="466" ht="15.75" customHeight="1">
      <c r="A466" s="13"/>
      <c r="B466" s="13"/>
      <c r="C466" s="12"/>
      <c r="D466" s="12"/>
      <c r="E466" s="12"/>
      <c r="F466" s="12"/>
    </row>
    <row r="467" ht="15.75" customHeight="1">
      <c r="A467" s="13"/>
      <c r="B467" s="13"/>
      <c r="C467" s="12"/>
      <c r="D467" s="12"/>
      <c r="E467" s="12"/>
      <c r="F467" s="12"/>
    </row>
    <row r="468" ht="15.75" customHeight="1">
      <c r="A468" s="13"/>
      <c r="B468" s="13"/>
      <c r="C468" s="12"/>
      <c r="D468" s="12"/>
      <c r="E468" s="12"/>
      <c r="F468" s="12"/>
    </row>
    <row r="469" ht="15.75" customHeight="1">
      <c r="A469" s="13"/>
      <c r="B469" s="13"/>
      <c r="C469" s="12"/>
      <c r="D469" s="12"/>
      <c r="E469" s="12"/>
      <c r="F469" s="12"/>
    </row>
    <row r="470" ht="15.75" customHeight="1">
      <c r="A470" s="13"/>
      <c r="B470" s="13"/>
      <c r="C470" s="12"/>
      <c r="D470" s="12"/>
      <c r="E470" s="12"/>
      <c r="F470" s="12"/>
    </row>
    <row r="471" ht="15.75" customHeight="1">
      <c r="A471" s="13"/>
      <c r="B471" s="13"/>
      <c r="C471" s="12"/>
      <c r="D471" s="12"/>
      <c r="E471" s="12"/>
      <c r="F471" s="12"/>
    </row>
    <row r="472" ht="15.75" customHeight="1">
      <c r="A472" s="13"/>
      <c r="B472" s="13"/>
      <c r="C472" s="12"/>
      <c r="D472" s="12"/>
      <c r="E472" s="12"/>
      <c r="F472" s="12"/>
    </row>
    <row r="473" ht="15.75" customHeight="1">
      <c r="A473" s="13"/>
      <c r="B473" s="13"/>
      <c r="C473" s="12"/>
      <c r="D473" s="12"/>
      <c r="E473" s="12"/>
      <c r="F473" s="12"/>
    </row>
    <row r="474" ht="15.75" customHeight="1">
      <c r="A474" s="13"/>
      <c r="B474" s="13"/>
      <c r="C474" s="12"/>
      <c r="D474" s="12"/>
      <c r="E474" s="12"/>
      <c r="F474" s="12"/>
    </row>
    <row r="475" ht="15.75" customHeight="1">
      <c r="A475" s="13"/>
      <c r="B475" s="13"/>
      <c r="C475" s="12"/>
      <c r="D475" s="12"/>
      <c r="E475" s="12"/>
      <c r="F475" s="12"/>
    </row>
    <row r="476" ht="15.75" customHeight="1">
      <c r="A476" s="13"/>
      <c r="B476" s="13"/>
      <c r="C476" s="12"/>
      <c r="D476" s="12"/>
      <c r="E476" s="12"/>
      <c r="F476" s="12"/>
    </row>
    <row r="477" ht="15.75" customHeight="1">
      <c r="A477" s="13"/>
      <c r="B477" s="13"/>
      <c r="C477" s="12"/>
      <c r="D477" s="12"/>
      <c r="E477" s="12"/>
      <c r="F477" s="12"/>
    </row>
    <row r="478" ht="15.75" customHeight="1">
      <c r="A478" s="13"/>
      <c r="B478" s="13"/>
      <c r="C478" s="12"/>
      <c r="D478" s="12"/>
      <c r="E478" s="12"/>
      <c r="F478" s="12"/>
    </row>
    <row r="479" ht="15.75" customHeight="1">
      <c r="A479" s="13"/>
      <c r="B479" s="13"/>
      <c r="C479" s="12"/>
      <c r="D479" s="12"/>
      <c r="E479" s="12"/>
      <c r="F479" s="12"/>
    </row>
    <row r="480" ht="15.75" customHeight="1">
      <c r="A480" s="13"/>
      <c r="B480" s="13"/>
      <c r="C480" s="12"/>
      <c r="D480" s="12"/>
      <c r="E480" s="12"/>
      <c r="F480" s="12"/>
    </row>
    <row r="481" ht="15.75" customHeight="1">
      <c r="A481" s="13"/>
      <c r="B481" s="13"/>
      <c r="C481" s="12"/>
      <c r="D481" s="12"/>
      <c r="E481" s="12"/>
      <c r="F481" s="12"/>
    </row>
    <row r="482" ht="15.75" customHeight="1">
      <c r="A482" s="13"/>
      <c r="B482" s="13"/>
      <c r="C482" s="12"/>
      <c r="D482" s="12"/>
      <c r="E482" s="12"/>
      <c r="F482" s="12"/>
    </row>
    <row r="483" ht="15.75" customHeight="1">
      <c r="A483" s="13"/>
      <c r="B483" s="13"/>
      <c r="C483" s="12"/>
      <c r="D483" s="12"/>
      <c r="E483" s="12"/>
      <c r="F483" s="12"/>
    </row>
    <row r="484" ht="15.75" customHeight="1">
      <c r="A484" s="13"/>
      <c r="B484" s="13"/>
      <c r="C484" s="12"/>
      <c r="D484" s="12"/>
      <c r="E484" s="12"/>
      <c r="F484" s="12"/>
    </row>
    <row r="485" ht="15.75" customHeight="1">
      <c r="A485" s="13"/>
      <c r="B485" s="13"/>
      <c r="C485" s="12"/>
      <c r="D485" s="12"/>
      <c r="E485" s="12"/>
      <c r="F485" s="12"/>
    </row>
    <row r="486" ht="15.75" customHeight="1">
      <c r="A486" s="13"/>
      <c r="B486" s="13"/>
      <c r="C486" s="12"/>
      <c r="D486" s="12"/>
      <c r="E486" s="12"/>
      <c r="F486" s="12"/>
    </row>
    <row r="487" ht="15.75" customHeight="1">
      <c r="A487" s="13"/>
      <c r="B487" s="13"/>
      <c r="C487" s="12"/>
      <c r="D487" s="12"/>
      <c r="E487" s="12"/>
      <c r="F487" s="12"/>
    </row>
    <row r="488" ht="15.75" customHeight="1">
      <c r="A488" s="13"/>
      <c r="B488" s="13"/>
      <c r="C488" s="12"/>
      <c r="D488" s="12"/>
      <c r="E488" s="12"/>
      <c r="F488" s="12"/>
    </row>
    <row r="489" ht="15.75" customHeight="1">
      <c r="A489" s="13"/>
      <c r="B489" s="13"/>
      <c r="C489" s="12"/>
      <c r="D489" s="12"/>
      <c r="E489" s="12"/>
      <c r="F489" s="12"/>
    </row>
    <row r="490" ht="15.75" customHeight="1">
      <c r="A490" s="13"/>
      <c r="B490" s="13"/>
      <c r="C490" s="12"/>
      <c r="D490" s="12"/>
      <c r="E490" s="12"/>
      <c r="F490" s="12"/>
    </row>
    <row r="491" ht="15.75" customHeight="1">
      <c r="A491" s="13"/>
      <c r="B491" s="13"/>
      <c r="C491" s="12"/>
      <c r="D491" s="12"/>
      <c r="E491" s="12"/>
      <c r="F491" s="12"/>
    </row>
    <row r="492" ht="15.75" customHeight="1">
      <c r="A492" s="13"/>
      <c r="B492" s="13"/>
      <c r="C492" s="12"/>
      <c r="D492" s="12"/>
      <c r="E492" s="12"/>
      <c r="F492" s="12"/>
    </row>
    <row r="493" ht="15.75" customHeight="1">
      <c r="A493" s="13"/>
      <c r="B493" s="13"/>
      <c r="C493" s="12"/>
      <c r="D493" s="12"/>
      <c r="E493" s="12"/>
      <c r="F493" s="12"/>
    </row>
    <row r="494" ht="15.75" customHeight="1">
      <c r="A494" s="13"/>
      <c r="B494" s="13"/>
      <c r="C494" s="12"/>
      <c r="D494" s="12"/>
      <c r="E494" s="12"/>
      <c r="F494" s="12"/>
    </row>
    <row r="495" ht="15.75" customHeight="1">
      <c r="A495" s="13"/>
      <c r="B495" s="13"/>
      <c r="C495" s="12"/>
      <c r="D495" s="12"/>
      <c r="E495" s="12"/>
      <c r="F495" s="12"/>
    </row>
    <row r="496" ht="15.75" customHeight="1">
      <c r="A496" s="13"/>
      <c r="B496" s="13"/>
      <c r="C496" s="12"/>
      <c r="D496" s="12"/>
      <c r="E496" s="12"/>
      <c r="F496" s="12"/>
    </row>
    <row r="497" ht="15.75" customHeight="1">
      <c r="A497" s="13"/>
      <c r="B497" s="13"/>
      <c r="C497" s="12"/>
      <c r="D497" s="12"/>
      <c r="E497" s="12"/>
      <c r="F497" s="12"/>
    </row>
    <row r="498" ht="15.75" customHeight="1">
      <c r="A498" s="13"/>
      <c r="B498" s="13"/>
      <c r="C498" s="12"/>
      <c r="D498" s="12"/>
      <c r="E498" s="12"/>
      <c r="F498" s="12"/>
    </row>
    <row r="499" ht="15.75" customHeight="1">
      <c r="A499" s="13"/>
      <c r="B499" s="13"/>
      <c r="C499" s="12"/>
      <c r="D499" s="12"/>
      <c r="E499" s="12"/>
      <c r="F499" s="12"/>
    </row>
    <row r="500" ht="15.75" customHeight="1">
      <c r="A500" s="13"/>
      <c r="B500" s="13"/>
      <c r="C500" s="12"/>
      <c r="D500" s="12"/>
      <c r="E500" s="12"/>
      <c r="F500" s="12"/>
    </row>
    <row r="501" ht="15.75" customHeight="1">
      <c r="A501" s="13"/>
      <c r="B501" s="13"/>
      <c r="C501" s="12"/>
      <c r="D501" s="12"/>
      <c r="E501" s="12"/>
      <c r="F501" s="12"/>
    </row>
    <row r="502" ht="15.75" customHeight="1">
      <c r="A502" s="13"/>
      <c r="B502" s="13"/>
      <c r="C502" s="12"/>
      <c r="D502" s="12"/>
      <c r="E502" s="12"/>
      <c r="F502" s="12"/>
    </row>
    <row r="503" ht="15.75" customHeight="1">
      <c r="A503" s="13"/>
      <c r="B503" s="13"/>
      <c r="C503" s="12"/>
      <c r="D503" s="12"/>
      <c r="E503" s="12"/>
      <c r="F503" s="12"/>
    </row>
    <row r="504" ht="15.75" customHeight="1">
      <c r="A504" s="13"/>
      <c r="B504" s="13"/>
      <c r="C504" s="12"/>
      <c r="D504" s="12"/>
      <c r="E504" s="12"/>
      <c r="F504" s="12"/>
    </row>
    <row r="505" ht="15.75" customHeight="1">
      <c r="A505" s="13"/>
      <c r="B505" s="13"/>
      <c r="C505" s="12"/>
      <c r="D505" s="12"/>
      <c r="E505" s="12"/>
      <c r="F505" s="12"/>
    </row>
    <row r="506" ht="15.75" customHeight="1">
      <c r="A506" s="13"/>
      <c r="B506" s="13"/>
      <c r="C506" s="12"/>
      <c r="D506" s="12"/>
      <c r="E506" s="12"/>
      <c r="F506" s="12"/>
    </row>
    <row r="507" ht="15.75" customHeight="1">
      <c r="A507" s="13"/>
      <c r="B507" s="13"/>
      <c r="C507" s="12"/>
      <c r="D507" s="12"/>
      <c r="E507" s="12"/>
      <c r="F507" s="12"/>
    </row>
    <row r="508" ht="15.75" customHeight="1">
      <c r="A508" s="13"/>
      <c r="B508" s="13"/>
      <c r="C508" s="12"/>
      <c r="D508" s="12"/>
      <c r="E508" s="12"/>
      <c r="F508" s="12"/>
    </row>
    <row r="509" ht="15.75" customHeight="1">
      <c r="A509" s="13"/>
      <c r="B509" s="13"/>
      <c r="C509" s="12"/>
      <c r="D509" s="12"/>
      <c r="E509" s="12"/>
      <c r="F509" s="12"/>
    </row>
    <row r="510" ht="15.75" customHeight="1">
      <c r="A510" s="13"/>
      <c r="B510" s="13"/>
      <c r="C510" s="12"/>
      <c r="D510" s="12"/>
      <c r="E510" s="12"/>
      <c r="F510" s="12"/>
    </row>
    <row r="511" ht="15.75" customHeight="1">
      <c r="A511" s="13"/>
      <c r="B511" s="13"/>
      <c r="C511" s="12"/>
      <c r="D511" s="12"/>
      <c r="E511" s="12"/>
      <c r="F511" s="12"/>
    </row>
    <row r="512" ht="15.75" customHeight="1">
      <c r="A512" s="13"/>
      <c r="B512" s="13"/>
      <c r="C512" s="12"/>
      <c r="D512" s="12"/>
      <c r="E512" s="12"/>
      <c r="F512" s="12"/>
    </row>
    <row r="513" ht="15.75" customHeight="1">
      <c r="A513" s="13"/>
      <c r="B513" s="13"/>
      <c r="C513" s="12"/>
      <c r="D513" s="12"/>
      <c r="E513" s="12"/>
      <c r="F513" s="12"/>
    </row>
    <row r="514" ht="15.75" customHeight="1">
      <c r="A514" s="13"/>
      <c r="B514" s="13"/>
      <c r="C514" s="12"/>
      <c r="D514" s="12"/>
      <c r="E514" s="12"/>
      <c r="F514" s="12"/>
    </row>
    <row r="515" ht="15.75" customHeight="1">
      <c r="A515" s="13"/>
      <c r="B515" s="13"/>
      <c r="C515" s="12"/>
      <c r="D515" s="12"/>
      <c r="E515" s="12"/>
      <c r="F515" s="12"/>
    </row>
    <row r="516" ht="15.75" customHeight="1">
      <c r="A516" s="13"/>
      <c r="B516" s="13"/>
      <c r="C516" s="12"/>
      <c r="D516" s="12"/>
      <c r="E516" s="12"/>
      <c r="F516" s="12"/>
    </row>
    <row r="517" ht="15.75" customHeight="1">
      <c r="A517" s="13"/>
      <c r="B517" s="13"/>
      <c r="C517" s="12"/>
      <c r="D517" s="12"/>
      <c r="E517" s="12"/>
      <c r="F517" s="12"/>
    </row>
    <row r="518" ht="15.75" customHeight="1">
      <c r="A518" s="13"/>
      <c r="B518" s="13"/>
      <c r="C518" s="12"/>
      <c r="D518" s="12"/>
      <c r="E518" s="12"/>
      <c r="F518" s="12"/>
    </row>
    <row r="519" ht="15.75" customHeight="1">
      <c r="A519" s="13"/>
      <c r="B519" s="13"/>
      <c r="C519" s="12"/>
      <c r="D519" s="12"/>
      <c r="E519" s="12"/>
      <c r="F519" s="12"/>
    </row>
    <row r="520" ht="15.75" customHeight="1">
      <c r="A520" s="13"/>
      <c r="B520" s="13"/>
      <c r="C520" s="12"/>
      <c r="D520" s="12"/>
      <c r="E520" s="12"/>
      <c r="F520" s="12"/>
    </row>
    <row r="521" ht="15.75" customHeight="1">
      <c r="A521" s="13"/>
      <c r="B521" s="13"/>
      <c r="C521" s="12"/>
      <c r="D521" s="12"/>
      <c r="E521" s="12"/>
      <c r="F521" s="12"/>
    </row>
    <row r="522" ht="15.75" customHeight="1">
      <c r="A522" s="13"/>
      <c r="B522" s="13"/>
      <c r="C522" s="12"/>
      <c r="D522" s="12"/>
      <c r="E522" s="12"/>
      <c r="F522" s="12"/>
    </row>
    <row r="523" ht="15.75" customHeight="1">
      <c r="A523" s="13"/>
      <c r="B523" s="13"/>
      <c r="C523" s="12"/>
      <c r="D523" s="12"/>
      <c r="E523" s="12"/>
      <c r="F523" s="12"/>
    </row>
    <row r="524" ht="15.75" customHeight="1">
      <c r="A524" s="13"/>
      <c r="B524" s="13"/>
      <c r="C524" s="12"/>
      <c r="D524" s="12"/>
      <c r="E524" s="12"/>
      <c r="F524" s="12"/>
    </row>
    <row r="525" ht="15.75" customHeight="1">
      <c r="A525" s="13"/>
      <c r="B525" s="13"/>
      <c r="C525" s="12"/>
      <c r="D525" s="12"/>
      <c r="E525" s="12"/>
      <c r="F525" s="12"/>
    </row>
    <row r="526" ht="15.75" customHeight="1">
      <c r="A526" s="13"/>
      <c r="B526" s="13"/>
      <c r="C526" s="12"/>
      <c r="D526" s="12"/>
      <c r="E526" s="12"/>
      <c r="F526" s="12"/>
    </row>
    <row r="527" ht="15.75" customHeight="1">
      <c r="A527" s="13"/>
      <c r="B527" s="13"/>
      <c r="C527" s="12"/>
      <c r="D527" s="12"/>
      <c r="E527" s="12"/>
      <c r="F527" s="12"/>
    </row>
    <row r="528" ht="15.75" customHeight="1">
      <c r="A528" s="13"/>
      <c r="B528" s="13"/>
      <c r="C528" s="12"/>
      <c r="D528" s="12"/>
      <c r="E528" s="12"/>
      <c r="F528" s="12"/>
    </row>
    <row r="529" ht="15.75" customHeight="1">
      <c r="A529" s="13"/>
      <c r="B529" s="13"/>
      <c r="C529" s="12"/>
      <c r="D529" s="12"/>
      <c r="E529" s="12"/>
      <c r="F529" s="12"/>
    </row>
    <row r="530" ht="15.75" customHeight="1">
      <c r="A530" s="13"/>
      <c r="B530" s="13"/>
      <c r="C530" s="12"/>
      <c r="D530" s="12"/>
      <c r="E530" s="12"/>
      <c r="F530" s="12"/>
    </row>
    <row r="531" ht="15.75" customHeight="1">
      <c r="A531" s="13"/>
      <c r="B531" s="13"/>
      <c r="C531" s="12"/>
      <c r="D531" s="12"/>
      <c r="E531" s="12"/>
      <c r="F531" s="12"/>
    </row>
    <row r="532" ht="15.75" customHeight="1">
      <c r="A532" s="13"/>
      <c r="B532" s="13"/>
      <c r="C532" s="12"/>
      <c r="D532" s="12"/>
      <c r="E532" s="12"/>
      <c r="F532" s="12"/>
    </row>
    <row r="533" ht="15.75" customHeight="1">
      <c r="A533" s="13"/>
      <c r="B533" s="13"/>
      <c r="C533" s="12"/>
      <c r="D533" s="12"/>
      <c r="E533" s="12"/>
      <c r="F533" s="12"/>
    </row>
    <row r="534" ht="15.75" customHeight="1">
      <c r="A534" s="13"/>
      <c r="B534" s="13"/>
      <c r="C534" s="12"/>
      <c r="D534" s="12"/>
      <c r="E534" s="12"/>
      <c r="F534" s="12"/>
    </row>
    <row r="535" ht="15.75" customHeight="1">
      <c r="A535" s="13"/>
      <c r="B535" s="13"/>
      <c r="C535" s="12"/>
      <c r="D535" s="12"/>
      <c r="E535" s="12"/>
      <c r="F535" s="12"/>
    </row>
    <row r="536" ht="15.75" customHeight="1">
      <c r="A536" s="13"/>
      <c r="B536" s="13"/>
      <c r="C536" s="12"/>
      <c r="D536" s="12"/>
      <c r="E536" s="12"/>
      <c r="F536" s="12"/>
    </row>
    <row r="537" ht="15.75" customHeight="1">
      <c r="A537" s="13"/>
      <c r="B537" s="13"/>
      <c r="C537" s="12"/>
      <c r="D537" s="12"/>
      <c r="E537" s="12"/>
      <c r="F537" s="12"/>
    </row>
    <row r="538" ht="15.75" customHeight="1">
      <c r="A538" s="13"/>
      <c r="B538" s="13"/>
      <c r="C538" s="12"/>
      <c r="D538" s="12"/>
      <c r="E538" s="12"/>
      <c r="F538" s="12"/>
    </row>
    <row r="539" ht="15.75" customHeight="1">
      <c r="A539" s="13"/>
      <c r="B539" s="13"/>
      <c r="C539" s="12"/>
      <c r="D539" s="12"/>
      <c r="E539" s="12"/>
      <c r="F539" s="12"/>
    </row>
    <row r="540" ht="15.75" customHeight="1">
      <c r="A540" s="13"/>
      <c r="B540" s="13"/>
      <c r="C540" s="12"/>
      <c r="D540" s="12"/>
      <c r="E540" s="12"/>
      <c r="F540" s="12"/>
    </row>
    <row r="541" ht="15.75" customHeight="1">
      <c r="A541" s="13"/>
      <c r="B541" s="13"/>
      <c r="C541" s="12"/>
      <c r="D541" s="12"/>
      <c r="E541" s="12"/>
      <c r="F541" s="12"/>
    </row>
    <row r="542" ht="15.75" customHeight="1">
      <c r="A542" s="13"/>
      <c r="B542" s="13"/>
      <c r="C542" s="12"/>
      <c r="D542" s="12"/>
      <c r="E542" s="12"/>
      <c r="F542" s="12"/>
    </row>
    <row r="543" ht="15.75" customHeight="1">
      <c r="A543" s="13"/>
      <c r="B543" s="13"/>
      <c r="C543" s="12"/>
      <c r="D543" s="12"/>
      <c r="E543" s="12"/>
      <c r="F543" s="12"/>
    </row>
    <row r="544" ht="15.75" customHeight="1">
      <c r="A544" s="13"/>
      <c r="B544" s="13"/>
      <c r="C544" s="12"/>
      <c r="D544" s="12"/>
      <c r="E544" s="12"/>
      <c r="F544" s="12"/>
    </row>
    <row r="545" ht="15.75" customHeight="1">
      <c r="A545" s="13"/>
      <c r="B545" s="13"/>
      <c r="C545" s="12"/>
      <c r="D545" s="12"/>
      <c r="E545" s="12"/>
      <c r="F545" s="12"/>
    </row>
    <row r="546" ht="15.75" customHeight="1">
      <c r="A546" s="13"/>
      <c r="B546" s="13"/>
      <c r="C546" s="12"/>
      <c r="D546" s="12"/>
      <c r="E546" s="12"/>
      <c r="F546" s="12"/>
    </row>
    <row r="547" ht="15.75" customHeight="1">
      <c r="A547" s="13"/>
      <c r="B547" s="13"/>
      <c r="C547" s="12"/>
      <c r="D547" s="12"/>
      <c r="E547" s="12"/>
      <c r="F547" s="12"/>
    </row>
    <row r="548" ht="15.75" customHeight="1">
      <c r="A548" s="13"/>
      <c r="B548" s="13"/>
      <c r="C548" s="12"/>
      <c r="D548" s="12"/>
      <c r="E548" s="12"/>
      <c r="F548" s="12"/>
    </row>
    <row r="549" ht="15.75" customHeight="1">
      <c r="A549" s="13"/>
      <c r="B549" s="13"/>
      <c r="C549" s="12"/>
      <c r="D549" s="12"/>
      <c r="E549" s="12"/>
      <c r="F549" s="12"/>
    </row>
    <row r="550" ht="15.75" customHeight="1">
      <c r="A550" s="13"/>
      <c r="B550" s="13"/>
      <c r="C550" s="12"/>
      <c r="D550" s="12"/>
      <c r="E550" s="12"/>
      <c r="F550" s="12"/>
    </row>
    <row r="551" ht="15.75" customHeight="1">
      <c r="A551" s="13"/>
      <c r="B551" s="13"/>
      <c r="C551" s="12"/>
      <c r="D551" s="12"/>
      <c r="E551" s="12"/>
      <c r="F551" s="12"/>
    </row>
    <row r="552" ht="15.75" customHeight="1">
      <c r="A552" s="13"/>
      <c r="B552" s="13"/>
      <c r="C552" s="12"/>
      <c r="D552" s="12"/>
      <c r="E552" s="12"/>
      <c r="F552" s="12"/>
    </row>
    <row r="553" ht="15.75" customHeight="1">
      <c r="A553" s="13"/>
      <c r="B553" s="13"/>
      <c r="C553" s="12"/>
      <c r="D553" s="12"/>
      <c r="E553" s="12"/>
      <c r="F553" s="12"/>
    </row>
    <row r="554" ht="15.75" customHeight="1">
      <c r="A554" s="13"/>
      <c r="B554" s="13"/>
      <c r="C554" s="12"/>
      <c r="D554" s="12"/>
      <c r="E554" s="12"/>
      <c r="F554" s="12"/>
    </row>
    <row r="555" ht="15.75" customHeight="1">
      <c r="A555" s="13"/>
      <c r="B555" s="13"/>
      <c r="C555" s="12"/>
      <c r="D555" s="12"/>
      <c r="E555" s="12"/>
      <c r="F555" s="12"/>
    </row>
    <row r="556" ht="15.75" customHeight="1">
      <c r="A556" s="13"/>
      <c r="B556" s="13"/>
      <c r="C556" s="12"/>
      <c r="D556" s="12"/>
      <c r="E556" s="12"/>
      <c r="F556" s="12"/>
    </row>
    <row r="557" ht="15.75" customHeight="1">
      <c r="A557" s="13"/>
      <c r="B557" s="13"/>
      <c r="C557" s="12"/>
      <c r="D557" s="12"/>
      <c r="E557" s="12"/>
      <c r="F557" s="12"/>
    </row>
    <row r="558" ht="15.75" customHeight="1">
      <c r="A558" s="13"/>
      <c r="B558" s="13"/>
      <c r="C558" s="12"/>
      <c r="D558" s="12"/>
      <c r="E558" s="12"/>
      <c r="F558" s="12"/>
    </row>
    <row r="559" ht="15.75" customHeight="1">
      <c r="A559" s="13"/>
      <c r="B559" s="13"/>
      <c r="C559" s="12"/>
      <c r="D559" s="12"/>
      <c r="E559" s="12"/>
      <c r="F559" s="12"/>
    </row>
    <row r="560" ht="15.75" customHeight="1">
      <c r="A560" s="13"/>
      <c r="B560" s="13"/>
      <c r="C560" s="12"/>
      <c r="D560" s="12"/>
      <c r="E560" s="12"/>
      <c r="F560" s="12"/>
    </row>
    <row r="561" ht="15.75" customHeight="1">
      <c r="A561" s="13"/>
      <c r="B561" s="13"/>
      <c r="C561" s="12"/>
      <c r="D561" s="12"/>
      <c r="E561" s="12"/>
      <c r="F561" s="12"/>
    </row>
    <row r="562" ht="15.75" customHeight="1">
      <c r="A562" s="13"/>
      <c r="B562" s="13"/>
      <c r="C562" s="12"/>
      <c r="D562" s="12"/>
      <c r="E562" s="12"/>
      <c r="F562" s="12"/>
    </row>
    <row r="563" ht="15.75" customHeight="1">
      <c r="A563" s="13"/>
      <c r="B563" s="13"/>
      <c r="C563" s="12"/>
      <c r="D563" s="12"/>
      <c r="E563" s="12"/>
      <c r="F563" s="12"/>
    </row>
    <row r="564" ht="15.75" customHeight="1">
      <c r="A564" s="13"/>
      <c r="B564" s="13"/>
      <c r="C564" s="12"/>
      <c r="D564" s="12"/>
      <c r="E564" s="12"/>
      <c r="F564" s="12"/>
    </row>
    <row r="565" ht="15.75" customHeight="1">
      <c r="A565" s="13"/>
      <c r="B565" s="13"/>
      <c r="C565" s="12"/>
      <c r="D565" s="12"/>
      <c r="E565" s="12"/>
      <c r="F565" s="12"/>
    </row>
    <row r="566" ht="15.75" customHeight="1">
      <c r="A566" s="13"/>
      <c r="B566" s="13"/>
      <c r="C566" s="12"/>
      <c r="D566" s="12"/>
      <c r="E566" s="12"/>
      <c r="F566" s="12"/>
    </row>
    <row r="567" ht="15.75" customHeight="1">
      <c r="A567" s="13"/>
      <c r="B567" s="13"/>
      <c r="C567" s="12"/>
      <c r="D567" s="12"/>
      <c r="E567" s="12"/>
      <c r="F567" s="12"/>
    </row>
    <row r="568" ht="15.75" customHeight="1">
      <c r="A568" s="13"/>
      <c r="B568" s="13"/>
      <c r="C568" s="12"/>
      <c r="D568" s="12"/>
      <c r="E568" s="12"/>
      <c r="F568" s="12"/>
    </row>
    <row r="569" ht="15.75" customHeight="1">
      <c r="A569" s="13"/>
      <c r="B569" s="13"/>
      <c r="C569" s="12"/>
      <c r="D569" s="12"/>
      <c r="E569" s="12"/>
      <c r="F569" s="12"/>
    </row>
    <row r="570" ht="15.75" customHeight="1">
      <c r="A570" s="13"/>
      <c r="B570" s="13"/>
      <c r="C570" s="12"/>
      <c r="D570" s="12"/>
      <c r="E570" s="12"/>
      <c r="F570" s="12"/>
    </row>
    <row r="571" ht="15.75" customHeight="1">
      <c r="A571" s="13"/>
      <c r="B571" s="13"/>
      <c r="C571" s="12"/>
      <c r="D571" s="12"/>
      <c r="E571" s="12"/>
      <c r="F571" s="12"/>
    </row>
    <row r="572" ht="15.75" customHeight="1">
      <c r="A572" s="13"/>
      <c r="B572" s="13"/>
      <c r="C572" s="12"/>
      <c r="D572" s="12"/>
      <c r="E572" s="12"/>
      <c r="F572" s="12"/>
    </row>
    <row r="573" ht="15.75" customHeight="1">
      <c r="A573" s="13"/>
      <c r="B573" s="13"/>
      <c r="C573" s="12"/>
      <c r="D573" s="12"/>
      <c r="E573" s="12"/>
      <c r="F573" s="12"/>
    </row>
    <row r="574" ht="15.75" customHeight="1">
      <c r="A574" s="13"/>
      <c r="B574" s="13"/>
      <c r="C574" s="12"/>
      <c r="D574" s="12"/>
      <c r="E574" s="12"/>
      <c r="F574" s="12"/>
    </row>
    <row r="575" ht="15.75" customHeight="1">
      <c r="A575" s="13"/>
      <c r="B575" s="13"/>
      <c r="C575" s="12"/>
      <c r="D575" s="12"/>
      <c r="E575" s="12"/>
      <c r="F575" s="12"/>
    </row>
    <row r="576" ht="15.75" customHeight="1">
      <c r="A576" s="13"/>
      <c r="B576" s="13"/>
      <c r="C576" s="12"/>
      <c r="D576" s="12"/>
      <c r="E576" s="12"/>
      <c r="F576" s="12"/>
    </row>
    <row r="577" ht="15.75" customHeight="1">
      <c r="A577" s="13"/>
      <c r="B577" s="13"/>
      <c r="C577" s="12"/>
      <c r="D577" s="12"/>
      <c r="E577" s="12"/>
      <c r="F577" s="12"/>
    </row>
    <row r="578" ht="15.75" customHeight="1">
      <c r="A578" s="13"/>
      <c r="B578" s="13"/>
      <c r="C578" s="12"/>
      <c r="D578" s="12"/>
      <c r="E578" s="12"/>
      <c r="F578" s="12"/>
    </row>
    <row r="579" ht="15.75" customHeight="1">
      <c r="A579" s="13"/>
      <c r="B579" s="13"/>
      <c r="C579" s="12"/>
      <c r="D579" s="12"/>
      <c r="E579" s="12"/>
      <c r="F579" s="12"/>
    </row>
    <row r="580" ht="15.75" customHeight="1">
      <c r="A580" s="13"/>
      <c r="B580" s="13"/>
      <c r="C580" s="12"/>
      <c r="D580" s="12"/>
      <c r="E580" s="12"/>
      <c r="F580" s="12"/>
    </row>
    <row r="581" ht="15.75" customHeight="1">
      <c r="A581" s="13"/>
      <c r="B581" s="13"/>
      <c r="C581" s="12"/>
      <c r="D581" s="12"/>
      <c r="E581" s="12"/>
      <c r="F581" s="12"/>
    </row>
    <row r="582" ht="15.75" customHeight="1">
      <c r="A582" s="13"/>
      <c r="B582" s="13"/>
      <c r="C582" s="12"/>
      <c r="D582" s="12"/>
      <c r="E582" s="12"/>
      <c r="F582" s="12"/>
    </row>
    <row r="583" ht="15.75" customHeight="1">
      <c r="A583" s="13"/>
      <c r="B583" s="13"/>
      <c r="C583" s="12"/>
      <c r="D583" s="12"/>
      <c r="E583" s="12"/>
      <c r="F583" s="12"/>
    </row>
    <row r="584" ht="15.75" customHeight="1">
      <c r="A584" s="13"/>
      <c r="B584" s="13"/>
      <c r="C584" s="12"/>
      <c r="D584" s="12"/>
      <c r="E584" s="12"/>
      <c r="F584" s="12"/>
    </row>
    <row r="585" ht="15.75" customHeight="1">
      <c r="A585" s="13"/>
      <c r="B585" s="13"/>
      <c r="C585" s="12"/>
      <c r="D585" s="12"/>
      <c r="E585" s="12"/>
      <c r="F585" s="12"/>
    </row>
    <row r="586" ht="15.75" customHeight="1">
      <c r="A586" s="13"/>
      <c r="B586" s="13"/>
      <c r="C586" s="12"/>
      <c r="D586" s="12"/>
      <c r="E586" s="12"/>
      <c r="F586" s="12"/>
    </row>
    <row r="587" ht="15.75" customHeight="1">
      <c r="A587" s="13"/>
      <c r="B587" s="13"/>
      <c r="C587" s="12"/>
      <c r="D587" s="12"/>
      <c r="E587" s="12"/>
      <c r="F587" s="12"/>
    </row>
    <row r="588" ht="15.75" customHeight="1">
      <c r="A588" s="13"/>
      <c r="B588" s="13"/>
      <c r="C588" s="12"/>
      <c r="D588" s="12"/>
      <c r="E588" s="12"/>
      <c r="F588" s="12"/>
    </row>
    <row r="589" ht="15.75" customHeight="1">
      <c r="A589" s="13"/>
      <c r="B589" s="13"/>
      <c r="C589" s="12"/>
      <c r="D589" s="12"/>
      <c r="E589" s="12"/>
      <c r="F589" s="12"/>
    </row>
    <row r="590" ht="15.75" customHeight="1">
      <c r="A590" s="13"/>
      <c r="B590" s="13"/>
      <c r="C590" s="12"/>
      <c r="D590" s="12"/>
      <c r="E590" s="12"/>
      <c r="F590" s="12"/>
    </row>
    <row r="591" ht="15.75" customHeight="1">
      <c r="A591" s="13"/>
      <c r="B591" s="13"/>
      <c r="C591" s="12"/>
      <c r="D591" s="12"/>
      <c r="E591" s="12"/>
      <c r="F591" s="12"/>
    </row>
    <row r="592" ht="15.75" customHeight="1">
      <c r="A592" s="13"/>
      <c r="B592" s="13"/>
      <c r="C592" s="12"/>
      <c r="D592" s="12"/>
      <c r="E592" s="12"/>
      <c r="F592" s="12"/>
    </row>
    <row r="593" ht="15.75" customHeight="1">
      <c r="A593" s="13"/>
      <c r="B593" s="13"/>
      <c r="C593" s="12"/>
      <c r="D593" s="12"/>
      <c r="E593" s="12"/>
      <c r="F593" s="12"/>
    </row>
    <row r="594" ht="15.75" customHeight="1">
      <c r="A594" s="13"/>
      <c r="B594" s="13"/>
      <c r="C594" s="12"/>
      <c r="D594" s="12"/>
      <c r="E594" s="12"/>
      <c r="F594" s="12"/>
    </row>
    <row r="595" ht="15.75" customHeight="1">
      <c r="A595" s="13"/>
      <c r="B595" s="13"/>
      <c r="C595" s="12"/>
      <c r="D595" s="12"/>
      <c r="E595" s="12"/>
      <c r="F595" s="12"/>
    </row>
    <row r="596" ht="15.75" customHeight="1">
      <c r="A596" s="13"/>
      <c r="B596" s="13"/>
      <c r="C596" s="12"/>
      <c r="D596" s="12"/>
      <c r="E596" s="12"/>
      <c r="F596" s="12"/>
    </row>
    <row r="597" ht="15.75" customHeight="1">
      <c r="A597" s="13"/>
      <c r="B597" s="13"/>
      <c r="C597" s="12"/>
      <c r="D597" s="12"/>
      <c r="E597" s="12"/>
      <c r="F597" s="12"/>
    </row>
    <row r="598" ht="15.75" customHeight="1">
      <c r="A598" s="13"/>
      <c r="B598" s="13"/>
      <c r="C598" s="12"/>
      <c r="D598" s="12"/>
      <c r="E598" s="12"/>
      <c r="F598" s="12"/>
    </row>
    <row r="599" ht="15.75" customHeight="1">
      <c r="A599" s="13"/>
      <c r="B599" s="13"/>
      <c r="C599" s="12"/>
      <c r="D599" s="12"/>
      <c r="E599" s="12"/>
      <c r="F599" s="12"/>
    </row>
    <row r="600" ht="15.75" customHeight="1">
      <c r="A600" s="13"/>
      <c r="B600" s="13"/>
      <c r="C600" s="12"/>
      <c r="D600" s="12"/>
      <c r="E600" s="12"/>
      <c r="F600" s="12"/>
    </row>
    <row r="601" ht="15.75" customHeight="1">
      <c r="A601" s="13"/>
      <c r="B601" s="13"/>
      <c r="C601" s="12"/>
      <c r="D601" s="12"/>
      <c r="E601" s="12"/>
      <c r="F601" s="12"/>
    </row>
    <row r="602" ht="15.75" customHeight="1">
      <c r="A602" s="13"/>
      <c r="B602" s="13"/>
      <c r="C602" s="12"/>
      <c r="D602" s="12"/>
      <c r="E602" s="12"/>
      <c r="F602" s="12"/>
    </row>
    <row r="603" ht="15.75" customHeight="1">
      <c r="A603" s="13"/>
      <c r="B603" s="13"/>
      <c r="C603" s="12"/>
      <c r="D603" s="12"/>
      <c r="E603" s="12"/>
      <c r="F603" s="12"/>
    </row>
    <row r="604" ht="15.75" customHeight="1">
      <c r="A604" s="13"/>
      <c r="B604" s="13"/>
      <c r="C604" s="12"/>
      <c r="D604" s="12"/>
      <c r="E604" s="12"/>
      <c r="F604" s="12"/>
    </row>
    <row r="605" ht="15.75" customHeight="1">
      <c r="A605" s="13"/>
      <c r="B605" s="13"/>
      <c r="C605" s="12"/>
      <c r="D605" s="12"/>
      <c r="E605" s="12"/>
      <c r="F605" s="12"/>
    </row>
    <row r="606" ht="15.75" customHeight="1">
      <c r="A606" s="13"/>
      <c r="B606" s="13"/>
      <c r="C606" s="12"/>
      <c r="D606" s="12"/>
      <c r="E606" s="12"/>
      <c r="F606" s="12"/>
    </row>
    <row r="607" ht="15.75" customHeight="1">
      <c r="A607" s="13"/>
      <c r="B607" s="13"/>
      <c r="C607" s="12"/>
      <c r="D607" s="12"/>
      <c r="E607" s="12"/>
      <c r="F607" s="12"/>
    </row>
    <row r="608" ht="15.75" customHeight="1">
      <c r="A608" s="13"/>
      <c r="B608" s="13"/>
      <c r="C608" s="12"/>
      <c r="D608" s="12"/>
      <c r="E608" s="12"/>
      <c r="F608" s="12"/>
    </row>
    <row r="609" ht="15.75" customHeight="1">
      <c r="A609" s="13"/>
      <c r="B609" s="13"/>
      <c r="C609" s="12"/>
      <c r="D609" s="12"/>
      <c r="E609" s="12"/>
      <c r="F609" s="12"/>
    </row>
    <row r="610" ht="15.75" customHeight="1">
      <c r="A610" s="13"/>
      <c r="B610" s="13"/>
      <c r="C610" s="12"/>
      <c r="D610" s="12"/>
      <c r="E610" s="12"/>
      <c r="F610" s="12"/>
    </row>
    <row r="611" ht="15.75" customHeight="1">
      <c r="A611" s="13"/>
      <c r="B611" s="13"/>
      <c r="C611" s="12"/>
      <c r="D611" s="12"/>
      <c r="E611" s="12"/>
      <c r="F611" s="12"/>
    </row>
    <row r="612" ht="15.75" customHeight="1">
      <c r="A612" s="13"/>
      <c r="B612" s="13"/>
      <c r="C612" s="12"/>
      <c r="D612" s="12"/>
      <c r="E612" s="12"/>
      <c r="F612" s="12"/>
    </row>
    <row r="613" ht="15.75" customHeight="1">
      <c r="A613" s="13"/>
      <c r="B613" s="13"/>
      <c r="C613" s="12"/>
      <c r="D613" s="12"/>
      <c r="E613" s="12"/>
      <c r="F613" s="12"/>
    </row>
    <row r="614" ht="15.75" customHeight="1">
      <c r="A614" s="13"/>
      <c r="B614" s="13"/>
      <c r="C614" s="12"/>
      <c r="D614" s="12"/>
      <c r="E614" s="12"/>
      <c r="F614" s="12"/>
    </row>
    <row r="615" ht="15.75" customHeight="1">
      <c r="A615" s="13"/>
      <c r="B615" s="13"/>
      <c r="C615" s="12"/>
      <c r="D615" s="12"/>
      <c r="E615" s="12"/>
      <c r="F615" s="12"/>
    </row>
    <row r="616" ht="15.75" customHeight="1">
      <c r="A616" s="13"/>
      <c r="B616" s="13"/>
      <c r="C616" s="12"/>
      <c r="D616" s="12"/>
      <c r="E616" s="12"/>
      <c r="F616" s="12"/>
    </row>
    <row r="617" ht="15.75" customHeight="1">
      <c r="A617" s="13"/>
      <c r="B617" s="13"/>
      <c r="C617" s="12"/>
      <c r="D617" s="12"/>
      <c r="E617" s="12"/>
      <c r="F617" s="12"/>
    </row>
    <row r="618" ht="15.75" customHeight="1">
      <c r="A618" s="13"/>
      <c r="B618" s="13"/>
      <c r="C618" s="12"/>
      <c r="D618" s="12"/>
      <c r="E618" s="12"/>
      <c r="F618" s="12"/>
    </row>
    <row r="619" ht="15.75" customHeight="1">
      <c r="A619" s="13"/>
      <c r="B619" s="13"/>
      <c r="C619" s="12"/>
      <c r="D619" s="12"/>
      <c r="E619" s="12"/>
      <c r="F619" s="12"/>
    </row>
    <row r="620" ht="15.75" customHeight="1">
      <c r="A620" s="13"/>
      <c r="B620" s="13"/>
      <c r="C620" s="12"/>
      <c r="D620" s="12"/>
      <c r="E620" s="12"/>
      <c r="F620" s="12"/>
    </row>
    <row r="621" ht="15.75" customHeight="1">
      <c r="A621" s="13"/>
      <c r="B621" s="13"/>
      <c r="C621" s="12"/>
      <c r="D621" s="12"/>
      <c r="E621" s="12"/>
      <c r="F621" s="12"/>
    </row>
    <row r="622" ht="15.75" customHeight="1">
      <c r="A622" s="13"/>
      <c r="B622" s="13"/>
      <c r="C622" s="12"/>
      <c r="D622" s="12"/>
      <c r="E622" s="12"/>
      <c r="F622" s="12"/>
    </row>
    <row r="623" ht="15.75" customHeight="1">
      <c r="A623" s="13"/>
      <c r="B623" s="13"/>
      <c r="C623" s="12"/>
      <c r="D623" s="12"/>
      <c r="E623" s="12"/>
      <c r="F623" s="12"/>
    </row>
    <row r="624" ht="15.75" customHeight="1">
      <c r="A624" s="13"/>
      <c r="B624" s="13"/>
      <c r="C624" s="12"/>
      <c r="D624" s="12"/>
      <c r="E624" s="12"/>
      <c r="F624" s="12"/>
    </row>
    <row r="625" ht="15.75" customHeight="1">
      <c r="A625" s="13"/>
      <c r="B625" s="13"/>
      <c r="C625" s="12"/>
      <c r="D625" s="12"/>
      <c r="E625" s="12"/>
      <c r="F625" s="12"/>
    </row>
    <row r="626" ht="15.75" customHeight="1">
      <c r="A626" s="13"/>
      <c r="B626" s="13"/>
      <c r="C626" s="12"/>
      <c r="D626" s="12"/>
      <c r="E626" s="12"/>
      <c r="F626" s="12"/>
    </row>
    <row r="627" ht="15.75" customHeight="1">
      <c r="A627" s="13"/>
      <c r="B627" s="13"/>
      <c r="C627" s="12"/>
      <c r="D627" s="12"/>
      <c r="E627" s="12"/>
      <c r="F627" s="12"/>
    </row>
    <row r="628" ht="15.75" customHeight="1">
      <c r="A628" s="13"/>
      <c r="B628" s="13"/>
      <c r="C628" s="12"/>
      <c r="D628" s="12"/>
      <c r="E628" s="12"/>
      <c r="F628" s="12"/>
    </row>
    <row r="629" ht="15.75" customHeight="1">
      <c r="A629" s="13"/>
      <c r="B629" s="13"/>
      <c r="C629" s="12"/>
      <c r="D629" s="12"/>
      <c r="E629" s="12"/>
      <c r="F629" s="12"/>
    </row>
    <row r="630" ht="15.75" customHeight="1">
      <c r="A630" s="13"/>
      <c r="B630" s="13"/>
      <c r="C630" s="12"/>
      <c r="D630" s="12"/>
      <c r="E630" s="12"/>
      <c r="F630" s="12"/>
    </row>
    <row r="631" ht="15.75" customHeight="1">
      <c r="A631" s="13"/>
      <c r="B631" s="13"/>
      <c r="C631" s="12"/>
      <c r="D631" s="12"/>
      <c r="E631" s="12"/>
      <c r="F631" s="12"/>
    </row>
    <row r="632" ht="15.75" customHeight="1">
      <c r="A632" s="13"/>
      <c r="B632" s="13"/>
      <c r="C632" s="12"/>
      <c r="D632" s="12"/>
      <c r="E632" s="12"/>
      <c r="F632" s="12"/>
    </row>
    <row r="633" ht="15.75" customHeight="1">
      <c r="A633" s="13"/>
      <c r="B633" s="13"/>
      <c r="C633" s="12"/>
      <c r="D633" s="12"/>
      <c r="E633" s="12"/>
      <c r="F633" s="12"/>
    </row>
    <row r="634" ht="15.75" customHeight="1">
      <c r="A634" s="13"/>
      <c r="B634" s="13"/>
      <c r="C634" s="12"/>
      <c r="D634" s="12"/>
      <c r="E634" s="12"/>
      <c r="F634" s="12"/>
    </row>
    <row r="635" ht="15.75" customHeight="1">
      <c r="A635" s="13"/>
      <c r="B635" s="13"/>
      <c r="C635" s="12"/>
      <c r="D635" s="12"/>
      <c r="E635" s="12"/>
      <c r="F635" s="12"/>
    </row>
    <row r="636" ht="15.75" customHeight="1">
      <c r="A636" s="13"/>
      <c r="B636" s="13"/>
      <c r="C636" s="12"/>
      <c r="D636" s="12"/>
      <c r="E636" s="12"/>
      <c r="F636" s="12"/>
    </row>
    <row r="637" ht="15.75" customHeight="1">
      <c r="A637" s="13"/>
      <c r="B637" s="13"/>
      <c r="C637" s="12"/>
      <c r="D637" s="12"/>
      <c r="E637" s="12"/>
      <c r="F637" s="12"/>
    </row>
    <row r="638" ht="15.75" customHeight="1">
      <c r="A638" s="13"/>
      <c r="B638" s="13"/>
      <c r="C638" s="12"/>
      <c r="D638" s="12"/>
      <c r="E638" s="12"/>
      <c r="F638" s="12"/>
    </row>
    <row r="639" ht="15.75" customHeight="1">
      <c r="A639" s="13"/>
      <c r="B639" s="13"/>
      <c r="C639" s="12"/>
      <c r="D639" s="12"/>
      <c r="E639" s="12"/>
      <c r="F639" s="12"/>
    </row>
    <row r="640" ht="15.75" customHeight="1">
      <c r="A640" s="13"/>
      <c r="B640" s="13"/>
      <c r="C640" s="12"/>
      <c r="D640" s="12"/>
      <c r="E640" s="12"/>
      <c r="F640" s="12"/>
    </row>
    <row r="641" ht="15.75" customHeight="1">
      <c r="A641" s="13"/>
      <c r="B641" s="13"/>
      <c r="C641" s="12"/>
      <c r="D641" s="12"/>
      <c r="E641" s="12"/>
      <c r="F641" s="12"/>
    </row>
    <row r="642" ht="15.75" customHeight="1">
      <c r="A642" s="13"/>
      <c r="B642" s="13"/>
      <c r="C642" s="12"/>
      <c r="D642" s="12"/>
      <c r="E642" s="12"/>
      <c r="F642" s="12"/>
    </row>
    <row r="643" ht="15.75" customHeight="1">
      <c r="A643" s="13"/>
      <c r="B643" s="13"/>
      <c r="C643" s="12"/>
      <c r="D643" s="12"/>
      <c r="E643" s="12"/>
      <c r="F643" s="12"/>
    </row>
    <row r="644" ht="15.75" customHeight="1">
      <c r="A644" s="13"/>
      <c r="B644" s="13"/>
      <c r="C644" s="12"/>
      <c r="D644" s="12"/>
      <c r="E644" s="12"/>
      <c r="F644" s="12"/>
    </row>
    <row r="645" ht="15.75" customHeight="1">
      <c r="A645" s="13"/>
      <c r="B645" s="13"/>
      <c r="C645" s="12"/>
      <c r="D645" s="12"/>
      <c r="E645" s="12"/>
      <c r="F645" s="12"/>
    </row>
    <row r="646" ht="15.75" customHeight="1">
      <c r="A646" s="13"/>
      <c r="B646" s="13"/>
      <c r="C646" s="12"/>
      <c r="D646" s="12"/>
      <c r="E646" s="12"/>
      <c r="F646" s="12"/>
    </row>
    <row r="647" ht="15.75" customHeight="1">
      <c r="A647" s="13"/>
      <c r="B647" s="13"/>
      <c r="C647" s="12"/>
      <c r="D647" s="12"/>
      <c r="E647" s="12"/>
      <c r="F647" s="12"/>
    </row>
    <row r="648" ht="15.75" customHeight="1">
      <c r="A648" s="13"/>
      <c r="B648" s="13"/>
      <c r="C648" s="12"/>
      <c r="D648" s="12"/>
      <c r="E648" s="12"/>
      <c r="F648" s="12"/>
    </row>
    <row r="649" ht="15.75" customHeight="1">
      <c r="A649" s="13"/>
      <c r="B649" s="13"/>
      <c r="C649" s="12"/>
      <c r="D649" s="12"/>
      <c r="E649" s="12"/>
      <c r="F649" s="12"/>
    </row>
    <row r="650" ht="15.75" customHeight="1">
      <c r="A650" s="13"/>
      <c r="B650" s="13"/>
      <c r="C650" s="12"/>
      <c r="D650" s="12"/>
      <c r="E650" s="12"/>
      <c r="F650" s="12"/>
    </row>
    <row r="651" ht="15.75" customHeight="1">
      <c r="A651" s="13"/>
      <c r="B651" s="13"/>
      <c r="C651" s="12"/>
      <c r="D651" s="12"/>
      <c r="E651" s="12"/>
      <c r="F651" s="12"/>
    </row>
    <row r="652" ht="15.75" customHeight="1">
      <c r="A652" s="13"/>
      <c r="B652" s="13"/>
      <c r="C652" s="12"/>
      <c r="D652" s="12"/>
      <c r="E652" s="12"/>
      <c r="F652" s="12"/>
    </row>
    <row r="653" ht="15.75" customHeight="1">
      <c r="A653" s="13"/>
      <c r="B653" s="13"/>
      <c r="C653" s="12"/>
      <c r="D653" s="12"/>
      <c r="E653" s="12"/>
      <c r="F653" s="12"/>
    </row>
    <row r="654" ht="15.75" customHeight="1">
      <c r="A654" s="13"/>
      <c r="B654" s="13"/>
      <c r="C654" s="12"/>
      <c r="D654" s="12"/>
      <c r="E654" s="12"/>
      <c r="F654" s="12"/>
    </row>
    <row r="655" ht="15.75" customHeight="1">
      <c r="A655" s="13"/>
      <c r="B655" s="13"/>
      <c r="C655" s="12"/>
      <c r="D655" s="12"/>
      <c r="E655" s="12"/>
      <c r="F655" s="12"/>
    </row>
    <row r="656" ht="15.75" customHeight="1">
      <c r="A656" s="13"/>
      <c r="B656" s="13"/>
      <c r="C656" s="12"/>
      <c r="D656" s="12"/>
      <c r="E656" s="12"/>
      <c r="F656" s="12"/>
    </row>
    <row r="657" ht="15.75" customHeight="1">
      <c r="A657" s="13"/>
      <c r="B657" s="13"/>
      <c r="C657" s="12"/>
      <c r="D657" s="12"/>
      <c r="E657" s="12"/>
      <c r="F657" s="12"/>
    </row>
    <row r="658" ht="15.75" customHeight="1">
      <c r="A658" s="13"/>
      <c r="B658" s="13"/>
      <c r="C658" s="12"/>
      <c r="D658" s="12"/>
      <c r="E658" s="12"/>
      <c r="F658" s="12"/>
    </row>
    <row r="659" ht="15.75" customHeight="1">
      <c r="A659" s="13"/>
      <c r="B659" s="13"/>
      <c r="C659" s="12"/>
      <c r="D659" s="12"/>
      <c r="E659" s="12"/>
      <c r="F659" s="12"/>
    </row>
    <row r="660" ht="15.75" customHeight="1">
      <c r="A660" s="13"/>
      <c r="B660" s="13"/>
      <c r="C660" s="12"/>
      <c r="D660" s="12"/>
      <c r="E660" s="12"/>
      <c r="F660" s="12"/>
    </row>
    <row r="661" ht="15.75" customHeight="1">
      <c r="A661" s="13"/>
      <c r="B661" s="13"/>
      <c r="C661" s="12"/>
      <c r="D661" s="12"/>
      <c r="E661" s="12"/>
      <c r="F661" s="12"/>
    </row>
    <row r="662" ht="15.75" customHeight="1">
      <c r="A662" s="13"/>
      <c r="B662" s="13"/>
      <c r="C662" s="12"/>
      <c r="D662" s="12"/>
      <c r="E662" s="12"/>
      <c r="F662" s="12"/>
    </row>
    <row r="663" ht="15.75" customHeight="1">
      <c r="A663" s="13"/>
      <c r="B663" s="13"/>
      <c r="C663" s="12"/>
      <c r="D663" s="12"/>
      <c r="E663" s="12"/>
      <c r="F663" s="12"/>
    </row>
    <row r="664" ht="15.75" customHeight="1">
      <c r="A664" s="13"/>
      <c r="B664" s="13"/>
      <c r="C664" s="12"/>
      <c r="D664" s="12"/>
      <c r="E664" s="12"/>
      <c r="F664" s="12"/>
    </row>
    <row r="665" ht="15.75" customHeight="1">
      <c r="A665" s="13"/>
      <c r="B665" s="13"/>
      <c r="C665" s="12"/>
      <c r="D665" s="12"/>
      <c r="E665" s="12"/>
      <c r="F665" s="12"/>
    </row>
    <row r="666" ht="15.75" customHeight="1">
      <c r="A666" s="13"/>
      <c r="B666" s="13"/>
      <c r="C666" s="12"/>
      <c r="D666" s="12"/>
      <c r="E666" s="12"/>
      <c r="F666" s="12"/>
    </row>
    <row r="667" ht="15.75" customHeight="1">
      <c r="A667" s="13"/>
      <c r="B667" s="13"/>
      <c r="C667" s="12"/>
      <c r="D667" s="12"/>
      <c r="E667" s="12"/>
      <c r="F667" s="12"/>
    </row>
    <row r="668" ht="15.75" customHeight="1">
      <c r="A668" s="13"/>
      <c r="B668" s="13"/>
      <c r="C668" s="12"/>
      <c r="D668" s="12"/>
      <c r="E668" s="12"/>
      <c r="F668" s="12"/>
    </row>
    <row r="669" ht="15.75" customHeight="1">
      <c r="A669" s="13"/>
      <c r="B669" s="13"/>
      <c r="C669" s="12"/>
      <c r="D669" s="12"/>
      <c r="E669" s="12"/>
      <c r="F669" s="12"/>
    </row>
    <row r="670" ht="15.75" customHeight="1">
      <c r="A670" s="13"/>
      <c r="B670" s="13"/>
      <c r="C670" s="12"/>
      <c r="D670" s="12"/>
      <c r="E670" s="12"/>
      <c r="F670" s="12"/>
    </row>
    <row r="671" ht="15.75" customHeight="1">
      <c r="A671" s="13"/>
      <c r="B671" s="13"/>
      <c r="C671" s="12"/>
      <c r="D671" s="12"/>
      <c r="E671" s="12"/>
      <c r="F671" s="12"/>
    </row>
    <row r="672" ht="15.75" customHeight="1">
      <c r="A672" s="13"/>
      <c r="B672" s="13"/>
      <c r="C672" s="12"/>
      <c r="D672" s="12"/>
      <c r="E672" s="12"/>
      <c r="F672" s="12"/>
    </row>
    <row r="673" ht="15.75" customHeight="1">
      <c r="A673" s="13"/>
      <c r="B673" s="13"/>
      <c r="C673" s="12"/>
      <c r="D673" s="12"/>
      <c r="E673" s="12"/>
      <c r="F673" s="12"/>
    </row>
    <row r="674" ht="15.75" customHeight="1">
      <c r="A674" s="13"/>
      <c r="B674" s="13"/>
      <c r="C674" s="12"/>
      <c r="D674" s="12"/>
      <c r="E674" s="12"/>
      <c r="F674" s="12"/>
    </row>
    <row r="675" ht="15.75" customHeight="1">
      <c r="A675" s="13"/>
      <c r="B675" s="13"/>
      <c r="C675" s="12"/>
      <c r="D675" s="12"/>
      <c r="E675" s="12"/>
      <c r="F675" s="12"/>
    </row>
    <row r="676" ht="15.75" customHeight="1">
      <c r="A676" s="13"/>
      <c r="B676" s="13"/>
      <c r="C676" s="12"/>
      <c r="D676" s="12"/>
      <c r="E676" s="12"/>
      <c r="F676" s="12"/>
    </row>
    <row r="677" ht="15.75" customHeight="1">
      <c r="A677" s="13"/>
      <c r="B677" s="13"/>
      <c r="C677" s="12"/>
      <c r="D677" s="12"/>
      <c r="E677" s="12"/>
      <c r="F677" s="12"/>
    </row>
    <row r="678" ht="15.75" customHeight="1">
      <c r="A678" s="13"/>
      <c r="B678" s="13"/>
      <c r="C678" s="12"/>
      <c r="D678" s="12"/>
      <c r="E678" s="12"/>
      <c r="F678" s="12"/>
    </row>
    <row r="679" ht="15.75" customHeight="1">
      <c r="A679" s="13"/>
      <c r="B679" s="13"/>
      <c r="C679" s="12"/>
      <c r="D679" s="12"/>
      <c r="E679" s="12"/>
      <c r="F679" s="12"/>
    </row>
    <row r="680" ht="15.75" customHeight="1">
      <c r="A680" s="13"/>
      <c r="B680" s="13"/>
      <c r="C680" s="12"/>
      <c r="D680" s="12"/>
      <c r="E680" s="12"/>
      <c r="F680" s="12"/>
    </row>
    <row r="681" ht="15.75" customHeight="1">
      <c r="A681" s="13"/>
      <c r="B681" s="13"/>
      <c r="C681" s="12"/>
      <c r="D681" s="12"/>
      <c r="E681" s="12"/>
      <c r="F681" s="12"/>
    </row>
    <row r="682" ht="15.75" customHeight="1">
      <c r="A682" s="13"/>
      <c r="B682" s="13"/>
      <c r="C682" s="12"/>
      <c r="D682" s="12"/>
      <c r="E682" s="12"/>
      <c r="F682" s="12"/>
    </row>
    <row r="683" ht="15.75" customHeight="1">
      <c r="A683" s="13"/>
      <c r="B683" s="13"/>
      <c r="C683" s="12"/>
      <c r="D683" s="12"/>
      <c r="E683" s="12"/>
      <c r="F683" s="12"/>
    </row>
    <row r="684" ht="15.75" customHeight="1">
      <c r="A684" s="13"/>
      <c r="B684" s="13"/>
      <c r="C684" s="12"/>
      <c r="D684" s="12"/>
      <c r="E684" s="12"/>
      <c r="F684" s="12"/>
    </row>
    <row r="685" ht="15.75" customHeight="1">
      <c r="A685" s="13"/>
      <c r="B685" s="13"/>
      <c r="C685" s="12"/>
      <c r="D685" s="12"/>
      <c r="E685" s="12"/>
      <c r="F685" s="12"/>
    </row>
    <row r="686" ht="15.75" customHeight="1">
      <c r="A686" s="13"/>
      <c r="B686" s="13"/>
      <c r="C686" s="12"/>
      <c r="D686" s="12"/>
      <c r="E686" s="12"/>
      <c r="F686" s="12"/>
    </row>
    <row r="687" ht="15.75" customHeight="1">
      <c r="A687" s="13"/>
      <c r="B687" s="13"/>
      <c r="C687" s="12"/>
      <c r="D687" s="12"/>
      <c r="E687" s="12"/>
      <c r="F687" s="12"/>
    </row>
    <row r="688" ht="15.75" customHeight="1">
      <c r="A688" s="13"/>
      <c r="B688" s="13"/>
      <c r="C688" s="12"/>
      <c r="D688" s="12"/>
      <c r="E688" s="12"/>
      <c r="F688" s="12"/>
    </row>
    <row r="689" ht="15.75" customHeight="1">
      <c r="A689" s="13"/>
      <c r="B689" s="13"/>
      <c r="C689" s="12"/>
      <c r="D689" s="12"/>
      <c r="E689" s="12"/>
      <c r="F689" s="12"/>
    </row>
    <row r="690" ht="15.75" customHeight="1">
      <c r="A690" s="13"/>
      <c r="B690" s="13"/>
      <c r="C690" s="12"/>
      <c r="D690" s="12"/>
      <c r="E690" s="12"/>
      <c r="F690" s="12"/>
    </row>
    <row r="691" ht="15.75" customHeight="1">
      <c r="A691" s="13"/>
      <c r="B691" s="13"/>
      <c r="C691" s="12"/>
      <c r="D691" s="12"/>
      <c r="E691" s="12"/>
      <c r="F691" s="12"/>
    </row>
    <row r="692" ht="15.75" customHeight="1">
      <c r="A692" s="13"/>
      <c r="B692" s="13"/>
      <c r="C692" s="12"/>
      <c r="D692" s="12"/>
      <c r="E692" s="12"/>
      <c r="F692" s="12"/>
    </row>
    <row r="693" ht="15.75" customHeight="1">
      <c r="A693" s="13"/>
      <c r="B693" s="13"/>
      <c r="C693" s="12"/>
      <c r="D693" s="12"/>
      <c r="E693" s="12"/>
      <c r="F693" s="12"/>
    </row>
    <row r="694" ht="15.75" customHeight="1">
      <c r="A694" s="13"/>
      <c r="B694" s="13"/>
      <c r="C694" s="12"/>
      <c r="D694" s="12"/>
      <c r="E694" s="12"/>
      <c r="F694" s="12"/>
    </row>
    <row r="695" ht="15.75" customHeight="1">
      <c r="A695" s="13"/>
      <c r="B695" s="13"/>
      <c r="C695" s="12"/>
      <c r="D695" s="12"/>
      <c r="E695" s="12"/>
      <c r="F695" s="12"/>
    </row>
    <row r="696" ht="15.75" customHeight="1">
      <c r="A696" s="13"/>
      <c r="B696" s="13"/>
      <c r="C696" s="12"/>
      <c r="D696" s="12"/>
      <c r="E696" s="12"/>
      <c r="F696" s="12"/>
    </row>
    <row r="697" ht="15.75" customHeight="1">
      <c r="A697" s="13"/>
      <c r="B697" s="13"/>
      <c r="C697" s="12"/>
      <c r="D697" s="12"/>
      <c r="E697" s="12"/>
      <c r="F697" s="12"/>
    </row>
    <row r="698" ht="15.75" customHeight="1">
      <c r="A698" s="13"/>
      <c r="B698" s="13"/>
      <c r="C698" s="12"/>
      <c r="D698" s="12"/>
      <c r="E698" s="12"/>
      <c r="F698" s="12"/>
    </row>
    <row r="699" ht="15.75" customHeight="1">
      <c r="A699" s="13"/>
      <c r="B699" s="13"/>
      <c r="C699" s="12"/>
      <c r="D699" s="12"/>
      <c r="E699" s="12"/>
      <c r="F699" s="12"/>
    </row>
    <row r="700" ht="15.75" customHeight="1">
      <c r="A700" s="13"/>
      <c r="B700" s="13"/>
      <c r="C700" s="12"/>
      <c r="D700" s="12"/>
      <c r="E700" s="12"/>
      <c r="F700" s="12"/>
    </row>
    <row r="701" ht="15.75" customHeight="1">
      <c r="A701" s="13"/>
      <c r="B701" s="13"/>
      <c r="C701" s="12"/>
      <c r="D701" s="12"/>
      <c r="E701" s="12"/>
      <c r="F701" s="12"/>
    </row>
    <row r="702" ht="15.75" customHeight="1">
      <c r="A702" s="13"/>
      <c r="B702" s="13"/>
      <c r="C702" s="12"/>
      <c r="D702" s="12"/>
      <c r="E702" s="12"/>
      <c r="F702" s="12"/>
    </row>
    <row r="703" ht="15.75" customHeight="1">
      <c r="A703" s="13"/>
      <c r="B703" s="13"/>
      <c r="C703" s="12"/>
      <c r="D703" s="12"/>
      <c r="E703" s="12"/>
      <c r="F703" s="12"/>
    </row>
    <row r="704" ht="15.75" customHeight="1">
      <c r="A704" s="13"/>
      <c r="B704" s="13"/>
      <c r="C704" s="12"/>
      <c r="D704" s="12"/>
      <c r="E704" s="12"/>
      <c r="F704" s="12"/>
    </row>
    <row r="705" ht="15.75" customHeight="1">
      <c r="A705" s="13"/>
      <c r="B705" s="13"/>
      <c r="C705" s="12"/>
      <c r="D705" s="12"/>
      <c r="E705" s="12"/>
      <c r="F705" s="12"/>
    </row>
    <row r="706" ht="15.75" customHeight="1">
      <c r="A706" s="13"/>
      <c r="B706" s="13"/>
      <c r="C706" s="12"/>
      <c r="D706" s="12"/>
      <c r="E706" s="12"/>
      <c r="F706" s="12"/>
    </row>
    <row r="707" ht="15.75" customHeight="1">
      <c r="A707" s="13"/>
      <c r="B707" s="13"/>
      <c r="C707" s="12"/>
      <c r="D707" s="12"/>
      <c r="E707" s="12"/>
      <c r="F707" s="12"/>
    </row>
    <row r="708" ht="15.75" customHeight="1">
      <c r="A708" s="13"/>
      <c r="B708" s="13"/>
      <c r="C708" s="12"/>
      <c r="D708" s="12"/>
      <c r="E708" s="12"/>
      <c r="F708" s="12"/>
    </row>
    <row r="709" ht="15.75" customHeight="1">
      <c r="A709" s="13"/>
      <c r="B709" s="13"/>
      <c r="C709" s="12"/>
      <c r="D709" s="12"/>
      <c r="E709" s="12"/>
      <c r="F709" s="12"/>
    </row>
    <row r="710" ht="15.75" customHeight="1">
      <c r="A710" s="13"/>
      <c r="B710" s="13"/>
      <c r="C710" s="12"/>
      <c r="D710" s="12"/>
      <c r="E710" s="12"/>
      <c r="F710" s="12"/>
    </row>
    <row r="711" ht="15.75" customHeight="1">
      <c r="A711" s="13"/>
      <c r="B711" s="13"/>
      <c r="C711" s="12"/>
      <c r="D711" s="12"/>
      <c r="E711" s="12"/>
      <c r="F711" s="12"/>
    </row>
    <row r="712" ht="15.75" customHeight="1">
      <c r="A712" s="13"/>
      <c r="B712" s="13"/>
      <c r="C712" s="12"/>
      <c r="D712" s="12"/>
      <c r="E712" s="12"/>
      <c r="F712" s="12"/>
    </row>
    <row r="713" ht="15.75" customHeight="1">
      <c r="A713" s="13"/>
      <c r="B713" s="13"/>
      <c r="C713" s="12"/>
      <c r="D713" s="12"/>
      <c r="E713" s="12"/>
      <c r="F713" s="12"/>
    </row>
    <row r="714" ht="15.75" customHeight="1">
      <c r="A714" s="13"/>
      <c r="B714" s="13"/>
      <c r="C714" s="12"/>
      <c r="D714" s="12"/>
      <c r="E714" s="12"/>
      <c r="F714" s="12"/>
    </row>
    <row r="715" ht="15.75" customHeight="1">
      <c r="A715" s="13"/>
      <c r="B715" s="13"/>
      <c r="C715" s="12"/>
      <c r="D715" s="12"/>
      <c r="E715" s="12"/>
      <c r="F715" s="12"/>
    </row>
    <row r="716" ht="15.75" customHeight="1">
      <c r="A716" s="13"/>
      <c r="B716" s="13"/>
      <c r="C716" s="12"/>
      <c r="D716" s="12"/>
      <c r="E716" s="12"/>
      <c r="F716" s="12"/>
    </row>
    <row r="717" ht="15.75" customHeight="1">
      <c r="A717" s="13"/>
      <c r="B717" s="13"/>
      <c r="C717" s="12"/>
      <c r="D717" s="12"/>
      <c r="E717" s="12"/>
      <c r="F717" s="12"/>
    </row>
    <row r="718" ht="15.75" customHeight="1">
      <c r="A718" s="13"/>
      <c r="B718" s="13"/>
      <c r="C718" s="12"/>
      <c r="D718" s="12"/>
      <c r="E718" s="12"/>
      <c r="F718" s="12"/>
    </row>
    <row r="719" ht="15.75" customHeight="1">
      <c r="A719" s="13"/>
      <c r="B719" s="13"/>
      <c r="C719" s="12"/>
      <c r="D719" s="12"/>
      <c r="E719" s="12"/>
      <c r="F719" s="12"/>
    </row>
    <row r="720" ht="15.75" customHeight="1">
      <c r="A720" s="13"/>
      <c r="B720" s="13"/>
      <c r="C720" s="12"/>
      <c r="D720" s="12"/>
      <c r="E720" s="12"/>
      <c r="F720" s="12"/>
    </row>
    <row r="721" ht="15.75" customHeight="1">
      <c r="A721" s="13"/>
      <c r="B721" s="13"/>
      <c r="C721" s="12"/>
      <c r="D721" s="12"/>
      <c r="E721" s="12"/>
      <c r="F721" s="12"/>
    </row>
    <row r="722" ht="15.75" customHeight="1">
      <c r="A722" s="13"/>
      <c r="B722" s="13"/>
      <c r="C722" s="12"/>
      <c r="D722" s="12"/>
      <c r="E722" s="12"/>
      <c r="F722" s="12"/>
    </row>
    <row r="723" ht="15.75" customHeight="1">
      <c r="A723" s="13"/>
      <c r="B723" s="13"/>
      <c r="C723" s="12"/>
      <c r="D723" s="12"/>
      <c r="E723" s="12"/>
      <c r="F723" s="12"/>
    </row>
    <row r="724" ht="15.75" customHeight="1">
      <c r="A724" s="13"/>
      <c r="B724" s="13"/>
      <c r="C724" s="12"/>
      <c r="D724" s="12"/>
      <c r="E724" s="12"/>
      <c r="F724" s="12"/>
    </row>
    <row r="725" ht="15.75" customHeight="1">
      <c r="A725" s="13"/>
      <c r="B725" s="13"/>
      <c r="C725" s="12"/>
      <c r="D725" s="12"/>
      <c r="E725" s="12"/>
      <c r="F725" s="12"/>
    </row>
    <row r="726" ht="15.75" customHeight="1">
      <c r="A726" s="13"/>
      <c r="B726" s="13"/>
      <c r="C726" s="12"/>
      <c r="D726" s="12"/>
      <c r="E726" s="12"/>
      <c r="F726" s="12"/>
    </row>
    <row r="727" ht="15.75" customHeight="1">
      <c r="A727" s="13"/>
      <c r="B727" s="13"/>
      <c r="C727" s="12"/>
      <c r="D727" s="12"/>
      <c r="E727" s="12"/>
      <c r="F727" s="12"/>
    </row>
    <row r="728" ht="15.75" customHeight="1">
      <c r="A728" s="13"/>
      <c r="B728" s="13"/>
      <c r="C728" s="12"/>
      <c r="D728" s="12"/>
      <c r="E728" s="12"/>
      <c r="F728" s="12"/>
    </row>
    <row r="729" ht="15.75" customHeight="1">
      <c r="A729" s="13"/>
      <c r="B729" s="13"/>
      <c r="C729" s="12"/>
      <c r="D729" s="12"/>
      <c r="E729" s="12"/>
      <c r="F729" s="12"/>
    </row>
    <row r="730" ht="15.75" customHeight="1">
      <c r="A730" s="13"/>
      <c r="B730" s="13"/>
      <c r="C730" s="12"/>
      <c r="D730" s="12"/>
      <c r="E730" s="12"/>
      <c r="F730" s="12"/>
    </row>
    <row r="731" ht="15.75" customHeight="1">
      <c r="A731" s="13"/>
      <c r="B731" s="13"/>
      <c r="C731" s="12"/>
      <c r="D731" s="12"/>
      <c r="E731" s="12"/>
      <c r="F731" s="12"/>
    </row>
    <row r="732" ht="15.75" customHeight="1">
      <c r="A732" s="13"/>
      <c r="B732" s="13"/>
      <c r="C732" s="12"/>
      <c r="D732" s="12"/>
      <c r="E732" s="12"/>
      <c r="F732" s="12"/>
    </row>
    <row r="733" ht="15.75" customHeight="1">
      <c r="A733" s="13"/>
      <c r="B733" s="13"/>
      <c r="C733" s="12"/>
      <c r="D733" s="12"/>
      <c r="E733" s="12"/>
      <c r="F733" s="12"/>
    </row>
    <row r="734" ht="15.75" customHeight="1">
      <c r="A734" s="13"/>
      <c r="B734" s="13"/>
      <c r="C734" s="12"/>
      <c r="D734" s="12"/>
      <c r="E734" s="12"/>
      <c r="F734" s="12"/>
    </row>
    <row r="735" ht="15.75" customHeight="1">
      <c r="A735" s="13"/>
      <c r="B735" s="13"/>
      <c r="C735" s="12"/>
      <c r="D735" s="12"/>
      <c r="E735" s="12"/>
      <c r="F735" s="12"/>
    </row>
    <row r="736" ht="15.75" customHeight="1">
      <c r="A736" s="13"/>
      <c r="B736" s="13"/>
      <c r="C736" s="12"/>
      <c r="D736" s="12"/>
      <c r="E736" s="12"/>
      <c r="F736" s="12"/>
    </row>
    <row r="737" ht="15.75" customHeight="1">
      <c r="A737" s="13"/>
      <c r="B737" s="13"/>
      <c r="C737" s="12"/>
      <c r="D737" s="12"/>
      <c r="E737" s="12"/>
      <c r="F737" s="12"/>
    </row>
    <row r="738" ht="15.75" customHeight="1">
      <c r="A738" s="13"/>
      <c r="B738" s="13"/>
      <c r="C738" s="12"/>
      <c r="D738" s="12"/>
      <c r="E738" s="12"/>
      <c r="F738" s="12"/>
    </row>
    <row r="739" ht="15.75" customHeight="1">
      <c r="A739" s="13"/>
      <c r="B739" s="13"/>
      <c r="C739" s="12"/>
      <c r="D739" s="12"/>
      <c r="E739" s="12"/>
      <c r="F739" s="12"/>
    </row>
    <row r="740" ht="15.75" customHeight="1">
      <c r="A740" s="13"/>
      <c r="B740" s="13"/>
      <c r="C740" s="12"/>
      <c r="D740" s="12"/>
      <c r="E740" s="12"/>
      <c r="F740" s="12"/>
    </row>
    <row r="741" ht="15.75" customHeight="1">
      <c r="A741" s="13"/>
      <c r="B741" s="13"/>
      <c r="C741" s="12"/>
      <c r="D741" s="12"/>
      <c r="E741" s="12"/>
      <c r="F741" s="12"/>
    </row>
    <row r="742" ht="15.75" customHeight="1">
      <c r="A742" s="13"/>
      <c r="B742" s="13"/>
      <c r="C742" s="12"/>
      <c r="D742" s="12"/>
      <c r="E742" s="12"/>
      <c r="F742" s="12"/>
    </row>
    <row r="743" ht="15.75" customHeight="1">
      <c r="A743" s="13"/>
      <c r="B743" s="13"/>
      <c r="C743" s="12"/>
      <c r="D743" s="12"/>
      <c r="E743" s="12"/>
      <c r="F743" s="12"/>
    </row>
    <row r="744" ht="15.75" customHeight="1">
      <c r="A744" s="13"/>
      <c r="B744" s="13"/>
      <c r="C744" s="12"/>
      <c r="D744" s="12"/>
      <c r="E744" s="12"/>
      <c r="F744" s="12"/>
    </row>
    <row r="745" ht="15.75" customHeight="1">
      <c r="A745" s="13"/>
      <c r="B745" s="13"/>
      <c r="C745" s="12"/>
      <c r="D745" s="12"/>
      <c r="E745" s="12"/>
      <c r="F745" s="12"/>
    </row>
    <row r="746" ht="15.75" customHeight="1">
      <c r="A746" s="13"/>
      <c r="B746" s="13"/>
      <c r="C746" s="12"/>
      <c r="D746" s="12"/>
      <c r="E746" s="12"/>
      <c r="F746" s="12"/>
    </row>
    <row r="747" ht="15.75" customHeight="1">
      <c r="A747" s="13"/>
      <c r="B747" s="13"/>
      <c r="C747" s="12"/>
      <c r="D747" s="12"/>
      <c r="E747" s="12"/>
      <c r="F747" s="12"/>
    </row>
    <row r="748" ht="15.75" customHeight="1">
      <c r="A748" s="13"/>
      <c r="B748" s="13"/>
      <c r="C748" s="12"/>
      <c r="D748" s="12"/>
      <c r="E748" s="12"/>
      <c r="F748" s="12"/>
    </row>
    <row r="749" ht="15.75" customHeight="1">
      <c r="A749" s="13"/>
      <c r="B749" s="13"/>
      <c r="C749" s="12"/>
      <c r="D749" s="12"/>
      <c r="E749" s="12"/>
      <c r="F749" s="12"/>
    </row>
    <row r="750" ht="15.75" customHeight="1">
      <c r="A750" s="13"/>
      <c r="B750" s="13"/>
      <c r="C750" s="12"/>
      <c r="D750" s="12"/>
      <c r="E750" s="12"/>
      <c r="F750" s="12"/>
    </row>
    <row r="751" ht="15.75" customHeight="1">
      <c r="A751" s="13"/>
      <c r="B751" s="13"/>
      <c r="C751" s="12"/>
      <c r="D751" s="12"/>
      <c r="E751" s="12"/>
      <c r="F751" s="12"/>
    </row>
    <row r="752" ht="15.75" customHeight="1">
      <c r="A752" s="13"/>
      <c r="B752" s="13"/>
      <c r="C752" s="12"/>
      <c r="D752" s="12"/>
      <c r="E752" s="12"/>
      <c r="F752" s="12"/>
    </row>
    <row r="753" ht="15.75" customHeight="1">
      <c r="A753" s="13"/>
      <c r="B753" s="13"/>
      <c r="C753" s="12"/>
      <c r="D753" s="12"/>
      <c r="E753" s="12"/>
      <c r="F753" s="12"/>
    </row>
    <row r="754" ht="15.75" customHeight="1">
      <c r="A754" s="13"/>
      <c r="B754" s="13"/>
      <c r="C754" s="12"/>
      <c r="D754" s="12"/>
      <c r="E754" s="12"/>
      <c r="F754" s="12"/>
    </row>
    <row r="755" ht="15.75" customHeight="1">
      <c r="A755" s="13"/>
      <c r="B755" s="13"/>
      <c r="C755" s="12"/>
      <c r="D755" s="12"/>
      <c r="E755" s="12"/>
      <c r="F755" s="12"/>
    </row>
    <row r="756" ht="15.75" customHeight="1">
      <c r="A756" s="13"/>
      <c r="B756" s="13"/>
      <c r="C756" s="12"/>
      <c r="D756" s="12"/>
      <c r="E756" s="12"/>
      <c r="F756" s="12"/>
    </row>
    <row r="757" ht="15.75" customHeight="1">
      <c r="A757" s="13"/>
      <c r="B757" s="13"/>
      <c r="C757" s="12"/>
      <c r="D757" s="12"/>
      <c r="E757" s="12"/>
      <c r="F757" s="12"/>
    </row>
    <row r="758" ht="15.75" customHeight="1">
      <c r="A758" s="13"/>
      <c r="B758" s="13"/>
      <c r="C758" s="12"/>
      <c r="D758" s="12"/>
      <c r="E758" s="12"/>
      <c r="F758" s="12"/>
    </row>
    <row r="759" ht="15.75" customHeight="1">
      <c r="A759" s="13"/>
      <c r="B759" s="13"/>
      <c r="C759" s="12"/>
      <c r="D759" s="12"/>
      <c r="E759" s="12"/>
      <c r="F759" s="12"/>
    </row>
    <row r="760" ht="15.75" customHeight="1">
      <c r="A760" s="13"/>
      <c r="B760" s="13"/>
      <c r="C760" s="12"/>
      <c r="D760" s="12"/>
      <c r="E760" s="12"/>
      <c r="F760" s="12"/>
    </row>
    <row r="761" ht="15.75" customHeight="1">
      <c r="A761" s="13"/>
      <c r="B761" s="13"/>
      <c r="C761" s="12"/>
      <c r="D761" s="12"/>
      <c r="E761" s="12"/>
      <c r="F761" s="12"/>
    </row>
    <row r="762" ht="15.75" customHeight="1">
      <c r="A762" s="13"/>
      <c r="B762" s="13"/>
      <c r="C762" s="12"/>
      <c r="D762" s="12"/>
      <c r="E762" s="12"/>
      <c r="F762" s="12"/>
    </row>
    <row r="763" ht="15.75" customHeight="1">
      <c r="A763" s="13"/>
      <c r="B763" s="13"/>
      <c r="C763" s="12"/>
      <c r="D763" s="12"/>
      <c r="E763" s="12"/>
      <c r="F763" s="12"/>
    </row>
    <row r="764" ht="15.75" customHeight="1">
      <c r="A764" s="13"/>
      <c r="B764" s="13"/>
      <c r="C764" s="12"/>
      <c r="D764" s="12"/>
      <c r="E764" s="12"/>
      <c r="F764" s="12"/>
    </row>
    <row r="765" ht="15.75" customHeight="1">
      <c r="A765" s="13"/>
      <c r="B765" s="13"/>
      <c r="C765" s="12"/>
      <c r="D765" s="12"/>
      <c r="E765" s="12"/>
      <c r="F765" s="12"/>
    </row>
    <row r="766" ht="15.75" customHeight="1">
      <c r="A766" s="13"/>
      <c r="B766" s="13"/>
      <c r="C766" s="12"/>
      <c r="D766" s="12"/>
      <c r="E766" s="12"/>
      <c r="F766" s="12"/>
    </row>
    <row r="767" ht="15.75" customHeight="1">
      <c r="A767" s="13"/>
      <c r="B767" s="13"/>
      <c r="C767" s="12"/>
      <c r="D767" s="12"/>
      <c r="E767" s="12"/>
      <c r="F767" s="12"/>
    </row>
    <row r="768" ht="15.75" customHeight="1">
      <c r="A768" s="13"/>
      <c r="B768" s="13"/>
      <c r="C768" s="12"/>
      <c r="D768" s="12"/>
      <c r="E768" s="12"/>
      <c r="F768" s="12"/>
    </row>
    <row r="769" ht="15.75" customHeight="1">
      <c r="A769" s="13"/>
      <c r="B769" s="13"/>
      <c r="C769" s="12"/>
      <c r="D769" s="12"/>
      <c r="E769" s="12"/>
      <c r="F769" s="12"/>
    </row>
    <row r="770" ht="15.75" customHeight="1">
      <c r="A770" s="13"/>
      <c r="B770" s="13"/>
      <c r="C770" s="12"/>
      <c r="D770" s="12"/>
      <c r="E770" s="12"/>
      <c r="F770" s="12"/>
    </row>
    <row r="771" ht="15.75" customHeight="1">
      <c r="A771" s="13"/>
      <c r="B771" s="13"/>
      <c r="C771" s="12"/>
      <c r="D771" s="12"/>
      <c r="E771" s="12"/>
      <c r="F771" s="12"/>
    </row>
    <row r="772" ht="15.75" customHeight="1">
      <c r="A772" s="13"/>
      <c r="B772" s="13"/>
      <c r="C772" s="12"/>
      <c r="D772" s="12"/>
      <c r="E772" s="12"/>
      <c r="F772" s="12"/>
    </row>
    <row r="773" ht="15.75" customHeight="1">
      <c r="A773" s="13"/>
      <c r="B773" s="13"/>
      <c r="C773" s="12"/>
      <c r="D773" s="12"/>
      <c r="E773" s="12"/>
      <c r="F773" s="12"/>
    </row>
    <row r="774" ht="15.75" customHeight="1">
      <c r="A774" s="13"/>
      <c r="B774" s="13"/>
      <c r="C774" s="12"/>
      <c r="D774" s="12"/>
      <c r="E774" s="12"/>
      <c r="F774" s="12"/>
    </row>
    <row r="775" ht="15.75" customHeight="1">
      <c r="A775" s="13"/>
      <c r="B775" s="13"/>
      <c r="C775" s="12"/>
      <c r="D775" s="12"/>
      <c r="E775" s="12"/>
      <c r="F775" s="12"/>
    </row>
    <row r="776" ht="15.75" customHeight="1">
      <c r="A776" s="13"/>
      <c r="B776" s="13"/>
      <c r="C776" s="12"/>
      <c r="D776" s="12"/>
      <c r="E776" s="12"/>
      <c r="F776" s="12"/>
    </row>
    <row r="777" ht="15.75" customHeight="1">
      <c r="A777" s="13"/>
      <c r="B777" s="13"/>
      <c r="C777" s="12"/>
      <c r="D777" s="12"/>
      <c r="E777" s="12"/>
      <c r="F777" s="12"/>
    </row>
    <row r="778" ht="15.75" customHeight="1">
      <c r="A778" s="13"/>
      <c r="B778" s="13"/>
      <c r="C778" s="12"/>
      <c r="D778" s="12"/>
      <c r="E778" s="12"/>
      <c r="F778" s="12"/>
    </row>
    <row r="779" ht="15.75" customHeight="1">
      <c r="A779" s="13"/>
      <c r="B779" s="13"/>
      <c r="C779" s="12"/>
      <c r="D779" s="12"/>
      <c r="E779" s="12"/>
      <c r="F779" s="12"/>
    </row>
    <row r="780" ht="15.75" customHeight="1">
      <c r="A780" s="13"/>
      <c r="B780" s="13"/>
      <c r="C780" s="12"/>
      <c r="D780" s="12"/>
      <c r="E780" s="12"/>
      <c r="F780" s="12"/>
    </row>
    <row r="781" ht="15.75" customHeight="1">
      <c r="A781" s="13"/>
      <c r="B781" s="13"/>
      <c r="C781" s="12"/>
      <c r="D781" s="12"/>
      <c r="E781" s="12"/>
      <c r="F781" s="12"/>
    </row>
    <row r="782" ht="15.75" customHeight="1">
      <c r="A782" s="13"/>
      <c r="B782" s="13"/>
      <c r="C782" s="12"/>
      <c r="D782" s="12"/>
      <c r="E782" s="12"/>
      <c r="F782" s="12"/>
    </row>
    <row r="783" ht="15.75" customHeight="1">
      <c r="A783" s="13"/>
      <c r="B783" s="13"/>
      <c r="C783" s="12"/>
      <c r="D783" s="12"/>
      <c r="E783" s="12"/>
      <c r="F783" s="12"/>
    </row>
    <row r="784" ht="15.75" customHeight="1">
      <c r="A784" s="13"/>
      <c r="B784" s="13"/>
      <c r="C784" s="12"/>
      <c r="D784" s="12"/>
      <c r="E784" s="12"/>
      <c r="F784" s="12"/>
    </row>
    <row r="785" ht="15.75" customHeight="1">
      <c r="A785" s="13"/>
      <c r="B785" s="13"/>
      <c r="C785" s="12"/>
      <c r="D785" s="12"/>
      <c r="E785" s="12"/>
      <c r="F785" s="12"/>
    </row>
    <row r="786" ht="15.75" customHeight="1">
      <c r="A786" s="13"/>
      <c r="B786" s="13"/>
      <c r="C786" s="12"/>
      <c r="D786" s="12"/>
      <c r="E786" s="12"/>
      <c r="F786" s="12"/>
    </row>
    <row r="787" ht="15.75" customHeight="1">
      <c r="A787" s="13"/>
      <c r="B787" s="13"/>
      <c r="C787" s="12"/>
      <c r="D787" s="12"/>
      <c r="E787" s="12"/>
      <c r="F787" s="12"/>
    </row>
    <row r="788" ht="15.75" customHeight="1">
      <c r="A788" s="13"/>
      <c r="B788" s="13"/>
      <c r="C788" s="12"/>
      <c r="D788" s="12"/>
      <c r="E788" s="12"/>
      <c r="F788" s="12"/>
    </row>
    <row r="789" ht="15.75" customHeight="1">
      <c r="A789" s="13"/>
      <c r="B789" s="13"/>
      <c r="C789" s="12"/>
      <c r="D789" s="12"/>
      <c r="E789" s="12"/>
      <c r="F789" s="12"/>
    </row>
    <row r="790" ht="15.75" customHeight="1">
      <c r="A790" s="13"/>
      <c r="B790" s="13"/>
      <c r="C790" s="12"/>
      <c r="D790" s="12"/>
      <c r="E790" s="12"/>
      <c r="F790" s="12"/>
    </row>
    <row r="791" ht="15.75" customHeight="1">
      <c r="A791" s="13"/>
      <c r="B791" s="13"/>
      <c r="C791" s="12"/>
      <c r="D791" s="12"/>
      <c r="E791" s="12"/>
      <c r="F791" s="12"/>
    </row>
    <row r="792" ht="15.75" customHeight="1">
      <c r="A792" s="13"/>
      <c r="B792" s="13"/>
      <c r="C792" s="12"/>
      <c r="D792" s="12"/>
      <c r="E792" s="12"/>
      <c r="F792" s="12"/>
    </row>
    <row r="793" ht="15.75" customHeight="1">
      <c r="A793" s="13"/>
      <c r="B793" s="13"/>
      <c r="C793" s="12"/>
      <c r="D793" s="12"/>
      <c r="E793" s="12"/>
      <c r="F793" s="12"/>
    </row>
    <row r="794" ht="15.75" customHeight="1">
      <c r="A794" s="13"/>
      <c r="B794" s="13"/>
      <c r="C794" s="12"/>
      <c r="D794" s="12"/>
      <c r="E794" s="12"/>
      <c r="F794" s="12"/>
    </row>
    <row r="795" ht="15.75" customHeight="1">
      <c r="A795" s="13"/>
      <c r="B795" s="13"/>
      <c r="C795" s="12"/>
      <c r="D795" s="12"/>
      <c r="E795" s="12"/>
      <c r="F795" s="12"/>
    </row>
    <row r="796" ht="15.75" customHeight="1">
      <c r="A796" s="13"/>
      <c r="B796" s="13"/>
      <c r="C796" s="12"/>
      <c r="D796" s="12"/>
      <c r="E796" s="12"/>
      <c r="F796" s="12"/>
    </row>
    <row r="797" ht="15.75" customHeight="1">
      <c r="A797" s="13"/>
      <c r="B797" s="13"/>
      <c r="C797" s="12"/>
      <c r="D797" s="12"/>
      <c r="E797" s="12"/>
      <c r="F797" s="12"/>
    </row>
    <row r="798" ht="15.75" customHeight="1">
      <c r="A798" s="13"/>
      <c r="B798" s="13"/>
      <c r="C798" s="12"/>
      <c r="D798" s="12"/>
      <c r="E798" s="12"/>
      <c r="F798" s="12"/>
    </row>
    <row r="799" ht="15.75" customHeight="1">
      <c r="A799" s="13"/>
      <c r="B799" s="13"/>
      <c r="C799" s="12"/>
      <c r="D799" s="12"/>
      <c r="E799" s="12"/>
      <c r="F799" s="12"/>
    </row>
    <row r="800" ht="15.75" customHeight="1">
      <c r="A800" s="13"/>
      <c r="B800" s="13"/>
      <c r="C800" s="12"/>
      <c r="D800" s="12"/>
      <c r="E800" s="12"/>
      <c r="F800" s="12"/>
    </row>
    <row r="801" ht="15.75" customHeight="1">
      <c r="A801" s="13"/>
      <c r="B801" s="13"/>
      <c r="C801" s="12"/>
      <c r="D801" s="12"/>
      <c r="E801" s="12"/>
      <c r="F801" s="12"/>
    </row>
    <row r="802" ht="15.75" customHeight="1">
      <c r="A802" s="13"/>
      <c r="B802" s="13"/>
      <c r="C802" s="12"/>
      <c r="D802" s="12"/>
      <c r="E802" s="12"/>
      <c r="F802" s="12"/>
    </row>
    <row r="803" ht="15.75" customHeight="1">
      <c r="A803" s="13"/>
      <c r="B803" s="13"/>
      <c r="C803" s="12"/>
      <c r="D803" s="12"/>
      <c r="E803" s="12"/>
      <c r="F803" s="12"/>
    </row>
    <row r="804" ht="15.75" customHeight="1">
      <c r="A804" s="13"/>
      <c r="B804" s="13"/>
      <c r="C804" s="12"/>
      <c r="D804" s="12"/>
      <c r="E804" s="12"/>
      <c r="F804" s="12"/>
    </row>
    <row r="805" ht="15.75" customHeight="1">
      <c r="A805" s="13"/>
      <c r="B805" s="13"/>
      <c r="C805" s="12"/>
      <c r="D805" s="12"/>
      <c r="E805" s="12"/>
      <c r="F805" s="12"/>
    </row>
    <row r="806" ht="15.75" customHeight="1">
      <c r="A806" s="13"/>
      <c r="B806" s="13"/>
      <c r="C806" s="12"/>
      <c r="D806" s="12"/>
      <c r="E806" s="12"/>
      <c r="F806" s="12"/>
    </row>
    <row r="807" ht="15.75" customHeight="1">
      <c r="A807" s="13"/>
      <c r="B807" s="13"/>
      <c r="C807" s="12"/>
      <c r="D807" s="12"/>
      <c r="E807" s="12"/>
      <c r="F807" s="12"/>
    </row>
    <row r="808" ht="15.75" customHeight="1">
      <c r="A808" s="13"/>
      <c r="B808" s="13"/>
      <c r="C808" s="12"/>
      <c r="D808" s="12"/>
      <c r="E808" s="12"/>
      <c r="F808" s="12"/>
    </row>
    <row r="809" ht="15.75" customHeight="1">
      <c r="A809" s="13"/>
      <c r="B809" s="13"/>
      <c r="C809" s="12"/>
      <c r="D809" s="12"/>
      <c r="E809" s="12"/>
      <c r="F809" s="12"/>
    </row>
    <row r="810" ht="15.75" customHeight="1">
      <c r="A810" s="13"/>
      <c r="B810" s="13"/>
      <c r="C810" s="12"/>
      <c r="D810" s="12"/>
      <c r="E810" s="12"/>
      <c r="F810" s="12"/>
    </row>
    <row r="811" ht="15.75" customHeight="1">
      <c r="A811" s="13"/>
      <c r="B811" s="13"/>
      <c r="C811" s="12"/>
      <c r="D811" s="12"/>
      <c r="E811" s="12"/>
      <c r="F811" s="12"/>
    </row>
    <row r="812" ht="15.75" customHeight="1">
      <c r="A812" s="13"/>
      <c r="B812" s="13"/>
      <c r="C812" s="12"/>
      <c r="D812" s="12"/>
      <c r="E812" s="12"/>
      <c r="F812" s="12"/>
    </row>
    <row r="813" ht="15.75" customHeight="1">
      <c r="A813" s="13"/>
      <c r="B813" s="13"/>
      <c r="C813" s="12"/>
      <c r="D813" s="12"/>
      <c r="E813" s="12"/>
      <c r="F813" s="12"/>
    </row>
    <row r="814" ht="15.75" customHeight="1">
      <c r="A814" s="13"/>
      <c r="B814" s="13"/>
      <c r="C814" s="12"/>
      <c r="D814" s="12"/>
      <c r="E814" s="12"/>
      <c r="F814" s="12"/>
    </row>
    <row r="815" ht="15.75" customHeight="1">
      <c r="A815" s="13"/>
      <c r="B815" s="13"/>
      <c r="C815" s="12"/>
      <c r="D815" s="12"/>
      <c r="E815" s="12"/>
      <c r="F815" s="12"/>
    </row>
    <row r="816" ht="15.75" customHeight="1">
      <c r="A816" s="13"/>
      <c r="B816" s="13"/>
      <c r="C816" s="12"/>
      <c r="D816" s="12"/>
      <c r="E816" s="12"/>
      <c r="F816" s="12"/>
    </row>
    <row r="817" ht="15.75" customHeight="1">
      <c r="A817" s="13"/>
      <c r="B817" s="13"/>
      <c r="C817" s="12"/>
      <c r="D817" s="12"/>
      <c r="E817" s="12"/>
      <c r="F817" s="12"/>
    </row>
    <row r="818" ht="15.75" customHeight="1">
      <c r="A818" s="13"/>
      <c r="B818" s="13"/>
      <c r="C818" s="12"/>
      <c r="D818" s="12"/>
      <c r="E818" s="12"/>
      <c r="F818" s="12"/>
    </row>
    <row r="819" ht="15.75" customHeight="1">
      <c r="A819" s="13"/>
      <c r="B819" s="13"/>
      <c r="C819" s="12"/>
      <c r="D819" s="12"/>
      <c r="E819" s="12"/>
      <c r="F819" s="12"/>
    </row>
    <row r="820" ht="15.75" customHeight="1">
      <c r="A820" s="13"/>
      <c r="B820" s="13"/>
      <c r="C820" s="12"/>
      <c r="D820" s="12"/>
      <c r="E820" s="12"/>
      <c r="F820" s="12"/>
    </row>
    <row r="821" ht="15.75" customHeight="1">
      <c r="A821" s="13"/>
      <c r="B821" s="13"/>
      <c r="C821" s="12"/>
      <c r="D821" s="12"/>
      <c r="E821" s="12"/>
      <c r="F821" s="12"/>
    </row>
    <row r="822" ht="15.75" customHeight="1">
      <c r="A822" s="13"/>
      <c r="B822" s="13"/>
      <c r="C822" s="12"/>
      <c r="D822" s="12"/>
      <c r="E822" s="12"/>
      <c r="F822" s="12"/>
    </row>
    <row r="823" ht="15.75" customHeight="1">
      <c r="A823" s="13"/>
      <c r="B823" s="13"/>
      <c r="C823" s="12"/>
      <c r="D823" s="12"/>
      <c r="E823" s="12"/>
      <c r="F823" s="12"/>
    </row>
    <row r="824" ht="15.75" customHeight="1">
      <c r="A824" s="13"/>
      <c r="B824" s="13"/>
      <c r="C824" s="12"/>
      <c r="D824" s="12"/>
      <c r="E824" s="12"/>
      <c r="F824" s="12"/>
    </row>
    <row r="825" ht="15.75" customHeight="1">
      <c r="A825" s="13"/>
      <c r="B825" s="13"/>
      <c r="C825" s="12"/>
      <c r="D825" s="12"/>
      <c r="E825" s="12"/>
      <c r="F825" s="12"/>
    </row>
    <row r="826" ht="15.75" customHeight="1">
      <c r="A826" s="13"/>
      <c r="B826" s="13"/>
      <c r="C826" s="12"/>
      <c r="D826" s="12"/>
      <c r="E826" s="12"/>
      <c r="F826" s="12"/>
    </row>
    <row r="827" ht="15.75" customHeight="1">
      <c r="A827" s="13"/>
      <c r="B827" s="13"/>
      <c r="C827" s="12"/>
      <c r="D827" s="12"/>
      <c r="E827" s="12"/>
      <c r="F827" s="12"/>
    </row>
    <row r="828" ht="15.75" customHeight="1">
      <c r="A828" s="13"/>
      <c r="B828" s="13"/>
      <c r="C828" s="12"/>
      <c r="D828" s="12"/>
      <c r="E828" s="12"/>
      <c r="F828" s="12"/>
    </row>
    <row r="829" ht="15.75" customHeight="1">
      <c r="A829" s="13"/>
      <c r="B829" s="13"/>
      <c r="C829" s="12"/>
      <c r="D829" s="12"/>
      <c r="E829" s="12"/>
      <c r="F829" s="12"/>
    </row>
    <row r="830" ht="15.75" customHeight="1">
      <c r="A830" s="13"/>
      <c r="B830" s="13"/>
      <c r="C830" s="12"/>
      <c r="D830" s="12"/>
      <c r="E830" s="12"/>
      <c r="F830" s="12"/>
    </row>
    <row r="831" ht="15.75" customHeight="1">
      <c r="A831" s="13"/>
      <c r="B831" s="13"/>
      <c r="C831" s="12"/>
      <c r="D831" s="12"/>
      <c r="E831" s="12"/>
      <c r="F831" s="12"/>
    </row>
    <row r="832" ht="15.75" customHeight="1">
      <c r="A832" s="13"/>
      <c r="B832" s="13"/>
      <c r="C832" s="12"/>
      <c r="D832" s="12"/>
      <c r="E832" s="12"/>
      <c r="F832" s="12"/>
    </row>
    <row r="833" ht="15.75" customHeight="1">
      <c r="A833" s="13"/>
      <c r="B833" s="13"/>
      <c r="C833" s="12"/>
      <c r="D833" s="12"/>
      <c r="E833" s="12"/>
      <c r="F833" s="12"/>
    </row>
    <row r="834" ht="15.75" customHeight="1">
      <c r="A834" s="13"/>
      <c r="B834" s="13"/>
      <c r="C834" s="12"/>
      <c r="D834" s="12"/>
      <c r="E834" s="12"/>
      <c r="F834" s="12"/>
    </row>
    <row r="835" ht="15.75" customHeight="1">
      <c r="A835" s="13"/>
      <c r="B835" s="13"/>
      <c r="C835" s="12"/>
      <c r="D835" s="12"/>
      <c r="E835" s="12"/>
      <c r="F835" s="12"/>
    </row>
    <row r="836" ht="15.75" customHeight="1">
      <c r="A836" s="13"/>
      <c r="B836" s="13"/>
      <c r="C836" s="12"/>
      <c r="D836" s="12"/>
      <c r="E836" s="12"/>
      <c r="F836" s="12"/>
    </row>
    <row r="837" ht="15.75" customHeight="1">
      <c r="A837" s="13"/>
      <c r="B837" s="13"/>
      <c r="C837" s="12"/>
      <c r="D837" s="12"/>
      <c r="E837" s="12"/>
      <c r="F837" s="12"/>
    </row>
    <row r="838" ht="15.75" customHeight="1">
      <c r="A838" s="13"/>
      <c r="B838" s="13"/>
      <c r="C838" s="12"/>
      <c r="D838" s="12"/>
      <c r="E838" s="12"/>
      <c r="F838" s="12"/>
    </row>
    <row r="839" ht="15.75" customHeight="1">
      <c r="A839" s="13"/>
      <c r="B839" s="13"/>
      <c r="C839" s="12"/>
      <c r="D839" s="12"/>
      <c r="E839" s="12"/>
      <c r="F839" s="12"/>
    </row>
    <row r="840" ht="15.75" customHeight="1">
      <c r="A840" s="13"/>
      <c r="B840" s="13"/>
      <c r="C840" s="12"/>
      <c r="D840" s="12"/>
      <c r="E840" s="12"/>
      <c r="F840" s="12"/>
    </row>
    <row r="841" ht="15.75" customHeight="1">
      <c r="A841" s="13"/>
      <c r="B841" s="13"/>
      <c r="C841" s="12"/>
      <c r="D841" s="12"/>
      <c r="E841" s="12"/>
      <c r="F841" s="12"/>
    </row>
    <row r="842" ht="15.75" customHeight="1">
      <c r="A842" s="13"/>
      <c r="B842" s="13"/>
      <c r="C842" s="12"/>
      <c r="D842" s="12"/>
      <c r="E842" s="12"/>
      <c r="F842" s="12"/>
    </row>
    <row r="843" ht="15.75" customHeight="1">
      <c r="A843" s="13"/>
      <c r="B843" s="13"/>
      <c r="C843" s="12"/>
      <c r="D843" s="12"/>
      <c r="E843" s="12"/>
      <c r="F843" s="12"/>
    </row>
    <row r="844" ht="15.75" customHeight="1">
      <c r="A844" s="13"/>
      <c r="B844" s="13"/>
      <c r="C844" s="12"/>
      <c r="D844" s="12"/>
      <c r="E844" s="12"/>
      <c r="F844" s="12"/>
    </row>
    <row r="845" ht="15.75" customHeight="1">
      <c r="A845" s="13"/>
      <c r="B845" s="13"/>
      <c r="C845" s="12"/>
      <c r="D845" s="12"/>
      <c r="E845" s="12"/>
      <c r="F845" s="12"/>
    </row>
    <row r="846" ht="15.75" customHeight="1">
      <c r="A846" s="13"/>
      <c r="B846" s="13"/>
      <c r="C846" s="12"/>
      <c r="D846" s="12"/>
      <c r="E846" s="12"/>
      <c r="F846" s="12"/>
    </row>
    <row r="847" ht="15.75" customHeight="1">
      <c r="A847" s="13"/>
      <c r="B847" s="13"/>
      <c r="C847" s="12"/>
      <c r="D847" s="12"/>
      <c r="E847" s="12"/>
      <c r="F847" s="12"/>
    </row>
    <row r="848" ht="15.75" customHeight="1">
      <c r="A848" s="13"/>
      <c r="B848" s="13"/>
      <c r="C848" s="12"/>
      <c r="D848" s="12"/>
      <c r="E848" s="12"/>
      <c r="F848" s="12"/>
    </row>
    <row r="849" ht="15.75" customHeight="1">
      <c r="A849" s="13"/>
      <c r="B849" s="13"/>
      <c r="C849" s="12"/>
      <c r="D849" s="12"/>
      <c r="E849" s="12"/>
      <c r="F849" s="12"/>
    </row>
    <row r="850" ht="15.75" customHeight="1">
      <c r="A850" s="13"/>
      <c r="B850" s="13"/>
      <c r="C850" s="12"/>
      <c r="D850" s="12"/>
      <c r="E850" s="12"/>
      <c r="F850" s="12"/>
    </row>
    <row r="851" ht="15.75" customHeight="1">
      <c r="A851" s="13"/>
      <c r="B851" s="13"/>
      <c r="C851" s="12"/>
      <c r="D851" s="12"/>
      <c r="E851" s="12"/>
      <c r="F851" s="12"/>
    </row>
    <row r="852" ht="15.75" customHeight="1">
      <c r="A852" s="13"/>
      <c r="B852" s="13"/>
      <c r="C852" s="12"/>
      <c r="D852" s="12"/>
      <c r="E852" s="12"/>
      <c r="F852" s="12"/>
    </row>
    <row r="853" ht="15.75" customHeight="1">
      <c r="A853" s="13"/>
      <c r="B853" s="13"/>
      <c r="C853" s="12"/>
      <c r="D853" s="12"/>
      <c r="E853" s="12"/>
      <c r="F853" s="12"/>
    </row>
    <row r="854" ht="15.75" customHeight="1">
      <c r="A854" s="13"/>
      <c r="B854" s="13"/>
      <c r="C854" s="12"/>
      <c r="D854" s="12"/>
      <c r="E854" s="12"/>
      <c r="F854" s="12"/>
    </row>
    <row r="855" ht="15.75" customHeight="1">
      <c r="A855" s="13"/>
      <c r="B855" s="13"/>
      <c r="C855" s="12"/>
      <c r="D855" s="12"/>
      <c r="E855" s="12"/>
      <c r="F855" s="12"/>
    </row>
    <row r="856" ht="15.75" customHeight="1">
      <c r="A856" s="13"/>
      <c r="B856" s="13"/>
      <c r="C856" s="12"/>
      <c r="D856" s="12"/>
      <c r="E856" s="12"/>
      <c r="F856" s="12"/>
    </row>
    <row r="857" ht="15.75" customHeight="1">
      <c r="A857" s="13"/>
      <c r="B857" s="13"/>
      <c r="C857" s="12"/>
      <c r="D857" s="12"/>
      <c r="E857" s="12"/>
      <c r="F857" s="12"/>
    </row>
    <row r="858" ht="15.75" customHeight="1">
      <c r="A858" s="13"/>
      <c r="B858" s="13"/>
      <c r="C858" s="12"/>
      <c r="D858" s="12"/>
      <c r="E858" s="12"/>
      <c r="F858" s="12"/>
    </row>
    <row r="859" ht="15.75" customHeight="1">
      <c r="A859" s="13"/>
      <c r="B859" s="13"/>
      <c r="C859" s="12"/>
      <c r="D859" s="12"/>
      <c r="E859" s="12"/>
      <c r="F859" s="12"/>
    </row>
    <row r="860" ht="15.75" customHeight="1">
      <c r="A860" s="13"/>
      <c r="B860" s="13"/>
      <c r="C860" s="12"/>
      <c r="D860" s="12"/>
      <c r="E860" s="12"/>
      <c r="F860" s="12"/>
    </row>
    <row r="861" ht="15.75" customHeight="1">
      <c r="A861" s="13"/>
      <c r="B861" s="13"/>
      <c r="C861" s="12"/>
      <c r="D861" s="12"/>
      <c r="E861" s="12"/>
      <c r="F861" s="12"/>
    </row>
    <row r="862" ht="15.75" customHeight="1">
      <c r="A862" s="13"/>
      <c r="B862" s="13"/>
      <c r="C862" s="12"/>
      <c r="D862" s="12"/>
      <c r="E862" s="12"/>
      <c r="F862" s="12"/>
    </row>
    <row r="863" ht="15.75" customHeight="1">
      <c r="A863" s="13"/>
      <c r="B863" s="13"/>
      <c r="C863" s="12"/>
      <c r="D863" s="12"/>
      <c r="E863" s="12"/>
      <c r="F863" s="12"/>
    </row>
    <row r="864" ht="15.75" customHeight="1">
      <c r="A864" s="13"/>
      <c r="B864" s="13"/>
      <c r="C864" s="12"/>
      <c r="D864" s="12"/>
      <c r="E864" s="12"/>
      <c r="F864" s="12"/>
    </row>
    <row r="865" ht="15.75" customHeight="1">
      <c r="A865" s="13"/>
      <c r="B865" s="13"/>
      <c r="C865" s="12"/>
      <c r="D865" s="12"/>
      <c r="E865" s="12"/>
      <c r="F865" s="12"/>
    </row>
    <row r="866" ht="15.75" customHeight="1">
      <c r="A866" s="13"/>
      <c r="B866" s="13"/>
      <c r="C866" s="12"/>
      <c r="D866" s="12"/>
      <c r="E866" s="12"/>
      <c r="F866" s="12"/>
    </row>
    <row r="867" ht="15.75" customHeight="1">
      <c r="A867" s="13"/>
      <c r="B867" s="13"/>
      <c r="C867" s="12"/>
      <c r="D867" s="12"/>
      <c r="E867" s="12"/>
      <c r="F867" s="12"/>
    </row>
    <row r="868" ht="15.75" customHeight="1">
      <c r="A868" s="13"/>
      <c r="B868" s="13"/>
      <c r="C868" s="12"/>
      <c r="D868" s="12"/>
      <c r="E868" s="12"/>
      <c r="F868" s="12"/>
    </row>
    <row r="869" ht="15.75" customHeight="1">
      <c r="A869" s="13"/>
      <c r="B869" s="13"/>
      <c r="C869" s="12"/>
      <c r="D869" s="12"/>
      <c r="E869" s="12"/>
      <c r="F869" s="12"/>
    </row>
    <row r="870" ht="15.75" customHeight="1">
      <c r="A870" s="13"/>
      <c r="B870" s="13"/>
      <c r="C870" s="12"/>
      <c r="D870" s="12"/>
      <c r="E870" s="12"/>
      <c r="F870" s="12"/>
    </row>
    <row r="871" ht="15.75" customHeight="1">
      <c r="A871" s="13"/>
      <c r="B871" s="13"/>
      <c r="C871" s="12"/>
      <c r="D871" s="12"/>
      <c r="E871" s="12"/>
      <c r="F871" s="12"/>
    </row>
    <row r="872" ht="15.75" customHeight="1">
      <c r="A872" s="13"/>
      <c r="B872" s="13"/>
      <c r="C872" s="12"/>
      <c r="D872" s="12"/>
      <c r="E872" s="12"/>
      <c r="F872" s="12"/>
    </row>
    <row r="873" ht="15.75" customHeight="1">
      <c r="A873" s="13"/>
      <c r="B873" s="13"/>
      <c r="C873" s="12"/>
      <c r="D873" s="12"/>
      <c r="E873" s="12"/>
      <c r="F873" s="12"/>
    </row>
    <row r="874" ht="15.75" customHeight="1">
      <c r="A874" s="13"/>
      <c r="B874" s="13"/>
      <c r="C874" s="12"/>
      <c r="D874" s="12"/>
      <c r="E874" s="12"/>
      <c r="F874" s="12"/>
    </row>
    <row r="875" ht="15.75" customHeight="1">
      <c r="A875" s="13"/>
      <c r="B875" s="13"/>
      <c r="C875" s="12"/>
      <c r="D875" s="12"/>
      <c r="E875" s="12"/>
      <c r="F875" s="12"/>
    </row>
    <row r="876" ht="15.75" customHeight="1">
      <c r="A876" s="13"/>
      <c r="B876" s="13"/>
      <c r="C876" s="12"/>
      <c r="D876" s="12"/>
      <c r="E876" s="12"/>
      <c r="F876" s="12"/>
    </row>
    <row r="877" ht="15.75" customHeight="1">
      <c r="A877" s="13"/>
      <c r="B877" s="13"/>
      <c r="C877" s="12"/>
      <c r="D877" s="12"/>
      <c r="E877" s="12"/>
      <c r="F877" s="12"/>
    </row>
    <row r="878" ht="15.75" customHeight="1">
      <c r="A878" s="13"/>
      <c r="B878" s="13"/>
      <c r="C878" s="12"/>
      <c r="D878" s="12"/>
      <c r="E878" s="12"/>
      <c r="F878" s="12"/>
    </row>
    <row r="879" ht="15.75" customHeight="1">
      <c r="A879" s="13"/>
      <c r="B879" s="13"/>
      <c r="C879" s="12"/>
      <c r="D879" s="12"/>
      <c r="E879" s="12"/>
      <c r="F879" s="12"/>
    </row>
    <row r="880" ht="15.75" customHeight="1">
      <c r="A880" s="13"/>
      <c r="B880" s="13"/>
      <c r="C880" s="12"/>
      <c r="D880" s="12"/>
      <c r="E880" s="12"/>
      <c r="F880" s="12"/>
    </row>
    <row r="881" ht="15.75" customHeight="1">
      <c r="A881" s="13"/>
      <c r="B881" s="13"/>
      <c r="C881" s="12"/>
      <c r="D881" s="12"/>
      <c r="E881" s="12"/>
      <c r="F881" s="12"/>
    </row>
    <row r="882" ht="15.75" customHeight="1">
      <c r="A882" s="13"/>
      <c r="B882" s="13"/>
      <c r="C882" s="12"/>
      <c r="D882" s="12"/>
      <c r="E882" s="12"/>
      <c r="F882" s="12"/>
    </row>
    <row r="883" ht="15.75" customHeight="1">
      <c r="A883" s="13"/>
      <c r="B883" s="13"/>
      <c r="C883" s="12"/>
      <c r="D883" s="12"/>
      <c r="E883" s="12"/>
      <c r="F883" s="12"/>
    </row>
    <row r="884" ht="15.75" customHeight="1">
      <c r="A884" s="13"/>
      <c r="B884" s="13"/>
      <c r="C884" s="12"/>
      <c r="D884" s="12"/>
      <c r="E884" s="12"/>
      <c r="F884" s="12"/>
    </row>
    <row r="885" ht="15.75" customHeight="1">
      <c r="A885" s="13"/>
      <c r="B885" s="13"/>
      <c r="C885" s="12"/>
      <c r="D885" s="12"/>
      <c r="E885" s="12"/>
      <c r="F885" s="12"/>
    </row>
    <row r="886" ht="15.75" customHeight="1">
      <c r="A886" s="13"/>
      <c r="B886" s="13"/>
      <c r="C886" s="12"/>
      <c r="D886" s="12"/>
      <c r="E886" s="12"/>
      <c r="F886" s="12"/>
    </row>
    <row r="887" ht="15.75" customHeight="1">
      <c r="A887" s="13"/>
      <c r="B887" s="13"/>
      <c r="C887" s="12"/>
      <c r="D887" s="12"/>
      <c r="E887" s="12"/>
      <c r="F887" s="12"/>
    </row>
    <row r="888" ht="15.75" customHeight="1">
      <c r="A888" s="13"/>
      <c r="B888" s="13"/>
      <c r="C888" s="12"/>
      <c r="D888" s="12"/>
      <c r="E888" s="12"/>
      <c r="F888" s="12"/>
    </row>
    <row r="889" ht="15.75" customHeight="1">
      <c r="A889" s="13"/>
      <c r="B889" s="13"/>
      <c r="C889" s="12"/>
      <c r="D889" s="12"/>
      <c r="E889" s="12"/>
      <c r="F889" s="12"/>
    </row>
    <row r="890" ht="15.75" customHeight="1">
      <c r="A890" s="13"/>
      <c r="B890" s="13"/>
      <c r="C890" s="12"/>
      <c r="D890" s="12"/>
      <c r="E890" s="12"/>
      <c r="F890" s="12"/>
    </row>
    <row r="891" ht="15.75" customHeight="1">
      <c r="A891" s="13"/>
      <c r="B891" s="13"/>
      <c r="C891" s="12"/>
      <c r="D891" s="12"/>
      <c r="E891" s="12"/>
      <c r="F891" s="12"/>
    </row>
    <row r="892" ht="15.75" customHeight="1">
      <c r="A892" s="13"/>
      <c r="B892" s="13"/>
      <c r="C892" s="12"/>
      <c r="D892" s="12"/>
      <c r="E892" s="12"/>
      <c r="F892" s="12"/>
    </row>
    <row r="893" ht="15.75" customHeight="1">
      <c r="A893" s="13"/>
      <c r="B893" s="13"/>
      <c r="C893" s="12"/>
      <c r="D893" s="12"/>
      <c r="E893" s="12"/>
      <c r="F893" s="12"/>
    </row>
    <row r="894" ht="15.75" customHeight="1">
      <c r="A894" s="13"/>
      <c r="B894" s="13"/>
      <c r="C894" s="12"/>
      <c r="D894" s="12"/>
      <c r="E894" s="12"/>
      <c r="F894" s="12"/>
    </row>
    <row r="895" ht="15.75" customHeight="1">
      <c r="A895" s="13"/>
      <c r="B895" s="13"/>
      <c r="C895" s="12"/>
      <c r="D895" s="12"/>
      <c r="E895" s="12"/>
      <c r="F895" s="12"/>
    </row>
    <row r="896" ht="15.75" customHeight="1">
      <c r="A896" s="13"/>
      <c r="B896" s="13"/>
      <c r="C896" s="12"/>
      <c r="D896" s="12"/>
      <c r="E896" s="12"/>
      <c r="F896" s="12"/>
    </row>
    <row r="897" ht="15.75" customHeight="1">
      <c r="A897" s="13"/>
      <c r="B897" s="13"/>
      <c r="C897" s="12"/>
      <c r="D897" s="12"/>
      <c r="E897" s="12"/>
      <c r="F897" s="12"/>
    </row>
    <row r="898" ht="15.75" customHeight="1">
      <c r="A898" s="13"/>
      <c r="B898" s="13"/>
      <c r="C898" s="12"/>
      <c r="D898" s="12"/>
      <c r="E898" s="12"/>
      <c r="F898" s="12"/>
    </row>
    <row r="899" ht="15.75" customHeight="1">
      <c r="A899" s="13"/>
      <c r="B899" s="13"/>
      <c r="C899" s="12"/>
      <c r="D899" s="12"/>
      <c r="E899" s="12"/>
      <c r="F899" s="12"/>
    </row>
    <row r="900" ht="15.75" customHeight="1">
      <c r="A900" s="13"/>
      <c r="B900" s="13"/>
      <c r="C900" s="12"/>
      <c r="D900" s="12"/>
      <c r="E900" s="12"/>
      <c r="F900" s="12"/>
    </row>
    <row r="901" ht="15.75" customHeight="1">
      <c r="A901" s="13"/>
      <c r="B901" s="13"/>
      <c r="C901" s="12"/>
      <c r="D901" s="12"/>
      <c r="E901" s="12"/>
      <c r="F901" s="12"/>
    </row>
    <row r="902" ht="15.75" customHeight="1">
      <c r="A902" s="13"/>
      <c r="B902" s="13"/>
      <c r="C902" s="12"/>
      <c r="D902" s="12"/>
      <c r="E902" s="12"/>
      <c r="F902" s="12"/>
    </row>
    <row r="903" ht="15.75" customHeight="1">
      <c r="A903" s="13"/>
      <c r="B903" s="13"/>
      <c r="C903" s="12"/>
      <c r="D903" s="12"/>
      <c r="E903" s="12"/>
      <c r="F903" s="12"/>
    </row>
    <row r="904" ht="15.75" customHeight="1">
      <c r="A904" s="13"/>
      <c r="B904" s="13"/>
      <c r="C904" s="12"/>
      <c r="D904" s="12"/>
      <c r="E904" s="12"/>
      <c r="F904" s="12"/>
    </row>
    <row r="905" ht="15.75" customHeight="1">
      <c r="A905" s="13"/>
      <c r="B905" s="13"/>
      <c r="C905" s="12"/>
      <c r="D905" s="12"/>
      <c r="E905" s="12"/>
      <c r="F905" s="12"/>
    </row>
    <row r="906" ht="15.75" customHeight="1">
      <c r="A906" s="13"/>
      <c r="B906" s="13"/>
      <c r="C906" s="12"/>
      <c r="D906" s="12"/>
      <c r="E906" s="12"/>
      <c r="F906" s="12"/>
    </row>
    <row r="907" ht="15.75" customHeight="1">
      <c r="A907" s="13"/>
      <c r="B907" s="13"/>
      <c r="C907" s="12"/>
      <c r="D907" s="12"/>
      <c r="E907" s="12"/>
      <c r="F907" s="12"/>
    </row>
    <row r="908" ht="15.75" customHeight="1">
      <c r="A908" s="13"/>
      <c r="B908" s="13"/>
      <c r="C908" s="12"/>
      <c r="D908" s="12"/>
      <c r="E908" s="12"/>
      <c r="F908" s="12"/>
    </row>
    <row r="909" ht="15.75" customHeight="1">
      <c r="A909" s="13"/>
      <c r="B909" s="13"/>
      <c r="C909" s="12"/>
      <c r="D909" s="12"/>
      <c r="E909" s="12"/>
      <c r="F909" s="12"/>
    </row>
    <row r="910" ht="15.75" customHeight="1">
      <c r="A910" s="13"/>
      <c r="B910" s="13"/>
      <c r="C910" s="12"/>
      <c r="D910" s="12"/>
      <c r="E910" s="12"/>
      <c r="F910" s="12"/>
    </row>
    <row r="911" ht="15.75" customHeight="1">
      <c r="A911" s="13"/>
      <c r="B911" s="13"/>
      <c r="C911" s="12"/>
      <c r="D911" s="12"/>
      <c r="E911" s="12"/>
      <c r="F911" s="12"/>
    </row>
    <row r="912" ht="15.75" customHeight="1">
      <c r="A912" s="13"/>
      <c r="B912" s="13"/>
      <c r="C912" s="12"/>
      <c r="D912" s="12"/>
      <c r="E912" s="12"/>
      <c r="F912" s="12"/>
    </row>
    <row r="913" ht="15.75" customHeight="1">
      <c r="A913" s="13"/>
      <c r="B913" s="13"/>
      <c r="C913" s="12"/>
      <c r="D913" s="12"/>
      <c r="E913" s="12"/>
      <c r="F913" s="12"/>
    </row>
    <row r="914" ht="15.75" customHeight="1">
      <c r="A914" s="13"/>
      <c r="B914" s="13"/>
      <c r="C914" s="12"/>
      <c r="D914" s="12"/>
      <c r="E914" s="12"/>
      <c r="F914" s="12"/>
    </row>
    <row r="915" ht="15.75" customHeight="1">
      <c r="A915" s="13"/>
      <c r="B915" s="13"/>
      <c r="C915" s="12"/>
      <c r="D915" s="12"/>
      <c r="E915" s="12"/>
      <c r="F915" s="12"/>
    </row>
    <row r="916" ht="15.75" customHeight="1">
      <c r="A916" s="13"/>
      <c r="B916" s="13"/>
      <c r="C916" s="12"/>
      <c r="D916" s="12"/>
      <c r="E916" s="12"/>
      <c r="F916" s="12"/>
    </row>
    <row r="917" ht="15.75" customHeight="1">
      <c r="A917" s="13"/>
      <c r="B917" s="13"/>
      <c r="C917" s="12"/>
      <c r="D917" s="12"/>
      <c r="E917" s="12"/>
      <c r="F917" s="12"/>
    </row>
    <row r="918" ht="15.75" customHeight="1">
      <c r="A918" s="13"/>
      <c r="B918" s="13"/>
      <c r="C918" s="12"/>
      <c r="D918" s="12"/>
      <c r="E918" s="12"/>
      <c r="F918" s="12"/>
    </row>
    <row r="919" ht="15.75" customHeight="1">
      <c r="A919" s="13"/>
      <c r="B919" s="13"/>
      <c r="C919" s="12"/>
      <c r="D919" s="12"/>
      <c r="E919" s="12"/>
      <c r="F919" s="12"/>
    </row>
    <row r="920" ht="15.75" customHeight="1">
      <c r="A920" s="13"/>
      <c r="B920" s="13"/>
      <c r="C920" s="12"/>
      <c r="D920" s="12"/>
      <c r="E920" s="12"/>
      <c r="F920" s="12"/>
    </row>
    <row r="921" ht="15.75" customHeight="1">
      <c r="A921" s="13"/>
      <c r="B921" s="13"/>
      <c r="C921" s="12"/>
      <c r="D921" s="12"/>
      <c r="E921" s="12"/>
      <c r="F921" s="12"/>
    </row>
    <row r="922" ht="15.75" customHeight="1">
      <c r="A922" s="13"/>
      <c r="B922" s="13"/>
      <c r="C922" s="12"/>
      <c r="D922" s="12"/>
      <c r="E922" s="12"/>
      <c r="F922" s="12"/>
    </row>
    <row r="923" ht="15.75" customHeight="1">
      <c r="A923" s="13"/>
      <c r="B923" s="13"/>
      <c r="C923" s="12"/>
      <c r="D923" s="12"/>
      <c r="E923" s="12"/>
      <c r="F923" s="12"/>
    </row>
    <row r="924" ht="15.75" customHeight="1">
      <c r="A924" s="13"/>
      <c r="B924" s="13"/>
      <c r="C924" s="12"/>
      <c r="D924" s="12"/>
      <c r="E924" s="12"/>
      <c r="F924" s="12"/>
    </row>
    <row r="925" ht="15.75" customHeight="1">
      <c r="A925" s="13"/>
      <c r="B925" s="13"/>
      <c r="C925" s="12"/>
      <c r="D925" s="12"/>
      <c r="E925" s="12"/>
      <c r="F925" s="12"/>
    </row>
    <row r="926" ht="15.75" customHeight="1">
      <c r="A926" s="13"/>
      <c r="B926" s="13"/>
      <c r="C926" s="12"/>
      <c r="D926" s="12"/>
      <c r="E926" s="12"/>
      <c r="F926" s="12"/>
    </row>
    <row r="927" ht="15.75" customHeight="1">
      <c r="A927" s="13"/>
      <c r="B927" s="13"/>
      <c r="C927" s="12"/>
      <c r="D927" s="12"/>
      <c r="E927" s="12"/>
      <c r="F927" s="12"/>
    </row>
    <row r="928" ht="15.75" customHeight="1">
      <c r="A928" s="13"/>
      <c r="B928" s="13"/>
      <c r="C928" s="12"/>
      <c r="D928" s="12"/>
      <c r="E928" s="12"/>
      <c r="F928" s="12"/>
    </row>
    <row r="929" ht="15.75" customHeight="1">
      <c r="A929" s="13"/>
      <c r="B929" s="13"/>
      <c r="C929" s="12"/>
      <c r="D929" s="12"/>
      <c r="E929" s="12"/>
      <c r="F929" s="12"/>
    </row>
    <row r="930" ht="15.75" customHeight="1">
      <c r="A930" s="13"/>
      <c r="B930" s="13"/>
      <c r="C930" s="12"/>
      <c r="D930" s="12"/>
      <c r="E930" s="12"/>
      <c r="F930" s="12"/>
    </row>
    <row r="931" ht="15.75" customHeight="1">
      <c r="A931" s="13"/>
      <c r="B931" s="13"/>
      <c r="C931" s="12"/>
      <c r="D931" s="12"/>
      <c r="E931" s="12"/>
      <c r="F931" s="12"/>
    </row>
    <row r="932" ht="15.75" customHeight="1">
      <c r="A932" s="13"/>
      <c r="B932" s="13"/>
      <c r="C932" s="12"/>
      <c r="D932" s="12"/>
      <c r="E932" s="12"/>
      <c r="F932" s="12"/>
    </row>
    <row r="933" ht="15.75" customHeight="1">
      <c r="A933" s="13"/>
      <c r="B933" s="13"/>
      <c r="C933" s="12"/>
      <c r="D933" s="12"/>
      <c r="E933" s="12"/>
      <c r="F933" s="12"/>
    </row>
    <row r="934" ht="15.75" customHeight="1">
      <c r="A934" s="13"/>
      <c r="B934" s="13"/>
      <c r="C934" s="12"/>
      <c r="D934" s="12"/>
      <c r="E934" s="12"/>
      <c r="F934" s="12"/>
    </row>
    <row r="935" ht="15.75" customHeight="1">
      <c r="A935" s="13"/>
      <c r="B935" s="13"/>
      <c r="C935" s="12"/>
      <c r="D935" s="12"/>
      <c r="E935" s="12"/>
      <c r="F935" s="12"/>
    </row>
    <row r="936" ht="15.75" customHeight="1">
      <c r="A936" s="13"/>
      <c r="B936" s="13"/>
      <c r="C936" s="12"/>
      <c r="D936" s="12"/>
      <c r="E936" s="12"/>
      <c r="F936" s="12"/>
    </row>
    <row r="937" ht="15.75" customHeight="1">
      <c r="A937" s="13"/>
      <c r="B937" s="13"/>
      <c r="C937" s="12"/>
      <c r="D937" s="12"/>
      <c r="E937" s="12"/>
      <c r="F937" s="12"/>
    </row>
    <row r="938" ht="15.75" customHeight="1">
      <c r="A938" s="13"/>
      <c r="B938" s="13"/>
      <c r="C938" s="12"/>
      <c r="D938" s="12"/>
      <c r="E938" s="12"/>
      <c r="F938" s="12"/>
    </row>
    <row r="939" ht="15.75" customHeight="1">
      <c r="A939" s="13"/>
      <c r="B939" s="13"/>
      <c r="C939" s="12"/>
      <c r="D939" s="12"/>
      <c r="E939" s="12"/>
      <c r="F939" s="12"/>
    </row>
    <row r="940" ht="15.75" customHeight="1">
      <c r="A940" s="13"/>
      <c r="B940" s="13"/>
      <c r="C940" s="12"/>
      <c r="D940" s="12"/>
      <c r="E940" s="12"/>
      <c r="F940" s="12"/>
    </row>
    <row r="941" ht="15.75" customHeight="1">
      <c r="A941" s="13"/>
      <c r="B941" s="13"/>
      <c r="C941" s="12"/>
      <c r="D941" s="12"/>
      <c r="E941" s="12"/>
      <c r="F941" s="12"/>
    </row>
    <row r="942" ht="15.75" customHeight="1">
      <c r="A942" s="13"/>
      <c r="B942" s="13"/>
      <c r="C942" s="12"/>
      <c r="D942" s="12"/>
      <c r="E942" s="12"/>
      <c r="F942" s="12"/>
    </row>
    <row r="943" ht="15.75" customHeight="1">
      <c r="A943" s="13"/>
      <c r="B943" s="13"/>
      <c r="C943" s="12"/>
      <c r="D943" s="12"/>
      <c r="E943" s="12"/>
      <c r="F943" s="12"/>
    </row>
    <row r="944" ht="15.75" customHeight="1">
      <c r="A944" s="13"/>
      <c r="B944" s="13"/>
      <c r="C944" s="12"/>
      <c r="D944" s="12"/>
      <c r="E944" s="12"/>
      <c r="F944" s="12"/>
    </row>
    <row r="945" ht="15.75" customHeight="1">
      <c r="A945" s="13"/>
      <c r="B945" s="13"/>
      <c r="C945" s="12"/>
      <c r="D945" s="12"/>
      <c r="E945" s="12"/>
      <c r="F945" s="12"/>
    </row>
    <row r="946" ht="15.75" customHeight="1">
      <c r="A946" s="13"/>
      <c r="B946" s="13"/>
      <c r="C946" s="12"/>
      <c r="D946" s="12"/>
      <c r="E946" s="12"/>
      <c r="F946" s="12"/>
    </row>
    <row r="947" ht="15.75" customHeight="1">
      <c r="A947" s="13"/>
      <c r="B947" s="13"/>
      <c r="C947" s="12"/>
      <c r="D947" s="12"/>
      <c r="E947" s="12"/>
      <c r="F947" s="12"/>
    </row>
    <row r="948" ht="15.75" customHeight="1">
      <c r="A948" s="13"/>
      <c r="B948" s="13"/>
      <c r="C948" s="12"/>
      <c r="D948" s="12"/>
      <c r="E948" s="12"/>
      <c r="F948" s="12"/>
    </row>
    <row r="949" ht="15.75" customHeight="1">
      <c r="A949" s="13"/>
      <c r="B949" s="13"/>
      <c r="C949" s="12"/>
      <c r="D949" s="12"/>
      <c r="E949" s="12"/>
      <c r="F949" s="12"/>
    </row>
    <row r="950" ht="15.75" customHeight="1">
      <c r="A950" s="13"/>
      <c r="B950" s="13"/>
      <c r="C950" s="12"/>
      <c r="D950" s="12"/>
      <c r="E950" s="12"/>
      <c r="F950" s="12"/>
    </row>
    <row r="951" ht="15.75" customHeight="1">
      <c r="A951" s="13"/>
      <c r="B951" s="13"/>
      <c r="C951" s="12"/>
      <c r="D951" s="12"/>
      <c r="E951" s="12"/>
      <c r="F951" s="12"/>
    </row>
    <row r="952" ht="15.75" customHeight="1">
      <c r="A952" s="13"/>
      <c r="B952" s="13"/>
      <c r="C952" s="12"/>
      <c r="D952" s="12"/>
      <c r="E952" s="12"/>
      <c r="F952" s="12"/>
    </row>
    <row r="953" ht="15.75" customHeight="1">
      <c r="A953" s="13"/>
      <c r="B953" s="13"/>
      <c r="C953" s="12"/>
      <c r="D953" s="12"/>
      <c r="E953" s="12"/>
      <c r="F953" s="12"/>
    </row>
    <row r="954" ht="15.75" customHeight="1">
      <c r="A954" s="13"/>
      <c r="B954" s="13"/>
      <c r="C954" s="12"/>
      <c r="D954" s="12"/>
      <c r="E954" s="12"/>
      <c r="F954" s="12"/>
    </row>
    <row r="955" ht="15.75" customHeight="1">
      <c r="A955" s="13"/>
      <c r="B955" s="13"/>
      <c r="C955" s="12"/>
      <c r="D955" s="12"/>
      <c r="E955" s="12"/>
      <c r="F955" s="12"/>
    </row>
    <row r="956" ht="15.75" customHeight="1">
      <c r="A956" s="13"/>
      <c r="B956" s="13"/>
      <c r="C956" s="12"/>
      <c r="D956" s="12"/>
      <c r="E956" s="12"/>
      <c r="F956" s="12"/>
    </row>
    <row r="957" ht="15.75" customHeight="1">
      <c r="A957" s="13"/>
      <c r="B957" s="13"/>
      <c r="C957" s="12"/>
      <c r="D957" s="12"/>
      <c r="E957" s="12"/>
      <c r="F957" s="12"/>
    </row>
    <row r="958" ht="15.75" customHeight="1">
      <c r="A958" s="13"/>
      <c r="B958" s="13"/>
      <c r="C958" s="12"/>
      <c r="D958" s="12"/>
      <c r="E958" s="12"/>
      <c r="F958" s="12"/>
    </row>
    <row r="959" ht="15.75" customHeight="1">
      <c r="A959" s="13"/>
      <c r="B959" s="13"/>
      <c r="C959" s="12"/>
      <c r="D959" s="12"/>
      <c r="E959" s="12"/>
      <c r="F959" s="12"/>
    </row>
    <row r="960" ht="15.75" customHeight="1">
      <c r="A960" s="13"/>
      <c r="B960" s="13"/>
      <c r="C960" s="12"/>
      <c r="D960" s="12"/>
      <c r="E960" s="12"/>
      <c r="F960" s="12"/>
    </row>
    <row r="961" ht="15.75" customHeight="1">
      <c r="A961" s="13"/>
      <c r="B961" s="13"/>
      <c r="C961" s="12"/>
      <c r="D961" s="12"/>
      <c r="E961" s="12"/>
      <c r="F961" s="12"/>
    </row>
    <row r="962" ht="15.75" customHeight="1">
      <c r="A962" s="13"/>
      <c r="B962" s="13"/>
      <c r="C962" s="12"/>
      <c r="D962" s="12"/>
      <c r="E962" s="12"/>
      <c r="F962" s="12"/>
    </row>
    <row r="963" ht="15.75" customHeight="1">
      <c r="A963" s="13"/>
      <c r="B963" s="13"/>
      <c r="C963" s="12"/>
      <c r="D963" s="12"/>
      <c r="E963" s="12"/>
      <c r="F963" s="12"/>
    </row>
    <row r="964" ht="15.75" customHeight="1">
      <c r="A964" s="13"/>
      <c r="B964" s="13"/>
      <c r="C964" s="12"/>
      <c r="D964" s="12"/>
      <c r="E964" s="12"/>
      <c r="F964" s="12"/>
    </row>
    <row r="965" ht="15.75" customHeight="1">
      <c r="A965" s="13"/>
      <c r="B965" s="13"/>
      <c r="C965" s="12"/>
      <c r="D965" s="12"/>
      <c r="E965" s="12"/>
      <c r="F965" s="12"/>
    </row>
    <row r="966" ht="15.75" customHeight="1">
      <c r="A966" s="13"/>
      <c r="B966" s="13"/>
      <c r="C966" s="12"/>
      <c r="D966" s="12"/>
      <c r="E966" s="12"/>
      <c r="F966" s="12"/>
    </row>
    <row r="967" ht="15.75" customHeight="1">
      <c r="A967" s="13"/>
      <c r="B967" s="13"/>
      <c r="C967" s="12"/>
      <c r="D967" s="12"/>
      <c r="E967" s="12"/>
      <c r="F967" s="12"/>
    </row>
    <row r="968" ht="15.75" customHeight="1">
      <c r="A968" s="13"/>
      <c r="B968" s="13"/>
      <c r="C968" s="12"/>
      <c r="D968" s="12"/>
      <c r="E968" s="12"/>
      <c r="F968" s="12"/>
    </row>
    <row r="969" ht="15.75" customHeight="1">
      <c r="A969" s="13"/>
      <c r="B969" s="13"/>
      <c r="C969" s="12"/>
      <c r="D969" s="12"/>
      <c r="E969" s="12"/>
      <c r="F969" s="12"/>
    </row>
    <row r="970" ht="15.75" customHeight="1">
      <c r="A970" s="13"/>
      <c r="B970" s="13"/>
      <c r="C970" s="12"/>
      <c r="D970" s="12"/>
      <c r="E970" s="12"/>
      <c r="F970" s="12"/>
    </row>
    <row r="971" ht="15.75" customHeight="1">
      <c r="A971" s="13"/>
      <c r="B971" s="13"/>
      <c r="C971" s="12"/>
      <c r="D971" s="12"/>
      <c r="E971" s="12"/>
      <c r="F971" s="12"/>
    </row>
    <row r="972" ht="15.75" customHeight="1">
      <c r="A972" s="13"/>
      <c r="B972" s="13"/>
      <c r="C972" s="12"/>
      <c r="D972" s="12"/>
      <c r="E972" s="12"/>
      <c r="F972" s="12"/>
    </row>
    <row r="973" ht="15.75" customHeight="1">
      <c r="A973" s="13"/>
      <c r="B973" s="13"/>
      <c r="C973" s="12"/>
      <c r="D973" s="12"/>
      <c r="E973" s="12"/>
      <c r="F973" s="12"/>
    </row>
    <row r="974" ht="15.75" customHeight="1">
      <c r="A974" s="13"/>
      <c r="B974" s="13"/>
      <c r="C974" s="12"/>
      <c r="D974" s="12"/>
      <c r="E974" s="12"/>
      <c r="F974" s="12"/>
    </row>
    <row r="975" ht="15.75" customHeight="1">
      <c r="A975" s="13"/>
      <c r="B975" s="13"/>
      <c r="C975" s="12"/>
      <c r="D975" s="12"/>
      <c r="E975" s="12"/>
      <c r="F975" s="12"/>
    </row>
    <row r="976" ht="15.75" customHeight="1">
      <c r="A976" s="13"/>
      <c r="B976" s="13"/>
      <c r="C976" s="12"/>
      <c r="D976" s="12"/>
      <c r="E976" s="12"/>
      <c r="F976" s="12"/>
    </row>
    <row r="977" ht="15.75" customHeight="1">
      <c r="A977" s="13"/>
      <c r="B977" s="13"/>
      <c r="C977" s="12"/>
      <c r="D977" s="12"/>
      <c r="E977" s="12"/>
      <c r="F977" s="12"/>
    </row>
    <row r="978" ht="15.75" customHeight="1">
      <c r="A978" s="13"/>
      <c r="B978" s="13"/>
      <c r="C978" s="12"/>
      <c r="D978" s="12"/>
      <c r="E978" s="12"/>
      <c r="F978" s="12"/>
    </row>
    <row r="979" ht="15.75" customHeight="1">
      <c r="A979" s="13"/>
      <c r="B979" s="13"/>
      <c r="C979" s="12"/>
      <c r="D979" s="12"/>
      <c r="E979" s="12"/>
      <c r="F979" s="12"/>
    </row>
    <row r="980" ht="15.75" customHeight="1">
      <c r="A980" s="13"/>
      <c r="B980" s="13"/>
      <c r="C980" s="12"/>
      <c r="D980" s="12"/>
      <c r="E980" s="12"/>
      <c r="F980" s="12"/>
    </row>
    <row r="981" ht="15.75" customHeight="1">
      <c r="A981" s="13"/>
      <c r="B981" s="13"/>
      <c r="C981" s="12"/>
      <c r="D981" s="12"/>
      <c r="E981" s="12"/>
      <c r="F981" s="12"/>
    </row>
    <row r="982" ht="15.75" customHeight="1">
      <c r="A982" s="13"/>
      <c r="B982" s="13"/>
      <c r="C982" s="12"/>
      <c r="D982" s="12"/>
      <c r="E982" s="12"/>
      <c r="F982" s="12"/>
    </row>
    <row r="983" ht="15.75" customHeight="1">
      <c r="A983" s="13"/>
      <c r="B983" s="13"/>
      <c r="C983" s="12"/>
      <c r="D983" s="12"/>
      <c r="E983" s="12"/>
      <c r="F983" s="12"/>
    </row>
    <row r="984" ht="15.75" customHeight="1">
      <c r="A984" s="13"/>
      <c r="B984" s="13"/>
      <c r="C984" s="12"/>
      <c r="D984" s="12"/>
      <c r="E984" s="12"/>
      <c r="F984" s="12"/>
    </row>
    <row r="985" ht="15.75" customHeight="1">
      <c r="A985" s="13"/>
      <c r="B985" s="13"/>
      <c r="C985" s="12"/>
      <c r="D985" s="12"/>
      <c r="E985" s="12"/>
      <c r="F985" s="12"/>
    </row>
    <row r="986" ht="15.75" customHeight="1">
      <c r="A986" s="13"/>
      <c r="B986" s="13"/>
      <c r="C986" s="12"/>
      <c r="D986" s="12"/>
      <c r="E986" s="12"/>
      <c r="F986" s="12"/>
    </row>
    <row r="987" ht="15.75" customHeight="1">
      <c r="A987" s="13"/>
      <c r="B987" s="13"/>
      <c r="C987" s="12"/>
      <c r="D987" s="12"/>
      <c r="E987" s="12"/>
      <c r="F987" s="12"/>
    </row>
    <row r="988" ht="15.75" customHeight="1">
      <c r="A988" s="13"/>
      <c r="B988" s="13"/>
      <c r="C988" s="12"/>
      <c r="D988" s="12"/>
      <c r="E988" s="12"/>
      <c r="F988" s="12"/>
    </row>
    <row r="989" ht="15.75" customHeight="1">
      <c r="A989" s="13"/>
      <c r="B989" s="13"/>
      <c r="C989" s="12"/>
      <c r="D989" s="12"/>
      <c r="E989" s="12"/>
      <c r="F989" s="12"/>
    </row>
    <row r="990" ht="15.75" customHeight="1">
      <c r="A990" s="13"/>
      <c r="B990" s="13"/>
      <c r="C990" s="12"/>
      <c r="D990" s="12"/>
      <c r="E990" s="12"/>
      <c r="F990" s="12"/>
    </row>
    <row r="991" ht="15.75" customHeight="1">
      <c r="A991" s="13"/>
      <c r="B991" s="13"/>
      <c r="C991" s="12"/>
      <c r="D991" s="12"/>
      <c r="E991" s="12"/>
      <c r="F991" s="12"/>
    </row>
    <row r="992" ht="15.75" customHeight="1">
      <c r="A992" s="13"/>
      <c r="B992" s="13"/>
      <c r="C992" s="12"/>
      <c r="D992" s="12"/>
      <c r="E992" s="12"/>
      <c r="F992" s="12"/>
    </row>
    <row r="993" ht="15.75" customHeight="1">
      <c r="A993" s="13"/>
      <c r="B993" s="13"/>
      <c r="C993" s="12"/>
      <c r="D993" s="12"/>
      <c r="E993" s="12"/>
      <c r="F993" s="12"/>
    </row>
    <row r="994" ht="15.75" customHeight="1">
      <c r="A994" s="13"/>
      <c r="B994" s="13"/>
      <c r="C994" s="12"/>
      <c r="D994" s="12"/>
      <c r="E994" s="12"/>
      <c r="F994" s="12"/>
    </row>
    <row r="995" ht="15.75" customHeight="1">
      <c r="A995" s="13"/>
      <c r="B995" s="13"/>
      <c r="C995" s="12"/>
      <c r="D995" s="12"/>
      <c r="E995" s="12"/>
      <c r="F995" s="12"/>
    </row>
    <row r="996" ht="15.75" customHeight="1">
      <c r="A996" s="13"/>
      <c r="B996" s="13"/>
      <c r="C996" s="12"/>
      <c r="D996" s="12"/>
      <c r="E996" s="12"/>
      <c r="F996" s="12"/>
    </row>
    <row r="997" ht="15.75" customHeight="1">
      <c r="A997" s="13"/>
      <c r="B997" s="13"/>
      <c r="C997" s="12"/>
      <c r="D997" s="12"/>
      <c r="E997" s="12"/>
      <c r="F997" s="12"/>
    </row>
    <row r="998" ht="15.75" customHeight="1">
      <c r="A998" s="13"/>
      <c r="B998" s="13"/>
      <c r="C998" s="12"/>
      <c r="D998" s="12"/>
      <c r="E998" s="12"/>
      <c r="F998" s="12"/>
    </row>
    <row r="999" ht="15.75" customHeight="1">
      <c r="A999" s="13"/>
      <c r="B999" s="13"/>
      <c r="C999" s="12"/>
      <c r="D999" s="12"/>
      <c r="E999" s="12"/>
      <c r="F999" s="12"/>
    </row>
    <row r="1000" ht="15.75" customHeight="1">
      <c r="A1000" s="13"/>
      <c r="B1000" s="13"/>
      <c r="C1000" s="12"/>
      <c r="D1000" s="12"/>
      <c r="E1000" s="12"/>
      <c r="F1000" s="12"/>
    </row>
  </sheetData>
  <mergeCells count="1">
    <mergeCell ref="B1:F2"/>
  </mergeCells>
  <printOptions horizontalCentered="1"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13.89"/>
    <col customWidth="1" min="2" max="2" width="26.11"/>
    <col customWidth="1" min="3" max="3" width="11.0"/>
    <col customWidth="1" min="4" max="4" width="41.33"/>
    <col customWidth="1" min="5" max="5" width="10.67"/>
    <col customWidth="1" min="6" max="6" width="13.22"/>
    <col customWidth="1" min="7" max="7" width="17.78"/>
    <col customWidth="1" min="8" max="8" width="24.67"/>
  </cols>
  <sheetData>
    <row r="1" ht="15.75" customHeight="1">
      <c r="A1" s="45"/>
      <c r="B1" s="25" t="s">
        <v>702</v>
      </c>
      <c r="C1" s="2"/>
      <c r="D1" s="2"/>
      <c r="E1" s="2"/>
      <c r="F1" s="2"/>
      <c r="G1" s="2"/>
      <c r="H1" s="2"/>
    </row>
    <row r="2" ht="15.75" customHeight="1">
      <c r="A2" s="26"/>
      <c r="B2" s="4"/>
      <c r="C2" s="4"/>
      <c r="D2" s="4"/>
      <c r="E2" s="4"/>
      <c r="F2" s="4"/>
      <c r="G2" s="4"/>
      <c r="H2" s="4"/>
    </row>
    <row r="3" ht="15.75" customHeight="1">
      <c r="A3" s="27" t="s">
        <v>548</v>
      </c>
      <c r="B3" s="27" t="s">
        <v>703</v>
      </c>
      <c r="C3" s="27" t="s">
        <v>2</v>
      </c>
      <c r="D3" s="27" t="s">
        <v>3</v>
      </c>
      <c r="E3" s="27" t="s">
        <v>551</v>
      </c>
      <c r="F3" s="27" t="s">
        <v>704</v>
      </c>
      <c r="G3" s="27" t="s">
        <v>553</v>
      </c>
      <c r="H3" s="27" t="s">
        <v>7</v>
      </c>
    </row>
    <row r="4" ht="15.75" customHeight="1">
      <c r="A4" s="46">
        <v>45138.0</v>
      </c>
      <c r="B4" s="47" t="s">
        <v>705</v>
      </c>
      <c r="C4" s="31"/>
      <c r="D4" s="48" t="s">
        <v>706</v>
      </c>
      <c r="E4" s="31">
        <v>1.0</v>
      </c>
      <c r="F4" s="47" t="s">
        <v>707</v>
      </c>
      <c r="G4" s="40"/>
      <c r="H4" s="40"/>
    </row>
    <row r="5" ht="15.75" customHeight="1">
      <c r="A5" s="49">
        <v>45138.0</v>
      </c>
      <c r="B5" s="50" t="s">
        <v>705</v>
      </c>
      <c r="C5" s="51"/>
      <c r="D5" s="52" t="s">
        <v>708</v>
      </c>
      <c r="E5" s="51">
        <v>1.0</v>
      </c>
      <c r="F5" s="51" t="s">
        <v>707</v>
      </c>
      <c r="G5" s="53"/>
      <c r="H5" s="53"/>
    </row>
    <row r="6" ht="15.75" customHeight="1">
      <c r="A6" s="49">
        <v>45138.0</v>
      </c>
      <c r="B6" s="50" t="s">
        <v>705</v>
      </c>
      <c r="C6" s="51"/>
      <c r="D6" s="52" t="s">
        <v>709</v>
      </c>
      <c r="E6" s="51">
        <v>1.0</v>
      </c>
      <c r="F6" s="51" t="s">
        <v>707</v>
      </c>
      <c r="G6" s="53"/>
      <c r="H6" s="53"/>
    </row>
    <row r="7" ht="15.75" customHeight="1">
      <c r="A7" s="49">
        <v>45138.0</v>
      </c>
      <c r="B7" s="50" t="s">
        <v>705</v>
      </c>
      <c r="C7" s="51"/>
      <c r="D7" s="52" t="s">
        <v>710</v>
      </c>
      <c r="E7" s="51">
        <v>20.0</v>
      </c>
      <c r="F7" s="51" t="s">
        <v>707</v>
      </c>
      <c r="G7" s="53"/>
      <c r="H7" s="53"/>
    </row>
    <row r="8" ht="15.75" customHeight="1">
      <c r="A8" s="49">
        <v>45138.0</v>
      </c>
      <c r="B8" s="50" t="s">
        <v>705</v>
      </c>
      <c r="C8" s="51"/>
      <c r="D8" s="52" t="s">
        <v>711</v>
      </c>
      <c r="E8" s="51">
        <v>1.0</v>
      </c>
      <c r="F8" s="50" t="s">
        <v>707</v>
      </c>
      <c r="G8" s="54"/>
      <c r="H8" s="54"/>
    </row>
    <row r="9" ht="15.75" customHeight="1">
      <c r="A9" s="49">
        <v>45138.0</v>
      </c>
      <c r="B9" s="50" t="s">
        <v>705</v>
      </c>
      <c r="C9" s="51"/>
      <c r="D9" s="52" t="s">
        <v>712</v>
      </c>
      <c r="E9" s="51">
        <v>178.0</v>
      </c>
      <c r="F9" s="51" t="s">
        <v>707</v>
      </c>
      <c r="G9" s="53"/>
      <c r="H9" s="53"/>
    </row>
    <row r="10" ht="15.75" customHeight="1">
      <c r="A10" s="46">
        <v>45139.0</v>
      </c>
      <c r="B10" s="47" t="s">
        <v>705</v>
      </c>
      <c r="C10" s="31"/>
      <c r="D10" s="48" t="s">
        <v>713</v>
      </c>
      <c r="E10" s="31">
        <v>6.0</v>
      </c>
      <c r="F10" s="31" t="s">
        <v>707</v>
      </c>
      <c r="G10" s="38"/>
      <c r="H10" s="31"/>
    </row>
    <row r="11" ht="15.75" customHeight="1">
      <c r="A11" s="46">
        <v>45139.0</v>
      </c>
      <c r="B11" s="47" t="s">
        <v>705</v>
      </c>
      <c r="C11" s="55"/>
      <c r="D11" s="48" t="s">
        <v>714</v>
      </c>
      <c r="E11" s="31">
        <v>12.0</v>
      </c>
      <c r="F11" s="31" t="s">
        <v>707</v>
      </c>
      <c r="G11" s="55"/>
      <c r="H11" s="55"/>
    </row>
    <row r="12" ht="15.75" customHeight="1">
      <c r="A12" s="49">
        <v>45141.0</v>
      </c>
      <c r="B12" s="50" t="s">
        <v>705</v>
      </c>
      <c r="C12" s="53"/>
      <c r="D12" s="52" t="s">
        <v>715</v>
      </c>
      <c r="E12" s="51">
        <v>2.0</v>
      </c>
      <c r="F12" s="51" t="s">
        <v>707</v>
      </c>
      <c r="G12" s="53"/>
      <c r="H12" s="53"/>
    </row>
    <row r="13" ht="15.75" customHeight="1">
      <c r="A13" s="46">
        <v>45141.0</v>
      </c>
      <c r="B13" s="47" t="s">
        <v>705</v>
      </c>
      <c r="C13" s="55"/>
      <c r="D13" s="48" t="s">
        <v>706</v>
      </c>
      <c r="E13" s="31">
        <v>1.0</v>
      </c>
      <c r="F13" s="31" t="s">
        <v>707</v>
      </c>
      <c r="G13" s="55"/>
      <c r="H13" s="55"/>
    </row>
    <row r="14" ht="15.75" customHeight="1">
      <c r="A14" s="49">
        <v>45141.0</v>
      </c>
      <c r="B14" s="50" t="s">
        <v>705</v>
      </c>
      <c r="C14" s="53"/>
      <c r="D14" s="52" t="s">
        <v>716</v>
      </c>
      <c r="E14" s="51">
        <v>4.0</v>
      </c>
      <c r="F14" s="51" t="s">
        <v>707</v>
      </c>
      <c r="G14" s="53"/>
      <c r="H14" s="53"/>
    </row>
    <row r="15" ht="15.75" customHeight="1">
      <c r="A15" s="49">
        <v>45141.0</v>
      </c>
      <c r="B15" s="50" t="s">
        <v>705</v>
      </c>
      <c r="C15" s="53"/>
      <c r="D15" s="52" t="s">
        <v>717</v>
      </c>
      <c r="E15" s="51">
        <v>30.0</v>
      </c>
      <c r="F15" s="50" t="s">
        <v>707</v>
      </c>
      <c r="G15" s="54"/>
      <c r="H15" s="54"/>
    </row>
    <row r="16" ht="15.75" customHeight="1">
      <c r="A16" s="49">
        <v>45141.0</v>
      </c>
      <c r="B16" s="50" t="s">
        <v>705</v>
      </c>
      <c r="C16" s="53"/>
      <c r="D16" s="52" t="s">
        <v>718</v>
      </c>
      <c r="E16" s="51">
        <v>4.0</v>
      </c>
      <c r="F16" s="50" t="s">
        <v>707</v>
      </c>
      <c r="G16" s="54"/>
      <c r="H16" s="54"/>
    </row>
    <row r="17" ht="15.75" customHeight="1">
      <c r="A17" s="46">
        <v>45142.0</v>
      </c>
      <c r="B17" s="47" t="s">
        <v>705</v>
      </c>
      <c r="C17" s="55"/>
      <c r="D17" s="48" t="s">
        <v>719</v>
      </c>
      <c r="E17" s="31">
        <v>1.0</v>
      </c>
      <c r="F17" s="31" t="s">
        <v>707</v>
      </c>
      <c r="G17" s="55"/>
      <c r="H17" s="55"/>
    </row>
    <row r="18" ht="15.75" customHeight="1">
      <c r="A18" s="46">
        <v>45142.0</v>
      </c>
      <c r="B18" s="47" t="s">
        <v>705</v>
      </c>
      <c r="C18" s="55"/>
      <c r="D18" s="48" t="s">
        <v>720</v>
      </c>
      <c r="E18" s="31">
        <v>2.0</v>
      </c>
      <c r="F18" s="31" t="s">
        <v>707</v>
      </c>
      <c r="G18" s="55"/>
      <c r="H18" s="55"/>
    </row>
    <row r="19" ht="15.75" customHeight="1">
      <c r="A19" s="49">
        <v>45142.0</v>
      </c>
      <c r="B19" s="50" t="s">
        <v>705</v>
      </c>
      <c r="C19" s="53"/>
      <c r="D19" s="52" t="s">
        <v>721</v>
      </c>
      <c r="E19" s="51">
        <v>1.0</v>
      </c>
      <c r="F19" s="51" t="s">
        <v>707</v>
      </c>
      <c r="G19" s="53"/>
      <c r="H19" s="53"/>
    </row>
    <row r="20" ht="15.75" customHeight="1">
      <c r="A20" s="46">
        <v>45142.0</v>
      </c>
      <c r="B20" s="47" t="s">
        <v>705</v>
      </c>
      <c r="C20" s="55"/>
      <c r="D20" s="52" t="s">
        <v>722</v>
      </c>
      <c r="E20" s="31">
        <v>12.0</v>
      </c>
      <c r="F20" s="31" t="s">
        <v>707</v>
      </c>
      <c r="G20" s="38">
        <v>45146.0</v>
      </c>
      <c r="H20" s="55"/>
    </row>
    <row r="21" ht="15.75" customHeight="1">
      <c r="A21" s="46">
        <v>45142.0</v>
      </c>
      <c r="B21" s="47" t="s">
        <v>705</v>
      </c>
      <c r="C21" s="55"/>
      <c r="D21" s="48" t="s">
        <v>714</v>
      </c>
      <c r="E21" s="31">
        <v>12.0</v>
      </c>
      <c r="F21" s="31" t="s">
        <v>707</v>
      </c>
      <c r="G21" s="55"/>
      <c r="H21" s="55"/>
    </row>
    <row r="22" ht="15.75" customHeight="1">
      <c r="A22" s="49">
        <v>45142.0</v>
      </c>
      <c r="B22" s="50" t="s">
        <v>705</v>
      </c>
      <c r="C22" s="53"/>
      <c r="D22" s="52" t="s">
        <v>723</v>
      </c>
      <c r="E22" s="51">
        <v>1.0</v>
      </c>
      <c r="F22" s="51" t="s">
        <v>707</v>
      </c>
      <c r="G22" s="53"/>
      <c r="H22" s="53"/>
    </row>
    <row r="23" ht="15.75" customHeight="1">
      <c r="A23" s="46">
        <v>45142.0</v>
      </c>
      <c r="B23" s="47" t="s">
        <v>705</v>
      </c>
      <c r="C23" s="55"/>
      <c r="D23" s="48" t="s">
        <v>724</v>
      </c>
      <c r="E23" s="31">
        <v>1.0</v>
      </c>
      <c r="F23" s="31" t="s">
        <v>707</v>
      </c>
      <c r="G23" s="38">
        <v>45145.0</v>
      </c>
      <c r="H23" s="55"/>
    </row>
    <row r="24" ht="15.75" customHeight="1">
      <c r="A24" s="46">
        <v>45142.0</v>
      </c>
      <c r="B24" s="56" t="s">
        <v>705</v>
      </c>
      <c r="C24" s="55"/>
      <c r="D24" s="48" t="s">
        <v>725</v>
      </c>
      <c r="E24" s="31">
        <v>40.0</v>
      </c>
      <c r="F24" s="47" t="s">
        <v>707</v>
      </c>
      <c r="G24" s="46">
        <v>45145.0</v>
      </c>
      <c r="H24" s="47" t="s">
        <v>726</v>
      </c>
    </row>
    <row r="25" ht="15.75" customHeight="1">
      <c r="A25" s="49">
        <v>45142.0</v>
      </c>
      <c r="B25" s="50" t="s">
        <v>705</v>
      </c>
      <c r="C25" s="53"/>
      <c r="D25" s="52" t="s">
        <v>727</v>
      </c>
      <c r="E25" s="51">
        <v>1.0</v>
      </c>
      <c r="F25" s="51" t="s">
        <v>707</v>
      </c>
      <c r="G25" s="53"/>
      <c r="H25" s="53"/>
    </row>
    <row r="26" ht="15.75" customHeight="1">
      <c r="A26" s="46">
        <v>45142.0</v>
      </c>
      <c r="B26" s="47" t="s">
        <v>705</v>
      </c>
      <c r="C26" s="55"/>
      <c r="D26" s="52" t="s">
        <v>728</v>
      </c>
      <c r="E26" s="31">
        <v>30.0</v>
      </c>
      <c r="F26" s="47" t="s">
        <v>707</v>
      </c>
      <c r="G26" s="40"/>
      <c r="H26" s="40"/>
    </row>
    <row r="27" ht="15.75" customHeight="1">
      <c r="A27" s="46">
        <v>45142.0</v>
      </c>
      <c r="B27" s="47" t="s">
        <v>705</v>
      </c>
      <c r="C27" s="55"/>
      <c r="D27" s="48" t="s">
        <v>729</v>
      </c>
      <c r="E27" s="31">
        <v>4.0</v>
      </c>
      <c r="F27" s="31" t="s">
        <v>707</v>
      </c>
      <c r="G27" s="38">
        <v>45146.0</v>
      </c>
      <c r="H27" s="55"/>
    </row>
    <row r="28" ht="15.75" customHeight="1">
      <c r="A28" s="57"/>
    </row>
    <row r="29" ht="15.75" customHeight="1">
      <c r="A29" s="49">
        <v>45141.0</v>
      </c>
      <c r="B29" s="50" t="s">
        <v>730</v>
      </c>
      <c r="C29" s="53"/>
      <c r="D29" s="52" t="s">
        <v>710</v>
      </c>
      <c r="E29" s="51">
        <v>16.0</v>
      </c>
      <c r="F29" s="50" t="s">
        <v>731</v>
      </c>
      <c r="G29" s="54"/>
      <c r="H29" s="54"/>
    </row>
    <row r="30" ht="15.75" customHeight="1">
      <c r="A30" s="49">
        <v>45141.0</v>
      </c>
      <c r="B30" s="50" t="s">
        <v>730</v>
      </c>
      <c r="C30" s="53"/>
      <c r="D30" s="52" t="s">
        <v>732</v>
      </c>
      <c r="E30" s="51">
        <v>16.0</v>
      </c>
      <c r="F30" s="51" t="s">
        <v>731</v>
      </c>
      <c r="G30" s="53"/>
      <c r="H30" s="53"/>
    </row>
    <row r="31" ht="15.75" customHeight="1">
      <c r="A31" s="46">
        <v>45141.0</v>
      </c>
      <c r="B31" s="47" t="s">
        <v>730</v>
      </c>
      <c r="C31" s="55"/>
      <c r="D31" s="48" t="s">
        <v>714</v>
      </c>
      <c r="E31" s="31">
        <v>30.0</v>
      </c>
      <c r="F31" s="31" t="s">
        <v>731</v>
      </c>
      <c r="G31" s="38">
        <v>45145.0</v>
      </c>
      <c r="H31" s="31" t="s">
        <v>733</v>
      </c>
    </row>
    <row r="32" ht="15.75" customHeight="1">
      <c r="A32" s="49">
        <v>45141.0</v>
      </c>
      <c r="B32" s="50" t="s">
        <v>730</v>
      </c>
      <c r="C32" s="53"/>
      <c r="D32" s="52" t="s">
        <v>718</v>
      </c>
      <c r="E32" s="51">
        <v>12.0</v>
      </c>
      <c r="F32" s="51" t="s">
        <v>731</v>
      </c>
      <c r="G32" s="53"/>
      <c r="H32" s="53"/>
    </row>
    <row r="33" ht="15.75" customHeight="1">
      <c r="A33" s="49">
        <v>45141.0</v>
      </c>
      <c r="B33" s="50" t="s">
        <v>730</v>
      </c>
      <c r="C33" s="53"/>
      <c r="D33" s="52" t="s">
        <v>734</v>
      </c>
      <c r="E33" s="51">
        <v>2.0</v>
      </c>
      <c r="F33" s="51" t="s">
        <v>731</v>
      </c>
      <c r="G33" s="53"/>
      <c r="H33" s="53"/>
    </row>
    <row r="34" ht="15.75" customHeight="1">
      <c r="A34" s="28">
        <v>45141.0</v>
      </c>
      <c r="B34" s="29" t="s">
        <v>730</v>
      </c>
      <c r="C34" s="33"/>
      <c r="D34" s="48" t="s">
        <v>735</v>
      </c>
      <c r="E34" s="30">
        <v>2000.0</v>
      </c>
      <c r="F34" s="30" t="s">
        <v>731</v>
      </c>
      <c r="G34" s="33"/>
      <c r="H34" s="33"/>
    </row>
    <row r="35" ht="14.25" customHeight="1">
      <c r="A35" s="28">
        <v>45142.0</v>
      </c>
      <c r="B35" s="29" t="s">
        <v>730</v>
      </c>
      <c r="C35" s="33"/>
      <c r="D35" s="48" t="s">
        <v>736</v>
      </c>
      <c r="E35" s="30">
        <v>1.0</v>
      </c>
      <c r="F35" s="29" t="s">
        <v>731</v>
      </c>
      <c r="G35" s="32"/>
      <c r="H35" s="32"/>
    </row>
    <row r="36" ht="15.75" customHeight="1">
      <c r="A36" s="49">
        <v>45142.0</v>
      </c>
      <c r="B36" s="50" t="s">
        <v>730</v>
      </c>
      <c r="C36" s="53"/>
      <c r="D36" s="52" t="s">
        <v>737</v>
      </c>
      <c r="E36" s="51">
        <v>4.0</v>
      </c>
      <c r="F36" s="51" t="s">
        <v>731</v>
      </c>
      <c r="G36" s="53"/>
      <c r="H36" s="53"/>
    </row>
    <row r="37" ht="15.75" customHeight="1">
      <c r="A37" s="49">
        <v>45142.0</v>
      </c>
      <c r="B37" s="50" t="s">
        <v>730</v>
      </c>
      <c r="C37" s="53"/>
      <c r="D37" s="52" t="s">
        <v>738</v>
      </c>
      <c r="E37" s="51">
        <v>1.0</v>
      </c>
      <c r="F37" s="51" t="s">
        <v>731</v>
      </c>
      <c r="G37" s="53"/>
      <c r="H37" s="53"/>
    </row>
    <row r="38" ht="15.75" customHeight="1">
      <c r="A38" s="28">
        <v>45142.0</v>
      </c>
      <c r="B38" s="29" t="s">
        <v>730</v>
      </c>
      <c r="C38" s="33"/>
      <c r="D38" s="48" t="s">
        <v>739</v>
      </c>
      <c r="E38" s="30">
        <v>1.0</v>
      </c>
      <c r="F38" s="29" t="s">
        <v>731</v>
      </c>
      <c r="G38" s="32"/>
      <c r="H38" s="32"/>
    </row>
    <row r="39" ht="15.75" customHeight="1">
      <c r="A39" s="28">
        <v>45142.0</v>
      </c>
      <c r="B39" s="29" t="s">
        <v>730</v>
      </c>
      <c r="C39" s="33"/>
      <c r="D39" s="48" t="s">
        <v>706</v>
      </c>
      <c r="E39" s="30">
        <v>1.0</v>
      </c>
      <c r="F39" s="30" t="s">
        <v>731</v>
      </c>
      <c r="G39" s="33"/>
      <c r="H39" s="33"/>
    </row>
    <row r="40" ht="15.0" customHeight="1">
      <c r="A40" s="28">
        <v>45142.0</v>
      </c>
      <c r="B40" s="29" t="s">
        <v>730</v>
      </c>
      <c r="C40" s="33"/>
      <c r="D40" s="48" t="s">
        <v>740</v>
      </c>
      <c r="E40" s="30">
        <v>2.0</v>
      </c>
      <c r="F40" s="30" t="s">
        <v>731</v>
      </c>
      <c r="G40" s="33"/>
      <c r="H40" s="33"/>
    </row>
    <row r="41" ht="15.75" customHeight="1">
      <c r="A41" s="46">
        <v>45142.0</v>
      </c>
      <c r="B41" s="47" t="s">
        <v>730</v>
      </c>
      <c r="C41" s="55"/>
      <c r="D41" s="48" t="s">
        <v>741</v>
      </c>
      <c r="E41" s="31">
        <v>1.0</v>
      </c>
      <c r="F41" s="31" t="s">
        <v>731</v>
      </c>
      <c r="G41" s="38">
        <v>45145.0</v>
      </c>
      <c r="H41" s="55"/>
    </row>
    <row r="42" ht="15.75" customHeight="1">
      <c r="A42" s="46">
        <v>45142.0</v>
      </c>
      <c r="B42" s="47" t="s">
        <v>730</v>
      </c>
      <c r="C42" s="55"/>
      <c r="D42" s="48" t="s">
        <v>742</v>
      </c>
      <c r="E42" s="31">
        <v>1.0</v>
      </c>
      <c r="F42" s="47" t="s">
        <v>731</v>
      </c>
      <c r="G42" s="46">
        <v>45145.0</v>
      </c>
      <c r="H42" s="40"/>
    </row>
    <row r="43" ht="15.75" customHeight="1">
      <c r="A43" s="46">
        <v>45142.0</v>
      </c>
      <c r="B43" s="47" t="s">
        <v>730</v>
      </c>
      <c r="C43" s="55"/>
      <c r="D43" s="48" t="s">
        <v>743</v>
      </c>
      <c r="E43" s="31">
        <v>2.0</v>
      </c>
      <c r="F43" s="31" t="s">
        <v>731</v>
      </c>
      <c r="G43" s="38">
        <v>45145.0</v>
      </c>
      <c r="H43" s="55"/>
    </row>
    <row r="44" ht="15.75" customHeight="1">
      <c r="A44" s="46">
        <v>45142.0</v>
      </c>
      <c r="B44" s="47" t="s">
        <v>730</v>
      </c>
      <c r="C44" s="55"/>
      <c r="D44" s="48" t="s">
        <v>744</v>
      </c>
      <c r="E44" s="31">
        <v>3.0</v>
      </c>
      <c r="F44" s="31" t="s">
        <v>731</v>
      </c>
      <c r="G44" s="38">
        <v>45145.0</v>
      </c>
      <c r="H44" s="55"/>
    </row>
    <row r="45" ht="15.75" customHeight="1">
      <c r="A45" s="49">
        <v>45142.0</v>
      </c>
      <c r="B45" s="50" t="s">
        <v>730</v>
      </c>
      <c r="C45" s="53"/>
      <c r="D45" s="52" t="s">
        <v>745</v>
      </c>
      <c r="E45" s="51">
        <v>1.0</v>
      </c>
      <c r="F45" s="50" t="s">
        <v>731</v>
      </c>
      <c r="G45" s="54"/>
      <c r="H45" s="54"/>
    </row>
    <row r="46" ht="15.75" customHeight="1">
      <c r="A46" s="49">
        <v>45142.0</v>
      </c>
      <c r="B46" s="50" t="s">
        <v>730</v>
      </c>
      <c r="C46" s="53"/>
      <c r="D46" s="52" t="s">
        <v>718</v>
      </c>
      <c r="E46" s="51">
        <v>4.0</v>
      </c>
      <c r="F46" s="51" t="s">
        <v>731</v>
      </c>
      <c r="G46" s="53"/>
      <c r="H46" s="53"/>
    </row>
    <row r="47" ht="15.75" customHeight="1">
      <c r="A47" s="58">
        <v>45142.0</v>
      </c>
      <c r="B47" s="59" t="s">
        <v>730</v>
      </c>
      <c r="C47" s="60"/>
      <c r="D47" s="52" t="s">
        <v>746</v>
      </c>
      <c r="E47" s="52">
        <v>1.0</v>
      </c>
      <c r="F47" s="52" t="s">
        <v>731</v>
      </c>
      <c r="G47" s="60"/>
      <c r="H47" s="60"/>
    </row>
    <row r="48" ht="15.75" customHeight="1">
      <c r="A48" s="57"/>
      <c r="B48" s="61"/>
      <c r="C48" s="62"/>
      <c r="D48" s="63"/>
      <c r="E48" s="63"/>
      <c r="F48" s="63"/>
      <c r="G48" s="62"/>
      <c r="H48" s="62"/>
    </row>
    <row r="49" ht="15.75" customHeight="1">
      <c r="A49" s="49">
        <v>45145.0</v>
      </c>
      <c r="B49" s="50" t="s">
        <v>730</v>
      </c>
      <c r="C49" s="53"/>
      <c r="D49" s="52" t="s">
        <v>747</v>
      </c>
      <c r="E49" s="51">
        <v>13.0</v>
      </c>
      <c r="F49" s="51" t="s">
        <v>748</v>
      </c>
      <c r="G49" s="53"/>
      <c r="H49" s="53"/>
    </row>
    <row r="50" ht="15.75" customHeight="1">
      <c r="A50" s="49">
        <v>45145.0</v>
      </c>
      <c r="B50" s="50" t="s">
        <v>730</v>
      </c>
      <c r="C50" s="53"/>
      <c r="D50" s="52" t="s">
        <v>749</v>
      </c>
      <c r="E50" s="51">
        <v>2.0</v>
      </c>
      <c r="F50" s="51" t="s">
        <v>748</v>
      </c>
      <c r="G50" s="53"/>
      <c r="H50" s="53"/>
    </row>
    <row r="51" ht="15.75" customHeight="1">
      <c r="A51" s="28">
        <v>45145.0</v>
      </c>
      <c r="B51" s="29" t="s">
        <v>730</v>
      </c>
      <c r="C51" s="33"/>
      <c r="D51" s="48" t="s">
        <v>729</v>
      </c>
      <c r="E51" s="30">
        <v>8.0</v>
      </c>
      <c r="F51" s="30" t="s">
        <v>748</v>
      </c>
      <c r="G51" s="33"/>
      <c r="H51" s="33"/>
    </row>
    <row r="52" ht="15.75" customHeight="1">
      <c r="A52" s="28">
        <v>45145.0</v>
      </c>
      <c r="B52" s="29" t="s">
        <v>730</v>
      </c>
      <c r="C52" s="33"/>
      <c r="D52" s="48" t="s">
        <v>750</v>
      </c>
      <c r="E52" s="30">
        <v>4.0</v>
      </c>
      <c r="F52" s="30" t="s">
        <v>748</v>
      </c>
      <c r="G52" s="33"/>
      <c r="H52" s="33"/>
    </row>
    <row r="53" ht="15.75" customHeight="1">
      <c r="A53" s="28">
        <v>45145.0</v>
      </c>
      <c r="B53" s="29" t="s">
        <v>730</v>
      </c>
      <c r="C53" s="33"/>
      <c r="D53" s="48" t="s">
        <v>751</v>
      </c>
      <c r="E53" s="30">
        <v>4.0</v>
      </c>
      <c r="F53" s="30" t="s">
        <v>748</v>
      </c>
      <c r="G53" s="33"/>
      <c r="H53" s="33"/>
    </row>
    <row r="54" ht="15.75" customHeight="1">
      <c r="A54" s="28">
        <v>45145.0</v>
      </c>
      <c r="B54" s="29" t="s">
        <v>730</v>
      </c>
      <c r="C54" s="33"/>
      <c r="D54" s="48" t="s">
        <v>752</v>
      </c>
      <c r="E54" s="30">
        <v>4.0</v>
      </c>
      <c r="F54" s="30" t="s">
        <v>748</v>
      </c>
      <c r="G54" s="33"/>
      <c r="H54" s="33"/>
    </row>
    <row r="55" ht="15.75" customHeight="1">
      <c r="A55" s="28">
        <v>45145.0</v>
      </c>
      <c r="B55" s="29" t="s">
        <v>730</v>
      </c>
      <c r="C55" s="33"/>
      <c r="D55" s="48" t="s">
        <v>706</v>
      </c>
      <c r="E55" s="30">
        <v>1.0</v>
      </c>
      <c r="F55" s="30" t="s">
        <v>748</v>
      </c>
      <c r="G55" s="33"/>
      <c r="H55" s="33"/>
    </row>
    <row r="56" ht="15.75" customHeight="1">
      <c r="A56" s="49">
        <v>45145.0</v>
      </c>
      <c r="B56" s="50" t="s">
        <v>730</v>
      </c>
      <c r="C56" s="53"/>
      <c r="D56" s="52" t="s">
        <v>745</v>
      </c>
      <c r="E56" s="51">
        <v>1.0</v>
      </c>
      <c r="F56" s="51" t="s">
        <v>748</v>
      </c>
      <c r="G56" s="53"/>
      <c r="H56" s="53"/>
    </row>
    <row r="57" ht="15.75" customHeight="1">
      <c r="A57" s="58">
        <v>45145.0</v>
      </c>
      <c r="B57" s="59" t="s">
        <v>730</v>
      </c>
      <c r="C57" s="60"/>
      <c r="D57" s="52" t="s">
        <v>753</v>
      </c>
      <c r="E57" s="52">
        <v>2.0</v>
      </c>
      <c r="F57" s="52" t="s">
        <v>748</v>
      </c>
      <c r="G57" s="60"/>
      <c r="H57" s="60"/>
    </row>
    <row r="58" ht="15.75" customHeight="1">
      <c r="A58" s="49">
        <v>45145.0</v>
      </c>
      <c r="B58" s="50" t="s">
        <v>730</v>
      </c>
      <c r="C58" s="53"/>
      <c r="D58" s="52" t="s">
        <v>754</v>
      </c>
      <c r="E58" s="51">
        <v>1.0</v>
      </c>
      <c r="F58" s="51" t="s">
        <v>748</v>
      </c>
      <c r="G58" s="53"/>
      <c r="H58" s="53"/>
    </row>
    <row r="59" ht="15.75" customHeight="1">
      <c r="A59" s="28">
        <v>45145.0</v>
      </c>
      <c r="B59" s="29" t="s">
        <v>730</v>
      </c>
      <c r="C59" s="33"/>
      <c r="D59" s="48" t="s">
        <v>755</v>
      </c>
      <c r="E59" s="30">
        <v>1000.0</v>
      </c>
      <c r="F59" s="30" t="s">
        <v>748</v>
      </c>
      <c r="G59" s="33"/>
      <c r="H59" s="33"/>
    </row>
    <row r="60" ht="15.75" customHeight="1">
      <c r="A60" s="28">
        <v>45145.0</v>
      </c>
      <c r="B60" s="29" t="s">
        <v>730</v>
      </c>
      <c r="C60" s="33"/>
      <c r="D60" s="48" t="s">
        <v>720</v>
      </c>
      <c r="E60" s="30">
        <v>3.0</v>
      </c>
      <c r="F60" s="30" t="s">
        <v>748</v>
      </c>
      <c r="G60" s="33"/>
      <c r="H60" s="33"/>
    </row>
    <row r="61" ht="15.75" customHeight="1">
      <c r="A61" s="28">
        <v>45145.0</v>
      </c>
      <c r="B61" s="29" t="s">
        <v>730</v>
      </c>
      <c r="C61" s="33"/>
      <c r="D61" s="48" t="s">
        <v>714</v>
      </c>
      <c r="E61" s="30">
        <v>24.0</v>
      </c>
      <c r="F61" s="30" t="s">
        <v>748</v>
      </c>
      <c r="G61" s="33"/>
      <c r="H61" s="33"/>
    </row>
    <row r="62" ht="15.75" customHeight="1">
      <c r="A62" s="49">
        <v>45145.0</v>
      </c>
      <c r="B62" s="50" t="s">
        <v>730</v>
      </c>
      <c r="C62" s="53"/>
      <c r="D62" s="52" t="s">
        <v>756</v>
      </c>
      <c r="E62" s="51">
        <v>2.0</v>
      </c>
      <c r="F62" s="51" t="s">
        <v>748</v>
      </c>
      <c r="G62" s="53"/>
      <c r="H62" s="53"/>
    </row>
    <row r="63" ht="15.75" customHeight="1">
      <c r="A63" s="49">
        <v>45145.0</v>
      </c>
      <c r="B63" s="50" t="s">
        <v>730</v>
      </c>
      <c r="C63" s="53"/>
      <c r="D63" s="52" t="s">
        <v>757</v>
      </c>
      <c r="E63" s="51">
        <v>1.0</v>
      </c>
      <c r="F63" s="51" t="s">
        <v>748</v>
      </c>
      <c r="G63" s="53"/>
      <c r="H63" s="53"/>
    </row>
    <row r="64" ht="15.75" customHeight="1">
      <c r="A64" s="58">
        <v>45145.0</v>
      </c>
      <c r="B64" s="59" t="s">
        <v>730</v>
      </c>
      <c r="C64" s="60"/>
      <c r="D64" s="48" t="s">
        <v>758</v>
      </c>
      <c r="E64" s="52">
        <v>41.0</v>
      </c>
      <c r="F64" s="59" t="s">
        <v>748</v>
      </c>
      <c r="G64" s="64"/>
      <c r="H64" s="64"/>
    </row>
    <row r="65" ht="15.75" customHeight="1">
      <c r="A65" s="58">
        <v>45145.0</v>
      </c>
      <c r="B65" s="52" t="s">
        <v>730</v>
      </c>
      <c r="C65" s="60"/>
      <c r="D65" s="48" t="s">
        <v>742</v>
      </c>
      <c r="E65" s="52">
        <v>1.0</v>
      </c>
      <c r="F65" s="52" t="s">
        <v>748</v>
      </c>
      <c r="G65" s="60"/>
      <c r="H65" s="60"/>
    </row>
    <row r="66" ht="15.75" customHeight="1">
      <c r="A66" s="58">
        <v>45145.0</v>
      </c>
      <c r="B66" s="59" t="s">
        <v>730</v>
      </c>
      <c r="C66" s="60"/>
      <c r="D66" s="52" t="s">
        <v>759</v>
      </c>
      <c r="E66" s="52">
        <v>2.0</v>
      </c>
      <c r="F66" s="59" t="s">
        <v>748</v>
      </c>
      <c r="G66" s="64"/>
      <c r="H66" s="64"/>
    </row>
    <row r="67" ht="15.75" customHeight="1">
      <c r="A67" s="58">
        <v>45145.0</v>
      </c>
      <c r="B67" s="59" t="s">
        <v>730</v>
      </c>
      <c r="C67" s="60"/>
      <c r="D67" s="48" t="s">
        <v>741</v>
      </c>
      <c r="E67" s="52">
        <v>1.0</v>
      </c>
      <c r="F67" s="52" t="s">
        <v>748</v>
      </c>
      <c r="G67" s="60"/>
      <c r="H67" s="60"/>
    </row>
    <row r="68" ht="15.75" customHeight="1">
      <c r="A68" s="49">
        <v>45145.0</v>
      </c>
      <c r="B68" s="50" t="s">
        <v>730</v>
      </c>
      <c r="C68" s="53"/>
      <c r="D68" s="52" t="s">
        <v>760</v>
      </c>
      <c r="E68" s="51">
        <v>1.0</v>
      </c>
      <c r="F68" s="51" t="s">
        <v>748</v>
      </c>
      <c r="G68" s="53"/>
      <c r="H68" s="53"/>
    </row>
    <row r="69" ht="15.75" customHeight="1">
      <c r="A69" s="28">
        <v>45145.0</v>
      </c>
      <c r="B69" s="29" t="s">
        <v>730</v>
      </c>
      <c r="C69" s="33"/>
      <c r="D69" s="48" t="s">
        <v>761</v>
      </c>
      <c r="E69" s="30">
        <v>5.0</v>
      </c>
      <c r="F69" s="30" t="s">
        <v>748</v>
      </c>
      <c r="G69" s="33"/>
      <c r="H69" s="33"/>
    </row>
    <row r="70" ht="15.75" customHeight="1">
      <c r="A70" s="58">
        <v>45145.0</v>
      </c>
      <c r="B70" s="59" t="s">
        <v>730</v>
      </c>
      <c r="C70" s="60"/>
      <c r="D70" s="52" t="s">
        <v>608</v>
      </c>
      <c r="E70" s="52">
        <v>1.0</v>
      </c>
      <c r="F70" s="52" t="s">
        <v>748</v>
      </c>
      <c r="G70" s="60"/>
      <c r="H70" s="60"/>
    </row>
    <row r="71" ht="15.75" customHeight="1">
      <c r="A71" s="58">
        <v>45145.0</v>
      </c>
      <c r="B71" s="59" t="s">
        <v>730</v>
      </c>
      <c r="C71" s="60"/>
      <c r="D71" s="48" t="s">
        <v>762</v>
      </c>
      <c r="E71" s="52">
        <v>1.0</v>
      </c>
      <c r="F71" s="52" t="s">
        <v>748</v>
      </c>
      <c r="G71" s="60"/>
      <c r="H71" s="60"/>
    </row>
    <row r="72" ht="15.75" customHeight="1">
      <c r="A72" s="46">
        <v>45145.0</v>
      </c>
      <c r="B72" s="47" t="s">
        <v>730</v>
      </c>
      <c r="C72" s="55"/>
      <c r="D72" s="48" t="s">
        <v>763</v>
      </c>
      <c r="E72" s="31">
        <v>3.0</v>
      </c>
      <c r="F72" s="31" t="s">
        <v>748</v>
      </c>
      <c r="G72" s="38">
        <v>45148.0</v>
      </c>
      <c r="H72" s="55"/>
    </row>
    <row r="73" ht="15.75" customHeight="1">
      <c r="A73" s="49">
        <v>45145.0</v>
      </c>
      <c r="B73" s="50" t="s">
        <v>730</v>
      </c>
      <c r="C73" s="53"/>
      <c r="D73" s="52" t="s">
        <v>764</v>
      </c>
      <c r="E73" s="51">
        <v>1.0</v>
      </c>
      <c r="F73" s="51" t="s">
        <v>748</v>
      </c>
      <c r="G73" s="53"/>
      <c r="H73" s="53"/>
    </row>
    <row r="74" ht="15.75" customHeight="1">
      <c r="A74" s="28">
        <v>45145.0</v>
      </c>
      <c r="B74" s="29" t="s">
        <v>730</v>
      </c>
      <c r="C74" s="33"/>
      <c r="D74" s="52" t="s">
        <v>765</v>
      </c>
      <c r="E74" s="30">
        <v>12.0</v>
      </c>
      <c r="F74" s="30" t="s">
        <v>748</v>
      </c>
      <c r="G74" s="33"/>
      <c r="H74" s="33"/>
    </row>
    <row r="75" ht="15.0" customHeight="1">
      <c r="A75" s="28">
        <v>45145.0</v>
      </c>
      <c r="B75" s="29" t="s">
        <v>730</v>
      </c>
      <c r="C75" s="33"/>
      <c r="D75" s="48" t="s">
        <v>766</v>
      </c>
      <c r="E75" s="30">
        <v>2.0</v>
      </c>
      <c r="F75" s="29" t="s">
        <v>748</v>
      </c>
      <c r="G75" s="32"/>
      <c r="H75" s="32"/>
    </row>
    <row r="76" ht="15.75" customHeight="1">
      <c r="A76" s="28">
        <v>45145.0</v>
      </c>
      <c r="B76" s="29" t="s">
        <v>730</v>
      </c>
      <c r="C76" s="33"/>
      <c r="D76" s="48" t="s">
        <v>761</v>
      </c>
      <c r="E76" s="30">
        <v>5.0</v>
      </c>
      <c r="F76" s="29" t="s">
        <v>748</v>
      </c>
      <c r="G76" s="32"/>
      <c r="H76" s="32"/>
    </row>
    <row r="77" ht="15.75" customHeight="1">
      <c r="A77" s="49">
        <v>45145.0</v>
      </c>
      <c r="B77" s="50" t="s">
        <v>730</v>
      </c>
      <c r="C77" s="53"/>
      <c r="D77" s="52" t="s">
        <v>767</v>
      </c>
      <c r="E77" s="51">
        <v>2.0</v>
      </c>
      <c r="F77" s="51" t="s">
        <v>748</v>
      </c>
      <c r="G77" s="53"/>
      <c r="H77" s="53"/>
    </row>
    <row r="78" ht="15.75" customHeight="1">
      <c r="A78" s="28">
        <v>45145.0</v>
      </c>
      <c r="B78" s="29" t="s">
        <v>730</v>
      </c>
      <c r="C78" s="33"/>
      <c r="D78" s="48" t="s">
        <v>743</v>
      </c>
      <c r="E78" s="30">
        <v>2.0</v>
      </c>
      <c r="F78" s="30" t="s">
        <v>748</v>
      </c>
      <c r="G78" s="33"/>
      <c r="H78" s="33"/>
    </row>
    <row r="79" ht="15.75" customHeight="1">
      <c r="A79" s="28">
        <v>45145.0</v>
      </c>
      <c r="B79" s="29" t="s">
        <v>730</v>
      </c>
      <c r="C79" s="33"/>
      <c r="D79" s="48" t="s">
        <v>744</v>
      </c>
      <c r="E79" s="30">
        <v>3.0</v>
      </c>
      <c r="F79" s="30" t="s">
        <v>748</v>
      </c>
      <c r="G79" s="33"/>
      <c r="H79" s="33"/>
    </row>
    <row r="80" ht="15.75" customHeight="1">
      <c r="A80" s="58">
        <v>45145.0</v>
      </c>
      <c r="B80" s="52" t="s">
        <v>730</v>
      </c>
      <c r="C80" s="60"/>
      <c r="D80" s="48" t="s">
        <v>768</v>
      </c>
      <c r="E80" s="52">
        <v>4.0</v>
      </c>
      <c r="F80" s="52" t="s">
        <v>748</v>
      </c>
      <c r="G80" s="60"/>
      <c r="H80" s="60"/>
    </row>
    <row r="81" ht="15.75" customHeight="1">
      <c r="A81" s="58">
        <v>45145.0</v>
      </c>
      <c r="B81" s="52" t="s">
        <v>730</v>
      </c>
      <c r="C81" s="60"/>
      <c r="D81" s="52" t="s">
        <v>746</v>
      </c>
      <c r="E81" s="52">
        <v>1.0</v>
      </c>
      <c r="F81" s="52" t="s">
        <v>748</v>
      </c>
      <c r="G81" s="60"/>
      <c r="H81" s="60"/>
    </row>
    <row r="82" ht="16.5" customHeight="1">
      <c r="A82" s="49">
        <v>45145.0</v>
      </c>
      <c r="B82" s="51" t="s">
        <v>730</v>
      </c>
      <c r="C82" s="53"/>
      <c r="D82" s="52" t="s">
        <v>769</v>
      </c>
      <c r="E82" s="51">
        <v>1.0</v>
      </c>
      <c r="F82" s="51" t="s">
        <v>748</v>
      </c>
      <c r="G82" s="53"/>
      <c r="H82" s="53"/>
    </row>
    <row r="83" ht="15.75" customHeight="1">
      <c r="A83" s="28">
        <v>45145.0</v>
      </c>
      <c r="B83" s="30" t="s">
        <v>730</v>
      </c>
      <c r="C83" s="33"/>
      <c r="D83" s="48" t="s">
        <v>770</v>
      </c>
      <c r="E83" s="30">
        <v>2.0</v>
      </c>
      <c r="F83" s="30" t="s">
        <v>748</v>
      </c>
      <c r="G83" s="33"/>
      <c r="H83" s="33"/>
    </row>
    <row r="84" ht="15.75" customHeight="1">
      <c r="A84" s="49">
        <v>45145.0</v>
      </c>
      <c r="B84" s="51" t="s">
        <v>730</v>
      </c>
      <c r="C84" s="53"/>
      <c r="D84" s="52" t="s">
        <v>737</v>
      </c>
      <c r="E84" s="51">
        <v>1.0</v>
      </c>
      <c r="F84" s="51" t="s">
        <v>748</v>
      </c>
      <c r="G84" s="53"/>
      <c r="H84" s="53"/>
    </row>
    <row r="85" ht="15.75" customHeight="1">
      <c r="A85" s="32"/>
      <c r="B85" s="30"/>
      <c r="C85" s="33"/>
      <c r="D85" s="33"/>
      <c r="E85" s="33"/>
      <c r="F85" s="33"/>
      <c r="G85" s="33"/>
      <c r="H85" s="33"/>
    </row>
    <row r="86" ht="15.75" customHeight="1">
      <c r="A86" s="32"/>
      <c r="B86" s="32"/>
      <c r="C86" s="33"/>
      <c r="D86" s="33"/>
      <c r="E86" s="33"/>
      <c r="F86" s="33"/>
      <c r="G86" s="33"/>
      <c r="H86" s="33"/>
    </row>
    <row r="87" ht="15.75" customHeight="1">
      <c r="A87" s="32"/>
      <c r="B87" s="32"/>
      <c r="C87" s="33"/>
      <c r="D87" s="33"/>
      <c r="E87" s="33"/>
      <c r="F87" s="33"/>
      <c r="G87" s="33"/>
      <c r="H87" s="33"/>
    </row>
    <row r="88" ht="15.75" customHeight="1">
      <c r="A88" s="32"/>
      <c r="B88" s="32"/>
      <c r="C88" s="33"/>
      <c r="D88" s="33"/>
      <c r="E88" s="33"/>
      <c r="F88" s="33"/>
      <c r="G88" s="33"/>
      <c r="H88" s="33"/>
    </row>
    <row r="89" ht="15.75" customHeight="1">
      <c r="A89" s="32"/>
      <c r="B89" s="32"/>
      <c r="C89" s="33"/>
      <c r="D89" s="33"/>
      <c r="E89" s="33"/>
      <c r="F89" s="33"/>
      <c r="G89" s="33"/>
      <c r="H89" s="33"/>
    </row>
    <row r="90" ht="15.75" customHeight="1">
      <c r="A90" s="32"/>
      <c r="B90" s="32"/>
      <c r="C90" s="33"/>
      <c r="D90" s="33"/>
      <c r="E90" s="33"/>
      <c r="F90" s="32"/>
      <c r="G90" s="32"/>
      <c r="H90" s="32"/>
    </row>
    <row r="91" ht="15.75" customHeight="1">
      <c r="A91" s="32"/>
      <c r="B91" s="32"/>
      <c r="C91" s="33"/>
      <c r="D91" s="33"/>
      <c r="E91" s="33"/>
      <c r="F91" s="32"/>
      <c r="G91" s="32"/>
      <c r="H91" s="32"/>
    </row>
    <row r="92" ht="15.75" customHeight="1">
      <c r="A92" s="32"/>
      <c r="B92" s="32"/>
      <c r="C92" s="33"/>
      <c r="D92" s="33"/>
      <c r="E92" s="33"/>
      <c r="F92" s="32"/>
      <c r="G92" s="32"/>
      <c r="H92" s="32"/>
    </row>
    <row r="93" ht="15.75" customHeight="1">
      <c r="A93" s="32"/>
      <c r="B93" s="32"/>
      <c r="C93" s="33"/>
      <c r="D93" s="33"/>
      <c r="E93" s="33"/>
      <c r="F93" s="32"/>
      <c r="G93" s="32"/>
      <c r="H93" s="32"/>
    </row>
    <row r="94" ht="15.75" customHeight="1">
      <c r="A94" s="32"/>
      <c r="B94" s="32"/>
      <c r="C94" s="33"/>
      <c r="D94" s="33"/>
      <c r="E94" s="33"/>
      <c r="F94" s="32"/>
      <c r="G94" s="32"/>
      <c r="H94" s="32"/>
    </row>
    <row r="95" ht="15.75" customHeight="1">
      <c r="A95" s="32"/>
      <c r="B95" s="32"/>
      <c r="C95" s="33"/>
      <c r="D95" s="33"/>
      <c r="E95" s="33"/>
      <c r="F95" s="33"/>
      <c r="G95" s="33"/>
      <c r="H95" s="33"/>
    </row>
    <row r="96" ht="15.75" customHeight="1">
      <c r="A96" s="32"/>
      <c r="B96" s="32"/>
      <c r="C96" s="33"/>
      <c r="D96" s="33"/>
      <c r="E96" s="33"/>
      <c r="F96" s="33"/>
      <c r="G96" s="33"/>
      <c r="H96" s="33"/>
    </row>
    <row r="97" ht="15.75" customHeight="1">
      <c r="A97" s="32"/>
      <c r="B97" s="32"/>
      <c r="C97" s="33"/>
      <c r="D97" s="33"/>
      <c r="E97" s="33"/>
      <c r="F97" s="33"/>
      <c r="G97" s="33"/>
      <c r="H97" s="33"/>
    </row>
    <row r="98" ht="15.75" customHeight="1">
      <c r="A98" s="32"/>
      <c r="B98" s="32"/>
      <c r="C98" s="33"/>
      <c r="D98" s="33"/>
      <c r="E98" s="33"/>
      <c r="F98" s="32"/>
      <c r="G98" s="32"/>
      <c r="H98" s="32"/>
    </row>
    <row r="99" ht="15.75" customHeight="1">
      <c r="A99" s="32"/>
      <c r="B99" s="32"/>
      <c r="C99" s="33"/>
      <c r="D99" s="33"/>
      <c r="E99" s="33"/>
      <c r="F99" s="32"/>
      <c r="G99" s="32"/>
      <c r="H99" s="32"/>
    </row>
    <row r="100" ht="15.75" customHeight="1">
      <c r="A100" s="32"/>
      <c r="B100" s="32"/>
      <c r="C100" s="33"/>
      <c r="D100" s="33"/>
      <c r="E100" s="33"/>
      <c r="F100" s="33"/>
      <c r="G100" s="33"/>
      <c r="H100" s="33"/>
    </row>
    <row r="101" ht="15.75" customHeight="1">
      <c r="A101" s="32"/>
      <c r="B101" s="32"/>
      <c r="C101" s="33"/>
      <c r="D101" s="33"/>
      <c r="E101" s="33"/>
      <c r="F101" s="33"/>
      <c r="G101" s="33"/>
      <c r="H101" s="33"/>
    </row>
    <row r="102" ht="15.75" customHeight="1">
      <c r="A102" s="32"/>
      <c r="B102" s="32"/>
      <c r="C102" s="33"/>
      <c r="D102" s="33"/>
      <c r="E102" s="33"/>
      <c r="F102" s="33"/>
      <c r="G102" s="33"/>
      <c r="H102" s="33"/>
    </row>
    <row r="103" ht="15.75" customHeight="1">
      <c r="A103" s="32"/>
      <c r="B103" s="32"/>
      <c r="C103" s="33"/>
      <c r="D103" s="33"/>
      <c r="E103" s="33"/>
      <c r="F103" s="33"/>
      <c r="G103" s="33"/>
      <c r="H103" s="33"/>
    </row>
    <row r="104" ht="15.75" customHeight="1">
      <c r="A104" s="32"/>
      <c r="B104" s="32"/>
      <c r="C104" s="33"/>
      <c r="D104" s="33"/>
      <c r="E104" s="33"/>
      <c r="F104" s="33"/>
      <c r="G104" s="33"/>
      <c r="H104" s="33"/>
    </row>
    <row r="105" ht="15.75" customHeight="1">
      <c r="A105" s="32"/>
      <c r="B105" s="32"/>
      <c r="C105" s="33"/>
      <c r="D105" s="33"/>
      <c r="E105" s="33"/>
      <c r="F105" s="33"/>
      <c r="G105" s="33"/>
      <c r="H105" s="33"/>
    </row>
    <row r="106" ht="15.75" customHeight="1">
      <c r="A106" s="32"/>
      <c r="B106" s="32"/>
      <c r="C106" s="33"/>
      <c r="D106" s="33"/>
      <c r="E106" s="33"/>
      <c r="F106" s="33"/>
      <c r="G106" s="33"/>
      <c r="H106" s="33"/>
    </row>
    <row r="107" ht="15.75" customHeight="1">
      <c r="A107" s="32"/>
      <c r="B107" s="32"/>
      <c r="C107" s="33"/>
      <c r="D107" s="33"/>
      <c r="E107" s="33"/>
      <c r="F107" s="33"/>
      <c r="G107" s="33"/>
      <c r="H107" s="33"/>
    </row>
    <row r="108" ht="15.75" customHeight="1">
      <c r="A108" s="32"/>
      <c r="B108" s="32"/>
      <c r="C108" s="33"/>
      <c r="D108" s="33"/>
      <c r="E108" s="33"/>
      <c r="F108" s="33"/>
      <c r="G108" s="33"/>
      <c r="H108" s="33"/>
    </row>
    <row r="109" ht="15.75" customHeight="1">
      <c r="A109" s="32"/>
      <c r="B109" s="32"/>
      <c r="C109" s="33"/>
      <c r="D109" s="33"/>
      <c r="E109" s="33"/>
      <c r="F109" s="33"/>
      <c r="G109" s="33"/>
      <c r="H109" s="33"/>
    </row>
    <row r="110" ht="15.75" customHeight="1">
      <c r="A110" s="32"/>
      <c r="B110" s="32"/>
      <c r="C110" s="33"/>
      <c r="D110" s="33"/>
      <c r="E110" s="33"/>
      <c r="F110" s="32"/>
      <c r="G110" s="32"/>
      <c r="H110" s="32"/>
    </row>
    <row r="111" ht="15.75" customHeight="1">
      <c r="A111" s="32"/>
      <c r="B111" s="33"/>
      <c r="C111" s="33"/>
      <c r="D111" s="33"/>
      <c r="E111" s="33"/>
      <c r="F111" s="33"/>
      <c r="G111" s="33"/>
      <c r="H111" s="33"/>
    </row>
    <row r="112" ht="15.75" customHeight="1">
      <c r="A112" s="32"/>
      <c r="B112" s="32"/>
      <c r="C112" s="33"/>
      <c r="D112" s="33"/>
      <c r="E112" s="33"/>
      <c r="F112" s="32"/>
      <c r="G112" s="32"/>
      <c r="H112" s="32"/>
    </row>
    <row r="113" ht="15.75" customHeight="1">
      <c r="A113" s="32"/>
      <c r="B113" s="32"/>
      <c r="C113" s="33"/>
      <c r="D113" s="33"/>
      <c r="E113" s="33"/>
      <c r="F113" s="33"/>
      <c r="G113" s="33"/>
      <c r="H113" s="33"/>
    </row>
    <row r="114" ht="15.75" customHeight="1">
      <c r="A114" s="32"/>
      <c r="B114" s="32"/>
      <c r="C114" s="33"/>
      <c r="D114" s="33"/>
      <c r="E114" s="33"/>
      <c r="F114" s="33"/>
      <c r="G114" s="33"/>
      <c r="H114" s="33"/>
    </row>
    <row r="115" ht="15.75" customHeight="1">
      <c r="A115" s="32"/>
      <c r="B115" s="32"/>
      <c r="C115" s="33"/>
      <c r="D115" s="33"/>
      <c r="E115" s="33"/>
      <c r="F115" s="33"/>
      <c r="G115" s="33"/>
      <c r="H115" s="33"/>
    </row>
    <row r="116" ht="15.75" customHeight="1">
      <c r="A116" s="32"/>
      <c r="B116" s="32"/>
      <c r="C116" s="33"/>
      <c r="D116" s="33"/>
      <c r="E116" s="33"/>
      <c r="F116" s="33"/>
      <c r="G116" s="33"/>
      <c r="H116" s="33"/>
    </row>
    <row r="117" ht="15.75" customHeight="1">
      <c r="A117" s="32"/>
      <c r="B117" s="32"/>
      <c r="C117" s="33"/>
      <c r="D117" s="33"/>
      <c r="E117" s="33"/>
      <c r="F117" s="33"/>
      <c r="G117" s="33"/>
      <c r="H117" s="33"/>
    </row>
    <row r="118" ht="15.75" customHeight="1">
      <c r="A118" s="32"/>
      <c r="B118" s="32"/>
      <c r="C118" s="33"/>
      <c r="D118" s="33"/>
      <c r="E118" s="33"/>
      <c r="F118" s="33"/>
      <c r="G118" s="33"/>
      <c r="H118" s="33"/>
    </row>
    <row r="119" ht="15.75" customHeight="1">
      <c r="A119" s="32"/>
      <c r="B119" s="32"/>
      <c r="C119" s="33"/>
      <c r="D119" s="33"/>
      <c r="E119" s="33"/>
      <c r="F119" s="33"/>
      <c r="G119" s="33"/>
      <c r="H119" s="33"/>
    </row>
    <row r="120" ht="15.75" customHeight="1">
      <c r="A120" s="32"/>
      <c r="B120" s="32"/>
      <c r="C120" s="33"/>
      <c r="D120" s="33"/>
      <c r="E120" s="33"/>
      <c r="F120" s="33"/>
      <c r="G120" s="33"/>
      <c r="H120" s="33"/>
    </row>
    <row r="121" ht="15.75" customHeight="1">
      <c r="A121" s="32"/>
      <c r="B121" s="32"/>
      <c r="C121" s="33"/>
      <c r="D121" s="33"/>
      <c r="E121" s="33"/>
      <c r="F121" s="33"/>
      <c r="G121" s="33"/>
      <c r="H121" s="33"/>
    </row>
    <row r="122" ht="15.75" customHeight="1">
      <c r="A122" s="32"/>
      <c r="B122" s="32"/>
      <c r="C122" s="33"/>
      <c r="D122" s="33"/>
      <c r="E122" s="33"/>
      <c r="F122" s="33"/>
      <c r="G122" s="33"/>
      <c r="H122" s="33"/>
    </row>
    <row r="123" ht="15.75" customHeight="1">
      <c r="A123" s="32"/>
      <c r="B123" s="32"/>
      <c r="C123" s="33"/>
      <c r="D123" s="33"/>
      <c r="E123" s="33"/>
      <c r="F123" s="33"/>
      <c r="G123" s="33"/>
      <c r="H123" s="33"/>
    </row>
    <row r="124" ht="15.75" customHeight="1">
      <c r="A124" s="32"/>
      <c r="B124" s="32"/>
      <c r="C124" s="33"/>
      <c r="D124" s="33"/>
      <c r="E124" s="33"/>
      <c r="F124" s="33"/>
      <c r="G124" s="33"/>
      <c r="H124" s="33"/>
    </row>
    <row r="125" ht="15.75" customHeight="1">
      <c r="A125" s="32"/>
      <c r="B125" s="32"/>
      <c r="C125" s="33"/>
      <c r="D125" s="33"/>
      <c r="E125" s="33"/>
      <c r="F125" s="33"/>
      <c r="G125" s="33"/>
      <c r="H125" s="33"/>
    </row>
    <row r="126" ht="15.75" customHeight="1">
      <c r="A126" s="32"/>
      <c r="B126" s="32"/>
      <c r="C126" s="33"/>
      <c r="D126" s="33"/>
      <c r="E126" s="33"/>
      <c r="F126" s="33"/>
      <c r="G126" s="33"/>
      <c r="H126" s="33"/>
    </row>
    <row r="127" ht="15.75" customHeight="1">
      <c r="A127" s="32"/>
      <c r="B127" s="32"/>
      <c r="C127" s="33"/>
      <c r="D127" s="33"/>
      <c r="E127" s="33"/>
      <c r="F127" s="33"/>
      <c r="G127" s="33"/>
      <c r="H127" s="33"/>
    </row>
    <row r="128" ht="15.75" customHeight="1">
      <c r="A128" s="32"/>
      <c r="B128" s="32"/>
      <c r="C128" s="33"/>
      <c r="D128" s="33"/>
      <c r="E128" s="33"/>
      <c r="F128" s="33"/>
      <c r="G128" s="33"/>
      <c r="H128" s="33"/>
    </row>
    <row r="129" ht="15.75" customHeight="1">
      <c r="A129" s="32"/>
      <c r="B129" s="32"/>
      <c r="C129" s="33"/>
      <c r="D129" s="33"/>
      <c r="E129" s="33"/>
      <c r="F129" s="33"/>
      <c r="G129" s="33"/>
      <c r="H129" s="33"/>
    </row>
    <row r="130" ht="15.75" customHeight="1">
      <c r="A130" s="32"/>
      <c r="B130" s="32"/>
      <c r="C130" s="33"/>
      <c r="D130" s="33"/>
      <c r="E130" s="33"/>
      <c r="F130" s="32"/>
      <c r="G130" s="32"/>
      <c r="H130" s="32"/>
    </row>
    <row r="131" ht="15.75" customHeight="1">
      <c r="A131" s="32"/>
      <c r="B131" s="32"/>
      <c r="C131" s="33"/>
      <c r="D131" s="33"/>
      <c r="E131" s="33"/>
      <c r="F131" s="33"/>
      <c r="G131" s="33"/>
      <c r="H131" s="33"/>
    </row>
    <row r="132" ht="15.75" customHeight="1">
      <c r="A132" s="32"/>
      <c r="B132" s="32"/>
      <c r="C132" s="33"/>
      <c r="D132" s="33"/>
      <c r="E132" s="33"/>
      <c r="F132" s="33"/>
      <c r="G132" s="33"/>
      <c r="H132" s="33"/>
    </row>
    <row r="133" ht="15.75" customHeight="1">
      <c r="A133" s="32"/>
      <c r="B133" s="32"/>
      <c r="C133" s="33"/>
      <c r="D133" s="33"/>
      <c r="E133" s="33"/>
      <c r="F133" s="33"/>
      <c r="G133" s="33"/>
      <c r="H133" s="33"/>
    </row>
    <row r="134" ht="15.75" customHeight="1">
      <c r="A134" s="32"/>
      <c r="B134" s="32"/>
      <c r="C134" s="33"/>
      <c r="D134" s="33"/>
      <c r="E134" s="33"/>
      <c r="F134" s="32"/>
      <c r="G134" s="32"/>
      <c r="H134" s="32"/>
    </row>
    <row r="135" ht="15.75" customHeight="1">
      <c r="A135" s="32"/>
      <c r="B135" s="32"/>
      <c r="C135" s="33"/>
      <c r="D135" s="33"/>
      <c r="E135" s="33"/>
      <c r="F135" s="32"/>
      <c r="G135" s="32"/>
      <c r="H135" s="32"/>
    </row>
    <row r="136" ht="15.75" customHeight="1">
      <c r="A136" s="32"/>
      <c r="B136" s="32"/>
      <c r="C136" s="33"/>
      <c r="D136" s="33"/>
      <c r="E136" s="33"/>
      <c r="F136" s="32"/>
      <c r="G136" s="32"/>
      <c r="H136" s="32"/>
    </row>
    <row r="137" ht="15.75" customHeight="1">
      <c r="A137" s="32"/>
      <c r="B137" s="32"/>
      <c r="C137" s="33"/>
      <c r="D137" s="33"/>
      <c r="E137" s="33"/>
      <c r="F137" s="32"/>
      <c r="G137" s="32"/>
      <c r="H137" s="32"/>
    </row>
    <row r="138" ht="15.75" customHeight="1">
      <c r="A138" s="32"/>
      <c r="B138" s="32"/>
      <c r="C138" s="33"/>
      <c r="D138" s="33"/>
      <c r="E138" s="33"/>
      <c r="F138" s="32"/>
      <c r="G138" s="32"/>
      <c r="H138" s="32"/>
    </row>
    <row r="139" ht="15.75" customHeight="1">
      <c r="A139" s="32"/>
      <c r="B139" s="32"/>
      <c r="C139" s="33"/>
      <c r="D139" s="33"/>
      <c r="E139" s="33"/>
      <c r="F139" s="32"/>
      <c r="G139" s="32"/>
      <c r="H139" s="32"/>
    </row>
    <row r="140" ht="15.75" customHeight="1">
      <c r="A140" s="32"/>
      <c r="B140" s="32"/>
      <c r="C140" s="33"/>
      <c r="D140" s="33"/>
      <c r="E140" s="33"/>
      <c r="F140" s="32"/>
      <c r="G140" s="32"/>
      <c r="H140" s="32"/>
    </row>
    <row r="141" ht="15.75" customHeight="1">
      <c r="A141" s="32"/>
      <c r="B141" s="32"/>
      <c r="C141" s="33"/>
      <c r="D141" s="33"/>
      <c r="E141" s="33"/>
      <c r="F141" s="32"/>
      <c r="G141" s="32"/>
      <c r="H141" s="32"/>
    </row>
    <row r="142" ht="15.75" customHeight="1">
      <c r="A142" s="32"/>
      <c r="B142" s="32"/>
      <c r="C142" s="33"/>
      <c r="D142" s="33"/>
      <c r="E142" s="33"/>
      <c r="F142" s="32"/>
      <c r="G142" s="32"/>
      <c r="H142" s="32"/>
    </row>
    <row r="143" ht="15.75" customHeight="1">
      <c r="A143" s="32"/>
      <c r="B143" s="32"/>
      <c r="C143" s="33"/>
      <c r="D143" s="33"/>
      <c r="E143" s="33"/>
      <c r="F143" s="32"/>
      <c r="G143" s="32"/>
      <c r="H143" s="32"/>
    </row>
    <row r="144" ht="15.75" customHeight="1">
      <c r="A144" s="32"/>
      <c r="B144" s="32"/>
      <c r="C144" s="33"/>
      <c r="D144" s="33"/>
      <c r="E144" s="33"/>
      <c r="F144" s="32"/>
      <c r="G144" s="32"/>
      <c r="H144" s="32"/>
    </row>
    <row r="145" ht="15.75" customHeight="1">
      <c r="A145" s="32"/>
      <c r="B145" s="32"/>
      <c r="C145" s="33"/>
      <c r="D145" s="33"/>
      <c r="E145" s="33"/>
      <c r="F145" s="32"/>
      <c r="G145" s="32"/>
      <c r="H145" s="32"/>
    </row>
    <row r="146" ht="15.75" customHeight="1">
      <c r="A146" s="32"/>
      <c r="B146" s="32"/>
      <c r="C146" s="33"/>
      <c r="D146" s="33"/>
      <c r="E146" s="33"/>
      <c r="F146" s="32"/>
      <c r="G146" s="32"/>
      <c r="H146" s="32"/>
    </row>
    <row r="147" ht="15.75" customHeight="1">
      <c r="A147" s="32"/>
      <c r="B147" s="32"/>
      <c r="C147" s="33"/>
      <c r="D147" s="33"/>
      <c r="E147" s="33"/>
      <c r="F147" s="32"/>
      <c r="G147" s="32"/>
      <c r="H147" s="32"/>
    </row>
    <row r="148" ht="15.75" customHeight="1">
      <c r="A148" s="32"/>
      <c r="B148" s="32"/>
      <c r="C148" s="33"/>
      <c r="D148" s="33"/>
      <c r="E148" s="33"/>
      <c r="F148" s="32"/>
      <c r="G148" s="32"/>
      <c r="H148" s="32"/>
    </row>
    <row r="149" ht="15.75" customHeight="1">
      <c r="A149" s="32"/>
      <c r="B149" s="32"/>
      <c r="C149" s="33"/>
      <c r="D149" s="33"/>
      <c r="E149" s="33"/>
      <c r="F149" s="32"/>
      <c r="G149" s="32"/>
      <c r="H149" s="32"/>
    </row>
    <row r="150" ht="15.75" customHeight="1">
      <c r="A150" s="32"/>
      <c r="B150" s="32"/>
      <c r="C150" s="33"/>
      <c r="D150" s="33"/>
      <c r="E150" s="33"/>
      <c r="F150" s="32"/>
      <c r="G150" s="32"/>
      <c r="H150" s="32"/>
    </row>
    <row r="151" ht="15.75" customHeight="1">
      <c r="A151" s="32"/>
      <c r="B151" s="32"/>
      <c r="C151" s="33"/>
      <c r="D151" s="33"/>
      <c r="E151" s="33"/>
      <c r="F151" s="32"/>
      <c r="G151" s="32"/>
      <c r="H151" s="32"/>
    </row>
    <row r="152" ht="15.75" customHeight="1">
      <c r="A152" s="32"/>
      <c r="B152" s="32"/>
      <c r="C152" s="33"/>
      <c r="D152" s="33"/>
      <c r="E152" s="33"/>
      <c r="F152" s="32"/>
      <c r="G152" s="32"/>
      <c r="H152" s="32"/>
    </row>
    <row r="153" ht="15.75" customHeight="1">
      <c r="A153" s="32"/>
      <c r="B153" s="32"/>
      <c r="C153" s="33"/>
      <c r="D153" s="33"/>
      <c r="E153" s="33"/>
      <c r="F153" s="32"/>
      <c r="G153" s="32"/>
      <c r="H153" s="32"/>
    </row>
    <row r="154" ht="15.75" customHeight="1">
      <c r="A154" s="32"/>
      <c r="B154" s="32"/>
      <c r="C154" s="33"/>
      <c r="D154" s="33"/>
      <c r="E154" s="33"/>
      <c r="F154" s="32"/>
      <c r="G154" s="32"/>
      <c r="H154" s="32"/>
    </row>
    <row r="155" ht="15.75" customHeight="1">
      <c r="A155" s="32"/>
      <c r="B155" s="32"/>
      <c r="C155" s="33"/>
      <c r="D155" s="33"/>
      <c r="E155" s="33"/>
      <c r="F155" s="33"/>
      <c r="G155" s="33"/>
      <c r="H155" s="33"/>
    </row>
    <row r="156" ht="15.75" customHeight="1">
      <c r="A156" s="32"/>
      <c r="B156" s="32"/>
      <c r="C156" s="33"/>
      <c r="D156" s="33"/>
      <c r="E156" s="33"/>
      <c r="F156" s="33"/>
      <c r="G156" s="33"/>
      <c r="H156" s="33"/>
    </row>
    <row r="157" ht="15.75" customHeight="1">
      <c r="A157" s="32"/>
      <c r="B157" s="32"/>
      <c r="C157" s="33"/>
      <c r="D157" s="33"/>
      <c r="E157" s="33"/>
      <c r="F157" s="33"/>
      <c r="G157" s="33"/>
      <c r="H157" s="33"/>
    </row>
    <row r="158" ht="15.75" customHeight="1">
      <c r="A158" s="32"/>
      <c r="B158" s="32"/>
      <c r="C158" s="33"/>
      <c r="D158" s="33"/>
      <c r="E158" s="33"/>
      <c r="F158" s="32"/>
      <c r="G158" s="32"/>
      <c r="H158" s="32"/>
    </row>
    <row r="159" ht="15.75" customHeight="1">
      <c r="A159" s="32"/>
      <c r="B159" s="32"/>
      <c r="C159" s="33"/>
      <c r="D159" s="33"/>
      <c r="E159" s="33"/>
      <c r="F159" s="33"/>
      <c r="G159" s="33"/>
      <c r="H159" s="33"/>
    </row>
    <row r="160" ht="15.75" customHeight="1">
      <c r="A160" s="32"/>
      <c r="B160" s="32"/>
      <c r="C160" s="33"/>
      <c r="D160" s="33"/>
      <c r="E160" s="33"/>
      <c r="F160" s="33"/>
      <c r="G160" s="33"/>
      <c r="H160" s="33"/>
    </row>
    <row r="161" ht="15.75" customHeight="1">
      <c r="A161" s="32"/>
      <c r="B161" s="32"/>
      <c r="C161" s="33"/>
      <c r="D161" s="33"/>
      <c r="E161" s="33"/>
      <c r="F161" s="33"/>
      <c r="G161" s="33"/>
      <c r="H161" s="33"/>
    </row>
    <row r="162" ht="15.75" customHeight="1">
      <c r="A162" s="32"/>
      <c r="B162" s="32"/>
      <c r="C162" s="33"/>
      <c r="D162" s="33"/>
      <c r="E162" s="33"/>
      <c r="F162" s="33"/>
      <c r="G162" s="33"/>
      <c r="H162" s="33"/>
    </row>
    <row r="163" ht="15.75" customHeight="1">
      <c r="A163" s="32"/>
      <c r="B163" s="32"/>
      <c r="C163" s="33"/>
      <c r="D163" s="33"/>
      <c r="E163" s="33"/>
      <c r="F163" s="33"/>
      <c r="G163" s="33"/>
      <c r="H163" s="33"/>
    </row>
    <row r="164" ht="15.75" customHeight="1">
      <c r="A164" s="32"/>
      <c r="B164" s="32"/>
      <c r="C164" s="33"/>
      <c r="D164" s="33"/>
      <c r="E164" s="33"/>
      <c r="F164" s="33"/>
      <c r="G164" s="33"/>
      <c r="H164" s="33"/>
    </row>
    <row r="165" ht="15.75" customHeight="1">
      <c r="A165" s="32"/>
      <c r="B165" s="33"/>
      <c r="C165" s="33"/>
      <c r="D165" s="33"/>
      <c r="E165" s="33"/>
      <c r="F165" s="33"/>
      <c r="G165" s="33"/>
      <c r="H165" s="33"/>
    </row>
    <row r="166" ht="15.75" customHeight="1">
      <c r="A166" s="32"/>
      <c r="B166" s="32"/>
      <c r="C166" s="33"/>
      <c r="D166" s="33"/>
      <c r="E166" s="33"/>
      <c r="F166" s="32"/>
      <c r="G166" s="32"/>
      <c r="H166" s="32"/>
    </row>
    <row r="167" ht="15.75" customHeight="1">
      <c r="A167" s="32"/>
      <c r="B167" s="32"/>
      <c r="C167" s="33"/>
      <c r="D167" s="33"/>
      <c r="E167" s="33"/>
      <c r="F167" s="32"/>
      <c r="G167" s="32"/>
      <c r="H167" s="32"/>
    </row>
    <row r="168" ht="15.75" customHeight="1">
      <c r="A168" s="32"/>
      <c r="B168" s="32"/>
      <c r="C168" s="33"/>
      <c r="D168" s="33"/>
      <c r="E168" s="33"/>
      <c r="F168" s="32"/>
      <c r="G168" s="32"/>
      <c r="H168" s="32"/>
    </row>
    <row r="169" ht="15.75" customHeight="1">
      <c r="A169" s="32"/>
      <c r="B169" s="32"/>
      <c r="C169" s="33"/>
      <c r="D169" s="33"/>
      <c r="E169" s="33"/>
      <c r="F169" s="33"/>
      <c r="G169" s="33"/>
      <c r="H169" s="33"/>
    </row>
    <row r="170" ht="15.75" customHeight="1">
      <c r="A170" s="32"/>
      <c r="B170" s="32"/>
      <c r="C170" s="33"/>
      <c r="D170" s="33"/>
      <c r="E170" s="33"/>
      <c r="F170" s="33"/>
      <c r="G170" s="33"/>
      <c r="H170" s="33"/>
    </row>
    <row r="171" ht="15.75" customHeight="1">
      <c r="A171" s="32"/>
      <c r="B171" s="32"/>
      <c r="C171" s="33"/>
      <c r="D171" s="33"/>
      <c r="E171" s="33"/>
      <c r="F171" s="33"/>
      <c r="G171" s="33"/>
      <c r="H171" s="33"/>
    </row>
    <row r="172" ht="15.75" customHeight="1">
      <c r="A172" s="32"/>
      <c r="B172" s="32"/>
      <c r="C172" s="33"/>
      <c r="D172" s="33"/>
      <c r="E172" s="33"/>
      <c r="F172" s="32"/>
      <c r="G172" s="32"/>
      <c r="H172" s="32"/>
    </row>
    <row r="173" ht="15.75" customHeight="1">
      <c r="A173" s="32"/>
      <c r="B173" s="32"/>
      <c r="C173" s="33"/>
      <c r="D173" s="33"/>
      <c r="E173" s="33"/>
      <c r="F173" s="33"/>
      <c r="G173" s="33"/>
      <c r="H173" s="33"/>
    </row>
    <row r="174" ht="15.75" customHeight="1">
      <c r="A174" s="32"/>
      <c r="B174" s="32"/>
      <c r="C174" s="33"/>
      <c r="D174" s="33"/>
      <c r="E174" s="33"/>
      <c r="F174" s="33"/>
      <c r="G174" s="33"/>
      <c r="H174" s="33"/>
    </row>
    <row r="175" ht="15.75" customHeight="1">
      <c r="A175" s="32"/>
      <c r="B175" s="32"/>
      <c r="C175" s="33"/>
      <c r="D175" s="33"/>
      <c r="E175" s="33"/>
      <c r="F175" s="33"/>
      <c r="G175" s="33"/>
      <c r="H175" s="33"/>
    </row>
    <row r="176" ht="15.75" customHeight="1">
      <c r="A176" s="32"/>
      <c r="B176" s="32"/>
      <c r="C176" s="33"/>
      <c r="D176" s="33"/>
      <c r="E176" s="33"/>
      <c r="F176" s="32"/>
      <c r="G176" s="32"/>
      <c r="H176" s="32"/>
    </row>
    <row r="177" ht="15.75" customHeight="1">
      <c r="A177" s="32"/>
      <c r="B177" s="32"/>
      <c r="C177" s="33"/>
      <c r="D177" s="33"/>
      <c r="E177" s="33"/>
      <c r="F177" s="33"/>
      <c r="G177" s="33"/>
      <c r="H177" s="33"/>
    </row>
    <row r="178" ht="15.75" customHeight="1">
      <c r="A178" s="32"/>
      <c r="B178" s="32"/>
      <c r="C178" s="33"/>
      <c r="D178" s="33"/>
      <c r="E178" s="33"/>
      <c r="F178" s="32"/>
      <c r="G178" s="32"/>
      <c r="H178" s="32"/>
    </row>
    <row r="179" ht="15.75" customHeight="1">
      <c r="A179" s="32"/>
      <c r="B179" s="32"/>
      <c r="C179" s="33"/>
      <c r="D179" s="33"/>
      <c r="E179" s="33"/>
      <c r="F179" s="32"/>
      <c r="G179" s="32"/>
      <c r="H179" s="32"/>
    </row>
    <row r="180" ht="15.75" customHeight="1">
      <c r="A180" s="32"/>
      <c r="B180" s="32"/>
      <c r="C180" s="33"/>
      <c r="D180" s="33"/>
      <c r="E180" s="33"/>
      <c r="F180" s="32"/>
      <c r="G180" s="32"/>
      <c r="H180" s="32"/>
    </row>
    <row r="181" ht="15.75" customHeight="1">
      <c r="A181" s="32"/>
      <c r="B181" s="32"/>
      <c r="C181" s="33"/>
      <c r="D181" s="33"/>
      <c r="E181" s="33"/>
      <c r="F181" s="32"/>
      <c r="G181" s="32"/>
      <c r="H181" s="32"/>
    </row>
    <row r="182" ht="15.75" customHeight="1">
      <c r="A182" s="32"/>
      <c r="B182" s="32"/>
      <c r="C182" s="33"/>
      <c r="D182" s="33"/>
      <c r="E182" s="33"/>
      <c r="F182" s="32"/>
      <c r="G182" s="32"/>
      <c r="H182" s="32"/>
    </row>
    <row r="183" ht="15.75" customHeight="1">
      <c r="A183" s="32"/>
      <c r="B183" s="32"/>
      <c r="C183" s="33"/>
      <c r="D183" s="33"/>
      <c r="E183" s="33"/>
      <c r="F183" s="32"/>
      <c r="G183" s="32"/>
      <c r="H183" s="32"/>
    </row>
    <row r="184" ht="15.75" customHeight="1">
      <c r="A184" s="32"/>
      <c r="B184" s="32"/>
      <c r="C184" s="33"/>
      <c r="D184" s="33"/>
      <c r="E184" s="33"/>
      <c r="F184" s="33"/>
      <c r="G184" s="33"/>
      <c r="H184" s="33"/>
    </row>
    <row r="185" ht="15.75" customHeight="1">
      <c r="A185" s="32"/>
      <c r="B185" s="32"/>
      <c r="C185" s="33"/>
      <c r="D185" s="33"/>
      <c r="E185" s="33"/>
      <c r="F185" s="33"/>
      <c r="G185" s="33"/>
      <c r="H185" s="33"/>
    </row>
    <row r="186" ht="15.75" customHeight="1">
      <c r="A186" s="32"/>
      <c r="B186" s="32"/>
      <c r="C186" s="33"/>
      <c r="D186" s="33"/>
      <c r="E186" s="33"/>
      <c r="F186" s="33"/>
      <c r="G186" s="33"/>
      <c r="H186" s="33"/>
    </row>
    <row r="187" ht="15.75" customHeight="1">
      <c r="A187" s="32"/>
      <c r="B187" s="32"/>
      <c r="C187" s="33"/>
      <c r="D187" s="33"/>
      <c r="E187" s="33"/>
      <c r="F187" s="33"/>
      <c r="G187" s="33"/>
      <c r="H187" s="33"/>
    </row>
    <row r="188" ht="15.75" customHeight="1">
      <c r="A188" s="32"/>
      <c r="B188" s="32"/>
      <c r="C188" s="33"/>
      <c r="D188" s="33"/>
      <c r="E188" s="33"/>
      <c r="F188" s="33"/>
      <c r="G188" s="33"/>
      <c r="H188" s="33"/>
    </row>
    <row r="189">
      <c r="A189" s="32"/>
      <c r="B189" s="32"/>
      <c r="C189" s="33"/>
      <c r="D189" s="33"/>
      <c r="E189" s="33"/>
      <c r="F189" s="32"/>
      <c r="G189" s="32"/>
      <c r="H189" s="32"/>
    </row>
    <row r="190">
      <c r="A190" s="32"/>
      <c r="B190" s="32"/>
      <c r="C190" s="33"/>
      <c r="D190" s="33"/>
      <c r="E190" s="33"/>
      <c r="F190" s="32"/>
      <c r="G190" s="32"/>
      <c r="H190" s="32"/>
    </row>
    <row r="191" ht="15.75" customHeight="1">
      <c r="A191" s="32"/>
      <c r="B191" s="32"/>
      <c r="C191" s="33"/>
      <c r="D191" s="33"/>
      <c r="E191" s="33"/>
      <c r="F191" s="33"/>
      <c r="G191" s="33"/>
      <c r="H191" s="33"/>
    </row>
    <row r="192" ht="15.75" customHeight="1">
      <c r="A192" s="32"/>
      <c r="B192" s="32"/>
      <c r="C192" s="33"/>
      <c r="D192" s="33"/>
      <c r="E192" s="33"/>
      <c r="F192" s="33"/>
      <c r="G192" s="33"/>
      <c r="H192" s="33"/>
    </row>
    <row r="193" ht="15.75" customHeight="1">
      <c r="A193" s="32"/>
      <c r="B193" s="32"/>
      <c r="C193" s="33"/>
      <c r="D193" s="33"/>
      <c r="E193" s="33"/>
      <c r="F193" s="33"/>
      <c r="G193" s="33"/>
      <c r="H193" s="33"/>
    </row>
    <row r="194" ht="15.75" customHeight="1">
      <c r="A194" s="32"/>
      <c r="B194" s="32"/>
      <c r="C194" s="33"/>
      <c r="D194" s="33"/>
      <c r="E194" s="33"/>
      <c r="F194" s="32"/>
      <c r="G194" s="32"/>
      <c r="H194" s="32"/>
    </row>
    <row r="195" ht="15.75" customHeight="1">
      <c r="A195" s="32"/>
      <c r="B195" s="32"/>
      <c r="C195" s="33"/>
      <c r="D195" s="33"/>
      <c r="E195" s="33"/>
      <c r="F195" s="32"/>
      <c r="G195" s="32"/>
      <c r="H195" s="32"/>
    </row>
    <row r="196" ht="15.75" customHeight="1">
      <c r="A196" s="32"/>
      <c r="B196" s="32"/>
      <c r="C196" s="33"/>
      <c r="D196" s="33"/>
      <c r="E196" s="33"/>
      <c r="F196" s="32"/>
      <c r="G196" s="32"/>
      <c r="H196" s="32"/>
    </row>
    <row r="197" ht="15.75" customHeight="1">
      <c r="A197" s="32"/>
      <c r="B197" s="32"/>
      <c r="C197" s="33"/>
      <c r="D197" s="33"/>
      <c r="E197" s="33"/>
      <c r="F197" s="33"/>
      <c r="G197" s="33"/>
      <c r="H197" s="33"/>
    </row>
    <row r="198" ht="15.75" customHeight="1">
      <c r="A198" s="32"/>
      <c r="B198" s="33"/>
      <c r="C198" s="33"/>
      <c r="D198" s="33"/>
      <c r="E198" s="33"/>
      <c r="F198" s="33"/>
      <c r="G198" s="33"/>
      <c r="H198" s="33"/>
    </row>
    <row r="199" ht="15.75" customHeight="1">
      <c r="A199" s="32"/>
      <c r="B199" s="32"/>
      <c r="C199" s="33"/>
      <c r="D199" s="33"/>
      <c r="E199" s="33"/>
      <c r="F199" s="33"/>
      <c r="G199" s="33"/>
      <c r="H199" s="33"/>
    </row>
    <row r="200" ht="15.75" customHeight="1">
      <c r="A200" s="32"/>
      <c r="B200" s="32"/>
      <c r="C200" s="33"/>
      <c r="D200" s="33"/>
      <c r="E200" s="33"/>
      <c r="F200" s="33"/>
      <c r="G200" s="33"/>
      <c r="H200" s="33"/>
    </row>
    <row r="201" ht="15.75" customHeight="1">
      <c r="A201" s="32"/>
      <c r="B201" s="33"/>
      <c r="C201" s="33"/>
      <c r="D201" s="33"/>
      <c r="E201" s="33"/>
      <c r="F201" s="33"/>
      <c r="G201" s="33"/>
      <c r="H201" s="33"/>
    </row>
    <row r="202" ht="15.75" customHeight="1">
      <c r="A202" s="32"/>
      <c r="B202" s="33"/>
      <c r="C202" s="33"/>
      <c r="D202" s="33"/>
      <c r="E202" s="33"/>
      <c r="F202" s="33"/>
      <c r="G202" s="33"/>
      <c r="H202" s="33"/>
    </row>
    <row r="203" ht="15.75" customHeight="1">
      <c r="A203" s="32"/>
      <c r="B203" s="33"/>
      <c r="C203" s="33"/>
      <c r="D203" s="33"/>
      <c r="E203" s="33"/>
      <c r="F203" s="33"/>
      <c r="G203" s="33"/>
      <c r="H203" s="33"/>
    </row>
    <row r="204" ht="15.75" customHeight="1">
      <c r="A204" s="32"/>
      <c r="B204" s="33"/>
      <c r="C204" s="33"/>
      <c r="D204" s="33"/>
      <c r="E204" s="33"/>
      <c r="F204" s="33"/>
      <c r="G204" s="33"/>
      <c r="H204" s="33"/>
    </row>
    <row r="205" ht="15.75" customHeight="1">
      <c r="A205" s="32"/>
      <c r="B205" s="32"/>
      <c r="C205" s="33"/>
      <c r="D205" s="33"/>
      <c r="E205" s="33"/>
      <c r="F205" s="32"/>
      <c r="G205" s="32"/>
      <c r="H205" s="32"/>
    </row>
    <row r="206" ht="15.75" customHeight="1">
      <c r="A206" s="32"/>
      <c r="B206" s="32"/>
      <c r="C206" s="33"/>
      <c r="D206" s="33"/>
      <c r="E206" s="33"/>
      <c r="F206" s="32"/>
      <c r="G206" s="32"/>
      <c r="H206" s="32"/>
    </row>
    <row r="207" ht="15.75" customHeight="1">
      <c r="A207" s="32"/>
      <c r="B207" s="32"/>
      <c r="C207" s="33"/>
      <c r="D207" s="33"/>
      <c r="E207" s="33"/>
      <c r="F207" s="32"/>
      <c r="G207" s="32"/>
      <c r="H207" s="32"/>
    </row>
    <row r="208" ht="15.75" customHeight="1">
      <c r="A208" s="32"/>
      <c r="B208" s="32"/>
      <c r="C208" s="33"/>
      <c r="D208" s="33"/>
      <c r="E208" s="33"/>
      <c r="F208" s="32"/>
      <c r="G208" s="32"/>
      <c r="H208" s="32"/>
    </row>
    <row r="209" ht="15.75" customHeight="1">
      <c r="A209" s="32"/>
      <c r="B209" s="32"/>
      <c r="C209" s="33"/>
      <c r="D209" s="33"/>
      <c r="E209" s="33"/>
      <c r="F209" s="32"/>
      <c r="G209" s="32"/>
      <c r="H209" s="32"/>
    </row>
    <row r="210" ht="15.75" customHeight="1">
      <c r="A210" s="32"/>
      <c r="B210" s="32"/>
      <c r="C210" s="33"/>
      <c r="D210" s="33"/>
      <c r="E210" s="33"/>
      <c r="F210" s="32"/>
      <c r="G210" s="32"/>
      <c r="H210" s="32"/>
    </row>
    <row r="211" ht="15.75" customHeight="1">
      <c r="A211" s="32"/>
      <c r="B211" s="33"/>
      <c r="C211" s="33"/>
      <c r="D211" s="33"/>
      <c r="E211" s="33"/>
      <c r="F211" s="33"/>
      <c r="G211" s="33"/>
      <c r="H211" s="33"/>
    </row>
    <row r="212" ht="15.75" customHeight="1">
      <c r="A212" s="32"/>
      <c r="B212" s="32"/>
      <c r="C212" s="33"/>
      <c r="D212" s="33"/>
      <c r="E212" s="33"/>
      <c r="F212" s="32"/>
      <c r="G212" s="32"/>
      <c r="H212" s="32"/>
    </row>
    <row r="213" ht="15.75" customHeight="1">
      <c r="A213" s="32"/>
      <c r="B213" s="32"/>
      <c r="C213" s="33"/>
      <c r="D213" s="33"/>
      <c r="E213" s="33"/>
      <c r="F213" s="32"/>
      <c r="G213" s="32"/>
      <c r="H213" s="32"/>
    </row>
    <row r="214" ht="15.75" customHeight="1">
      <c r="A214" s="32"/>
      <c r="B214" s="32"/>
      <c r="C214" s="33"/>
      <c r="D214" s="33"/>
      <c r="E214" s="33"/>
      <c r="F214" s="32"/>
      <c r="G214" s="32"/>
      <c r="H214" s="32"/>
    </row>
    <row r="215" ht="15.75" customHeight="1">
      <c r="A215" s="32"/>
      <c r="B215" s="32"/>
      <c r="C215" s="33"/>
      <c r="D215" s="33"/>
      <c r="E215" s="33"/>
      <c r="F215" s="32"/>
      <c r="G215" s="32"/>
      <c r="H215" s="32"/>
    </row>
    <row r="216" ht="15.75" customHeight="1">
      <c r="A216" s="32"/>
      <c r="B216" s="32"/>
      <c r="C216" s="33"/>
      <c r="D216" s="33"/>
      <c r="E216" s="33"/>
      <c r="F216" s="32"/>
      <c r="G216" s="32"/>
      <c r="H216" s="32"/>
    </row>
    <row r="217" ht="15.75" customHeight="1">
      <c r="A217" s="32"/>
      <c r="B217" s="33"/>
      <c r="C217" s="33"/>
      <c r="D217" s="33"/>
      <c r="E217" s="33"/>
      <c r="F217" s="33"/>
      <c r="G217" s="33"/>
      <c r="H217" s="33"/>
    </row>
    <row r="218" ht="15.75" customHeight="1">
      <c r="A218" s="32"/>
      <c r="B218" s="32"/>
      <c r="C218" s="33"/>
      <c r="D218" s="33"/>
      <c r="E218" s="33"/>
      <c r="F218" s="33"/>
      <c r="G218" s="33"/>
      <c r="H218" s="33"/>
    </row>
    <row r="219" ht="15.75" customHeight="1">
      <c r="A219" s="32"/>
      <c r="B219" s="32"/>
      <c r="C219" s="33"/>
      <c r="D219" s="33"/>
      <c r="E219" s="33"/>
      <c r="F219" s="33"/>
      <c r="G219" s="33"/>
      <c r="H219" s="33"/>
    </row>
    <row r="220" ht="15.75" customHeight="1">
      <c r="A220" s="32"/>
      <c r="B220" s="32"/>
      <c r="C220" s="33"/>
      <c r="D220" s="33"/>
      <c r="E220" s="33"/>
      <c r="F220" s="32"/>
      <c r="G220" s="32"/>
      <c r="H220" s="32"/>
    </row>
    <row r="221" ht="15.75" customHeight="1">
      <c r="A221" s="32"/>
      <c r="B221" s="32"/>
      <c r="C221" s="33"/>
      <c r="D221" s="33"/>
      <c r="E221" s="33"/>
      <c r="F221" s="32"/>
      <c r="G221" s="32"/>
      <c r="H221" s="32"/>
    </row>
    <row r="222" ht="15.75" customHeight="1">
      <c r="A222" s="32"/>
      <c r="B222" s="32"/>
      <c r="C222" s="33"/>
      <c r="D222" s="33"/>
      <c r="E222" s="33"/>
      <c r="F222" s="33"/>
      <c r="G222" s="33"/>
      <c r="H222" s="33"/>
    </row>
    <row r="223" ht="15.75" customHeight="1">
      <c r="A223" s="32"/>
      <c r="B223" s="32"/>
      <c r="C223" s="33"/>
      <c r="D223" s="33"/>
      <c r="E223" s="33"/>
      <c r="F223" s="33"/>
      <c r="G223" s="33"/>
      <c r="H223" s="33"/>
    </row>
    <row r="224" ht="15.75" customHeight="1">
      <c r="A224" s="32"/>
      <c r="B224" s="32"/>
      <c r="C224" s="33"/>
      <c r="D224" s="33"/>
      <c r="E224" s="33"/>
      <c r="F224" s="33"/>
      <c r="G224" s="33"/>
      <c r="H224" s="33"/>
    </row>
    <row r="225" ht="15.75" customHeight="1">
      <c r="A225" s="32"/>
      <c r="B225" s="32"/>
      <c r="C225" s="33"/>
      <c r="D225" s="33"/>
      <c r="E225" s="33"/>
      <c r="F225" s="33"/>
      <c r="G225" s="33"/>
      <c r="H225" s="33"/>
    </row>
    <row r="226" ht="15.75" customHeight="1">
      <c r="A226" s="32"/>
      <c r="B226" s="32"/>
      <c r="C226" s="33"/>
      <c r="D226" s="33"/>
      <c r="E226" s="33"/>
      <c r="F226" s="33"/>
      <c r="G226" s="33"/>
      <c r="H226" s="33"/>
    </row>
    <row r="227" ht="15.75" customHeight="1">
      <c r="A227" s="32"/>
      <c r="B227" s="33"/>
      <c r="C227" s="33"/>
      <c r="D227" s="33"/>
      <c r="E227" s="33"/>
      <c r="F227" s="33"/>
      <c r="G227" s="33"/>
      <c r="H227" s="33"/>
    </row>
    <row r="228" ht="15.75" customHeight="1">
      <c r="A228" s="32"/>
      <c r="B228" s="33"/>
      <c r="C228" s="33"/>
      <c r="D228" s="33"/>
      <c r="E228" s="33"/>
      <c r="F228" s="33"/>
      <c r="G228" s="33"/>
      <c r="H228" s="33"/>
    </row>
    <row r="229" ht="15.75" customHeight="1">
      <c r="A229" s="32"/>
      <c r="B229" s="32"/>
      <c r="C229" s="33"/>
      <c r="D229" s="33"/>
      <c r="E229" s="33"/>
      <c r="F229" s="33"/>
      <c r="G229" s="33"/>
      <c r="H229" s="33"/>
    </row>
    <row r="230" ht="15.75" customHeight="1">
      <c r="A230" s="32"/>
      <c r="B230" s="32"/>
      <c r="C230" s="33"/>
      <c r="D230" s="33"/>
      <c r="E230" s="33"/>
      <c r="F230" s="33"/>
      <c r="G230" s="33"/>
      <c r="H230" s="33"/>
    </row>
    <row r="231" ht="15.75" customHeight="1">
      <c r="A231" s="32"/>
      <c r="B231" s="32"/>
      <c r="C231" s="33"/>
      <c r="D231" s="33"/>
      <c r="E231" s="33"/>
      <c r="F231" s="33"/>
      <c r="G231" s="33"/>
      <c r="H231" s="33"/>
    </row>
    <row r="232" ht="15.75" customHeight="1">
      <c r="A232" s="32"/>
      <c r="B232" s="32"/>
      <c r="C232" s="33"/>
      <c r="D232" s="33"/>
      <c r="E232" s="33"/>
      <c r="F232" s="33"/>
      <c r="G232" s="33"/>
      <c r="H232" s="33"/>
    </row>
    <row r="233" ht="15.75" customHeight="1">
      <c r="A233" s="32"/>
      <c r="B233" s="32"/>
      <c r="C233" s="33"/>
      <c r="D233" s="33"/>
      <c r="E233" s="33"/>
      <c r="F233" s="33"/>
      <c r="G233" s="33"/>
      <c r="H233" s="33"/>
    </row>
    <row r="234" ht="15.75" customHeight="1">
      <c r="A234" s="32"/>
      <c r="B234" s="32"/>
      <c r="C234" s="33"/>
      <c r="D234" s="33"/>
      <c r="E234" s="33"/>
      <c r="F234" s="33"/>
      <c r="G234" s="33"/>
      <c r="H234" s="33"/>
    </row>
    <row r="235" ht="15.75" customHeight="1">
      <c r="A235" s="32"/>
      <c r="B235" s="33"/>
      <c r="C235" s="33"/>
      <c r="D235" s="33"/>
      <c r="E235" s="33"/>
      <c r="F235" s="33"/>
      <c r="G235" s="33"/>
      <c r="H235" s="33"/>
    </row>
    <row r="236" ht="15.75" customHeight="1">
      <c r="A236" s="32"/>
      <c r="B236" s="32"/>
      <c r="C236" s="33"/>
      <c r="D236" s="33"/>
      <c r="E236" s="33"/>
      <c r="F236" s="33"/>
      <c r="G236" s="33"/>
      <c r="H236" s="33"/>
    </row>
    <row r="237" ht="15.75" customHeight="1">
      <c r="A237" s="32"/>
      <c r="B237" s="32"/>
      <c r="C237" s="33"/>
      <c r="D237" s="33"/>
      <c r="E237" s="33"/>
      <c r="F237" s="33"/>
      <c r="G237" s="33"/>
      <c r="H237" s="33"/>
    </row>
    <row r="238" ht="15.75" customHeight="1">
      <c r="A238" s="32"/>
      <c r="B238" s="32"/>
      <c r="C238" s="33"/>
      <c r="D238" s="33"/>
      <c r="E238" s="33"/>
      <c r="F238" s="32"/>
      <c r="G238" s="32"/>
      <c r="H238" s="32"/>
    </row>
    <row r="239" ht="15.75" customHeight="1">
      <c r="A239" s="32"/>
      <c r="B239" s="32"/>
      <c r="C239" s="33"/>
      <c r="D239" s="33"/>
      <c r="E239" s="33"/>
      <c r="F239" s="32"/>
      <c r="G239" s="32"/>
      <c r="H239" s="32"/>
    </row>
    <row r="240" ht="15.75" customHeight="1">
      <c r="A240" s="32"/>
      <c r="B240" s="32"/>
      <c r="C240" s="33"/>
      <c r="D240" s="33"/>
      <c r="E240" s="33"/>
      <c r="F240" s="32"/>
      <c r="G240" s="32"/>
      <c r="H240" s="32"/>
    </row>
    <row r="241" ht="15.75" customHeight="1">
      <c r="A241" s="32"/>
      <c r="B241" s="32"/>
      <c r="C241" s="33"/>
      <c r="D241" s="33"/>
      <c r="E241" s="33"/>
      <c r="F241" s="32"/>
      <c r="G241" s="32"/>
      <c r="H241" s="32"/>
    </row>
    <row r="242" ht="15.75" customHeight="1">
      <c r="A242" s="32"/>
      <c r="B242" s="32"/>
      <c r="C242" s="33"/>
      <c r="D242" s="33"/>
      <c r="E242" s="33"/>
      <c r="F242" s="32"/>
      <c r="G242" s="32"/>
      <c r="H242" s="32"/>
    </row>
    <row r="243" ht="15.75" customHeight="1">
      <c r="A243" s="32"/>
      <c r="B243" s="32"/>
      <c r="C243" s="33"/>
      <c r="D243" s="33"/>
      <c r="E243" s="33"/>
      <c r="F243" s="32"/>
      <c r="G243" s="32"/>
      <c r="H243" s="32"/>
    </row>
    <row r="244" ht="15.75" customHeight="1">
      <c r="A244" s="32"/>
      <c r="B244" s="32"/>
      <c r="C244" s="33"/>
      <c r="D244" s="33"/>
      <c r="E244" s="33"/>
      <c r="F244" s="33"/>
      <c r="G244" s="33"/>
      <c r="H244" s="33"/>
    </row>
    <row r="245" ht="15.75" customHeight="1">
      <c r="A245" s="32"/>
      <c r="B245" s="32"/>
      <c r="C245" s="33"/>
      <c r="D245" s="33"/>
      <c r="E245" s="33"/>
      <c r="F245" s="33"/>
      <c r="G245" s="33"/>
      <c r="H245" s="33"/>
    </row>
    <row r="246" ht="15.75" customHeight="1">
      <c r="A246" s="32"/>
      <c r="B246" s="32"/>
      <c r="C246" s="33"/>
      <c r="D246" s="33"/>
      <c r="E246" s="33"/>
      <c r="F246" s="33"/>
      <c r="G246" s="33"/>
      <c r="H246" s="33"/>
    </row>
    <row r="247" ht="15.75" customHeight="1">
      <c r="A247" s="32"/>
      <c r="B247" s="32"/>
      <c r="C247" s="33"/>
      <c r="D247" s="33"/>
      <c r="E247" s="33"/>
      <c r="F247" s="33"/>
      <c r="G247" s="33"/>
      <c r="H247" s="33"/>
    </row>
    <row r="248" ht="15.75" customHeight="1">
      <c r="A248" s="32"/>
      <c r="B248" s="32"/>
      <c r="C248" s="33"/>
      <c r="D248" s="33"/>
      <c r="E248" s="33"/>
      <c r="F248" s="33"/>
      <c r="G248" s="33"/>
      <c r="H248" s="33"/>
    </row>
    <row r="249" ht="15.75" customHeight="1">
      <c r="A249" s="32"/>
      <c r="B249" s="32"/>
      <c r="C249" s="33"/>
      <c r="D249" s="33"/>
      <c r="E249" s="33"/>
      <c r="F249" s="33"/>
      <c r="G249" s="33"/>
      <c r="H249" s="33"/>
    </row>
    <row r="250" ht="15.75" customHeight="1">
      <c r="A250" s="32"/>
      <c r="B250" s="32"/>
      <c r="C250" s="33"/>
      <c r="D250" s="33"/>
      <c r="E250" s="33"/>
      <c r="F250" s="33"/>
      <c r="G250" s="33"/>
      <c r="H250" s="33"/>
    </row>
    <row r="251" ht="15.75" customHeight="1">
      <c r="A251" s="32"/>
      <c r="B251" s="32"/>
      <c r="C251" s="33"/>
      <c r="D251" s="33"/>
      <c r="E251" s="33"/>
      <c r="F251" s="33"/>
      <c r="G251" s="33"/>
      <c r="H251" s="33"/>
    </row>
    <row r="252" ht="15.75" customHeight="1">
      <c r="A252" s="32"/>
      <c r="B252" s="32"/>
      <c r="C252" s="33"/>
      <c r="D252" s="33"/>
      <c r="E252" s="33"/>
      <c r="F252" s="33"/>
      <c r="G252" s="33"/>
      <c r="H252" s="33"/>
    </row>
    <row r="253" ht="15.75" customHeight="1">
      <c r="A253" s="32"/>
      <c r="B253" s="32"/>
      <c r="C253" s="33"/>
      <c r="D253" s="33"/>
      <c r="E253" s="33"/>
      <c r="F253" s="33"/>
      <c r="G253" s="33"/>
      <c r="H253" s="33"/>
    </row>
    <row r="254" ht="15.75" customHeight="1">
      <c r="A254" s="32"/>
      <c r="B254" s="32"/>
      <c r="C254" s="33"/>
      <c r="D254" s="33"/>
      <c r="E254" s="33"/>
      <c r="F254" s="33"/>
      <c r="G254" s="33"/>
      <c r="H254" s="33"/>
    </row>
    <row r="255" ht="15.75" customHeight="1">
      <c r="A255" s="32"/>
      <c r="B255" s="32"/>
      <c r="C255" s="33"/>
      <c r="D255" s="33"/>
      <c r="E255" s="33"/>
      <c r="F255" s="33"/>
      <c r="G255" s="33"/>
      <c r="H255" s="33"/>
    </row>
    <row r="256" ht="15.75" customHeight="1">
      <c r="A256" s="32"/>
      <c r="B256" s="32"/>
      <c r="C256" s="33"/>
      <c r="D256" s="33"/>
      <c r="E256" s="33"/>
      <c r="F256" s="33"/>
      <c r="G256" s="33"/>
      <c r="H256" s="33"/>
    </row>
    <row r="257" ht="15.75" customHeight="1">
      <c r="A257" s="32"/>
      <c r="B257" s="32"/>
      <c r="C257" s="33"/>
      <c r="D257" s="33"/>
      <c r="E257" s="33"/>
      <c r="F257" s="33"/>
      <c r="G257" s="33"/>
      <c r="H257" s="33"/>
    </row>
    <row r="258" ht="15.75" customHeight="1">
      <c r="A258" s="32"/>
      <c r="B258" s="32"/>
      <c r="C258" s="33"/>
      <c r="D258" s="33"/>
      <c r="E258" s="33"/>
      <c r="F258" s="32"/>
      <c r="G258" s="32"/>
      <c r="H258" s="32"/>
    </row>
    <row r="259" ht="15.75" customHeight="1">
      <c r="A259" s="32"/>
      <c r="B259" s="32"/>
      <c r="C259" s="33"/>
      <c r="D259" s="33"/>
      <c r="E259" s="33"/>
      <c r="F259" s="33"/>
      <c r="G259" s="33"/>
      <c r="H259" s="33"/>
    </row>
    <row r="260" ht="15.75" customHeight="1">
      <c r="A260" s="32"/>
      <c r="B260" s="32"/>
      <c r="C260" s="33"/>
      <c r="D260" s="33"/>
      <c r="E260" s="33"/>
      <c r="F260" s="33"/>
      <c r="G260" s="33"/>
      <c r="H260" s="33"/>
    </row>
    <row r="261" ht="15.75" customHeight="1">
      <c r="A261" s="32"/>
      <c r="B261" s="32"/>
      <c r="C261" s="33"/>
      <c r="D261" s="33"/>
      <c r="E261" s="33"/>
      <c r="F261" s="33"/>
      <c r="G261" s="33"/>
      <c r="H261" s="33"/>
    </row>
    <row r="262" ht="15.75" customHeight="1">
      <c r="A262" s="32"/>
      <c r="B262" s="32"/>
      <c r="C262" s="33"/>
      <c r="D262" s="33"/>
      <c r="E262" s="33"/>
      <c r="F262" s="33"/>
      <c r="G262" s="33"/>
      <c r="H262" s="33"/>
    </row>
    <row r="263" ht="15.75" customHeight="1">
      <c r="A263" s="32"/>
      <c r="B263" s="32"/>
      <c r="C263" s="33"/>
      <c r="D263" s="33"/>
      <c r="E263" s="33"/>
      <c r="F263" s="33"/>
      <c r="G263" s="33"/>
      <c r="H263" s="33"/>
    </row>
    <row r="264" ht="15.75" customHeight="1">
      <c r="A264" s="32"/>
      <c r="B264" s="32"/>
      <c r="C264" s="33"/>
      <c r="D264" s="33"/>
      <c r="E264" s="33"/>
      <c r="F264" s="33"/>
      <c r="G264" s="33"/>
      <c r="H264" s="33"/>
    </row>
    <row r="265" ht="15.75" customHeight="1">
      <c r="A265" s="32"/>
      <c r="B265" s="32"/>
      <c r="C265" s="33"/>
      <c r="D265" s="33"/>
      <c r="E265" s="33"/>
      <c r="F265" s="32"/>
      <c r="G265" s="32"/>
      <c r="H265" s="32"/>
    </row>
    <row r="266" ht="15.75" customHeight="1">
      <c r="A266" s="32"/>
      <c r="B266" s="32"/>
      <c r="C266" s="33"/>
      <c r="D266" s="33"/>
      <c r="E266" s="33"/>
      <c r="F266" s="32"/>
      <c r="G266" s="32"/>
      <c r="H266" s="32"/>
    </row>
    <row r="267" ht="15.75" customHeight="1">
      <c r="A267" s="32"/>
      <c r="B267" s="32"/>
      <c r="C267" s="33"/>
      <c r="D267" s="33"/>
      <c r="E267" s="33"/>
      <c r="F267" s="32"/>
      <c r="G267" s="32"/>
      <c r="H267" s="32"/>
    </row>
    <row r="268" ht="15.75" customHeight="1">
      <c r="A268" s="32"/>
      <c r="B268" s="32"/>
      <c r="C268" s="33"/>
      <c r="D268" s="33"/>
      <c r="E268" s="33"/>
      <c r="F268" s="32"/>
      <c r="G268" s="32"/>
      <c r="H268" s="32"/>
    </row>
    <row r="269" ht="15.75" customHeight="1">
      <c r="A269" s="32"/>
      <c r="B269" s="32"/>
      <c r="C269" s="33"/>
      <c r="D269" s="33"/>
      <c r="E269" s="33"/>
      <c r="F269" s="32"/>
      <c r="G269" s="32"/>
      <c r="H269" s="32"/>
    </row>
    <row r="270" ht="15.75" customHeight="1">
      <c r="A270" s="32"/>
      <c r="B270" s="32"/>
      <c r="C270" s="33"/>
      <c r="D270" s="33"/>
      <c r="E270" s="33"/>
      <c r="F270" s="32"/>
      <c r="G270" s="32"/>
      <c r="H270" s="32"/>
    </row>
    <row r="271" ht="15.75" customHeight="1">
      <c r="A271" s="32"/>
      <c r="B271" s="32"/>
      <c r="C271" s="33"/>
      <c r="D271" s="33"/>
      <c r="E271" s="33"/>
      <c r="F271" s="32"/>
      <c r="G271" s="32"/>
      <c r="H271" s="32"/>
    </row>
    <row r="272" ht="15.75" customHeight="1">
      <c r="A272" s="32"/>
      <c r="B272" s="32"/>
      <c r="C272" s="33"/>
      <c r="D272" s="33"/>
      <c r="E272" s="33"/>
      <c r="F272" s="32"/>
      <c r="G272" s="32"/>
      <c r="H272" s="32"/>
    </row>
    <row r="273" ht="15.75" customHeight="1">
      <c r="A273" s="32"/>
      <c r="B273" s="32"/>
      <c r="C273" s="33"/>
      <c r="D273" s="33"/>
      <c r="E273" s="33"/>
      <c r="F273" s="33"/>
      <c r="G273" s="33"/>
      <c r="H273" s="33"/>
    </row>
    <row r="274" ht="15.75" customHeight="1">
      <c r="A274" s="32"/>
      <c r="B274" s="32"/>
      <c r="C274" s="33"/>
      <c r="D274" s="33"/>
      <c r="E274" s="33"/>
      <c r="F274" s="32"/>
      <c r="G274" s="32"/>
      <c r="H274" s="32"/>
    </row>
    <row r="275" ht="15.75" customHeight="1">
      <c r="A275" s="32"/>
      <c r="B275" s="32"/>
      <c r="C275" s="33"/>
      <c r="D275" s="33"/>
      <c r="E275" s="33"/>
      <c r="F275" s="32"/>
      <c r="G275" s="32"/>
      <c r="H275" s="32"/>
    </row>
    <row r="276" ht="15.75" customHeight="1">
      <c r="A276" s="32"/>
      <c r="B276" s="32"/>
      <c r="C276" s="33"/>
      <c r="D276" s="33"/>
      <c r="E276" s="33"/>
      <c r="F276" s="32"/>
      <c r="G276" s="32"/>
      <c r="H276" s="32"/>
    </row>
    <row r="277" ht="15.75" customHeight="1">
      <c r="A277" s="32"/>
      <c r="B277" s="32"/>
      <c r="C277" s="33"/>
      <c r="D277" s="33"/>
      <c r="E277" s="33"/>
      <c r="F277" s="32"/>
      <c r="G277" s="32"/>
      <c r="H277" s="32"/>
    </row>
    <row r="278" ht="15.75" customHeight="1">
      <c r="A278" s="32"/>
      <c r="B278" s="32"/>
      <c r="C278" s="33"/>
      <c r="D278" s="33"/>
      <c r="E278" s="33"/>
      <c r="F278" s="32"/>
      <c r="G278" s="32"/>
      <c r="H278" s="32"/>
    </row>
    <row r="279" ht="15.75" customHeight="1">
      <c r="A279" s="32"/>
      <c r="B279" s="32"/>
      <c r="C279" s="33"/>
      <c r="D279" s="33"/>
      <c r="E279" s="33"/>
      <c r="F279" s="32"/>
      <c r="G279" s="32"/>
      <c r="H279" s="32"/>
    </row>
    <row r="280" ht="15.75" customHeight="1">
      <c r="A280" s="32"/>
      <c r="B280" s="32"/>
      <c r="C280" s="33"/>
      <c r="D280" s="33"/>
      <c r="E280" s="33"/>
      <c r="F280" s="32"/>
      <c r="G280" s="32"/>
      <c r="H280" s="32"/>
    </row>
    <row r="281" ht="15.75" customHeight="1">
      <c r="A281" s="32"/>
      <c r="B281" s="32"/>
      <c r="C281" s="33"/>
      <c r="D281" s="33"/>
      <c r="E281" s="33"/>
      <c r="F281" s="33"/>
      <c r="G281" s="33"/>
      <c r="H281" s="33"/>
    </row>
    <row r="282" ht="15.75" customHeight="1">
      <c r="A282" s="32"/>
      <c r="B282" s="32"/>
      <c r="C282" s="33"/>
      <c r="D282" s="33"/>
      <c r="E282" s="33"/>
      <c r="F282" s="33"/>
      <c r="G282" s="33"/>
      <c r="H282" s="33"/>
    </row>
    <row r="283" ht="15.75" customHeight="1">
      <c r="A283" s="32"/>
      <c r="B283" s="32"/>
      <c r="C283" s="33"/>
      <c r="D283" s="33"/>
      <c r="E283" s="33"/>
      <c r="F283" s="33"/>
      <c r="G283" s="33"/>
      <c r="H283" s="33"/>
    </row>
    <row r="284" ht="15.75" customHeight="1">
      <c r="A284" s="32"/>
      <c r="B284" s="32"/>
      <c r="C284" s="33"/>
      <c r="D284" s="33"/>
      <c r="E284" s="33"/>
      <c r="F284" s="33"/>
      <c r="G284" s="33"/>
      <c r="H284" s="33"/>
    </row>
    <row r="285" ht="15.75" customHeight="1">
      <c r="A285" s="32"/>
      <c r="B285" s="32"/>
      <c r="C285" s="33"/>
      <c r="D285" s="33"/>
      <c r="E285" s="33"/>
      <c r="F285" s="33"/>
      <c r="G285" s="33"/>
      <c r="H285" s="33"/>
    </row>
    <row r="286" ht="15.75" customHeight="1">
      <c r="A286" s="32"/>
      <c r="B286" s="32"/>
      <c r="C286" s="33"/>
      <c r="D286" s="33"/>
      <c r="E286" s="33"/>
      <c r="F286" s="33"/>
      <c r="G286" s="33"/>
      <c r="H286" s="33"/>
    </row>
    <row r="287" ht="15.75" customHeight="1">
      <c r="A287" s="32"/>
      <c r="B287" s="32"/>
      <c r="C287" s="33"/>
      <c r="D287" s="33"/>
      <c r="E287" s="33"/>
      <c r="F287" s="32"/>
      <c r="G287" s="32"/>
      <c r="H287" s="32"/>
    </row>
    <row r="288" ht="15.75" customHeight="1">
      <c r="A288" s="32"/>
      <c r="B288" s="32"/>
      <c r="C288" s="33"/>
      <c r="D288" s="33"/>
      <c r="E288" s="33"/>
      <c r="F288" s="33"/>
      <c r="G288" s="33"/>
      <c r="H288" s="33"/>
    </row>
    <row r="289" ht="15.75" customHeight="1">
      <c r="A289" s="32"/>
      <c r="B289" s="32"/>
      <c r="C289" s="33"/>
      <c r="D289" s="33"/>
      <c r="E289" s="33"/>
      <c r="F289" s="33"/>
      <c r="G289" s="33"/>
      <c r="H289" s="33"/>
    </row>
    <row r="290" ht="15.75" customHeight="1">
      <c r="A290" s="32"/>
      <c r="B290" s="32"/>
      <c r="C290" s="33"/>
      <c r="D290" s="33"/>
      <c r="E290" s="33"/>
      <c r="F290" s="32"/>
      <c r="G290" s="32"/>
      <c r="H290" s="32"/>
    </row>
    <row r="291" ht="15.75" customHeight="1">
      <c r="A291" s="32"/>
      <c r="B291" s="32"/>
      <c r="C291" s="33"/>
      <c r="D291" s="33"/>
      <c r="E291" s="33"/>
      <c r="F291" s="32"/>
      <c r="G291" s="32"/>
      <c r="H291" s="32"/>
    </row>
    <row r="292" ht="15.75" customHeight="1">
      <c r="A292" s="32"/>
      <c r="B292" s="32"/>
      <c r="C292" s="33"/>
      <c r="D292" s="33"/>
      <c r="E292" s="33"/>
      <c r="F292" s="32"/>
      <c r="G292" s="32"/>
      <c r="H292" s="32"/>
    </row>
    <row r="293" ht="15.75" customHeight="1">
      <c r="A293" s="32"/>
      <c r="B293" s="32"/>
      <c r="C293" s="33"/>
      <c r="D293" s="33"/>
      <c r="E293" s="33"/>
      <c r="F293" s="32"/>
      <c r="G293" s="32"/>
      <c r="H293" s="32"/>
    </row>
    <row r="294" ht="15.75" customHeight="1">
      <c r="A294" s="32"/>
      <c r="B294" s="32"/>
      <c r="C294" s="33"/>
      <c r="D294" s="33"/>
      <c r="E294" s="33"/>
      <c r="F294" s="32"/>
      <c r="G294" s="32"/>
      <c r="H294" s="32"/>
    </row>
    <row r="295" ht="15.75" customHeight="1">
      <c r="A295" s="32"/>
      <c r="B295" s="32"/>
      <c r="C295" s="33"/>
      <c r="D295" s="33"/>
      <c r="E295" s="33"/>
      <c r="F295" s="32"/>
      <c r="G295" s="32"/>
      <c r="H295" s="32"/>
    </row>
    <row r="296" ht="15.75" customHeight="1">
      <c r="A296" s="32"/>
      <c r="B296" s="32"/>
      <c r="C296" s="33"/>
      <c r="D296" s="33"/>
      <c r="E296" s="33"/>
      <c r="F296" s="32"/>
      <c r="G296" s="32"/>
      <c r="H296" s="32"/>
    </row>
    <row r="297" ht="15.75" customHeight="1">
      <c r="A297" s="32"/>
      <c r="B297" s="32"/>
      <c r="C297" s="33"/>
      <c r="D297" s="33"/>
      <c r="E297" s="33"/>
      <c r="F297" s="32"/>
      <c r="G297" s="32"/>
      <c r="H297" s="32"/>
    </row>
    <row r="298" ht="15.75" customHeight="1">
      <c r="A298" s="32"/>
      <c r="B298" s="32"/>
      <c r="C298" s="33"/>
      <c r="D298" s="33"/>
      <c r="E298" s="33"/>
      <c r="F298" s="32"/>
      <c r="G298" s="32"/>
      <c r="H298" s="32"/>
    </row>
    <row r="299" ht="15.75" customHeight="1">
      <c r="A299" s="32"/>
      <c r="B299" s="32"/>
      <c r="C299" s="33"/>
      <c r="D299" s="33"/>
      <c r="E299" s="33"/>
      <c r="F299" s="32"/>
      <c r="G299" s="32"/>
      <c r="H299" s="32"/>
    </row>
    <row r="300" ht="15.75" customHeight="1">
      <c r="A300" s="32"/>
      <c r="B300" s="32"/>
      <c r="C300" s="33"/>
      <c r="D300" s="33"/>
      <c r="E300" s="33"/>
      <c r="F300" s="33"/>
      <c r="G300" s="33"/>
      <c r="H300" s="33"/>
    </row>
    <row r="301" ht="15.75" customHeight="1">
      <c r="A301" s="32"/>
      <c r="B301" s="32"/>
      <c r="C301" s="33"/>
      <c r="D301" s="33"/>
      <c r="E301" s="33"/>
      <c r="F301" s="33"/>
      <c r="G301" s="33"/>
      <c r="H301" s="33"/>
    </row>
    <row r="302" ht="15.75" customHeight="1">
      <c r="A302" s="32"/>
      <c r="B302" s="32"/>
      <c r="C302" s="33"/>
      <c r="D302" s="33"/>
      <c r="E302" s="33"/>
      <c r="F302" s="32"/>
      <c r="G302" s="32"/>
      <c r="H302" s="32"/>
    </row>
    <row r="303" ht="15.75" customHeight="1">
      <c r="A303" s="32"/>
      <c r="B303" s="32"/>
      <c r="C303" s="33"/>
      <c r="D303" s="33"/>
      <c r="E303" s="33"/>
      <c r="F303" s="33"/>
      <c r="G303" s="33"/>
      <c r="H303" s="33"/>
    </row>
    <row r="304" ht="15.75" customHeight="1">
      <c r="A304" s="32"/>
      <c r="B304" s="32"/>
      <c r="C304" s="33"/>
      <c r="D304" s="33"/>
      <c r="E304" s="33"/>
      <c r="F304" s="32"/>
      <c r="G304" s="32"/>
      <c r="H304" s="32"/>
    </row>
    <row r="305" ht="15.75" customHeight="1">
      <c r="A305" s="32"/>
      <c r="B305" s="32"/>
      <c r="C305" s="33"/>
      <c r="D305" s="33"/>
      <c r="E305" s="33"/>
      <c r="F305" s="32"/>
      <c r="G305" s="32"/>
      <c r="H305" s="32"/>
    </row>
    <row r="306" ht="15.75" customHeight="1">
      <c r="A306" s="32"/>
      <c r="B306" s="32"/>
      <c r="C306" s="33"/>
      <c r="D306" s="33"/>
      <c r="E306" s="33"/>
      <c r="F306" s="32"/>
      <c r="G306" s="32"/>
      <c r="H306" s="32"/>
    </row>
    <row r="307" ht="15.75" customHeight="1">
      <c r="A307" s="32"/>
      <c r="B307" s="32"/>
      <c r="C307" s="33"/>
      <c r="D307" s="33"/>
      <c r="E307" s="33"/>
      <c r="F307" s="32"/>
      <c r="G307" s="32"/>
      <c r="H307" s="32"/>
    </row>
    <row r="308" ht="15.75" customHeight="1">
      <c r="A308" s="32"/>
      <c r="B308" s="32"/>
      <c r="C308" s="33"/>
      <c r="D308" s="33"/>
      <c r="E308" s="33"/>
      <c r="F308" s="32"/>
      <c r="G308" s="32"/>
      <c r="H308" s="32"/>
    </row>
    <row r="309" ht="15.75" customHeight="1">
      <c r="A309" s="32"/>
      <c r="B309" s="32"/>
      <c r="C309" s="33"/>
      <c r="D309" s="33"/>
      <c r="E309" s="33"/>
      <c r="F309" s="32"/>
      <c r="G309" s="32"/>
      <c r="H309" s="32"/>
    </row>
    <row r="310" ht="15.75" customHeight="1">
      <c r="A310" s="32"/>
      <c r="B310" s="32"/>
      <c r="C310" s="33"/>
      <c r="D310" s="33"/>
      <c r="E310" s="33"/>
      <c r="F310" s="32"/>
      <c r="G310" s="32"/>
      <c r="H310" s="32"/>
    </row>
    <row r="311" ht="15.75" customHeight="1">
      <c r="A311" s="32"/>
      <c r="B311" s="32"/>
      <c r="C311" s="33"/>
      <c r="D311" s="33"/>
      <c r="E311" s="33"/>
      <c r="F311" s="32"/>
      <c r="G311" s="32"/>
      <c r="H311" s="32"/>
    </row>
    <row r="312" ht="15.75" customHeight="1">
      <c r="A312" s="32"/>
      <c r="B312" s="32"/>
      <c r="C312" s="33"/>
      <c r="D312" s="33"/>
      <c r="E312" s="33"/>
      <c r="F312" s="32"/>
      <c r="G312" s="32"/>
      <c r="H312" s="32"/>
    </row>
    <row r="313" ht="15.75" customHeight="1">
      <c r="A313" s="32"/>
      <c r="B313" s="32"/>
      <c r="C313" s="33"/>
      <c r="D313" s="33"/>
      <c r="E313" s="33"/>
      <c r="F313" s="32"/>
      <c r="G313" s="32"/>
      <c r="H313" s="32"/>
    </row>
    <row r="314" ht="15.75" customHeight="1">
      <c r="A314" s="32"/>
      <c r="B314" s="32"/>
      <c r="C314" s="33"/>
      <c r="D314" s="33"/>
      <c r="E314" s="33"/>
      <c r="F314" s="32"/>
      <c r="G314" s="32"/>
      <c r="H314" s="32"/>
    </row>
    <row r="315" ht="15.75" customHeight="1">
      <c r="A315" s="32"/>
      <c r="B315" s="32"/>
      <c r="C315" s="33"/>
      <c r="D315" s="33"/>
      <c r="E315" s="33"/>
      <c r="F315" s="32"/>
      <c r="G315" s="32"/>
      <c r="H315" s="32"/>
    </row>
    <row r="316" ht="15.75" customHeight="1">
      <c r="A316" s="32"/>
      <c r="B316" s="32"/>
      <c r="C316" s="33"/>
      <c r="D316" s="33"/>
      <c r="E316" s="33"/>
      <c r="F316" s="32"/>
      <c r="G316" s="32"/>
      <c r="H316" s="32"/>
    </row>
    <row r="317" ht="15.75" customHeight="1">
      <c r="A317" s="32"/>
      <c r="B317" s="32"/>
      <c r="C317" s="33"/>
      <c r="D317" s="33"/>
      <c r="E317" s="33"/>
      <c r="F317" s="32"/>
      <c r="G317" s="32"/>
      <c r="H317" s="32"/>
    </row>
    <row r="318" ht="15.75" customHeight="1">
      <c r="A318" s="32"/>
      <c r="B318" s="32"/>
      <c r="C318" s="33"/>
      <c r="D318" s="33"/>
      <c r="E318" s="33"/>
      <c r="F318" s="32"/>
      <c r="G318" s="32"/>
      <c r="H318" s="32"/>
    </row>
    <row r="319" ht="15.75" customHeight="1">
      <c r="A319" s="32"/>
      <c r="B319" s="32"/>
      <c r="C319" s="33"/>
      <c r="D319" s="33"/>
      <c r="E319" s="33"/>
      <c r="F319" s="32"/>
      <c r="G319" s="32"/>
      <c r="H319" s="32"/>
    </row>
    <row r="320" ht="15.75" customHeight="1">
      <c r="A320" s="32"/>
      <c r="B320" s="32"/>
      <c r="C320" s="33"/>
      <c r="D320" s="33"/>
      <c r="E320" s="33"/>
      <c r="F320" s="32"/>
      <c r="G320" s="32"/>
      <c r="H320" s="32"/>
    </row>
    <row r="321" ht="15.75" customHeight="1">
      <c r="A321" s="32"/>
      <c r="B321" s="32"/>
      <c r="C321" s="33"/>
      <c r="D321" s="33"/>
      <c r="E321" s="33"/>
      <c r="F321" s="32"/>
      <c r="G321" s="32"/>
      <c r="H321" s="32"/>
    </row>
    <row r="322" ht="15.75" customHeight="1">
      <c r="A322" s="32"/>
      <c r="B322" s="32"/>
      <c r="C322" s="33"/>
      <c r="D322" s="33"/>
      <c r="E322" s="33"/>
      <c r="F322" s="32"/>
      <c r="G322" s="32"/>
      <c r="H322" s="32"/>
    </row>
    <row r="323" ht="15.75" customHeight="1">
      <c r="A323" s="32"/>
      <c r="B323" s="32"/>
      <c r="C323" s="33"/>
      <c r="D323" s="33"/>
      <c r="E323" s="33"/>
      <c r="F323" s="32"/>
      <c r="G323" s="32"/>
      <c r="H323" s="32"/>
    </row>
    <row r="324" ht="15.75" customHeight="1">
      <c r="A324" s="32"/>
      <c r="B324" s="32"/>
      <c r="C324" s="33"/>
      <c r="D324" s="33"/>
      <c r="E324" s="33"/>
      <c r="F324" s="32"/>
      <c r="G324" s="42"/>
      <c r="H324" s="42"/>
    </row>
    <row r="325" ht="15.75" customHeight="1">
      <c r="A325" s="32"/>
      <c r="B325" s="32"/>
      <c r="C325" s="33"/>
      <c r="D325" s="33"/>
      <c r="E325" s="33"/>
      <c r="F325" s="33"/>
      <c r="G325" s="33"/>
      <c r="H325" s="33"/>
    </row>
    <row r="326" ht="15.75" customHeight="1">
      <c r="A326" s="32"/>
      <c r="B326" s="32"/>
      <c r="C326" s="33"/>
      <c r="D326" s="33"/>
      <c r="E326" s="33"/>
      <c r="F326" s="33"/>
      <c r="G326" s="33"/>
      <c r="H326" s="33"/>
    </row>
    <row r="327" ht="15.75" customHeight="1">
      <c r="A327" s="32"/>
      <c r="B327" s="32"/>
      <c r="C327" s="33"/>
      <c r="D327" s="33"/>
      <c r="E327" s="33"/>
      <c r="F327" s="33"/>
      <c r="G327" s="33"/>
      <c r="H327" s="33"/>
    </row>
    <row r="328" ht="15.75" customHeight="1">
      <c r="A328" s="32"/>
      <c r="B328" s="32"/>
      <c r="C328" s="33"/>
      <c r="D328" s="33"/>
      <c r="E328" s="33"/>
      <c r="F328" s="33"/>
      <c r="G328" s="33"/>
      <c r="H328" s="33"/>
    </row>
    <row r="329" ht="15.75" customHeight="1">
      <c r="A329" s="32"/>
      <c r="B329" s="32"/>
      <c r="C329" s="33"/>
      <c r="D329" s="33"/>
      <c r="E329" s="33"/>
      <c r="F329" s="33"/>
      <c r="G329" s="33"/>
      <c r="H329" s="33"/>
    </row>
    <row r="330" ht="15.75" customHeight="1">
      <c r="A330" s="32"/>
      <c r="B330" s="32"/>
      <c r="C330" s="33"/>
      <c r="D330" s="33"/>
      <c r="E330" s="33"/>
      <c r="F330" s="33"/>
      <c r="G330" s="33"/>
      <c r="H330" s="33"/>
    </row>
    <row r="331" ht="15.75" customHeight="1">
      <c r="A331" s="32"/>
      <c r="B331" s="32"/>
      <c r="C331" s="33"/>
      <c r="D331" s="33"/>
      <c r="E331" s="33"/>
      <c r="F331" s="33"/>
      <c r="G331" s="33"/>
      <c r="H331" s="33"/>
    </row>
    <row r="332" ht="15.75" customHeight="1">
      <c r="A332" s="32"/>
      <c r="B332" s="32"/>
      <c r="C332" s="33"/>
      <c r="D332" s="33"/>
      <c r="E332" s="33"/>
      <c r="F332" s="33"/>
      <c r="G332" s="33"/>
      <c r="H332" s="33"/>
    </row>
    <row r="333" ht="15.75" customHeight="1">
      <c r="A333" s="32"/>
      <c r="B333" s="32"/>
      <c r="C333" s="33"/>
      <c r="D333" s="33"/>
      <c r="E333" s="33"/>
      <c r="F333" s="33"/>
      <c r="G333" s="33"/>
      <c r="H333" s="33"/>
    </row>
    <row r="334" ht="15.75" customHeight="1">
      <c r="A334" s="32"/>
      <c r="B334" s="32"/>
      <c r="C334" s="33"/>
      <c r="D334" s="33"/>
      <c r="E334" s="33"/>
      <c r="F334" s="33"/>
      <c r="G334" s="33"/>
      <c r="H334" s="33"/>
    </row>
    <row r="335" ht="15.75" customHeight="1">
      <c r="A335" s="32"/>
      <c r="B335" s="32"/>
      <c r="C335" s="33"/>
      <c r="D335" s="33"/>
      <c r="E335" s="33"/>
      <c r="F335" s="33"/>
      <c r="G335" s="33"/>
      <c r="H335" s="33"/>
    </row>
    <row r="336" ht="15.75" customHeight="1">
      <c r="A336" s="32"/>
      <c r="B336" s="32"/>
      <c r="C336" s="33"/>
      <c r="D336" s="33"/>
      <c r="E336" s="33"/>
      <c r="F336" s="33"/>
      <c r="G336" s="33"/>
      <c r="H336" s="33"/>
    </row>
    <row r="337" ht="15.75" customHeight="1">
      <c r="A337" s="32"/>
      <c r="B337" s="32"/>
      <c r="C337" s="33"/>
      <c r="D337" s="33"/>
      <c r="E337" s="33"/>
      <c r="F337" s="33"/>
      <c r="G337" s="33"/>
      <c r="H337" s="33"/>
    </row>
    <row r="338" ht="15.75" customHeight="1">
      <c r="A338" s="32"/>
      <c r="B338" s="32"/>
      <c r="C338" s="33"/>
      <c r="D338" s="33"/>
      <c r="E338" s="33"/>
      <c r="F338" s="33"/>
      <c r="G338" s="33"/>
      <c r="H338" s="33"/>
    </row>
    <row r="339" ht="15.75" customHeight="1">
      <c r="A339" s="32"/>
      <c r="B339" s="32"/>
      <c r="C339" s="33"/>
      <c r="D339" s="33"/>
      <c r="E339" s="33"/>
      <c r="F339" s="33"/>
      <c r="G339" s="33"/>
      <c r="H339" s="33"/>
    </row>
    <row r="340" ht="15.75" customHeight="1">
      <c r="A340" s="32"/>
      <c r="B340" s="32"/>
      <c r="C340" s="33"/>
      <c r="D340" s="33"/>
      <c r="E340" s="33"/>
      <c r="F340" s="33"/>
      <c r="G340" s="33"/>
      <c r="H340" s="33"/>
    </row>
    <row r="341" ht="15.75" customHeight="1">
      <c r="A341" s="32"/>
      <c r="B341" s="32"/>
      <c r="C341" s="33"/>
      <c r="D341" s="33"/>
      <c r="E341" s="33"/>
      <c r="F341" s="33"/>
      <c r="G341" s="33"/>
      <c r="H341" s="33"/>
    </row>
    <row r="342" ht="15.75" customHeight="1">
      <c r="A342" s="32"/>
      <c r="B342" s="32"/>
      <c r="C342" s="33"/>
      <c r="D342" s="33"/>
      <c r="E342" s="33"/>
      <c r="F342" s="32"/>
      <c r="G342" s="32"/>
      <c r="H342" s="32"/>
    </row>
    <row r="343" ht="15.75" customHeight="1">
      <c r="A343" s="32"/>
      <c r="B343" s="32"/>
      <c r="C343" s="33"/>
      <c r="D343" s="33"/>
      <c r="E343" s="33"/>
      <c r="F343" s="32"/>
      <c r="G343" s="32"/>
      <c r="H343" s="32"/>
    </row>
    <row r="344" ht="15.75" customHeight="1">
      <c r="A344" s="32"/>
      <c r="B344" s="32"/>
      <c r="C344" s="33"/>
      <c r="D344" s="33"/>
      <c r="E344" s="33"/>
      <c r="F344" s="32"/>
      <c r="G344" s="32"/>
      <c r="H344" s="32"/>
    </row>
    <row r="345" ht="15.75" customHeight="1">
      <c r="A345" s="32"/>
      <c r="B345" s="32"/>
      <c r="C345" s="33"/>
      <c r="D345" s="33"/>
      <c r="E345" s="33"/>
      <c r="F345" s="33"/>
      <c r="G345" s="33"/>
      <c r="H345" s="33"/>
    </row>
    <row r="346" ht="15.75" customHeight="1">
      <c r="A346" s="32"/>
      <c r="B346" s="32"/>
      <c r="C346" s="33"/>
      <c r="D346" s="33"/>
      <c r="E346" s="33"/>
      <c r="F346" s="33"/>
      <c r="G346" s="33"/>
      <c r="H346" s="33"/>
    </row>
    <row r="347" ht="15.75" customHeight="1">
      <c r="A347" s="32"/>
      <c r="B347" s="32"/>
      <c r="C347" s="33"/>
      <c r="D347" s="33"/>
      <c r="E347" s="33"/>
      <c r="F347" s="33"/>
      <c r="G347" s="32"/>
      <c r="H347" s="32"/>
    </row>
    <row r="348" ht="15.75" customHeight="1">
      <c r="A348" s="32"/>
      <c r="B348" s="32"/>
      <c r="C348" s="33"/>
      <c r="D348" s="33"/>
      <c r="E348" s="33"/>
      <c r="F348" s="32"/>
      <c r="G348" s="32"/>
      <c r="H348" s="32"/>
    </row>
    <row r="349" ht="15.75" customHeight="1">
      <c r="A349" s="32"/>
      <c r="B349" s="32"/>
      <c r="C349" s="33"/>
      <c r="D349" s="33"/>
      <c r="E349" s="33"/>
      <c r="F349" s="32"/>
      <c r="G349" s="32"/>
      <c r="H349" s="32"/>
    </row>
    <row r="350" ht="15.75" customHeight="1">
      <c r="A350" s="32"/>
      <c r="B350" s="32"/>
      <c r="C350" s="33"/>
      <c r="D350" s="33"/>
      <c r="E350" s="33"/>
      <c r="F350" s="32"/>
      <c r="G350" s="32"/>
      <c r="H350" s="32"/>
    </row>
    <row r="351" ht="15.75" customHeight="1">
      <c r="A351" s="32"/>
      <c r="B351" s="32"/>
      <c r="C351" s="33"/>
      <c r="D351" s="33"/>
      <c r="E351" s="33"/>
      <c r="F351" s="32"/>
      <c r="G351" s="32"/>
      <c r="H351" s="32"/>
    </row>
    <row r="352" ht="15.75" customHeight="1">
      <c r="A352" s="32"/>
      <c r="B352" s="32"/>
      <c r="C352" s="33"/>
      <c r="D352" s="33"/>
      <c r="E352" s="33"/>
      <c r="F352" s="32"/>
      <c r="G352" s="32"/>
      <c r="H352" s="32"/>
    </row>
    <row r="353" ht="15.75" customHeight="1">
      <c r="A353" s="32"/>
      <c r="B353" s="32"/>
      <c r="C353" s="33"/>
      <c r="D353" s="33"/>
      <c r="E353" s="33"/>
      <c r="F353" s="32"/>
      <c r="G353" s="32"/>
      <c r="H353" s="32"/>
    </row>
    <row r="354" ht="15.75" customHeight="1">
      <c r="A354" s="32"/>
      <c r="B354" s="32"/>
      <c r="C354" s="33"/>
      <c r="D354" s="33"/>
      <c r="E354" s="33"/>
      <c r="F354" s="32"/>
      <c r="G354" s="32"/>
      <c r="H354" s="32"/>
    </row>
    <row r="355" ht="15.75" customHeight="1">
      <c r="A355" s="32"/>
      <c r="B355" s="32"/>
      <c r="C355" s="33"/>
      <c r="D355" s="33"/>
      <c r="E355" s="33"/>
      <c r="F355" s="32"/>
      <c r="G355" s="32"/>
      <c r="H355" s="32"/>
    </row>
    <row r="356" ht="15.75" customHeight="1">
      <c r="A356" s="32"/>
      <c r="B356" s="32"/>
      <c r="C356" s="33"/>
      <c r="D356" s="33"/>
      <c r="E356" s="33"/>
      <c r="F356" s="32"/>
      <c r="G356" s="32"/>
      <c r="H356" s="32"/>
    </row>
    <row r="357" ht="15.75" customHeight="1">
      <c r="A357" s="32"/>
      <c r="B357" s="32"/>
      <c r="C357" s="33"/>
      <c r="D357" s="33"/>
      <c r="E357" s="33"/>
      <c r="F357" s="32"/>
      <c r="G357" s="32"/>
      <c r="H357" s="32"/>
    </row>
    <row r="358" ht="15.75" customHeight="1">
      <c r="A358" s="32"/>
      <c r="B358" s="32"/>
      <c r="C358" s="33"/>
      <c r="D358" s="33"/>
      <c r="E358" s="33"/>
      <c r="F358" s="32"/>
      <c r="G358" s="32"/>
      <c r="H358" s="32"/>
    </row>
    <row r="359" ht="15.75" customHeight="1">
      <c r="A359" s="32"/>
      <c r="B359" s="32"/>
      <c r="C359" s="33"/>
      <c r="D359" s="33"/>
      <c r="E359" s="33"/>
      <c r="F359" s="32"/>
      <c r="G359" s="32"/>
      <c r="H359" s="32"/>
    </row>
    <row r="360" ht="15.75" customHeight="1">
      <c r="A360" s="32"/>
      <c r="B360" s="32"/>
      <c r="C360" s="33"/>
      <c r="D360" s="33"/>
      <c r="E360" s="33"/>
      <c r="F360" s="32"/>
      <c r="G360" s="32"/>
      <c r="H360" s="32"/>
    </row>
    <row r="361" ht="15.75" customHeight="1">
      <c r="A361" s="32"/>
      <c r="B361" s="32"/>
      <c r="C361" s="33"/>
      <c r="D361" s="33"/>
      <c r="E361" s="33"/>
      <c r="F361" s="32"/>
      <c r="G361" s="32"/>
      <c r="H361" s="32"/>
    </row>
    <row r="362" ht="15.75" customHeight="1">
      <c r="A362" s="32"/>
      <c r="B362" s="32"/>
      <c r="C362" s="33"/>
      <c r="D362" s="33"/>
      <c r="E362" s="33"/>
      <c r="F362" s="32"/>
      <c r="G362" s="32"/>
      <c r="H362" s="32"/>
    </row>
    <row r="363" ht="15.75" customHeight="1">
      <c r="A363" s="32"/>
      <c r="B363" s="32"/>
      <c r="C363" s="33"/>
      <c r="D363" s="33"/>
      <c r="E363" s="33"/>
      <c r="F363" s="32"/>
      <c r="G363" s="32"/>
      <c r="H363" s="32"/>
    </row>
    <row r="364" ht="15.75" customHeight="1">
      <c r="A364" s="32"/>
      <c r="B364" s="32"/>
      <c r="C364" s="33"/>
      <c r="D364" s="33"/>
      <c r="E364" s="33"/>
      <c r="F364" s="32"/>
      <c r="G364" s="32"/>
      <c r="H364" s="32"/>
    </row>
    <row r="365" ht="15.75" customHeight="1">
      <c r="A365" s="32"/>
      <c r="B365" s="32"/>
      <c r="C365" s="33"/>
      <c r="D365" s="33"/>
      <c r="E365" s="33"/>
      <c r="F365" s="32"/>
      <c r="G365" s="32"/>
      <c r="H365" s="32"/>
    </row>
    <row r="366" ht="15.75" customHeight="1">
      <c r="A366" s="32"/>
      <c r="B366" s="32"/>
      <c r="C366" s="33"/>
      <c r="D366" s="33"/>
      <c r="E366" s="33"/>
      <c r="F366" s="32"/>
      <c r="G366" s="32"/>
      <c r="H366" s="32"/>
    </row>
    <row r="367" ht="15.75" customHeight="1">
      <c r="A367" s="32"/>
      <c r="B367" s="32"/>
      <c r="C367" s="33"/>
      <c r="D367" s="33"/>
      <c r="E367" s="33"/>
      <c r="F367" s="32"/>
      <c r="G367" s="32"/>
      <c r="H367" s="32"/>
    </row>
    <row r="368" ht="15.75" customHeight="1">
      <c r="A368" s="32"/>
      <c r="B368" s="32"/>
      <c r="C368" s="33"/>
      <c r="D368" s="33"/>
      <c r="E368" s="33"/>
      <c r="F368" s="32"/>
      <c r="G368" s="32"/>
      <c r="H368" s="32"/>
    </row>
    <row r="369" ht="15.75" customHeight="1">
      <c r="A369" s="32"/>
      <c r="B369" s="32"/>
      <c r="C369" s="33"/>
      <c r="D369" s="33"/>
      <c r="E369" s="33"/>
      <c r="F369" s="32"/>
      <c r="G369" s="32"/>
      <c r="H369" s="32"/>
    </row>
    <row r="370" ht="15.75" customHeight="1">
      <c r="A370" s="32"/>
      <c r="B370" s="32"/>
      <c r="C370" s="33"/>
      <c r="D370" s="33"/>
      <c r="E370" s="33"/>
      <c r="F370" s="32"/>
      <c r="G370" s="32"/>
      <c r="H370" s="32"/>
    </row>
    <row r="371" ht="15.75" customHeight="1">
      <c r="A371" s="32"/>
      <c r="B371" s="32"/>
      <c r="C371" s="33"/>
      <c r="D371" s="33"/>
      <c r="E371" s="33"/>
      <c r="F371" s="32"/>
      <c r="G371" s="32"/>
      <c r="H371" s="32"/>
    </row>
    <row r="372" ht="15.75" customHeight="1">
      <c r="A372" s="32"/>
      <c r="B372" s="32"/>
      <c r="C372" s="33"/>
      <c r="D372" s="33"/>
      <c r="E372" s="33"/>
      <c r="F372" s="32"/>
      <c r="G372" s="32"/>
      <c r="H372" s="32"/>
    </row>
    <row r="373" ht="15.75" customHeight="1">
      <c r="A373" s="32"/>
      <c r="B373" s="32"/>
      <c r="C373" s="33"/>
      <c r="D373" s="33"/>
      <c r="E373" s="33"/>
      <c r="F373" s="32"/>
      <c r="G373" s="32"/>
      <c r="H373" s="32"/>
    </row>
    <row r="374" ht="15.75" customHeight="1">
      <c r="A374" s="32"/>
      <c r="B374" s="32"/>
      <c r="C374" s="33"/>
      <c r="D374" s="33"/>
      <c r="E374" s="33"/>
      <c r="F374" s="32"/>
      <c r="G374" s="32"/>
      <c r="H374" s="32"/>
    </row>
    <row r="375" ht="15.75" customHeight="1">
      <c r="A375" s="32"/>
      <c r="B375" s="32"/>
      <c r="C375" s="33"/>
      <c r="D375" s="33"/>
      <c r="E375" s="33"/>
      <c r="F375" s="32"/>
      <c r="G375" s="32"/>
      <c r="H375" s="32"/>
    </row>
    <row r="376" ht="15.75" customHeight="1">
      <c r="A376" s="32"/>
      <c r="B376" s="32"/>
      <c r="C376" s="33"/>
      <c r="D376" s="33"/>
      <c r="E376" s="33"/>
      <c r="F376" s="32"/>
      <c r="G376" s="32"/>
      <c r="H376" s="32"/>
    </row>
    <row r="377" ht="15.75" customHeight="1">
      <c r="A377" s="32"/>
      <c r="B377" s="32"/>
      <c r="C377" s="33"/>
      <c r="D377" s="33"/>
      <c r="E377" s="33"/>
      <c r="F377" s="32"/>
      <c r="G377" s="32"/>
      <c r="H377" s="32"/>
    </row>
    <row r="378" ht="15.75" customHeight="1">
      <c r="A378" s="32"/>
      <c r="B378" s="32"/>
      <c r="C378" s="33"/>
      <c r="D378" s="33"/>
      <c r="E378" s="33"/>
      <c r="F378" s="32"/>
      <c r="G378" s="32"/>
      <c r="H378" s="32"/>
    </row>
    <row r="379" ht="15.75" customHeight="1">
      <c r="A379" s="32"/>
      <c r="B379" s="32"/>
      <c r="C379" s="33"/>
      <c r="D379" s="33"/>
      <c r="E379" s="33"/>
      <c r="F379" s="32"/>
      <c r="G379" s="32"/>
      <c r="H379" s="32"/>
    </row>
    <row r="380" ht="15.75" customHeight="1">
      <c r="A380" s="32"/>
      <c r="B380" s="32"/>
      <c r="C380" s="33"/>
      <c r="D380" s="33"/>
      <c r="E380" s="33"/>
      <c r="F380" s="32"/>
      <c r="G380" s="32"/>
      <c r="H380" s="32"/>
    </row>
    <row r="381" ht="15.75" customHeight="1">
      <c r="A381" s="32"/>
      <c r="B381" s="32"/>
      <c r="C381" s="33"/>
      <c r="D381" s="33"/>
      <c r="E381" s="33"/>
      <c r="F381" s="32"/>
      <c r="G381" s="32"/>
      <c r="H381" s="32"/>
    </row>
    <row r="382" ht="15.75" customHeight="1">
      <c r="A382" s="32"/>
      <c r="B382" s="32"/>
      <c r="C382" s="33"/>
      <c r="D382" s="33"/>
      <c r="E382" s="33"/>
      <c r="F382" s="32"/>
      <c r="G382" s="32"/>
      <c r="H382" s="32"/>
    </row>
    <row r="383" ht="15.75" customHeight="1">
      <c r="A383" s="32"/>
      <c r="B383" s="32"/>
      <c r="C383" s="33"/>
      <c r="D383" s="33"/>
      <c r="E383" s="33"/>
      <c r="F383" s="32"/>
      <c r="G383" s="32"/>
      <c r="H383" s="32"/>
    </row>
    <row r="384" ht="15.75" customHeight="1">
      <c r="A384" s="32"/>
      <c r="B384" s="32"/>
      <c r="C384" s="33"/>
      <c r="D384" s="33"/>
      <c r="E384" s="33"/>
      <c r="F384" s="32"/>
      <c r="G384" s="32"/>
      <c r="H384" s="32"/>
    </row>
    <row r="385" ht="15.75" customHeight="1">
      <c r="A385" s="32"/>
      <c r="B385" s="32"/>
      <c r="C385" s="33"/>
      <c r="D385" s="33"/>
      <c r="E385" s="33"/>
      <c r="F385" s="32"/>
      <c r="G385" s="32"/>
      <c r="H385" s="32"/>
    </row>
    <row r="386" ht="15.75" customHeight="1">
      <c r="A386" s="32"/>
      <c r="B386" s="32"/>
      <c r="C386" s="33"/>
      <c r="D386" s="33"/>
      <c r="E386" s="33"/>
      <c r="F386" s="32"/>
      <c r="G386" s="32"/>
      <c r="H386" s="32"/>
    </row>
    <row r="387" ht="15.75" customHeight="1">
      <c r="A387" s="32"/>
      <c r="B387" s="32"/>
      <c r="C387" s="33"/>
      <c r="D387" s="33"/>
      <c r="E387" s="33"/>
      <c r="F387" s="32"/>
      <c r="G387" s="32"/>
      <c r="H387" s="32"/>
    </row>
    <row r="388" ht="15.75" customHeight="1">
      <c r="A388" s="32"/>
      <c r="B388" s="32"/>
      <c r="C388" s="33"/>
      <c r="D388" s="33"/>
      <c r="E388" s="33"/>
      <c r="F388" s="32"/>
      <c r="G388" s="32"/>
      <c r="H388" s="32"/>
    </row>
    <row r="389" ht="15.75" customHeight="1">
      <c r="A389" s="32"/>
      <c r="B389" s="32"/>
      <c r="C389" s="33"/>
      <c r="D389" s="33"/>
      <c r="E389" s="33"/>
      <c r="F389" s="32"/>
      <c r="G389" s="32"/>
      <c r="H389" s="32"/>
    </row>
    <row r="390" ht="15.75" customHeight="1">
      <c r="A390" s="32"/>
      <c r="B390" s="32"/>
      <c r="C390" s="33"/>
      <c r="D390" s="33"/>
      <c r="E390" s="33"/>
      <c r="F390" s="32"/>
      <c r="G390" s="32"/>
      <c r="H390" s="32"/>
    </row>
    <row r="391" ht="15.75" customHeight="1">
      <c r="A391" s="32"/>
      <c r="B391" s="32"/>
      <c r="C391" s="33"/>
      <c r="D391" s="33"/>
      <c r="E391" s="33"/>
      <c r="F391" s="32"/>
      <c r="G391" s="32"/>
      <c r="H391" s="32"/>
    </row>
    <row r="392" ht="15.75" customHeight="1">
      <c r="A392" s="32"/>
      <c r="B392" s="32"/>
      <c r="C392" s="33"/>
      <c r="D392" s="33"/>
      <c r="E392" s="33"/>
      <c r="F392" s="32"/>
      <c r="G392" s="32"/>
      <c r="H392" s="32"/>
    </row>
    <row r="393" ht="15.75" customHeight="1">
      <c r="A393" s="32"/>
      <c r="B393" s="32"/>
      <c r="C393" s="33"/>
      <c r="D393" s="33"/>
      <c r="E393" s="33"/>
      <c r="F393" s="32"/>
      <c r="G393" s="32"/>
      <c r="H393" s="32"/>
    </row>
    <row r="394" ht="15.75" customHeight="1">
      <c r="A394" s="32"/>
      <c r="B394" s="32"/>
      <c r="C394" s="33"/>
      <c r="D394" s="33"/>
      <c r="E394" s="33"/>
      <c r="F394" s="32"/>
      <c r="G394" s="32"/>
      <c r="H394" s="32"/>
    </row>
    <row r="395" ht="15.75" customHeight="1">
      <c r="A395" s="32"/>
      <c r="B395" s="32"/>
      <c r="C395" s="33"/>
      <c r="D395" s="33"/>
      <c r="E395" s="33"/>
      <c r="F395" s="32"/>
      <c r="G395" s="32"/>
      <c r="H395" s="32"/>
    </row>
    <row r="396" ht="15.75" customHeight="1">
      <c r="A396" s="32"/>
      <c r="B396" s="32"/>
      <c r="C396" s="33"/>
      <c r="D396" s="33"/>
      <c r="E396" s="33"/>
      <c r="F396" s="32"/>
      <c r="G396" s="32"/>
      <c r="H396" s="32"/>
    </row>
    <row r="397" ht="15.75" customHeight="1">
      <c r="A397" s="32"/>
      <c r="B397" s="32"/>
      <c r="C397" s="33"/>
      <c r="D397" s="33"/>
      <c r="E397" s="33"/>
      <c r="F397" s="32"/>
      <c r="G397" s="32"/>
      <c r="H397" s="32"/>
    </row>
    <row r="398" ht="15.75" customHeight="1">
      <c r="A398" s="32"/>
      <c r="B398" s="32"/>
      <c r="C398" s="33"/>
      <c r="D398" s="33"/>
      <c r="E398" s="33"/>
      <c r="F398" s="32"/>
      <c r="G398" s="32"/>
      <c r="H398" s="32"/>
    </row>
    <row r="399" ht="15.75" customHeight="1">
      <c r="A399" s="32"/>
      <c r="B399" s="32"/>
      <c r="C399" s="33"/>
      <c r="D399" s="33"/>
      <c r="E399" s="33"/>
      <c r="F399" s="32"/>
      <c r="G399" s="32"/>
      <c r="H399" s="32"/>
    </row>
    <row r="400" ht="15.75" customHeight="1">
      <c r="A400" s="32"/>
      <c r="B400" s="32"/>
      <c r="C400" s="33"/>
      <c r="D400" s="33"/>
      <c r="E400" s="33"/>
      <c r="F400" s="32"/>
      <c r="G400" s="32"/>
      <c r="H400" s="32"/>
    </row>
    <row r="401" ht="15.75" customHeight="1">
      <c r="A401" s="32"/>
      <c r="B401" s="32"/>
      <c r="C401" s="33"/>
      <c r="D401" s="33"/>
      <c r="E401" s="33"/>
      <c r="F401" s="32"/>
      <c r="G401" s="32"/>
      <c r="H401" s="32"/>
    </row>
    <row r="402" ht="15.75" customHeight="1">
      <c r="A402" s="32"/>
      <c r="B402" s="32"/>
      <c r="C402" s="33"/>
      <c r="D402" s="33"/>
      <c r="E402" s="33"/>
      <c r="F402" s="32"/>
      <c r="G402" s="32"/>
      <c r="H402" s="32"/>
    </row>
    <row r="403" ht="15.75" customHeight="1">
      <c r="A403" s="32"/>
      <c r="B403" s="32"/>
      <c r="C403" s="33"/>
      <c r="D403" s="33"/>
      <c r="E403" s="33"/>
      <c r="F403" s="32"/>
      <c r="G403" s="32"/>
      <c r="H403" s="32"/>
    </row>
    <row r="404" ht="15.75" customHeight="1">
      <c r="A404" s="32"/>
      <c r="B404" s="32"/>
      <c r="C404" s="33"/>
      <c r="D404" s="33"/>
      <c r="E404" s="33"/>
      <c r="F404" s="32"/>
      <c r="G404" s="32"/>
      <c r="H404" s="32"/>
    </row>
    <row r="405" ht="15.75" customHeight="1">
      <c r="A405" s="32"/>
      <c r="B405" s="32"/>
      <c r="C405" s="33"/>
      <c r="D405" s="33"/>
      <c r="E405" s="33"/>
      <c r="F405" s="32"/>
      <c r="G405" s="32"/>
      <c r="H405" s="32"/>
    </row>
    <row r="406" ht="15.75" customHeight="1">
      <c r="A406" s="32"/>
      <c r="B406" s="32"/>
      <c r="C406" s="33"/>
      <c r="D406" s="33"/>
      <c r="E406" s="33"/>
      <c r="F406" s="32"/>
      <c r="G406" s="32"/>
      <c r="H406" s="32"/>
    </row>
    <row r="407" ht="15.75" customHeight="1">
      <c r="A407" s="32"/>
      <c r="B407" s="32"/>
      <c r="C407" s="33"/>
      <c r="D407" s="33"/>
      <c r="E407" s="33"/>
      <c r="F407" s="32"/>
      <c r="G407" s="32"/>
      <c r="H407" s="32"/>
    </row>
    <row r="408" ht="15.75" customHeight="1">
      <c r="A408" s="32"/>
      <c r="B408" s="32"/>
      <c r="C408" s="33"/>
      <c r="D408" s="33"/>
      <c r="E408" s="33"/>
      <c r="F408" s="32"/>
      <c r="G408" s="32"/>
      <c r="H408" s="32"/>
    </row>
    <row r="409" ht="15.75" customHeight="1">
      <c r="A409" s="32"/>
      <c r="B409" s="32"/>
      <c r="C409" s="33"/>
      <c r="D409" s="33"/>
      <c r="E409" s="33"/>
      <c r="F409" s="32"/>
      <c r="G409" s="32"/>
      <c r="H409" s="32"/>
    </row>
    <row r="410" ht="15.75" customHeight="1">
      <c r="A410" s="32"/>
      <c r="B410" s="32"/>
      <c r="C410" s="33"/>
      <c r="D410" s="33"/>
      <c r="E410" s="33"/>
      <c r="F410" s="32"/>
      <c r="G410" s="32"/>
      <c r="H410" s="32"/>
    </row>
    <row r="411" ht="15.75" customHeight="1">
      <c r="A411" s="32"/>
      <c r="B411" s="32"/>
      <c r="C411" s="33"/>
      <c r="D411" s="33"/>
      <c r="E411" s="33"/>
      <c r="F411" s="32"/>
      <c r="G411" s="32"/>
      <c r="H411" s="32"/>
    </row>
    <row r="412" ht="15.75" customHeight="1">
      <c r="A412" s="32"/>
      <c r="B412" s="32"/>
      <c r="C412" s="33"/>
      <c r="D412" s="33"/>
      <c r="E412" s="33"/>
      <c r="F412" s="32"/>
      <c r="G412" s="32"/>
      <c r="H412" s="32"/>
    </row>
    <row r="413" ht="15.75" customHeight="1">
      <c r="A413" s="32"/>
      <c r="B413" s="32"/>
      <c r="C413" s="33"/>
      <c r="D413" s="33"/>
      <c r="E413" s="33"/>
      <c r="F413" s="32"/>
      <c r="G413" s="32"/>
      <c r="H413" s="32"/>
    </row>
    <row r="414" ht="15.75" customHeight="1">
      <c r="A414" s="32"/>
      <c r="B414" s="32"/>
      <c r="C414" s="33"/>
      <c r="D414" s="33"/>
      <c r="E414" s="33"/>
      <c r="F414" s="32"/>
      <c r="G414" s="32"/>
      <c r="H414" s="32"/>
    </row>
    <row r="415" ht="15.75" customHeight="1">
      <c r="A415" s="32"/>
      <c r="B415" s="32"/>
      <c r="C415" s="33"/>
      <c r="D415" s="33"/>
      <c r="E415" s="33"/>
      <c r="F415" s="32"/>
      <c r="G415" s="32"/>
      <c r="H415" s="32"/>
    </row>
    <row r="416" ht="15.75" customHeight="1">
      <c r="A416" s="32"/>
      <c r="B416" s="32"/>
      <c r="C416" s="33"/>
      <c r="D416" s="33"/>
      <c r="E416" s="33"/>
      <c r="F416" s="32"/>
      <c r="G416" s="32"/>
      <c r="H416" s="32"/>
    </row>
    <row r="417" ht="15.75" customHeight="1">
      <c r="A417" s="32"/>
      <c r="B417" s="32"/>
      <c r="C417" s="33"/>
      <c r="D417" s="33"/>
      <c r="E417" s="33"/>
      <c r="F417" s="32"/>
      <c r="G417" s="32"/>
      <c r="H417" s="32"/>
    </row>
    <row r="418" ht="15.75" customHeight="1">
      <c r="A418" s="32"/>
      <c r="B418" s="32"/>
      <c r="C418" s="33"/>
      <c r="D418" s="33"/>
      <c r="E418" s="33"/>
      <c r="F418" s="32"/>
      <c r="G418" s="32"/>
      <c r="H418" s="32"/>
    </row>
    <row r="419" ht="15.75" customHeight="1">
      <c r="A419" s="32"/>
      <c r="B419" s="32"/>
      <c r="C419" s="33"/>
      <c r="D419" s="33"/>
      <c r="E419" s="33"/>
      <c r="F419" s="32"/>
      <c r="G419" s="32"/>
      <c r="H419" s="32"/>
    </row>
    <row r="420" ht="15.75" customHeight="1">
      <c r="A420" s="32"/>
      <c r="B420" s="32"/>
      <c r="C420" s="33"/>
      <c r="D420" s="33"/>
      <c r="E420" s="33"/>
      <c r="F420" s="32"/>
      <c r="G420" s="32"/>
      <c r="H420" s="32"/>
    </row>
    <row r="421" ht="15.75" customHeight="1">
      <c r="A421" s="32"/>
      <c r="B421" s="32"/>
      <c r="C421" s="33"/>
      <c r="D421" s="33"/>
      <c r="E421" s="33"/>
      <c r="F421" s="32"/>
      <c r="G421" s="32"/>
      <c r="H421" s="32"/>
    </row>
    <row r="422" ht="15.75" customHeight="1">
      <c r="A422" s="32"/>
      <c r="B422" s="32"/>
      <c r="C422" s="33"/>
      <c r="D422" s="33"/>
      <c r="E422" s="33"/>
      <c r="F422" s="32"/>
      <c r="G422" s="32"/>
      <c r="H422" s="32"/>
    </row>
    <row r="423" ht="15.75" customHeight="1">
      <c r="A423" s="32"/>
      <c r="B423" s="32"/>
      <c r="C423" s="33"/>
      <c r="D423" s="33"/>
      <c r="E423" s="33"/>
      <c r="F423" s="32"/>
      <c r="G423" s="32"/>
      <c r="H423" s="32"/>
    </row>
    <row r="424" ht="15.75" customHeight="1">
      <c r="A424" s="32"/>
      <c r="B424" s="32"/>
      <c r="C424" s="33"/>
      <c r="D424" s="33"/>
      <c r="E424" s="33"/>
      <c r="F424" s="32"/>
      <c r="G424" s="32"/>
      <c r="H424" s="32"/>
    </row>
    <row r="425" ht="15.75" customHeight="1">
      <c r="A425" s="32"/>
      <c r="B425" s="32"/>
      <c r="C425" s="33"/>
      <c r="D425" s="33"/>
      <c r="E425" s="33"/>
      <c r="F425" s="32"/>
      <c r="G425" s="32"/>
      <c r="H425" s="32"/>
    </row>
    <row r="426" ht="15.75" customHeight="1">
      <c r="A426" s="32"/>
      <c r="B426" s="32"/>
      <c r="C426" s="33"/>
      <c r="D426" s="33"/>
      <c r="E426" s="33"/>
      <c r="F426" s="32"/>
      <c r="G426" s="32"/>
      <c r="H426" s="32"/>
    </row>
    <row r="427" ht="15.75" customHeight="1">
      <c r="A427" s="32"/>
      <c r="B427" s="32"/>
      <c r="C427" s="33"/>
      <c r="D427" s="33"/>
      <c r="E427" s="33"/>
      <c r="F427" s="32"/>
      <c r="G427" s="32"/>
      <c r="H427" s="32"/>
    </row>
    <row r="428" ht="15.75" customHeight="1">
      <c r="A428" s="32"/>
      <c r="B428" s="32"/>
      <c r="C428" s="33"/>
      <c r="D428" s="33"/>
      <c r="E428" s="33"/>
      <c r="F428" s="32"/>
      <c r="G428" s="32"/>
      <c r="H428" s="32"/>
    </row>
    <row r="429" ht="15.75" customHeight="1">
      <c r="A429" s="32"/>
      <c r="B429" s="32"/>
      <c r="C429" s="33"/>
      <c r="D429" s="33"/>
      <c r="E429" s="33"/>
      <c r="F429" s="32"/>
      <c r="G429" s="32"/>
      <c r="H429" s="32"/>
    </row>
    <row r="430" ht="15.75" customHeight="1">
      <c r="A430" s="32"/>
      <c r="B430" s="32"/>
      <c r="C430" s="33"/>
      <c r="D430" s="33"/>
      <c r="E430" s="33"/>
      <c r="F430" s="32"/>
      <c r="G430" s="32"/>
      <c r="H430" s="32"/>
    </row>
    <row r="431" ht="15.75" customHeight="1">
      <c r="A431" s="32"/>
      <c r="B431" s="32"/>
      <c r="C431" s="33"/>
      <c r="D431" s="33"/>
      <c r="E431" s="33"/>
      <c r="F431" s="32"/>
      <c r="G431" s="32"/>
      <c r="H431" s="32"/>
    </row>
    <row r="432" ht="15.75" customHeight="1">
      <c r="A432" s="32"/>
      <c r="B432" s="32"/>
      <c r="C432" s="33"/>
      <c r="D432" s="33"/>
      <c r="E432" s="33"/>
      <c r="F432" s="32"/>
      <c r="G432" s="32"/>
      <c r="H432" s="32"/>
    </row>
    <row r="433" ht="15.75" customHeight="1">
      <c r="A433" s="32"/>
      <c r="B433" s="32"/>
      <c r="C433" s="33"/>
      <c r="D433" s="33"/>
      <c r="E433" s="33"/>
      <c r="F433" s="32"/>
      <c r="G433" s="32"/>
      <c r="H433" s="32"/>
    </row>
    <row r="434" ht="15.75" customHeight="1">
      <c r="A434" s="32"/>
      <c r="B434" s="32"/>
      <c r="C434" s="33"/>
      <c r="D434" s="33"/>
      <c r="E434" s="33"/>
      <c r="F434" s="32"/>
      <c r="G434" s="32"/>
      <c r="H434" s="32"/>
    </row>
    <row r="435" ht="15.75" customHeight="1">
      <c r="A435" s="32"/>
      <c r="B435" s="32"/>
      <c r="C435" s="33"/>
      <c r="D435" s="33"/>
      <c r="E435" s="33"/>
      <c r="F435" s="32"/>
      <c r="G435" s="32"/>
      <c r="H435" s="32"/>
    </row>
    <row r="436" ht="15.75" customHeight="1">
      <c r="A436" s="32"/>
      <c r="B436" s="32"/>
      <c r="C436" s="33"/>
      <c r="D436" s="33"/>
      <c r="E436" s="33"/>
      <c r="F436" s="32"/>
      <c r="G436" s="32"/>
      <c r="H436" s="32"/>
    </row>
    <row r="437" ht="15.75" customHeight="1">
      <c r="A437" s="32"/>
      <c r="B437" s="32"/>
      <c r="C437" s="33"/>
      <c r="D437" s="33"/>
      <c r="E437" s="33"/>
      <c r="F437" s="32"/>
      <c r="G437" s="32"/>
      <c r="H437" s="32"/>
    </row>
    <row r="438" ht="15.75" customHeight="1">
      <c r="A438" s="32"/>
      <c r="B438" s="32"/>
      <c r="C438" s="33"/>
      <c r="D438" s="33"/>
      <c r="E438" s="33"/>
      <c r="F438" s="32"/>
      <c r="G438" s="32"/>
      <c r="H438" s="32"/>
    </row>
    <row r="439" ht="15.75" customHeight="1">
      <c r="A439" s="32"/>
      <c r="B439" s="32"/>
      <c r="C439" s="33"/>
      <c r="D439" s="33"/>
      <c r="E439" s="33"/>
      <c r="F439" s="32"/>
      <c r="G439" s="32"/>
      <c r="H439" s="32"/>
    </row>
    <row r="440" ht="15.75" customHeight="1">
      <c r="A440" s="32"/>
      <c r="B440" s="32"/>
      <c r="C440" s="33"/>
      <c r="D440" s="33"/>
      <c r="E440" s="33"/>
      <c r="F440" s="32"/>
      <c r="G440" s="32"/>
      <c r="H440" s="32"/>
    </row>
    <row r="441" ht="15.75" customHeight="1">
      <c r="A441" s="32"/>
      <c r="B441" s="32"/>
      <c r="C441" s="33"/>
      <c r="D441" s="33"/>
      <c r="E441" s="33"/>
      <c r="F441" s="32"/>
      <c r="G441" s="32"/>
      <c r="H441" s="32"/>
    </row>
    <row r="442" ht="15.75" customHeight="1">
      <c r="A442" s="32"/>
      <c r="B442" s="32"/>
      <c r="C442" s="33"/>
      <c r="D442" s="33"/>
      <c r="E442" s="33"/>
      <c r="F442" s="32"/>
      <c r="G442" s="32"/>
      <c r="H442" s="32"/>
    </row>
    <row r="443" ht="15.75" customHeight="1">
      <c r="A443" s="32"/>
      <c r="B443" s="32"/>
      <c r="C443" s="33"/>
      <c r="D443" s="33"/>
      <c r="E443" s="33"/>
      <c r="F443" s="32"/>
      <c r="G443" s="32"/>
      <c r="H443" s="32"/>
    </row>
    <row r="444" ht="15.75" customHeight="1">
      <c r="A444" s="32"/>
      <c r="B444" s="32"/>
      <c r="C444" s="33"/>
      <c r="D444" s="33"/>
      <c r="E444" s="33"/>
      <c r="F444" s="32"/>
      <c r="G444" s="32"/>
      <c r="H444" s="32"/>
    </row>
    <row r="445" ht="15.75" customHeight="1">
      <c r="A445" s="32"/>
      <c r="B445" s="32"/>
      <c r="C445" s="33"/>
      <c r="D445" s="33"/>
      <c r="E445" s="33"/>
      <c r="F445" s="32"/>
      <c r="G445" s="32"/>
      <c r="H445" s="32"/>
    </row>
    <row r="446" ht="15.75" customHeight="1">
      <c r="A446" s="32"/>
      <c r="B446" s="32"/>
      <c r="C446" s="33"/>
      <c r="D446" s="33"/>
      <c r="E446" s="33"/>
      <c r="F446" s="32"/>
      <c r="G446" s="32"/>
      <c r="H446" s="32"/>
    </row>
    <row r="447" ht="15.75" customHeight="1">
      <c r="A447" s="32"/>
      <c r="B447" s="32"/>
      <c r="C447" s="33"/>
      <c r="D447" s="33"/>
      <c r="E447" s="33"/>
      <c r="F447" s="32"/>
      <c r="G447" s="32"/>
      <c r="H447" s="32"/>
    </row>
    <row r="448" ht="15.75" customHeight="1">
      <c r="A448" s="32"/>
      <c r="B448" s="32"/>
      <c r="C448" s="33"/>
      <c r="D448" s="33"/>
      <c r="E448" s="33"/>
      <c r="F448" s="32"/>
      <c r="G448" s="32"/>
      <c r="H448" s="32"/>
    </row>
    <row r="449" ht="15.75" customHeight="1">
      <c r="A449" s="32"/>
      <c r="B449" s="32"/>
      <c r="C449" s="33"/>
      <c r="D449" s="33"/>
      <c r="E449" s="33"/>
      <c r="F449" s="32"/>
      <c r="G449" s="32"/>
      <c r="H449" s="32"/>
    </row>
    <row r="450" ht="15.75" customHeight="1">
      <c r="A450" s="32"/>
      <c r="B450" s="32"/>
      <c r="C450" s="33"/>
      <c r="D450" s="33"/>
      <c r="E450" s="33"/>
      <c r="F450" s="32"/>
      <c r="G450" s="32"/>
      <c r="H450" s="32"/>
    </row>
    <row r="451" ht="15.75" customHeight="1">
      <c r="A451" s="32"/>
      <c r="B451" s="32"/>
      <c r="C451" s="33"/>
      <c r="D451" s="33"/>
      <c r="E451" s="33"/>
      <c r="F451" s="32"/>
      <c r="G451" s="32"/>
      <c r="H451" s="32"/>
    </row>
    <row r="452" ht="15.75" customHeight="1">
      <c r="A452" s="32"/>
      <c r="B452" s="32"/>
      <c r="C452" s="33"/>
      <c r="D452" s="33"/>
      <c r="E452" s="33"/>
      <c r="F452" s="32"/>
      <c r="G452" s="32"/>
      <c r="H452" s="32"/>
    </row>
    <row r="453" ht="15.75" customHeight="1">
      <c r="A453" s="32"/>
      <c r="B453" s="32"/>
      <c r="C453" s="33"/>
      <c r="D453" s="33"/>
      <c r="E453" s="33"/>
      <c r="F453" s="32"/>
      <c r="G453" s="32"/>
      <c r="H453" s="32"/>
    </row>
    <row r="454" ht="15.75" customHeight="1">
      <c r="A454" s="32"/>
      <c r="B454" s="32"/>
      <c r="C454" s="33"/>
      <c r="D454" s="33"/>
      <c r="E454" s="33"/>
      <c r="F454" s="32"/>
      <c r="G454" s="32"/>
      <c r="H454" s="32"/>
    </row>
    <row r="455" ht="15.75" customHeight="1">
      <c r="A455" s="32"/>
      <c r="B455" s="32"/>
      <c r="C455" s="33"/>
      <c r="D455" s="33"/>
      <c r="E455" s="33"/>
      <c r="F455" s="32"/>
      <c r="G455" s="32"/>
      <c r="H455" s="32"/>
    </row>
    <row r="456" ht="15.75" customHeight="1">
      <c r="A456" s="32"/>
      <c r="B456" s="32"/>
      <c r="C456" s="33"/>
      <c r="D456" s="33"/>
      <c r="E456" s="33"/>
      <c r="F456" s="32"/>
      <c r="G456" s="32"/>
      <c r="H456" s="32"/>
    </row>
    <row r="457" ht="15.75" customHeight="1">
      <c r="A457" s="32"/>
      <c r="B457" s="32"/>
      <c r="C457" s="33"/>
      <c r="D457" s="33"/>
      <c r="E457" s="33"/>
      <c r="F457" s="32"/>
      <c r="G457" s="32"/>
      <c r="H457" s="32"/>
    </row>
    <row r="458" ht="15.75" customHeight="1">
      <c r="A458" s="32"/>
      <c r="B458" s="32"/>
      <c r="C458" s="33"/>
      <c r="D458" s="33"/>
      <c r="E458" s="33"/>
      <c r="F458" s="32"/>
      <c r="G458" s="32"/>
      <c r="H458" s="32"/>
    </row>
    <row r="459" ht="15.75" customHeight="1">
      <c r="A459" s="32"/>
      <c r="B459" s="32"/>
      <c r="C459" s="33"/>
      <c r="D459" s="33"/>
      <c r="E459" s="33"/>
      <c r="F459" s="32"/>
      <c r="G459" s="32"/>
      <c r="H459" s="32"/>
    </row>
    <row r="460" ht="15.75" customHeight="1">
      <c r="A460" s="32"/>
      <c r="B460" s="32"/>
      <c r="C460" s="33"/>
      <c r="D460" s="33"/>
      <c r="E460" s="33"/>
      <c r="F460" s="32"/>
      <c r="G460" s="32"/>
      <c r="H460" s="32"/>
    </row>
    <row r="461" ht="15.75" customHeight="1">
      <c r="A461" s="32"/>
      <c r="B461" s="32"/>
      <c r="C461" s="33"/>
      <c r="D461" s="33"/>
      <c r="E461" s="33"/>
      <c r="F461" s="32"/>
      <c r="G461" s="32"/>
      <c r="H461" s="32"/>
    </row>
    <row r="462" ht="15.75" customHeight="1">
      <c r="A462" s="32"/>
      <c r="B462" s="32"/>
      <c r="C462" s="33"/>
      <c r="D462" s="33"/>
      <c r="E462" s="33"/>
      <c r="F462" s="32"/>
      <c r="G462" s="32"/>
      <c r="H462" s="32"/>
    </row>
    <row r="463" ht="15.75" customHeight="1">
      <c r="A463" s="32"/>
      <c r="B463" s="32"/>
      <c r="C463" s="33"/>
      <c r="D463" s="33"/>
      <c r="E463" s="33"/>
      <c r="F463" s="32"/>
      <c r="G463" s="32"/>
      <c r="H463" s="32"/>
    </row>
    <row r="464" ht="15.75" customHeight="1">
      <c r="A464" s="32"/>
      <c r="B464" s="32"/>
      <c r="C464" s="33"/>
      <c r="D464" s="33"/>
      <c r="E464" s="33"/>
      <c r="F464" s="32"/>
      <c r="G464" s="32"/>
      <c r="H464" s="32"/>
    </row>
    <row r="465" ht="15.75" customHeight="1">
      <c r="A465" s="32"/>
      <c r="B465" s="32"/>
      <c r="C465" s="33"/>
      <c r="D465" s="33"/>
      <c r="E465" s="33"/>
      <c r="F465" s="32"/>
      <c r="G465" s="32"/>
      <c r="H465" s="32"/>
    </row>
    <row r="466" ht="15.75" customHeight="1">
      <c r="A466" s="32"/>
      <c r="B466" s="32"/>
      <c r="C466" s="33"/>
      <c r="D466" s="33"/>
      <c r="E466" s="33"/>
      <c r="F466" s="32"/>
      <c r="G466" s="32"/>
      <c r="H466" s="32"/>
    </row>
    <row r="467" ht="15.75" customHeight="1">
      <c r="A467" s="32"/>
      <c r="B467" s="32"/>
      <c r="C467" s="33"/>
      <c r="D467" s="33"/>
      <c r="E467" s="33"/>
      <c r="F467" s="32"/>
      <c r="G467" s="32"/>
      <c r="H467" s="32"/>
    </row>
    <row r="468" ht="15.75" customHeight="1">
      <c r="A468" s="32"/>
      <c r="B468" s="32"/>
      <c r="C468" s="33"/>
      <c r="D468" s="33"/>
      <c r="E468" s="33"/>
      <c r="F468" s="32"/>
      <c r="G468" s="32"/>
      <c r="H468" s="32"/>
    </row>
    <row r="469" ht="15.75" customHeight="1">
      <c r="A469" s="32"/>
      <c r="B469" s="32"/>
      <c r="C469" s="33"/>
      <c r="D469" s="33"/>
      <c r="E469" s="33"/>
      <c r="F469" s="32"/>
      <c r="G469" s="32"/>
      <c r="H469" s="32"/>
    </row>
    <row r="470" ht="15.75" customHeight="1">
      <c r="A470" s="32"/>
      <c r="B470" s="32"/>
      <c r="C470" s="33"/>
      <c r="D470" s="33"/>
      <c r="E470" s="33"/>
      <c r="F470" s="32"/>
      <c r="G470" s="32"/>
      <c r="H470" s="32"/>
    </row>
    <row r="471" ht="15.75" customHeight="1">
      <c r="A471" s="32"/>
      <c r="B471" s="32"/>
      <c r="C471" s="33"/>
      <c r="D471" s="33"/>
      <c r="E471" s="33"/>
      <c r="F471" s="32"/>
      <c r="G471" s="32"/>
      <c r="H471" s="32"/>
    </row>
    <row r="472" ht="15.75" customHeight="1">
      <c r="A472" s="32"/>
      <c r="B472" s="32"/>
      <c r="C472" s="33"/>
      <c r="D472" s="33"/>
      <c r="E472" s="33"/>
      <c r="F472" s="32"/>
      <c r="G472" s="32"/>
      <c r="H472" s="32"/>
    </row>
    <row r="473" ht="15.75" customHeight="1">
      <c r="A473" s="32"/>
      <c r="B473" s="32"/>
      <c r="C473" s="33"/>
      <c r="D473" s="33"/>
      <c r="E473" s="33"/>
      <c r="F473" s="32"/>
      <c r="G473" s="32"/>
      <c r="H473" s="32"/>
    </row>
    <row r="474" ht="15.75" customHeight="1">
      <c r="A474" s="32"/>
      <c r="B474" s="32"/>
      <c r="C474" s="33"/>
      <c r="D474" s="33"/>
      <c r="E474" s="33"/>
      <c r="F474" s="32"/>
      <c r="G474" s="32"/>
      <c r="H474" s="32"/>
    </row>
    <row r="475" ht="15.75" customHeight="1">
      <c r="A475" s="32"/>
      <c r="B475" s="32"/>
      <c r="C475" s="33"/>
      <c r="D475" s="33"/>
      <c r="E475" s="33"/>
      <c r="F475" s="32"/>
      <c r="G475" s="32"/>
      <c r="H475" s="32"/>
    </row>
    <row r="476" ht="15.75" customHeight="1">
      <c r="A476" s="32"/>
      <c r="B476" s="32"/>
      <c r="C476" s="33"/>
      <c r="D476" s="33"/>
      <c r="E476" s="33"/>
      <c r="F476" s="32"/>
      <c r="G476" s="32"/>
      <c r="H476" s="32"/>
    </row>
    <row r="477" ht="15.75" customHeight="1">
      <c r="A477" s="32"/>
      <c r="B477" s="32"/>
      <c r="C477" s="33"/>
      <c r="D477" s="33"/>
      <c r="E477" s="33"/>
      <c r="F477" s="32"/>
      <c r="G477" s="32"/>
      <c r="H477" s="32"/>
    </row>
    <row r="478" ht="15.75" customHeight="1">
      <c r="A478" s="32"/>
      <c r="B478" s="32"/>
      <c r="C478" s="33"/>
      <c r="D478" s="33"/>
      <c r="E478" s="33"/>
      <c r="F478" s="32"/>
      <c r="G478" s="32"/>
      <c r="H478" s="32"/>
    </row>
    <row r="479" ht="15.75" customHeight="1">
      <c r="A479" s="32"/>
      <c r="B479" s="32"/>
      <c r="C479" s="33"/>
      <c r="D479" s="33"/>
      <c r="E479" s="33"/>
      <c r="F479" s="32"/>
      <c r="G479" s="32"/>
      <c r="H479" s="32"/>
    </row>
    <row r="480" ht="15.75" customHeight="1">
      <c r="A480" s="32"/>
      <c r="B480" s="32"/>
      <c r="C480" s="33"/>
      <c r="D480" s="33"/>
      <c r="E480" s="33"/>
      <c r="F480" s="32"/>
      <c r="G480" s="32"/>
      <c r="H480" s="32"/>
    </row>
    <row r="481" ht="15.75" customHeight="1">
      <c r="A481" s="32"/>
      <c r="B481" s="32"/>
      <c r="C481" s="33"/>
      <c r="D481" s="33"/>
      <c r="E481" s="33"/>
      <c r="F481" s="32"/>
      <c r="G481" s="32"/>
      <c r="H481" s="32"/>
    </row>
    <row r="482" ht="15.75" customHeight="1">
      <c r="A482" s="32"/>
      <c r="B482" s="32"/>
      <c r="C482" s="33"/>
      <c r="D482" s="33"/>
      <c r="E482" s="33"/>
      <c r="F482" s="32"/>
      <c r="G482" s="32"/>
      <c r="H482" s="32"/>
    </row>
    <row r="483" ht="15.75" customHeight="1">
      <c r="A483" s="32"/>
      <c r="B483" s="32"/>
      <c r="C483" s="33"/>
      <c r="D483" s="33"/>
      <c r="E483" s="33"/>
      <c r="F483" s="32"/>
      <c r="G483" s="32"/>
      <c r="H483" s="32"/>
    </row>
    <row r="484" ht="15.75" customHeight="1">
      <c r="A484" s="32"/>
      <c r="B484" s="32"/>
      <c r="C484" s="33"/>
      <c r="D484" s="33"/>
      <c r="E484" s="33"/>
      <c r="F484" s="32"/>
      <c r="G484" s="32"/>
      <c r="H484" s="32"/>
    </row>
    <row r="485" ht="15.75" customHeight="1">
      <c r="A485" s="32"/>
      <c r="B485" s="32"/>
      <c r="C485" s="33"/>
      <c r="D485" s="33"/>
      <c r="E485" s="33"/>
      <c r="F485" s="32"/>
      <c r="G485" s="32"/>
      <c r="H485" s="32"/>
    </row>
    <row r="486" ht="15.75" customHeight="1">
      <c r="A486" s="32"/>
      <c r="B486" s="32"/>
      <c r="C486" s="33"/>
      <c r="D486" s="33"/>
      <c r="E486" s="33"/>
      <c r="F486" s="32"/>
      <c r="G486" s="32"/>
      <c r="H486" s="32"/>
    </row>
    <row r="487" ht="15.75" customHeight="1">
      <c r="A487" s="32"/>
      <c r="B487" s="32"/>
      <c r="C487" s="33"/>
      <c r="D487" s="33"/>
      <c r="E487" s="33"/>
      <c r="F487" s="32"/>
      <c r="G487" s="32"/>
      <c r="H487" s="32"/>
    </row>
    <row r="488" ht="15.75" customHeight="1">
      <c r="A488" s="32"/>
      <c r="B488" s="32"/>
      <c r="C488" s="33"/>
      <c r="D488" s="33"/>
      <c r="E488" s="33"/>
      <c r="F488" s="32"/>
      <c r="G488" s="32"/>
      <c r="H488" s="32"/>
    </row>
    <row r="489" ht="15.75" customHeight="1">
      <c r="A489" s="32"/>
      <c r="B489" s="32"/>
      <c r="C489" s="33"/>
      <c r="D489" s="33"/>
      <c r="E489" s="33"/>
      <c r="F489" s="32"/>
      <c r="G489" s="32"/>
      <c r="H489" s="32"/>
    </row>
    <row r="490" ht="15.75" customHeight="1">
      <c r="A490" s="32"/>
      <c r="B490" s="32"/>
      <c r="C490" s="33"/>
      <c r="D490" s="33"/>
      <c r="E490" s="33"/>
      <c r="F490" s="32"/>
      <c r="G490" s="32"/>
      <c r="H490" s="32"/>
    </row>
    <row r="491" ht="15.75" customHeight="1">
      <c r="A491" s="32"/>
      <c r="B491" s="32"/>
      <c r="C491" s="33"/>
      <c r="D491" s="33"/>
      <c r="E491" s="33"/>
      <c r="F491" s="32"/>
      <c r="G491" s="32"/>
      <c r="H491" s="32"/>
    </row>
    <row r="492" ht="15.75" customHeight="1">
      <c r="A492" s="32"/>
      <c r="B492" s="32"/>
      <c r="C492" s="33"/>
      <c r="D492" s="33"/>
      <c r="E492" s="33"/>
      <c r="F492" s="32"/>
      <c r="G492" s="32"/>
      <c r="H492" s="32"/>
    </row>
    <row r="493" ht="15.75" customHeight="1">
      <c r="A493" s="32"/>
      <c r="B493" s="32"/>
      <c r="C493" s="33"/>
      <c r="D493" s="33"/>
      <c r="E493" s="33"/>
      <c r="F493" s="32"/>
      <c r="G493" s="32"/>
      <c r="H493" s="32"/>
    </row>
    <row r="494" ht="15.75" customHeight="1">
      <c r="A494" s="32"/>
      <c r="B494" s="32"/>
      <c r="C494" s="33"/>
      <c r="D494" s="33"/>
      <c r="E494" s="33"/>
      <c r="F494" s="32"/>
      <c r="G494" s="32"/>
      <c r="H494" s="32"/>
    </row>
    <row r="495" ht="15.75" customHeight="1">
      <c r="A495" s="32"/>
      <c r="B495" s="32"/>
      <c r="C495" s="33"/>
      <c r="D495" s="33"/>
      <c r="E495" s="33"/>
      <c r="F495" s="32"/>
      <c r="G495" s="32"/>
      <c r="H495" s="32"/>
    </row>
    <row r="496" ht="15.75" customHeight="1">
      <c r="A496" s="32"/>
      <c r="B496" s="32"/>
      <c r="C496" s="33"/>
      <c r="D496" s="33"/>
      <c r="E496" s="33"/>
      <c r="F496" s="32"/>
      <c r="G496" s="32"/>
      <c r="H496" s="32"/>
    </row>
    <row r="497" ht="15.75" customHeight="1">
      <c r="A497" s="32"/>
      <c r="B497" s="32"/>
      <c r="C497" s="33"/>
      <c r="D497" s="33"/>
      <c r="E497" s="33"/>
      <c r="F497" s="32"/>
      <c r="G497" s="32"/>
      <c r="H497" s="32"/>
    </row>
    <row r="498" ht="15.75" customHeight="1">
      <c r="A498" s="32"/>
      <c r="B498" s="32"/>
      <c r="C498" s="33"/>
      <c r="D498" s="33"/>
      <c r="E498" s="33"/>
      <c r="F498" s="32"/>
      <c r="G498" s="32"/>
      <c r="H498" s="32"/>
    </row>
    <row r="499" ht="15.75" customHeight="1">
      <c r="A499" s="32"/>
      <c r="B499" s="32"/>
      <c r="C499" s="33"/>
      <c r="D499" s="33"/>
      <c r="E499" s="33"/>
      <c r="F499" s="32"/>
      <c r="G499" s="32"/>
      <c r="H499" s="32"/>
    </row>
    <row r="500" ht="15.75" customHeight="1">
      <c r="A500" s="32"/>
      <c r="B500" s="32"/>
      <c r="C500" s="33"/>
      <c r="D500" s="33"/>
      <c r="E500" s="33"/>
      <c r="F500" s="32"/>
      <c r="G500" s="32"/>
      <c r="H500" s="32"/>
    </row>
    <row r="501" ht="15.75" customHeight="1">
      <c r="A501" s="32"/>
      <c r="B501" s="32"/>
      <c r="C501" s="33"/>
      <c r="D501" s="33"/>
      <c r="E501" s="33"/>
      <c r="F501" s="32"/>
      <c r="G501" s="32"/>
      <c r="H501" s="32"/>
    </row>
    <row r="502" ht="15.75" customHeight="1">
      <c r="A502" s="32"/>
      <c r="B502" s="32"/>
      <c r="C502" s="33"/>
      <c r="D502" s="33"/>
      <c r="E502" s="33"/>
      <c r="F502" s="32"/>
      <c r="G502" s="32"/>
      <c r="H502" s="32"/>
    </row>
    <row r="503" ht="15.75" customHeight="1">
      <c r="A503" s="32"/>
      <c r="B503" s="32"/>
      <c r="C503" s="33"/>
      <c r="D503" s="33"/>
      <c r="E503" s="33"/>
      <c r="F503" s="32"/>
      <c r="G503" s="32"/>
      <c r="H503" s="32"/>
    </row>
    <row r="504" ht="15.75" customHeight="1">
      <c r="A504" s="32"/>
      <c r="B504" s="32"/>
      <c r="C504" s="33"/>
      <c r="D504" s="33"/>
      <c r="E504" s="33"/>
      <c r="F504" s="32"/>
      <c r="G504" s="32"/>
      <c r="H504" s="32"/>
    </row>
    <row r="505" ht="15.75" customHeight="1">
      <c r="A505" s="32"/>
      <c r="B505" s="32"/>
      <c r="C505" s="33"/>
      <c r="D505" s="33"/>
      <c r="E505" s="33"/>
      <c r="F505" s="32"/>
      <c r="G505" s="32"/>
      <c r="H505" s="32"/>
    </row>
    <row r="506" ht="15.75" customHeight="1">
      <c r="A506" s="32"/>
      <c r="B506" s="32"/>
      <c r="C506" s="33"/>
      <c r="D506" s="33"/>
      <c r="E506" s="33"/>
      <c r="F506" s="32"/>
      <c r="G506" s="32"/>
      <c r="H506" s="32"/>
    </row>
    <row r="507" ht="15.75" customHeight="1">
      <c r="A507" s="32"/>
      <c r="B507" s="32"/>
      <c r="C507" s="33"/>
      <c r="D507" s="33"/>
      <c r="E507" s="33"/>
      <c r="F507" s="32"/>
      <c r="G507" s="32"/>
      <c r="H507" s="32"/>
    </row>
    <row r="508" ht="15.75" customHeight="1">
      <c r="A508" s="32"/>
      <c r="B508" s="32"/>
      <c r="C508" s="33"/>
      <c r="D508" s="33"/>
      <c r="E508" s="33"/>
      <c r="F508" s="32"/>
      <c r="G508" s="32"/>
      <c r="H508" s="32"/>
    </row>
    <row r="509" ht="15.75" customHeight="1">
      <c r="A509" s="32"/>
      <c r="B509" s="32"/>
      <c r="C509" s="33"/>
      <c r="D509" s="33"/>
      <c r="E509" s="33"/>
      <c r="F509" s="32"/>
      <c r="G509" s="32"/>
      <c r="H509" s="32"/>
    </row>
    <row r="510" ht="15.75" customHeight="1">
      <c r="A510" s="32"/>
      <c r="B510" s="32"/>
      <c r="C510" s="33"/>
      <c r="D510" s="33"/>
      <c r="E510" s="33"/>
      <c r="F510" s="32"/>
      <c r="G510" s="32"/>
      <c r="H510" s="32"/>
    </row>
    <row r="511" ht="15.75" customHeight="1">
      <c r="A511" s="32"/>
      <c r="B511" s="32"/>
      <c r="C511" s="33"/>
      <c r="D511" s="33"/>
      <c r="E511" s="33"/>
      <c r="F511" s="32"/>
      <c r="G511" s="32"/>
      <c r="H511" s="32"/>
    </row>
    <row r="512" ht="15.75" customHeight="1">
      <c r="A512" s="32"/>
      <c r="B512" s="32"/>
      <c r="C512" s="33"/>
      <c r="D512" s="33"/>
      <c r="E512" s="33"/>
      <c r="F512" s="32"/>
      <c r="G512" s="32"/>
      <c r="H512" s="32"/>
    </row>
    <row r="513" ht="15.75" customHeight="1">
      <c r="A513" s="32"/>
      <c r="B513" s="32"/>
      <c r="C513" s="33"/>
      <c r="D513" s="33"/>
      <c r="E513" s="33"/>
      <c r="F513" s="32"/>
      <c r="G513" s="32"/>
      <c r="H513" s="32"/>
    </row>
    <row r="514" ht="15.75" customHeight="1">
      <c r="A514" s="32"/>
      <c r="B514" s="32"/>
      <c r="C514" s="33"/>
      <c r="D514" s="33"/>
      <c r="E514" s="33"/>
      <c r="F514" s="32"/>
      <c r="G514" s="32"/>
      <c r="H514" s="32"/>
    </row>
    <row r="515" ht="15.75" customHeight="1">
      <c r="A515" s="32"/>
      <c r="B515" s="32"/>
      <c r="C515" s="33"/>
      <c r="D515" s="33"/>
      <c r="E515" s="33"/>
      <c r="F515" s="32"/>
      <c r="G515" s="32"/>
      <c r="H515" s="32"/>
    </row>
    <row r="516" ht="15.75" customHeight="1">
      <c r="A516" s="32"/>
      <c r="B516" s="32"/>
      <c r="C516" s="33"/>
      <c r="D516" s="33"/>
      <c r="E516" s="33"/>
      <c r="F516" s="32"/>
      <c r="G516" s="32"/>
      <c r="H516" s="32"/>
    </row>
    <row r="517" ht="15.75" customHeight="1">
      <c r="A517" s="32"/>
      <c r="B517" s="32"/>
      <c r="C517" s="33"/>
      <c r="D517" s="33"/>
      <c r="E517" s="33"/>
      <c r="F517" s="32"/>
      <c r="G517" s="32"/>
      <c r="H517" s="32"/>
    </row>
    <row r="518" ht="15.75" customHeight="1">
      <c r="A518" s="32"/>
      <c r="B518" s="32"/>
      <c r="C518" s="33"/>
      <c r="D518" s="33"/>
      <c r="E518" s="33"/>
      <c r="F518" s="32"/>
      <c r="G518" s="32"/>
      <c r="H518" s="32"/>
    </row>
    <row r="519" ht="15.75" customHeight="1">
      <c r="A519" s="32"/>
      <c r="B519" s="32"/>
      <c r="C519" s="33"/>
      <c r="D519" s="33"/>
      <c r="E519" s="33"/>
      <c r="F519" s="32"/>
      <c r="G519" s="32"/>
      <c r="H519" s="32"/>
    </row>
    <row r="520" ht="15.75" customHeight="1">
      <c r="A520" s="32"/>
      <c r="B520" s="32"/>
      <c r="C520" s="33"/>
      <c r="D520" s="33"/>
      <c r="E520" s="33"/>
      <c r="F520" s="32"/>
      <c r="G520" s="32"/>
      <c r="H520" s="32"/>
    </row>
    <row r="521" ht="15.75" customHeight="1">
      <c r="A521" s="32"/>
      <c r="B521" s="32"/>
      <c r="C521" s="33"/>
      <c r="D521" s="33"/>
      <c r="E521" s="33"/>
      <c r="F521" s="32"/>
      <c r="G521" s="32"/>
      <c r="H521" s="32"/>
    </row>
    <row r="522" ht="15.75" customHeight="1">
      <c r="A522" s="32"/>
      <c r="B522" s="32"/>
      <c r="C522" s="33"/>
      <c r="D522" s="33"/>
      <c r="E522" s="33"/>
      <c r="F522" s="32"/>
      <c r="G522" s="32"/>
      <c r="H522" s="32"/>
    </row>
    <row r="523" ht="15.75" customHeight="1">
      <c r="A523" s="32"/>
      <c r="B523" s="32"/>
      <c r="C523" s="33"/>
      <c r="D523" s="33"/>
      <c r="E523" s="33"/>
      <c r="F523" s="32"/>
      <c r="G523" s="32"/>
      <c r="H523" s="32"/>
    </row>
    <row r="524" ht="15.75" customHeight="1">
      <c r="A524" s="32"/>
      <c r="B524" s="32"/>
      <c r="C524" s="33"/>
      <c r="D524" s="33"/>
      <c r="E524" s="33"/>
      <c r="F524" s="32"/>
      <c r="G524" s="32"/>
      <c r="H524" s="32"/>
    </row>
    <row r="525" ht="15.75" customHeight="1">
      <c r="A525" s="32"/>
      <c r="B525" s="32"/>
      <c r="C525" s="33"/>
      <c r="D525" s="33"/>
      <c r="E525" s="33"/>
      <c r="F525" s="32"/>
      <c r="G525" s="32"/>
      <c r="H525" s="32"/>
    </row>
    <row r="526" ht="15.75" customHeight="1">
      <c r="A526" s="32"/>
      <c r="B526" s="32"/>
      <c r="C526" s="33"/>
      <c r="D526" s="33"/>
      <c r="E526" s="33"/>
      <c r="F526" s="32"/>
      <c r="G526" s="32"/>
      <c r="H526" s="32"/>
    </row>
    <row r="527" ht="15.75" customHeight="1">
      <c r="A527" s="32"/>
      <c r="B527" s="32"/>
      <c r="C527" s="33"/>
      <c r="D527" s="33"/>
      <c r="E527" s="33"/>
      <c r="F527" s="32"/>
      <c r="G527" s="32"/>
      <c r="H527" s="32"/>
    </row>
    <row r="528" ht="15.75" customHeight="1">
      <c r="A528" s="32"/>
      <c r="B528" s="32"/>
      <c r="C528" s="33"/>
      <c r="D528" s="33"/>
      <c r="E528" s="33"/>
      <c r="F528" s="32"/>
      <c r="G528" s="32"/>
      <c r="H528" s="32"/>
    </row>
    <row r="529" ht="15.75" customHeight="1">
      <c r="A529" s="32"/>
      <c r="B529" s="32"/>
      <c r="C529" s="33"/>
      <c r="D529" s="33"/>
      <c r="E529" s="33"/>
      <c r="F529" s="32"/>
      <c r="G529" s="32"/>
      <c r="H529" s="32"/>
    </row>
    <row r="530" ht="15.75" customHeight="1">
      <c r="A530" s="32"/>
      <c r="B530" s="32"/>
      <c r="C530" s="33"/>
      <c r="D530" s="33"/>
      <c r="E530" s="33"/>
      <c r="F530" s="32"/>
      <c r="G530" s="32"/>
      <c r="H530" s="32"/>
    </row>
    <row r="531" ht="15.75" customHeight="1">
      <c r="A531" s="32"/>
      <c r="B531" s="32"/>
      <c r="C531" s="33"/>
      <c r="D531" s="33"/>
      <c r="E531" s="33"/>
      <c r="F531" s="32"/>
      <c r="G531" s="32"/>
      <c r="H531" s="32"/>
    </row>
    <row r="532" ht="15.75" customHeight="1">
      <c r="A532" s="32"/>
      <c r="B532" s="32"/>
      <c r="C532" s="33"/>
      <c r="D532" s="33"/>
      <c r="E532" s="33"/>
      <c r="F532" s="32"/>
      <c r="G532" s="32"/>
      <c r="H532" s="32"/>
    </row>
    <row r="533" ht="15.75" customHeight="1">
      <c r="A533" s="32"/>
      <c r="B533" s="32"/>
      <c r="C533" s="33"/>
      <c r="D533" s="33"/>
      <c r="E533" s="33"/>
      <c r="F533" s="32"/>
      <c r="G533" s="32"/>
      <c r="H533" s="32"/>
    </row>
    <row r="534" ht="15.75" customHeight="1">
      <c r="A534" s="32"/>
      <c r="B534" s="32"/>
      <c r="C534" s="33"/>
      <c r="D534" s="33"/>
      <c r="E534" s="33"/>
      <c r="F534" s="32"/>
      <c r="G534" s="32"/>
      <c r="H534" s="32"/>
    </row>
    <row r="535" ht="15.75" customHeight="1">
      <c r="A535" s="32"/>
      <c r="B535" s="32"/>
      <c r="C535" s="33"/>
      <c r="D535" s="33"/>
      <c r="E535" s="33"/>
      <c r="F535" s="32"/>
      <c r="G535" s="32"/>
      <c r="H535" s="32"/>
    </row>
    <row r="536" ht="15.75" customHeight="1">
      <c r="A536" s="32"/>
      <c r="B536" s="32"/>
      <c r="C536" s="33"/>
      <c r="D536" s="33"/>
      <c r="E536" s="33"/>
      <c r="F536" s="32"/>
      <c r="G536" s="32"/>
      <c r="H536" s="32"/>
    </row>
    <row r="537" ht="15.75" customHeight="1">
      <c r="A537" s="32"/>
      <c r="B537" s="32"/>
      <c r="C537" s="33"/>
      <c r="D537" s="33"/>
      <c r="E537" s="33"/>
      <c r="F537" s="32"/>
      <c r="G537" s="32"/>
      <c r="H537" s="32"/>
    </row>
    <row r="538" ht="15.75" customHeight="1">
      <c r="A538" s="32"/>
      <c r="B538" s="32"/>
      <c r="C538" s="33"/>
      <c r="D538" s="33"/>
      <c r="E538" s="33"/>
      <c r="F538" s="32"/>
      <c r="G538" s="32"/>
      <c r="H538" s="32"/>
    </row>
    <row r="539" ht="15.75" customHeight="1">
      <c r="A539" s="32"/>
      <c r="B539" s="32"/>
      <c r="C539" s="33"/>
      <c r="D539" s="33"/>
      <c r="E539" s="33"/>
      <c r="F539" s="32"/>
      <c r="G539" s="32"/>
      <c r="H539" s="32"/>
    </row>
    <row r="540" ht="15.75" customHeight="1">
      <c r="A540" s="32"/>
      <c r="B540" s="32"/>
      <c r="C540" s="33"/>
      <c r="D540" s="33"/>
      <c r="E540" s="33"/>
      <c r="F540" s="32"/>
      <c r="G540" s="32"/>
      <c r="H540" s="32"/>
    </row>
    <row r="541" ht="15.75" customHeight="1">
      <c r="A541" s="32"/>
      <c r="B541" s="32"/>
      <c r="C541" s="33"/>
      <c r="D541" s="33"/>
      <c r="E541" s="33"/>
      <c r="F541" s="32"/>
      <c r="G541" s="32"/>
      <c r="H541" s="32"/>
    </row>
    <row r="542" ht="15.75" customHeight="1">
      <c r="A542" s="32"/>
      <c r="B542" s="32"/>
      <c r="C542" s="33"/>
      <c r="D542" s="33"/>
      <c r="E542" s="33"/>
      <c r="F542" s="32"/>
      <c r="G542" s="32"/>
      <c r="H542" s="32"/>
    </row>
    <row r="543" ht="15.75" customHeight="1">
      <c r="A543" s="32"/>
      <c r="B543" s="32"/>
      <c r="C543" s="33"/>
      <c r="D543" s="33"/>
      <c r="E543" s="33"/>
      <c r="F543" s="32"/>
      <c r="G543" s="32"/>
      <c r="H543" s="32"/>
    </row>
    <row r="544" ht="15.75" customHeight="1">
      <c r="A544" s="32"/>
      <c r="B544" s="32"/>
      <c r="C544" s="33"/>
      <c r="D544" s="33"/>
      <c r="E544" s="33"/>
      <c r="F544" s="32"/>
      <c r="G544" s="32"/>
      <c r="H544" s="32"/>
    </row>
    <row r="545" ht="15.75" customHeight="1">
      <c r="A545" s="32"/>
      <c r="B545" s="32"/>
      <c r="C545" s="33"/>
      <c r="D545" s="33"/>
      <c r="E545" s="33"/>
      <c r="F545" s="32"/>
      <c r="G545" s="32"/>
      <c r="H545" s="32"/>
    </row>
    <row r="546" ht="15.75" customHeight="1">
      <c r="A546" s="32"/>
      <c r="B546" s="32"/>
      <c r="C546" s="33"/>
      <c r="D546" s="33"/>
      <c r="E546" s="33"/>
      <c r="F546" s="32"/>
      <c r="G546" s="32"/>
      <c r="H546" s="32"/>
    </row>
    <row r="547" ht="15.75" customHeight="1">
      <c r="A547" s="32"/>
      <c r="B547" s="32"/>
      <c r="C547" s="33"/>
      <c r="D547" s="33"/>
      <c r="E547" s="33"/>
      <c r="F547" s="32"/>
      <c r="G547" s="32"/>
      <c r="H547" s="32"/>
    </row>
    <row r="548" ht="15.75" customHeight="1">
      <c r="A548" s="32"/>
      <c r="B548" s="32"/>
      <c r="C548" s="33"/>
      <c r="D548" s="33"/>
      <c r="E548" s="33"/>
      <c r="F548" s="32"/>
      <c r="G548" s="32"/>
      <c r="H548" s="32"/>
    </row>
    <row r="549" ht="15.75" customHeight="1">
      <c r="A549" s="32"/>
      <c r="B549" s="32"/>
      <c r="C549" s="33"/>
      <c r="D549" s="33"/>
      <c r="E549" s="33"/>
      <c r="F549" s="32"/>
      <c r="G549" s="32"/>
      <c r="H549" s="32"/>
    </row>
    <row r="550" ht="15.75" customHeight="1">
      <c r="A550" s="32"/>
      <c r="B550" s="32"/>
      <c r="C550" s="33"/>
      <c r="D550" s="33"/>
      <c r="E550" s="33"/>
      <c r="F550" s="32"/>
      <c r="G550" s="32"/>
      <c r="H550" s="32"/>
    </row>
    <row r="551" ht="15.75" customHeight="1">
      <c r="A551" s="32"/>
      <c r="B551" s="32"/>
      <c r="C551" s="33"/>
      <c r="D551" s="33"/>
      <c r="E551" s="33"/>
      <c r="F551" s="32"/>
      <c r="G551" s="32"/>
      <c r="H551" s="32"/>
    </row>
    <row r="552" ht="15.75" customHeight="1">
      <c r="A552" s="32"/>
      <c r="B552" s="32"/>
      <c r="C552" s="33"/>
      <c r="D552" s="33"/>
      <c r="E552" s="33"/>
      <c r="F552" s="32"/>
      <c r="G552" s="32"/>
      <c r="H552" s="32"/>
    </row>
    <row r="553" ht="15.75" customHeight="1">
      <c r="A553" s="32"/>
      <c r="B553" s="32"/>
      <c r="C553" s="33"/>
      <c r="D553" s="33"/>
      <c r="E553" s="33"/>
      <c r="F553" s="32"/>
      <c r="G553" s="32"/>
      <c r="H553" s="32"/>
    </row>
    <row r="554" ht="15.75" customHeight="1">
      <c r="A554" s="32"/>
      <c r="B554" s="32"/>
      <c r="C554" s="33"/>
      <c r="D554" s="33"/>
      <c r="E554" s="33"/>
      <c r="F554" s="32"/>
      <c r="G554" s="32"/>
      <c r="H554" s="32"/>
    </row>
    <row r="555" ht="15.75" customHeight="1">
      <c r="A555" s="32"/>
      <c r="B555" s="32"/>
      <c r="C555" s="33"/>
      <c r="D555" s="33"/>
      <c r="E555" s="33"/>
      <c r="F555" s="32"/>
      <c r="G555" s="32"/>
      <c r="H555" s="32"/>
    </row>
    <row r="556" ht="15.75" customHeight="1">
      <c r="A556" s="32"/>
      <c r="B556" s="32"/>
      <c r="C556" s="33"/>
      <c r="D556" s="33"/>
      <c r="E556" s="33"/>
      <c r="F556" s="32"/>
      <c r="G556" s="32"/>
      <c r="H556" s="32"/>
    </row>
    <row r="557" ht="15.75" customHeight="1">
      <c r="A557" s="32"/>
      <c r="B557" s="32"/>
      <c r="C557" s="33"/>
      <c r="D557" s="33"/>
      <c r="E557" s="33"/>
      <c r="F557" s="32"/>
      <c r="G557" s="32"/>
      <c r="H557" s="32"/>
    </row>
    <row r="558" ht="15.75" customHeight="1">
      <c r="A558" s="32"/>
      <c r="B558" s="32"/>
      <c r="C558" s="33"/>
      <c r="D558" s="33"/>
      <c r="E558" s="33"/>
      <c r="F558" s="32"/>
      <c r="G558" s="32"/>
      <c r="H558" s="32"/>
    </row>
    <row r="559" ht="15.75" customHeight="1">
      <c r="A559" s="32"/>
      <c r="B559" s="32"/>
      <c r="C559" s="33"/>
      <c r="D559" s="33"/>
      <c r="E559" s="33"/>
      <c r="F559" s="32"/>
      <c r="G559" s="32"/>
      <c r="H559" s="32"/>
    </row>
    <row r="560" ht="15.75" customHeight="1">
      <c r="A560" s="32"/>
      <c r="B560" s="32"/>
      <c r="C560" s="33"/>
      <c r="D560" s="33"/>
      <c r="E560" s="33"/>
      <c r="F560" s="32"/>
      <c r="G560" s="32"/>
      <c r="H560" s="32"/>
    </row>
    <row r="561" ht="15.75" customHeight="1">
      <c r="A561" s="32"/>
      <c r="B561" s="32"/>
      <c r="C561" s="33"/>
      <c r="D561" s="33"/>
      <c r="E561" s="33"/>
      <c r="F561" s="32"/>
      <c r="G561" s="32"/>
      <c r="H561" s="32"/>
    </row>
    <row r="562" ht="15.75" customHeight="1">
      <c r="A562" s="32"/>
      <c r="B562" s="32"/>
      <c r="C562" s="33"/>
      <c r="D562" s="33"/>
      <c r="E562" s="33"/>
      <c r="F562" s="32"/>
      <c r="G562" s="32"/>
      <c r="H562" s="32"/>
    </row>
    <row r="563" ht="15.75" customHeight="1">
      <c r="A563" s="32"/>
      <c r="B563" s="32"/>
      <c r="C563" s="33"/>
      <c r="D563" s="33"/>
      <c r="E563" s="33"/>
      <c r="F563" s="32"/>
      <c r="G563" s="32"/>
      <c r="H563" s="32"/>
    </row>
    <row r="564" ht="15.75" customHeight="1">
      <c r="A564" s="32"/>
      <c r="B564" s="32"/>
      <c r="C564" s="33"/>
      <c r="D564" s="33"/>
      <c r="E564" s="33"/>
      <c r="F564" s="32"/>
      <c r="G564" s="32"/>
      <c r="H564" s="32"/>
    </row>
    <row r="565" ht="15.75" customHeight="1">
      <c r="A565" s="32"/>
      <c r="B565" s="32"/>
      <c r="C565" s="33"/>
      <c r="D565" s="33"/>
      <c r="E565" s="33"/>
      <c r="F565" s="32"/>
      <c r="G565" s="32"/>
      <c r="H565" s="32"/>
    </row>
    <row r="566" ht="15.75" customHeight="1">
      <c r="A566" s="32"/>
      <c r="B566" s="32"/>
      <c r="C566" s="33"/>
      <c r="D566" s="33"/>
      <c r="E566" s="33"/>
      <c r="F566" s="32"/>
      <c r="G566" s="32"/>
      <c r="H566" s="32"/>
    </row>
    <row r="567" ht="15.75" customHeight="1">
      <c r="A567" s="32"/>
      <c r="B567" s="32"/>
      <c r="C567" s="33"/>
      <c r="D567" s="33"/>
      <c r="E567" s="33"/>
      <c r="F567" s="32"/>
      <c r="G567" s="32"/>
      <c r="H567" s="32"/>
    </row>
    <row r="568" ht="15.75" customHeight="1">
      <c r="A568" s="32"/>
      <c r="B568" s="32"/>
      <c r="C568" s="33"/>
      <c r="D568" s="33"/>
      <c r="E568" s="33"/>
      <c r="F568" s="32"/>
      <c r="G568" s="32"/>
      <c r="H568" s="32"/>
    </row>
    <row r="569" ht="15.75" customHeight="1">
      <c r="A569" s="32"/>
      <c r="B569" s="32"/>
      <c r="C569" s="33"/>
      <c r="D569" s="33"/>
      <c r="E569" s="33"/>
      <c r="F569" s="32"/>
      <c r="G569" s="32"/>
      <c r="H569" s="32"/>
    </row>
    <row r="570" ht="15.75" customHeight="1">
      <c r="A570" s="32"/>
      <c r="B570" s="32"/>
      <c r="C570" s="33"/>
      <c r="D570" s="33"/>
      <c r="E570" s="33"/>
      <c r="F570" s="32"/>
      <c r="G570" s="32"/>
      <c r="H570" s="32"/>
    </row>
    <row r="571" ht="15.75" customHeight="1">
      <c r="A571" s="32"/>
      <c r="B571" s="32"/>
      <c r="C571" s="33"/>
      <c r="D571" s="33"/>
      <c r="E571" s="33"/>
      <c r="F571" s="32"/>
      <c r="G571" s="32"/>
      <c r="H571" s="32"/>
    </row>
    <row r="572" ht="15.75" customHeight="1">
      <c r="A572" s="32"/>
      <c r="B572" s="32"/>
      <c r="C572" s="33"/>
      <c r="D572" s="33"/>
      <c r="E572" s="33"/>
      <c r="F572" s="32"/>
      <c r="G572" s="32"/>
      <c r="H572" s="32"/>
    </row>
    <row r="573" ht="15.75" customHeight="1">
      <c r="A573" s="32"/>
      <c r="B573" s="32"/>
      <c r="C573" s="33"/>
      <c r="D573" s="33"/>
      <c r="E573" s="33"/>
      <c r="F573" s="32"/>
      <c r="G573" s="32"/>
      <c r="H573" s="32"/>
    </row>
    <row r="574" ht="15.75" customHeight="1">
      <c r="A574" s="32"/>
      <c r="B574" s="32"/>
      <c r="C574" s="33"/>
      <c r="D574" s="33"/>
      <c r="E574" s="33"/>
      <c r="F574" s="32"/>
      <c r="G574" s="32"/>
      <c r="H574" s="32"/>
    </row>
    <row r="575" ht="15.75" customHeight="1">
      <c r="A575" s="32"/>
      <c r="B575" s="32"/>
      <c r="C575" s="33"/>
      <c r="D575" s="33"/>
      <c r="E575" s="33"/>
      <c r="F575" s="32"/>
      <c r="G575" s="32"/>
      <c r="H575" s="32"/>
    </row>
    <row r="576" ht="15.75" customHeight="1">
      <c r="A576" s="32"/>
      <c r="B576" s="32"/>
      <c r="C576" s="33"/>
      <c r="D576" s="33"/>
      <c r="E576" s="33"/>
      <c r="F576" s="32"/>
      <c r="G576" s="32"/>
      <c r="H576" s="32"/>
    </row>
    <row r="577" ht="15.75" customHeight="1">
      <c r="A577" s="32"/>
      <c r="B577" s="32"/>
      <c r="C577" s="33"/>
      <c r="D577" s="33"/>
      <c r="E577" s="33"/>
      <c r="F577" s="32"/>
      <c r="G577" s="32"/>
      <c r="H577" s="32"/>
    </row>
    <row r="578" ht="15.75" customHeight="1">
      <c r="A578" s="32"/>
      <c r="B578" s="32"/>
      <c r="C578" s="33"/>
      <c r="D578" s="33"/>
      <c r="E578" s="33"/>
      <c r="F578" s="32"/>
      <c r="G578" s="32"/>
      <c r="H578" s="32"/>
    </row>
    <row r="579" ht="15.75" customHeight="1">
      <c r="A579" s="32"/>
      <c r="B579" s="32"/>
      <c r="C579" s="33"/>
      <c r="D579" s="33"/>
      <c r="E579" s="33"/>
      <c r="F579" s="32"/>
      <c r="G579" s="32"/>
      <c r="H579" s="32"/>
    </row>
    <row r="580" ht="15.75" customHeight="1">
      <c r="A580" s="32"/>
      <c r="B580" s="32"/>
      <c r="C580" s="33"/>
      <c r="D580" s="33"/>
      <c r="E580" s="33"/>
      <c r="F580" s="32"/>
      <c r="G580" s="32"/>
      <c r="H580" s="32"/>
    </row>
    <row r="581" ht="15.75" customHeight="1">
      <c r="A581" s="32"/>
      <c r="B581" s="32"/>
      <c r="C581" s="33"/>
      <c r="D581" s="33"/>
      <c r="E581" s="33"/>
      <c r="F581" s="32"/>
      <c r="G581" s="32"/>
      <c r="H581" s="32"/>
    </row>
    <row r="582" ht="15.75" customHeight="1">
      <c r="A582" s="32"/>
      <c r="B582" s="32"/>
      <c r="C582" s="33"/>
      <c r="D582" s="33"/>
      <c r="E582" s="33"/>
      <c r="F582" s="32"/>
      <c r="G582" s="32"/>
      <c r="H582" s="32"/>
    </row>
    <row r="583" ht="15.75" customHeight="1">
      <c r="A583" s="32"/>
      <c r="B583" s="32"/>
      <c r="C583" s="33"/>
      <c r="D583" s="33"/>
      <c r="E583" s="33"/>
      <c r="F583" s="32"/>
      <c r="G583" s="32"/>
      <c r="H583" s="32"/>
    </row>
    <row r="584" ht="15.75" customHeight="1">
      <c r="A584" s="32"/>
      <c r="B584" s="32"/>
      <c r="C584" s="33"/>
      <c r="D584" s="33"/>
      <c r="E584" s="33"/>
      <c r="F584" s="32"/>
      <c r="G584" s="32"/>
      <c r="H584" s="32"/>
    </row>
    <row r="585" ht="15.75" customHeight="1">
      <c r="A585" s="32"/>
      <c r="B585" s="32"/>
      <c r="C585" s="33"/>
      <c r="D585" s="33"/>
      <c r="E585" s="33"/>
      <c r="F585" s="32"/>
      <c r="G585" s="32"/>
      <c r="H585" s="32"/>
    </row>
    <row r="586" ht="15.75" customHeight="1">
      <c r="A586" s="32"/>
      <c r="B586" s="32"/>
      <c r="C586" s="33"/>
      <c r="D586" s="33"/>
      <c r="E586" s="33"/>
      <c r="F586" s="32"/>
      <c r="G586" s="32"/>
      <c r="H586" s="32"/>
    </row>
    <row r="587" ht="15.75" customHeight="1">
      <c r="A587" s="32"/>
      <c r="B587" s="32"/>
      <c r="C587" s="33"/>
      <c r="D587" s="33"/>
      <c r="E587" s="33"/>
      <c r="F587" s="32"/>
      <c r="G587" s="32"/>
      <c r="H587" s="32"/>
    </row>
    <row r="588" ht="15.75" customHeight="1">
      <c r="A588" s="32"/>
      <c r="B588" s="32"/>
      <c r="C588" s="33"/>
      <c r="D588" s="33"/>
      <c r="E588" s="33"/>
      <c r="F588" s="32"/>
      <c r="G588" s="32"/>
      <c r="H588" s="32"/>
    </row>
    <row r="589" ht="15.75" customHeight="1">
      <c r="A589" s="32"/>
      <c r="B589" s="32"/>
      <c r="C589" s="33"/>
      <c r="D589" s="33"/>
      <c r="E589" s="33"/>
      <c r="F589" s="32"/>
      <c r="G589" s="32"/>
      <c r="H589" s="32"/>
    </row>
    <row r="590" ht="15.75" customHeight="1">
      <c r="A590" s="32"/>
      <c r="B590" s="32"/>
      <c r="C590" s="33"/>
      <c r="D590" s="33"/>
      <c r="E590" s="33"/>
      <c r="F590" s="32"/>
      <c r="G590" s="32"/>
      <c r="H590" s="32"/>
    </row>
    <row r="591" ht="15.75" customHeight="1">
      <c r="A591" s="32"/>
      <c r="B591" s="32"/>
      <c r="C591" s="33"/>
      <c r="D591" s="33"/>
      <c r="E591" s="33"/>
      <c r="F591" s="32"/>
      <c r="G591" s="32"/>
      <c r="H591" s="32"/>
    </row>
    <row r="592" ht="15.75" customHeight="1">
      <c r="A592" s="32"/>
      <c r="B592" s="32"/>
      <c r="C592" s="33"/>
      <c r="D592" s="33"/>
      <c r="E592" s="33"/>
      <c r="F592" s="32"/>
      <c r="G592" s="32"/>
      <c r="H592" s="32"/>
    </row>
    <row r="593" ht="15.75" customHeight="1">
      <c r="A593" s="32"/>
      <c r="B593" s="32"/>
      <c r="C593" s="33"/>
      <c r="D593" s="33"/>
      <c r="E593" s="33"/>
      <c r="F593" s="32"/>
      <c r="G593" s="32"/>
      <c r="H593" s="32"/>
    </row>
    <row r="594" ht="15.75" customHeight="1">
      <c r="A594" s="32"/>
      <c r="B594" s="32"/>
      <c r="C594" s="33"/>
      <c r="D594" s="33"/>
      <c r="E594" s="33"/>
      <c r="F594" s="32"/>
      <c r="G594" s="32"/>
      <c r="H594" s="32"/>
    </row>
    <row r="595" ht="15.75" customHeight="1">
      <c r="A595" s="32"/>
      <c r="B595" s="32"/>
      <c r="C595" s="33"/>
      <c r="D595" s="33"/>
      <c r="E595" s="33"/>
      <c r="F595" s="32"/>
      <c r="G595" s="32"/>
      <c r="H595" s="32"/>
    </row>
    <row r="596" ht="15.75" customHeight="1">
      <c r="A596" s="32"/>
      <c r="B596" s="32"/>
      <c r="C596" s="33"/>
      <c r="D596" s="33"/>
      <c r="E596" s="33"/>
      <c r="F596" s="32"/>
      <c r="G596" s="32"/>
      <c r="H596" s="32"/>
    </row>
    <row r="597" ht="15.75" customHeight="1">
      <c r="A597" s="32"/>
      <c r="B597" s="32"/>
      <c r="C597" s="33"/>
      <c r="D597" s="33"/>
      <c r="E597" s="33"/>
      <c r="F597" s="32"/>
      <c r="G597" s="32"/>
      <c r="H597" s="32"/>
    </row>
    <row r="598" ht="15.75" customHeight="1">
      <c r="A598" s="32"/>
      <c r="B598" s="32"/>
      <c r="C598" s="33"/>
      <c r="D598" s="33"/>
      <c r="E598" s="33"/>
      <c r="F598" s="32"/>
      <c r="G598" s="32"/>
      <c r="H598" s="32"/>
    </row>
    <row r="599" ht="15.75" customHeight="1">
      <c r="A599" s="32"/>
      <c r="B599" s="32"/>
      <c r="C599" s="33"/>
      <c r="D599" s="33"/>
      <c r="E599" s="33"/>
      <c r="F599" s="32"/>
      <c r="G599" s="32"/>
      <c r="H599" s="32"/>
    </row>
    <row r="600" ht="15.75" customHeight="1">
      <c r="A600" s="32"/>
      <c r="B600" s="32"/>
      <c r="C600" s="33"/>
      <c r="D600" s="33"/>
      <c r="E600" s="33"/>
      <c r="F600" s="32"/>
      <c r="G600" s="32"/>
      <c r="H600" s="32"/>
    </row>
    <row r="601" ht="15.75" customHeight="1">
      <c r="A601" s="32"/>
      <c r="B601" s="32"/>
      <c r="C601" s="33"/>
      <c r="D601" s="33"/>
      <c r="E601" s="33"/>
      <c r="F601" s="32"/>
      <c r="G601" s="32"/>
      <c r="H601" s="32"/>
    </row>
    <row r="602" ht="15.75" customHeight="1">
      <c r="A602" s="32"/>
      <c r="B602" s="32"/>
      <c r="C602" s="33"/>
      <c r="D602" s="33"/>
      <c r="E602" s="33"/>
      <c r="F602" s="32"/>
      <c r="G602" s="32"/>
      <c r="H602" s="32"/>
    </row>
    <row r="603" ht="15.75" customHeight="1">
      <c r="A603" s="32"/>
      <c r="B603" s="32"/>
      <c r="C603" s="33"/>
      <c r="D603" s="33"/>
      <c r="E603" s="33"/>
      <c r="F603" s="32"/>
      <c r="G603" s="32"/>
      <c r="H603" s="32"/>
    </row>
    <row r="604" ht="15.75" customHeight="1">
      <c r="A604" s="32"/>
      <c r="B604" s="32"/>
      <c r="C604" s="33"/>
      <c r="D604" s="33"/>
      <c r="E604" s="33"/>
      <c r="F604" s="32"/>
      <c r="G604" s="32"/>
      <c r="H604" s="32"/>
    </row>
    <row r="605" ht="15.75" customHeight="1">
      <c r="A605" s="32"/>
      <c r="B605" s="32"/>
      <c r="C605" s="33"/>
      <c r="D605" s="33"/>
      <c r="E605" s="33"/>
      <c r="F605" s="32"/>
      <c r="G605" s="32"/>
      <c r="H605" s="32"/>
    </row>
    <row r="606" ht="15.75" customHeight="1">
      <c r="A606" s="32"/>
      <c r="B606" s="32"/>
      <c r="C606" s="33"/>
      <c r="D606" s="33"/>
      <c r="E606" s="33"/>
      <c r="F606" s="32"/>
      <c r="G606" s="32"/>
      <c r="H606" s="32"/>
    </row>
    <row r="607" ht="15.75" customHeight="1">
      <c r="A607" s="32"/>
      <c r="B607" s="32"/>
      <c r="C607" s="33"/>
      <c r="D607" s="33"/>
      <c r="E607" s="33"/>
      <c r="F607" s="32"/>
      <c r="G607" s="32"/>
      <c r="H607" s="32"/>
    </row>
    <row r="608" ht="15.75" customHeight="1">
      <c r="A608" s="32"/>
      <c r="B608" s="32"/>
      <c r="C608" s="33"/>
      <c r="D608" s="33"/>
      <c r="E608" s="33"/>
      <c r="F608" s="32"/>
      <c r="G608" s="32"/>
      <c r="H608" s="32"/>
    </row>
    <row r="609" ht="15.75" customHeight="1">
      <c r="A609" s="32"/>
      <c r="B609" s="32"/>
      <c r="C609" s="33"/>
      <c r="D609" s="33"/>
      <c r="E609" s="33"/>
      <c r="F609" s="32"/>
      <c r="G609" s="32"/>
      <c r="H609" s="32"/>
    </row>
    <row r="610" ht="15.75" customHeight="1">
      <c r="A610" s="32"/>
      <c r="B610" s="32"/>
      <c r="C610" s="33"/>
      <c r="D610" s="33"/>
      <c r="E610" s="33"/>
      <c r="F610" s="32"/>
      <c r="G610" s="32"/>
      <c r="H610" s="32"/>
    </row>
    <row r="611" ht="15.75" customHeight="1">
      <c r="A611" s="32"/>
      <c r="B611" s="32"/>
      <c r="C611" s="33"/>
      <c r="D611" s="33"/>
      <c r="E611" s="33"/>
      <c r="F611" s="32"/>
      <c r="G611" s="32"/>
      <c r="H611" s="32"/>
    </row>
    <row r="612" ht="15.75" customHeight="1">
      <c r="A612" s="32"/>
      <c r="B612" s="32"/>
      <c r="C612" s="33"/>
      <c r="D612" s="33"/>
      <c r="E612" s="33"/>
      <c r="F612" s="32"/>
      <c r="G612" s="32"/>
      <c r="H612" s="32"/>
    </row>
    <row r="613" ht="15.75" customHeight="1">
      <c r="A613" s="32"/>
      <c r="B613" s="32"/>
      <c r="C613" s="33"/>
      <c r="D613" s="33"/>
      <c r="E613" s="33"/>
      <c r="F613" s="32"/>
      <c r="G613" s="32"/>
      <c r="H613" s="32"/>
    </row>
    <row r="614" ht="15.75" customHeight="1">
      <c r="A614" s="32"/>
      <c r="B614" s="32"/>
      <c r="C614" s="33"/>
      <c r="D614" s="33"/>
      <c r="E614" s="33"/>
      <c r="F614" s="32"/>
      <c r="G614" s="32"/>
      <c r="H614" s="32"/>
    </row>
    <row r="615" ht="15.75" customHeight="1">
      <c r="A615" s="32"/>
      <c r="B615" s="32"/>
      <c r="C615" s="33"/>
      <c r="D615" s="33"/>
      <c r="E615" s="33"/>
      <c r="F615" s="32"/>
      <c r="G615" s="32"/>
      <c r="H615" s="32"/>
    </row>
    <row r="616" ht="15.75" customHeight="1">
      <c r="A616" s="32"/>
      <c r="B616" s="32"/>
      <c r="C616" s="33"/>
      <c r="D616" s="33"/>
      <c r="E616" s="33"/>
      <c r="F616" s="32"/>
      <c r="G616" s="32"/>
      <c r="H616" s="32"/>
    </row>
    <row r="617" ht="15.75" customHeight="1">
      <c r="A617" s="32"/>
      <c r="B617" s="32"/>
      <c r="C617" s="33"/>
      <c r="D617" s="33"/>
      <c r="E617" s="33"/>
      <c r="F617" s="32"/>
      <c r="G617" s="32"/>
      <c r="H617" s="32"/>
    </row>
    <row r="618" ht="15.75" customHeight="1">
      <c r="A618" s="32"/>
      <c r="B618" s="32"/>
      <c r="C618" s="33"/>
      <c r="D618" s="33"/>
      <c r="E618" s="33"/>
      <c r="F618" s="32"/>
      <c r="G618" s="32"/>
      <c r="H618" s="32"/>
    </row>
    <row r="619" ht="15.75" customHeight="1">
      <c r="A619" s="32"/>
      <c r="B619" s="32"/>
      <c r="C619" s="33"/>
      <c r="D619" s="33"/>
      <c r="E619" s="33"/>
      <c r="F619" s="32"/>
      <c r="G619" s="32"/>
      <c r="H619" s="32"/>
    </row>
    <row r="620" ht="15.75" customHeight="1">
      <c r="A620" s="32"/>
      <c r="B620" s="32"/>
      <c r="C620" s="33"/>
      <c r="D620" s="33"/>
      <c r="E620" s="33"/>
      <c r="F620" s="32"/>
      <c r="G620" s="32"/>
      <c r="H620" s="32"/>
    </row>
    <row r="621" ht="15.75" customHeight="1">
      <c r="A621" s="32"/>
      <c r="B621" s="32"/>
      <c r="C621" s="33"/>
      <c r="D621" s="33"/>
      <c r="E621" s="33"/>
      <c r="F621" s="32"/>
      <c r="G621" s="32"/>
      <c r="H621" s="32"/>
    </row>
    <row r="622" ht="15.75" customHeight="1">
      <c r="A622" s="32"/>
      <c r="B622" s="32"/>
      <c r="C622" s="33"/>
      <c r="D622" s="33"/>
      <c r="E622" s="33"/>
      <c r="F622" s="32"/>
      <c r="G622" s="32"/>
      <c r="H622" s="32"/>
    </row>
    <row r="623" ht="15.75" customHeight="1">
      <c r="A623" s="32"/>
      <c r="B623" s="32"/>
      <c r="C623" s="33"/>
      <c r="D623" s="33"/>
      <c r="E623" s="33"/>
      <c r="F623" s="32"/>
      <c r="G623" s="32"/>
      <c r="H623" s="32"/>
    </row>
    <row r="624" ht="15.75" customHeight="1">
      <c r="A624" s="32"/>
      <c r="B624" s="32"/>
      <c r="C624" s="33"/>
      <c r="D624" s="33"/>
      <c r="E624" s="33"/>
      <c r="F624" s="32"/>
      <c r="G624" s="32"/>
      <c r="H624" s="32"/>
    </row>
    <row r="625" ht="15.75" customHeight="1">
      <c r="A625" s="32"/>
      <c r="B625" s="32"/>
      <c r="C625" s="33"/>
      <c r="D625" s="33"/>
      <c r="E625" s="33"/>
      <c r="F625" s="32"/>
      <c r="G625" s="32"/>
      <c r="H625" s="32"/>
    </row>
    <row r="626" ht="15.75" customHeight="1">
      <c r="A626" s="32"/>
      <c r="B626" s="32"/>
      <c r="C626" s="33"/>
      <c r="D626" s="33"/>
      <c r="E626" s="33"/>
      <c r="F626" s="32"/>
      <c r="G626" s="32"/>
      <c r="H626" s="32"/>
    </row>
    <row r="627" ht="15.75" customHeight="1">
      <c r="A627" s="32"/>
      <c r="B627" s="32"/>
      <c r="C627" s="33"/>
      <c r="D627" s="33"/>
      <c r="E627" s="33"/>
      <c r="F627" s="32"/>
      <c r="G627" s="32"/>
      <c r="H627" s="32"/>
    </row>
    <row r="628" ht="15.75" customHeight="1">
      <c r="A628" s="32"/>
      <c r="B628" s="32"/>
      <c r="C628" s="33"/>
      <c r="D628" s="33"/>
      <c r="E628" s="33"/>
      <c r="F628" s="32"/>
      <c r="G628" s="32"/>
      <c r="H628" s="32"/>
    </row>
    <row r="629" ht="15.75" customHeight="1">
      <c r="A629" s="32"/>
      <c r="B629" s="32"/>
      <c r="C629" s="33"/>
      <c r="D629" s="33"/>
      <c r="E629" s="33"/>
      <c r="F629" s="32"/>
      <c r="G629" s="32"/>
      <c r="H629" s="32"/>
    </row>
    <row r="630" ht="15.75" customHeight="1">
      <c r="A630" s="32"/>
      <c r="B630" s="32"/>
      <c r="C630" s="33"/>
      <c r="D630" s="33"/>
      <c r="E630" s="33"/>
      <c r="F630" s="32"/>
      <c r="G630" s="32"/>
      <c r="H630" s="32"/>
    </row>
    <row r="631" ht="15.75" customHeight="1">
      <c r="A631" s="32"/>
      <c r="B631" s="32"/>
      <c r="C631" s="33"/>
      <c r="D631" s="33"/>
      <c r="E631" s="33"/>
      <c r="F631" s="32"/>
      <c r="G631" s="32"/>
      <c r="H631" s="32"/>
    </row>
    <row r="632" ht="15.75" customHeight="1">
      <c r="A632" s="32"/>
      <c r="B632" s="32"/>
      <c r="C632" s="33"/>
      <c r="D632" s="33"/>
      <c r="E632" s="33"/>
      <c r="F632" s="32"/>
      <c r="G632" s="32"/>
      <c r="H632" s="32"/>
    </row>
    <row r="633" ht="15.75" customHeight="1">
      <c r="A633" s="32"/>
      <c r="B633" s="32"/>
      <c r="C633" s="33"/>
      <c r="D633" s="33"/>
      <c r="E633" s="33"/>
      <c r="F633" s="32"/>
      <c r="G633" s="32"/>
      <c r="H633" s="32"/>
    </row>
    <row r="634" ht="15.75" customHeight="1">
      <c r="A634" s="32"/>
      <c r="B634" s="32"/>
      <c r="C634" s="33"/>
      <c r="D634" s="33"/>
      <c r="E634" s="33"/>
      <c r="F634" s="32"/>
      <c r="G634" s="32"/>
      <c r="H634" s="32"/>
    </row>
    <row r="635" ht="15.75" customHeight="1">
      <c r="A635" s="32"/>
      <c r="B635" s="32"/>
      <c r="C635" s="33"/>
      <c r="D635" s="33"/>
      <c r="E635" s="33"/>
      <c r="F635" s="32"/>
      <c r="G635" s="32"/>
      <c r="H635" s="32"/>
    </row>
    <row r="636" ht="15.75" customHeight="1">
      <c r="A636" s="32"/>
      <c r="B636" s="32"/>
      <c r="C636" s="33"/>
      <c r="D636" s="33"/>
      <c r="E636" s="33"/>
      <c r="F636" s="32"/>
      <c r="G636" s="32"/>
      <c r="H636" s="32"/>
    </row>
    <row r="637" ht="15.75" customHeight="1">
      <c r="A637" s="32"/>
      <c r="B637" s="32"/>
      <c r="C637" s="33"/>
      <c r="D637" s="33"/>
      <c r="E637" s="33"/>
      <c r="F637" s="32"/>
      <c r="G637" s="32"/>
      <c r="H637" s="32"/>
    </row>
    <row r="638" ht="15.75" customHeight="1">
      <c r="A638" s="32"/>
      <c r="B638" s="32"/>
      <c r="C638" s="33"/>
      <c r="D638" s="33"/>
      <c r="E638" s="33"/>
      <c r="F638" s="32"/>
      <c r="G638" s="32"/>
      <c r="H638" s="32"/>
    </row>
    <row r="639" ht="15.75" customHeight="1">
      <c r="A639" s="32"/>
      <c r="B639" s="32"/>
      <c r="C639" s="33"/>
      <c r="D639" s="33"/>
      <c r="E639" s="33"/>
      <c r="F639" s="32"/>
      <c r="G639" s="32"/>
      <c r="H639" s="32"/>
    </row>
    <row r="640" ht="15.75" customHeight="1">
      <c r="A640" s="32"/>
      <c r="B640" s="32"/>
      <c r="C640" s="33"/>
      <c r="D640" s="33"/>
      <c r="E640" s="33"/>
      <c r="F640" s="32"/>
      <c r="G640" s="32"/>
      <c r="H640" s="32"/>
    </row>
    <row r="641" ht="15.75" customHeight="1">
      <c r="A641" s="32"/>
      <c r="B641" s="32"/>
      <c r="C641" s="33"/>
      <c r="D641" s="33"/>
      <c r="E641" s="33"/>
      <c r="F641" s="32"/>
      <c r="G641" s="32"/>
      <c r="H641" s="32"/>
    </row>
    <row r="642" ht="15.75" customHeight="1">
      <c r="A642" s="32"/>
      <c r="B642" s="32"/>
      <c r="C642" s="33"/>
      <c r="D642" s="33"/>
      <c r="E642" s="33"/>
      <c r="F642" s="32"/>
      <c r="G642" s="32"/>
      <c r="H642" s="32"/>
    </row>
    <row r="643" ht="15.75" customHeight="1">
      <c r="A643" s="32"/>
      <c r="B643" s="32"/>
      <c r="C643" s="33"/>
      <c r="D643" s="33"/>
      <c r="E643" s="33"/>
      <c r="F643" s="32"/>
      <c r="G643" s="32"/>
      <c r="H643" s="32"/>
    </row>
    <row r="644" ht="15.75" customHeight="1">
      <c r="A644" s="32"/>
      <c r="B644" s="32"/>
      <c r="C644" s="33"/>
      <c r="D644" s="33"/>
      <c r="E644" s="33"/>
      <c r="F644" s="32"/>
      <c r="G644" s="32"/>
      <c r="H644" s="32"/>
    </row>
    <row r="645" ht="15.75" customHeight="1">
      <c r="A645" s="32"/>
      <c r="B645" s="32"/>
      <c r="C645" s="33"/>
      <c r="D645" s="33"/>
      <c r="E645" s="33"/>
      <c r="F645" s="32"/>
      <c r="G645" s="32"/>
      <c r="H645" s="32"/>
    </row>
    <row r="646" ht="15.75" customHeight="1">
      <c r="A646" s="32"/>
      <c r="B646" s="32"/>
      <c r="C646" s="33"/>
      <c r="D646" s="33"/>
      <c r="E646" s="33"/>
      <c r="F646" s="32"/>
      <c r="G646" s="32"/>
      <c r="H646" s="32"/>
    </row>
    <row r="647" ht="15.75" customHeight="1">
      <c r="A647" s="32"/>
      <c r="B647" s="32"/>
      <c r="C647" s="33"/>
      <c r="D647" s="33"/>
      <c r="E647" s="33"/>
      <c r="F647" s="32"/>
      <c r="G647" s="32"/>
      <c r="H647" s="32"/>
    </row>
    <row r="648" ht="15.75" customHeight="1">
      <c r="A648" s="32"/>
      <c r="B648" s="32"/>
      <c r="C648" s="33"/>
      <c r="D648" s="33"/>
      <c r="E648" s="33"/>
      <c r="F648" s="32"/>
      <c r="G648" s="32"/>
      <c r="H648" s="32"/>
    </row>
    <row r="649" ht="15.75" customHeight="1">
      <c r="A649" s="32"/>
      <c r="B649" s="32"/>
      <c r="C649" s="33"/>
      <c r="D649" s="33"/>
      <c r="E649" s="33"/>
      <c r="F649" s="32"/>
      <c r="G649" s="32"/>
      <c r="H649" s="32"/>
    </row>
    <row r="650" ht="15.75" customHeight="1">
      <c r="A650" s="32"/>
      <c r="B650" s="32"/>
      <c r="C650" s="33"/>
      <c r="D650" s="33"/>
      <c r="E650" s="33"/>
      <c r="F650" s="32"/>
      <c r="G650" s="32"/>
      <c r="H650" s="32"/>
    </row>
    <row r="651" ht="15.75" customHeight="1">
      <c r="A651" s="32"/>
      <c r="B651" s="32"/>
      <c r="C651" s="33"/>
      <c r="D651" s="33"/>
      <c r="E651" s="33"/>
      <c r="F651" s="32"/>
      <c r="G651" s="32"/>
      <c r="H651" s="32"/>
    </row>
    <row r="652" ht="15.75" customHeight="1">
      <c r="A652" s="32"/>
      <c r="B652" s="32"/>
      <c r="C652" s="33"/>
      <c r="D652" s="33"/>
      <c r="E652" s="33"/>
      <c r="F652" s="32"/>
      <c r="G652" s="32"/>
      <c r="H652" s="32"/>
    </row>
    <row r="653" ht="15.75" customHeight="1">
      <c r="A653" s="32"/>
      <c r="B653" s="32"/>
      <c r="C653" s="33"/>
      <c r="D653" s="33"/>
      <c r="E653" s="33"/>
      <c r="F653" s="32"/>
      <c r="G653" s="32"/>
      <c r="H653" s="32"/>
    </row>
    <row r="654" ht="15.75" customHeight="1">
      <c r="A654" s="32"/>
      <c r="B654" s="32"/>
      <c r="C654" s="33"/>
      <c r="D654" s="33"/>
      <c r="E654" s="33"/>
      <c r="F654" s="32"/>
      <c r="G654" s="32"/>
      <c r="H654" s="32"/>
    </row>
    <row r="655" ht="15.75" customHeight="1">
      <c r="A655" s="32"/>
      <c r="B655" s="32"/>
      <c r="C655" s="33"/>
      <c r="D655" s="33"/>
      <c r="E655" s="33"/>
      <c r="F655" s="32"/>
      <c r="G655" s="32"/>
      <c r="H655" s="32"/>
    </row>
    <row r="656" ht="15.75" customHeight="1">
      <c r="A656" s="32"/>
      <c r="B656" s="32"/>
      <c r="C656" s="33"/>
      <c r="D656" s="33"/>
      <c r="E656" s="33"/>
      <c r="F656" s="32"/>
      <c r="G656" s="32"/>
      <c r="H656" s="32"/>
    </row>
    <row r="657" ht="15.75" customHeight="1">
      <c r="A657" s="32"/>
      <c r="B657" s="32"/>
      <c r="C657" s="33"/>
      <c r="D657" s="33"/>
      <c r="E657" s="33"/>
      <c r="F657" s="32"/>
      <c r="G657" s="32"/>
      <c r="H657" s="32"/>
    </row>
    <row r="658" ht="15.75" customHeight="1">
      <c r="A658" s="32"/>
      <c r="B658" s="32"/>
      <c r="C658" s="33"/>
      <c r="D658" s="33"/>
      <c r="E658" s="33"/>
      <c r="F658" s="32"/>
      <c r="G658" s="32"/>
      <c r="H658" s="32"/>
    </row>
    <row r="659" ht="15.75" customHeight="1">
      <c r="A659" s="32"/>
      <c r="B659" s="32"/>
      <c r="C659" s="33"/>
      <c r="D659" s="33"/>
      <c r="E659" s="33"/>
      <c r="F659" s="32"/>
      <c r="G659" s="32"/>
      <c r="H659" s="32"/>
    </row>
    <row r="660" ht="15.75" customHeight="1">
      <c r="A660" s="32"/>
      <c r="B660" s="32"/>
      <c r="C660" s="33"/>
      <c r="D660" s="33"/>
      <c r="E660" s="33"/>
      <c r="F660" s="32"/>
      <c r="G660" s="32"/>
      <c r="H660" s="32"/>
    </row>
    <row r="661" ht="15.75" customHeight="1">
      <c r="A661" s="32"/>
      <c r="B661" s="32"/>
      <c r="C661" s="33"/>
      <c r="D661" s="33"/>
      <c r="E661" s="33"/>
      <c r="F661" s="32"/>
      <c r="G661" s="32"/>
      <c r="H661" s="32"/>
    </row>
    <row r="662" ht="15.75" customHeight="1">
      <c r="A662" s="32"/>
      <c r="B662" s="32"/>
      <c r="C662" s="33"/>
      <c r="D662" s="33"/>
      <c r="E662" s="33"/>
      <c r="F662" s="32"/>
      <c r="G662" s="32"/>
      <c r="H662" s="32"/>
    </row>
    <row r="663" ht="15.75" customHeight="1">
      <c r="A663" s="32"/>
      <c r="B663" s="32"/>
      <c r="C663" s="33"/>
      <c r="D663" s="33"/>
      <c r="E663" s="33"/>
      <c r="F663" s="32"/>
      <c r="G663" s="32"/>
      <c r="H663" s="32"/>
    </row>
    <row r="664" ht="15.75" customHeight="1">
      <c r="A664" s="32"/>
      <c r="B664" s="32"/>
      <c r="C664" s="33"/>
      <c r="D664" s="33"/>
      <c r="E664" s="33"/>
      <c r="F664" s="32"/>
      <c r="G664" s="32"/>
      <c r="H664" s="32"/>
    </row>
    <row r="665" ht="15.75" customHeight="1">
      <c r="A665" s="32"/>
      <c r="B665" s="32"/>
      <c r="C665" s="33"/>
      <c r="D665" s="33"/>
      <c r="E665" s="33"/>
      <c r="F665" s="32"/>
      <c r="G665" s="32"/>
      <c r="H665" s="32"/>
    </row>
    <row r="666" ht="15.75" customHeight="1">
      <c r="A666" s="32"/>
      <c r="B666" s="32"/>
      <c r="C666" s="33"/>
      <c r="D666" s="33"/>
      <c r="E666" s="33"/>
      <c r="F666" s="32"/>
      <c r="G666" s="32"/>
      <c r="H666" s="32"/>
    </row>
    <row r="667" ht="15.75" customHeight="1">
      <c r="A667" s="32"/>
      <c r="B667" s="32"/>
      <c r="C667" s="33"/>
      <c r="D667" s="33"/>
      <c r="E667" s="33"/>
      <c r="F667" s="32"/>
      <c r="G667" s="32"/>
      <c r="H667" s="32"/>
    </row>
    <row r="668" ht="15.75" customHeight="1">
      <c r="A668" s="32"/>
      <c r="B668" s="32"/>
      <c r="C668" s="33"/>
      <c r="D668" s="33"/>
      <c r="E668" s="33"/>
      <c r="F668" s="32"/>
      <c r="G668" s="32"/>
      <c r="H668" s="32"/>
    </row>
    <row r="669" ht="15.75" customHeight="1">
      <c r="A669" s="32"/>
      <c r="B669" s="32"/>
      <c r="C669" s="33"/>
      <c r="D669" s="33"/>
      <c r="E669" s="33"/>
      <c r="F669" s="32"/>
      <c r="G669" s="32"/>
      <c r="H669" s="32"/>
    </row>
    <row r="670" ht="15.75" customHeight="1">
      <c r="A670" s="32"/>
      <c r="B670" s="32"/>
      <c r="C670" s="33"/>
      <c r="D670" s="33"/>
      <c r="E670" s="33"/>
      <c r="F670" s="32"/>
      <c r="G670" s="32"/>
      <c r="H670" s="32"/>
    </row>
    <row r="671" ht="15.75" customHeight="1">
      <c r="A671" s="32"/>
      <c r="B671" s="32"/>
      <c r="C671" s="33"/>
      <c r="D671" s="33"/>
      <c r="E671" s="33"/>
      <c r="F671" s="32"/>
      <c r="G671" s="32"/>
      <c r="H671" s="32"/>
    </row>
    <row r="672" ht="15.75" customHeight="1">
      <c r="A672" s="32"/>
      <c r="B672" s="32"/>
      <c r="C672" s="33"/>
      <c r="D672" s="33"/>
      <c r="E672" s="33"/>
      <c r="F672" s="32"/>
      <c r="G672" s="32"/>
      <c r="H672" s="32"/>
    </row>
    <row r="673" ht="15.75" customHeight="1">
      <c r="A673" s="32"/>
      <c r="B673" s="32"/>
      <c r="C673" s="33"/>
      <c r="D673" s="33"/>
      <c r="E673" s="33"/>
      <c r="F673" s="32"/>
      <c r="G673" s="32"/>
      <c r="H673" s="32"/>
    </row>
    <row r="674" ht="15.75" customHeight="1">
      <c r="A674" s="32"/>
      <c r="B674" s="32"/>
      <c r="C674" s="33"/>
      <c r="D674" s="33"/>
      <c r="E674" s="33"/>
      <c r="F674" s="32"/>
      <c r="G674" s="32"/>
      <c r="H674" s="32"/>
    </row>
    <row r="675" ht="15.75" customHeight="1">
      <c r="A675" s="32"/>
      <c r="B675" s="32"/>
      <c r="C675" s="33"/>
      <c r="D675" s="33"/>
      <c r="E675" s="33"/>
      <c r="F675" s="32"/>
      <c r="G675" s="32"/>
      <c r="H675" s="32"/>
    </row>
    <row r="676" ht="15.75" customHeight="1">
      <c r="A676" s="32"/>
      <c r="B676" s="32"/>
      <c r="C676" s="33"/>
      <c r="D676" s="33"/>
      <c r="E676" s="33"/>
      <c r="F676" s="32"/>
      <c r="G676" s="32"/>
      <c r="H676" s="32"/>
    </row>
    <row r="677" ht="15.75" customHeight="1">
      <c r="A677" s="32"/>
      <c r="B677" s="32"/>
      <c r="C677" s="33"/>
      <c r="D677" s="33"/>
      <c r="E677" s="33"/>
      <c r="F677" s="32"/>
      <c r="G677" s="32"/>
      <c r="H677" s="32"/>
    </row>
    <row r="678" ht="15.75" customHeight="1">
      <c r="A678" s="32"/>
      <c r="B678" s="32"/>
      <c r="C678" s="33"/>
      <c r="D678" s="33"/>
      <c r="E678" s="33"/>
      <c r="F678" s="32"/>
      <c r="G678" s="32"/>
      <c r="H678" s="32"/>
    </row>
    <row r="679" ht="15.75" customHeight="1">
      <c r="A679" s="32"/>
      <c r="B679" s="32"/>
      <c r="C679" s="33"/>
      <c r="D679" s="33"/>
      <c r="E679" s="33"/>
      <c r="F679" s="32"/>
      <c r="G679" s="32"/>
      <c r="H679" s="32"/>
    </row>
    <row r="680" ht="15.75" customHeight="1">
      <c r="A680" s="32"/>
      <c r="B680" s="32"/>
      <c r="C680" s="33"/>
      <c r="D680" s="33"/>
      <c r="E680" s="33"/>
      <c r="F680" s="32"/>
      <c r="G680" s="32"/>
      <c r="H680" s="32"/>
    </row>
    <row r="681" ht="15.75" customHeight="1">
      <c r="A681" s="32"/>
      <c r="B681" s="32"/>
      <c r="C681" s="33"/>
      <c r="D681" s="33"/>
      <c r="E681" s="33"/>
      <c r="F681" s="32"/>
      <c r="G681" s="32"/>
      <c r="H681" s="32"/>
    </row>
    <row r="682" ht="15.75" customHeight="1">
      <c r="A682" s="32"/>
      <c r="B682" s="32"/>
      <c r="C682" s="33"/>
      <c r="D682" s="33"/>
      <c r="E682" s="33"/>
      <c r="F682" s="32"/>
      <c r="G682" s="32"/>
      <c r="H682" s="32"/>
    </row>
    <row r="683" ht="15.75" customHeight="1">
      <c r="A683" s="32"/>
      <c r="B683" s="32"/>
      <c r="C683" s="33"/>
      <c r="D683" s="33"/>
      <c r="E683" s="33"/>
      <c r="F683" s="32"/>
      <c r="G683" s="32"/>
      <c r="H683" s="32"/>
    </row>
    <row r="684" ht="15.75" customHeight="1">
      <c r="A684" s="32"/>
      <c r="B684" s="32"/>
      <c r="C684" s="33"/>
      <c r="D684" s="33"/>
      <c r="E684" s="33"/>
      <c r="F684" s="32"/>
      <c r="G684" s="32"/>
      <c r="H684" s="32"/>
    </row>
    <row r="685" ht="15.75" customHeight="1">
      <c r="A685" s="32"/>
      <c r="B685" s="32"/>
      <c r="C685" s="33"/>
      <c r="D685" s="33"/>
      <c r="E685" s="33"/>
      <c r="F685" s="32"/>
      <c r="G685" s="32"/>
      <c r="H685" s="32"/>
    </row>
    <row r="686" ht="15.75" customHeight="1">
      <c r="A686" s="32"/>
      <c r="B686" s="32"/>
      <c r="C686" s="33"/>
      <c r="D686" s="33"/>
      <c r="E686" s="33"/>
      <c r="F686" s="32"/>
      <c r="G686" s="32"/>
      <c r="H686" s="32"/>
    </row>
    <row r="687" ht="15.75" customHeight="1">
      <c r="A687" s="32"/>
      <c r="B687" s="32"/>
      <c r="C687" s="33"/>
      <c r="D687" s="33"/>
      <c r="E687" s="33"/>
      <c r="F687" s="32"/>
      <c r="G687" s="32"/>
      <c r="H687" s="32"/>
    </row>
    <row r="688" ht="15.75" customHeight="1">
      <c r="A688" s="32"/>
      <c r="B688" s="32"/>
      <c r="C688" s="33"/>
      <c r="D688" s="33"/>
      <c r="E688" s="33"/>
      <c r="F688" s="32"/>
      <c r="G688" s="32"/>
      <c r="H688" s="32"/>
    </row>
    <row r="689" ht="15.75" customHeight="1">
      <c r="A689" s="32"/>
      <c r="B689" s="32"/>
      <c r="C689" s="33"/>
      <c r="D689" s="33"/>
      <c r="E689" s="33"/>
      <c r="F689" s="32"/>
      <c r="G689" s="32"/>
      <c r="H689" s="32"/>
    </row>
    <row r="690" ht="15.75" customHeight="1">
      <c r="A690" s="32"/>
      <c r="B690" s="32"/>
      <c r="C690" s="33"/>
      <c r="D690" s="33"/>
      <c r="E690" s="33"/>
      <c r="F690" s="32"/>
      <c r="G690" s="32"/>
      <c r="H690" s="32"/>
    </row>
    <row r="691" ht="15.75" customHeight="1">
      <c r="A691" s="32"/>
      <c r="B691" s="32"/>
      <c r="C691" s="33"/>
      <c r="D691" s="33"/>
      <c r="E691" s="33"/>
      <c r="F691" s="32"/>
      <c r="G691" s="32"/>
      <c r="H691" s="32"/>
    </row>
    <row r="692" ht="15.75" customHeight="1">
      <c r="A692" s="32"/>
      <c r="B692" s="32"/>
      <c r="C692" s="33"/>
      <c r="D692" s="33"/>
      <c r="E692" s="33"/>
      <c r="F692" s="32"/>
      <c r="G692" s="32"/>
      <c r="H692" s="32"/>
    </row>
    <row r="693" ht="15.75" customHeight="1">
      <c r="A693" s="32"/>
      <c r="B693" s="32"/>
      <c r="C693" s="33"/>
      <c r="D693" s="33"/>
      <c r="E693" s="33"/>
      <c r="F693" s="32"/>
      <c r="G693" s="32"/>
      <c r="H693" s="32"/>
    </row>
    <row r="694" ht="15.75" customHeight="1">
      <c r="A694" s="32"/>
      <c r="B694" s="32"/>
      <c r="C694" s="33"/>
      <c r="D694" s="33"/>
      <c r="E694" s="33"/>
      <c r="F694" s="32"/>
      <c r="G694" s="32"/>
      <c r="H694" s="32"/>
    </row>
    <row r="695" ht="15.75" customHeight="1">
      <c r="A695" s="32"/>
      <c r="B695" s="32"/>
      <c r="C695" s="33"/>
      <c r="D695" s="33"/>
      <c r="E695" s="33"/>
      <c r="F695" s="32"/>
      <c r="G695" s="32"/>
      <c r="H695" s="32"/>
    </row>
    <row r="696" ht="15.75" customHeight="1">
      <c r="A696" s="32"/>
      <c r="B696" s="32"/>
      <c r="C696" s="33"/>
      <c r="D696" s="33"/>
      <c r="E696" s="33"/>
      <c r="F696" s="32"/>
      <c r="G696" s="32"/>
      <c r="H696" s="32"/>
    </row>
    <row r="697" ht="15.75" customHeight="1">
      <c r="A697" s="32"/>
      <c r="B697" s="32"/>
      <c r="C697" s="33"/>
      <c r="D697" s="33"/>
      <c r="E697" s="33"/>
      <c r="F697" s="32"/>
      <c r="G697" s="32"/>
      <c r="H697" s="32"/>
    </row>
    <row r="698" ht="15.75" customHeight="1">
      <c r="A698" s="32"/>
      <c r="B698" s="32"/>
      <c r="C698" s="33"/>
      <c r="D698" s="33"/>
      <c r="E698" s="33"/>
      <c r="F698" s="32"/>
      <c r="G698" s="32"/>
      <c r="H698" s="32"/>
    </row>
    <row r="699" ht="15.75" customHeight="1">
      <c r="A699" s="32"/>
      <c r="B699" s="32"/>
      <c r="C699" s="33"/>
      <c r="D699" s="33"/>
      <c r="E699" s="33"/>
      <c r="F699" s="32"/>
      <c r="G699" s="32"/>
      <c r="H699" s="32"/>
    </row>
    <row r="700" ht="15.75" customHeight="1">
      <c r="A700" s="32"/>
      <c r="B700" s="32"/>
      <c r="C700" s="33"/>
      <c r="D700" s="33"/>
      <c r="E700" s="33"/>
      <c r="F700" s="32"/>
      <c r="G700" s="32"/>
      <c r="H700" s="32"/>
    </row>
    <row r="701" ht="15.75" customHeight="1">
      <c r="A701" s="32"/>
      <c r="B701" s="32"/>
      <c r="C701" s="33"/>
      <c r="D701" s="33"/>
      <c r="E701" s="33"/>
      <c r="F701" s="32"/>
      <c r="G701" s="32"/>
      <c r="H701" s="32"/>
    </row>
    <row r="702" ht="15.75" customHeight="1">
      <c r="A702" s="32"/>
      <c r="B702" s="32"/>
      <c r="C702" s="33"/>
      <c r="D702" s="33"/>
      <c r="E702" s="33"/>
      <c r="F702" s="32"/>
      <c r="G702" s="32"/>
      <c r="H702" s="32"/>
    </row>
    <row r="703" ht="15.75" customHeight="1">
      <c r="A703" s="32"/>
      <c r="B703" s="32"/>
      <c r="C703" s="33"/>
      <c r="D703" s="33"/>
      <c r="E703" s="33"/>
      <c r="F703" s="32"/>
      <c r="G703" s="32"/>
      <c r="H703" s="32"/>
    </row>
    <row r="704" ht="15.75" customHeight="1">
      <c r="A704" s="32"/>
      <c r="B704" s="32"/>
      <c r="C704" s="33"/>
      <c r="D704" s="33"/>
      <c r="E704" s="33"/>
      <c r="F704" s="32"/>
      <c r="G704" s="32"/>
      <c r="H704" s="32"/>
    </row>
    <row r="705" ht="15.75" customHeight="1">
      <c r="A705" s="32"/>
      <c r="B705" s="32"/>
      <c r="C705" s="33"/>
      <c r="D705" s="33"/>
      <c r="E705" s="33"/>
      <c r="F705" s="32"/>
      <c r="G705" s="32"/>
      <c r="H705" s="32"/>
    </row>
    <row r="706" ht="15.75" customHeight="1">
      <c r="A706" s="32"/>
      <c r="B706" s="32"/>
      <c r="C706" s="33"/>
      <c r="D706" s="33"/>
      <c r="E706" s="33"/>
      <c r="F706" s="32"/>
      <c r="G706" s="32"/>
      <c r="H706" s="32"/>
    </row>
    <row r="707" ht="15.75" customHeight="1">
      <c r="A707" s="32"/>
      <c r="B707" s="32"/>
      <c r="C707" s="33"/>
      <c r="D707" s="33"/>
      <c r="E707" s="33"/>
      <c r="F707" s="32"/>
      <c r="G707" s="32"/>
      <c r="H707" s="32"/>
    </row>
    <row r="708" ht="15.75" customHeight="1">
      <c r="A708" s="32"/>
      <c r="B708" s="32"/>
      <c r="C708" s="33"/>
      <c r="D708" s="33"/>
      <c r="E708" s="33"/>
      <c r="F708" s="32"/>
      <c r="G708" s="32"/>
      <c r="H708" s="32"/>
    </row>
    <row r="709" ht="15.75" customHeight="1">
      <c r="A709" s="32"/>
      <c r="B709" s="32"/>
      <c r="C709" s="33"/>
      <c r="D709" s="33"/>
      <c r="E709" s="33"/>
      <c r="F709" s="32"/>
      <c r="G709" s="32"/>
      <c r="H709" s="32"/>
    </row>
    <row r="710" ht="15.75" customHeight="1">
      <c r="A710" s="32"/>
      <c r="B710" s="32"/>
      <c r="C710" s="33"/>
      <c r="D710" s="33"/>
      <c r="E710" s="33"/>
      <c r="F710" s="32"/>
      <c r="G710" s="32"/>
      <c r="H710" s="32"/>
    </row>
    <row r="711" ht="15.75" customHeight="1">
      <c r="A711" s="32"/>
      <c r="B711" s="32"/>
      <c r="C711" s="33"/>
      <c r="D711" s="33"/>
      <c r="E711" s="33"/>
      <c r="F711" s="32"/>
      <c r="G711" s="32"/>
      <c r="H711" s="32"/>
    </row>
    <row r="712" ht="15.75" customHeight="1">
      <c r="A712" s="32"/>
      <c r="B712" s="32"/>
      <c r="C712" s="33"/>
      <c r="D712" s="33"/>
      <c r="E712" s="33"/>
      <c r="F712" s="32"/>
      <c r="G712" s="32"/>
      <c r="H712" s="32"/>
    </row>
    <row r="713" ht="15.75" customHeight="1">
      <c r="A713" s="32"/>
      <c r="B713" s="32"/>
      <c r="C713" s="33"/>
      <c r="D713" s="33"/>
      <c r="E713" s="33"/>
      <c r="F713" s="32"/>
      <c r="G713" s="32"/>
      <c r="H713" s="32"/>
    </row>
    <row r="714" ht="15.75" customHeight="1">
      <c r="A714" s="32"/>
      <c r="B714" s="32"/>
      <c r="C714" s="33"/>
      <c r="D714" s="33"/>
      <c r="E714" s="33"/>
      <c r="F714" s="32"/>
      <c r="G714" s="32"/>
      <c r="H714" s="32"/>
    </row>
    <row r="715" ht="15.75" customHeight="1">
      <c r="A715" s="32"/>
      <c r="B715" s="32"/>
      <c r="C715" s="33"/>
      <c r="D715" s="33"/>
      <c r="E715" s="33"/>
      <c r="F715" s="32"/>
      <c r="G715" s="32"/>
      <c r="H715" s="32"/>
    </row>
    <row r="716" ht="15.75" customHeight="1">
      <c r="A716" s="32"/>
      <c r="B716" s="32"/>
      <c r="C716" s="33"/>
      <c r="D716" s="33"/>
      <c r="E716" s="33"/>
      <c r="F716" s="32"/>
      <c r="G716" s="32"/>
      <c r="H716" s="32"/>
    </row>
    <row r="717" ht="15.75" customHeight="1">
      <c r="A717" s="32"/>
      <c r="B717" s="32"/>
      <c r="C717" s="33"/>
      <c r="D717" s="33"/>
      <c r="E717" s="33"/>
      <c r="F717" s="32"/>
      <c r="G717" s="32"/>
      <c r="H717" s="32"/>
    </row>
    <row r="718" ht="15.75" customHeight="1">
      <c r="A718" s="32"/>
      <c r="B718" s="32"/>
      <c r="C718" s="33"/>
      <c r="D718" s="33"/>
      <c r="E718" s="33"/>
      <c r="F718" s="32"/>
      <c r="G718" s="32"/>
      <c r="H718" s="32"/>
    </row>
    <row r="719" ht="15.75" customHeight="1">
      <c r="A719" s="32"/>
      <c r="B719" s="32"/>
      <c r="C719" s="33"/>
      <c r="D719" s="33"/>
      <c r="E719" s="33"/>
      <c r="F719" s="32"/>
      <c r="G719" s="32"/>
      <c r="H719" s="32"/>
    </row>
    <row r="720" ht="15.75" customHeight="1">
      <c r="A720" s="32"/>
      <c r="B720" s="32"/>
      <c r="C720" s="33"/>
      <c r="D720" s="33"/>
      <c r="E720" s="33"/>
      <c r="F720" s="32"/>
      <c r="G720" s="32"/>
      <c r="H720" s="32"/>
    </row>
    <row r="721" ht="15.75" customHeight="1">
      <c r="A721" s="32"/>
      <c r="B721" s="32"/>
      <c r="C721" s="33"/>
      <c r="D721" s="33"/>
      <c r="E721" s="33"/>
      <c r="F721" s="32"/>
      <c r="G721" s="32"/>
      <c r="H721" s="32"/>
    </row>
    <row r="722" ht="15.75" customHeight="1">
      <c r="A722" s="32"/>
      <c r="B722" s="32"/>
      <c r="C722" s="33"/>
      <c r="D722" s="33"/>
      <c r="E722" s="33"/>
      <c r="F722" s="32"/>
      <c r="G722" s="32"/>
      <c r="H722" s="32"/>
    </row>
    <row r="723" ht="15.75" customHeight="1">
      <c r="A723" s="32"/>
      <c r="B723" s="32"/>
      <c r="C723" s="33"/>
      <c r="D723" s="33"/>
      <c r="E723" s="33"/>
      <c r="F723" s="32"/>
      <c r="G723" s="32"/>
      <c r="H723" s="32"/>
    </row>
    <row r="724" ht="15.75" customHeight="1">
      <c r="A724" s="32"/>
      <c r="B724" s="32"/>
      <c r="C724" s="33"/>
      <c r="D724" s="33"/>
      <c r="E724" s="33"/>
      <c r="F724" s="32"/>
      <c r="G724" s="32"/>
      <c r="H724" s="32"/>
    </row>
    <row r="725" ht="15.75" customHeight="1">
      <c r="A725" s="32"/>
      <c r="B725" s="32"/>
      <c r="C725" s="33"/>
      <c r="D725" s="33"/>
      <c r="E725" s="33"/>
      <c r="F725" s="32"/>
      <c r="G725" s="32"/>
      <c r="H725" s="32"/>
    </row>
    <row r="726" ht="15.75" customHeight="1">
      <c r="A726" s="32"/>
      <c r="B726" s="32"/>
      <c r="C726" s="33"/>
      <c r="D726" s="33"/>
      <c r="E726" s="33"/>
      <c r="F726" s="32"/>
      <c r="G726" s="32"/>
      <c r="H726" s="32"/>
    </row>
    <row r="727" ht="15.75" customHeight="1">
      <c r="A727" s="32"/>
      <c r="B727" s="32"/>
      <c r="C727" s="33"/>
      <c r="D727" s="33"/>
      <c r="E727" s="33"/>
      <c r="F727" s="32"/>
      <c r="G727" s="32"/>
      <c r="H727" s="32"/>
    </row>
    <row r="728" ht="15.75" customHeight="1">
      <c r="A728" s="32"/>
      <c r="B728" s="32"/>
      <c r="C728" s="33"/>
      <c r="D728" s="33"/>
      <c r="E728" s="33"/>
      <c r="F728" s="32"/>
      <c r="G728" s="32"/>
      <c r="H728" s="32"/>
    </row>
    <row r="729" ht="15.75" customHeight="1">
      <c r="A729" s="32"/>
      <c r="B729" s="32"/>
      <c r="C729" s="33"/>
      <c r="D729" s="33"/>
      <c r="E729" s="33"/>
      <c r="F729" s="32"/>
      <c r="G729" s="32"/>
      <c r="H729" s="32"/>
    </row>
    <row r="730" ht="15.75" customHeight="1">
      <c r="A730" s="32"/>
      <c r="B730" s="32"/>
      <c r="C730" s="33"/>
      <c r="D730" s="33"/>
      <c r="E730" s="33"/>
      <c r="F730" s="32"/>
      <c r="G730" s="32"/>
      <c r="H730" s="32"/>
    </row>
    <row r="731" ht="15.75" customHeight="1">
      <c r="A731" s="32"/>
      <c r="B731" s="32"/>
      <c r="C731" s="33"/>
      <c r="D731" s="33"/>
      <c r="E731" s="33"/>
      <c r="F731" s="32"/>
      <c r="G731" s="32"/>
      <c r="H731" s="32"/>
    </row>
    <row r="732" ht="15.75" customHeight="1">
      <c r="A732" s="32"/>
      <c r="B732" s="32"/>
      <c r="C732" s="33"/>
      <c r="D732" s="33"/>
      <c r="E732" s="33"/>
      <c r="F732" s="32"/>
      <c r="G732" s="32"/>
      <c r="H732" s="32"/>
    </row>
    <row r="733" ht="15.75" customHeight="1">
      <c r="A733" s="32"/>
      <c r="B733" s="32"/>
      <c r="C733" s="33"/>
      <c r="D733" s="33"/>
      <c r="E733" s="33"/>
      <c r="F733" s="32"/>
      <c r="G733" s="32"/>
      <c r="H733" s="32"/>
    </row>
    <row r="734" ht="15.75" customHeight="1">
      <c r="A734" s="32"/>
      <c r="B734" s="32"/>
      <c r="C734" s="33"/>
      <c r="D734" s="33"/>
      <c r="E734" s="33"/>
      <c r="F734" s="32"/>
      <c r="G734" s="32"/>
      <c r="H734" s="32"/>
    </row>
    <row r="735" ht="15.75" customHeight="1">
      <c r="A735" s="32"/>
      <c r="B735" s="32"/>
      <c r="C735" s="33"/>
      <c r="D735" s="33"/>
      <c r="E735" s="33"/>
      <c r="F735" s="32"/>
      <c r="G735" s="32"/>
      <c r="H735" s="32"/>
    </row>
    <row r="736" ht="15.75" customHeight="1">
      <c r="A736" s="32"/>
      <c r="B736" s="32"/>
      <c r="C736" s="33"/>
      <c r="D736" s="33"/>
      <c r="E736" s="33"/>
      <c r="F736" s="32"/>
      <c r="G736" s="32"/>
      <c r="H736" s="32"/>
    </row>
    <row r="737" ht="15.75" customHeight="1">
      <c r="A737" s="32"/>
      <c r="B737" s="32"/>
      <c r="C737" s="33"/>
      <c r="D737" s="33"/>
      <c r="E737" s="33"/>
      <c r="F737" s="32"/>
      <c r="G737" s="32"/>
      <c r="H737" s="32"/>
    </row>
    <row r="738" ht="15.75" customHeight="1">
      <c r="A738" s="32"/>
      <c r="B738" s="32"/>
      <c r="C738" s="33"/>
      <c r="D738" s="33"/>
      <c r="E738" s="33"/>
      <c r="F738" s="32"/>
      <c r="G738" s="32"/>
      <c r="H738" s="32"/>
    </row>
    <row r="739" ht="15.75" customHeight="1">
      <c r="A739" s="32"/>
      <c r="B739" s="32"/>
      <c r="C739" s="33"/>
      <c r="D739" s="33"/>
      <c r="E739" s="33"/>
      <c r="F739" s="32"/>
      <c r="G739" s="32"/>
      <c r="H739" s="32"/>
    </row>
    <row r="740" ht="15.75" customHeight="1">
      <c r="A740" s="32"/>
      <c r="B740" s="32"/>
      <c r="C740" s="33"/>
      <c r="D740" s="33"/>
      <c r="E740" s="33"/>
      <c r="F740" s="32"/>
      <c r="G740" s="32"/>
      <c r="H740" s="32"/>
    </row>
    <row r="741" ht="15.75" customHeight="1">
      <c r="A741" s="32"/>
      <c r="B741" s="32"/>
      <c r="C741" s="33"/>
      <c r="D741" s="33"/>
      <c r="E741" s="33"/>
      <c r="F741" s="32"/>
      <c r="G741" s="32"/>
      <c r="H741" s="32"/>
    </row>
    <row r="742" ht="15.75" customHeight="1">
      <c r="A742" s="32"/>
      <c r="B742" s="32"/>
      <c r="C742" s="33"/>
      <c r="D742" s="33"/>
      <c r="E742" s="33"/>
      <c r="F742" s="32"/>
      <c r="G742" s="32"/>
      <c r="H742" s="32"/>
    </row>
    <row r="743" ht="15.75" customHeight="1">
      <c r="A743" s="32"/>
      <c r="B743" s="32"/>
      <c r="C743" s="33"/>
      <c r="D743" s="33"/>
      <c r="E743" s="33"/>
      <c r="F743" s="32"/>
      <c r="G743" s="32"/>
      <c r="H743" s="32"/>
    </row>
    <row r="744" ht="15.75" customHeight="1">
      <c r="A744" s="32"/>
      <c r="B744" s="32"/>
      <c r="C744" s="33"/>
      <c r="D744" s="33"/>
      <c r="E744" s="33"/>
      <c r="F744" s="32"/>
      <c r="G744" s="32"/>
      <c r="H744" s="32"/>
    </row>
    <row r="745" ht="15.75" customHeight="1">
      <c r="A745" s="32"/>
      <c r="B745" s="32"/>
      <c r="C745" s="33"/>
      <c r="D745" s="33"/>
      <c r="E745" s="33"/>
      <c r="F745" s="32"/>
      <c r="G745" s="32"/>
      <c r="H745" s="32"/>
    </row>
    <row r="746" ht="15.75" customHeight="1">
      <c r="A746" s="32"/>
      <c r="B746" s="32"/>
      <c r="C746" s="33"/>
      <c r="D746" s="33"/>
      <c r="E746" s="33"/>
      <c r="F746" s="32"/>
      <c r="G746" s="32"/>
      <c r="H746" s="32"/>
    </row>
    <row r="747" ht="15.75" customHeight="1">
      <c r="A747" s="32"/>
      <c r="B747" s="32"/>
      <c r="C747" s="33"/>
      <c r="D747" s="33"/>
      <c r="E747" s="33"/>
      <c r="F747" s="32"/>
      <c r="G747" s="32"/>
      <c r="H747" s="32"/>
    </row>
    <row r="748" ht="15.75" customHeight="1">
      <c r="A748" s="32"/>
      <c r="B748" s="32"/>
      <c r="C748" s="33"/>
      <c r="D748" s="33"/>
      <c r="E748" s="33"/>
      <c r="F748" s="32"/>
      <c r="G748" s="32"/>
      <c r="H748" s="32"/>
    </row>
    <row r="749" ht="15.75" customHeight="1">
      <c r="A749" s="32"/>
      <c r="B749" s="32"/>
      <c r="C749" s="33"/>
      <c r="D749" s="33"/>
      <c r="E749" s="33"/>
      <c r="F749" s="32"/>
      <c r="G749" s="32"/>
      <c r="H749" s="32"/>
    </row>
    <row r="750" ht="15.75" customHeight="1">
      <c r="A750" s="32"/>
      <c r="B750" s="32"/>
      <c r="C750" s="33"/>
      <c r="D750" s="33"/>
      <c r="E750" s="33"/>
      <c r="F750" s="32"/>
      <c r="G750" s="32"/>
      <c r="H750" s="32"/>
    </row>
    <row r="751" ht="15.75" customHeight="1">
      <c r="A751" s="32"/>
      <c r="B751" s="32"/>
      <c r="C751" s="33"/>
      <c r="D751" s="33"/>
      <c r="E751" s="33"/>
      <c r="F751" s="32"/>
      <c r="G751" s="32"/>
      <c r="H751" s="32"/>
    </row>
    <row r="752" ht="15.75" customHeight="1">
      <c r="A752" s="32"/>
      <c r="B752" s="32"/>
      <c r="C752" s="33"/>
      <c r="D752" s="33"/>
      <c r="E752" s="33"/>
      <c r="F752" s="32"/>
      <c r="G752" s="32"/>
      <c r="H752" s="32"/>
    </row>
    <row r="753" ht="15.75" customHeight="1">
      <c r="A753" s="32"/>
      <c r="B753" s="32"/>
      <c r="C753" s="33"/>
      <c r="D753" s="33"/>
      <c r="E753" s="33"/>
      <c r="F753" s="32"/>
      <c r="G753" s="32"/>
      <c r="H753" s="32"/>
    </row>
    <row r="754" ht="15.75" customHeight="1">
      <c r="A754" s="32"/>
      <c r="B754" s="32"/>
      <c r="C754" s="33"/>
      <c r="D754" s="33"/>
      <c r="E754" s="33"/>
      <c r="F754" s="32"/>
      <c r="G754" s="32"/>
      <c r="H754" s="32"/>
    </row>
    <row r="755" ht="15.75" customHeight="1">
      <c r="A755" s="32"/>
      <c r="B755" s="32"/>
      <c r="C755" s="33"/>
      <c r="D755" s="33"/>
      <c r="E755" s="33"/>
      <c r="F755" s="32"/>
      <c r="G755" s="32"/>
      <c r="H755" s="32"/>
    </row>
    <row r="756" ht="15.75" customHeight="1">
      <c r="A756" s="32"/>
      <c r="B756" s="32"/>
      <c r="C756" s="33"/>
      <c r="D756" s="33"/>
      <c r="E756" s="33"/>
      <c r="F756" s="32"/>
      <c r="G756" s="32"/>
      <c r="H756" s="32"/>
    </row>
    <row r="757" ht="15.75" customHeight="1">
      <c r="A757" s="32"/>
      <c r="B757" s="32"/>
      <c r="C757" s="33"/>
      <c r="D757" s="33"/>
      <c r="E757" s="33"/>
      <c r="F757" s="32"/>
      <c r="G757" s="32"/>
      <c r="H757" s="32"/>
    </row>
    <row r="758" ht="15.75" customHeight="1">
      <c r="A758" s="32"/>
      <c r="B758" s="32"/>
      <c r="C758" s="33"/>
      <c r="D758" s="33"/>
      <c r="E758" s="33"/>
      <c r="F758" s="32"/>
      <c r="G758" s="32"/>
      <c r="H758" s="32"/>
    </row>
    <row r="759" ht="15.75" customHeight="1">
      <c r="A759" s="32"/>
      <c r="B759" s="32"/>
      <c r="C759" s="33"/>
      <c r="D759" s="33"/>
      <c r="E759" s="33"/>
      <c r="F759" s="32"/>
      <c r="G759" s="32"/>
      <c r="H759" s="32"/>
    </row>
    <row r="760" ht="15.75" customHeight="1">
      <c r="A760" s="32"/>
      <c r="B760" s="32"/>
      <c r="C760" s="33"/>
      <c r="D760" s="33"/>
      <c r="E760" s="33"/>
      <c r="F760" s="32"/>
      <c r="G760" s="32"/>
      <c r="H760" s="32"/>
    </row>
    <row r="761" ht="15.75" customHeight="1">
      <c r="A761" s="32"/>
      <c r="B761" s="32"/>
      <c r="C761" s="33"/>
      <c r="D761" s="33"/>
      <c r="E761" s="33"/>
      <c r="F761" s="32"/>
      <c r="G761" s="32"/>
      <c r="H761" s="32"/>
    </row>
    <row r="762" ht="15.75" customHeight="1">
      <c r="A762" s="32"/>
      <c r="B762" s="32"/>
      <c r="C762" s="33"/>
      <c r="D762" s="33"/>
      <c r="E762" s="33"/>
      <c r="F762" s="32"/>
      <c r="G762" s="32"/>
      <c r="H762" s="32"/>
    </row>
    <row r="763" ht="15.75" customHeight="1">
      <c r="A763" s="32"/>
      <c r="B763" s="32"/>
      <c r="C763" s="33"/>
      <c r="D763" s="33"/>
      <c r="E763" s="33"/>
      <c r="F763" s="32"/>
      <c r="G763" s="32"/>
      <c r="H763" s="32"/>
    </row>
    <row r="764" ht="15.75" customHeight="1">
      <c r="A764" s="32"/>
      <c r="B764" s="32"/>
      <c r="C764" s="33"/>
      <c r="D764" s="33"/>
      <c r="E764" s="33"/>
      <c r="F764" s="32"/>
      <c r="G764" s="32"/>
      <c r="H764" s="32"/>
    </row>
    <row r="765" ht="15.75" customHeight="1">
      <c r="A765" s="32"/>
      <c r="B765" s="32"/>
      <c r="C765" s="33"/>
      <c r="D765" s="33"/>
      <c r="E765" s="33"/>
      <c r="F765" s="32"/>
      <c r="G765" s="32"/>
      <c r="H765" s="32"/>
    </row>
    <row r="766" ht="15.75" customHeight="1">
      <c r="A766" s="32"/>
      <c r="B766" s="32"/>
      <c r="C766" s="33"/>
      <c r="D766" s="33"/>
      <c r="E766" s="33"/>
      <c r="F766" s="32"/>
      <c r="G766" s="32"/>
      <c r="H766" s="32"/>
    </row>
    <row r="767" ht="15.75" customHeight="1">
      <c r="A767" s="32"/>
      <c r="B767" s="32"/>
      <c r="C767" s="33"/>
      <c r="D767" s="33"/>
      <c r="E767" s="33"/>
      <c r="F767" s="32"/>
      <c r="G767" s="32"/>
      <c r="H767" s="32"/>
    </row>
    <row r="768" ht="15.75" customHeight="1">
      <c r="A768" s="32"/>
      <c r="B768" s="32"/>
      <c r="C768" s="33"/>
      <c r="D768" s="33"/>
      <c r="E768" s="33"/>
      <c r="F768" s="32"/>
      <c r="G768" s="32"/>
      <c r="H768" s="32"/>
    </row>
    <row r="769" ht="15.75" customHeight="1">
      <c r="A769" s="32"/>
      <c r="B769" s="32"/>
      <c r="C769" s="33"/>
      <c r="D769" s="33"/>
      <c r="E769" s="33"/>
      <c r="F769" s="32"/>
      <c r="G769" s="32"/>
      <c r="H769" s="32"/>
    </row>
    <row r="770" ht="15.75" customHeight="1">
      <c r="A770" s="32"/>
      <c r="B770" s="32"/>
      <c r="C770" s="33"/>
      <c r="D770" s="33"/>
      <c r="E770" s="33"/>
      <c r="F770" s="32"/>
      <c r="G770" s="32"/>
      <c r="H770" s="32"/>
    </row>
    <row r="771" ht="15.75" customHeight="1">
      <c r="A771" s="32"/>
      <c r="B771" s="32"/>
      <c r="C771" s="33"/>
      <c r="D771" s="33"/>
      <c r="E771" s="33"/>
      <c r="F771" s="32"/>
      <c r="G771" s="32"/>
      <c r="H771" s="32"/>
    </row>
    <row r="772" ht="15.75" customHeight="1">
      <c r="A772" s="32"/>
      <c r="B772" s="32"/>
      <c r="C772" s="33"/>
      <c r="D772" s="33"/>
      <c r="E772" s="33"/>
      <c r="F772" s="32"/>
      <c r="G772" s="32"/>
      <c r="H772" s="32"/>
    </row>
    <row r="773" ht="15.75" customHeight="1">
      <c r="A773" s="32"/>
      <c r="B773" s="32"/>
      <c r="C773" s="33"/>
      <c r="D773" s="33"/>
      <c r="E773" s="33"/>
      <c r="F773" s="32"/>
      <c r="G773" s="32"/>
      <c r="H773" s="32"/>
    </row>
    <row r="774" ht="15.75" customHeight="1">
      <c r="A774" s="32"/>
      <c r="B774" s="32"/>
      <c r="C774" s="33"/>
      <c r="D774" s="33"/>
      <c r="E774" s="33"/>
      <c r="F774" s="32"/>
      <c r="G774" s="32"/>
      <c r="H774" s="32"/>
    </row>
    <row r="775" ht="15.75" customHeight="1">
      <c r="A775" s="32"/>
      <c r="B775" s="32"/>
      <c r="C775" s="33"/>
      <c r="D775" s="33"/>
      <c r="E775" s="33"/>
      <c r="F775" s="32"/>
      <c r="G775" s="32"/>
      <c r="H775" s="32"/>
    </row>
    <row r="776" ht="15.75" customHeight="1">
      <c r="A776" s="32"/>
      <c r="B776" s="32"/>
      <c r="C776" s="33"/>
      <c r="D776" s="33"/>
      <c r="E776" s="33"/>
      <c r="F776" s="32"/>
      <c r="G776" s="32"/>
      <c r="H776" s="32"/>
    </row>
    <row r="777" ht="15.75" customHeight="1">
      <c r="A777" s="32"/>
      <c r="B777" s="32"/>
      <c r="C777" s="33"/>
      <c r="D777" s="33"/>
      <c r="E777" s="33"/>
      <c r="F777" s="32"/>
      <c r="G777" s="32"/>
      <c r="H777" s="32"/>
    </row>
    <row r="778" ht="15.75" customHeight="1">
      <c r="A778" s="32"/>
      <c r="B778" s="32"/>
      <c r="C778" s="33"/>
      <c r="D778" s="33"/>
      <c r="E778" s="33"/>
      <c r="F778" s="32"/>
      <c r="G778" s="32"/>
      <c r="H778" s="32"/>
    </row>
    <row r="779" ht="15.75" customHeight="1">
      <c r="A779" s="32"/>
      <c r="B779" s="32"/>
      <c r="C779" s="33"/>
      <c r="D779" s="33"/>
      <c r="E779" s="33"/>
      <c r="F779" s="32"/>
      <c r="G779" s="32"/>
      <c r="H779" s="32"/>
    </row>
    <row r="780" ht="15.75" customHeight="1">
      <c r="A780" s="32"/>
      <c r="B780" s="32"/>
      <c r="C780" s="33"/>
      <c r="D780" s="33"/>
      <c r="E780" s="33"/>
      <c r="F780" s="32"/>
      <c r="G780" s="32"/>
      <c r="H780" s="32"/>
    </row>
    <row r="781" ht="15.75" customHeight="1">
      <c r="A781" s="32"/>
      <c r="B781" s="32"/>
      <c r="C781" s="33"/>
      <c r="D781" s="33"/>
      <c r="E781" s="33"/>
      <c r="F781" s="32"/>
      <c r="G781" s="32"/>
      <c r="H781" s="32"/>
    </row>
    <row r="782" ht="15.75" customHeight="1">
      <c r="A782" s="32"/>
      <c r="B782" s="32"/>
      <c r="C782" s="33"/>
      <c r="D782" s="33"/>
      <c r="E782" s="33"/>
      <c r="F782" s="32"/>
      <c r="G782" s="32"/>
      <c r="H782" s="32"/>
    </row>
    <row r="783" ht="15.75" customHeight="1">
      <c r="A783" s="32"/>
      <c r="B783" s="32"/>
      <c r="C783" s="33"/>
      <c r="D783" s="33"/>
      <c r="E783" s="33"/>
      <c r="F783" s="32"/>
      <c r="G783" s="32"/>
      <c r="H783" s="32"/>
    </row>
    <row r="784" ht="15.75" customHeight="1">
      <c r="A784" s="32"/>
      <c r="B784" s="32"/>
      <c r="C784" s="33"/>
      <c r="D784" s="33"/>
      <c r="E784" s="33"/>
      <c r="F784" s="32"/>
      <c r="G784" s="32"/>
      <c r="H784" s="32"/>
    </row>
    <row r="785" ht="15.75" customHeight="1">
      <c r="A785" s="32"/>
      <c r="B785" s="32"/>
      <c r="C785" s="33"/>
      <c r="D785" s="33"/>
      <c r="E785" s="33"/>
      <c r="F785" s="32"/>
      <c r="G785" s="32"/>
      <c r="H785" s="32"/>
    </row>
    <row r="786" ht="15.75" customHeight="1">
      <c r="A786" s="32"/>
      <c r="B786" s="32"/>
      <c r="C786" s="33"/>
      <c r="D786" s="33"/>
      <c r="E786" s="33"/>
      <c r="F786" s="32"/>
      <c r="G786" s="32"/>
      <c r="H786" s="32"/>
    </row>
    <row r="787" ht="15.75" customHeight="1">
      <c r="A787" s="32"/>
      <c r="B787" s="32"/>
      <c r="C787" s="33"/>
      <c r="D787" s="33"/>
      <c r="E787" s="33"/>
      <c r="F787" s="32"/>
      <c r="G787" s="32"/>
      <c r="H787" s="32"/>
    </row>
    <row r="788" ht="15.75" customHeight="1">
      <c r="A788" s="32"/>
      <c r="B788" s="32"/>
      <c r="C788" s="33"/>
      <c r="D788" s="33"/>
      <c r="E788" s="33"/>
      <c r="F788" s="32"/>
      <c r="G788" s="32"/>
      <c r="H788" s="32"/>
    </row>
    <row r="789" ht="15.75" customHeight="1">
      <c r="A789" s="32"/>
      <c r="B789" s="32"/>
      <c r="C789" s="33"/>
      <c r="D789" s="33"/>
      <c r="E789" s="33"/>
      <c r="F789" s="32"/>
      <c r="G789" s="32"/>
      <c r="H789" s="32"/>
    </row>
    <row r="790" ht="15.75" customHeight="1">
      <c r="A790" s="32"/>
      <c r="B790" s="32"/>
      <c r="C790" s="33"/>
      <c r="D790" s="33"/>
      <c r="E790" s="33"/>
      <c r="F790" s="32"/>
      <c r="G790" s="32"/>
      <c r="H790" s="32"/>
    </row>
    <row r="791" ht="15.75" customHeight="1">
      <c r="A791" s="32"/>
      <c r="B791" s="32"/>
      <c r="C791" s="33"/>
      <c r="D791" s="33"/>
      <c r="E791" s="33"/>
      <c r="F791" s="32"/>
      <c r="G791" s="32"/>
      <c r="H791" s="32"/>
    </row>
    <row r="792" ht="15.75" customHeight="1">
      <c r="A792" s="32"/>
      <c r="B792" s="32"/>
      <c r="C792" s="33"/>
      <c r="D792" s="33"/>
      <c r="E792" s="33"/>
      <c r="F792" s="32"/>
      <c r="G792" s="32"/>
      <c r="H792" s="32"/>
    </row>
    <row r="793" ht="15.75" customHeight="1">
      <c r="A793" s="32"/>
      <c r="B793" s="32"/>
      <c r="C793" s="33"/>
      <c r="D793" s="33"/>
      <c r="E793" s="33"/>
      <c r="F793" s="32"/>
      <c r="G793" s="32"/>
      <c r="H793" s="32"/>
    </row>
    <row r="794" ht="15.75" customHeight="1">
      <c r="A794" s="32"/>
      <c r="B794" s="32"/>
      <c r="C794" s="33"/>
      <c r="D794" s="33"/>
      <c r="E794" s="33"/>
      <c r="F794" s="32"/>
      <c r="G794" s="32"/>
      <c r="H794" s="32"/>
    </row>
    <row r="795" ht="15.75" customHeight="1">
      <c r="A795" s="32"/>
      <c r="B795" s="32"/>
      <c r="C795" s="33"/>
      <c r="D795" s="33"/>
      <c r="E795" s="33"/>
      <c r="F795" s="32"/>
      <c r="G795" s="32"/>
      <c r="H795" s="32"/>
    </row>
    <row r="796" ht="15.75" customHeight="1">
      <c r="A796" s="32"/>
      <c r="B796" s="32"/>
      <c r="C796" s="33"/>
      <c r="D796" s="33"/>
      <c r="E796" s="33"/>
      <c r="F796" s="32"/>
      <c r="G796" s="32"/>
      <c r="H796" s="32"/>
    </row>
    <row r="797" ht="15.75" customHeight="1">
      <c r="A797" s="32"/>
      <c r="B797" s="32"/>
      <c r="C797" s="33"/>
      <c r="D797" s="33"/>
      <c r="E797" s="33"/>
      <c r="F797" s="32"/>
      <c r="G797" s="32"/>
      <c r="H797" s="32"/>
    </row>
    <row r="798" ht="15.75" customHeight="1">
      <c r="A798" s="32"/>
      <c r="B798" s="32"/>
      <c r="C798" s="33"/>
      <c r="D798" s="33"/>
      <c r="E798" s="33"/>
      <c r="F798" s="32"/>
      <c r="G798" s="32"/>
      <c r="H798" s="32"/>
    </row>
    <row r="799" ht="15.75" customHeight="1">
      <c r="A799" s="32"/>
      <c r="B799" s="32"/>
      <c r="C799" s="33"/>
      <c r="D799" s="33"/>
      <c r="E799" s="33"/>
      <c r="F799" s="32"/>
      <c r="G799" s="32"/>
      <c r="H799" s="32"/>
    </row>
    <row r="800" ht="15.75" customHeight="1">
      <c r="A800" s="32"/>
      <c r="B800" s="32"/>
      <c r="C800" s="33"/>
      <c r="D800" s="33"/>
      <c r="E800" s="33"/>
      <c r="F800" s="32"/>
      <c r="G800" s="32"/>
      <c r="H800" s="32"/>
    </row>
    <row r="801" ht="15.75" customHeight="1">
      <c r="A801" s="32"/>
      <c r="B801" s="32"/>
      <c r="C801" s="33"/>
      <c r="D801" s="33"/>
      <c r="E801" s="33"/>
      <c r="F801" s="32"/>
      <c r="G801" s="32"/>
      <c r="H801" s="32"/>
    </row>
    <row r="802" ht="15.75" customHeight="1">
      <c r="A802" s="32"/>
      <c r="B802" s="32"/>
      <c r="C802" s="33"/>
      <c r="D802" s="33"/>
      <c r="E802" s="33"/>
      <c r="F802" s="32"/>
      <c r="G802" s="32"/>
      <c r="H802" s="32"/>
    </row>
    <row r="803" ht="15.75" customHeight="1">
      <c r="A803" s="32"/>
      <c r="B803" s="32"/>
      <c r="C803" s="33"/>
      <c r="D803" s="33"/>
      <c r="E803" s="33"/>
      <c r="F803" s="32"/>
      <c r="G803" s="32"/>
      <c r="H803" s="32"/>
    </row>
    <row r="804" ht="15.75" customHeight="1">
      <c r="A804" s="32"/>
      <c r="B804" s="32"/>
      <c r="C804" s="33"/>
      <c r="D804" s="33"/>
      <c r="E804" s="33"/>
      <c r="F804" s="32"/>
      <c r="G804" s="32"/>
      <c r="H804" s="32"/>
    </row>
    <row r="805" ht="15.75" customHeight="1">
      <c r="A805" s="32"/>
      <c r="B805" s="32"/>
      <c r="C805" s="33"/>
      <c r="D805" s="33"/>
      <c r="E805" s="33"/>
      <c r="F805" s="32"/>
      <c r="G805" s="32"/>
      <c r="H805" s="32"/>
    </row>
    <row r="806" ht="15.75" customHeight="1">
      <c r="A806" s="32"/>
      <c r="B806" s="32"/>
      <c r="C806" s="33"/>
      <c r="D806" s="33"/>
      <c r="E806" s="33"/>
      <c r="F806" s="32"/>
      <c r="G806" s="32"/>
      <c r="H806" s="32"/>
    </row>
    <row r="807" ht="15.75" customHeight="1">
      <c r="A807" s="32"/>
      <c r="B807" s="32"/>
      <c r="C807" s="33"/>
      <c r="D807" s="33"/>
      <c r="E807" s="33"/>
      <c r="F807" s="32"/>
      <c r="G807" s="32"/>
      <c r="H807" s="32"/>
    </row>
    <row r="808" ht="15.75" customHeight="1">
      <c r="A808" s="32"/>
      <c r="B808" s="32"/>
      <c r="C808" s="33"/>
      <c r="D808" s="33"/>
      <c r="E808" s="33"/>
      <c r="F808" s="32"/>
      <c r="G808" s="32"/>
      <c r="H808" s="32"/>
    </row>
    <row r="809" ht="15.75" customHeight="1">
      <c r="A809" s="32"/>
      <c r="B809" s="32"/>
      <c r="C809" s="33"/>
      <c r="D809" s="33"/>
      <c r="E809" s="33"/>
      <c r="F809" s="32"/>
      <c r="G809" s="32"/>
      <c r="H809" s="32"/>
    </row>
    <row r="810" ht="15.75" customHeight="1">
      <c r="A810" s="32"/>
      <c r="B810" s="32"/>
      <c r="C810" s="33"/>
      <c r="D810" s="33"/>
      <c r="E810" s="33"/>
      <c r="F810" s="32"/>
      <c r="G810" s="32"/>
      <c r="H810" s="32"/>
    </row>
    <row r="811" ht="15.75" customHeight="1">
      <c r="A811" s="32"/>
      <c r="B811" s="32"/>
      <c r="C811" s="33"/>
      <c r="D811" s="33"/>
      <c r="E811" s="33"/>
      <c r="F811" s="32"/>
      <c r="G811" s="32"/>
      <c r="H811" s="32"/>
    </row>
    <row r="812" ht="15.75" customHeight="1">
      <c r="A812" s="32"/>
      <c r="B812" s="32"/>
      <c r="C812" s="33"/>
      <c r="D812" s="33"/>
      <c r="E812" s="33"/>
      <c r="F812" s="32"/>
      <c r="G812" s="32"/>
      <c r="H812" s="32"/>
    </row>
    <row r="813" ht="15.75" customHeight="1">
      <c r="A813" s="32"/>
      <c r="B813" s="32"/>
      <c r="C813" s="33"/>
      <c r="D813" s="33"/>
      <c r="E813" s="33"/>
      <c r="F813" s="32"/>
      <c r="G813" s="32"/>
      <c r="H813" s="32"/>
    </row>
    <row r="814" ht="15.75" customHeight="1">
      <c r="A814" s="32"/>
      <c r="B814" s="32"/>
      <c r="C814" s="33"/>
      <c r="D814" s="33"/>
      <c r="E814" s="33"/>
      <c r="F814" s="32"/>
      <c r="G814" s="32"/>
      <c r="H814" s="32"/>
    </row>
    <row r="815" ht="15.75" customHeight="1">
      <c r="A815" s="32"/>
      <c r="B815" s="32"/>
      <c r="C815" s="33"/>
      <c r="D815" s="33"/>
      <c r="E815" s="33"/>
      <c r="F815" s="32"/>
      <c r="G815" s="32"/>
      <c r="H815" s="32"/>
    </row>
    <row r="816" ht="15.75" customHeight="1">
      <c r="A816" s="32"/>
      <c r="B816" s="32"/>
      <c r="C816" s="33"/>
      <c r="D816" s="33"/>
      <c r="E816" s="33"/>
      <c r="F816" s="32"/>
      <c r="G816" s="32"/>
      <c r="H816" s="32"/>
    </row>
    <row r="817" ht="15.75" customHeight="1">
      <c r="A817" s="32"/>
      <c r="B817" s="32"/>
      <c r="C817" s="33"/>
      <c r="D817" s="33"/>
      <c r="E817" s="33"/>
      <c r="F817" s="32"/>
      <c r="G817" s="32"/>
      <c r="H817" s="32"/>
    </row>
    <row r="818" ht="15.75" customHeight="1">
      <c r="A818" s="32"/>
      <c r="B818" s="32"/>
      <c r="C818" s="33"/>
      <c r="D818" s="33"/>
      <c r="E818" s="33"/>
      <c r="F818" s="32"/>
      <c r="G818" s="32"/>
      <c r="H818" s="32"/>
    </row>
    <row r="819" ht="15.75" customHeight="1">
      <c r="A819" s="32"/>
      <c r="B819" s="32"/>
      <c r="C819" s="33"/>
      <c r="D819" s="33"/>
      <c r="E819" s="33"/>
      <c r="F819" s="32"/>
      <c r="G819" s="32"/>
      <c r="H819" s="32"/>
    </row>
    <row r="820" ht="15.75" customHeight="1">
      <c r="A820" s="32"/>
      <c r="B820" s="32"/>
      <c r="C820" s="33"/>
      <c r="D820" s="33"/>
      <c r="E820" s="33"/>
      <c r="F820" s="32"/>
      <c r="G820" s="32"/>
      <c r="H820" s="32"/>
    </row>
    <row r="821" ht="15.75" customHeight="1">
      <c r="A821" s="32"/>
      <c r="B821" s="32"/>
      <c r="C821" s="33"/>
      <c r="D821" s="33"/>
      <c r="E821" s="33"/>
      <c r="F821" s="32"/>
      <c r="G821" s="32"/>
      <c r="H821" s="32"/>
    </row>
    <row r="822" ht="15.75" customHeight="1">
      <c r="A822" s="32"/>
      <c r="B822" s="32"/>
      <c r="C822" s="33"/>
      <c r="D822" s="33"/>
      <c r="E822" s="33"/>
      <c r="F822" s="32"/>
      <c r="G822" s="32"/>
      <c r="H822" s="32"/>
    </row>
    <row r="823" ht="15.75" customHeight="1">
      <c r="A823" s="32"/>
      <c r="B823" s="32"/>
      <c r="C823" s="33"/>
      <c r="D823" s="33"/>
      <c r="E823" s="33"/>
      <c r="F823" s="32"/>
      <c r="G823" s="32"/>
      <c r="H823" s="32"/>
    </row>
    <row r="824" ht="15.75" customHeight="1">
      <c r="A824" s="32"/>
      <c r="B824" s="32"/>
      <c r="C824" s="33"/>
      <c r="D824" s="33"/>
      <c r="E824" s="33"/>
      <c r="F824" s="32"/>
      <c r="G824" s="32"/>
      <c r="H824" s="32"/>
    </row>
    <row r="825" ht="15.75" customHeight="1">
      <c r="A825" s="32"/>
      <c r="B825" s="32"/>
      <c r="C825" s="33"/>
      <c r="D825" s="33"/>
      <c r="E825" s="33"/>
      <c r="F825" s="32"/>
      <c r="G825" s="32"/>
      <c r="H825" s="32"/>
    </row>
    <row r="826" ht="15.75" customHeight="1">
      <c r="A826" s="32"/>
      <c r="B826" s="32"/>
      <c r="C826" s="33"/>
      <c r="D826" s="33"/>
      <c r="E826" s="33"/>
      <c r="F826" s="32"/>
      <c r="G826" s="32"/>
      <c r="H826" s="32"/>
    </row>
    <row r="827" ht="15.75" customHeight="1">
      <c r="A827" s="32"/>
      <c r="B827" s="32"/>
      <c r="C827" s="33"/>
      <c r="D827" s="33"/>
      <c r="E827" s="33"/>
      <c r="F827" s="32"/>
      <c r="G827" s="32"/>
      <c r="H827" s="32"/>
    </row>
    <row r="828" ht="15.75" customHeight="1">
      <c r="A828" s="32"/>
      <c r="B828" s="32"/>
      <c r="C828" s="33"/>
      <c r="D828" s="33"/>
      <c r="E828" s="33"/>
      <c r="F828" s="32"/>
      <c r="G828" s="32"/>
      <c r="H828" s="32"/>
    </row>
    <row r="829" ht="15.75" customHeight="1">
      <c r="A829" s="32"/>
      <c r="B829" s="32"/>
      <c r="C829" s="33"/>
      <c r="D829" s="33"/>
      <c r="E829" s="33"/>
      <c r="F829" s="32"/>
      <c r="G829" s="32"/>
      <c r="H829" s="32"/>
    </row>
    <row r="830" ht="15.75" customHeight="1">
      <c r="A830" s="32"/>
      <c r="B830" s="32"/>
      <c r="C830" s="33"/>
      <c r="D830" s="33"/>
      <c r="E830" s="33"/>
      <c r="F830" s="32"/>
      <c r="G830" s="32"/>
      <c r="H830" s="32"/>
    </row>
    <row r="831" ht="15.75" customHeight="1">
      <c r="A831" s="32"/>
      <c r="B831" s="32"/>
      <c r="C831" s="33"/>
      <c r="D831" s="33"/>
      <c r="E831" s="33"/>
      <c r="F831" s="32"/>
      <c r="G831" s="32"/>
      <c r="H831" s="32"/>
    </row>
    <row r="832" ht="15.75" customHeight="1">
      <c r="A832" s="32"/>
      <c r="B832" s="32"/>
      <c r="C832" s="33"/>
      <c r="D832" s="33"/>
      <c r="E832" s="33"/>
      <c r="F832" s="32"/>
      <c r="G832" s="32"/>
      <c r="H832" s="32"/>
    </row>
    <row r="833" ht="15.75" customHeight="1">
      <c r="A833" s="32"/>
      <c r="B833" s="32"/>
      <c r="C833" s="33"/>
      <c r="D833" s="33"/>
      <c r="E833" s="33"/>
      <c r="F833" s="32"/>
      <c r="G833" s="32"/>
      <c r="H833" s="32"/>
    </row>
    <row r="834" ht="15.75" customHeight="1">
      <c r="A834" s="32"/>
      <c r="B834" s="32"/>
      <c r="C834" s="33"/>
      <c r="D834" s="33"/>
      <c r="E834" s="33"/>
      <c r="F834" s="32"/>
      <c r="G834" s="32"/>
      <c r="H834" s="32"/>
    </row>
    <row r="835" ht="15.75" customHeight="1">
      <c r="A835" s="32"/>
      <c r="B835" s="32"/>
      <c r="C835" s="33"/>
      <c r="D835" s="33"/>
      <c r="E835" s="33"/>
      <c r="F835" s="32"/>
      <c r="G835" s="32"/>
      <c r="H835" s="32"/>
    </row>
    <row r="836" ht="15.75" customHeight="1">
      <c r="A836" s="32"/>
      <c r="B836" s="32"/>
      <c r="C836" s="33"/>
      <c r="D836" s="33"/>
      <c r="E836" s="33"/>
      <c r="F836" s="32"/>
      <c r="G836" s="32"/>
      <c r="H836" s="32"/>
    </row>
    <row r="837" ht="15.75" customHeight="1">
      <c r="A837" s="32"/>
      <c r="B837" s="32"/>
      <c r="C837" s="33"/>
      <c r="D837" s="33"/>
      <c r="E837" s="33"/>
      <c r="F837" s="32"/>
      <c r="G837" s="32"/>
      <c r="H837" s="32"/>
    </row>
    <row r="838" ht="15.75" customHeight="1">
      <c r="A838" s="32"/>
      <c r="B838" s="32"/>
      <c r="C838" s="33"/>
      <c r="D838" s="33"/>
      <c r="E838" s="33"/>
      <c r="F838" s="32"/>
      <c r="G838" s="32"/>
      <c r="H838" s="32"/>
    </row>
    <row r="839" ht="15.75" customHeight="1">
      <c r="A839" s="32"/>
      <c r="B839" s="32"/>
      <c r="C839" s="33"/>
      <c r="D839" s="33"/>
      <c r="E839" s="33"/>
      <c r="F839" s="32"/>
      <c r="G839" s="32"/>
      <c r="H839" s="32"/>
    </row>
    <row r="840" ht="15.75" customHeight="1">
      <c r="A840" s="32"/>
      <c r="B840" s="32"/>
      <c r="C840" s="33"/>
      <c r="D840" s="33"/>
      <c r="E840" s="33"/>
      <c r="F840" s="32"/>
      <c r="G840" s="32"/>
      <c r="H840" s="32"/>
    </row>
    <row r="841" ht="15.75" customHeight="1">
      <c r="A841" s="32"/>
      <c r="B841" s="32"/>
      <c r="C841" s="33"/>
      <c r="D841" s="33"/>
      <c r="E841" s="33"/>
      <c r="F841" s="32"/>
      <c r="G841" s="32"/>
      <c r="H841" s="32"/>
    </row>
    <row r="842" ht="15.75" customHeight="1">
      <c r="A842" s="32"/>
      <c r="B842" s="32"/>
      <c r="C842" s="33"/>
      <c r="D842" s="33"/>
      <c r="E842" s="33"/>
      <c r="F842" s="32"/>
      <c r="G842" s="32"/>
      <c r="H842" s="32"/>
    </row>
    <row r="843" ht="15.75" customHeight="1">
      <c r="A843" s="32"/>
      <c r="B843" s="32"/>
      <c r="C843" s="33"/>
      <c r="D843" s="33"/>
      <c r="E843" s="33"/>
      <c r="F843" s="32"/>
      <c r="G843" s="32"/>
      <c r="H843" s="32"/>
    </row>
    <row r="844" ht="15.75" customHeight="1">
      <c r="A844" s="32"/>
      <c r="B844" s="32"/>
      <c r="C844" s="33"/>
      <c r="D844" s="33"/>
      <c r="E844" s="33"/>
      <c r="F844" s="32"/>
      <c r="G844" s="32"/>
      <c r="H844" s="32"/>
    </row>
    <row r="845" ht="15.75" customHeight="1">
      <c r="A845" s="32"/>
      <c r="B845" s="32"/>
      <c r="C845" s="33"/>
      <c r="D845" s="33"/>
      <c r="E845" s="33"/>
      <c r="F845" s="32"/>
      <c r="G845" s="32"/>
      <c r="H845" s="32"/>
    </row>
    <row r="846" ht="15.75" customHeight="1">
      <c r="A846" s="32"/>
      <c r="B846" s="32"/>
      <c r="C846" s="33"/>
      <c r="D846" s="33"/>
      <c r="E846" s="33"/>
      <c r="F846" s="32"/>
      <c r="G846" s="32"/>
      <c r="H846" s="32"/>
    </row>
    <row r="847" ht="15.75" customHeight="1">
      <c r="A847" s="32"/>
      <c r="B847" s="32"/>
      <c r="C847" s="33"/>
      <c r="D847" s="33"/>
      <c r="E847" s="33"/>
      <c r="F847" s="32"/>
      <c r="G847" s="32"/>
      <c r="H847" s="32"/>
    </row>
    <row r="848" ht="15.75" customHeight="1">
      <c r="A848" s="32"/>
      <c r="B848" s="32"/>
      <c r="C848" s="33"/>
      <c r="D848" s="33"/>
      <c r="E848" s="33"/>
      <c r="F848" s="32"/>
      <c r="G848" s="32"/>
      <c r="H848" s="32"/>
    </row>
    <row r="849" ht="15.75" customHeight="1">
      <c r="A849" s="32"/>
      <c r="B849" s="32"/>
      <c r="C849" s="33"/>
      <c r="D849" s="33"/>
      <c r="E849" s="33"/>
      <c r="F849" s="32"/>
      <c r="G849" s="32"/>
      <c r="H849" s="32"/>
    </row>
    <row r="850" ht="15.75" customHeight="1">
      <c r="A850" s="32"/>
      <c r="B850" s="32"/>
      <c r="C850" s="33"/>
      <c r="D850" s="33"/>
      <c r="E850" s="33"/>
      <c r="F850" s="32"/>
      <c r="G850" s="32"/>
      <c r="H850" s="32"/>
    </row>
    <row r="851" ht="15.75" customHeight="1">
      <c r="A851" s="32"/>
      <c r="B851" s="32"/>
      <c r="C851" s="33"/>
      <c r="D851" s="33"/>
      <c r="E851" s="33"/>
      <c r="F851" s="32"/>
      <c r="G851" s="32"/>
      <c r="H851" s="32"/>
    </row>
    <row r="852" ht="15.75" customHeight="1">
      <c r="A852" s="32"/>
      <c r="B852" s="32"/>
      <c r="C852" s="33"/>
      <c r="D852" s="33"/>
      <c r="E852" s="33"/>
      <c r="F852" s="32"/>
      <c r="G852" s="32"/>
      <c r="H852" s="32"/>
    </row>
    <row r="853" ht="15.75" customHeight="1">
      <c r="A853" s="32"/>
      <c r="B853" s="32"/>
      <c r="C853" s="33"/>
      <c r="D853" s="33"/>
      <c r="E853" s="33"/>
      <c r="F853" s="32"/>
      <c r="G853" s="32"/>
      <c r="H853" s="32"/>
    </row>
    <row r="854" ht="15.75" customHeight="1">
      <c r="A854" s="32"/>
      <c r="B854" s="32"/>
      <c r="C854" s="33"/>
      <c r="D854" s="33"/>
      <c r="E854" s="33"/>
      <c r="F854" s="32"/>
      <c r="G854" s="32"/>
      <c r="H854" s="32"/>
    </row>
    <row r="855" ht="15.75" customHeight="1">
      <c r="A855" s="32"/>
      <c r="B855" s="32"/>
      <c r="C855" s="33"/>
      <c r="D855" s="33"/>
      <c r="E855" s="33"/>
      <c r="F855" s="32"/>
      <c r="G855" s="32"/>
      <c r="H855" s="32"/>
    </row>
    <row r="856" ht="15.75" customHeight="1">
      <c r="A856" s="32"/>
      <c r="B856" s="32"/>
      <c r="C856" s="33"/>
      <c r="D856" s="33"/>
      <c r="E856" s="33"/>
      <c r="F856" s="32"/>
      <c r="G856" s="32"/>
      <c r="H856" s="32"/>
    </row>
    <row r="857" ht="15.75" customHeight="1">
      <c r="A857" s="32"/>
      <c r="B857" s="32"/>
      <c r="C857" s="33"/>
      <c r="D857" s="33"/>
      <c r="E857" s="33"/>
      <c r="F857" s="32"/>
      <c r="G857" s="32"/>
      <c r="H857" s="32"/>
    </row>
    <row r="858" ht="15.75" customHeight="1">
      <c r="A858" s="32"/>
      <c r="B858" s="32"/>
      <c r="C858" s="33"/>
      <c r="D858" s="33"/>
      <c r="E858" s="33"/>
      <c r="F858" s="32"/>
      <c r="G858" s="32"/>
      <c r="H858" s="32"/>
    </row>
    <row r="859" ht="15.75" customHeight="1">
      <c r="A859" s="32"/>
      <c r="B859" s="32"/>
      <c r="C859" s="33"/>
      <c r="D859" s="33"/>
      <c r="E859" s="33"/>
      <c r="F859" s="32"/>
      <c r="G859" s="32"/>
      <c r="H859" s="32"/>
    </row>
    <row r="860" ht="15.75" customHeight="1">
      <c r="A860" s="32"/>
      <c r="B860" s="32"/>
      <c r="C860" s="33"/>
      <c r="D860" s="33"/>
      <c r="E860" s="33"/>
      <c r="F860" s="32"/>
      <c r="G860" s="32"/>
      <c r="H860" s="32"/>
    </row>
    <row r="861" ht="15.75" customHeight="1">
      <c r="A861" s="32"/>
      <c r="B861" s="32"/>
      <c r="C861" s="33"/>
      <c r="D861" s="33"/>
      <c r="E861" s="33"/>
      <c r="F861" s="32"/>
      <c r="G861" s="32"/>
      <c r="H861" s="32"/>
    </row>
    <row r="862" ht="15.75" customHeight="1">
      <c r="A862" s="32"/>
      <c r="B862" s="32"/>
      <c r="C862" s="33"/>
      <c r="D862" s="33"/>
      <c r="E862" s="33"/>
      <c r="F862" s="32"/>
      <c r="G862" s="32"/>
      <c r="H862" s="32"/>
    </row>
    <row r="863" ht="15.75" customHeight="1">
      <c r="A863" s="32"/>
      <c r="B863" s="32"/>
      <c r="C863" s="33"/>
      <c r="D863" s="33"/>
      <c r="E863" s="33"/>
      <c r="F863" s="32"/>
      <c r="G863" s="32"/>
      <c r="H863" s="32"/>
    </row>
    <row r="864" ht="15.75" customHeight="1">
      <c r="A864" s="32"/>
      <c r="B864" s="32"/>
      <c r="C864" s="33"/>
      <c r="D864" s="33"/>
      <c r="E864" s="33"/>
      <c r="F864" s="32"/>
      <c r="G864" s="32"/>
      <c r="H864" s="32"/>
    </row>
    <row r="865" ht="15.75" customHeight="1">
      <c r="A865" s="32"/>
      <c r="B865" s="32"/>
      <c r="C865" s="33"/>
      <c r="D865" s="33"/>
      <c r="E865" s="33"/>
      <c r="F865" s="32"/>
      <c r="G865" s="32"/>
      <c r="H865" s="32"/>
    </row>
    <row r="866" ht="15.75" customHeight="1">
      <c r="A866" s="32"/>
      <c r="B866" s="32"/>
      <c r="C866" s="33"/>
      <c r="D866" s="33"/>
      <c r="E866" s="33"/>
      <c r="F866" s="32"/>
      <c r="G866" s="32"/>
      <c r="H866" s="32"/>
    </row>
    <row r="867" ht="15.75" customHeight="1">
      <c r="A867" s="32"/>
      <c r="B867" s="32"/>
      <c r="C867" s="33"/>
      <c r="D867" s="33"/>
      <c r="E867" s="33"/>
      <c r="F867" s="32"/>
      <c r="G867" s="32"/>
      <c r="H867" s="32"/>
    </row>
    <row r="868" ht="15.75" customHeight="1">
      <c r="A868" s="32"/>
      <c r="B868" s="32"/>
      <c r="C868" s="33"/>
      <c r="D868" s="33"/>
      <c r="E868" s="33"/>
      <c r="F868" s="32"/>
      <c r="G868" s="32"/>
      <c r="H868" s="32"/>
    </row>
    <row r="869" ht="15.75" customHeight="1">
      <c r="A869" s="32"/>
      <c r="B869" s="32"/>
      <c r="C869" s="33"/>
      <c r="D869" s="33"/>
      <c r="E869" s="33"/>
      <c r="F869" s="32"/>
      <c r="G869" s="32"/>
      <c r="H869" s="32"/>
    </row>
    <row r="870" ht="15.75" customHeight="1">
      <c r="A870" s="32"/>
      <c r="B870" s="32"/>
      <c r="C870" s="33"/>
      <c r="D870" s="33"/>
      <c r="E870" s="33"/>
      <c r="F870" s="32"/>
      <c r="G870" s="32"/>
      <c r="H870" s="32"/>
    </row>
    <row r="871" ht="15.75" customHeight="1">
      <c r="A871" s="32"/>
      <c r="B871" s="32"/>
      <c r="C871" s="33"/>
      <c r="D871" s="33"/>
      <c r="E871" s="33"/>
      <c r="F871" s="32"/>
      <c r="G871" s="32"/>
      <c r="H871" s="32"/>
    </row>
    <row r="872" ht="15.75" customHeight="1">
      <c r="A872" s="32"/>
      <c r="B872" s="32"/>
      <c r="C872" s="33"/>
      <c r="D872" s="33"/>
      <c r="E872" s="33"/>
      <c r="F872" s="32"/>
      <c r="G872" s="32"/>
      <c r="H872" s="32"/>
    </row>
    <row r="873" ht="15.75" customHeight="1">
      <c r="A873" s="32"/>
      <c r="B873" s="32"/>
      <c r="C873" s="33"/>
      <c r="D873" s="33"/>
      <c r="E873" s="33"/>
      <c r="F873" s="32"/>
      <c r="G873" s="32"/>
      <c r="H873" s="32"/>
    </row>
    <row r="874" ht="15.75" customHeight="1">
      <c r="A874" s="32"/>
      <c r="B874" s="32"/>
      <c r="C874" s="33"/>
      <c r="D874" s="33"/>
      <c r="E874" s="33"/>
      <c r="F874" s="32"/>
      <c r="G874" s="32"/>
      <c r="H874" s="32"/>
    </row>
    <row r="875" ht="15.75" customHeight="1">
      <c r="A875" s="32"/>
      <c r="B875" s="32"/>
      <c r="C875" s="33"/>
      <c r="D875" s="33"/>
      <c r="E875" s="33"/>
      <c r="F875" s="32"/>
      <c r="G875" s="32"/>
      <c r="H875" s="32"/>
    </row>
    <row r="876" ht="15.75" customHeight="1">
      <c r="A876" s="32"/>
      <c r="B876" s="32"/>
      <c r="C876" s="33"/>
      <c r="D876" s="33"/>
      <c r="E876" s="33"/>
      <c r="F876" s="32"/>
      <c r="G876" s="32"/>
      <c r="H876" s="32"/>
    </row>
    <row r="877" ht="15.75" customHeight="1">
      <c r="A877" s="32"/>
      <c r="B877" s="32"/>
      <c r="C877" s="33"/>
      <c r="D877" s="33"/>
      <c r="E877" s="33"/>
      <c r="F877" s="32"/>
      <c r="G877" s="32"/>
      <c r="H877" s="32"/>
    </row>
    <row r="878" ht="15.75" customHeight="1">
      <c r="A878" s="32"/>
      <c r="B878" s="32"/>
      <c r="C878" s="33"/>
      <c r="D878" s="33"/>
      <c r="E878" s="33"/>
      <c r="F878" s="32"/>
      <c r="G878" s="32"/>
      <c r="H878" s="32"/>
    </row>
    <row r="879" ht="15.75" customHeight="1">
      <c r="A879" s="32"/>
      <c r="B879" s="32"/>
      <c r="C879" s="33"/>
      <c r="D879" s="33"/>
      <c r="E879" s="33"/>
      <c r="F879" s="32"/>
      <c r="G879" s="32"/>
      <c r="H879" s="32"/>
    </row>
    <row r="880" ht="15.75" customHeight="1">
      <c r="A880" s="32"/>
      <c r="B880" s="32"/>
      <c r="C880" s="33"/>
      <c r="D880" s="33"/>
      <c r="E880" s="33"/>
      <c r="F880" s="32"/>
      <c r="G880" s="32"/>
      <c r="H880" s="32"/>
    </row>
    <row r="881" ht="15.75" customHeight="1">
      <c r="A881" s="32"/>
      <c r="B881" s="32"/>
      <c r="C881" s="33"/>
      <c r="D881" s="33"/>
      <c r="E881" s="33"/>
      <c r="F881" s="32"/>
      <c r="G881" s="32"/>
      <c r="H881" s="32"/>
    </row>
    <row r="882" ht="15.75" customHeight="1">
      <c r="A882" s="32"/>
      <c r="B882" s="32"/>
      <c r="C882" s="33"/>
      <c r="D882" s="33"/>
      <c r="E882" s="33"/>
      <c r="F882" s="32"/>
      <c r="G882" s="32"/>
      <c r="H882" s="32"/>
    </row>
    <row r="883" ht="15.75" customHeight="1">
      <c r="A883" s="32"/>
      <c r="B883" s="32"/>
      <c r="C883" s="33"/>
      <c r="D883" s="33"/>
      <c r="E883" s="33"/>
      <c r="F883" s="32"/>
      <c r="G883" s="32"/>
      <c r="H883" s="32"/>
    </row>
    <row r="884" ht="15.75" customHeight="1">
      <c r="A884" s="32"/>
      <c r="B884" s="32"/>
      <c r="C884" s="33"/>
      <c r="D884" s="33"/>
      <c r="E884" s="33"/>
      <c r="F884" s="32"/>
      <c r="G884" s="32"/>
      <c r="H884" s="32"/>
    </row>
    <row r="885" ht="15.75" customHeight="1">
      <c r="A885" s="32"/>
      <c r="B885" s="32"/>
      <c r="C885" s="33"/>
      <c r="D885" s="33"/>
      <c r="E885" s="33"/>
      <c r="F885" s="32"/>
      <c r="G885" s="32"/>
      <c r="H885" s="32"/>
    </row>
    <row r="886" ht="15.75" customHeight="1">
      <c r="A886" s="32"/>
      <c r="B886" s="32"/>
      <c r="C886" s="33"/>
      <c r="D886" s="33"/>
      <c r="E886" s="33"/>
      <c r="F886" s="32"/>
      <c r="G886" s="32"/>
      <c r="H886" s="32"/>
    </row>
    <row r="887" ht="15.75" customHeight="1">
      <c r="A887" s="32"/>
      <c r="B887" s="32"/>
      <c r="C887" s="33"/>
      <c r="D887" s="33"/>
      <c r="E887" s="33"/>
      <c r="F887" s="32"/>
      <c r="G887" s="32"/>
      <c r="H887" s="32"/>
    </row>
    <row r="888" ht="15.75" customHeight="1">
      <c r="A888" s="32"/>
      <c r="B888" s="32"/>
      <c r="C888" s="33"/>
      <c r="D888" s="33"/>
      <c r="E888" s="33"/>
      <c r="F888" s="32"/>
      <c r="G888" s="32"/>
      <c r="H888" s="32"/>
    </row>
    <row r="889" ht="15.75" customHeight="1">
      <c r="A889" s="32"/>
      <c r="B889" s="32"/>
      <c r="C889" s="33"/>
      <c r="D889" s="33"/>
      <c r="E889" s="33"/>
      <c r="F889" s="32"/>
      <c r="G889" s="32"/>
      <c r="H889" s="32"/>
    </row>
    <row r="890" ht="15.75" customHeight="1">
      <c r="A890" s="32"/>
      <c r="B890" s="32"/>
      <c r="C890" s="33"/>
      <c r="D890" s="33"/>
      <c r="E890" s="33"/>
      <c r="F890" s="32"/>
      <c r="G890" s="32"/>
      <c r="H890" s="32"/>
    </row>
    <row r="891" ht="15.75" customHeight="1">
      <c r="A891" s="32"/>
      <c r="B891" s="32"/>
      <c r="C891" s="33"/>
      <c r="D891" s="33"/>
      <c r="E891" s="33"/>
      <c r="F891" s="32"/>
      <c r="G891" s="32"/>
      <c r="H891" s="32"/>
    </row>
    <row r="892" ht="15.75" customHeight="1">
      <c r="A892" s="32"/>
      <c r="B892" s="32"/>
      <c r="C892" s="33"/>
      <c r="D892" s="33"/>
      <c r="E892" s="33"/>
      <c r="F892" s="32"/>
      <c r="G892" s="32"/>
      <c r="H892" s="32"/>
    </row>
    <row r="893" ht="15.75" customHeight="1">
      <c r="A893" s="32"/>
      <c r="B893" s="32"/>
      <c r="C893" s="33"/>
      <c r="D893" s="33"/>
      <c r="E893" s="33"/>
      <c r="F893" s="32"/>
      <c r="G893" s="32"/>
      <c r="H893" s="32"/>
    </row>
    <row r="894" ht="15.75" customHeight="1">
      <c r="A894" s="32"/>
      <c r="B894" s="32"/>
      <c r="C894" s="33"/>
      <c r="D894" s="33"/>
      <c r="E894" s="33"/>
      <c r="F894" s="32"/>
      <c r="G894" s="32"/>
      <c r="H894" s="32"/>
    </row>
    <row r="895" ht="15.75" customHeight="1">
      <c r="A895" s="32"/>
      <c r="B895" s="32"/>
      <c r="C895" s="33"/>
      <c r="D895" s="33"/>
      <c r="E895" s="33"/>
      <c r="F895" s="32"/>
      <c r="G895" s="32"/>
      <c r="H895" s="32"/>
    </row>
    <row r="896" ht="15.75" customHeight="1">
      <c r="A896" s="32"/>
      <c r="B896" s="32"/>
      <c r="C896" s="33"/>
      <c r="D896" s="33"/>
      <c r="E896" s="33"/>
      <c r="F896" s="32"/>
      <c r="G896" s="32"/>
      <c r="H896" s="32"/>
    </row>
    <row r="897" ht="15.75" customHeight="1">
      <c r="A897" s="32"/>
      <c r="B897" s="32"/>
      <c r="C897" s="33"/>
      <c r="D897" s="33"/>
      <c r="E897" s="33"/>
      <c r="F897" s="32"/>
      <c r="G897" s="32"/>
      <c r="H897" s="32"/>
    </row>
    <row r="898" ht="15.75" customHeight="1">
      <c r="A898" s="32"/>
      <c r="B898" s="32"/>
      <c r="C898" s="33"/>
      <c r="D898" s="33"/>
      <c r="E898" s="33"/>
      <c r="F898" s="32"/>
      <c r="G898" s="32"/>
      <c r="H898" s="32"/>
    </row>
    <row r="899" ht="15.75" customHeight="1">
      <c r="A899" s="32"/>
      <c r="B899" s="32"/>
      <c r="C899" s="33"/>
      <c r="D899" s="33"/>
      <c r="E899" s="33"/>
      <c r="F899" s="32"/>
      <c r="G899" s="32"/>
      <c r="H899" s="32"/>
    </row>
    <row r="900" ht="15.75" customHeight="1">
      <c r="A900" s="32"/>
      <c r="B900" s="32"/>
      <c r="C900" s="33"/>
      <c r="D900" s="33"/>
      <c r="E900" s="33"/>
      <c r="F900" s="32"/>
      <c r="G900" s="32"/>
      <c r="H900" s="32"/>
    </row>
    <row r="901" ht="15.75" customHeight="1">
      <c r="A901" s="32"/>
      <c r="B901" s="32"/>
      <c r="C901" s="33"/>
      <c r="D901" s="33"/>
      <c r="E901" s="33"/>
      <c r="F901" s="32"/>
      <c r="G901" s="32"/>
      <c r="H901" s="32"/>
    </row>
    <row r="902" ht="15.75" customHeight="1">
      <c r="A902" s="32"/>
      <c r="B902" s="32"/>
      <c r="C902" s="33"/>
      <c r="D902" s="33"/>
      <c r="E902" s="33"/>
      <c r="F902" s="32"/>
      <c r="G902" s="32"/>
      <c r="H902" s="32"/>
    </row>
    <row r="903" ht="15.75" customHeight="1">
      <c r="A903" s="32"/>
      <c r="B903" s="32"/>
      <c r="C903" s="33"/>
      <c r="D903" s="33"/>
      <c r="E903" s="33"/>
      <c r="F903" s="32"/>
      <c r="G903" s="32"/>
      <c r="H903" s="32"/>
    </row>
    <row r="904" ht="15.75" customHeight="1">
      <c r="A904" s="32"/>
      <c r="B904" s="32"/>
      <c r="C904" s="33"/>
      <c r="D904" s="33"/>
      <c r="E904" s="33"/>
      <c r="F904" s="32"/>
      <c r="G904" s="32"/>
      <c r="H904" s="32"/>
    </row>
    <row r="905" ht="15.75" customHeight="1">
      <c r="A905" s="32"/>
      <c r="B905" s="32"/>
      <c r="C905" s="33"/>
      <c r="D905" s="33"/>
      <c r="E905" s="33"/>
      <c r="F905" s="32"/>
      <c r="G905" s="32"/>
      <c r="H905" s="32"/>
    </row>
    <row r="906" ht="15.75" customHeight="1">
      <c r="A906" s="32"/>
      <c r="B906" s="32"/>
      <c r="C906" s="33"/>
      <c r="D906" s="33"/>
      <c r="E906" s="33"/>
      <c r="F906" s="32"/>
      <c r="G906" s="32"/>
      <c r="H906" s="32"/>
    </row>
    <row r="907" ht="15.75" customHeight="1">
      <c r="A907" s="32"/>
      <c r="B907" s="32"/>
      <c r="C907" s="33"/>
      <c r="D907" s="33"/>
      <c r="E907" s="33"/>
      <c r="F907" s="32"/>
      <c r="G907" s="32"/>
      <c r="H907" s="32"/>
    </row>
    <row r="908" ht="15.75" customHeight="1">
      <c r="A908" s="32"/>
      <c r="B908" s="32"/>
      <c r="C908" s="33"/>
      <c r="D908" s="33"/>
      <c r="E908" s="33"/>
      <c r="F908" s="32"/>
      <c r="G908" s="32"/>
      <c r="H908" s="32"/>
    </row>
    <row r="909" ht="15.75" customHeight="1">
      <c r="A909" s="32"/>
      <c r="B909" s="32"/>
      <c r="C909" s="33"/>
      <c r="D909" s="33"/>
      <c r="E909" s="33"/>
      <c r="F909" s="32"/>
      <c r="G909" s="32"/>
      <c r="H909" s="32"/>
    </row>
    <row r="910" ht="15.75" customHeight="1">
      <c r="A910" s="32"/>
      <c r="B910" s="32"/>
      <c r="C910" s="33"/>
      <c r="D910" s="33"/>
      <c r="E910" s="33"/>
      <c r="F910" s="32"/>
      <c r="G910" s="32"/>
      <c r="H910" s="32"/>
    </row>
    <row r="911" ht="15.75" customHeight="1">
      <c r="A911" s="32"/>
      <c r="B911" s="32"/>
      <c r="C911" s="33"/>
      <c r="D911" s="33"/>
      <c r="E911" s="33"/>
      <c r="F911" s="32"/>
      <c r="G911" s="32"/>
      <c r="H911" s="32"/>
    </row>
    <row r="912" ht="15.75" customHeight="1">
      <c r="A912" s="32"/>
      <c r="B912" s="32"/>
      <c r="C912" s="33"/>
      <c r="D912" s="33"/>
      <c r="E912" s="33"/>
      <c r="F912" s="32"/>
      <c r="G912" s="32"/>
      <c r="H912" s="32"/>
    </row>
    <row r="913" ht="15.75" customHeight="1">
      <c r="A913" s="32"/>
      <c r="B913" s="32"/>
      <c r="C913" s="33"/>
      <c r="D913" s="33"/>
      <c r="E913" s="33"/>
      <c r="F913" s="32"/>
      <c r="G913" s="32"/>
      <c r="H913" s="32"/>
    </row>
    <row r="914" ht="15.75" customHeight="1">
      <c r="A914" s="32"/>
      <c r="B914" s="32"/>
      <c r="C914" s="33"/>
      <c r="D914" s="33"/>
      <c r="E914" s="33"/>
      <c r="F914" s="32"/>
      <c r="G914" s="32"/>
      <c r="H914" s="32"/>
    </row>
    <row r="915" ht="15.75" customHeight="1">
      <c r="A915" s="32"/>
      <c r="B915" s="32"/>
      <c r="C915" s="33"/>
      <c r="D915" s="33"/>
      <c r="E915" s="33"/>
      <c r="F915" s="32"/>
      <c r="G915" s="32"/>
      <c r="H915" s="32"/>
    </row>
    <row r="916" ht="15.75" customHeight="1">
      <c r="A916" s="32"/>
      <c r="B916" s="32"/>
      <c r="C916" s="33"/>
      <c r="D916" s="33"/>
      <c r="E916" s="33"/>
      <c r="F916" s="32"/>
      <c r="G916" s="32"/>
      <c r="H916" s="32"/>
    </row>
    <row r="917" ht="15.75" customHeight="1">
      <c r="A917" s="32"/>
      <c r="B917" s="32"/>
      <c r="C917" s="33"/>
      <c r="D917" s="33"/>
      <c r="E917" s="33"/>
      <c r="F917" s="32"/>
      <c r="G917" s="32"/>
      <c r="H917" s="32"/>
    </row>
    <row r="918" ht="15.75" customHeight="1">
      <c r="A918" s="32"/>
      <c r="B918" s="32"/>
      <c r="C918" s="33"/>
      <c r="D918" s="33"/>
      <c r="E918" s="33"/>
      <c r="F918" s="32"/>
      <c r="G918" s="32"/>
      <c r="H918" s="32"/>
    </row>
    <row r="919" ht="15.75" customHeight="1">
      <c r="A919" s="32"/>
      <c r="B919" s="32"/>
      <c r="C919" s="33"/>
      <c r="D919" s="33"/>
      <c r="E919" s="33"/>
      <c r="F919" s="32"/>
      <c r="G919" s="32"/>
      <c r="H919" s="32"/>
    </row>
    <row r="920" ht="15.75" customHeight="1">
      <c r="A920" s="32"/>
      <c r="B920" s="32"/>
      <c r="C920" s="33"/>
      <c r="D920" s="33"/>
      <c r="E920" s="33"/>
      <c r="F920" s="32"/>
      <c r="G920" s="32"/>
      <c r="H920" s="32"/>
    </row>
    <row r="921" ht="15.75" customHeight="1">
      <c r="A921" s="32"/>
      <c r="B921" s="32"/>
      <c r="C921" s="33"/>
      <c r="D921" s="33"/>
      <c r="E921" s="33"/>
      <c r="F921" s="32"/>
      <c r="G921" s="32"/>
      <c r="H921" s="32"/>
    </row>
    <row r="922" ht="15.75" customHeight="1">
      <c r="A922" s="32"/>
      <c r="B922" s="32"/>
      <c r="C922" s="33"/>
      <c r="D922" s="33"/>
      <c r="E922" s="33"/>
      <c r="F922" s="32"/>
      <c r="G922" s="32"/>
      <c r="H922" s="32"/>
    </row>
    <row r="923" ht="15.75" customHeight="1">
      <c r="A923" s="32"/>
      <c r="B923" s="32"/>
      <c r="C923" s="33"/>
      <c r="D923" s="33"/>
      <c r="E923" s="33"/>
      <c r="F923" s="32"/>
      <c r="G923" s="32"/>
      <c r="H923" s="32"/>
    </row>
    <row r="924" ht="15.75" customHeight="1">
      <c r="A924" s="32"/>
      <c r="B924" s="32"/>
      <c r="C924" s="33"/>
      <c r="D924" s="33"/>
      <c r="E924" s="33"/>
      <c r="F924" s="32"/>
      <c r="G924" s="32"/>
      <c r="H924" s="32"/>
    </row>
    <row r="925" ht="15.75" customHeight="1">
      <c r="A925" s="32"/>
      <c r="B925" s="32"/>
      <c r="C925" s="33"/>
      <c r="D925" s="33"/>
      <c r="E925" s="33"/>
      <c r="F925" s="32"/>
      <c r="G925" s="32"/>
      <c r="H925" s="32"/>
    </row>
    <row r="926" ht="15.75" customHeight="1">
      <c r="A926" s="32"/>
      <c r="B926" s="32"/>
      <c r="C926" s="33"/>
      <c r="D926" s="33"/>
      <c r="E926" s="33"/>
      <c r="F926" s="32"/>
      <c r="G926" s="32"/>
      <c r="H926" s="32"/>
    </row>
    <row r="927" ht="15.75" customHeight="1">
      <c r="A927" s="32"/>
      <c r="B927" s="32"/>
      <c r="C927" s="33"/>
      <c r="D927" s="33"/>
      <c r="E927" s="33"/>
      <c r="F927" s="32"/>
      <c r="G927" s="32"/>
      <c r="H927" s="32"/>
    </row>
    <row r="928" ht="15.75" customHeight="1">
      <c r="A928" s="32"/>
      <c r="B928" s="32"/>
      <c r="C928" s="33"/>
      <c r="D928" s="33"/>
      <c r="E928" s="33"/>
      <c r="F928" s="32"/>
      <c r="G928" s="32"/>
      <c r="H928" s="32"/>
    </row>
    <row r="929" ht="15.75" customHeight="1">
      <c r="A929" s="32"/>
      <c r="B929" s="32"/>
      <c r="C929" s="33"/>
      <c r="D929" s="33"/>
      <c r="E929" s="33"/>
      <c r="F929" s="32"/>
      <c r="G929" s="32"/>
      <c r="H929" s="32"/>
    </row>
    <row r="930" ht="15.75" customHeight="1">
      <c r="A930" s="32"/>
      <c r="B930" s="32"/>
      <c r="C930" s="33"/>
      <c r="D930" s="33"/>
      <c r="E930" s="33"/>
      <c r="F930" s="32"/>
      <c r="G930" s="32"/>
      <c r="H930" s="32"/>
    </row>
    <row r="931" ht="15.75" customHeight="1">
      <c r="A931" s="32"/>
      <c r="B931" s="32"/>
      <c r="C931" s="33"/>
      <c r="D931" s="33"/>
      <c r="E931" s="33"/>
      <c r="F931" s="32"/>
      <c r="G931" s="32"/>
      <c r="H931" s="32"/>
    </row>
    <row r="932" ht="15.75" customHeight="1">
      <c r="A932" s="32"/>
      <c r="B932" s="32"/>
      <c r="C932" s="33"/>
      <c r="D932" s="33"/>
      <c r="E932" s="33"/>
      <c r="F932" s="32"/>
      <c r="G932" s="32"/>
      <c r="H932" s="32"/>
    </row>
    <row r="933" ht="15.75" customHeight="1">
      <c r="A933" s="32"/>
      <c r="B933" s="32"/>
      <c r="C933" s="33"/>
      <c r="D933" s="33"/>
      <c r="E933" s="33"/>
      <c r="F933" s="32"/>
      <c r="G933" s="32"/>
      <c r="H933" s="32"/>
    </row>
    <row r="934" ht="15.75" customHeight="1">
      <c r="A934" s="32"/>
      <c r="B934" s="32"/>
      <c r="C934" s="33"/>
      <c r="D934" s="33"/>
      <c r="E934" s="33"/>
      <c r="F934" s="32"/>
      <c r="G934" s="32"/>
      <c r="H934" s="32"/>
    </row>
    <row r="935" ht="15.75" customHeight="1">
      <c r="A935" s="32"/>
      <c r="B935" s="32"/>
      <c r="C935" s="33"/>
      <c r="D935" s="33"/>
      <c r="E935" s="33"/>
      <c r="F935" s="32"/>
      <c r="G935" s="32"/>
      <c r="H935" s="32"/>
    </row>
    <row r="936" ht="15.75" customHeight="1">
      <c r="A936" s="32"/>
      <c r="B936" s="32"/>
      <c r="C936" s="33"/>
      <c r="D936" s="33"/>
      <c r="E936" s="33"/>
      <c r="F936" s="32"/>
      <c r="G936" s="32"/>
      <c r="H936" s="32"/>
    </row>
    <row r="937" ht="15.75" customHeight="1">
      <c r="A937" s="32"/>
      <c r="B937" s="32"/>
      <c r="C937" s="33"/>
      <c r="D937" s="33"/>
      <c r="E937" s="33"/>
      <c r="F937" s="32"/>
      <c r="G937" s="32"/>
      <c r="H937" s="32"/>
    </row>
    <row r="938" ht="15.75" customHeight="1">
      <c r="A938" s="32"/>
      <c r="B938" s="32"/>
      <c r="C938" s="33"/>
      <c r="D938" s="33"/>
      <c r="E938" s="33"/>
      <c r="F938" s="32"/>
      <c r="G938" s="32"/>
      <c r="H938" s="32"/>
    </row>
    <row r="939" ht="15.75" customHeight="1">
      <c r="A939" s="32"/>
      <c r="B939" s="32"/>
      <c r="C939" s="33"/>
      <c r="D939" s="33"/>
      <c r="E939" s="33"/>
      <c r="F939" s="32"/>
      <c r="G939" s="32"/>
      <c r="H939" s="32"/>
    </row>
    <row r="940" ht="15.75" customHeight="1">
      <c r="A940" s="32"/>
      <c r="B940" s="32"/>
      <c r="C940" s="33"/>
      <c r="D940" s="33"/>
      <c r="E940" s="33"/>
      <c r="F940" s="32"/>
      <c r="G940" s="32"/>
      <c r="H940" s="32"/>
    </row>
    <row r="941" ht="15.75" customHeight="1">
      <c r="A941" s="32"/>
      <c r="B941" s="32"/>
      <c r="C941" s="33"/>
      <c r="D941" s="33"/>
      <c r="E941" s="33"/>
      <c r="F941" s="32"/>
      <c r="G941" s="32"/>
      <c r="H941" s="32"/>
    </row>
    <row r="942" ht="15.75" customHeight="1">
      <c r="A942" s="32"/>
      <c r="B942" s="32"/>
      <c r="C942" s="33"/>
      <c r="D942" s="33"/>
      <c r="E942" s="33"/>
      <c r="F942" s="32"/>
      <c r="G942" s="32"/>
      <c r="H942" s="32"/>
    </row>
    <row r="943" ht="15.75" customHeight="1">
      <c r="A943" s="32"/>
      <c r="B943" s="32"/>
      <c r="C943" s="33"/>
      <c r="D943" s="33"/>
      <c r="E943" s="33"/>
      <c r="F943" s="32"/>
      <c r="G943" s="32"/>
      <c r="H943" s="32"/>
    </row>
    <row r="944" ht="15.75" customHeight="1">
      <c r="A944" s="32"/>
      <c r="B944" s="32"/>
      <c r="C944" s="33"/>
      <c r="D944" s="33"/>
      <c r="E944" s="33"/>
      <c r="F944" s="32"/>
      <c r="G944" s="32"/>
      <c r="H944" s="32"/>
    </row>
    <row r="945" ht="15.75" customHeight="1">
      <c r="A945" s="32"/>
      <c r="B945" s="32"/>
      <c r="C945" s="33"/>
      <c r="D945" s="33"/>
      <c r="E945" s="33"/>
      <c r="F945" s="32"/>
      <c r="G945" s="32"/>
      <c r="H945" s="32"/>
    </row>
    <row r="946" ht="15.75" customHeight="1">
      <c r="A946" s="32"/>
      <c r="B946" s="32"/>
      <c r="C946" s="33"/>
      <c r="D946" s="33"/>
      <c r="E946" s="33"/>
      <c r="F946" s="32"/>
      <c r="G946" s="32"/>
      <c r="H946" s="32"/>
    </row>
    <row r="947" ht="15.75" customHeight="1">
      <c r="A947" s="32"/>
      <c r="B947" s="32"/>
      <c r="C947" s="33"/>
      <c r="D947" s="33"/>
      <c r="E947" s="33"/>
      <c r="F947" s="32"/>
      <c r="G947" s="32"/>
      <c r="H947" s="32"/>
    </row>
    <row r="948" ht="15.75" customHeight="1">
      <c r="A948" s="32"/>
      <c r="B948" s="32"/>
      <c r="C948" s="33"/>
      <c r="D948" s="33"/>
      <c r="E948" s="33"/>
      <c r="F948" s="32"/>
      <c r="G948" s="32"/>
      <c r="H948" s="32"/>
    </row>
    <row r="949" ht="15.75" customHeight="1">
      <c r="A949" s="32"/>
      <c r="B949" s="32"/>
      <c r="C949" s="33"/>
      <c r="D949" s="33"/>
      <c r="E949" s="33"/>
      <c r="F949" s="32"/>
      <c r="G949" s="32"/>
      <c r="H949" s="32"/>
    </row>
    <row r="950" ht="15.75" customHeight="1">
      <c r="A950" s="32"/>
      <c r="B950" s="32"/>
      <c r="C950" s="33"/>
      <c r="D950" s="33"/>
      <c r="E950" s="33"/>
      <c r="F950" s="32"/>
      <c r="G950" s="32"/>
      <c r="H950" s="32"/>
    </row>
    <row r="951" ht="15.75" customHeight="1">
      <c r="A951" s="32"/>
      <c r="B951" s="32"/>
      <c r="C951" s="33"/>
      <c r="D951" s="33"/>
      <c r="E951" s="33"/>
      <c r="F951" s="32"/>
      <c r="G951" s="32"/>
      <c r="H951" s="32"/>
    </row>
    <row r="952" ht="15.75" customHeight="1">
      <c r="A952" s="32"/>
      <c r="B952" s="32"/>
      <c r="C952" s="33"/>
      <c r="D952" s="33"/>
      <c r="E952" s="33"/>
      <c r="F952" s="32"/>
      <c r="G952" s="32"/>
      <c r="H952" s="32"/>
    </row>
    <row r="953" ht="15.75" customHeight="1">
      <c r="A953" s="32"/>
      <c r="B953" s="32"/>
      <c r="C953" s="33"/>
      <c r="D953" s="33"/>
      <c r="E953" s="33"/>
      <c r="F953" s="32"/>
      <c r="G953" s="32"/>
      <c r="H953" s="32"/>
    </row>
    <row r="954" ht="15.75" customHeight="1">
      <c r="A954" s="32"/>
      <c r="B954" s="32"/>
      <c r="C954" s="33"/>
      <c r="D954" s="33"/>
      <c r="E954" s="33"/>
      <c r="F954" s="32"/>
      <c r="G954" s="32"/>
      <c r="H954" s="32"/>
    </row>
    <row r="955" ht="15.75" customHeight="1">
      <c r="A955" s="32"/>
      <c r="B955" s="32"/>
      <c r="C955" s="33"/>
      <c r="D955" s="33"/>
      <c r="E955" s="33"/>
      <c r="F955" s="32"/>
      <c r="G955" s="32"/>
      <c r="H955" s="32"/>
    </row>
    <row r="956" ht="15.75" customHeight="1">
      <c r="A956" s="32"/>
      <c r="B956" s="32"/>
      <c r="C956" s="33"/>
      <c r="D956" s="33"/>
      <c r="E956" s="33"/>
      <c r="F956" s="32"/>
      <c r="G956" s="32"/>
      <c r="H956" s="32"/>
    </row>
    <row r="957" ht="15.75" customHeight="1">
      <c r="A957" s="32"/>
      <c r="B957" s="32"/>
      <c r="C957" s="33"/>
      <c r="D957" s="33"/>
      <c r="E957" s="33"/>
      <c r="F957" s="32"/>
      <c r="G957" s="32"/>
      <c r="H957" s="32"/>
    </row>
    <row r="958" ht="15.75" customHeight="1">
      <c r="A958" s="32"/>
      <c r="B958" s="32"/>
      <c r="C958" s="33"/>
      <c r="D958" s="33"/>
      <c r="E958" s="33"/>
      <c r="F958" s="32"/>
      <c r="G958" s="32"/>
      <c r="H958" s="32"/>
    </row>
    <row r="959" ht="15.75" customHeight="1">
      <c r="A959" s="32"/>
      <c r="B959" s="32"/>
      <c r="C959" s="33"/>
      <c r="D959" s="33"/>
      <c r="E959" s="33"/>
      <c r="F959" s="32"/>
      <c r="G959" s="32"/>
      <c r="H959" s="32"/>
    </row>
    <row r="960" ht="15.75" customHeight="1">
      <c r="A960" s="32"/>
      <c r="B960" s="32"/>
      <c r="C960" s="33"/>
      <c r="D960" s="33"/>
      <c r="E960" s="33"/>
      <c r="F960" s="32"/>
      <c r="G960" s="32"/>
      <c r="H960" s="32"/>
    </row>
    <row r="961" ht="15.75" customHeight="1">
      <c r="A961" s="32"/>
      <c r="B961" s="32"/>
      <c r="C961" s="33"/>
      <c r="D961" s="33"/>
      <c r="E961" s="33"/>
      <c r="F961" s="32"/>
      <c r="G961" s="32"/>
      <c r="H961" s="32"/>
    </row>
    <row r="962" ht="15.75" customHeight="1">
      <c r="A962" s="32"/>
      <c r="B962" s="32"/>
      <c r="C962" s="33"/>
      <c r="D962" s="33"/>
      <c r="E962" s="33"/>
      <c r="F962" s="32"/>
      <c r="G962" s="32"/>
      <c r="H962" s="32"/>
    </row>
    <row r="963" ht="15.75" customHeight="1">
      <c r="A963" s="32"/>
      <c r="B963" s="32"/>
      <c r="C963" s="33"/>
      <c r="D963" s="33"/>
      <c r="E963" s="33"/>
      <c r="F963" s="32"/>
      <c r="G963" s="32"/>
      <c r="H963" s="32"/>
    </row>
    <row r="964" ht="15.75" customHeight="1">
      <c r="A964" s="32"/>
      <c r="B964" s="32"/>
      <c r="C964" s="33"/>
      <c r="D964" s="33"/>
      <c r="E964" s="33"/>
      <c r="F964" s="32"/>
      <c r="G964" s="32"/>
      <c r="H964" s="32"/>
    </row>
    <row r="965" ht="15.75" customHeight="1">
      <c r="A965" s="32"/>
      <c r="B965" s="32"/>
      <c r="C965" s="33"/>
      <c r="D965" s="33"/>
      <c r="E965" s="33"/>
      <c r="F965" s="32"/>
      <c r="G965" s="32"/>
      <c r="H965" s="32"/>
    </row>
    <row r="966" ht="15.75" customHeight="1">
      <c r="A966" s="32"/>
      <c r="B966" s="32"/>
      <c r="C966" s="33"/>
      <c r="D966" s="33"/>
      <c r="E966" s="33"/>
      <c r="F966" s="32"/>
      <c r="G966" s="32"/>
      <c r="H966" s="32"/>
    </row>
    <row r="967" ht="15.75" customHeight="1">
      <c r="A967" s="32"/>
      <c r="B967" s="32"/>
      <c r="C967" s="33"/>
      <c r="D967" s="33"/>
      <c r="E967" s="33"/>
      <c r="F967" s="32"/>
      <c r="G967" s="32"/>
      <c r="H967" s="32"/>
    </row>
    <row r="968" ht="15.75" customHeight="1">
      <c r="A968" s="32"/>
      <c r="B968" s="32"/>
      <c r="C968" s="33"/>
      <c r="D968" s="33"/>
      <c r="E968" s="33"/>
      <c r="F968" s="32"/>
      <c r="G968" s="32"/>
      <c r="H968" s="32"/>
    </row>
    <row r="969" ht="15.75" customHeight="1">
      <c r="A969" s="32"/>
      <c r="B969" s="32"/>
      <c r="C969" s="33"/>
      <c r="D969" s="33"/>
      <c r="E969" s="33"/>
      <c r="F969" s="32"/>
      <c r="G969" s="32"/>
      <c r="H969" s="32"/>
    </row>
    <row r="970" ht="15.75" customHeight="1">
      <c r="A970" s="32"/>
      <c r="B970" s="32"/>
      <c r="C970" s="33"/>
      <c r="D970" s="33"/>
      <c r="E970" s="33"/>
      <c r="F970" s="32"/>
      <c r="G970" s="32"/>
      <c r="H970" s="32"/>
    </row>
    <row r="971" ht="15.75" customHeight="1">
      <c r="A971" s="32"/>
      <c r="B971" s="32"/>
      <c r="C971" s="33"/>
      <c r="D971" s="33"/>
      <c r="E971" s="33"/>
      <c r="F971" s="32"/>
      <c r="G971" s="32"/>
      <c r="H971" s="32"/>
    </row>
    <row r="972" ht="15.75" customHeight="1">
      <c r="A972" s="32"/>
      <c r="B972" s="32"/>
      <c r="C972" s="33"/>
      <c r="D972" s="33"/>
      <c r="E972" s="33"/>
      <c r="F972" s="32"/>
      <c r="G972" s="32"/>
      <c r="H972" s="32"/>
    </row>
    <row r="973" ht="15.75" customHeight="1">
      <c r="A973" s="32"/>
      <c r="B973" s="32"/>
      <c r="C973" s="33"/>
      <c r="D973" s="33"/>
      <c r="E973" s="33"/>
      <c r="F973" s="32"/>
      <c r="G973" s="32"/>
      <c r="H973" s="32"/>
    </row>
    <row r="974" ht="15.75" customHeight="1">
      <c r="A974" s="32"/>
      <c r="B974" s="32"/>
      <c r="C974" s="33"/>
      <c r="D974" s="33"/>
      <c r="E974" s="33"/>
      <c r="F974" s="32"/>
      <c r="G974" s="32"/>
      <c r="H974" s="32"/>
    </row>
    <row r="975" ht="15.75" customHeight="1">
      <c r="A975" s="32"/>
      <c r="B975" s="32"/>
      <c r="C975" s="33"/>
      <c r="D975" s="33"/>
      <c r="E975" s="33"/>
      <c r="F975" s="32"/>
      <c r="G975" s="32"/>
      <c r="H975" s="32"/>
    </row>
    <row r="976" ht="15.75" customHeight="1">
      <c r="A976" s="32"/>
      <c r="B976" s="32"/>
      <c r="C976" s="33"/>
      <c r="D976" s="33"/>
      <c r="E976" s="33"/>
      <c r="F976" s="32"/>
      <c r="G976" s="32"/>
      <c r="H976" s="32"/>
    </row>
    <row r="977" ht="15.75" customHeight="1">
      <c r="A977" s="32"/>
      <c r="B977" s="32"/>
      <c r="C977" s="33"/>
      <c r="D977" s="33"/>
      <c r="E977" s="33"/>
      <c r="F977" s="32"/>
      <c r="G977" s="32"/>
      <c r="H977" s="32"/>
    </row>
  </sheetData>
  <mergeCells count="2">
    <mergeCell ref="B1:H2"/>
    <mergeCell ref="A28:H28"/>
  </mergeCell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50.89"/>
    <col customWidth="1" min="3" max="3" width="9.78"/>
    <col customWidth="1" min="4" max="4" width="9.11"/>
    <col customWidth="1" min="5" max="5" width="10.67"/>
    <col customWidth="1" min="6" max="6" width="28.78"/>
    <col customWidth="1" min="7" max="8" width="9.78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65"/>
    </row>
    <row r="2" ht="15.75" customHeight="1">
      <c r="A2" s="3"/>
      <c r="B2" s="4"/>
      <c r="C2" s="4"/>
      <c r="D2" s="4"/>
      <c r="E2" s="4"/>
      <c r="F2" s="4"/>
      <c r="G2" s="4"/>
      <c r="H2" s="65"/>
    </row>
    <row r="3" ht="15.75" customHeight="1">
      <c r="A3" s="66" t="s">
        <v>2</v>
      </c>
      <c r="B3" s="27" t="s">
        <v>3</v>
      </c>
      <c r="C3" s="6" t="s">
        <v>771</v>
      </c>
      <c r="D3" s="2"/>
      <c r="E3" s="2"/>
      <c r="F3" s="5"/>
      <c r="G3" s="6"/>
      <c r="H3" s="67"/>
    </row>
    <row r="4" ht="15.75" customHeight="1">
      <c r="C4" s="6" t="s">
        <v>772</v>
      </c>
      <c r="D4" s="6" t="s">
        <v>612</v>
      </c>
      <c r="E4" s="6" t="s">
        <v>704</v>
      </c>
      <c r="F4" s="5" t="s">
        <v>7</v>
      </c>
      <c r="G4" s="6" t="s">
        <v>8</v>
      </c>
      <c r="H4" s="67" t="s">
        <v>773</v>
      </c>
    </row>
    <row r="5" ht="15.75" customHeight="1">
      <c r="A5" s="7" t="s">
        <v>9</v>
      </c>
      <c r="B5" s="8" t="s">
        <v>10</v>
      </c>
      <c r="C5" s="9">
        <v>3.0</v>
      </c>
      <c r="D5" s="9">
        <v>1.0</v>
      </c>
      <c r="E5" s="9">
        <v>2.0</v>
      </c>
      <c r="F5" s="11" t="s">
        <v>11</v>
      </c>
      <c r="G5" s="12"/>
      <c r="H5" s="11">
        <v>1.0</v>
      </c>
    </row>
    <row r="6" ht="15.75" customHeight="1">
      <c r="A6" s="7" t="s">
        <v>12</v>
      </c>
      <c r="B6" s="8" t="s">
        <v>13</v>
      </c>
      <c r="C6" s="9">
        <v>40.0</v>
      </c>
      <c r="D6" s="10">
        <v>0.0</v>
      </c>
      <c r="E6" s="10">
        <v>40.0</v>
      </c>
      <c r="F6" s="7" t="s">
        <v>14</v>
      </c>
      <c r="G6" s="13"/>
      <c r="H6" s="13"/>
    </row>
    <row r="7" ht="15.75" customHeight="1">
      <c r="A7" s="7" t="s">
        <v>15</v>
      </c>
      <c r="B7" s="8" t="s">
        <v>16</v>
      </c>
      <c r="C7" s="9">
        <v>12.0</v>
      </c>
      <c r="D7" s="10">
        <v>0.0</v>
      </c>
      <c r="E7" s="10">
        <v>12.0</v>
      </c>
      <c r="F7" s="7">
        <v>0.0</v>
      </c>
      <c r="G7" s="13"/>
      <c r="H7" s="13"/>
    </row>
    <row r="8" ht="15.75" customHeight="1">
      <c r="A8" s="7" t="s">
        <v>17</v>
      </c>
      <c r="B8" s="8" t="s">
        <v>18</v>
      </c>
      <c r="C8" s="9">
        <v>4.0</v>
      </c>
      <c r="D8" s="10">
        <v>1.0</v>
      </c>
      <c r="E8" s="10">
        <v>3.0</v>
      </c>
      <c r="F8" s="11">
        <v>1.0</v>
      </c>
      <c r="G8" s="12"/>
      <c r="H8" s="12"/>
    </row>
    <row r="9" ht="15.75" customHeight="1">
      <c r="A9" s="7" t="s">
        <v>19</v>
      </c>
      <c r="B9" s="8" t="s">
        <v>20</v>
      </c>
      <c r="C9" s="9">
        <v>7.0</v>
      </c>
      <c r="D9" s="10">
        <v>0.0</v>
      </c>
      <c r="E9" s="10">
        <v>7.0</v>
      </c>
      <c r="F9" s="7">
        <v>63.0</v>
      </c>
      <c r="G9" s="13"/>
      <c r="H9" s="13"/>
    </row>
    <row r="10" ht="15.75" customHeight="1">
      <c r="A10" s="7" t="s">
        <v>21</v>
      </c>
      <c r="B10" s="8" t="s">
        <v>22</v>
      </c>
      <c r="C10" s="9">
        <v>5.0</v>
      </c>
      <c r="D10" s="10">
        <v>0.0</v>
      </c>
      <c r="E10" s="10">
        <v>5.0</v>
      </c>
      <c r="F10" s="7" t="s">
        <v>23</v>
      </c>
      <c r="G10" s="13"/>
      <c r="H10" s="13"/>
    </row>
    <row r="11" ht="15.75" customHeight="1">
      <c r="A11" s="7" t="s">
        <v>24</v>
      </c>
      <c r="B11" s="8" t="s">
        <v>25</v>
      </c>
      <c r="C11" s="9">
        <v>1.0</v>
      </c>
      <c r="D11" s="10">
        <v>0.0</v>
      </c>
      <c r="E11" s="10">
        <v>1.0</v>
      </c>
      <c r="F11" s="11">
        <v>1.0</v>
      </c>
      <c r="G11" s="12"/>
      <c r="H11" s="12"/>
    </row>
    <row r="12" ht="15.75" customHeight="1">
      <c r="A12" s="7" t="s">
        <v>26</v>
      </c>
      <c r="B12" s="8" t="s">
        <v>27</v>
      </c>
      <c r="C12" s="9">
        <v>3.0</v>
      </c>
      <c r="D12" s="10">
        <v>0.0</v>
      </c>
      <c r="E12" s="10">
        <v>3.0</v>
      </c>
      <c r="F12" s="7">
        <v>3.0</v>
      </c>
      <c r="G12" s="13"/>
      <c r="H12" s="13"/>
    </row>
    <row r="13" ht="15.75" customHeight="1">
      <c r="A13" s="7" t="s">
        <v>28</v>
      </c>
      <c r="B13" s="8" t="s">
        <v>29</v>
      </c>
      <c r="C13" s="9">
        <v>2.0</v>
      </c>
      <c r="D13" s="10">
        <v>0.0</v>
      </c>
      <c r="E13" s="10">
        <v>2.0</v>
      </c>
      <c r="F13" s="7">
        <v>0.0</v>
      </c>
      <c r="G13" s="13"/>
      <c r="H13" s="13"/>
    </row>
    <row r="14" ht="15.75" customHeight="1">
      <c r="A14" s="7" t="s">
        <v>30</v>
      </c>
      <c r="B14" s="8" t="s">
        <v>31</v>
      </c>
      <c r="C14" s="9">
        <v>6.0</v>
      </c>
      <c r="D14" s="10">
        <v>0.0</v>
      </c>
      <c r="E14" s="10">
        <v>6.0</v>
      </c>
      <c r="F14" s="11">
        <v>6.0</v>
      </c>
      <c r="G14" s="12"/>
      <c r="H14" s="12"/>
    </row>
    <row r="15" ht="15.75" customHeight="1">
      <c r="A15" s="7" t="s">
        <v>32</v>
      </c>
      <c r="B15" s="7" t="s">
        <v>33</v>
      </c>
      <c r="C15" s="9">
        <v>530.0</v>
      </c>
      <c r="D15" s="10">
        <v>0.0</v>
      </c>
      <c r="E15" s="10">
        <v>530.0</v>
      </c>
      <c r="F15" s="12"/>
      <c r="G15" s="12"/>
      <c r="H15" s="12"/>
    </row>
    <row r="16" ht="15.75" customHeight="1">
      <c r="A16" s="7" t="s">
        <v>34</v>
      </c>
      <c r="B16" s="7" t="s">
        <v>35</v>
      </c>
      <c r="C16" s="9">
        <v>206.0</v>
      </c>
      <c r="D16" s="10">
        <v>0.0</v>
      </c>
      <c r="E16" s="10">
        <v>206.0</v>
      </c>
      <c r="F16" s="13"/>
      <c r="G16" s="13"/>
      <c r="H16" s="13"/>
    </row>
    <row r="17" ht="15.75" customHeight="1">
      <c r="A17" s="7" t="s">
        <v>36</v>
      </c>
      <c r="B17" s="14" t="s">
        <v>37</v>
      </c>
      <c r="C17" s="9">
        <v>1.0</v>
      </c>
      <c r="D17" s="10">
        <v>0.0</v>
      </c>
      <c r="E17" s="10">
        <v>1.0</v>
      </c>
      <c r="F17" s="11">
        <v>1.0</v>
      </c>
      <c r="G17" s="12"/>
      <c r="H17" s="68">
        <v>1.0</v>
      </c>
    </row>
    <row r="18" ht="15.75" customHeight="1">
      <c r="A18" s="7" t="s">
        <v>38</v>
      </c>
      <c r="B18" s="8" t="s">
        <v>39</v>
      </c>
      <c r="C18" s="9">
        <v>18.0</v>
      </c>
      <c r="D18" s="10">
        <v>0.0</v>
      </c>
      <c r="E18" s="10">
        <v>18.0</v>
      </c>
      <c r="F18" s="12"/>
      <c r="G18" s="12"/>
      <c r="H18" s="12"/>
    </row>
    <row r="19" ht="15.75" customHeight="1">
      <c r="A19" s="7" t="s">
        <v>40</v>
      </c>
      <c r="B19" s="15" t="s">
        <v>41</v>
      </c>
      <c r="C19" s="9">
        <v>3.0</v>
      </c>
      <c r="D19" s="10">
        <v>0.0</v>
      </c>
      <c r="E19" s="10">
        <v>3.0</v>
      </c>
      <c r="F19" s="11">
        <v>1.0</v>
      </c>
      <c r="G19" s="12"/>
      <c r="H19" s="12"/>
    </row>
    <row r="20" ht="15.75" customHeight="1">
      <c r="A20" s="7" t="s">
        <v>42</v>
      </c>
      <c r="B20" s="8" t="s">
        <v>43</v>
      </c>
      <c r="C20" s="9">
        <v>1.0</v>
      </c>
      <c r="D20" s="10">
        <v>0.0</v>
      </c>
      <c r="E20" s="10">
        <v>1.0</v>
      </c>
      <c r="F20" s="11">
        <v>2.0</v>
      </c>
      <c r="G20" s="12"/>
      <c r="H20" s="12"/>
    </row>
    <row r="21" ht="15.75" customHeight="1">
      <c r="A21" s="7" t="s">
        <v>44</v>
      </c>
      <c r="B21" s="8" t="s">
        <v>45</v>
      </c>
      <c r="C21" s="9">
        <v>7.0</v>
      </c>
      <c r="D21" s="10">
        <v>0.0</v>
      </c>
      <c r="E21" s="10">
        <v>7.0</v>
      </c>
      <c r="F21" s="11">
        <v>7.0</v>
      </c>
      <c r="G21" s="12"/>
      <c r="H21" s="12"/>
    </row>
    <row r="22" ht="15.75" customHeight="1">
      <c r="A22" s="7" t="s">
        <v>46</v>
      </c>
      <c r="B22" s="8" t="s">
        <v>47</v>
      </c>
      <c r="C22" s="9">
        <v>2.0</v>
      </c>
      <c r="D22" s="10">
        <v>0.0</v>
      </c>
      <c r="E22" s="10">
        <v>2.0</v>
      </c>
      <c r="F22" s="12"/>
      <c r="G22" s="12"/>
      <c r="H22" s="12"/>
    </row>
    <row r="23" ht="15.75" customHeight="1">
      <c r="A23" s="7" t="s">
        <v>48</v>
      </c>
      <c r="B23" s="8" t="s">
        <v>49</v>
      </c>
      <c r="C23" s="9">
        <v>3.0</v>
      </c>
      <c r="D23" s="10">
        <v>0.0</v>
      </c>
      <c r="E23" s="10">
        <v>3.0</v>
      </c>
      <c r="F23" s="12"/>
      <c r="G23" s="12"/>
      <c r="H23" s="12"/>
    </row>
    <row r="24" ht="15.75" customHeight="1">
      <c r="A24" s="7" t="s">
        <v>50</v>
      </c>
      <c r="B24" s="7" t="s">
        <v>51</v>
      </c>
      <c r="C24" s="9">
        <v>1.0</v>
      </c>
      <c r="D24" s="10">
        <v>0.0</v>
      </c>
      <c r="E24" s="10">
        <v>1.0</v>
      </c>
      <c r="F24" s="13"/>
      <c r="G24" s="13"/>
      <c r="H24" s="69"/>
    </row>
    <row r="25" ht="15.75" customHeight="1">
      <c r="A25" s="7" t="s">
        <v>52</v>
      </c>
      <c r="B25" s="8" t="s">
        <v>53</v>
      </c>
      <c r="C25" s="9">
        <v>11.0</v>
      </c>
      <c r="D25" s="10">
        <v>0.0</v>
      </c>
      <c r="E25" s="10">
        <v>11.0</v>
      </c>
      <c r="F25" s="7">
        <v>11.0</v>
      </c>
      <c r="G25" s="13"/>
      <c r="H25" s="70">
        <v>13.0</v>
      </c>
    </row>
    <row r="26" ht="15.75" customHeight="1">
      <c r="A26" s="7" t="s">
        <v>54</v>
      </c>
      <c r="B26" s="8" t="s">
        <v>55</v>
      </c>
      <c r="C26" s="9">
        <v>61.0</v>
      </c>
      <c r="D26" s="10">
        <v>0.0</v>
      </c>
      <c r="E26" s="10">
        <v>61.0</v>
      </c>
      <c r="F26" s="12"/>
      <c r="G26" s="12"/>
      <c r="H26" s="12"/>
    </row>
    <row r="27" ht="15.75" customHeight="1">
      <c r="A27" s="7" t="s">
        <v>56</v>
      </c>
      <c r="B27" s="8" t="s">
        <v>57</v>
      </c>
      <c r="C27" s="9">
        <v>275.0</v>
      </c>
      <c r="D27" s="10">
        <v>0.0</v>
      </c>
      <c r="E27" s="10">
        <v>275.0</v>
      </c>
      <c r="F27" s="12"/>
      <c r="G27" s="12"/>
      <c r="H27" s="12"/>
    </row>
    <row r="28" ht="15.75" customHeight="1">
      <c r="A28" s="7" t="s">
        <v>58</v>
      </c>
      <c r="B28" s="8" t="s">
        <v>59</v>
      </c>
      <c r="C28" s="9">
        <v>101.0</v>
      </c>
      <c r="D28" s="10">
        <v>0.0</v>
      </c>
      <c r="E28" s="10">
        <v>101.0</v>
      </c>
      <c r="F28" s="12"/>
      <c r="G28" s="12"/>
      <c r="H28" s="12"/>
    </row>
    <row r="29" ht="15.75" customHeight="1">
      <c r="A29" s="7" t="s">
        <v>60</v>
      </c>
      <c r="B29" s="8" t="s">
        <v>61</v>
      </c>
      <c r="C29" s="9">
        <v>2.0</v>
      </c>
      <c r="D29" s="10">
        <v>0.0</v>
      </c>
      <c r="E29" s="10">
        <v>2.0</v>
      </c>
      <c r="F29" s="12"/>
      <c r="G29" s="12"/>
      <c r="H29" s="12"/>
    </row>
    <row r="30" ht="15.75" customHeight="1">
      <c r="A30" s="7" t="s">
        <v>62</v>
      </c>
      <c r="B30" s="16" t="s">
        <v>63</v>
      </c>
      <c r="C30" s="9">
        <v>71.0</v>
      </c>
      <c r="D30" s="10">
        <v>0.0</v>
      </c>
      <c r="E30" s="10">
        <v>71.0</v>
      </c>
      <c r="F30" s="12"/>
      <c r="G30" s="12"/>
      <c r="H30" s="12"/>
    </row>
    <row r="31" ht="15.75" customHeight="1">
      <c r="A31" s="7" t="s">
        <v>64</v>
      </c>
      <c r="B31" s="8" t="s">
        <v>65</v>
      </c>
      <c r="C31" s="9">
        <v>4.0</v>
      </c>
      <c r="D31" s="10">
        <v>0.0</v>
      </c>
      <c r="E31" s="10">
        <v>4.0</v>
      </c>
      <c r="F31" s="11" t="s">
        <v>66</v>
      </c>
      <c r="G31" s="12"/>
      <c r="H31" s="11">
        <v>3.0</v>
      </c>
    </row>
    <row r="32" ht="15.75" customHeight="1">
      <c r="A32" s="7" t="s">
        <v>67</v>
      </c>
      <c r="B32" s="8" t="s">
        <v>68</v>
      </c>
      <c r="C32" s="9">
        <v>13.0</v>
      </c>
      <c r="D32" s="10">
        <v>0.0</v>
      </c>
      <c r="E32" s="10">
        <v>13.0</v>
      </c>
      <c r="F32" s="7" t="s">
        <v>69</v>
      </c>
      <c r="G32" s="13"/>
      <c r="H32" s="13"/>
    </row>
    <row r="33" ht="15.75" customHeight="1">
      <c r="A33" s="7" t="s">
        <v>70</v>
      </c>
      <c r="B33" s="8" t="s">
        <v>71</v>
      </c>
      <c r="C33" s="9">
        <v>1.0</v>
      </c>
      <c r="D33" s="10">
        <v>0.0</v>
      </c>
      <c r="E33" s="10">
        <v>1.0</v>
      </c>
      <c r="F33" s="12"/>
      <c r="G33" s="12"/>
      <c r="H33" s="68">
        <v>1.0</v>
      </c>
    </row>
    <row r="34" ht="15.75" customHeight="1">
      <c r="A34" s="7" t="s">
        <v>72</v>
      </c>
      <c r="B34" s="8" t="s">
        <v>73</v>
      </c>
      <c r="C34" s="9">
        <v>1.0</v>
      </c>
      <c r="D34" s="10">
        <v>0.0</v>
      </c>
      <c r="E34" s="10">
        <v>1.0</v>
      </c>
      <c r="F34" s="7">
        <v>1.0</v>
      </c>
      <c r="G34" s="13"/>
      <c r="H34" s="13"/>
    </row>
    <row r="35" ht="15.75" customHeight="1">
      <c r="A35" s="7" t="s">
        <v>74</v>
      </c>
      <c r="B35" s="16" t="s">
        <v>75</v>
      </c>
      <c r="C35" s="9">
        <v>8.0</v>
      </c>
      <c r="D35" s="10">
        <v>0.0</v>
      </c>
      <c r="E35" s="10">
        <v>8.0</v>
      </c>
      <c r="F35" s="13"/>
      <c r="G35" s="13"/>
      <c r="H35" s="13"/>
    </row>
    <row r="36" ht="15.75" customHeight="1">
      <c r="A36" s="7" t="s">
        <v>76</v>
      </c>
      <c r="B36" s="8" t="s">
        <v>77</v>
      </c>
      <c r="C36" s="9">
        <v>3.0</v>
      </c>
      <c r="D36" s="10">
        <v>0.0</v>
      </c>
      <c r="E36" s="10">
        <v>3.0</v>
      </c>
      <c r="F36" s="11">
        <v>4.0</v>
      </c>
      <c r="G36" s="12"/>
      <c r="H36" s="12"/>
    </row>
    <row r="37" ht="15.75" customHeight="1">
      <c r="A37" s="7" t="s">
        <v>78</v>
      </c>
      <c r="B37" s="8" t="s">
        <v>79</v>
      </c>
      <c r="C37" s="9">
        <v>3.0</v>
      </c>
      <c r="D37" s="10">
        <v>0.0</v>
      </c>
      <c r="E37" s="10">
        <v>3.0</v>
      </c>
      <c r="F37" s="12"/>
      <c r="G37" s="12"/>
      <c r="H37" s="12"/>
    </row>
    <row r="38" ht="15.75" customHeight="1">
      <c r="A38" s="7" t="s">
        <v>80</v>
      </c>
      <c r="B38" s="8" t="s">
        <v>81</v>
      </c>
      <c r="C38" s="9">
        <v>36.0</v>
      </c>
      <c r="D38" s="10">
        <v>0.0</v>
      </c>
      <c r="E38" s="10">
        <v>36.0</v>
      </c>
      <c r="F38" s="11" t="s">
        <v>82</v>
      </c>
      <c r="G38" s="12"/>
      <c r="H38" s="12"/>
    </row>
    <row r="39" ht="15.75" customHeight="1">
      <c r="A39" s="7" t="s">
        <v>83</v>
      </c>
      <c r="B39" s="7" t="s">
        <v>84</v>
      </c>
      <c r="C39" s="9">
        <v>49.0</v>
      </c>
      <c r="D39" s="10">
        <v>0.0</v>
      </c>
      <c r="E39" s="10">
        <v>49.0</v>
      </c>
      <c r="F39" s="12"/>
      <c r="G39" s="12"/>
      <c r="H39" s="12"/>
    </row>
    <row r="40" ht="15.75" customHeight="1">
      <c r="A40" s="7" t="s">
        <v>85</v>
      </c>
      <c r="B40" s="8" t="s">
        <v>86</v>
      </c>
      <c r="C40" s="9">
        <v>6.0</v>
      </c>
      <c r="D40" s="10">
        <v>0.0</v>
      </c>
      <c r="E40" s="10">
        <v>6.0</v>
      </c>
      <c r="F40" s="12"/>
      <c r="G40" s="12"/>
      <c r="H40" s="12"/>
    </row>
    <row r="41" ht="15.75" customHeight="1">
      <c r="A41" s="7" t="s">
        <v>87</v>
      </c>
      <c r="B41" s="8" t="s">
        <v>88</v>
      </c>
      <c r="C41" s="9">
        <v>2.0</v>
      </c>
      <c r="D41" s="10">
        <v>0.0</v>
      </c>
      <c r="E41" s="10">
        <v>2.0</v>
      </c>
      <c r="F41" s="12"/>
      <c r="G41" s="12"/>
      <c r="H41" s="68">
        <v>2.0</v>
      </c>
    </row>
    <row r="42" ht="15.75" customHeight="1">
      <c r="A42" s="7" t="s">
        <v>89</v>
      </c>
      <c r="B42" s="7" t="s">
        <v>90</v>
      </c>
      <c r="C42" s="9">
        <v>2.0</v>
      </c>
      <c r="D42" s="10">
        <v>0.0</v>
      </c>
      <c r="E42" s="10">
        <v>2.0</v>
      </c>
      <c r="F42" s="12"/>
      <c r="G42" s="12"/>
      <c r="H42" s="12"/>
    </row>
    <row r="43" ht="15.75" customHeight="1">
      <c r="A43" s="7" t="s">
        <v>91</v>
      </c>
      <c r="B43" s="8" t="s">
        <v>92</v>
      </c>
      <c r="C43" s="9">
        <v>0.0</v>
      </c>
      <c r="D43" s="10">
        <v>0.0</v>
      </c>
      <c r="E43" s="10">
        <v>0.0</v>
      </c>
      <c r="F43" s="11">
        <v>1.0</v>
      </c>
      <c r="G43" s="12"/>
      <c r="H43" s="12"/>
    </row>
    <row r="44" ht="15.75" customHeight="1">
      <c r="A44" s="7" t="s">
        <v>93</v>
      </c>
      <c r="B44" s="16" t="s">
        <v>94</v>
      </c>
      <c r="C44" s="9">
        <v>1.0</v>
      </c>
      <c r="D44" s="10">
        <v>0.0</v>
      </c>
      <c r="E44" s="10">
        <v>1.0</v>
      </c>
      <c r="F44" s="13"/>
      <c r="G44" s="13"/>
      <c r="H44" s="13"/>
    </row>
    <row r="45" ht="15.75" customHeight="1">
      <c r="A45" s="7" t="s">
        <v>95</v>
      </c>
      <c r="B45" s="15" t="s">
        <v>96</v>
      </c>
      <c r="C45" s="9">
        <v>0.0</v>
      </c>
      <c r="D45" s="10">
        <v>0.0</v>
      </c>
      <c r="E45" s="10">
        <v>0.0</v>
      </c>
      <c r="F45" s="7" t="s">
        <v>97</v>
      </c>
      <c r="G45" s="13"/>
      <c r="H45" s="13"/>
    </row>
    <row r="46" ht="15.75" customHeight="1">
      <c r="A46" s="7" t="s">
        <v>98</v>
      </c>
      <c r="B46" s="15" t="s">
        <v>99</v>
      </c>
      <c r="C46" s="9">
        <v>13.0</v>
      </c>
      <c r="D46" s="10">
        <v>0.0</v>
      </c>
      <c r="E46" s="10">
        <v>13.0</v>
      </c>
      <c r="F46" s="13"/>
      <c r="G46" s="13"/>
      <c r="H46" s="13"/>
    </row>
    <row r="47" ht="15.75" customHeight="1">
      <c r="A47" s="7" t="s">
        <v>100</v>
      </c>
      <c r="B47" s="8" t="s">
        <v>101</v>
      </c>
      <c r="C47" s="9">
        <v>5.0</v>
      </c>
      <c r="D47" s="10">
        <v>0.0</v>
      </c>
      <c r="E47" s="10">
        <v>5.0</v>
      </c>
      <c r="F47" s="11">
        <v>7.0</v>
      </c>
      <c r="G47" s="12"/>
      <c r="H47" s="71">
        <v>12.0</v>
      </c>
    </row>
    <row r="48" ht="15.75" customHeight="1">
      <c r="A48" s="7" t="s">
        <v>102</v>
      </c>
      <c r="B48" s="8" t="s">
        <v>103</v>
      </c>
      <c r="C48" s="9">
        <v>1.0</v>
      </c>
      <c r="D48" s="10">
        <v>0.0</v>
      </c>
      <c r="E48" s="10">
        <v>1.0</v>
      </c>
      <c r="F48" s="13"/>
      <c r="G48" s="13"/>
      <c r="H48" s="13"/>
    </row>
    <row r="49" ht="15.75" customHeight="1">
      <c r="A49" s="7" t="s">
        <v>104</v>
      </c>
      <c r="B49" s="7" t="s">
        <v>105</v>
      </c>
      <c r="C49" s="9">
        <v>6.0</v>
      </c>
      <c r="D49" s="10">
        <v>1.0</v>
      </c>
      <c r="E49" s="10">
        <v>5.0</v>
      </c>
      <c r="F49" s="12"/>
      <c r="G49" s="12"/>
      <c r="H49" s="12"/>
    </row>
    <row r="50" ht="15.75" customHeight="1">
      <c r="A50" s="7" t="s">
        <v>106</v>
      </c>
      <c r="B50" s="8" t="s">
        <v>107</v>
      </c>
      <c r="C50" s="9">
        <v>2.0</v>
      </c>
      <c r="D50" s="10">
        <v>0.0</v>
      </c>
      <c r="E50" s="10">
        <v>2.0</v>
      </c>
      <c r="F50" s="7" t="s">
        <v>108</v>
      </c>
      <c r="G50" s="13"/>
      <c r="H50" s="70">
        <v>3.0</v>
      </c>
    </row>
    <row r="51" ht="15.75" customHeight="1">
      <c r="A51" s="7" t="s">
        <v>109</v>
      </c>
      <c r="B51" s="8" t="s">
        <v>110</v>
      </c>
      <c r="C51" s="9">
        <v>5.0</v>
      </c>
      <c r="D51" s="10">
        <v>0.0</v>
      </c>
      <c r="E51" s="10">
        <v>5.0</v>
      </c>
      <c r="F51" s="7">
        <v>6.0</v>
      </c>
      <c r="G51" s="13"/>
      <c r="H51" s="7">
        <v>3.0</v>
      </c>
    </row>
    <row r="52" ht="15.75" customHeight="1">
      <c r="A52" s="7" t="s">
        <v>111</v>
      </c>
      <c r="B52" s="8" t="s">
        <v>112</v>
      </c>
      <c r="C52" s="9">
        <v>7.0</v>
      </c>
      <c r="D52" s="10">
        <v>0.0</v>
      </c>
      <c r="E52" s="10">
        <v>7.0</v>
      </c>
      <c r="F52" s="12"/>
      <c r="G52" s="12"/>
      <c r="H52" s="12"/>
    </row>
    <row r="53" ht="15.75" customHeight="1">
      <c r="A53" s="7" t="s">
        <v>113</v>
      </c>
      <c r="B53" s="7" t="s">
        <v>114</v>
      </c>
      <c r="C53" s="9">
        <v>183.0</v>
      </c>
      <c r="D53" s="10">
        <v>0.0</v>
      </c>
      <c r="E53" s="10">
        <v>183.0</v>
      </c>
      <c r="F53" s="12"/>
      <c r="G53" s="12"/>
      <c r="H53" s="12"/>
    </row>
    <row r="54" ht="15.75" customHeight="1">
      <c r="A54" s="7" t="s">
        <v>115</v>
      </c>
      <c r="B54" s="8" t="s">
        <v>116</v>
      </c>
      <c r="C54" s="9">
        <v>1.0</v>
      </c>
      <c r="D54" s="10">
        <v>0.0</v>
      </c>
      <c r="E54" s="10">
        <v>1.0</v>
      </c>
      <c r="F54" s="12"/>
      <c r="G54" s="12"/>
      <c r="H54" s="12"/>
    </row>
    <row r="55" ht="15.75" customHeight="1">
      <c r="A55" s="7" t="s">
        <v>117</v>
      </c>
      <c r="B55" s="7" t="s">
        <v>118</v>
      </c>
      <c r="C55" s="9">
        <v>4.0</v>
      </c>
      <c r="D55" s="10">
        <v>0.0</v>
      </c>
      <c r="E55" s="10">
        <v>4.0</v>
      </c>
      <c r="F55" s="12"/>
      <c r="G55" s="12"/>
      <c r="H55" s="12"/>
    </row>
    <row r="56" ht="15.75" customHeight="1">
      <c r="A56" s="7" t="s">
        <v>119</v>
      </c>
      <c r="B56" s="8" t="s">
        <v>120</v>
      </c>
      <c r="C56" s="9">
        <v>1.0</v>
      </c>
      <c r="D56" s="10">
        <v>0.0</v>
      </c>
      <c r="E56" s="10">
        <v>1.0</v>
      </c>
      <c r="F56" s="12"/>
      <c r="G56" s="12"/>
      <c r="H56" s="12"/>
    </row>
    <row r="57" ht="15.75" customHeight="1">
      <c r="A57" s="7" t="s">
        <v>121</v>
      </c>
      <c r="B57" s="8" t="s">
        <v>122</v>
      </c>
      <c r="C57" s="9">
        <v>3.0</v>
      </c>
      <c r="D57" s="10">
        <v>0.0</v>
      </c>
      <c r="E57" s="10">
        <v>3.0</v>
      </c>
      <c r="F57" s="11">
        <v>2.0</v>
      </c>
      <c r="G57" s="12"/>
      <c r="H57" s="12"/>
    </row>
    <row r="58" ht="15.75" customHeight="1">
      <c r="A58" s="7" t="s">
        <v>123</v>
      </c>
      <c r="B58" s="8" t="s">
        <v>124</v>
      </c>
      <c r="C58" s="9">
        <v>1.0</v>
      </c>
      <c r="D58" s="10">
        <v>0.0</v>
      </c>
      <c r="E58" s="10">
        <v>1.0</v>
      </c>
      <c r="F58" s="12"/>
      <c r="G58" s="12"/>
      <c r="H58" s="68">
        <v>1.0</v>
      </c>
    </row>
    <row r="59" ht="15.75" customHeight="1">
      <c r="A59" s="7" t="s">
        <v>125</v>
      </c>
      <c r="B59" s="8" t="s">
        <v>126</v>
      </c>
      <c r="C59" s="9">
        <v>3.0</v>
      </c>
      <c r="D59" s="10">
        <v>0.0</v>
      </c>
      <c r="E59" s="10">
        <v>3.0</v>
      </c>
      <c r="F59" s="11">
        <v>4.0</v>
      </c>
      <c r="G59" s="12"/>
      <c r="H59" s="11">
        <v>3.0</v>
      </c>
    </row>
    <row r="60" ht="15.75" customHeight="1">
      <c r="A60" s="7" t="s">
        <v>127</v>
      </c>
      <c r="B60" s="8" t="s">
        <v>128</v>
      </c>
      <c r="C60" s="9">
        <v>3.0</v>
      </c>
      <c r="D60" s="10">
        <v>0.0</v>
      </c>
      <c r="E60" s="10">
        <v>3.0</v>
      </c>
      <c r="F60" s="11">
        <v>4.0</v>
      </c>
      <c r="G60" s="12"/>
      <c r="H60" s="68">
        <v>4.0</v>
      </c>
    </row>
    <row r="61" ht="15.75" customHeight="1">
      <c r="A61" s="7" t="s">
        <v>129</v>
      </c>
      <c r="B61" s="8" t="s">
        <v>130</v>
      </c>
      <c r="C61" s="9">
        <v>1.0</v>
      </c>
      <c r="D61" s="10">
        <v>0.0</v>
      </c>
      <c r="E61" s="10">
        <v>1.0</v>
      </c>
      <c r="F61" s="12"/>
      <c r="G61" s="12"/>
      <c r="H61" s="12"/>
    </row>
    <row r="62" ht="15.75" customHeight="1">
      <c r="A62" s="7" t="s">
        <v>131</v>
      </c>
      <c r="B62" s="8" t="s">
        <v>132</v>
      </c>
      <c r="C62" s="9">
        <v>5.0</v>
      </c>
      <c r="D62" s="10">
        <v>0.0</v>
      </c>
      <c r="E62" s="10">
        <v>5.0</v>
      </c>
      <c r="F62" s="12"/>
      <c r="G62" s="12"/>
      <c r="H62" s="12"/>
    </row>
    <row r="63" ht="15.75" customHeight="1">
      <c r="A63" s="7" t="s">
        <v>133</v>
      </c>
      <c r="B63" s="7" t="s">
        <v>134</v>
      </c>
      <c r="C63" s="9">
        <v>4.0</v>
      </c>
      <c r="D63" s="10">
        <v>0.0</v>
      </c>
      <c r="E63" s="10">
        <v>4.0</v>
      </c>
      <c r="F63" s="11" t="s">
        <v>135</v>
      </c>
      <c r="G63" s="12"/>
      <c r="H63" s="68">
        <v>4.0</v>
      </c>
    </row>
    <row r="64" ht="15.75" customHeight="1">
      <c r="A64" s="7" t="s">
        <v>136</v>
      </c>
      <c r="B64" s="8" t="s">
        <v>137</v>
      </c>
      <c r="C64" s="9">
        <v>4.0</v>
      </c>
      <c r="D64" s="10">
        <v>0.0</v>
      </c>
      <c r="E64" s="10">
        <v>4.0</v>
      </c>
      <c r="F64" s="12"/>
      <c r="G64" s="12"/>
      <c r="H64" s="71">
        <v>5.0</v>
      </c>
    </row>
    <row r="65" ht="15.75" customHeight="1">
      <c r="A65" s="7" t="s">
        <v>138</v>
      </c>
      <c r="B65" s="8" t="s">
        <v>139</v>
      </c>
      <c r="C65" s="9">
        <v>2.0</v>
      </c>
      <c r="D65" s="10">
        <v>0.0</v>
      </c>
      <c r="E65" s="10">
        <v>2.0</v>
      </c>
      <c r="F65" s="12"/>
      <c r="G65" s="12"/>
      <c r="H65" s="12"/>
    </row>
    <row r="66" ht="15.75" customHeight="1">
      <c r="A66" s="7" t="s">
        <v>140</v>
      </c>
      <c r="B66" s="16" t="s">
        <v>141</v>
      </c>
      <c r="C66" s="9">
        <v>3.0</v>
      </c>
      <c r="D66" s="10">
        <v>0.0</v>
      </c>
      <c r="E66" s="10">
        <v>3.0</v>
      </c>
      <c r="F66" s="12"/>
      <c r="G66" s="12"/>
      <c r="H66" s="12"/>
    </row>
    <row r="67" ht="15.75" customHeight="1">
      <c r="A67" s="7" t="s">
        <v>142</v>
      </c>
      <c r="B67" s="7" t="s">
        <v>143</v>
      </c>
      <c r="C67" s="9">
        <v>4.0</v>
      </c>
      <c r="D67" s="10">
        <v>0.0</v>
      </c>
      <c r="E67" s="10">
        <v>4.0</v>
      </c>
      <c r="F67" s="12"/>
      <c r="G67" s="12"/>
      <c r="H67" s="12"/>
    </row>
    <row r="68" ht="15.75" customHeight="1">
      <c r="A68" s="7" t="s">
        <v>144</v>
      </c>
      <c r="B68" s="8" t="s">
        <v>145</v>
      </c>
      <c r="C68" s="9">
        <v>1.0</v>
      </c>
      <c r="D68" s="10">
        <v>0.0</v>
      </c>
      <c r="E68" s="10">
        <v>1.0</v>
      </c>
      <c r="F68" s="12"/>
      <c r="G68" s="12"/>
      <c r="H68" s="12"/>
    </row>
    <row r="69" ht="15.75" customHeight="1">
      <c r="A69" s="7" t="s">
        <v>146</v>
      </c>
      <c r="B69" s="8" t="s">
        <v>147</v>
      </c>
      <c r="C69" s="9">
        <v>1.0</v>
      </c>
      <c r="D69" s="10">
        <v>0.0</v>
      </c>
      <c r="E69" s="10">
        <v>1.0</v>
      </c>
      <c r="F69" s="12"/>
      <c r="G69" s="12"/>
      <c r="H69" s="12"/>
    </row>
    <row r="70" ht="15.75" customHeight="1">
      <c r="A70" s="7" t="s">
        <v>148</v>
      </c>
      <c r="B70" s="7" t="s">
        <v>149</v>
      </c>
      <c r="C70" s="9">
        <v>36.0</v>
      </c>
      <c r="D70" s="10">
        <v>0.0</v>
      </c>
      <c r="E70" s="10">
        <v>36.0</v>
      </c>
      <c r="F70" s="12"/>
      <c r="G70" s="12"/>
      <c r="H70" s="12"/>
    </row>
    <row r="71" ht="15.75" customHeight="1">
      <c r="A71" s="7" t="s">
        <v>150</v>
      </c>
      <c r="B71" s="8" t="s">
        <v>151</v>
      </c>
      <c r="C71" s="9">
        <v>26.0</v>
      </c>
      <c r="D71" s="10">
        <v>0.0</v>
      </c>
      <c r="E71" s="10">
        <v>26.0</v>
      </c>
      <c r="F71" s="12"/>
      <c r="G71" s="12"/>
      <c r="H71" s="12"/>
    </row>
    <row r="72" ht="15.75" customHeight="1">
      <c r="A72" s="7" t="s">
        <v>152</v>
      </c>
      <c r="B72" s="7" t="s">
        <v>153</v>
      </c>
      <c r="C72" s="9">
        <v>6.0</v>
      </c>
      <c r="D72" s="10">
        <v>0.0</v>
      </c>
      <c r="E72" s="10">
        <v>6.0</v>
      </c>
      <c r="F72" s="12"/>
      <c r="G72" s="12"/>
      <c r="H72" s="12"/>
    </row>
    <row r="73" ht="15.75" customHeight="1">
      <c r="A73" s="7" t="s">
        <v>154</v>
      </c>
      <c r="B73" s="8" t="s">
        <v>155</v>
      </c>
      <c r="C73" s="9">
        <v>2.0</v>
      </c>
      <c r="D73" s="10">
        <v>0.0</v>
      </c>
      <c r="E73" s="10">
        <v>2.0</v>
      </c>
      <c r="F73" s="12"/>
      <c r="G73" s="12"/>
      <c r="H73" s="12"/>
    </row>
    <row r="74" ht="15.75" customHeight="1">
      <c r="A74" s="7" t="s">
        <v>156</v>
      </c>
      <c r="B74" s="8" t="s">
        <v>157</v>
      </c>
      <c r="C74" s="9">
        <v>1.0</v>
      </c>
      <c r="D74" s="10">
        <v>0.0</v>
      </c>
      <c r="E74" s="10">
        <v>1.0</v>
      </c>
      <c r="F74" s="11" t="s">
        <v>158</v>
      </c>
      <c r="G74" s="12"/>
      <c r="H74" s="12"/>
    </row>
    <row r="75" ht="15.75" customHeight="1">
      <c r="A75" s="7" t="s">
        <v>159</v>
      </c>
      <c r="B75" s="8" t="s">
        <v>160</v>
      </c>
      <c r="C75" s="9">
        <v>2.0</v>
      </c>
      <c r="D75" s="10">
        <v>0.0</v>
      </c>
      <c r="E75" s="10">
        <v>2.0</v>
      </c>
      <c r="F75" s="13"/>
      <c r="G75" s="13"/>
      <c r="H75" s="13"/>
    </row>
    <row r="76" ht="15.75" customHeight="1">
      <c r="A76" s="7" t="s">
        <v>161</v>
      </c>
      <c r="B76" s="7" t="s">
        <v>162</v>
      </c>
      <c r="C76" s="9">
        <v>0.0</v>
      </c>
      <c r="D76" s="10">
        <v>0.0</v>
      </c>
      <c r="E76" s="10">
        <v>0.0</v>
      </c>
      <c r="F76" s="12"/>
      <c r="G76" s="12"/>
      <c r="H76" s="12"/>
    </row>
    <row r="77" ht="15.75" customHeight="1">
      <c r="A77" s="7" t="s">
        <v>163</v>
      </c>
      <c r="B77" s="7" t="s">
        <v>164</v>
      </c>
      <c r="C77" s="9">
        <v>44.0</v>
      </c>
      <c r="D77" s="10">
        <v>0.0</v>
      </c>
      <c r="E77" s="10">
        <v>44.0</v>
      </c>
      <c r="F77" s="12"/>
      <c r="G77" s="12"/>
      <c r="H77" s="12"/>
    </row>
    <row r="78" ht="15.75" customHeight="1">
      <c r="A78" s="7" t="s">
        <v>165</v>
      </c>
      <c r="B78" s="7" t="s">
        <v>166</v>
      </c>
      <c r="C78" s="9">
        <v>1.0</v>
      </c>
      <c r="D78" s="10">
        <v>0.0</v>
      </c>
      <c r="E78" s="10">
        <v>1.0</v>
      </c>
      <c r="F78" s="12"/>
      <c r="G78" s="12"/>
      <c r="H78" s="11">
        <v>1.0</v>
      </c>
    </row>
    <row r="79" ht="14.25" customHeight="1">
      <c r="A79" s="7" t="s">
        <v>167</v>
      </c>
      <c r="B79" s="7" t="s">
        <v>168</v>
      </c>
      <c r="C79" s="9">
        <v>9.0</v>
      </c>
      <c r="D79" s="10">
        <v>0.0</v>
      </c>
      <c r="E79" s="10">
        <v>9.0</v>
      </c>
      <c r="F79" s="13"/>
      <c r="G79" s="13"/>
      <c r="H79" s="7">
        <v>7.0</v>
      </c>
    </row>
    <row r="80" ht="15.75" customHeight="1">
      <c r="A80" s="7" t="s">
        <v>169</v>
      </c>
      <c r="B80" s="7" t="s">
        <v>170</v>
      </c>
      <c r="C80" s="9">
        <v>6.0</v>
      </c>
      <c r="D80" s="10">
        <v>0.0</v>
      </c>
      <c r="E80" s="10">
        <v>6.0</v>
      </c>
      <c r="F80" s="12"/>
      <c r="G80" s="12"/>
      <c r="H80" s="11">
        <v>5.0</v>
      </c>
    </row>
    <row r="81" ht="15.75" customHeight="1">
      <c r="A81" s="7" t="s">
        <v>171</v>
      </c>
      <c r="B81" s="7" t="s">
        <v>172</v>
      </c>
      <c r="C81" s="9">
        <v>9.0</v>
      </c>
      <c r="D81" s="10">
        <v>0.0</v>
      </c>
      <c r="E81" s="10">
        <v>9.0</v>
      </c>
      <c r="F81" s="13"/>
      <c r="G81" s="13"/>
      <c r="H81" s="70">
        <v>14.0</v>
      </c>
    </row>
    <row r="82" ht="15.75" customHeight="1">
      <c r="A82" s="7" t="s">
        <v>173</v>
      </c>
      <c r="B82" s="7" t="s">
        <v>174</v>
      </c>
      <c r="C82" s="9">
        <v>11.0</v>
      </c>
      <c r="D82" s="10">
        <v>0.0</v>
      </c>
      <c r="E82" s="10">
        <v>11.0</v>
      </c>
      <c r="F82" s="12"/>
      <c r="G82" s="12"/>
      <c r="H82" s="68">
        <v>8.0</v>
      </c>
    </row>
    <row r="83" ht="15.75" customHeight="1">
      <c r="A83" s="7" t="s">
        <v>175</v>
      </c>
      <c r="B83" s="7" t="s">
        <v>176</v>
      </c>
      <c r="C83" s="9">
        <v>1.0</v>
      </c>
      <c r="D83" s="10">
        <v>0.0</v>
      </c>
      <c r="E83" s="10">
        <v>1.0</v>
      </c>
      <c r="F83" s="13"/>
      <c r="G83" s="13"/>
      <c r="H83" s="35">
        <v>1.0</v>
      </c>
    </row>
    <row r="84" ht="15.75" customHeight="1">
      <c r="A84" s="7" t="s">
        <v>177</v>
      </c>
      <c r="B84" s="7" t="s">
        <v>178</v>
      </c>
      <c r="C84" s="9">
        <v>1.0</v>
      </c>
      <c r="D84" s="10">
        <v>0.0</v>
      </c>
      <c r="E84" s="10">
        <v>1.0</v>
      </c>
      <c r="F84" s="13"/>
      <c r="G84" s="13"/>
      <c r="H84" s="35">
        <v>1.0</v>
      </c>
    </row>
    <row r="85" ht="15.75" customHeight="1">
      <c r="A85" s="7" t="s">
        <v>179</v>
      </c>
      <c r="B85" s="7" t="s">
        <v>180</v>
      </c>
      <c r="C85" s="9">
        <v>1.0</v>
      </c>
      <c r="D85" s="10">
        <v>0.0</v>
      </c>
      <c r="E85" s="10">
        <v>1.0</v>
      </c>
      <c r="F85" s="12"/>
      <c r="G85" s="12"/>
      <c r="H85" s="71">
        <v>3.0</v>
      </c>
    </row>
    <row r="86" ht="15.75" customHeight="1">
      <c r="A86" s="7" t="s">
        <v>181</v>
      </c>
      <c r="B86" s="7" t="s">
        <v>182</v>
      </c>
      <c r="C86" s="9">
        <v>1.0</v>
      </c>
      <c r="D86" s="10">
        <v>0.0</v>
      </c>
      <c r="E86" s="10">
        <v>1.0</v>
      </c>
      <c r="F86" s="12"/>
      <c r="G86" s="12"/>
      <c r="H86" s="12"/>
    </row>
    <row r="87" ht="15.75" customHeight="1">
      <c r="A87" s="7" t="s">
        <v>183</v>
      </c>
      <c r="B87" s="16" t="s">
        <v>184</v>
      </c>
      <c r="C87" s="9">
        <v>1.0</v>
      </c>
      <c r="D87" s="10">
        <v>0.0</v>
      </c>
      <c r="E87" s="10">
        <v>1.0</v>
      </c>
      <c r="F87" s="12"/>
      <c r="G87" s="12"/>
      <c r="H87" s="12"/>
    </row>
    <row r="88" ht="15.75" customHeight="1">
      <c r="A88" s="7" t="s">
        <v>185</v>
      </c>
      <c r="B88" s="8" t="s">
        <v>186</v>
      </c>
      <c r="C88" s="9">
        <v>34.0</v>
      </c>
      <c r="D88" s="10">
        <v>0.0</v>
      </c>
      <c r="E88" s="10">
        <v>34.0</v>
      </c>
      <c r="F88" s="12"/>
      <c r="G88" s="12"/>
      <c r="H88" s="12"/>
    </row>
    <row r="89" ht="15.75" customHeight="1">
      <c r="A89" s="7" t="s">
        <v>187</v>
      </c>
      <c r="B89" s="8" t="s">
        <v>188</v>
      </c>
      <c r="C89" s="9">
        <v>26.0</v>
      </c>
      <c r="D89" s="10">
        <v>0.0</v>
      </c>
      <c r="E89" s="10">
        <v>26.0</v>
      </c>
      <c r="F89" s="11">
        <v>22.0</v>
      </c>
      <c r="G89" s="12"/>
      <c r="H89" s="12"/>
    </row>
    <row r="90" ht="15.75" customHeight="1">
      <c r="A90" s="7" t="s">
        <v>189</v>
      </c>
      <c r="B90" s="8" t="s">
        <v>190</v>
      </c>
      <c r="C90" s="9">
        <v>48.0</v>
      </c>
      <c r="D90" s="10">
        <v>0.0</v>
      </c>
      <c r="E90" s="10">
        <v>48.0</v>
      </c>
      <c r="F90" s="12"/>
      <c r="G90" s="12"/>
      <c r="H90" s="12"/>
    </row>
    <row r="91" ht="15.75" customHeight="1">
      <c r="A91" s="7" t="s">
        <v>191</v>
      </c>
      <c r="B91" s="7" t="s">
        <v>192</v>
      </c>
      <c r="C91" s="9">
        <v>101.0</v>
      </c>
      <c r="D91" s="10">
        <v>0.0</v>
      </c>
      <c r="E91" s="10">
        <v>101.0</v>
      </c>
      <c r="F91" s="12"/>
      <c r="G91" s="12"/>
      <c r="H91" s="12"/>
    </row>
    <row r="92" ht="15.75" customHeight="1">
      <c r="A92" s="7" t="s">
        <v>193</v>
      </c>
      <c r="B92" s="7" t="s">
        <v>194</v>
      </c>
      <c r="C92" s="9">
        <v>29.0</v>
      </c>
      <c r="D92" s="10">
        <v>0.0</v>
      </c>
      <c r="E92" s="10">
        <v>29.0</v>
      </c>
      <c r="F92" s="12"/>
      <c r="G92" s="12"/>
      <c r="H92" s="11">
        <v>21.0</v>
      </c>
    </row>
    <row r="93" ht="15.75" customHeight="1">
      <c r="A93" s="7" t="s">
        <v>195</v>
      </c>
      <c r="B93" s="17" t="s">
        <v>196</v>
      </c>
      <c r="C93" s="9">
        <v>8.0</v>
      </c>
      <c r="D93" s="10">
        <v>0.0</v>
      </c>
      <c r="E93" s="10">
        <v>8.0</v>
      </c>
      <c r="F93" s="12"/>
      <c r="G93" s="12"/>
      <c r="H93" s="12"/>
    </row>
    <row r="94" ht="15.75" customHeight="1">
      <c r="A94" s="7" t="s">
        <v>197</v>
      </c>
      <c r="B94" s="7" t="s">
        <v>198</v>
      </c>
      <c r="C94" s="9">
        <v>1.0</v>
      </c>
      <c r="D94" s="10">
        <v>0.0</v>
      </c>
      <c r="E94" s="10">
        <v>1.0</v>
      </c>
      <c r="F94" s="13"/>
      <c r="G94" s="13"/>
      <c r="H94" s="13"/>
    </row>
    <row r="95" ht="15.75" customHeight="1">
      <c r="A95" s="7" t="s">
        <v>199</v>
      </c>
      <c r="B95" s="7" t="s">
        <v>200</v>
      </c>
      <c r="C95" s="9">
        <v>1.0</v>
      </c>
      <c r="D95" s="10">
        <v>0.0</v>
      </c>
      <c r="E95" s="10">
        <v>1.0</v>
      </c>
      <c r="F95" s="12"/>
      <c r="G95" s="12"/>
      <c r="H95" s="68">
        <v>1.0</v>
      </c>
    </row>
    <row r="96" ht="15.75" customHeight="1">
      <c r="A96" s="7" t="s">
        <v>201</v>
      </c>
      <c r="B96" s="7" t="s">
        <v>202</v>
      </c>
      <c r="C96" s="9">
        <v>1.0</v>
      </c>
      <c r="D96" s="10">
        <v>0.0</v>
      </c>
      <c r="E96" s="10">
        <v>1.0</v>
      </c>
      <c r="F96" s="12"/>
      <c r="G96" s="12"/>
      <c r="H96" s="68">
        <v>1.0</v>
      </c>
    </row>
    <row r="97" ht="15.75" customHeight="1">
      <c r="A97" s="7" t="s">
        <v>203</v>
      </c>
      <c r="B97" s="7" t="s">
        <v>204</v>
      </c>
      <c r="C97" s="9">
        <v>1.0</v>
      </c>
      <c r="D97" s="10">
        <v>0.0</v>
      </c>
      <c r="E97" s="10">
        <v>1.0</v>
      </c>
      <c r="F97" s="12"/>
      <c r="G97" s="12"/>
      <c r="H97" s="12"/>
    </row>
    <row r="98" ht="15.75" customHeight="1">
      <c r="A98" s="7" t="s">
        <v>205</v>
      </c>
      <c r="B98" s="17" t="s">
        <v>206</v>
      </c>
      <c r="C98" s="9">
        <v>2.0</v>
      </c>
      <c r="D98" s="10">
        <v>0.0</v>
      </c>
      <c r="E98" s="10">
        <v>2.0</v>
      </c>
      <c r="F98" s="12"/>
      <c r="G98" s="12"/>
      <c r="H98" s="12"/>
    </row>
    <row r="99" ht="15.75" customHeight="1">
      <c r="A99" s="7" t="s">
        <v>207</v>
      </c>
      <c r="B99" s="7" t="s">
        <v>208</v>
      </c>
      <c r="C99" s="9">
        <v>1.0</v>
      </c>
      <c r="D99" s="10">
        <v>0.0</v>
      </c>
      <c r="E99" s="10">
        <v>1.0</v>
      </c>
      <c r="F99" s="12"/>
      <c r="G99" s="12"/>
      <c r="H99" s="68">
        <v>1.0</v>
      </c>
    </row>
    <row r="100" ht="15.75" customHeight="1">
      <c r="A100" s="7" t="s">
        <v>209</v>
      </c>
      <c r="B100" s="8" t="s">
        <v>210</v>
      </c>
      <c r="C100" s="9">
        <v>1.0</v>
      </c>
      <c r="D100" s="10">
        <v>0.0</v>
      </c>
      <c r="E100" s="10">
        <v>1.0</v>
      </c>
      <c r="F100" s="12"/>
      <c r="G100" s="12"/>
      <c r="H100" s="68">
        <v>1.0</v>
      </c>
    </row>
    <row r="101" ht="15.75" customHeight="1">
      <c r="A101" s="7" t="s">
        <v>211</v>
      </c>
      <c r="B101" s="7" t="s">
        <v>212</v>
      </c>
      <c r="C101" s="9">
        <v>1.0</v>
      </c>
      <c r="D101" s="10">
        <v>0.0</v>
      </c>
      <c r="E101" s="10">
        <v>1.0</v>
      </c>
      <c r="F101" s="12"/>
      <c r="G101" s="12"/>
      <c r="H101" s="12"/>
    </row>
    <row r="102" ht="15.75" customHeight="1">
      <c r="A102" s="7" t="s">
        <v>213</v>
      </c>
      <c r="B102" s="7" t="s">
        <v>214</v>
      </c>
      <c r="C102" s="9">
        <v>8.0</v>
      </c>
      <c r="D102" s="10">
        <v>0.0</v>
      </c>
      <c r="E102" s="10">
        <v>8.0</v>
      </c>
      <c r="F102" s="12"/>
      <c r="G102" s="12"/>
      <c r="H102" s="11">
        <v>7.0</v>
      </c>
    </row>
    <row r="103" ht="15.75" customHeight="1">
      <c r="A103" s="7" t="s">
        <v>215</v>
      </c>
      <c r="B103" s="8" t="s">
        <v>216</v>
      </c>
      <c r="C103" s="9">
        <v>2.0</v>
      </c>
      <c r="D103" s="10">
        <v>0.0</v>
      </c>
      <c r="E103" s="10">
        <v>2.0</v>
      </c>
      <c r="F103" s="12"/>
      <c r="G103" s="12"/>
      <c r="H103" s="11">
        <v>1.0</v>
      </c>
    </row>
    <row r="104" ht="15.75" customHeight="1">
      <c r="A104" s="7" t="s">
        <v>217</v>
      </c>
      <c r="B104" s="8" t="s">
        <v>218</v>
      </c>
      <c r="C104" s="9">
        <v>2.0</v>
      </c>
      <c r="D104" s="10">
        <v>0.0</v>
      </c>
      <c r="E104" s="10">
        <v>2.0</v>
      </c>
      <c r="F104" s="12"/>
      <c r="G104" s="12"/>
      <c r="H104" s="11">
        <v>1.0</v>
      </c>
    </row>
    <row r="105" ht="15.75" customHeight="1">
      <c r="A105" s="7" t="s">
        <v>219</v>
      </c>
      <c r="B105" s="8" t="s">
        <v>220</v>
      </c>
      <c r="C105" s="9">
        <v>2.0</v>
      </c>
      <c r="D105" s="10">
        <v>0.0</v>
      </c>
      <c r="E105" s="10">
        <v>2.0</v>
      </c>
      <c r="F105" s="12"/>
      <c r="G105" s="12"/>
      <c r="H105" s="68">
        <v>2.0</v>
      </c>
    </row>
    <row r="106" ht="15.0" customHeight="1">
      <c r="A106" s="7" t="s">
        <v>221</v>
      </c>
      <c r="B106" s="7" t="s">
        <v>222</v>
      </c>
      <c r="C106" s="9">
        <v>12.0</v>
      </c>
      <c r="D106" s="10">
        <v>0.0</v>
      </c>
      <c r="E106" s="10">
        <v>12.0</v>
      </c>
      <c r="F106" s="13"/>
      <c r="G106" s="13"/>
      <c r="H106" s="13"/>
    </row>
    <row r="107" ht="15.75" customHeight="1">
      <c r="A107" s="7" t="s">
        <v>223</v>
      </c>
      <c r="B107" s="7" t="s">
        <v>224</v>
      </c>
      <c r="C107" s="9">
        <v>1.0</v>
      </c>
      <c r="D107" s="10">
        <v>0.0</v>
      </c>
      <c r="E107" s="10">
        <v>1.0</v>
      </c>
      <c r="F107" s="13"/>
      <c r="G107" s="13"/>
      <c r="H107" s="13"/>
    </row>
    <row r="108" ht="15.75" customHeight="1">
      <c r="A108" s="7" t="s">
        <v>225</v>
      </c>
      <c r="B108" s="7" t="s">
        <v>226</v>
      </c>
      <c r="C108" s="9">
        <v>1.0</v>
      </c>
      <c r="D108" s="10">
        <v>0.0</v>
      </c>
      <c r="E108" s="10">
        <v>1.0</v>
      </c>
      <c r="F108" s="12"/>
      <c r="G108" s="12"/>
      <c r="H108" s="12"/>
    </row>
    <row r="109" ht="15.75" customHeight="1">
      <c r="A109" s="7" t="s">
        <v>227</v>
      </c>
      <c r="B109" s="7" t="s">
        <v>228</v>
      </c>
      <c r="C109" s="9">
        <v>2.0</v>
      </c>
      <c r="D109" s="10">
        <v>0.0</v>
      </c>
      <c r="E109" s="10">
        <v>2.0</v>
      </c>
      <c r="F109" s="12"/>
      <c r="G109" s="12"/>
      <c r="H109" s="12"/>
    </row>
    <row r="110" ht="15.75" customHeight="1">
      <c r="A110" s="7" t="s">
        <v>229</v>
      </c>
      <c r="B110" s="7" t="s">
        <v>230</v>
      </c>
      <c r="C110" s="9">
        <v>1.0</v>
      </c>
      <c r="D110" s="10">
        <v>0.0</v>
      </c>
      <c r="E110" s="10">
        <v>1.0</v>
      </c>
      <c r="F110" s="12"/>
      <c r="G110" s="12"/>
      <c r="H110" s="12"/>
    </row>
    <row r="111" ht="15.75" customHeight="1">
      <c r="A111" s="7" t="s">
        <v>231</v>
      </c>
      <c r="B111" s="17" t="s">
        <v>232</v>
      </c>
      <c r="C111" s="9">
        <v>1.0</v>
      </c>
      <c r="D111" s="10">
        <v>0.0</v>
      </c>
      <c r="E111" s="10">
        <v>1.0</v>
      </c>
      <c r="F111" s="12"/>
      <c r="G111" s="12"/>
      <c r="H111" s="12"/>
    </row>
    <row r="112" ht="15.75" customHeight="1">
      <c r="A112" s="7" t="s">
        <v>233</v>
      </c>
      <c r="B112" s="17" t="s">
        <v>234</v>
      </c>
      <c r="C112" s="9">
        <v>1.0</v>
      </c>
      <c r="D112" s="10">
        <v>0.0</v>
      </c>
      <c r="E112" s="10">
        <v>1.0</v>
      </c>
      <c r="F112" s="12"/>
      <c r="G112" s="12"/>
      <c r="H112" s="12"/>
    </row>
    <row r="113" ht="15.75" customHeight="1">
      <c r="A113" s="7" t="s">
        <v>235</v>
      </c>
      <c r="B113" s="7" t="s">
        <v>236</v>
      </c>
      <c r="C113" s="9">
        <v>1.0</v>
      </c>
      <c r="D113" s="10">
        <v>0.0</v>
      </c>
      <c r="E113" s="10">
        <v>1.0</v>
      </c>
      <c r="F113" s="12"/>
      <c r="G113" s="12"/>
      <c r="H113" s="12"/>
    </row>
    <row r="114" ht="15.75" customHeight="1">
      <c r="A114" s="7" t="s">
        <v>237</v>
      </c>
      <c r="B114" s="7" t="s">
        <v>238</v>
      </c>
      <c r="C114" s="9">
        <v>10.0</v>
      </c>
      <c r="D114" s="10">
        <v>0.0</v>
      </c>
      <c r="E114" s="10">
        <v>10.0</v>
      </c>
      <c r="F114" s="13"/>
      <c r="G114" s="13"/>
      <c r="H114" s="13"/>
    </row>
    <row r="115" ht="15.75" customHeight="1">
      <c r="A115" s="7" t="s">
        <v>239</v>
      </c>
      <c r="B115" s="17" t="s">
        <v>240</v>
      </c>
      <c r="C115" s="9">
        <v>5.0</v>
      </c>
      <c r="D115" s="10">
        <v>0.0</v>
      </c>
      <c r="E115" s="10">
        <v>5.0</v>
      </c>
      <c r="F115" s="12"/>
      <c r="G115" s="12"/>
      <c r="H115" s="11">
        <v>1.0</v>
      </c>
    </row>
    <row r="116" ht="15.75" customHeight="1">
      <c r="A116" s="7" t="s">
        <v>241</v>
      </c>
      <c r="B116" s="17" t="s">
        <v>242</v>
      </c>
      <c r="C116" s="9">
        <v>2.0</v>
      </c>
      <c r="D116" s="10">
        <v>0.0</v>
      </c>
      <c r="E116" s="10">
        <v>2.0</v>
      </c>
      <c r="F116" s="12"/>
      <c r="G116" s="12"/>
      <c r="H116" s="12"/>
    </row>
    <row r="117" ht="15.75" customHeight="1">
      <c r="A117" s="7" t="s">
        <v>243</v>
      </c>
      <c r="B117" s="18" t="s">
        <v>244</v>
      </c>
      <c r="C117" s="9">
        <v>1.0</v>
      </c>
      <c r="D117" s="10">
        <v>0.0</v>
      </c>
      <c r="E117" s="10">
        <v>1.0</v>
      </c>
      <c r="F117" s="12"/>
      <c r="G117" s="12"/>
      <c r="H117" s="68">
        <v>1.0</v>
      </c>
    </row>
    <row r="118" ht="15.75" customHeight="1">
      <c r="A118" s="7" t="s">
        <v>245</v>
      </c>
      <c r="B118" s="18" t="s">
        <v>246</v>
      </c>
      <c r="C118" s="9">
        <v>1.0</v>
      </c>
      <c r="D118" s="10">
        <v>0.0</v>
      </c>
      <c r="E118" s="10">
        <v>1.0</v>
      </c>
      <c r="F118" s="12"/>
      <c r="G118" s="12"/>
      <c r="H118" s="68">
        <v>1.0</v>
      </c>
    </row>
    <row r="119" ht="15.75" customHeight="1">
      <c r="A119" s="7" t="s">
        <v>247</v>
      </c>
      <c r="B119" s="17" t="s">
        <v>248</v>
      </c>
      <c r="C119" s="9">
        <v>1.0</v>
      </c>
      <c r="D119" s="10">
        <v>0.0</v>
      </c>
      <c r="E119" s="10">
        <v>1.0</v>
      </c>
      <c r="F119" s="12"/>
      <c r="G119" s="12"/>
      <c r="H119" s="68">
        <v>1.0</v>
      </c>
    </row>
    <row r="120" ht="15.75" customHeight="1">
      <c r="A120" s="7" t="s">
        <v>249</v>
      </c>
      <c r="B120" s="8" t="s">
        <v>250</v>
      </c>
      <c r="C120" s="9">
        <v>10.0</v>
      </c>
      <c r="D120" s="10">
        <v>0.0</v>
      </c>
      <c r="E120" s="10">
        <v>10.0</v>
      </c>
      <c r="F120" s="12"/>
      <c r="G120" s="12"/>
      <c r="H120" s="12"/>
    </row>
    <row r="121" ht="15.75" customHeight="1">
      <c r="A121" s="7" t="s">
        <v>251</v>
      </c>
      <c r="B121" s="8" t="s">
        <v>252</v>
      </c>
      <c r="C121" s="9">
        <v>1.0</v>
      </c>
      <c r="D121" s="10">
        <v>0.0</v>
      </c>
      <c r="E121" s="10">
        <v>1.0</v>
      </c>
      <c r="F121" s="12"/>
      <c r="G121" s="12"/>
      <c r="H121" s="12"/>
    </row>
    <row r="122" ht="15.75" customHeight="1">
      <c r="A122" s="7" t="s">
        <v>253</v>
      </c>
      <c r="B122" s="8" t="s">
        <v>254</v>
      </c>
      <c r="C122" s="9">
        <v>38.0</v>
      </c>
      <c r="D122" s="10">
        <v>0.0</v>
      </c>
      <c r="E122" s="10">
        <v>38.0</v>
      </c>
      <c r="F122" s="12"/>
      <c r="G122" s="12"/>
      <c r="H122" s="12"/>
    </row>
    <row r="123" ht="15.75" customHeight="1">
      <c r="A123" s="7" t="s">
        <v>255</v>
      </c>
      <c r="B123" s="7" t="s">
        <v>256</v>
      </c>
      <c r="C123" s="9">
        <v>5.0</v>
      </c>
      <c r="D123" s="10">
        <v>0.0</v>
      </c>
      <c r="E123" s="10">
        <v>5.0</v>
      </c>
      <c r="F123" s="13"/>
      <c r="G123" s="13"/>
      <c r="H123" s="7">
        <v>2.0</v>
      </c>
    </row>
    <row r="124" ht="15.75" customHeight="1">
      <c r="A124" s="7" t="s">
        <v>257</v>
      </c>
      <c r="B124" s="7" t="s">
        <v>258</v>
      </c>
      <c r="C124" s="9">
        <v>1.0</v>
      </c>
      <c r="D124" s="10">
        <v>0.0</v>
      </c>
      <c r="E124" s="10">
        <v>1.0</v>
      </c>
      <c r="F124" s="13"/>
      <c r="G124" s="13"/>
      <c r="H124" s="35">
        <v>1.0</v>
      </c>
    </row>
    <row r="125" ht="15.75" customHeight="1">
      <c r="A125" s="7" t="s">
        <v>259</v>
      </c>
      <c r="B125" s="8" t="s">
        <v>260</v>
      </c>
      <c r="C125" s="9">
        <v>15.0</v>
      </c>
      <c r="D125" s="10">
        <v>0.0</v>
      </c>
      <c r="E125" s="10">
        <v>15.0</v>
      </c>
      <c r="F125" s="7" t="s">
        <v>261</v>
      </c>
      <c r="G125" s="13"/>
      <c r="H125" s="13"/>
    </row>
    <row r="126" ht="15.75" customHeight="1">
      <c r="A126" s="7" t="s">
        <v>262</v>
      </c>
      <c r="B126" s="8" t="s">
        <v>263</v>
      </c>
      <c r="C126" s="9">
        <v>2.0</v>
      </c>
      <c r="D126" s="10">
        <v>0.0</v>
      </c>
      <c r="E126" s="10">
        <v>2.0</v>
      </c>
      <c r="F126" s="13"/>
      <c r="G126" s="13"/>
      <c r="H126" s="35">
        <v>2.0</v>
      </c>
    </row>
    <row r="127" ht="15.75" customHeight="1">
      <c r="A127" s="7" t="s">
        <v>264</v>
      </c>
      <c r="B127" s="8" t="s">
        <v>265</v>
      </c>
      <c r="C127" s="9">
        <v>1.0</v>
      </c>
      <c r="D127" s="10">
        <v>0.0</v>
      </c>
      <c r="E127" s="10">
        <v>1.0</v>
      </c>
      <c r="F127" s="13"/>
      <c r="G127" s="13"/>
      <c r="H127" s="35">
        <v>1.0</v>
      </c>
    </row>
    <row r="128" ht="15.75" customHeight="1">
      <c r="A128" s="7" t="s">
        <v>266</v>
      </c>
      <c r="B128" s="7" t="s">
        <v>267</v>
      </c>
      <c r="C128" s="9">
        <v>27.0</v>
      </c>
      <c r="D128" s="10">
        <v>0.0</v>
      </c>
      <c r="E128" s="10">
        <v>27.0</v>
      </c>
      <c r="F128" s="12"/>
      <c r="G128" s="12"/>
      <c r="H128" s="11">
        <v>19.0</v>
      </c>
    </row>
    <row r="129" ht="15.75" customHeight="1">
      <c r="A129" s="7" t="s">
        <v>268</v>
      </c>
      <c r="B129" s="8" t="s">
        <v>269</v>
      </c>
      <c r="C129" s="9">
        <v>2.0</v>
      </c>
      <c r="D129" s="10">
        <v>0.0</v>
      </c>
      <c r="E129" s="10">
        <v>2.0</v>
      </c>
      <c r="F129" s="11" t="s">
        <v>270</v>
      </c>
      <c r="G129" s="12"/>
      <c r="H129" s="12"/>
    </row>
    <row r="130" ht="15.75" customHeight="1">
      <c r="A130" s="7" t="s">
        <v>271</v>
      </c>
      <c r="B130" s="8" t="s">
        <v>272</v>
      </c>
      <c r="C130" s="9">
        <v>1.0</v>
      </c>
      <c r="D130" s="10">
        <v>0.0</v>
      </c>
      <c r="E130" s="10">
        <v>1.0</v>
      </c>
      <c r="F130" s="13"/>
      <c r="G130" s="13"/>
      <c r="H130" s="13"/>
    </row>
    <row r="131" ht="15.75" customHeight="1">
      <c r="A131" s="7" t="s">
        <v>273</v>
      </c>
      <c r="B131" s="8" t="s">
        <v>274</v>
      </c>
      <c r="C131" s="9">
        <v>2.0</v>
      </c>
      <c r="D131" s="10">
        <v>0.0</v>
      </c>
      <c r="E131" s="10">
        <v>2.0</v>
      </c>
      <c r="F131" s="12"/>
      <c r="G131" s="12"/>
      <c r="H131" s="12"/>
    </row>
    <row r="132" ht="15.75" customHeight="1">
      <c r="A132" s="7" t="s">
        <v>275</v>
      </c>
      <c r="B132" s="7" t="s">
        <v>276</v>
      </c>
      <c r="C132" s="9">
        <v>5.0</v>
      </c>
      <c r="D132" s="10">
        <v>0.0</v>
      </c>
      <c r="E132" s="10">
        <v>5.0</v>
      </c>
      <c r="F132" s="12"/>
      <c r="G132" s="12"/>
      <c r="H132" s="12"/>
    </row>
    <row r="133" ht="15.75" customHeight="1">
      <c r="A133" s="7" t="s">
        <v>277</v>
      </c>
      <c r="B133" s="7" t="s">
        <v>278</v>
      </c>
      <c r="C133" s="9">
        <v>2.0</v>
      </c>
      <c r="D133" s="10">
        <v>0.0</v>
      </c>
      <c r="E133" s="10">
        <v>2.0</v>
      </c>
      <c r="F133" s="13"/>
      <c r="G133" s="13"/>
      <c r="H133" s="13"/>
    </row>
    <row r="134" ht="15.75" customHeight="1">
      <c r="A134" s="7" t="s">
        <v>279</v>
      </c>
      <c r="B134" s="7" t="s">
        <v>280</v>
      </c>
      <c r="C134" s="9">
        <v>0.0</v>
      </c>
      <c r="D134" s="10">
        <v>0.0</v>
      </c>
      <c r="E134" s="10">
        <v>0.0</v>
      </c>
      <c r="F134" s="12"/>
      <c r="G134" s="12"/>
      <c r="H134" s="12"/>
    </row>
    <row r="135" ht="15.75" customHeight="1">
      <c r="A135" s="7" t="s">
        <v>281</v>
      </c>
      <c r="B135" s="7" t="s">
        <v>282</v>
      </c>
      <c r="C135" s="9">
        <v>0.0</v>
      </c>
      <c r="D135" s="10">
        <v>0.0</v>
      </c>
      <c r="E135" s="10">
        <v>0.0</v>
      </c>
      <c r="F135" s="12"/>
      <c r="G135" s="12"/>
      <c r="H135" s="12"/>
    </row>
    <row r="136" ht="15.75" customHeight="1">
      <c r="A136" s="7" t="s">
        <v>283</v>
      </c>
      <c r="B136" s="8" t="s">
        <v>284</v>
      </c>
      <c r="C136" s="9">
        <v>1.0</v>
      </c>
      <c r="D136" s="10">
        <v>0.0</v>
      </c>
      <c r="E136" s="10">
        <v>1.0</v>
      </c>
      <c r="F136" s="12"/>
      <c r="G136" s="12"/>
      <c r="H136" s="12"/>
    </row>
    <row r="137" ht="15.75" customHeight="1">
      <c r="A137" s="7" t="s">
        <v>285</v>
      </c>
      <c r="B137" s="8" t="s">
        <v>286</v>
      </c>
      <c r="C137" s="9">
        <v>1.0</v>
      </c>
      <c r="D137" s="10">
        <v>0.0</v>
      </c>
      <c r="E137" s="10">
        <v>1.0</v>
      </c>
      <c r="F137" s="11" t="s">
        <v>158</v>
      </c>
      <c r="G137" s="12"/>
      <c r="H137" s="12"/>
    </row>
    <row r="138" ht="15.75" customHeight="1">
      <c r="A138" s="7" t="s">
        <v>287</v>
      </c>
      <c r="B138" s="8" t="s">
        <v>288</v>
      </c>
      <c r="C138" s="9">
        <v>2.0</v>
      </c>
      <c r="D138" s="10">
        <v>0.0</v>
      </c>
      <c r="E138" s="10">
        <v>2.0</v>
      </c>
      <c r="F138" s="12"/>
      <c r="G138" s="12"/>
      <c r="H138" s="11">
        <v>1.0</v>
      </c>
    </row>
    <row r="139" ht="15.75" customHeight="1">
      <c r="A139" s="7" t="s">
        <v>289</v>
      </c>
      <c r="B139" s="8" t="s">
        <v>290</v>
      </c>
      <c r="C139" s="9">
        <v>2.0</v>
      </c>
      <c r="D139" s="10">
        <v>0.0</v>
      </c>
      <c r="E139" s="10">
        <v>2.0</v>
      </c>
      <c r="F139" s="12"/>
      <c r="G139" s="12"/>
      <c r="H139" s="68">
        <v>2.0</v>
      </c>
    </row>
    <row r="140" ht="15.75" customHeight="1">
      <c r="A140" s="7" t="s">
        <v>291</v>
      </c>
      <c r="B140" s="8" t="s">
        <v>292</v>
      </c>
      <c r="C140" s="9">
        <v>1.0</v>
      </c>
      <c r="D140" s="10">
        <v>0.0</v>
      </c>
      <c r="E140" s="10">
        <v>1.0</v>
      </c>
      <c r="F140" s="11">
        <v>2.0</v>
      </c>
      <c r="G140" s="12"/>
      <c r="H140" s="68">
        <v>2.0</v>
      </c>
    </row>
    <row r="141" ht="15.75" customHeight="1">
      <c r="A141" s="7" t="s">
        <v>293</v>
      </c>
      <c r="B141" s="7" t="s">
        <v>294</v>
      </c>
      <c r="C141" s="9">
        <v>8.0</v>
      </c>
      <c r="D141" s="10">
        <v>0.0</v>
      </c>
      <c r="E141" s="10">
        <v>8.0</v>
      </c>
      <c r="F141" s="12"/>
      <c r="G141" s="12"/>
      <c r="H141" s="12"/>
    </row>
    <row r="142" ht="15.75" customHeight="1">
      <c r="A142" s="7" t="s">
        <v>295</v>
      </c>
      <c r="B142" s="7" t="s">
        <v>296</v>
      </c>
      <c r="C142" s="9">
        <v>11.0</v>
      </c>
      <c r="D142" s="10">
        <v>0.0</v>
      </c>
      <c r="E142" s="10">
        <v>11.0</v>
      </c>
      <c r="F142" s="11" t="s">
        <v>297</v>
      </c>
      <c r="G142" s="12"/>
      <c r="H142" s="11">
        <v>2.0</v>
      </c>
    </row>
    <row r="143" ht="15.75" customHeight="1">
      <c r="A143" s="7" t="s">
        <v>298</v>
      </c>
      <c r="B143" s="7" t="s">
        <v>299</v>
      </c>
      <c r="C143" s="9">
        <v>1.0</v>
      </c>
      <c r="D143" s="10">
        <v>0.0</v>
      </c>
      <c r="E143" s="10">
        <v>1.0</v>
      </c>
      <c r="F143" s="13"/>
      <c r="G143" s="13"/>
      <c r="H143" s="13"/>
    </row>
    <row r="144" ht="15.75" customHeight="1">
      <c r="A144" s="7" t="s">
        <v>300</v>
      </c>
      <c r="B144" s="8" t="s">
        <v>301</v>
      </c>
      <c r="C144" s="9">
        <v>1.0</v>
      </c>
      <c r="D144" s="10">
        <v>0.0</v>
      </c>
      <c r="E144" s="10">
        <v>1.0</v>
      </c>
      <c r="F144" s="13"/>
      <c r="G144" s="13"/>
      <c r="H144" s="35">
        <v>1.0</v>
      </c>
    </row>
    <row r="145" ht="15.75" customHeight="1">
      <c r="A145" s="7" t="s">
        <v>302</v>
      </c>
      <c r="B145" s="8" t="s">
        <v>303</v>
      </c>
      <c r="C145" s="9">
        <v>1.0</v>
      </c>
      <c r="D145" s="10">
        <v>0.0</v>
      </c>
      <c r="E145" s="10">
        <v>1.0</v>
      </c>
      <c r="F145" s="13"/>
      <c r="G145" s="13"/>
      <c r="H145" s="35">
        <v>1.0</v>
      </c>
    </row>
    <row r="146" ht="15.75" customHeight="1">
      <c r="A146" s="7" t="s">
        <v>304</v>
      </c>
      <c r="B146" s="7" t="s">
        <v>305</v>
      </c>
      <c r="C146" s="9">
        <v>5.0</v>
      </c>
      <c r="D146" s="10">
        <v>0.0</v>
      </c>
      <c r="E146" s="10">
        <v>5.0</v>
      </c>
      <c r="F146" s="13"/>
      <c r="G146" s="13"/>
      <c r="H146" s="13"/>
    </row>
    <row r="147" ht="15.75" customHeight="1">
      <c r="A147" s="7" t="s">
        <v>306</v>
      </c>
      <c r="B147" s="17" t="s">
        <v>307</v>
      </c>
      <c r="C147" s="9">
        <v>1.0</v>
      </c>
      <c r="D147" s="10">
        <v>0.0</v>
      </c>
      <c r="E147" s="10">
        <v>1.0</v>
      </c>
      <c r="F147" s="12"/>
      <c r="G147" s="12"/>
      <c r="H147" s="12"/>
    </row>
    <row r="148" ht="15.75" customHeight="1">
      <c r="A148" s="7" t="s">
        <v>308</v>
      </c>
      <c r="B148" s="7" t="s">
        <v>309</v>
      </c>
      <c r="C148" s="9">
        <v>1.0</v>
      </c>
      <c r="D148" s="10">
        <v>0.0</v>
      </c>
      <c r="E148" s="10">
        <v>1.0</v>
      </c>
      <c r="F148" s="13"/>
      <c r="G148" s="13"/>
      <c r="H148" s="13"/>
    </row>
    <row r="149" ht="15.75" customHeight="1">
      <c r="A149" s="7" t="s">
        <v>310</v>
      </c>
      <c r="B149" s="7" t="s">
        <v>311</v>
      </c>
      <c r="C149" s="9">
        <v>1.0</v>
      </c>
      <c r="D149" s="10">
        <v>0.0</v>
      </c>
      <c r="E149" s="10">
        <v>1.0</v>
      </c>
      <c r="F149" s="12"/>
      <c r="G149" s="12"/>
      <c r="H149" s="12"/>
    </row>
    <row r="150" ht="15.75" customHeight="1">
      <c r="A150" s="7" t="s">
        <v>312</v>
      </c>
      <c r="B150" s="7" t="s">
        <v>313</v>
      </c>
      <c r="C150" s="9">
        <v>14.0</v>
      </c>
      <c r="D150" s="10">
        <v>0.0</v>
      </c>
      <c r="E150" s="10">
        <v>14.0</v>
      </c>
      <c r="F150" s="12"/>
      <c r="G150" s="12"/>
      <c r="H150" s="11"/>
    </row>
    <row r="151" ht="15.75" customHeight="1">
      <c r="A151" s="7" t="s">
        <v>314</v>
      </c>
      <c r="B151" s="7" t="s">
        <v>315</v>
      </c>
      <c r="C151" s="9">
        <v>4.0</v>
      </c>
      <c r="D151" s="10">
        <v>0.0</v>
      </c>
      <c r="E151" s="10">
        <v>4.0</v>
      </c>
      <c r="F151" s="12"/>
      <c r="G151" s="12"/>
      <c r="H151" s="11">
        <v>1.0</v>
      </c>
    </row>
    <row r="152" ht="15.75" customHeight="1">
      <c r="A152" s="7" t="s">
        <v>316</v>
      </c>
      <c r="B152" s="7" t="s">
        <v>317</v>
      </c>
      <c r="C152" s="9">
        <v>75.0</v>
      </c>
      <c r="D152" s="10">
        <v>31.0</v>
      </c>
      <c r="E152" s="10">
        <v>44.0</v>
      </c>
      <c r="F152" s="12"/>
      <c r="G152" s="12"/>
      <c r="H152" s="12"/>
    </row>
    <row r="153" ht="15.75" customHeight="1">
      <c r="A153" s="7" t="s">
        <v>318</v>
      </c>
      <c r="B153" s="7" t="s">
        <v>319</v>
      </c>
      <c r="C153" s="9">
        <v>142.0</v>
      </c>
      <c r="D153" s="10">
        <v>3.0</v>
      </c>
      <c r="E153" s="10">
        <v>139.0</v>
      </c>
      <c r="F153" s="12"/>
      <c r="G153" s="12"/>
      <c r="H153" s="12"/>
    </row>
    <row r="154" ht="15.75" customHeight="1">
      <c r="A154" s="7" t="s">
        <v>320</v>
      </c>
      <c r="B154" s="7" t="s">
        <v>321</v>
      </c>
      <c r="C154" s="9">
        <v>35.0</v>
      </c>
      <c r="D154" s="10">
        <v>0.0</v>
      </c>
      <c r="E154" s="10">
        <v>35.0</v>
      </c>
      <c r="F154" s="12"/>
      <c r="G154" s="12"/>
      <c r="H154" s="12"/>
    </row>
    <row r="155" ht="15.75" customHeight="1">
      <c r="A155" s="7" t="s">
        <v>322</v>
      </c>
      <c r="B155" s="7" t="s">
        <v>323</v>
      </c>
      <c r="C155" s="9">
        <v>0.0</v>
      </c>
      <c r="D155" s="10">
        <v>0.0</v>
      </c>
      <c r="E155" s="10">
        <v>0.0</v>
      </c>
      <c r="F155" s="12"/>
      <c r="G155" s="12"/>
      <c r="H155" s="71">
        <v>1.0</v>
      </c>
    </row>
    <row r="156" ht="15.75" customHeight="1">
      <c r="A156" s="7" t="s">
        <v>324</v>
      </c>
      <c r="B156" s="7" t="s">
        <v>325</v>
      </c>
      <c r="C156" s="9">
        <v>1.0</v>
      </c>
      <c r="D156" s="10">
        <v>0.0</v>
      </c>
      <c r="E156" s="10">
        <v>1.0</v>
      </c>
      <c r="F156" s="12"/>
      <c r="G156" s="12"/>
      <c r="H156" s="68">
        <v>1.0</v>
      </c>
    </row>
    <row r="157" ht="15.75" customHeight="1">
      <c r="A157" s="7" t="s">
        <v>326</v>
      </c>
      <c r="B157" s="7" t="s">
        <v>327</v>
      </c>
      <c r="C157" s="9">
        <v>4.0</v>
      </c>
      <c r="D157" s="10">
        <v>0.0</v>
      </c>
      <c r="E157" s="10">
        <v>4.0</v>
      </c>
      <c r="F157" s="12"/>
      <c r="G157" s="12"/>
      <c r="H157" s="12"/>
    </row>
    <row r="158" ht="15.75" customHeight="1">
      <c r="A158" s="7" t="s">
        <v>328</v>
      </c>
      <c r="B158" s="8" t="s">
        <v>329</v>
      </c>
      <c r="C158" s="9">
        <v>12.0</v>
      </c>
      <c r="D158" s="10">
        <v>0.0</v>
      </c>
      <c r="E158" s="10">
        <v>12.0</v>
      </c>
      <c r="F158" s="12"/>
      <c r="G158" s="12"/>
      <c r="H158" s="11">
        <v>10.0</v>
      </c>
    </row>
    <row r="159" ht="15.75" customHeight="1">
      <c r="A159" s="7" t="s">
        <v>330</v>
      </c>
      <c r="B159" s="16" t="s">
        <v>331</v>
      </c>
      <c r="C159" s="9">
        <v>1.0</v>
      </c>
      <c r="D159" s="10">
        <v>0.0</v>
      </c>
      <c r="E159" s="10">
        <v>1.0</v>
      </c>
      <c r="F159" s="13"/>
      <c r="G159" s="13"/>
      <c r="H159" s="13"/>
    </row>
    <row r="160" ht="15.75" customHeight="1">
      <c r="A160" s="7" t="s">
        <v>332</v>
      </c>
      <c r="B160" s="8" t="s">
        <v>333</v>
      </c>
      <c r="C160" s="9">
        <v>5.0</v>
      </c>
      <c r="D160" s="10">
        <v>0.0</v>
      </c>
      <c r="E160" s="10">
        <v>5.0</v>
      </c>
      <c r="F160" s="11" t="s">
        <v>334</v>
      </c>
      <c r="G160" s="12"/>
      <c r="H160" s="12"/>
    </row>
    <row r="161" ht="15.75" customHeight="1">
      <c r="A161" s="7" t="s">
        <v>335</v>
      </c>
      <c r="B161" s="8" t="s">
        <v>336</v>
      </c>
      <c r="C161" s="9">
        <v>5.0</v>
      </c>
      <c r="D161" s="10">
        <v>0.0</v>
      </c>
      <c r="E161" s="10">
        <v>5.0</v>
      </c>
      <c r="F161" s="11" t="s">
        <v>334</v>
      </c>
      <c r="G161" s="12"/>
      <c r="H161" s="12"/>
    </row>
    <row r="162" ht="15.75" customHeight="1">
      <c r="A162" s="7" t="s">
        <v>337</v>
      </c>
      <c r="B162" s="7" t="s">
        <v>338</v>
      </c>
      <c r="C162" s="9">
        <v>176.0</v>
      </c>
      <c r="D162" s="10">
        <v>0.0</v>
      </c>
      <c r="E162" s="10">
        <v>176.0</v>
      </c>
      <c r="F162" s="12"/>
      <c r="G162" s="12"/>
      <c r="H162" s="12"/>
    </row>
    <row r="163" ht="15.75" customHeight="1">
      <c r="A163" s="7" t="s">
        <v>339</v>
      </c>
      <c r="B163" s="7" t="s">
        <v>340</v>
      </c>
      <c r="C163" s="9">
        <v>7.0</v>
      </c>
      <c r="D163" s="10">
        <v>0.0</v>
      </c>
      <c r="E163" s="10">
        <v>7.0</v>
      </c>
      <c r="F163" s="12"/>
      <c r="G163" s="12"/>
      <c r="H163" s="12"/>
    </row>
    <row r="164" ht="15.75" customHeight="1">
      <c r="A164" s="7" t="s">
        <v>341</v>
      </c>
      <c r="B164" s="7" t="s">
        <v>342</v>
      </c>
      <c r="C164" s="9">
        <v>3.0</v>
      </c>
      <c r="D164" s="10">
        <v>0.0</v>
      </c>
      <c r="E164" s="10">
        <v>3.0</v>
      </c>
      <c r="F164" s="12"/>
      <c r="G164" s="12"/>
      <c r="H164" s="12"/>
    </row>
    <row r="165" ht="15.75" customHeight="1">
      <c r="A165" s="7" t="s">
        <v>343</v>
      </c>
      <c r="B165" s="7" t="s">
        <v>344</v>
      </c>
      <c r="C165" s="9">
        <v>2.0</v>
      </c>
      <c r="D165" s="10">
        <v>0.0</v>
      </c>
      <c r="E165" s="10">
        <v>2.0</v>
      </c>
      <c r="F165" s="12"/>
      <c r="G165" s="12"/>
      <c r="H165" s="12"/>
    </row>
    <row r="166" ht="15.75" customHeight="1">
      <c r="A166" s="7" t="s">
        <v>345</v>
      </c>
      <c r="B166" s="8" t="s">
        <v>346</v>
      </c>
      <c r="C166" s="9">
        <v>2.0</v>
      </c>
      <c r="D166" s="10">
        <v>0.0</v>
      </c>
      <c r="E166" s="10">
        <v>2.0</v>
      </c>
      <c r="F166" s="11">
        <v>1.0</v>
      </c>
      <c r="G166" s="12"/>
      <c r="H166" s="12"/>
    </row>
    <row r="167" ht="15.75" customHeight="1">
      <c r="A167" s="7" t="s">
        <v>347</v>
      </c>
      <c r="B167" s="7" t="s">
        <v>348</v>
      </c>
      <c r="C167" s="9">
        <v>8.0</v>
      </c>
      <c r="D167" s="10">
        <v>0.0</v>
      </c>
      <c r="E167" s="10">
        <v>8.0</v>
      </c>
      <c r="F167" s="12"/>
      <c r="G167" s="12"/>
      <c r="H167" s="12"/>
    </row>
    <row r="168" ht="15.75" customHeight="1">
      <c r="A168" s="7" t="s">
        <v>349</v>
      </c>
      <c r="B168" s="7" t="s">
        <v>350</v>
      </c>
      <c r="C168" s="9">
        <v>10.0</v>
      </c>
      <c r="D168" s="10">
        <v>0.0</v>
      </c>
      <c r="E168" s="10">
        <v>10.0</v>
      </c>
      <c r="F168" s="12"/>
      <c r="G168" s="12"/>
      <c r="H168" s="12"/>
    </row>
    <row r="169" ht="15.75" customHeight="1">
      <c r="A169" s="7" t="s">
        <v>351</v>
      </c>
      <c r="B169" s="7" t="s">
        <v>352</v>
      </c>
      <c r="C169" s="9">
        <v>15.0</v>
      </c>
      <c r="D169" s="10">
        <v>0.0</v>
      </c>
      <c r="E169" s="10">
        <v>15.0</v>
      </c>
      <c r="F169" s="12"/>
      <c r="G169" s="12"/>
      <c r="H169" s="12"/>
    </row>
    <row r="170" ht="15.75" customHeight="1">
      <c r="A170" s="7" t="s">
        <v>353</v>
      </c>
      <c r="B170" s="8" t="s">
        <v>354</v>
      </c>
      <c r="C170" s="9">
        <v>3.0</v>
      </c>
      <c r="D170" s="10">
        <v>0.0</v>
      </c>
      <c r="E170" s="10">
        <v>3.0</v>
      </c>
      <c r="F170" s="11" t="s">
        <v>355</v>
      </c>
      <c r="G170" s="12"/>
      <c r="H170" s="12"/>
    </row>
    <row r="171" ht="15.75" customHeight="1">
      <c r="A171" s="7" t="s">
        <v>356</v>
      </c>
      <c r="B171" s="7" t="s">
        <v>357</v>
      </c>
      <c r="C171" s="9">
        <v>1.0</v>
      </c>
      <c r="D171" s="10">
        <v>0.0</v>
      </c>
      <c r="E171" s="10">
        <v>1.0</v>
      </c>
      <c r="F171" s="13"/>
      <c r="G171" s="13"/>
      <c r="H171" s="13"/>
    </row>
    <row r="172" ht="15.75" customHeight="1">
      <c r="A172" s="7" t="s">
        <v>358</v>
      </c>
      <c r="B172" s="7" t="s">
        <v>359</v>
      </c>
      <c r="C172" s="9">
        <v>5.0</v>
      </c>
      <c r="D172" s="10">
        <v>0.0</v>
      </c>
      <c r="E172" s="10">
        <v>5.0</v>
      </c>
      <c r="F172" s="13"/>
      <c r="G172" s="13"/>
      <c r="H172" s="13"/>
    </row>
    <row r="173" ht="15.75" customHeight="1">
      <c r="A173" s="7" t="s">
        <v>360</v>
      </c>
      <c r="B173" s="7" t="s">
        <v>361</v>
      </c>
      <c r="C173" s="9">
        <v>2.0</v>
      </c>
      <c r="D173" s="10">
        <v>0.0</v>
      </c>
      <c r="E173" s="10">
        <v>2.0</v>
      </c>
      <c r="F173" s="13"/>
      <c r="G173" s="13"/>
      <c r="H173" s="13"/>
    </row>
    <row r="174" ht="15.75" customHeight="1">
      <c r="A174" s="7" t="s">
        <v>362</v>
      </c>
      <c r="B174" s="7" t="s">
        <v>363</v>
      </c>
      <c r="C174" s="9">
        <v>7.0</v>
      </c>
      <c r="D174" s="10">
        <v>0.0</v>
      </c>
      <c r="E174" s="10">
        <v>7.0</v>
      </c>
      <c r="F174" s="13"/>
      <c r="G174" s="13"/>
      <c r="H174" s="13"/>
    </row>
    <row r="175" ht="15.75" customHeight="1">
      <c r="A175" s="7" t="s">
        <v>364</v>
      </c>
      <c r="B175" s="7" t="s">
        <v>365</v>
      </c>
      <c r="C175" s="9">
        <v>1.0</v>
      </c>
      <c r="D175" s="10">
        <v>0.0</v>
      </c>
      <c r="E175" s="10">
        <v>1.0</v>
      </c>
      <c r="F175" s="13"/>
      <c r="G175" s="13"/>
      <c r="H175" s="13"/>
    </row>
    <row r="176" ht="15.75" customHeight="1">
      <c r="A176" s="7" t="s">
        <v>366</v>
      </c>
      <c r="B176" s="7" t="s">
        <v>367</v>
      </c>
      <c r="C176" s="9">
        <v>6.0</v>
      </c>
      <c r="D176" s="10">
        <v>0.0</v>
      </c>
      <c r="E176" s="10">
        <v>6.0</v>
      </c>
      <c r="F176" s="13"/>
      <c r="G176" s="13"/>
      <c r="H176" s="13"/>
    </row>
    <row r="177" ht="15.75" customHeight="1">
      <c r="A177" s="7" t="s">
        <v>368</v>
      </c>
      <c r="B177" s="8" t="s">
        <v>369</v>
      </c>
      <c r="C177" s="9">
        <v>1.0</v>
      </c>
      <c r="D177" s="10">
        <v>0.0</v>
      </c>
      <c r="E177" s="10">
        <v>1.0</v>
      </c>
      <c r="F177" s="13"/>
      <c r="G177" s="13"/>
      <c r="H177" s="13"/>
    </row>
    <row r="178" ht="15.75" customHeight="1">
      <c r="A178" s="7" t="s">
        <v>370</v>
      </c>
      <c r="B178" s="7" t="s">
        <v>371</v>
      </c>
      <c r="C178" s="9">
        <v>8.0</v>
      </c>
      <c r="D178" s="10">
        <v>0.0</v>
      </c>
      <c r="E178" s="10">
        <v>8.0</v>
      </c>
      <c r="F178" s="13"/>
      <c r="G178" s="13"/>
      <c r="H178" s="13"/>
    </row>
    <row r="179" ht="15.75" customHeight="1">
      <c r="A179" s="7" t="s">
        <v>372</v>
      </c>
      <c r="B179" s="7" t="s">
        <v>373</v>
      </c>
      <c r="C179" s="9">
        <v>32.0</v>
      </c>
      <c r="D179" s="10">
        <v>0.0</v>
      </c>
      <c r="E179" s="10">
        <v>32.0</v>
      </c>
      <c r="F179" s="13"/>
      <c r="G179" s="13"/>
      <c r="H179" s="7">
        <v>6.0</v>
      </c>
    </row>
    <row r="180" ht="15.75" customHeight="1">
      <c r="A180" s="7" t="s">
        <v>374</v>
      </c>
      <c r="B180" s="16" t="s">
        <v>375</v>
      </c>
      <c r="C180" s="9">
        <v>43.0</v>
      </c>
      <c r="D180" s="10">
        <v>0.0</v>
      </c>
      <c r="E180" s="10">
        <v>43.0</v>
      </c>
      <c r="F180" s="13"/>
      <c r="G180" s="13"/>
      <c r="H180" s="13"/>
    </row>
    <row r="181" ht="15.75" customHeight="1">
      <c r="A181" s="7" t="s">
        <v>376</v>
      </c>
      <c r="B181" s="7" t="s">
        <v>377</v>
      </c>
      <c r="C181" s="9">
        <v>34.0</v>
      </c>
      <c r="D181" s="10">
        <v>0.0</v>
      </c>
      <c r="E181" s="10">
        <v>34.0</v>
      </c>
      <c r="F181" s="13"/>
      <c r="G181" s="13"/>
      <c r="H181" s="13"/>
    </row>
    <row r="182" ht="15.75" customHeight="1">
      <c r="A182" s="7" t="s">
        <v>378</v>
      </c>
      <c r="B182" s="7" t="s">
        <v>379</v>
      </c>
      <c r="C182" s="9">
        <v>6.0</v>
      </c>
      <c r="D182" s="10">
        <v>0.0</v>
      </c>
      <c r="E182" s="10">
        <v>6.0</v>
      </c>
      <c r="F182" s="12"/>
      <c r="G182" s="12"/>
      <c r="H182" s="12"/>
    </row>
    <row r="183" ht="15.75" customHeight="1">
      <c r="A183" s="7" t="s">
        <v>380</v>
      </c>
      <c r="B183" s="7" t="s">
        <v>381</v>
      </c>
      <c r="C183" s="9">
        <v>130.0</v>
      </c>
      <c r="D183" s="10">
        <v>0.0</v>
      </c>
      <c r="E183" s="10">
        <v>130.0</v>
      </c>
      <c r="F183" s="12"/>
      <c r="G183" s="12"/>
      <c r="H183" s="12"/>
    </row>
    <row r="184" ht="15.75" customHeight="1">
      <c r="A184" s="7" t="s">
        <v>382</v>
      </c>
      <c r="B184" s="7" t="s">
        <v>383</v>
      </c>
      <c r="C184" s="9">
        <v>75.0</v>
      </c>
      <c r="D184" s="10">
        <v>0.0</v>
      </c>
      <c r="E184" s="10">
        <v>75.0</v>
      </c>
      <c r="F184" s="12"/>
      <c r="G184" s="12"/>
      <c r="H184" s="12"/>
    </row>
    <row r="185" ht="15.75" customHeight="1">
      <c r="A185" s="7" t="s">
        <v>384</v>
      </c>
      <c r="B185" s="7" t="s">
        <v>385</v>
      </c>
      <c r="C185" s="9">
        <v>16.0</v>
      </c>
      <c r="D185" s="10">
        <v>0.0</v>
      </c>
      <c r="E185" s="10">
        <v>16.0</v>
      </c>
      <c r="F185" s="12"/>
      <c r="G185" s="12"/>
      <c r="H185" s="12"/>
    </row>
    <row r="186" ht="15.75" customHeight="1">
      <c r="A186" s="7" t="s">
        <v>386</v>
      </c>
      <c r="B186" s="7" t="s">
        <v>387</v>
      </c>
      <c r="C186" s="9">
        <v>44.0</v>
      </c>
      <c r="D186" s="10">
        <v>0.0</v>
      </c>
      <c r="E186" s="10">
        <v>44.0</v>
      </c>
      <c r="F186" s="12"/>
      <c r="G186" s="12"/>
      <c r="H186" s="12"/>
    </row>
    <row r="187" ht="15.75" customHeight="1">
      <c r="A187" s="7" t="s">
        <v>388</v>
      </c>
      <c r="B187" s="7" t="s">
        <v>389</v>
      </c>
      <c r="C187" s="9">
        <v>106.0</v>
      </c>
      <c r="D187" s="10">
        <v>0.0</v>
      </c>
      <c r="E187" s="10">
        <v>106.0</v>
      </c>
      <c r="F187" s="12"/>
      <c r="G187" s="12"/>
      <c r="H187" s="12"/>
    </row>
    <row r="188" ht="15.75" customHeight="1">
      <c r="A188" s="7" t="s">
        <v>390</v>
      </c>
      <c r="B188" s="7" t="s">
        <v>391</v>
      </c>
      <c r="C188" s="9">
        <v>50.0</v>
      </c>
      <c r="D188" s="10">
        <v>0.0</v>
      </c>
      <c r="E188" s="10">
        <v>50.0</v>
      </c>
      <c r="F188" s="12"/>
      <c r="G188" s="12"/>
      <c r="H188" s="12"/>
    </row>
    <row r="189" ht="15.75" customHeight="1">
      <c r="A189" s="7" t="s">
        <v>392</v>
      </c>
      <c r="B189" s="7" t="s">
        <v>393</v>
      </c>
      <c r="C189" s="9">
        <v>1.0</v>
      </c>
      <c r="D189" s="10">
        <v>0.0</v>
      </c>
      <c r="E189" s="10">
        <v>1.0</v>
      </c>
      <c r="F189" s="12"/>
      <c r="G189" s="12"/>
      <c r="H189" s="12"/>
    </row>
    <row r="190" ht="15.75" customHeight="1">
      <c r="A190" s="7" t="s">
        <v>394</v>
      </c>
      <c r="B190" s="7" t="s">
        <v>395</v>
      </c>
      <c r="C190" s="9">
        <v>60.0</v>
      </c>
      <c r="D190" s="10">
        <v>0.0</v>
      </c>
      <c r="E190" s="10">
        <v>60.0</v>
      </c>
      <c r="F190" s="12"/>
      <c r="G190" s="12"/>
      <c r="H190" s="12"/>
    </row>
    <row r="191" ht="15.75" customHeight="1">
      <c r="A191" s="7" t="s">
        <v>396</v>
      </c>
      <c r="B191" s="7" t="s">
        <v>397</v>
      </c>
      <c r="C191" s="9">
        <v>1.0</v>
      </c>
      <c r="D191" s="10">
        <v>0.0</v>
      </c>
      <c r="E191" s="10">
        <v>1.0</v>
      </c>
      <c r="F191" s="12"/>
      <c r="G191" s="12"/>
      <c r="H191" s="12"/>
    </row>
    <row r="192" ht="15.75" customHeight="1">
      <c r="A192" s="7" t="s">
        <v>398</v>
      </c>
      <c r="B192" s="7" t="s">
        <v>399</v>
      </c>
      <c r="C192" s="9">
        <v>1.0</v>
      </c>
      <c r="D192" s="10">
        <v>0.0</v>
      </c>
      <c r="E192" s="10">
        <v>1.0</v>
      </c>
      <c r="F192" s="12"/>
      <c r="G192" s="12"/>
      <c r="H192" s="12"/>
    </row>
    <row r="193" ht="15.75" customHeight="1">
      <c r="A193" s="7" t="s">
        <v>400</v>
      </c>
      <c r="B193" s="7" t="s">
        <v>401</v>
      </c>
      <c r="C193" s="9">
        <v>3.0</v>
      </c>
      <c r="D193" s="10">
        <v>0.0</v>
      </c>
      <c r="E193" s="10">
        <v>3.0</v>
      </c>
      <c r="F193" s="13"/>
      <c r="G193" s="13"/>
      <c r="H193" s="7">
        <v>2.0</v>
      </c>
    </row>
    <row r="194" ht="15.75" customHeight="1">
      <c r="A194" s="7" t="s">
        <v>402</v>
      </c>
      <c r="B194" s="7" t="s">
        <v>403</v>
      </c>
      <c r="C194" s="9">
        <v>4.0</v>
      </c>
      <c r="D194" s="10">
        <v>0.0</v>
      </c>
      <c r="E194" s="10">
        <v>4.0</v>
      </c>
      <c r="F194" s="13"/>
      <c r="G194" s="13"/>
      <c r="H194" s="13"/>
    </row>
    <row r="195" ht="15.75" customHeight="1">
      <c r="A195" s="7" t="s">
        <v>404</v>
      </c>
      <c r="B195" s="7" t="s">
        <v>405</v>
      </c>
      <c r="C195" s="9">
        <v>397.0</v>
      </c>
      <c r="D195" s="10">
        <v>30.0</v>
      </c>
      <c r="E195" s="10">
        <v>367.0</v>
      </c>
      <c r="F195" s="13"/>
      <c r="G195" s="13"/>
      <c r="H195" s="13"/>
    </row>
    <row r="196" ht="15.75" customHeight="1">
      <c r="A196" s="7" t="s">
        <v>406</v>
      </c>
      <c r="B196" s="7" t="s">
        <v>407</v>
      </c>
      <c r="C196" s="9">
        <v>224.0</v>
      </c>
      <c r="D196" s="10">
        <v>0.0</v>
      </c>
      <c r="E196" s="10">
        <v>224.0</v>
      </c>
      <c r="F196" s="13"/>
      <c r="G196" s="13"/>
      <c r="H196" s="13"/>
    </row>
    <row r="197" ht="15.75" customHeight="1">
      <c r="A197" s="7" t="s">
        <v>408</v>
      </c>
      <c r="B197" s="7" t="s">
        <v>409</v>
      </c>
      <c r="C197" s="9">
        <v>128.0</v>
      </c>
      <c r="D197" s="10">
        <v>0.0</v>
      </c>
      <c r="E197" s="10">
        <v>128.0</v>
      </c>
      <c r="F197" s="13"/>
      <c r="G197" s="13"/>
      <c r="H197" s="13"/>
    </row>
    <row r="198" ht="15.75" customHeight="1">
      <c r="A198" s="7" t="s">
        <v>410</v>
      </c>
      <c r="B198" s="7" t="s">
        <v>411</v>
      </c>
      <c r="C198" s="9">
        <v>55.0</v>
      </c>
      <c r="D198" s="10">
        <v>0.0</v>
      </c>
      <c r="E198" s="10">
        <v>55.0</v>
      </c>
      <c r="F198" s="13"/>
      <c r="G198" s="13"/>
      <c r="H198" s="13"/>
    </row>
    <row r="199" ht="15.75" customHeight="1">
      <c r="A199" s="7" t="s">
        <v>412</v>
      </c>
      <c r="B199" s="7" t="s">
        <v>413</v>
      </c>
      <c r="C199" s="9">
        <v>11.0</v>
      </c>
      <c r="D199" s="10">
        <v>0.0</v>
      </c>
      <c r="E199" s="10">
        <v>11.0</v>
      </c>
      <c r="F199" s="13"/>
      <c r="G199" s="13"/>
      <c r="H199" s="13"/>
    </row>
    <row r="200" ht="15.75" customHeight="1">
      <c r="A200" s="7" t="s">
        <v>414</v>
      </c>
      <c r="B200" s="16" t="s">
        <v>415</v>
      </c>
      <c r="C200" s="9">
        <v>1000.0</v>
      </c>
      <c r="D200" s="10">
        <v>0.0</v>
      </c>
      <c r="E200" s="10">
        <v>1000.0</v>
      </c>
      <c r="F200" s="13"/>
      <c r="G200" s="13"/>
      <c r="H200" s="13"/>
    </row>
    <row r="201" ht="15.75" customHeight="1">
      <c r="A201" s="7" t="s">
        <v>416</v>
      </c>
      <c r="B201" s="7" t="s">
        <v>417</v>
      </c>
      <c r="C201" s="9">
        <v>88.0</v>
      </c>
      <c r="D201" s="10">
        <v>0.0</v>
      </c>
      <c r="E201" s="10">
        <v>88.0</v>
      </c>
      <c r="F201" s="13"/>
      <c r="G201" s="13"/>
      <c r="H201" s="13"/>
    </row>
    <row r="202" ht="15.75" customHeight="1">
      <c r="A202" s="7" t="s">
        <v>418</v>
      </c>
      <c r="B202" s="7" t="s">
        <v>419</v>
      </c>
      <c r="C202" s="9">
        <v>273.0</v>
      </c>
      <c r="D202" s="10">
        <v>0.0</v>
      </c>
      <c r="E202" s="10">
        <v>273.0</v>
      </c>
      <c r="F202" s="13"/>
      <c r="G202" s="13"/>
      <c r="H202" s="13"/>
    </row>
    <row r="203" ht="15.75" customHeight="1">
      <c r="A203" s="7" t="s">
        <v>420</v>
      </c>
      <c r="B203" s="7" t="s">
        <v>421</v>
      </c>
      <c r="C203" s="9">
        <v>265.0</v>
      </c>
      <c r="D203" s="10">
        <v>0.0</v>
      </c>
      <c r="E203" s="10">
        <v>265.0</v>
      </c>
      <c r="F203" s="13"/>
      <c r="G203" s="13"/>
      <c r="H203" s="13"/>
    </row>
    <row r="204" ht="15.75" customHeight="1">
      <c r="A204" s="7" t="s">
        <v>422</v>
      </c>
      <c r="B204" s="7" t="s">
        <v>423</v>
      </c>
      <c r="C204" s="9">
        <v>212.0</v>
      </c>
      <c r="D204" s="10">
        <v>0.0</v>
      </c>
      <c r="E204" s="10">
        <v>212.0</v>
      </c>
      <c r="F204" s="13"/>
      <c r="G204" s="13"/>
      <c r="H204" s="13"/>
    </row>
    <row r="205" ht="15.75" customHeight="1">
      <c r="A205" s="7" t="s">
        <v>424</v>
      </c>
      <c r="B205" s="7" t="s">
        <v>425</v>
      </c>
      <c r="C205" s="9">
        <v>1.0</v>
      </c>
      <c r="D205" s="10">
        <v>0.0</v>
      </c>
      <c r="E205" s="10">
        <v>1.0</v>
      </c>
      <c r="F205" s="13"/>
      <c r="G205" s="13"/>
      <c r="H205" s="13"/>
    </row>
    <row r="206" ht="15.75" customHeight="1">
      <c r="A206" s="7" t="s">
        <v>426</v>
      </c>
      <c r="B206" s="8" t="s">
        <v>427</v>
      </c>
      <c r="C206" s="9">
        <v>58.0</v>
      </c>
      <c r="D206" s="10">
        <v>0.0</v>
      </c>
      <c r="E206" s="10">
        <v>58.0</v>
      </c>
      <c r="F206" s="13"/>
      <c r="G206" s="13"/>
      <c r="H206" s="13"/>
    </row>
    <row r="207" ht="15.75" customHeight="1">
      <c r="A207" s="7" t="s">
        <v>428</v>
      </c>
      <c r="B207" s="8" t="s">
        <v>429</v>
      </c>
      <c r="C207" s="9">
        <v>1.0</v>
      </c>
      <c r="D207" s="10">
        <v>0.0</v>
      </c>
      <c r="E207" s="10">
        <v>1.0</v>
      </c>
      <c r="F207" s="13"/>
      <c r="G207" s="13"/>
      <c r="H207" s="7">
        <v>1.0</v>
      </c>
    </row>
    <row r="208" ht="15.75" customHeight="1">
      <c r="A208" s="7" t="s">
        <v>430</v>
      </c>
      <c r="B208" s="7" t="s">
        <v>431</v>
      </c>
      <c r="C208" s="9">
        <v>5.0</v>
      </c>
      <c r="D208" s="10">
        <v>1.0</v>
      </c>
      <c r="E208" s="9">
        <v>4.0</v>
      </c>
      <c r="F208" s="7" t="s">
        <v>432</v>
      </c>
      <c r="G208" s="13"/>
      <c r="H208" s="70">
        <v>5.0</v>
      </c>
    </row>
    <row r="209" ht="15.75" customHeight="1">
      <c r="A209" s="7" t="s">
        <v>433</v>
      </c>
      <c r="B209" s="8" t="s">
        <v>434</v>
      </c>
      <c r="C209" s="9">
        <v>1.0</v>
      </c>
      <c r="D209" s="10">
        <v>0.0</v>
      </c>
      <c r="E209" s="10">
        <v>1.0</v>
      </c>
      <c r="F209" s="7" t="s">
        <v>435</v>
      </c>
      <c r="G209" s="13"/>
      <c r="H209" s="13"/>
    </row>
    <row r="210" ht="15.75" customHeight="1">
      <c r="A210" s="7" t="s">
        <v>436</v>
      </c>
      <c r="B210" s="8" t="s">
        <v>437</v>
      </c>
      <c r="C210" s="9">
        <v>1.0</v>
      </c>
      <c r="D210" s="10">
        <v>0.0</v>
      </c>
      <c r="E210" s="10">
        <v>1.0</v>
      </c>
      <c r="F210" s="12"/>
      <c r="G210" s="12"/>
      <c r="H210" s="12"/>
    </row>
    <row r="211" ht="15.75" customHeight="1">
      <c r="A211" s="7" t="s">
        <v>438</v>
      </c>
      <c r="B211" s="7" t="s">
        <v>439</v>
      </c>
      <c r="C211" s="9">
        <v>4.0</v>
      </c>
      <c r="D211" s="10">
        <v>0.0</v>
      </c>
      <c r="E211" s="10">
        <v>4.0</v>
      </c>
      <c r="F211" s="12"/>
      <c r="G211" s="12"/>
      <c r="H211" s="11">
        <v>3.0</v>
      </c>
    </row>
    <row r="212" ht="15.75" customHeight="1">
      <c r="A212" s="7" t="s">
        <v>440</v>
      </c>
      <c r="B212" s="16" t="s">
        <v>441</v>
      </c>
      <c r="C212" s="9">
        <v>1.0</v>
      </c>
      <c r="D212" s="10">
        <v>0.0</v>
      </c>
      <c r="E212" s="10">
        <v>1.0</v>
      </c>
      <c r="F212" s="12"/>
      <c r="G212" s="12"/>
      <c r="H212" s="12"/>
    </row>
    <row r="213" ht="15.75" customHeight="1">
      <c r="A213" s="7" t="s">
        <v>442</v>
      </c>
      <c r="B213" s="7" t="s">
        <v>443</v>
      </c>
      <c r="C213" s="9">
        <v>2.0</v>
      </c>
      <c r="D213" s="10">
        <v>0.0</v>
      </c>
      <c r="E213" s="10">
        <v>2.0</v>
      </c>
      <c r="F213" s="13"/>
      <c r="G213" s="13"/>
      <c r="H213" s="7">
        <v>1.0</v>
      </c>
    </row>
    <row r="214" ht="15.75" customHeight="1">
      <c r="A214" s="7" t="s">
        <v>444</v>
      </c>
      <c r="B214" s="8" t="s">
        <v>445</v>
      </c>
      <c r="C214" s="9">
        <v>1.0</v>
      </c>
      <c r="D214" s="10">
        <v>0.0</v>
      </c>
      <c r="E214" s="10">
        <v>1.0</v>
      </c>
      <c r="F214" s="12"/>
      <c r="G214" s="12"/>
      <c r="H214" s="12"/>
    </row>
    <row r="215" ht="15.75" customHeight="1">
      <c r="A215" s="7" t="s">
        <v>446</v>
      </c>
      <c r="B215" s="7" t="s">
        <v>447</v>
      </c>
      <c r="C215" s="9">
        <v>1.0</v>
      </c>
      <c r="D215" s="10">
        <v>0.0</v>
      </c>
      <c r="E215" s="10">
        <v>1.0</v>
      </c>
      <c r="F215" s="12"/>
      <c r="G215" s="12"/>
      <c r="H215" s="12"/>
    </row>
    <row r="216" ht="15.75" customHeight="1">
      <c r="A216" s="7" t="s">
        <v>448</v>
      </c>
      <c r="B216" s="7" t="s">
        <v>449</v>
      </c>
      <c r="C216" s="9">
        <v>1.0</v>
      </c>
      <c r="D216" s="10">
        <v>0.0</v>
      </c>
      <c r="E216" s="10">
        <v>1.0</v>
      </c>
      <c r="F216" s="12"/>
      <c r="G216" s="12"/>
      <c r="H216" s="12"/>
    </row>
    <row r="217" ht="15.75" customHeight="1">
      <c r="A217" s="7" t="s">
        <v>450</v>
      </c>
      <c r="B217" s="7" t="s">
        <v>451</v>
      </c>
      <c r="C217" s="9">
        <v>1.0</v>
      </c>
      <c r="D217" s="10">
        <v>0.0</v>
      </c>
      <c r="E217" s="10">
        <v>1.0</v>
      </c>
      <c r="F217" s="12"/>
      <c r="G217" s="12"/>
      <c r="H217" s="12"/>
    </row>
    <row r="218" ht="15.75" customHeight="1">
      <c r="A218" s="7" t="s">
        <v>452</v>
      </c>
      <c r="B218" s="7" t="s">
        <v>453</v>
      </c>
      <c r="C218" s="9">
        <v>3.0</v>
      </c>
      <c r="D218" s="10">
        <v>0.0</v>
      </c>
      <c r="E218" s="10">
        <v>3.0</v>
      </c>
      <c r="F218" s="13"/>
      <c r="G218" s="13"/>
      <c r="H218" s="7">
        <v>2.0</v>
      </c>
    </row>
    <row r="219" ht="15.75" customHeight="1">
      <c r="A219" s="7" t="s">
        <v>454</v>
      </c>
      <c r="B219" s="7" t="s">
        <v>455</v>
      </c>
      <c r="C219" s="9">
        <v>1.0</v>
      </c>
      <c r="D219" s="10">
        <v>0.0</v>
      </c>
      <c r="E219" s="10">
        <v>1.0</v>
      </c>
      <c r="F219" s="13"/>
      <c r="G219" s="13"/>
      <c r="H219" s="13"/>
    </row>
    <row r="220" ht="15.75" customHeight="1">
      <c r="A220" s="7" t="s">
        <v>456</v>
      </c>
      <c r="B220" s="7" t="s">
        <v>457</v>
      </c>
      <c r="C220" s="9">
        <v>3.0</v>
      </c>
      <c r="D220" s="10">
        <v>0.0</v>
      </c>
      <c r="E220" s="10">
        <v>3.0</v>
      </c>
      <c r="F220" s="12"/>
      <c r="G220" s="12"/>
      <c r="H220" s="11">
        <v>1.0</v>
      </c>
    </row>
    <row r="221" ht="15.75" customHeight="1">
      <c r="A221" s="7" t="s">
        <v>458</v>
      </c>
      <c r="B221" s="7" t="s">
        <v>459</v>
      </c>
      <c r="C221" s="9">
        <v>1.0</v>
      </c>
      <c r="D221" s="10">
        <v>0.0</v>
      </c>
      <c r="E221" s="10">
        <v>1.0</v>
      </c>
      <c r="F221" s="12"/>
      <c r="G221" s="12"/>
      <c r="H221" s="12"/>
    </row>
    <row r="222" ht="15.75" customHeight="1">
      <c r="A222" s="7" t="s">
        <v>460</v>
      </c>
      <c r="B222" s="17" t="s">
        <v>461</v>
      </c>
      <c r="C222" s="9">
        <v>3.0</v>
      </c>
      <c r="D222" s="10">
        <v>0.0</v>
      </c>
      <c r="E222" s="10">
        <v>3.0</v>
      </c>
      <c r="F222" s="12"/>
      <c r="G222" s="12"/>
      <c r="H222" s="12"/>
    </row>
    <row r="223" ht="15.75" customHeight="1">
      <c r="A223" s="7" t="s">
        <v>462</v>
      </c>
      <c r="B223" s="7" t="s">
        <v>463</v>
      </c>
      <c r="C223" s="9">
        <v>1.0</v>
      </c>
      <c r="D223" s="10">
        <v>0.0</v>
      </c>
      <c r="E223" s="10">
        <v>1.0</v>
      </c>
      <c r="F223" s="13"/>
      <c r="G223" s="13"/>
      <c r="H223" s="13"/>
    </row>
    <row r="224" ht="15.75" customHeight="1">
      <c r="A224" s="7" t="s">
        <v>464</v>
      </c>
      <c r="B224" s="7" t="s">
        <v>465</v>
      </c>
      <c r="C224" s="9">
        <v>2.0</v>
      </c>
      <c r="D224" s="10">
        <v>0.0</v>
      </c>
      <c r="E224" s="10">
        <v>2.0</v>
      </c>
      <c r="F224" s="13"/>
      <c r="G224" s="13"/>
      <c r="H224" s="13"/>
    </row>
    <row r="225" ht="15.75" customHeight="1">
      <c r="A225" s="7" t="s">
        <v>466</v>
      </c>
      <c r="B225" s="7" t="s">
        <v>451</v>
      </c>
      <c r="C225" s="9">
        <v>1.0</v>
      </c>
      <c r="D225" s="10">
        <v>0.0</v>
      </c>
      <c r="E225" s="10">
        <v>1.0</v>
      </c>
      <c r="F225" s="13"/>
      <c r="G225" s="13"/>
      <c r="H225" s="13"/>
    </row>
    <row r="226" ht="15.75" customHeight="1">
      <c r="A226" s="7" t="s">
        <v>467</v>
      </c>
      <c r="B226" s="7" t="s">
        <v>468</v>
      </c>
      <c r="C226" s="9">
        <v>4.0</v>
      </c>
      <c r="D226" s="10">
        <v>0.0</v>
      </c>
      <c r="E226" s="10">
        <v>4.0</v>
      </c>
      <c r="F226" s="12"/>
      <c r="G226" s="12"/>
      <c r="H226" s="11">
        <v>1.0</v>
      </c>
    </row>
    <row r="227" ht="15.75" customHeight="1">
      <c r="A227" s="7" t="s">
        <v>469</v>
      </c>
      <c r="B227" s="7" t="s">
        <v>470</v>
      </c>
      <c r="C227" s="9">
        <v>3.0</v>
      </c>
      <c r="D227" s="10">
        <v>0.0</v>
      </c>
      <c r="E227" s="10">
        <v>3.0</v>
      </c>
      <c r="F227" s="12"/>
      <c r="G227" s="12"/>
      <c r="H227" s="12"/>
    </row>
    <row r="228" ht="15.75" customHeight="1">
      <c r="A228" s="7" t="s">
        <v>471</v>
      </c>
      <c r="B228" s="7" t="s">
        <v>472</v>
      </c>
      <c r="C228" s="9">
        <v>3.0</v>
      </c>
      <c r="D228" s="10">
        <v>0.0</v>
      </c>
      <c r="E228" s="10">
        <v>3.0</v>
      </c>
      <c r="F228" s="12"/>
      <c r="G228" s="12"/>
      <c r="H228" s="12"/>
    </row>
    <row r="229" ht="15.75" customHeight="1">
      <c r="A229" s="7" t="s">
        <v>473</v>
      </c>
      <c r="B229" s="7" t="s">
        <v>474</v>
      </c>
      <c r="C229" s="9">
        <v>1.0</v>
      </c>
      <c r="D229" s="10">
        <v>0.0</v>
      </c>
      <c r="E229" s="10">
        <v>1.0</v>
      </c>
      <c r="F229" s="13"/>
      <c r="G229" s="13"/>
      <c r="H229" s="13"/>
    </row>
    <row r="230" ht="15.75" customHeight="1">
      <c r="A230" s="7" t="s">
        <v>475</v>
      </c>
      <c r="B230" s="7" t="s">
        <v>476</v>
      </c>
      <c r="C230" s="9">
        <v>1.0</v>
      </c>
      <c r="D230" s="10">
        <v>0.0</v>
      </c>
      <c r="E230" s="10">
        <v>1.0</v>
      </c>
      <c r="F230" s="12"/>
      <c r="G230" s="12"/>
      <c r="H230" s="12"/>
    </row>
    <row r="231" ht="15.75" customHeight="1">
      <c r="A231" s="7" t="s">
        <v>477</v>
      </c>
      <c r="B231" s="7" t="s">
        <v>478</v>
      </c>
      <c r="C231" s="9">
        <v>1.0</v>
      </c>
      <c r="D231" s="10">
        <v>0.0</v>
      </c>
      <c r="E231" s="10">
        <v>1.0</v>
      </c>
      <c r="F231" s="12"/>
      <c r="G231" s="12"/>
      <c r="H231" s="12"/>
    </row>
    <row r="232" ht="15.75" customHeight="1">
      <c r="A232" s="7" t="s">
        <v>479</v>
      </c>
      <c r="B232" s="7" t="s">
        <v>480</v>
      </c>
      <c r="C232" s="9">
        <v>2.0</v>
      </c>
      <c r="D232" s="10">
        <v>0.0</v>
      </c>
      <c r="E232" s="10">
        <v>2.0</v>
      </c>
      <c r="F232" s="12"/>
      <c r="G232" s="12"/>
      <c r="H232" s="12"/>
    </row>
    <row r="233" ht="15.75" customHeight="1">
      <c r="A233" s="7" t="s">
        <v>481</v>
      </c>
      <c r="B233" s="7" t="s">
        <v>482</v>
      </c>
      <c r="C233" s="9">
        <v>1.0</v>
      </c>
      <c r="D233" s="10">
        <v>0.0</v>
      </c>
      <c r="E233" s="10">
        <v>1.0</v>
      </c>
      <c r="F233" s="13"/>
      <c r="G233" s="13"/>
      <c r="H233" s="13"/>
    </row>
    <row r="234" ht="15.75" customHeight="1">
      <c r="A234" s="7" t="s">
        <v>483</v>
      </c>
      <c r="B234" s="7" t="s">
        <v>484</v>
      </c>
      <c r="C234" s="9">
        <v>1.0</v>
      </c>
      <c r="D234" s="10">
        <v>0.0</v>
      </c>
      <c r="E234" s="10">
        <v>1.0</v>
      </c>
      <c r="F234" s="12"/>
      <c r="G234" s="12"/>
      <c r="H234" s="12"/>
    </row>
    <row r="235" ht="15.75" customHeight="1">
      <c r="A235" s="7" t="s">
        <v>485</v>
      </c>
      <c r="B235" s="7" t="s">
        <v>486</v>
      </c>
      <c r="C235" s="9">
        <v>1.0</v>
      </c>
      <c r="D235" s="10">
        <v>0.0</v>
      </c>
      <c r="E235" s="10">
        <v>1.0</v>
      </c>
      <c r="F235" s="13"/>
      <c r="G235" s="13"/>
      <c r="H235" s="13"/>
    </row>
    <row r="236" ht="15.75" customHeight="1">
      <c r="A236" s="7" t="s">
        <v>487</v>
      </c>
      <c r="B236" s="7" t="s">
        <v>488</v>
      </c>
      <c r="C236" s="9">
        <v>1.0</v>
      </c>
      <c r="D236" s="10">
        <v>0.0</v>
      </c>
      <c r="E236" s="10">
        <v>1.0</v>
      </c>
      <c r="F236" s="13"/>
      <c r="G236" s="13"/>
      <c r="H236" s="13"/>
    </row>
    <row r="237" ht="15.75" customHeight="1">
      <c r="A237" s="7" t="s">
        <v>489</v>
      </c>
      <c r="B237" s="8" t="s">
        <v>490</v>
      </c>
      <c r="C237" s="9">
        <v>2.0</v>
      </c>
      <c r="D237" s="10">
        <v>0.0</v>
      </c>
      <c r="E237" s="10">
        <v>2.0</v>
      </c>
      <c r="F237" s="7" t="s">
        <v>491</v>
      </c>
      <c r="G237" s="13"/>
      <c r="H237" s="13"/>
    </row>
    <row r="238" ht="15.75" customHeight="1">
      <c r="A238" s="7" t="s">
        <v>492</v>
      </c>
      <c r="B238" s="8" t="s">
        <v>493</v>
      </c>
      <c r="C238" s="9">
        <v>1.0</v>
      </c>
      <c r="D238" s="10">
        <v>0.0</v>
      </c>
      <c r="E238" s="10">
        <v>1.0</v>
      </c>
      <c r="F238" s="7" t="s">
        <v>494</v>
      </c>
      <c r="G238" s="13"/>
      <c r="H238" s="13"/>
    </row>
    <row r="239" ht="15.75" customHeight="1">
      <c r="A239" s="7" t="s">
        <v>495</v>
      </c>
      <c r="B239" s="8" t="s">
        <v>496</v>
      </c>
      <c r="C239" s="9">
        <v>2.0</v>
      </c>
      <c r="D239" s="10">
        <v>0.0</v>
      </c>
      <c r="E239" s="10">
        <v>2.0</v>
      </c>
      <c r="F239" s="13"/>
      <c r="G239" s="13"/>
      <c r="H239" s="13"/>
    </row>
    <row r="240" ht="15.75" customHeight="1">
      <c r="A240" s="7" t="s">
        <v>497</v>
      </c>
      <c r="B240" s="8" t="s">
        <v>498</v>
      </c>
      <c r="C240" s="9">
        <v>1.0</v>
      </c>
      <c r="D240" s="10">
        <v>0.0</v>
      </c>
      <c r="E240" s="10">
        <v>1.0</v>
      </c>
      <c r="F240" s="13"/>
      <c r="G240" s="13"/>
      <c r="H240" s="35">
        <v>1.0</v>
      </c>
    </row>
    <row r="241" ht="15.75" customHeight="1">
      <c r="A241" s="7" t="s">
        <v>499</v>
      </c>
      <c r="B241" s="8" t="s">
        <v>500</v>
      </c>
      <c r="C241" s="9">
        <v>1.0</v>
      </c>
      <c r="D241" s="10">
        <v>0.0</v>
      </c>
      <c r="E241" s="10">
        <v>1.0</v>
      </c>
      <c r="F241" s="12"/>
      <c r="G241" s="12"/>
      <c r="H241" s="68">
        <v>1.0</v>
      </c>
    </row>
    <row r="242" ht="15.75" customHeight="1">
      <c r="A242" s="7" t="s">
        <v>501</v>
      </c>
      <c r="B242" s="7" t="s">
        <v>502</v>
      </c>
      <c r="C242" s="9">
        <v>61.0</v>
      </c>
      <c r="D242" s="10">
        <v>0.0</v>
      </c>
      <c r="E242" s="10">
        <v>61.0</v>
      </c>
      <c r="F242" s="12"/>
      <c r="G242" s="12"/>
      <c r="H242" s="12"/>
    </row>
    <row r="243" ht="15.75" customHeight="1">
      <c r="A243" s="7" t="s">
        <v>503</v>
      </c>
      <c r="B243" s="7" t="s">
        <v>504</v>
      </c>
      <c r="C243" s="9">
        <v>0.0</v>
      </c>
      <c r="D243" s="10">
        <v>0.0</v>
      </c>
      <c r="E243" s="10">
        <v>0.0</v>
      </c>
      <c r="F243" s="12"/>
      <c r="G243" s="12"/>
      <c r="H243" s="12"/>
    </row>
    <row r="244" ht="15.75" customHeight="1">
      <c r="A244" s="7" t="s">
        <v>505</v>
      </c>
      <c r="B244" s="7" t="s">
        <v>506</v>
      </c>
      <c r="C244" s="9">
        <v>0.0</v>
      </c>
      <c r="D244" s="10">
        <v>0.0</v>
      </c>
      <c r="E244" s="10">
        <v>0.0</v>
      </c>
      <c r="F244" s="12"/>
      <c r="G244" s="12"/>
      <c r="H244" s="12"/>
    </row>
    <row r="245" ht="15.75" customHeight="1">
      <c r="A245" s="7" t="s">
        <v>507</v>
      </c>
      <c r="B245" s="7" t="s">
        <v>508</v>
      </c>
      <c r="C245" s="9">
        <v>0.0</v>
      </c>
      <c r="D245" s="10">
        <v>0.0</v>
      </c>
      <c r="E245" s="10">
        <v>0.0</v>
      </c>
      <c r="F245" s="12"/>
      <c r="G245" s="12"/>
      <c r="H245" s="12"/>
    </row>
    <row r="246">
      <c r="A246" s="7" t="s">
        <v>509</v>
      </c>
      <c r="B246" s="8" t="s">
        <v>510</v>
      </c>
      <c r="C246" s="9">
        <v>1.0</v>
      </c>
      <c r="D246" s="10">
        <v>0.0</v>
      </c>
      <c r="E246" s="10">
        <v>1.0</v>
      </c>
      <c r="F246" s="7" t="s">
        <v>511</v>
      </c>
      <c r="G246" s="13"/>
      <c r="H246" s="13"/>
    </row>
    <row r="247">
      <c r="A247" s="7" t="s">
        <v>512</v>
      </c>
      <c r="B247" s="7" t="s">
        <v>513</v>
      </c>
      <c r="C247" s="9">
        <v>5.0</v>
      </c>
      <c r="D247" s="10">
        <v>0.0</v>
      </c>
      <c r="E247" s="10">
        <v>5.0</v>
      </c>
      <c r="F247" s="13"/>
      <c r="G247" s="13"/>
      <c r="H247" s="35">
        <v>5.0</v>
      </c>
    </row>
    <row r="248" ht="15.75" customHeight="1">
      <c r="A248" s="7" t="s">
        <v>514</v>
      </c>
      <c r="B248" s="7" t="s">
        <v>515</v>
      </c>
      <c r="C248" s="9">
        <v>2.0</v>
      </c>
      <c r="D248" s="10">
        <v>0.0</v>
      </c>
      <c r="E248" s="10">
        <v>2.0</v>
      </c>
      <c r="F248" s="12"/>
      <c r="G248" s="12"/>
      <c r="H248" s="12"/>
    </row>
    <row r="249" ht="15.75" customHeight="1">
      <c r="A249" s="7" t="s">
        <v>516</v>
      </c>
      <c r="B249" s="7" t="s">
        <v>517</v>
      </c>
      <c r="C249" s="9">
        <v>1.0</v>
      </c>
      <c r="D249" s="10">
        <v>0.0</v>
      </c>
      <c r="E249" s="10">
        <v>1.0</v>
      </c>
      <c r="F249" s="12"/>
      <c r="G249" s="12"/>
      <c r="H249" s="71">
        <v>2.0</v>
      </c>
    </row>
    <row r="250" ht="15.75" customHeight="1">
      <c r="A250" s="7" t="s">
        <v>518</v>
      </c>
      <c r="B250" s="7" t="s">
        <v>519</v>
      </c>
      <c r="C250" s="9">
        <v>10.0</v>
      </c>
      <c r="D250" s="10">
        <v>0.0</v>
      </c>
      <c r="E250" s="10">
        <v>10.0</v>
      </c>
      <c r="F250" s="12"/>
      <c r="G250" s="12"/>
      <c r="H250" s="12"/>
    </row>
    <row r="251" ht="15.75" customHeight="1">
      <c r="A251" s="7" t="s">
        <v>520</v>
      </c>
      <c r="B251" s="7" t="s">
        <v>521</v>
      </c>
      <c r="C251" s="9">
        <v>4.0</v>
      </c>
      <c r="D251" s="10">
        <v>0.0</v>
      </c>
      <c r="E251" s="10">
        <v>4.0</v>
      </c>
      <c r="F251" s="13"/>
      <c r="G251" s="13"/>
      <c r="H251" s="13"/>
    </row>
    <row r="252" ht="15.75" customHeight="1">
      <c r="A252" s="7" t="s">
        <v>522</v>
      </c>
      <c r="B252" s="7" t="s">
        <v>523</v>
      </c>
      <c r="C252" s="9">
        <v>4.0</v>
      </c>
      <c r="D252" s="10">
        <v>0.0</v>
      </c>
      <c r="E252" s="10">
        <v>4.0</v>
      </c>
      <c r="F252" s="13"/>
      <c r="G252" s="13"/>
      <c r="H252" s="13"/>
    </row>
    <row r="253" ht="15.75" customHeight="1">
      <c r="A253" s="7" t="s">
        <v>524</v>
      </c>
      <c r="B253" s="8" t="s">
        <v>525</v>
      </c>
      <c r="C253" s="9">
        <v>1.0</v>
      </c>
      <c r="D253" s="10">
        <v>1.0</v>
      </c>
      <c r="E253" s="10">
        <v>0.0</v>
      </c>
      <c r="F253" s="7" t="s">
        <v>526</v>
      </c>
      <c r="G253" s="13"/>
      <c r="H253" s="13"/>
    </row>
    <row r="254" ht="15.75" customHeight="1">
      <c r="A254" s="7" t="s">
        <v>527</v>
      </c>
      <c r="B254" s="7" t="s">
        <v>528</v>
      </c>
      <c r="C254" s="9">
        <v>4.0</v>
      </c>
      <c r="D254" s="10">
        <v>0.0</v>
      </c>
      <c r="E254" s="10">
        <v>4.0</v>
      </c>
      <c r="F254" s="12"/>
      <c r="G254" s="12"/>
      <c r="H254" s="11">
        <v>2.0</v>
      </c>
    </row>
    <row r="255" ht="15.75" customHeight="1">
      <c r="A255" s="7" t="s">
        <v>529</v>
      </c>
      <c r="B255" s="17" t="s">
        <v>530</v>
      </c>
      <c r="C255" s="9">
        <v>4.0</v>
      </c>
      <c r="D255" s="10">
        <v>0.0</v>
      </c>
      <c r="E255" s="10">
        <v>4.0</v>
      </c>
      <c r="F255" s="12"/>
      <c r="G255" s="12"/>
      <c r="H255" s="11">
        <v>2.0</v>
      </c>
    </row>
    <row r="256" ht="15.75" customHeight="1">
      <c r="A256" s="7" t="s">
        <v>531</v>
      </c>
      <c r="B256" s="7" t="s">
        <v>532</v>
      </c>
      <c r="C256" s="9">
        <v>4.0</v>
      </c>
      <c r="D256" s="10">
        <v>0.0</v>
      </c>
      <c r="E256" s="10">
        <v>4.0</v>
      </c>
      <c r="F256" s="12"/>
      <c r="G256" s="12"/>
      <c r="H256" s="11">
        <v>2.0</v>
      </c>
    </row>
    <row r="257" ht="15.75" customHeight="1">
      <c r="A257" s="7" t="s">
        <v>533</v>
      </c>
      <c r="B257" s="7" t="s">
        <v>534</v>
      </c>
      <c r="C257" s="9">
        <v>2.0</v>
      </c>
      <c r="D257" s="10">
        <v>0.0</v>
      </c>
      <c r="E257" s="10">
        <v>2.0</v>
      </c>
      <c r="F257" s="12"/>
      <c r="G257" s="12"/>
      <c r="H257" s="11">
        <v>1.0</v>
      </c>
    </row>
    <row r="258" ht="15.75" customHeight="1">
      <c r="A258" s="7" t="s">
        <v>535</v>
      </c>
      <c r="B258" s="18" t="s">
        <v>536</v>
      </c>
      <c r="C258" s="9">
        <v>1.0</v>
      </c>
      <c r="D258" s="10">
        <v>0.0</v>
      </c>
      <c r="E258" s="10">
        <v>1.0</v>
      </c>
      <c r="F258" s="12"/>
      <c r="G258" s="12"/>
      <c r="H258" s="68">
        <v>1.0</v>
      </c>
    </row>
    <row r="259" ht="15.75" customHeight="1">
      <c r="A259" s="7" t="s">
        <v>537</v>
      </c>
      <c r="B259" s="17" t="s">
        <v>538</v>
      </c>
      <c r="C259" s="9">
        <v>9.0</v>
      </c>
      <c r="D259" s="10">
        <v>0.0</v>
      </c>
      <c r="E259" s="10">
        <v>9.0</v>
      </c>
      <c r="F259" s="12"/>
      <c r="G259" s="12"/>
      <c r="H259" s="68">
        <v>9.0</v>
      </c>
    </row>
    <row r="260" ht="15.75" customHeight="1">
      <c r="A260" s="7" t="s">
        <v>539</v>
      </c>
      <c r="B260" s="17" t="s">
        <v>540</v>
      </c>
      <c r="C260" s="9">
        <v>9.0</v>
      </c>
      <c r="D260" s="10">
        <v>0.0</v>
      </c>
      <c r="E260" s="10">
        <v>9.0</v>
      </c>
      <c r="F260" s="12"/>
      <c r="G260" s="12"/>
      <c r="H260" s="12"/>
    </row>
    <row r="261" ht="15.75" customHeight="1">
      <c r="A261" s="13"/>
      <c r="B261" s="19"/>
      <c r="C261" s="9">
        <v>0.0</v>
      </c>
      <c r="D261" s="10">
        <v>0.0</v>
      </c>
      <c r="E261" s="10">
        <v>0.0</v>
      </c>
      <c r="F261" s="12"/>
      <c r="G261" s="12"/>
      <c r="H261" s="12"/>
    </row>
    <row r="262" ht="15.75" customHeight="1">
      <c r="A262" s="13"/>
      <c r="B262" s="13"/>
      <c r="C262" s="9">
        <v>0.0</v>
      </c>
      <c r="D262" s="10">
        <v>0.0</v>
      </c>
      <c r="E262" s="10">
        <v>0.0</v>
      </c>
      <c r="F262" s="13"/>
      <c r="G262" s="13"/>
      <c r="H262" s="13"/>
    </row>
    <row r="263" ht="15.75" customHeight="1">
      <c r="A263" s="13"/>
      <c r="B263" s="13"/>
      <c r="C263" s="9">
        <v>0.0</v>
      </c>
      <c r="D263" s="10">
        <v>0.0</v>
      </c>
      <c r="E263" s="10">
        <v>0.0</v>
      </c>
      <c r="F263" s="13"/>
      <c r="G263" s="13"/>
      <c r="H263" s="13"/>
    </row>
    <row r="264" ht="15.75" customHeight="1">
      <c r="A264" s="13"/>
      <c r="B264" s="13"/>
      <c r="C264" s="9">
        <v>0.0</v>
      </c>
      <c r="D264" s="10">
        <v>0.0</v>
      </c>
      <c r="E264" s="10">
        <v>0.0</v>
      </c>
      <c r="F264" s="13"/>
      <c r="G264" s="13"/>
      <c r="H264" s="13"/>
    </row>
    <row r="265" ht="15.75" customHeight="1">
      <c r="A265" s="13"/>
      <c r="B265" s="13"/>
      <c r="C265" s="9">
        <v>0.0</v>
      </c>
      <c r="D265" s="10">
        <v>0.0</v>
      </c>
      <c r="E265" s="10">
        <v>0.0</v>
      </c>
      <c r="F265" s="13"/>
      <c r="G265" s="13"/>
      <c r="H265" s="13"/>
    </row>
    <row r="266" ht="15.75" customHeight="1">
      <c r="A266" s="13"/>
      <c r="B266" s="13"/>
      <c r="C266" s="9">
        <v>0.0</v>
      </c>
      <c r="D266" s="10">
        <v>0.0</v>
      </c>
      <c r="E266" s="10">
        <v>0.0</v>
      </c>
      <c r="F266" s="13"/>
      <c r="G266" s="13"/>
      <c r="H266" s="13"/>
    </row>
    <row r="267" ht="15.75" customHeight="1">
      <c r="A267" s="13"/>
      <c r="B267" s="13"/>
      <c r="C267" s="9">
        <v>0.0</v>
      </c>
      <c r="D267" s="10">
        <v>0.0</v>
      </c>
      <c r="E267" s="10">
        <v>0.0</v>
      </c>
      <c r="F267" s="13"/>
      <c r="G267" s="13"/>
      <c r="H267" s="13"/>
    </row>
    <row r="268" ht="15.75" customHeight="1">
      <c r="A268" s="13"/>
      <c r="B268" s="19"/>
      <c r="C268" s="9">
        <v>0.0</v>
      </c>
      <c r="D268" s="10">
        <v>0.0</v>
      </c>
      <c r="E268" s="10">
        <v>0.0</v>
      </c>
      <c r="F268" s="12"/>
      <c r="G268" s="12"/>
      <c r="H268" s="12"/>
    </row>
    <row r="269" ht="15.75" customHeight="1">
      <c r="A269" s="13"/>
      <c r="B269" s="13"/>
      <c r="C269" s="9">
        <v>0.0</v>
      </c>
      <c r="D269" s="10">
        <v>0.0</v>
      </c>
      <c r="E269" s="10">
        <v>0.0</v>
      </c>
      <c r="F269" s="13"/>
      <c r="G269" s="13"/>
      <c r="H269" s="13"/>
    </row>
    <row r="270" ht="15.75" customHeight="1">
      <c r="A270" s="13"/>
      <c r="B270" s="13"/>
      <c r="C270" s="9">
        <v>0.0</v>
      </c>
      <c r="D270" s="10">
        <v>0.0</v>
      </c>
      <c r="E270" s="10">
        <v>0.0</v>
      </c>
      <c r="F270" s="13"/>
      <c r="G270" s="13"/>
      <c r="H270" s="13"/>
    </row>
    <row r="271" ht="15.75" customHeight="1">
      <c r="A271" s="13"/>
      <c r="B271" s="13"/>
      <c r="C271" s="9">
        <v>0.0</v>
      </c>
      <c r="D271" s="10">
        <v>0.0</v>
      </c>
      <c r="E271" s="10">
        <v>0.0</v>
      </c>
      <c r="F271" s="13"/>
      <c r="G271" s="13"/>
      <c r="H271" s="13"/>
    </row>
    <row r="272" ht="15.75" customHeight="1">
      <c r="A272" s="13"/>
      <c r="B272" s="13"/>
      <c r="C272" s="9">
        <v>0.0</v>
      </c>
      <c r="D272" s="10">
        <v>0.0</v>
      </c>
      <c r="E272" s="10">
        <v>0.0</v>
      </c>
      <c r="F272" s="13"/>
      <c r="G272" s="13"/>
      <c r="H272" s="13"/>
    </row>
    <row r="273" ht="15.75" customHeight="1">
      <c r="A273" s="13"/>
      <c r="B273" s="13"/>
      <c r="C273" s="9">
        <v>0.0</v>
      </c>
      <c r="D273" s="10">
        <v>0.0</v>
      </c>
      <c r="E273" s="10">
        <v>0.0</v>
      </c>
      <c r="F273" s="13"/>
      <c r="G273" s="13"/>
      <c r="H273" s="13"/>
    </row>
    <row r="274" ht="15.75" customHeight="1">
      <c r="A274" s="13"/>
      <c r="B274" s="19"/>
      <c r="C274" s="9">
        <v>0.0</v>
      </c>
      <c r="D274" s="10">
        <v>0.0</v>
      </c>
      <c r="E274" s="10">
        <v>0.0</v>
      </c>
      <c r="F274" s="12"/>
      <c r="G274" s="12"/>
      <c r="H274" s="12"/>
    </row>
    <row r="275" ht="15.75" customHeight="1">
      <c r="A275" s="13"/>
      <c r="B275" s="13"/>
      <c r="C275" s="9">
        <v>0.0</v>
      </c>
      <c r="D275" s="10">
        <v>0.0</v>
      </c>
      <c r="E275" s="10">
        <v>0.0</v>
      </c>
      <c r="F275" s="12"/>
      <c r="G275" s="12"/>
      <c r="H275" s="12"/>
    </row>
    <row r="276" ht="15.75" customHeight="1">
      <c r="A276" s="13"/>
      <c r="B276" s="13"/>
      <c r="C276" s="9">
        <v>0.0</v>
      </c>
      <c r="D276" s="10">
        <v>0.0</v>
      </c>
      <c r="E276" s="10">
        <v>0.0</v>
      </c>
      <c r="F276" s="12"/>
      <c r="G276" s="12"/>
      <c r="H276" s="12"/>
    </row>
    <row r="277" ht="15.75" customHeight="1">
      <c r="A277" s="13"/>
      <c r="B277" s="13"/>
      <c r="C277" s="9">
        <v>0.0</v>
      </c>
      <c r="D277" s="10">
        <v>0.0</v>
      </c>
      <c r="E277" s="10">
        <v>0.0</v>
      </c>
      <c r="F277" s="13"/>
      <c r="G277" s="13"/>
      <c r="H277" s="13"/>
    </row>
    <row r="278" ht="15.75" customHeight="1">
      <c r="A278" s="13"/>
      <c r="B278" s="13"/>
      <c r="C278" s="9">
        <v>0.0</v>
      </c>
      <c r="D278" s="10">
        <v>0.0</v>
      </c>
      <c r="E278" s="10">
        <v>0.0</v>
      </c>
      <c r="F278" s="13"/>
      <c r="G278" s="13"/>
      <c r="H278" s="13"/>
    </row>
    <row r="279" ht="15.75" customHeight="1">
      <c r="A279" s="13"/>
      <c r="B279" s="13"/>
      <c r="C279" s="9">
        <v>0.0</v>
      </c>
      <c r="D279" s="10">
        <v>0.0</v>
      </c>
      <c r="E279" s="10">
        <v>0.0</v>
      </c>
      <c r="F279" s="12"/>
      <c r="G279" s="12"/>
      <c r="H279" s="12"/>
    </row>
    <row r="280" ht="15.75" customHeight="1">
      <c r="A280" s="13"/>
      <c r="B280" s="13"/>
      <c r="C280" s="9">
        <v>0.0</v>
      </c>
      <c r="D280" s="10">
        <v>0.0</v>
      </c>
      <c r="E280" s="10">
        <v>0.0</v>
      </c>
      <c r="F280" s="12"/>
      <c r="G280" s="12"/>
      <c r="H280" s="12"/>
    </row>
    <row r="281" ht="15.75" customHeight="1">
      <c r="A281" s="13"/>
      <c r="B281" s="13"/>
      <c r="C281" s="9">
        <v>0.0</v>
      </c>
      <c r="D281" s="10">
        <v>0.0</v>
      </c>
      <c r="E281" s="10">
        <v>0.0</v>
      </c>
      <c r="F281" s="12"/>
      <c r="G281" s="12"/>
      <c r="H281" s="12"/>
    </row>
    <row r="282" ht="15.75" customHeight="1">
      <c r="A282" s="13"/>
      <c r="B282" s="13"/>
      <c r="C282" s="9">
        <v>0.0</v>
      </c>
      <c r="D282" s="10">
        <v>0.0</v>
      </c>
      <c r="E282" s="10">
        <v>0.0</v>
      </c>
      <c r="F282" s="12"/>
      <c r="G282" s="12"/>
      <c r="H282" s="12"/>
    </row>
    <row r="283" ht="15.75" customHeight="1">
      <c r="A283" s="13"/>
      <c r="B283" s="13"/>
      <c r="C283" s="9">
        <v>0.0</v>
      </c>
      <c r="D283" s="10">
        <v>0.0</v>
      </c>
      <c r="E283" s="10">
        <v>0.0</v>
      </c>
      <c r="F283" s="12"/>
      <c r="G283" s="12"/>
      <c r="H283" s="12"/>
    </row>
    <row r="284" ht="15.75" customHeight="1">
      <c r="A284" s="13"/>
      <c r="B284" s="19"/>
      <c r="C284" s="9">
        <v>0.0</v>
      </c>
      <c r="D284" s="10">
        <v>0.0</v>
      </c>
      <c r="E284" s="10">
        <v>0.0</v>
      </c>
      <c r="F284" s="12"/>
      <c r="G284" s="12"/>
      <c r="H284" s="12"/>
    </row>
    <row r="285" ht="15.75" customHeight="1">
      <c r="A285" s="13"/>
      <c r="B285" s="19"/>
      <c r="C285" s="9">
        <v>0.0</v>
      </c>
      <c r="D285" s="10">
        <v>0.0</v>
      </c>
      <c r="E285" s="10">
        <v>0.0</v>
      </c>
      <c r="F285" s="12"/>
      <c r="G285" s="12"/>
      <c r="H285" s="12"/>
    </row>
    <row r="286" ht="15.75" customHeight="1">
      <c r="A286" s="13"/>
      <c r="B286" s="13"/>
      <c r="C286" s="9">
        <v>0.0</v>
      </c>
      <c r="D286" s="10">
        <v>0.0</v>
      </c>
      <c r="E286" s="10">
        <v>0.0</v>
      </c>
      <c r="F286" s="12"/>
      <c r="G286" s="12"/>
      <c r="H286" s="12"/>
    </row>
    <row r="287" ht="15.75" customHeight="1">
      <c r="A287" s="13"/>
      <c r="B287" s="13"/>
      <c r="C287" s="9">
        <v>0.0</v>
      </c>
      <c r="D287" s="10">
        <v>0.0</v>
      </c>
      <c r="E287" s="10">
        <v>0.0</v>
      </c>
      <c r="F287" s="12"/>
      <c r="G287" s="12"/>
      <c r="H287" s="12"/>
    </row>
    <row r="288" ht="15.75" customHeight="1">
      <c r="A288" s="13"/>
      <c r="B288" s="13"/>
      <c r="C288" s="9">
        <v>0.0</v>
      </c>
      <c r="D288" s="10">
        <v>0.0</v>
      </c>
      <c r="E288" s="10">
        <v>0.0</v>
      </c>
      <c r="F288" s="12"/>
      <c r="G288" s="12"/>
      <c r="H288" s="12"/>
    </row>
    <row r="289" ht="15.75" customHeight="1">
      <c r="A289" s="13"/>
      <c r="B289" s="13"/>
      <c r="C289" s="9">
        <v>0.0</v>
      </c>
      <c r="D289" s="10">
        <v>0.0</v>
      </c>
      <c r="E289" s="10">
        <v>0.0</v>
      </c>
      <c r="F289" s="12"/>
      <c r="G289" s="12"/>
      <c r="H289" s="12"/>
    </row>
    <row r="290" ht="15.75" customHeight="1">
      <c r="A290" s="13"/>
      <c r="B290" s="13"/>
      <c r="C290" s="9">
        <v>0.0</v>
      </c>
      <c r="D290" s="10">
        <v>0.0</v>
      </c>
      <c r="E290" s="10">
        <v>0.0</v>
      </c>
      <c r="F290" s="12"/>
      <c r="G290" s="12"/>
      <c r="H290" s="12"/>
    </row>
    <row r="291" ht="15.75" customHeight="1">
      <c r="A291" s="13"/>
      <c r="B291" s="13"/>
      <c r="C291" s="9">
        <v>0.0</v>
      </c>
      <c r="D291" s="10">
        <v>0.0</v>
      </c>
      <c r="E291" s="10">
        <v>0.0</v>
      </c>
      <c r="F291" s="12"/>
      <c r="G291" s="12"/>
      <c r="H291" s="12"/>
    </row>
    <row r="292" ht="15.75" customHeight="1">
      <c r="A292" s="13"/>
      <c r="B292" s="19"/>
      <c r="C292" s="9">
        <v>0.0</v>
      </c>
      <c r="D292" s="10">
        <v>0.0</v>
      </c>
      <c r="E292" s="10">
        <v>0.0</v>
      </c>
      <c r="F292" s="12"/>
      <c r="G292" s="12"/>
      <c r="H292" s="12"/>
    </row>
    <row r="293" ht="15.75" customHeight="1">
      <c r="A293" s="13"/>
      <c r="B293" s="13"/>
      <c r="C293" s="9">
        <v>0.0</v>
      </c>
      <c r="D293" s="10">
        <v>0.0</v>
      </c>
      <c r="E293" s="10">
        <v>0.0</v>
      </c>
      <c r="F293" s="12"/>
      <c r="G293" s="12"/>
      <c r="H293" s="12"/>
    </row>
    <row r="294" ht="15.75" customHeight="1">
      <c r="A294" s="13"/>
      <c r="B294" s="13"/>
      <c r="C294" s="9">
        <v>0.0</v>
      </c>
      <c r="D294" s="10">
        <v>0.0</v>
      </c>
      <c r="E294" s="10">
        <v>0.0</v>
      </c>
      <c r="F294" s="12"/>
      <c r="G294" s="12"/>
      <c r="H294" s="12"/>
    </row>
    <row r="295" ht="15.75" customHeight="1">
      <c r="A295" s="13"/>
      <c r="B295" s="13"/>
      <c r="C295" s="9">
        <v>0.0</v>
      </c>
      <c r="D295" s="10">
        <v>0.0</v>
      </c>
      <c r="E295" s="10">
        <v>0.0</v>
      </c>
      <c r="F295" s="13"/>
      <c r="G295" s="13"/>
      <c r="H295" s="13"/>
    </row>
    <row r="296" ht="15.75" customHeight="1">
      <c r="A296" s="13"/>
      <c r="B296" s="13"/>
      <c r="C296" s="9">
        <v>0.0</v>
      </c>
      <c r="D296" s="10">
        <v>0.0</v>
      </c>
      <c r="E296" s="10">
        <v>0.0</v>
      </c>
      <c r="F296" s="13"/>
      <c r="G296" s="13"/>
      <c r="H296" s="13"/>
    </row>
    <row r="297" ht="15.75" customHeight="1">
      <c r="A297" s="13"/>
      <c r="B297" s="13"/>
      <c r="C297" s="9">
        <v>0.0</v>
      </c>
      <c r="D297" s="10">
        <v>0.0</v>
      </c>
      <c r="E297" s="10">
        <v>0.0</v>
      </c>
      <c r="F297" s="13"/>
      <c r="G297" s="13"/>
      <c r="H297" s="13"/>
    </row>
    <row r="298" ht="15.75" customHeight="1">
      <c r="A298" s="13"/>
      <c r="B298" s="13"/>
      <c r="C298" s="9">
        <v>0.0</v>
      </c>
      <c r="D298" s="10">
        <v>0.0</v>
      </c>
      <c r="E298" s="10">
        <v>0.0</v>
      </c>
      <c r="F298" s="13"/>
      <c r="G298" s="13"/>
      <c r="H298" s="13"/>
    </row>
    <row r="299" ht="15.75" customHeight="1">
      <c r="A299" s="13"/>
      <c r="B299" s="13"/>
      <c r="C299" s="9">
        <v>0.0</v>
      </c>
      <c r="D299" s="10">
        <v>0.0</v>
      </c>
      <c r="E299" s="10">
        <v>0.0</v>
      </c>
      <c r="F299" s="13"/>
      <c r="G299" s="13"/>
      <c r="H299" s="13"/>
    </row>
    <row r="300" ht="15.75" customHeight="1">
      <c r="A300" s="13"/>
      <c r="B300" s="13"/>
      <c r="C300" s="9">
        <v>0.0</v>
      </c>
      <c r="D300" s="10">
        <v>0.0</v>
      </c>
      <c r="E300" s="10">
        <v>0.0</v>
      </c>
      <c r="F300" s="13"/>
      <c r="G300" s="13"/>
      <c r="H300" s="13"/>
    </row>
    <row r="301" ht="15.75" customHeight="1">
      <c r="A301" s="13"/>
      <c r="B301" s="13"/>
      <c r="C301" s="9">
        <v>0.0</v>
      </c>
      <c r="D301" s="10">
        <v>0.0</v>
      </c>
      <c r="E301" s="10">
        <v>0.0</v>
      </c>
      <c r="F301" s="12"/>
      <c r="G301" s="12"/>
      <c r="H301" s="12"/>
    </row>
    <row r="302" ht="15.75" customHeight="1">
      <c r="A302" s="13"/>
      <c r="B302" s="13"/>
      <c r="C302" s="9">
        <v>0.0</v>
      </c>
      <c r="D302" s="10">
        <v>0.0</v>
      </c>
      <c r="E302" s="10">
        <v>0.0</v>
      </c>
      <c r="F302" s="12"/>
      <c r="G302" s="12"/>
      <c r="H302" s="12"/>
    </row>
    <row r="303" ht="15.75" customHeight="1">
      <c r="A303" s="13"/>
      <c r="B303" s="13"/>
      <c r="C303" s="9">
        <v>0.0</v>
      </c>
      <c r="D303" s="10">
        <v>0.0</v>
      </c>
      <c r="E303" s="10">
        <v>0.0</v>
      </c>
      <c r="F303" s="12"/>
      <c r="G303" s="12"/>
      <c r="H303" s="12"/>
    </row>
    <row r="304" ht="15.75" customHeight="1">
      <c r="A304" s="13"/>
      <c r="B304" s="13"/>
      <c r="C304" s="9">
        <v>0.0</v>
      </c>
      <c r="D304" s="10">
        <v>0.0</v>
      </c>
      <c r="E304" s="10">
        <v>0.0</v>
      </c>
      <c r="F304" s="12"/>
      <c r="G304" s="12"/>
      <c r="H304" s="12"/>
    </row>
    <row r="305" ht="15.75" customHeight="1">
      <c r="A305" s="13"/>
      <c r="B305" s="13"/>
      <c r="C305" s="9">
        <v>0.0</v>
      </c>
      <c r="D305" s="10">
        <v>0.0</v>
      </c>
      <c r="E305" s="10">
        <v>0.0</v>
      </c>
      <c r="F305" s="12"/>
      <c r="G305" s="12"/>
      <c r="H305" s="12"/>
    </row>
    <row r="306" ht="15.75" customHeight="1">
      <c r="A306" s="13"/>
      <c r="B306" s="13"/>
      <c r="C306" s="9">
        <v>0.0</v>
      </c>
      <c r="D306" s="10">
        <v>0.0</v>
      </c>
      <c r="E306" s="10">
        <v>0.0</v>
      </c>
      <c r="F306" s="12"/>
      <c r="G306" s="12"/>
      <c r="H306" s="12"/>
    </row>
    <row r="307" ht="15.75" customHeight="1">
      <c r="A307" s="13"/>
      <c r="B307" s="13"/>
      <c r="C307" s="9">
        <v>0.0</v>
      </c>
      <c r="D307" s="10">
        <v>0.0</v>
      </c>
      <c r="E307" s="10">
        <v>0.0</v>
      </c>
      <c r="F307" s="12"/>
      <c r="G307" s="12"/>
      <c r="H307" s="12"/>
    </row>
    <row r="308" ht="15.75" customHeight="1">
      <c r="A308" s="13"/>
      <c r="B308" s="13"/>
      <c r="C308" s="9">
        <v>0.0</v>
      </c>
      <c r="D308" s="10">
        <v>0.0</v>
      </c>
      <c r="E308" s="10">
        <v>0.0</v>
      </c>
      <c r="F308" s="12"/>
      <c r="G308" s="12"/>
      <c r="H308" s="12"/>
    </row>
    <row r="309" ht="15.75" customHeight="1">
      <c r="A309" s="13"/>
      <c r="B309" s="13"/>
      <c r="C309" s="9">
        <v>0.0</v>
      </c>
      <c r="D309" s="10">
        <v>0.0</v>
      </c>
      <c r="E309" s="10">
        <v>0.0</v>
      </c>
      <c r="F309" s="12"/>
      <c r="G309" s="12"/>
      <c r="H309" s="12"/>
    </row>
    <row r="310" ht="15.75" customHeight="1">
      <c r="A310" s="13"/>
      <c r="B310" s="13"/>
      <c r="C310" s="9">
        <v>0.0</v>
      </c>
      <c r="D310" s="10">
        <v>0.0</v>
      </c>
      <c r="E310" s="10">
        <v>0.0</v>
      </c>
      <c r="F310" s="12"/>
      <c r="G310" s="12"/>
      <c r="H310" s="12"/>
    </row>
    <row r="311" ht="15.75" customHeight="1">
      <c r="A311" s="13"/>
      <c r="B311" s="13"/>
      <c r="C311" s="9">
        <v>0.0</v>
      </c>
      <c r="D311" s="10">
        <v>0.0</v>
      </c>
      <c r="E311" s="10">
        <v>0.0</v>
      </c>
      <c r="F311" s="12"/>
      <c r="G311" s="12"/>
      <c r="H311" s="12"/>
    </row>
    <row r="312" ht="15.75" customHeight="1">
      <c r="A312" s="13"/>
      <c r="B312" s="13"/>
      <c r="C312" s="9">
        <v>0.0</v>
      </c>
      <c r="D312" s="10">
        <v>0.0</v>
      </c>
      <c r="E312" s="10">
        <v>0.0</v>
      </c>
      <c r="F312" s="12"/>
      <c r="G312" s="12"/>
      <c r="H312" s="12"/>
    </row>
    <row r="313" ht="15.75" customHeight="1">
      <c r="A313" s="13"/>
      <c r="B313" s="13"/>
      <c r="C313" s="9">
        <v>0.0</v>
      </c>
      <c r="D313" s="10">
        <v>0.0</v>
      </c>
      <c r="E313" s="10">
        <v>0.0</v>
      </c>
      <c r="F313" s="12"/>
      <c r="G313" s="12"/>
      <c r="H313" s="12"/>
    </row>
    <row r="314" ht="15.75" customHeight="1">
      <c r="A314" s="13"/>
      <c r="B314" s="13"/>
      <c r="C314" s="9">
        <v>0.0</v>
      </c>
      <c r="D314" s="10">
        <v>0.0</v>
      </c>
      <c r="E314" s="10">
        <v>0.0</v>
      </c>
      <c r="F314" s="12"/>
      <c r="G314" s="12"/>
      <c r="H314" s="12"/>
    </row>
    <row r="315" ht="15.75" customHeight="1">
      <c r="A315" s="13"/>
      <c r="B315" s="13"/>
      <c r="C315" s="9">
        <v>0.0</v>
      </c>
      <c r="D315" s="10">
        <v>0.0</v>
      </c>
      <c r="E315" s="10">
        <v>0.0</v>
      </c>
      <c r="F315" s="13"/>
      <c r="G315" s="13"/>
      <c r="H315" s="13"/>
    </row>
    <row r="316" ht="15.75" customHeight="1">
      <c r="A316" s="13"/>
      <c r="B316" s="13"/>
      <c r="C316" s="9">
        <v>0.0</v>
      </c>
      <c r="D316" s="10">
        <v>0.0</v>
      </c>
      <c r="E316" s="10">
        <v>0.0</v>
      </c>
      <c r="F316" s="12"/>
      <c r="G316" s="12"/>
      <c r="H316" s="12"/>
    </row>
    <row r="317" ht="15.75" customHeight="1">
      <c r="A317" s="13"/>
      <c r="B317" s="13"/>
      <c r="C317" s="9">
        <v>0.0</v>
      </c>
      <c r="D317" s="10">
        <v>0.0</v>
      </c>
      <c r="E317" s="10">
        <v>0.0</v>
      </c>
      <c r="F317" s="12"/>
      <c r="G317" s="12"/>
      <c r="H317" s="12"/>
    </row>
    <row r="318" ht="15.75" customHeight="1">
      <c r="A318" s="13"/>
      <c r="B318" s="13"/>
      <c r="C318" s="9">
        <v>0.0</v>
      </c>
      <c r="D318" s="10">
        <v>0.0</v>
      </c>
      <c r="E318" s="10">
        <v>0.0</v>
      </c>
      <c r="F318" s="12"/>
      <c r="G318" s="12"/>
      <c r="H318" s="12"/>
    </row>
    <row r="319" ht="15.75" customHeight="1">
      <c r="A319" s="13"/>
      <c r="B319" s="13"/>
      <c r="C319" s="9">
        <v>0.0</v>
      </c>
      <c r="D319" s="10">
        <v>0.0</v>
      </c>
      <c r="E319" s="10">
        <v>0.0</v>
      </c>
      <c r="F319" s="12"/>
      <c r="G319" s="12"/>
      <c r="H319" s="12"/>
    </row>
    <row r="320" ht="15.75" customHeight="1">
      <c r="A320" s="13"/>
      <c r="B320" s="13"/>
      <c r="C320" s="9">
        <v>0.0</v>
      </c>
      <c r="D320" s="10">
        <v>0.0</v>
      </c>
      <c r="E320" s="10">
        <v>0.0</v>
      </c>
      <c r="F320" s="12"/>
      <c r="G320" s="12"/>
      <c r="H320" s="12"/>
    </row>
    <row r="321" ht="15.75" customHeight="1">
      <c r="A321" s="13"/>
      <c r="B321" s="13"/>
      <c r="C321" s="9">
        <v>0.0</v>
      </c>
      <c r="D321" s="10">
        <v>0.0</v>
      </c>
      <c r="E321" s="10">
        <v>0.0</v>
      </c>
      <c r="F321" s="12"/>
      <c r="G321" s="12"/>
      <c r="H321" s="12"/>
    </row>
    <row r="322" ht="15.75" customHeight="1">
      <c r="A322" s="13"/>
      <c r="B322" s="13"/>
      <c r="C322" s="9">
        <v>0.0</v>
      </c>
      <c r="D322" s="10">
        <v>0.0</v>
      </c>
      <c r="E322" s="10">
        <v>0.0</v>
      </c>
      <c r="F322" s="13"/>
      <c r="G322" s="13"/>
      <c r="H322" s="13"/>
    </row>
    <row r="323" ht="15.75" customHeight="1">
      <c r="A323" s="13"/>
      <c r="B323" s="13"/>
      <c r="C323" s="9">
        <v>0.0</v>
      </c>
      <c r="D323" s="10">
        <v>0.0</v>
      </c>
      <c r="E323" s="10">
        <v>0.0</v>
      </c>
      <c r="F323" s="13"/>
      <c r="G323" s="13"/>
      <c r="H323" s="13"/>
    </row>
    <row r="324" ht="15.75" customHeight="1">
      <c r="A324" s="13"/>
      <c r="B324" s="13"/>
      <c r="C324" s="9">
        <v>0.0</v>
      </c>
      <c r="D324" s="10">
        <v>0.0</v>
      </c>
      <c r="E324" s="10">
        <v>0.0</v>
      </c>
      <c r="F324" s="13"/>
      <c r="G324" s="13"/>
      <c r="H324" s="13"/>
    </row>
    <row r="325" ht="15.75" customHeight="1">
      <c r="A325" s="13"/>
      <c r="B325" s="13"/>
      <c r="C325" s="9">
        <v>0.0</v>
      </c>
      <c r="D325" s="10">
        <v>0.0</v>
      </c>
      <c r="E325" s="10">
        <v>0.0</v>
      </c>
      <c r="F325" s="13"/>
      <c r="G325" s="13"/>
      <c r="H325" s="13"/>
    </row>
    <row r="326" ht="15.75" customHeight="1">
      <c r="A326" s="13"/>
      <c r="B326" s="13"/>
      <c r="C326" s="9">
        <v>0.0</v>
      </c>
      <c r="D326" s="10">
        <v>0.0</v>
      </c>
      <c r="E326" s="10">
        <v>0.0</v>
      </c>
      <c r="F326" s="13"/>
      <c r="G326" s="13"/>
      <c r="H326" s="13"/>
    </row>
    <row r="327" ht="15.75" customHeight="1">
      <c r="A327" s="13"/>
      <c r="B327" s="13"/>
      <c r="C327" s="9">
        <v>0.0</v>
      </c>
      <c r="D327" s="10">
        <v>0.0</v>
      </c>
      <c r="E327" s="10">
        <v>0.0</v>
      </c>
      <c r="F327" s="13"/>
      <c r="G327" s="13"/>
      <c r="H327" s="13"/>
    </row>
    <row r="328" ht="15.75" customHeight="1">
      <c r="A328" s="13"/>
      <c r="B328" s="13"/>
      <c r="C328" s="9">
        <v>0.0</v>
      </c>
      <c r="D328" s="10">
        <v>0.0</v>
      </c>
      <c r="E328" s="10">
        <v>0.0</v>
      </c>
      <c r="F328" s="13"/>
      <c r="G328" s="13"/>
      <c r="H328" s="13"/>
    </row>
    <row r="329" ht="15.75" customHeight="1">
      <c r="A329" s="13"/>
      <c r="B329" s="13"/>
      <c r="C329" s="9">
        <v>0.0</v>
      </c>
      <c r="D329" s="10">
        <v>0.0</v>
      </c>
      <c r="E329" s="10">
        <v>0.0</v>
      </c>
      <c r="F329" s="13"/>
      <c r="G329" s="13"/>
      <c r="H329" s="13"/>
    </row>
    <row r="330" ht="15.75" customHeight="1">
      <c r="A330" s="13"/>
      <c r="B330" s="13"/>
      <c r="C330" s="9">
        <v>0.0</v>
      </c>
      <c r="D330" s="10">
        <v>0.0</v>
      </c>
      <c r="E330" s="10">
        <v>0.0</v>
      </c>
      <c r="F330" s="12"/>
      <c r="G330" s="12"/>
      <c r="H330" s="12"/>
    </row>
    <row r="331" ht="15.75" customHeight="1">
      <c r="A331" s="13"/>
      <c r="B331" s="13"/>
      <c r="C331" s="9">
        <v>0.0</v>
      </c>
      <c r="D331" s="10">
        <v>0.0</v>
      </c>
      <c r="E331" s="10">
        <v>0.0</v>
      </c>
      <c r="F331" s="13"/>
      <c r="G331" s="13"/>
      <c r="H331" s="13"/>
    </row>
    <row r="332" ht="15.75" customHeight="1">
      <c r="A332" s="13"/>
      <c r="B332" s="13"/>
      <c r="C332" s="9">
        <v>0.0</v>
      </c>
      <c r="D332" s="10">
        <v>0.0</v>
      </c>
      <c r="E332" s="10">
        <v>0.0</v>
      </c>
      <c r="F332" s="13"/>
      <c r="G332" s="13"/>
      <c r="H332" s="13"/>
    </row>
    <row r="333" ht="15.75" customHeight="1">
      <c r="A333" s="13"/>
      <c r="B333" s="13"/>
      <c r="C333" s="9">
        <v>0.0</v>
      </c>
      <c r="D333" s="10">
        <v>0.0</v>
      </c>
      <c r="E333" s="10">
        <v>0.0</v>
      </c>
      <c r="F333" s="13"/>
      <c r="G333" s="13"/>
      <c r="H333" s="13"/>
    </row>
    <row r="334" ht="15.75" customHeight="1">
      <c r="A334" s="13"/>
      <c r="B334" s="13"/>
      <c r="C334" s="9">
        <v>0.0</v>
      </c>
      <c r="D334" s="10">
        <v>0.0</v>
      </c>
      <c r="E334" s="10">
        <v>0.0</v>
      </c>
      <c r="F334" s="13"/>
      <c r="G334" s="13"/>
      <c r="H334" s="13"/>
    </row>
    <row r="335" ht="15.75" customHeight="1">
      <c r="A335" s="13"/>
      <c r="B335" s="13"/>
      <c r="C335" s="9">
        <v>0.0</v>
      </c>
      <c r="D335" s="10">
        <v>0.0</v>
      </c>
      <c r="E335" s="10">
        <v>0.0</v>
      </c>
      <c r="F335" s="13"/>
      <c r="G335" s="13"/>
      <c r="H335" s="13"/>
    </row>
    <row r="336" ht="15.75" customHeight="1">
      <c r="A336" s="13"/>
      <c r="B336" s="13"/>
      <c r="C336" s="9">
        <v>0.0</v>
      </c>
      <c r="D336" s="10">
        <v>0.0</v>
      </c>
      <c r="E336" s="10">
        <v>0.0</v>
      </c>
      <c r="F336" s="13"/>
      <c r="G336" s="13"/>
      <c r="H336" s="13"/>
    </row>
    <row r="337" ht="15.75" customHeight="1">
      <c r="A337" s="13"/>
      <c r="B337" s="13"/>
      <c r="C337" s="9">
        <v>0.0</v>
      </c>
      <c r="D337" s="10">
        <v>0.0</v>
      </c>
      <c r="E337" s="10">
        <v>0.0</v>
      </c>
      <c r="F337" s="13"/>
      <c r="G337" s="13"/>
      <c r="H337" s="13"/>
    </row>
    <row r="338" ht="15.75" customHeight="1">
      <c r="A338" s="13"/>
      <c r="B338" s="13"/>
      <c r="C338" s="9">
        <v>0.0</v>
      </c>
      <c r="D338" s="10">
        <v>0.0</v>
      </c>
      <c r="E338" s="10">
        <v>0.0</v>
      </c>
      <c r="F338" s="12"/>
      <c r="G338" s="12"/>
      <c r="H338" s="12"/>
    </row>
    <row r="339" ht="15.75" customHeight="1">
      <c r="A339" s="13"/>
      <c r="B339" s="13"/>
      <c r="C339" s="9">
        <v>0.0</v>
      </c>
      <c r="D339" s="10">
        <v>0.0</v>
      </c>
      <c r="E339" s="10">
        <v>0.0</v>
      </c>
      <c r="F339" s="12"/>
      <c r="G339" s="12"/>
      <c r="H339" s="12"/>
    </row>
    <row r="340" ht="15.75" customHeight="1">
      <c r="A340" s="13"/>
      <c r="B340" s="13"/>
      <c r="C340" s="9">
        <v>0.0</v>
      </c>
      <c r="D340" s="10">
        <v>0.0</v>
      </c>
      <c r="E340" s="10">
        <v>0.0</v>
      </c>
      <c r="F340" s="12"/>
      <c r="G340" s="12"/>
      <c r="H340" s="12"/>
    </row>
    <row r="341" ht="15.75" customHeight="1">
      <c r="A341" s="13"/>
      <c r="B341" s="13"/>
      <c r="C341" s="9">
        <v>0.0</v>
      </c>
      <c r="D341" s="10">
        <v>0.0</v>
      </c>
      <c r="E341" s="10">
        <v>0.0</v>
      </c>
      <c r="F341" s="12"/>
      <c r="G341" s="12"/>
      <c r="H341" s="12"/>
    </row>
    <row r="342" ht="15.75" customHeight="1">
      <c r="A342" s="13"/>
      <c r="B342" s="13"/>
      <c r="C342" s="9">
        <v>0.0</v>
      </c>
      <c r="D342" s="10">
        <v>0.0</v>
      </c>
      <c r="E342" s="10">
        <v>0.0</v>
      </c>
      <c r="F342" s="12"/>
      <c r="G342" s="12"/>
      <c r="H342" s="12"/>
    </row>
    <row r="343" ht="15.75" customHeight="1">
      <c r="A343" s="13"/>
      <c r="B343" s="13"/>
      <c r="C343" s="9">
        <v>0.0</v>
      </c>
      <c r="D343" s="10">
        <v>0.0</v>
      </c>
      <c r="E343" s="10">
        <v>0.0</v>
      </c>
      <c r="F343" s="12"/>
      <c r="G343" s="12"/>
      <c r="H343" s="12"/>
    </row>
    <row r="344" ht="15.75" customHeight="1">
      <c r="A344" s="13"/>
      <c r="B344" s="13"/>
      <c r="C344" s="9">
        <v>0.0</v>
      </c>
      <c r="D344" s="10">
        <v>0.0</v>
      </c>
      <c r="E344" s="10">
        <v>0.0</v>
      </c>
      <c r="F344" s="13"/>
      <c r="G344" s="13"/>
      <c r="H344" s="13"/>
    </row>
    <row r="345" ht="15.75" customHeight="1">
      <c r="A345" s="13"/>
      <c r="B345" s="13"/>
      <c r="C345" s="9">
        <v>0.0</v>
      </c>
      <c r="D345" s="10">
        <v>0.0</v>
      </c>
      <c r="E345" s="10">
        <v>0.0</v>
      </c>
      <c r="F345" s="12"/>
      <c r="G345" s="12"/>
      <c r="H345" s="12"/>
    </row>
    <row r="346" ht="15.75" customHeight="1">
      <c r="A346" s="13"/>
      <c r="B346" s="13"/>
      <c r="C346" s="9">
        <v>0.0</v>
      </c>
      <c r="D346" s="10">
        <v>0.0</v>
      </c>
      <c r="E346" s="10">
        <v>0.0</v>
      </c>
      <c r="F346" s="12"/>
      <c r="G346" s="12"/>
      <c r="H346" s="12"/>
    </row>
    <row r="347" ht="15.75" customHeight="1">
      <c r="A347" s="13"/>
      <c r="B347" s="13"/>
      <c r="C347" s="9">
        <v>0.0</v>
      </c>
      <c r="D347" s="10">
        <v>0.0</v>
      </c>
      <c r="E347" s="10">
        <v>0.0</v>
      </c>
      <c r="F347" s="13"/>
      <c r="G347" s="13"/>
      <c r="H347" s="13"/>
    </row>
    <row r="348" ht="15.75" customHeight="1">
      <c r="A348" s="13"/>
      <c r="B348" s="13"/>
      <c r="C348" s="9">
        <v>0.0</v>
      </c>
      <c r="D348" s="10">
        <v>0.0</v>
      </c>
      <c r="E348" s="10">
        <v>0.0</v>
      </c>
      <c r="F348" s="13"/>
      <c r="G348" s="13"/>
      <c r="H348" s="13"/>
    </row>
    <row r="349" ht="15.75" customHeight="1">
      <c r="A349" s="13"/>
      <c r="B349" s="13"/>
      <c r="C349" s="9">
        <v>0.0</v>
      </c>
      <c r="D349" s="10">
        <v>0.0</v>
      </c>
      <c r="E349" s="10">
        <v>0.0</v>
      </c>
      <c r="F349" s="13"/>
      <c r="G349" s="13"/>
      <c r="H349" s="13"/>
    </row>
    <row r="350" ht="15.75" customHeight="1">
      <c r="A350" s="13"/>
      <c r="B350" s="13"/>
      <c r="C350" s="9">
        <v>0.0</v>
      </c>
      <c r="D350" s="10">
        <v>0.0</v>
      </c>
      <c r="E350" s="10">
        <v>0.0</v>
      </c>
      <c r="F350" s="13"/>
      <c r="G350" s="13"/>
      <c r="H350" s="13"/>
    </row>
    <row r="351" ht="15.75" customHeight="1">
      <c r="A351" s="13"/>
      <c r="B351" s="13"/>
      <c r="C351" s="9">
        <v>0.0</v>
      </c>
      <c r="D351" s="10">
        <v>0.0</v>
      </c>
      <c r="E351" s="10">
        <v>0.0</v>
      </c>
      <c r="F351" s="13"/>
      <c r="G351" s="13"/>
      <c r="H351" s="13"/>
    </row>
    <row r="352" ht="15.75" customHeight="1">
      <c r="A352" s="13"/>
      <c r="B352" s="13"/>
      <c r="C352" s="9">
        <v>0.0</v>
      </c>
      <c r="D352" s="10">
        <v>0.0</v>
      </c>
      <c r="E352" s="10">
        <v>0.0</v>
      </c>
      <c r="F352" s="13"/>
      <c r="G352" s="13"/>
      <c r="H352" s="13"/>
    </row>
    <row r="353" ht="15.75" customHeight="1">
      <c r="A353" s="13"/>
      <c r="B353" s="13"/>
      <c r="C353" s="9">
        <v>0.0</v>
      </c>
      <c r="D353" s="10">
        <v>0.0</v>
      </c>
      <c r="E353" s="10">
        <v>0.0</v>
      </c>
      <c r="F353" s="13"/>
      <c r="G353" s="13"/>
      <c r="H353" s="13"/>
    </row>
    <row r="354" ht="15.75" customHeight="1">
      <c r="A354" s="13"/>
      <c r="B354" s="13"/>
      <c r="C354" s="9">
        <v>0.0</v>
      </c>
      <c r="D354" s="10">
        <v>0.0</v>
      </c>
      <c r="E354" s="10">
        <v>0.0</v>
      </c>
      <c r="F354" s="13"/>
      <c r="G354" s="13"/>
      <c r="H354" s="13"/>
    </row>
    <row r="355" ht="15.75" customHeight="1">
      <c r="A355" s="13"/>
      <c r="B355" s="13"/>
      <c r="C355" s="9">
        <v>0.0</v>
      </c>
      <c r="D355" s="10">
        <v>0.0</v>
      </c>
      <c r="E355" s="10">
        <v>0.0</v>
      </c>
      <c r="F355" s="13"/>
      <c r="G355" s="13"/>
      <c r="H355" s="13"/>
    </row>
    <row r="356" ht="15.75" customHeight="1">
      <c r="A356" s="13"/>
      <c r="B356" s="13"/>
      <c r="C356" s="9">
        <v>0.0</v>
      </c>
      <c r="D356" s="10">
        <v>0.0</v>
      </c>
      <c r="E356" s="10">
        <v>0.0</v>
      </c>
      <c r="F356" s="13"/>
      <c r="G356" s="13"/>
      <c r="H356" s="13"/>
    </row>
    <row r="357" ht="15.75" customHeight="1">
      <c r="A357" s="13"/>
      <c r="B357" s="13"/>
      <c r="C357" s="9">
        <v>0.0</v>
      </c>
      <c r="D357" s="10">
        <v>0.0</v>
      </c>
      <c r="E357" s="10">
        <v>0.0</v>
      </c>
      <c r="F357" s="12"/>
      <c r="G357" s="12"/>
      <c r="H357" s="12"/>
    </row>
    <row r="358" ht="15.75" customHeight="1">
      <c r="A358" s="13"/>
      <c r="B358" s="13"/>
      <c r="C358" s="9">
        <v>0.0</v>
      </c>
      <c r="D358" s="10">
        <v>0.0</v>
      </c>
      <c r="E358" s="10">
        <v>0.0</v>
      </c>
      <c r="F358" s="12"/>
      <c r="G358" s="12"/>
      <c r="H358" s="12"/>
    </row>
    <row r="359" ht="15.75" customHeight="1">
      <c r="A359" s="13"/>
      <c r="B359" s="13"/>
      <c r="C359" s="9">
        <v>0.0</v>
      </c>
      <c r="D359" s="10">
        <v>0.0</v>
      </c>
      <c r="E359" s="10">
        <v>0.0</v>
      </c>
      <c r="F359" s="13"/>
      <c r="G359" s="13"/>
      <c r="H359" s="13"/>
    </row>
    <row r="360" ht="15.75" customHeight="1">
      <c r="A360" s="13"/>
      <c r="B360" s="13"/>
      <c r="C360" s="9">
        <v>0.0</v>
      </c>
      <c r="D360" s="10">
        <v>0.0</v>
      </c>
      <c r="E360" s="10">
        <v>0.0</v>
      </c>
      <c r="F360" s="12"/>
      <c r="G360" s="12"/>
      <c r="H360" s="12"/>
    </row>
    <row r="361" ht="15.75" customHeight="1">
      <c r="A361" s="13"/>
      <c r="B361" s="13"/>
      <c r="C361" s="9">
        <v>0.0</v>
      </c>
      <c r="D361" s="10">
        <v>0.0</v>
      </c>
      <c r="E361" s="10">
        <v>0.0</v>
      </c>
      <c r="F361" s="13"/>
      <c r="G361" s="13"/>
      <c r="H361" s="13"/>
    </row>
    <row r="362" ht="15.75" customHeight="1">
      <c r="A362" s="13"/>
      <c r="B362" s="13"/>
      <c r="C362" s="9">
        <v>0.0</v>
      </c>
      <c r="D362" s="10">
        <v>0.0</v>
      </c>
      <c r="E362" s="10">
        <v>0.0</v>
      </c>
      <c r="F362" s="13"/>
      <c r="G362" s="13"/>
      <c r="H362" s="13"/>
    </row>
    <row r="363" ht="15.75" customHeight="1">
      <c r="A363" s="13"/>
      <c r="B363" s="13"/>
      <c r="C363" s="9">
        <v>0.0</v>
      </c>
      <c r="D363" s="10">
        <v>0.0</v>
      </c>
      <c r="E363" s="10">
        <v>0.0</v>
      </c>
      <c r="F363" s="13"/>
      <c r="G363" s="13"/>
      <c r="H363" s="13"/>
    </row>
    <row r="364" ht="15.75" customHeight="1">
      <c r="A364" s="13"/>
      <c r="B364" s="13"/>
      <c r="C364" s="9">
        <v>0.0</v>
      </c>
      <c r="D364" s="10">
        <v>0.0</v>
      </c>
      <c r="E364" s="10">
        <v>0.0</v>
      </c>
      <c r="F364" s="13"/>
      <c r="G364" s="13"/>
      <c r="H364" s="13"/>
    </row>
    <row r="365" ht="15.75" customHeight="1">
      <c r="A365" s="13"/>
      <c r="B365" s="13"/>
      <c r="C365" s="9">
        <v>0.0</v>
      </c>
      <c r="D365" s="10">
        <v>0.0</v>
      </c>
      <c r="E365" s="10">
        <v>0.0</v>
      </c>
      <c r="F365" s="13"/>
      <c r="G365" s="13"/>
      <c r="H365" s="13"/>
    </row>
    <row r="366" ht="15.75" customHeight="1">
      <c r="A366" s="13"/>
      <c r="B366" s="13"/>
      <c r="C366" s="9">
        <v>0.0</v>
      </c>
      <c r="D366" s="10">
        <v>0.0</v>
      </c>
      <c r="E366" s="10">
        <v>0.0</v>
      </c>
      <c r="F366" s="13"/>
      <c r="G366" s="13"/>
      <c r="H366" s="13"/>
    </row>
    <row r="367" ht="15.75" customHeight="1">
      <c r="A367" s="13"/>
      <c r="B367" s="13"/>
      <c r="C367" s="9">
        <v>0.0</v>
      </c>
      <c r="D367" s="10">
        <v>0.0</v>
      </c>
      <c r="E367" s="10">
        <v>0.0</v>
      </c>
      <c r="F367" s="13"/>
      <c r="G367" s="13"/>
      <c r="H367" s="13"/>
    </row>
    <row r="368" ht="15.75" customHeight="1">
      <c r="A368" s="13"/>
      <c r="B368" s="13"/>
      <c r="C368" s="9">
        <v>0.0</v>
      </c>
      <c r="D368" s="10">
        <v>0.0</v>
      </c>
      <c r="E368" s="10">
        <v>0.0</v>
      </c>
      <c r="F368" s="13"/>
      <c r="G368" s="13"/>
      <c r="H368" s="13"/>
    </row>
    <row r="369" ht="15.75" customHeight="1">
      <c r="A369" s="13"/>
      <c r="B369" s="13"/>
      <c r="C369" s="9">
        <v>0.0</v>
      </c>
      <c r="D369" s="10">
        <v>0.0</v>
      </c>
      <c r="E369" s="10">
        <v>0.0</v>
      </c>
      <c r="F369" s="13"/>
      <c r="G369" s="13"/>
      <c r="H369" s="13"/>
    </row>
    <row r="370" ht="15.75" customHeight="1">
      <c r="A370" s="13"/>
      <c r="B370" s="13"/>
      <c r="C370" s="9">
        <v>0.0</v>
      </c>
      <c r="D370" s="10">
        <v>0.0</v>
      </c>
      <c r="E370" s="10">
        <v>0.0</v>
      </c>
      <c r="F370" s="13"/>
      <c r="G370" s="13"/>
      <c r="H370" s="13"/>
    </row>
    <row r="371" ht="15.75" customHeight="1">
      <c r="A371" s="13"/>
      <c r="B371" s="13"/>
      <c r="C371" s="9">
        <v>0.0</v>
      </c>
      <c r="D371" s="10">
        <v>0.0</v>
      </c>
      <c r="E371" s="10">
        <v>0.0</v>
      </c>
      <c r="F371" s="13"/>
      <c r="G371" s="13"/>
      <c r="H371" s="13"/>
    </row>
    <row r="372" ht="15.75" customHeight="1">
      <c r="A372" s="13"/>
      <c r="B372" s="13"/>
      <c r="C372" s="9">
        <v>0.0</v>
      </c>
      <c r="D372" s="10">
        <v>0.0</v>
      </c>
      <c r="E372" s="10">
        <v>0.0</v>
      </c>
      <c r="F372" s="13"/>
      <c r="G372" s="13"/>
      <c r="H372" s="13"/>
    </row>
    <row r="373" ht="15.75" customHeight="1">
      <c r="A373" s="13"/>
      <c r="B373" s="13"/>
      <c r="C373" s="9">
        <v>0.0</v>
      </c>
      <c r="D373" s="10">
        <v>0.0</v>
      </c>
      <c r="E373" s="10">
        <v>0.0</v>
      </c>
      <c r="F373" s="13"/>
      <c r="G373" s="13"/>
      <c r="H373" s="13"/>
    </row>
    <row r="374" ht="15.75" customHeight="1">
      <c r="A374" s="13"/>
      <c r="B374" s="13"/>
      <c r="C374" s="9">
        <v>0.0</v>
      </c>
      <c r="D374" s="10">
        <v>0.0</v>
      </c>
      <c r="E374" s="10">
        <v>0.0</v>
      </c>
      <c r="F374" s="13"/>
      <c r="G374" s="13"/>
      <c r="H374" s="13"/>
    </row>
    <row r="375" ht="15.75" customHeight="1">
      <c r="A375" s="13"/>
      <c r="B375" s="13"/>
      <c r="C375" s="9">
        <v>0.0</v>
      </c>
      <c r="D375" s="10">
        <v>0.0</v>
      </c>
      <c r="E375" s="10">
        <v>0.0</v>
      </c>
      <c r="F375" s="13"/>
      <c r="G375" s="13"/>
      <c r="H375" s="13"/>
    </row>
    <row r="376" ht="15.75" customHeight="1">
      <c r="A376" s="13"/>
      <c r="B376" s="13"/>
      <c r="C376" s="9">
        <v>0.0</v>
      </c>
      <c r="D376" s="10">
        <v>0.0</v>
      </c>
      <c r="E376" s="10">
        <v>0.0</v>
      </c>
      <c r="F376" s="13"/>
      <c r="G376" s="13"/>
      <c r="H376" s="13"/>
    </row>
    <row r="377" ht="15.75" customHeight="1">
      <c r="A377" s="13"/>
      <c r="B377" s="13"/>
      <c r="C377" s="9">
        <v>0.0</v>
      </c>
      <c r="D377" s="10">
        <v>0.0</v>
      </c>
      <c r="E377" s="10">
        <v>0.0</v>
      </c>
      <c r="F377" s="13"/>
      <c r="G377" s="13"/>
      <c r="H377" s="13"/>
    </row>
    <row r="378" ht="15.75" customHeight="1">
      <c r="A378" s="13"/>
      <c r="B378" s="13"/>
      <c r="C378" s="9">
        <v>0.0</v>
      </c>
      <c r="D378" s="10">
        <v>0.0</v>
      </c>
      <c r="E378" s="10">
        <v>0.0</v>
      </c>
      <c r="F378" s="13"/>
      <c r="G378" s="13"/>
      <c r="H378" s="13"/>
    </row>
    <row r="379" ht="15.75" customHeight="1">
      <c r="A379" s="13"/>
      <c r="B379" s="13"/>
      <c r="C379" s="9">
        <v>0.0</v>
      </c>
      <c r="D379" s="10">
        <v>0.0</v>
      </c>
      <c r="E379" s="10">
        <v>0.0</v>
      </c>
      <c r="F379" s="13"/>
      <c r="G379" s="13"/>
      <c r="H379" s="13"/>
    </row>
    <row r="380" ht="15.75" customHeight="1">
      <c r="A380" s="13"/>
      <c r="B380" s="13"/>
      <c r="C380" s="9">
        <v>0.0</v>
      </c>
      <c r="D380" s="10">
        <v>0.0</v>
      </c>
      <c r="E380" s="10">
        <v>0.0</v>
      </c>
      <c r="F380" s="13"/>
      <c r="G380" s="13"/>
      <c r="H380" s="13"/>
    </row>
    <row r="381" ht="15.75" customHeight="1">
      <c r="A381" s="13"/>
      <c r="B381" s="13"/>
      <c r="C381" s="9">
        <v>0.0</v>
      </c>
      <c r="D381" s="10">
        <v>0.0</v>
      </c>
      <c r="E381" s="10">
        <v>0.0</v>
      </c>
      <c r="F381" s="20"/>
      <c r="G381" s="20"/>
      <c r="H381" s="20"/>
    </row>
    <row r="382" ht="15.75" customHeight="1">
      <c r="A382" s="13"/>
      <c r="B382" s="13"/>
      <c r="C382" s="9">
        <v>0.0</v>
      </c>
      <c r="D382" s="10">
        <v>0.0</v>
      </c>
      <c r="E382" s="10">
        <v>0.0</v>
      </c>
      <c r="F382" s="12"/>
      <c r="G382" s="12"/>
      <c r="H382" s="12"/>
    </row>
    <row r="383" ht="15.75" customHeight="1">
      <c r="A383" s="13"/>
      <c r="B383" s="13"/>
      <c r="C383" s="9">
        <v>0.0</v>
      </c>
      <c r="D383" s="10">
        <v>0.0</v>
      </c>
      <c r="E383" s="10">
        <v>0.0</v>
      </c>
      <c r="F383" s="12"/>
      <c r="G383" s="12"/>
      <c r="H383" s="12"/>
    </row>
    <row r="384" ht="15.75" customHeight="1">
      <c r="A384" s="13"/>
      <c r="B384" s="13"/>
      <c r="C384" s="9">
        <v>0.0</v>
      </c>
      <c r="D384" s="10">
        <v>0.0</v>
      </c>
      <c r="E384" s="10">
        <v>0.0</v>
      </c>
      <c r="F384" s="12"/>
      <c r="G384" s="12"/>
      <c r="H384" s="12"/>
    </row>
    <row r="385" ht="15.75" customHeight="1">
      <c r="A385" s="13"/>
      <c r="B385" s="13"/>
      <c r="C385" s="9">
        <v>0.0</v>
      </c>
      <c r="D385" s="10">
        <v>0.0</v>
      </c>
      <c r="E385" s="10">
        <v>0.0</v>
      </c>
      <c r="F385" s="12"/>
      <c r="G385" s="12"/>
      <c r="H385" s="12"/>
    </row>
    <row r="386" ht="15.75" customHeight="1">
      <c r="A386" s="13"/>
      <c r="B386" s="13"/>
      <c r="C386" s="9">
        <v>0.0</v>
      </c>
      <c r="D386" s="10">
        <v>0.0</v>
      </c>
      <c r="E386" s="10">
        <v>0.0</v>
      </c>
      <c r="F386" s="12"/>
      <c r="G386" s="12"/>
      <c r="H386" s="12"/>
    </row>
    <row r="387" ht="15.75" customHeight="1">
      <c r="A387" s="13"/>
      <c r="B387" s="13"/>
      <c r="C387" s="9">
        <v>0.0</v>
      </c>
      <c r="D387" s="10">
        <v>0.0</v>
      </c>
      <c r="E387" s="10">
        <v>0.0</v>
      </c>
      <c r="F387" s="12"/>
      <c r="G387" s="12"/>
      <c r="H387" s="12"/>
    </row>
    <row r="388" ht="15.75" customHeight="1">
      <c r="A388" s="13"/>
      <c r="B388" s="13"/>
      <c r="C388" s="9">
        <v>0.0</v>
      </c>
      <c r="D388" s="10">
        <v>0.0</v>
      </c>
      <c r="E388" s="10">
        <v>0.0</v>
      </c>
      <c r="F388" s="12"/>
      <c r="G388" s="12"/>
      <c r="H388" s="12"/>
    </row>
    <row r="389" ht="15.75" customHeight="1">
      <c r="A389" s="13"/>
      <c r="B389" s="13"/>
      <c r="C389" s="9">
        <v>0.0</v>
      </c>
      <c r="D389" s="10">
        <v>0.0</v>
      </c>
      <c r="E389" s="10">
        <v>0.0</v>
      </c>
      <c r="F389" s="12"/>
      <c r="G389" s="12"/>
      <c r="H389" s="12"/>
    </row>
    <row r="390" ht="15.75" customHeight="1">
      <c r="A390" s="13"/>
      <c r="B390" s="13"/>
      <c r="C390" s="9">
        <v>0.0</v>
      </c>
      <c r="D390" s="10">
        <v>0.0</v>
      </c>
      <c r="E390" s="10">
        <v>0.0</v>
      </c>
      <c r="F390" s="12"/>
      <c r="G390" s="12"/>
      <c r="H390" s="12"/>
    </row>
    <row r="391" ht="15.75" customHeight="1">
      <c r="A391" s="13"/>
      <c r="B391" s="13"/>
      <c r="C391" s="9">
        <v>0.0</v>
      </c>
      <c r="D391" s="10">
        <v>0.0</v>
      </c>
      <c r="E391" s="10">
        <v>0.0</v>
      </c>
      <c r="F391" s="12"/>
      <c r="G391" s="12"/>
      <c r="H391" s="12"/>
    </row>
    <row r="392" ht="15.75" customHeight="1">
      <c r="A392" s="13"/>
      <c r="B392" s="13"/>
      <c r="C392" s="9">
        <v>0.0</v>
      </c>
      <c r="D392" s="10">
        <v>0.0</v>
      </c>
      <c r="E392" s="10">
        <v>0.0</v>
      </c>
      <c r="F392" s="12"/>
      <c r="G392" s="12"/>
      <c r="H392" s="12"/>
    </row>
    <row r="393" ht="15.75" customHeight="1">
      <c r="A393" s="13"/>
      <c r="B393" s="13"/>
      <c r="C393" s="9">
        <v>0.0</v>
      </c>
      <c r="D393" s="10">
        <v>0.0</v>
      </c>
      <c r="E393" s="10">
        <v>0.0</v>
      </c>
      <c r="F393" s="12"/>
      <c r="G393" s="12"/>
      <c r="H393" s="12"/>
    </row>
    <row r="394" ht="15.75" customHeight="1">
      <c r="A394" s="13"/>
      <c r="B394" s="13"/>
      <c r="C394" s="9">
        <v>0.0</v>
      </c>
      <c r="D394" s="10">
        <v>0.0</v>
      </c>
      <c r="E394" s="10">
        <v>0.0</v>
      </c>
      <c r="F394" s="12"/>
      <c r="G394" s="12"/>
      <c r="H394" s="12"/>
    </row>
    <row r="395" ht="15.75" customHeight="1">
      <c r="A395" s="13"/>
      <c r="B395" s="13"/>
      <c r="C395" s="9">
        <v>0.0</v>
      </c>
      <c r="D395" s="10">
        <v>0.0</v>
      </c>
      <c r="E395" s="10">
        <v>0.0</v>
      </c>
      <c r="F395" s="12"/>
      <c r="G395" s="12"/>
      <c r="H395" s="12"/>
    </row>
    <row r="396" ht="15.75" customHeight="1">
      <c r="A396" s="13"/>
      <c r="B396" s="13"/>
      <c r="C396" s="9">
        <v>0.0</v>
      </c>
      <c r="D396" s="10">
        <v>0.0</v>
      </c>
      <c r="E396" s="10">
        <v>0.0</v>
      </c>
      <c r="F396" s="12"/>
      <c r="G396" s="12"/>
      <c r="H396" s="12"/>
    </row>
    <row r="397" ht="15.75" customHeight="1">
      <c r="A397" s="13"/>
      <c r="B397" s="13"/>
      <c r="C397" s="9">
        <v>0.0</v>
      </c>
      <c r="D397" s="10">
        <v>0.0</v>
      </c>
      <c r="E397" s="10">
        <v>0.0</v>
      </c>
      <c r="F397" s="12"/>
      <c r="G397" s="12"/>
      <c r="H397" s="12"/>
    </row>
    <row r="398" ht="15.75" customHeight="1">
      <c r="A398" s="13"/>
      <c r="B398" s="13"/>
      <c r="C398" s="9">
        <v>0.0</v>
      </c>
      <c r="D398" s="10">
        <v>0.0</v>
      </c>
      <c r="E398" s="10">
        <v>0.0</v>
      </c>
      <c r="F398" s="12"/>
      <c r="G398" s="12"/>
      <c r="H398" s="12"/>
    </row>
    <row r="399" ht="15.75" customHeight="1">
      <c r="A399" s="13"/>
      <c r="B399" s="13"/>
      <c r="C399" s="9">
        <v>0.0</v>
      </c>
      <c r="D399" s="10">
        <v>0.0</v>
      </c>
      <c r="E399" s="10">
        <v>0.0</v>
      </c>
      <c r="F399" s="13"/>
      <c r="G399" s="13"/>
      <c r="H399" s="13"/>
    </row>
    <row r="400" ht="15.75" customHeight="1">
      <c r="A400" s="13"/>
      <c r="B400" s="13"/>
      <c r="C400" s="9">
        <v>0.0</v>
      </c>
      <c r="D400" s="10">
        <v>0.0</v>
      </c>
      <c r="E400" s="10">
        <v>0.0</v>
      </c>
      <c r="F400" s="13"/>
      <c r="G400" s="13"/>
      <c r="H400" s="13"/>
    </row>
    <row r="401" ht="15.75" customHeight="1">
      <c r="A401" s="13"/>
      <c r="B401" s="13"/>
      <c r="C401" s="9">
        <v>0.0</v>
      </c>
      <c r="D401" s="10">
        <v>0.0</v>
      </c>
      <c r="E401" s="10">
        <v>0.0</v>
      </c>
      <c r="F401" s="13"/>
      <c r="G401" s="13"/>
      <c r="H401" s="13"/>
    </row>
    <row r="402" ht="15.75" customHeight="1">
      <c r="A402" s="13"/>
      <c r="B402" s="13"/>
      <c r="C402" s="9">
        <v>0.0</v>
      </c>
      <c r="D402" s="10">
        <v>0.0</v>
      </c>
      <c r="E402" s="10">
        <v>0.0</v>
      </c>
      <c r="F402" s="12"/>
      <c r="G402" s="12"/>
      <c r="H402" s="12"/>
    </row>
    <row r="403" ht="15.75" customHeight="1">
      <c r="A403" s="13"/>
      <c r="B403" s="13"/>
      <c r="C403" s="9">
        <v>0.0</v>
      </c>
      <c r="D403" s="10">
        <v>0.0</v>
      </c>
      <c r="E403" s="10">
        <v>0.0</v>
      </c>
      <c r="F403" s="12"/>
      <c r="G403" s="12"/>
      <c r="H403" s="12"/>
    </row>
    <row r="404" ht="15.75" customHeight="1">
      <c r="A404" s="13"/>
      <c r="B404" s="13"/>
      <c r="C404" s="9">
        <v>0.0</v>
      </c>
      <c r="D404" s="10">
        <v>0.0</v>
      </c>
      <c r="E404" s="10">
        <v>0.0</v>
      </c>
      <c r="F404" s="13"/>
      <c r="G404" s="13"/>
      <c r="H404" s="13"/>
    </row>
    <row r="405" ht="15.75" customHeight="1">
      <c r="A405" s="13"/>
      <c r="B405" s="13"/>
      <c r="C405" s="9">
        <v>0.0</v>
      </c>
      <c r="D405" s="10">
        <v>0.0</v>
      </c>
      <c r="E405" s="10">
        <v>0.0</v>
      </c>
      <c r="F405" s="13"/>
      <c r="G405" s="13"/>
      <c r="H405" s="13"/>
    </row>
    <row r="406" ht="15.75" customHeight="1">
      <c r="A406" s="13"/>
      <c r="B406" s="13"/>
      <c r="C406" s="9">
        <v>0.0</v>
      </c>
      <c r="D406" s="10">
        <v>0.0</v>
      </c>
      <c r="E406" s="10">
        <v>0.0</v>
      </c>
      <c r="F406" s="13"/>
      <c r="G406" s="13"/>
      <c r="H406" s="13"/>
    </row>
    <row r="407" ht="15.75" customHeight="1">
      <c r="A407" s="13"/>
      <c r="B407" s="13"/>
      <c r="C407" s="9">
        <v>0.0</v>
      </c>
      <c r="D407" s="10">
        <v>0.0</v>
      </c>
      <c r="E407" s="10">
        <v>0.0</v>
      </c>
      <c r="F407" s="13"/>
      <c r="G407" s="13"/>
      <c r="H407" s="13"/>
    </row>
    <row r="408" ht="15.75" customHeight="1">
      <c r="A408" s="13"/>
      <c r="B408" s="13"/>
      <c r="C408" s="9">
        <v>0.0</v>
      </c>
      <c r="D408" s="10">
        <v>0.0</v>
      </c>
      <c r="E408" s="10">
        <v>0.0</v>
      </c>
      <c r="F408" s="13"/>
      <c r="G408" s="13"/>
      <c r="H408" s="13"/>
    </row>
    <row r="409" ht="15.75" customHeight="1">
      <c r="A409" s="13"/>
      <c r="B409" s="13"/>
      <c r="C409" s="9">
        <v>0.0</v>
      </c>
      <c r="D409" s="10">
        <v>0.0</v>
      </c>
      <c r="E409" s="10">
        <v>0.0</v>
      </c>
      <c r="F409" s="13"/>
      <c r="G409" s="13"/>
      <c r="H409" s="13"/>
    </row>
    <row r="410" ht="15.75" customHeight="1">
      <c r="A410" s="13"/>
      <c r="B410" s="13"/>
      <c r="C410" s="9">
        <v>0.0</v>
      </c>
      <c r="D410" s="10">
        <v>0.0</v>
      </c>
      <c r="E410" s="10">
        <v>0.0</v>
      </c>
      <c r="F410" s="13"/>
      <c r="G410" s="13"/>
      <c r="H410" s="13"/>
    </row>
    <row r="411" ht="15.75" customHeight="1">
      <c r="A411" s="13"/>
      <c r="B411" s="13"/>
      <c r="C411" s="9">
        <v>0.0</v>
      </c>
      <c r="D411" s="10">
        <v>0.0</v>
      </c>
      <c r="E411" s="10">
        <v>0.0</v>
      </c>
      <c r="F411" s="13"/>
      <c r="G411" s="13"/>
      <c r="H411" s="13"/>
    </row>
    <row r="412" ht="15.75" customHeight="1">
      <c r="A412" s="13"/>
      <c r="B412" s="13"/>
      <c r="C412" s="9">
        <v>0.0</v>
      </c>
      <c r="D412" s="10">
        <v>0.0</v>
      </c>
      <c r="E412" s="10">
        <v>0.0</v>
      </c>
      <c r="F412" s="13"/>
      <c r="G412" s="13"/>
      <c r="H412" s="13"/>
    </row>
    <row r="413" ht="15.75" customHeight="1">
      <c r="A413" s="13"/>
      <c r="B413" s="13"/>
      <c r="C413" s="9">
        <v>0.0</v>
      </c>
      <c r="D413" s="10">
        <v>0.0</v>
      </c>
      <c r="E413" s="10">
        <v>0.0</v>
      </c>
      <c r="F413" s="13"/>
      <c r="G413" s="13"/>
      <c r="H413" s="13"/>
    </row>
    <row r="414" ht="15.75" customHeight="1">
      <c r="A414" s="13"/>
      <c r="B414" s="13"/>
      <c r="C414" s="9">
        <v>0.0</v>
      </c>
      <c r="D414" s="10">
        <v>0.0</v>
      </c>
      <c r="E414" s="10">
        <v>0.0</v>
      </c>
      <c r="F414" s="13"/>
      <c r="G414" s="13"/>
      <c r="H414" s="13"/>
    </row>
    <row r="415" ht="15.75" customHeight="1">
      <c r="A415" s="13"/>
      <c r="B415" s="13"/>
      <c r="C415" s="9">
        <v>0.0</v>
      </c>
      <c r="D415" s="10">
        <v>0.0</v>
      </c>
      <c r="E415" s="10">
        <v>0.0</v>
      </c>
      <c r="F415" s="13"/>
      <c r="G415" s="13"/>
      <c r="H415" s="13"/>
    </row>
    <row r="416" ht="15.75" customHeight="1">
      <c r="A416" s="13"/>
      <c r="B416" s="13"/>
      <c r="C416" s="9">
        <v>0.0</v>
      </c>
      <c r="D416" s="10">
        <v>0.0</v>
      </c>
      <c r="E416" s="10">
        <v>0.0</v>
      </c>
      <c r="F416" s="13"/>
      <c r="G416" s="13"/>
      <c r="H416" s="13"/>
    </row>
    <row r="417" ht="15.75" customHeight="1">
      <c r="A417" s="13"/>
      <c r="B417" s="13"/>
      <c r="C417" s="9">
        <v>0.0</v>
      </c>
      <c r="D417" s="10">
        <v>0.0</v>
      </c>
      <c r="E417" s="10">
        <v>0.0</v>
      </c>
      <c r="F417" s="13"/>
      <c r="G417" s="13"/>
      <c r="H417" s="13"/>
    </row>
    <row r="418" ht="15.75" customHeight="1">
      <c r="A418" s="13"/>
      <c r="B418" s="13"/>
      <c r="C418" s="9">
        <v>0.0</v>
      </c>
      <c r="D418" s="10">
        <v>0.0</v>
      </c>
      <c r="E418" s="10">
        <v>0.0</v>
      </c>
      <c r="F418" s="13"/>
      <c r="G418" s="13"/>
      <c r="H418" s="13"/>
    </row>
    <row r="419" ht="15.75" customHeight="1">
      <c r="A419" s="13"/>
      <c r="B419" s="13"/>
      <c r="C419" s="9">
        <v>0.0</v>
      </c>
      <c r="D419" s="10">
        <v>0.0</v>
      </c>
      <c r="E419" s="10">
        <v>0.0</v>
      </c>
      <c r="F419" s="13"/>
      <c r="G419" s="13"/>
      <c r="H419" s="13"/>
    </row>
    <row r="420" ht="15.75" customHeight="1">
      <c r="A420" s="13"/>
      <c r="B420" s="13"/>
      <c r="C420" s="9">
        <v>0.0</v>
      </c>
      <c r="D420" s="10">
        <v>0.0</v>
      </c>
      <c r="E420" s="10">
        <v>0.0</v>
      </c>
      <c r="F420" s="13"/>
      <c r="G420" s="13"/>
      <c r="H420" s="13"/>
    </row>
    <row r="421" ht="15.75" customHeight="1">
      <c r="A421" s="13"/>
      <c r="B421" s="13"/>
      <c r="C421" s="9">
        <v>0.0</v>
      </c>
      <c r="D421" s="10">
        <v>0.0</v>
      </c>
      <c r="E421" s="10">
        <v>0.0</v>
      </c>
      <c r="F421" s="13"/>
      <c r="G421" s="13"/>
      <c r="H421" s="13"/>
    </row>
    <row r="422" ht="15.75" customHeight="1">
      <c r="A422" s="13"/>
      <c r="B422" s="13"/>
      <c r="C422" s="9">
        <v>0.0</v>
      </c>
      <c r="D422" s="10">
        <v>0.0</v>
      </c>
      <c r="E422" s="10">
        <v>0.0</v>
      </c>
      <c r="F422" s="13"/>
      <c r="G422" s="13"/>
      <c r="H422" s="13"/>
    </row>
    <row r="423" ht="15.75" customHeight="1">
      <c r="A423" s="13"/>
      <c r="B423" s="13"/>
      <c r="C423" s="9">
        <v>0.0</v>
      </c>
      <c r="D423" s="10">
        <v>0.0</v>
      </c>
      <c r="E423" s="10">
        <v>0.0</v>
      </c>
      <c r="F423" s="13"/>
      <c r="G423" s="13"/>
      <c r="H423" s="13"/>
    </row>
    <row r="424" ht="15.75" customHeight="1">
      <c r="A424" s="13"/>
      <c r="B424" s="13"/>
      <c r="C424" s="9">
        <v>0.0</v>
      </c>
      <c r="D424" s="10">
        <v>0.0</v>
      </c>
      <c r="E424" s="10">
        <v>0.0</v>
      </c>
      <c r="F424" s="13"/>
      <c r="G424" s="13"/>
      <c r="H424" s="13"/>
    </row>
    <row r="425" ht="15.75" customHeight="1">
      <c r="A425" s="13"/>
      <c r="B425" s="13"/>
      <c r="C425" s="9">
        <v>0.0</v>
      </c>
      <c r="D425" s="10">
        <v>0.0</v>
      </c>
      <c r="E425" s="10">
        <v>0.0</v>
      </c>
      <c r="F425" s="13"/>
      <c r="G425" s="13"/>
      <c r="H425" s="13"/>
    </row>
    <row r="426" ht="15.75" customHeight="1">
      <c r="A426" s="13"/>
      <c r="B426" s="13"/>
      <c r="C426" s="9">
        <v>0.0</v>
      </c>
      <c r="D426" s="10">
        <v>0.0</v>
      </c>
      <c r="E426" s="10">
        <v>0.0</v>
      </c>
      <c r="F426" s="13"/>
      <c r="G426" s="13"/>
      <c r="H426" s="13"/>
    </row>
    <row r="427" ht="15.75" customHeight="1">
      <c r="A427" s="13"/>
      <c r="B427" s="13"/>
      <c r="C427" s="9">
        <v>0.0</v>
      </c>
      <c r="D427" s="10">
        <v>0.0</v>
      </c>
      <c r="E427" s="10">
        <v>0.0</v>
      </c>
      <c r="F427" s="13"/>
      <c r="G427" s="13"/>
      <c r="H427" s="13"/>
    </row>
    <row r="428" ht="15.75" customHeight="1">
      <c r="A428" s="13"/>
      <c r="B428" s="13"/>
      <c r="C428" s="9">
        <v>0.0</v>
      </c>
      <c r="D428" s="10">
        <v>0.0</v>
      </c>
      <c r="E428" s="10">
        <v>0.0</v>
      </c>
      <c r="F428" s="13"/>
      <c r="G428" s="13"/>
      <c r="H428" s="13"/>
    </row>
    <row r="429" ht="15.75" customHeight="1">
      <c r="A429" s="13"/>
      <c r="B429" s="13"/>
      <c r="C429" s="9">
        <v>0.0</v>
      </c>
      <c r="D429" s="10">
        <v>0.0</v>
      </c>
      <c r="E429" s="10">
        <v>0.0</v>
      </c>
      <c r="F429" s="13"/>
      <c r="G429" s="13"/>
      <c r="H429" s="13"/>
    </row>
    <row r="430" ht="15.75" customHeight="1">
      <c r="A430" s="13"/>
      <c r="B430" s="13"/>
      <c r="C430" s="9">
        <v>0.0</v>
      </c>
      <c r="D430" s="10">
        <v>0.0</v>
      </c>
      <c r="E430" s="10">
        <v>0.0</v>
      </c>
      <c r="F430" s="13"/>
      <c r="G430" s="13"/>
      <c r="H430" s="13"/>
    </row>
    <row r="431" ht="15.75" customHeight="1">
      <c r="A431" s="13"/>
      <c r="B431" s="13"/>
      <c r="C431" s="9">
        <v>0.0</v>
      </c>
      <c r="D431" s="10">
        <v>0.0</v>
      </c>
      <c r="E431" s="10">
        <v>0.0</v>
      </c>
      <c r="F431" s="13"/>
      <c r="G431" s="13"/>
      <c r="H431" s="13"/>
    </row>
    <row r="432" ht="15.75" customHeight="1">
      <c r="A432" s="13"/>
      <c r="B432" s="13"/>
      <c r="C432" s="9">
        <v>0.0</v>
      </c>
      <c r="D432" s="10">
        <v>0.0</v>
      </c>
      <c r="E432" s="10">
        <v>0.0</v>
      </c>
      <c r="F432" s="13"/>
      <c r="G432" s="13"/>
      <c r="H432" s="13"/>
    </row>
    <row r="433" ht="15.75" customHeight="1">
      <c r="A433" s="13"/>
      <c r="B433" s="13"/>
      <c r="C433" s="9">
        <v>0.0</v>
      </c>
      <c r="D433" s="10">
        <v>0.0</v>
      </c>
      <c r="E433" s="10">
        <v>0.0</v>
      </c>
      <c r="F433" s="13"/>
      <c r="G433" s="13"/>
      <c r="H433" s="13"/>
    </row>
    <row r="434" ht="15.75" customHeight="1">
      <c r="A434" s="13"/>
      <c r="B434" s="13"/>
      <c r="C434" s="9">
        <v>0.0</v>
      </c>
      <c r="D434" s="10">
        <v>0.0</v>
      </c>
      <c r="E434" s="10">
        <v>0.0</v>
      </c>
      <c r="F434" s="13"/>
      <c r="G434" s="13"/>
      <c r="H434" s="13"/>
    </row>
    <row r="435" ht="15.75" customHeight="1">
      <c r="A435" s="13"/>
      <c r="B435" s="13"/>
      <c r="C435" s="9">
        <v>0.0</v>
      </c>
      <c r="D435" s="10">
        <v>0.0</v>
      </c>
      <c r="E435" s="10">
        <v>0.0</v>
      </c>
      <c r="F435" s="13"/>
      <c r="G435" s="13"/>
      <c r="H435" s="13"/>
    </row>
    <row r="436" ht="15.75" customHeight="1">
      <c r="A436" s="13"/>
      <c r="B436" s="13"/>
      <c r="C436" s="9">
        <v>0.0</v>
      </c>
      <c r="D436" s="10">
        <v>0.0</v>
      </c>
      <c r="E436" s="10">
        <v>0.0</v>
      </c>
      <c r="F436" s="13"/>
      <c r="G436" s="13"/>
      <c r="H436" s="13"/>
    </row>
    <row r="437" ht="15.75" customHeight="1">
      <c r="A437" s="13"/>
      <c r="B437" s="13"/>
      <c r="C437" s="9">
        <v>0.0</v>
      </c>
      <c r="D437" s="10">
        <v>0.0</v>
      </c>
      <c r="E437" s="10">
        <v>0.0</v>
      </c>
      <c r="F437" s="13"/>
      <c r="G437" s="13"/>
      <c r="H437" s="13"/>
    </row>
    <row r="438" ht="15.75" customHeight="1">
      <c r="A438" s="13"/>
      <c r="B438" s="13"/>
      <c r="C438" s="9">
        <v>0.0</v>
      </c>
      <c r="D438" s="10">
        <v>0.0</v>
      </c>
      <c r="E438" s="10">
        <v>0.0</v>
      </c>
      <c r="F438" s="13"/>
      <c r="G438" s="13"/>
      <c r="H438" s="13"/>
    </row>
    <row r="439" ht="15.75" customHeight="1">
      <c r="A439" s="13"/>
      <c r="B439" s="13"/>
      <c r="C439" s="9">
        <v>0.0</v>
      </c>
      <c r="D439" s="10">
        <v>0.0</v>
      </c>
      <c r="E439" s="10">
        <v>0.0</v>
      </c>
      <c r="F439" s="13"/>
      <c r="G439" s="13"/>
      <c r="H439" s="13"/>
    </row>
    <row r="440" ht="15.75" customHeight="1">
      <c r="A440" s="13"/>
      <c r="B440" s="13"/>
      <c r="C440" s="9">
        <v>0.0</v>
      </c>
      <c r="D440" s="10">
        <v>0.0</v>
      </c>
      <c r="E440" s="10">
        <v>0.0</v>
      </c>
      <c r="F440" s="13"/>
      <c r="G440" s="13"/>
      <c r="H440" s="13"/>
    </row>
    <row r="441" ht="15.75" customHeight="1">
      <c r="A441" s="13"/>
      <c r="B441" s="13"/>
      <c r="C441" s="9">
        <v>0.0</v>
      </c>
      <c r="D441" s="10">
        <v>0.0</v>
      </c>
      <c r="E441" s="10">
        <v>0.0</v>
      </c>
      <c r="F441" s="13"/>
      <c r="G441" s="13"/>
      <c r="H441" s="13"/>
    </row>
    <row r="442" ht="15.75" customHeight="1">
      <c r="A442" s="13"/>
      <c r="B442" s="13"/>
      <c r="C442" s="9">
        <v>0.0</v>
      </c>
      <c r="D442" s="10">
        <v>0.0</v>
      </c>
      <c r="E442" s="10">
        <v>0.0</v>
      </c>
      <c r="F442" s="13"/>
      <c r="G442" s="13"/>
      <c r="H442" s="13"/>
    </row>
    <row r="443" ht="15.75" customHeight="1">
      <c r="A443" s="13"/>
      <c r="B443" s="13"/>
      <c r="C443" s="9">
        <v>0.0</v>
      </c>
      <c r="D443" s="10">
        <v>0.0</v>
      </c>
      <c r="E443" s="10">
        <v>0.0</v>
      </c>
      <c r="F443" s="13"/>
      <c r="G443" s="13"/>
      <c r="H443" s="13"/>
    </row>
    <row r="444" ht="15.75" customHeight="1">
      <c r="A444" s="13"/>
      <c r="B444" s="13"/>
      <c r="C444" s="9">
        <v>0.0</v>
      </c>
      <c r="D444" s="10">
        <v>0.0</v>
      </c>
      <c r="E444" s="10">
        <v>0.0</v>
      </c>
      <c r="F444" s="13"/>
      <c r="G444" s="13"/>
      <c r="H444" s="13"/>
    </row>
    <row r="445" ht="15.75" customHeight="1">
      <c r="A445" s="13"/>
      <c r="B445" s="13"/>
      <c r="C445" s="9">
        <v>0.0</v>
      </c>
      <c r="D445" s="10">
        <v>0.0</v>
      </c>
      <c r="E445" s="10">
        <v>0.0</v>
      </c>
      <c r="F445" s="13"/>
      <c r="G445" s="13"/>
      <c r="H445" s="13"/>
    </row>
    <row r="446" ht="15.75" customHeight="1">
      <c r="A446" s="13"/>
      <c r="B446" s="13"/>
      <c r="C446" s="9">
        <v>0.0</v>
      </c>
      <c r="D446" s="10">
        <v>0.0</v>
      </c>
      <c r="E446" s="10">
        <v>0.0</v>
      </c>
      <c r="F446" s="13"/>
      <c r="G446" s="13"/>
      <c r="H446" s="13"/>
    </row>
    <row r="447" ht="15.75" customHeight="1">
      <c r="A447" s="13"/>
      <c r="B447" s="13"/>
      <c r="C447" s="9">
        <v>0.0</v>
      </c>
      <c r="D447" s="10">
        <v>0.0</v>
      </c>
      <c r="E447" s="10">
        <v>0.0</v>
      </c>
      <c r="F447" s="13"/>
      <c r="G447" s="13"/>
      <c r="H447" s="13"/>
    </row>
    <row r="448" ht="15.75" customHeight="1">
      <c r="A448" s="13"/>
      <c r="B448" s="13"/>
      <c r="C448" s="9">
        <v>0.0</v>
      </c>
      <c r="D448" s="10">
        <v>0.0</v>
      </c>
      <c r="E448" s="10">
        <v>0.0</v>
      </c>
      <c r="F448" s="13"/>
      <c r="G448" s="13"/>
      <c r="H448" s="13"/>
    </row>
    <row r="449" ht="15.75" customHeight="1">
      <c r="A449" s="13"/>
      <c r="B449" s="13"/>
      <c r="C449" s="9">
        <v>0.0</v>
      </c>
      <c r="D449" s="10">
        <v>0.0</v>
      </c>
      <c r="E449" s="10">
        <v>0.0</v>
      </c>
      <c r="F449" s="13"/>
      <c r="G449" s="13"/>
      <c r="H449" s="13"/>
    </row>
    <row r="450" ht="15.75" customHeight="1">
      <c r="A450" s="13"/>
      <c r="B450" s="13"/>
      <c r="C450" s="9">
        <v>0.0</v>
      </c>
      <c r="D450" s="10">
        <v>0.0</v>
      </c>
      <c r="E450" s="10">
        <v>0.0</v>
      </c>
      <c r="F450" s="13"/>
      <c r="G450" s="13"/>
      <c r="H450" s="13"/>
    </row>
    <row r="451" ht="15.75" customHeight="1">
      <c r="A451" s="13"/>
      <c r="B451" s="13"/>
      <c r="C451" s="9">
        <v>0.0</v>
      </c>
      <c r="D451" s="10">
        <v>0.0</v>
      </c>
      <c r="E451" s="10">
        <v>0.0</v>
      </c>
      <c r="F451" s="13"/>
      <c r="G451" s="13"/>
      <c r="H451" s="13"/>
    </row>
    <row r="452" ht="15.75" customHeight="1">
      <c r="A452" s="13"/>
      <c r="B452" s="13"/>
      <c r="C452" s="9">
        <v>0.0</v>
      </c>
      <c r="D452" s="10">
        <v>0.0</v>
      </c>
      <c r="E452" s="10">
        <v>0.0</v>
      </c>
      <c r="F452" s="13"/>
      <c r="G452" s="13"/>
      <c r="H452" s="13"/>
    </row>
    <row r="453" ht="15.75" customHeight="1">
      <c r="A453" s="13"/>
      <c r="B453" s="13"/>
      <c r="C453" s="9">
        <v>0.0</v>
      </c>
      <c r="D453" s="10">
        <v>0.0</v>
      </c>
      <c r="E453" s="10">
        <v>0.0</v>
      </c>
      <c r="F453" s="13"/>
      <c r="G453" s="13"/>
      <c r="H453" s="13"/>
    </row>
    <row r="454" ht="15.75" customHeight="1">
      <c r="A454" s="13"/>
      <c r="B454" s="13"/>
      <c r="C454" s="9">
        <v>0.0</v>
      </c>
      <c r="D454" s="10">
        <v>0.0</v>
      </c>
      <c r="E454" s="10">
        <v>0.0</v>
      </c>
      <c r="F454" s="13"/>
      <c r="G454" s="13"/>
      <c r="H454" s="13"/>
    </row>
    <row r="455" ht="15.75" customHeight="1">
      <c r="A455" s="13"/>
      <c r="B455" s="13"/>
      <c r="C455" s="9">
        <v>0.0</v>
      </c>
      <c r="D455" s="10">
        <v>0.0</v>
      </c>
      <c r="E455" s="10">
        <v>0.0</v>
      </c>
      <c r="F455" s="13"/>
      <c r="G455" s="13"/>
      <c r="H455" s="13"/>
    </row>
    <row r="456" ht="15.75" customHeight="1">
      <c r="A456" s="13"/>
      <c r="B456" s="13"/>
      <c r="C456" s="9">
        <v>0.0</v>
      </c>
      <c r="D456" s="10">
        <v>0.0</v>
      </c>
      <c r="E456" s="10">
        <v>0.0</v>
      </c>
      <c r="F456" s="13"/>
      <c r="G456" s="13"/>
      <c r="H456" s="13"/>
    </row>
    <row r="457" ht="15.75" customHeight="1">
      <c r="A457" s="13"/>
      <c r="B457" s="13"/>
      <c r="C457" s="9">
        <v>0.0</v>
      </c>
      <c r="D457" s="10">
        <v>0.0</v>
      </c>
      <c r="E457" s="10">
        <v>0.0</v>
      </c>
      <c r="F457" s="13"/>
      <c r="G457" s="13"/>
      <c r="H457" s="13"/>
    </row>
    <row r="458" ht="15.75" customHeight="1">
      <c r="A458" s="13"/>
      <c r="B458" s="13"/>
      <c r="C458" s="9">
        <v>0.0</v>
      </c>
      <c r="D458" s="10">
        <v>0.0</v>
      </c>
      <c r="E458" s="10">
        <v>0.0</v>
      </c>
      <c r="F458" s="13"/>
      <c r="G458" s="13"/>
      <c r="H458" s="13"/>
    </row>
    <row r="459" ht="15.75" customHeight="1">
      <c r="A459" s="13"/>
      <c r="B459" s="13"/>
      <c r="C459" s="9">
        <v>0.0</v>
      </c>
      <c r="D459" s="10">
        <v>0.0</v>
      </c>
      <c r="E459" s="10">
        <v>0.0</v>
      </c>
      <c r="F459" s="13"/>
      <c r="G459" s="13"/>
      <c r="H459" s="13"/>
    </row>
    <row r="460" ht="15.75" customHeight="1">
      <c r="A460" s="13"/>
      <c r="B460" s="13"/>
      <c r="C460" s="9">
        <v>0.0</v>
      </c>
      <c r="D460" s="10">
        <v>0.0</v>
      </c>
      <c r="E460" s="10">
        <v>0.0</v>
      </c>
      <c r="F460" s="13"/>
      <c r="G460" s="13"/>
      <c r="H460" s="13"/>
    </row>
    <row r="461" ht="15.75" customHeight="1">
      <c r="A461" s="13"/>
      <c r="B461" s="13"/>
      <c r="C461" s="9">
        <v>0.0</v>
      </c>
      <c r="D461" s="10">
        <v>0.0</v>
      </c>
      <c r="E461" s="10">
        <v>0.0</v>
      </c>
      <c r="F461" s="13"/>
      <c r="G461" s="13"/>
      <c r="H461" s="13"/>
    </row>
    <row r="462" ht="15.75" customHeight="1">
      <c r="A462" s="13"/>
      <c r="B462" s="13"/>
      <c r="C462" s="9">
        <v>0.0</v>
      </c>
      <c r="D462" s="10">
        <v>0.0</v>
      </c>
      <c r="E462" s="10">
        <v>0.0</v>
      </c>
      <c r="F462" s="13"/>
      <c r="G462" s="13"/>
      <c r="H462" s="13"/>
    </row>
    <row r="463" ht="15.75" customHeight="1">
      <c r="A463" s="13"/>
      <c r="B463" s="13"/>
      <c r="C463" s="9">
        <v>0.0</v>
      </c>
      <c r="D463" s="10">
        <v>0.0</v>
      </c>
      <c r="E463" s="10">
        <v>0.0</v>
      </c>
      <c r="F463" s="13"/>
      <c r="G463" s="13"/>
      <c r="H463" s="13"/>
    </row>
    <row r="464" ht="15.75" customHeight="1">
      <c r="A464" s="13"/>
      <c r="B464" s="13"/>
      <c r="C464" s="9">
        <v>0.0</v>
      </c>
      <c r="D464" s="10">
        <v>0.0</v>
      </c>
      <c r="E464" s="10">
        <v>0.0</v>
      </c>
      <c r="F464" s="13"/>
      <c r="G464" s="13"/>
      <c r="H464" s="13"/>
    </row>
    <row r="465" ht="15.75" customHeight="1">
      <c r="A465" s="13"/>
      <c r="B465" s="13"/>
      <c r="C465" s="9">
        <v>0.0</v>
      </c>
      <c r="D465" s="10">
        <v>0.0</v>
      </c>
      <c r="E465" s="10">
        <v>0.0</v>
      </c>
      <c r="F465" s="13"/>
      <c r="G465" s="13"/>
      <c r="H465" s="13"/>
    </row>
    <row r="466" ht="15.75" customHeight="1">
      <c r="A466" s="13"/>
      <c r="B466" s="13"/>
      <c r="C466" s="9">
        <v>0.0</v>
      </c>
      <c r="D466" s="10">
        <v>0.0</v>
      </c>
      <c r="E466" s="10">
        <v>0.0</v>
      </c>
      <c r="F466" s="13"/>
      <c r="G466" s="13"/>
      <c r="H466" s="13"/>
    </row>
    <row r="467" ht="15.75" customHeight="1">
      <c r="A467" s="13"/>
      <c r="B467" s="13"/>
      <c r="C467" s="9">
        <v>0.0</v>
      </c>
      <c r="D467" s="10">
        <v>0.0</v>
      </c>
      <c r="E467" s="10">
        <v>0.0</v>
      </c>
      <c r="F467" s="13"/>
      <c r="G467" s="13"/>
      <c r="H467" s="13"/>
    </row>
    <row r="468" ht="15.75" customHeight="1">
      <c r="A468" s="13"/>
      <c r="B468" s="13"/>
      <c r="C468" s="9">
        <v>0.0</v>
      </c>
      <c r="D468" s="10">
        <v>0.0</v>
      </c>
      <c r="E468" s="10">
        <v>0.0</v>
      </c>
      <c r="F468" s="13"/>
      <c r="G468" s="13"/>
      <c r="H468" s="13"/>
    </row>
    <row r="469" ht="15.75" customHeight="1">
      <c r="A469" s="13"/>
      <c r="B469" s="13"/>
      <c r="C469" s="9">
        <v>0.0</v>
      </c>
      <c r="D469" s="10">
        <v>0.0</v>
      </c>
      <c r="E469" s="10">
        <v>0.0</v>
      </c>
      <c r="F469" s="13"/>
      <c r="G469" s="13"/>
      <c r="H469" s="13"/>
    </row>
    <row r="470" ht="15.75" customHeight="1">
      <c r="A470" s="13"/>
      <c r="B470" s="13"/>
      <c r="C470" s="9">
        <v>0.0</v>
      </c>
      <c r="D470" s="10">
        <v>0.0</v>
      </c>
      <c r="E470" s="10">
        <v>0.0</v>
      </c>
      <c r="F470" s="13"/>
      <c r="G470" s="13"/>
      <c r="H470" s="13"/>
    </row>
    <row r="471" ht="15.75" customHeight="1">
      <c r="A471" s="13"/>
      <c r="B471" s="13"/>
      <c r="C471" s="9">
        <v>0.0</v>
      </c>
      <c r="D471" s="10">
        <v>0.0</v>
      </c>
      <c r="E471" s="10">
        <v>0.0</v>
      </c>
      <c r="F471" s="13"/>
      <c r="G471" s="13"/>
      <c r="H471" s="13"/>
    </row>
    <row r="472" ht="15.75" customHeight="1">
      <c r="A472" s="13"/>
      <c r="B472" s="13"/>
      <c r="C472" s="9">
        <v>0.0</v>
      </c>
      <c r="D472" s="10">
        <v>0.0</v>
      </c>
      <c r="E472" s="10">
        <v>0.0</v>
      </c>
      <c r="F472" s="13"/>
      <c r="G472" s="13"/>
      <c r="H472" s="13"/>
    </row>
    <row r="473" ht="15.75" customHeight="1">
      <c r="A473" s="13"/>
      <c r="B473" s="13"/>
      <c r="C473" s="9">
        <v>0.0</v>
      </c>
      <c r="D473" s="10">
        <v>0.0</v>
      </c>
      <c r="E473" s="10">
        <v>0.0</v>
      </c>
      <c r="F473" s="13"/>
      <c r="G473" s="13"/>
      <c r="H473" s="13"/>
    </row>
    <row r="474" ht="15.75" customHeight="1">
      <c r="A474" s="13"/>
      <c r="B474" s="13"/>
      <c r="C474" s="9">
        <v>0.0</v>
      </c>
      <c r="D474" s="10">
        <v>0.0</v>
      </c>
      <c r="E474" s="10">
        <v>0.0</v>
      </c>
      <c r="F474" s="13"/>
      <c r="G474" s="13"/>
      <c r="H474" s="13"/>
    </row>
    <row r="475" ht="15.75" customHeight="1">
      <c r="A475" s="13"/>
      <c r="B475" s="13"/>
      <c r="C475" s="9">
        <v>0.0</v>
      </c>
      <c r="D475" s="10">
        <v>0.0</v>
      </c>
      <c r="E475" s="10">
        <v>0.0</v>
      </c>
      <c r="F475" s="13"/>
      <c r="G475" s="13"/>
      <c r="H475" s="13"/>
    </row>
    <row r="476" ht="15.75" customHeight="1">
      <c r="A476" s="13"/>
      <c r="B476" s="13"/>
      <c r="C476" s="9">
        <v>0.0</v>
      </c>
      <c r="D476" s="10">
        <v>0.0</v>
      </c>
      <c r="E476" s="10">
        <v>0.0</v>
      </c>
      <c r="F476" s="13"/>
      <c r="G476" s="13"/>
      <c r="H476" s="13"/>
    </row>
    <row r="477" ht="15.75" customHeight="1">
      <c r="A477" s="13"/>
      <c r="B477" s="13"/>
      <c r="C477" s="9">
        <v>0.0</v>
      </c>
      <c r="D477" s="10">
        <v>0.0</v>
      </c>
      <c r="E477" s="10">
        <v>0.0</v>
      </c>
      <c r="F477" s="13"/>
      <c r="G477" s="13"/>
      <c r="H477" s="13"/>
    </row>
    <row r="478" ht="15.75" customHeight="1">
      <c r="A478" s="13"/>
      <c r="B478" s="13"/>
      <c r="C478" s="9">
        <v>0.0</v>
      </c>
      <c r="D478" s="10">
        <v>0.0</v>
      </c>
      <c r="E478" s="10">
        <v>0.0</v>
      </c>
      <c r="F478" s="13"/>
      <c r="G478" s="13"/>
      <c r="H478" s="13"/>
    </row>
    <row r="479" ht="15.75" customHeight="1">
      <c r="A479" s="13"/>
      <c r="B479" s="13"/>
      <c r="C479" s="9">
        <v>0.0</v>
      </c>
      <c r="D479" s="10">
        <v>0.0</v>
      </c>
      <c r="E479" s="10">
        <v>0.0</v>
      </c>
      <c r="F479" s="13"/>
      <c r="G479" s="13"/>
      <c r="H479" s="13"/>
    </row>
    <row r="480" ht="15.75" customHeight="1">
      <c r="A480" s="13"/>
      <c r="B480" s="13"/>
      <c r="C480" s="9">
        <v>0.0</v>
      </c>
      <c r="D480" s="10">
        <v>0.0</v>
      </c>
      <c r="E480" s="10">
        <v>0.0</v>
      </c>
      <c r="F480" s="13"/>
      <c r="G480" s="13"/>
      <c r="H480" s="13"/>
    </row>
    <row r="481" ht="15.75" customHeight="1">
      <c r="A481" s="13"/>
      <c r="B481" s="13"/>
      <c r="C481" s="9">
        <v>0.0</v>
      </c>
      <c r="D481" s="10">
        <v>0.0</v>
      </c>
      <c r="E481" s="10">
        <v>0.0</v>
      </c>
      <c r="F481" s="13"/>
      <c r="G481" s="13"/>
      <c r="H481" s="13"/>
    </row>
    <row r="482" ht="15.75" customHeight="1">
      <c r="A482" s="13"/>
      <c r="B482" s="13"/>
      <c r="C482" s="9">
        <v>0.0</v>
      </c>
      <c r="D482" s="10">
        <v>0.0</v>
      </c>
      <c r="E482" s="10">
        <v>0.0</v>
      </c>
      <c r="F482" s="13"/>
      <c r="G482" s="13"/>
      <c r="H482" s="13"/>
    </row>
    <row r="483" ht="15.75" customHeight="1">
      <c r="A483" s="13"/>
      <c r="B483" s="13"/>
      <c r="C483" s="9">
        <v>0.0</v>
      </c>
      <c r="D483" s="10">
        <v>0.0</v>
      </c>
      <c r="E483" s="10">
        <v>0.0</v>
      </c>
      <c r="F483" s="13"/>
      <c r="G483" s="13"/>
      <c r="H483" s="13"/>
    </row>
    <row r="484" ht="15.75" customHeight="1">
      <c r="A484" s="13"/>
      <c r="B484" s="13"/>
      <c r="C484" s="9">
        <v>0.0</v>
      </c>
      <c r="D484" s="10">
        <v>0.0</v>
      </c>
      <c r="E484" s="10">
        <v>0.0</v>
      </c>
      <c r="F484" s="13"/>
      <c r="G484" s="13"/>
      <c r="H484" s="13"/>
    </row>
    <row r="485" ht="15.75" customHeight="1">
      <c r="A485" s="13"/>
      <c r="B485" s="13"/>
      <c r="C485" s="9">
        <v>0.0</v>
      </c>
      <c r="D485" s="10">
        <v>0.0</v>
      </c>
      <c r="E485" s="10">
        <v>0.0</v>
      </c>
      <c r="F485" s="13"/>
      <c r="G485" s="13"/>
      <c r="H485" s="13"/>
    </row>
    <row r="486" ht="15.75" customHeight="1">
      <c r="A486" s="13"/>
      <c r="B486" s="13"/>
      <c r="C486" s="9">
        <v>0.0</v>
      </c>
      <c r="D486" s="10">
        <v>0.0</v>
      </c>
      <c r="E486" s="10">
        <v>0.0</v>
      </c>
      <c r="F486" s="13"/>
      <c r="G486" s="13"/>
      <c r="H486" s="13"/>
    </row>
    <row r="487" ht="15.75" customHeight="1">
      <c r="A487" s="13"/>
      <c r="B487" s="13"/>
      <c r="C487" s="9">
        <v>0.0</v>
      </c>
      <c r="D487" s="10">
        <v>0.0</v>
      </c>
      <c r="E487" s="10">
        <v>0.0</v>
      </c>
      <c r="F487" s="13"/>
      <c r="G487" s="13"/>
      <c r="H487" s="13"/>
    </row>
    <row r="488" ht="15.75" customHeight="1">
      <c r="A488" s="13"/>
      <c r="B488" s="13"/>
      <c r="C488" s="9">
        <v>0.0</v>
      </c>
      <c r="D488" s="10">
        <v>0.0</v>
      </c>
      <c r="E488" s="10">
        <v>0.0</v>
      </c>
      <c r="F488" s="13"/>
      <c r="G488" s="13"/>
      <c r="H488" s="13"/>
    </row>
    <row r="489" ht="15.75" customHeight="1">
      <c r="A489" s="13"/>
      <c r="B489" s="13"/>
      <c r="C489" s="9">
        <v>0.0</v>
      </c>
      <c r="D489" s="10">
        <v>0.0</v>
      </c>
      <c r="E489" s="10">
        <v>0.0</v>
      </c>
      <c r="F489" s="13"/>
      <c r="G489" s="13"/>
      <c r="H489" s="13"/>
    </row>
    <row r="490" ht="15.75" customHeight="1">
      <c r="A490" s="13"/>
      <c r="B490" s="13"/>
      <c r="C490" s="9">
        <v>0.0</v>
      </c>
      <c r="D490" s="10">
        <v>0.0</v>
      </c>
      <c r="E490" s="10">
        <v>0.0</v>
      </c>
      <c r="F490" s="13"/>
      <c r="G490" s="13"/>
      <c r="H490" s="13"/>
    </row>
    <row r="491" ht="15.75" customHeight="1">
      <c r="A491" s="13"/>
      <c r="B491" s="13"/>
      <c r="C491" s="9">
        <v>0.0</v>
      </c>
      <c r="D491" s="10">
        <v>0.0</v>
      </c>
      <c r="E491" s="10">
        <v>0.0</v>
      </c>
      <c r="F491" s="13"/>
      <c r="G491" s="13"/>
      <c r="H491" s="13"/>
    </row>
    <row r="492" ht="15.75" customHeight="1">
      <c r="A492" s="13"/>
      <c r="B492" s="13"/>
      <c r="C492" s="9">
        <v>0.0</v>
      </c>
      <c r="D492" s="10">
        <v>0.0</v>
      </c>
      <c r="E492" s="10">
        <v>0.0</v>
      </c>
      <c r="F492" s="13"/>
      <c r="G492" s="13"/>
      <c r="H492" s="13"/>
    </row>
    <row r="493" ht="15.75" customHeight="1">
      <c r="A493" s="13"/>
      <c r="B493" s="13"/>
      <c r="C493" s="9">
        <v>0.0</v>
      </c>
      <c r="D493" s="10">
        <v>0.0</v>
      </c>
      <c r="E493" s="10">
        <v>0.0</v>
      </c>
      <c r="F493" s="13"/>
      <c r="G493" s="13"/>
      <c r="H493" s="13"/>
    </row>
    <row r="494" ht="15.75" customHeight="1">
      <c r="A494" s="13"/>
      <c r="B494" s="13"/>
      <c r="C494" s="9">
        <v>0.0</v>
      </c>
      <c r="D494" s="10">
        <v>0.0</v>
      </c>
      <c r="E494" s="10">
        <v>0.0</v>
      </c>
      <c r="F494" s="13"/>
      <c r="G494" s="13"/>
      <c r="H494" s="13"/>
    </row>
    <row r="495" ht="15.75" customHeight="1">
      <c r="A495" s="13"/>
      <c r="B495" s="13"/>
      <c r="C495" s="9">
        <v>0.0</v>
      </c>
      <c r="D495" s="10">
        <v>0.0</v>
      </c>
      <c r="E495" s="10">
        <v>0.0</v>
      </c>
      <c r="F495" s="13"/>
      <c r="G495" s="13"/>
      <c r="H495" s="13"/>
    </row>
    <row r="496" ht="15.75" customHeight="1">
      <c r="A496" s="13"/>
      <c r="B496" s="13"/>
      <c r="C496" s="9">
        <v>0.0</v>
      </c>
      <c r="D496" s="10">
        <v>0.0</v>
      </c>
      <c r="E496" s="10">
        <v>0.0</v>
      </c>
      <c r="F496" s="13"/>
      <c r="G496" s="13"/>
      <c r="H496" s="13"/>
    </row>
    <row r="497" ht="15.75" customHeight="1">
      <c r="A497" s="13"/>
      <c r="B497" s="13"/>
      <c r="C497" s="9">
        <v>0.0</v>
      </c>
      <c r="D497" s="10">
        <v>0.0</v>
      </c>
      <c r="E497" s="10">
        <v>0.0</v>
      </c>
      <c r="F497" s="13"/>
      <c r="G497" s="13"/>
      <c r="H497" s="13"/>
    </row>
    <row r="498" ht="15.75" customHeight="1">
      <c r="A498" s="13"/>
      <c r="B498" s="13"/>
      <c r="C498" s="9">
        <v>0.0</v>
      </c>
      <c r="D498" s="10">
        <v>0.0</v>
      </c>
      <c r="E498" s="10">
        <v>0.0</v>
      </c>
      <c r="F498" s="13"/>
      <c r="G498" s="13"/>
      <c r="H498" s="13"/>
    </row>
    <row r="499" ht="15.75" customHeight="1">
      <c r="A499" s="13"/>
      <c r="B499" s="13"/>
      <c r="C499" s="9">
        <v>0.0</v>
      </c>
      <c r="D499" s="10">
        <v>0.0</v>
      </c>
      <c r="E499" s="10">
        <v>0.0</v>
      </c>
      <c r="F499" s="13"/>
      <c r="G499" s="13"/>
      <c r="H499" s="13"/>
    </row>
    <row r="500" ht="15.75" customHeight="1">
      <c r="A500" s="13"/>
      <c r="B500" s="13"/>
      <c r="C500" s="9">
        <v>0.0</v>
      </c>
      <c r="D500" s="10">
        <v>0.0</v>
      </c>
      <c r="E500" s="10">
        <v>0.0</v>
      </c>
      <c r="F500" s="13"/>
      <c r="G500" s="13"/>
      <c r="H500" s="13"/>
    </row>
    <row r="501" ht="15.75" customHeight="1">
      <c r="A501" s="13"/>
      <c r="B501" s="13"/>
      <c r="C501" s="9">
        <v>0.0</v>
      </c>
      <c r="D501" s="10">
        <v>0.0</v>
      </c>
      <c r="E501" s="10">
        <v>0.0</v>
      </c>
      <c r="F501" s="13"/>
      <c r="G501" s="13"/>
      <c r="H501" s="13"/>
    </row>
    <row r="502" ht="15.75" customHeight="1">
      <c r="A502" s="13"/>
      <c r="B502" s="13"/>
      <c r="C502" s="9">
        <v>0.0</v>
      </c>
      <c r="D502" s="10">
        <v>0.0</v>
      </c>
      <c r="E502" s="10">
        <v>0.0</v>
      </c>
      <c r="F502" s="13"/>
      <c r="G502" s="13"/>
      <c r="H502" s="13"/>
    </row>
    <row r="503" ht="15.75" customHeight="1">
      <c r="A503" s="13"/>
      <c r="B503" s="13"/>
      <c r="C503" s="9">
        <v>0.0</v>
      </c>
      <c r="D503" s="10">
        <v>0.0</v>
      </c>
      <c r="E503" s="10">
        <v>0.0</v>
      </c>
      <c r="F503" s="13"/>
      <c r="G503" s="13"/>
      <c r="H503" s="13"/>
    </row>
    <row r="504" ht="15.75" customHeight="1">
      <c r="A504" s="13"/>
      <c r="B504" s="13"/>
      <c r="C504" s="9">
        <v>0.0</v>
      </c>
      <c r="D504" s="10">
        <v>0.0</v>
      </c>
      <c r="E504" s="10">
        <v>0.0</v>
      </c>
      <c r="F504" s="13"/>
      <c r="G504" s="13"/>
      <c r="H504" s="13"/>
    </row>
    <row r="505" ht="15.75" customHeight="1">
      <c r="A505" s="13"/>
      <c r="B505" s="13"/>
      <c r="C505" s="9">
        <f>IFERROR(SUMIF(ENTRADAS!A:A,A505,ENTRADAS!C:C))</f>
        <v>0</v>
      </c>
      <c r="D505" s="10">
        <f>SUMIF(SALIDAS!A:A,A505,SALIDAS!C:C)</f>
        <v>0</v>
      </c>
      <c r="E505" s="10">
        <f t="shared" ref="E505:E1001" si="1">C505-D505</f>
        <v>0</v>
      </c>
      <c r="F505" s="13"/>
      <c r="G505" s="13"/>
      <c r="H505" s="13"/>
    </row>
    <row r="506" ht="15.75" customHeight="1">
      <c r="A506" s="13"/>
      <c r="B506" s="13"/>
      <c r="C506" s="9">
        <f>IFERROR(SUMIF(ENTRADAS!A:A,A506,ENTRADAS!C:C))</f>
        <v>0</v>
      </c>
      <c r="D506" s="10">
        <f>SUMIF(SALIDAS!A:A,A506,SALIDAS!C:C)</f>
        <v>0</v>
      </c>
      <c r="E506" s="10">
        <f t="shared" si="1"/>
        <v>0</v>
      </c>
      <c r="F506" s="13"/>
      <c r="G506" s="13"/>
      <c r="H506" s="13"/>
    </row>
    <row r="507" ht="15.75" customHeight="1">
      <c r="A507" s="13"/>
      <c r="B507" s="13"/>
      <c r="C507" s="9">
        <f>IFERROR(SUMIF(ENTRADAS!A:A,A507,ENTRADAS!C:C))</f>
        <v>0</v>
      </c>
      <c r="D507" s="10">
        <f>SUMIF(SALIDAS!A:A,A507,SALIDAS!C:C)</f>
        <v>0</v>
      </c>
      <c r="E507" s="10">
        <f t="shared" si="1"/>
        <v>0</v>
      </c>
      <c r="F507" s="13"/>
      <c r="G507" s="13"/>
      <c r="H507" s="13"/>
    </row>
    <row r="508" ht="15.75" customHeight="1">
      <c r="A508" s="13"/>
      <c r="B508" s="13"/>
      <c r="C508" s="9">
        <f>IFERROR(SUMIF(ENTRADAS!A:A,A508,ENTRADAS!C:C))</f>
        <v>0</v>
      </c>
      <c r="D508" s="10">
        <f>SUMIF(SALIDAS!A:A,A508,SALIDAS!C:C)</f>
        <v>0</v>
      </c>
      <c r="E508" s="10">
        <f t="shared" si="1"/>
        <v>0</v>
      </c>
      <c r="F508" s="13"/>
      <c r="G508" s="13"/>
      <c r="H508" s="13"/>
    </row>
    <row r="509" ht="15.75" customHeight="1">
      <c r="A509" s="13"/>
      <c r="B509" s="13"/>
      <c r="C509" s="9">
        <f>IFERROR(SUMIF(ENTRADAS!A:A,A509,ENTRADAS!C:C))</f>
        <v>0</v>
      </c>
      <c r="D509" s="10">
        <f>SUMIF(SALIDAS!A:A,A509,SALIDAS!C:C)</f>
        <v>0</v>
      </c>
      <c r="E509" s="10">
        <f t="shared" si="1"/>
        <v>0</v>
      </c>
      <c r="F509" s="13"/>
      <c r="G509" s="13"/>
      <c r="H509" s="13"/>
    </row>
    <row r="510" ht="15.75" customHeight="1">
      <c r="A510" s="13"/>
      <c r="B510" s="13"/>
      <c r="C510" s="9">
        <f>IFERROR(SUMIF(ENTRADAS!A:A,A510,ENTRADAS!C:C))</f>
        <v>0</v>
      </c>
      <c r="D510" s="10">
        <f>SUMIF(SALIDAS!A:A,A510,SALIDAS!C:C)</f>
        <v>0</v>
      </c>
      <c r="E510" s="10">
        <f t="shared" si="1"/>
        <v>0</v>
      </c>
      <c r="F510" s="13"/>
      <c r="G510" s="13"/>
      <c r="H510" s="13"/>
    </row>
    <row r="511" ht="15.75" customHeight="1">
      <c r="A511" s="13"/>
      <c r="B511" s="13"/>
      <c r="C511" s="9">
        <f>IFERROR(SUMIF(ENTRADAS!A:A,A511,ENTRADAS!C:C))</f>
        <v>0</v>
      </c>
      <c r="D511" s="10">
        <f>SUMIF(SALIDAS!A:A,A511,SALIDAS!C:C)</f>
        <v>0</v>
      </c>
      <c r="E511" s="10">
        <f t="shared" si="1"/>
        <v>0</v>
      </c>
      <c r="F511" s="13"/>
      <c r="G511" s="13"/>
      <c r="H511" s="13"/>
    </row>
    <row r="512" ht="15.75" customHeight="1">
      <c r="A512" s="13"/>
      <c r="B512" s="13"/>
      <c r="C512" s="9">
        <f>IFERROR(SUMIF(ENTRADAS!A:A,A512,ENTRADAS!C:C))</f>
        <v>0</v>
      </c>
      <c r="D512" s="10">
        <f>SUMIF(SALIDAS!A:A,A512,SALIDAS!C:C)</f>
        <v>0</v>
      </c>
      <c r="E512" s="10">
        <f t="shared" si="1"/>
        <v>0</v>
      </c>
      <c r="F512" s="13"/>
      <c r="G512" s="13"/>
      <c r="H512" s="13"/>
    </row>
    <row r="513" ht="15.75" customHeight="1">
      <c r="A513" s="13"/>
      <c r="B513" s="13"/>
      <c r="C513" s="9">
        <f>IFERROR(SUMIF(ENTRADAS!A:A,A513,ENTRADAS!C:C))</f>
        <v>0</v>
      </c>
      <c r="D513" s="10">
        <f>SUMIF(SALIDAS!A:A,A513,SALIDAS!C:C)</f>
        <v>0</v>
      </c>
      <c r="E513" s="10">
        <f t="shared" si="1"/>
        <v>0</v>
      </c>
      <c r="F513" s="13"/>
      <c r="G513" s="13"/>
      <c r="H513" s="13"/>
    </row>
    <row r="514" ht="15.75" customHeight="1">
      <c r="A514" s="13"/>
      <c r="B514" s="13"/>
      <c r="C514" s="9">
        <f>IFERROR(SUMIF(ENTRADAS!A:A,A514,ENTRADAS!C:C))</f>
        <v>0</v>
      </c>
      <c r="D514" s="10">
        <f>SUMIF(SALIDAS!A:A,A514,SALIDAS!C:C)</f>
        <v>0</v>
      </c>
      <c r="E514" s="10">
        <f t="shared" si="1"/>
        <v>0</v>
      </c>
      <c r="F514" s="13"/>
      <c r="G514" s="13"/>
      <c r="H514" s="13"/>
    </row>
    <row r="515" ht="15.75" customHeight="1">
      <c r="A515" s="13"/>
      <c r="B515" s="13"/>
      <c r="C515" s="9">
        <f>IFERROR(SUMIF(ENTRADAS!A:A,A515,ENTRADAS!C:C))</f>
        <v>0</v>
      </c>
      <c r="D515" s="10">
        <f>SUMIF(SALIDAS!A:A,A515,SALIDAS!C:C)</f>
        <v>0</v>
      </c>
      <c r="E515" s="10">
        <f t="shared" si="1"/>
        <v>0</v>
      </c>
      <c r="F515" s="13"/>
      <c r="G515" s="13"/>
      <c r="H515" s="13"/>
    </row>
    <row r="516" ht="15.75" customHeight="1">
      <c r="A516" s="13"/>
      <c r="B516" s="13"/>
      <c r="C516" s="9">
        <f>IFERROR(SUMIF(ENTRADAS!A:A,A516,ENTRADAS!C:C))</f>
        <v>0</v>
      </c>
      <c r="D516" s="10">
        <f>SUMIF(SALIDAS!A:A,A516,SALIDAS!C:C)</f>
        <v>0</v>
      </c>
      <c r="E516" s="10">
        <f t="shared" si="1"/>
        <v>0</v>
      </c>
      <c r="F516" s="13"/>
      <c r="G516" s="13"/>
      <c r="H516" s="13"/>
    </row>
    <row r="517" ht="15.75" customHeight="1">
      <c r="A517" s="13"/>
      <c r="B517" s="13"/>
      <c r="C517" s="9">
        <f>IFERROR(SUMIF(ENTRADAS!A:A,A517,ENTRADAS!C:C))</f>
        <v>0</v>
      </c>
      <c r="D517" s="10">
        <f>SUMIF(SALIDAS!A:A,A517,SALIDAS!C:C)</f>
        <v>0</v>
      </c>
      <c r="E517" s="10">
        <f t="shared" si="1"/>
        <v>0</v>
      </c>
      <c r="F517" s="13"/>
      <c r="G517" s="13"/>
      <c r="H517" s="13"/>
    </row>
    <row r="518" ht="15.75" customHeight="1">
      <c r="A518" s="13"/>
      <c r="B518" s="13"/>
      <c r="C518" s="9">
        <f>IFERROR(SUMIF(ENTRADAS!A:A,A518,ENTRADAS!C:C))</f>
        <v>0</v>
      </c>
      <c r="D518" s="10">
        <f>SUMIF(SALIDAS!A:A,A518,SALIDAS!C:C)</f>
        <v>0</v>
      </c>
      <c r="E518" s="10">
        <f t="shared" si="1"/>
        <v>0</v>
      </c>
      <c r="F518" s="13"/>
      <c r="G518" s="13"/>
      <c r="H518" s="13"/>
    </row>
    <row r="519" ht="15.75" customHeight="1">
      <c r="A519" s="13"/>
      <c r="B519" s="13"/>
      <c r="C519" s="9">
        <f>IFERROR(SUMIF(ENTRADAS!A:A,A519,ENTRADAS!C:C))</f>
        <v>0</v>
      </c>
      <c r="D519" s="10">
        <f>SUMIF(SALIDAS!A:A,A519,SALIDAS!C:C)</f>
        <v>0</v>
      </c>
      <c r="E519" s="10">
        <f t="shared" si="1"/>
        <v>0</v>
      </c>
      <c r="F519" s="13"/>
      <c r="G519" s="13"/>
      <c r="H519" s="13"/>
    </row>
    <row r="520" ht="15.75" customHeight="1">
      <c r="A520" s="13"/>
      <c r="B520" s="13"/>
      <c r="C520" s="9">
        <f>IFERROR(SUMIF(ENTRADAS!A:A,A520,ENTRADAS!C:C))</f>
        <v>0</v>
      </c>
      <c r="D520" s="10">
        <f>SUMIF(SALIDAS!A:A,A520,SALIDAS!C:C)</f>
        <v>0</v>
      </c>
      <c r="E520" s="10">
        <f t="shared" si="1"/>
        <v>0</v>
      </c>
      <c r="F520" s="13"/>
      <c r="G520" s="13"/>
      <c r="H520" s="13"/>
    </row>
    <row r="521" ht="15.75" customHeight="1">
      <c r="A521" s="13"/>
      <c r="B521" s="13"/>
      <c r="C521" s="9">
        <f>IFERROR(SUMIF(ENTRADAS!A:A,A521,ENTRADAS!C:C))</f>
        <v>0</v>
      </c>
      <c r="D521" s="10">
        <f>SUMIF(SALIDAS!A:A,A521,SALIDAS!C:C)</f>
        <v>0</v>
      </c>
      <c r="E521" s="10">
        <f t="shared" si="1"/>
        <v>0</v>
      </c>
      <c r="F521" s="13"/>
      <c r="G521" s="13"/>
      <c r="H521" s="13"/>
    </row>
    <row r="522" ht="15.75" customHeight="1">
      <c r="A522" s="13"/>
      <c r="B522" s="13"/>
      <c r="C522" s="9">
        <f>IFERROR(SUMIF(ENTRADAS!A:A,A522,ENTRADAS!C:C))</f>
        <v>0</v>
      </c>
      <c r="D522" s="10">
        <f>SUMIF(SALIDAS!A:A,A522,SALIDAS!C:C)</f>
        <v>0</v>
      </c>
      <c r="E522" s="10">
        <f t="shared" si="1"/>
        <v>0</v>
      </c>
      <c r="F522" s="13"/>
      <c r="G522" s="13"/>
      <c r="H522" s="13"/>
    </row>
    <row r="523" ht="15.75" customHeight="1">
      <c r="A523" s="13"/>
      <c r="B523" s="13"/>
      <c r="C523" s="9">
        <f>IFERROR(SUMIF(ENTRADAS!A:A,A523,ENTRADAS!C:C))</f>
        <v>0</v>
      </c>
      <c r="D523" s="10">
        <f>SUMIF(SALIDAS!A:A,A523,SALIDAS!C:C)</f>
        <v>0</v>
      </c>
      <c r="E523" s="10">
        <f t="shared" si="1"/>
        <v>0</v>
      </c>
      <c r="F523" s="13"/>
      <c r="G523" s="13"/>
      <c r="H523" s="13"/>
    </row>
    <row r="524" ht="15.75" customHeight="1">
      <c r="A524" s="13"/>
      <c r="B524" s="13"/>
      <c r="C524" s="9">
        <f>IFERROR(SUMIF(ENTRADAS!A:A,A524,ENTRADAS!C:C))</f>
        <v>0</v>
      </c>
      <c r="D524" s="10">
        <f>SUMIF(SALIDAS!A:A,A524,SALIDAS!C:C)</f>
        <v>0</v>
      </c>
      <c r="E524" s="10">
        <f t="shared" si="1"/>
        <v>0</v>
      </c>
      <c r="F524" s="13"/>
      <c r="G524" s="13"/>
      <c r="H524" s="13"/>
    </row>
    <row r="525" ht="15.75" customHeight="1">
      <c r="A525" s="13"/>
      <c r="B525" s="13"/>
      <c r="C525" s="9">
        <f>IFERROR(SUMIF(ENTRADAS!A:A,A525,ENTRADAS!C:C))</f>
        <v>0</v>
      </c>
      <c r="D525" s="10">
        <f>SUMIF(SALIDAS!A:A,A525,SALIDAS!C:C)</f>
        <v>0</v>
      </c>
      <c r="E525" s="10">
        <f t="shared" si="1"/>
        <v>0</v>
      </c>
      <c r="F525" s="13"/>
      <c r="G525" s="13"/>
      <c r="H525" s="13"/>
    </row>
    <row r="526" ht="15.75" customHeight="1">
      <c r="A526" s="13"/>
      <c r="B526" s="13"/>
      <c r="C526" s="9">
        <f>IFERROR(SUMIF(ENTRADAS!A:A,A526,ENTRADAS!C:C))</f>
        <v>0</v>
      </c>
      <c r="D526" s="10">
        <f>SUMIF(SALIDAS!A:A,A526,SALIDAS!C:C)</f>
        <v>0</v>
      </c>
      <c r="E526" s="10">
        <f t="shared" si="1"/>
        <v>0</v>
      </c>
      <c r="F526" s="13"/>
      <c r="G526" s="13"/>
      <c r="H526" s="13"/>
    </row>
    <row r="527" ht="15.75" customHeight="1">
      <c r="A527" s="13"/>
      <c r="B527" s="13"/>
      <c r="C527" s="9">
        <f>IFERROR(SUMIF(ENTRADAS!A:A,A527,ENTRADAS!C:C))</f>
        <v>0</v>
      </c>
      <c r="D527" s="10">
        <f>SUMIF(SALIDAS!A:A,A527,SALIDAS!C:C)</f>
        <v>0</v>
      </c>
      <c r="E527" s="10">
        <f t="shared" si="1"/>
        <v>0</v>
      </c>
      <c r="F527" s="13"/>
      <c r="G527" s="13"/>
      <c r="H527" s="13"/>
    </row>
    <row r="528" ht="15.75" customHeight="1">
      <c r="A528" s="13"/>
      <c r="B528" s="13"/>
      <c r="C528" s="9">
        <f>IFERROR(SUMIF(ENTRADAS!A:A,A528,ENTRADAS!C:C))</f>
        <v>0</v>
      </c>
      <c r="D528" s="10">
        <f>SUMIF(SALIDAS!A:A,A528,SALIDAS!C:C)</f>
        <v>0</v>
      </c>
      <c r="E528" s="10">
        <f t="shared" si="1"/>
        <v>0</v>
      </c>
      <c r="F528" s="13"/>
      <c r="G528" s="13"/>
      <c r="H528" s="13"/>
    </row>
    <row r="529" ht="15.75" customHeight="1">
      <c r="A529" s="13"/>
      <c r="B529" s="13"/>
      <c r="C529" s="9">
        <f>IFERROR(SUMIF(ENTRADAS!A:A,A529,ENTRADAS!C:C))</f>
        <v>0</v>
      </c>
      <c r="D529" s="10">
        <f>SUMIF(SALIDAS!A:A,A529,SALIDAS!C:C)</f>
        <v>0</v>
      </c>
      <c r="E529" s="10">
        <f t="shared" si="1"/>
        <v>0</v>
      </c>
      <c r="F529" s="13"/>
      <c r="G529" s="13"/>
      <c r="H529" s="13"/>
    </row>
    <row r="530" ht="15.75" customHeight="1">
      <c r="A530" s="13"/>
      <c r="B530" s="13"/>
      <c r="C530" s="9">
        <f>IFERROR(SUMIF(ENTRADAS!A:A,A530,ENTRADAS!C:C))</f>
        <v>0</v>
      </c>
      <c r="D530" s="10">
        <f>SUMIF(SALIDAS!A:A,A530,SALIDAS!C:C)</f>
        <v>0</v>
      </c>
      <c r="E530" s="10">
        <f t="shared" si="1"/>
        <v>0</v>
      </c>
      <c r="F530" s="13"/>
      <c r="G530" s="13"/>
      <c r="H530" s="13"/>
    </row>
    <row r="531" ht="15.75" customHeight="1">
      <c r="A531" s="13"/>
      <c r="B531" s="13"/>
      <c r="C531" s="9">
        <f>IFERROR(SUMIF(ENTRADAS!A:A,A531,ENTRADAS!C:C))</f>
        <v>0</v>
      </c>
      <c r="D531" s="10">
        <f>SUMIF(SALIDAS!A:A,A531,SALIDAS!C:C)</f>
        <v>0</v>
      </c>
      <c r="E531" s="10">
        <f t="shared" si="1"/>
        <v>0</v>
      </c>
      <c r="F531" s="13"/>
      <c r="G531" s="13"/>
      <c r="H531" s="13"/>
    </row>
    <row r="532" ht="15.75" customHeight="1">
      <c r="A532" s="13"/>
      <c r="B532" s="13"/>
      <c r="C532" s="9">
        <f>IFERROR(SUMIF(ENTRADAS!A:A,A532,ENTRADAS!C:C))</f>
        <v>0</v>
      </c>
      <c r="D532" s="10">
        <f>SUMIF(SALIDAS!A:A,A532,SALIDAS!C:C)</f>
        <v>0</v>
      </c>
      <c r="E532" s="10">
        <f t="shared" si="1"/>
        <v>0</v>
      </c>
      <c r="F532" s="13"/>
      <c r="G532" s="13"/>
      <c r="H532" s="13"/>
    </row>
    <row r="533" ht="15.75" customHeight="1">
      <c r="A533" s="13"/>
      <c r="B533" s="13"/>
      <c r="C533" s="9">
        <f>IFERROR(SUMIF(ENTRADAS!A:A,A533,ENTRADAS!C:C))</f>
        <v>0</v>
      </c>
      <c r="D533" s="10">
        <f>SUMIF(SALIDAS!A:A,A533,SALIDAS!C:C)</f>
        <v>0</v>
      </c>
      <c r="E533" s="10">
        <f t="shared" si="1"/>
        <v>0</v>
      </c>
      <c r="F533" s="13"/>
      <c r="G533" s="13"/>
      <c r="H533" s="13"/>
    </row>
    <row r="534" ht="15.75" customHeight="1">
      <c r="A534" s="13"/>
      <c r="B534" s="13"/>
      <c r="C534" s="9">
        <f>IFERROR(SUMIF(ENTRADAS!A:A,A534,ENTRADAS!C:C))</f>
        <v>0</v>
      </c>
      <c r="D534" s="10">
        <f>SUMIF(SALIDAS!A:A,A534,SALIDAS!C:C)</f>
        <v>0</v>
      </c>
      <c r="E534" s="10">
        <f t="shared" si="1"/>
        <v>0</v>
      </c>
      <c r="F534" s="13"/>
      <c r="G534" s="13"/>
      <c r="H534" s="13"/>
    </row>
    <row r="535" ht="15.75" customHeight="1">
      <c r="A535" s="13"/>
      <c r="B535" s="13"/>
      <c r="C535" s="9">
        <f>IFERROR(SUMIF(ENTRADAS!A:A,A535,ENTRADAS!C:C))</f>
        <v>0</v>
      </c>
      <c r="D535" s="10">
        <f>SUMIF(SALIDAS!A:A,A535,SALIDAS!C:C)</f>
        <v>0</v>
      </c>
      <c r="E535" s="10">
        <f t="shared" si="1"/>
        <v>0</v>
      </c>
      <c r="F535" s="13"/>
      <c r="G535" s="13"/>
      <c r="H535" s="13"/>
    </row>
    <row r="536" ht="15.75" customHeight="1">
      <c r="A536" s="13"/>
      <c r="B536" s="13"/>
      <c r="C536" s="9">
        <f>IFERROR(SUMIF(ENTRADAS!A:A,A536,ENTRADAS!C:C))</f>
        <v>0</v>
      </c>
      <c r="D536" s="10">
        <f>SUMIF(SALIDAS!A:A,A536,SALIDAS!C:C)</f>
        <v>0</v>
      </c>
      <c r="E536" s="10">
        <f t="shared" si="1"/>
        <v>0</v>
      </c>
      <c r="F536" s="13"/>
      <c r="G536" s="13"/>
      <c r="H536" s="13"/>
    </row>
    <row r="537" ht="15.75" customHeight="1">
      <c r="A537" s="13"/>
      <c r="B537" s="13"/>
      <c r="C537" s="9">
        <f>IFERROR(SUMIF(ENTRADAS!A:A,A537,ENTRADAS!C:C))</f>
        <v>0</v>
      </c>
      <c r="D537" s="10">
        <f>SUMIF(SALIDAS!A:A,A537,SALIDAS!C:C)</f>
        <v>0</v>
      </c>
      <c r="E537" s="10">
        <f t="shared" si="1"/>
        <v>0</v>
      </c>
      <c r="F537" s="13"/>
      <c r="G537" s="13"/>
      <c r="H537" s="13"/>
    </row>
    <row r="538" ht="15.75" customHeight="1">
      <c r="A538" s="13"/>
      <c r="B538" s="13"/>
      <c r="C538" s="9">
        <f>IFERROR(SUMIF(ENTRADAS!A:A,A538,ENTRADAS!C:C))</f>
        <v>0</v>
      </c>
      <c r="D538" s="10">
        <f>SUMIF(SALIDAS!A:A,A538,SALIDAS!C:C)</f>
        <v>0</v>
      </c>
      <c r="E538" s="10">
        <f t="shared" si="1"/>
        <v>0</v>
      </c>
      <c r="F538" s="13"/>
      <c r="G538" s="13"/>
      <c r="H538" s="13"/>
    </row>
    <row r="539" ht="15.75" customHeight="1">
      <c r="A539" s="13"/>
      <c r="B539" s="13"/>
      <c r="C539" s="9">
        <f>IFERROR(SUMIF(ENTRADAS!A:A,A539,ENTRADAS!C:C))</f>
        <v>0</v>
      </c>
      <c r="D539" s="10">
        <f>SUMIF(SALIDAS!A:A,A539,SALIDAS!C:C)</f>
        <v>0</v>
      </c>
      <c r="E539" s="10">
        <f t="shared" si="1"/>
        <v>0</v>
      </c>
      <c r="F539" s="13"/>
      <c r="G539" s="13"/>
      <c r="H539" s="13"/>
    </row>
    <row r="540" ht="15.75" customHeight="1">
      <c r="A540" s="13"/>
      <c r="B540" s="13"/>
      <c r="C540" s="9">
        <f>IFERROR(SUMIF(ENTRADAS!A:A,A540,ENTRADAS!C:C))</f>
        <v>0</v>
      </c>
      <c r="D540" s="10">
        <f>SUMIF(SALIDAS!A:A,A540,SALIDAS!C:C)</f>
        <v>0</v>
      </c>
      <c r="E540" s="10">
        <f t="shared" si="1"/>
        <v>0</v>
      </c>
      <c r="F540" s="13"/>
      <c r="G540" s="13"/>
      <c r="H540" s="13"/>
    </row>
    <row r="541" ht="15.75" customHeight="1">
      <c r="A541" s="13"/>
      <c r="B541" s="13"/>
      <c r="C541" s="9">
        <f>IFERROR(SUMIF(ENTRADAS!A:A,A541,ENTRADAS!C:C))</f>
        <v>0</v>
      </c>
      <c r="D541" s="10">
        <f>SUMIF(SALIDAS!A:A,A541,SALIDAS!C:C)</f>
        <v>0</v>
      </c>
      <c r="E541" s="10">
        <f t="shared" si="1"/>
        <v>0</v>
      </c>
      <c r="F541" s="13"/>
      <c r="G541" s="13"/>
      <c r="H541" s="13"/>
    </row>
    <row r="542" ht="15.75" customHeight="1">
      <c r="A542" s="13"/>
      <c r="B542" s="13"/>
      <c r="C542" s="9">
        <f>IFERROR(SUMIF(ENTRADAS!A:A,A542,ENTRADAS!C:C))</f>
        <v>0</v>
      </c>
      <c r="D542" s="10">
        <f>SUMIF(SALIDAS!A:A,A542,SALIDAS!C:C)</f>
        <v>0</v>
      </c>
      <c r="E542" s="10">
        <f t="shared" si="1"/>
        <v>0</v>
      </c>
      <c r="F542" s="13"/>
      <c r="G542" s="13"/>
      <c r="H542" s="13"/>
    </row>
    <row r="543" ht="15.75" customHeight="1">
      <c r="A543" s="13"/>
      <c r="B543" s="13"/>
      <c r="C543" s="9">
        <f>IFERROR(SUMIF(ENTRADAS!A:A,A543,ENTRADAS!C:C))</f>
        <v>0</v>
      </c>
      <c r="D543" s="10">
        <f>SUMIF(SALIDAS!A:A,A543,SALIDAS!C:C)</f>
        <v>0</v>
      </c>
      <c r="E543" s="10">
        <f t="shared" si="1"/>
        <v>0</v>
      </c>
      <c r="F543" s="13"/>
      <c r="G543" s="13"/>
      <c r="H543" s="13"/>
    </row>
    <row r="544" ht="15.75" customHeight="1">
      <c r="A544" s="13"/>
      <c r="B544" s="13"/>
      <c r="C544" s="9">
        <f>IFERROR(SUMIF(ENTRADAS!A:A,A544,ENTRADAS!C:C))</f>
        <v>0</v>
      </c>
      <c r="D544" s="10">
        <f>SUMIF(SALIDAS!A:A,A544,SALIDAS!C:C)</f>
        <v>0</v>
      </c>
      <c r="E544" s="10">
        <f t="shared" si="1"/>
        <v>0</v>
      </c>
      <c r="F544" s="13"/>
      <c r="G544" s="13"/>
      <c r="H544" s="13"/>
    </row>
    <row r="545" ht="15.75" customHeight="1">
      <c r="A545" s="13"/>
      <c r="B545" s="13"/>
      <c r="C545" s="9">
        <f>IFERROR(SUMIF(ENTRADAS!A:A,A545,ENTRADAS!C:C))</f>
        <v>0</v>
      </c>
      <c r="D545" s="10">
        <f>SUMIF(SALIDAS!A:A,A545,SALIDAS!C:C)</f>
        <v>0</v>
      </c>
      <c r="E545" s="10">
        <f t="shared" si="1"/>
        <v>0</v>
      </c>
      <c r="F545" s="13"/>
      <c r="G545" s="13"/>
      <c r="H545" s="13"/>
    </row>
    <row r="546" ht="15.75" customHeight="1">
      <c r="A546" s="13"/>
      <c r="B546" s="13"/>
      <c r="C546" s="9">
        <f>IFERROR(SUMIF(ENTRADAS!A:A,A546,ENTRADAS!C:C))</f>
        <v>0</v>
      </c>
      <c r="D546" s="10">
        <f>SUMIF(SALIDAS!A:A,A546,SALIDAS!C:C)</f>
        <v>0</v>
      </c>
      <c r="E546" s="10">
        <f t="shared" si="1"/>
        <v>0</v>
      </c>
      <c r="F546" s="13"/>
      <c r="G546" s="13"/>
      <c r="H546" s="13"/>
    </row>
    <row r="547" ht="15.75" customHeight="1">
      <c r="A547" s="13"/>
      <c r="B547" s="13"/>
      <c r="C547" s="9">
        <f>IFERROR(SUMIF(ENTRADAS!A:A,A547,ENTRADAS!C:C))</f>
        <v>0</v>
      </c>
      <c r="D547" s="10">
        <f>SUMIF(SALIDAS!A:A,A547,SALIDAS!C:C)</f>
        <v>0</v>
      </c>
      <c r="E547" s="10">
        <f t="shared" si="1"/>
        <v>0</v>
      </c>
      <c r="F547" s="13"/>
      <c r="G547" s="13"/>
      <c r="H547" s="13"/>
    </row>
    <row r="548" ht="15.75" customHeight="1">
      <c r="A548" s="13"/>
      <c r="B548" s="13"/>
      <c r="C548" s="9">
        <f>IFERROR(SUMIF(ENTRADAS!A:A,A548,ENTRADAS!C:C))</f>
        <v>0</v>
      </c>
      <c r="D548" s="10">
        <f>SUMIF(SALIDAS!A:A,A548,SALIDAS!C:C)</f>
        <v>0</v>
      </c>
      <c r="E548" s="10">
        <f t="shared" si="1"/>
        <v>0</v>
      </c>
      <c r="F548" s="13"/>
      <c r="G548" s="13"/>
      <c r="H548" s="13"/>
    </row>
    <row r="549" ht="15.75" customHeight="1">
      <c r="A549" s="13"/>
      <c r="B549" s="13"/>
      <c r="C549" s="9">
        <f>IFERROR(SUMIF(ENTRADAS!A:A,A549,ENTRADAS!C:C))</f>
        <v>0</v>
      </c>
      <c r="D549" s="10">
        <f>SUMIF(SALIDAS!A:A,A549,SALIDAS!C:C)</f>
        <v>0</v>
      </c>
      <c r="E549" s="10">
        <f t="shared" si="1"/>
        <v>0</v>
      </c>
      <c r="F549" s="13"/>
      <c r="G549" s="13"/>
      <c r="H549" s="13"/>
    </row>
    <row r="550" ht="15.75" customHeight="1">
      <c r="A550" s="13"/>
      <c r="B550" s="13"/>
      <c r="C550" s="9">
        <f>IFERROR(SUMIF(ENTRADAS!A:A,A550,ENTRADAS!C:C))</f>
        <v>0</v>
      </c>
      <c r="D550" s="10">
        <f>SUMIF(SALIDAS!A:A,A550,SALIDAS!C:C)</f>
        <v>0</v>
      </c>
      <c r="E550" s="10">
        <f t="shared" si="1"/>
        <v>0</v>
      </c>
      <c r="F550" s="13"/>
      <c r="G550" s="13"/>
      <c r="H550" s="13"/>
    </row>
    <row r="551" ht="15.75" customHeight="1">
      <c r="A551" s="13"/>
      <c r="B551" s="13"/>
      <c r="C551" s="9">
        <f>IFERROR(SUMIF(ENTRADAS!A:A,A551,ENTRADAS!C:C))</f>
        <v>0</v>
      </c>
      <c r="D551" s="10">
        <f>SUMIF(SALIDAS!A:A,A551,SALIDAS!C:C)</f>
        <v>0</v>
      </c>
      <c r="E551" s="10">
        <f t="shared" si="1"/>
        <v>0</v>
      </c>
      <c r="F551" s="13"/>
      <c r="G551" s="13"/>
      <c r="H551" s="13"/>
    </row>
    <row r="552" ht="15.75" customHeight="1">
      <c r="A552" s="13"/>
      <c r="B552" s="13"/>
      <c r="C552" s="9">
        <f>IFERROR(SUMIF(ENTRADAS!A:A,A552,ENTRADAS!C:C))</f>
        <v>0</v>
      </c>
      <c r="D552" s="10">
        <f>SUMIF(SALIDAS!A:A,A552,SALIDAS!C:C)</f>
        <v>0</v>
      </c>
      <c r="E552" s="10">
        <f t="shared" si="1"/>
        <v>0</v>
      </c>
      <c r="F552" s="13"/>
      <c r="G552" s="13"/>
      <c r="H552" s="13"/>
    </row>
    <row r="553" ht="15.75" customHeight="1">
      <c r="A553" s="13"/>
      <c r="B553" s="13"/>
      <c r="C553" s="9">
        <f>IFERROR(SUMIF(ENTRADAS!A:A,A553,ENTRADAS!C:C))</f>
        <v>0</v>
      </c>
      <c r="D553" s="10">
        <f>SUMIF(SALIDAS!A:A,A553,SALIDAS!C:C)</f>
        <v>0</v>
      </c>
      <c r="E553" s="10">
        <f t="shared" si="1"/>
        <v>0</v>
      </c>
      <c r="F553" s="13"/>
      <c r="G553" s="13"/>
      <c r="H553" s="13"/>
    </row>
    <row r="554" ht="15.75" customHeight="1">
      <c r="A554" s="13"/>
      <c r="B554" s="13"/>
      <c r="C554" s="9">
        <f>IFERROR(SUMIF(ENTRADAS!A:A,A554,ENTRADAS!C:C))</f>
        <v>0</v>
      </c>
      <c r="D554" s="10">
        <f>SUMIF(SALIDAS!A:A,A554,SALIDAS!C:C)</f>
        <v>0</v>
      </c>
      <c r="E554" s="10">
        <f t="shared" si="1"/>
        <v>0</v>
      </c>
      <c r="F554" s="13"/>
      <c r="G554" s="13"/>
      <c r="H554" s="13"/>
    </row>
    <row r="555" ht="15.75" customHeight="1">
      <c r="A555" s="13"/>
      <c r="B555" s="13"/>
      <c r="C555" s="9">
        <f>IFERROR(SUMIF(ENTRADAS!A:A,A555,ENTRADAS!C:C))</f>
        <v>0</v>
      </c>
      <c r="D555" s="10">
        <f>SUMIF(SALIDAS!A:A,A555,SALIDAS!C:C)</f>
        <v>0</v>
      </c>
      <c r="E555" s="10">
        <f t="shared" si="1"/>
        <v>0</v>
      </c>
      <c r="F555" s="13"/>
      <c r="G555" s="13"/>
      <c r="H555" s="13"/>
    </row>
    <row r="556" ht="15.75" customHeight="1">
      <c r="A556" s="13"/>
      <c r="B556" s="13"/>
      <c r="C556" s="9">
        <f>IFERROR(SUMIF(ENTRADAS!A:A,A556,ENTRADAS!C:C))</f>
        <v>0</v>
      </c>
      <c r="D556" s="10">
        <f>SUMIF(SALIDAS!A:A,A556,SALIDAS!C:C)</f>
        <v>0</v>
      </c>
      <c r="E556" s="10">
        <f t="shared" si="1"/>
        <v>0</v>
      </c>
      <c r="F556" s="13"/>
      <c r="G556" s="13"/>
      <c r="H556" s="13"/>
    </row>
    <row r="557" ht="15.75" customHeight="1">
      <c r="A557" s="13"/>
      <c r="B557" s="13"/>
      <c r="C557" s="9">
        <f>IFERROR(SUMIF(ENTRADAS!A:A,A557,ENTRADAS!C:C))</f>
        <v>0</v>
      </c>
      <c r="D557" s="10">
        <f>SUMIF(SALIDAS!A:A,A557,SALIDAS!C:C)</f>
        <v>0</v>
      </c>
      <c r="E557" s="10">
        <f t="shared" si="1"/>
        <v>0</v>
      </c>
      <c r="F557" s="13"/>
      <c r="G557" s="13"/>
      <c r="H557" s="13"/>
    </row>
    <row r="558" ht="15.75" customHeight="1">
      <c r="A558" s="13"/>
      <c r="B558" s="13"/>
      <c r="C558" s="9">
        <f>IFERROR(SUMIF(ENTRADAS!A:A,A558,ENTRADAS!C:C))</f>
        <v>0</v>
      </c>
      <c r="D558" s="10">
        <f>SUMIF(SALIDAS!A:A,A558,SALIDAS!C:C)</f>
        <v>0</v>
      </c>
      <c r="E558" s="10">
        <f t="shared" si="1"/>
        <v>0</v>
      </c>
      <c r="F558" s="13"/>
      <c r="G558" s="13"/>
      <c r="H558" s="13"/>
    </row>
    <row r="559" ht="15.75" customHeight="1">
      <c r="A559" s="13"/>
      <c r="B559" s="13"/>
      <c r="C559" s="9">
        <f>IFERROR(SUMIF(ENTRADAS!A:A,A559,ENTRADAS!C:C))</f>
        <v>0</v>
      </c>
      <c r="D559" s="10">
        <f>SUMIF(SALIDAS!A:A,A559,SALIDAS!C:C)</f>
        <v>0</v>
      </c>
      <c r="E559" s="10">
        <f t="shared" si="1"/>
        <v>0</v>
      </c>
      <c r="F559" s="13"/>
      <c r="G559" s="13"/>
      <c r="H559" s="13"/>
    </row>
    <row r="560" ht="15.75" customHeight="1">
      <c r="A560" s="13"/>
      <c r="B560" s="13"/>
      <c r="C560" s="9">
        <f>IFERROR(SUMIF(ENTRADAS!A:A,A560,ENTRADAS!C:C))</f>
        <v>0</v>
      </c>
      <c r="D560" s="10">
        <f>SUMIF(SALIDAS!A:A,A560,SALIDAS!C:C)</f>
        <v>0</v>
      </c>
      <c r="E560" s="10">
        <f t="shared" si="1"/>
        <v>0</v>
      </c>
      <c r="F560" s="13"/>
      <c r="G560" s="13"/>
      <c r="H560" s="13"/>
    </row>
    <row r="561" ht="15.75" customHeight="1">
      <c r="A561" s="13"/>
      <c r="B561" s="13"/>
      <c r="C561" s="9">
        <f>IFERROR(SUMIF(ENTRADAS!A:A,A561,ENTRADAS!C:C))</f>
        <v>0</v>
      </c>
      <c r="D561" s="10">
        <f>SUMIF(SALIDAS!A:A,A561,SALIDAS!C:C)</f>
        <v>0</v>
      </c>
      <c r="E561" s="10">
        <f t="shared" si="1"/>
        <v>0</v>
      </c>
      <c r="F561" s="13"/>
      <c r="G561" s="13"/>
      <c r="H561" s="13"/>
    </row>
    <row r="562" ht="15.75" customHeight="1">
      <c r="A562" s="13"/>
      <c r="B562" s="13"/>
      <c r="C562" s="9">
        <f>IFERROR(SUMIF(ENTRADAS!A:A,A562,ENTRADAS!C:C))</f>
        <v>0</v>
      </c>
      <c r="D562" s="10">
        <f>SUMIF(SALIDAS!A:A,A562,SALIDAS!C:C)</f>
        <v>0</v>
      </c>
      <c r="E562" s="10">
        <f t="shared" si="1"/>
        <v>0</v>
      </c>
      <c r="F562" s="13"/>
      <c r="G562" s="13"/>
      <c r="H562" s="13"/>
    </row>
    <row r="563" ht="15.75" customHeight="1">
      <c r="A563" s="13"/>
      <c r="B563" s="13"/>
      <c r="C563" s="9">
        <f>IFERROR(SUMIF(ENTRADAS!A:A,A563,ENTRADAS!C:C))</f>
        <v>0</v>
      </c>
      <c r="D563" s="10">
        <f>SUMIF(SALIDAS!A:A,A563,SALIDAS!C:C)</f>
        <v>0</v>
      </c>
      <c r="E563" s="10">
        <f t="shared" si="1"/>
        <v>0</v>
      </c>
      <c r="F563" s="13"/>
      <c r="G563" s="13"/>
      <c r="H563" s="13"/>
    </row>
    <row r="564" ht="15.75" customHeight="1">
      <c r="A564" s="13"/>
      <c r="B564" s="13"/>
      <c r="C564" s="9">
        <f>IFERROR(SUMIF(ENTRADAS!A:A,A564,ENTRADAS!C:C))</f>
        <v>0</v>
      </c>
      <c r="D564" s="10">
        <f>SUMIF(SALIDAS!A:A,A564,SALIDAS!C:C)</f>
        <v>0</v>
      </c>
      <c r="E564" s="10">
        <f t="shared" si="1"/>
        <v>0</v>
      </c>
      <c r="F564" s="13"/>
      <c r="G564" s="13"/>
      <c r="H564" s="13"/>
    </row>
    <row r="565" ht="15.75" customHeight="1">
      <c r="A565" s="13"/>
      <c r="B565" s="13"/>
      <c r="C565" s="9">
        <f>IFERROR(SUMIF(ENTRADAS!A:A,A565,ENTRADAS!C:C))</f>
        <v>0</v>
      </c>
      <c r="D565" s="10">
        <f>SUMIF(SALIDAS!A:A,A565,SALIDAS!C:C)</f>
        <v>0</v>
      </c>
      <c r="E565" s="10">
        <f t="shared" si="1"/>
        <v>0</v>
      </c>
      <c r="F565" s="13"/>
      <c r="G565" s="13"/>
      <c r="H565" s="13"/>
    </row>
    <row r="566" ht="15.75" customHeight="1">
      <c r="A566" s="13"/>
      <c r="B566" s="13"/>
      <c r="C566" s="9">
        <f>IFERROR(SUMIF(ENTRADAS!A:A,A566,ENTRADAS!C:C))</f>
        <v>0</v>
      </c>
      <c r="D566" s="10">
        <f>SUMIF(SALIDAS!A:A,A566,SALIDAS!C:C)</f>
        <v>0</v>
      </c>
      <c r="E566" s="10">
        <f t="shared" si="1"/>
        <v>0</v>
      </c>
      <c r="F566" s="13"/>
      <c r="G566" s="13"/>
      <c r="H566" s="13"/>
    </row>
    <row r="567" ht="15.75" customHeight="1">
      <c r="A567" s="13"/>
      <c r="B567" s="13"/>
      <c r="C567" s="9">
        <f>IFERROR(SUMIF(ENTRADAS!A:A,A567,ENTRADAS!C:C))</f>
        <v>0</v>
      </c>
      <c r="D567" s="10">
        <f>SUMIF(SALIDAS!A:A,A567,SALIDAS!C:C)</f>
        <v>0</v>
      </c>
      <c r="E567" s="10">
        <f t="shared" si="1"/>
        <v>0</v>
      </c>
      <c r="F567" s="13"/>
      <c r="G567" s="13"/>
      <c r="H567" s="13"/>
    </row>
    <row r="568" ht="15.75" customHeight="1">
      <c r="A568" s="13"/>
      <c r="B568" s="13"/>
      <c r="C568" s="9">
        <f>IFERROR(SUMIF(ENTRADAS!A:A,A568,ENTRADAS!C:C))</f>
        <v>0</v>
      </c>
      <c r="D568" s="10">
        <f>SUMIF(SALIDAS!A:A,A568,SALIDAS!C:C)</f>
        <v>0</v>
      </c>
      <c r="E568" s="10">
        <f t="shared" si="1"/>
        <v>0</v>
      </c>
      <c r="F568" s="13"/>
      <c r="G568" s="13"/>
      <c r="H568" s="13"/>
    </row>
    <row r="569" ht="15.75" customHeight="1">
      <c r="A569" s="13"/>
      <c r="B569" s="13"/>
      <c r="C569" s="9">
        <f>IFERROR(SUMIF(ENTRADAS!A:A,A569,ENTRADAS!C:C))</f>
        <v>0</v>
      </c>
      <c r="D569" s="10">
        <f>SUMIF(SALIDAS!A:A,A569,SALIDAS!C:C)</f>
        <v>0</v>
      </c>
      <c r="E569" s="10">
        <f t="shared" si="1"/>
        <v>0</v>
      </c>
      <c r="F569" s="13"/>
      <c r="G569" s="13"/>
      <c r="H569" s="13"/>
    </row>
    <row r="570" ht="15.75" customHeight="1">
      <c r="A570" s="13"/>
      <c r="B570" s="13"/>
      <c r="C570" s="9">
        <f>IFERROR(SUMIF(ENTRADAS!A:A,A570,ENTRADAS!C:C))</f>
        <v>0</v>
      </c>
      <c r="D570" s="10">
        <f>SUMIF(SALIDAS!A:A,A570,SALIDAS!C:C)</f>
        <v>0</v>
      </c>
      <c r="E570" s="10">
        <f t="shared" si="1"/>
        <v>0</v>
      </c>
      <c r="F570" s="13"/>
      <c r="G570" s="13"/>
      <c r="H570" s="13"/>
    </row>
    <row r="571" ht="15.75" customHeight="1">
      <c r="A571" s="13"/>
      <c r="B571" s="13"/>
      <c r="C571" s="9">
        <f>IFERROR(SUMIF(ENTRADAS!A:A,A571,ENTRADAS!C:C))</f>
        <v>0</v>
      </c>
      <c r="D571" s="10">
        <f>SUMIF(SALIDAS!A:A,A571,SALIDAS!C:C)</f>
        <v>0</v>
      </c>
      <c r="E571" s="10">
        <f t="shared" si="1"/>
        <v>0</v>
      </c>
      <c r="F571" s="13"/>
      <c r="G571" s="13"/>
      <c r="H571" s="13"/>
    </row>
    <row r="572" ht="15.75" customHeight="1">
      <c r="A572" s="13"/>
      <c r="B572" s="13"/>
      <c r="C572" s="9">
        <f>IFERROR(SUMIF(ENTRADAS!A:A,A572,ENTRADAS!C:C))</f>
        <v>0</v>
      </c>
      <c r="D572" s="10">
        <f>SUMIF(SALIDAS!A:A,A572,SALIDAS!C:C)</f>
        <v>0</v>
      </c>
      <c r="E572" s="10">
        <f t="shared" si="1"/>
        <v>0</v>
      </c>
      <c r="F572" s="13"/>
      <c r="G572" s="13"/>
      <c r="H572" s="13"/>
    </row>
    <row r="573" ht="15.75" customHeight="1">
      <c r="A573" s="13"/>
      <c r="B573" s="13"/>
      <c r="C573" s="9">
        <f>IFERROR(SUMIF(ENTRADAS!A:A,A573,ENTRADAS!C:C))</f>
        <v>0</v>
      </c>
      <c r="D573" s="10">
        <f>SUMIF(SALIDAS!A:A,A573,SALIDAS!C:C)</f>
        <v>0</v>
      </c>
      <c r="E573" s="10">
        <f t="shared" si="1"/>
        <v>0</v>
      </c>
      <c r="F573" s="13"/>
      <c r="G573" s="13"/>
      <c r="H573" s="13"/>
    </row>
    <row r="574" ht="15.75" customHeight="1">
      <c r="A574" s="13"/>
      <c r="B574" s="13"/>
      <c r="C574" s="9">
        <f>IFERROR(SUMIF(ENTRADAS!A:A,A574,ENTRADAS!C:C))</f>
        <v>0</v>
      </c>
      <c r="D574" s="10">
        <f>SUMIF(SALIDAS!A:A,A574,SALIDAS!C:C)</f>
        <v>0</v>
      </c>
      <c r="E574" s="10">
        <f t="shared" si="1"/>
        <v>0</v>
      </c>
      <c r="F574" s="13"/>
      <c r="G574" s="13"/>
      <c r="H574" s="13"/>
    </row>
    <row r="575" ht="15.75" customHeight="1">
      <c r="A575" s="13"/>
      <c r="B575" s="13"/>
      <c r="C575" s="9">
        <f>IFERROR(SUMIF(ENTRADAS!A:A,A575,ENTRADAS!C:C))</f>
        <v>0</v>
      </c>
      <c r="D575" s="10">
        <f>SUMIF(SALIDAS!A:A,A575,SALIDAS!C:C)</f>
        <v>0</v>
      </c>
      <c r="E575" s="10">
        <f t="shared" si="1"/>
        <v>0</v>
      </c>
      <c r="F575" s="13"/>
      <c r="G575" s="13"/>
      <c r="H575" s="13"/>
    </row>
    <row r="576" ht="15.75" customHeight="1">
      <c r="A576" s="13"/>
      <c r="B576" s="13"/>
      <c r="C576" s="9">
        <f>IFERROR(SUMIF(ENTRADAS!A:A,A576,ENTRADAS!C:C))</f>
        <v>0</v>
      </c>
      <c r="D576" s="10">
        <f>SUMIF(SALIDAS!A:A,A576,SALIDAS!C:C)</f>
        <v>0</v>
      </c>
      <c r="E576" s="10">
        <f t="shared" si="1"/>
        <v>0</v>
      </c>
      <c r="F576" s="13"/>
      <c r="G576" s="13"/>
      <c r="H576" s="13"/>
    </row>
    <row r="577" ht="15.75" customHeight="1">
      <c r="A577" s="13"/>
      <c r="B577" s="13"/>
      <c r="C577" s="9">
        <f>IFERROR(SUMIF(ENTRADAS!A:A,A577,ENTRADAS!C:C))</f>
        <v>0</v>
      </c>
      <c r="D577" s="10">
        <f>SUMIF(SALIDAS!A:A,A577,SALIDAS!C:C)</f>
        <v>0</v>
      </c>
      <c r="E577" s="10">
        <f t="shared" si="1"/>
        <v>0</v>
      </c>
      <c r="F577" s="13"/>
      <c r="G577" s="13"/>
      <c r="H577" s="13"/>
    </row>
    <row r="578" ht="15.75" customHeight="1">
      <c r="A578" s="13"/>
      <c r="B578" s="13"/>
      <c r="C578" s="9">
        <f>IFERROR(SUMIF(ENTRADAS!A:A,A578,ENTRADAS!C:C))</f>
        <v>0</v>
      </c>
      <c r="D578" s="10">
        <f>SUMIF(SALIDAS!A:A,A578,SALIDAS!C:C)</f>
        <v>0</v>
      </c>
      <c r="E578" s="10">
        <f t="shared" si="1"/>
        <v>0</v>
      </c>
      <c r="F578" s="13"/>
      <c r="G578" s="13"/>
      <c r="H578" s="13"/>
    </row>
    <row r="579" ht="15.75" customHeight="1">
      <c r="A579" s="13"/>
      <c r="B579" s="13"/>
      <c r="C579" s="9">
        <f>IFERROR(SUMIF(ENTRADAS!A:A,A579,ENTRADAS!C:C))</f>
        <v>0</v>
      </c>
      <c r="D579" s="10">
        <f>SUMIF(SALIDAS!A:A,A579,SALIDAS!C:C)</f>
        <v>0</v>
      </c>
      <c r="E579" s="10">
        <f t="shared" si="1"/>
        <v>0</v>
      </c>
      <c r="F579" s="13"/>
      <c r="G579" s="13"/>
      <c r="H579" s="13"/>
    </row>
    <row r="580" ht="15.75" customHeight="1">
      <c r="A580" s="13"/>
      <c r="B580" s="13"/>
      <c r="C580" s="9">
        <f>IFERROR(SUMIF(ENTRADAS!A:A,A580,ENTRADAS!C:C))</f>
        <v>0</v>
      </c>
      <c r="D580" s="10">
        <f>SUMIF(SALIDAS!A:A,A580,SALIDAS!C:C)</f>
        <v>0</v>
      </c>
      <c r="E580" s="10">
        <f t="shared" si="1"/>
        <v>0</v>
      </c>
      <c r="F580" s="13"/>
      <c r="G580" s="13"/>
      <c r="H580" s="13"/>
    </row>
    <row r="581" ht="15.75" customHeight="1">
      <c r="A581" s="13"/>
      <c r="B581" s="13"/>
      <c r="C581" s="9">
        <f>IFERROR(SUMIF(ENTRADAS!A:A,A581,ENTRADAS!C:C))</f>
        <v>0</v>
      </c>
      <c r="D581" s="10">
        <f>SUMIF(SALIDAS!A:A,A581,SALIDAS!C:C)</f>
        <v>0</v>
      </c>
      <c r="E581" s="10">
        <f t="shared" si="1"/>
        <v>0</v>
      </c>
      <c r="F581" s="13"/>
      <c r="G581" s="13"/>
      <c r="H581" s="13"/>
    </row>
    <row r="582" ht="15.75" customHeight="1">
      <c r="A582" s="13"/>
      <c r="B582" s="13"/>
      <c r="C582" s="9">
        <f>IFERROR(SUMIF(ENTRADAS!A:A,A582,ENTRADAS!C:C))</f>
        <v>0</v>
      </c>
      <c r="D582" s="10">
        <f>SUMIF(SALIDAS!A:A,A582,SALIDAS!C:C)</f>
        <v>0</v>
      </c>
      <c r="E582" s="10">
        <f t="shared" si="1"/>
        <v>0</v>
      </c>
      <c r="F582" s="13"/>
      <c r="G582" s="13"/>
      <c r="H582" s="13"/>
    </row>
    <row r="583" ht="15.75" customHeight="1">
      <c r="A583" s="13"/>
      <c r="B583" s="13"/>
      <c r="C583" s="9">
        <f>IFERROR(SUMIF(ENTRADAS!A:A,A583,ENTRADAS!C:C))</f>
        <v>0</v>
      </c>
      <c r="D583" s="10">
        <f>SUMIF(SALIDAS!A:A,A583,SALIDAS!C:C)</f>
        <v>0</v>
      </c>
      <c r="E583" s="10">
        <f t="shared" si="1"/>
        <v>0</v>
      </c>
      <c r="F583" s="13"/>
      <c r="G583" s="13"/>
      <c r="H583" s="13"/>
    </row>
    <row r="584" ht="15.75" customHeight="1">
      <c r="A584" s="13"/>
      <c r="B584" s="13"/>
      <c r="C584" s="9">
        <f>IFERROR(SUMIF(ENTRADAS!A:A,A584,ENTRADAS!C:C))</f>
        <v>0</v>
      </c>
      <c r="D584" s="10">
        <f>SUMIF(SALIDAS!A:A,A584,SALIDAS!C:C)</f>
        <v>0</v>
      </c>
      <c r="E584" s="10">
        <f t="shared" si="1"/>
        <v>0</v>
      </c>
      <c r="F584" s="13"/>
      <c r="G584" s="13"/>
      <c r="H584" s="13"/>
    </row>
    <row r="585" ht="15.75" customHeight="1">
      <c r="A585" s="13"/>
      <c r="B585" s="13"/>
      <c r="C585" s="9">
        <f>IFERROR(SUMIF(ENTRADAS!A:A,A585,ENTRADAS!C:C))</f>
        <v>0</v>
      </c>
      <c r="D585" s="10">
        <f>SUMIF(SALIDAS!A:A,A585,SALIDAS!C:C)</f>
        <v>0</v>
      </c>
      <c r="E585" s="10">
        <f t="shared" si="1"/>
        <v>0</v>
      </c>
      <c r="F585" s="13"/>
      <c r="G585" s="13"/>
      <c r="H585" s="13"/>
    </row>
    <row r="586" ht="15.75" customHeight="1">
      <c r="A586" s="13"/>
      <c r="B586" s="13"/>
      <c r="C586" s="9">
        <f>IFERROR(SUMIF(ENTRADAS!A:A,A586,ENTRADAS!C:C))</f>
        <v>0</v>
      </c>
      <c r="D586" s="10">
        <f>SUMIF(SALIDAS!A:A,A586,SALIDAS!C:C)</f>
        <v>0</v>
      </c>
      <c r="E586" s="10">
        <f t="shared" si="1"/>
        <v>0</v>
      </c>
      <c r="F586" s="13"/>
      <c r="G586" s="13"/>
      <c r="H586" s="13"/>
    </row>
    <row r="587" ht="15.75" customHeight="1">
      <c r="A587" s="13"/>
      <c r="B587" s="13"/>
      <c r="C587" s="9">
        <f>IFERROR(SUMIF(ENTRADAS!A:A,A587,ENTRADAS!C:C))</f>
        <v>0</v>
      </c>
      <c r="D587" s="10">
        <f>SUMIF(SALIDAS!A:A,A587,SALIDAS!C:C)</f>
        <v>0</v>
      </c>
      <c r="E587" s="10">
        <f t="shared" si="1"/>
        <v>0</v>
      </c>
      <c r="F587" s="13"/>
      <c r="G587" s="13"/>
      <c r="H587" s="13"/>
    </row>
    <row r="588" ht="15.75" customHeight="1">
      <c r="A588" s="13"/>
      <c r="B588" s="13"/>
      <c r="C588" s="9">
        <f>IFERROR(SUMIF(ENTRADAS!A:A,A588,ENTRADAS!C:C))</f>
        <v>0</v>
      </c>
      <c r="D588" s="10">
        <f>SUMIF(SALIDAS!A:A,A588,SALIDAS!C:C)</f>
        <v>0</v>
      </c>
      <c r="E588" s="10">
        <f t="shared" si="1"/>
        <v>0</v>
      </c>
      <c r="F588" s="13"/>
      <c r="G588" s="13"/>
      <c r="H588" s="13"/>
    </row>
    <row r="589" ht="15.75" customHeight="1">
      <c r="A589" s="13"/>
      <c r="B589" s="13"/>
      <c r="C589" s="9">
        <f>IFERROR(SUMIF(ENTRADAS!A:A,A589,ENTRADAS!C:C))</f>
        <v>0</v>
      </c>
      <c r="D589" s="10">
        <f>SUMIF(SALIDAS!A:A,A589,SALIDAS!C:C)</f>
        <v>0</v>
      </c>
      <c r="E589" s="10">
        <f t="shared" si="1"/>
        <v>0</v>
      </c>
      <c r="F589" s="13"/>
      <c r="G589" s="13"/>
      <c r="H589" s="13"/>
    </row>
    <row r="590" ht="15.75" customHeight="1">
      <c r="A590" s="13"/>
      <c r="B590" s="13"/>
      <c r="C590" s="9">
        <f>IFERROR(SUMIF(ENTRADAS!A:A,A590,ENTRADAS!C:C))</f>
        <v>0</v>
      </c>
      <c r="D590" s="10">
        <f>SUMIF(SALIDAS!A:A,A590,SALIDAS!C:C)</f>
        <v>0</v>
      </c>
      <c r="E590" s="10">
        <f t="shared" si="1"/>
        <v>0</v>
      </c>
      <c r="F590" s="13"/>
      <c r="G590" s="13"/>
      <c r="H590" s="13"/>
    </row>
    <row r="591" ht="15.75" customHeight="1">
      <c r="A591" s="13"/>
      <c r="B591" s="13"/>
      <c r="C591" s="9">
        <f>IFERROR(SUMIF(ENTRADAS!A:A,A591,ENTRADAS!C:C))</f>
        <v>0</v>
      </c>
      <c r="D591" s="10">
        <f>SUMIF(SALIDAS!A:A,A591,SALIDAS!C:C)</f>
        <v>0</v>
      </c>
      <c r="E591" s="10">
        <f t="shared" si="1"/>
        <v>0</v>
      </c>
      <c r="F591" s="13"/>
      <c r="G591" s="13"/>
      <c r="H591" s="13"/>
    </row>
    <row r="592" ht="15.75" customHeight="1">
      <c r="A592" s="13"/>
      <c r="B592" s="13"/>
      <c r="C592" s="9">
        <f>IFERROR(SUMIF(ENTRADAS!A:A,A592,ENTRADAS!C:C))</f>
        <v>0</v>
      </c>
      <c r="D592" s="10">
        <f>SUMIF(SALIDAS!A:A,A592,SALIDAS!C:C)</f>
        <v>0</v>
      </c>
      <c r="E592" s="10">
        <f t="shared" si="1"/>
        <v>0</v>
      </c>
      <c r="F592" s="13"/>
      <c r="G592" s="13"/>
      <c r="H592" s="13"/>
    </row>
    <row r="593" ht="15.75" customHeight="1">
      <c r="A593" s="13"/>
      <c r="B593" s="13"/>
      <c r="C593" s="9">
        <f>IFERROR(SUMIF(ENTRADAS!A:A,A593,ENTRADAS!C:C))</f>
        <v>0</v>
      </c>
      <c r="D593" s="10">
        <f>SUMIF(SALIDAS!A:A,A593,SALIDAS!C:C)</f>
        <v>0</v>
      </c>
      <c r="E593" s="10">
        <f t="shared" si="1"/>
        <v>0</v>
      </c>
      <c r="F593" s="13"/>
      <c r="G593" s="13"/>
      <c r="H593" s="13"/>
    </row>
    <row r="594" ht="15.75" customHeight="1">
      <c r="A594" s="13"/>
      <c r="B594" s="13"/>
      <c r="C594" s="9">
        <f>IFERROR(SUMIF(ENTRADAS!A:A,A594,ENTRADAS!C:C))</f>
        <v>0</v>
      </c>
      <c r="D594" s="10">
        <f>SUMIF(SALIDAS!A:A,A594,SALIDAS!C:C)</f>
        <v>0</v>
      </c>
      <c r="E594" s="10">
        <f t="shared" si="1"/>
        <v>0</v>
      </c>
      <c r="F594" s="13"/>
      <c r="G594" s="13"/>
      <c r="H594" s="13"/>
    </row>
    <row r="595" ht="15.75" customHeight="1">
      <c r="A595" s="13"/>
      <c r="B595" s="13"/>
      <c r="C595" s="9">
        <f>IFERROR(SUMIF(ENTRADAS!A:A,A595,ENTRADAS!C:C))</f>
        <v>0</v>
      </c>
      <c r="D595" s="10">
        <f>SUMIF(SALIDAS!A:A,A595,SALIDAS!C:C)</f>
        <v>0</v>
      </c>
      <c r="E595" s="10">
        <f t="shared" si="1"/>
        <v>0</v>
      </c>
      <c r="F595" s="13"/>
      <c r="G595" s="13"/>
      <c r="H595" s="13"/>
    </row>
    <row r="596" ht="15.75" customHeight="1">
      <c r="A596" s="13"/>
      <c r="B596" s="13"/>
      <c r="C596" s="9">
        <f>IFERROR(SUMIF(ENTRADAS!A:A,A596,ENTRADAS!C:C))</f>
        <v>0</v>
      </c>
      <c r="D596" s="10">
        <f>SUMIF(SALIDAS!A:A,A596,SALIDAS!C:C)</f>
        <v>0</v>
      </c>
      <c r="E596" s="10">
        <f t="shared" si="1"/>
        <v>0</v>
      </c>
      <c r="F596" s="13"/>
      <c r="G596" s="13"/>
      <c r="H596" s="13"/>
    </row>
    <row r="597" ht="15.75" customHeight="1">
      <c r="A597" s="13"/>
      <c r="B597" s="13"/>
      <c r="C597" s="9">
        <f>IFERROR(SUMIF(ENTRADAS!A:A,A597,ENTRADAS!C:C))</f>
        <v>0</v>
      </c>
      <c r="D597" s="10">
        <f>SUMIF(SALIDAS!A:A,A597,SALIDAS!C:C)</f>
        <v>0</v>
      </c>
      <c r="E597" s="10">
        <f t="shared" si="1"/>
        <v>0</v>
      </c>
      <c r="F597" s="13"/>
      <c r="G597" s="13"/>
      <c r="H597" s="13"/>
    </row>
    <row r="598" ht="15.75" customHeight="1">
      <c r="A598" s="13"/>
      <c r="B598" s="13"/>
      <c r="C598" s="9">
        <f>IFERROR(SUMIF(ENTRADAS!A:A,A598,ENTRADAS!C:C))</f>
        <v>0</v>
      </c>
      <c r="D598" s="10">
        <f>SUMIF(SALIDAS!A:A,A598,SALIDAS!C:C)</f>
        <v>0</v>
      </c>
      <c r="E598" s="10">
        <f t="shared" si="1"/>
        <v>0</v>
      </c>
      <c r="F598" s="13"/>
      <c r="G598" s="13"/>
      <c r="H598" s="13"/>
    </row>
    <row r="599" ht="15.75" customHeight="1">
      <c r="A599" s="13"/>
      <c r="B599" s="13"/>
      <c r="C599" s="9">
        <f>IFERROR(SUMIF(ENTRADAS!A:A,A599,ENTRADAS!C:C))</f>
        <v>0</v>
      </c>
      <c r="D599" s="10">
        <f>SUMIF(SALIDAS!A:A,A599,SALIDAS!C:C)</f>
        <v>0</v>
      </c>
      <c r="E599" s="10">
        <f t="shared" si="1"/>
        <v>0</v>
      </c>
      <c r="F599" s="13"/>
      <c r="G599" s="13"/>
      <c r="H599" s="13"/>
    </row>
    <row r="600" ht="15.75" customHeight="1">
      <c r="A600" s="13"/>
      <c r="B600" s="13"/>
      <c r="C600" s="9">
        <f>IFERROR(SUMIF(ENTRADAS!A:A,A600,ENTRADAS!C:C))</f>
        <v>0</v>
      </c>
      <c r="D600" s="10">
        <f>SUMIF(SALIDAS!A:A,A600,SALIDAS!C:C)</f>
        <v>0</v>
      </c>
      <c r="E600" s="10">
        <f t="shared" si="1"/>
        <v>0</v>
      </c>
      <c r="F600" s="13"/>
      <c r="G600" s="13"/>
      <c r="H600" s="13"/>
    </row>
    <row r="601" ht="15.75" customHeight="1">
      <c r="A601" s="13"/>
      <c r="B601" s="13"/>
      <c r="C601" s="9">
        <f>IFERROR(SUMIF(ENTRADAS!A:A,A601,ENTRADAS!C:C))</f>
        <v>0</v>
      </c>
      <c r="D601" s="10">
        <f>SUMIF(SALIDAS!A:A,A601,SALIDAS!C:C)</f>
        <v>0</v>
      </c>
      <c r="E601" s="10">
        <f t="shared" si="1"/>
        <v>0</v>
      </c>
      <c r="F601" s="13"/>
      <c r="G601" s="13"/>
      <c r="H601" s="13"/>
    </row>
    <row r="602" ht="15.75" customHeight="1">
      <c r="A602" s="13"/>
      <c r="B602" s="13"/>
      <c r="C602" s="9">
        <f>IFERROR(SUMIF(ENTRADAS!A:A,A602,ENTRADAS!C:C))</f>
        <v>0</v>
      </c>
      <c r="D602" s="10">
        <f>SUMIF(SALIDAS!A:A,A602,SALIDAS!C:C)</f>
        <v>0</v>
      </c>
      <c r="E602" s="10">
        <f t="shared" si="1"/>
        <v>0</v>
      </c>
      <c r="F602" s="13"/>
      <c r="G602" s="13"/>
      <c r="H602" s="13"/>
    </row>
    <row r="603" ht="15.75" customHeight="1">
      <c r="A603" s="13"/>
      <c r="B603" s="13"/>
      <c r="C603" s="9">
        <f>IFERROR(SUMIF(ENTRADAS!A:A,A603,ENTRADAS!C:C))</f>
        <v>0</v>
      </c>
      <c r="D603" s="10">
        <f>SUMIF(SALIDAS!A:A,A603,SALIDAS!C:C)</f>
        <v>0</v>
      </c>
      <c r="E603" s="10">
        <f t="shared" si="1"/>
        <v>0</v>
      </c>
      <c r="F603" s="13"/>
      <c r="G603" s="13"/>
      <c r="H603" s="13"/>
    </row>
    <row r="604" ht="15.75" customHeight="1">
      <c r="A604" s="13"/>
      <c r="B604" s="13"/>
      <c r="C604" s="9">
        <f>IFERROR(SUMIF(ENTRADAS!A:A,A604,ENTRADAS!C:C))</f>
        <v>0</v>
      </c>
      <c r="D604" s="10">
        <f>SUMIF(SALIDAS!A:A,A604,SALIDAS!C:C)</f>
        <v>0</v>
      </c>
      <c r="E604" s="10">
        <f t="shared" si="1"/>
        <v>0</v>
      </c>
      <c r="F604" s="13"/>
      <c r="G604" s="13"/>
      <c r="H604" s="13"/>
    </row>
    <row r="605" ht="15.75" customHeight="1">
      <c r="A605" s="13"/>
      <c r="B605" s="13"/>
      <c r="C605" s="9">
        <f>IFERROR(SUMIF(ENTRADAS!A:A,A605,ENTRADAS!C:C))</f>
        <v>0</v>
      </c>
      <c r="D605" s="10">
        <f>SUMIF(SALIDAS!A:A,A605,SALIDAS!C:C)</f>
        <v>0</v>
      </c>
      <c r="E605" s="10">
        <f t="shared" si="1"/>
        <v>0</v>
      </c>
      <c r="F605" s="13"/>
      <c r="G605" s="13"/>
      <c r="H605" s="13"/>
    </row>
    <row r="606" ht="15.75" customHeight="1">
      <c r="A606" s="13"/>
      <c r="B606" s="13"/>
      <c r="C606" s="9">
        <f>IFERROR(SUMIF(ENTRADAS!A:A,A606,ENTRADAS!C:C))</f>
        <v>0</v>
      </c>
      <c r="D606" s="10">
        <f>SUMIF(SALIDAS!A:A,A606,SALIDAS!C:C)</f>
        <v>0</v>
      </c>
      <c r="E606" s="10">
        <f t="shared" si="1"/>
        <v>0</v>
      </c>
      <c r="F606" s="13"/>
      <c r="G606" s="13"/>
      <c r="H606" s="13"/>
    </row>
    <row r="607" ht="15.75" customHeight="1">
      <c r="A607" s="13"/>
      <c r="B607" s="13"/>
      <c r="C607" s="9">
        <f>IFERROR(SUMIF(ENTRADAS!A:A,A607,ENTRADAS!C:C))</f>
        <v>0</v>
      </c>
      <c r="D607" s="10">
        <f>SUMIF(SALIDAS!A:A,A607,SALIDAS!C:C)</f>
        <v>0</v>
      </c>
      <c r="E607" s="10">
        <f t="shared" si="1"/>
        <v>0</v>
      </c>
      <c r="F607" s="13"/>
      <c r="G607" s="13"/>
      <c r="H607" s="13"/>
    </row>
    <row r="608" ht="15.75" customHeight="1">
      <c r="A608" s="13"/>
      <c r="B608" s="13"/>
      <c r="C608" s="9">
        <f>IFERROR(SUMIF(ENTRADAS!A:A,A608,ENTRADAS!C:C))</f>
        <v>0</v>
      </c>
      <c r="D608" s="10">
        <f>SUMIF(SALIDAS!A:A,A608,SALIDAS!C:C)</f>
        <v>0</v>
      </c>
      <c r="E608" s="10">
        <f t="shared" si="1"/>
        <v>0</v>
      </c>
      <c r="F608" s="13"/>
      <c r="G608" s="13"/>
      <c r="H608" s="13"/>
    </row>
    <row r="609" ht="15.75" customHeight="1">
      <c r="A609" s="13"/>
      <c r="B609" s="13"/>
      <c r="C609" s="9">
        <f>IFERROR(SUMIF(ENTRADAS!A:A,A609,ENTRADAS!C:C))</f>
        <v>0</v>
      </c>
      <c r="D609" s="10">
        <f>SUMIF(SALIDAS!A:A,A609,SALIDAS!C:C)</f>
        <v>0</v>
      </c>
      <c r="E609" s="10">
        <f t="shared" si="1"/>
        <v>0</v>
      </c>
      <c r="F609" s="13"/>
      <c r="G609" s="13"/>
      <c r="H609" s="13"/>
    </row>
    <row r="610" ht="15.75" customHeight="1">
      <c r="A610" s="13"/>
      <c r="B610" s="13"/>
      <c r="C610" s="9">
        <f>IFERROR(SUMIF(ENTRADAS!A:A,A610,ENTRADAS!C:C))</f>
        <v>0</v>
      </c>
      <c r="D610" s="10">
        <f>SUMIF(SALIDAS!A:A,A610,SALIDAS!C:C)</f>
        <v>0</v>
      </c>
      <c r="E610" s="10">
        <f t="shared" si="1"/>
        <v>0</v>
      </c>
      <c r="F610" s="13"/>
      <c r="G610" s="13"/>
      <c r="H610" s="13"/>
    </row>
    <row r="611" ht="15.75" customHeight="1">
      <c r="A611" s="13"/>
      <c r="B611" s="13"/>
      <c r="C611" s="9">
        <f>IFERROR(SUMIF(ENTRADAS!A:A,A611,ENTRADAS!C:C))</f>
        <v>0</v>
      </c>
      <c r="D611" s="10">
        <f>SUMIF(SALIDAS!A:A,A611,SALIDAS!C:C)</f>
        <v>0</v>
      </c>
      <c r="E611" s="10">
        <f t="shared" si="1"/>
        <v>0</v>
      </c>
      <c r="F611" s="13"/>
      <c r="G611" s="13"/>
      <c r="H611" s="13"/>
    </row>
    <row r="612" ht="15.75" customHeight="1">
      <c r="A612" s="13"/>
      <c r="B612" s="13"/>
      <c r="C612" s="9">
        <f>IFERROR(SUMIF(ENTRADAS!A:A,A612,ENTRADAS!C:C))</f>
        <v>0</v>
      </c>
      <c r="D612" s="10">
        <f>SUMIF(SALIDAS!A:A,A612,SALIDAS!C:C)</f>
        <v>0</v>
      </c>
      <c r="E612" s="10">
        <f t="shared" si="1"/>
        <v>0</v>
      </c>
      <c r="F612" s="13"/>
      <c r="G612" s="13"/>
      <c r="H612" s="13"/>
    </row>
    <row r="613" ht="15.75" customHeight="1">
      <c r="A613" s="13"/>
      <c r="B613" s="13"/>
      <c r="C613" s="9">
        <f>IFERROR(SUMIF(ENTRADAS!A:A,A613,ENTRADAS!C:C))</f>
        <v>0</v>
      </c>
      <c r="D613" s="10">
        <f>SUMIF(SALIDAS!A:A,A613,SALIDAS!C:C)</f>
        <v>0</v>
      </c>
      <c r="E613" s="10">
        <f t="shared" si="1"/>
        <v>0</v>
      </c>
      <c r="F613" s="13"/>
      <c r="G613" s="13"/>
      <c r="H613" s="13"/>
    </row>
    <row r="614" ht="15.75" customHeight="1">
      <c r="A614" s="13"/>
      <c r="B614" s="13"/>
      <c r="C614" s="9">
        <f>IFERROR(SUMIF(ENTRADAS!A:A,A614,ENTRADAS!C:C))</f>
        <v>0</v>
      </c>
      <c r="D614" s="10">
        <f>SUMIF(SALIDAS!A:A,A614,SALIDAS!C:C)</f>
        <v>0</v>
      </c>
      <c r="E614" s="10">
        <f t="shared" si="1"/>
        <v>0</v>
      </c>
      <c r="F614" s="13"/>
      <c r="G614" s="13"/>
      <c r="H614" s="13"/>
    </row>
    <row r="615" ht="15.75" customHeight="1">
      <c r="A615" s="13"/>
      <c r="B615" s="13"/>
      <c r="C615" s="9">
        <f>IFERROR(SUMIF(ENTRADAS!A:A,A615,ENTRADAS!C:C))</f>
        <v>0</v>
      </c>
      <c r="D615" s="10">
        <f>SUMIF(SALIDAS!A:A,A615,SALIDAS!C:C)</f>
        <v>0</v>
      </c>
      <c r="E615" s="10">
        <f t="shared" si="1"/>
        <v>0</v>
      </c>
      <c r="F615" s="13"/>
      <c r="G615" s="13"/>
      <c r="H615" s="13"/>
    </row>
    <row r="616" ht="15.75" customHeight="1">
      <c r="A616" s="13"/>
      <c r="B616" s="13"/>
      <c r="C616" s="9">
        <f>IFERROR(SUMIF(ENTRADAS!A:A,A616,ENTRADAS!C:C))</f>
        <v>0</v>
      </c>
      <c r="D616" s="10">
        <f>SUMIF(SALIDAS!A:A,A616,SALIDAS!C:C)</f>
        <v>0</v>
      </c>
      <c r="E616" s="10">
        <f t="shared" si="1"/>
        <v>0</v>
      </c>
      <c r="F616" s="13"/>
      <c r="G616" s="13"/>
      <c r="H616" s="13"/>
    </row>
    <row r="617" ht="15.75" customHeight="1">
      <c r="A617" s="13"/>
      <c r="B617" s="13"/>
      <c r="C617" s="9">
        <f>IFERROR(SUMIF(ENTRADAS!A:A,A617,ENTRADAS!C:C))</f>
        <v>0</v>
      </c>
      <c r="D617" s="10">
        <f>SUMIF(SALIDAS!A:A,A617,SALIDAS!C:C)</f>
        <v>0</v>
      </c>
      <c r="E617" s="10">
        <f t="shared" si="1"/>
        <v>0</v>
      </c>
      <c r="F617" s="13"/>
      <c r="G617" s="13"/>
      <c r="H617" s="13"/>
    </row>
    <row r="618" ht="15.75" customHeight="1">
      <c r="A618" s="13"/>
      <c r="B618" s="13"/>
      <c r="C618" s="9">
        <f>IFERROR(SUMIF(ENTRADAS!A:A,A618,ENTRADAS!C:C))</f>
        <v>0</v>
      </c>
      <c r="D618" s="10">
        <f>SUMIF(SALIDAS!A:A,A618,SALIDAS!C:C)</f>
        <v>0</v>
      </c>
      <c r="E618" s="10">
        <f t="shared" si="1"/>
        <v>0</v>
      </c>
      <c r="F618" s="13"/>
      <c r="G618" s="13"/>
      <c r="H618" s="13"/>
    </row>
    <row r="619" ht="15.75" customHeight="1">
      <c r="A619" s="13"/>
      <c r="B619" s="13"/>
      <c r="C619" s="9">
        <f>IFERROR(SUMIF(ENTRADAS!A:A,A619,ENTRADAS!C:C))</f>
        <v>0</v>
      </c>
      <c r="D619" s="10">
        <f>SUMIF(SALIDAS!A:A,A619,SALIDAS!C:C)</f>
        <v>0</v>
      </c>
      <c r="E619" s="10">
        <f t="shared" si="1"/>
        <v>0</v>
      </c>
      <c r="F619" s="13"/>
      <c r="G619" s="13"/>
      <c r="H619" s="13"/>
    </row>
    <row r="620" ht="15.75" customHeight="1">
      <c r="A620" s="13"/>
      <c r="B620" s="13"/>
      <c r="C620" s="9">
        <f>IFERROR(SUMIF(ENTRADAS!A:A,A620,ENTRADAS!C:C))</f>
        <v>0</v>
      </c>
      <c r="D620" s="10">
        <f>SUMIF(SALIDAS!A:A,A620,SALIDAS!C:C)</f>
        <v>0</v>
      </c>
      <c r="E620" s="10">
        <f t="shared" si="1"/>
        <v>0</v>
      </c>
      <c r="F620" s="13"/>
      <c r="G620" s="13"/>
      <c r="H620" s="13"/>
    </row>
    <row r="621" ht="15.75" customHeight="1">
      <c r="A621" s="13"/>
      <c r="B621" s="13"/>
      <c r="C621" s="9">
        <f>IFERROR(SUMIF(ENTRADAS!A:A,A621,ENTRADAS!C:C))</f>
        <v>0</v>
      </c>
      <c r="D621" s="10">
        <f>SUMIF(SALIDAS!A:A,A621,SALIDAS!C:C)</f>
        <v>0</v>
      </c>
      <c r="E621" s="10">
        <f t="shared" si="1"/>
        <v>0</v>
      </c>
      <c r="F621" s="13"/>
      <c r="G621" s="13"/>
      <c r="H621" s="13"/>
    </row>
    <row r="622" ht="15.75" customHeight="1">
      <c r="A622" s="13"/>
      <c r="B622" s="13"/>
      <c r="C622" s="9">
        <f>IFERROR(SUMIF(ENTRADAS!A:A,A622,ENTRADAS!C:C))</f>
        <v>0</v>
      </c>
      <c r="D622" s="10">
        <f>SUMIF(SALIDAS!A:A,A622,SALIDAS!C:C)</f>
        <v>0</v>
      </c>
      <c r="E622" s="10">
        <f t="shared" si="1"/>
        <v>0</v>
      </c>
      <c r="F622" s="13"/>
      <c r="G622" s="13"/>
      <c r="H622" s="13"/>
    </row>
    <row r="623" ht="15.75" customHeight="1">
      <c r="A623" s="13"/>
      <c r="B623" s="13"/>
      <c r="C623" s="9">
        <f>IFERROR(SUMIF(ENTRADAS!A:A,A623,ENTRADAS!C:C))</f>
        <v>0</v>
      </c>
      <c r="D623" s="10">
        <f>SUMIF(SALIDAS!A:A,A623,SALIDAS!C:C)</f>
        <v>0</v>
      </c>
      <c r="E623" s="10">
        <f t="shared" si="1"/>
        <v>0</v>
      </c>
      <c r="F623" s="13"/>
      <c r="G623" s="13"/>
      <c r="H623" s="13"/>
    </row>
    <row r="624" ht="15.75" customHeight="1">
      <c r="A624" s="13"/>
      <c r="B624" s="13"/>
      <c r="C624" s="9">
        <f>IFERROR(SUMIF(ENTRADAS!A:A,A624,ENTRADAS!C:C))</f>
        <v>0</v>
      </c>
      <c r="D624" s="10">
        <f>SUMIF(SALIDAS!A:A,A624,SALIDAS!C:C)</f>
        <v>0</v>
      </c>
      <c r="E624" s="10">
        <f t="shared" si="1"/>
        <v>0</v>
      </c>
      <c r="F624" s="13"/>
      <c r="G624" s="13"/>
      <c r="H624" s="13"/>
    </row>
    <row r="625" ht="15.75" customHeight="1">
      <c r="A625" s="13"/>
      <c r="B625" s="13"/>
      <c r="C625" s="9">
        <f>IFERROR(SUMIF(ENTRADAS!A:A,A625,ENTRADAS!C:C))</f>
        <v>0</v>
      </c>
      <c r="D625" s="10">
        <f>SUMIF(SALIDAS!A:A,A625,SALIDAS!C:C)</f>
        <v>0</v>
      </c>
      <c r="E625" s="10">
        <f t="shared" si="1"/>
        <v>0</v>
      </c>
      <c r="F625" s="13"/>
      <c r="G625" s="13"/>
      <c r="H625" s="13"/>
    </row>
    <row r="626" ht="15.75" customHeight="1">
      <c r="A626" s="13"/>
      <c r="B626" s="13"/>
      <c r="C626" s="9">
        <f>IFERROR(SUMIF(ENTRADAS!A:A,A626,ENTRADAS!C:C))</f>
        <v>0</v>
      </c>
      <c r="D626" s="10">
        <f>SUMIF(SALIDAS!A:A,A626,SALIDAS!C:C)</f>
        <v>0</v>
      </c>
      <c r="E626" s="10">
        <f t="shared" si="1"/>
        <v>0</v>
      </c>
      <c r="F626" s="13"/>
      <c r="G626" s="13"/>
      <c r="H626" s="13"/>
    </row>
    <row r="627" ht="15.75" customHeight="1">
      <c r="A627" s="13"/>
      <c r="B627" s="13"/>
      <c r="C627" s="9">
        <f>IFERROR(SUMIF(ENTRADAS!A:A,A627,ENTRADAS!C:C))</f>
        <v>0</v>
      </c>
      <c r="D627" s="10">
        <f>SUMIF(SALIDAS!A:A,A627,SALIDAS!C:C)</f>
        <v>0</v>
      </c>
      <c r="E627" s="10">
        <f t="shared" si="1"/>
        <v>0</v>
      </c>
      <c r="F627" s="13"/>
      <c r="G627" s="13"/>
      <c r="H627" s="13"/>
    </row>
    <row r="628" ht="15.75" customHeight="1">
      <c r="A628" s="13"/>
      <c r="B628" s="13"/>
      <c r="C628" s="9">
        <f>IFERROR(SUMIF(ENTRADAS!A:A,A628,ENTRADAS!C:C))</f>
        <v>0</v>
      </c>
      <c r="D628" s="10">
        <f>SUMIF(SALIDAS!A:A,A628,SALIDAS!C:C)</f>
        <v>0</v>
      </c>
      <c r="E628" s="10">
        <f t="shared" si="1"/>
        <v>0</v>
      </c>
      <c r="F628" s="13"/>
      <c r="G628" s="13"/>
      <c r="H628" s="13"/>
    </row>
    <row r="629" ht="15.75" customHeight="1">
      <c r="A629" s="13"/>
      <c r="B629" s="13"/>
      <c r="C629" s="9">
        <f>IFERROR(SUMIF(ENTRADAS!A:A,A629,ENTRADAS!C:C))</f>
        <v>0</v>
      </c>
      <c r="D629" s="10">
        <f>SUMIF(SALIDAS!A:A,A629,SALIDAS!C:C)</f>
        <v>0</v>
      </c>
      <c r="E629" s="10">
        <f t="shared" si="1"/>
        <v>0</v>
      </c>
      <c r="F629" s="13"/>
      <c r="G629" s="13"/>
      <c r="H629" s="13"/>
    </row>
    <row r="630" ht="15.75" customHeight="1">
      <c r="A630" s="13"/>
      <c r="B630" s="13"/>
      <c r="C630" s="9">
        <f>IFERROR(SUMIF(ENTRADAS!A:A,A630,ENTRADAS!C:C))</f>
        <v>0</v>
      </c>
      <c r="D630" s="10">
        <f>SUMIF(SALIDAS!A:A,A630,SALIDAS!C:C)</f>
        <v>0</v>
      </c>
      <c r="E630" s="10">
        <f t="shared" si="1"/>
        <v>0</v>
      </c>
      <c r="F630" s="13"/>
      <c r="G630" s="13"/>
      <c r="H630" s="13"/>
    </row>
    <row r="631" ht="15.75" customHeight="1">
      <c r="A631" s="13"/>
      <c r="B631" s="13"/>
      <c r="C631" s="9">
        <f>IFERROR(SUMIF(ENTRADAS!A:A,A631,ENTRADAS!C:C))</f>
        <v>0</v>
      </c>
      <c r="D631" s="10">
        <f>SUMIF(SALIDAS!A:A,A631,SALIDAS!C:C)</f>
        <v>0</v>
      </c>
      <c r="E631" s="10">
        <f t="shared" si="1"/>
        <v>0</v>
      </c>
      <c r="F631" s="13"/>
      <c r="G631" s="13"/>
      <c r="H631" s="13"/>
    </row>
    <row r="632" ht="15.75" customHeight="1">
      <c r="A632" s="13"/>
      <c r="B632" s="13"/>
      <c r="C632" s="9">
        <f>IFERROR(SUMIF(ENTRADAS!A:A,A632,ENTRADAS!C:C))</f>
        <v>0</v>
      </c>
      <c r="D632" s="10">
        <f>SUMIF(SALIDAS!A:A,A632,SALIDAS!C:C)</f>
        <v>0</v>
      </c>
      <c r="E632" s="10">
        <f t="shared" si="1"/>
        <v>0</v>
      </c>
      <c r="F632" s="13"/>
      <c r="G632" s="13"/>
      <c r="H632" s="13"/>
    </row>
    <row r="633" ht="15.75" customHeight="1">
      <c r="A633" s="13"/>
      <c r="B633" s="13"/>
      <c r="C633" s="9">
        <f>IFERROR(SUMIF(ENTRADAS!A:A,A633,ENTRADAS!C:C))</f>
        <v>0</v>
      </c>
      <c r="D633" s="10">
        <f>SUMIF(SALIDAS!A:A,A633,SALIDAS!C:C)</f>
        <v>0</v>
      </c>
      <c r="E633" s="10">
        <f t="shared" si="1"/>
        <v>0</v>
      </c>
      <c r="F633" s="13"/>
      <c r="G633" s="13"/>
      <c r="H633" s="13"/>
    </row>
    <row r="634" ht="15.75" customHeight="1">
      <c r="A634" s="13"/>
      <c r="B634" s="13"/>
      <c r="C634" s="9">
        <f>IFERROR(SUMIF(ENTRADAS!A:A,A634,ENTRADAS!C:C))</f>
        <v>0</v>
      </c>
      <c r="D634" s="10">
        <f>SUMIF(SALIDAS!A:A,A634,SALIDAS!C:C)</f>
        <v>0</v>
      </c>
      <c r="E634" s="10">
        <f t="shared" si="1"/>
        <v>0</v>
      </c>
      <c r="F634" s="13"/>
      <c r="G634" s="13"/>
      <c r="H634" s="13"/>
    </row>
    <row r="635" ht="15.75" customHeight="1">
      <c r="A635" s="13"/>
      <c r="B635" s="13"/>
      <c r="C635" s="9">
        <f>IFERROR(SUMIF(ENTRADAS!A:A,A635,ENTRADAS!C:C))</f>
        <v>0</v>
      </c>
      <c r="D635" s="10">
        <f>SUMIF(SALIDAS!A:A,A635,SALIDAS!C:C)</f>
        <v>0</v>
      </c>
      <c r="E635" s="10">
        <f t="shared" si="1"/>
        <v>0</v>
      </c>
      <c r="F635" s="13"/>
      <c r="G635" s="13"/>
      <c r="H635" s="13"/>
    </row>
    <row r="636" ht="15.75" customHeight="1">
      <c r="A636" s="13"/>
      <c r="B636" s="13"/>
      <c r="C636" s="9">
        <f>IFERROR(SUMIF(ENTRADAS!A:A,A636,ENTRADAS!C:C))</f>
        <v>0</v>
      </c>
      <c r="D636" s="10">
        <f>SUMIF(SALIDAS!A:A,A636,SALIDAS!C:C)</f>
        <v>0</v>
      </c>
      <c r="E636" s="10">
        <f t="shared" si="1"/>
        <v>0</v>
      </c>
      <c r="F636" s="13"/>
      <c r="G636" s="13"/>
      <c r="H636" s="13"/>
    </row>
    <row r="637" ht="15.75" customHeight="1">
      <c r="A637" s="13"/>
      <c r="B637" s="13"/>
      <c r="C637" s="9">
        <f>IFERROR(SUMIF(ENTRADAS!A:A,A637,ENTRADAS!C:C))</f>
        <v>0</v>
      </c>
      <c r="D637" s="10">
        <f>SUMIF(SALIDAS!A:A,A637,SALIDAS!C:C)</f>
        <v>0</v>
      </c>
      <c r="E637" s="10">
        <f t="shared" si="1"/>
        <v>0</v>
      </c>
      <c r="F637" s="13"/>
      <c r="G637" s="13"/>
      <c r="H637" s="13"/>
    </row>
    <row r="638" ht="15.75" customHeight="1">
      <c r="A638" s="13"/>
      <c r="B638" s="13"/>
      <c r="C638" s="9">
        <f>IFERROR(SUMIF(ENTRADAS!A:A,A638,ENTRADAS!C:C))</f>
        <v>0</v>
      </c>
      <c r="D638" s="10">
        <f>SUMIF(SALIDAS!A:A,A638,SALIDAS!C:C)</f>
        <v>0</v>
      </c>
      <c r="E638" s="10">
        <f t="shared" si="1"/>
        <v>0</v>
      </c>
      <c r="F638" s="13"/>
      <c r="G638" s="13"/>
      <c r="H638" s="13"/>
    </row>
    <row r="639" ht="15.75" customHeight="1">
      <c r="A639" s="13"/>
      <c r="B639" s="13"/>
      <c r="C639" s="9">
        <f>IFERROR(SUMIF(ENTRADAS!A:A,A639,ENTRADAS!C:C))</f>
        <v>0</v>
      </c>
      <c r="D639" s="10">
        <f>SUMIF(SALIDAS!A:A,A639,SALIDAS!C:C)</f>
        <v>0</v>
      </c>
      <c r="E639" s="10">
        <f t="shared" si="1"/>
        <v>0</v>
      </c>
      <c r="F639" s="13"/>
      <c r="G639" s="13"/>
      <c r="H639" s="13"/>
    </row>
    <row r="640" ht="15.75" customHeight="1">
      <c r="A640" s="13"/>
      <c r="B640" s="13"/>
      <c r="C640" s="9">
        <f>IFERROR(SUMIF(ENTRADAS!A:A,A640,ENTRADAS!C:C))</f>
        <v>0</v>
      </c>
      <c r="D640" s="10">
        <f>SUMIF(SALIDAS!A:A,A640,SALIDAS!C:C)</f>
        <v>0</v>
      </c>
      <c r="E640" s="10">
        <f t="shared" si="1"/>
        <v>0</v>
      </c>
      <c r="F640" s="13"/>
      <c r="G640" s="13"/>
      <c r="H640" s="13"/>
    </row>
    <row r="641" ht="15.75" customHeight="1">
      <c r="A641" s="13"/>
      <c r="B641" s="13"/>
      <c r="C641" s="9">
        <f>IFERROR(SUMIF(ENTRADAS!A:A,A641,ENTRADAS!C:C))</f>
        <v>0</v>
      </c>
      <c r="D641" s="10">
        <f>SUMIF(SALIDAS!A:A,A641,SALIDAS!C:C)</f>
        <v>0</v>
      </c>
      <c r="E641" s="10">
        <f t="shared" si="1"/>
        <v>0</v>
      </c>
      <c r="F641" s="13"/>
      <c r="G641" s="13"/>
      <c r="H641" s="13"/>
    </row>
    <row r="642" ht="15.75" customHeight="1">
      <c r="A642" s="13"/>
      <c r="B642" s="13"/>
      <c r="C642" s="9">
        <f>IFERROR(SUMIF(ENTRADAS!A:A,A642,ENTRADAS!C:C))</f>
        <v>0</v>
      </c>
      <c r="D642" s="10">
        <f>SUMIF(SALIDAS!A:A,A642,SALIDAS!C:C)</f>
        <v>0</v>
      </c>
      <c r="E642" s="10">
        <f t="shared" si="1"/>
        <v>0</v>
      </c>
      <c r="F642" s="13"/>
      <c r="G642" s="13"/>
      <c r="H642" s="13"/>
    </row>
    <row r="643" ht="15.75" customHeight="1">
      <c r="A643" s="13"/>
      <c r="B643" s="13"/>
      <c r="C643" s="9">
        <f>IFERROR(SUMIF(ENTRADAS!A:A,A643,ENTRADAS!C:C))</f>
        <v>0</v>
      </c>
      <c r="D643" s="10">
        <f>SUMIF(SALIDAS!A:A,A643,SALIDAS!C:C)</f>
        <v>0</v>
      </c>
      <c r="E643" s="10">
        <f t="shared" si="1"/>
        <v>0</v>
      </c>
      <c r="F643" s="13"/>
      <c r="G643" s="13"/>
      <c r="H643" s="13"/>
    </row>
    <row r="644" ht="15.75" customHeight="1">
      <c r="A644" s="13"/>
      <c r="B644" s="13"/>
      <c r="C644" s="9">
        <f>IFERROR(SUMIF(ENTRADAS!A:A,A644,ENTRADAS!C:C))</f>
        <v>0</v>
      </c>
      <c r="D644" s="10">
        <f>SUMIF(SALIDAS!A:A,A644,SALIDAS!C:C)</f>
        <v>0</v>
      </c>
      <c r="E644" s="10">
        <f t="shared" si="1"/>
        <v>0</v>
      </c>
      <c r="F644" s="13"/>
      <c r="G644" s="13"/>
      <c r="H644" s="13"/>
    </row>
    <row r="645" ht="15.75" customHeight="1">
      <c r="A645" s="13"/>
      <c r="B645" s="13"/>
      <c r="C645" s="9">
        <f>IFERROR(SUMIF(ENTRADAS!A:A,A645,ENTRADAS!C:C))</f>
        <v>0</v>
      </c>
      <c r="D645" s="10">
        <f>SUMIF(SALIDAS!A:A,A645,SALIDAS!C:C)</f>
        <v>0</v>
      </c>
      <c r="E645" s="10">
        <f t="shared" si="1"/>
        <v>0</v>
      </c>
      <c r="F645" s="13"/>
      <c r="G645" s="13"/>
      <c r="H645" s="13"/>
    </row>
    <row r="646" ht="15.75" customHeight="1">
      <c r="A646" s="13"/>
      <c r="B646" s="13"/>
      <c r="C646" s="9">
        <f>IFERROR(SUMIF(ENTRADAS!A:A,A646,ENTRADAS!C:C))</f>
        <v>0</v>
      </c>
      <c r="D646" s="10">
        <f>SUMIF(SALIDAS!A:A,A646,SALIDAS!C:C)</f>
        <v>0</v>
      </c>
      <c r="E646" s="10">
        <f t="shared" si="1"/>
        <v>0</v>
      </c>
      <c r="F646" s="13"/>
      <c r="G646" s="13"/>
      <c r="H646" s="13"/>
    </row>
    <row r="647" ht="15.75" customHeight="1">
      <c r="A647" s="13"/>
      <c r="B647" s="13"/>
      <c r="C647" s="9">
        <f>IFERROR(SUMIF(ENTRADAS!A:A,A647,ENTRADAS!C:C))</f>
        <v>0</v>
      </c>
      <c r="D647" s="10">
        <f>SUMIF(SALIDAS!A:A,A647,SALIDAS!C:C)</f>
        <v>0</v>
      </c>
      <c r="E647" s="10">
        <f t="shared" si="1"/>
        <v>0</v>
      </c>
      <c r="F647" s="13"/>
      <c r="G647" s="13"/>
      <c r="H647" s="13"/>
    </row>
    <row r="648" ht="15.75" customHeight="1">
      <c r="A648" s="13"/>
      <c r="B648" s="13"/>
      <c r="C648" s="9">
        <f>IFERROR(SUMIF(ENTRADAS!A:A,A648,ENTRADAS!C:C))</f>
        <v>0</v>
      </c>
      <c r="D648" s="10">
        <f>SUMIF(SALIDAS!A:A,A648,SALIDAS!C:C)</f>
        <v>0</v>
      </c>
      <c r="E648" s="10">
        <f t="shared" si="1"/>
        <v>0</v>
      </c>
      <c r="F648" s="13"/>
      <c r="G648" s="13"/>
      <c r="H648" s="13"/>
    </row>
    <row r="649" ht="15.75" customHeight="1">
      <c r="A649" s="13"/>
      <c r="B649" s="13"/>
      <c r="C649" s="9">
        <f>IFERROR(SUMIF(ENTRADAS!A:A,A649,ENTRADAS!C:C))</f>
        <v>0</v>
      </c>
      <c r="D649" s="10">
        <f>SUMIF(SALIDAS!A:A,A649,SALIDAS!C:C)</f>
        <v>0</v>
      </c>
      <c r="E649" s="10">
        <f t="shared" si="1"/>
        <v>0</v>
      </c>
      <c r="F649" s="13"/>
      <c r="G649" s="13"/>
      <c r="H649" s="13"/>
    </row>
    <row r="650" ht="15.75" customHeight="1">
      <c r="A650" s="13"/>
      <c r="B650" s="13"/>
      <c r="C650" s="9">
        <f>IFERROR(SUMIF(ENTRADAS!A:A,A650,ENTRADAS!C:C))</f>
        <v>0</v>
      </c>
      <c r="D650" s="10">
        <f>SUMIF(SALIDAS!A:A,A650,SALIDAS!C:C)</f>
        <v>0</v>
      </c>
      <c r="E650" s="10">
        <f t="shared" si="1"/>
        <v>0</v>
      </c>
      <c r="F650" s="13"/>
      <c r="G650" s="13"/>
      <c r="H650" s="13"/>
    </row>
    <row r="651" ht="15.75" customHeight="1">
      <c r="A651" s="13"/>
      <c r="B651" s="13"/>
      <c r="C651" s="9">
        <f>IFERROR(SUMIF(ENTRADAS!A:A,A651,ENTRADAS!C:C))</f>
        <v>0</v>
      </c>
      <c r="D651" s="10">
        <f>SUMIF(SALIDAS!A:A,A651,SALIDAS!C:C)</f>
        <v>0</v>
      </c>
      <c r="E651" s="10">
        <f t="shared" si="1"/>
        <v>0</v>
      </c>
      <c r="F651" s="13"/>
      <c r="G651" s="13"/>
      <c r="H651" s="13"/>
    </row>
    <row r="652" ht="15.75" customHeight="1">
      <c r="A652" s="13"/>
      <c r="B652" s="13"/>
      <c r="C652" s="9">
        <f>IFERROR(SUMIF(ENTRADAS!A:A,A652,ENTRADAS!C:C))</f>
        <v>0</v>
      </c>
      <c r="D652" s="10">
        <f>SUMIF(SALIDAS!A:A,A652,SALIDAS!C:C)</f>
        <v>0</v>
      </c>
      <c r="E652" s="10">
        <f t="shared" si="1"/>
        <v>0</v>
      </c>
      <c r="F652" s="13"/>
      <c r="G652" s="13"/>
      <c r="H652" s="13"/>
    </row>
    <row r="653" ht="15.75" customHeight="1">
      <c r="A653" s="13"/>
      <c r="B653" s="13"/>
      <c r="C653" s="9">
        <f>IFERROR(SUMIF(ENTRADAS!A:A,A653,ENTRADAS!C:C))</f>
        <v>0</v>
      </c>
      <c r="D653" s="10">
        <f>SUMIF(SALIDAS!A:A,A653,SALIDAS!C:C)</f>
        <v>0</v>
      </c>
      <c r="E653" s="10">
        <f t="shared" si="1"/>
        <v>0</v>
      </c>
      <c r="F653" s="13"/>
      <c r="G653" s="13"/>
      <c r="H653" s="13"/>
    </row>
    <row r="654" ht="15.75" customHeight="1">
      <c r="A654" s="13"/>
      <c r="B654" s="13"/>
      <c r="C654" s="9">
        <f>IFERROR(SUMIF(ENTRADAS!A:A,A654,ENTRADAS!C:C))</f>
        <v>0</v>
      </c>
      <c r="D654" s="10">
        <f>SUMIF(SALIDAS!A:A,A654,SALIDAS!C:C)</f>
        <v>0</v>
      </c>
      <c r="E654" s="10">
        <f t="shared" si="1"/>
        <v>0</v>
      </c>
      <c r="F654" s="13"/>
      <c r="G654" s="13"/>
      <c r="H654" s="13"/>
    </row>
    <row r="655" ht="15.75" customHeight="1">
      <c r="A655" s="13"/>
      <c r="B655" s="13"/>
      <c r="C655" s="9">
        <f>IFERROR(SUMIF(ENTRADAS!A:A,A655,ENTRADAS!C:C))</f>
        <v>0</v>
      </c>
      <c r="D655" s="10">
        <f>SUMIF(SALIDAS!A:A,A655,SALIDAS!C:C)</f>
        <v>0</v>
      </c>
      <c r="E655" s="10">
        <f t="shared" si="1"/>
        <v>0</v>
      </c>
      <c r="F655" s="13"/>
      <c r="G655" s="13"/>
      <c r="H655" s="13"/>
    </row>
    <row r="656" ht="15.75" customHeight="1">
      <c r="A656" s="13"/>
      <c r="B656" s="13"/>
      <c r="C656" s="9">
        <f>IFERROR(SUMIF(ENTRADAS!A:A,A656,ENTRADAS!C:C))</f>
        <v>0</v>
      </c>
      <c r="D656" s="10">
        <f>SUMIF(SALIDAS!A:A,A656,SALIDAS!C:C)</f>
        <v>0</v>
      </c>
      <c r="E656" s="10">
        <f t="shared" si="1"/>
        <v>0</v>
      </c>
      <c r="F656" s="13"/>
      <c r="G656" s="13"/>
      <c r="H656" s="13"/>
    </row>
    <row r="657" ht="15.75" customHeight="1">
      <c r="A657" s="13"/>
      <c r="B657" s="13"/>
      <c r="C657" s="9">
        <f>IFERROR(SUMIF(ENTRADAS!A:A,A657,ENTRADAS!C:C))</f>
        <v>0</v>
      </c>
      <c r="D657" s="10">
        <f>SUMIF(SALIDAS!A:A,A657,SALIDAS!C:C)</f>
        <v>0</v>
      </c>
      <c r="E657" s="10">
        <f t="shared" si="1"/>
        <v>0</v>
      </c>
      <c r="F657" s="13"/>
      <c r="G657" s="13"/>
      <c r="H657" s="13"/>
    </row>
    <row r="658" ht="15.75" customHeight="1">
      <c r="A658" s="13"/>
      <c r="B658" s="13"/>
      <c r="C658" s="9">
        <f>IFERROR(SUMIF(ENTRADAS!A:A,A658,ENTRADAS!C:C))</f>
        <v>0</v>
      </c>
      <c r="D658" s="10">
        <f>SUMIF(SALIDAS!A:A,A658,SALIDAS!C:C)</f>
        <v>0</v>
      </c>
      <c r="E658" s="10">
        <f t="shared" si="1"/>
        <v>0</v>
      </c>
      <c r="F658" s="13"/>
      <c r="G658" s="13"/>
      <c r="H658" s="13"/>
    </row>
    <row r="659" ht="15.75" customHeight="1">
      <c r="A659" s="13"/>
      <c r="B659" s="13"/>
      <c r="C659" s="9">
        <f>IFERROR(SUMIF(ENTRADAS!A:A,A659,ENTRADAS!C:C))</f>
        <v>0</v>
      </c>
      <c r="D659" s="10">
        <f>SUMIF(SALIDAS!A:A,A659,SALIDAS!C:C)</f>
        <v>0</v>
      </c>
      <c r="E659" s="10">
        <f t="shared" si="1"/>
        <v>0</v>
      </c>
      <c r="F659" s="13"/>
      <c r="G659" s="13"/>
      <c r="H659" s="13"/>
    </row>
    <row r="660" ht="15.75" customHeight="1">
      <c r="A660" s="13"/>
      <c r="B660" s="13"/>
      <c r="C660" s="9">
        <f>IFERROR(SUMIF(ENTRADAS!A:A,A660,ENTRADAS!C:C))</f>
        <v>0</v>
      </c>
      <c r="D660" s="10">
        <f>SUMIF(SALIDAS!A:A,A660,SALIDAS!C:C)</f>
        <v>0</v>
      </c>
      <c r="E660" s="10">
        <f t="shared" si="1"/>
        <v>0</v>
      </c>
      <c r="F660" s="13"/>
      <c r="G660" s="13"/>
      <c r="H660" s="13"/>
    </row>
    <row r="661" ht="15.75" customHeight="1">
      <c r="A661" s="13"/>
      <c r="B661" s="13"/>
      <c r="C661" s="9">
        <f>IFERROR(SUMIF(ENTRADAS!A:A,A661,ENTRADAS!C:C))</f>
        <v>0</v>
      </c>
      <c r="D661" s="10">
        <f>SUMIF(SALIDAS!A:A,A661,SALIDAS!C:C)</f>
        <v>0</v>
      </c>
      <c r="E661" s="10">
        <f t="shared" si="1"/>
        <v>0</v>
      </c>
      <c r="F661" s="13"/>
      <c r="G661" s="13"/>
      <c r="H661" s="13"/>
    </row>
    <row r="662" ht="15.75" customHeight="1">
      <c r="A662" s="13"/>
      <c r="B662" s="13"/>
      <c r="C662" s="9">
        <f>IFERROR(SUMIF(ENTRADAS!A:A,A662,ENTRADAS!C:C))</f>
        <v>0</v>
      </c>
      <c r="D662" s="10">
        <f>SUMIF(SALIDAS!A:A,A662,SALIDAS!C:C)</f>
        <v>0</v>
      </c>
      <c r="E662" s="10">
        <f t="shared" si="1"/>
        <v>0</v>
      </c>
      <c r="F662" s="13"/>
      <c r="G662" s="13"/>
      <c r="H662" s="13"/>
    </row>
    <row r="663" ht="15.75" customHeight="1">
      <c r="A663" s="13"/>
      <c r="B663" s="13"/>
      <c r="C663" s="9">
        <f>IFERROR(SUMIF(ENTRADAS!A:A,A663,ENTRADAS!C:C))</f>
        <v>0</v>
      </c>
      <c r="D663" s="10">
        <f>SUMIF(SALIDAS!A:A,A663,SALIDAS!C:C)</f>
        <v>0</v>
      </c>
      <c r="E663" s="10">
        <f t="shared" si="1"/>
        <v>0</v>
      </c>
      <c r="F663" s="13"/>
      <c r="G663" s="13"/>
      <c r="H663" s="13"/>
    </row>
    <row r="664" ht="15.75" customHeight="1">
      <c r="A664" s="13"/>
      <c r="B664" s="13"/>
      <c r="C664" s="9">
        <f>IFERROR(SUMIF(ENTRADAS!A:A,A664,ENTRADAS!C:C))</f>
        <v>0</v>
      </c>
      <c r="D664" s="10">
        <f>SUMIF(SALIDAS!A:A,A664,SALIDAS!C:C)</f>
        <v>0</v>
      </c>
      <c r="E664" s="10">
        <f t="shared" si="1"/>
        <v>0</v>
      </c>
      <c r="F664" s="13"/>
      <c r="G664" s="13"/>
      <c r="H664" s="13"/>
    </row>
    <row r="665" ht="15.75" customHeight="1">
      <c r="A665" s="13"/>
      <c r="B665" s="13"/>
      <c r="C665" s="9">
        <f>IFERROR(SUMIF(ENTRADAS!A:A,A665,ENTRADAS!C:C))</f>
        <v>0</v>
      </c>
      <c r="D665" s="10">
        <f>SUMIF(SALIDAS!A:A,A665,SALIDAS!C:C)</f>
        <v>0</v>
      </c>
      <c r="E665" s="10">
        <f t="shared" si="1"/>
        <v>0</v>
      </c>
      <c r="F665" s="13"/>
      <c r="G665" s="13"/>
      <c r="H665" s="13"/>
    </row>
    <row r="666" ht="15.75" customHeight="1">
      <c r="A666" s="13"/>
      <c r="B666" s="13"/>
      <c r="C666" s="9">
        <f>IFERROR(SUMIF(ENTRADAS!A:A,A666,ENTRADAS!C:C))</f>
        <v>0</v>
      </c>
      <c r="D666" s="10">
        <f>SUMIF(SALIDAS!A:A,A666,SALIDAS!C:C)</f>
        <v>0</v>
      </c>
      <c r="E666" s="10">
        <f t="shared" si="1"/>
        <v>0</v>
      </c>
      <c r="F666" s="13"/>
      <c r="G666" s="13"/>
      <c r="H666" s="13"/>
    </row>
    <row r="667" ht="15.75" customHeight="1">
      <c r="A667" s="13"/>
      <c r="B667" s="13"/>
      <c r="C667" s="9">
        <f>IFERROR(SUMIF(ENTRADAS!A:A,A667,ENTRADAS!C:C))</f>
        <v>0</v>
      </c>
      <c r="D667" s="10">
        <f>SUMIF(SALIDAS!A:A,A667,SALIDAS!C:C)</f>
        <v>0</v>
      </c>
      <c r="E667" s="10">
        <f t="shared" si="1"/>
        <v>0</v>
      </c>
      <c r="F667" s="13"/>
      <c r="G667" s="13"/>
      <c r="H667" s="13"/>
    </row>
    <row r="668" ht="15.75" customHeight="1">
      <c r="A668" s="13"/>
      <c r="B668" s="13"/>
      <c r="C668" s="9">
        <f>IFERROR(SUMIF(ENTRADAS!A:A,A668,ENTRADAS!C:C))</f>
        <v>0</v>
      </c>
      <c r="D668" s="10">
        <f>SUMIF(SALIDAS!A:A,A668,SALIDAS!C:C)</f>
        <v>0</v>
      </c>
      <c r="E668" s="10">
        <f t="shared" si="1"/>
        <v>0</v>
      </c>
      <c r="F668" s="13"/>
      <c r="G668" s="13"/>
      <c r="H668" s="13"/>
    </row>
    <row r="669" ht="15.75" customHeight="1">
      <c r="A669" s="13"/>
      <c r="B669" s="13"/>
      <c r="C669" s="9">
        <f>IFERROR(SUMIF(ENTRADAS!A:A,A669,ENTRADAS!C:C))</f>
        <v>0</v>
      </c>
      <c r="D669" s="10">
        <f>SUMIF(SALIDAS!A:A,A669,SALIDAS!C:C)</f>
        <v>0</v>
      </c>
      <c r="E669" s="10">
        <f t="shared" si="1"/>
        <v>0</v>
      </c>
      <c r="F669" s="13"/>
      <c r="G669" s="13"/>
      <c r="H669" s="13"/>
    </row>
    <row r="670" ht="15.75" customHeight="1">
      <c r="A670" s="13"/>
      <c r="B670" s="13"/>
      <c r="C670" s="9">
        <f>IFERROR(SUMIF(ENTRADAS!A:A,A670,ENTRADAS!C:C))</f>
        <v>0</v>
      </c>
      <c r="D670" s="10">
        <f>SUMIF(SALIDAS!A:A,A670,SALIDAS!C:C)</f>
        <v>0</v>
      </c>
      <c r="E670" s="10">
        <f t="shared" si="1"/>
        <v>0</v>
      </c>
      <c r="F670" s="13"/>
      <c r="G670" s="13"/>
      <c r="H670" s="13"/>
    </row>
    <row r="671" ht="15.75" customHeight="1">
      <c r="A671" s="13"/>
      <c r="B671" s="13"/>
      <c r="C671" s="9">
        <f>IFERROR(SUMIF(ENTRADAS!A:A,A671,ENTRADAS!C:C))</f>
        <v>0</v>
      </c>
      <c r="D671" s="10">
        <f>SUMIF(SALIDAS!A:A,A671,SALIDAS!C:C)</f>
        <v>0</v>
      </c>
      <c r="E671" s="10">
        <f t="shared" si="1"/>
        <v>0</v>
      </c>
      <c r="F671" s="13"/>
      <c r="G671" s="13"/>
      <c r="H671" s="13"/>
    </row>
    <row r="672" ht="15.75" customHeight="1">
      <c r="A672" s="13"/>
      <c r="B672" s="13"/>
      <c r="C672" s="9">
        <f>IFERROR(SUMIF(ENTRADAS!A:A,A672,ENTRADAS!C:C))</f>
        <v>0</v>
      </c>
      <c r="D672" s="10">
        <f>SUMIF(SALIDAS!A:A,A672,SALIDAS!C:C)</f>
        <v>0</v>
      </c>
      <c r="E672" s="10">
        <f t="shared" si="1"/>
        <v>0</v>
      </c>
      <c r="F672" s="13"/>
      <c r="G672" s="13"/>
      <c r="H672" s="13"/>
    </row>
    <row r="673" ht="15.75" customHeight="1">
      <c r="A673" s="13"/>
      <c r="B673" s="13"/>
      <c r="C673" s="9">
        <f>IFERROR(SUMIF(ENTRADAS!A:A,A673,ENTRADAS!C:C))</f>
        <v>0</v>
      </c>
      <c r="D673" s="10">
        <f>SUMIF(SALIDAS!A:A,A673,SALIDAS!C:C)</f>
        <v>0</v>
      </c>
      <c r="E673" s="10">
        <f t="shared" si="1"/>
        <v>0</v>
      </c>
      <c r="F673" s="13"/>
      <c r="G673" s="13"/>
      <c r="H673" s="13"/>
    </row>
    <row r="674" ht="15.75" customHeight="1">
      <c r="A674" s="13"/>
      <c r="B674" s="13"/>
      <c r="C674" s="9">
        <f>IFERROR(SUMIF(ENTRADAS!A:A,A674,ENTRADAS!C:C))</f>
        <v>0</v>
      </c>
      <c r="D674" s="10">
        <f>SUMIF(SALIDAS!A:A,A674,SALIDAS!C:C)</f>
        <v>0</v>
      </c>
      <c r="E674" s="10">
        <f t="shared" si="1"/>
        <v>0</v>
      </c>
      <c r="F674" s="13"/>
      <c r="G674" s="13"/>
      <c r="H674" s="13"/>
    </row>
    <row r="675" ht="15.75" customHeight="1">
      <c r="A675" s="13"/>
      <c r="B675" s="13"/>
      <c r="C675" s="9">
        <f>IFERROR(SUMIF(ENTRADAS!A:A,A675,ENTRADAS!C:C))</f>
        <v>0</v>
      </c>
      <c r="D675" s="10">
        <f>SUMIF(SALIDAS!A:A,A675,SALIDAS!C:C)</f>
        <v>0</v>
      </c>
      <c r="E675" s="10">
        <f t="shared" si="1"/>
        <v>0</v>
      </c>
      <c r="F675" s="13"/>
      <c r="G675" s="13"/>
      <c r="H675" s="13"/>
    </row>
    <row r="676" ht="15.75" customHeight="1">
      <c r="A676" s="13"/>
      <c r="B676" s="13"/>
      <c r="C676" s="9">
        <f>IFERROR(SUMIF(ENTRADAS!A:A,A676,ENTRADAS!C:C))</f>
        <v>0</v>
      </c>
      <c r="D676" s="10">
        <f>SUMIF(SALIDAS!A:A,A676,SALIDAS!C:C)</f>
        <v>0</v>
      </c>
      <c r="E676" s="10">
        <f t="shared" si="1"/>
        <v>0</v>
      </c>
      <c r="F676" s="13"/>
      <c r="G676" s="13"/>
      <c r="H676" s="13"/>
    </row>
    <row r="677" ht="15.75" customHeight="1">
      <c r="A677" s="13"/>
      <c r="B677" s="13"/>
      <c r="C677" s="9">
        <f>IFERROR(SUMIF(ENTRADAS!A:A,A677,ENTRADAS!C:C))</f>
        <v>0</v>
      </c>
      <c r="D677" s="10">
        <f>SUMIF(SALIDAS!A:A,A677,SALIDAS!C:C)</f>
        <v>0</v>
      </c>
      <c r="E677" s="10">
        <f t="shared" si="1"/>
        <v>0</v>
      </c>
      <c r="F677" s="13"/>
      <c r="G677" s="13"/>
      <c r="H677" s="13"/>
    </row>
    <row r="678" ht="15.75" customHeight="1">
      <c r="A678" s="13"/>
      <c r="B678" s="13"/>
      <c r="C678" s="9">
        <f>IFERROR(SUMIF(ENTRADAS!A:A,A678,ENTRADAS!C:C))</f>
        <v>0</v>
      </c>
      <c r="D678" s="10">
        <f>SUMIF(SALIDAS!A:A,A678,SALIDAS!C:C)</f>
        <v>0</v>
      </c>
      <c r="E678" s="10">
        <f t="shared" si="1"/>
        <v>0</v>
      </c>
      <c r="F678" s="13"/>
      <c r="G678" s="13"/>
      <c r="H678" s="13"/>
    </row>
    <row r="679" ht="15.75" customHeight="1">
      <c r="A679" s="13"/>
      <c r="B679" s="13"/>
      <c r="C679" s="9">
        <f>IFERROR(SUMIF(ENTRADAS!A:A,A679,ENTRADAS!C:C))</f>
        <v>0</v>
      </c>
      <c r="D679" s="10">
        <f>SUMIF(SALIDAS!A:A,A679,SALIDAS!C:C)</f>
        <v>0</v>
      </c>
      <c r="E679" s="10">
        <f t="shared" si="1"/>
        <v>0</v>
      </c>
      <c r="F679" s="13"/>
      <c r="G679" s="13"/>
      <c r="H679" s="13"/>
    </row>
    <row r="680" ht="15.75" customHeight="1">
      <c r="A680" s="13"/>
      <c r="B680" s="13"/>
      <c r="C680" s="9">
        <f>IFERROR(SUMIF(ENTRADAS!A:A,A680,ENTRADAS!C:C))</f>
        <v>0</v>
      </c>
      <c r="D680" s="10">
        <f>SUMIF(SALIDAS!A:A,A680,SALIDAS!C:C)</f>
        <v>0</v>
      </c>
      <c r="E680" s="10">
        <f t="shared" si="1"/>
        <v>0</v>
      </c>
      <c r="F680" s="13"/>
      <c r="G680" s="13"/>
      <c r="H680" s="13"/>
    </row>
    <row r="681" ht="15.75" customHeight="1">
      <c r="A681" s="13"/>
      <c r="B681" s="13"/>
      <c r="C681" s="9">
        <f>IFERROR(SUMIF(ENTRADAS!A:A,A681,ENTRADAS!C:C))</f>
        <v>0</v>
      </c>
      <c r="D681" s="10">
        <f>SUMIF(SALIDAS!A:A,A681,SALIDAS!C:C)</f>
        <v>0</v>
      </c>
      <c r="E681" s="10">
        <f t="shared" si="1"/>
        <v>0</v>
      </c>
      <c r="F681" s="13"/>
      <c r="G681" s="13"/>
      <c r="H681" s="13"/>
    </row>
    <row r="682" ht="15.75" customHeight="1">
      <c r="A682" s="13"/>
      <c r="B682" s="13"/>
      <c r="C682" s="9">
        <f>IFERROR(SUMIF(ENTRADAS!A:A,A682,ENTRADAS!C:C))</f>
        <v>0</v>
      </c>
      <c r="D682" s="10">
        <f>SUMIF(SALIDAS!A:A,A682,SALIDAS!C:C)</f>
        <v>0</v>
      </c>
      <c r="E682" s="10">
        <f t="shared" si="1"/>
        <v>0</v>
      </c>
      <c r="F682" s="13"/>
      <c r="G682" s="13"/>
      <c r="H682" s="13"/>
    </row>
    <row r="683" ht="15.75" customHeight="1">
      <c r="A683" s="13"/>
      <c r="B683" s="13"/>
      <c r="C683" s="9">
        <f>IFERROR(SUMIF(ENTRADAS!A:A,A683,ENTRADAS!C:C))</f>
        <v>0</v>
      </c>
      <c r="D683" s="10">
        <f>SUMIF(SALIDAS!A:A,A683,SALIDAS!C:C)</f>
        <v>0</v>
      </c>
      <c r="E683" s="10">
        <f t="shared" si="1"/>
        <v>0</v>
      </c>
      <c r="F683" s="13"/>
      <c r="G683" s="13"/>
      <c r="H683" s="13"/>
    </row>
    <row r="684" ht="15.75" customHeight="1">
      <c r="A684" s="13"/>
      <c r="B684" s="13"/>
      <c r="C684" s="9">
        <f>IFERROR(SUMIF(ENTRADAS!A:A,A684,ENTRADAS!C:C))</f>
        <v>0</v>
      </c>
      <c r="D684" s="10">
        <f>SUMIF(SALIDAS!A:A,A684,SALIDAS!C:C)</f>
        <v>0</v>
      </c>
      <c r="E684" s="10">
        <f t="shared" si="1"/>
        <v>0</v>
      </c>
      <c r="F684" s="13"/>
      <c r="G684" s="13"/>
      <c r="H684" s="13"/>
    </row>
    <row r="685" ht="15.75" customHeight="1">
      <c r="A685" s="13"/>
      <c r="B685" s="13"/>
      <c r="C685" s="9">
        <f>IFERROR(SUMIF(ENTRADAS!A:A,A685,ENTRADAS!C:C))</f>
        <v>0</v>
      </c>
      <c r="D685" s="10">
        <f>SUMIF(SALIDAS!A:A,A685,SALIDAS!C:C)</f>
        <v>0</v>
      </c>
      <c r="E685" s="10">
        <f t="shared" si="1"/>
        <v>0</v>
      </c>
      <c r="F685" s="13"/>
      <c r="G685" s="13"/>
      <c r="H685" s="13"/>
    </row>
    <row r="686" ht="15.75" customHeight="1">
      <c r="A686" s="13"/>
      <c r="B686" s="13"/>
      <c r="C686" s="9">
        <f>IFERROR(SUMIF(ENTRADAS!A:A,A686,ENTRADAS!C:C))</f>
        <v>0</v>
      </c>
      <c r="D686" s="10">
        <f>SUMIF(SALIDAS!A:A,A686,SALIDAS!C:C)</f>
        <v>0</v>
      </c>
      <c r="E686" s="10">
        <f t="shared" si="1"/>
        <v>0</v>
      </c>
      <c r="F686" s="13"/>
      <c r="G686" s="13"/>
      <c r="H686" s="13"/>
    </row>
    <row r="687" ht="15.75" customHeight="1">
      <c r="A687" s="13"/>
      <c r="B687" s="13"/>
      <c r="C687" s="9">
        <f>IFERROR(SUMIF(ENTRADAS!A:A,A687,ENTRADAS!C:C))</f>
        <v>0</v>
      </c>
      <c r="D687" s="10">
        <f>SUMIF(SALIDAS!A:A,A687,SALIDAS!C:C)</f>
        <v>0</v>
      </c>
      <c r="E687" s="10">
        <f t="shared" si="1"/>
        <v>0</v>
      </c>
      <c r="F687" s="13"/>
      <c r="G687" s="13"/>
      <c r="H687" s="13"/>
    </row>
    <row r="688" ht="15.75" customHeight="1">
      <c r="A688" s="13"/>
      <c r="B688" s="13"/>
      <c r="C688" s="9">
        <f>IFERROR(SUMIF(ENTRADAS!A:A,A688,ENTRADAS!C:C))</f>
        <v>0</v>
      </c>
      <c r="D688" s="10">
        <f>SUMIF(SALIDAS!A:A,A688,SALIDAS!C:C)</f>
        <v>0</v>
      </c>
      <c r="E688" s="10">
        <f t="shared" si="1"/>
        <v>0</v>
      </c>
      <c r="F688" s="13"/>
      <c r="G688" s="13"/>
      <c r="H688" s="13"/>
    </row>
    <row r="689" ht="15.75" customHeight="1">
      <c r="A689" s="13"/>
      <c r="B689" s="13"/>
      <c r="C689" s="9">
        <f>IFERROR(SUMIF(ENTRADAS!A:A,A689,ENTRADAS!C:C))</f>
        <v>0</v>
      </c>
      <c r="D689" s="10">
        <f>SUMIF(SALIDAS!A:A,A689,SALIDAS!C:C)</f>
        <v>0</v>
      </c>
      <c r="E689" s="10">
        <f t="shared" si="1"/>
        <v>0</v>
      </c>
      <c r="F689" s="13"/>
      <c r="G689" s="13"/>
      <c r="H689" s="13"/>
    </row>
    <row r="690" ht="15.75" customHeight="1">
      <c r="A690" s="13"/>
      <c r="B690" s="13"/>
      <c r="C690" s="9">
        <f>IFERROR(SUMIF(ENTRADAS!A:A,A690,ENTRADAS!C:C))</f>
        <v>0</v>
      </c>
      <c r="D690" s="10">
        <f>SUMIF(SALIDAS!A:A,A690,SALIDAS!C:C)</f>
        <v>0</v>
      </c>
      <c r="E690" s="10">
        <f t="shared" si="1"/>
        <v>0</v>
      </c>
      <c r="F690" s="13"/>
      <c r="G690" s="13"/>
      <c r="H690" s="13"/>
    </row>
    <row r="691" ht="15.75" customHeight="1">
      <c r="A691" s="13"/>
      <c r="B691" s="13"/>
      <c r="C691" s="9">
        <f>IFERROR(SUMIF(ENTRADAS!A:A,A691,ENTRADAS!C:C))</f>
        <v>0</v>
      </c>
      <c r="D691" s="10">
        <f>SUMIF(SALIDAS!A:A,A691,SALIDAS!C:C)</f>
        <v>0</v>
      </c>
      <c r="E691" s="10">
        <f t="shared" si="1"/>
        <v>0</v>
      </c>
      <c r="F691" s="13"/>
      <c r="G691" s="13"/>
      <c r="H691" s="13"/>
    </row>
    <row r="692" ht="15.75" customHeight="1">
      <c r="A692" s="13"/>
      <c r="B692" s="13"/>
      <c r="C692" s="9">
        <f>IFERROR(SUMIF(ENTRADAS!A:A,A692,ENTRADAS!C:C))</f>
        <v>0</v>
      </c>
      <c r="D692" s="10">
        <f>SUMIF(SALIDAS!A:A,A692,SALIDAS!C:C)</f>
        <v>0</v>
      </c>
      <c r="E692" s="10">
        <f t="shared" si="1"/>
        <v>0</v>
      </c>
      <c r="F692" s="13"/>
      <c r="G692" s="13"/>
      <c r="H692" s="13"/>
    </row>
    <row r="693" ht="15.75" customHeight="1">
      <c r="A693" s="13"/>
      <c r="B693" s="13"/>
      <c r="C693" s="9">
        <f>IFERROR(SUMIF(ENTRADAS!A:A,A693,ENTRADAS!C:C))</f>
        <v>0</v>
      </c>
      <c r="D693" s="10">
        <f>SUMIF(SALIDAS!A:A,A693,SALIDAS!C:C)</f>
        <v>0</v>
      </c>
      <c r="E693" s="10">
        <f t="shared" si="1"/>
        <v>0</v>
      </c>
      <c r="F693" s="13"/>
      <c r="G693" s="13"/>
      <c r="H693" s="13"/>
    </row>
    <row r="694" ht="15.75" customHeight="1">
      <c r="A694" s="13"/>
      <c r="B694" s="13"/>
      <c r="C694" s="9">
        <f>IFERROR(SUMIF(ENTRADAS!A:A,A694,ENTRADAS!C:C))</f>
        <v>0</v>
      </c>
      <c r="D694" s="10">
        <f>SUMIF(SALIDAS!A:A,A694,SALIDAS!C:C)</f>
        <v>0</v>
      </c>
      <c r="E694" s="10">
        <f t="shared" si="1"/>
        <v>0</v>
      </c>
      <c r="F694" s="13"/>
      <c r="G694" s="13"/>
      <c r="H694" s="13"/>
    </row>
    <row r="695" ht="15.75" customHeight="1">
      <c r="A695" s="13"/>
      <c r="B695" s="13"/>
      <c r="C695" s="9">
        <f>IFERROR(SUMIF(ENTRADAS!A:A,A695,ENTRADAS!C:C))</f>
        <v>0</v>
      </c>
      <c r="D695" s="10">
        <f>SUMIF(SALIDAS!A:A,A695,SALIDAS!C:C)</f>
        <v>0</v>
      </c>
      <c r="E695" s="10">
        <f t="shared" si="1"/>
        <v>0</v>
      </c>
      <c r="F695" s="13"/>
      <c r="G695" s="13"/>
      <c r="H695" s="13"/>
    </row>
    <row r="696" ht="15.75" customHeight="1">
      <c r="A696" s="13"/>
      <c r="B696" s="13"/>
      <c r="C696" s="9">
        <f>IFERROR(SUMIF(ENTRADAS!A:A,A696,ENTRADAS!C:C))</f>
        <v>0</v>
      </c>
      <c r="D696" s="10">
        <f>SUMIF(SALIDAS!A:A,A696,SALIDAS!C:C)</f>
        <v>0</v>
      </c>
      <c r="E696" s="10">
        <f t="shared" si="1"/>
        <v>0</v>
      </c>
      <c r="F696" s="13"/>
      <c r="G696" s="13"/>
      <c r="H696" s="13"/>
    </row>
    <row r="697" ht="15.75" customHeight="1">
      <c r="A697" s="13"/>
      <c r="B697" s="13"/>
      <c r="C697" s="9">
        <f>IFERROR(SUMIF(ENTRADAS!A:A,A697,ENTRADAS!C:C))</f>
        <v>0</v>
      </c>
      <c r="D697" s="10">
        <f>SUMIF(SALIDAS!A:A,A697,SALIDAS!C:C)</f>
        <v>0</v>
      </c>
      <c r="E697" s="10">
        <f t="shared" si="1"/>
        <v>0</v>
      </c>
      <c r="F697" s="13"/>
      <c r="G697" s="13"/>
      <c r="H697" s="13"/>
    </row>
    <row r="698" ht="15.75" customHeight="1">
      <c r="A698" s="13"/>
      <c r="B698" s="13"/>
      <c r="C698" s="9">
        <f>IFERROR(SUMIF(ENTRADAS!A:A,A698,ENTRADAS!C:C))</f>
        <v>0</v>
      </c>
      <c r="D698" s="10">
        <f>SUMIF(SALIDAS!A:A,A698,SALIDAS!C:C)</f>
        <v>0</v>
      </c>
      <c r="E698" s="10">
        <f t="shared" si="1"/>
        <v>0</v>
      </c>
      <c r="F698" s="13"/>
      <c r="G698" s="13"/>
      <c r="H698" s="13"/>
    </row>
    <row r="699" ht="15.75" customHeight="1">
      <c r="A699" s="13"/>
      <c r="B699" s="13"/>
      <c r="C699" s="9">
        <f>IFERROR(SUMIF(ENTRADAS!A:A,A699,ENTRADAS!C:C))</f>
        <v>0</v>
      </c>
      <c r="D699" s="10">
        <f>SUMIF(SALIDAS!A:A,A699,SALIDAS!C:C)</f>
        <v>0</v>
      </c>
      <c r="E699" s="10">
        <f t="shared" si="1"/>
        <v>0</v>
      </c>
      <c r="F699" s="13"/>
      <c r="G699" s="13"/>
      <c r="H699" s="13"/>
    </row>
    <row r="700" ht="15.75" customHeight="1">
      <c r="A700" s="13"/>
      <c r="B700" s="13"/>
      <c r="C700" s="9">
        <f>IFERROR(SUMIF(ENTRADAS!A:A,A700,ENTRADAS!C:C))</f>
        <v>0</v>
      </c>
      <c r="D700" s="10">
        <f>SUMIF(SALIDAS!A:A,A700,SALIDAS!C:C)</f>
        <v>0</v>
      </c>
      <c r="E700" s="10">
        <f t="shared" si="1"/>
        <v>0</v>
      </c>
      <c r="F700" s="13"/>
      <c r="G700" s="13"/>
      <c r="H700" s="13"/>
    </row>
    <row r="701" ht="15.75" customHeight="1">
      <c r="A701" s="13"/>
      <c r="B701" s="13"/>
      <c r="C701" s="9">
        <f>IFERROR(SUMIF(ENTRADAS!A:A,A701,ENTRADAS!C:C))</f>
        <v>0</v>
      </c>
      <c r="D701" s="10">
        <f>SUMIF(SALIDAS!A:A,A701,SALIDAS!C:C)</f>
        <v>0</v>
      </c>
      <c r="E701" s="10">
        <f t="shared" si="1"/>
        <v>0</v>
      </c>
      <c r="F701" s="13"/>
      <c r="G701" s="13"/>
      <c r="H701" s="13"/>
    </row>
    <row r="702" ht="15.75" customHeight="1">
      <c r="A702" s="13"/>
      <c r="B702" s="13"/>
      <c r="C702" s="9">
        <f>IFERROR(SUMIF(ENTRADAS!A:A,A702,ENTRADAS!C:C))</f>
        <v>0</v>
      </c>
      <c r="D702" s="10">
        <f>SUMIF(SALIDAS!A:A,A702,SALIDAS!C:C)</f>
        <v>0</v>
      </c>
      <c r="E702" s="10">
        <f t="shared" si="1"/>
        <v>0</v>
      </c>
      <c r="F702" s="13"/>
      <c r="G702" s="13"/>
      <c r="H702" s="13"/>
    </row>
    <row r="703" ht="15.75" customHeight="1">
      <c r="A703" s="13"/>
      <c r="B703" s="13"/>
      <c r="C703" s="9">
        <f>IFERROR(SUMIF(ENTRADAS!A:A,A703,ENTRADAS!C:C))</f>
        <v>0</v>
      </c>
      <c r="D703" s="10">
        <f>SUMIF(SALIDAS!A:A,A703,SALIDAS!C:C)</f>
        <v>0</v>
      </c>
      <c r="E703" s="10">
        <f t="shared" si="1"/>
        <v>0</v>
      </c>
      <c r="F703" s="13"/>
      <c r="G703" s="13"/>
      <c r="H703" s="13"/>
    </row>
    <row r="704" ht="15.75" customHeight="1">
      <c r="A704" s="13"/>
      <c r="B704" s="13"/>
      <c r="C704" s="9">
        <f>IFERROR(SUMIF(ENTRADAS!A:A,A704,ENTRADAS!C:C))</f>
        <v>0</v>
      </c>
      <c r="D704" s="10">
        <f>SUMIF(SALIDAS!A:A,A704,SALIDAS!C:C)</f>
        <v>0</v>
      </c>
      <c r="E704" s="10">
        <f t="shared" si="1"/>
        <v>0</v>
      </c>
      <c r="F704" s="13"/>
      <c r="G704" s="13"/>
      <c r="H704" s="13"/>
    </row>
    <row r="705" ht="15.75" customHeight="1">
      <c r="A705" s="13"/>
      <c r="B705" s="13"/>
      <c r="C705" s="9">
        <f>IFERROR(SUMIF(ENTRADAS!A:A,A705,ENTRADAS!C:C))</f>
        <v>0</v>
      </c>
      <c r="D705" s="10">
        <f>SUMIF(SALIDAS!A:A,A705,SALIDAS!C:C)</f>
        <v>0</v>
      </c>
      <c r="E705" s="10">
        <f t="shared" si="1"/>
        <v>0</v>
      </c>
      <c r="F705" s="13"/>
      <c r="G705" s="13"/>
      <c r="H705" s="13"/>
    </row>
    <row r="706" ht="15.75" customHeight="1">
      <c r="A706" s="13"/>
      <c r="B706" s="13"/>
      <c r="C706" s="9">
        <f>IFERROR(SUMIF(ENTRADAS!A:A,A706,ENTRADAS!C:C))</f>
        <v>0</v>
      </c>
      <c r="D706" s="10">
        <f>SUMIF(SALIDAS!A:A,A706,SALIDAS!C:C)</f>
        <v>0</v>
      </c>
      <c r="E706" s="10">
        <f t="shared" si="1"/>
        <v>0</v>
      </c>
      <c r="F706" s="13"/>
      <c r="G706" s="13"/>
      <c r="H706" s="13"/>
    </row>
    <row r="707" ht="15.75" customHeight="1">
      <c r="A707" s="13"/>
      <c r="B707" s="13"/>
      <c r="C707" s="9">
        <f>IFERROR(SUMIF(ENTRADAS!A:A,A707,ENTRADAS!C:C))</f>
        <v>0</v>
      </c>
      <c r="D707" s="10">
        <f>SUMIF(SALIDAS!A:A,A707,SALIDAS!C:C)</f>
        <v>0</v>
      </c>
      <c r="E707" s="10">
        <f t="shared" si="1"/>
        <v>0</v>
      </c>
      <c r="F707" s="13"/>
      <c r="G707" s="13"/>
      <c r="H707" s="13"/>
    </row>
    <row r="708" ht="15.75" customHeight="1">
      <c r="A708" s="13"/>
      <c r="B708" s="13"/>
      <c r="C708" s="9">
        <f>IFERROR(SUMIF(ENTRADAS!A:A,A708,ENTRADAS!C:C))</f>
        <v>0</v>
      </c>
      <c r="D708" s="10">
        <f>SUMIF(SALIDAS!A:A,A708,SALIDAS!C:C)</f>
        <v>0</v>
      </c>
      <c r="E708" s="10">
        <f t="shared" si="1"/>
        <v>0</v>
      </c>
      <c r="F708" s="13"/>
      <c r="G708" s="13"/>
      <c r="H708" s="13"/>
    </row>
    <row r="709" ht="15.75" customHeight="1">
      <c r="A709" s="13"/>
      <c r="B709" s="13"/>
      <c r="C709" s="9">
        <f>IFERROR(SUMIF(ENTRADAS!A:A,A709,ENTRADAS!C:C))</f>
        <v>0</v>
      </c>
      <c r="D709" s="10">
        <f>SUMIF(SALIDAS!A:A,A709,SALIDAS!C:C)</f>
        <v>0</v>
      </c>
      <c r="E709" s="10">
        <f t="shared" si="1"/>
        <v>0</v>
      </c>
      <c r="F709" s="13"/>
      <c r="G709" s="13"/>
      <c r="H709" s="13"/>
    </row>
    <row r="710" ht="15.75" customHeight="1">
      <c r="A710" s="13"/>
      <c r="B710" s="13"/>
      <c r="C710" s="9">
        <f>IFERROR(SUMIF(ENTRADAS!A:A,A710,ENTRADAS!C:C))</f>
        <v>0</v>
      </c>
      <c r="D710" s="10">
        <f>SUMIF(SALIDAS!A:A,A710,SALIDAS!C:C)</f>
        <v>0</v>
      </c>
      <c r="E710" s="10">
        <f t="shared" si="1"/>
        <v>0</v>
      </c>
      <c r="F710" s="13"/>
      <c r="G710" s="13"/>
      <c r="H710" s="13"/>
    </row>
    <row r="711" ht="15.75" customHeight="1">
      <c r="A711" s="13"/>
      <c r="B711" s="13"/>
      <c r="C711" s="9">
        <f>IFERROR(SUMIF(ENTRADAS!A:A,A711,ENTRADAS!C:C))</f>
        <v>0</v>
      </c>
      <c r="D711" s="10">
        <f>SUMIF(SALIDAS!A:A,A711,SALIDAS!C:C)</f>
        <v>0</v>
      </c>
      <c r="E711" s="10">
        <f t="shared" si="1"/>
        <v>0</v>
      </c>
      <c r="F711" s="13"/>
      <c r="G711" s="13"/>
      <c r="H711" s="13"/>
    </row>
    <row r="712" ht="15.75" customHeight="1">
      <c r="A712" s="13"/>
      <c r="B712" s="13"/>
      <c r="C712" s="9">
        <f>IFERROR(SUMIF(ENTRADAS!A:A,A712,ENTRADAS!C:C))</f>
        <v>0</v>
      </c>
      <c r="D712" s="10">
        <f>SUMIF(SALIDAS!A:A,A712,SALIDAS!C:C)</f>
        <v>0</v>
      </c>
      <c r="E712" s="10">
        <f t="shared" si="1"/>
        <v>0</v>
      </c>
      <c r="F712" s="13"/>
      <c r="G712" s="13"/>
      <c r="H712" s="13"/>
    </row>
    <row r="713" ht="15.75" customHeight="1">
      <c r="A713" s="13"/>
      <c r="B713" s="13"/>
      <c r="C713" s="9">
        <f>IFERROR(SUMIF(ENTRADAS!A:A,A713,ENTRADAS!C:C))</f>
        <v>0</v>
      </c>
      <c r="D713" s="10">
        <f>SUMIF(SALIDAS!A:A,A713,SALIDAS!C:C)</f>
        <v>0</v>
      </c>
      <c r="E713" s="10">
        <f t="shared" si="1"/>
        <v>0</v>
      </c>
      <c r="F713" s="13"/>
      <c r="G713" s="13"/>
      <c r="H713" s="13"/>
    </row>
    <row r="714" ht="15.75" customHeight="1">
      <c r="A714" s="13"/>
      <c r="B714" s="13"/>
      <c r="C714" s="9">
        <f>IFERROR(SUMIF(ENTRADAS!A:A,A714,ENTRADAS!C:C))</f>
        <v>0</v>
      </c>
      <c r="D714" s="10">
        <f>SUMIF(SALIDAS!A:A,A714,SALIDAS!C:C)</f>
        <v>0</v>
      </c>
      <c r="E714" s="10">
        <f t="shared" si="1"/>
        <v>0</v>
      </c>
      <c r="F714" s="13"/>
      <c r="G714" s="13"/>
      <c r="H714" s="13"/>
    </row>
    <row r="715" ht="15.75" customHeight="1">
      <c r="A715" s="13"/>
      <c r="B715" s="13"/>
      <c r="C715" s="9">
        <f>IFERROR(SUMIF(ENTRADAS!A:A,A715,ENTRADAS!C:C))</f>
        <v>0</v>
      </c>
      <c r="D715" s="10">
        <f>SUMIF(SALIDAS!A:A,A715,SALIDAS!C:C)</f>
        <v>0</v>
      </c>
      <c r="E715" s="10">
        <f t="shared" si="1"/>
        <v>0</v>
      </c>
      <c r="F715" s="13"/>
      <c r="G715" s="13"/>
      <c r="H715" s="13"/>
    </row>
    <row r="716" ht="15.75" customHeight="1">
      <c r="A716" s="13"/>
      <c r="B716" s="13"/>
      <c r="C716" s="9">
        <f>IFERROR(SUMIF(ENTRADAS!A:A,A716,ENTRADAS!C:C))</f>
        <v>0</v>
      </c>
      <c r="D716" s="10">
        <f>SUMIF(SALIDAS!A:A,A716,SALIDAS!C:C)</f>
        <v>0</v>
      </c>
      <c r="E716" s="10">
        <f t="shared" si="1"/>
        <v>0</v>
      </c>
      <c r="F716" s="13"/>
      <c r="G716" s="13"/>
      <c r="H716" s="13"/>
    </row>
    <row r="717" ht="15.75" customHeight="1">
      <c r="A717" s="13"/>
      <c r="B717" s="13"/>
      <c r="C717" s="9">
        <f>IFERROR(SUMIF(ENTRADAS!A:A,A717,ENTRADAS!C:C))</f>
        <v>0</v>
      </c>
      <c r="D717" s="10">
        <f>SUMIF(SALIDAS!A:A,A717,SALIDAS!C:C)</f>
        <v>0</v>
      </c>
      <c r="E717" s="10">
        <f t="shared" si="1"/>
        <v>0</v>
      </c>
      <c r="F717" s="13"/>
      <c r="G717" s="13"/>
      <c r="H717" s="13"/>
    </row>
    <row r="718" ht="15.75" customHeight="1">
      <c r="A718" s="13"/>
      <c r="B718" s="13"/>
      <c r="C718" s="9">
        <f>IFERROR(SUMIF(ENTRADAS!A:A,A718,ENTRADAS!C:C))</f>
        <v>0</v>
      </c>
      <c r="D718" s="10">
        <f>SUMIF(SALIDAS!A:A,A718,SALIDAS!C:C)</f>
        <v>0</v>
      </c>
      <c r="E718" s="10">
        <f t="shared" si="1"/>
        <v>0</v>
      </c>
      <c r="F718" s="13"/>
      <c r="G718" s="13"/>
      <c r="H718" s="13"/>
    </row>
    <row r="719" ht="15.75" customHeight="1">
      <c r="A719" s="13"/>
      <c r="B719" s="13"/>
      <c r="C719" s="9">
        <f>IFERROR(SUMIF(ENTRADAS!A:A,A719,ENTRADAS!C:C))</f>
        <v>0</v>
      </c>
      <c r="D719" s="10">
        <f>SUMIF(SALIDAS!A:A,A719,SALIDAS!C:C)</f>
        <v>0</v>
      </c>
      <c r="E719" s="10">
        <f t="shared" si="1"/>
        <v>0</v>
      </c>
      <c r="F719" s="13"/>
      <c r="G719" s="13"/>
      <c r="H719" s="13"/>
    </row>
    <row r="720" ht="15.75" customHeight="1">
      <c r="A720" s="13"/>
      <c r="B720" s="13"/>
      <c r="C720" s="9">
        <f>IFERROR(SUMIF(ENTRADAS!A:A,A720,ENTRADAS!C:C))</f>
        <v>0</v>
      </c>
      <c r="D720" s="10">
        <f>SUMIF(SALIDAS!A:A,A720,SALIDAS!C:C)</f>
        <v>0</v>
      </c>
      <c r="E720" s="10">
        <f t="shared" si="1"/>
        <v>0</v>
      </c>
      <c r="F720" s="13"/>
      <c r="G720" s="13"/>
      <c r="H720" s="13"/>
    </row>
    <row r="721" ht="15.75" customHeight="1">
      <c r="A721" s="13"/>
      <c r="B721" s="13"/>
      <c r="C721" s="9">
        <f>IFERROR(SUMIF(ENTRADAS!A:A,A721,ENTRADAS!C:C))</f>
        <v>0</v>
      </c>
      <c r="D721" s="10">
        <f>SUMIF(SALIDAS!A:A,A721,SALIDAS!C:C)</f>
        <v>0</v>
      </c>
      <c r="E721" s="10">
        <f t="shared" si="1"/>
        <v>0</v>
      </c>
      <c r="F721" s="13"/>
      <c r="G721" s="13"/>
      <c r="H721" s="13"/>
    </row>
    <row r="722" ht="15.75" customHeight="1">
      <c r="A722" s="13"/>
      <c r="B722" s="13"/>
      <c r="C722" s="9">
        <f>IFERROR(SUMIF(ENTRADAS!A:A,A722,ENTRADAS!C:C))</f>
        <v>0</v>
      </c>
      <c r="D722" s="10">
        <f>SUMIF(SALIDAS!A:A,A722,SALIDAS!C:C)</f>
        <v>0</v>
      </c>
      <c r="E722" s="10">
        <f t="shared" si="1"/>
        <v>0</v>
      </c>
      <c r="F722" s="13"/>
      <c r="G722" s="13"/>
      <c r="H722" s="13"/>
    </row>
    <row r="723" ht="15.75" customHeight="1">
      <c r="A723" s="13"/>
      <c r="B723" s="13"/>
      <c r="C723" s="9">
        <f>IFERROR(SUMIF(ENTRADAS!A:A,A723,ENTRADAS!C:C))</f>
        <v>0</v>
      </c>
      <c r="D723" s="10">
        <f>SUMIF(SALIDAS!A:A,A723,SALIDAS!C:C)</f>
        <v>0</v>
      </c>
      <c r="E723" s="10">
        <f t="shared" si="1"/>
        <v>0</v>
      </c>
      <c r="F723" s="13"/>
      <c r="G723" s="13"/>
      <c r="H723" s="13"/>
    </row>
    <row r="724" ht="15.75" customHeight="1">
      <c r="A724" s="13"/>
      <c r="B724" s="13"/>
      <c r="C724" s="9">
        <f>IFERROR(SUMIF(ENTRADAS!A:A,A724,ENTRADAS!C:C))</f>
        <v>0</v>
      </c>
      <c r="D724" s="10">
        <f>SUMIF(SALIDAS!A:A,A724,SALIDAS!C:C)</f>
        <v>0</v>
      </c>
      <c r="E724" s="10">
        <f t="shared" si="1"/>
        <v>0</v>
      </c>
      <c r="F724" s="13"/>
      <c r="G724" s="13"/>
      <c r="H724" s="13"/>
    </row>
    <row r="725" ht="15.75" customHeight="1">
      <c r="A725" s="13"/>
      <c r="B725" s="13"/>
      <c r="C725" s="9">
        <f>IFERROR(SUMIF(ENTRADAS!A:A,A725,ENTRADAS!C:C))</f>
        <v>0</v>
      </c>
      <c r="D725" s="10">
        <f>SUMIF(SALIDAS!A:A,A725,SALIDAS!C:C)</f>
        <v>0</v>
      </c>
      <c r="E725" s="10">
        <f t="shared" si="1"/>
        <v>0</v>
      </c>
      <c r="F725" s="13"/>
      <c r="G725" s="13"/>
      <c r="H725" s="13"/>
    </row>
    <row r="726" ht="15.75" customHeight="1">
      <c r="A726" s="13"/>
      <c r="B726" s="13"/>
      <c r="C726" s="9">
        <f>IFERROR(SUMIF(ENTRADAS!A:A,A726,ENTRADAS!C:C))</f>
        <v>0</v>
      </c>
      <c r="D726" s="10">
        <f>SUMIF(SALIDAS!A:A,A726,SALIDAS!C:C)</f>
        <v>0</v>
      </c>
      <c r="E726" s="10">
        <f t="shared" si="1"/>
        <v>0</v>
      </c>
      <c r="F726" s="13"/>
      <c r="G726" s="13"/>
      <c r="H726" s="13"/>
    </row>
    <row r="727" ht="15.75" customHeight="1">
      <c r="A727" s="13"/>
      <c r="B727" s="13"/>
      <c r="C727" s="9">
        <f>IFERROR(SUMIF(ENTRADAS!A:A,A727,ENTRADAS!C:C))</f>
        <v>0</v>
      </c>
      <c r="D727" s="10">
        <f>SUMIF(SALIDAS!A:A,A727,SALIDAS!C:C)</f>
        <v>0</v>
      </c>
      <c r="E727" s="10">
        <f t="shared" si="1"/>
        <v>0</v>
      </c>
      <c r="F727" s="13"/>
      <c r="G727" s="13"/>
      <c r="H727" s="13"/>
    </row>
    <row r="728" ht="15.75" customHeight="1">
      <c r="A728" s="13"/>
      <c r="B728" s="13"/>
      <c r="C728" s="9">
        <f>IFERROR(SUMIF(ENTRADAS!A:A,A728,ENTRADAS!C:C))</f>
        <v>0</v>
      </c>
      <c r="D728" s="10">
        <f>SUMIF(SALIDAS!A:A,A728,SALIDAS!C:C)</f>
        <v>0</v>
      </c>
      <c r="E728" s="10">
        <f t="shared" si="1"/>
        <v>0</v>
      </c>
      <c r="F728" s="13"/>
      <c r="G728" s="13"/>
      <c r="H728" s="13"/>
    </row>
    <row r="729" ht="15.75" customHeight="1">
      <c r="A729" s="13"/>
      <c r="B729" s="13"/>
      <c r="C729" s="9">
        <f>IFERROR(SUMIF(ENTRADAS!A:A,A729,ENTRADAS!C:C))</f>
        <v>0</v>
      </c>
      <c r="D729" s="10">
        <f>SUMIF(SALIDAS!A:A,A729,SALIDAS!C:C)</f>
        <v>0</v>
      </c>
      <c r="E729" s="10">
        <f t="shared" si="1"/>
        <v>0</v>
      </c>
      <c r="F729" s="13"/>
      <c r="G729" s="13"/>
      <c r="H729" s="13"/>
    </row>
    <row r="730" ht="15.75" customHeight="1">
      <c r="A730" s="13"/>
      <c r="B730" s="13"/>
      <c r="C730" s="9">
        <f>IFERROR(SUMIF(ENTRADAS!A:A,A730,ENTRADAS!C:C))</f>
        <v>0</v>
      </c>
      <c r="D730" s="10">
        <f>SUMIF(SALIDAS!A:A,A730,SALIDAS!C:C)</f>
        <v>0</v>
      </c>
      <c r="E730" s="10">
        <f t="shared" si="1"/>
        <v>0</v>
      </c>
      <c r="F730" s="13"/>
      <c r="G730" s="13"/>
      <c r="H730" s="13"/>
    </row>
    <row r="731" ht="15.75" customHeight="1">
      <c r="A731" s="13"/>
      <c r="B731" s="13"/>
      <c r="C731" s="9">
        <f>IFERROR(SUMIF(ENTRADAS!A:A,A731,ENTRADAS!C:C))</f>
        <v>0</v>
      </c>
      <c r="D731" s="10">
        <f>SUMIF(SALIDAS!A:A,A731,SALIDAS!C:C)</f>
        <v>0</v>
      </c>
      <c r="E731" s="10">
        <f t="shared" si="1"/>
        <v>0</v>
      </c>
      <c r="F731" s="13"/>
      <c r="G731" s="13"/>
      <c r="H731" s="13"/>
    </row>
    <row r="732" ht="15.75" customHeight="1">
      <c r="A732" s="13"/>
      <c r="B732" s="13"/>
      <c r="C732" s="9">
        <f>IFERROR(SUMIF(ENTRADAS!A:A,A732,ENTRADAS!C:C))</f>
        <v>0</v>
      </c>
      <c r="D732" s="10">
        <f>SUMIF(SALIDAS!A:A,A732,SALIDAS!C:C)</f>
        <v>0</v>
      </c>
      <c r="E732" s="10">
        <f t="shared" si="1"/>
        <v>0</v>
      </c>
      <c r="F732" s="13"/>
      <c r="G732" s="13"/>
      <c r="H732" s="13"/>
    </row>
    <row r="733" ht="15.75" customHeight="1">
      <c r="A733" s="13"/>
      <c r="B733" s="13"/>
      <c r="C733" s="9">
        <f>IFERROR(SUMIF(ENTRADAS!A:A,A733,ENTRADAS!C:C))</f>
        <v>0</v>
      </c>
      <c r="D733" s="10">
        <f>SUMIF(SALIDAS!A:A,A733,SALIDAS!C:C)</f>
        <v>0</v>
      </c>
      <c r="E733" s="10">
        <f t="shared" si="1"/>
        <v>0</v>
      </c>
      <c r="F733" s="13"/>
      <c r="G733" s="13"/>
      <c r="H733" s="13"/>
    </row>
    <row r="734" ht="15.75" customHeight="1">
      <c r="A734" s="13"/>
      <c r="B734" s="13"/>
      <c r="C734" s="9">
        <f>IFERROR(SUMIF(ENTRADAS!A:A,A734,ENTRADAS!C:C))</f>
        <v>0</v>
      </c>
      <c r="D734" s="10">
        <f>SUMIF(SALIDAS!A:A,A734,SALIDAS!C:C)</f>
        <v>0</v>
      </c>
      <c r="E734" s="10">
        <f t="shared" si="1"/>
        <v>0</v>
      </c>
      <c r="F734" s="13"/>
      <c r="G734" s="13"/>
      <c r="H734" s="13"/>
    </row>
    <row r="735" ht="15.75" customHeight="1">
      <c r="A735" s="13"/>
      <c r="B735" s="13"/>
      <c r="C735" s="9">
        <f>IFERROR(SUMIF(ENTRADAS!A:A,A735,ENTRADAS!C:C))</f>
        <v>0</v>
      </c>
      <c r="D735" s="10">
        <f>SUMIF(SALIDAS!A:A,A735,SALIDAS!C:C)</f>
        <v>0</v>
      </c>
      <c r="E735" s="10">
        <f t="shared" si="1"/>
        <v>0</v>
      </c>
      <c r="F735" s="13"/>
      <c r="G735" s="13"/>
      <c r="H735" s="13"/>
    </row>
    <row r="736" ht="15.75" customHeight="1">
      <c r="A736" s="13"/>
      <c r="B736" s="13"/>
      <c r="C736" s="9">
        <f>IFERROR(SUMIF(ENTRADAS!A:A,A736,ENTRADAS!C:C))</f>
        <v>0</v>
      </c>
      <c r="D736" s="10">
        <f>SUMIF(SALIDAS!A:A,A736,SALIDAS!C:C)</f>
        <v>0</v>
      </c>
      <c r="E736" s="10">
        <f t="shared" si="1"/>
        <v>0</v>
      </c>
      <c r="F736" s="13"/>
      <c r="G736" s="13"/>
      <c r="H736" s="13"/>
    </row>
    <row r="737" ht="15.75" customHeight="1">
      <c r="A737" s="13"/>
      <c r="B737" s="13"/>
      <c r="C737" s="9">
        <f>IFERROR(SUMIF(ENTRADAS!A:A,A737,ENTRADAS!C:C))</f>
        <v>0</v>
      </c>
      <c r="D737" s="10">
        <f>SUMIF(SALIDAS!A:A,A737,SALIDAS!C:C)</f>
        <v>0</v>
      </c>
      <c r="E737" s="10">
        <f t="shared" si="1"/>
        <v>0</v>
      </c>
      <c r="F737" s="13"/>
      <c r="G737" s="13"/>
      <c r="H737" s="13"/>
    </row>
    <row r="738" ht="15.75" customHeight="1">
      <c r="A738" s="13"/>
      <c r="B738" s="13"/>
      <c r="C738" s="9">
        <f>IFERROR(SUMIF(ENTRADAS!A:A,A738,ENTRADAS!C:C))</f>
        <v>0</v>
      </c>
      <c r="D738" s="10">
        <f>SUMIF(SALIDAS!A:A,A738,SALIDAS!C:C)</f>
        <v>0</v>
      </c>
      <c r="E738" s="10">
        <f t="shared" si="1"/>
        <v>0</v>
      </c>
      <c r="F738" s="13"/>
      <c r="G738" s="13"/>
      <c r="H738" s="13"/>
    </row>
    <row r="739" ht="15.75" customHeight="1">
      <c r="A739" s="13"/>
      <c r="B739" s="13"/>
      <c r="C739" s="9">
        <f>IFERROR(SUMIF(ENTRADAS!A:A,A739,ENTRADAS!C:C))</f>
        <v>0</v>
      </c>
      <c r="D739" s="10">
        <f>SUMIF(SALIDAS!A:A,A739,SALIDAS!C:C)</f>
        <v>0</v>
      </c>
      <c r="E739" s="10">
        <f t="shared" si="1"/>
        <v>0</v>
      </c>
      <c r="F739" s="13"/>
      <c r="G739" s="13"/>
      <c r="H739" s="13"/>
    </row>
    <row r="740" ht="15.75" customHeight="1">
      <c r="A740" s="13"/>
      <c r="B740" s="13"/>
      <c r="C740" s="9">
        <f>IFERROR(SUMIF(ENTRADAS!A:A,A740,ENTRADAS!C:C))</f>
        <v>0</v>
      </c>
      <c r="D740" s="10">
        <f>SUMIF(SALIDAS!A:A,A740,SALIDAS!C:C)</f>
        <v>0</v>
      </c>
      <c r="E740" s="10">
        <f t="shared" si="1"/>
        <v>0</v>
      </c>
      <c r="F740" s="13"/>
      <c r="G740" s="13"/>
      <c r="H740" s="13"/>
    </row>
    <row r="741" ht="15.75" customHeight="1">
      <c r="A741" s="13"/>
      <c r="B741" s="13"/>
      <c r="C741" s="9">
        <f>IFERROR(SUMIF(ENTRADAS!A:A,A741,ENTRADAS!C:C))</f>
        <v>0</v>
      </c>
      <c r="D741" s="10">
        <f>SUMIF(SALIDAS!A:A,A741,SALIDAS!C:C)</f>
        <v>0</v>
      </c>
      <c r="E741" s="10">
        <f t="shared" si="1"/>
        <v>0</v>
      </c>
      <c r="F741" s="13"/>
      <c r="G741" s="13"/>
      <c r="H741" s="13"/>
    </row>
    <row r="742" ht="15.75" customHeight="1">
      <c r="A742" s="13"/>
      <c r="B742" s="13"/>
      <c r="C742" s="9">
        <f>IFERROR(SUMIF(ENTRADAS!A:A,A742,ENTRADAS!C:C))</f>
        <v>0</v>
      </c>
      <c r="D742" s="10">
        <f>SUMIF(SALIDAS!A:A,A742,SALIDAS!C:C)</f>
        <v>0</v>
      </c>
      <c r="E742" s="10">
        <f t="shared" si="1"/>
        <v>0</v>
      </c>
      <c r="F742" s="13"/>
      <c r="G742" s="13"/>
      <c r="H742" s="13"/>
    </row>
    <row r="743" ht="15.75" customHeight="1">
      <c r="A743" s="13"/>
      <c r="B743" s="13"/>
      <c r="C743" s="9">
        <f>IFERROR(SUMIF(ENTRADAS!A:A,A743,ENTRADAS!C:C))</f>
        <v>0</v>
      </c>
      <c r="D743" s="10">
        <f>SUMIF(SALIDAS!A:A,A743,SALIDAS!C:C)</f>
        <v>0</v>
      </c>
      <c r="E743" s="10">
        <f t="shared" si="1"/>
        <v>0</v>
      </c>
      <c r="F743" s="13"/>
      <c r="G743" s="13"/>
      <c r="H743" s="13"/>
    </row>
    <row r="744" ht="15.75" customHeight="1">
      <c r="A744" s="13"/>
      <c r="B744" s="13"/>
      <c r="C744" s="9">
        <f>IFERROR(SUMIF(ENTRADAS!A:A,A744,ENTRADAS!C:C))</f>
        <v>0</v>
      </c>
      <c r="D744" s="10">
        <f>SUMIF(SALIDAS!A:A,A744,SALIDAS!C:C)</f>
        <v>0</v>
      </c>
      <c r="E744" s="10">
        <f t="shared" si="1"/>
        <v>0</v>
      </c>
      <c r="F744" s="13"/>
      <c r="G744" s="13"/>
      <c r="H744" s="13"/>
    </row>
    <row r="745" ht="15.75" customHeight="1">
      <c r="A745" s="13"/>
      <c r="B745" s="13"/>
      <c r="C745" s="9">
        <f>IFERROR(SUMIF(ENTRADAS!A:A,A745,ENTRADAS!C:C))</f>
        <v>0</v>
      </c>
      <c r="D745" s="10">
        <f>SUMIF(SALIDAS!A:A,A745,SALIDAS!C:C)</f>
        <v>0</v>
      </c>
      <c r="E745" s="10">
        <f t="shared" si="1"/>
        <v>0</v>
      </c>
      <c r="F745" s="13"/>
      <c r="G745" s="13"/>
      <c r="H745" s="13"/>
    </row>
    <row r="746" ht="15.75" customHeight="1">
      <c r="A746" s="13"/>
      <c r="B746" s="13"/>
      <c r="C746" s="9">
        <f>IFERROR(SUMIF(ENTRADAS!A:A,A746,ENTRADAS!C:C))</f>
        <v>0</v>
      </c>
      <c r="D746" s="10">
        <f>SUMIF(SALIDAS!A:A,A746,SALIDAS!C:C)</f>
        <v>0</v>
      </c>
      <c r="E746" s="10">
        <f t="shared" si="1"/>
        <v>0</v>
      </c>
      <c r="F746" s="13"/>
      <c r="G746" s="13"/>
      <c r="H746" s="13"/>
    </row>
    <row r="747" ht="15.75" customHeight="1">
      <c r="A747" s="13"/>
      <c r="B747" s="13"/>
      <c r="C747" s="9">
        <f>IFERROR(SUMIF(ENTRADAS!A:A,A747,ENTRADAS!C:C))</f>
        <v>0</v>
      </c>
      <c r="D747" s="10">
        <f>SUMIF(SALIDAS!A:A,A747,SALIDAS!C:C)</f>
        <v>0</v>
      </c>
      <c r="E747" s="10">
        <f t="shared" si="1"/>
        <v>0</v>
      </c>
      <c r="F747" s="13"/>
      <c r="G747" s="13"/>
      <c r="H747" s="13"/>
    </row>
    <row r="748" ht="15.75" customHeight="1">
      <c r="A748" s="13"/>
      <c r="B748" s="13"/>
      <c r="C748" s="9">
        <f>IFERROR(SUMIF(ENTRADAS!A:A,A748,ENTRADAS!C:C))</f>
        <v>0</v>
      </c>
      <c r="D748" s="10">
        <f>SUMIF(SALIDAS!A:A,A748,SALIDAS!C:C)</f>
        <v>0</v>
      </c>
      <c r="E748" s="10">
        <f t="shared" si="1"/>
        <v>0</v>
      </c>
      <c r="F748" s="13"/>
      <c r="G748" s="13"/>
      <c r="H748" s="13"/>
    </row>
    <row r="749" ht="15.75" customHeight="1">
      <c r="A749" s="13"/>
      <c r="B749" s="13"/>
      <c r="C749" s="9">
        <f>IFERROR(SUMIF(ENTRADAS!A:A,A749,ENTRADAS!C:C))</f>
        <v>0</v>
      </c>
      <c r="D749" s="10">
        <f>SUMIF(SALIDAS!A:A,A749,SALIDAS!C:C)</f>
        <v>0</v>
      </c>
      <c r="E749" s="10">
        <f t="shared" si="1"/>
        <v>0</v>
      </c>
      <c r="F749" s="13"/>
      <c r="G749" s="13"/>
      <c r="H749" s="13"/>
    </row>
    <row r="750" ht="15.75" customHeight="1">
      <c r="A750" s="13"/>
      <c r="B750" s="13"/>
      <c r="C750" s="9">
        <f>IFERROR(SUMIF(ENTRADAS!A:A,A750,ENTRADAS!C:C))</f>
        <v>0</v>
      </c>
      <c r="D750" s="10">
        <f>SUMIF(SALIDAS!A:A,A750,SALIDAS!C:C)</f>
        <v>0</v>
      </c>
      <c r="E750" s="10">
        <f t="shared" si="1"/>
        <v>0</v>
      </c>
      <c r="F750" s="13"/>
      <c r="G750" s="13"/>
      <c r="H750" s="13"/>
    </row>
    <row r="751" ht="15.75" customHeight="1">
      <c r="A751" s="13"/>
      <c r="B751" s="13"/>
      <c r="C751" s="9">
        <f>IFERROR(SUMIF(ENTRADAS!A:A,A751,ENTRADAS!C:C))</f>
        <v>0</v>
      </c>
      <c r="D751" s="10">
        <f>SUMIF(SALIDAS!A:A,A751,SALIDAS!C:C)</f>
        <v>0</v>
      </c>
      <c r="E751" s="10">
        <f t="shared" si="1"/>
        <v>0</v>
      </c>
      <c r="F751" s="13"/>
      <c r="G751" s="13"/>
      <c r="H751" s="13"/>
    </row>
    <row r="752" ht="15.75" customHeight="1">
      <c r="A752" s="13"/>
      <c r="B752" s="13"/>
      <c r="C752" s="9">
        <f>IFERROR(SUMIF(ENTRADAS!A:A,A752,ENTRADAS!C:C))</f>
        <v>0</v>
      </c>
      <c r="D752" s="10">
        <f>SUMIF(SALIDAS!A:A,A752,SALIDAS!C:C)</f>
        <v>0</v>
      </c>
      <c r="E752" s="10">
        <f t="shared" si="1"/>
        <v>0</v>
      </c>
      <c r="F752" s="13"/>
      <c r="G752" s="13"/>
      <c r="H752" s="13"/>
    </row>
    <row r="753" ht="15.75" customHeight="1">
      <c r="A753" s="13"/>
      <c r="B753" s="13"/>
      <c r="C753" s="9">
        <f>IFERROR(SUMIF(ENTRADAS!A:A,A753,ENTRADAS!C:C))</f>
        <v>0</v>
      </c>
      <c r="D753" s="10">
        <f>SUMIF(SALIDAS!A:A,A753,SALIDAS!C:C)</f>
        <v>0</v>
      </c>
      <c r="E753" s="10">
        <f t="shared" si="1"/>
        <v>0</v>
      </c>
      <c r="F753" s="13"/>
      <c r="G753" s="13"/>
      <c r="H753" s="13"/>
    </row>
    <row r="754" ht="15.75" customHeight="1">
      <c r="A754" s="13"/>
      <c r="B754" s="13"/>
      <c r="C754" s="9">
        <f>IFERROR(SUMIF(ENTRADAS!A:A,A754,ENTRADAS!C:C))</f>
        <v>0</v>
      </c>
      <c r="D754" s="10">
        <f>SUMIF(SALIDAS!A:A,A754,SALIDAS!C:C)</f>
        <v>0</v>
      </c>
      <c r="E754" s="10">
        <f t="shared" si="1"/>
        <v>0</v>
      </c>
      <c r="F754" s="13"/>
      <c r="G754" s="13"/>
      <c r="H754" s="13"/>
    </row>
    <row r="755" ht="15.75" customHeight="1">
      <c r="A755" s="13"/>
      <c r="B755" s="13"/>
      <c r="C755" s="9">
        <f>IFERROR(SUMIF(ENTRADAS!A:A,A755,ENTRADAS!C:C))</f>
        <v>0</v>
      </c>
      <c r="D755" s="10">
        <f>SUMIF(SALIDAS!A:A,A755,SALIDAS!C:C)</f>
        <v>0</v>
      </c>
      <c r="E755" s="10">
        <f t="shared" si="1"/>
        <v>0</v>
      </c>
      <c r="F755" s="13"/>
      <c r="G755" s="13"/>
      <c r="H755" s="13"/>
    </row>
    <row r="756" ht="15.75" customHeight="1">
      <c r="A756" s="13"/>
      <c r="B756" s="13"/>
      <c r="C756" s="9">
        <f>IFERROR(SUMIF(ENTRADAS!A:A,A756,ENTRADAS!C:C))</f>
        <v>0</v>
      </c>
      <c r="D756" s="10">
        <f>SUMIF(SALIDAS!A:A,A756,SALIDAS!C:C)</f>
        <v>0</v>
      </c>
      <c r="E756" s="10">
        <f t="shared" si="1"/>
        <v>0</v>
      </c>
      <c r="F756" s="13"/>
      <c r="G756" s="13"/>
      <c r="H756" s="13"/>
    </row>
    <row r="757" ht="15.75" customHeight="1">
      <c r="A757" s="13"/>
      <c r="B757" s="13"/>
      <c r="C757" s="9">
        <f>IFERROR(SUMIF(ENTRADAS!A:A,A757,ENTRADAS!C:C))</f>
        <v>0</v>
      </c>
      <c r="D757" s="10">
        <f>SUMIF(SALIDAS!A:A,A757,SALIDAS!C:C)</f>
        <v>0</v>
      </c>
      <c r="E757" s="10">
        <f t="shared" si="1"/>
        <v>0</v>
      </c>
      <c r="F757" s="13"/>
      <c r="G757" s="13"/>
      <c r="H757" s="13"/>
    </row>
    <row r="758" ht="15.75" customHeight="1">
      <c r="A758" s="13"/>
      <c r="B758" s="13"/>
      <c r="C758" s="9">
        <f>IFERROR(SUMIF(ENTRADAS!A:A,A758,ENTRADAS!C:C))</f>
        <v>0</v>
      </c>
      <c r="D758" s="10">
        <f>SUMIF(SALIDAS!A:A,A758,SALIDAS!C:C)</f>
        <v>0</v>
      </c>
      <c r="E758" s="10">
        <f t="shared" si="1"/>
        <v>0</v>
      </c>
      <c r="F758" s="13"/>
      <c r="G758" s="13"/>
      <c r="H758" s="13"/>
    </row>
    <row r="759" ht="15.75" customHeight="1">
      <c r="A759" s="13"/>
      <c r="B759" s="13"/>
      <c r="C759" s="9">
        <f>IFERROR(SUMIF(ENTRADAS!A:A,A759,ENTRADAS!C:C))</f>
        <v>0</v>
      </c>
      <c r="D759" s="10">
        <f>SUMIF(SALIDAS!A:A,A759,SALIDAS!C:C)</f>
        <v>0</v>
      </c>
      <c r="E759" s="10">
        <f t="shared" si="1"/>
        <v>0</v>
      </c>
      <c r="F759" s="13"/>
      <c r="G759" s="13"/>
      <c r="H759" s="13"/>
    </row>
    <row r="760" ht="15.75" customHeight="1">
      <c r="A760" s="13"/>
      <c r="B760" s="13"/>
      <c r="C760" s="9">
        <f>IFERROR(SUMIF(ENTRADAS!A:A,A760,ENTRADAS!C:C))</f>
        <v>0</v>
      </c>
      <c r="D760" s="10">
        <f>SUMIF(SALIDAS!A:A,A760,SALIDAS!C:C)</f>
        <v>0</v>
      </c>
      <c r="E760" s="10">
        <f t="shared" si="1"/>
        <v>0</v>
      </c>
      <c r="F760" s="13"/>
      <c r="G760" s="13"/>
      <c r="H760" s="13"/>
    </row>
    <row r="761" ht="15.75" customHeight="1">
      <c r="A761" s="13"/>
      <c r="B761" s="13"/>
      <c r="C761" s="9">
        <f>IFERROR(SUMIF(ENTRADAS!A:A,A761,ENTRADAS!C:C))</f>
        <v>0</v>
      </c>
      <c r="D761" s="10">
        <f>SUMIF(SALIDAS!A:A,A761,SALIDAS!C:C)</f>
        <v>0</v>
      </c>
      <c r="E761" s="10">
        <f t="shared" si="1"/>
        <v>0</v>
      </c>
      <c r="F761" s="13"/>
      <c r="G761" s="13"/>
      <c r="H761" s="13"/>
    </row>
    <row r="762" ht="15.75" customHeight="1">
      <c r="A762" s="13"/>
      <c r="B762" s="13"/>
      <c r="C762" s="9">
        <f>IFERROR(SUMIF(ENTRADAS!A:A,A762,ENTRADAS!C:C))</f>
        <v>0</v>
      </c>
      <c r="D762" s="10">
        <f>SUMIF(SALIDAS!A:A,A762,SALIDAS!C:C)</f>
        <v>0</v>
      </c>
      <c r="E762" s="10">
        <f t="shared" si="1"/>
        <v>0</v>
      </c>
      <c r="F762" s="13"/>
      <c r="G762" s="13"/>
      <c r="H762" s="13"/>
    </row>
    <row r="763" ht="15.75" customHeight="1">
      <c r="A763" s="13"/>
      <c r="B763" s="13"/>
      <c r="C763" s="9">
        <f>IFERROR(SUMIF(ENTRADAS!A:A,A763,ENTRADAS!C:C))</f>
        <v>0</v>
      </c>
      <c r="D763" s="10">
        <f>SUMIF(SALIDAS!A:A,A763,SALIDAS!C:C)</f>
        <v>0</v>
      </c>
      <c r="E763" s="10">
        <f t="shared" si="1"/>
        <v>0</v>
      </c>
      <c r="F763" s="13"/>
      <c r="G763" s="13"/>
      <c r="H763" s="13"/>
    </row>
    <row r="764" ht="15.75" customHeight="1">
      <c r="A764" s="13"/>
      <c r="B764" s="13"/>
      <c r="C764" s="9">
        <f>IFERROR(SUMIF(ENTRADAS!A:A,A764,ENTRADAS!C:C))</f>
        <v>0</v>
      </c>
      <c r="D764" s="10">
        <f>SUMIF(SALIDAS!A:A,A764,SALIDAS!C:C)</f>
        <v>0</v>
      </c>
      <c r="E764" s="10">
        <f t="shared" si="1"/>
        <v>0</v>
      </c>
      <c r="F764" s="13"/>
      <c r="G764" s="13"/>
      <c r="H764" s="13"/>
    </row>
    <row r="765" ht="15.75" customHeight="1">
      <c r="A765" s="13"/>
      <c r="B765" s="13"/>
      <c r="C765" s="9">
        <f>IFERROR(SUMIF(ENTRADAS!A:A,A765,ENTRADAS!C:C))</f>
        <v>0</v>
      </c>
      <c r="D765" s="10">
        <f>SUMIF(SALIDAS!A:A,A765,SALIDAS!C:C)</f>
        <v>0</v>
      </c>
      <c r="E765" s="10">
        <f t="shared" si="1"/>
        <v>0</v>
      </c>
      <c r="F765" s="13"/>
      <c r="G765" s="13"/>
      <c r="H765" s="13"/>
    </row>
    <row r="766" ht="15.75" customHeight="1">
      <c r="A766" s="13"/>
      <c r="B766" s="13"/>
      <c r="C766" s="9">
        <f>IFERROR(SUMIF(ENTRADAS!A:A,A766,ENTRADAS!C:C))</f>
        <v>0</v>
      </c>
      <c r="D766" s="10">
        <f>SUMIF(SALIDAS!A:A,A766,SALIDAS!C:C)</f>
        <v>0</v>
      </c>
      <c r="E766" s="10">
        <f t="shared" si="1"/>
        <v>0</v>
      </c>
      <c r="F766" s="13"/>
      <c r="G766" s="13"/>
      <c r="H766" s="13"/>
    </row>
    <row r="767" ht="15.75" customHeight="1">
      <c r="A767" s="13"/>
      <c r="B767" s="13"/>
      <c r="C767" s="9">
        <f>IFERROR(SUMIF(ENTRADAS!A:A,A767,ENTRADAS!C:C))</f>
        <v>0</v>
      </c>
      <c r="D767" s="10">
        <f>SUMIF(SALIDAS!A:A,A767,SALIDAS!C:C)</f>
        <v>0</v>
      </c>
      <c r="E767" s="10">
        <f t="shared" si="1"/>
        <v>0</v>
      </c>
      <c r="F767" s="13"/>
      <c r="G767" s="13"/>
      <c r="H767" s="13"/>
    </row>
    <row r="768" ht="15.75" customHeight="1">
      <c r="A768" s="13"/>
      <c r="B768" s="13"/>
      <c r="C768" s="9">
        <f>IFERROR(SUMIF(ENTRADAS!A:A,A768,ENTRADAS!C:C))</f>
        <v>0</v>
      </c>
      <c r="D768" s="10">
        <f>SUMIF(SALIDAS!A:A,A768,SALIDAS!C:C)</f>
        <v>0</v>
      </c>
      <c r="E768" s="10">
        <f t="shared" si="1"/>
        <v>0</v>
      </c>
      <c r="F768" s="13"/>
      <c r="G768" s="13"/>
      <c r="H768" s="13"/>
    </row>
    <row r="769" ht="15.75" customHeight="1">
      <c r="A769" s="13"/>
      <c r="B769" s="13"/>
      <c r="C769" s="9">
        <f>IFERROR(SUMIF(ENTRADAS!A:A,A769,ENTRADAS!C:C))</f>
        <v>0</v>
      </c>
      <c r="D769" s="10">
        <f>SUMIF(SALIDAS!A:A,A769,SALIDAS!C:C)</f>
        <v>0</v>
      </c>
      <c r="E769" s="10">
        <f t="shared" si="1"/>
        <v>0</v>
      </c>
      <c r="F769" s="13"/>
      <c r="G769" s="13"/>
      <c r="H769" s="13"/>
    </row>
    <row r="770" ht="15.75" customHeight="1">
      <c r="A770" s="13"/>
      <c r="B770" s="13"/>
      <c r="C770" s="9">
        <f>IFERROR(SUMIF(ENTRADAS!A:A,A770,ENTRADAS!C:C))</f>
        <v>0</v>
      </c>
      <c r="D770" s="10">
        <f>SUMIF(SALIDAS!A:A,A770,SALIDAS!C:C)</f>
        <v>0</v>
      </c>
      <c r="E770" s="10">
        <f t="shared" si="1"/>
        <v>0</v>
      </c>
      <c r="F770" s="13"/>
      <c r="G770" s="13"/>
      <c r="H770" s="13"/>
    </row>
    <row r="771" ht="15.75" customHeight="1">
      <c r="A771" s="13"/>
      <c r="B771" s="13"/>
      <c r="C771" s="9">
        <f>IFERROR(SUMIF(ENTRADAS!A:A,A771,ENTRADAS!C:C))</f>
        <v>0</v>
      </c>
      <c r="D771" s="10">
        <f>SUMIF(SALIDAS!A:A,A771,SALIDAS!C:C)</f>
        <v>0</v>
      </c>
      <c r="E771" s="10">
        <f t="shared" si="1"/>
        <v>0</v>
      </c>
      <c r="F771" s="13"/>
      <c r="G771" s="13"/>
      <c r="H771" s="13"/>
    </row>
    <row r="772" ht="15.75" customHeight="1">
      <c r="A772" s="13"/>
      <c r="B772" s="13"/>
      <c r="C772" s="9">
        <f>IFERROR(SUMIF(ENTRADAS!A:A,A772,ENTRADAS!C:C))</f>
        <v>0</v>
      </c>
      <c r="D772" s="10">
        <f>SUMIF(SALIDAS!A:A,A772,SALIDAS!C:C)</f>
        <v>0</v>
      </c>
      <c r="E772" s="10">
        <f t="shared" si="1"/>
        <v>0</v>
      </c>
      <c r="F772" s="13"/>
      <c r="G772" s="13"/>
      <c r="H772" s="13"/>
    </row>
    <row r="773" ht="15.75" customHeight="1">
      <c r="A773" s="13"/>
      <c r="B773" s="13"/>
      <c r="C773" s="9">
        <f>IFERROR(SUMIF(ENTRADAS!A:A,A773,ENTRADAS!C:C))</f>
        <v>0</v>
      </c>
      <c r="D773" s="10">
        <f>SUMIF(SALIDAS!A:A,A773,SALIDAS!C:C)</f>
        <v>0</v>
      </c>
      <c r="E773" s="10">
        <f t="shared" si="1"/>
        <v>0</v>
      </c>
      <c r="F773" s="13"/>
      <c r="G773" s="13"/>
      <c r="H773" s="13"/>
    </row>
    <row r="774" ht="15.75" customHeight="1">
      <c r="A774" s="13"/>
      <c r="B774" s="13"/>
      <c r="C774" s="9">
        <f>IFERROR(SUMIF(ENTRADAS!A:A,A774,ENTRADAS!C:C))</f>
        <v>0</v>
      </c>
      <c r="D774" s="10">
        <f>SUMIF(SALIDAS!A:A,A774,SALIDAS!C:C)</f>
        <v>0</v>
      </c>
      <c r="E774" s="10">
        <f t="shared" si="1"/>
        <v>0</v>
      </c>
      <c r="F774" s="13"/>
      <c r="G774" s="13"/>
      <c r="H774" s="13"/>
    </row>
    <row r="775" ht="15.75" customHeight="1">
      <c r="A775" s="13"/>
      <c r="B775" s="13"/>
      <c r="C775" s="9">
        <f>IFERROR(SUMIF(ENTRADAS!A:A,A775,ENTRADAS!C:C))</f>
        <v>0</v>
      </c>
      <c r="D775" s="10">
        <f>SUMIF(SALIDAS!A:A,A775,SALIDAS!C:C)</f>
        <v>0</v>
      </c>
      <c r="E775" s="10">
        <f t="shared" si="1"/>
        <v>0</v>
      </c>
      <c r="F775" s="13"/>
      <c r="G775" s="13"/>
      <c r="H775" s="13"/>
    </row>
    <row r="776" ht="15.75" customHeight="1">
      <c r="A776" s="13"/>
      <c r="B776" s="13"/>
      <c r="C776" s="9">
        <f>IFERROR(SUMIF(ENTRADAS!A:A,A776,ENTRADAS!C:C))</f>
        <v>0</v>
      </c>
      <c r="D776" s="10">
        <f>SUMIF(SALIDAS!A:A,A776,SALIDAS!C:C)</f>
        <v>0</v>
      </c>
      <c r="E776" s="10">
        <f t="shared" si="1"/>
        <v>0</v>
      </c>
      <c r="F776" s="13"/>
      <c r="G776" s="13"/>
      <c r="H776" s="13"/>
    </row>
    <row r="777" ht="15.75" customHeight="1">
      <c r="A777" s="13"/>
      <c r="B777" s="13"/>
      <c r="C777" s="9">
        <f>IFERROR(SUMIF(ENTRADAS!A:A,A777,ENTRADAS!C:C))</f>
        <v>0</v>
      </c>
      <c r="D777" s="10">
        <f>SUMIF(SALIDAS!A:A,A777,SALIDAS!C:C)</f>
        <v>0</v>
      </c>
      <c r="E777" s="10">
        <f t="shared" si="1"/>
        <v>0</v>
      </c>
      <c r="F777" s="13"/>
      <c r="G777" s="13"/>
      <c r="H777" s="13"/>
    </row>
    <row r="778" ht="15.75" customHeight="1">
      <c r="A778" s="13"/>
      <c r="B778" s="13"/>
      <c r="C778" s="9">
        <f>IFERROR(SUMIF(ENTRADAS!A:A,A778,ENTRADAS!C:C))</f>
        <v>0</v>
      </c>
      <c r="D778" s="10">
        <f>SUMIF(SALIDAS!A:A,A778,SALIDAS!C:C)</f>
        <v>0</v>
      </c>
      <c r="E778" s="10">
        <f t="shared" si="1"/>
        <v>0</v>
      </c>
      <c r="F778" s="13"/>
      <c r="G778" s="13"/>
      <c r="H778" s="13"/>
    </row>
    <row r="779" ht="15.75" customHeight="1">
      <c r="A779" s="13"/>
      <c r="B779" s="13"/>
      <c r="C779" s="9">
        <f>IFERROR(SUMIF(ENTRADAS!A:A,A779,ENTRADAS!C:C))</f>
        <v>0</v>
      </c>
      <c r="D779" s="10">
        <f>SUMIF(SALIDAS!A:A,A779,SALIDAS!C:C)</f>
        <v>0</v>
      </c>
      <c r="E779" s="10">
        <f t="shared" si="1"/>
        <v>0</v>
      </c>
      <c r="F779" s="13"/>
      <c r="G779" s="13"/>
      <c r="H779" s="13"/>
    </row>
    <row r="780" ht="15.75" customHeight="1">
      <c r="A780" s="13"/>
      <c r="B780" s="13"/>
      <c r="C780" s="9">
        <f>IFERROR(SUMIF(ENTRADAS!A:A,A780,ENTRADAS!C:C))</f>
        <v>0</v>
      </c>
      <c r="D780" s="10">
        <f>SUMIF(SALIDAS!A:A,A780,SALIDAS!C:C)</f>
        <v>0</v>
      </c>
      <c r="E780" s="10">
        <f t="shared" si="1"/>
        <v>0</v>
      </c>
      <c r="F780" s="13"/>
      <c r="G780" s="13"/>
      <c r="H780" s="13"/>
    </row>
    <row r="781" ht="15.75" customHeight="1">
      <c r="A781" s="13"/>
      <c r="B781" s="13"/>
      <c r="C781" s="9">
        <f>IFERROR(SUMIF(ENTRADAS!A:A,A781,ENTRADAS!C:C))</f>
        <v>0</v>
      </c>
      <c r="D781" s="10">
        <f>SUMIF(SALIDAS!A:A,A781,SALIDAS!C:C)</f>
        <v>0</v>
      </c>
      <c r="E781" s="10">
        <f t="shared" si="1"/>
        <v>0</v>
      </c>
      <c r="F781" s="13"/>
      <c r="G781" s="13"/>
      <c r="H781" s="13"/>
    </row>
    <row r="782" ht="15.75" customHeight="1">
      <c r="A782" s="13"/>
      <c r="B782" s="13"/>
      <c r="C782" s="9">
        <f>IFERROR(SUMIF(ENTRADAS!A:A,A782,ENTRADAS!C:C))</f>
        <v>0</v>
      </c>
      <c r="D782" s="10">
        <f>SUMIF(SALIDAS!A:A,A782,SALIDAS!C:C)</f>
        <v>0</v>
      </c>
      <c r="E782" s="10">
        <f t="shared" si="1"/>
        <v>0</v>
      </c>
      <c r="F782" s="13"/>
      <c r="G782" s="13"/>
      <c r="H782" s="13"/>
    </row>
    <row r="783" ht="15.75" customHeight="1">
      <c r="A783" s="13"/>
      <c r="B783" s="13"/>
      <c r="C783" s="9">
        <f>IFERROR(SUMIF(ENTRADAS!A:A,A783,ENTRADAS!C:C))</f>
        <v>0</v>
      </c>
      <c r="D783" s="10">
        <f>SUMIF(SALIDAS!A:A,A783,SALIDAS!C:C)</f>
        <v>0</v>
      </c>
      <c r="E783" s="10">
        <f t="shared" si="1"/>
        <v>0</v>
      </c>
      <c r="F783" s="13"/>
      <c r="G783" s="13"/>
      <c r="H783" s="13"/>
    </row>
    <row r="784" ht="15.75" customHeight="1">
      <c r="A784" s="13"/>
      <c r="B784" s="13"/>
      <c r="C784" s="9">
        <f>IFERROR(SUMIF(ENTRADAS!A:A,A784,ENTRADAS!C:C))</f>
        <v>0</v>
      </c>
      <c r="D784" s="10">
        <f>SUMIF(SALIDAS!A:A,A784,SALIDAS!C:C)</f>
        <v>0</v>
      </c>
      <c r="E784" s="10">
        <f t="shared" si="1"/>
        <v>0</v>
      </c>
      <c r="F784" s="13"/>
      <c r="G784" s="13"/>
      <c r="H784" s="13"/>
    </row>
    <row r="785" ht="15.75" customHeight="1">
      <c r="A785" s="13"/>
      <c r="B785" s="13"/>
      <c r="C785" s="9">
        <f>IFERROR(SUMIF(ENTRADAS!A:A,A785,ENTRADAS!C:C))</f>
        <v>0</v>
      </c>
      <c r="D785" s="10">
        <f>SUMIF(SALIDAS!A:A,A785,SALIDAS!C:C)</f>
        <v>0</v>
      </c>
      <c r="E785" s="10">
        <f t="shared" si="1"/>
        <v>0</v>
      </c>
      <c r="F785" s="13"/>
      <c r="G785" s="13"/>
      <c r="H785" s="13"/>
    </row>
    <row r="786" ht="15.75" customHeight="1">
      <c r="A786" s="13"/>
      <c r="B786" s="13"/>
      <c r="C786" s="9">
        <f>IFERROR(SUMIF(ENTRADAS!A:A,A786,ENTRADAS!C:C))</f>
        <v>0</v>
      </c>
      <c r="D786" s="10">
        <f>SUMIF(SALIDAS!A:A,A786,SALIDAS!C:C)</f>
        <v>0</v>
      </c>
      <c r="E786" s="10">
        <f t="shared" si="1"/>
        <v>0</v>
      </c>
      <c r="F786" s="13"/>
      <c r="G786" s="13"/>
      <c r="H786" s="13"/>
    </row>
    <row r="787" ht="15.75" customHeight="1">
      <c r="A787" s="13"/>
      <c r="B787" s="13"/>
      <c r="C787" s="9">
        <f>IFERROR(SUMIF(ENTRADAS!A:A,A787,ENTRADAS!C:C))</f>
        <v>0</v>
      </c>
      <c r="D787" s="10">
        <f>SUMIF(SALIDAS!A:A,A787,SALIDAS!C:C)</f>
        <v>0</v>
      </c>
      <c r="E787" s="10">
        <f t="shared" si="1"/>
        <v>0</v>
      </c>
      <c r="F787" s="13"/>
      <c r="G787" s="13"/>
      <c r="H787" s="13"/>
    </row>
    <row r="788" ht="15.75" customHeight="1">
      <c r="A788" s="13"/>
      <c r="B788" s="13"/>
      <c r="C788" s="9">
        <f>IFERROR(SUMIF(ENTRADAS!A:A,A788,ENTRADAS!C:C))</f>
        <v>0</v>
      </c>
      <c r="D788" s="10">
        <f>SUMIF(SALIDAS!A:A,A788,SALIDAS!C:C)</f>
        <v>0</v>
      </c>
      <c r="E788" s="10">
        <f t="shared" si="1"/>
        <v>0</v>
      </c>
      <c r="F788" s="13"/>
      <c r="G788" s="13"/>
      <c r="H788" s="13"/>
    </row>
    <row r="789" ht="15.75" customHeight="1">
      <c r="A789" s="13"/>
      <c r="B789" s="13"/>
      <c r="C789" s="9">
        <f>IFERROR(SUMIF(ENTRADAS!A:A,A789,ENTRADAS!C:C))</f>
        <v>0</v>
      </c>
      <c r="D789" s="10">
        <f>SUMIF(SALIDAS!A:A,A789,SALIDAS!C:C)</f>
        <v>0</v>
      </c>
      <c r="E789" s="10">
        <f t="shared" si="1"/>
        <v>0</v>
      </c>
      <c r="F789" s="13"/>
      <c r="G789" s="13"/>
      <c r="H789" s="13"/>
    </row>
    <row r="790" ht="15.75" customHeight="1">
      <c r="A790" s="13"/>
      <c r="B790" s="13"/>
      <c r="C790" s="9">
        <f>IFERROR(SUMIF(ENTRADAS!A:A,A790,ENTRADAS!C:C))</f>
        <v>0</v>
      </c>
      <c r="D790" s="10">
        <f>SUMIF(SALIDAS!A:A,A790,SALIDAS!C:C)</f>
        <v>0</v>
      </c>
      <c r="E790" s="10">
        <f t="shared" si="1"/>
        <v>0</v>
      </c>
      <c r="F790" s="13"/>
      <c r="G790" s="13"/>
      <c r="H790" s="13"/>
    </row>
    <row r="791" ht="15.75" customHeight="1">
      <c r="A791" s="13"/>
      <c r="B791" s="13"/>
      <c r="C791" s="9">
        <f>IFERROR(SUMIF(ENTRADAS!A:A,A791,ENTRADAS!C:C))</f>
        <v>0</v>
      </c>
      <c r="D791" s="10">
        <f>SUMIF(SALIDAS!A:A,A791,SALIDAS!C:C)</f>
        <v>0</v>
      </c>
      <c r="E791" s="10">
        <f t="shared" si="1"/>
        <v>0</v>
      </c>
      <c r="F791" s="13"/>
      <c r="G791" s="13"/>
      <c r="H791" s="13"/>
    </row>
    <row r="792" ht="15.75" customHeight="1">
      <c r="A792" s="13"/>
      <c r="B792" s="13"/>
      <c r="C792" s="9">
        <f>IFERROR(SUMIF(ENTRADAS!A:A,A792,ENTRADAS!C:C))</f>
        <v>0</v>
      </c>
      <c r="D792" s="10">
        <f>SUMIF(SALIDAS!A:A,A792,SALIDAS!C:C)</f>
        <v>0</v>
      </c>
      <c r="E792" s="10">
        <f t="shared" si="1"/>
        <v>0</v>
      </c>
      <c r="F792" s="13"/>
      <c r="G792" s="13"/>
      <c r="H792" s="13"/>
    </row>
    <row r="793" ht="15.75" customHeight="1">
      <c r="A793" s="13"/>
      <c r="B793" s="13"/>
      <c r="C793" s="9">
        <f>IFERROR(SUMIF(ENTRADAS!A:A,A793,ENTRADAS!C:C))</f>
        <v>0</v>
      </c>
      <c r="D793" s="10">
        <f>SUMIF(SALIDAS!A:A,A793,SALIDAS!C:C)</f>
        <v>0</v>
      </c>
      <c r="E793" s="10">
        <f t="shared" si="1"/>
        <v>0</v>
      </c>
      <c r="F793" s="13"/>
      <c r="G793" s="13"/>
      <c r="H793" s="13"/>
    </row>
    <row r="794" ht="15.75" customHeight="1">
      <c r="A794" s="13"/>
      <c r="B794" s="13"/>
      <c r="C794" s="9">
        <f>IFERROR(SUMIF(ENTRADAS!A:A,A794,ENTRADAS!C:C))</f>
        <v>0</v>
      </c>
      <c r="D794" s="10">
        <f>SUMIF(SALIDAS!A:A,A794,SALIDAS!C:C)</f>
        <v>0</v>
      </c>
      <c r="E794" s="10">
        <f t="shared" si="1"/>
        <v>0</v>
      </c>
      <c r="F794" s="13"/>
      <c r="G794" s="13"/>
      <c r="H794" s="13"/>
    </row>
    <row r="795" ht="15.75" customHeight="1">
      <c r="A795" s="13"/>
      <c r="B795" s="13"/>
      <c r="C795" s="9">
        <f>IFERROR(SUMIF(ENTRADAS!A:A,A795,ENTRADAS!C:C))</f>
        <v>0</v>
      </c>
      <c r="D795" s="10">
        <f>SUMIF(SALIDAS!A:A,A795,SALIDAS!C:C)</f>
        <v>0</v>
      </c>
      <c r="E795" s="10">
        <f t="shared" si="1"/>
        <v>0</v>
      </c>
      <c r="F795" s="13"/>
      <c r="G795" s="13"/>
      <c r="H795" s="13"/>
    </row>
    <row r="796" ht="15.75" customHeight="1">
      <c r="A796" s="13"/>
      <c r="B796" s="13"/>
      <c r="C796" s="9">
        <f>IFERROR(SUMIF(ENTRADAS!A:A,A796,ENTRADAS!C:C))</f>
        <v>0</v>
      </c>
      <c r="D796" s="10">
        <f>SUMIF(SALIDAS!A:A,A796,SALIDAS!C:C)</f>
        <v>0</v>
      </c>
      <c r="E796" s="10">
        <f t="shared" si="1"/>
        <v>0</v>
      </c>
      <c r="F796" s="13"/>
      <c r="G796" s="13"/>
      <c r="H796" s="13"/>
    </row>
    <row r="797" ht="15.75" customHeight="1">
      <c r="A797" s="13"/>
      <c r="B797" s="13"/>
      <c r="C797" s="9">
        <f>IFERROR(SUMIF(ENTRADAS!A:A,A797,ENTRADAS!C:C))</f>
        <v>0</v>
      </c>
      <c r="D797" s="10">
        <f>SUMIF(SALIDAS!A:A,A797,SALIDAS!C:C)</f>
        <v>0</v>
      </c>
      <c r="E797" s="10">
        <f t="shared" si="1"/>
        <v>0</v>
      </c>
      <c r="F797" s="13"/>
      <c r="G797" s="13"/>
      <c r="H797" s="13"/>
    </row>
    <row r="798" ht="15.75" customHeight="1">
      <c r="A798" s="13"/>
      <c r="B798" s="13"/>
      <c r="C798" s="9">
        <f>IFERROR(SUMIF(ENTRADAS!A:A,A798,ENTRADAS!C:C))</f>
        <v>0</v>
      </c>
      <c r="D798" s="10">
        <f>SUMIF(SALIDAS!A:A,A798,SALIDAS!C:C)</f>
        <v>0</v>
      </c>
      <c r="E798" s="10">
        <f t="shared" si="1"/>
        <v>0</v>
      </c>
      <c r="F798" s="13"/>
      <c r="G798" s="13"/>
      <c r="H798" s="13"/>
    </row>
    <row r="799" ht="15.75" customHeight="1">
      <c r="A799" s="13"/>
      <c r="B799" s="13"/>
      <c r="C799" s="9">
        <f>IFERROR(SUMIF(ENTRADAS!A:A,A799,ENTRADAS!C:C))</f>
        <v>0</v>
      </c>
      <c r="D799" s="10">
        <f>SUMIF(SALIDAS!A:A,A799,SALIDAS!C:C)</f>
        <v>0</v>
      </c>
      <c r="E799" s="10">
        <f t="shared" si="1"/>
        <v>0</v>
      </c>
      <c r="F799" s="13"/>
      <c r="G799" s="13"/>
      <c r="H799" s="13"/>
    </row>
    <row r="800" ht="15.75" customHeight="1">
      <c r="A800" s="13"/>
      <c r="B800" s="13"/>
      <c r="C800" s="9">
        <f>IFERROR(SUMIF(ENTRADAS!A:A,A800,ENTRADAS!C:C))</f>
        <v>0</v>
      </c>
      <c r="D800" s="10">
        <f>SUMIF(SALIDAS!A:A,A800,SALIDAS!C:C)</f>
        <v>0</v>
      </c>
      <c r="E800" s="10">
        <f t="shared" si="1"/>
        <v>0</v>
      </c>
      <c r="F800" s="13"/>
      <c r="G800" s="13"/>
      <c r="H800" s="13"/>
    </row>
    <row r="801" ht="15.75" customHeight="1">
      <c r="A801" s="13"/>
      <c r="B801" s="13"/>
      <c r="C801" s="9">
        <f>IFERROR(SUMIF(ENTRADAS!A:A,A801,ENTRADAS!C:C))</f>
        <v>0</v>
      </c>
      <c r="D801" s="10">
        <f>SUMIF(SALIDAS!A:A,A801,SALIDAS!C:C)</f>
        <v>0</v>
      </c>
      <c r="E801" s="10">
        <f t="shared" si="1"/>
        <v>0</v>
      </c>
      <c r="F801" s="13"/>
      <c r="G801" s="13"/>
      <c r="H801" s="13"/>
    </row>
    <row r="802" ht="15.75" customHeight="1">
      <c r="A802" s="13"/>
      <c r="B802" s="13"/>
      <c r="C802" s="9">
        <f>IFERROR(SUMIF(ENTRADAS!A:A,A802,ENTRADAS!C:C))</f>
        <v>0</v>
      </c>
      <c r="D802" s="10">
        <f>SUMIF(SALIDAS!A:A,A802,SALIDAS!C:C)</f>
        <v>0</v>
      </c>
      <c r="E802" s="10">
        <f t="shared" si="1"/>
        <v>0</v>
      </c>
      <c r="F802" s="13"/>
      <c r="G802" s="13"/>
      <c r="H802" s="13"/>
    </row>
    <row r="803" ht="15.75" customHeight="1">
      <c r="A803" s="13"/>
      <c r="B803" s="13"/>
      <c r="C803" s="9">
        <f>IFERROR(SUMIF(ENTRADAS!A:A,A803,ENTRADAS!C:C))</f>
        <v>0</v>
      </c>
      <c r="D803" s="10">
        <f>SUMIF(SALIDAS!A:A,A803,SALIDAS!C:C)</f>
        <v>0</v>
      </c>
      <c r="E803" s="10">
        <f t="shared" si="1"/>
        <v>0</v>
      </c>
      <c r="F803" s="13"/>
      <c r="G803" s="13"/>
      <c r="H803" s="13"/>
    </row>
    <row r="804" ht="15.75" customHeight="1">
      <c r="A804" s="13"/>
      <c r="B804" s="13"/>
      <c r="C804" s="9">
        <f>IFERROR(SUMIF(ENTRADAS!A:A,A804,ENTRADAS!C:C))</f>
        <v>0</v>
      </c>
      <c r="D804" s="10">
        <f>SUMIF(SALIDAS!A:A,A804,SALIDAS!C:C)</f>
        <v>0</v>
      </c>
      <c r="E804" s="10">
        <f t="shared" si="1"/>
        <v>0</v>
      </c>
      <c r="F804" s="13"/>
      <c r="G804" s="13"/>
      <c r="H804" s="13"/>
    </row>
    <row r="805" ht="15.75" customHeight="1">
      <c r="A805" s="13"/>
      <c r="B805" s="13"/>
      <c r="C805" s="9">
        <f>IFERROR(SUMIF(ENTRADAS!A:A,A805,ENTRADAS!C:C))</f>
        <v>0</v>
      </c>
      <c r="D805" s="10">
        <f>SUMIF(SALIDAS!A:A,A805,SALIDAS!C:C)</f>
        <v>0</v>
      </c>
      <c r="E805" s="10">
        <f t="shared" si="1"/>
        <v>0</v>
      </c>
      <c r="F805" s="13"/>
      <c r="G805" s="13"/>
      <c r="H805" s="13"/>
    </row>
    <row r="806" ht="15.75" customHeight="1">
      <c r="A806" s="13"/>
      <c r="B806" s="13"/>
      <c r="C806" s="9">
        <f>IFERROR(SUMIF(ENTRADAS!A:A,A806,ENTRADAS!C:C))</f>
        <v>0</v>
      </c>
      <c r="D806" s="10">
        <f>SUMIF(SALIDAS!A:A,A806,SALIDAS!C:C)</f>
        <v>0</v>
      </c>
      <c r="E806" s="10">
        <f t="shared" si="1"/>
        <v>0</v>
      </c>
      <c r="F806" s="13"/>
      <c r="G806" s="13"/>
      <c r="H806" s="13"/>
    </row>
    <row r="807" ht="15.75" customHeight="1">
      <c r="A807" s="13"/>
      <c r="B807" s="13"/>
      <c r="C807" s="9">
        <f>IFERROR(SUMIF(ENTRADAS!A:A,A807,ENTRADAS!C:C))</f>
        <v>0</v>
      </c>
      <c r="D807" s="10">
        <f>SUMIF(SALIDAS!A:A,A807,SALIDAS!C:C)</f>
        <v>0</v>
      </c>
      <c r="E807" s="10">
        <f t="shared" si="1"/>
        <v>0</v>
      </c>
      <c r="F807" s="13"/>
      <c r="G807" s="13"/>
      <c r="H807" s="13"/>
    </row>
    <row r="808" ht="15.75" customHeight="1">
      <c r="A808" s="13"/>
      <c r="B808" s="13"/>
      <c r="C808" s="9">
        <f>IFERROR(SUMIF(ENTRADAS!A:A,A808,ENTRADAS!C:C))</f>
        <v>0</v>
      </c>
      <c r="D808" s="10">
        <f>SUMIF(SALIDAS!A:A,A808,SALIDAS!C:C)</f>
        <v>0</v>
      </c>
      <c r="E808" s="10">
        <f t="shared" si="1"/>
        <v>0</v>
      </c>
      <c r="F808" s="13"/>
      <c r="G808" s="13"/>
      <c r="H808" s="13"/>
    </row>
    <row r="809" ht="15.75" customHeight="1">
      <c r="A809" s="13"/>
      <c r="B809" s="13"/>
      <c r="C809" s="9">
        <f>IFERROR(SUMIF(ENTRADAS!A:A,A809,ENTRADAS!C:C))</f>
        <v>0</v>
      </c>
      <c r="D809" s="10">
        <f>SUMIF(SALIDAS!A:A,A809,SALIDAS!C:C)</f>
        <v>0</v>
      </c>
      <c r="E809" s="10">
        <f t="shared" si="1"/>
        <v>0</v>
      </c>
      <c r="F809" s="13"/>
      <c r="G809" s="13"/>
      <c r="H809" s="13"/>
    </row>
    <row r="810" ht="15.75" customHeight="1">
      <c r="A810" s="13"/>
      <c r="B810" s="13"/>
      <c r="C810" s="9">
        <f>IFERROR(SUMIF(ENTRADAS!A:A,A810,ENTRADAS!C:C))</f>
        <v>0</v>
      </c>
      <c r="D810" s="10">
        <f>SUMIF(SALIDAS!A:A,A810,SALIDAS!C:C)</f>
        <v>0</v>
      </c>
      <c r="E810" s="10">
        <f t="shared" si="1"/>
        <v>0</v>
      </c>
      <c r="F810" s="13"/>
      <c r="G810" s="13"/>
      <c r="H810" s="13"/>
    </row>
    <row r="811" ht="15.75" customHeight="1">
      <c r="A811" s="13"/>
      <c r="B811" s="13"/>
      <c r="C811" s="9">
        <f>IFERROR(SUMIF(ENTRADAS!A:A,A811,ENTRADAS!C:C))</f>
        <v>0</v>
      </c>
      <c r="D811" s="10">
        <f>SUMIF(SALIDAS!A:A,A811,SALIDAS!C:C)</f>
        <v>0</v>
      </c>
      <c r="E811" s="10">
        <f t="shared" si="1"/>
        <v>0</v>
      </c>
      <c r="F811" s="13"/>
      <c r="G811" s="13"/>
      <c r="H811" s="13"/>
    </row>
    <row r="812" ht="15.75" customHeight="1">
      <c r="A812" s="13"/>
      <c r="B812" s="13"/>
      <c r="C812" s="9">
        <f>IFERROR(SUMIF(ENTRADAS!A:A,A812,ENTRADAS!C:C))</f>
        <v>0</v>
      </c>
      <c r="D812" s="10">
        <f>SUMIF(SALIDAS!A:A,A812,SALIDAS!C:C)</f>
        <v>0</v>
      </c>
      <c r="E812" s="10">
        <f t="shared" si="1"/>
        <v>0</v>
      </c>
      <c r="F812" s="13"/>
      <c r="G812" s="13"/>
      <c r="H812" s="13"/>
    </row>
    <row r="813" ht="15.75" customHeight="1">
      <c r="A813" s="13"/>
      <c r="B813" s="13"/>
      <c r="C813" s="9">
        <f>IFERROR(SUMIF(ENTRADAS!A:A,A813,ENTRADAS!C:C))</f>
        <v>0</v>
      </c>
      <c r="D813" s="10">
        <f>SUMIF(SALIDAS!A:A,A813,SALIDAS!C:C)</f>
        <v>0</v>
      </c>
      <c r="E813" s="10">
        <f t="shared" si="1"/>
        <v>0</v>
      </c>
      <c r="F813" s="13"/>
      <c r="G813" s="13"/>
      <c r="H813" s="13"/>
    </row>
    <row r="814" ht="15.75" customHeight="1">
      <c r="A814" s="13"/>
      <c r="B814" s="13"/>
      <c r="C814" s="9">
        <f>IFERROR(SUMIF(ENTRADAS!A:A,A814,ENTRADAS!C:C))</f>
        <v>0</v>
      </c>
      <c r="D814" s="10">
        <f>SUMIF(SALIDAS!A:A,A814,SALIDAS!C:C)</f>
        <v>0</v>
      </c>
      <c r="E814" s="10">
        <f t="shared" si="1"/>
        <v>0</v>
      </c>
      <c r="F814" s="13"/>
      <c r="G814" s="13"/>
      <c r="H814" s="13"/>
    </row>
    <row r="815" ht="15.75" customHeight="1">
      <c r="A815" s="13"/>
      <c r="B815" s="13"/>
      <c r="C815" s="9">
        <f>IFERROR(SUMIF(ENTRADAS!A:A,A815,ENTRADAS!C:C))</f>
        <v>0</v>
      </c>
      <c r="D815" s="10">
        <f>SUMIF(SALIDAS!A:A,A815,SALIDAS!C:C)</f>
        <v>0</v>
      </c>
      <c r="E815" s="10">
        <f t="shared" si="1"/>
        <v>0</v>
      </c>
      <c r="F815" s="13"/>
      <c r="G815" s="13"/>
      <c r="H815" s="13"/>
    </row>
    <row r="816" ht="15.75" customHeight="1">
      <c r="A816" s="13"/>
      <c r="B816" s="13"/>
      <c r="C816" s="9">
        <f>IFERROR(SUMIF(ENTRADAS!A:A,A816,ENTRADAS!C:C))</f>
        <v>0</v>
      </c>
      <c r="D816" s="10">
        <f>SUMIF(SALIDAS!A:A,A816,SALIDAS!C:C)</f>
        <v>0</v>
      </c>
      <c r="E816" s="10">
        <f t="shared" si="1"/>
        <v>0</v>
      </c>
      <c r="F816" s="13"/>
      <c r="G816" s="13"/>
      <c r="H816" s="13"/>
    </row>
    <row r="817" ht="15.75" customHeight="1">
      <c r="A817" s="13"/>
      <c r="B817" s="13"/>
      <c r="C817" s="9">
        <f>IFERROR(SUMIF(ENTRADAS!A:A,A817,ENTRADAS!C:C))</f>
        <v>0</v>
      </c>
      <c r="D817" s="10">
        <f>SUMIF(SALIDAS!A:A,A817,SALIDAS!C:C)</f>
        <v>0</v>
      </c>
      <c r="E817" s="10">
        <f t="shared" si="1"/>
        <v>0</v>
      </c>
      <c r="F817" s="13"/>
      <c r="G817" s="13"/>
      <c r="H817" s="13"/>
    </row>
    <row r="818" ht="15.75" customHeight="1">
      <c r="A818" s="13"/>
      <c r="B818" s="13"/>
      <c r="C818" s="9">
        <f>IFERROR(SUMIF(ENTRADAS!A:A,A818,ENTRADAS!C:C))</f>
        <v>0</v>
      </c>
      <c r="D818" s="10">
        <f>SUMIF(SALIDAS!A:A,A818,SALIDAS!C:C)</f>
        <v>0</v>
      </c>
      <c r="E818" s="10">
        <f t="shared" si="1"/>
        <v>0</v>
      </c>
      <c r="F818" s="13"/>
      <c r="G818" s="13"/>
      <c r="H818" s="13"/>
    </row>
    <row r="819" ht="15.75" customHeight="1">
      <c r="A819" s="13"/>
      <c r="B819" s="13"/>
      <c r="C819" s="9">
        <f>IFERROR(SUMIF(ENTRADAS!A:A,A819,ENTRADAS!C:C))</f>
        <v>0</v>
      </c>
      <c r="D819" s="10">
        <f>SUMIF(SALIDAS!A:A,A819,SALIDAS!C:C)</f>
        <v>0</v>
      </c>
      <c r="E819" s="10">
        <f t="shared" si="1"/>
        <v>0</v>
      </c>
      <c r="F819" s="13"/>
      <c r="G819" s="13"/>
      <c r="H819" s="13"/>
    </row>
    <row r="820" ht="15.75" customHeight="1">
      <c r="A820" s="13"/>
      <c r="B820" s="13"/>
      <c r="C820" s="9">
        <f>IFERROR(SUMIF(ENTRADAS!A:A,A820,ENTRADAS!C:C))</f>
        <v>0</v>
      </c>
      <c r="D820" s="10">
        <f>SUMIF(SALIDAS!A:A,A820,SALIDAS!C:C)</f>
        <v>0</v>
      </c>
      <c r="E820" s="10">
        <f t="shared" si="1"/>
        <v>0</v>
      </c>
      <c r="F820" s="13"/>
      <c r="G820" s="13"/>
      <c r="H820" s="13"/>
    </row>
    <row r="821" ht="15.75" customHeight="1">
      <c r="A821" s="13"/>
      <c r="B821" s="13"/>
      <c r="C821" s="9">
        <f>IFERROR(SUMIF(ENTRADAS!A:A,A821,ENTRADAS!C:C))</f>
        <v>0</v>
      </c>
      <c r="D821" s="10">
        <f>SUMIF(SALIDAS!A:A,A821,SALIDAS!C:C)</f>
        <v>0</v>
      </c>
      <c r="E821" s="10">
        <f t="shared" si="1"/>
        <v>0</v>
      </c>
      <c r="F821" s="13"/>
      <c r="G821" s="13"/>
      <c r="H821" s="13"/>
    </row>
    <row r="822" ht="15.75" customHeight="1">
      <c r="A822" s="13"/>
      <c r="B822" s="13"/>
      <c r="C822" s="9">
        <f>IFERROR(SUMIF(ENTRADAS!A:A,A822,ENTRADAS!C:C))</f>
        <v>0</v>
      </c>
      <c r="D822" s="10">
        <f>SUMIF(SALIDAS!A:A,A822,SALIDAS!C:C)</f>
        <v>0</v>
      </c>
      <c r="E822" s="10">
        <f t="shared" si="1"/>
        <v>0</v>
      </c>
      <c r="F822" s="13"/>
      <c r="G822" s="13"/>
      <c r="H822" s="13"/>
    </row>
    <row r="823" ht="15.75" customHeight="1">
      <c r="A823" s="13"/>
      <c r="B823" s="13"/>
      <c r="C823" s="9">
        <f>IFERROR(SUMIF(ENTRADAS!A:A,A823,ENTRADAS!C:C))</f>
        <v>0</v>
      </c>
      <c r="D823" s="10">
        <f>SUMIF(SALIDAS!A:A,A823,SALIDAS!C:C)</f>
        <v>0</v>
      </c>
      <c r="E823" s="10">
        <f t="shared" si="1"/>
        <v>0</v>
      </c>
      <c r="F823" s="13"/>
      <c r="G823" s="13"/>
      <c r="H823" s="13"/>
    </row>
    <row r="824" ht="15.75" customHeight="1">
      <c r="A824" s="13"/>
      <c r="B824" s="13"/>
      <c r="C824" s="9">
        <f>IFERROR(SUMIF(ENTRADAS!A:A,A824,ENTRADAS!C:C))</f>
        <v>0</v>
      </c>
      <c r="D824" s="10">
        <f>SUMIF(SALIDAS!A:A,A824,SALIDAS!C:C)</f>
        <v>0</v>
      </c>
      <c r="E824" s="10">
        <f t="shared" si="1"/>
        <v>0</v>
      </c>
      <c r="F824" s="13"/>
      <c r="G824" s="13"/>
      <c r="H824" s="13"/>
    </row>
    <row r="825" ht="15.75" customHeight="1">
      <c r="A825" s="13"/>
      <c r="B825" s="13"/>
      <c r="C825" s="9">
        <f>IFERROR(SUMIF(ENTRADAS!A:A,A825,ENTRADAS!C:C))</f>
        <v>0</v>
      </c>
      <c r="D825" s="10">
        <f>SUMIF(SALIDAS!A:A,A825,SALIDAS!C:C)</f>
        <v>0</v>
      </c>
      <c r="E825" s="10">
        <f t="shared" si="1"/>
        <v>0</v>
      </c>
      <c r="F825" s="13"/>
      <c r="G825" s="13"/>
      <c r="H825" s="13"/>
    </row>
    <row r="826" ht="15.75" customHeight="1">
      <c r="A826" s="13"/>
      <c r="B826" s="13"/>
      <c r="C826" s="9">
        <f>IFERROR(SUMIF(ENTRADAS!A:A,A826,ENTRADAS!C:C))</f>
        <v>0</v>
      </c>
      <c r="D826" s="10">
        <f>SUMIF(SALIDAS!A:A,A826,SALIDAS!C:C)</f>
        <v>0</v>
      </c>
      <c r="E826" s="10">
        <f t="shared" si="1"/>
        <v>0</v>
      </c>
      <c r="F826" s="13"/>
      <c r="G826" s="13"/>
      <c r="H826" s="13"/>
    </row>
    <row r="827" ht="15.75" customHeight="1">
      <c r="A827" s="13"/>
      <c r="B827" s="13"/>
      <c r="C827" s="9">
        <f>IFERROR(SUMIF(ENTRADAS!A:A,A827,ENTRADAS!C:C))</f>
        <v>0</v>
      </c>
      <c r="D827" s="10">
        <f>SUMIF(SALIDAS!A:A,A827,SALIDAS!C:C)</f>
        <v>0</v>
      </c>
      <c r="E827" s="10">
        <f t="shared" si="1"/>
        <v>0</v>
      </c>
      <c r="F827" s="13"/>
      <c r="G827" s="13"/>
      <c r="H827" s="13"/>
    </row>
    <row r="828" ht="15.75" customHeight="1">
      <c r="A828" s="13"/>
      <c r="B828" s="13"/>
      <c r="C828" s="9">
        <f>IFERROR(SUMIF(ENTRADAS!A:A,A828,ENTRADAS!C:C))</f>
        <v>0</v>
      </c>
      <c r="D828" s="10">
        <f>SUMIF(SALIDAS!A:A,A828,SALIDAS!C:C)</f>
        <v>0</v>
      </c>
      <c r="E828" s="10">
        <f t="shared" si="1"/>
        <v>0</v>
      </c>
      <c r="F828" s="13"/>
      <c r="G828" s="13"/>
      <c r="H828" s="13"/>
    </row>
    <row r="829" ht="15.75" customHeight="1">
      <c r="A829" s="13"/>
      <c r="B829" s="13"/>
      <c r="C829" s="9">
        <f>IFERROR(SUMIF(ENTRADAS!A:A,A829,ENTRADAS!C:C))</f>
        <v>0</v>
      </c>
      <c r="D829" s="10">
        <f>SUMIF(SALIDAS!A:A,A829,SALIDAS!C:C)</f>
        <v>0</v>
      </c>
      <c r="E829" s="10">
        <f t="shared" si="1"/>
        <v>0</v>
      </c>
      <c r="F829" s="13"/>
      <c r="G829" s="13"/>
      <c r="H829" s="13"/>
    </row>
    <row r="830" ht="15.75" customHeight="1">
      <c r="A830" s="13"/>
      <c r="B830" s="13"/>
      <c r="C830" s="9">
        <f>IFERROR(SUMIF(ENTRADAS!A:A,A830,ENTRADAS!C:C))</f>
        <v>0</v>
      </c>
      <c r="D830" s="10">
        <f>SUMIF(SALIDAS!A:A,A830,SALIDAS!C:C)</f>
        <v>0</v>
      </c>
      <c r="E830" s="10">
        <f t="shared" si="1"/>
        <v>0</v>
      </c>
      <c r="F830" s="13"/>
      <c r="G830" s="13"/>
      <c r="H830" s="13"/>
    </row>
    <row r="831" ht="15.75" customHeight="1">
      <c r="A831" s="13"/>
      <c r="B831" s="13"/>
      <c r="C831" s="9">
        <f>IFERROR(SUMIF(ENTRADAS!A:A,A831,ENTRADAS!C:C))</f>
        <v>0</v>
      </c>
      <c r="D831" s="10">
        <f>SUMIF(SALIDAS!A:A,A831,SALIDAS!C:C)</f>
        <v>0</v>
      </c>
      <c r="E831" s="10">
        <f t="shared" si="1"/>
        <v>0</v>
      </c>
      <c r="F831" s="13"/>
      <c r="G831" s="13"/>
      <c r="H831" s="13"/>
    </row>
    <row r="832" ht="15.75" customHeight="1">
      <c r="A832" s="13"/>
      <c r="B832" s="13"/>
      <c r="C832" s="9">
        <f>IFERROR(SUMIF(ENTRADAS!A:A,A832,ENTRADAS!C:C))</f>
        <v>0</v>
      </c>
      <c r="D832" s="10">
        <f>SUMIF(SALIDAS!A:A,A832,SALIDAS!C:C)</f>
        <v>0</v>
      </c>
      <c r="E832" s="10">
        <f t="shared" si="1"/>
        <v>0</v>
      </c>
      <c r="F832" s="13"/>
      <c r="G832" s="13"/>
      <c r="H832" s="13"/>
    </row>
    <row r="833" ht="15.75" customHeight="1">
      <c r="A833" s="13"/>
      <c r="B833" s="13"/>
      <c r="C833" s="9">
        <f>IFERROR(SUMIF(ENTRADAS!A:A,A833,ENTRADAS!C:C))</f>
        <v>0</v>
      </c>
      <c r="D833" s="10">
        <f>SUMIF(SALIDAS!A:A,A833,SALIDAS!C:C)</f>
        <v>0</v>
      </c>
      <c r="E833" s="10">
        <f t="shared" si="1"/>
        <v>0</v>
      </c>
      <c r="F833" s="13"/>
      <c r="G833" s="13"/>
      <c r="H833" s="13"/>
    </row>
    <row r="834" ht="15.75" customHeight="1">
      <c r="A834" s="13"/>
      <c r="B834" s="13"/>
      <c r="C834" s="9">
        <f>IFERROR(SUMIF(ENTRADAS!A:A,A834,ENTRADAS!C:C))</f>
        <v>0</v>
      </c>
      <c r="D834" s="10">
        <f>SUMIF(SALIDAS!A:A,A834,SALIDAS!C:C)</f>
        <v>0</v>
      </c>
      <c r="E834" s="10">
        <f t="shared" si="1"/>
        <v>0</v>
      </c>
      <c r="F834" s="13"/>
      <c r="G834" s="13"/>
      <c r="H834" s="13"/>
    </row>
    <row r="835" ht="15.75" customHeight="1">
      <c r="A835" s="13"/>
      <c r="B835" s="13"/>
      <c r="C835" s="9">
        <f>IFERROR(SUMIF(ENTRADAS!A:A,A835,ENTRADAS!C:C))</f>
        <v>0</v>
      </c>
      <c r="D835" s="10">
        <f>SUMIF(SALIDAS!A:A,A835,SALIDAS!C:C)</f>
        <v>0</v>
      </c>
      <c r="E835" s="10">
        <f t="shared" si="1"/>
        <v>0</v>
      </c>
      <c r="F835" s="13"/>
      <c r="G835" s="13"/>
      <c r="H835" s="13"/>
    </row>
    <row r="836" ht="15.75" customHeight="1">
      <c r="A836" s="13"/>
      <c r="B836" s="13"/>
      <c r="C836" s="9">
        <f>IFERROR(SUMIF(ENTRADAS!A:A,A836,ENTRADAS!C:C))</f>
        <v>0</v>
      </c>
      <c r="D836" s="10">
        <f>SUMIF(SALIDAS!A:A,A836,SALIDAS!C:C)</f>
        <v>0</v>
      </c>
      <c r="E836" s="10">
        <f t="shared" si="1"/>
        <v>0</v>
      </c>
      <c r="F836" s="13"/>
      <c r="G836" s="13"/>
      <c r="H836" s="13"/>
    </row>
    <row r="837" ht="15.75" customHeight="1">
      <c r="A837" s="13"/>
      <c r="B837" s="13"/>
      <c r="C837" s="9">
        <f>IFERROR(SUMIF(ENTRADAS!A:A,A837,ENTRADAS!C:C))</f>
        <v>0</v>
      </c>
      <c r="D837" s="10">
        <f>SUMIF(SALIDAS!A:A,A837,SALIDAS!C:C)</f>
        <v>0</v>
      </c>
      <c r="E837" s="10">
        <f t="shared" si="1"/>
        <v>0</v>
      </c>
      <c r="F837" s="13"/>
      <c r="G837" s="13"/>
      <c r="H837" s="13"/>
    </row>
    <row r="838" ht="15.75" customHeight="1">
      <c r="A838" s="13"/>
      <c r="B838" s="13"/>
      <c r="C838" s="9">
        <f>IFERROR(SUMIF(ENTRADAS!A:A,A838,ENTRADAS!C:C))</f>
        <v>0</v>
      </c>
      <c r="D838" s="10">
        <f>SUMIF(SALIDAS!A:A,A838,SALIDAS!C:C)</f>
        <v>0</v>
      </c>
      <c r="E838" s="10">
        <f t="shared" si="1"/>
        <v>0</v>
      </c>
      <c r="F838" s="13"/>
      <c r="G838" s="13"/>
      <c r="H838" s="13"/>
    </row>
    <row r="839" ht="15.75" customHeight="1">
      <c r="A839" s="13"/>
      <c r="B839" s="13"/>
      <c r="C839" s="9">
        <f>IFERROR(SUMIF(ENTRADAS!A:A,A839,ENTRADAS!C:C))</f>
        <v>0</v>
      </c>
      <c r="D839" s="10">
        <f>SUMIF(SALIDAS!A:A,A839,SALIDAS!C:C)</f>
        <v>0</v>
      </c>
      <c r="E839" s="10">
        <f t="shared" si="1"/>
        <v>0</v>
      </c>
      <c r="F839" s="13"/>
      <c r="G839" s="13"/>
      <c r="H839" s="13"/>
    </row>
    <row r="840" ht="15.75" customHeight="1">
      <c r="A840" s="13"/>
      <c r="B840" s="13"/>
      <c r="C840" s="9">
        <f>IFERROR(SUMIF(ENTRADAS!A:A,A840,ENTRADAS!C:C))</f>
        <v>0</v>
      </c>
      <c r="D840" s="10">
        <f>SUMIF(SALIDAS!A:A,A840,SALIDAS!C:C)</f>
        <v>0</v>
      </c>
      <c r="E840" s="10">
        <f t="shared" si="1"/>
        <v>0</v>
      </c>
      <c r="F840" s="13"/>
      <c r="G840" s="13"/>
      <c r="H840" s="13"/>
    </row>
    <row r="841" ht="15.75" customHeight="1">
      <c r="A841" s="13"/>
      <c r="B841" s="13"/>
      <c r="C841" s="9">
        <f>IFERROR(SUMIF(ENTRADAS!A:A,A841,ENTRADAS!C:C))</f>
        <v>0</v>
      </c>
      <c r="D841" s="10">
        <f>SUMIF(SALIDAS!A:A,A841,SALIDAS!C:C)</f>
        <v>0</v>
      </c>
      <c r="E841" s="10">
        <f t="shared" si="1"/>
        <v>0</v>
      </c>
      <c r="F841" s="13"/>
      <c r="G841" s="13"/>
      <c r="H841" s="13"/>
    </row>
    <row r="842" ht="15.75" customHeight="1">
      <c r="A842" s="13"/>
      <c r="B842" s="13"/>
      <c r="C842" s="9">
        <f>IFERROR(SUMIF(ENTRADAS!A:A,A842,ENTRADAS!C:C))</f>
        <v>0</v>
      </c>
      <c r="D842" s="10">
        <f>SUMIF(SALIDAS!A:A,A842,SALIDAS!C:C)</f>
        <v>0</v>
      </c>
      <c r="E842" s="10">
        <f t="shared" si="1"/>
        <v>0</v>
      </c>
      <c r="F842" s="13"/>
      <c r="G842" s="13"/>
      <c r="H842" s="13"/>
    </row>
    <row r="843" ht="15.75" customHeight="1">
      <c r="A843" s="13"/>
      <c r="B843" s="13"/>
      <c r="C843" s="9">
        <f>IFERROR(SUMIF(ENTRADAS!A:A,A843,ENTRADAS!C:C))</f>
        <v>0</v>
      </c>
      <c r="D843" s="10">
        <f>SUMIF(SALIDAS!A:A,A843,SALIDAS!C:C)</f>
        <v>0</v>
      </c>
      <c r="E843" s="10">
        <f t="shared" si="1"/>
        <v>0</v>
      </c>
      <c r="F843" s="13"/>
      <c r="G843" s="13"/>
      <c r="H843" s="13"/>
    </row>
    <row r="844" ht="15.75" customHeight="1">
      <c r="A844" s="13"/>
      <c r="B844" s="13"/>
      <c r="C844" s="9">
        <f>IFERROR(SUMIF(ENTRADAS!A:A,A844,ENTRADAS!C:C))</f>
        <v>0</v>
      </c>
      <c r="D844" s="10">
        <f>SUMIF(SALIDAS!A:A,A844,SALIDAS!C:C)</f>
        <v>0</v>
      </c>
      <c r="E844" s="10">
        <f t="shared" si="1"/>
        <v>0</v>
      </c>
      <c r="F844" s="13"/>
      <c r="G844" s="13"/>
      <c r="H844" s="13"/>
    </row>
    <row r="845" ht="15.75" customHeight="1">
      <c r="A845" s="13"/>
      <c r="B845" s="13"/>
      <c r="C845" s="9">
        <f>IFERROR(SUMIF(ENTRADAS!A:A,A845,ENTRADAS!C:C))</f>
        <v>0</v>
      </c>
      <c r="D845" s="10">
        <f>SUMIF(SALIDAS!A:A,A845,SALIDAS!C:C)</f>
        <v>0</v>
      </c>
      <c r="E845" s="10">
        <f t="shared" si="1"/>
        <v>0</v>
      </c>
      <c r="F845" s="13"/>
      <c r="G845" s="13"/>
      <c r="H845" s="13"/>
    </row>
    <row r="846" ht="15.75" customHeight="1">
      <c r="A846" s="13"/>
      <c r="B846" s="13"/>
      <c r="C846" s="9">
        <f>IFERROR(SUMIF(ENTRADAS!A:A,A846,ENTRADAS!C:C))</f>
        <v>0</v>
      </c>
      <c r="D846" s="10">
        <f>SUMIF(SALIDAS!A:A,A846,SALIDAS!C:C)</f>
        <v>0</v>
      </c>
      <c r="E846" s="10">
        <f t="shared" si="1"/>
        <v>0</v>
      </c>
      <c r="F846" s="13"/>
      <c r="G846" s="13"/>
      <c r="H846" s="13"/>
    </row>
    <row r="847" ht="15.75" customHeight="1">
      <c r="A847" s="13"/>
      <c r="B847" s="13"/>
      <c r="C847" s="9">
        <f>IFERROR(SUMIF(ENTRADAS!A:A,A847,ENTRADAS!C:C))</f>
        <v>0</v>
      </c>
      <c r="D847" s="10">
        <f>SUMIF(SALIDAS!A:A,A847,SALIDAS!C:C)</f>
        <v>0</v>
      </c>
      <c r="E847" s="10">
        <f t="shared" si="1"/>
        <v>0</v>
      </c>
      <c r="F847" s="13"/>
      <c r="G847" s="13"/>
      <c r="H847" s="13"/>
    </row>
    <row r="848" ht="15.75" customHeight="1">
      <c r="A848" s="13"/>
      <c r="B848" s="13"/>
      <c r="C848" s="9">
        <f>IFERROR(SUMIF(ENTRADAS!A:A,A848,ENTRADAS!C:C))</f>
        <v>0</v>
      </c>
      <c r="D848" s="10">
        <f>SUMIF(SALIDAS!A:A,A848,SALIDAS!C:C)</f>
        <v>0</v>
      </c>
      <c r="E848" s="10">
        <f t="shared" si="1"/>
        <v>0</v>
      </c>
      <c r="F848" s="13"/>
      <c r="G848" s="13"/>
      <c r="H848" s="13"/>
    </row>
    <row r="849" ht="15.75" customHeight="1">
      <c r="A849" s="13"/>
      <c r="B849" s="13"/>
      <c r="C849" s="9">
        <f>IFERROR(SUMIF(ENTRADAS!A:A,A849,ENTRADAS!C:C))</f>
        <v>0</v>
      </c>
      <c r="D849" s="10">
        <f>SUMIF(SALIDAS!A:A,A849,SALIDAS!C:C)</f>
        <v>0</v>
      </c>
      <c r="E849" s="10">
        <f t="shared" si="1"/>
        <v>0</v>
      </c>
      <c r="F849" s="13"/>
      <c r="G849" s="13"/>
      <c r="H849" s="13"/>
    </row>
    <row r="850" ht="15.75" customHeight="1">
      <c r="A850" s="13"/>
      <c r="B850" s="13"/>
      <c r="C850" s="9">
        <f>IFERROR(SUMIF(ENTRADAS!A:A,A850,ENTRADAS!C:C))</f>
        <v>0</v>
      </c>
      <c r="D850" s="10">
        <f>SUMIF(SALIDAS!A:A,A850,SALIDAS!C:C)</f>
        <v>0</v>
      </c>
      <c r="E850" s="10">
        <f t="shared" si="1"/>
        <v>0</v>
      </c>
      <c r="F850" s="13"/>
      <c r="G850" s="13"/>
      <c r="H850" s="13"/>
    </row>
    <row r="851" ht="15.75" customHeight="1">
      <c r="A851" s="13"/>
      <c r="B851" s="13"/>
      <c r="C851" s="9">
        <f>IFERROR(SUMIF(ENTRADAS!A:A,A851,ENTRADAS!C:C))</f>
        <v>0</v>
      </c>
      <c r="D851" s="10">
        <f>SUMIF(SALIDAS!A:A,A851,SALIDAS!C:C)</f>
        <v>0</v>
      </c>
      <c r="E851" s="10">
        <f t="shared" si="1"/>
        <v>0</v>
      </c>
      <c r="F851" s="13"/>
      <c r="G851" s="13"/>
      <c r="H851" s="13"/>
    </row>
    <row r="852" ht="15.75" customHeight="1">
      <c r="A852" s="13"/>
      <c r="B852" s="13"/>
      <c r="C852" s="9">
        <f>IFERROR(SUMIF(ENTRADAS!A:A,A852,ENTRADAS!C:C))</f>
        <v>0</v>
      </c>
      <c r="D852" s="10">
        <f>SUMIF(SALIDAS!A:A,A852,SALIDAS!C:C)</f>
        <v>0</v>
      </c>
      <c r="E852" s="10">
        <f t="shared" si="1"/>
        <v>0</v>
      </c>
      <c r="F852" s="13"/>
      <c r="G852" s="13"/>
      <c r="H852" s="13"/>
    </row>
    <row r="853" ht="15.75" customHeight="1">
      <c r="A853" s="13"/>
      <c r="B853" s="13"/>
      <c r="C853" s="9">
        <f>IFERROR(SUMIF(ENTRADAS!A:A,A853,ENTRADAS!C:C))</f>
        <v>0</v>
      </c>
      <c r="D853" s="10">
        <f>SUMIF(SALIDAS!A:A,A853,SALIDAS!C:C)</f>
        <v>0</v>
      </c>
      <c r="E853" s="10">
        <f t="shared" si="1"/>
        <v>0</v>
      </c>
      <c r="F853" s="13"/>
      <c r="G853" s="13"/>
      <c r="H853" s="13"/>
    </row>
    <row r="854" ht="15.75" customHeight="1">
      <c r="A854" s="13"/>
      <c r="B854" s="13"/>
      <c r="C854" s="9">
        <f>IFERROR(SUMIF(ENTRADAS!A:A,A854,ENTRADAS!C:C))</f>
        <v>0</v>
      </c>
      <c r="D854" s="10">
        <f>SUMIF(SALIDAS!A:A,A854,SALIDAS!C:C)</f>
        <v>0</v>
      </c>
      <c r="E854" s="10">
        <f t="shared" si="1"/>
        <v>0</v>
      </c>
      <c r="F854" s="13"/>
      <c r="G854" s="13"/>
      <c r="H854" s="13"/>
    </row>
    <row r="855" ht="15.75" customHeight="1">
      <c r="A855" s="13"/>
      <c r="B855" s="13"/>
      <c r="C855" s="9">
        <f>IFERROR(SUMIF(ENTRADAS!A:A,A855,ENTRADAS!C:C))</f>
        <v>0</v>
      </c>
      <c r="D855" s="10">
        <f>SUMIF(SALIDAS!A:A,A855,SALIDAS!C:C)</f>
        <v>0</v>
      </c>
      <c r="E855" s="10">
        <f t="shared" si="1"/>
        <v>0</v>
      </c>
      <c r="F855" s="13"/>
      <c r="G855" s="13"/>
      <c r="H855" s="13"/>
    </row>
    <row r="856" ht="15.75" customHeight="1">
      <c r="A856" s="13"/>
      <c r="B856" s="13"/>
      <c r="C856" s="9">
        <f>IFERROR(SUMIF(ENTRADAS!A:A,A856,ENTRADAS!C:C))</f>
        <v>0</v>
      </c>
      <c r="D856" s="10">
        <f>SUMIF(SALIDAS!A:A,A856,SALIDAS!C:C)</f>
        <v>0</v>
      </c>
      <c r="E856" s="10">
        <f t="shared" si="1"/>
        <v>0</v>
      </c>
      <c r="F856" s="13"/>
      <c r="G856" s="13"/>
      <c r="H856" s="13"/>
    </row>
    <row r="857" ht="15.75" customHeight="1">
      <c r="A857" s="13"/>
      <c r="B857" s="13"/>
      <c r="C857" s="9">
        <f>IFERROR(SUMIF(ENTRADAS!A:A,A857,ENTRADAS!C:C))</f>
        <v>0</v>
      </c>
      <c r="D857" s="10">
        <f>SUMIF(SALIDAS!A:A,A857,SALIDAS!C:C)</f>
        <v>0</v>
      </c>
      <c r="E857" s="10">
        <f t="shared" si="1"/>
        <v>0</v>
      </c>
      <c r="F857" s="13"/>
      <c r="G857" s="13"/>
      <c r="H857" s="13"/>
    </row>
    <row r="858" ht="15.75" customHeight="1">
      <c r="A858" s="13"/>
      <c r="B858" s="13"/>
      <c r="C858" s="9">
        <f>IFERROR(SUMIF(ENTRADAS!A:A,A858,ENTRADAS!C:C))</f>
        <v>0</v>
      </c>
      <c r="D858" s="10">
        <f>SUMIF(SALIDAS!A:A,A858,SALIDAS!C:C)</f>
        <v>0</v>
      </c>
      <c r="E858" s="10">
        <f t="shared" si="1"/>
        <v>0</v>
      </c>
      <c r="F858" s="13"/>
      <c r="G858" s="13"/>
      <c r="H858" s="13"/>
    </row>
    <row r="859" ht="15.75" customHeight="1">
      <c r="A859" s="13"/>
      <c r="B859" s="13"/>
      <c r="C859" s="9">
        <f>IFERROR(SUMIF(ENTRADAS!A:A,A859,ENTRADAS!C:C))</f>
        <v>0</v>
      </c>
      <c r="D859" s="10">
        <f>SUMIF(SALIDAS!A:A,A859,SALIDAS!C:C)</f>
        <v>0</v>
      </c>
      <c r="E859" s="10">
        <f t="shared" si="1"/>
        <v>0</v>
      </c>
      <c r="F859" s="13"/>
      <c r="G859" s="13"/>
      <c r="H859" s="13"/>
    </row>
    <row r="860" ht="15.75" customHeight="1">
      <c r="A860" s="13"/>
      <c r="B860" s="13"/>
      <c r="C860" s="9">
        <f>IFERROR(SUMIF(ENTRADAS!A:A,A860,ENTRADAS!C:C))</f>
        <v>0</v>
      </c>
      <c r="D860" s="10">
        <f>SUMIF(SALIDAS!A:A,A860,SALIDAS!C:C)</f>
        <v>0</v>
      </c>
      <c r="E860" s="10">
        <f t="shared" si="1"/>
        <v>0</v>
      </c>
      <c r="F860" s="13"/>
      <c r="G860" s="13"/>
      <c r="H860" s="13"/>
    </row>
    <row r="861" ht="15.75" customHeight="1">
      <c r="A861" s="13"/>
      <c r="B861" s="13"/>
      <c r="C861" s="9">
        <f>IFERROR(SUMIF(ENTRADAS!A:A,A861,ENTRADAS!C:C))</f>
        <v>0</v>
      </c>
      <c r="D861" s="10">
        <f>SUMIF(SALIDAS!A:A,A861,SALIDAS!C:C)</f>
        <v>0</v>
      </c>
      <c r="E861" s="10">
        <f t="shared" si="1"/>
        <v>0</v>
      </c>
      <c r="F861" s="13"/>
      <c r="G861" s="13"/>
      <c r="H861" s="13"/>
    </row>
    <row r="862" ht="15.75" customHeight="1">
      <c r="A862" s="13"/>
      <c r="B862" s="13"/>
      <c r="C862" s="9">
        <f>IFERROR(SUMIF(ENTRADAS!A:A,A862,ENTRADAS!C:C))</f>
        <v>0</v>
      </c>
      <c r="D862" s="10">
        <f>SUMIF(SALIDAS!A:A,A862,SALIDAS!C:C)</f>
        <v>0</v>
      </c>
      <c r="E862" s="10">
        <f t="shared" si="1"/>
        <v>0</v>
      </c>
      <c r="F862" s="13"/>
      <c r="G862" s="13"/>
      <c r="H862" s="13"/>
    </row>
    <row r="863" ht="15.75" customHeight="1">
      <c r="A863" s="13"/>
      <c r="B863" s="13"/>
      <c r="C863" s="9">
        <f>IFERROR(SUMIF(ENTRADAS!A:A,A863,ENTRADAS!C:C))</f>
        <v>0</v>
      </c>
      <c r="D863" s="10">
        <f>SUMIF(SALIDAS!A:A,A863,SALIDAS!C:C)</f>
        <v>0</v>
      </c>
      <c r="E863" s="10">
        <f t="shared" si="1"/>
        <v>0</v>
      </c>
      <c r="F863" s="13"/>
      <c r="G863" s="13"/>
      <c r="H863" s="13"/>
    </row>
    <row r="864" ht="15.75" customHeight="1">
      <c r="A864" s="13"/>
      <c r="B864" s="13"/>
      <c r="C864" s="9">
        <f>IFERROR(SUMIF(ENTRADAS!A:A,A864,ENTRADAS!C:C))</f>
        <v>0</v>
      </c>
      <c r="D864" s="10">
        <f>SUMIF(SALIDAS!A:A,A864,SALIDAS!C:C)</f>
        <v>0</v>
      </c>
      <c r="E864" s="10">
        <f t="shared" si="1"/>
        <v>0</v>
      </c>
      <c r="F864" s="13"/>
      <c r="G864" s="13"/>
      <c r="H864" s="13"/>
    </row>
    <row r="865" ht="15.75" customHeight="1">
      <c r="A865" s="13"/>
      <c r="B865" s="13"/>
      <c r="C865" s="9">
        <f>IFERROR(SUMIF(ENTRADAS!A:A,A865,ENTRADAS!C:C))</f>
        <v>0</v>
      </c>
      <c r="D865" s="10">
        <f>SUMIF(SALIDAS!A:A,A865,SALIDAS!C:C)</f>
        <v>0</v>
      </c>
      <c r="E865" s="10">
        <f t="shared" si="1"/>
        <v>0</v>
      </c>
      <c r="F865" s="13"/>
      <c r="G865" s="13"/>
      <c r="H865" s="13"/>
    </row>
    <row r="866" ht="15.75" customHeight="1">
      <c r="A866" s="13"/>
      <c r="B866" s="13"/>
      <c r="C866" s="9">
        <f>IFERROR(SUMIF(ENTRADAS!A:A,A866,ENTRADAS!C:C))</f>
        <v>0</v>
      </c>
      <c r="D866" s="10">
        <f>SUMIF(SALIDAS!A:A,A866,SALIDAS!C:C)</f>
        <v>0</v>
      </c>
      <c r="E866" s="10">
        <f t="shared" si="1"/>
        <v>0</v>
      </c>
      <c r="F866" s="13"/>
      <c r="G866" s="13"/>
      <c r="H866" s="13"/>
    </row>
    <row r="867" ht="15.75" customHeight="1">
      <c r="A867" s="13"/>
      <c r="B867" s="13"/>
      <c r="C867" s="9">
        <f>IFERROR(SUMIF(ENTRADAS!A:A,A867,ENTRADAS!C:C))</f>
        <v>0</v>
      </c>
      <c r="D867" s="10">
        <f>SUMIF(SALIDAS!A:A,A867,SALIDAS!C:C)</f>
        <v>0</v>
      </c>
      <c r="E867" s="10">
        <f t="shared" si="1"/>
        <v>0</v>
      </c>
      <c r="F867" s="13"/>
      <c r="G867" s="13"/>
      <c r="H867" s="13"/>
    </row>
    <row r="868" ht="15.75" customHeight="1">
      <c r="A868" s="13"/>
      <c r="B868" s="13"/>
      <c r="C868" s="9">
        <f>IFERROR(SUMIF(ENTRADAS!A:A,A868,ENTRADAS!C:C))</f>
        <v>0</v>
      </c>
      <c r="D868" s="10">
        <f>SUMIF(SALIDAS!A:A,A868,SALIDAS!C:C)</f>
        <v>0</v>
      </c>
      <c r="E868" s="10">
        <f t="shared" si="1"/>
        <v>0</v>
      </c>
      <c r="F868" s="13"/>
      <c r="G868" s="13"/>
      <c r="H868" s="13"/>
    </row>
    <row r="869" ht="15.75" customHeight="1">
      <c r="A869" s="13"/>
      <c r="B869" s="13"/>
      <c r="C869" s="9">
        <f>IFERROR(SUMIF(ENTRADAS!A:A,A869,ENTRADAS!C:C))</f>
        <v>0</v>
      </c>
      <c r="D869" s="10">
        <f>SUMIF(SALIDAS!A:A,A869,SALIDAS!C:C)</f>
        <v>0</v>
      </c>
      <c r="E869" s="10">
        <f t="shared" si="1"/>
        <v>0</v>
      </c>
      <c r="F869" s="13"/>
      <c r="G869" s="13"/>
      <c r="H869" s="13"/>
    </row>
    <row r="870" ht="15.75" customHeight="1">
      <c r="A870" s="13"/>
      <c r="B870" s="13"/>
      <c r="C870" s="9">
        <f>IFERROR(SUMIF(ENTRADAS!A:A,A870,ENTRADAS!C:C))</f>
        <v>0</v>
      </c>
      <c r="D870" s="10">
        <f>SUMIF(SALIDAS!A:A,A870,SALIDAS!C:C)</f>
        <v>0</v>
      </c>
      <c r="E870" s="10">
        <f t="shared" si="1"/>
        <v>0</v>
      </c>
      <c r="F870" s="13"/>
      <c r="G870" s="13"/>
      <c r="H870" s="13"/>
    </row>
    <row r="871" ht="15.75" customHeight="1">
      <c r="A871" s="13"/>
      <c r="B871" s="13"/>
      <c r="C871" s="9">
        <f>IFERROR(SUMIF(ENTRADAS!A:A,A871,ENTRADAS!C:C))</f>
        <v>0</v>
      </c>
      <c r="D871" s="10">
        <f>SUMIF(SALIDAS!A:A,A871,SALIDAS!C:C)</f>
        <v>0</v>
      </c>
      <c r="E871" s="10">
        <f t="shared" si="1"/>
        <v>0</v>
      </c>
      <c r="F871" s="13"/>
      <c r="G871" s="13"/>
      <c r="H871" s="13"/>
    </row>
    <row r="872" ht="15.75" customHeight="1">
      <c r="A872" s="13"/>
      <c r="B872" s="13"/>
      <c r="C872" s="9">
        <f>IFERROR(SUMIF(ENTRADAS!A:A,A872,ENTRADAS!C:C))</f>
        <v>0</v>
      </c>
      <c r="D872" s="10">
        <f>SUMIF(SALIDAS!A:A,A872,SALIDAS!C:C)</f>
        <v>0</v>
      </c>
      <c r="E872" s="10">
        <f t="shared" si="1"/>
        <v>0</v>
      </c>
      <c r="F872" s="13"/>
      <c r="G872" s="13"/>
      <c r="H872" s="13"/>
    </row>
    <row r="873" ht="15.75" customHeight="1">
      <c r="A873" s="13"/>
      <c r="B873" s="13"/>
      <c r="C873" s="9">
        <f>IFERROR(SUMIF(ENTRADAS!A:A,A873,ENTRADAS!C:C))</f>
        <v>0</v>
      </c>
      <c r="D873" s="10">
        <f>SUMIF(SALIDAS!A:A,A873,SALIDAS!C:C)</f>
        <v>0</v>
      </c>
      <c r="E873" s="10">
        <f t="shared" si="1"/>
        <v>0</v>
      </c>
      <c r="F873" s="13"/>
      <c r="G873" s="13"/>
      <c r="H873" s="13"/>
    </row>
    <row r="874" ht="15.75" customHeight="1">
      <c r="A874" s="13"/>
      <c r="B874" s="13"/>
      <c r="C874" s="9">
        <f>IFERROR(SUMIF(ENTRADAS!A:A,A874,ENTRADAS!C:C))</f>
        <v>0</v>
      </c>
      <c r="D874" s="10">
        <f>SUMIF(SALIDAS!A:A,A874,SALIDAS!C:C)</f>
        <v>0</v>
      </c>
      <c r="E874" s="10">
        <f t="shared" si="1"/>
        <v>0</v>
      </c>
      <c r="F874" s="13"/>
      <c r="G874" s="13"/>
      <c r="H874" s="13"/>
    </row>
    <row r="875" ht="15.75" customHeight="1">
      <c r="A875" s="13"/>
      <c r="B875" s="13"/>
      <c r="C875" s="9">
        <f>IFERROR(SUMIF(ENTRADAS!A:A,A875,ENTRADAS!C:C))</f>
        <v>0</v>
      </c>
      <c r="D875" s="10">
        <f>SUMIF(SALIDAS!A:A,A875,SALIDAS!C:C)</f>
        <v>0</v>
      </c>
      <c r="E875" s="10">
        <f t="shared" si="1"/>
        <v>0</v>
      </c>
      <c r="F875" s="13"/>
      <c r="G875" s="13"/>
      <c r="H875" s="13"/>
    </row>
    <row r="876" ht="15.75" customHeight="1">
      <c r="A876" s="13"/>
      <c r="B876" s="13"/>
      <c r="C876" s="9">
        <f>IFERROR(SUMIF(ENTRADAS!A:A,A876,ENTRADAS!C:C))</f>
        <v>0</v>
      </c>
      <c r="D876" s="10">
        <f>SUMIF(SALIDAS!A:A,A876,SALIDAS!C:C)</f>
        <v>0</v>
      </c>
      <c r="E876" s="10">
        <f t="shared" si="1"/>
        <v>0</v>
      </c>
      <c r="F876" s="13"/>
      <c r="G876" s="13"/>
      <c r="H876" s="13"/>
    </row>
    <row r="877" ht="15.75" customHeight="1">
      <c r="A877" s="13"/>
      <c r="B877" s="13"/>
      <c r="C877" s="9">
        <f>IFERROR(SUMIF(ENTRADAS!A:A,A877,ENTRADAS!C:C))</f>
        <v>0</v>
      </c>
      <c r="D877" s="10">
        <f>SUMIF(SALIDAS!A:A,A877,SALIDAS!C:C)</f>
        <v>0</v>
      </c>
      <c r="E877" s="10">
        <f t="shared" si="1"/>
        <v>0</v>
      </c>
      <c r="F877" s="13"/>
      <c r="G877" s="13"/>
      <c r="H877" s="13"/>
    </row>
    <row r="878" ht="15.75" customHeight="1">
      <c r="A878" s="13"/>
      <c r="B878" s="13"/>
      <c r="C878" s="9">
        <f>IFERROR(SUMIF(ENTRADAS!A:A,A878,ENTRADAS!C:C))</f>
        <v>0</v>
      </c>
      <c r="D878" s="10">
        <f>SUMIF(SALIDAS!A:A,A878,SALIDAS!C:C)</f>
        <v>0</v>
      </c>
      <c r="E878" s="10">
        <f t="shared" si="1"/>
        <v>0</v>
      </c>
      <c r="F878" s="13"/>
      <c r="G878" s="13"/>
      <c r="H878" s="13"/>
    </row>
    <row r="879" ht="15.75" customHeight="1">
      <c r="A879" s="13"/>
      <c r="B879" s="13"/>
      <c r="C879" s="9">
        <f>IFERROR(SUMIF(ENTRADAS!A:A,A879,ENTRADAS!C:C))</f>
        <v>0</v>
      </c>
      <c r="D879" s="10">
        <f>SUMIF(SALIDAS!A:A,A879,SALIDAS!C:C)</f>
        <v>0</v>
      </c>
      <c r="E879" s="10">
        <f t="shared" si="1"/>
        <v>0</v>
      </c>
      <c r="F879" s="13"/>
      <c r="G879" s="13"/>
      <c r="H879" s="13"/>
    </row>
    <row r="880" ht="15.75" customHeight="1">
      <c r="A880" s="13"/>
      <c r="B880" s="13"/>
      <c r="C880" s="9">
        <f>IFERROR(SUMIF(ENTRADAS!A:A,A880,ENTRADAS!C:C))</f>
        <v>0</v>
      </c>
      <c r="D880" s="10">
        <f>SUMIF(SALIDAS!A:A,A880,SALIDAS!C:C)</f>
        <v>0</v>
      </c>
      <c r="E880" s="10">
        <f t="shared" si="1"/>
        <v>0</v>
      </c>
      <c r="F880" s="13"/>
      <c r="G880" s="13"/>
      <c r="H880" s="13"/>
    </row>
    <row r="881" ht="15.75" customHeight="1">
      <c r="A881" s="13"/>
      <c r="B881" s="13"/>
      <c r="C881" s="9">
        <f>IFERROR(SUMIF(ENTRADAS!A:A,A881,ENTRADAS!C:C))</f>
        <v>0</v>
      </c>
      <c r="D881" s="10">
        <f>SUMIF(SALIDAS!A:A,A881,SALIDAS!C:C)</f>
        <v>0</v>
      </c>
      <c r="E881" s="10">
        <f t="shared" si="1"/>
        <v>0</v>
      </c>
      <c r="F881" s="13"/>
      <c r="G881" s="13"/>
      <c r="H881" s="13"/>
    </row>
    <row r="882" ht="15.75" customHeight="1">
      <c r="A882" s="13"/>
      <c r="B882" s="13"/>
      <c r="C882" s="9">
        <f>IFERROR(SUMIF(ENTRADAS!A:A,A882,ENTRADAS!C:C))</f>
        <v>0</v>
      </c>
      <c r="D882" s="10">
        <f>SUMIF(SALIDAS!A:A,A882,SALIDAS!C:C)</f>
        <v>0</v>
      </c>
      <c r="E882" s="10">
        <f t="shared" si="1"/>
        <v>0</v>
      </c>
      <c r="F882" s="13"/>
      <c r="G882" s="13"/>
      <c r="H882" s="13"/>
    </row>
    <row r="883" ht="15.75" customHeight="1">
      <c r="A883" s="13"/>
      <c r="B883" s="13"/>
      <c r="C883" s="9">
        <f>IFERROR(SUMIF(ENTRADAS!A:A,A883,ENTRADAS!C:C))</f>
        <v>0</v>
      </c>
      <c r="D883" s="10">
        <f>SUMIF(SALIDAS!A:A,A883,SALIDAS!C:C)</f>
        <v>0</v>
      </c>
      <c r="E883" s="10">
        <f t="shared" si="1"/>
        <v>0</v>
      </c>
      <c r="F883" s="13"/>
      <c r="G883" s="13"/>
      <c r="H883" s="13"/>
    </row>
    <row r="884" ht="15.75" customHeight="1">
      <c r="A884" s="13"/>
      <c r="B884" s="13"/>
      <c r="C884" s="9">
        <f>IFERROR(SUMIF(ENTRADAS!A:A,A884,ENTRADAS!C:C))</f>
        <v>0</v>
      </c>
      <c r="D884" s="10">
        <f>SUMIF(SALIDAS!A:A,A884,SALIDAS!C:C)</f>
        <v>0</v>
      </c>
      <c r="E884" s="10">
        <f t="shared" si="1"/>
        <v>0</v>
      </c>
      <c r="F884" s="13"/>
      <c r="G884" s="13"/>
      <c r="H884" s="13"/>
    </row>
    <row r="885" ht="15.75" customHeight="1">
      <c r="A885" s="13"/>
      <c r="B885" s="13"/>
      <c r="C885" s="9">
        <f>IFERROR(SUMIF(ENTRADAS!A:A,A885,ENTRADAS!C:C))</f>
        <v>0</v>
      </c>
      <c r="D885" s="10">
        <f>SUMIF(SALIDAS!A:A,A885,SALIDAS!C:C)</f>
        <v>0</v>
      </c>
      <c r="E885" s="10">
        <f t="shared" si="1"/>
        <v>0</v>
      </c>
      <c r="F885" s="13"/>
      <c r="G885" s="13"/>
      <c r="H885" s="13"/>
    </row>
    <row r="886" ht="15.75" customHeight="1">
      <c r="A886" s="13"/>
      <c r="B886" s="13"/>
      <c r="C886" s="9">
        <f>IFERROR(SUMIF(ENTRADAS!A:A,A886,ENTRADAS!C:C))</f>
        <v>0</v>
      </c>
      <c r="D886" s="10">
        <f>SUMIF(SALIDAS!A:A,A886,SALIDAS!C:C)</f>
        <v>0</v>
      </c>
      <c r="E886" s="10">
        <f t="shared" si="1"/>
        <v>0</v>
      </c>
      <c r="F886" s="13"/>
      <c r="G886" s="13"/>
      <c r="H886" s="13"/>
    </row>
    <row r="887" ht="15.75" customHeight="1">
      <c r="A887" s="13"/>
      <c r="B887" s="13"/>
      <c r="C887" s="9">
        <f>IFERROR(SUMIF(ENTRADAS!A:A,A887,ENTRADAS!C:C))</f>
        <v>0</v>
      </c>
      <c r="D887" s="10">
        <f>SUMIF(SALIDAS!A:A,A887,SALIDAS!C:C)</f>
        <v>0</v>
      </c>
      <c r="E887" s="10">
        <f t="shared" si="1"/>
        <v>0</v>
      </c>
      <c r="F887" s="13"/>
      <c r="G887" s="13"/>
      <c r="H887" s="13"/>
    </row>
    <row r="888" ht="15.75" customHeight="1">
      <c r="A888" s="13"/>
      <c r="B888" s="13"/>
      <c r="C888" s="9">
        <f>IFERROR(SUMIF(ENTRADAS!A:A,A888,ENTRADAS!C:C))</f>
        <v>0</v>
      </c>
      <c r="D888" s="10">
        <f>SUMIF(SALIDAS!A:A,A888,SALIDAS!C:C)</f>
        <v>0</v>
      </c>
      <c r="E888" s="10">
        <f t="shared" si="1"/>
        <v>0</v>
      </c>
      <c r="F888" s="13"/>
      <c r="G888" s="13"/>
      <c r="H888" s="13"/>
    </row>
    <row r="889" ht="15.75" customHeight="1">
      <c r="A889" s="13"/>
      <c r="B889" s="13"/>
      <c r="C889" s="9">
        <f>IFERROR(SUMIF(ENTRADAS!A:A,A889,ENTRADAS!C:C))</f>
        <v>0</v>
      </c>
      <c r="D889" s="10">
        <f>SUMIF(SALIDAS!A:A,A889,SALIDAS!C:C)</f>
        <v>0</v>
      </c>
      <c r="E889" s="10">
        <f t="shared" si="1"/>
        <v>0</v>
      </c>
      <c r="F889" s="13"/>
      <c r="G889" s="13"/>
      <c r="H889" s="13"/>
    </row>
    <row r="890" ht="15.75" customHeight="1">
      <c r="A890" s="13"/>
      <c r="B890" s="13"/>
      <c r="C890" s="9">
        <f>IFERROR(SUMIF(ENTRADAS!A:A,A890,ENTRADAS!C:C))</f>
        <v>0</v>
      </c>
      <c r="D890" s="10">
        <f>SUMIF(SALIDAS!A:A,A890,SALIDAS!C:C)</f>
        <v>0</v>
      </c>
      <c r="E890" s="10">
        <f t="shared" si="1"/>
        <v>0</v>
      </c>
      <c r="F890" s="13"/>
      <c r="G890" s="13"/>
      <c r="H890" s="13"/>
    </row>
    <row r="891" ht="15.75" customHeight="1">
      <c r="A891" s="13"/>
      <c r="B891" s="13"/>
      <c r="C891" s="9">
        <f>IFERROR(SUMIF(ENTRADAS!A:A,A891,ENTRADAS!C:C))</f>
        <v>0</v>
      </c>
      <c r="D891" s="10">
        <f>SUMIF(SALIDAS!A:A,A891,SALIDAS!C:C)</f>
        <v>0</v>
      </c>
      <c r="E891" s="10">
        <f t="shared" si="1"/>
        <v>0</v>
      </c>
      <c r="F891" s="13"/>
      <c r="G891" s="13"/>
      <c r="H891" s="13"/>
    </row>
    <row r="892" ht="15.75" customHeight="1">
      <c r="A892" s="13"/>
      <c r="B892" s="13"/>
      <c r="C892" s="9">
        <f>IFERROR(SUMIF(ENTRADAS!A:A,A892,ENTRADAS!C:C))</f>
        <v>0</v>
      </c>
      <c r="D892" s="10">
        <f>SUMIF(SALIDAS!A:A,A892,SALIDAS!C:C)</f>
        <v>0</v>
      </c>
      <c r="E892" s="10">
        <f t="shared" si="1"/>
        <v>0</v>
      </c>
      <c r="F892" s="13"/>
      <c r="G892" s="13"/>
      <c r="H892" s="13"/>
    </row>
    <row r="893" ht="15.75" customHeight="1">
      <c r="A893" s="13"/>
      <c r="B893" s="13"/>
      <c r="C893" s="9">
        <f>IFERROR(SUMIF(ENTRADAS!A:A,A893,ENTRADAS!C:C))</f>
        <v>0</v>
      </c>
      <c r="D893" s="10">
        <f>SUMIF(SALIDAS!A:A,A893,SALIDAS!C:C)</f>
        <v>0</v>
      </c>
      <c r="E893" s="10">
        <f t="shared" si="1"/>
        <v>0</v>
      </c>
      <c r="F893" s="13"/>
      <c r="G893" s="13"/>
      <c r="H893" s="13"/>
    </row>
    <row r="894" ht="15.75" customHeight="1">
      <c r="A894" s="13"/>
      <c r="B894" s="13"/>
      <c r="C894" s="9">
        <f>IFERROR(SUMIF(ENTRADAS!A:A,A894,ENTRADAS!C:C))</f>
        <v>0</v>
      </c>
      <c r="D894" s="10">
        <f>SUMIF(SALIDAS!A:A,A894,SALIDAS!C:C)</f>
        <v>0</v>
      </c>
      <c r="E894" s="10">
        <f t="shared" si="1"/>
        <v>0</v>
      </c>
      <c r="F894" s="13"/>
      <c r="G894" s="13"/>
      <c r="H894" s="13"/>
    </row>
    <row r="895" ht="15.75" customHeight="1">
      <c r="A895" s="13"/>
      <c r="B895" s="13"/>
      <c r="C895" s="9">
        <f>IFERROR(SUMIF(ENTRADAS!A:A,A895,ENTRADAS!C:C))</f>
        <v>0</v>
      </c>
      <c r="D895" s="10">
        <f>SUMIF(SALIDAS!A:A,A895,SALIDAS!C:C)</f>
        <v>0</v>
      </c>
      <c r="E895" s="10">
        <f t="shared" si="1"/>
        <v>0</v>
      </c>
      <c r="F895" s="13"/>
      <c r="G895" s="13"/>
      <c r="H895" s="13"/>
    </row>
    <row r="896" ht="15.75" customHeight="1">
      <c r="A896" s="13"/>
      <c r="B896" s="13"/>
      <c r="C896" s="9">
        <f>IFERROR(SUMIF(ENTRADAS!A:A,A896,ENTRADAS!C:C))</f>
        <v>0</v>
      </c>
      <c r="D896" s="10">
        <f>SUMIF(SALIDAS!A:A,A896,SALIDAS!C:C)</f>
        <v>0</v>
      </c>
      <c r="E896" s="10">
        <f t="shared" si="1"/>
        <v>0</v>
      </c>
      <c r="F896" s="13"/>
      <c r="G896" s="13"/>
      <c r="H896" s="13"/>
    </row>
    <row r="897" ht="15.75" customHeight="1">
      <c r="A897" s="13"/>
      <c r="B897" s="13"/>
      <c r="C897" s="9">
        <f>IFERROR(SUMIF(ENTRADAS!A:A,A897,ENTRADAS!C:C))</f>
        <v>0</v>
      </c>
      <c r="D897" s="10">
        <f>SUMIF(SALIDAS!A:A,A897,SALIDAS!C:C)</f>
        <v>0</v>
      </c>
      <c r="E897" s="10">
        <f t="shared" si="1"/>
        <v>0</v>
      </c>
      <c r="F897" s="13"/>
      <c r="G897" s="13"/>
      <c r="H897" s="13"/>
    </row>
    <row r="898" ht="15.75" customHeight="1">
      <c r="A898" s="13"/>
      <c r="B898" s="13"/>
      <c r="C898" s="9">
        <f>IFERROR(SUMIF(ENTRADAS!A:A,A898,ENTRADAS!C:C))</f>
        <v>0</v>
      </c>
      <c r="D898" s="10">
        <f>SUMIF(SALIDAS!A:A,A898,SALIDAS!C:C)</f>
        <v>0</v>
      </c>
      <c r="E898" s="10">
        <f t="shared" si="1"/>
        <v>0</v>
      </c>
      <c r="F898" s="13"/>
      <c r="G898" s="13"/>
      <c r="H898" s="13"/>
    </row>
    <row r="899" ht="15.75" customHeight="1">
      <c r="A899" s="13"/>
      <c r="B899" s="13"/>
      <c r="C899" s="9">
        <f>IFERROR(SUMIF(ENTRADAS!A:A,A899,ENTRADAS!C:C))</f>
        <v>0</v>
      </c>
      <c r="D899" s="10">
        <f>SUMIF(SALIDAS!A:A,A899,SALIDAS!C:C)</f>
        <v>0</v>
      </c>
      <c r="E899" s="10">
        <f t="shared" si="1"/>
        <v>0</v>
      </c>
      <c r="F899" s="13"/>
      <c r="G899" s="13"/>
      <c r="H899" s="13"/>
    </row>
    <row r="900" ht="15.75" customHeight="1">
      <c r="A900" s="13"/>
      <c r="B900" s="13"/>
      <c r="C900" s="9">
        <f>IFERROR(SUMIF(ENTRADAS!A:A,A900,ENTRADAS!C:C))</f>
        <v>0</v>
      </c>
      <c r="D900" s="10">
        <f>SUMIF(SALIDAS!A:A,A900,SALIDAS!C:C)</f>
        <v>0</v>
      </c>
      <c r="E900" s="10">
        <f t="shared" si="1"/>
        <v>0</v>
      </c>
      <c r="F900" s="13"/>
      <c r="G900" s="13"/>
      <c r="H900" s="13"/>
    </row>
    <row r="901" ht="15.75" customHeight="1">
      <c r="A901" s="13"/>
      <c r="B901" s="13"/>
      <c r="C901" s="9">
        <f>IFERROR(SUMIF(ENTRADAS!A:A,A901,ENTRADAS!C:C))</f>
        <v>0</v>
      </c>
      <c r="D901" s="10">
        <f>SUMIF(SALIDAS!A:A,A901,SALIDAS!C:C)</f>
        <v>0</v>
      </c>
      <c r="E901" s="10">
        <f t="shared" si="1"/>
        <v>0</v>
      </c>
      <c r="F901" s="13"/>
      <c r="G901" s="13"/>
      <c r="H901" s="13"/>
    </row>
    <row r="902" ht="15.75" customHeight="1">
      <c r="A902" s="13"/>
      <c r="B902" s="13"/>
      <c r="C902" s="9">
        <f>IFERROR(SUMIF(ENTRADAS!A:A,A902,ENTRADAS!C:C))</f>
        <v>0</v>
      </c>
      <c r="D902" s="10">
        <f>SUMIF(SALIDAS!A:A,A902,SALIDAS!C:C)</f>
        <v>0</v>
      </c>
      <c r="E902" s="10">
        <f t="shared" si="1"/>
        <v>0</v>
      </c>
      <c r="F902" s="13"/>
      <c r="G902" s="13"/>
      <c r="H902" s="13"/>
    </row>
    <row r="903" ht="15.75" customHeight="1">
      <c r="A903" s="13"/>
      <c r="B903" s="13"/>
      <c r="C903" s="9">
        <f>IFERROR(SUMIF(ENTRADAS!A:A,A903,ENTRADAS!C:C))</f>
        <v>0</v>
      </c>
      <c r="D903" s="10">
        <f>SUMIF(SALIDAS!A:A,A903,SALIDAS!C:C)</f>
        <v>0</v>
      </c>
      <c r="E903" s="10">
        <f t="shared" si="1"/>
        <v>0</v>
      </c>
      <c r="F903" s="13"/>
      <c r="G903" s="13"/>
      <c r="H903" s="13"/>
    </row>
    <row r="904" ht="15.75" customHeight="1">
      <c r="A904" s="13"/>
      <c r="B904" s="13"/>
      <c r="C904" s="9">
        <f>IFERROR(SUMIF(ENTRADAS!A:A,A904,ENTRADAS!C:C))</f>
        <v>0</v>
      </c>
      <c r="D904" s="10">
        <f>SUMIF(SALIDAS!A:A,A904,SALIDAS!C:C)</f>
        <v>0</v>
      </c>
      <c r="E904" s="10">
        <f t="shared" si="1"/>
        <v>0</v>
      </c>
      <c r="F904" s="13"/>
      <c r="G904" s="13"/>
      <c r="H904" s="13"/>
    </row>
    <row r="905" ht="15.75" customHeight="1">
      <c r="A905" s="13"/>
      <c r="B905" s="13"/>
      <c r="C905" s="9">
        <f>IFERROR(SUMIF(ENTRADAS!A:A,A905,ENTRADAS!C:C))</f>
        <v>0</v>
      </c>
      <c r="D905" s="10">
        <f>SUMIF(SALIDAS!A:A,A905,SALIDAS!C:C)</f>
        <v>0</v>
      </c>
      <c r="E905" s="10">
        <f t="shared" si="1"/>
        <v>0</v>
      </c>
      <c r="F905" s="13"/>
      <c r="G905" s="13"/>
      <c r="H905" s="13"/>
    </row>
    <row r="906" ht="15.75" customHeight="1">
      <c r="A906" s="13"/>
      <c r="B906" s="13"/>
      <c r="C906" s="9">
        <f>IFERROR(SUMIF(ENTRADAS!A:A,A906,ENTRADAS!C:C))</f>
        <v>0</v>
      </c>
      <c r="D906" s="10">
        <f>SUMIF(SALIDAS!A:A,A906,SALIDAS!C:C)</f>
        <v>0</v>
      </c>
      <c r="E906" s="10">
        <f t="shared" si="1"/>
        <v>0</v>
      </c>
      <c r="F906" s="13"/>
      <c r="G906" s="13"/>
      <c r="H906" s="13"/>
    </row>
    <row r="907" ht="15.75" customHeight="1">
      <c r="A907" s="13"/>
      <c r="B907" s="13"/>
      <c r="C907" s="9">
        <f>IFERROR(SUMIF(ENTRADAS!A:A,A907,ENTRADAS!C:C))</f>
        <v>0</v>
      </c>
      <c r="D907" s="10">
        <f>SUMIF(SALIDAS!A:A,A907,SALIDAS!C:C)</f>
        <v>0</v>
      </c>
      <c r="E907" s="10">
        <f t="shared" si="1"/>
        <v>0</v>
      </c>
      <c r="F907" s="13"/>
      <c r="G907" s="13"/>
      <c r="H907" s="13"/>
    </row>
    <row r="908" ht="15.75" customHeight="1">
      <c r="A908" s="13"/>
      <c r="B908" s="13"/>
      <c r="C908" s="9">
        <f>IFERROR(SUMIF(ENTRADAS!A:A,A908,ENTRADAS!C:C))</f>
        <v>0</v>
      </c>
      <c r="D908" s="10">
        <f>SUMIF(SALIDAS!A:A,A908,SALIDAS!C:C)</f>
        <v>0</v>
      </c>
      <c r="E908" s="10">
        <f t="shared" si="1"/>
        <v>0</v>
      </c>
      <c r="F908" s="13"/>
      <c r="G908" s="13"/>
      <c r="H908" s="13"/>
    </row>
    <row r="909" ht="15.75" customHeight="1">
      <c r="A909" s="13"/>
      <c r="B909" s="13"/>
      <c r="C909" s="9">
        <f>IFERROR(SUMIF(ENTRADAS!A:A,A909,ENTRADAS!C:C))</f>
        <v>0</v>
      </c>
      <c r="D909" s="10">
        <f>SUMIF(SALIDAS!A:A,A909,SALIDAS!C:C)</f>
        <v>0</v>
      </c>
      <c r="E909" s="10">
        <f t="shared" si="1"/>
        <v>0</v>
      </c>
      <c r="F909" s="13"/>
      <c r="G909" s="13"/>
      <c r="H909" s="13"/>
    </row>
    <row r="910" ht="15.75" customHeight="1">
      <c r="A910" s="13"/>
      <c r="B910" s="13"/>
      <c r="C910" s="9">
        <f>IFERROR(SUMIF(ENTRADAS!A:A,A910,ENTRADAS!C:C))</f>
        <v>0</v>
      </c>
      <c r="D910" s="10">
        <f>SUMIF(SALIDAS!A:A,A910,SALIDAS!C:C)</f>
        <v>0</v>
      </c>
      <c r="E910" s="10">
        <f t="shared" si="1"/>
        <v>0</v>
      </c>
      <c r="F910" s="13"/>
      <c r="G910" s="13"/>
      <c r="H910" s="13"/>
    </row>
    <row r="911" ht="15.75" customHeight="1">
      <c r="A911" s="13"/>
      <c r="B911" s="13"/>
      <c r="C911" s="9">
        <f>IFERROR(SUMIF(ENTRADAS!A:A,A911,ENTRADAS!C:C))</f>
        <v>0</v>
      </c>
      <c r="D911" s="10">
        <f>SUMIF(SALIDAS!A:A,A911,SALIDAS!C:C)</f>
        <v>0</v>
      </c>
      <c r="E911" s="10">
        <f t="shared" si="1"/>
        <v>0</v>
      </c>
      <c r="F911" s="13"/>
      <c r="G911" s="13"/>
      <c r="H911" s="13"/>
    </row>
    <row r="912" ht="15.75" customHeight="1">
      <c r="A912" s="13"/>
      <c r="B912" s="13"/>
      <c r="C912" s="9">
        <f>IFERROR(SUMIF(ENTRADAS!A:A,A912,ENTRADAS!C:C))</f>
        <v>0</v>
      </c>
      <c r="D912" s="10">
        <f>SUMIF(SALIDAS!A:A,A912,SALIDAS!C:C)</f>
        <v>0</v>
      </c>
      <c r="E912" s="10">
        <f t="shared" si="1"/>
        <v>0</v>
      </c>
      <c r="F912" s="13"/>
      <c r="G912" s="13"/>
      <c r="H912" s="13"/>
    </row>
    <row r="913" ht="15.75" customHeight="1">
      <c r="A913" s="13"/>
      <c r="B913" s="13"/>
      <c r="C913" s="9">
        <f>IFERROR(SUMIF(ENTRADAS!A:A,A913,ENTRADAS!C:C))</f>
        <v>0</v>
      </c>
      <c r="D913" s="10">
        <f>SUMIF(SALIDAS!A:A,A913,SALIDAS!C:C)</f>
        <v>0</v>
      </c>
      <c r="E913" s="10">
        <f t="shared" si="1"/>
        <v>0</v>
      </c>
      <c r="F913" s="13"/>
      <c r="G913" s="13"/>
      <c r="H913" s="13"/>
    </row>
    <row r="914" ht="15.75" customHeight="1">
      <c r="A914" s="13"/>
      <c r="B914" s="13"/>
      <c r="C914" s="9">
        <f>IFERROR(SUMIF(ENTRADAS!A:A,A914,ENTRADAS!C:C))</f>
        <v>0</v>
      </c>
      <c r="D914" s="10">
        <f>SUMIF(SALIDAS!A:A,A914,SALIDAS!C:C)</f>
        <v>0</v>
      </c>
      <c r="E914" s="10">
        <f t="shared" si="1"/>
        <v>0</v>
      </c>
      <c r="F914" s="13"/>
      <c r="G914" s="13"/>
      <c r="H914" s="13"/>
    </row>
    <row r="915" ht="15.75" customHeight="1">
      <c r="A915" s="13"/>
      <c r="B915" s="13"/>
      <c r="C915" s="9">
        <f>IFERROR(SUMIF(ENTRADAS!A:A,A915,ENTRADAS!C:C))</f>
        <v>0</v>
      </c>
      <c r="D915" s="10">
        <f>SUMIF(SALIDAS!A:A,A915,SALIDAS!C:C)</f>
        <v>0</v>
      </c>
      <c r="E915" s="10">
        <f t="shared" si="1"/>
        <v>0</v>
      </c>
      <c r="F915" s="13"/>
      <c r="G915" s="13"/>
      <c r="H915" s="13"/>
    </row>
    <row r="916" ht="15.75" customHeight="1">
      <c r="A916" s="13"/>
      <c r="B916" s="13"/>
      <c r="C916" s="9">
        <f>IFERROR(SUMIF(ENTRADAS!A:A,A916,ENTRADAS!C:C))</f>
        <v>0</v>
      </c>
      <c r="D916" s="10">
        <f>SUMIF(SALIDAS!A:A,A916,SALIDAS!C:C)</f>
        <v>0</v>
      </c>
      <c r="E916" s="10">
        <f t="shared" si="1"/>
        <v>0</v>
      </c>
      <c r="F916" s="13"/>
      <c r="G916" s="13"/>
      <c r="H916" s="13"/>
    </row>
    <row r="917" ht="15.75" customHeight="1">
      <c r="A917" s="13"/>
      <c r="B917" s="13"/>
      <c r="C917" s="9">
        <f>IFERROR(SUMIF(ENTRADAS!A:A,A917,ENTRADAS!C:C))</f>
        <v>0</v>
      </c>
      <c r="D917" s="10">
        <f>SUMIF(SALIDAS!A:A,A917,SALIDAS!C:C)</f>
        <v>0</v>
      </c>
      <c r="E917" s="10">
        <f t="shared" si="1"/>
        <v>0</v>
      </c>
      <c r="F917" s="13"/>
      <c r="G917" s="13"/>
      <c r="H917" s="13"/>
    </row>
    <row r="918" ht="15.75" customHeight="1">
      <c r="A918" s="13"/>
      <c r="B918" s="13"/>
      <c r="C918" s="9">
        <f>IFERROR(SUMIF(ENTRADAS!A:A,A918,ENTRADAS!C:C))</f>
        <v>0</v>
      </c>
      <c r="D918" s="10">
        <f>SUMIF(SALIDAS!A:A,A918,SALIDAS!C:C)</f>
        <v>0</v>
      </c>
      <c r="E918" s="10">
        <f t="shared" si="1"/>
        <v>0</v>
      </c>
      <c r="F918" s="13"/>
      <c r="G918" s="13"/>
      <c r="H918" s="13"/>
    </row>
    <row r="919" ht="15.75" customHeight="1">
      <c r="A919" s="13"/>
      <c r="B919" s="13"/>
      <c r="C919" s="9">
        <f>IFERROR(SUMIF(ENTRADAS!A:A,A919,ENTRADAS!C:C))</f>
        <v>0</v>
      </c>
      <c r="D919" s="10">
        <f>SUMIF(SALIDAS!A:A,A919,SALIDAS!C:C)</f>
        <v>0</v>
      </c>
      <c r="E919" s="10">
        <f t="shared" si="1"/>
        <v>0</v>
      </c>
      <c r="F919" s="13"/>
      <c r="G919" s="13"/>
      <c r="H919" s="13"/>
    </row>
    <row r="920" ht="15.75" customHeight="1">
      <c r="A920" s="13"/>
      <c r="B920" s="13"/>
      <c r="C920" s="9">
        <f>IFERROR(SUMIF(ENTRADAS!A:A,A920,ENTRADAS!C:C))</f>
        <v>0</v>
      </c>
      <c r="D920" s="10">
        <f>SUMIF(SALIDAS!A:A,A920,SALIDAS!C:C)</f>
        <v>0</v>
      </c>
      <c r="E920" s="10">
        <f t="shared" si="1"/>
        <v>0</v>
      </c>
      <c r="F920" s="13"/>
      <c r="G920" s="13"/>
      <c r="H920" s="13"/>
    </row>
    <row r="921" ht="15.75" customHeight="1">
      <c r="A921" s="13"/>
      <c r="B921" s="13"/>
      <c r="C921" s="9">
        <f>IFERROR(SUMIF(ENTRADAS!A:A,A921,ENTRADAS!C:C))</f>
        <v>0</v>
      </c>
      <c r="D921" s="10">
        <f>SUMIF(SALIDAS!A:A,A921,SALIDAS!C:C)</f>
        <v>0</v>
      </c>
      <c r="E921" s="10">
        <f t="shared" si="1"/>
        <v>0</v>
      </c>
      <c r="F921" s="13"/>
      <c r="G921" s="13"/>
      <c r="H921" s="13"/>
    </row>
    <row r="922" ht="15.75" customHeight="1">
      <c r="A922" s="13"/>
      <c r="B922" s="13"/>
      <c r="C922" s="9">
        <f>IFERROR(SUMIF(ENTRADAS!A:A,A922,ENTRADAS!C:C))</f>
        <v>0</v>
      </c>
      <c r="D922" s="10">
        <f>SUMIF(SALIDAS!A:A,A922,SALIDAS!C:C)</f>
        <v>0</v>
      </c>
      <c r="E922" s="10">
        <f t="shared" si="1"/>
        <v>0</v>
      </c>
      <c r="F922" s="13"/>
      <c r="G922" s="13"/>
      <c r="H922" s="13"/>
    </row>
    <row r="923" ht="15.75" customHeight="1">
      <c r="A923" s="13"/>
      <c r="B923" s="13"/>
      <c r="C923" s="9">
        <f>IFERROR(SUMIF(ENTRADAS!A:A,A923,ENTRADAS!C:C))</f>
        <v>0</v>
      </c>
      <c r="D923" s="10">
        <f>SUMIF(SALIDAS!A:A,A923,SALIDAS!C:C)</f>
        <v>0</v>
      </c>
      <c r="E923" s="10">
        <f t="shared" si="1"/>
        <v>0</v>
      </c>
      <c r="F923" s="13"/>
      <c r="G923" s="13"/>
      <c r="H923" s="13"/>
    </row>
    <row r="924" ht="15.75" customHeight="1">
      <c r="A924" s="13"/>
      <c r="B924" s="13"/>
      <c r="C924" s="9">
        <f>IFERROR(SUMIF(ENTRADAS!A:A,A924,ENTRADAS!C:C))</f>
        <v>0</v>
      </c>
      <c r="D924" s="10">
        <f>SUMIF(SALIDAS!A:A,A924,SALIDAS!C:C)</f>
        <v>0</v>
      </c>
      <c r="E924" s="10">
        <f t="shared" si="1"/>
        <v>0</v>
      </c>
      <c r="F924" s="13"/>
      <c r="G924" s="13"/>
      <c r="H924" s="13"/>
    </row>
    <row r="925" ht="15.75" customHeight="1">
      <c r="A925" s="13"/>
      <c r="B925" s="13"/>
      <c r="C925" s="9">
        <f>IFERROR(SUMIF(ENTRADAS!A:A,A925,ENTRADAS!C:C))</f>
        <v>0</v>
      </c>
      <c r="D925" s="10">
        <f>SUMIF(SALIDAS!A:A,A925,SALIDAS!C:C)</f>
        <v>0</v>
      </c>
      <c r="E925" s="10">
        <f t="shared" si="1"/>
        <v>0</v>
      </c>
      <c r="F925" s="13"/>
      <c r="G925" s="13"/>
      <c r="H925" s="13"/>
    </row>
    <row r="926" ht="15.75" customHeight="1">
      <c r="A926" s="13"/>
      <c r="B926" s="13"/>
      <c r="C926" s="9">
        <f>IFERROR(SUMIF(ENTRADAS!A:A,A926,ENTRADAS!C:C))</f>
        <v>0</v>
      </c>
      <c r="D926" s="10">
        <f>SUMIF(SALIDAS!A:A,A926,SALIDAS!C:C)</f>
        <v>0</v>
      </c>
      <c r="E926" s="10">
        <f t="shared" si="1"/>
        <v>0</v>
      </c>
      <c r="F926" s="13"/>
      <c r="G926" s="13"/>
      <c r="H926" s="13"/>
    </row>
    <row r="927" ht="15.75" customHeight="1">
      <c r="A927" s="13"/>
      <c r="B927" s="13"/>
      <c r="C927" s="9">
        <f>IFERROR(SUMIF(ENTRADAS!A:A,A927,ENTRADAS!C:C))</f>
        <v>0</v>
      </c>
      <c r="D927" s="10">
        <f>SUMIF(SALIDAS!A:A,A927,SALIDAS!C:C)</f>
        <v>0</v>
      </c>
      <c r="E927" s="10">
        <f t="shared" si="1"/>
        <v>0</v>
      </c>
      <c r="F927" s="13"/>
      <c r="G927" s="13"/>
      <c r="H927" s="13"/>
    </row>
    <row r="928" ht="15.75" customHeight="1">
      <c r="A928" s="13"/>
      <c r="B928" s="13"/>
      <c r="C928" s="9">
        <f>IFERROR(SUMIF(ENTRADAS!A:A,A928,ENTRADAS!C:C))</f>
        <v>0</v>
      </c>
      <c r="D928" s="10">
        <f>SUMIF(SALIDAS!A:A,A928,SALIDAS!C:C)</f>
        <v>0</v>
      </c>
      <c r="E928" s="10">
        <f t="shared" si="1"/>
        <v>0</v>
      </c>
      <c r="F928" s="13"/>
      <c r="G928" s="13"/>
      <c r="H928" s="13"/>
    </row>
    <row r="929" ht="15.75" customHeight="1">
      <c r="A929" s="13"/>
      <c r="B929" s="13"/>
      <c r="C929" s="9">
        <f>IFERROR(SUMIF(ENTRADAS!A:A,A929,ENTRADAS!C:C))</f>
        <v>0</v>
      </c>
      <c r="D929" s="10">
        <f>SUMIF(SALIDAS!A:A,A929,SALIDAS!C:C)</f>
        <v>0</v>
      </c>
      <c r="E929" s="10">
        <f t="shared" si="1"/>
        <v>0</v>
      </c>
      <c r="F929" s="13"/>
      <c r="G929" s="13"/>
      <c r="H929" s="13"/>
    </row>
    <row r="930" ht="15.75" customHeight="1">
      <c r="A930" s="13"/>
      <c r="B930" s="13"/>
      <c r="C930" s="9">
        <f>IFERROR(SUMIF(ENTRADAS!A:A,A930,ENTRADAS!C:C))</f>
        <v>0</v>
      </c>
      <c r="D930" s="10">
        <f>SUMIF(SALIDAS!A:A,A930,SALIDAS!C:C)</f>
        <v>0</v>
      </c>
      <c r="E930" s="10">
        <f t="shared" si="1"/>
        <v>0</v>
      </c>
      <c r="F930" s="13"/>
      <c r="G930" s="13"/>
      <c r="H930" s="13"/>
    </row>
    <row r="931" ht="15.75" customHeight="1">
      <c r="A931" s="13"/>
      <c r="B931" s="13"/>
      <c r="C931" s="9">
        <f>IFERROR(SUMIF(ENTRADAS!A:A,A931,ENTRADAS!C:C))</f>
        <v>0</v>
      </c>
      <c r="D931" s="10">
        <f>SUMIF(SALIDAS!A:A,A931,SALIDAS!C:C)</f>
        <v>0</v>
      </c>
      <c r="E931" s="10">
        <f t="shared" si="1"/>
        <v>0</v>
      </c>
      <c r="F931" s="13"/>
      <c r="G931" s="13"/>
      <c r="H931" s="13"/>
    </row>
    <row r="932" ht="15.75" customHeight="1">
      <c r="A932" s="13"/>
      <c r="B932" s="13"/>
      <c r="C932" s="9">
        <f>IFERROR(SUMIF(ENTRADAS!A:A,A932,ENTRADAS!C:C))</f>
        <v>0</v>
      </c>
      <c r="D932" s="10">
        <f>SUMIF(SALIDAS!A:A,A932,SALIDAS!C:C)</f>
        <v>0</v>
      </c>
      <c r="E932" s="10">
        <f t="shared" si="1"/>
        <v>0</v>
      </c>
      <c r="F932" s="13"/>
      <c r="G932" s="13"/>
      <c r="H932" s="13"/>
    </row>
    <row r="933" ht="15.75" customHeight="1">
      <c r="A933" s="13"/>
      <c r="B933" s="13"/>
      <c r="C933" s="9">
        <f>IFERROR(SUMIF(ENTRADAS!A:A,A933,ENTRADAS!C:C))</f>
        <v>0</v>
      </c>
      <c r="D933" s="10">
        <f>SUMIF(SALIDAS!A:A,A933,SALIDAS!C:C)</f>
        <v>0</v>
      </c>
      <c r="E933" s="10">
        <f t="shared" si="1"/>
        <v>0</v>
      </c>
      <c r="F933" s="13"/>
      <c r="G933" s="13"/>
      <c r="H933" s="13"/>
    </row>
    <row r="934" ht="15.75" customHeight="1">
      <c r="A934" s="13"/>
      <c r="B934" s="13"/>
      <c r="C934" s="9">
        <f>IFERROR(SUMIF(ENTRADAS!A:A,A934,ENTRADAS!C:C))</f>
        <v>0</v>
      </c>
      <c r="D934" s="10">
        <f>SUMIF(SALIDAS!A:A,A934,SALIDAS!C:C)</f>
        <v>0</v>
      </c>
      <c r="E934" s="10">
        <f t="shared" si="1"/>
        <v>0</v>
      </c>
      <c r="F934" s="13"/>
      <c r="G934" s="13"/>
      <c r="H934" s="13"/>
    </row>
    <row r="935" ht="15.75" customHeight="1">
      <c r="A935" s="13"/>
      <c r="B935" s="13"/>
      <c r="C935" s="9">
        <f>IFERROR(SUMIF(ENTRADAS!A:A,A935,ENTRADAS!C:C))</f>
        <v>0</v>
      </c>
      <c r="D935" s="10">
        <f>SUMIF(SALIDAS!A:A,A935,SALIDAS!C:C)</f>
        <v>0</v>
      </c>
      <c r="E935" s="10">
        <f t="shared" si="1"/>
        <v>0</v>
      </c>
      <c r="F935" s="13"/>
      <c r="G935" s="13"/>
      <c r="H935" s="13"/>
    </row>
    <row r="936" ht="15.75" customHeight="1">
      <c r="A936" s="13"/>
      <c r="B936" s="13"/>
      <c r="C936" s="9">
        <f>IFERROR(SUMIF(ENTRADAS!A:A,A936,ENTRADAS!C:C))</f>
        <v>0</v>
      </c>
      <c r="D936" s="10">
        <f>SUMIF(SALIDAS!A:A,A936,SALIDAS!C:C)</f>
        <v>0</v>
      </c>
      <c r="E936" s="10">
        <f t="shared" si="1"/>
        <v>0</v>
      </c>
      <c r="F936" s="13"/>
      <c r="G936" s="13"/>
      <c r="H936" s="13"/>
    </row>
    <row r="937" ht="15.75" customHeight="1">
      <c r="A937" s="13"/>
      <c r="B937" s="13"/>
      <c r="C937" s="9">
        <f>IFERROR(SUMIF(ENTRADAS!A:A,A937,ENTRADAS!C:C))</f>
        <v>0</v>
      </c>
      <c r="D937" s="10">
        <f>SUMIF(SALIDAS!A:A,A937,SALIDAS!C:C)</f>
        <v>0</v>
      </c>
      <c r="E937" s="10">
        <f t="shared" si="1"/>
        <v>0</v>
      </c>
      <c r="F937" s="13"/>
      <c r="G937" s="13"/>
      <c r="H937" s="13"/>
    </row>
    <row r="938" ht="15.75" customHeight="1">
      <c r="A938" s="13"/>
      <c r="B938" s="13"/>
      <c r="C938" s="9">
        <f>IFERROR(SUMIF(ENTRADAS!A:A,A938,ENTRADAS!C:C))</f>
        <v>0</v>
      </c>
      <c r="D938" s="10">
        <f>SUMIF(SALIDAS!A:A,A938,SALIDAS!C:C)</f>
        <v>0</v>
      </c>
      <c r="E938" s="10">
        <f t="shared" si="1"/>
        <v>0</v>
      </c>
      <c r="F938" s="13"/>
      <c r="G938" s="13"/>
      <c r="H938" s="13"/>
    </row>
    <row r="939" ht="15.75" customHeight="1">
      <c r="A939" s="13"/>
      <c r="B939" s="13"/>
      <c r="C939" s="9">
        <f>IFERROR(SUMIF(ENTRADAS!A:A,A939,ENTRADAS!C:C))</f>
        <v>0</v>
      </c>
      <c r="D939" s="10">
        <f>SUMIF(SALIDAS!A:A,A939,SALIDAS!C:C)</f>
        <v>0</v>
      </c>
      <c r="E939" s="10">
        <f t="shared" si="1"/>
        <v>0</v>
      </c>
      <c r="F939" s="13"/>
      <c r="G939" s="13"/>
      <c r="H939" s="13"/>
    </row>
    <row r="940" ht="15.75" customHeight="1">
      <c r="A940" s="13"/>
      <c r="B940" s="13"/>
      <c r="C940" s="9">
        <f>IFERROR(SUMIF(ENTRADAS!A:A,A940,ENTRADAS!C:C))</f>
        <v>0</v>
      </c>
      <c r="D940" s="10">
        <f>SUMIF(SALIDAS!A:A,A940,SALIDAS!C:C)</f>
        <v>0</v>
      </c>
      <c r="E940" s="10">
        <f t="shared" si="1"/>
        <v>0</v>
      </c>
      <c r="F940" s="13"/>
      <c r="G940" s="13"/>
      <c r="H940" s="13"/>
    </row>
    <row r="941" ht="15.75" customHeight="1">
      <c r="A941" s="13"/>
      <c r="B941" s="13"/>
      <c r="C941" s="9">
        <f>IFERROR(SUMIF(ENTRADAS!A:A,A941,ENTRADAS!C:C))</f>
        <v>0</v>
      </c>
      <c r="D941" s="10">
        <f>SUMIF(SALIDAS!A:A,A941,SALIDAS!C:C)</f>
        <v>0</v>
      </c>
      <c r="E941" s="10">
        <f t="shared" si="1"/>
        <v>0</v>
      </c>
      <c r="F941" s="13"/>
      <c r="G941" s="13"/>
      <c r="H941" s="13"/>
    </row>
    <row r="942" ht="15.75" customHeight="1">
      <c r="A942" s="13"/>
      <c r="B942" s="13"/>
      <c r="C942" s="9">
        <f>IFERROR(SUMIF(ENTRADAS!A:A,A942,ENTRADAS!C:C))</f>
        <v>0</v>
      </c>
      <c r="D942" s="10">
        <f>SUMIF(SALIDAS!A:A,A942,SALIDAS!C:C)</f>
        <v>0</v>
      </c>
      <c r="E942" s="10">
        <f t="shared" si="1"/>
        <v>0</v>
      </c>
      <c r="F942" s="13"/>
      <c r="G942" s="13"/>
      <c r="H942" s="13"/>
    </row>
    <row r="943" ht="15.75" customHeight="1">
      <c r="A943" s="13"/>
      <c r="B943" s="13"/>
      <c r="C943" s="9">
        <f>IFERROR(SUMIF(ENTRADAS!A:A,A943,ENTRADAS!C:C))</f>
        <v>0</v>
      </c>
      <c r="D943" s="10">
        <f>SUMIF(SALIDAS!A:A,A943,SALIDAS!C:C)</f>
        <v>0</v>
      </c>
      <c r="E943" s="10">
        <f t="shared" si="1"/>
        <v>0</v>
      </c>
      <c r="F943" s="13"/>
      <c r="G943" s="13"/>
      <c r="H943" s="13"/>
    </row>
    <row r="944" ht="15.75" customHeight="1">
      <c r="A944" s="13"/>
      <c r="B944" s="13"/>
      <c r="C944" s="9">
        <f>IFERROR(SUMIF(ENTRADAS!A:A,A944,ENTRADAS!C:C))</f>
        <v>0</v>
      </c>
      <c r="D944" s="10">
        <f>SUMIF(SALIDAS!A:A,A944,SALIDAS!C:C)</f>
        <v>0</v>
      </c>
      <c r="E944" s="10">
        <f t="shared" si="1"/>
        <v>0</v>
      </c>
      <c r="F944" s="13"/>
      <c r="G944" s="13"/>
      <c r="H944" s="13"/>
    </row>
    <row r="945" ht="15.75" customHeight="1">
      <c r="A945" s="13"/>
      <c r="B945" s="13"/>
      <c r="C945" s="9">
        <f>IFERROR(SUMIF(ENTRADAS!A:A,A945,ENTRADAS!C:C))</f>
        <v>0</v>
      </c>
      <c r="D945" s="10">
        <f>SUMIF(SALIDAS!A:A,A945,SALIDAS!C:C)</f>
        <v>0</v>
      </c>
      <c r="E945" s="10">
        <f t="shared" si="1"/>
        <v>0</v>
      </c>
      <c r="F945" s="13"/>
      <c r="G945" s="13"/>
      <c r="H945" s="13"/>
    </row>
    <row r="946" ht="15.75" customHeight="1">
      <c r="A946" s="13"/>
      <c r="B946" s="13"/>
      <c r="C946" s="9">
        <f>IFERROR(SUMIF(ENTRADAS!A:A,A946,ENTRADAS!C:C))</f>
        <v>0</v>
      </c>
      <c r="D946" s="10">
        <f>SUMIF(SALIDAS!A:A,A946,SALIDAS!C:C)</f>
        <v>0</v>
      </c>
      <c r="E946" s="10">
        <f t="shared" si="1"/>
        <v>0</v>
      </c>
      <c r="F946" s="13"/>
      <c r="G946" s="13"/>
      <c r="H946" s="13"/>
    </row>
    <row r="947" ht="15.75" customHeight="1">
      <c r="A947" s="13"/>
      <c r="B947" s="13"/>
      <c r="C947" s="9">
        <f>IFERROR(SUMIF(ENTRADAS!A:A,A947,ENTRADAS!C:C))</f>
        <v>0</v>
      </c>
      <c r="D947" s="10">
        <f>SUMIF(SALIDAS!A:A,A947,SALIDAS!C:C)</f>
        <v>0</v>
      </c>
      <c r="E947" s="10">
        <f t="shared" si="1"/>
        <v>0</v>
      </c>
      <c r="F947" s="13"/>
      <c r="G947" s="13"/>
      <c r="H947" s="13"/>
    </row>
    <row r="948" ht="15.75" customHeight="1">
      <c r="A948" s="13"/>
      <c r="B948" s="13"/>
      <c r="C948" s="9">
        <f>IFERROR(SUMIF(ENTRADAS!A:A,A948,ENTRADAS!C:C))</f>
        <v>0</v>
      </c>
      <c r="D948" s="10">
        <f>SUMIF(SALIDAS!A:A,A948,SALIDAS!C:C)</f>
        <v>0</v>
      </c>
      <c r="E948" s="10">
        <f t="shared" si="1"/>
        <v>0</v>
      </c>
      <c r="F948" s="13"/>
      <c r="G948" s="13"/>
      <c r="H948" s="13"/>
    </row>
    <row r="949" ht="15.75" customHeight="1">
      <c r="A949" s="13"/>
      <c r="B949" s="13"/>
      <c r="C949" s="9">
        <f>IFERROR(SUMIF(ENTRADAS!A:A,A949,ENTRADAS!C:C))</f>
        <v>0</v>
      </c>
      <c r="D949" s="10">
        <f>SUMIF(SALIDAS!A:A,A949,SALIDAS!C:C)</f>
        <v>0</v>
      </c>
      <c r="E949" s="10">
        <f t="shared" si="1"/>
        <v>0</v>
      </c>
      <c r="F949" s="13"/>
      <c r="G949" s="13"/>
      <c r="H949" s="13"/>
    </row>
    <row r="950" ht="15.75" customHeight="1">
      <c r="A950" s="13"/>
      <c r="B950" s="13"/>
      <c r="C950" s="9">
        <f>IFERROR(SUMIF(ENTRADAS!A:A,A950,ENTRADAS!C:C))</f>
        <v>0</v>
      </c>
      <c r="D950" s="10">
        <f>SUMIF(SALIDAS!A:A,A950,SALIDAS!C:C)</f>
        <v>0</v>
      </c>
      <c r="E950" s="10">
        <f t="shared" si="1"/>
        <v>0</v>
      </c>
      <c r="F950" s="13"/>
      <c r="G950" s="13"/>
      <c r="H950" s="13"/>
    </row>
    <row r="951" ht="15.75" customHeight="1">
      <c r="A951" s="13"/>
      <c r="B951" s="13"/>
      <c r="C951" s="9">
        <f>IFERROR(SUMIF(ENTRADAS!A:A,A951,ENTRADAS!C:C))</f>
        <v>0</v>
      </c>
      <c r="D951" s="10">
        <f>SUMIF(SALIDAS!A:A,A951,SALIDAS!C:C)</f>
        <v>0</v>
      </c>
      <c r="E951" s="10">
        <f t="shared" si="1"/>
        <v>0</v>
      </c>
      <c r="F951" s="13"/>
      <c r="G951" s="13"/>
      <c r="H951" s="13"/>
    </row>
    <row r="952" ht="15.75" customHeight="1">
      <c r="A952" s="13"/>
      <c r="B952" s="13"/>
      <c r="C952" s="9">
        <f>IFERROR(SUMIF(ENTRADAS!A:A,A952,ENTRADAS!C:C))</f>
        <v>0</v>
      </c>
      <c r="D952" s="10">
        <f>SUMIF(SALIDAS!A:A,A952,SALIDAS!C:C)</f>
        <v>0</v>
      </c>
      <c r="E952" s="10">
        <f t="shared" si="1"/>
        <v>0</v>
      </c>
      <c r="F952" s="13"/>
      <c r="G952" s="13"/>
      <c r="H952" s="13"/>
    </row>
    <row r="953" ht="15.75" customHeight="1">
      <c r="A953" s="13"/>
      <c r="B953" s="13"/>
      <c r="C953" s="9">
        <f>IFERROR(SUMIF(ENTRADAS!A:A,A953,ENTRADAS!C:C))</f>
        <v>0</v>
      </c>
      <c r="D953" s="10">
        <f>SUMIF(SALIDAS!A:A,A953,SALIDAS!C:C)</f>
        <v>0</v>
      </c>
      <c r="E953" s="10">
        <f t="shared" si="1"/>
        <v>0</v>
      </c>
      <c r="F953" s="13"/>
      <c r="G953" s="13"/>
      <c r="H953" s="13"/>
    </row>
    <row r="954" ht="15.75" customHeight="1">
      <c r="A954" s="13"/>
      <c r="B954" s="13"/>
      <c r="C954" s="9">
        <f>IFERROR(SUMIF(ENTRADAS!A:A,A954,ENTRADAS!C:C))</f>
        <v>0</v>
      </c>
      <c r="D954" s="10">
        <f>SUMIF(SALIDAS!A:A,A954,SALIDAS!C:C)</f>
        <v>0</v>
      </c>
      <c r="E954" s="10">
        <f t="shared" si="1"/>
        <v>0</v>
      </c>
      <c r="F954" s="13"/>
      <c r="G954" s="13"/>
      <c r="H954" s="13"/>
    </row>
    <row r="955" ht="15.75" customHeight="1">
      <c r="A955" s="13"/>
      <c r="B955" s="13"/>
      <c r="C955" s="9">
        <f>IFERROR(SUMIF(ENTRADAS!A:A,A955,ENTRADAS!C:C))</f>
        <v>0</v>
      </c>
      <c r="D955" s="10">
        <f>SUMIF(SALIDAS!A:A,A955,SALIDAS!C:C)</f>
        <v>0</v>
      </c>
      <c r="E955" s="10">
        <f t="shared" si="1"/>
        <v>0</v>
      </c>
      <c r="F955" s="13"/>
      <c r="G955" s="13"/>
      <c r="H955" s="13"/>
    </row>
    <row r="956" ht="15.75" customHeight="1">
      <c r="A956" s="13"/>
      <c r="B956" s="13"/>
      <c r="C956" s="9">
        <f>IFERROR(SUMIF(ENTRADAS!A:A,A956,ENTRADAS!C:C))</f>
        <v>0</v>
      </c>
      <c r="D956" s="10">
        <f>SUMIF(SALIDAS!A:A,A956,SALIDAS!C:C)</f>
        <v>0</v>
      </c>
      <c r="E956" s="10">
        <f t="shared" si="1"/>
        <v>0</v>
      </c>
      <c r="F956" s="13"/>
      <c r="G956" s="13"/>
      <c r="H956" s="13"/>
    </row>
    <row r="957" ht="15.75" customHeight="1">
      <c r="A957" s="13"/>
      <c r="B957" s="13"/>
      <c r="C957" s="9">
        <f>IFERROR(SUMIF(ENTRADAS!A:A,A957,ENTRADAS!C:C))</f>
        <v>0</v>
      </c>
      <c r="D957" s="10">
        <f>SUMIF(SALIDAS!A:A,A957,SALIDAS!C:C)</f>
        <v>0</v>
      </c>
      <c r="E957" s="10">
        <f t="shared" si="1"/>
        <v>0</v>
      </c>
      <c r="F957" s="13"/>
      <c r="G957" s="13"/>
      <c r="H957" s="13"/>
    </row>
    <row r="958" ht="15.75" customHeight="1">
      <c r="A958" s="13"/>
      <c r="B958" s="13"/>
      <c r="C958" s="9">
        <f>IFERROR(SUMIF(ENTRADAS!A:A,A958,ENTRADAS!C:C))</f>
        <v>0</v>
      </c>
      <c r="D958" s="10">
        <f>SUMIF(SALIDAS!A:A,A958,SALIDAS!C:C)</f>
        <v>0</v>
      </c>
      <c r="E958" s="10">
        <f t="shared" si="1"/>
        <v>0</v>
      </c>
      <c r="F958" s="13"/>
      <c r="G958" s="13"/>
      <c r="H958" s="13"/>
    </row>
    <row r="959" ht="15.75" customHeight="1">
      <c r="A959" s="13"/>
      <c r="B959" s="13"/>
      <c r="C959" s="9">
        <f>IFERROR(SUMIF(ENTRADAS!A:A,A959,ENTRADAS!C:C))</f>
        <v>0</v>
      </c>
      <c r="D959" s="10">
        <f>SUMIF(SALIDAS!A:A,A959,SALIDAS!C:C)</f>
        <v>0</v>
      </c>
      <c r="E959" s="10">
        <f t="shared" si="1"/>
        <v>0</v>
      </c>
      <c r="F959" s="13"/>
      <c r="G959" s="13"/>
      <c r="H959" s="13"/>
    </row>
    <row r="960" ht="15.75" customHeight="1">
      <c r="A960" s="13"/>
      <c r="B960" s="13"/>
      <c r="C960" s="9">
        <f>IFERROR(SUMIF(ENTRADAS!A:A,A960,ENTRADAS!C:C))</f>
        <v>0</v>
      </c>
      <c r="D960" s="10">
        <f>SUMIF(SALIDAS!A:A,A960,SALIDAS!C:C)</f>
        <v>0</v>
      </c>
      <c r="E960" s="10">
        <f t="shared" si="1"/>
        <v>0</v>
      </c>
      <c r="F960" s="13"/>
      <c r="G960" s="13"/>
      <c r="H960" s="13"/>
    </row>
    <row r="961" ht="15.75" customHeight="1">
      <c r="A961" s="13"/>
      <c r="B961" s="13"/>
      <c r="C961" s="9">
        <f>IFERROR(SUMIF(ENTRADAS!A:A,A961,ENTRADAS!C:C))</f>
        <v>0</v>
      </c>
      <c r="D961" s="10">
        <f>SUMIF(SALIDAS!A:A,A961,SALIDAS!C:C)</f>
        <v>0</v>
      </c>
      <c r="E961" s="10">
        <f t="shared" si="1"/>
        <v>0</v>
      </c>
      <c r="F961" s="13"/>
      <c r="G961" s="13"/>
      <c r="H961" s="13"/>
    </row>
    <row r="962" ht="15.75" customHeight="1">
      <c r="A962" s="13"/>
      <c r="B962" s="13"/>
      <c r="C962" s="9">
        <f>IFERROR(SUMIF(ENTRADAS!A:A,A962,ENTRADAS!C:C))</f>
        <v>0</v>
      </c>
      <c r="D962" s="10">
        <f>SUMIF(SALIDAS!A:A,A962,SALIDAS!C:C)</f>
        <v>0</v>
      </c>
      <c r="E962" s="10">
        <f t="shared" si="1"/>
        <v>0</v>
      </c>
      <c r="F962" s="13"/>
      <c r="G962" s="13"/>
      <c r="H962" s="13"/>
    </row>
    <row r="963" ht="15.75" customHeight="1">
      <c r="A963" s="13"/>
      <c r="B963" s="13"/>
      <c r="C963" s="9">
        <f>IFERROR(SUMIF(ENTRADAS!A:A,A963,ENTRADAS!C:C))</f>
        <v>0</v>
      </c>
      <c r="D963" s="10">
        <f>SUMIF(SALIDAS!A:A,A963,SALIDAS!C:C)</f>
        <v>0</v>
      </c>
      <c r="E963" s="10">
        <f t="shared" si="1"/>
        <v>0</v>
      </c>
      <c r="F963" s="13"/>
      <c r="G963" s="13"/>
      <c r="H963" s="13"/>
    </row>
    <row r="964" ht="15.75" customHeight="1">
      <c r="A964" s="13"/>
      <c r="B964" s="13"/>
      <c r="C964" s="9">
        <f>IFERROR(SUMIF(ENTRADAS!A:A,A964,ENTRADAS!C:C))</f>
        <v>0</v>
      </c>
      <c r="D964" s="10">
        <f>SUMIF(SALIDAS!A:A,A964,SALIDAS!C:C)</f>
        <v>0</v>
      </c>
      <c r="E964" s="10">
        <f t="shared" si="1"/>
        <v>0</v>
      </c>
      <c r="F964" s="13"/>
      <c r="G964" s="13"/>
      <c r="H964" s="13"/>
    </row>
    <row r="965" ht="15.75" customHeight="1">
      <c r="A965" s="13"/>
      <c r="B965" s="13"/>
      <c r="C965" s="9">
        <f>IFERROR(SUMIF(ENTRADAS!A:A,A965,ENTRADAS!C:C))</f>
        <v>0</v>
      </c>
      <c r="D965" s="10">
        <f>SUMIF(SALIDAS!A:A,A965,SALIDAS!C:C)</f>
        <v>0</v>
      </c>
      <c r="E965" s="10">
        <f t="shared" si="1"/>
        <v>0</v>
      </c>
      <c r="F965" s="13"/>
      <c r="G965" s="13"/>
      <c r="H965" s="13"/>
    </row>
    <row r="966" ht="15.75" customHeight="1">
      <c r="A966" s="13"/>
      <c r="B966" s="13"/>
      <c r="C966" s="9">
        <f>IFERROR(SUMIF(ENTRADAS!A:A,A966,ENTRADAS!C:C))</f>
        <v>0</v>
      </c>
      <c r="D966" s="10">
        <f>SUMIF(SALIDAS!A:A,A966,SALIDAS!C:C)</f>
        <v>0</v>
      </c>
      <c r="E966" s="10">
        <f t="shared" si="1"/>
        <v>0</v>
      </c>
      <c r="F966" s="13"/>
      <c r="G966" s="13"/>
      <c r="H966" s="13"/>
    </row>
    <row r="967" ht="15.75" customHeight="1">
      <c r="A967" s="13"/>
      <c r="B967" s="13"/>
      <c r="C967" s="9">
        <f>IFERROR(SUMIF(ENTRADAS!A:A,A967,ENTRADAS!C:C))</f>
        <v>0</v>
      </c>
      <c r="D967" s="10">
        <f>SUMIF(SALIDAS!A:A,A967,SALIDAS!C:C)</f>
        <v>0</v>
      </c>
      <c r="E967" s="10">
        <f t="shared" si="1"/>
        <v>0</v>
      </c>
      <c r="F967" s="13"/>
      <c r="G967" s="13"/>
      <c r="H967" s="13"/>
    </row>
    <row r="968" ht="15.75" customHeight="1">
      <c r="A968" s="13"/>
      <c r="B968" s="13"/>
      <c r="C968" s="9">
        <f>IFERROR(SUMIF(ENTRADAS!A:A,A968,ENTRADAS!C:C))</f>
        <v>0</v>
      </c>
      <c r="D968" s="10">
        <f>SUMIF(SALIDAS!A:A,A968,SALIDAS!C:C)</f>
        <v>0</v>
      </c>
      <c r="E968" s="10">
        <f t="shared" si="1"/>
        <v>0</v>
      </c>
      <c r="F968" s="13"/>
      <c r="G968" s="13"/>
      <c r="H968" s="13"/>
    </row>
    <row r="969" ht="15.75" customHeight="1">
      <c r="A969" s="13"/>
      <c r="B969" s="13"/>
      <c r="C969" s="9">
        <f>IFERROR(SUMIF(ENTRADAS!A:A,A969,ENTRADAS!C:C))</f>
        <v>0</v>
      </c>
      <c r="D969" s="10">
        <f>SUMIF(SALIDAS!A:A,A969,SALIDAS!C:C)</f>
        <v>0</v>
      </c>
      <c r="E969" s="10">
        <f t="shared" si="1"/>
        <v>0</v>
      </c>
      <c r="F969" s="13"/>
      <c r="G969" s="13"/>
      <c r="H969" s="13"/>
    </row>
    <row r="970" ht="15.75" customHeight="1">
      <c r="A970" s="13"/>
      <c r="B970" s="13"/>
      <c r="C970" s="9">
        <f>IFERROR(SUMIF(ENTRADAS!A:A,A970,ENTRADAS!C:C))</f>
        <v>0</v>
      </c>
      <c r="D970" s="10">
        <f>SUMIF(SALIDAS!A:A,A970,SALIDAS!C:C)</f>
        <v>0</v>
      </c>
      <c r="E970" s="10">
        <f t="shared" si="1"/>
        <v>0</v>
      </c>
      <c r="F970" s="13"/>
      <c r="G970" s="13"/>
      <c r="H970" s="13"/>
    </row>
    <row r="971" ht="15.75" customHeight="1">
      <c r="A971" s="13"/>
      <c r="B971" s="13"/>
      <c r="C971" s="9">
        <f>IFERROR(SUMIF(ENTRADAS!A:A,A971,ENTRADAS!C:C))</f>
        <v>0</v>
      </c>
      <c r="D971" s="10">
        <f>SUMIF(SALIDAS!A:A,A971,SALIDAS!C:C)</f>
        <v>0</v>
      </c>
      <c r="E971" s="10">
        <f t="shared" si="1"/>
        <v>0</v>
      </c>
      <c r="F971" s="13"/>
      <c r="G971" s="13"/>
      <c r="H971" s="13"/>
    </row>
    <row r="972" ht="15.75" customHeight="1">
      <c r="A972" s="13"/>
      <c r="B972" s="13"/>
      <c r="C972" s="9">
        <f>IFERROR(SUMIF(ENTRADAS!A:A,A972,ENTRADAS!C:C))</f>
        <v>0</v>
      </c>
      <c r="D972" s="10">
        <f>SUMIF(SALIDAS!A:A,A972,SALIDAS!C:C)</f>
        <v>0</v>
      </c>
      <c r="E972" s="10">
        <f t="shared" si="1"/>
        <v>0</v>
      </c>
      <c r="F972" s="13"/>
      <c r="G972" s="13"/>
      <c r="H972" s="13"/>
    </row>
    <row r="973" ht="15.75" customHeight="1">
      <c r="A973" s="13"/>
      <c r="B973" s="13"/>
      <c r="C973" s="9">
        <f>IFERROR(SUMIF(ENTRADAS!A:A,A973,ENTRADAS!C:C))</f>
        <v>0</v>
      </c>
      <c r="D973" s="10">
        <f>SUMIF(SALIDAS!A:A,A973,SALIDAS!C:C)</f>
        <v>0</v>
      </c>
      <c r="E973" s="10">
        <f t="shared" si="1"/>
        <v>0</v>
      </c>
      <c r="F973" s="13"/>
      <c r="G973" s="13"/>
      <c r="H973" s="13"/>
    </row>
    <row r="974" ht="15.75" customHeight="1">
      <c r="A974" s="13"/>
      <c r="B974" s="13"/>
      <c r="C974" s="9">
        <f>IFERROR(SUMIF(ENTRADAS!A:A,A974,ENTRADAS!C:C))</f>
        <v>0</v>
      </c>
      <c r="D974" s="10">
        <f>SUMIF(SALIDAS!A:A,A974,SALIDAS!C:C)</f>
        <v>0</v>
      </c>
      <c r="E974" s="10">
        <f t="shared" si="1"/>
        <v>0</v>
      </c>
      <c r="F974" s="13"/>
      <c r="G974" s="13"/>
      <c r="H974" s="13"/>
    </row>
    <row r="975" ht="15.75" customHeight="1">
      <c r="A975" s="13"/>
      <c r="B975" s="13"/>
      <c r="C975" s="9">
        <f>IFERROR(SUMIF(ENTRADAS!A:A,A975,ENTRADAS!C:C))</f>
        <v>0</v>
      </c>
      <c r="D975" s="10">
        <f>SUMIF(SALIDAS!A:A,A975,SALIDAS!C:C)</f>
        <v>0</v>
      </c>
      <c r="E975" s="10">
        <f t="shared" si="1"/>
        <v>0</v>
      </c>
      <c r="F975" s="13"/>
      <c r="G975" s="13"/>
      <c r="H975" s="13"/>
    </row>
    <row r="976" ht="15.75" customHeight="1">
      <c r="A976" s="13"/>
      <c r="B976" s="13"/>
      <c r="C976" s="9">
        <f>IFERROR(SUMIF(ENTRADAS!A:A,A976,ENTRADAS!C:C))</f>
        <v>0</v>
      </c>
      <c r="D976" s="10">
        <f>SUMIF(SALIDAS!A:A,A976,SALIDAS!C:C)</f>
        <v>0</v>
      </c>
      <c r="E976" s="10">
        <f t="shared" si="1"/>
        <v>0</v>
      </c>
      <c r="F976" s="13"/>
      <c r="G976" s="13"/>
      <c r="H976" s="13"/>
    </row>
    <row r="977" ht="15.75" customHeight="1">
      <c r="A977" s="13"/>
      <c r="B977" s="13"/>
      <c r="C977" s="9">
        <f>IFERROR(SUMIF(ENTRADAS!A:A,A977,ENTRADAS!C:C))</f>
        <v>0</v>
      </c>
      <c r="D977" s="10">
        <f>SUMIF(SALIDAS!A:A,A977,SALIDAS!C:C)</f>
        <v>0</v>
      </c>
      <c r="E977" s="10">
        <f t="shared" si="1"/>
        <v>0</v>
      </c>
      <c r="F977" s="13"/>
      <c r="G977" s="13"/>
      <c r="H977" s="13"/>
    </row>
    <row r="978" ht="15.75" customHeight="1">
      <c r="A978" s="13"/>
      <c r="B978" s="13"/>
      <c r="C978" s="9">
        <f>IFERROR(SUMIF(ENTRADAS!A:A,A978,ENTRADAS!C:C))</f>
        <v>0</v>
      </c>
      <c r="D978" s="10">
        <f>SUMIF(SALIDAS!A:A,A978,SALIDAS!C:C)</f>
        <v>0</v>
      </c>
      <c r="E978" s="10">
        <f t="shared" si="1"/>
        <v>0</v>
      </c>
      <c r="F978" s="13"/>
      <c r="G978" s="13"/>
      <c r="H978" s="13"/>
    </row>
    <row r="979" ht="15.75" customHeight="1">
      <c r="A979" s="13"/>
      <c r="B979" s="13"/>
      <c r="C979" s="9">
        <f>IFERROR(SUMIF(ENTRADAS!A:A,A979,ENTRADAS!C:C))</f>
        <v>0</v>
      </c>
      <c r="D979" s="10">
        <f>SUMIF(SALIDAS!A:A,A979,SALIDAS!C:C)</f>
        <v>0</v>
      </c>
      <c r="E979" s="10">
        <f t="shared" si="1"/>
        <v>0</v>
      </c>
      <c r="F979" s="13"/>
      <c r="G979" s="13"/>
      <c r="H979" s="13"/>
    </row>
    <row r="980" ht="15.75" customHeight="1">
      <c r="A980" s="13"/>
      <c r="B980" s="13"/>
      <c r="C980" s="9">
        <f>IFERROR(SUMIF(ENTRADAS!A:A,A980,ENTRADAS!C:C))</f>
        <v>0</v>
      </c>
      <c r="D980" s="10">
        <f>SUMIF(SALIDAS!A:A,A980,SALIDAS!C:C)</f>
        <v>0</v>
      </c>
      <c r="E980" s="10">
        <f t="shared" si="1"/>
        <v>0</v>
      </c>
      <c r="F980" s="13"/>
      <c r="G980" s="13"/>
      <c r="H980" s="13"/>
    </row>
    <row r="981" ht="15.75" customHeight="1">
      <c r="A981" s="13"/>
      <c r="B981" s="13"/>
      <c r="C981" s="9">
        <f>IFERROR(SUMIF(ENTRADAS!A:A,A981,ENTRADAS!C:C))</f>
        <v>0</v>
      </c>
      <c r="D981" s="10">
        <f>SUMIF(SALIDAS!A:A,A981,SALIDAS!C:C)</f>
        <v>0</v>
      </c>
      <c r="E981" s="10">
        <f t="shared" si="1"/>
        <v>0</v>
      </c>
      <c r="F981" s="13"/>
      <c r="G981" s="13"/>
      <c r="H981" s="13"/>
    </row>
    <row r="982" ht="15.75" customHeight="1">
      <c r="A982" s="13"/>
      <c r="B982" s="13"/>
      <c r="C982" s="9">
        <f>IFERROR(SUMIF(ENTRADAS!A:A,A982,ENTRADAS!C:C))</f>
        <v>0</v>
      </c>
      <c r="D982" s="10">
        <f>SUMIF(SALIDAS!A:A,A982,SALIDAS!C:C)</f>
        <v>0</v>
      </c>
      <c r="E982" s="10">
        <f t="shared" si="1"/>
        <v>0</v>
      </c>
      <c r="F982" s="13"/>
      <c r="G982" s="13"/>
      <c r="H982" s="13"/>
    </row>
    <row r="983" ht="15.75" customHeight="1">
      <c r="A983" s="13"/>
      <c r="B983" s="13"/>
      <c r="C983" s="9">
        <f>IFERROR(SUMIF(ENTRADAS!A:A,A983,ENTRADAS!C:C))</f>
        <v>0</v>
      </c>
      <c r="D983" s="10">
        <f>SUMIF(SALIDAS!A:A,A983,SALIDAS!C:C)</f>
        <v>0</v>
      </c>
      <c r="E983" s="10">
        <f t="shared" si="1"/>
        <v>0</v>
      </c>
      <c r="F983" s="13"/>
      <c r="G983" s="13"/>
      <c r="H983" s="13"/>
    </row>
    <row r="984" ht="15.75" customHeight="1">
      <c r="A984" s="13"/>
      <c r="B984" s="13"/>
      <c r="C984" s="9">
        <f>IFERROR(SUMIF(ENTRADAS!A:A,A984,ENTRADAS!C:C))</f>
        <v>0</v>
      </c>
      <c r="D984" s="10">
        <f>SUMIF(SALIDAS!A:A,A984,SALIDAS!C:C)</f>
        <v>0</v>
      </c>
      <c r="E984" s="10">
        <f t="shared" si="1"/>
        <v>0</v>
      </c>
      <c r="F984" s="13"/>
      <c r="G984" s="13"/>
      <c r="H984" s="13"/>
    </row>
    <row r="985" ht="15.75" customHeight="1">
      <c r="A985" s="13"/>
      <c r="B985" s="13"/>
      <c r="C985" s="9">
        <f>IFERROR(SUMIF(ENTRADAS!A:A,A985,ENTRADAS!C:C))</f>
        <v>0</v>
      </c>
      <c r="D985" s="10">
        <f>SUMIF(SALIDAS!A:A,A985,SALIDAS!C:C)</f>
        <v>0</v>
      </c>
      <c r="E985" s="10">
        <f t="shared" si="1"/>
        <v>0</v>
      </c>
      <c r="F985" s="13"/>
      <c r="G985" s="13"/>
      <c r="H985" s="13"/>
    </row>
    <row r="986" ht="15.75" customHeight="1">
      <c r="A986" s="13"/>
      <c r="B986" s="13"/>
      <c r="C986" s="9">
        <f>IFERROR(SUMIF(ENTRADAS!A:A,A986,ENTRADAS!C:C))</f>
        <v>0</v>
      </c>
      <c r="D986" s="10">
        <f>SUMIF(SALIDAS!A:A,A986,SALIDAS!C:C)</f>
        <v>0</v>
      </c>
      <c r="E986" s="10">
        <f t="shared" si="1"/>
        <v>0</v>
      </c>
      <c r="F986" s="13"/>
      <c r="G986" s="13"/>
      <c r="H986" s="13"/>
    </row>
    <row r="987" ht="15.75" customHeight="1">
      <c r="A987" s="13"/>
      <c r="B987" s="13"/>
      <c r="C987" s="9">
        <f>IFERROR(SUMIF(ENTRADAS!A:A,A987,ENTRADAS!C:C))</f>
        <v>0</v>
      </c>
      <c r="D987" s="10">
        <f>SUMIF(SALIDAS!A:A,A987,SALIDAS!C:C)</f>
        <v>0</v>
      </c>
      <c r="E987" s="10">
        <f t="shared" si="1"/>
        <v>0</v>
      </c>
      <c r="F987" s="13"/>
      <c r="G987" s="13"/>
      <c r="H987" s="13"/>
    </row>
    <row r="988" ht="15.75" customHeight="1">
      <c r="A988" s="13"/>
      <c r="B988" s="13"/>
      <c r="C988" s="9">
        <f>IFERROR(SUMIF(ENTRADAS!A:A,A988,ENTRADAS!C:C))</f>
        <v>0</v>
      </c>
      <c r="D988" s="10">
        <f>SUMIF(SALIDAS!A:A,A988,SALIDAS!C:C)</f>
        <v>0</v>
      </c>
      <c r="E988" s="10">
        <f t="shared" si="1"/>
        <v>0</v>
      </c>
      <c r="F988" s="13"/>
      <c r="G988" s="13"/>
      <c r="H988" s="13"/>
    </row>
    <row r="989" ht="15.75" customHeight="1">
      <c r="A989" s="13"/>
      <c r="B989" s="13"/>
      <c r="C989" s="9">
        <f>IFERROR(SUMIF(ENTRADAS!A:A,A989,ENTRADAS!C:C))</f>
        <v>0</v>
      </c>
      <c r="D989" s="10">
        <f>SUMIF(SALIDAS!A:A,A989,SALIDAS!C:C)</f>
        <v>0</v>
      </c>
      <c r="E989" s="10">
        <f t="shared" si="1"/>
        <v>0</v>
      </c>
      <c r="F989" s="13"/>
      <c r="G989" s="13"/>
      <c r="H989" s="13"/>
    </row>
    <row r="990" ht="15.75" customHeight="1">
      <c r="A990" s="13"/>
      <c r="B990" s="13"/>
      <c r="C990" s="9">
        <f>IFERROR(SUMIF(ENTRADAS!A:A,A990,ENTRADAS!C:C))</f>
        <v>0</v>
      </c>
      <c r="D990" s="10">
        <f>SUMIF(SALIDAS!A:A,A990,SALIDAS!C:C)</f>
        <v>0</v>
      </c>
      <c r="E990" s="10">
        <f t="shared" si="1"/>
        <v>0</v>
      </c>
      <c r="F990" s="13"/>
      <c r="G990" s="13"/>
      <c r="H990" s="13"/>
    </row>
    <row r="991" ht="15.75" customHeight="1">
      <c r="A991" s="13"/>
      <c r="B991" s="13"/>
      <c r="C991" s="9">
        <f>IFERROR(SUMIF(ENTRADAS!A:A,A991,ENTRADAS!C:C))</f>
        <v>0</v>
      </c>
      <c r="D991" s="10">
        <f>SUMIF(SALIDAS!A:A,A991,SALIDAS!C:C)</f>
        <v>0</v>
      </c>
      <c r="E991" s="10">
        <f t="shared" si="1"/>
        <v>0</v>
      </c>
      <c r="F991" s="13"/>
      <c r="G991" s="13"/>
      <c r="H991" s="13"/>
    </row>
    <row r="992" ht="15.75" customHeight="1">
      <c r="A992" s="13"/>
      <c r="B992" s="13"/>
      <c r="C992" s="9">
        <f>IFERROR(SUMIF(ENTRADAS!A:A,A992,ENTRADAS!C:C))</f>
        <v>0</v>
      </c>
      <c r="D992" s="10">
        <f>SUMIF(SALIDAS!A:A,A992,SALIDAS!C:C)</f>
        <v>0</v>
      </c>
      <c r="E992" s="10">
        <f t="shared" si="1"/>
        <v>0</v>
      </c>
      <c r="F992" s="13"/>
      <c r="G992" s="13"/>
      <c r="H992" s="13"/>
    </row>
    <row r="993" ht="15.75" customHeight="1">
      <c r="A993" s="13"/>
      <c r="B993" s="13"/>
      <c r="C993" s="9">
        <f>IFERROR(SUMIF(ENTRADAS!A:A,A993,ENTRADAS!C:C))</f>
        <v>0</v>
      </c>
      <c r="D993" s="10">
        <f>SUMIF(SALIDAS!A:A,A993,SALIDAS!C:C)</f>
        <v>0</v>
      </c>
      <c r="E993" s="10">
        <f t="shared" si="1"/>
        <v>0</v>
      </c>
      <c r="F993" s="13"/>
      <c r="G993" s="13"/>
      <c r="H993" s="13"/>
    </row>
    <row r="994" ht="15.75" customHeight="1">
      <c r="A994" s="13"/>
      <c r="B994" s="13"/>
      <c r="C994" s="9">
        <f>IFERROR(SUMIF(ENTRADAS!A:A,A994,ENTRADAS!C:C))</f>
        <v>0</v>
      </c>
      <c r="D994" s="10">
        <f>SUMIF(SALIDAS!A:A,A994,SALIDAS!C:C)</f>
        <v>0</v>
      </c>
      <c r="E994" s="10">
        <f t="shared" si="1"/>
        <v>0</v>
      </c>
      <c r="F994" s="13"/>
      <c r="G994" s="13"/>
      <c r="H994" s="13"/>
    </row>
    <row r="995" ht="15.75" customHeight="1">
      <c r="A995" s="13"/>
      <c r="B995" s="13"/>
      <c r="C995" s="9">
        <f>IFERROR(SUMIF(ENTRADAS!A:A,A995,ENTRADAS!C:C))</f>
        <v>0</v>
      </c>
      <c r="D995" s="10">
        <f>SUMIF(SALIDAS!A:A,A995,SALIDAS!C:C)</f>
        <v>0</v>
      </c>
      <c r="E995" s="10">
        <f t="shared" si="1"/>
        <v>0</v>
      </c>
      <c r="F995" s="13"/>
      <c r="G995" s="13"/>
      <c r="H995" s="13"/>
    </row>
    <row r="996" ht="15.75" customHeight="1">
      <c r="A996" s="13"/>
      <c r="B996" s="13"/>
      <c r="C996" s="9">
        <f>IFERROR(SUMIF(ENTRADAS!A:A,A996,ENTRADAS!C:C))</f>
        <v>0</v>
      </c>
      <c r="D996" s="10">
        <f>SUMIF(SALIDAS!A:A,A996,SALIDAS!C:C)</f>
        <v>0</v>
      </c>
      <c r="E996" s="10">
        <f t="shared" si="1"/>
        <v>0</v>
      </c>
      <c r="F996" s="13"/>
      <c r="G996" s="13"/>
      <c r="H996" s="13"/>
    </row>
    <row r="997" ht="15.75" customHeight="1">
      <c r="A997" s="13"/>
      <c r="B997" s="13"/>
      <c r="C997" s="9">
        <f>IFERROR(SUMIF(ENTRADAS!A:A,A997,ENTRADAS!C:C))</f>
        <v>0</v>
      </c>
      <c r="D997" s="10">
        <f>SUMIF(SALIDAS!A:A,A997,SALIDAS!C:C)</f>
        <v>0</v>
      </c>
      <c r="E997" s="10">
        <f t="shared" si="1"/>
        <v>0</v>
      </c>
      <c r="F997" s="13"/>
      <c r="G997" s="13"/>
      <c r="H997" s="13"/>
    </row>
    <row r="998" ht="15.75" customHeight="1">
      <c r="A998" s="13"/>
      <c r="B998" s="13"/>
      <c r="C998" s="9">
        <f>IFERROR(SUMIF(ENTRADAS!A:A,A998,ENTRADAS!C:C))</f>
        <v>0</v>
      </c>
      <c r="D998" s="10">
        <f>SUMIF(SALIDAS!A:A,A998,SALIDAS!C:C)</f>
        <v>0</v>
      </c>
      <c r="E998" s="10">
        <f t="shared" si="1"/>
        <v>0</v>
      </c>
      <c r="F998" s="13"/>
      <c r="G998" s="13"/>
      <c r="H998" s="13"/>
    </row>
    <row r="999" ht="15.75" customHeight="1">
      <c r="A999" s="13"/>
      <c r="B999" s="13"/>
      <c r="C999" s="9">
        <f>IFERROR(SUMIF(ENTRADAS!A:A,A999,ENTRADAS!C:C))</f>
        <v>0</v>
      </c>
      <c r="D999" s="10">
        <f>SUMIF(SALIDAS!A:A,A999,SALIDAS!C:C)</f>
        <v>0</v>
      </c>
      <c r="E999" s="10">
        <f t="shared" si="1"/>
        <v>0</v>
      </c>
      <c r="F999" s="13"/>
      <c r="G999" s="13"/>
      <c r="H999" s="13"/>
    </row>
    <row r="1000" ht="15.75" customHeight="1">
      <c r="A1000" s="13"/>
      <c r="B1000" s="13"/>
      <c r="C1000" s="9">
        <f>IFERROR(SUMIF(ENTRADAS!A:A,A1000,ENTRADAS!C:C))</f>
        <v>0</v>
      </c>
      <c r="D1000" s="10">
        <f>SUMIF(SALIDAS!A:A,A1000,SALIDAS!C:C)</f>
        <v>0</v>
      </c>
      <c r="E1000" s="10">
        <f t="shared" si="1"/>
        <v>0</v>
      </c>
      <c r="F1000" s="13"/>
      <c r="G1000" s="13"/>
      <c r="H1000" s="13"/>
    </row>
    <row r="1001" ht="15.75" customHeight="1">
      <c r="A1001" s="13"/>
      <c r="B1001" s="13"/>
      <c r="C1001" s="9">
        <f>IFERROR(SUMIF(ENTRADAS!A:A,A1001,ENTRADAS!C:C))</f>
        <v>0</v>
      </c>
      <c r="D1001" s="10">
        <f>SUMIF(SALIDAS!A:A,A1001,SALIDAS!C:C)</f>
        <v>0</v>
      </c>
      <c r="E1001" s="10">
        <f t="shared" si="1"/>
        <v>0</v>
      </c>
      <c r="F1001" s="13"/>
      <c r="G1001" s="13"/>
      <c r="H1001" s="13"/>
    </row>
  </sheetData>
  <mergeCells count="4">
    <mergeCell ref="B1:G2"/>
    <mergeCell ref="A3:A4"/>
    <mergeCell ref="B3:B4"/>
    <mergeCell ref="C3:E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2021-05-10T20:52:27Z</dcterms:created>
  <dc:creator>Francisco Teran P</dc:creator>
</cp:coreProperties>
</file>