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S ENERO 2026 " sheetId="1" r:id="rId4"/>
    <sheet state="visible" name="CONSUMOS FEBRERO 2026 " sheetId="2" r:id="rId5"/>
    <sheet state="visible" name="CONSUMOS MARZO 2026 " sheetId="3" r:id="rId6"/>
    <sheet state="visible" name="CONSUMOS ABRIL 2026" sheetId="4" r:id="rId7"/>
    <sheet state="visible" name="CONSUMOS MAYO 2026" sheetId="5" r:id="rId8"/>
    <sheet state="visible" name="CONSUMOS JUNIO 2026" sheetId="6" r:id="rId9"/>
    <sheet state="visible" name="CONSUMOS JULIO 2026" sheetId="7" r:id="rId10"/>
    <sheet state="visible" name="CONSUMOS AGOSTO 2026" sheetId="8" r:id="rId11"/>
    <sheet state="visible" name="CONSUMOS SEPTIEMBRE 2026" sheetId="9" r:id="rId12"/>
    <sheet state="visible" name="CONSUMOS OCTUBRE 2026" sheetId="10" r:id="rId13"/>
    <sheet state="visible" name="CONSUMOS NOVIEMBRE 2026" sheetId="11" r:id="rId14"/>
    <sheet state="visible" name="CONSUMOS DICIEMBRE 2026" sheetId="12" r:id="rId15"/>
  </sheets>
  <definedNames/>
  <calcPr/>
  <extLst>
    <ext uri="GoogleSheetsCustomDataVersion2">
      <go:sheetsCustomData xmlns:go="http://customooxmlschemas.google.com/" r:id="rId16" roundtripDataChecksum="2T4/jmrcWrAVO6QOI88J4xmGl1LDqPSqLzmo2dEIeyk="/>
    </ext>
  </extLst>
</workbook>
</file>

<file path=xl/sharedStrings.xml><?xml version="1.0" encoding="utf-8"?>
<sst xmlns="http://schemas.openxmlformats.org/spreadsheetml/2006/main" count="3277" uniqueCount="1155">
  <si>
    <t>MONTOS INDIVIDUALES DE CONSUMOS</t>
  </si>
  <si>
    <t>MES:</t>
  </si>
  <si>
    <t>ABRIL</t>
  </si>
  <si>
    <t>MARZO</t>
  </si>
  <si>
    <t>FEBRERO</t>
  </si>
  <si>
    <t>AÑO:</t>
  </si>
  <si>
    <t>ENERO</t>
  </si>
  <si>
    <t>RESPONSABLES</t>
  </si>
  <si>
    <t>TOTAL INDIVIDUAL</t>
  </si>
  <si>
    <t>TOTAL PERÍODO</t>
  </si>
  <si>
    <t>POLLO $</t>
  </si>
  <si>
    <t>CONTROL DE CONSUMOS MENSUAL - TC GALICIA</t>
  </si>
  <si>
    <t>POLLO USD</t>
  </si>
  <si>
    <t>ANDRE PERSONAL</t>
  </si>
  <si>
    <t>ANDRE EMPRESA</t>
  </si>
  <si>
    <t>VECKY PERSONAL</t>
  </si>
  <si>
    <t>VECKY EMPRESA</t>
  </si>
  <si>
    <t>MARIO</t>
  </si>
  <si>
    <t>JAZ</t>
  </si>
  <si>
    <t>MAYRA</t>
  </si>
  <si>
    <t>FLOR</t>
  </si>
  <si>
    <t>RESPONSABLE</t>
  </si>
  <si>
    <t>FECHA</t>
  </si>
  <si>
    <t>MONTO $</t>
  </si>
  <si>
    <t>MONTO USD</t>
  </si>
  <si>
    <t>DETALLE</t>
  </si>
  <si>
    <t>OBSERVACIONES</t>
  </si>
  <si>
    <t>EMPRESA</t>
  </si>
  <si>
    <t>POLLO</t>
  </si>
  <si>
    <t>K MERPAGO*RENTASCORDOBA</t>
  </si>
  <si>
    <t>NO HABILITADO PARA CONDUCIR EL CARRO (ENZO) EN LA PFG 964 (NO SE DESCONTO)</t>
  </si>
  <si>
    <t>NO LLEVAR EL CINTURON (ENZO) EN LA  KEX 251 (SE DESCONTO)</t>
  </si>
  <si>
    <t>APPYPF 12149 TIENDA</t>
  </si>
  <si>
    <t>Shell Autopista</t>
  </si>
  <si>
    <t>APPYPF 31177 TIENDA</t>
  </si>
  <si>
    <t>K MERPAGO*APPYPFCOMB</t>
  </si>
  <si>
    <t>K MERPAGO*PASAJESCDP</t>
  </si>
  <si>
    <t>PASAJE JOSE LUIS PEREZ - SAN JUAN A CÓRDOBA</t>
  </si>
  <si>
    <t>K DLO*PEDIDOSYA RICCIONE</t>
  </si>
  <si>
    <t>K MERPAGO*2SSRL</t>
  </si>
  <si>
    <t>YPF OPESSA CORDOBA</t>
  </si>
  <si>
    <t>K MERPAGO*SHELLBOX</t>
  </si>
  <si>
    <t>K DLO*PEDIDOSYA PROPINA</t>
  </si>
  <si>
    <t>SANCOR COOP SE0000008137525-060-000</t>
  </si>
  <si>
    <t>AP PERSONAL ANDRE</t>
  </si>
  <si>
    <t>CORREDORES VIALE 000000271412602</t>
  </si>
  <si>
    <t>YPF 12149 TIENDA</t>
  </si>
  <si>
    <t>PASAJE FRANCO SILVA - LA RIOJA A CÓRDOBA</t>
  </si>
  <si>
    <t>ACA V.C.PAZ COMB</t>
  </si>
  <si>
    <t>APPYPF 30773 TIENDA</t>
  </si>
  <si>
    <t>PASAJE GUILLE VASQUEZ - VILLA MERCEDES A CÓRDOBA</t>
  </si>
  <si>
    <t>APPLE.COM BILL 10028360 USD 9,99</t>
  </si>
  <si>
    <t>K PAYU*AR*UBER</t>
  </si>
  <si>
    <t>ALMACENAMIENTO MEMORIA APPLE - IPHONE POLLO</t>
  </si>
  <si>
    <t>CANCELACIÓN UBER POLO A CASA EXTRANJEROS</t>
  </si>
  <si>
    <t>APPYPF 30773 COMBUST</t>
  </si>
  <si>
    <t>K MERPAGO*APPYPFTIENDA</t>
  </si>
  <si>
    <t>K AUTOPISTAS URBAN 000000004711329</t>
  </si>
  <si>
    <t>APPYPF 02102 TIENDA</t>
  </si>
  <si>
    <t>YPF LEONES</t>
  </si>
  <si>
    <t>ESTACION DE SERVICIO S</t>
  </si>
  <si>
    <t>AUBASA 803071617506101</t>
  </si>
  <si>
    <t>K FARMACITY</t>
  </si>
  <si>
    <t>APPYPF 02933 COMBUST</t>
  </si>
  <si>
    <t>K DLO*PEDIDOSYA BLACKROL</t>
  </si>
  <si>
    <t>PASAJE JESUS FLORES - SALTA A CÓRDOBA</t>
  </si>
  <si>
    <t>K DLO*PEDIDOSYA RUKA LAS</t>
  </si>
  <si>
    <t>SANCOR COOP SE0000030814776-310-000</t>
  </si>
  <si>
    <t>ROYAL ENFIELD 350 METEOR FIREBALL RED/YELLOW - PATENTE A193NED</t>
  </si>
  <si>
    <t>PASAJE MAURICIO HARTTMANN - CÓRDOBA A LA RIOJA</t>
  </si>
  <si>
    <t>HOTEL SAN ISIDRO ALTO S.R</t>
  </si>
  <si>
    <t>PASAJE LUIS, AXEL Y EVER - SAN JUAN A CÓRDOBA</t>
  </si>
  <si>
    <t>K AUTOPISTAS DEL S 803071617506101</t>
  </si>
  <si>
    <t>FOURMAX SRL</t>
  </si>
  <si>
    <t>K MERPAGO*JAVIERCOLLINO</t>
  </si>
  <si>
    <t>COMPRA VARILLA DE ACEITE PARA VOLVO</t>
  </si>
  <si>
    <t>NO LLEVAR LUCES PRENDIDAS (TIMAS - FOFIS) EN LA KJR 926 (SE DESCONTO)</t>
  </si>
  <si>
    <t>Market San Isidro (Av D C</t>
  </si>
  <si>
    <t>SEGURIDAD ELECTR 000000000002056</t>
  </si>
  <si>
    <t>RP - CENTRAL DE ALARMA</t>
  </si>
  <si>
    <t>K TELEPEAJE PLUS 000000310305247</t>
  </si>
  <si>
    <t>K GOOGLE *Google O P1hFkH43 USD 1,99</t>
  </si>
  <si>
    <t>ALMACENAMIENTO MEMORIA - GMAIL POLLO</t>
  </si>
  <si>
    <t>MOTIN Y FUEGOS</t>
  </si>
  <si>
    <t>UBER EXTRANJEROS - TERMINAL A POLO</t>
  </si>
  <si>
    <t>UBER EXTRANJEROS DE LA CASA EXTRANJEROS A POLO</t>
  </si>
  <si>
    <t>K DLO*PEDIDOSYA CHIA GOO</t>
  </si>
  <si>
    <t>K CORREDORES VIALE 000000310318644</t>
  </si>
  <si>
    <t>LA FAROLA DE S ISIDRO</t>
  </si>
  <si>
    <t>K CORREDORES VIALE 000000310305247</t>
  </si>
  <si>
    <t>K CORREDORES VIALE 000000291893407</t>
  </si>
  <si>
    <t>APPYPF 03263 TIENDA</t>
  </si>
  <si>
    <t>K CORREDORES VIALE 000000292004313</t>
  </si>
  <si>
    <t>K DLO*PEDIDOSYA BARILATT</t>
  </si>
  <si>
    <t>UBER EXTRANJEROS - TERMINAL A KEMPES</t>
  </si>
  <si>
    <t>WWW.FLYBONDI.COM</t>
  </si>
  <si>
    <t>MERPAGO*GREENBIALET</t>
  </si>
  <si>
    <t>EXPERTA SEGURO0000027783610-004-000</t>
  </si>
  <si>
    <t>SEGURO RANGER HLW156</t>
  </si>
  <si>
    <t>EXPERTA SEGURO0000027809502-004-000</t>
  </si>
  <si>
    <t>APPLE.COM/BILL MSD404H6ZUSD 9,99</t>
  </si>
  <si>
    <t>UBER EZEQUIEL DE CASA EXTRANJEROS A CLINICA</t>
  </si>
  <si>
    <t>SEGURO RANGER IHX980</t>
  </si>
  <si>
    <t>SEGUROS BERNAR0660228236108-002-000</t>
  </si>
  <si>
    <t>INI*PUNTO ROCK</t>
  </si>
  <si>
    <t>UBER EXTRANJEROS - CASA EXTRANJEROS A POLO</t>
  </si>
  <si>
    <t>SEGURO TRAILER HLW156</t>
  </si>
  <si>
    <t>SEGUROS BERNAR0660228236308-002-000</t>
  </si>
  <si>
    <t>SEGURO CAMIÓN WNO918</t>
  </si>
  <si>
    <t>SEGUROS BERNAR0660228236008-002-000</t>
  </si>
  <si>
    <t>SEGURO TRAILER IHX980</t>
  </si>
  <si>
    <t>SEGUROS BERNAR0660226398010-002-000</t>
  </si>
  <si>
    <t>SEGURO TRAILER WNO918</t>
  </si>
  <si>
    <t>APPYPF 02933 TIENDA</t>
  </si>
  <si>
    <t>SEGUROS BERNAR0660237528601-002-000</t>
  </si>
  <si>
    <t>SEGURO TRAILER KJR926</t>
  </si>
  <si>
    <t>K DLO*PEDIDOSYA CHE SUSH</t>
  </si>
  <si>
    <t>K Starlink</t>
  </si>
  <si>
    <t>VUELO LORENA HERRERA CÓRDOBA A BARILOCHE A CÓRDOBA</t>
  </si>
  <si>
    <t>STARLINK DOS57</t>
  </si>
  <si>
    <t>SC COMBUSTIBLES</t>
  </si>
  <si>
    <t>K CVSA ACCESOS 908030716175061</t>
  </si>
  <si>
    <t>K CORREDORES VIALE 000000300975001</t>
  </si>
  <si>
    <t>K TELEPEAJE PLUS 000000287652595</t>
  </si>
  <si>
    <t>K CORREDORES VIALE 000000300970359</t>
  </si>
  <si>
    <t>CORREDORES VIALE 000000287652595</t>
  </si>
  <si>
    <t>K Google One A50826048USD 2,99</t>
  </si>
  <si>
    <t>APPLE.COM/BILL MSD3X2WTVUSD 9,99</t>
  </si>
  <si>
    <t>K MERPAGO*BEVILACQUAGRISELD</t>
  </si>
  <si>
    <t>APPLE.COM/BILL MSD3T3WMTUSD 9,99</t>
  </si>
  <si>
    <t>PAGO PLANIMETRÍAS PARA BARILOCHE (MXGP) + TOUR DE FRANCE</t>
  </si>
  <si>
    <t>MERPAGO*KIOSCO365</t>
  </si>
  <si>
    <t>NO LLEVAR LUCES PRENDIDAS (NICOLAS ESCUDERO - FOFIS) EN LA KJR 926 (SE DESCONTO)</t>
  </si>
  <si>
    <t>WWW.BUENOSAIRES.GOB.AR/IN</t>
  </si>
  <si>
    <t>Shell Martínez</t>
  </si>
  <si>
    <t>EXPERTA SEGURO0000029362317-004-000</t>
  </si>
  <si>
    <t>FLOTA DOS57</t>
  </si>
  <si>
    <t>UBER ALMUERZO - HAKA A POLO</t>
  </si>
  <si>
    <t>K Google One A91188023USD 1,99</t>
  </si>
  <si>
    <t>K MERPAGO*MATEZZ</t>
  </si>
  <si>
    <t>6 CINTAS METRICAS DE 100MTS3</t>
  </si>
  <si>
    <t>K DLO*STARLINK</t>
  </si>
  <si>
    <t xml:space="preserve">UBER ENVIO PLANOS - IMPRENTA A KEMPES </t>
  </si>
  <si>
    <t>MERPAGO*PASAJESCDP</t>
  </si>
  <si>
    <t>PASAJE 3 PAX CROSTY'S -  SAN JUAN A CÓRDOBA</t>
  </si>
  <si>
    <t>ALTA DE STARLINK (FLOR)</t>
  </si>
  <si>
    <t>K MERPAGO*DIMALACK</t>
  </si>
  <si>
    <t>SOGA DE ALTURA (2 X 50MTS)</t>
  </si>
  <si>
    <t>UBER TRASLADO VECK DE HOTEL A AEROPUERTO (BARILOCHE)</t>
  </si>
  <si>
    <t>K MERPAGO*MERCADOLIBRE</t>
  </si>
  <si>
    <t>4 CONSERVADORAS + 3 TERMOLARES PARA PAÑOL</t>
  </si>
  <si>
    <t>MERPAGO*POSITANOCHATE</t>
  </si>
  <si>
    <t>BLOSSOM SAN ISIDRO</t>
  </si>
  <si>
    <t>MERPAGO*YPFDELLAGO</t>
  </si>
  <si>
    <t>CIRCULAR POR CARRIL PROHIBIDO (CARLOS RODRIGUEZ-HERMANO DE MANOLO/HKQ 258)</t>
  </si>
  <si>
    <t>COBRO SUR 69</t>
  </si>
  <si>
    <t>K POCHITA E HIJOS-POCHITA</t>
  </si>
  <si>
    <t>FLYBONDI</t>
  </si>
  <si>
    <t>CIRCULAR POR CARRIL PROHIBIDO (GERARDO MACHADO/AG 958 JV)</t>
  </si>
  <si>
    <t>CHECK IN (SELECCIÓN DE ASIENTO) POLLO BS AS A BARILOCHE</t>
  </si>
  <si>
    <t>TACATACA*MUNICIPALIDAD DE</t>
  </si>
  <si>
    <t>GOOGLE *Google One USD 2,99</t>
  </si>
  <si>
    <t>OBSTRUCCIÓN DE BOCACALLE (LVX 455)</t>
  </si>
  <si>
    <t>SUBTOTAL GASTOS</t>
  </si>
  <si>
    <t>UBER EXTRANJEROS - CASA EXTRANJEROS A KEMPES</t>
  </si>
  <si>
    <t>K AUTOPISTAS URBAN 000000005459412</t>
  </si>
  <si>
    <t>K AUTOPISTAS DEL S 803071617506102</t>
  </si>
  <si>
    <t xml:space="preserve">UBER ENVIO STICKERS OFICINA - IMPRENTA A KEMPES </t>
  </si>
  <si>
    <t>K Google One A42248513USD 2,99</t>
  </si>
  <si>
    <t>PATETA SA-EL CLUB DE LA</t>
  </si>
  <si>
    <t>K CF MOTO CORDOBA</t>
  </si>
  <si>
    <t>SERVICE MOTO CF 700</t>
  </si>
  <si>
    <t>ANDRE</t>
  </si>
  <si>
    <t>UBER PERSONAL - POLO A KEMPES</t>
  </si>
  <si>
    <t>K LA FAROLA DE S ISIDRO</t>
  </si>
  <si>
    <t>YPF SANTA BARBARA SA</t>
  </si>
  <si>
    <t>UBER JONAS - KEMPES A CASA JONA</t>
  </si>
  <si>
    <t>AF JEANS CS 02/03</t>
  </si>
  <si>
    <t>MOCHILA P/ COMPU-ANDREA 2/3</t>
  </si>
  <si>
    <t>PERSONAL</t>
  </si>
  <si>
    <t>VETERINARIA LA SERRA 02/03</t>
  </si>
  <si>
    <t>VETERINARIA 2/3</t>
  </si>
  <si>
    <t>MERPAGO*OPEN25HS</t>
  </si>
  <si>
    <t>K HAVANNA CORDOBA SHOPPING</t>
  </si>
  <si>
    <t>SUPERMERCADO SUPER SRL 02/03</t>
  </si>
  <si>
    <t>ALMACOR ANDREA 2/3</t>
  </si>
  <si>
    <t>CHIMI DELI-CHIMI DELI</t>
  </si>
  <si>
    <t>YPF -COMB.ANDREA</t>
  </si>
  <si>
    <t>APPYPF 31230 TIENDA</t>
  </si>
  <si>
    <t>K DLO*PEDIDOSYA FOREST D</t>
  </si>
  <si>
    <t>SUPERMERCADO SUPER SRL</t>
  </si>
  <si>
    <t>ALMACOR POLO</t>
  </si>
  <si>
    <t>DOS57</t>
  </si>
  <si>
    <t xml:space="preserve">ALMACOR ANDREA  </t>
  </si>
  <si>
    <t>CHECK IN (SELECCIÓN DE ASIENTO) POLLO BARILOCHE A CORDOBA</t>
  </si>
  <si>
    <t>VETERINARIA LA SERRANI 01/03</t>
  </si>
  <si>
    <t>VETERINARIA 1/3</t>
  </si>
  <si>
    <t>BLEND PATAGONIA-BLEND PA</t>
  </si>
  <si>
    <t>CERCOS CORDOBA 01/03</t>
  </si>
  <si>
    <t>CERCOS-CBA-(AUTORIZO. POLLO)1/3</t>
  </si>
  <si>
    <t>K DLO*PEDIDOSYA PIZZA PA</t>
  </si>
  <si>
    <t>K YPF OPESSA CORDOBA 3</t>
  </si>
  <si>
    <t>SHELL AUTOPISTA</t>
  </si>
  <si>
    <t>ALMACOR</t>
  </si>
  <si>
    <t>ALMACOR ANDREA</t>
  </si>
  <si>
    <t>SELL-COMB.ANDREA</t>
  </si>
  <si>
    <t>APPYPF 01913 TIENDA</t>
  </si>
  <si>
    <t>ALMACOR ANDREA/POLO</t>
  </si>
  <si>
    <t>SEGUROS BERNAR0660228236109-002-000</t>
  </si>
  <si>
    <t>PERSONAL Y DOS57</t>
  </si>
  <si>
    <t>CAMINOS DE LAS S 000000001775865</t>
  </si>
  <si>
    <t>K PEDIDOSYA*LA FAROLA DE</t>
  </si>
  <si>
    <t>SEGUROS BERNAR0660226398011-002-000</t>
  </si>
  <si>
    <t xml:space="preserve">CAMINO DE LAS SIERRAS </t>
  </si>
  <si>
    <t>TACATACA*RENTAS CORDOBA</t>
  </si>
  <si>
    <t>K PEDIDOSYA*SHAWARMASTER</t>
  </si>
  <si>
    <t>SEGUROS BERNAR0660237528602-002-000</t>
  </si>
  <si>
    <t>MERPAGO*CLOCLO</t>
  </si>
  <si>
    <t>MILTON, EXCESO DE VELOCIDAD (AA 183 PK) (SE DESCONTO)</t>
  </si>
  <si>
    <t>SEGUROS BERNAR0660228236309-002-000</t>
  </si>
  <si>
    <t>ALMACEN-CLOCO</t>
  </si>
  <si>
    <t>WEISS</t>
  </si>
  <si>
    <t>GOOGLE *Google One USD 0,89</t>
  </si>
  <si>
    <t>GOOGLE ONE ANDREA-0,89 U$ FEBRERO</t>
  </si>
  <si>
    <t>K PEDIDOSYA*THE EMBERS SA</t>
  </si>
  <si>
    <t>K BRCH GRILL SA</t>
  </si>
  <si>
    <t>SHELL ANDREA</t>
  </si>
  <si>
    <t>SEGUROS BERNAR0660228236311-002-000</t>
  </si>
  <si>
    <t>SEGUROS BERNAR0660237528603-002-000</t>
  </si>
  <si>
    <t>FARMACITY</t>
  </si>
  <si>
    <t>CABLES USB 20W/100W- SOLICITA-POLLO</t>
  </si>
  <si>
    <t>SEGUROS BERNAR0660242024401-002-000</t>
  </si>
  <si>
    <t>SEGUROS BERNAR0660228236110-002-000</t>
  </si>
  <si>
    <t>SEGUROS BERNAR0660237528604-002-000</t>
  </si>
  <si>
    <t>EXPERTA SEGURO0000029362317-004-002</t>
  </si>
  <si>
    <t>MERPAGO*REPTOSPORTELA</t>
  </si>
  <si>
    <t>SEGUROS BERNAR0660228236310-002-000</t>
  </si>
  <si>
    <t>REPUESTO AUTO (AUT. POLLO) 1/3</t>
  </si>
  <si>
    <t>SEGUROS BERNAR0660228236111-002-000</t>
  </si>
  <si>
    <t>SEGUROS BERNAR0660226398012-002-000</t>
  </si>
  <si>
    <t>K CAMINOS DE LAS S 000000003109087</t>
  </si>
  <si>
    <t>K YPF LUCAM SA</t>
  </si>
  <si>
    <t>APPYPF 03247 COMBUST</t>
  </si>
  <si>
    <t>APPLE.COM/BILL MSD419B12USD 6,99</t>
  </si>
  <si>
    <t>K PEDIDOSYA*CERRO53</t>
  </si>
  <si>
    <t>ALMACENAMIENTO IPHONE POLLO</t>
  </si>
  <si>
    <t>K MERPAGO*BATTIS</t>
  </si>
  <si>
    <t>AEREO POLLO - BARILOCHE A CÓRDOBA</t>
  </si>
  <si>
    <t>K MERPAGO*CARDAMOMOPANADERI</t>
  </si>
  <si>
    <t>TEJANO 03/03</t>
  </si>
  <si>
    <t>GASTO PERSONAL</t>
  </si>
  <si>
    <t>K MERPAGO*TEMUCOFERRETERIAI</t>
  </si>
  <si>
    <t>MAXI CBA J B JUSTO 03/03</t>
  </si>
  <si>
    <t>MAS VISION 02/06</t>
  </si>
  <si>
    <t>SANCOR COOP SE0000030364378-020-000</t>
  </si>
  <si>
    <t>SEGURO AUTOELEVADOR 3</t>
  </si>
  <si>
    <t>MERPAGO*SANTABARBARAS</t>
  </si>
  <si>
    <t>COMBUSTIBLE DOS57</t>
  </si>
  <si>
    <t>K TELEPEAJE PLUS 000000296496050</t>
  </si>
  <si>
    <t>COMISION RENO.ANUAL(12M)</t>
  </si>
  <si>
    <t>GASTO ANUAL TARJETA</t>
  </si>
  <si>
    <t>K Google One A58498856USD 1,99</t>
  </si>
  <si>
    <t>FARMACIA SAN NICOLAS</t>
  </si>
  <si>
    <t>K YPF 12149 TIENDA</t>
  </si>
  <si>
    <t>K TELEPEAJE PLUS 000000305508568</t>
  </si>
  <si>
    <t>K CORREDORES VIALE 000000296496050</t>
  </si>
  <si>
    <t>K CORREDORES VIALE 000000296519600</t>
  </si>
  <si>
    <t>PAGO DE SERVICIO MENSUAL</t>
  </si>
  <si>
    <t>K SHELL TROPEZON</t>
  </si>
  <si>
    <t>K CORREDORES VIALE 000000305508568</t>
  </si>
  <si>
    <t>K CORREDORES VIALE 000000305512889</t>
  </si>
  <si>
    <t>K Google One A35976266USD 1,99</t>
  </si>
  <si>
    <t>K YPF SANTA BARBARA SA</t>
  </si>
  <si>
    <t>K DLO*PEDIDOSYA NATIVO S</t>
  </si>
  <si>
    <t>K MERPAGO*BUSESLEP</t>
  </si>
  <si>
    <t>K ALCANO SRL YPF</t>
  </si>
  <si>
    <t>K MERPAGO*NONOPANCHO</t>
  </si>
  <si>
    <t>APPYPF 02356 TIENDA</t>
  </si>
  <si>
    <t>K MERPAGO*POSITANOCHATE</t>
  </si>
  <si>
    <t>DISCO SM 709</t>
  </si>
  <si>
    <t>COMPRA SUPER PARA EVENTO BUM BUM</t>
  </si>
  <si>
    <t xml:space="preserve">SANCOR COOP SE0000008137525-060-000 </t>
  </si>
  <si>
    <t>EASY CORDOBA CARCANO</t>
  </si>
  <si>
    <t>COMPRA HERRAMIENTAS PARA EVENTO BUM BUM</t>
  </si>
  <si>
    <t>PIRELUX</t>
  </si>
  <si>
    <t>COMPRA EN PIRELUX PARA PAÑOL / OFICINA</t>
  </si>
  <si>
    <t>K MERPAGO*SEBASTIANFRANCISC</t>
  </si>
  <si>
    <t>K CAMINO PQUE B AY 908030716175061</t>
  </si>
  <si>
    <t>PASAJE GUILLE VASQUEZ - CÓRDOBA A VILLA MERCEDES</t>
  </si>
  <si>
    <t>PASAJE JONAS MOYANO - CÓRDOBA A SAN LUIS</t>
  </si>
  <si>
    <t>MERPAGO*CENTRODEELEARNING</t>
  </si>
  <si>
    <t>PASAJE MUT Y HARTTMANN - CÓRDOBA A LA RIOJA</t>
  </si>
  <si>
    <t>PASAJE 4 PAX MORA'S - CÓRDOBA A SAN JUAN</t>
  </si>
  <si>
    <t>PASAJE YOSET GUTIERREZ - CORDOBA A SAN JUAN</t>
  </si>
  <si>
    <t>PASAJE FRANCO SILVA - CÓRDOBA A LA RIOJA</t>
  </si>
  <si>
    <t>K LOS QUIMBALETES GNC</t>
  </si>
  <si>
    <t>DAVID, EXCESO DE VELOCIDAD RIO IV (KEX 251)</t>
  </si>
  <si>
    <t>PASAJE PEPO Y CHOLI - CÓRDOBA A SAN JUAN</t>
  </si>
  <si>
    <t>LIBERTAD SA</t>
  </si>
  <si>
    <t>COMPRA SUPER OFICINA ADMINISTRACION</t>
  </si>
  <si>
    <t>FAUSTO, NO ESTA HABILITADO PARA CONDUCIR EL CARRO (KJR 926) (NO SE DESCONTO)</t>
  </si>
  <si>
    <t>FAUSTO, EXCESO DE VELOCIDAD RIO IV (LVX 455)</t>
  </si>
  <si>
    <t>AEREO VECK SALERNO - CÓRDOBA A BARILOCHE A CÓRDOBA</t>
  </si>
  <si>
    <t>UBER CENA HAKA A KEMPES</t>
  </si>
  <si>
    <t>GUILLE, NO LLEVA CARTEL DE MAXIMA VELOCIDAD COLOCADO (AF 728 AT) (SE DESCONTO)</t>
  </si>
  <si>
    <t>PASAJE CHOLI - SAN JUAN A CÓRDOBA</t>
  </si>
  <si>
    <t>PASAJE PEPO - SAN JUAN A CÓRDOBA</t>
  </si>
  <si>
    <t>PASAJE NICO LEOPOLDINO - BS AS A CÓRDOBA</t>
  </si>
  <si>
    <t>K Google One A16572131USD 1,99</t>
  </si>
  <si>
    <t>PASAJE JONAS MOYANO - SAN LUIS A CÓRDOBA</t>
  </si>
  <si>
    <t>PASAJE MUT, HARTTMANN Y SILVA - LA RIOJA A CÓRDOBA</t>
  </si>
  <si>
    <t>PASAJE 3 PAX MORA'S - SAN JUAN A CÓRDOBA</t>
  </si>
  <si>
    <t>K MERPAGO*GENESIOHOGAR</t>
  </si>
  <si>
    <t>COMPRA 2 AIRES ACONDICIONADOS PARA CASA EXTRANJEROS</t>
  </si>
  <si>
    <t>UBER TRASLADO PLANOS A HOTEL NEPER PARA VECK (TOUR DE FRANCE)</t>
  </si>
  <si>
    <t>UBER ALMUERZO HAKA A KEMPES</t>
  </si>
  <si>
    <t>K MERPAGO*LACUEVADELSOL</t>
  </si>
  <si>
    <t>ACRILICO REPUESTO PARA MASCARA DE SOLDAR (HERRERIA)</t>
  </si>
  <si>
    <t>K YPF URCA</t>
  </si>
  <si>
    <t>UBER TRASLADO PLANOS A CASA VECK (MXGP)</t>
  </si>
  <si>
    <t>K Google One A35826189USD 9,99</t>
  </si>
  <si>
    <t>PAGO MEET PARA REUNIONES VIRTUALES (CAPACIDAD DE EXTENSIÓN HORARIA Y GRABACIÓN DE LLAMADA)</t>
  </si>
  <si>
    <t>COMPRA SUPER PARA OFICINA POLLO</t>
  </si>
  <si>
    <t>PASAJE RODRIGO GUZMAN (GRILLO) - CORDOBA A BS AS</t>
  </si>
  <si>
    <t>AF JEANS CS 03/03</t>
  </si>
  <si>
    <t>MOCHILA P/ COMPU-ANDREA 3/3</t>
  </si>
  <si>
    <t>VETERINARIA LA SERRA 03/03</t>
  </si>
  <si>
    <t>VETERINARIA 3/3</t>
  </si>
  <si>
    <t>K MERPAGO*LUISALBERTOLEDESM</t>
  </si>
  <si>
    <t>TRANSFERENCIA DE COMBUSTIBLE</t>
  </si>
  <si>
    <t>SUPERMERCADO SUPER SRL 03/03</t>
  </si>
  <si>
    <t>ALMACOR ANDREA 3/3</t>
  </si>
  <si>
    <t>UBER ALMUERZO HAKA A POLO</t>
  </si>
  <si>
    <t>CERCOS CORDOBA 02/03</t>
  </si>
  <si>
    <t>CERCOS-CBA-(AUTORIZO. POLLO)2/3</t>
  </si>
  <si>
    <t>VECKY</t>
  </si>
  <si>
    <t>MERPAGO*REPTOSPORTELA 03/03</t>
  </si>
  <si>
    <t>REPUESTO AUTO (AUT. POLLO) 3/3</t>
  </si>
  <si>
    <t>SHELL TROPEZON</t>
  </si>
  <si>
    <t>K MERPAGO*YPF</t>
  </si>
  <si>
    <t>FERRETERIA ARGENTINA 03/03</t>
  </si>
  <si>
    <t>FERRETERIA ARGENTINA 3/3</t>
  </si>
  <si>
    <t>SHELL - COMBUSTIBLE-ANDREA</t>
  </si>
  <si>
    <t>NARANJA GOLD 02/03</t>
  </si>
  <si>
    <t>MERPAGO*TADICOR</t>
  </si>
  <si>
    <t>CARRION -ANDREA 2/3</t>
  </si>
  <si>
    <t>APPYPF 31177 COMBUSTIB</t>
  </si>
  <si>
    <t>COMPRA TADICOR(MATI)</t>
  </si>
  <si>
    <t>POSITANO RESTOBAR</t>
  </si>
  <si>
    <t>POSITANO REUN CON MARIO</t>
  </si>
  <si>
    <t>K MERPAGO*GERARDOANTONIOMAC</t>
  </si>
  <si>
    <t>SHELL-COMB.ANDREA</t>
  </si>
  <si>
    <t xml:space="preserve">REUNON CON CHINO </t>
  </si>
  <si>
    <t>FERRETERIA ARGENTINA 01/03</t>
  </si>
  <si>
    <t>FERRETERIA ARGENTINA 1/3</t>
  </si>
  <si>
    <t>MERPAGO*ELBOLLITOSAS</t>
  </si>
  <si>
    <t>ALMUERZO</t>
  </si>
  <si>
    <t>MERPAGO*SANTABARBARASA</t>
  </si>
  <si>
    <t>SANTA BARBARA-CTA CTE</t>
  </si>
  <si>
    <t>ALMACOR-ANDREA</t>
  </si>
  <si>
    <t>MARIO, NO LLEVAR LAS LUCES PRENDIDAS (LVX 455)</t>
  </si>
  <si>
    <t>K MERPAGO*MACSTATION</t>
  </si>
  <si>
    <t>CABLE CARGADOR POLLO( MERCADO LIBRE SANTI)</t>
  </si>
  <si>
    <t>MERPAGO*PANADERIADELPILAR</t>
  </si>
  <si>
    <t>TRABAJO ANTES DE POLO</t>
  </si>
  <si>
    <t>SHELL -COMB.ANDREA</t>
  </si>
  <si>
    <t>EASY</t>
  </si>
  <si>
    <t>SHELL -TRAMITE SEPELIO-ALEJANDRO</t>
  </si>
  <si>
    <t>ALMUERZO CENA KEMPE</t>
  </si>
  <si>
    <t>K MERPAGO*SANTABARBARASA</t>
  </si>
  <si>
    <t>PAGOS360*EPEC</t>
  </si>
  <si>
    <t>EPEC</t>
  </si>
  <si>
    <t>K CAMINOS DE LAS S 000000001775865</t>
  </si>
  <si>
    <t>PEAJE CAMINO DE LA SIERRA-ENERO</t>
  </si>
  <si>
    <t>ESTACION RECTA</t>
  </si>
  <si>
    <t>COMBUSTIBLE CHATA ENJOY ($150.000)</t>
  </si>
  <si>
    <t>YPF DEL LAGO</t>
  </si>
  <si>
    <t>YPF- COMBUSTIBLE-ANDREA</t>
  </si>
  <si>
    <t xml:space="preserve">ALMACEN CLOCO
</t>
  </si>
  <si>
    <t>REUNION CHINO POSITANO ($ 38.000)</t>
  </si>
  <si>
    <t>MERPAGO*LEPROJECT</t>
  </si>
  <si>
    <t>GOOGLE *Google O P1iFk1tY USD 0,89</t>
  </si>
  <si>
    <t>GOOGLE O-MARZO- U$ 0,89</t>
  </si>
  <si>
    <t>PAÑOL EASY</t>
  </si>
  <si>
    <t>YPF- COMB.ANDREA</t>
  </si>
  <si>
    <t>PLA-KA S.A. 01/03</t>
  </si>
  <si>
    <t>BATERIA P/ AUTO (AUT. POLLO)1/3</t>
  </si>
  <si>
    <t>REUNION CON POLLO</t>
  </si>
  <si>
    <t>K MERPAGO*EVERADRIANCORTEZ</t>
  </si>
  <si>
    <t>EVER CORTES-VIATICOS X 4 PAX</t>
  </si>
  <si>
    <t>MICHI COFFEE</t>
  </si>
  <si>
    <t>EPEC-ANDREA</t>
  </si>
  <si>
    <t>YPF - CAMIONETA CHOCADA - CESAR</t>
  </si>
  <si>
    <t>POSITANO - REUNION</t>
  </si>
  <si>
    <t>K MERPAGO*MARTINANTONIOSILV</t>
  </si>
  <si>
    <t>MARTIN SILVARES-VIATICO</t>
  </si>
  <si>
    <t>CERCOS CORDOBA 03/03</t>
  </si>
  <si>
    <t>K MERPAGO*FABRIZIOARIELS</t>
  </si>
  <si>
    <t>CAJA FABRIZIO SOSA(CHARA)-V° DOLORES</t>
  </si>
  <si>
    <t>EL CORRALITO</t>
  </si>
  <si>
    <t>CERCOS-CBA-(AUTORIZO. POLLO) 3/3</t>
  </si>
  <si>
    <t>SHELL-COMB.ANDREA-PAGO NESTOR</t>
  </si>
  <si>
    <t>MERPAGO*TUNE 01/03</t>
  </si>
  <si>
    <t>BASE + CABLE - BATERIA</t>
  </si>
  <si>
    <t>MERPAGO*REPTOSPORTELA 02/03</t>
  </si>
  <si>
    <t>REPUESTO AUTO (AUT. POLLO) 2/3</t>
  </si>
  <si>
    <t>PROPINA*MERPAGO*ENTREMIGA</t>
  </si>
  <si>
    <t>HENZY 01/03</t>
  </si>
  <si>
    <t>HENZY-ANDREA-1/3</t>
  </si>
  <si>
    <t>FERRETERIA ARGENTINA 02/03</t>
  </si>
  <si>
    <t>MERPAGO*ENTREMIGASYCAFE</t>
  </si>
  <si>
    <t>FERRETERIA ARGENTINA 2/3</t>
  </si>
  <si>
    <t>AUTOSERVICIO GALLARDO</t>
  </si>
  <si>
    <t>AXION CAFÉ TRABAJO</t>
  </si>
  <si>
    <t>HOTEL CITY</t>
  </si>
  <si>
    <t>NOCHE HOTEL</t>
  </si>
  <si>
    <t>Del Turista</t>
  </si>
  <si>
    <t>BAR EL TURISTA MERIENDA CENA</t>
  </si>
  <si>
    <t>YPF</t>
  </si>
  <si>
    <t>YPF PITBA ROCCA FULL</t>
  </si>
  <si>
    <t>YPF-COMBSUTIBLE PAGO NESTOR</t>
  </si>
  <si>
    <t>CAFÉ DESAYUNO LLEGADA BARILOCHE</t>
  </si>
  <si>
    <t>K MERPAGO*AUTOPARTESPSA</t>
  </si>
  <si>
    <t>RESPUESTO AUTO(BOCHA PALANCA)</t>
  </si>
  <si>
    <t>FOOD PATAGONIA SA</t>
  </si>
  <si>
    <t>DESAYUNO AEROPUERTO ANTES DE SALIR</t>
  </si>
  <si>
    <t>K MERPAGO*MIGUELEDUARDOMART</t>
  </si>
  <si>
    <t>TRANSFERENCIA MIGUEL REPOSICION GASTOS CAJA</t>
  </si>
  <si>
    <t>ALMACEN -CLOCLO-ANDREA</t>
  </si>
  <si>
    <t>HOTEL - LATE CHECK OUT</t>
  </si>
  <si>
    <t>CAMINO DE LA SIERRAS-MARZO</t>
  </si>
  <si>
    <t>CASA BLANCA</t>
  </si>
  <si>
    <t>NARANJA GOLD 01/03</t>
  </si>
  <si>
    <t>NARANJA GOLD(CARRIER) ANDREA- 1/3</t>
  </si>
  <si>
    <t>HAVANNABRC</t>
  </si>
  <si>
    <t>GOOGLE *Google O P1klEsJY USD 0,89</t>
  </si>
  <si>
    <t>GOOGLE ONE -ABRIL- US 0,89</t>
  </si>
  <si>
    <t>MALETA ERROR TICKET - FLAYBONDI - JAZ</t>
  </si>
  <si>
    <t>MERPAGO*URBANCAFE</t>
  </si>
  <si>
    <t>TRABAJO - URBAN</t>
  </si>
  <si>
    <t>SANTA BARBARA-(DESCUBIERTO)</t>
  </si>
  <si>
    <t>MAS VISION</t>
  </si>
  <si>
    <t>CARLOS JOSE SAS</t>
  </si>
  <si>
    <t>DESAYUNO SEGURIDAD</t>
  </si>
  <si>
    <t>TADICOR-ANDREA// LORE ADELANTO// POLO</t>
  </si>
  <si>
    <t>MERPAGO*TAKOJET</t>
  </si>
  <si>
    <t>GASTOS PERSONALES DE VECK X NO TENER FONDOS PROPIOS</t>
  </si>
  <si>
    <t>TADICOR SA</t>
  </si>
  <si>
    <t>SHELL-COMB.PAGOS NESTOR</t>
  </si>
  <si>
    <t>TADICOR-(MONICA)-MATIAS</t>
  </si>
  <si>
    <t>TRABAJO BAR</t>
  </si>
  <si>
    <t>FLYBONDI A BORDO _BRC_</t>
  </si>
  <si>
    <t>FLAYBONDI - CAFÉ</t>
  </si>
  <si>
    <t>IL PANETTONE</t>
  </si>
  <si>
    <t>IL PANETTONE-REFRIGERIO KEMPES-NESTOR</t>
  </si>
  <si>
    <t>VECK DESDE 6.11 NHS</t>
  </si>
  <si>
    <t>SHELL-COMB. LLEVAR KEMPES REFRIGERIO</t>
  </si>
  <si>
    <t>MARIO DESDE 6.11 NHS</t>
  </si>
  <si>
    <t>CARGA COMPLETA CHATA</t>
  </si>
  <si>
    <t>MERPAGO*ASPENHELADOS</t>
  </si>
  <si>
    <t>ASPEN- ANDREA</t>
  </si>
  <si>
    <t>ALMUERZO AVANZADA MARIO VECK</t>
  </si>
  <si>
    <t>SANTA BARBARA- COMB.LEANDRO-VW</t>
  </si>
  <si>
    <t>MERPAGO*CACHAVACHA 01/03</t>
  </si>
  <si>
    <t>CACHAVACHA-ANDREA 1/3</t>
  </si>
  <si>
    <t>CAMINO DE LA SIERRA -PEAJE-MARZO</t>
  </si>
  <si>
    <t>ALMACEN CLOCO</t>
  </si>
  <si>
    <t>K MERPAGO*DENISROGERCELIZ</t>
  </si>
  <si>
    <t>TRANSFERENCIA MIGUEL CAJA SAN JUAN</t>
  </si>
  <si>
    <t>TRANSFERENCIA FAUSTO REGRESO BARILOCHE</t>
  </si>
  <si>
    <t>UBER EXTRANJEROS DESDE CASA EXTRANJEROS A POLO</t>
  </si>
  <si>
    <t>K MERPAGO*MILTONJONATHANDIA</t>
  </si>
  <si>
    <t>TRANSFERENCIA MILTON CAJA SAN JUAN</t>
  </si>
  <si>
    <t>CARNES GUADALUPE</t>
  </si>
  <si>
    <t>ALMACEN -ANDREA</t>
  </si>
  <si>
    <t>CANDADO-KEMPES</t>
  </si>
  <si>
    <t>TRANSF. MILTON VIAJE DESARME BS.AS-LOLLA PALOOZA</t>
  </si>
  <si>
    <t>PUMA CHICOM SA</t>
  </si>
  <si>
    <t>HIELO</t>
  </si>
  <si>
    <t>MERPAGO*PASAJESCDP 721663</t>
  </si>
  <si>
    <t>LA CASA DEL SOLDADOR</t>
  </si>
  <si>
    <t>COMBUSTIBLE COSQUIN</t>
  </si>
  <si>
    <t>OFICINA Y ARTE SRL</t>
  </si>
  <si>
    <t>IMPRESION PLANOS VECK (LETAP Y MXGP)</t>
  </si>
  <si>
    <t>GOOGLE *Google O P1jthp7O USD 0,89</t>
  </si>
  <si>
    <t>ENVIO PLANOS CASA VECK</t>
  </si>
  <si>
    <t>GOOGLE ONE</t>
  </si>
  <si>
    <t>UBER EZEQUIEL DE POLO A CLINICA</t>
  </si>
  <si>
    <t>TADICOR-MERCADERIA MONICA</t>
  </si>
  <si>
    <t>UBER EZEQUIEL DE CLINICA A CASA EXTRANJEROS</t>
  </si>
  <si>
    <t>TADICOR -POLO -ANDREA ($153.129,34)</t>
  </si>
  <si>
    <t>UBER EXTRANJEROS DESDE POLO A CASA EXTRANJEROS</t>
  </si>
  <si>
    <t>UBER DE VECK HASTA REUNION CON MUNI</t>
  </si>
  <si>
    <t>UBER EXTRANJEROS DESDE CASA A POLO</t>
  </si>
  <si>
    <t>PASAJE MARTIN SILVAREZ - CÓRDOBA A SAN JUAN</t>
  </si>
  <si>
    <t>UBER JAZ DE POLO A CASA MATIAS</t>
  </si>
  <si>
    <t>TOTAL GASTOS PERÍODO</t>
  </si>
  <si>
    <t>UBER JAZ DE CASA MATIAS A POLO</t>
  </si>
  <si>
    <t>SANTA BARBARA-LVX 455-DAVID</t>
  </si>
  <si>
    <t>AEREO MARIO LOPEZ - CÓRDOBA A BARILOCHE</t>
  </si>
  <si>
    <t>DLO*UBER*RIDES</t>
  </si>
  <si>
    <t>UBER FRANCO SILVA DE TERMINAL A POLO</t>
  </si>
  <si>
    <t>AEREO FLORENCIA PIAI - CÓRDOBA A BUENOS AIRES</t>
  </si>
  <si>
    <t>K MERPAGO*ROBERTOCARLOSFABR</t>
  </si>
  <si>
    <t>FABRICIO ROBERTO -P/ ACC.LABORAL (ALM+UBER)</t>
  </si>
  <si>
    <t>PASAJE EVER CORTEZ - CÓRDOBA A SAN JUAN A CÓRDOBA</t>
  </si>
  <si>
    <t>MAS VISION 05/06</t>
  </si>
  <si>
    <t>UBER EXTRANJEROS DESDE KEMPES HASTA CASA EXTRANJEROS</t>
  </si>
  <si>
    <t>PASAJE HIJASTRA TATI - BUENOS AIRES A CÓRDOBA</t>
  </si>
  <si>
    <t>UBER PARA COMIDA DESDE LOCAL A LA FABRICA</t>
  </si>
  <si>
    <t>K DLO*PEDIDOSYA PUNTO 33</t>
  </si>
  <si>
    <t>COMIDA LA FABRICA (TURNO NOCHE)</t>
  </si>
  <si>
    <t>AIRPORT</t>
  </si>
  <si>
    <t xml:space="preserve">PASAJE EZEQUIEL GUTIERREZ - CÓRDOBA A SAN JUAN </t>
  </si>
  <si>
    <t>AIRPORT-RESPUESTO CARGADOR</t>
  </si>
  <si>
    <t>COMPRA PARA OFICINA ADMINISTRACIÓN + CATERING PRODUCCION</t>
  </si>
  <si>
    <t>PASAJE FABRICIO ROBERTO - CÓRDOBA A TUCUMAN A CÓRDOBA</t>
  </si>
  <si>
    <t>UBER JAZ DESDE CASA MATIAS A POLO</t>
  </si>
  <si>
    <t>AEREO POLLO - BS AS A BARILOCHE</t>
  </si>
  <si>
    <t>AEREO VECK - CÓRDOBA A BARILOCHE A CÓRDOBA</t>
  </si>
  <si>
    <t>PASAJE MATI MUT - CÓRDOBA A LA RIOJA</t>
  </si>
  <si>
    <t>K MERPAGO*ALEXISGUSTAVOSOSA</t>
  </si>
  <si>
    <t>PASAJE FRANCO SILVA - CÓRDOBA A LA RIOJA A CÓRDOBA</t>
  </si>
  <si>
    <t>MOCHILAS PARA TRAMITE DE MONICA (MATIAS)</t>
  </si>
  <si>
    <t>EQUIPAJE VUELO MARIO</t>
  </si>
  <si>
    <t>DEVOLUCION PASAJE FRANCO SILVA</t>
  </si>
  <si>
    <t>UBER EXTRANJEROS DE POLO A CASA EXTRANJEROS</t>
  </si>
  <si>
    <t>K Google One A38670970USD 9,99</t>
  </si>
  <si>
    <t>MAS VISION 04/06</t>
  </si>
  <si>
    <t>K MERPAGO*LUCASCATRIELROSAL</t>
  </si>
  <si>
    <t>PASAJE CESAR SALINAS - SAN JUAN A CÓRDOBA</t>
  </si>
  <si>
    <t>VIATICOS CATRIEL ROSALES</t>
  </si>
  <si>
    <t>PASAJE 6 MORAS (CROSTYS) - SAN JUAN A CÓRDOBA</t>
  </si>
  <si>
    <t>UBER FRANCO SILVA DE TERMINAL A CASA EXTRANJEROS</t>
  </si>
  <si>
    <t>K MERPAGO*JONASZAHIRMOYANO</t>
  </si>
  <si>
    <t xml:space="preserve">COMBUSTIBLE (DESCUBIERTO) </t>
  </si>
  <si>
    <t>VIATICOS JONAS MOYANO</t>
  </si>
  <si>
    <t>K MERPAGO*MARIOLUISBARROSO</t>
  </si>
  <si>
    <t>UBER FOFIS DE PUNTO DE ENCUENTRO A LA FABRICA</t>
  </si>
  <si>
    <t>VIATICOS MARIO BARROSO</t>
  </si>
  <si>
    <t>VIANDA ALMUERZO TATI</t>
  </si>
  <si>
    <t xml:space="preserve">UBER FOFIS DE LA FABRICA A PUNTO DE ENCUENTRO </t>
  </si>
  <si>
    <t>K MERPAGO*BATTAGLIAAGUSTINL</t>
  </si>
  <si>
    <t>PAGO STICKERS DOS57 PARA OFICINA MÓVIL</t>
  </si>
  <si>
    <t>UBER CHARA DE ALSINA A POLO</t>
  </si>
  <si>
    <t>PASAJE CROSTY Y CESAR - SAN JUAN A CÓRDOBA</t>
  </si>
  <si>
    <t>K PLATAFORMA 10 SA</t>
  </si>
  <si>
    <t>PASAJE GERARDO MACHADO - CÓRDOBA A SAN RAFAEL</t>
  </si>
  <si>
    <t>PASAJE MARIO BARROSO - CÓRDOBA A VILLA MERCEDES</t>
  </si>
  <si>
    <t>PASAJE TORO Y ROJO - SAN JUAN A CÓRDOBA</t>
  </si>
  <si>
    <t>K MERPAGO*GUSTAVOALBERTOCLA</t>
  </si>
  <si>
    <t>PAGO ALMUERZO LA PAZ</t>
  </si>
  <si>
    <t>K MERPAGO*QUISPEHUERTASLESL</t>
  </si>
  <si>
    <t>PAGO LLAVEROS PARA JUEGOS DE LLAVES NUEVOS</t>
  </si>
  <si>
    <t>COMPRA SUPER ADMINISTRACIÓN</t>
  </si>
  <si>
    <t>K MERPAGO*GEORGINADENISEGIA</t>
  </si>
  <si>
    <t>ALMUERZO JAZ EN CASA EXTRANJEROS</t>
  </si>
  <si>
    <t>PASAJE MARIO BARROSO - VILLA MERCEDES A CÓRDOBA</t>
  </si>
  <si>
    <t>K MERPAGO*FERNI</t>
  </si>
  <si>
    <t>PAGO ALMOHADAS CASA EXTRANJEROS</t>
  </si>
  <si>
    <t>K MERPAGO*SEBASTIAN</t>
  </si>
  <si>
    <t>PAGO VENTILADOR CASA EXTRANJEROS</t>
  </si>
  <si>
    <t>PASAJES 6 PAX DE CROSTY - SAN JUAN A CÓRDOBA</t>
  </si>
  <si>
    <t>PASAJES 6 PAX RUBENS - BS AS A CÓRDOBA</t>
  </si>
  <si>
    <t>MERPAGO*TUNE 02/03</t>
  </si>
  <si>
    <t>PASAJES 2 PAX RUBENS - BS AS A CÓRDOBA</t>
  </si>
  <si>
    <t>NSS*SHOP LA PAUSA ES</t>
  </si>
  <si>
    <t>UBER EXTRANJEROS CASA A TERMINAL</t>
  </si>
  <si>
    <t>PASAJE 1 PAX RUBENS - BS AS A CÓRDOBA</t>
  </si>
  <si>
    <t>UBER EXTRANJEROS TERMINAL A POLO</t>
  </si>
  <si>
    <t>RUTAS SERRANAS SRL</t>
  </si>
  <si>
    <t>AVANZADA R. CORTA</t>
  </si>
  <si>
    <t>PASAJE 1 PAX RUBENS - TUCUMAN A CÓRDOBA</t>
  </si>
  <si>
    <t>SHELL PREVIO AV-MARIO VECK</t>
  </si>
  <si>
    <t>ELECCIÓN DE ASIENTO VECK (CHECK IN)</t>
  </si>
  <si>
    <t>K MERPAGO*CRISTINAANDREAOLI</t>
  </si>
  <si>
    <t>DEVOLUCIÓN PAGO FERNIPLAST Y VIÁTICOS JAZMÍN</t>
  </si>
  <si>
    <t>MERPAGO*CELIZMPAGO</t>
  </si>
  <si>
    <t>WE ARE LOST</t>
  </si>
  <si>
    <t>PASAJE JOSE LUIS PEREZ - SAN JUAN A BS AS</t>
  </si>
  <si>
    <t>HILUX ROJA TANQUE</t>
  </si>
  <si>
    <t>UBER JAZ - CASA JAZ A KEMPES</t>
  </si>
  <si>
    <t>K CABIFY AR 2609ZMN8SOLO</t>
  </si>
  <si>
    <t>UBER EXTRANJEROS - POLO A CASA EXTRANJEROS</t>
  </si>
  <si>
    <t>UBER EXTRANJEROS DEPTO NATI A POLO</t>
  </si>
  <si>
    <t>UBER JAZ - KEMPES A CASA JAZ</t>
  </si>
  <si>
    <t>AGUAS - WE ARE LOST</t>
  </si>
  <si>
    <t>UBER EXTRANJEROS CASA A POLO</t>
  </si>
  <si>
    <t>YPF LA CUMBRE</t>
  </si>
  <si>
    <t>DIESEL CLARK - WE ARE LOST</t>
  </si>
  <si>
    <t>PASAJE LUIS MONTAÑO - CÓRDOBA A SAN JUAN</t>
  </si>
  <si>
    <t>LETAP</t>
  </si>
  <si>
    <t>K MERPAGO*SW</t>
  </si>
  <si>
    <t>K MERPAGO*MILTONJONATHAN</t>
  </si>
  <si>
    <t>2 PAVAS ELÉCTRICAS PARA GIRAS</t>
  </si>
  <si>
    <t>PAGO ALMUERZO AL RESCOLDO</t>
  </si>
  <si>
    <t>APPYPF 31173 COMBUST</t>
  </si>
  <si>
    <t>K MERPAGO*ELECTRONICAFL</t>
  </si>
  <si>
    <t>K MERPAGO*GUSTAVOALBERTO</t>
  </si>
  <si>
    <t>STARLINK PARA GIRAS</t>
  </si>
  <si>
    <t>UBER EXTRANJEROS - POLO A KEMPES</t>
  </si>
  <si>
    <t>PASAJE GERARDO CALIVAR - CÓRDOBA A SAN JUAN</t>
  </si>
  <si>
    <t>UBER EXTRANJEROS - KEMPES A DEPTO TIA NATI</t>
  </si>
  <si>
    <t>VIÁTICOS CATRIEL ROSALES</t>
  </si>
  <si>
    <t>MERPAGO*SOCIALLIBRER</t>
  </si>
  <si>
    <t>LIBRERIA SOCIAL- LETAP</t>
  </si>
  <si>
    <t>REUNION - LETAP</t>
  </si>
  <si>
    <t>PASAJES 3 PAX RUBENS - CÓRDOBA A BS AS</t>
  </si>
  <si>
    <t>UBER EXTRANJEROS CASA A KEMPES</t>
  </si>
  <si>
    <t>CARPINTERIA</t>
  </si>
  <si>
    <t>LETAP - ALMUERZO - TRABAJO</t>
  </si>
  <si>
    <t>K CABIFY AR 261662SIBNFZ</t>
  </si>
  <si>
    <t>UBER EXTRANJEROS - DEPTO TIA NATI A KEMPES</t>
  </si>
  <si>
    <t>LA RECTA IMPRENTA</t>
  </si>
  <si>
    <t>UBER PERSONAL KEMPES A CASA</t>
  </si>
  <si>
    <t>LETAP - IMPRESION PLANOS</t>
  </si>
  <si>
    <t>PROPINA*MERPAGO*URBANCAFE</t>
  </si>
  <si>
    <t>UBER PERSONAL POLO A LA FABRICA</t>
  </si>
  <si>
    <t>LETAP - TRABAJO</t>
  </si>
  <si>
    <t>APPYPF 02061 COMBUST</t>
  </si>
  <si>
    <t>DIESEL NISSAN</t>
  </si>
  <si>
    <t>UBER EXTRANJEROS - KEMPES A CASA EXTRANJEROS A POLO</t>
  </si>
  <si>
    <t>UBER PERSONAL LA FABRICA A KEMPES</t>
  </si>
  <si>
    <t>UBER EXTRANJEROS KEMPES A DEPTO NATI</t>
  </si>
  <si>
    <t>UBER EXTRANJEROS - DEPTO NATI A TERMINAL</t>
  </si>
  <si>
    <t>UBER EXTRANJEROS KEMPES A CASA</t>
  </si>
  <si>
    <t>LA FABRICA</t>
  </si>
  <si>
    <t>UBER EXTRANJEROS - KEMPES A POLO</t>
  </si>
  <si>
    <t>UBER SANTI - SERVICE POLLO A POLO</t>
  </si>
  <si>
    <t>MERPAGO*SWEETSWEETWAY</t>
  </si>
  <si>
    <t>CAFE - LETAP</t>
  </si>
  <si>
    <t>UBER EXTRANJEROS POLO A CASA</t>
  </si>
  <si>
    <t>UBER EXTRANJEROS - POLO A DEPTO NATI</t>
  </si>
  <si>
    <t>ESTACION SHELL SALDAN</t>
  </si>
  <si>
    <t>UBER PERSONAL KEMPES A POLO</t>
  </si>
  <si>
    <t>PAYU*AR*UBER</t>
  </si>
  <si>
    <t>UBER EXTRANJEROS - DEPTO TIA NATI A POLO</t>
  </si>
  <si>
    <t>COMBUSTIBLE NISSAN</t>
  </si>
  <si>
    <t>UBER EXTRANJEROS - DEPTO NATI A POLO</t>
  </si>
  <si>
    <t>PASAJE AEREO LORENA HERRERA - CÓRDOBA A BARILOCHE</t>
  </si>
  <si>
    <t>K MERPAGO*ROBERTOCARLOSF</t>
  </si>
  <si>
    <t>VIATICOS FABRICIO ROBERTO</t>
  </si>
  <si>
    <t xml:space="preserve">TRABAJO LETAP Y TODOS </t>
  </si>
  <si>
    <t>K MERPAGO*LUCASCATRIELRO</t>
  </si>
  <si>
    <t>MERPAGO*PLUNDERS</t>
  </si>
  <si>
    <t>REUNION PLANOS COSQUIN LETAP</t>
  </si>
  <si>
    <t>MERPAGO*FERNANDEZRODRIGOI</t>
  </si>
  <si>
    <t>PAGO 2 GASEOSAS PARA CHOLI (JORNADA NOCTURNA EN FORJA)</t>
  </si>
  <si>
    <t xml:space="preserve">REUNION COSQUIN </t>
  </si>
  <si>
    <t>VIÁTICOS FABRICIO ROBERTO</t>
  </si>
  <si>
    <t>CASA LONGO</t>
  </si>
  <si>
    <t>LAPICERAS LETAP</t>
  </si>
  <si>
    <t>UBER EXTRANJEROS - DEPTO TIA NATI A LA FABRICA</t>
  </si>
  <si>
    <t>UBER PERSONAL POLO A KEMPES</t>
  </si>
  <si>
    <t>UBER EXTRANJEROS - DEPTO NATI A KEMPES</t>
  </si>
  <si>
    <t>UBER FOFIS PARA PINTAR - CASA FOFIS A LA FABRICA</t>
  </si>
  <si>
    <t>UBER PERSONAL - KEMPES A LA FABRICA</t>
  </si>
  <si>
    <t>UBER EXTRANJEROS - KEMPES A DEPTO NATI A CASA EXTRANJEROS</t>
  </si>
  <si>
    <t>UBER EXTRANJEROS - LA FABRICA A DEPTO NATI A DEPTO TIA NATI</t>
  </si>
  <si>
    <t>DEVOLUCIÓN PAGO MOCHILA PARA HIJA DE MONICA (MATIAS)</t>
  </si>
  <si>
    <t>PASAJE GUILLERMO VASQUEZ - VILLA MERCEDES A CÓRDOBA</t>
  </si>
  <si>
    <t>COMBUSTIBLE-COSQUIN</t>
  </si>
  <si>
    <t>PASAJE AXEL GUAJARDO - CÓRDOBA A SAN JUAN</t>
  </si>
  <si>
    <t>K MERPAGO*JOSELUISPEREZSTRI</t>
  </si>
  <si>
    <t>ESTACION DE SERVICIO G</t>
  </si>
  <si>
    <t>UBER EXTRANJEROS - DEPTO NATI A LA FABRICA (LE TRANSFERÍ A PEPO, LO PAGÓ EL)</t>
  </si>
  <si>
    <t>PASAJES 5 PAX DE MORA - CÓRDOBA A SAN JUAN</t>
  </si>
  <si>
    <t>K CABIFY AR 2616DJ6SP2EZ</t>
  </si>
  <si>
    <t>PASAJES 6 PAX DE CROSTY - CÓRDOBA A SAN JUAN</t>
  </si>
  <si>
    <t>UBER EXTRANJEROS - KEMPES A DEPTO NATI</t>
  </si>
  <si>
    <t>PASAJE GUSTAVO JORQUERA - CÓRDOBA A SAN JUAN</t>
  </si>
  <si>
    <t xml:space="preserve">COMBUSTIBLE-COSQUIN </t>
  </si>
  <si>
    <t>K CABIFY AR 2610UJCLTR5R</t>
  </si>
  <si>
    <t>MAYO</t>
  </si>
  <si>
    <t>CABIFY EXTRANJEROS CASA A TERMINAL</t>
  </si>
  <si>
    <t>UBER EXTRANJEROS - LA FABRICA A DEPTO TIA NATI</t>
  </si>
  <si>
    <t>UBER PARA LUIS TALLER A POLO</t>
  </si>
  <si>
    <t>CANCELACIÓN UBER EXTRANJEROS - DEPTO TIA NATI A LA FABRICA</t>
  </si>
  <si>
    <t>UBER EXTRANJEROS DEPTO NATI A TERMINAL</t>
  </si>
  <si>
    <t>PAE - AXION DINA HUAPI</t>
  </si>
  <si>
    <t>PASAJES 6 PAX RUBENS - CÓRDOBA A BS AS</t>
  </si>
  <si>
    <t>UBER EXTRANJEROS POLO A TERMINAL</t>
  </si>
  <si>
    <t>SUR INDUMENTARIA</t>
  </si>
  <si>
    <t>K CABIFY AR 26166HUN9HZZ</t>
  </si>
  <si>
    <t>LA ANóNIMA SUC008</t>
  </si>
  <si>
    <t>YPF PITBA ROCCA PLAYA</t>
  </si>
  <si>
    <t>DEVOLUCIÓN PASAJE AXEL GUAJARDO</t>
  </si>
  <si>
    <t>K MERPAGO*MARIELAANDREASALA</t>
  </si>
  <si>
    <t>PAGO SANGUCHES PARA MERIENDA 06/03 - KEMPES</t>
  </si>
  <si>
    <t>K MERPAGO*DADDYSABATT1</t>
  </si>
  <si>
    <t>PAGO GASEOSAS PARA MERIENDA 06/03 - KEMPES</t>
  </si>
  <si>
    <t>K CABIFY AR 2610TVPQUG97</t>
  </si>
  <si>
    <t>PASAJE CESAR SALINAS - CÓRDOBA A SAN JUAN</t>
  </si>
  <si>
    <t>CENA TEAM GUARDIA X 5 PAX - ALEJANDRO SANZ</t>
  </si>
  <si>
    <t>CARREFOUR CBA. COLON</t>
  </si>
  <si>
    <t xml:space="preserve">COMPRA SUPER </t>
  </si>
  <si>
    <t>UBER EXTRANJEROS - DEPTO TIA NATI A TERMINAL</t>
  </si>
  <si>
    <t>PASAJE 1 EVER CORTEZ - CÓRDOBA A SAN JUAN</t>
  </si>
  <si>
    <t>PASAJE LUCAS Y EVER - CÓRDOBA A SAN JUAN</t>
  </si>
  <si>
    <t>PASAJES FRANCO SILVA - CÓRDOBA A LA RIOJA</t>
  </si>
  <si>
    <t>UBER EXTRANJEROS KEMPES A POLO</t>
  </si>
  <si>
    <t>PASAJE CATRIEL ROSALES - CÓRDOBA A SAN LUIS</t>
  </si>
  <si>
    <t>CANCELACIÓN PASAJE 1 EVER CORTEZ (SOLICITADO POR MATÍAS)</t>
  </si>
  <si>
    <t>UBER ALMUERZO - HAKA A LA FABRICA</t>
  </si>
  <si>
    <t>PASAJE 4 RUBEN'S - CÓRDOBA A BS AS</t>
  </si>
  <si>
    <t>PASAJE RUBEN BILBAO - CÓRDOBA A TUCUMÁN</t>
  </si>
  <si>
    <t>K MERPAGO*A4SERVICIOSGR</t>
  </si>
  <si>
    <t>IMPRESIÓN PLANOS LETAPE</t>
  </si>
  <si>
    <t>PASAJE GUILLERMO VASQUEZ - BS AS A VILLA MERCEDES</t>
  </si>
  <si>
    <t>PASAJE CESAR Y CROSTY - CÓRDOBA A SAN JUAN</t>
  </si>
  <si>
    <t>PASAJE GRILLO - BS AS A CÓRDOBA</t>
  </si>
  <si>
    <t>CANCELACIÓN PASAJE JONAS MOYANO - CÓRDOBA A SAN LUIS</t>
  </si>
  <si>
    <t>PASAJE MATIAS MUT - CÓRDOBA A LA RIOJA</t>
  </si>
  <si>
    <t>K Google One A70609859USD 9,99</t>
  </si>
  <si>
    <t>UBER JAZ CASA JAZ A CASA MATIAS</t>
  </si>
  <si>
    <t>UBER JAZ KEMPES A POLO</t>
  </si>
  <si>
    <t>PASAJE EVER CORTEZ - CÓRDOBA A SAN JUAN</t>
  </si>
  <si>
    <t>MERPAGO*PCREGISTRADA</t>
  </si>
  <si>
    <t>PAGO CALOVENTOR CASA EXTRANJEROS</t>
  </si>
  <si>
    <t>UBER JAZ POLO A REUNIÓN MUNICIPALIDAD LETAP</t>
  </si>
  <si>
    <t>COMPRAS CASA EXTRANJEROS Y HERRAMIENTAS KEMPES</t>
  </si>
  <si>
    <t>UBER JAZ KEMPES A CASA JAZ</t>
  </si>
  <si>
    <t>K MERPAGO*MARAVIRGINIASANCH</t>
  </si>
  <si>
    <t>CANCELACIÓN UBER CASA EXTRANJEROS A POLO</t>
  </si>
  <si>
    <t>PASAJE RODRIGO FERNANDEZ - CÓRDOBA A SAN JUAN A CÓRDOBA</t>
  </si>
  <si>
    <t>K Google One A08052508USD 9,99</t>
  </si>
  <si>
    <t>DESAYUNO</t>
  </si>
  <si>
    <t>PARADA COMIDA</t>
  </si>
  <si>
    <t>REUNION POSITANO</t>
  </si>
  <si>
    <t>MERPAGO*TUNE 03/03</t>
  </si>
  <si>
    <t>ALMUERZO 3 PAX FALTANTES - JAZ-MARIO-VECK</t>
  </si>
  <si>
    <t>CARREFOUR R. MARTINOLI</t>
  </si>
  <si>
    <t>CARREFOUR - LIMPIEZA ELEM</t>
  </si>
  <si>
    <t>REUNION LU Y MARCOS - LETAP</t>
  </si>
  <si>
    <t>TRABAJO VECK</t>
  </si>
  <si>
    <t>ALMUERZO VECK + MARIO</t>
  </si>
  <si>
    <t>SUPER MAMI</t>
  </si>
  <si>
    <t>CATERING PEDIDO FLOR - SUPER</t>
  </si>
  <si>
    <t>TRABAJO SHELL</t>
  </si>
  <si>
    <t>PLANOS MALAGUEÑO LETAP ( $8.700 TICKET 38)</t>
  </si>
  <si>
    <t>PLANOS LA RECTA IMPRENTA</t>
  </si>
  <si>
    <t>CHITCHIAN SA</t>
  </si>
  <si>
    <t>TEMPURA SAS</t>
  </si>
  <si>
    <t>TANQUE CAMIONETA</t>
  </si>
  <si>
    <t>VALIJA EXTRA</t>
  </si>
  <si>
    <t>La Cafetería de Panes</t>
  </si>
  <si>
    <t>CAFE</t>
  </si>
  <si>
    <t>MERPAGO*YPFNORTE</t>
  </si>
  <si>
    <t>ALMUERZO CON MARIO</t>
  </si>
  <si>
    <t>LA ANóNIMA SUC 177</t>
  </si>
  <si>
    <t>COMIDA CABAÑAS</t>
  </si>
  <si>
    <t>REUNION BARILOCHE</t>
  </si>
  <si>
    <t>PARADA MARIO - VECK</t>
  </si>
  <si>
    <t>COMIDA YPF</t>
  </si>
  <si>
    <t>MERPAGO*ELVERGEL</t>
  </si>
  <si>
    <t>A.C.A.</t>
  </si>
  <si>
    <t>ALMUERZO MARIO VECK</t>
  </si>
  <si>
    <t>MERIENDA VECK</t>
  </si>
  <si>
    <t>PUMA ENERGY NIRECO</t>
  </si>
  <si>
    <t>CENA</t>
  </si>
  <si>
    <t>MERPAGO*GISELACASPARI</t>
  </si>
  <si>
    <t>TRABAJO</t>
  </si>
  <si>
    <t>APPYPF 31094 TIENDA</t>
  </si>
  <si>
    <t>COMBUSTIBLE</t>
  </si>
  <si>
    <t>IMPRESIONES</t>
  </si>
  <si>
    <t>REUNION</t>
  </si>
  <si>
    <t>VECK TRABAJO</t>
  </si>
  <si>
    <t>MERPAGO*REYSABOR</t>
  </si>
  <si>
    <t>FERRELEC-FERRELEC LOCAL</t>
  </si>
  <si>
    <t>LIBREMART</t>
  </si>
  <si>
    <t>MINI SHOP ARGUELLO SHELL</t>
  </si>
  <si>
    <t>REUNION UNI COSQUIN</t>
  </si>
  <si>
    <t>PASAJE EMMANUEL TENN - VILLA MERCEDES A CÓRDOBA</t>
  </si>
  <si>
    <t>VARIOS / MARIO</t>
  </si>
  <si>
    <t>REUNION ACROSS</t>
  </si>
  <si>
    <t>JUNIO</t>
  </si>
  <si>
    <t>COMBUSTIBLE CHATA</t>
  </si>
  <si>
    <t>GRAL DE ABASTECIMIENTO</t>
  </si>
  <si>
    <t>CATERING</t>
  </si>
  <si>
    <t>FURIA - JAZ - VECK</t>
  </si>
  <si>
    <t>CODIGO DE BAR</t>
  </si>
  <si>
    <t>MARIO - DANI - VECK</t>
  </si>
  <si>
    <t>VARIOS</t>
  </si>
  <si>
    <t>MERPAGO*BELLEPANA</t>
  </si>
  <si>
    <t>REUNION POLICIA</t>
  </si>
  <si>
    <t>SHELL SELECT VILLA GEN</t>
  </si>
  <si>
    <t>PASAJE 5 PAX CROSTY - SAN JUAN A CÓRDOBA</t>
  </si>
  <si>
    <t>TC CARRETERA</t>
  </si>
  <si>
    <t>MARIO VECKY ACROSS</t>
  </si>
  <si>
    <t>MARCOS - JAZ - MARIO - VECK</t>
  </si>
  <si>
    <t>MERPAGO*BAKERIA</t>
  </si>
  <si>
    <t>MUNICIPALIDAD REUNION</t>
  </si>
  <si>
    <t>VECK ALMUERZO</t>
  </si>
  <si>
    <t>PASAJE JONAS Y CATRIEL - SAN LUIS A CÓRDOBA</t>
  </si>
  <si>
    <t>SIERRAS CHICAS COMB</t>
  </si>
  <si>
    <t>MERPAGO*CATERINGCBA</t>
  </si>
  <si>
    <t>MERPAGO*MARIANOSRESTO</t>
  </si>
  <si>
    <t>LETAP - MERIENDA TODOS VALLE HERMOSO</t>
  </si>
  <si>
    <t>K MERPAGO*ACA1</t>
  </si>
  <si>
    <t>APPYPF 31230 COMBUSTIB</t>
  </si>
  <si>
    <t>CAPPRI HNOS. SH</t>
  </si>
  <si>
    <t>COMBUSTIBLE - JESUS MARIA</t>
  </si>
  <si>
    <t>K MERPAGO*SECURITYHNOS</t>
  </si>
  <si>
    <t>CAMPERAS MARIO - VECK</t>
  </si>
  <si>
    <t>K SHELL SELECT</t>
  </si>
  <si>
    <t>UBER DE POLO A CASA EXTRANJEROS</t>
  </si>
  <si>
    <t>DGB SRL</t>
  </si>
  <si>
    <t>COMBUSTIBLE VILLA DOLORES</t>
  </si>
  <si>
    <t>OPESSA DESAGUADERO</t>
  </si>
  <si>
    <t>K G-ENERGY SRL</t>
  </si>
  <si>
    <t>MERPAGO*PBALIMPIEZA</t>
  </si>
  <si>
    <t>PRODUCTOS DE LIMPIEZA - RICKY MARTIN</t>
  </si>
  <si>
    <t>ECHANIZ HNOS SA</t>
  </si>
  <si>
    <t>K MERPAGO*DARIOUBALDORIARTE</t>
  </si>
  <si>
    <t>DEVOLUCION CAMPERA MARIO</t>
  </si>
  <si>
    <t>K MERPAGO*KIOSCOJACK</t>
  </si>
  <si>
    <t>UBER DE KEMPES A CASA JONA</t>
  </si>
  <si>
    <t>K DLO*PEDIDOSYA LA CELES</t>
  </si>
  <si>
    <t>K MERPAGO*LUFETELSRL</t>
  </si>
  <si>
    <t>MERPAGO*PASAJESCDP 01/03</t>
  </si>
  <si>
    <t>PASAJE FABRICIO ROBERTO - CÓRDOBA A TUCUMÁN</t>
  </si>
  <si>
    <t>MERPAGO*LACOCINADEGERMAN</t>
  </si>
  <si>
    <t>CENA PARA EQUIPO VILLA DOLORES</t>
  </si>
  <si>
    <t>K YPF OPESSA CORDOBA</t>
  </si>
  <si>
    <t>EXPRESS SARACHAGA 782</t>
  </si>
  <si>
    <t>COMPRA DE SÚPER PARA TURNO NOCHE RICKY MARTIN (CAFÉ, AZÚCAR, ETC)</t>
  </si>
  <si>
    <t>UBER DE TERMINAL A CASA EXTRANJEROS</t>
  </si>
  <si>
    <t>YPF URCA</t>
  </si>
  <si>
    <t>COMBUSTIBLE MULITA</t>
  </si>
  <si>
    <t>SUPERMERCADO-BARILOCHE</t>
  </si>
  <si>
    <t>COMPRA SÚPER (CATERING PARA EVENTO FEST. KILÓMETRO)</t>
  </si>
  <si>
    <t>UBER DE CASA EXTRANJEROS A POLO</t>
  </si>
  <si>
    <t>NATBIO</t>
  </si>
  <si>
    <t>COMPRA FRUTOS SECOS VECK (CATERING PARA EVENTO FEST. KILÓMETRO)</t>
  </si>
  <si>
    <t>UBER DE KEMPES A CASA NESTOR</t>
  </si>
  <si>
    <t>COMBUSTIBLE-BARILOCHE</t>
  </si>
  <si>
    <t>MERPAGO*MERCADODELVAL</t>
  </si>
  <si>
    <t>COMPRA FRUTAS (REFRIGERIO FEST. KILÓMETRO)</t>
  </si>
  <si>
    <t>DEPARTAMENTO VECK</t>
  </si>
  <si>
    <t>UBER CANCELADO DE CASA EXTRANJEROS A POLO</t>
  </si>
  <si>
    <t>UBER DE POLO A KEMPES</t>
  </si>
  <si>
    <t>MERPAGO*PASAJESCDP 02/03</t>
  </si>
  <si>
    <t>K DLO*PEDIDOSYA BETOS HI</t>
  </si>
  <si>
    <t>MERCADERIA CABAÑAS-BARILOCHE</t>
  </si>
  <si>
    <t>PYU*UBER</t>
  </si>
  <si>
    <t>LA DOLFINA 02/03</t>
  </si>
  <si>
    <t>K FARMACIA CATEDRAL II SGO</t>
  </si>
  <si>
    <t>YPF OPESSA ACA BARILOC</t>
  </si>
  <si>
    <t>K CORREDORES VIALE 000000319777518</t>
  </si>
  <si>
    <t>ACEITE CAMIONETA KEX</t>
  </si>
  <si>
    <t>K FABIAN ENRICO SRL</t>
  </si>
  <si>
    <t>K YPF OPESSA CORDOBA 2</t>
  </si>
  <si>
    <t>APPYPF 31131 TIENDA</t>
  </si>
  <si>
    <t>HIELO-BARILOCHE</t>
  </si>
  <si>
    <t>1 TEAM C45</t>
  </si>
  <si>
    <t>EXCESO DE VELOCIDAD Y ADELANTAR EN DOBLE LINEA AMARILLA (POLLO/AG 337 MY)</t>
  </si>
  <si>
    <t>K CORREDORES VIALE 000000329606488</t>
  </si>
  <si>
    <t>NEUMATICOS MYD SRL</t>
  </si>
  <si>
    <t>NEUMATICOS</t>
  </si>
  <si>
    <t>PASAJE GERARDO MACHADO - CÓRDOBA A SANTIAGO DEL ESTERO</t>
  </si>
  <si>
    <t>K DLO*STARLINK ARGENTINA</t>
  </si>
  <si>
    <t>PAGO MENSUAL STARLINK DOS57</t>
  </si>
  <si>
    <t>HOTEL NAHUEL HUAPI</t>
  </si>
  <si>
    <t>HOTEL DIFERENCIA ALOJAMIENTO</t>
  </si>
  <si>
    <t>APPLE.COM/BILL MSD466TX7USD 9,99</t>
  </si>
  <si>
    <t>BIFUEL SRL</t>
  </si>
  <si>
    <t>COMBUSTIBLE-LETAPE</t>
  </si>
  <si>
    <t>K DLO*PEDIDOSYA PARMA SA</t>
  </si>
  <si>
    <t>POSITANO-VECK LETAPE</t>
  </si>
  <si>
    <t>K DLO*PEDIDOSYA CARREFOU</t>
  </si>
  <si>
    <t>EXPRESS 27 DE ABRIL 458</t>
  </si>
  <si>
    <t>VIANDA MARIO-LETAPE</t>
  </si>
  <si>
    <t>K GOOGLE *Google O P1lJyS8k USD 2,99</t>
  </si>
  <si>
    <t>2 REUNIONES LETAPE</t>
  </si>
  <si>
    <t>ESER S.A SHELL</t>
  </si>
  <si>
    <t>APPYPF 31131 COMBUST</t>
  </si>
  <si>
    <t>K DLO*PEDIDOSYA EL MARQU</t>
  </si>
  <si>
    <t>MERPAGO*A4SERVICIOSGRAFIC</t>
  </si>
  <si>
    <t>APPLE.COM/BILL MSD43G3MYUSD 9,99</t>
  </si>
  <si>
    <t>K DLO*PedidosYa Propina</t>
  </si>
  <si>
    <t>EST SERVICIO ALAMINOS</t>
  </si>
  <si>
    <t>K GOOGLE *Google O P1kZmYrA USD 2,99</t>
  </si>
  <si>
    <t>APPLE.COM/BILL MSD47DYYDUSD 6,99</t>
  </si>
  <si>
    <t>LETAPE</t>
  </si>
  <si>
    <t>K MERPAGO*ANDESMAR2023</t>
  </si>
  <si>
    <t>K AUTOPISTA DEL OE 803071617506101</t>
  </si>
  <si>
    <t>SEGUROS BERNAR0660237528606-002-000</t>
  </si>
  <si>
    <t>SEGUROS BERNAR0660242024403-002-000</t>
  </si>
  <si>
    <t>K ALTOS DEL ESTERO</t>
  </si>
  <si>
    <t>SEGUROS BERNAR0660243929401-002-000</t>
  </si>
  <si>
    <t>SEGUROS BERNAR0660243929501-002-000</t>
  </si>
  <si>
    <t>K AA2000 000000334699112</t>
  </si>
  <si>
    <t>APPYPF 02101 COMBUSTIB</t>
  </si>
  <si>
    <t>K CORREDORES VIALE 000000334439574</t>
  </si>
  <si>
    <t>APPYPF 02101 TIENDA</t>
  </si>
  <si>
    <t>SEGURO AUTOELEVADOR 3 (TECNICA Y AUTOMOTOR)</t>
  </si>
  <si>
    <t>K GOOGLE *Google O P1m9RcFb USD 1,99</t>
  </si>
  <si>
    <t>K DLO*PEDIDOSYA TEPPANYA</t>
  </si>
  <si>
    <t>EXPERTA SEGURO0000061055374-015-000</t>
  </si>
  <si>
    <t>SEGURO DE HOGAR DE POLLO</t>
  </si>
  <si>
    <t>AGENCIA PROVINCIAL DE SEG</t>
  </si>
  <si>
    <t>K AA2000 000000339491120</t>
  </si>
  <si>
    <t>SEGUROS BERNAR0660237528605-002-000</t>
  </si>
  <si>
    <t>SEGUROS BERNAR0660242024402-002-000</t>
  </si>
  <si>
    <t>SEGUROS BERNAR0660228236312-002-000</t>
  </si>
  <si>
    <t>SEGUROS BERNAR0660228236112-002-000</t>
  </si>
  <si>
    <t>PLA-KA S.A. 03/03</t>
  </si>
  <si>
    <t>BATERIA P/ AUTO (AUT. POLLO)3/3</t>
  </si>
  <si>
    <t xml:space="preserve">PATENTE NO LEGIBLE (DAVID AGUIRRE/AA 183 PK) </t>
  </si>
  <si>
    <t>HENZY 03/03</t>
  </si>
  <si>
    <t>HENZY-ANDREA-3/3</t>
  </si>
  <si>
    <t>LA DOLFINA 01/03</t>
  </si>
  <si>
    <t>MERPAGO*CACHAVACHA 03/03</t>
  </si>
  <si>
    <t>CACHAVACHA-ANDREA 3/3</t>
  </si>
  <si>
    <t>APPLE.COM BILL 10329784 USD 6,99</t>
  </si>
  <si>
    <t>FURIA (EVER)-ALMUERZO X 5 PAX-SÁBADO-RESCOLDO</t>
  </si>
  <si>
    <t>MILTON -ALMUERZO X 5 PAX-SABADO -UCC</t>
  </si>
  <si>
    <t>ALCANO SRL YPF</t>
  </si>
  <si>
    <t>MILTON -ALMUERZO X 10 PAX-DOMINGO-RESCOLDO</t>
  </si>
  <si>
    <t>K CORREDORES VIALE 000000324702698</t>
  </si>
  <si>
    <t>FURIA-ALMUERZO X 15 PAX-LUNES 1/06-Rescoldo-desarme</t>
  </si>
  <si>
    <t>SHELL-COMBUSTIBLE</t>
  </si>
  <si>
    <t>EXPERTA SEGURO0000058438788-015-000</t>
  </si>
  <si>
    <t>YPF OPESSA CORDOBA 3</t>
  </si>
  <si>
    <t>FOCO QUEMADO (LUIS LEDESMA/AG 768 OI)</t>
  </si>
  <si>
    <t>UBER TRASLADO PERSONAL A CABALEN</t>
  </si>
  <si>
    <t>UBER TRASLADO PERSONAL DE POLO A RESCOLDO (CANCELADO PORQUE NO PODIA LLEVAR LA CANTIDAD DE GENTE)</t>
  </si>
  <si>
    <t>UBER TRASLADO PERSONAL DE POLO A RESCOLDO</t>
  </si>
  <si>
    <t>UBER TRASLADO PERSONAL DE RESCOLDO A POLO</t>
  </si>
  <si>
    <t>MERPAGO*ZONAPLUS</t>
  </si>
  <si>
    <t>PASAJE JONAS Y CATRIEL - CÓRDOBA A SAN LUIS</t>
  </si>
  <si>
    <t>K GOOGLE *Google O P1ll1iGx USD 1,99</t>
  </si>
  <si>
    <t>K Google One A89375366USD 9,99</t>
  </si>
  <si>
    <t>K AUTOPISTA DEL OE 803071617506102</t>
  </si>
  <si>
    <t>RIIING</t>
  </si>
  <si>
    <t>ESTACION LA ROTONDA</t>
  </si>
  <si>
    <t>K CANVA</t>
  </si>
  <si>
    <t>K DLO*PEDIDOSYA SUSHIWOR</t>
  </si>
  <si>
    <t>APPYPF 11684 COMBUST</t>
  </si>
  <si>
    <t>K S L S MIGUEL SRL</t>
  </si>
  <si>
    <t>FABRICA DE SALAMANDR 02/03</t>
  </si>
  <si>
    <t>NARANJA GOLD 03/03</t>
  </si>
  <si>
    <t>CARRION -ANDREA 3/3</t>
  </si>
  <si>
    <t>PLA-KA S.A. 02/03</t>
  </si>
  <si>
    <t>BATERIA P/ AUTO (AUT. POLLO)2/3</t>
  </si>
  <si>
    <t>HENZY 02/03</t>
  </si>
  <si>
    <t>HENZY-ANDREA-2/3</t>
  </si>
  <si>
    <t>MERPAGO*CACHAVACHA 02/03</t>
  </si>
  <si>
    <t>CACHAVACHA-ANDREA 2/3</t>
  </si>
  <si>
    <t>FAUSTO COMBUSTIBLE-MULA-RIO PINTO</t>
  </si>
  <si>
    <t>FAUSTO COMBUSTIBLE-MULA -RIO PINTO</t>
  </si>
  <si>
    <t>SHELL-COMBUSTIBLE-ANDREA</t>
  </si>
  <si>
    <t>FAUSTO-COMBUSTIBLE CAMION PLANCHA-RIO PINTO</t>
  </si>
  <si>
    <t>LUIS CAMIONERO -COMBUSTIBLE-1 VIAJE</t>
  </si>
  <si>
    <t>K MERPAGO*ESTEBANGABRIELMOR</t>
  </si>
  <si>
    <t>GABRIEL MORA -CAJA-SANTIAGO</t>
  </si>
  <si>
    <t>LUIS CAMIONERO-CAJA</t>
  </si>
  <si>
    <t>SANTA BARBARA-DESCUBIERTO</t>
  </si>
  <si>
    <t>YPF-COMBUSTIBLE-ANDREA</t>
  </si>
  <si>
    <t>FAUSTO-COMB. CAMIONETA LVX 455-RIO PINTO</t>
  </si>
  <si>
    <t>LUIS CAMIONERO -COMBUSTIBLE-2+CAJA VIAJE</t>
  </si>
  <si>
    <t>FAUSTO COMBUSTIBLE X 2 CAMIONETAS-RIO PINTO</t>
  </si>
  <si>
    <t>K MERPAGO*LEANDROEZEQUIELNA</t>
  </si>
  <si>
    <t>LEANDRO COMBUSTIBLE VOLVO-RIO PINTO</t>
  </si>
  <si>
    <t>FAUSTO-COMBUSTIBLE P/ MULA-RIO PINTO</t>
  </si>
  <si>
    <t>K MERPAGO*SANTIAGOBIBILONIO</t>
  </si>
  <si>
    <t>EPEC-ANDREA-(TRANSF.SANTIAGO)-$ 271,000</t>
  </si>
  <si>
    <t xml:space="preserve">MERPAGO*CLOCLO  </t>
  </si>
  <si>
    <t>ALMACEN ANDREA-CLOCLO</t>
  </si>
  <si>
    <t xml:space="preserve"> K MERPAGO*SHELLBOX</t>
  </si>
  <si>
    <t>MC DONALS VCP</t>
  </si>
  <si>
    <t>AUTO MAC</t>
  </si>
  <si>
    <t>PEAJE -CAMINO DE LA SIERRA</t>
  </si>
  <si>
    <t>GOOGLE *Google O P1laqKuN USD 0,89</t>
  </si>
  <si>
    <t>GOOGLE ON- U$0,89</t>
  </si>
  <si>
    <t>K MERPAGO*CLARO</t>
  </si>
  <si>
    <t>RECARGA CELULAR CLARO</t>
  </si>
  <si>
    <t>ALUVID</t>
  </si>
  <si>
    <t>ALUVID-REPOSICION ROTURA VIDRIO-(ANDREA)</t>
  </si>
  <si>
    <t>OPTICA TRASERA -POLLO-FA 22911</t>
  </si>
  <si>
    <t>TADICOR-COMPRA MONICA- (ANDREA)</t>
  </si>
  <si>
    <t>DOS57 Y PERSONAL</t>
  </si>
  <si>
    <t>YPF- GARRAFA X 10 P/ ESTUFA POLO</t>
  </si>
  <si>
    <t>JULIO</t>
  </si>
  <si>
    <t>REPUESTO AUTO-TAPA AGUA</t>
  </si>
  <si>
    <t>LUIS COMBUSTIBLE HKQ 258-JESUS MARIA</t>
  </si>
  <si>
    <t>MAS VISION 06/06</t>
  </si>
  <si>
    <t>TRANSFERENCIA A MIGUEL PARA COMBUSTIBLE</t>
  </si>
  <si>
    <t>COMPRA DE SUPER PARA ADMINISTRACIÓN</t>
  </si>
  <si>
    <t>IMPRESIÓN DE PLANOS TC</t>
  </si>
  <si>
    <t>K MERPAGO*SPADORSIMARCELOEN</t>
  </si>
  <si>
    <t>JAZMIN ESTA GAGA Y NO SABE Q ES</t>
  </si>
  <si>
    <t>UBER ENVIO DE IMPRENTA A KEMPES</t>
  </si>
  <si>
    <t>K CABIFY AR 2618YHJNXWHP</t>
  </si>
  <si>
    <t>K MERPAGO*BENJAMNEZEQUIELGA</t>
  </si>
  <si>
    <t>IMPRESION STICKERS DOS57 VINILO</t>
  </si>
  <si>
    <t>K MERPAGO*DOBLEMAR</t>
  </si>
  <si>
    <t>COLCHON PARA LUIS (CAMIÓN PERLA NEGRA)</t>
  </si>
  <si>
    <t>FURIA</t>
  </si>
  <si>
    <t>PASAJE EMANUEL JUNCOS (BRUJA) - CÓRDOBA A SAN JUAN</t>
  </si>
  <si>
    <t>UBER ENVIO DE HAKA A POLO</t>
  </si>
  <si>
    <t>PASAJE FABRICIO ROBERTO - TUCUMAN A SANTIAGO DEL ESTERO</t>
  </si>
  <si>
    <t>ALMUERZO EN KEMPES CON FOFI (NO HABÍA PROVEEDOR DE COMIDA)</t>
  </si>
  <si>
    <t>MERPAGO*PASAJESCDP 03/03</t>
  </si>
  <si>
    <t>PASAJE AEREO GRILLO GUZMAN - BUENOS AIRES A CÓRDOBA</t>
  </si>
  <si>
    <t>PASAJE 5 PAX MORA - CÓRDOBA A SAN JUAN</t>
  </si>
  <si>
    <t>PASAJE EMMANUEL TENN - CÓRDOBA A VILLA MERCEDES</t>
  </si>
  <si>
    <t>LA DOLFINA 03/03</t>
  </si>
  <si>
    <t>PASAJE GUILLERMO VASQUEZ - CÓRDOBA A VILLA MERCEDES A CÓRDOBA</t>
  </si>
  <si>
    <t>UBER ENVIO DE IMPRENTA RECTA A POLO</t>
  </si>
  <si>
    <t>K RUTAS SUR ATLANT 000000349587212</t>
  </si>
  <si>
    <t>PASAJE (LUEGO CANCELADO) RODRIGO FERNANDEZ - CÓRDOBA A SAN JUAN A CÓRDOBA</t>
  </si>
  <si>
    <t>K MERPAGO*CARLOSALBERTOPAZ</t>
  </si>
  <si>
    <t>UBER TERMINAL A CASA EXTRANJEROS</t>
  </si>
  <si>
    <t>APPLE.COM/BILL MSD494KWZUSD 9,99</t>
  </si>
  <si>
    <t>UBER CASA EXTRANJEROS A TERMINAL</t>
  </si>
  <si>
    <t>UBER CASA EXTRANJEROS A POLO</t>
  </si>
  <si>
    <t>K CORREDORES VIALE 000000349662518</t>
  </si>
  <si>
    <t>VIATICO DESAYUNO VIAJE SANTIAGO A CÓRDOBA</t>
  </si>
  <si>
    <t>MODO ESPERA DEL STARLINK</t>
  </si>
  <si>
    <t>K MERPAGO*INGENIERIAGG</t>
  </si>
  <si>
    <t>COMPRA ANEMOMETRO DIGITAL (MEDICIÓN DE VIENTOS)</t>
  </si>
  <si>
    <t>K CORREDORES VIALE 000000349587212</t>
  </si>
  <si>
    <t>K GOOGLE *Google O P1mwQw1a USD 2,99</t>
  </si>
  <si>
    <t>DEVOLUCIÓN PASAJE RODRIGO FERNANDEZ (NO LLEGO A CÓRDOBA A TIEMPO)</t>
  </si>
  <si>
    <t>K MERPAGO*LACASADELANVI</t>
  </si>
  <si>
    <t>MERPAGO*GLOBANS</t>
  </si>
  <si>
    <t>COMPRA CUELLITOS POLARES PARA PERSONAL</t>
  </si>
  <si>
    <t>APPLE.COM/BILL MSD4DWVM7USD 9,99</t>
  </si>
  <si>
    <t>UBER PARA JAZ DE POLO A NEPER</t>
  </si>
  <si>
    <t>UBER PARA JAZ DE NEPER A CASA JAZ (MADRUGADA)</t>
  </si>
  <si>
    <t>SEGUROS BERNAR0660242024404-002-000</t>
  </si>
  <si>
    <t>PASAJE FABRICIO ROBERTO - TUCUMÁN A JUJUY</t>
  </si>
  <si>
    <t>SEGUROS BERNAR0660243929402-002-000</t>
  </si>
  <si>
    <t>IMPRESION PLANOS TC CABALEN</t>
  </si>
  <si>
    <t>SEGUROS BERNAR0660243929502-002-000</t>
  </si>
  <si>
    <t>PAGO VIANDA PARA LEANDRO (NO COMIÓ EN NINGÚN PUNTO)</t>
  </si>
  <si>
    <t>SEGUROS BERNAR0660237528607-002-000</t>
  </si>
  <si>
    <t>PASAJE CATRIEL Y JONAS - SAN LUIS A CÓRDOBA</t>
  </si>
  <si>
    <t>PASAJE EZEQUIEL GUTIERREZ - CÓRDOBA A SAN JUAN</t>
  </si>
  <si>
    <t>APPLE.COM/BILL MSD4B6BW6USD 6,99</t>
  </si>
  <si>
    <t>PASAJE JESUS FLORES - SALTA A JUJUY</t>
  </si>
  <si>
    <t>UBER ENVIO DE IMPRENTA A CABALEN</t>
  </si>
  <si>
    <t>PASAJES 5 PAX SAN JUAN - SAN JUAN A CÓRDOBA</t>
  </si>
  <si>
    <t>PASAJES 5 PAX - SAN JUAN A CÓRDOBA</t>
  </si>
  <si>
    <t>K Google One A98805293USD 9,99</t>
  </si>
  <si>
    <t>PASAJE MOYANO Y ROSALES - SAN LUIS A CÓRDOBA</t>
  </si>
  <si>
    <t>K AUTOPISTA PROVIN 908030716175061</t>
  </si>
  <si>
    <t>UBER PARA JAZ DE POLO A CABALEN</t>
  </si>
  <si>
    <t>GOOGLE *Google O P1nloAEG USD 2,99</t>
  </si>
  <si>
    <t>CARGA COMBUSTIBLE KANGOO ENJOY</t>
  </si>
  <si>
    <t>PASAJE MATIAS MUT Y FRANCO SILVA - LA RIOJA A CÓRDOBA</t>
  </si>
  <si>
    <t>PASAJE FABRICIO ROBERTO - TUCUMÁN A CÓRDOBA</t>
  </si>
  <si>
    <t>PASAJE JESUS FLORES - CÓRDOBA A SALTA</t>
  </si>
  <si>
    <t>K CORREDORES VIALE 000000344542139</t>
  </si>
  <si>
    <t>CARGA COMBUSTIBLE AUTO GRILLO (CABALEN - FC A NOMBRE DE ENJOY)</t>
  </si>
  <si>
    <t>CENA VIAJE DE VUELTA DE JESUS MARIA A CÓRDOBA</t>
  </si>
  <si>
    <t>OPTICA TRASERA DE LA CAMIONETA DE POLLO</t>
  </si>
  <si>
    <t>K MERPAGO*BARBIEROSRL</t>
  </si>
  <si>
    <t>CANCELACIÓN PASAJE FABRICIO ROBERTO - TUCUMÁN A CÓRDOBA (AUTORIZADO POR MATÍAS PARA EMITIR PASAJE NUEVO DE TUCUMÁNA SANTIAGO DEL ESTERO DIRECTO)</t>
  </si>
  <si>
    <t>PASAJE GERARDO MACHADO - JUJUY A CÓRDOBA</t>
  </si>
  <si>
    <t>CANCELACION PASAJE LUIS POR CAMBIO LOGISTICO</t>
  </si>
  <si>
    <t>K TRAMAT SA Y OTROS UNION T</t>
  </si>
  <si>
    <t>SEGUROS BERNAR0660243929403-002-000</t>
  </si>
  <si>
    <t>AUBASA 803071617506102</t>
  </si>
  <si>
    <t>SEGUROS BERNAR0660237528608-002-000</t>
  </si>
  <si>
    <t>DEVOLUCIÓN DEL PAGO DEL AP PERSONAL ANDRE</t>
  </si>
  <si>
    <t>DEVOLUCIÓN DEL PAGO DEL SEGURO AUTOELEVADOR 3 (TECNICA Y AUTOMOTOR)</t>
  </si>
  <si>
    <t>SEGUROS BERNAR0660242024405-002-000</t>
  </si>
  <si>
    <t>EXPERTA SEGURO0000063619089-015-000</t>
  </si>
  <si>
    <t>SEGUROS BERNAR0660243929503-002-000</t>
  </si>
  <si>
    <t>K BALUT P10</t>
  </si>
  <si>
    <t>BEZZAPAY*RENTAS CORDOBA</t>
  </si>
  <si>
    <t>PASAJE LUIS LEDESMA - CÓRDOBA A JUJUY</t>
  </si>
  <si>
    <t>NO LLEVAR LAS LUCES PRENDIDAD (FAUSTO/HLW 156) (SE DESCONTO)</t>
  </si>
  <si>
    <t>ALMUERZO KM</t>
  </si>
  <si>
    <t>PASAJE MIGUEL MARTINEZ - CÓRDOBA A JUJUY</t>
  </si>
  <si>
    <t>SERVICE CHARGE PASAJE LUIS LEDESMA - CÓRDOBA A JUJUY</t>
  </si>
  <si>
    <t>ALMUERZO SALIDA DE KEMPES</t>
  </si>
  <si>
    <t>GOOGLE *Google O P1mWYpOK USD 1,99</t>
  </si>
  <si>
    <t>ALMUERZO / CAFE MARIO</t>
  </si>
  <si>
    <t xml:space="preserve"> DEVOLUCION DEL PAGO DEL SEGURO DE HOGAR DE POLLO</t>
  </si>
  <si>
    <t>SERVICE CHARGE PASAJE MIGUEL MARTINEZ - CÓRDOBA A JUJUY</t>
  </si>
  <si>
    <t>SAN CRISTOBAL 1030132102506-001-000</t>
  </si>
  <si>
    <t>SEGURO TOYOTA KEX 251</t>
  </si>
  <si>
    <t>K TELEPEAJE PLUS 000000344542139</t>
  </si>
  <si>
    <t>APPLE.COM/BILL MSD4G22SSUSD 6,99</t>
  </si>
  <si>
    <t>PASAJE GERARDO MACHADO - CÓRDOBA A JUJUY</t>
  </si>
  <si>
    <t>PASAJE FABRICIO ROBERTO - SANTIAGO DEL ESTERO A TUCUMÁN</t>
  </si>
  <si>
    <t>SERVICE CHARGE PASAJE GERARDO MACHADO - CÓRDOBA A JUJUY</t>
  </si>
  <si>
    <t>ESTACION AUTODROMO</t>
  </si>
  <si>
    <t>EXPERTA SEGURO0000066185513-015-001</t>
  </si>
  <si>
    <t>TC 2000</t>
  </si>
  <si>
    <t>PASAJE MATIAS MUT Y FRANCO SILVA - SANTIAGO DEL ESTERO A LA RIOJA</t>
  </si>
  <si>
    <t>PASAJES 5 PAX - CÓRDOBA A SAN JUAN</t>
  </si>
  <si>
    <t>PLANOS</t>
  </si>
  <si>
    <t>PASAJE GUILLERMO VASQUEZ - CÓRDOBA A VILLA MERCEDES</t>
  </si>
  <si>
    <t>PASAJE JESUS FLORES - JUJUY A SALTA</t>
  </si>
  <si>
    <t>MERPAGO*LODEASTRID</t>
  </si>
  <si>
    <t>PASAJE MOYANO Y ROSALES - CÓRDOBA A SAN LUIS</t>
  </si>
  <si>
    <t>SERVICE CHARGE PASAJE JESUS FLORES - JUJUY A SALTA</t>
  </si>
  <si>
    <t>K GOOGLE *Google O P1nKTh2O USD 1,99</t>
  </si>
  <si>
    <t>CAFE CON MARIO</t>
  </si>
  <si>
    <t>PASAJE GERARDO VILLAFAÑE - CORDOBA A SAN JUAN</t>
  </si>
  <si>
    <t>PASAJES 3 PAX SAN JUAN - CÓRDOBA A SAN JUAN</t>
  </si>
  <si>
    <t>REUNION AUTO ENTRADA</t>
  </si>
  <si>
    <t>PASAJE RODRIGO FERNANDEZ - CORDOBA A SAN JUAN A CORDOBA (LO PAGO)</t>
  </si>
  <si>
    <t>TC - ALMUERZO MARIO</t>
  </si>
  <si>
    <t>PASAJES 2 PAX SAN LUIS - CORDOBA A SAN LUIS</t>
  </si>
  <si>
    <t>TC - ALMUERZO VECK</t>
  </si>
  <si>
    <t>PASAJE SILVA FRANCO - CORDOBA A LA RIOJA</t>
  </si>
  <si>
    <t>PASAJE GUILLERMO VASQUEZ - CORDOBA A VILLA MERCEDES</t>
  </si>
  <si>
    <t>IMPRESIONES (EN LA PLANILLA FIGURA $7.500, N°29)</t>
  </si>
  <si>
    <t>PASAJES 5 PAX SAN JUAN - SAN JUAN A TUCUMÁN</t>
  </si>
  <si>
    <t>PASAJE CESAR SALINAS - SAN JUAN A TUCUMÁN</t>
  </si>
  <si>
    <t>PASAJES 3 PAX LA RIOJA - LA RIOJA A TUCUMÁN</t>
  </si>
  <si>
    <t>PASAJES 2 PAX SAN LUIS - SAN LUIS A TUCUMÁN</t>
  </si>
  <si>
    <t>PASAJE GUILLERMO VASQUEZ - VILLA MERCEDES A TUCUMÁN</t>
  </si>
  <si>
    <t>ALMUERZO CON MARIO (EN LA PLANILLA FIGURA $32.148, N°25)</t>
  </si>
  <si>
    <t>HIPER CHANGOMAS CBA OE</t>
  </si>
  <si>
    <t>TC2000 - ALMUERZO MARIO</t>
  </si>
  <si>
    <t>ALMUERZO CON MARIO (EN LA PLANILLA FIGURA $22.000, N°33)</t>
  </si>
  <si>
    <t>K Google One A57735558USD 9,99</t>
  </si>
  <si>
    <t>K Google One A18458528USD 9,99</t>
  </si>
  <si>
    <t>PUNTO CARCANO</t>
  </si>
  <si>
    <t>COMIDA</t>
  </si>
  <si>
    <t>K CANVA* I04963-32 USD 5,75</t>
  </si>
  <si>
    <t>COMBUSTIBLE KANGOO</t>
  </si>
  <si>
    <t>COMIDA CABALEN</t>
  </si>
  <si>
    <t>Despensa La Estacion</t>
  </si>
  <si>
    <t>COMBUSTIBLR KANGOO</t>
  </si>
  <si>
    <t>IMPRESIONES CABALEN</t>
  </si>
  <si>
    <t>COMBUSTIBLE PARA GRUPO ELECTROGENOS</t>
  </si>
  <si>
    <t>FERRETERIA LA METRO</t>
  </si>
  <si>
    <t>NILON PARA MANTELES CABALEN</t>
  </si>
  <si>
    <t>CANTINA EL TORI CABALEN</t>
  </si>
  <si>
    <t>K CANVA* I04932-23 USD 5,77</t>
  </si>
  <si>
    <t>PLANOS JAZ</t>
  </si>
  <si>
    <t>COMBUSTIBLE KANGOOOO</t>
  </si>
  <si>
    <t>FABRICA DE SALAMANDRAS 01/03</t>
  </si>
  <si>
    <t>FABRICA DE SALAMANDR 03/03</t>
  </si>
  <si>
    <t>COMISION RENO.ANUAL(04M)</t>
  </si>
  <si>
    <t>COMBUSTIBLE PARA SPRINTER SALIDA DE CBA A SANTIAGO DEL ESTERO</t>
  </si>
  <si>
    <t>FABIAN ENRICO SRL</t>
  </si>
  <si>
    <t>COMBUSTIBLE PERLA NEGRA (LUIS) SALIDA DE SANTIAGO DEL ESTERO A CBA</t>
  </si>
  <si>
    <t>COMBUSTIBLE PARA SPRINTER SALIDA DE SANTIAGO DEL ESTERO A CBA</t>
  </si>
  <si>
    <t>COMBUSTIBLE PARA RANGER BLANCA</t>
  </si>
  <si>
    <t>COMBUSTIBLE PARA MULA</t>
  </si>
  <si>
    <t>YPF BIANCHI SRL</t>
  </si>
  <si>
    <t>COMBUSTIBLE PARA RANGER BLANCA, VIAJE A CÓRDOBA</t>
  </si>
  <si>
    <t>COMBUSTIBLE PARA CAMION (HMNO DE MANOLO) SALIDA DE SANTIAGO DEL ESTERO A CBA</t>
  </si>
  <si>
    <t>EL AUDITOR SA</t>
  </si>
  <si>
    <t>COMPRA DE LIBRERIA PARA ÁMBILES DE PRODUCCIÓN (TC-CABALEN)</t>
  </si>
  <si>
    <t>MAXI CACHEUTA</t>
  </si>
  <si>
    <t>COMPRA DE CATERING PARA ÁMBILES DE PRODUCCIÓN (TC-CABALEN)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</si>
</sst>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-[$$-2C0A]\ * #,##0.00_-;\-[$$-2C0A]\ * #,##0.00_-;_-[$$-2C0A]\ * &quot;-&quot;??_-;_-@"/>
    <numFmt numFmtId="166" formatCode="_-&quot;$&quot;* #,##0.00_-;_-&quot;$&quot;* \-#,##0.00_-;_-&quot;$&quot;* &quot;-&quot;??_-;_-@"/>
    <numFmt numFmtId="167" formatCode="d/M/yyyy"/>
  </numFmts>
  <fonts count="33">
    <font>
      <sz val="11.0"/>
      <color theme="1"/>
      <name val="Aptos Narrow"/>
      <scheme val="minor"/>
    </font>
    <font>
      <sz val="14.0"/>
      <color theme="0"/>
      <name val="Calibri"/>
    </font>
    <font/>
    <font>
      <b/>
      <sz val="18.0"/>
      <color theme="1"/>
      <name val="Aptos Narrow"/>
    </font>
    <font>
      <b/>
      <sz val="20.0"/>
      <color theme="1"/>
      <name val="Calibri"/>
    </font>
    <font>
      <sz val="11.0"/>
      <color theme="1"/>
      <name val="Aptos Narrow"/>
    </font>
    <font>
      <sz val="14.0"/>
      <color theme="1"/>
      <name val="Calibri"/>
    </font>
    <font>
      <sz val="12.0"/>
      <color theme="1"/>
      <name val="Aptos Narrow"/>
    </font>
    <font>
      <sz val="13.0"/>
      <color theme="1"/>
      <name val="Calibri"/>
    </font>
    <font>
      <b/>
      <sz val="18.0"/>
      <color theme="1"/>
      <name val="Calibri"/>
    </font>
    <font>
      <sz val="12.0"/>
      <color theme="1"/>
      <name val="Arial"/>
    </font>
    <font>
      <sz val="14.0"/>
      <color theme="1"/>
      <name val="Aptos Narrow"/>
    </font>
    <font>
      <sz val="11.0"/>
      <color theme="1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b/>
      <sz val="14.0"/>
      <color theme="1"/>
      <name val="Aptos Narrow"/>
    </font>
    <font>
      <sz val="11.0"/>
      <color rgb="FF000000"/>
      <name val="Calibri"/>
    </font>
    <font>
      <u/>
      <sz val="11.0"/>
      <color theme="1"/>
      <name val="Calibri"/>
    </font>
    <font>
      <sz val="11.0"/>
      <color rgb="FFFF0000"/>
      <name val="Calibri"/>
    </font>
    <font>
      <sz val="10.0"/>
      <color theme="1"/>
      <name val="Comfortaa"/>
    </font>
    <font>
      <sz val="11.0"/>
      <color theme="1"/>
      <name val="Comfortaa"/>
    </font>
    <font>
      <b/>
      <sz val="14.0"/>
      <color theme="1"/>
      <name val="Comfortaa"/>
    </font>
    <font>
      <u/>
      <sz val="11.0"/>
      <color theme="1"/>
      <name val="Calibri"/>
    </font>
    <font>
      <sz val="10.0"/>
      <color theme="1"/>
      <name val="Aptos Narrow"/>
    </font>
    <font>
      <sz val="12.0"/>
      <color theme="0"/>
      <name val="Federo"/>
    </font>
    <font>
      <b/>
      <sz val="18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sz val="10.0"/>
      <color theme="1"/>
      <name val="Calibri"/>
    </font>
    <font>
      <sz val="11.0"/>
      <color rgb="FF000000"/>
      <name val="Arial"/>
    </font>
    <font>
      <sz val="10.0"/>
      <color theme="1"/>
      <name val="Aptos Narrow"/>
      <scheme val="minor"/>
    </font>
    <font>
      <sz val="10.0"/>
      <color theme="1"/>
      <name val="Arial"/>
    </font>
    <font>
      <sz val="11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</fills>
  <borders count="9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/>
      <top style="medium">
        <color rgb="FF000000"/>
      </top>
      <bottom style="double">
        <color rgb="FF000000"/>
      </bottom>
    </border>
    <border>
      <left/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/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double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vertical="center"/>
    </xf>
    <xf borderId="5" fillId="0" fontId="2" numFmtId="0" xfId="0" applyBorder="1" applyFont="1"/>
    <xf borderId="4" fillId="3" fontId="4" numFmtId="0" xfId="0" applyAlignment="1" applyBorder="1" applyFill="1" applyFont="1">
      <alignment horizontal="right" vertical="center"/>
    </xf>
    <xf borderId="0" fillId="0" fontId="5" numFmtId="0" xfId="0" applyFont="1"/>
    <xf borderId="6" fillId="3" fontId="4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4" numFmtId="0" xfId="0" applyAlignment="1" applyBorder="1" applyFill="1" applyFont="1">
      <alignment horizontal="right" vertical="center"/>
    </xf>
    <xf borderId="11" fillId="3" fontId="3" numFmtId="0" xfId="0" applyAlignment="1" applyBorder="1" applyFill="1" applyFont="1">
      <alignment horizontal="right" vertical="center"/>
    </xf>
    <xf borderId="12" fillId="0" fontId="2" numFmtId="0" xfId="0" applyBorder="1" applyFont="1"/>
    <xf borderId="13" fillId="3" fontId="4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2" fontId="1" numFmtId="0" xfId="0" applyAlignment="1" applyBorder="1" applyFill="1" applyFont="1">
      <alignment horizontal="center" vertical="center"/>
    </xf>
    <xf borderId="16" fillId="2" fontId="1" numFmtId="0" xfId="0" applyAlignment="1" applyBorder="1" applyFill="1" applyFont="1">
      <alignment horizontal="center" vertical="center"/>
    </xf>
    <xf borderId="17" fillId="2" fontId="1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 vertical="center"/>
    </xf>
    <xf borderId="21" fillId="0" fontId="2" numFmtId="0" xfId="0" applyBorder="1" applyFont="1"/>
    <xf borderId="22" fillId="3" fontId="4" numFmtId="164" xfId="0" applyAlignment="1" applyBorder="1" applyFill="1" applyFont="1" applyNumberFormat="1">
      <alignment horizontal="center" vertical="center"/>
    </xf>
    <xf borderId="18" fillId="0" fontId="6" numFmtId="0" xfId="0" applyAlignment="1" applyBorder="1" applyFont="1">
      <alignment horizontal="center" vertical="center"/>
    </xf>
    <xf borderId="18" fillId="0" fontId="7" numFmtId="165" xfId="0" applyAlignment="1" applyBorder="1" applyFont="1" applyNumberFormat="1">
      <alignment horizontal="center" vertical="center"/>
    </xf>
    <xf borderId="18" fillId="0" fontId="8" numFmtId="165" xfId="0" applyAlignment="1" applyBorder="1" applyFont="1" applyNumberFormat="1">
      <alignment horizontal="center" vertical="center"/>
    </xf>
    <xf borderId="18" fillId="0" fontId="7" numFmtId="165" xfId="0" applyAlignment="1" applyBorder="1" applyFont="1" applyNumberFormat="1">
      <alignment vertical="center"/>
    </xf>
    <xf borderId="20" fillId="0" fontId="8" numFmtId="165" xfId="0" applyAlignment="1" applyBorder="1" applyFont="1" applyNumberFormat="1">
      <alignment vertical="center"/>
    </xf>
    <xf borderId="18" fillId="0" fontId="8" numFmtId="165" xfId="0" applyAlignment="1" applyBorder="1" applyFont="1" applyNumberFormat="1">
      <alignment vertical="center"/>
    </xf>
    <xf borderId="23" fillId="4" fontId="3" numFmtId="0" xfId="0" applyAlignment="1" applyBorder="1" applyFill="1" applyFont="1">
      <alignment horizontal="center" vertical="center"/>
    </xf>
    <xf borderId="24" fillId="0" fontId="2" numFmtId="0" xfId="0" applyBorder="1" applyFont="1"/>
    <xf borderId="23" fillId="4" fontId="4" numFmtId="0" xfId="0" applyAlignment="1" applyBorder="1" applyFill="1" applyFont="1">
      <alignment horizontal="center" vertical="center"/>
    </xf>
    <xf borderId="25" fillId="0" fontId="2" numFmtId="0" xfId="0" applyBorder="1" applyFont="1"/>
    <xf borderId="23" fillId="4" fontId="9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18" fillId="0" fontId="10" numFmtId="165" xfId="0" applyAlignment="1" applyBorder="1" applyFont="1" applyNumberFormat="1">
      <alignment horizontal="center" vertical="center"/>
    </xf>
    <xf borderId="28" fillId="0" fontId="8" numFmtId="165" xfId="0" applyAlignment="1" applyBorder="1" applyFont="1" applyNumberFormat="1">
      <alignment horizontal="center" vertical="center"/>
    </xf>
    <xf borderId="29" fillId="0" fontId="8" numFmtId="165" xfId="0" applyAlignment="1" applyBorder="1" applyFont="1" applyNumberForma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28" fillId="0" fontId="7" numFmtId="165" xfId="0" applyAlignment="1" applyBorder="1" applyFont="1" applyNumberForma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5" fontId="7" numFmtId="0" xfId="0" applyAlignment="1" applyBorder="1" applyFill="1" applyFont="1">
      <alignment horizontal="center" vertical="center"/>
    </xf>
    <xf borderId="36" fillId="0" fontId="2" numFmtId="0" xfId="0" applyBorder="1" applyFont="1"/>
    <xf borderId="37" fillId="0" fontId="2" numFmtId="0" xfId="0" applyBorder="1" applyFont="1"/>
    <xf borderId="18" fillId="3" fontId="6" numFmtId="0" xfId="0" applyAlignment="1" applyBorder="1" applyFill="1" applyFont="1">
      <alignment horizontal="center" vertical="center"/>
    </xf>
    <xf borderId="18" fillId="3" fontId="6" numFmtId="166" xfId="0" applyAlignment="1" applyBorder="1" applyFill="1" applyFont="1" applyNumberFormat="1">
      <alignment horizontal="center" vertical="center"/>
    </xf>
    <xf borderId="18" fillId="3" fontId="11" numFmtId="0" xfId="0" applyAlignment="1" applyBorder="1" applyFill="1" applyFont="1">
      <alignment horizontal="center" vertical="center"/>
    </xf>
    <xf borderId="20" fillId="3" fontId="6" numFmtId="0" xfId="0" applyAlignment="1" applyBorder="1" applyFill="1" applyFont="1">
      <alignment horizontal="center" vertical="center"/>
    </xf>
    <xf borderId="18" fillId="3" fontId="12" numFmtId="0" xfId="0" applyAlignment="1" applyBorder="1" applyFill="1" applyFont="1">
      <alignment horizontal="center" vertical="center"/>
    </xf>
    <xf borderId="28" fillId="0" fontId="13" numFmtId="0" xfId="0" applyAlignment="1" applyBorder="1" applyFont="1">
      <alignment horizontal="center" vertical="center"/>
    </xf>
    <xf borderId="18" fillId="0" fontId="12" numFmtId="167" xfId="0" applyAlignment="1" applyBorder="1" applyFont="1" applyNumberFormat="1">
      <alignment horizontal="center"/>
    </xf>
    <xf borderId="18" fillId="0" fontId="12" numFmtId="165" xfId="0" applyAlignment="1" applyBorder="1" applyFont="1" applyNumberFormat="1">
      <alignment horizontal="center"/>
    </xf>
    <xf borderId="18" fillId="0" fontId="12" numFmtId="0" xfId="0" applyAlignment="1" applyBorder="1" applyFont="1">
      <alignment horizontal="center"/>
    </xf>
    <xf borderId="38" fillId="0" fontId="14" numFmtId="0" xfId="0" applyAlignment="1" applyBorder="1" applyFont="1">
      <alignment horizontal="center" vertical="center"/>
    </xf>
    <xf borderId="39" fillId="0" fontId="2" numFmtId="0" xfId="0" applyBorder="1" applyFont="1"/>
    <xf borderId="28" fillId="0" fontId="15" numFmtId="0" xfId="0" applyAlignment="1" applyBorder="1" applyFont="1">
      <alignment horizontal="center" vertical="center"/>
    </xf>
    <xf borderId="40" fillId="6" fontId="12" numFmtId="167" xfId="0" applyAlignment="1" applyBorder="1" applyFill="1" applyFont="1" applyNumberFormat="1">
      <alignment horizontal="center"/>
    </xf>
    <xf borderId="29" fillId="0" fontId="13" numFmtId="0" xfId="0" applyAlignment="1" applyBorder="1" applyFont="1">
      <alignment horizontal="center" vertical="center"/>
    </xf>
    <xf borderId="18" fillId="6" fontId="12" numFmtId="167" xfId="0" applyAlignment="1" applyBorder="1" applyFill="1" applyFont="1" applyNumberFormat="1">
      <alignment horizontal="center"/>
    </xf>
    <xf borderId="18" fillId="6" fontId="16" numFmtId="164" xfId="0" applyAlignment="1" applyBorder="1" applyFill="1" applyFont="1" applyNumberFormat="1">
      <alignment horizontal="center"/>
    </xf>
    <xf borderId="18" fillId="6" fontId="12" numFmtId="165" xfId="0" applyAlignment="1" applyBorder="1" applyFill="1" applyFont="1" applyNumberFormat="1">
      <alignment horizontal="center"/>
    </xf>
    <xf borderId="41" fillId="6" fontId="12" numFmtId="165" xfId="0" applyAlignment="1" applyBorder="1" applyFill="1" applyFont="1" applyNumberFormat="1">
      <alignment horizontal="center"/>
    </xf>
    <xf borderId="41" fillId="6" fontId="12" numFmtId="166" xfId="0" applyAlignment="1" applyBorder="1" applyFill="1" applyFont="1" applyNumberFormat="1">
      <alignment horizontal="center"/>
    </xf>
    <xf borderId="18" fillId="6" fontId="12" numFmtId="0" xfId="0" applyAlignment="1" applyBorder="1" applyFill="1" applyFont="1">
      <alignment horizontal="center"/>
    </xf>
    <xf borderId="41" fillId="6" fontId="12" numFmtId="0" xfId="0" applyAlignment="1" applyBorder="1" applyFill="1" applyFont="1">
      <alignment horizontal="center"/>
    </xf>
    <xf borderId="30" fillId="0" fontId="12" numFmtId="165" xfId="0" applyAlignment="1" applyBorder="1" applyFont="1" applyNumberFormat="1">
      <alignment horizontal="center"/>
    </xf>
    <xf borderId="41" fillId="6" fontId="16" numFmtId="0" xfId="0" applyAlignment="1" applyBorder="1" applyFill="1" applyFont="1">
      <alignment horizontal="center"/>
    </xf>
    <xf borderId="42" fillId="6" fontId="12" numFmtId="0" xfId="0" applyAlignment="1" applyBorder="1" applyFill="1" applyFont="1">
      <alignment horizontal="center"/>
    </xf>
    <xf borderId="30" fillId="0" fontId="12" numFmtId="0" xfId="0" applyAlignment="1" applyBorder="1" applyFont="1">
      <alignment horizontal="center"/>
    </xf>
    <xf borderId="43" fillId="0" fontId="2" numFmtId="0" xfId="0" applyBorder="1" applyFont="1"/>
    <xf borderId="38" fillId="0" fontId="2" numFmtId="0" xfId="0" applyBorder="1" applyFont="1"/>
    <xf borderId="18" fillId="7" fontId="12" numFmtId="0" xfId="0" applyAlignment="1" applyBorder="1" applyFill="1" applyFont="1">
      <alignment horizontal="center" shrinkToFit="0" vertical="center" wrapText="1"/>
    </xf>
    <xf borderId="41" fillId="6" fontId="16" numFmtId="164" xfId="0" applyAlignment="1" applyBorder="1" applyFill="1" applyFont="1" applyNumberFormat="1">
      <alignment horizontal="center"/>
    </xf>
    <xf borderId="31" fillId="0" fontId="12" numFmtId="0" xfId="0" applyAlignment="1" applyBorder="1" applyFont="1">
      <alignment horizontal="center"/>
    </xf>
    <xf borderId="18" fillId="6" fontId="16" numFmtId="0" xfId="0" applyAlignment="1" applyBorder="1" applyFill="1" applyFont="1">
      <alignment horizontal="center"/>
    </xf>
    <xf borderId="44" fillId="0" fontId="12" numFmtId="167" xfId="0" applyAlignment="1" applyBorder="1" applyFont="1" applyNumberFormat="1">
      <alignment horizontal="center"/>
    </xf>
    <xf borderId="30" fillId="0" fontId="16" numFmtId="164" xfId="0" applyAlignment="1" applyBorder="1" applyFont="1" applyNumberFormat="1">
      <alignment horizontal="center"/>
    </xf>
    <xf borderId="30" fillId="0" fontId="16" numFmtId="0" xfId="0" applyAlignment="1" applyBorder="1" applyFont="1">
      <alignment horizontal="center"/>
    </xf>
    <xf borderId="18" fillId="0" fontId="12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horizontal="center" shrinkToFit="0" wrapText="1"/>
    </xf>
    <xf borderId="30" fillId="0" fontId="12" numFmtId="166" xfId="0" applyAlignment="1" applyBorder="1" applyFont="1" applyNumberFormat="1">
      <alignment horizontal="center"/>
    </xf>
    <xf borderId="41" fillId="6" fontId="12" numFmtId="164" xfId="0" applyAlignment="1" applyBorder="1" applyFill="1" applyFont="1" applyNumberFormat="1">
      <alignment horizontal="center"/>
    </xf>
    <xf borderId="30" fillId="0" fontId="17" numFmtId="0" xfId="0" applyAlignment="1" applyBorder="1" applyFont="1">
      <alignment horizontal="center"/>
    </xf>
    <xf borderId="18" fillId="0" fontId="12" numFmtId="0" xfId="0" applyAlignment="1" applyBorder="1" applyFont="1">
      <alignment horizontal="center" shrinkToFit="0" wrapText="1"/>
    </xf>
    <xf borderId="18" fillId="6" fontId="18" numFmtId="165" xfId="0" applyAlignment="1" applyBorder="1" applyFill="1" applyFont="1" applyNumberFormat="1">
      <alignment horizontal="center"/>
    </xf>
    <xf borderId="20" fillId="6" fontId="12" numFmtId="0" xfId="0" applyAlignment="1" applyBorder="1" applyFill="1" applyFont="1">
      <alignment horizontal="center"/>
    </xf>
    <xf borderId="30" fillId="0" fontId="16" numFmtId="164" xfId="0" applyBorder="1" applyFont="1" applyNumberFormat="1"/>
    <xf borderId="30" fillId="0" fontId="12" numFmtId="164" xfId="0" applyAlignment="1" applyBorder="1" applyFont="1" applyNumberFormat="1">
      <alignment horizontal="center"/>
    </xf>
    <xf borderId="20" fillId="0" fontId="12" numFmtId="0" xfId="0" applyAlignment="1" applyBorder="1" applyFont="1">
      <alignment horizontal="center"/>
    </xf>
    <xf borderId="18" fillId="0" fontId="12" numFmtId="166" xfId="0" applyAlignment="1" applyBorder="1" applyFont="1" applyNumberFormat="1">
      <alignment horizontal="center"/>
    </xf>
    <xf borderId="18" fillId="7" fontId="12" numFmtId="0" xfId="0" applyAlignment="1" applyBorder="1" applyFill="1" applyFont="1">
      <alignment horizontal="center" shrinkToFit="0" wrapText="1"/>
    </xf>
    <xf borderId="45" fillId="0" fontId="13" numFmtId="0" xfId="0" applyAlignment="1" applyBorder="1" applyFont="1">
      <alignment horizontal="right"/>
    </xf>
    <xf borderId="46" fillId="0" fontId="2" numFmtId="0" xfId="0" applyBorder="1" applyFont="1"/>
    <xf borderId="28" fillId="0" fontId="12" numFmtId="165" xfId="0" applyAlignment="1" applyBorder="1" applyFont="1" applyNumberFormat="1">
      <alignment horizontal="center"/>
    </xf>
    <xf borderId="18" fillId="0" fontId="12" numFmtId="164" xfId="0" applyAlignment="1" applyBorder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0" numFmtId="0" xfId="0" applyFont="1"/>
    <xf borderId="18" fillId="6" fontId="12" numFmtId="164" xfId="0" applyAlignment="1" applyBorder="1" applyFill="1" applyFont="1" applyNumberFormat="1">
      <alignment horizontal="center"/>
    </xf>
    <xf borderId="18" fillId="6" fontId="12" numFmtId="166" xfId="0" applyAlignment="1" applyBorder="1" applyFill="1" applyFont="1" applyNumberFormat="1">
      <alignment horizontal="center"/>
    </xf>
    <xf borderId="47" fillId="8" fontId="21" numFmtId="0" xfId="0" applyAlignment="1" applyBorder="1" applyFill="1" applyFont="1">
      <alignment horizontal="center"/>
    </xf>
    <xf borderId="48" fillId="0" fontId="2" numFmtId="0" xfId="0" applyBorder="1" applyFont="1"/>
    <xf borderId="49" fillId="0" fontId="12" numFmtId="167" xfId="0" applyAlignment="1" applyBorder="1" applyFont="1" applyNumberFormat="1">
      <alignment horizontal="center"/>
    </xf>
    <xf borderId="49" fillId="0" fontId="2" numFmtId="0" xfId="0" applyBorder="1" applyFont="1"/>
    <xf borderId="50" fillId="6" fontId="12" numFmtId="167" xfId="0" applyAlignment="1" applyBorder="1" applyFill="1" applyFont="1" applyNumberFormat="1">
      <alignment horizontal="center"/>
    </xf>
    <xf borderId="18" fillId="9" fontId="12" numFmtId="0" xfId="0" applyAlignment="1" applyBorder="1" applyFill="1" applyFont="1">
      <alignment horizontal="center"/>
    </xf>
    <xf borderId="28" fillId="0" fontId="12" numFmtId="167" xfId="0" applyAlignment="1" applyBorder="1" applyFont="1" applyNumberFormat="1">
      <alignment horizontal="center"/>
    </xf>
    <xf borderId="47" fillId="0" fontId="13" numFmtId="0" xfId="0" applyAlignment="1" applyBorder="1" applyFont="1">
      <alignment horizontal="right"/>
    </xf>
    <xf borderId="18" fillId="0" fontId="22" numFmtId="0" xfId="0" applyAlignment="1" applyBorder="1" applyFont="1">
      <alignment horizontal="center"/>
    </xf>
    <xf borderId="18" fillId="0" fontId="12" numFmtId="4" xfId="0" applyBorder="1" applyFont="1" applyNumberFormat="1"/>
    <xf borderId="18" fillId="0" fontId="19" numFmtId="0" xfId="0" applyAlignment="1" applyBorder="1" applyFont="1">
      <alignment horizontal="center"/>
    </xf>
    <xf borderId="18" fillId="0" fontId="20" numFmtId="0" xfId="0" applyAlignment="1" applyBorder="1" applyFont="1">
      <alignment horizontal="center"/>
    </xf>
    <xf borderId="18" fillId="0" fontId="20" numFmtId="0" xfId="0" applyBorder="1" applyFont="1"/>
    <xf borderId="18" fillId="6" fontId="18" numFmtId="166" xfId="0" applyAlignment="1" applyBorder="1" applyFill="1" applyFont="1" applyNumberFormat="1">
      <alignment horizontal="center"/>
    </xf>
    <xf borderId="35" fillId="8" fontId="21" numFmtId="0" xfId="0" applyAlignment="1" applyBorder="1" applyFill="1" applyFont="1">
      <alignment horizontal="center"/>
    </xf>
    <xf borderId="51" fillId="0" fontId="2" numFmtId="0" xfId="0" applyBorder="1" applyFont="1"/>
    <xf borderId="52" fillId="6" fontId="16" numFmtId="164" xfId="0" applyAlignment="1" applyBorder="1" applyFill="1" applyFont="1" applyNumberFormat="1">
      <alignment horizontal="center"/>
    </xf>
    <xf borderId="53" fillId="0" fontId="13" numFmtId="0" xfId="0" applyAlignment="1" applyBorder="1" applyFont="1">
      <alignment horizontal="right"/>
    </xf>
    <xf borderId="54" fillId="0" fontId="2" numFmtId="0" xfId="0" applyBorder="1" applyFont="1"/>
    <xf borderId="55" fillId="0" fontId="16" numFmtId="164" xfId="0" applyAlignment="1" applyBorder="1" applyFont="1" applyNumberFormat="1">
      <alignment horizontal="center"/>
    </xf>
    <xf borderId="54" fillId="0" fontId="12" numFmtId="165" xfId="0" applyAlignment="1" applyBorder="1" applyFont="1" applyNumberFormat="1">
      <alignment horizontal="center"/>
    </xf>
    <xf borderId="2" fillId="0" fontId="19" numFmtId="0" xfId="0" applyAlignment="1" applyBorder="1" applyFont="1">
      <alignment horizontal="center"/>
    </xf>
    <xf borderId="56" fillId="0" fontId="15" numFmtId="0" xfId="0" applyAlignment="1" applyBorder="1" applyFont="1">
      <alignment horizontal="right"/>
    </xf>
    <xf borderId="2" fillId="0" fontId="20" numFmtId="0" xfId="0" applyAlignment="1" applyBorder="1" applyFont="1">
      <alignment horizontal="center"/>
    </xf>
    <xf borderId="57" fillId="0" fontId="12" numFmtId="165" xfId="0" applyAlignment="1" applyBorder="1" applyFont="1" applyNumberFormat="1">
      <alignment horizontal="center"/>
    </xf>
    <xf borderId="53" fillId="8" fontId="21" numFmtId="164" xfId="0" applyAlignment="1" applyBorder="1" applyFill="1" applyFont="1" applyNumberFormat="1">
      <alignment horizontal="center"/>
    </xf>
    <xf borderId="58" fillId="0" fontId="2" numFmtId="0" xfId="0" applyBorder="1" applyFont="1"/>
    <xf borderId="2" fillId="0" fontId="23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57" fillId="0" fontId="13" numFmtId="0" xfId="0" applyAlignment="1" applyBorder="1" applyFont="1">
      <alignment horizontal="center" vertical="center"/>
    </xf>
    <xf borderId="53" fillId="8" fontId="15" numFmtId="0" xfId="0" applyAlignment="1" applyBorder="1" applyFill="1" applyFont="1">
      <alignment horizontal="center"/>
    </xf>
    <xf borderId="18" fillId="0" fontId="12" numFmtId="0" xfId="0" applyBorder="1" applyFont="1"/>
    <xf borderId="50" fillId="10" fontId="12" numFmtId="167" xfId="0" applyAlignment="1" applyBorder="1" applyFill="1" applyFont="1" applyNumberFormat="1">
      <alignment horizontal="center"/>
    </xf>
    <xf borderId="18" fillId="0" fontId="16" numFmtId="0" xfId="0" applyAlignment="1" applyBorder="1" applyFont="1">
      <alignment horizontal="center"/>
    </xf>
    <xf borderId="18" fillId="10" fontId="12" numFmtId="166" xfId="0" applyAlignment="1" applyBorder="1" applyFill="1" applyFont="1" applyNumberFormat="1">
      <alignment horizontal="center"/>
    </xf>
    <xf borderId="18" fillId="10" fontId="12" numFmtId="165" xfId="0" applyAlignment="1" applyBorder="1" applyFill="1" applyFont="1" applyNumberFormat="1">
      <alignment horizontal="center"/>
    </xf>
    <xf borderId="18" fillId="10" fontId="12" numFmtId="0" xfId="0" applyAlignment="1" applyBorder="1" applyFill="1" applyFont="1">
      <alignment horizontal="center"/>
    </xf>
    <xf borderId="20" fillId="10" fontId="12" numFmtId="0" xfId="0" applyAlignment="1" applyBorder="1" applyFill="1" applyFont="1">
      <alignment horizontal="center"/>
    </xf>
    <xf borderId="39" fillId="0" fontId="15" numFmtId="0" xfId="0" applyAlignment="1" applyBorder="1" applyFont="1">
      <alignment horizontal="center" vertical="center"/>
    </xf>
    <xf borderId="30" fillId="0" fontId="12" numFmtId="167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46" fillId="0" fontId="12" numFmtId="167" xfId="0" applyAlignment="1" applyBorder="1" applyFont="1" applyNumberFormat="1">
      <alignment horizontal="center"/>
    </xf>
    <xf borderId="18" fillId="0" fontId="16" numFmtId="0" xfId="0" applyAlignment="1" applyBorder="1" applyFont="1">
      <alignment horizontal="center" vertical="center"/>
    </xf>
    <xf borderId="55" fillId="0" fontId="12" numFmtId="166" xfId="0" applyAlignment="1" applyBorder="1" applyFont="1" applyNumberFormat="1">
      <alignment horizontal="center"/>
    </xf>
    <xf borderId="59" fillId="6" fontId="12" numFmtId="0" xfId="0" applyAlignment="1" applyBorder="1" applyFill="1" applyFont="1">
      <alignment horizontal="center"/>
    </xf>
    <xf borderId="55" fillId="0" fontId="12" numFmtId="165" xfId="0" applyAlignment="1" applyBorder="1" applyFont="1" applyNumberFormat="1">
      <alignment horizontal="center"/>
    </xf>
    <xf borderId="53" fillId="8" fontId="21" numFmtId="0" xfId="0" applyAlignment="1" applyBorder="1" applyFill="1" applyFont="1">
      <alignment horizontal="center"/>
    </xf>
    <xf borderId="43" fillId="0" fontId="13" numFmtId="0" xfId="0" applyAlignment="1" applyBorder="1" applyFont="1">
      <alignment horizontal="center" vertical="center"/>
    </xf>
    <xf borderId="60" fillId="0" fontId="12" numFmtId="165" xfId="0" applyAlignment="1" applyBorder="1" applyFont="1" applyNumberFormat="1">
      <alignment horizontal="center"/>
    </xf>
    <xf borderId="61" fillId="0" fontId="13" numFmtId="0" xfId="0" applyAlignment="1" applyBorder="1" applyFont="1">
      <alignment horizontal="center" vertical="center"/>
    </xf>
    <xf borderId="60" fillId="0" fontId="12" numFmtId="167" xfId="0" applyAlignment="1" applyBorder="1" applyFont="1" applyNumberFormat="1">
      <alignment horizontal="center"/>
    </xf>
    <xf borderId="60" fillId="0" fontId="12" numFmtId="0" xfId="0" applyAlignment="1" applyBorder="1" applyFont="1">
      <alignment horizontal="center"/>
    </xf>
    <xf borderId="62" fillId="0" fontId="12" numFmtId="0" xfId="0" applyAlignment="1" applyBorder="1" applyFont="1">
      <alignment horizontal="center"/>
    </xf>
    <xf borderId="55" fillId="0" fontId="12" numFmtId="164" xfId="0" applyAlignment="1" applyBorder="1" applyFont="1" applyNumberFormat="1">
      <alignment horizontal="center"/>
    </xf>
    <xf borderId="1" fillId="0" fontId="19" numFmtId="0" xfId="0" applyAlignment="1" applyBorder="1" applyFont="1">
      <alignment horizontal="center"/>
    </xf>
    <xf borderId="2" fillId="0" fontId="20" numFmtId="0" xfId="0" applyBorder="1" applyFont="1"/>
    <xf borderId="63" fillId="0" fontId="12" numFmtId="167" xfId="0" applyAlignment="1" applyBorder="1" applyFont="1" applyNumberFormat="1">
      <alignment horizontal="center"/>
    </xf>
    <xf borderId="60" fillId="0" fontId="12" numFmtId="164" xfId="0" applyAlignment="1" applyBorder="1" applyFont="1" applyNumberFormat="1">
      <alignment horizontal="center"/>
    </xf>
    <xf borderId="64" fillId="0" fontId="12" numFmtId="0" xfId="0" applyAlignment="1" applyBorder="1" applyFont="1">
      <alignment horizontal="center"/>
    </xf>
    <xf borderId="49" fillId="0" fontId="12" numFmtId="0" xfId="0" applyAlignment="1" applyBorder="1" applyFont="1">
      <alignment horizontal="center"/>
    </xf>
    <xf borderId="65" fillId="0" fontId="2" numFmtId="0" xfId="0" applyBorder="1" applyFont="1"/>
    <xf borderId="66" fillId="0" fontId="12" numFmtId="167" xfId="0" applyAlignment="1" applyBorder="1" applyFont="1" applyNumberFormat="1">
      <alignment horizontal="center"/>
    </xf>
    <xf borderId="10" fillId="0" fontId="12" numFmtId="0" xfId="0" applyAlignment="1" applyBorder="1" applyFont="1">
      <alignment horizontal="center"/>
    </xf>
    <xf borderId="67" fillId="0" fontId="15" numFmtId="0" xfId="0" applyAlignment="1" applyBorder="1" applyFont="1">
      <alignment horizontal="right"/>
    </xf>
    <xf borderId="47" fillId="8" fontId="13" numFmtId="0" xfId="0" applyAlignment="1" applyBorder="1" applyFill="1" applyFont="1">
      <alignment horizontal="center"/>
    </xf>
    <xf borderId="18" fillId="0" fontId="18" numFmtId="165" xfId="0" applyAlignment="1" applyBorder="1" applyFont="1" applyNumberFormat="1">
      <alignment horizontal="center"/>
    </xf>
    <xf borderId="0" fillId="0" fontId="21" numFmtId="0" xfId="0" applyFont="1"/>
    <xf borderId="61" fillId="0" fontId="15" numFmtId="0" xfId="0" applyAlignment="1" applyBorder="1" applyFont="1">
      <alignment horizontal="center" vertical="center"/>
    </xf>
    <xf borderId="60" fillId="0" fontId="12" numFmtId="14" xfId="0" applyAlignment="1" applyBorder="1" applyFont="1" applyNumberFormat="1">
      <alignment horizontal="center"/>
    </xf>
    <xf borderId="53" fillId="0" fontId="15" numFmtId="0" xfId="0" applyAlignment="1" applyBorder="1" applyFont="1">
      <alignment horizontal="right"/>
    </xf>
    <xf borderId="1" fillId="0" fontId="23" numFmtId="0" xfId="0" applyAlignment="1" applyBorder="1" applyFont="1">
      <alignment horizontal="center"/>
    </xf>
    <xf borderId="2" fillId="0" fontId="5" numFmtId="0" xfId="0" applyBorder="1" applyFont="1"/>
    <xf borderId="68" fillId="8" fontId="15" numFmtId="0" xfId="0" applyAlignment="1" applyBorder="1" applyFill="1" applyFont="1">
      <alignment horizontal="center"/>
    </xf>
    <xf borderId="69" fillId="0" fontId="2" numFmtId="0" xfId="0" applyBorder="1" applyFont="1"/>
    <xf borderId="70" fillId="0" fontId="2" numFmtId="0" xfId="0" applyBorder="1" applyFont="1"/>
    <xf borderId="55" fillId="0" fontId="5" numFmtId="0" xfId="0" applyBorder="1" applyFont="1"/>
    <xf borderId="30" fillId="0" fontId="18" numFmtId="164" xfId="0" applyAlignment="1" applyBorder="1" applyFont="1" applyNumberFormat="1">
      <alignment horizontal="center"/>
    </xf>
    <xf borderId="71" fillId="0" fontId="12" numFmtId="167" xfId="0" applyAlignment="1" applyBorder="1" applyFont="1" applyNumberFormat="1">
      <alignment horizontal="center"/>
    </xf>
    <xf borderId="60" fillId="0" fontId="16" numFmtId="0" xfId="0" applyAlignment="1" applyBorder="1" applyFont="1">
      <alignment horizontal="center"/>
    </xf>
    <xf borderId="0" fillId="0" fontId="12" numFmtId="166" xfId="0" applyFont="1" applyNumberFormat="1"/>
    <xf borderId="30" fillId="0" fontId="12" numFmtId="0" xfId="0" applyAlignment="1" applyBorder="1" applyFont="1">
      <alignment horizontal="center" shrinkToFit="0" vertical="center" wrapText="1"/>
    </xf>
    <xf borderId="72" fillId="0" fontId="12" numFmtId="165" xfId="0" applyAlignment="1" applyBorder="1" applyFont="1" applyNumberFormat="1">
      <alignment horizontal="center"/>
    </xf>
    <xf borderId="30" fillId="0" fontId="18" numFmtId="165" xfId="0" applyAlignment="1" applyBorder="1" applyFont="1" applyNumberFormat="1">
      <alignment horizontal="center"/>
    </xf>
    <xf borderId="1" fillId="2" fontId="24" numFmtId="0" xfId="0" applyAlignment="1" applyBorder="1" applyFill="1" applyFont="1">
      <alignment horizontal="center" vertical="center"/>
    </xf>
    <xf borderId="11" fillId="3" fontId="25" numFmtId="0" xfId="0" applyAlignment="1" applyBorder="1" applyFill="1" applyFont="1">
      <alignment horizontal="right" vertical="center"/>
    </xf>
    <xf borderId="16" fillId="2" fontId="24" numFmtId="0" xfId="0" applyAlignment="1" applyBorder="1" applyFill="1" applyFont="1">
      <alignment horizontal="center" vertical="center"/>
    </xf>
    <xf borderId="18" fillId="2" fontId="24" numFmtId="0" xfId="0" applyAlignment="1" applyBorder="1" applyFill="1" applyFont="1">
      <alignment horizontal="center" vertical="center"/>
    </xf>
    <xf borderId="20" fillId="2" fontId="24" numFmtId="0" xfId="0" applyAlignment="1" applyBorder="1" applyFill="1" applyFont="1">
      <alignment horizontal="center" vertical="center"/>
    </xf>
    <xf borderId="73" fillId="0" fontId="2" numFmtId="0" xfId="0" applyBorder="1" applyFont="1"/>
    <xf borderId="16" fillId="0" fontId="7" numFmtId="0" xfId="0" applyAlignment="1" applyBorder="1" applyFont="1">
      <alignment horizontal="center" vertical="center"/>
    </xf>
    <xf borderId="20" fillId="0" fontId="7" numFmtId="165" xfId="0" applyAlignment="1" applyBorder="1" applyFont="1" applyNumberFormat="1">
      <alignment vertical="center"/>
    </xf>
    <xf borderId="74" fillId="4" fontId="3" numFmtId="0" xfId="0" applyAlignment="1" applyBorder="1" applyFill="1" applyFont="1">
      <alignment horizontal="center" vertical="center"/>
    </xf>
    <xf borderId="75" fillId="0" fontId="7" numFmtId="0" xfId="0" applyAlignment="1" applyBorder="1" applyFont="1">
      <alignment horizontal="center" vertical="center"/>
    </xf>
    <xf borderId="76" fillId="0" fontId="7" numFmtId="165" xfId="0" applyAlignment="1" applyBorder="1" applyFont="1" applyNumberFormat="1">
      <alignment horizontal="center" vertical="center"/>
    </xf>
    <xf borderId="77" fillId="0" fontId="7" numFmtId="165" xfId="0" applyAlignment="1" applyBorder="1" applyFont="1" applyNumberFormat="1">
      <alignment vertical="center"/>
    </xf>
    <xf borderId="56" fillId="0" fontId="2" numFmtId="0" xfId="0" applyBorder="1" applyFont="1"/>
    <xf borderId="78" fillId="0" fontId="7" numFmtId="0" xfId="0" applyAlignment="1" applyBorder="1" applyFont="1">
      <alignment horizontal="center" vertical="center"/>
    </xf>
    <xf borderId="79" fillId="0" fontId="10" numFmtId="165" xfId="0" applyAlignment="1" applyBorder="1" applyFont="1" applyNumberFormat="1">
      <alignment horizontal="center" vertical="center"/>
    </xf>
    <xf borderId="80" fillId="0" fontId="7" numFmtId="165" xfId="0" applyAlignment="1" applyBorder="1" applyFont="1" applyNumberFormat="1">
      <alignment horizontal="center" vertical="center"/>
    </xf>
    <xf borderId="81" fillId="0" fontId="12" numFmtId="167" xfId="0" applyAlignment="1" applyBorder="1" applyFont="1" applyNumberFormat="1">
      <alignment horizontal="center"/>
    </xf>
    <xf borderId="76" fillId="0" fontId="10" numFmtId="165" xfId="0" applyAlignment="1" applyBorder="1" applyFont="1" applyNumberFormat="1">
      <alignment horizontal="center" vertical="center"/>
    </xf>
    <xf borderId="82" fillId="0" fontId="12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79" fillId="0" fontId="7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84" fillId="8" fontId="21" numFmtId="0" xfId="0" applyAlignment="1" applyBorder="1" applyFill="1" applyFont="1">
      <alignment horizontal="center"/>
    </xf>
    <xf borderId="85" fillId="0" fontId="7" numFmtId="0" xfId="0" applyAlignment="1" applyBorder="1" applyFont="1">
      <alignment horizontal="center" vertical="center"/>
    </xf>
    <xf borderId="86" fillId="0" fontId="2" numFmtId="0" xfId="0" applyBorder="1" applyFont="1"/>
    <xf borderId="87" fillId="0" fontId="2" numFmtId="0" xfId="0" applyBorder="1" applyFont="1"/>
    <xf borderId="88" fillId="0" fontId="7" numFmtId="165" xfId="0" applyAlignment="1" applyBorder="1" applyFont="1" applyNumberFormat="1">
      <alignment horizontal="center" vertical="center"/>
    </xf>
    <xf borderId="89" fillId="0" fontId="7" numFmtId="165" xfId="0" applyAlignment="1" applyBorder="1" applyFont="1" applyNumberFormat="1">
      <alignment vertical="center"/>
    </xf>
    <xf borderId="90" fillId="0" fontId="10" numFmtId="0" xfId="0" applyAlignment="1" applyBorder="1" applyFont="1">
      <alignment horizontal="center" vertical="center"/>
    </xf>
    <xf borderId="90" fillId="0" fontId="7" numFmtId="165" xfId="0" applyAlignment="1" applyBorder="1" applyFont="1" applyNumberFormat="1">
      <alignment horizontal="center" vertical="center"/>
    </xf>
    <xf borderId="91" fillId="0" fontId="7" numFmtId="165" xfId="0" applyAlignment="1" applyBorder="1" applyFont="1" applyNumberFormat="1">
      <alignment vertical="center"/>
    </xf>
    <xf borderId="92" fillId="0" fontId="10" numFmtId="0" xfId="0" applyAlignment="1" applyBorder="1" applyFont="1">
      <alignment horizontal="center" vertical="center"/>
    </xf>
    <xf borderId="93" fillId="0" fontId="7" numFmtId="165" xfId="0" applyAlignment="1" applyBorder="1" applyFont="1" applyNumberFormat="1">
      <alignment horizontal="center" vertical="center"/>
    </xf>
    <xf borderId="94" fillId="0" fontId="7" numFmtId="165" xfId="0" applyAlignment="1" applyBorder="1" applyFont="1" applyNumberFormat="1">
      <alignment vertical="center"/>
    </xf>
    <xf borderId="67" fillId="0" fontId="2" numFmtId="0" xfId="0" applyBorder="1" applyFont="1"/>
    <xf borderId="53" fillId="5" fontId="7" numFmtId="0" xfId="0" applyAlignment="1" applyBorder="1" applyFill="1" applyFont="1">
      <alignment horizontal="center" vertical="center"/>
    </xf>
    <xf borderId="95" fillId="3" fontId="11" numFmtId="0" xfId="0" applyAlignment="1" applyBorder="1" applyFill="1" applyFont="1">
      <alignment horizontal="center" vertical="center"/>
    </xf>
    <xf borderId="96" fillId="3" fontId="11" numFmtId="0" xfId="0" applyAlignment="1" applyBorder="1" applyFill="1" applyFont="1">
      <alignment horizontal="center" vertical="center"/>
    </xf>
    <xf borderId="6" fillId="3" fontId="25" numFmtId="0" xfId="0" applyAlignment="1" applyBorder="1" applyFill="1" applyFont="1">
      <alignment horizontal="center" vertical="center"/>
    </xf>
    <xf borderId="13" fillId="3" fontId="3" numFmtId="0" xfId="0" applyAlignment="1" applyBorder="1" applyFill="1" applyFont="1">
      <alignment horizontal="center" vertical="center"/>
    </xf>
    <xf borderId="41" fillId="6" fontId="12" numFmtId="167" xfId="0" applyAlignment="1" applyBorder="1" applyFill="1" applyFont="1" applyNumberFormat="1">
      <alignment horizontal="center"/>
    </xf>
    <xf borderId="20" fillId="0" fontId="10" numFmtId="165" xfId="0" applyAlignment="1" applyBorder="1" applyFont="1" applyNumberFormat="1">
      <alignment vertical="center"/>
    </xf>
    <xf borderId="41" fillId="6" fontId="18" numFmtId="165" xfId="0" applyAlignment="1" applyBorder="1" applyFill="1" applyFont="1" applyNumberFormat="1">
      <alignment horizontal="center"/>
    </xf>
    <xf borderId="68" fillId="8" fontId="21" numFmtId="0" xfId="0" applyAlignment="1" applyBorder="1" applyFill="1" applyFont="1">
      <alignment horizontal="center"/>
    </xf>
    <xf borderId="28" fillId="0" fontId="14" numFmtId="0" xfId="0" applyAlignment="1" applyBorder="1" applyFont="1">
      <alignment horizontal="center" vertical="center"/>
    </xf>
    <xf borderId="18" fillId="6" fontId="12" numFmtId="0" xfId="0" applyAlignment="1" applyBorder="1" applyFill="1" applyFont="1">
      <alignment horizontal="center" shrinkToFit="0" vertical="center" wrapText="1"/>
    </xf>
    <xf borderId="72" fillId="0" fontId="12" numFmtId="0" xfId="0" applyAlignment="1" applyBorder="1" applyFont="1">
      <alignment horizontal="center"/>
    </xf>
    <xf borderId="97" fillId="0" fontId="12" numFmtId="0" xfId="0" applyAlignment="1" applyBorder="1" applyFont="1">
      <alignment horizontal="center"/>
    </xf>
    <xf borderId="47" fillId="0" fontId="12" numFmtId="0" xfId="0" applyAlignment="1" applyBorder="1" applyFont="1">
      <alignment horizontal="center"/>
    </xf>
    <xf borderId="62" fillId="0" fontId="26" numFmtId="0" xfId="0" applyAlignment="1" applyBorder="1" applyFont="1">
      <alignment horizontal="center"/>
    </xf>
    <xf borderId="53" fillId="8" fontId="5" numFmtId="0" xfId="0" applyBorder="1" applyFill="1" applyFont="1"/>
    <xf borderId="42" fillId="6" fontId="5" numFmtId="0" xfId="0" applyAlignment="1" applyBorder="1" applyFill="1" applyFont="1">
      <alignment horizontal="center"/>
    </xf>
    <xf borderId="31" fillId="0" fontId="5" numFmtId="0" xfId="0" applyAlignment="1" applyBorder="1" applyFont="1">
      <alignment horizontal="center"/>
    </xf>
    <xf borderId="0" fillId="0" fontId="15" numFmtId="0" xfId="0" applyAlignment="1" applyFont="1">
      <alignment horizontal="right"/>
    </xf>
    <xf borderId="0" fillId="0" fontId="5" numFmtId="165" xfId="0" applyAlignment="1" applyFont="1" applyNumberFormat="1">
      <alignment horizontal="center"/>
    </xf>
    <xf borderId="82" fillId="0" fontId="12" numFmtId="0" xfId="0" applyAlignment="1" applyBorder="1" applyFont="1">
      <alignment horizontal="center"/>
    </xf>
    <xf borderId="41" fillId="11" fontId="12" numFmtId="167" xfId="0" applyAlignment="1" applyBorder="1" applyFill="1" applyFont="1" applyNumberFormat="1">
      <alignment horizontal="center"/>
    </xf>
    <xf borderId="41" fillId="11" fontId="12" numFmtId="165" xfId="0" applyAlignment="1" applyBorder="1" applyFill="1" applyFont="1" applyNumberFormat="1">
      <alignment horizontal="center"/>
    </xf>
    <xf borderId="41" fillId="11" fontId="12" numFmtId="0" xfId="0" applyAlignment="1" applyBorder="1" applyFill="1" applyFont="1">
      <alignment horizontal="center"/>
    </xf>
    <xf borderId="18" fillId="11" fontId="12" numFmtId="0" xfId="0" applyAlignment="1" applyBorder="1" applyFill="1" applyFont="1">
      <alignment horizontal="center"/>
    </xf>
    <xf borderId="20" fillId="11" fontId="5" numFmtId="0" xfId="0" applyAlignment="1" applyBorder="1" applyFill="1" applyFont="1">
      <alignment horizontal="center"/>
    </xf>
    <xf borderId="20" fillId="6" fontId="5" numFmtId="0" xfId="0" applyAlignment="1" applyBorder="1" applyFill="1" applyFont="1">
      <alignment horizontal="center"/>
    </xf>
    <xf borderId="20" fillId="0" fontId="5" numFmtId="0" xfId="0" applyAlignment="1" applyBorder="1" applyFont="1">
      <alignment horizontal="center"/>
    </xf>
    <xf borderId="18" fillId="11" fontId="12" numFmtId="165" xfId="0" applyAlignment="1" applyBorder="1" applyFill="1" applyFont="1" applyNumberFormat="1">
      <alignment horizontal="center"/>
    </xf>
    <xf borderId="66" fillId="0" fontId="2" numFmtId="0" xfId="0" applyBorder="1" applyFont="1"/>
    <xf borderId="55" fillId="0" fontId="5" numFmtId="165" xfId="0" applyAlignment="1" applyBorder="1" applyFont="1" applyNumberFormat="1">
      <alignment horizontal="center"/>
    </xf>
    <xf borderId="20" fillId="0" fontId="26" numFmtId="0" xfId="0" applyAlignment="1" applyBorder="1" applyFont="1">
      <alignment horizontal="center"/>
    </xf>
    <xf borderId="18" fillId="7" fontId="12" numFmtId="0" xfId="0" applyAlignment="1" applyBorder="1" applyFill="1" applyFont="1">
      <alignment horizontal="center"/>
    </xf>
    <xf borderId="18" fillId="11" fontId="12" numFmtId="167" xfId="0" applyAlignment="1" applyBorder="1" applyFill="1" applyFont="1" applyNumberFormat="1">
      <alignment horizontal="center"/>
    </xf>
    <xf borderId="20" fillId="11" fontId="12" numFmtId="0" xfId="0" applyAlignment="1" applyBorder="1" applyFill="1" applyFont="1">
      <alignment horizontal="center"/>
    </xf>
    <xf borderId="64" fillId="0" fontId="26" numFmtId="0" xfId="0" applyAlignment="1" applyBorder="1" applyFont="1">
      <alignment horizontal="center"/>
    </xf>
    <xf borderId="10" fillId="0" fontId="26" numFmtId="0" xfId="0" applyAlignment="1" applyBorder="1" applyFont="1">
      <alignment horizontal="center"/>
    </xf>
    <xf borderId="60" fillId="0" fontId="5" numFmtId="165" xfId="0" applyAlignment="1" applyBorder="1" applyFont="1" applyNumberFormat="1">
      <alignment horizontal="center"/>
    </xf>
    <xf borderId="18" fillId="0" fontId="23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30" fillId="0" fontId="5" numFmtId="165" xfId="0" applyAlignment="1" applyBorder="1" applyFont="1" applyNumberFormat="1">
      <alignment horizontal="center"/>
    </xf>
    <xf borderId="30" fillId="0" fontId="23" numFmtId="0" xfId="0" applyAlignment="1" applyBorder="1" applyFont="1">
      <alignment horizontal="center"/>
    </xf>
    <xf borderId="63" fillId="0" fontId="12" numFmtId="14" xfId="0" applyAlignment="1" applyBorder="1" applyFont="1" applyNumberFormat="1">
      <alignment horizontal="center"/>
    </xf>
    <xf borderId="60" fillId="0" fontId="23" numFmtId="0" xfId="0" applyAlignment="1" applyBorder="1" applyFont="1">
      <alignment horizontal="center"/>
    </xf>
    <xf borderId="62" fillId="0" fontId="5" numFmtId="0" xfId="0" applyAlignment="1" applyBorder="1" applyFont="1">
      <alignment horizontal="center"/>
    </xf>
    <xf borderId="0" fillId="0" fontId="15" numFmtId="0" xfId="0" applyFont="1"/>
    <xf borderId="0" fillId="0" fontId="23" numFmtId="0" xfId="0" applyAlignment="1" applyFont="1">
      <alignment horizontal="center"/>
    </xf>
    <xf borderId="18" fillId="0" fontId="16" numFmtId="167" xfId="0" applyAlignment="1" applyBorder="1" applyFont="1" applyNumberFormat="1">
      <alignment horizontal="center"/>
    </xf>
    <xf borderId="18" fillId="0" fontId="16" numFmtId="165" xfId="0" applyAlignment="1" applyBorder="1" applyFont="1" applyNumberFormat="1">
      <alignment horizontal="center"/>
    </xf>
    <xf borderId="60" fillId="0" fontId="16" numFmtId="165" xfId="0" applyAlignment="1" applyBorder="1" applyFont="1" applyNumberFormat="1">
      <alignment horizontal="center"/>
    </xf>
    <xf borderId="20" fillId="0" fontId="16" numFmtId="0" xfId="0" applyAlignment="1" applyBorder="1" applyFont="1">
      <alignment horizontal="center"/>
    </xf>
    <xf borderId="30" fillId="0" fontId="16" numFmtId="165" xfId="0" applyAlignment="1" applyBorder="1" applyFont="1" applyNumberFormat="1">
      <alignment horizontal="center"/>
    </xf>
    <xf borderId="60" fillId="0" fontId="16" numFmtId="167" xfId="0" applyAlignment="1" applyBorder="1" applyFont="1" applyNumberFormat="1">
      <alignment horizontal="center"/>
    </xf>
    <xf borderId="18" fillId="0" fontId="16" numFmtId="166" xfId="0" applyAlignment="1" applyBorder="1" applyFont="1" applyNumberFormat="1">
      <alignment horizontal="center"/>
    </xf>
    <xf borderId="62" fillId="0" fontId="16" numFmtId="0" xfId="0" applyAlignment="1" applyBorder="1" applyFont="1">
      <alignment horizontal="center"/>
    </xf>
    <xf borderId="30" fillId="0" fontId="16" numFmtId="167" xfId="0" applyAlignment="1" applyBorder="1" applyFont="1" applyNumberFormat="1">
      <alignment horizontal="center"/>
    </xf>
    <xf borderId="18" fillId="0" fontId="16" numFmtId="166" xfId="0" applyBorder="1" applyFont="1" applyNumberFormat="1"/>
    <xf borderId="31" fillId="0" fontId="16" numFmtId="0" xfId="0" applyAlignment="1" applyBorder="1" applyFont="1">
      <alignment horizontal="center"/>
    </xf>
    <xf borderId="0" fillId="0" fontId="16" numFmtId="166" xfId="0" applyFont="1" applyNumberFormat="1"/>
    <xf borderId="18" fillId="11" fontId="12" numFmtId="0" xfId="0" applyAlignment="1" applyBorder="1" applyFill="1" applyFont="1">
      <alignment horizontal="center" shrinkToFit="0" vertical="center" wrapText="1"/>
    </xf>
    <xf borderId="95" fillId="3" fontId="27" numFmtId="0" xfId="0" applyAlignment="1" applyBorder="1" applyFill="1" applyFont="1">
      <alignment horizontal="center" vertical="center"/>
    </xf>
    <xf borderId="60" fillId="0" fontId="28" numFmtId="0" xfId="0" applyAlignment="1" applyBorder="1" applyFont="1">
      <alignment horizontal="center"/>
    </xf>
    <xf borderId="60" fillId="6" fontId="26" numFmtId="167" xfId="0" applyAlignment="1" applyBorder="1" applyFill="1" applyFont="1" applyNumberFormat="1">
      <alignment horizontal="center" readingOrder="0"/>
    </xf>
    <xf borderId="60" fillId="6" fontId="26" numFmtId="165" xfId="0" applyAlignment="1" applyBorder="1" applyFill="1" applyFont="1" applyNumberFormat="1">
      <alignment horizontal="center" readingOrder="0"/>
    </xf>
    <xf borderId="41" fillId="6" fontId="28" numFmtId="0" xfId="0" applyAlignment="1" applyBorder="1" applyFill="1" applyFont="1">
      <alignment horizontal="center"/>
    </xf>
    <xf borderId="60" fillId="6" fontId="5" numFmtId="165" xfId="0" applyAlignment="1" applyBorder="1" applyFill="1" applyFont="1" applyNumberFormat="1">
      <alignment horizontal="center"/>
    </xf>
    <xf borderId="60" fillId="6" fontId="23" numFmtId="0" xfId="0" applyAlignment="1" applyBorder="1" applyFill="1" applyFont="1">
      <alignment horizontal="center" readingOrder="0"/>
    </xf>
    <xf borderId="30" fillId="6" fontId="26" numFmtId="167" xfId="0" applyAlignment="1" applyBorder="1" applyFill="1" applyFont="1" applyNumberFormat="1">
      <alignment horizontal="center" readingOrder="0"/>
    </xf>
    <xf borderId="30" fillId="0" fontId="28" numFmtId="0" xfId="0" applyAlignment="1" applyBorder="1" applyFont="1">
      <alignment horizontal="center"/>
    </xf>
    <xf borderId="30" fillId="6" fontId="26" numFmtId="165" xfId="0" applyAlignment="1" applyBorder="1" applyFill="1" applyFont="1" applyNumberFormat="1">
      <alignment horizontal="center" readingOrder="0"/>
    </xf>
    <xf borderId="30" fillId="6" fontId="5" numFmtId="165" xfId="0" applyAlignment="1" applyBorder="1" applyFill="1" applyFont="1" applyNumberFormat="1">
      <alignment horizontal="center"/>
    </xf>
    <xf borderId="30" fillId="6" fontId="23" numFmtId="0" xfId="0" applyAlignment="1" applyBorder="1" applyFill="1" applyFont="1">
      <alignment horizontal="center" readingOrder="0"/>
    </xf>
    <xf borderId="30" fillId="6" fontId="12" numFmtId="0" xfId="0" applyAlignment="1" applyBorder="1" applyFill="1" applyFont="1">
      <alignment horizontal="center"/>
    </xf>
    <xf borderId="30" fillId="6" fontId="26" numFmtId="165" xfId="0" applyAlignment="1" applyBorder="1" applyFill="1" applyFont="1" applyNumberFormat="1">
      <alignment horizontal="center"/>
    </xf>
    <xf borderId="30" fillId="0" fontId="26" numFmtId="167" xfId="0" applyAlignment="1" applyBorder="1" applyFont="1" applyNumberFormat="1">
      <alignment horizontal="center" readingOrder="0"/>
    </xf>
    <xf borderId="30" fillId="0" fontId="26" numFmtId="165" xfId="0" applyAlignment="1" applyBorder="1" applyFont="1" applyNumberFormat="1">
      <alignment horizontal="center"/>
    </xf>
    <xf borderId="30" fillId="0" fontId="26" numFmtId="165" xfId="0" applyAlignment="1" applyBorder="1" applyFont="1" applyNumberFormat="1">
      <alignment horizontal="center" readingOrder="0"/>
    </xf>
    <xf borderId="30" fillId="0" fontId="23" numFmtId="0" xfId="0" applyAlignment="1" applyBorder="1" applyFont="1">
      <alignment horizontal="center" readingOrder="0"/>
    </xf>
    <xf borderId="60" fillId="0" fontId="26" numFmtId="14" xfId="0" applyAlignment="1" applyBorder="1" applyFont="1" applyNumberFormat="1">
      <alignment horizontal="center"/>
    </xf>
    <xf borderId="60" fillId="0" fontId="26" numFmtId="165" xfId="0" applyAlignment="1" applyBorder="1" applyFont="1" applyNumberFormat="1">
      <alignment horizontal="center"/>
    </xf>
    <xf borderId="18" fillId="7" fontId="12" numFmtId="0" xfId="0" applyAlignment="1" applyBorder="1" applyFill="1" applyFont="1">
      <alignment horizontal="center" readingOrder="0" shrinkToFit="0" vertical="center" wrapText="1"/>
    </xf>
    <xf borderId="30" fillId="0" fontId="26" numFmtId="14" xfId="0" applyAlignment="1" applyBorder="1" applyFont="1" applyNumberFormat="1">
      <alignment horizontal="center"/>
    </xf>
    <xf borderId="30" fillId="0" fontId="5" numFmtId="0" xfId="0" applyAlignment="1" applyBorder="1" applyFont="1">
      <alignment horizontal="center"/>
    </xf>
    <xf borderId="18" fillId="6" fontId="12" numFmtId="0" xfId="0" applyAlignment="1" applyBorder="1" applyFill="1" applyFont="1">
      <alignment horizontal="center" shrinkToFit="0" wrapText="1"/>
    </xf>
    <xf borderId="30" fillId="0" fontId="12" numFmtId="167" xfId="0" applyAlignment="1" applyBorder="1" applyFont="1" applyNumberFormat="1">
      <alignment horizontal="center" vertical="center"/>
    </xf>
    <xf borderId="30" fillId="0" fontId="18" numFmtId="165" xfId="0" applyAlignment="1" applyBorder="1" applyFont="1" applyNumberFormat="1">
      <alignment horizontal="center" vertical="center"/>
    </xf>
    <xf borderId="30" fillId="0" fontId="12" numFmtId="165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horizontal="center" readingOrder="0"/>
    </xf>
    <xf borderId="30" fillId="0" fontId="28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shrinkToFit="0" wrapText="1"/>
    </xf>
    <xf borderId="30" fillId="0" fontId="26" numFmtId="167" xfId="0" applyAlignment="1" applyBorder="1" applyFont="1" applyNumberFormat="1">
      <alignment horizontal="center" readingOrder="0" vertical="bottom"/>
    </xf>
    <xf borderId="30" fillId="0" fontId="29" numFmtId="165" xfId="0" applyAlignment="1" applyBorder="1" applyFont="1" applyNumberFormat="1">
      <alignment horizontal="center" readingOrder="0" vertical="bottom"/>
    </xf>
    <xf borderId="30" fillId="0" fontId="5" numFmtId="165" xfId="0" applyAlignment="1" applyBorder="1" applyFont="1" applyNumberFormat="1">
      <alignment horizontal="center" vertical="center"/>
    </xf>
    <xf borderId="30" fillId="0" fontId="23" numFmtId="0" xfId="0" applyAlignment="1" applyBorder="1" applyFont="1">
      <alignment horizontal="center" readingOrder="0" vertical="bottom"/>
    </xf>
    <xf borderId="30" fillId="6" fontId="29" numFmtId="165" xfId="0" applyAlignment="1" applyBorder="1" applyFill="1" applyFont="1" applyNumberFormat="1">
      <alignment horizontal="center" readingOrder="0" vertical="bottom"/>
    </xf>
    <xf borderId="18" fillId="0" fontId="30" numFmtId="0" xfId="0" applyAlignment="1" applyBorder="1" applyFont="1">
      <alignment readingOrder="0"/>
    </xf>
    <xf borderId="18" fillId="0" fontId="28" numFmtId="0" xfId="0" applyAlignment="1" applyBorder="1" applyFont="1">
      <alignment horizontal="center"/>
    </xf>
    <xf borderId="30" fillId="0" fontId="26" numFmtId="14" xfId="0" applyAlignment="1" applyBorder="1" applyFont="1" applyNumberFormat="1">
      <alignment horizontal="center" vertical="center"/>
    </xf>
    <xf borderId="30" fillId="0" fontId="31" numFmtId="0" xfId="0" applyAlignment="1" applyBorder="1" applyFont="1">
      <alignment horizontal="center" readingOrder="0"/>
    </xf>
    <xf borderId="18" fillId="6" fontId="28" numFmtId="0" xfId="0" applyAlignment="1" applyBorder="1" applyFill="1" applyFont="1">
      <alignment horizontal="center"/>
    </xf>
    <xf borderId="30" fillId="0" fontId="32" numFmtId="165" xfId="0" applyAlignment="1" applyBorder="1" applyFont="1" applyNumberFormat="1">
      <alignment horizontal="center" vertical="center"/>
    </xf>
    <xf borderId="30" fillId="0" fontId="23" numFmtId="0" xfId="0" applyAlignment="1" applyBorder="1" applyFont="1">
      <alignment horizontal="center" vertical="center"/>
    </xf>
    <xf borderId="18" fillId="0" fontId="26" numFmtId="165" xfId="0" applyAlignment="1" applyBorder="1" applyFont="1" applyNumberFormat="1">
      <alignment horizontal="center" readingOrder="0"/>
    </xf>
    <xf borderId="18" fillId="0" fontId="5" numFmtId="165" xfId="0" applyAlignment="1" applyBorder="1" applyFont="1" applyNumberFormat="1">
      <alignment horizontal="center"/>
    </xf>
    <xf borderId="18" fillId="0" fontId="23" numFmtId="0" xfId="0" applyAlignment="1" applyBorder="1" applyFont="1">
      <alignment horizontal="center" readingOrder="0"/>
    </xf>
    <xf borderId="18" fillId="0" fontId="26" numFmtId="165" xfId="0" applyAlignment="1" applyBorder="1" applyFont="1" applyNumberFormat="1">
      <alignment horizontal="center"/>
    </xf>
    <xf borderId="30" fillId="0" fontId="32" numFmtId="165" xfId="0" applyAlignment="1" applyBorder="1" applyFont="1" applyNumberFormat="1">
      <alignment horizontal="center"/>
    </xf>
    <xf borderId="18" fillId="0" fontId="26" numFmtId="167" xfId="0" applyAlignment="1" applyBorder="1" applyFont="1" applyNumberFormat="1">
      <alignment horizontal="center" readingOrder="0"/>
    </xf>
    <xf borderId="18" fillId="0" fontId="29" numFmtId="165" xfId="0" applyAlignment="1" applyBorder="1" applyFont="1" applyNumberFormat="1">
      <alignment horizontal="center" readingOrder="0"/>
    </xf>
    <xf borderId="18" fillId="0" fontId="26" numFmtId="14" xfId="0" applyAlignment="1" applyBorder="1" applyFont="1" applyNumberFormat="1">
      <alignment horizontal="center"/>
    </xf>
    <xf borderId="18" fillId="0" fontId="32" numFmtId="165" xfId="0" applyAlignment="1" applyBorder="1" applyFont="1" applyNumberFormat="1">
      <alignment horizontal="center"/>
    </xf>
    <xf borderId="18" fillId="9" fontId="12" numFmtId="0" xfId="0" applyAlignment="1" applyBorder="1" applyFill="1" applyFont="1">
      <alignment horizontal="center" vertical="center"/>
    </xf>
    <xf borderId="18" fillId="9" fontId="5" numFmtId="0" xfId="0" applyAlignment="1" applyBorder="1" applyFill="1" applyFont="1">
      <alignment horizontal="center" vertical="center"/>
    </xf>
    <xf borderId="63" fillId="0" fontId="26" numFmtId="167" xfId="0" applyAlignment="1" applyBorder="1" applyFont="1" applyNumberFormat="1">
      <alignment horizontal="center" readingOrder="0"/>
    </xf>
    <xf borderId="60" fillId="0" fontId="26" numFmtId="165" xfId="0" applyAlignment="1" applyBorder="1" applyFont="1" applyNumberFormat="1">
      <alignment horizontal="center" readingOrder="0"/>
    </xf>
    <xf borderId="60" fillId="0" fontId="23" numFmtId="0" xfId="0" applyAlignment="1" applyBorder="1" applyFont="1">
      <alignment horizontal="center" readingOrder="0"/>
    </xf>
    <xf borderId="61" fillId="0" fontId="14" numFmtId="0" xfId="0" applyAlignment="1" applyBorder="1" applyFont="1">
      <alignment horizontal="center" vertical="center"/>
    </xf>
    <xf borderId="64" fillId="0" fontId="5" numFmtId="0" xfId="0" applyAlignment="1" applyBorder="1" applyFont="1">
      <alignment horizontal="center"/>
    </xf>
    <xf borderId="60" fillId="0" fontId="5" numFmtId="0" xfId="0" applyAlignment="1" applyBorder="1" applyFont="1">
      <alignment horizontal="center"/>
    </xf>
    <xf borderId="60" fillId="0" fontId="26" numFmtId="167" xfId="0" applyAlignment="1" applyBorder="1" applyFont="1" applyNumberFormat="1">
      <alignment horizontal="center" readingOrder="0"/>
    </xf>
    <xf borderId="72" fillId="0" fontId="26" numFmtId="165" xfId="0" applyAlignment="1" applyBorder="1" applyFont="1" applyNumberFormat="1">
      <alignment horizontal="center" readingOrder="0"/>
    </xf>
    <xf borderId="63" fillId="0" fontId="26" numFmtId="14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 readingOrder="0"/>
    </xf>
    <xf borderId="49" fillId="0" fontId="5" numFmtId="0" xfId="0" applyAlignment="1" applyBorder="1" applyFont="1">
      <alignment horizontal="center"/>
    </xf>
    <xf borderId="66" fillId="0" fontId="26" numFmtId="14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/>
    </xf>
    <xf borderId="72" fillId="0" fontId="26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782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35350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069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459200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7697450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enosaires.gob.ar/IN" TargetMode="External"/><Relationship Id="rId2" Type="http://schemas.openxmlformats.org/officeDocument/2006/relationships/hyperlink" Target="http://www.buenosaires.gob.ar/IN" TargetMode="External"/><Relationship Id="rId3" Type="http://schemas.openxmlformats.org/officeDocument/2006/relationships/hyperlink" Target="http://www.flybondi.com/" TargetMode="External"/><Relationship Id="rId4" Type="http://schemas.openxmlformats.org/officeDocument/2006/relationships/hyperlink" Target="http://www.flybondi.com/" TargetMode="External"/><Relationship Id="rId5" Type="http://schemas.openxmlformats.org/officeDocument/2006/relationships/hyperlink" Target="http://www.flybondi.com/" TargetMode="External"/><Relationship Id="rId6" Type="http://schemas.openxmlformats.org/officeDocument/2006/relationships/hyperlink" Target="http://www.flybondi.com/" TargetMode="External"/><Relationship Id="rId7" Type="http://schemas.openxmlformats.org/officeDocument/2006/relationships/hyperlink" Target="http://www.flybondi.com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flybondi.com/" TargetMode="External"/><Relationship Id="rId2" Type="http://schemas.openxmlformats.org/officeDocument/2006/relationships/hyperlink" Target="http://www.flybondi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flybondi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8.63"/>
    <col customWidth="1" min="3" max="3" width="16.25"/>
    <col customWidth="1" min="4" max="4" width="15.5"/>
    <col customWidth="1" min="5" max="5" width="36.13"/>
    <col customWidth="1" min="6" max="6" width="85.0"/>
    <col customWidth="1" min="7" max="7" width="19.25"/>
    <col customWidth="1" min="8" max="26" width="10.63"/>
  </cols>
  <sheetData>
    <row r="1" ht="14.25" customHeight="1">
      <c r="E1" s="7"/>
      <c r="F1" s="7"/>
      <c r="G1" s="7"/>
    </row>
    <row r="2" ht="14.25" customHeight="1">
      <c r="E2" s="7"/>
      <c r="F2" s="7"/>
      <c r="G2" s="7"/>
    </row>
    <row r="3" ht="14.25" customHeight="1">
      <c r="E3" s="7"/>
      <c r="F3" s="7"/>
      <c r="G3" s="7"/>
    </row>
    <row r="4" ht="14.25" customHeight="1">
      <c r="E4" s="7"/>
      <c r="F4" s="7"/>
      <c r="G4" s="7"/>
    </row>
    <row r="5" ht="9.75" customHeight="1"/>
    <row r="6">
      <c r="A6" s="1" t="s">
        <v>0</v>
      </c>
      <c r="B6" s="2"/>
      <c r="C6" s="3"/>
      <c r="D6" s="6" t="s">
        <v>1</v>
      </c>
      <c r="E6" s="5"/>
      <c r="F6" s="8" t="s">
        <v>6</v>
      </c>
      <c r="G6" s="9"/>
    </row>
    <row r="7">
      <c r="A7" s="10"/>
      <c r="B7" s="11"/>
      <c r="C7" s="12"/>
      <c r="D7" s="13" t="s">
        <v>5</v>
      </c>
      <c r="E7" s="15"/>
      <c r="F7" s="16">
        <v>2026.0</v>
      </c>
      <c r="G7" s="17"/>
    </row>
    <row r="8">
      <c r="A8" s="19" t="s">
        <v>7</v>
      </c>
      <c r="B8" s="21" t="s">
        <v>8</v>
      </c>
      <c r="C8" s="23" t="s">
        <v>9</v>
      </c>
      <c r="D8" s="13" t="s">
        <v>9</v>
      </c>
      <c r="E8" s="24"/>
      <c r="F8" s="25">
        <v>1.666866767E7</v>
      </c>
      <c r="G8" s="17"/>
    </row>
    <row r="9" ht="19.5" customHeight="1">
      <c r="A9" s="26" t="s">
        <v>10</v>
      </c>
      <c r="B9" s="28">
        <f>SUM(C77)</f>
        <v>8869063.67</v>
      </c>
      <c r="C9" s="30">
        <f t="shared" ref="C9:C10" si="1">SUM(B9)</f>
        <v>8869063.67</v>
      </c>
      <c r="D9" s="34" t="s">
        <v>11</v>
      </c>
      <c r="E9" s="33"/>
      <c r="F9" s="33"/>
      <c r="G9" s="35"/>
    </row>
    <row r="10" ht="19.5" customHeight="1">
      <c r="A10" s="26" t="s">
        <v>12</v>
      </c>
      <c r="B10" s="28">
        <f>SUM(D77)</f>
        <v>16.96</v>
      </c>
      <c r="C10" s="30">
        <f t="shared" si="1"/>
        <v>16.96</v>
      </c>
      <c r="D10" s="37"/>
      <c r="G10" s="38"/>
    </row>
    <row r="11" ht="19.5" customHeight="1">
      <c r="A11" s="26" t="s">
        <v>13</v>
      </c>
      <c r="B11" s="28">
        <v>1204638.32</v>
      </c>
      <c r="C11" s="41">
        <f>SUM(B11+B12)</f>
        <v>1342343.32</v>
      </c>
      <c r="D11" s="37"/>
      <c r="G11" s="38"/>
    </row>
    <row r="12" ht="19.5" customHeight="1">
      <c r="A12" s="26" t="s">
        <v>14</v>
      </c>
      <c r="B12" s="28">
        <v>137705.0</v>
      </c>
      <c r="C12" s="43"/>
      <c r="D12" s="37"/>
      <c r="G12" s="38"/>
    </row>
    <row r="13" ht="19.5" customHeight="1">
      <c r="A13" s="26" t="s">
        <v>15</v>
      </c>
      <c r="B13" s="28"/>
      <c r="C13" s="41"/>
      <c r="D13" s="37"/>
      <c r="G13" s="38"/>
    </row>
    <row r="14" ht="19.5" customHeight="1">
      <c r="A14" s="26" t="s">
        <v>16</v>
      </c>
      <c r="B14" s="28"/>
      <c r="C14" s="43"/>
      <c r="D14" s="37"/>
      <c r="G14" s="38"/>
    </row>
    <row r="15" ht="19.5" customHeight="1">
      <c r="A15" s="26" t="s">
        <v>17</v>
      </c>
      <c r="B15" s="28">
        <f>SUM(C192)</f>
        <v>105005.45</v>
      </c>
      <c r="C15" s="30">
        <f t="shared" ref="C15:C17" si="2">SUM(B15)</f>
        <v>105005.45</v>
      </c>
      <c r="D15" s="37"/>
      <c r="G15" s="38"/>
    </row>
    <row r="16" ht="19.5" customHeight="1">
      <c r="A16" s="26" t="s">
        <v>18</v>
      </c>
      <c r="B16" s="28">
        <f>SUM(C137)</f>
        <v>3245256.58</v>
      </c>
      <c r="C16" s="30">
        <f t="shared" si="2"/>
        <v>3245256.58</v>
      </c>
      <c r="D16" s="37"/>
      <c r="G16" s="38"/>
    </row>
    <row r="17" ht="19.5" customHeight="1">
      <c r="A17" s="26" t="s">
        <v>19</v>
      </c>
      <c r="B17" s="28">
        <f>SUM(C111)</f>
        <v>1457400</v>
      </c>
      <c r="C17" s="30">
        <f t="shared" si="2"/>
        <v>1457400</v>
      </c>
      <c r="D17" s="45"/>
      <c r="E17" s="46"/>
      <c r="F17" s="46"/>
      <c r="G17" s="47"/>
    </row>
    <row r="18" ht="4.5" customHeight="1">
      <c r="A18" s="48"/>
      <c r="B18" s="49"/>
      <c r="C18" s="49"/>
      <c r="D18" s="49"/>
      <c r="E18" s="49"/>
      <c r="F18" s="49"/>
      <c r="G18" s="50"/>
    </row>
    <row r="19" ht="24.75" customHeight="1">
      <c r="A19" s="51" t="s">
        <v>21</v>
      </c>
      <c r="B19" s="51" t="s">
        <v>22</v>
      </c>
      <c r="C19" s="51" t="s">
        <v>23</v>
      </c>
      <c r="D19" s="51" t="s">
        <v>24</v>
      </c>
      <c r="E19" s="51" t="s">
        <v>25</v>
      </c>
      <c r="F19" s="51" t="s">
        <v>26</v>
      </c>
      <c r="G19" s="51" t="s">
        <v>27</v>
      </c>
    </row>
    <row r="20" ht="19.5" customHeight="1">
      <c r="A20" s="56" t="s">
        <v>28</v>
      </c>
      <c r="B20" s="57">
        <v>46021.0</v>
      </c>
      <c r="C20" s="58">
        <v>153900.0</v>
      </c>
      <c r="D20" s="58"/>
      <c r="E20" s="59" t="s">
        <v>29</v>
      </c>
      <c r="F20" s="59" t="s">
        <v>30</v>
      </c>
      <c r="G20" s="59"/>
    </row>
    <row r="21" ht="19.5" customHeight="1">
      <c r="A21" s="61"/>
      <c r="B21" s="57">
        <v>46021.0</v>
      </c>
      <c r="C21" s="58">
        <v>84800.0</v>
      </c>
      <c r="D21" s="58"/>
      <c r="E21" s="59" t="s">
        <v>29</v>
      </c>
      <c r="F21" s="59" t="s">
        <v>31</v>
      </c>
      <c r="G21" s="59"/>
    </row>
    <row r="22" ht="19.5" customHeight="1">
      <c r="A22" s="61"/>
      <c r="B22" s="65">
        <v>46021.0</v>
      </c>
      <c r="C22" s="67">
        <v>8800.0</v>
      </c>
      <c r="D22" s="67"/>
      <c r="E22" s="70" t="s">
        <v>32</v>
      </c>
      <c r="F22" s="70"/>
      <c r="G22" s="70"/>
    </row>
    <row r="23" ht="19.5" customHeight="1">
      <c r="A23" s="61"/>
      <c r="B23" s="65">
        <v>46021.0</v>
      </c>
      <c r="C23" s="67">
        <v>5150.0</v>
      </c>
      <c r="D23" s="67"/>
      <c r="E23" s="70" t="s">
        <v>34</v>
      </c>
      <c r="F23" s="70"/>
      <c r="G23" s="70"/>
    </row>
    <row r="24" ht="19.5" customHeight="1">
      <c r="A24" s="61"/>
      <c r="B24" s="65">
        <v>46022.0</v>
      </c>
      <c r="C24" s="67">
        <v>100061.94</v>
      </c>
      <c r="D24" s="67"/>
      <c r="E24" s="70" t="s">
        <v>35</v>
      </c>
      <c r="F24" s="70"/>
      <c r="G24" s="70"/>
    </row>
    <row r="25" ht="19.5" customHeight="1">
      <c r="A25" s="61"/>
      <c r="B25" s="57">
        <v>46022.0</v>
      </c>
      <c r="C25" s="58">
        <v>390246.88</v>
      </c>
      <c r="D25" s="58"/>
      <c r="E25" s="59" t="s">
        <v>39</v>
      </c>
      <c r="F25" s="59"/>
      <c r="G25" s="59"/>
    </row>
    <row r="26" ht="19.5" customHeight="1">
      <c r="A26" s="61"/>
      <c r="B26" s="65">
        <v>46022.0</v>
      </c>
      <c r="C26" s="67">
        <v>26550.0</v>
      </c>
      <c r="D26" s="67"/>
      <c r="E26" s="70" t="s">
        <v>40</v>
      </c>
      <c r="F26" s="70"/>
      <c r="G26" s="70"/>
    </row>
    <row r="27" ht="19.5" customHeight="1">
      <c r="A27" s="61"/>
      <c r="B27" s="57">
        <v>46024.0</v>
      </c>
      <c r="C27" s="58">
        <v>429728.24</v>
      </c>
      <c r="D27" s="58"/>
      <c r="E27" s="59" t="s">
        <v>43</v>
      </c>
      <c r="F27" s="59" t="s">
        <v>44</v>
      </c>
      <c r="G27" s="59"/>
    </row>
    <row r="28" ht="19.5" customHeight="1">
      <c r="A28" s="61"/>
      <c r="B28" s="65">
        <v>46024.0</v>
      </c>
      <c r="C28" s="67">
        <v>49076.72</v>
      </c>
      <c r="D28" s="67"/>
      <c r="E28" s="70" t="s">
        <v>45</v>
      </c>
      <c r="F28" s="70"/>
      <c r="G28" s="70"/>
    </row>
    <row r="29" ht="19.5" customHeight="1">
      <c r="A29" s="61"/>
      <c r="B29" s="65">
        <v>46025.0</v>
      </c>
      <c r="C29" s="67">
        <v>10200.0</v>
      </c>
      <c r="D29" s="67"/>
      <c r="E29" s="70" t="s">
        <v>49</v>
      </c>
      <c r="F29" s="70"/>
      <c r="G29" s="70"/>
    </row>
    <row r="30" ht="19.5" customHeight="1">
      <c r="A30" s="61"/>
      <c r="B30" s="57">
        <v>46025.0</v>
      </c>
      <c r="C30" s="58"/>
      <c r="D30" s="58">
        <v>9.99</v>
      </c>
      <c r="E30" s="59" t="s">
        <v>51</v>
      </c>
      <c r="F30" s="75" t="s">
        <v>53</v>
      </c>
      <c r="G30" s="59"/>
    </row>
    <row r="31" ht="19.5" customHeight="1">
      <c r="A31" s="61"/>
      <c r="B31" s="65">
        <v>46026.0</v>
      </c>
      <c r="C31" s="67">
        <v>26630.0</v>
      </c>
      <c r="D31" s="67"/>
      <c r="E31" s="70" t="s">
        <v>35</v>
      </c>
      <c r="F31" s="70"/>
      <c r="G31" s="70"/>
    </row>
    <row r="32" ht="19.5" customHeight="1">
      <c r="A32" s="61"/>
      <c r="B32" s="65">
        <v>46026.0</v>
      </c>
      <c r="C32" s="67">
        <v>3545.94</v>
      </c>
      <c r="D32" s="67"/>
      <c r="E32" s="70" t="s">
        <v>57</v>
      </c>
      <c r="F32" s="70"/>
      <c r="G32" s="70"/>
    </row>
    <row r="33" ht="19.5" customHeight="1">
      <c r="A33" s="61"/>
      <c r="B33" s="65">
        <v>46027.0</v>
      </c>
      <c r="C33" s="67">
        <v>13800.0</v>
      </c>
      <c r="D33" s="67"/>
      <c r="E33" s="70" t="s">
        <v>56</v>
      </c>
      <c r="F33" s="70"/>
      <c r="G33" s="70"/>
    </row>
    <row r="34" ht="19.5" customHeight="1">
      <c r="A34" s="61"/>
      <c r="B34" s="65">
        <v>46027.0</v>
      </c>
      <c r="C34" s="67">
        <v>4256.38</v>
      </c>
      <c r="D34" s="67"/>
      <c r="E34" s="70" t="s">
        <v>61</v>
      </c>
      <c r="F34" s="70"/>
      <c r="G34" s="70"/>
    </row>
    <row r="35" ht="19.5" customHeight="1">
      <c r="A35" s="61"/>
      <c r="B35" s="65">
        <v>46027.0</v>
      </c>
      <c r="C35" s="67">
        <v>6400.0</v>
      </c>
      <c r="D35" s="67"/>
      <c r="E35" s="70" t="s">
        <v>49</v>
      </c>
      <c r="F35" s="70"/>
      <c r="G35" s="70"/>
    </row>
    <row r="36" ht="19.5" customHeight="1">
      <c r="A36" s="61"/>
      <c r="B36" s="65">
        <v>46028.0</v>
      </c>
      <c r="C36" s="67">
        <v>10180.0</v>
      </c>
      <c r="D36" s="67"/>
      <c r="E36" s="70" t="s">
        <v>56</v>
      </c>
      <c r="F36" s="70"/>
      <c r="G36" s="70"/>
    </row>
    <row r="37" ht="19.5" customHeight="1">
      <c r="A37" s="61"/>
      <c r="B37" s="57">
        <v>46028.0</v>
      </c>
      <c r="C37" s="58">
        <v>32803.31</v>
      </c>
      <c r="D37" s="58"/>
      <c r="E37" s="59" t="s">
        <v>67</v>
      </c>
      <c r="F37" s="59" t="s">
        <v>68</v>
      </c>
      <c r="G37" s="59"/>
    </row>
    <row r="38" ht="19.5" customHeight="1">
      <c r="A38" s="61"/>
      <c r="B38" s="65">
        <v>46029.0</v>
      </c>
      <c r="C38" s="67">
        <v>5800.0</v>
      </c>
      <c r="D38" s="67"/>
      <c r="E38" s="70" t="s">
        <v>32</v>
      </c>
      <c r="F38" s="70"/>
      <c r="G38" s="70"/>
    </row>
    <row r="39" ht="19.5" customHeight="1">
      <c r="A39" s="61"/>
      <c r="B39" s="65">
        <v>46030.0</v>
      </c>
      <c r="C39" s="67">
        <v>18303.81</v>
      </c>
      <c r="D39" s="67"/>
      <c r="E39" s="70" t="s">
        <v>72</v>
      </c>
      <c r="F39" s="70"/>
      <c r="G39" s="70"/>
    </row>
    <row r="40" ht="19.5" customHeight="1">
      <c r="A40" s="61"/>
      <c r="B40" s="65">
        <v>46030.0</v>
      </c>
      <c r="C40" s="67">
        <v>8500.0</v>
      </c>
      <c r="D40" s="67"/>
      <c r="E40" s="70" t="s">
        <v>32</v>
      </c>
      <c r="F40" s="70"/>
      <c r="G40" s="70"/>
    </row>
    <row r="41" ht="19.5" customHeight="1">
      <c r="A41" s="61"/>
      <c r="B41" s="57">
        <v>46031.0</v>
      </c>
      <c r="C41" s="58">
        <v>84800.0</v>
      </c>
      <c r="D41" s="58"/>
      <c r="E41" s="59" t="s">
        <v>29</v>
      </c>
      <c r="F41" s="59" t="s">
        <v>76</v>
      </c>
      <c r="G41" s="59"/>
    </row>
    <row r="42" ht="19.5" customHeight="1">
      <c r="A42" s="61"/>
      <c r="B42" s="57">
        <v>46031.0</v>
      </c>
      <c r="C42" s="58">
        <v>24300.0</v>
      </c>
      <c r="D42" s="58"/>
      <c r="E42" s="59" t="s">
        <v>78</v>
      </c>
      <c r="F42" s="59" t="s">
        <v>79</v>
      </c>
      <c r="G42" s="59"/>
    </row>
    <row r="43" ht="19.5" customHeight="1">
      <c r="A43" s="61"/>
      <c r="B43" s="57">
        <v>46031.0</v>
      </c>
      <c r="C43" s="58"/>
      <c r="D43" s="58">
        <v>1.99</v>
      </c>
      <c r="E43" s="59" t="s">
        <v>81</v>
      </c>
      <c r="F43" s="59" t="s">
        <v>82</v>
      </c>
      <c r="G43" s="59"/>
    </row>
    <row r="44" ht="19.5" customHeight="1">
      <c r="A44" s="61"/>
      <c r="B44" s="65">
        <v>46032.0</v>
      </c>
      <c r="C44" s="67">
        <v>11299.0</v>
      </c>
      <c r="D44" s="67"/>
      <c r="E44" s="70" t="s">
        <v>86</v>
      </c>
      <c r="F44" s="70"/>
      <c r="G44" s="70"/>
    </row>
    <row r="45" ht="19.5" customHeight="1">
      <c r="A45" s="61"/>
      <c r="B45" s="65">
        <v>46032.0</v>
      </c>
      <c r="C45" s="67">
        <v>5000.0</v>
      </c>
      <c r="D45" s="67"/>
      <c r="E45" s="70" t="s">
        <v>32</v>
      </c>
      <c r="F45" s="70"/>
      <c r="G45" s="70"/>
    </row>
    <row r="46" ht="19.5" customHeight="1">
      <c r="A46" s="61"/>
      <c r="B46" s="65">
        <v>46033.0</v>
      </c>
      <c r="C46" s="67">
        <v>132005.08</v>
      </c>
      <c r="D46" s="67"/>
      <c r="E46" s="70" t="s">
        <v>35</v>
      </c>
      <c r="F46" s="70"/>
      <c r="G46" s="70"/>
    </row>
    <row r="47" ht="19.5" customHeight="1">
      <c r="A47" s="61"/>
      <c r="B47" s="65">
        <v>46033.0</v>
      </c>
      <c r="C47" s="67">
        <v>8500.0</v>
      </c>
      <c r="D47" s="67"/>
      <c r="E47" s="70" t="s">
        <v>56</v>
      </c>
      <c r="F47" s="70"/>
      <c r="G47" s="70"/>
    </row>
    <row r="48" ht="19.5" customHeight="1">
      <c r="A48" s="61"/>
      <c r="B48" s="65">
        <v>46033.0</v>
      </c>
      <c r="C48" s="67">
        <v>24049.0</v>
      </c>
      <c r="D48" s="67"/>
      <c r="E48" s="70" t="s">
        <v>93</v>
      </c>
      <c r="F48" s="70"/>
      <c r="G48" s="70"/>
    </row>
    <row r="49" ht="19.5" customHeight="1">
      <c r="A49" s="61"/>
      <c r="B49" s="65">
        <v>46034.0</v>
      </c>
      <c r="C49" s="67">
        <v>12200.0</v>
      </c>
      <c r="D49" s="67"/>
      <c r="E49" s="70" t="s">
        <v>46</v>
      </c>
      <c r="F49" s="70"/>
      <c r="G49" s="70"/>
    </row>
    <row r="50" ht="19.5" customHeight="1">
      <c r="A50" s="61"/>
      <c r="B50" s="57">
        <v>46035.0</v>
      </c>
      <c r="C50" s="58">
        <v>497678.0</v>
      </c>
      <c r="D50" s="58"/>
      <c r="E50" s="59" t="s">
        <v>97</v>
      </c>
      <c r="F50" s="59" t="s">
        <v>98</v>
      </c>
      <c r="G50" s="59"/>
    </row>
    <row r="51" ht="19.5" customHeight="1">
      <c r="A51" s="61"/>
      <c r="B51" s="57">
        <v>46035.0</v>
      </c>
      <c r="C51" s="58">
        <v>525379.0</v>
      </c>
      <c r="D51" s="58"/>
      <c r="E51" s="59" t="s">
        <v>99</v>
      </c>
      <c r="F51" s="59" t="s">
        <v>102</v>
      </c>
      <c r="G51" s="59"/>
    </row>
    <row r="52" ht="19.5" customHeight="1">
      <c r="A52" s="61"/>
      <c r="B52" s="57">
        <v>46036.0</v>
      </c>
      <c r="C52" s="58">
        <v>20046.74</v>
      </c>
      <c r="D52" s="58"/>
      <c r="E52" s="59" t="s">
        <v>103</v>
      </c>
      <c r="F52" s="59" t="s">
        <v>106</v>
      </c>
      <c r="G52" s="59"/>
    </row>
    <row r="53" ht="19.5" customHeight="1">
      <c r="A53" s="61"/>
      <c r="B53" s="57">
        <v>46036.0</v>
      </c>
      <c r="C53" s="58">
        <v>110421.09</v>
      </c>
      <c r="D53" s="58"/>
      <c r="E53" s="59" t="s">
        <v>107</v>
      </c>
      <c r="F53" s="59" t="s">
        <v>108</v>
      </c>
      <c r="G53" s="59"/>
    </row>
    <row r="54" ht="19.5" customHeight="1">
      <c r="A54" s="61"/>
      <c r="B54" s="57">
        <v>46036.0</v>
      </c>
      <c r="C54" s="58">
        <v>20046.74</v>
      </c>
      <c r="D54" s="58"/>
      <c r="E54" s="59" t="s">
        <v>109</v>
      </c>
      <c r="F54" s="59" t="s">
        <v>110</v>
      </c>
      <c r="G54" s="59"/>
    </row>
    <row r="55" ht="19.5" customHeight="1">
      <c r="A55" s="61"/>
      <c r="B55" s="57">
        <v>46036.0</v>
      </c>
      <c r="C55" s="58">
        <v>19518.59</v>
      </c>
      <c r="D55" s="58"/>
      <c r="E55" s="59" t="s">
        <v>111</v>
      </c>
      <c r="F55" s="59" t="s">
        <v>112</v>
      </c>
      <c r="G55" s="59"/>
    </row>
    <row r="56" ht="19.5" customHeight="1">
      <c r="A56" s="61"/>
      <c r="B56" s="57">
        <v>46036.0</v>
      </c>
      <c r="C56" s="58">
        <v>19518.59</v>
      </c>
      <c r="D56" s="58"/>
      <c r="E56" s="59" t="s">
        <v>114</v>
      </c>
      <c r="F56" s="59" t="s">
        <v>115</v>
      </c>
      <c r="G56" s="59"/>
    </row>
    <row r="57" ht="19.5" customHeight="1">
      <c r="A57" s="61"/>
      <c r="B57" s="65">
        <v>46037.0</v>
      </c>
      <c r="C57" s="67">
        <v>27477.0</v>
      </c>
      <c r="D57" s="67"/>
      <c r="E57" s="70" t="s">
        <v>116</v>
      </c>
      <c r="F57" s="70"/>
      <c r="G57" s="70"/>
    </row>
    <row r="58" ht="19.5" customHeight="1">
      <c r="A58" s="61"/>
      <c r="B58" s="65">
        <v>46037.0</v>
      </c>
      <c r="C58" s="67">
        <v>27539.0</v>
      </c>
      <c r="D58" s="67"/>
      <c r="E58" s="70" t="s">
        <v>64</v>
      </c>
      <c r="F58" s="70"/>
      <c r="G58" s="70"/>
    </row>
    <row r="59" ht="19.5" customHeight="1">
      <c r="A59" s="61"/>
      <c r="B59" s="65">
        <v>46037.0</v>
      </c>
      <c r="C59" s="91">
        <v>-27477.0</v>
      </c>
      <c r="D59" s="67"/>
      <c r="E59" s="70" t="s">
        <v>116</v>
      </c>
      <c r="F59" s="70"/>
      <c r="G59" s="70"/>
    </row>
    <row r="60" ht="19.5" customHeight="1">
      <c r="A60" s="61"/>
      <c r="B60" s="65">
        <v>46038.0</v>
      </c>
      <c r="C60" s="67">
        <v>3200.0</v>
      </c>
      <c r="D60" s="67"/>
      <c r="E60" s="70" t="s">
        <v>123</v>
      </c>
      <c r="F60" s="70"/>
      <c r="G60" s="70"/>
    </row>
    <row r="61" ht="19.5" customHeight="1">
      <c r="A61" s="61"/>
      <c r="B61" s="65">
        <v>46038.0</v>
      </c>
      <c r="C61" s="67">
        <v>7550.28</v>
      </c>
      <c r="D61" s="67"/>
      <c r="E61" s="70" t="s">
        <v>125</v>
      </c>
      <c r="F61" s="70"/>
      <c r="G61" s="70"/>
    </row>
    <row r="62" ht="19.5" customHeight="1">
      <c r="A62" s="61"/>
      <c r="B62" s="57">
        <v>46041.0</v>
      </c>
      <c r="C62" s="58">
        <v>126569.17</v>
      </c>
      <c r="D62" s="58"/>
      <c r="E62" s="59" t="s">
        <v>128</v>
      </c>
      <c r="F62" s="90" t="s">
        <v>130</v>
      </c>
      <c r="G62" s="59"/>
    </row>
    <row r="63" ht="19.5" customHeight="1">
      <c r="A63" s="61"/>
      <c r="B63" s="57">
        <v>46042.0</v>
      </c>
      <c r="C63" s="96">
        <v>2589246.0</v>
      </c>
      <c r="D63" s="59"/>
      <c r="E63" s="59" t="s">
        <v>135</v>
      </c>
      <c r="F63" s="59" t="s">
        <v>136</v>
      </c>
      <c r="G63" s="59"/>
    </row>
    <row r="64" ht="19.5" customHeight="1">
      <c r="A64" s="61"/>
      <c r="B64" s="57">
        <v>46042.0</v>
      </c>
      <c r="C64" s="58"/>
      <c r="D64" s="58">
        <v>1.99</v>
      </c>
      <c r="E64" s="59" t="s">
        <v>138</v>
      </c>
      <c r="F64" s="59" t="s">
        <v>82</v>
      </c>
      <c r="G64" s="59"/>
    </row>
    <row r="65" ht="19.5" customHeight="1">
      <c r="A65" s="61"/>
      <c r="B65" s="57">
        <v>46043.0</v>
      </c>
      <c r="C65" s="58">
        <v>89940.0</v>
      </c>
      <c r="D65" s="58"/>
      <c r="E65" s="59" t="s">
        <v>139</v>
      </c>
      <c r="F65" s="90" t="s">
        <v>140</v>
      </c>
      <c r="G65" s="59"/>
    </row>
    <row r="66" ht="19.5" customHeight="1">
      <c r="A66" s="61"/>
      <c r="B66" s="57">
        <v>46044.0</v>
      </c>
      <c r="C66" s="58">
        <v>133204.5</v>
      </c>
      <c r="D66" s="58"/>
      <c r="E66" s="59" t="s">
        <v>143</v>
      </c>
      <c r="F66" s="90" t="s">
        <v>144</v>
      </c>
      <c r="G66" s="59"/>
    </row>
    <row r="67" ht="19.5" customHeight="1">
      <c r="A67" s="61"/>
      <c r="B67" s="57">
        <v>46044.0</v>
      </c>
      <c r="C67" s="58">
        <v>235782.65</v>
      </c>
      <c r="D67" s="58"/>
      <c r="E67" s="59" t="s">
        <v>146</v>
      </c>
      <c r="F67" s="90" t="s">
        <v>147</v>
      </c>
      <c r="G67" s="59"/>
    </row>
    <row r="68" ht="19.5" customHeight="1">
      <c r="A68" s="61"/>
      <c r="B68" s="57">
        <v>46044.0</v>
      </c>
      <c r="C68" s="58">
        <v>24874.0</v>
      </c>
      <c r="D68" s="58"/>
      <c r="E68" s="59" t="s">
        <v>52</v>
      </c>
      <c r="F68" s="90" t="s">
        <v>148</v>
      </c>
      <c r="G68" s="59"/>
    </row>
    <row r="69" ht="19.5" customHeight="1">
      <c r="A69" s="61"/>
      <c r="B69" s="57">
        <v>46046.0</v>
      </c>
      <c r="C69" s="58">
        <v>701808.0</v>
      </c>
      <c r="D69" s="58"/>
      <c r="E69" s="59" t="s">
        <v>149</v>
      </c>
      <c r="F69" s="90" t="s">
        <v>150</v>
      </c>
      <c r="G69" s="59"/>
    </row>
    <row r="70" ht="19.5" customHeight="1">
      <c r="A70" s="61"/>
      <c r="B70" s="65">
        <v>46048.0</v>
      </c>
      <c r="C70" s="67">
        <v>16200.0</v>
      </c>
      <c r="D70" s="67"/>
      <c r="E70" s="70" t="s">
        <v>153</v>
      </c>
      <c r="F70" s="70"/>
      <c r="G70" s="70"/>
    </row>
    <row r="71" ht="19.5" customHeight="1">
      <c r="A71" s="61"/>
      <c r="B71" s="65">
        <v>46048.0</v>
      </c>
      <c r="C71" s="67">
        <v>25900.0</v>
      </c>
      <c r="D71" s="67"/>
      <c r="E71" s="70" t="s">
        <v>153</v>
      </c>
      <c r="F71" s="70"/>
      <c r="G71" s="70"/>
    </row>
    <row r="72" ht="19.5" customHeight="1">
      <c r="A72" s="61"/>
      <c r="B72" s="57">
        <v>46048.0</v>
      </c>
      <c r="C72" s="58">
        <v>1845209.0</v>
      </c>
      <c r="D72" s="58"/>
      <c r="E72" s="59" t="s">
        <v>43</v>
      </c>
      <c r="F72" s="59" t="s">
        <v>44</v>
      </c>
      <c r="G72" s="59"/>
    </row>
    <row r="73" ht="19.5" customHeight="1">
      <c r="A73" s="61"/>
      <c r="B73" s="65">
        <v>46049.0</v>
      </c>
      <c r="C73" s="67">
        <v>87046.02</v>
      </c>
      <c r="D73" s="67"/>
      <c r="E73" s="70" t="s">
        <v>35</v>
      </c>
      <c r="F73" s="70"/>
      <c r="G73" s="70"/>
    </row>
    <row r="74" ht="19.5" customHeight="1">
      <c r="A74" s="61"/>
      <c r="B74" s="65">
        <v>46050.0</v>
      </c>
      <c r="C74" s="67">
        <v>39000.0</v>
      </c>
      <c r="D74" s="67"/>
      <c r="E74" s="70" t="s">
        <v>33</v>
      </c>
      <c r="F74" s="70"/>
      <c r="G74" s="70"/>
    </row>
    <row r="75" ht="19.5" customHeight="1">
      <c r="A75" s="61"/>
      <c r="B75" s="65">
        <v>46050.0</v>
      </c>
      <c r="C75" s="67">
        <v>12500.0</v>
      </c>
      <c r="D75" s="67"/>
      <c r="E75" s="70" t="s">
        <v>41</v>
      </c>
      <c r="F75" s="70"/>
      <c r="G75" s="70"/>
    </row>
    <row r="76" ht="19.5" customHeight="1">
      <c r="A76" s="42"/>
      <c r="B76" s="57">
        <v>46050.0</v>
      </c>
      <c r="C76" s="58"/>
      <c r="D76" s="58">
        <v>2.99</v>
      </c>
      <c r="E76" s="59" t="s">
        <v>161</v>
      </c>
      <c r="F76" s="59" t="s">
        <v>82</v>
      </c>
      <c r="G76" s="59"/>
    </row>
    <row r="77" ht="30.0" customHeight="1">
      <c r="A77" s="98" t="s">
        <v>163</v>
      </c>
      <c r="B77" s="99"/>
      <c r="C77" s="100">
        <f t="shared" ref="C77:D77" si="3">SUM(C20:C76)</f>
        <v>8869063.67</v>
      </c>
      <c r="D77" s="100">
        <f t="shared" si="3"/>
        <v>16.96</v>
      </c>
      <c r="E77" s="102"/>
      <c r="F77" s="103"/>
      <c r="G77" s="104"/>
    </row>
    <row r="78" ht="4.5" customHeight="1">
      <c r="A78" s="107"/>
      <c r="B78" s="108"/>
      <c r="C78" s="108"/>
      <c r="D78" s="108"/>
      <c r="E78" s="108"/>
      <c r="F78" s="108"/>
      <c r="G78" s="110"/>
    </row>
    <row r="79" ht="19.5" customHeight="1">
      <c r="A79" s="56" t="s">
        <v>172</v>
      </c>
      <c r="B79" s="57">
        <v>45997.0</v>
      </c>
      <c r="C79" s="58">
        <v>20000.0</v>
      </c>
      <c r="D79" s="58"/>
      <c r="E79" s="59" t="s">
        <v>177</v>
      </c>
      <c r="F79" s="112" t="s">
        <v>178</v>
      </c>
      <c r="G79" s="59" t="s">
        <v>179</v>
      </c>
    </row>
    <row r="80" ht="19.5" customHeight="1">
      <c r="A80" s="61"/>
      <c r="B80" s="57">
        <v>46014.0</v>
      </c>
      <c r="C80" s="58">
        <v>47166.66</v>
      </c>
      <c r="D80" s="58"/>
      <c r="E80" s="59" t="s">
        <v>180</v>
      </c>
      <c r="F80" s="112" t="s">
        <v>181</v>
      </c>
      <c r="G80" s="59" t="s">
        <v>179</v>
      </c>
    </row>
    <row r="81" ht="19.5" customHeight="1">
      <c r="A81" s="61"/>
      <c r="B81" s="57">
        <v>46015.0</v>
      </c>
      <c r="C81" s="58">
        <v>86071.66</v>
      </c>
      <c r="D81" s="58"/>
      <c r="E81" s="59" t="s">
        <v>184</v>
      </c>
      <c r="F81" s="112" t="s">
        <v>185</v>
      </c>
      <c r="G81" s="59" t="s">
        <v>179</v>
      </c>
    </row>
    <row r="82" ht="19.5" customHeight="1">
      <c r="A82" s="61"/>
      <c r="B82" s="57">
        <v>46026.0</v>
      </c>
      <c r="C82" s="58">
        <v>42020.0</v>
      </c>
      <c r="D82" s="58"/>
      <c r="E82" s="59" t="s">
        <v>153</v>
      </c>
      <c r="F82" s="112" t="s">
        <v>187</v>
      </c>
      <c r="G82" s="59" t="s">
        <v>179</v>
      </c>
    </row>
    <row r="83" ht="19.5" customHeight="1">
      <c r="A83" s="61"/>
      <c r="B83" s="57">
        <v>46026.0</v>
      </c>
      <c r="C83" s="58">
        <v>17070.0</v>
      </c>
      <c r="D83" s="58"/>
      <c r="E83" s="59" t="s">
        <v>190</v>
      </c>
      <c r="F83" s="59" t="s">
        <v>191</v>
      </c>
      <c r="G83" s="59" t="s">
        <v>192</v>
      </c>
    </row>
    <row r="84" ht="19.5" customHeight="1">
      <c r="A84" s="61"/>
      <c r="B84" s="57">
        <v>46026.0</v>
      </c>
      <c r="C84" s="58">
        <v>56705.89</v>
      </c>
      <c r="D84" s="58"/>
      <c r="E84" s="59" t="s">
        <v>190</v>
      </c>
      <c r="F84" s="112" t="s">
        <v>193</v>
      </c>
      <c r="G84" s="59" t="s">
        <v>179</v>
      </c>
    </row>
    <row r="85" ht="19.5" customHeight="1">
      <c r="A85" s="61"/>
      <c r="B85" s="57">
        <v>46028.0</v>
      </c>
      <c r="C85" s="58">
        <v>22916.68</v>
      </c>
      <c r="D85" s="58"/>
      <c r="E85" s="59" t="s">
        <v>195</v>
      </c>
      <c r="F85" s="112" t="s">
        <v>196</v>
      </c>
      <c r="G85" s="59" t="s">
        <v>179</v>
      </c>
    </row>
    <row r="86" ht="19.5" customHeight="1">
      <c r="A86" s="61"/>
      <c r="B86" s="57">
        <v>46028.0</v>
      </c>
      <c r="C86" s="58">
        <v>129814.22</v>
      </c>
      <c r="D86" s="58"/>
      <c r="E86" s="59" t="s">
        <v>198</v>
      </c>
      <c r="F86" s="112" t="s">
        <v>199</v>
      </c>
      <c r="G86" s="59" t="s">
        <v>179</v>
      </c>
    </row>
    <row r="87" ht="19.5" customHeight="1">
      <c r="A87" s="61"/>
      <c r="B87" s="57">
        <v>46028.0</v>
      </c>
      <c r="C87" s="58">
        <v>19899.0</v>
      </c>
      <c r="D87" s="58"/>
      <c r="E87" s="59" t="s">
        <v>203</v>
      </c>
      <c r="F87" s="59" t="s">
        <v>191</v>
      </c>
      <c r="G87" s="59" t="s">
        <v>192</v>
      </c>
    </row>
    <row r="88" ht="19.5" customHeight="1">
      <c r="A88" s="61"/>
      <c r="B88" s="57">
        <v>46028.0</v>
      </c>
      <c r="C88" s="58">
        <v>120393.99</v>
      </c>
      <c r="D88" s="58"/>
      <c r="E88" s="59" t="s">
        <v>203</v>
      </c>
      <c r="F88" s="112" t="s">
        <v>204</v>
      </c>
      <c r="G88" s="59" t="s">
        <v>179</v>
      </c>
    </row>
    <row r="89" ht="19.5" customHeight="1">
      <c r="A89" s="61"/>
      <c r="B89" s="57">
        <v>46029.0</v>
      </c>
      <c r="C89" s="58">
        <v>30000.0</v>
      </c>
      <c r="D89" s="58"/>
      <c r="E89" s="59" t="s">
        <v>41</v>
      </c>
      <c r="F89" s="112" t="s">
        <v>205</v>
      </c>
      <c r="G89" s="59" t="s">
        <v>179</v>
      </c>
    </row>
    <row r="90" ht="19.5" customHeight="1">
      <c r="A90" s="61"/>
      <c r="B90" s="57">
        <v>46030.0</v>
      </c>
      <c r="C90" s="58">
        <v>30000.0</v>
      </c>
      <c r="D90" s="58"/>
      <c r="E90" s="59" t="s">
        <v>41</v>
      </c>
      <c r="F90" s="112" t="s">
        <v>205</v>
      </c>
      <c r="G90" s="59" t="s">
        <v>179</v>
      </c>
    </row>
    <row r="91" ht="19.5" customHeight="1">
      <c r="A91" s="61"/>
      <c r="B91" s="57">
        <v>46033.0</v>
      </c>
      <c r="C91" s="58">
        <v>118273.23</v>
      </c>
      <c r="D91" s="58"/>
      <c r="E91" s="59" t="s">
        <v>190</v>
      </c>
      <c r="F91" s="59" t="s">
        <v>207</v>
      </c>
      <c r="G91" s="59" t="s">
        <v>209</v>
      </c>
    </row>
    <row r="92" ht="19.5" customHeight="1">
      <c r="A92" s="61"/>
      <c r="B92" s="57">
        <v>46035.0</v>
      </c>
      <c r="C92" s="58">
        <v>54111.2</v>
      </c>
      <c r="D92" s="58"/>
      <c r="E92" s="59" t="s">
        <v>210</v>
      </c>
      <c r="F92" s="112" t="s">
        <v>213</v>
      </c>
      <c r="G92" s="59" t="s">
        <v>179</v>
      </c>
    </row>
    <row r="93" ht="19.5" customHeight="1">
      <c r="A93" s="61"/>
      <c r="B93" s="57">
        <v>46037.0</v>
      </c>
      <c r="C93" s="58">
        <v>30000.0</v>
      </c>
      <c r="D93" s="58"/>
      <c r="E93" s="59" t="s">
        <v>41</v>
      </c>
      <c r="F93" s="112" t="s">
        <v>205</v>
      </c>
      <c r="G93" s="59" t="s">
        <v>179</v>
      </c>
    </row>
    <row r="94" ht="19.5" customHeight="1">
      <c r="A94" s="61"/>
      <c r="B94" s="57">
        <v>46037.0</v>
      </c>
      <c r="C94" s="58">
        <v>32000.0</v>
      </c>
      <c r="D94" s="58"/>
      <c r="E94" s="59" t="s">
        <v>217</v>
      </c>
      <c r="F94" s="112" t="s">
        <v>220</v>
      </c>
      <c r="G94" s="59" t="s">
        <v>179</v>
      </c>
    </row>
    <row r="95" ht="19.5" customHeight="1">
      <c r="A95" s="61"/>
      <c r="B95" s="57">
        <v>46037.0</v>
      </c>
      <c r="C95" s="58"/>
      <c r="D95" s="58">
        <v>0.89</v>
      </c>
      <c r="E95" s="59" t="s">
        <v>222</v>
      </c>
      <c r="F95" s="59" t="s">
        <v>223</v>
      </c>
      <c r="G95" s="59"/>
    </row>
    <row r="96" ht="19.5" customHeight="1">
      <c r="A96" s="61"/>
      <c r="B96" s="57">
        <v>46039.0</v>
      </c>
      <c r="C96" s="58">
        <v>35700.0</v>
      </c>
      <c r="D96" s="58"/>
      <c r="E96" s="59" t="s">
        <v>41</v>
      </c>
      <c r="F96" s="112" t="s">
        <v>205</v>
      </c>
      <c r="G96" s="59" t="s">
        <v>179</v>
      </c>
    </row>
    <row r="97" ht="19.5" customHeight="1">
      <c r="A97" s="61"/>
      <c r="B97" s="57">
        <v>46039.0</v>
      </c>
      <c r="C97" s="58">
        <v>75075.48</v>
      </c>
      <c r="D97" s="58"/>
      <c r="E97" s="59" t="s">
        <v>190</v>
      </c>
      <c r="F97" s="112" t="s">
        <v>204</v>
      </c>
      <c r="G97" s="59" t="s">
        <v>179</v>
      </c>
    </row>
    <row r="98" ht="19.5" customHeight="1">
      <c r="A98" s="61"/>
      <c r="B98" s="57">
        <v>46039.0</v>
      </c>
      <c r="C98" s="58">
        <v>46585.0</v>
      </c>
      <c r="D98" s="58"/>
      <c r="E98" s="59" t="s">
        <v>190</v>
      </c>
      <c r="F98" s="112" t="s">
        <v>204</v>
      </c>
      <c r="G98" s="59" t="s">
        <v>179</v>
      </c>
    </row>
    <row r="99" ht="19.5" customHeight="1">
      <c r="A99" s="61"/>
      <c r="B99" s="57">
        <v>46041.0</v>
      </c>
      <c r="C99" s="58">
        <v>39999.93</v>
      </c>
      <c r="D99" s="58"/>
      <c r="E99" s="59" t="s">
        <v>41</v>
      </c>
      <c r="F99" s="112" t="s">
        <v>226</v>
      </c>
      <c r="G99" s="59" t="s">
        <v>179</v>
      </c>
    </row>
    <row r="100" ht="19.5" customHeight="1">
      <c r="A100" s="61"/>
      <c r="B100" s="57">
        <v>46045.0</v>
      </c>
      <c r="C100" s="58">
        <v>29999.99</v>
      </c>
      <c r="D100" s="58"/>
      <c r="E100" s="59" t="s">
        <v>41</v>
      </c>
      <c r="F100" s="112" t="s">
        <v>226</v>
      </c>
      <c r="G100" s="59" t="s">
        <v>179</v>
      </c>
    </row>
    <row r="101" ht="19.5" customHeight="1">
      <c r="A101" s="61"/>
      <c r="B101" s="57">
        <v>46046.0</v>
      </c>
      <c r="C101" s="58">
        <v>123667.04</v>
      </c>
      <c r="D101" s="58"/>
      <c r="E101" s="59" t="s">
        <v>190</v>
      </c>
      <c r="F101" s="59" t="s">
        <v>204</v>
      </c>
      <c r="G101" s="59" t="s">
        <v>179</v>
      </c>
    </row>
    <row r="102" ht="19.5" customHeight="1">
      <c r="A102" s="61"/>
      <c r="B102" s="57">
        <v>46049.0</v>
      </c>
      <c r="C102" s="58">
        <v>69778.0</v>
      </c>
      <c r="D102" s="58"/>
      <c r="E102" s="59" t="s">
        <v>149</v>
      </c>
      <c r="F102" s="59" t="s">
        <v>230</v>
      </c>
      <c r="G102" s="59" t="s">
        <v>192</v>
      </c>
    </row>
    <row r="103" ht="19.5" customHeight="1">
      <c r="A103" s="42"/>
      <c r="B103" s="113">
        <v>46050.0</v>
      </c>
      <c r="C103" s="100">
        <v>65095.35</v>
      </c>
      <c r="D103" s="100"/>
      <c r="E103" s="59" t="s">
        <v>235</v>
      </c>
      <c r="F103" s="112" t="s">
        <v>237</v>
      </c>
      <c r="G103" s="59" t="s">
        <v>179</v>
      </c>
    </row>
    <row r="104" ht="30.0" customHeight="1">
      <c r="A104" s="114" t="s">
        <v>163</v>
      </c>
      <c r="B104" s="110"/>
      <c r="C104" s="58">
        <f t="shared" ref="C104:D104" si="4">SUM(C79:C103)</f>
        <v>1342343.32</v>
      </c>
      <c r="D104" s="58">
        <f t="shared" si="4"/>
        <v>0.89</v>
      </c>
      <c r="E104" s="102"/>
      <c r="F104" s="103"/>
      <c r="G104" s="104"/>
    </row>
    <row r="105" ht="4.5" customHeight="1">
      <c r="A105" s="107"/>
      <c r="B105" s="108"/>
      <c r="C105" s="108"/>
      <c r="D105" s="108"/>
      <c r="E105" s="108"/>
      <c r="F105" s="108"/>
      <c r="G105" s="110"/>
    </row>
    <row r="106" ht="18.75" customHeight="1">
      <c r="A106" s="56" t="s">
        <v>19</v>
      </c>
      <c r="B106" s="57">
        <v>45961.0</v>
      </c>
      <c r="C106" s="58">
        <v>50586.66</v>
      </c>
      <c r="D106" s="58"/>
      <c r="E106" s="59" t="s">
        <v>249</v>
      </c>
      <c r="F106" s="59" t="s">
        <v>250</v>
      </c>
      <c r="G106" s="59" t="s">
        <v>179</v>
      </c>
    </row>
    <row r="107" ht="19.5" customHeight="1">
      <c r="A107" s="61"/>
      <c r="B107" s="57">
        <v>45971.0</v>
      </c>
      <c r="C107" s="58">
        <v>40757.01</v>
      </c>
      <c r="D107" s="58"/>
      <c r="E107" s="59" t="s">
        <v>252</v>
      </c>
      <c r="F107" s="59" t="s">
        <v>250</v>
      </c>
      <c r="G107" s="59" t="s">
        <v>179</v>
      </c>
    </row>
    <row r="108" ht="19.5" customHeight="1">
      <c r="A108" s="61"/>
      <c r="B108" s="57">
        <v>45987.0</v>
      </c>
      <c r="C108" s="58">
        <v>50933.33</v>
      </c>
      <c r="D108" s="58"/>
      <c r="E108" s="59" t="s">
        <v>253</v>
      </c>
      <c r="F108" s="59" t="s">
        <v>250</v>
      </c>
      <c r="G108" s="59" t="s">
        <v>179</v>
      </c>
    </row>
    <row r="109" ht="19.5" customHeight="1">
      <c r="A109" s="61"/>
      <c r="B109" s="57">
        <v>46027.0</v>
      </c>
      <c r="C109" s="58">
        <v>1300000.0</v>
      </c>
      <c r="D109" s="58"/>
      <c r="E109" s="59" t="s">
        <v>256</v>
      </c>
      <c r="F109" s="59" t="s">
        <v>257</v>
      </c>
      <c r="G109" s="59" t="s">
        <v>192</v>
      </c>
    </row>
    <row r="110" ht="19.5" customHeight="1">
      <c r="A110" s="42"/>
      <c r="B110" s="57">
        <v>46051.0</v>
      </c>
      <c r="C110" s="116">
        <v>15123.0</v>
      </c>
      <c r="D110" s="58"/>
      <c r="E110" s="59" t="s">
        <v>259</v>
      </c>
      <c r="F110" s="59" t="s">
        <v>260</v>
      </c>
      <c r="G110" s="59" t="s">
        <v>179</v>
      </c>
    </row>
    <row r="111" ht="30.0" customHeight="1">
      <c r="A111" s="114" t="s">
        <v>163</v>
      </c>
      <c r="B111" s="110"/>
      <c r="C111" s="58">
        <f t="shared" ref="C111:D111" si="5">SUM(C106:C110)</f>
        <v>1457400</v>
      </c>
      <c r="D111" s="58">
        <f t="shared" si="5"/>
        <v>0</v>
      </c>
      <c r="E111" s="117"/>
      <c r="F111" s="118"/>
      <c r="G111" s="119"/>
    </row>
    <row r="112" ht="4.5" customHeight="1">
      <c r="A112" s="121"/>
      <c r="B112" s="49"/>
      <c r="C112" s="49"/>
      <c r="D112" s="49"/>
      <c r="E112" s="49"/>
      <c r="F112" s="49"/>
      <c r="G112" s="50"/>
    </row>
    <row r="113" ht="19.5" customHeight="1">
      <c r="A113" s="56" t="s">
        <v>18</v>
      </c>
      <c r="B113" s="57">
        <v>46024.0</v>
      </c>
      <c r="C113" s="58">
        <v>76749.75</v>
      </c>
      <c r="D113" s="58"/>
      <c r="E113" s="59" t="s">
        <v>279</v>
      </c>
      <c r="F113" s="59" t="s">
        <v>280</v>
      </c>
      <c r="G113" s="59" t="s">
        <v>192</v>
      </c>
    </row>
    <row r="114" ht="19.5" customHeight="1">
      <c r="A114" s="61"/>
      <c r="B114" s="57">
        <v>46025.0</v>
      </c>
      <c r="C114" s="58">
        <v>233243.1</v>
      </c>
      <c r="D114" s="58"/>
      <c r="E114" s="59" t="s">
        <v>282</v>
      </c>
      <c r="F114" s="59" t="s">
        <v>283</v>
      </c>
      <c r="G114" s="59" t="s">
        <v>192</v>
      </c>
    </row>
    <row r="115" ht="19.5" customHeight="1">
      <c r="A115" s="61"/>
      <c r="B115" s="57">
        <v>46028.0</v>
      </c>
      <c r="C115" s="58">
        <v>43060.0</v>
      </c>
      <c r="D115" s="58"/>
      <c r="E115" s="59" t="s">
        <v>284</v>
      </c>
      <c r="F115" s="59" t="s">
        <v>285</v>
      </c>
      <c r="G115" s="59" t="s">
        <v>192</v>
      </c>
    </row>
    <row r="116" ht="19.5" customHeight="1">
      <c r="A116" s="61"/>
      <c r="B116" s="57">
        <v>46034.0</v>
      </c>
      <c r="C116" s="58">
        <v>28120.95</v>
      </c>
      <c r="D116" s="58"/>
      <c r="E116" s="59" t="s">
        <v>36</v>
      </c>
      <c r="F116" s="59" t="s">
        <v>288</v>
      </c>
      <c r="G116" s="59" t="s">
        <v>192</v>
      </c>
    </row>
    <row r="117" ht="19.5" customHeight="1">
      <c r="A117" s="61"/>
      <c r="B117" s="57">
        <v>46034.0</v>
      </c>
      <c r="C117" s="58">
        <v>32620.3</v>
      </c>
      <c r="D117" s="58"/>
      <c r="E117" s="59" t="s">
        <v>36</v>
      </c>
      <c r="F117" s="59" t="s">
        <v>289</v>
      </c>
      <c r="G117" s="59" t="s">
        <v>192</v>
      </c>
    </row>
    <row r="118" ht="19.5" customHeight="1">
      <c r="A118" s="61"/>
      <c r="B118" s="57">
        <v>46034.0</v>
      </c>
      <c r="C118" s="58">
        <v>105105.0</v>
      </c>
      <c r="D118" s="58"/>
      <c r="E118" s="59" t="s">
        <v>36</v>
      </c>
      <c r="F118" s="59" t="s">
        <v>291</v>
      </c>
      <c r="G118" s="59" t="s">
        <v>192</v>
      </c>
    </row>
    <row r="119" ht="19.5" customHeight="1">
      <c r="A119" s="61"/>
      <c r="B119" s="57">
        <v>46034.0</v>
      </c>
      <c r="C119" s="58">
        <v>177949.37</v>
      </c>
      <c r="D119" s="58"/>
      <c r="E119" s="59" t="s">
        <v>36</v>
      </c>
      <c r="F119" s="59" t="s">
        <v>292</v>
      </c>
      <c r="G119" s="59" t="s">
        <v>192</v>
      </c>
    </row>
    <row r="120" ht="19.5" customHeight="1">
      <c r="A120" s="61"/>
      <c r="B120" s="57">
        <v>46036.0</v>
      </c>
      <c r="C120" s="58">
        <v>38610.0</v>
      </c>
      <c r="D120" s="58"/>
      <c r="E120" s="59" t="s">
        <v>36</v>
      </c>
      <c r="F120" s="59" t="s">
        <v>294</v>
      </c>
      <c r="G120" s="59" t="s">
        <v>192</v>
      </c>
    </row>
    <row r="121" ht="19.5" customHeight="1">
      <c r="A121" s="61"/>
      <c r="B121" s="57">
        <v>46038.0</v>
      </c>
      <c r="C121" s="58">
        <v>87945.0</v>
      </c>
      <c r="D121" s="58"/>
      <c r="E121" s="59" t="s">
        <v>36</v>
      </c>
      <c r="F121" s="59" t="s">
        <v>297</v>
      </c>
      <c r="G121" s="59" t="s">
        <v>192</v>
      </c>
    </row>
    <row r="122" ht="19.5" customHeight="1">
      <c r="A122" s="61"/>
      <c r="B122" s="57">
        <v>46038.0</v>
      </c>
      <c r="C122" s="58">
        <v>302321.51</v>
      </c>
      <c r="D122" s="58"/>
      <c r="E122" s="59" t="s">
        <v>298</v>
      </c>
      <c r="F122" s="59" t="s">
        <v>299</v>
      </c>
      <c r="G122" s="59" t="s">
        <v>192</v>
      </c>
    </row>
    <row r="123" ht="19.5" customHeight="1">
      <c r="A123" s="61"/>
      <c r="B123" s="57">
        <v>46038.0</v>
      </c>
      <c r="C123" s="58">
        <v>215194.22</v>
      </c>
      <c r="D123" s="58"/>
      <c r="E123" s="59" t="s">
        <v>95</v>
      </c>
      <c r="F123" s="59" t="s">
        <v>302</v>
      </c>
      <c r="G123" s="59" t="s">
        <v>192</v>
      </c>
    </row>
    <row r="124" ht="19.5" customHeight="1">
      <c r="A124" s="61"/>
      <c r="B124" s="57">
        <v>46040.0</v>
      </c>
      <c r="C124" s="58">
        <v>44401.5</v>
      </c>
      <c r="D124" s="58"/>
      <c r="E124" s="59" t="s">
        <v>36</v>
      </c>
      <c r="F124" s="59" t="s">
        <v>305</v>
      </c>
      <c r="G124" s="59" t="s">
        <v>192</v>
      </c>
    </row>
    <row r="125" ht="19.5" customHeight="1">
      <c r="A125" s="61"/>
      <c r="B125" s="57">
        <v>46040.0</v>
      </c>
      <c r="C125" s="58">
        <v>51480.0</v>
      </c>
      <c r="D125" s="58"/>
      <c r="E125" s="59" t="s">
        <v>36</v>
      </c>
      <c r="F125" s="59" t="s">
        <v>306</v>
      </c>
      <c r="G125" s="59" t="s">
        <v>192</v>
      </c>
    </row>
    <row r="126" ht="19.5" customHeight="1">
      <c r="A126" s="61"/>
      <c r="B126" s="57">
        <v>46041.0</v>
      </c>
      <c r="C126" s="58">
        <v>57915.0</v>
      </c>
      <c r="D126" s="58"/>
      <c r="E126" s="59" t="s">
        <v>36</v>
      </c>
      <c r="F126" s="59" t="s">
        <v>307</v>
      </c>
      <c r="G126" s="59" t="s">
        <v>192</v>
      </c>
    </row>
    <row r="127" ht="21.0" customHeight="1">
      <c r="A127" s="61"/>
      <c r="B127" s="57">
        <v>46041.0</v>
      </c>
      <c r="C127" s="58">
        <v>30351.75</v>
      </c>
      <c r="D127" s="58"/>
      <c r="E127" s="59" t="s">
        <v>36</v>
      </c>
      <c r="F127" s="59" t="s">
        <v>50</v>
      </c>
      <c r="G127" s="59" t="s">
        <v>192</v>
      </c>
    </row>
    <row r="128" ht="19.5" customHeight="1">
      <c r="A128" s="61"/>
      <c r="B128" s="57">
        <v>46041.0</v>
      </c>
      <c r="C128" s="58">
        <v>38288.25</v>
      </c>
      <c r="D128" s="58"/>
      <c r="E128" s="59" t="s">
        <v>36</v>
      </c>
      <c r="F128" s="59" t="s">
        <v>309</v>
      </c>
      <c r="G128" s="59" t="s">
        <v>192</v>
      </c>
    </row>
    <row r="129" ht="19.5" customHeight="1">
      <c r="A129" s="61"/>
      <c r="B129" s="57">
        <v>46041.0</v>
      </c>
      <c r="C129" s="58">
        <v>125482.5</v>
      </c>
      <c r="D129" s="58"/>
      <c r="E129" s="59" t="s">
        <v>36</v>
      </c>
      <c r="F129" s="59" t="s">
        <v>310</v>
      </c>
      <c r="G129" s="59" t="s">
        <v>192</v>
      </c>
    </row>
    <row r="130" ht="19.5" customHeight="1">
      <c r="A130" s="61"/>
      <c r="B130" s="57">
        <v>46041.0</v>
      </c>
      <c r="C130" s="58">
        <v>92342.25</v>
      </c>
      <c r="D130" s="58"/>
      <c r="E130" s="59" t="s">
        <v>36</v>
      </c>
      <c r="F130" s="59" t="s">
        <v>311</v>
      </c>
      <c r="G130" s="59" t="s">
        <v>192</v>
      </c>
    </row>
    <row r="131" ht="19.5" customHeight="1">
      <c r="A131" s="61"/>
      <c r="B131" s="57">
        <v>46041.0</v>
      </c>
      <c r="C131" s="58">
        <v>1405464.0</v>
      </c>
      <c r="D131" s="58"/>
      <c r="E131" s="59" t="s">
        <v>312</v>
      </c>
      <c r="F131" s="59" t="s">
        <v>313</v>
      </c>
      <c r="G131" s="59" t="s">
        <v>192</v>
      </c>
    </row>
    <row r="132" ht="19.5" customHeight="1">
      <c r="A132" s="61"/>
      <c r="B132" s="57">
        <v>46041.0</v>
      </c>
      <c r="C132" s="58">
        <v>3568.0</v>
      </c>
      <c r="D132" s="58"/>
      <c r="E132" s="59" t="s">
        <v>52</v>
      </c>
      <c r="F132" s="59" t="s">
        <v>314</v>
      </c>
      <c r="G132" s="59" t="s">
        <v>192</v>
      </c>
    </row>
    <row r="133" ht="19.5" customHeight="1">
      <c r="A133" s="61"/>
      <c r="B133" s="57">
        <v>46043.0</v>
      </c>
      <c r="C133" s="58">
        <v>27728.0</v>
      </c>
      <c r="D133" s="58"/>
      <c r="E133" s="59" t="s">
        <v>316</v>
      </c>
      <c r="F133" s="59" t="s">
        <v>317</v>
      </c>
      <c r="G133" s="59" t="s">
        <v>192</v>
      </c>
    </row>
    <row r="134" ht="19.5" customHeight="1">
      <c r="A134" s="61"/>
      <c r="B134" s="57">
        <v>46043.0</v>
      </c>
      <c r="C134" s="58">
        <v>8567.0</v>
      </c>
      <c r="D134" s="58"/>
      <c r="E134" s="59" t="s">
        <v>52</v>
      </c>
      <c r="F134" s="59" t="s">
        <v>319</v>
      </c>
      <c r="G134" s="59" t="s">
        <v>192</v>
      </c>
    </row>
    <row r="135" ht="19.5" customHeight="1">
      <c r="A135" s="61"/>
      <c r="B135" s="57">
        <v>46044.0</v>
      </c>
      <c r="C135" s="58"/>
      <c r="D135" s="58">
        <v>9.99</v>
      </c>
      <c r="E135" s="59" t="s">
        <v>320</v>
      </c>
      <c r="F135" s="59" t="s">
        <v>321</v>
      </c>
      <c r="G135" s="59" t="s">
        <v>192</v>
      </c>
    </row>
    <row r="136" ht="19.5" customHeight="1">
      <c r="A136" s="42"/>
      <c r="B136" s="57">
        <v>46045.0</v>
      </c>
      <c r="C136" s="58">
        <v>18749.13</v>
      </c>
      <c r="D136" s="58"/>
      <c r="E136" s="59" t="s">
        <v>298</v>
      </c>
      <c r="F136" s="59" t="s">
        <v>322</v>
      </c>
      <c r="G136" s="59" t="s">
        <v>192</v>
      </c>
    </row>
    <row r="137" ht="30.0" customHeight="1">
      <c r="A137" s="114" t="s">
        <v>163</v>
      </c>
      <c r="B137" s="110"/>
      <c r="C137" s="58">
        <f t="shared" ref="C137:D137" si="6">SUM(C113:C136)</f>
        <v>3245256.58</v>
      </c>
      <c r="D137" s="58">
        <f t="shared" si="6"/>
        <v>9.99</v>
      </c>
      <c r="E137" s="102"/>
      <c r="F137" s="103"/>
      <c r="G137" s="103"/>
    </row>
    <row r="138" ht="4.5" customHeight="1">
      <c r="A138" s="121"/>
      <c r="B138" s="49"/>
      <c r="C138" s="49"/>
      <c r="D138" s="49"/>
      <c r="E138" s="49"/>
      <c r="F138" s="49"/>
      <c r="G138" s="50"/>
    </row>
    <row r="139" ht="19.5" customHeight="1">
      <c r="A139" s="56" t="s">
        <v>335</v>
      </c>
      <c r="B139" s="57">
        <v>46021.0</v>
      </c>
      <c r="C139" s="58">
        <v>18000.0</v>
      </c>
      <c r="D139" s="58"/>
      <c r="E139" s="59" t="s">
        <v>348</v>
      </c>
      <c r="F139" s="59" t="s">
        <v>349</v>
      </c>
      <c r="G139" s="59"/>
    </row>
    <row r="140" ht="19.5" customHeight="1">
      <c r="A140" s="61"/>
      <c r="B140" s="57">
        <v>46021.0</v>
      </c>
      <c r="C140" s="58">
        <v>19634.0</v>
      </c>
      <c r="D140" s="58"/>
      <c r="E140" s="59" t="s">
        <v>348</v>
      </c>
      <c r="F140" s="59" t="s">
        <v>352</v>
      </c>
      <c r="G140" s="59"/>
    </row>
    <row r="141" ht="19.5" customHeight="1">
      <c r="A141" s="61"/>
      <c r="B141" s="57">
        <v>46024.0</v>
      </c>
      <c r="C141" s="58">
        <v>10075.0</v>
      </c>
      <c r="D141" s="58"/>
      <c r="E141" s="59" t="s">
        <v>355</v>
      </c>
      <c r="F141" s="147" t="s">
        <v>356</v>
      </c>
      <c r="G141" s="59"/>
    </row>
    <row r="142" ht="19.5" customHeight="1">
      <c r="A142" s="61"/>
      <c r="B142" s="57">
        <v>46024.0</v>
      </c>
      <c r="C142" s="58">
        <v>16000.0</v>
      </c>
      <c r="D142" s="58"/>
      <c r="E142" s="59" t="s">
        <v>348</v>
      </c>
      <c r="F142" s="59"/>
      <c r="G142" s="59"/>
    </row>
    <row r="143" ht="19.5" customHeight="1">
      <c r="A143" s="61"/>
      <c r="B143" s="57">
        <v>46025.0</v>
      </c>
      <c r="C143" s="58">
        <v>7200.0</v>
      </c>
      <c r="D143" s="58"/>
      <c r="E143" s="59" t="s">
        <v>363</v>
      </c>
      <c r="F143" s="59" t="s">
        <v>364</v>
      </c>
      <c r="G143" s="59"/>
    </row>
    <row r="144" ht="19.5" customHeight="1">
      <c r="A144" s="61"/>
      <c r="B144" s="57">
        <v>46026.0</v>
      </c>
      <c r="C144" s="58">
        <v>10100.0</v>
      </c>
      <c r="D144" s="58"/>
      <c r="E144" s="59" t="s">
        <v>131</v>
      </c>
      <c r="F144" s="59"/>
      <c r="G144" s="59"/>
    </row>
    <row r="145" ht="19.5" customHeight="1">
      <c r="A145" s="61"/>
      <c r="B145" s="57">
        <v>46029.0</v>
      </c>
      <c r="C145" s="58">
        <v>44645.0</v>
      </c>
      <c r="D145" s="58"/>
      <c r="E145" s="59" t="s">
        <v>282</v>
      </c>
      <c r="F145" s="59" t="s">
        <v>366</v>
      </c>
      <c r="G145" s="59"/>
    </row>
    <row r="146" ht="19.5" customHeight="1">
      <c r="A146" s="61"/>
      <c r="B146" s="57">
        <v>46029.0</v>
      </c>
      <c r="C146" s="58">
        <v>10000.0</v>
      </c>
      <c r="D146" s="58"/>
      <c r="E146" s="59" t="s">
        <v>348</v>
      </c>
      <c r="F146" s="59" t="s">
        <v>368</v>
      </c>
      <c r="G146" s="59"/>
    </row>
    <row r="147" ht="19.5" customHeight="1">
      <c r="A147" s="61"/>
      <c r="B147" s="57">
        <v>46030.0</v>
      </c>
      <c r="C147" s="58">
        <v>7695.0</v>
      </c>
      <c r="D147" s="58"/>
      <c r="E147" s="59" t="s">
        <v>282</v>
      </c>
      <c r="F147" s="59" t="s">
        <v>366</v>
      </c>
      <c r="G147" s="59"/>
    </row>
    <row r="148" ht="19.5" customHeight="1">
      <c r="A148" s="61"/>
      <c r="B148" s="57">
        <v>46030.0</v>
      </c>
      <c r="C148" s="58">
        <v>145046.84</v>
      </c>
      <c r="D148" s="58"/>
      <c r="E148" s="59" t="s">
        <v>374</v>
      </c>
      <c r="F148" s="70" t="s">
        <v>375</v>
      </c>
      <c r="G148" s="59"/>
    </row>
    <row r="149" ht="19.5" customHeight="1">
      <c r="A149" s="61"/>
      <c r="B149" s="57">
        <v>46030.0</v>
      </c>
      <c r="C149" s="58">
        <v>38800.0</v>
      </c>
      <c r="D149" s="58"/>
      <c r="E149" s="59" t="s">
        <v>348</v>
      </c>
      <c r="F149" s="151" t="s">
        <v>379</v>
      </c>
      <c r="G149" s="59"/>
    </row>
    <row r="150" ht="19.5" customHeight="1">
      <c r="A150" s="61"/>
      <c r="B150" s="57">
        <v>46031.0</v>
      </c>
      <c r="C150" s="58">
        <v>9200.0</v>
      </c>
      <c r="D150" s="58"/>
      <c r="E150" s="59" t="s">
        <v>380</v>
      </c>
      <c r="F150" s="59"/>
      <c r="G150" s="59"/>
    </row>
    <row r="151" ht="19.5" customHeight="1">
      <c r="A151" s="61"/>
      <c r="B151" s="57">
        <v>46031.0</v>
      </c>
      <c r="C151" s="58">
        <v>10705.0</v>
      </c>
      <c r="D151" s="58"/>
      <c r="E151" s="59" t="s">
        <v>282</v>
      </c>
      <c r="F151" s="59" t="s">
        <v>366</v>
      </c>
      <c r="G151" s="59"/>
    </row>
    <row r="152" ht="19.5" customHeight="1">
      <c r="A152" s="61"/>
      <c r="B152" s="57">
        <v>46032.0</v>
      </c>
      <c r="C152" s="58">
        <v>42000.0</v>
      </c>
      <c r="D152" s="58"/>
      <c r="E152" s="59" t="s">
        <v>282</v>
      </c>
      <c r="F152" s="147" t="s">
        <v>383</v>
      </c>
      <c r="G152" s="59"/>
    </row>
    <row r="153" ht="19.5" customHeight="1">
      <c r="A153" s="61"/>
      <c r="B153" s="57">
        <v>46032.0</v>
      </c>
      <c r="C153" s="58">
        <v>16000.0</v>
      </c>
      <c r="D153" s="58"/>
      <c r="E153" s="59" t="s">
        <v>348</v>
      </c>
      <c r="F153" s="59" t="s">
        <v>356</v>
      </c>
      <c r="G153" s="59"/>
    </row>
    <row r="154" ht="19.5" customHeight="1">
      <c r="A154" s="61"/>
      <c r="B154" s="57">
        <v>46033.0</v>
      </c>
      <c r="C154" s="58">
        <v>24700.0</v>
      </c>
      <c r="D154" s="58"/>
      <c r="E154" s="59" t="s">
        <v>363</v>
      </c>
      <c r="F154" s="59"/>
      <c r="G154" s="59"/>
    </row>
    <row r="155" ht="19.5" customHeight="1">
      <c r="A155" s="61"/>
      <c r="B155" s="57">
        <v>46034.0</v>
      </c>
      <c r="C155" s="58">
        <v>27800.0</v>
      </c>
      <c r="D155" s="58"/>
      <c r="E155" s="59" t="s">
        <v>348</v>
      </c>
      <c r="F155" s="59" t="s">
        <v>387</v>
      </c>
      <c r="G155" s="59"/>
    </row>
    <row r="156" ht="19.5" customHeight="1">
      <c r="A156" s="61"/>
      <c r="B156" s="57">
        <v>46035.0</v>
      </c>
      <c r="C156" s="58">
        <v>10800.0</v>
      </c>
      <c r="D156" s="58"/>
      <c r="E156" s="59" t="s">
        <v>390</v>
      </c>
      <c r="F156" s="59"/>
      <c r="G156" s="59"/>
    </row>
    <row r="157" ht="19.5" customHeight="1">
      <c r="A157" s="61"/>
      <c r="B157" s="57">
        <v>46036.0</v>
      </c>
      <c r="C157" s="58">
        <v>56500.0</v>
      </c>
      <c r="D157" s="58"/>
      <c r="E157" s="59" t="s">
        <v>113</v>
      </c>
      <c r="F157" s="59" t="s">
        <v>392</v>
      </c>
      <c r="G157" s="59"/>
    </row>
    <row r="158" ht="19.5" customHeight="1">
      <c r="A158" s="61"/>
      <c r="B158" s="57">
        <v>46038.0</v>
      </c>
      <c r="C158" s="58">
        <v>37400.0</v>
      </c>
      <c r="D158" s="58"/>
      <c r="E158" s="59" t="s">
        <v>348</v>
      </c>
      <c r="F158" s="59" t="s">
        <v>393</v>
      </c>
      <c r="G158" s="59"/>
    </row>
    <row r="159" ht="19.5" customHeight="1">
      <c r="A159" s="61"/>
      <c r="B159" s="57">
        <v>46042.0</v>
      </c>
      <c r="C159" s="58">
        <v>8500.0</v>
      </c>
      <c r="D159" s="58"/>
      <c r="E159" s="59" t="s">
        <v>355</v>
      </c>
      <c r="F159" s="59"/>
      <c r="G159" s="59"/>
    </row>
    <row r="160" ht="19.5" customHeight="1">
      <c r="A160" s="61"/>
      <c r="B160" s="57">
        <v>46042.0</v>
      </c>
      <c r="C160" s="58">
        <v>50000.0</v>
      </c>
      <c r="D160" s="58"/>
      <c r="E160" s="59" t="s">
        <v>399</v>
      </c>
      <c r="F160" s="59"/>
      <c r="G160" s="59"/>
    </row>
    <row r="161" ht="19.5" customHeight="1">
      <c r="A161" s="61"/>
      <c r="B161" s="57">
        <v>46043.0</v>
      </c>
      <c r="C161" s="58">
        <v>38000.0</v>
      </c>
      <c r="D161" s="58"/>
      <c r="E161" s="59" t="s">
        <v>402</v>
      </c>
      <c r="F161" s="59" t="s">
        <v>403</v>
      </c>
      <c r="G161" s="59"/>
    </row>
    <row r="162" ht="19.5" customHeight="1">
      <c r="A162" s="61"/>
      <c r="B162" s="57">
        <v>46043.0</v>
      </c>
      <c r="C162" s="58">
        <v>2200.0</v>
      </c>
      <c r="D162" s="58"/>
      <c r="E162" s="59" t="s">
        <v>406</v>
      </c>
      <c r="F162" s="59"/>
      <c r="G162" s="59"/>
    </row>
    <row r="163" ht="19.5" customHeight="1">
      <c r="A163" s="61"/>
      <c r="B163" s="57">
        <v>46043.0</v>
      </c>
      <c r="C163" s="58">
        <v>22000.0</v>
      </c>
      <c r="D163" s="58"/>
      <c r="E163" s="59" t="s">
        <v>410</v>
      </c>
      <c r="F163" s="59" t="s">
        <v>356</v>
      </c>
      <c r="G163" s="59"/>
    </row>
    <row r="164" ht="19.5" customHeight="1">
      <c r="A164" s="61"/>
      <c r="B164" s="57">
        <v>46043.0</v>
      </c>
      <c r="C164" s="58">
        <v>3000.0</v>
      </c>
      <c r="D164" s="58"/>
      <c r="E164" s="59" t="s">
        <v>410</v>
      </c>
      <c r="F164" s="59"/>
      <c r="G164" s="59"/>
    </row>
    <row r="165" ht="19.5" customHeight="1">
      <c r="A165" s="61"/>
      <c r="B165" s="57">
        <v>46043.0</v>
      </c>
      <c r="C165" s="58">
        <v>9700.0</v>
      </c>
      <c r="D165" s="58"/>
      <c r="E165" s="59" t="s">
        <v>412</v>
      </c>
      <c r="F165" s="59" t="s">
        <v>413</v>
      </c>
      <c r="G165" s="59"/>
    </row>
    <row r="166" ht="19.5" customHeight="1">
      <c r="A166" s="61"/>
      <c r="B166" s="57">
        <v>46043.0</v>
      </c>
      <c r="C166" s="58">
        <v>77020.83</v>
      </c>
      <c r="D166" s="58"/>
      <c r="E166" s="59" t="s">
        <v>414</v>
      </c>
      <c r="F166" s="59" t="s">
        <v>415</v>
      </c>
      <c r="G166" s="59"/>
    </row>
    <row r="167" ht="19.5" customHeight="1">
      <c r="A167" s="61"/>
      <c r="B167" s="57">
        <v>46043.0</v>
      </c>
      <c r="C167" s="58">
        <v>11800.0</v>
      </c>
      <c r="D167" s="58"/>
      <c r="E167" s="59" t="s">
        <v>416</v>
      </c>
      <c r="F167" s="59" t="s">
        <v>417</v>
      </c>
      <c r="G167" s="59"/>
    </row>
    <row r="168" ht="19.5" customHeight="1">
      <c r="A168" s="61"/>
      <c r="B168" s="57">
        <v>46043.0</v>
      </c>
      <c r="C168" s="58">
        <v>7500.0</v>
      </c>
      <c r="D168" s="58"/>
      <c r="E168" s="59" t="s">
        <v>419</v>
      </c>
      <c r="F168" s="59" t="s">
        <v>421</v>
      </c>
      <c r="G168" s="59"/>
    </row>
    <row r="169" ht="19.5" customHeight="1">
      <c r="A169" s="61"/>
      <c r="B169" s="57">
        <v>46043.0</v>
      </c>
      <c r="C169" s="58">
        <v>12100.0</v>
      </c>
      <c r="D169" s="58"/>
      <c r="E169" s="59" t="s">
        <v>424</v>
      </c>
      <c r="F169" s="59" t="s">
        <v>425</v>
      </c>
      <c r="G169" s="59"/>
    </row>
    <row r="170" ht="19.5" customHeight="1">
      <c r="A170" s="61"/>
      <c r="B170" s="57">
        <v>46044.0</v>
      </c>
      <c r="C170" s="58">
        <v>17900.0</v>
      </c>
      <c r="D170" s="58"/>
      <c r="E170" s="59" t="s">
        <v>412</v>
      </c>
      <c r="F170" s="59" t="s">
        <v>413</v>
      </c>
      <c r="G170" s="59"/>
    </row>
    <row r="171" ht="19.5" customHeight="1">
      <c r="A171" s="61"/>
      <c r="B171" s="57">
        <v>46044.0</v>
      </c>
      <c r="C171" s="58">
        <v>55650.0</v>
      </c>
      <c r="D171" s="58"/>
      <c r="E171" s="59" t="s">
        <v>414</v>
      </c>
      <c r="F171" s="59" t="s">
        <v>429</v>
      </c>
      <c r="G171" s="59"/>
    </row>
    <row r="172" ht="19.5" customHeight="1">
      <c r="A172" s="61"/>
      <c r="B172" s="57">
        <v>46044.0</v>
      </c>
      <c r="C172" s="58">
        <v>18800.0</v>
      </c>
      <c r="D172" s="58"/>
      <c r="E172" s="59" t="s">
        <v>431</v>
      </c>
      <c r="F172" s="59"/>
      <c r="G172" s="59"/>
    </row>
    <row r="173" ht="19.5" customHeight="1">
      <c r="A173" s="61"/>
      <c r="B173" s="57">
        <v>46044.0</v>
      </c>
      <c r="C173" s="58">
        <v>31300.0</v>
      </c>
      <c r="D173" s="58"/>
      <c r="E173" s="59" t="s">
        <v>434</v>
      </c>
      <c r="F173" s="59"/>
      <c r="G173" s="59"/>
    </row>
    <row r="174" ht="19.5" customHeight="1">
      <c r="A174" s="61"/>
      <c r="B174" s="57">
        <v>46044.0</v>
      </c>
      <c r="C174" s="58">
        <v>50000.0</v>
      </c>
      <c r="D174" s="58"/>
      <c r="E174" s="59" t="s">
        <v>157</v>
      </c>
      <c r="F174" s="59" t="s">
        <v>437</v>
      </c>
      <c r="G174" s="59"/>
    </row>
    <row r="175" ht="19.5" customHeight="1">
      <c r="A175" s="61"/>
      <c r="B175" s="57">
        <v>46046.0</v>
      </c>
      <c r="C175" s="58">
        <v>14600.0</v>
      </c>
      <c r="D175" s="58"/>
      <c r="E175" s="59" t="s">
        <v>363</v>
      </c>
      <c r="F175" s="59"/>
      <c r="G175" s="59"/>
    </row>
    <row r="176" ht="19.5" customHeight="1">
      <c r="A176" s="61"/>
      <c r="B176" s="57">
        <v>46046.0</v>
      </c>
      <c r="C176" s="58">
        <v>5400.0</v>
      </c>
      <c r="D176" s="58"/>
      <c r="E176" s="59" t="s">
        <v>438</v>
      </c>
      <c r="F176" s="59" t="s">
        <v>439</v>
      </c>
      <c r="G176" s="59"/>
    </row>
    <row r="177" ht="19.5" customHeight="1">
      <c r="A177" s="61"/>
      <c r="B177" s="57">
        <v>46047.0</v>
      </c>
      <c r="C177" s="58">
        <v>25683.6</v>
      </c>
      <c r="D177" s="58"/>
      <c r="E177" s="59" t="s">
        <v>298</v>
      </c>
      <c r="F177" s="59"/>
      <c r="G177" s="59"/>
    </row>
    <row r="178" ht="19.5" customHeight="1">
      <c r="A178" s="61"/>
      <c r="B178" s="57">
        <v>46047.0</v>
      </c>
      <c r="C178" s="58">
        <v>32000.0</v>
      </c>
      <c r="D178" s="58"/>
      <c r="E178" s="59" t="s">
        <v>442</v>
      </c>
      <c r="F178" s="59" t="s">
        <v>443</v>
      </c>
      <c r="G178" s="59"/>
    </row>
    <row r="179" ht="19.5" customHeight="1">
      <c r="A179" s="61"/>
      <c r="B179" s="57">
        <v>46048.0</v>
      </c>
      <c r="C179" s="58">
        <v>145000.0</v>
      </c>
      <c r="D179" s="58"/>
      <c r="E179" s="59" t="s">
        <v>445</v>
      </c>
      <c r="F179" s="59" t="s">
        <v>446</v>
      </c>
      <c r="G179" s="59"/>
    </row>
    <row r="180" ht="19.5" customHeight="1">
      <c r="A180" s="61"/>
      <c r="B180" s="57">
        <v>46048.0</v>
      </c>
      <c r="C180" s="58">
        <v>9200.0</v>
      </c>
      <c r="D180" s="58"/>
      <c r="E180" s="59" t="s">
        <v>390</v>
      </c>
      <c r="F180" s="59" t="s">
        <v>450</v>
      </c>
      <c r="G180" s="59"/>
    </row>
    <row r="181" ht="19.5" customHeight="1">
      <c r="A181" s="61"/>
      <c r="B181" s="57">
        <v>46049.0</v>
      </c>
      <c r="C181" s="58">
        <v>6000.0</v>
      </c>
      <c r="D181" s="58"/>
      <c r="E181" s="59" t="s">
        <v>451</v>
      </c>
      <c r="F181" s="59" t="s">
        <v>452</v>
      </c>
      <c r="G181" s="59"/>
    </row>
    <row r="182" ht="19.5" customHeight="1">
      <c r="A182" s="61"/>
      <c r="B182" s="57">
        <v>46050.0</v>
      </c>
      <c r="C182" s="58">
        <v>8400.0</v>
      </c>
      <c r="D182" s="58"/>
      <c r="E182" s="59" t="s">
        <v>338</v>
      </c>
      <c r="F182" s="59" t="s">
        <v>455</v>
      </c>
      <c r="G182" s="59"/>
    </row>
    <row r="183" ht="19.5" customHeight="1">
      <c r="A183" s="61"/>
      <c r="B183" s="57">
        <v>46050.0</v>
      </c>
      <c r="C183" s="58">
        <v>7400.0</v>
      </c>
      <c r="D183" s="58"/>
      <c r="E183" s="59" t="s">
        <v>338</v>
      </c>
      <c r="F183" s="59" t="s">
        <v>457</v>
      </c>
      <c r="G183" s="59"/>
    </row>
    <row r="184" ht="19.5" customHeight="1">
      <c r="A184" s="61"/>
      <c r="B184" s="57">
        <v>46050.0</v>
      </c>
      <c r="C184" s="58">
        <v>119000.09</v>
      </c>
      <c r="D184" s="58"/>
      <c r="E184" s="59" t="s">
        <v>338</v>
      </c>
      <c r="F184" s="59" t="s">
        <v>458</v>
      </c>
      <c r="G184" s="59"/>
    </row>
    <row r="185" ht="19.5" customHeight="1">
      <c r="A185" s="42"/>
      <c r="B185" s="57">
        <v>46050.0</v>
      </c>
      <c r="C185" s="58">
        <v>29280.0</v>
      </c>
      <c r="D185" s="58"/>
      <c r="E185" s="59" t="s">
        <v>348</v>
      </c>
      <c r="F185" s="59" t="s">
        <v>461</v>
      </c>
      <c r="G185" s="59"/>
    </row>
    <row r="186" ht="30.0" customHeight="1">
      <c r="A186" s="114" t="s">
        <v>163</v>
      </c>
      <c r="B186" s="110"/>
      <c r="C186" s="58">
        <f>SUM(C139:C185)</f>
        <v>1379735.36</v>
      </c>
      <c r="D186" s="58">
        <f>SUM(D140:D185)</f>
        <v>0</v>
      </c>
      <c r="E186" s="102"/>
      <c r="F186" s="103"/>
      <c r="G186" s="104"/>
    </row>
    <row r="187" ht="4.5" customHeight="1">
      <c r="A187" s="121"/>
      <c r="B187" s="49"/>
      <c r="C187" s="49"/>
      <c r="D187" s="49"/>
      <c r="E187" s="49"/>
      <c r="F187" s="49"/>
      <c r="G187" s="50"/>
    </row>
    <row r="188" ht="19.5" customHeight="1">
      <c r="A188" s="56" t="s">
        <v>17</v>
      </c>
      <c r="B188" s="57">
        <v>46020.0</v>
      </c>
      <c r="C188" s="58">
        <v>11115.0</v>
      </c>
      <c r="D188" s="58"/>
      <c r="E188" s="166" t="s">
        <v>282</v>
      </c>
      <c r="F188" s="59" t="s">
        <v>475</v>
      </c>
      <c r="G188" s="59"/>
    </row>
    <row r="189" ht="19.5" customHeight="1">
      <c r="A189" s="61"/>
      <c r="B189" s="57">
        <v>46021.0</v>
      </c>
      <c r="C189" s="58">
        <v>14000.0</v>
      </c>
      <c r="D189" s="58"/>
      <c r="E189" s="166" t="s">
        <v>477</v>
      </c>
      <c r="F189" s="59" t="s">
        <v>478</v>
      </c>
      <c r="G189" s="59"/>
    </row>
    <row r="190" ht="19.5" customHeight="1">
      <c r="A190" s="61"/>
      <c r="B190" s="57">
        <v>46033.0</v>
      </c>
      <c r="C190" s="58">
        <v>14890.45</v>
      </c>
      <c r="D190" s="58"/>
      <c r="E190" s="166" t="s">
        <v>480</v>
      </c>
      <c r="F190" s="59"/>
      <c r="G190" s="59"/>
    </row>
    <row r="191" ht="19.5" customHeight="1">
      <c r="A191" s="42"/>
      <c r="B191" s="57">
        <v>46048.0</v>
      </c>
      <c r="C191" s="58">
        <v>65000.0</v>
      </c>
      <c r="D191" s="58"/>
      <c r="E191" s="166" t="s">
        <v>60</v>
      </c>
      <c r="F191" s="59" t="s">
        <v>481</v>
      </c>
      <c r="G191" s="59"/>
    </row>
    <row r="192" ht="30.0" customHeight="1">
      <c r="A192" s="114" t="s">
        <v>163</v>
      </c>
      <c r="B192" s="110"/>
      <c r="C192" s="58">
        <f t="shared" ref="C192:D192" si="7">SUM(C188:C191)</f>
        <v>105005.45</v>
      </c>
      <c r="D192" s="58">
        <f t="shared" si="7"/>
        <v>0</v>
      </c>
      <c r="E192" s="102"/>
      <c r="F192" s="103"/>
      <c r="G192" s="104"/>
    </row>
    <row r="193" ht="4.5" customHeight="1">
      <c r="A193" s="171"/>
      <c r="B193" s="108"/>
      <c r="C193" s="108"/>
      <c r="D193" s="110"/>
      <c r="E193" s="173"/>
      <c r="F193" s="173"/>
      <c r="G193" s="173"/>
    </row>
    <row r="194" ht="30.0" customHeight="1">
      <c r="A194" s="114" t="s">
        <v>496</v>
      </c>
      <c r="B194" s="110"/>
      <c r="C194" s="58">
        <f>+C77+C104+C111+C137+C186+C192</f>
        <v>16398804.38</v>
      </c>
      <c r="D194" s="58">
        <f>+D77+D104+D111+D137+D186</f>
        <v>27.84</v>
      </c>
      <c r="E194" s="102"/>
      <c r="F194" s="103"/>
      <c r="G194" s="104"/>
    </row>
    <row r="195" ht="19.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76"/>
    <mergeCell ref="A77:B77"/>
    <mergeCell ref="A78:G78"/>
    <mergeCell ref="A79:A103"/>
    <mergeCell ref="A104:B104"/>
    <mergeCell ref="A105:G105"/>
    <mergeCell ref="A106:A110"/>
    <mergeCell ref="A111:B111"/>
    <mergeCell ref="A112:G112"/>
    <mergeCell ref="A113:A136"/>
    <mergeCell ref="A193:D193"/>
    <mergeCell ref="A194:B194"/>
    <mergeCell ref="A137:B137"/>
    <mergeCell ref="A138:G138"/>
    <mergeCell ref="A139:A185"/>
    <mergeCell ref="A186:B186"/>
    <mergeCell ref="A187:G187"/>
    <mergeCell ref="A188:A191"/>
    <mergeCell ref="A192:B192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6.75"/>
    <col customWidth="1" min="4" max="4" width="15.5"/>
    <col customWidth="1" min="5" max="5" width="36.13"/>
    <col customWidth="1" min="6" max="6" width="86.25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>
      <c r="A6" s="1" t="s">
        <v>0</v>
      </c>
      <c r="B6" s="2"/>
      <c r="C6" s="3"/>
      <c r="D6" s="6" t="s">
        <v>1</v>
      </c>
      <c r="E6" s="5"/>
      <c r="F6" s="8" t="s">
        <v>4</v>
      </c>
      <c r="G6" s="9"/>
    </row>
    <row r="7">
      <c r="A7" s="10"/>
      <c r="B7" s="11"/>
      <c r="C7" s="12"/>
      <c r="D7" s="13" t="s">
        <v>5</v>
      </c>
      <c r="E7" s="15"/>
      <c r="F7" s="16">
        <v>2026.0</v>
      </c>
      <c r="G7" s="17"/>
    </row>
    <row r="8">
      <c r="A8" s="18" t="s">
        <v>7</v>
      </c>
      <c r="B8" s="20" t="s">
        <v>8</v>
      </c>
      <c r="C8" s="22" t="s">
        <v>9</v>
      </c>
      <c r="D8" s="13" t="s">
        <v>9</v>
      </c>
      <c r="E8" s="24"/>
      <c r="F8" s="25">
        <v>1.66162671E7</v>
      </c>
      <c r="G8" s="17"/>
    </row>
    <row r="9" ht="19.5" customHeight="1">
      <c r="A9" s="26" t="s">
        <v>10</v>
      </c>
      <c r="B9" s="28">
        <f>SUM(C105)</f>
        <v>7877685.94</v>
      </c>
      <c r="C9" s="31">
        <f t="shared" ref="C9:C10" si="1">SUM(B9)</f>
        <v>7877685.94</v>
      </c>
      <c r="D9" s="34" t="s">
        <v>11</v>
      </c>
      <c r="E9" s="33"/>
      <c r="F9" s="33"/>
      <c r="G9" s="35"/>
    </row>
    <row r="10" ht="19.5" customHeight="1">
      <c r="A10" s="26" t="s">
        <v>12</v>
      </c>
      <c r="B10" s="28">
        <f>SUM(D105)</f>
        <v>11.98</v>
      </c>
      <c r="C10" s="31">
        <f t="shared" si="1"/>
        <v>11.98</v>
      </c>
      <c r="D10" s="37"/>
      <c r="G10" s="38"/>
    </row>
    <row r="11" ht="19.5" customHeight="1">
      <c r="A11" s="26" t="s">
        <v>13</v>
      </c>
      <c r="B11" s="28">
        <v>1274509.76</v>
      </c>
      <c r="C11" s="40">
        <f>SUM(B11+B12)</f>
        <v>3212653.9</v>
      </c>
      <c r="D11" s="37"/>
      <c r="G11" s="38"/>
    </row>
    <row r="12" ht="19.5" customHeight="1">
      <c r="A12" s="26" t="s">
        <v>14</v>
      </c>
      <c r="B12" s="28">
        <v>1938144.14</v>
      </c>
      <c r="C12" s="42"/>
      <c r="D12" s="37"/>
      <c r="G12" s="38"/>
    </row>
    <row r="13" ht="19.5" customHeight="1">
      <c r="A13" s="26" t="s">
        <v>15</v>
      </c>
      <c r="B13" s="28"/>
      <c r="C13" s="40"/>
      <c r="D13" s="37"/>
      <c r="G13" s="38"/>
    </row>
    <row r="14" ht="19.5" customHeight="1">
      <c r="A14" s="26" t="s">
        <v>16</v>
      </c>
      <c r="B14" s="28"/>
      <c r="C14" s="42"/>
      <c r="D14" s="37"/>
      <c r="G14" s="38"/>
    </row>
    <row r="15" ht="19.5" customHeight="1">
      <c r="A15" s="26" t="s">
        <v>17</v>
      </c>
      <c r="B15" s="28">
        <v>1680102.05</v>
      </c>
      <c r="C15" s="31">
        <f t="shared" ref="C15:C17" si="2">SUM(B15)</f>
        <v>1680102.05</v>
      </c>
      <c r="D15" s="37"/>
      <c r="G15" s="38"/>
    </row>
    <row r="16" ht="19.5" customHeight="1">
      <c r="A16" s="26" t="s">
        <v>18</v>
      </c>
      <c r="B16" s="28">
        <v>2540186.32</v>
      </c>
      <c r="C16" s="31">
        <f t="shared" si="2"/>
        <v>2540186.32</v>
      </c>
      <c r="D16" s="37"/>
      <c r="G16" s="38"/>
    </row>
    <row r="17" ht="19.5" customHeight="1">
      <c r="A17" s="26" t="s">
        <v>19</v>
      </c>
      <c r="B17" s="28">
        <v>50933.33</v>
      </c>
      <c r="C17" s="31">
        <f t="shared" si="2"/>
        <v>50933.33</v>
      </c>
      <c r="D17" s="45"/>
      <c r="E17" s="46"/>
      <c r="F17" s="46"/>
      <c r="G17" s="47"/>
    </row>
    <row r="18" ht="4.5" customHeight="1">
      <c r="A18" s="48"/>
      <c r="B18" s="49"/>
      <c r="C18" s="49"/>
      <c r="D18" s="49"/>
      <c r="E18" s="49"/>
      <c r="F18" s="49"/>
      <c r="G18" s="50"/>
    </row>
    <row r="19" ht="24.75" customHeight="1">
      <c r="A19" s="51" t="s">
        <v>21</v>
      </c>
      <c r="B19" s="51" t="s">
        <v>22</v>
      </c>
      <c r="C19" s="52" t="s">
        <v>23</v>
      </c>
      <c r="D19" s="51" t="s">
        <v>24</v>
      </c>
      <c r="E19" s="51" t="s">
        <v>25</v>
      </c>
      <c r="F19" s="51" t="s">
        <v>26</v>
      </c>
      <c r="G19" s="54" t="s">
        <v>27</v>
      </c>
    </row>
    <row r="20" ht="19.5" customHeight="1">
      <c r="A20" s="60" t="s">
        <v>28</v>
      </c>
      <c r="B20" s="63">
        <v>46051.0</v>
      </c>
      <c r="C20" s="66">
        <v>43700.0</v>
      </c>
      <c r="D20" s="68"/>
      <c r="E20" s="71" t="s">
        <v>33</v>
      </c>
      <c r="F20" s="73"/>
      <c r="G20" s="74"/>
    </row>
    <row r="21" ht="19.5" customHeight="1">
      <c r="A21" s="77"/>
      <c r="B21" s="63">
        <v>46051.0</v>
      </c>
      <c r="C21" s="79">
        <v>24433.0</v>
      </c>
      <c r="D21" s="68"/>
      <c r="E21" s="71" t="s">
        <v>41</v>
      </c>
      <c r="F21" s="73"/>
      <c r="G21" s="74"/>
    </row>
    <row r="22" ht="19.5" customHeight="1">
      <c r="A22" s="77"/>
      <c r="B22" s="63">
        <v>46051.0</v>
      </c>
      <c r="C22" s="79">
        <v>5100.0</v>
      </c>
      <c r="D22" s="68"/>
      <c r="E22" s="71" t="s">
        <v>41</v>
      </c>
      <c r="F22" s="73"/>
      <c r="G22" s="74"/>
    </row>
    <row r="23" ht="19.5" customHeight="1">
      <c r="A23" s="77"/>
      <c r="B23" s="63">
        <v>46052.0</v>
      </c>
      <c r="C23" s="79">
        <v>135999.0</v>
      </c>
      <c r="D23" s="68"/>
      <c r="E23" s="71" t="s">
        <v>48</v>
      </c>
      <c r="F23" s="81"/>
      <c r="G23" s="74"/>
    </row>
    <row r="24" ht="19.5" customHeight="1">
      <c r="A24" s="77"/>
      <c r="B24" s="63">
        <v>46052.0</v>
      </c>
      <c r="C24" s="79">
        <v>23000.06</v>
      </c>
      <c r="D24" s="68"/>
      <c r="E24" s="71" t="s">
        <v>55</v>
      </c>
      <c r="F24" s="73"/>
      <c r="G24" s="74"/>
    </row>
    <row r="25" ht="19.5" customHeight="1">
      <c r="A25" s="77"/>
      <c r="B25" s="63">
        <v>46052.0</v>
      </c>
      <c r="C25" s="79">
        <v>36200.0</v>
      </c>
      <c r="D25" s="68"/>
      <c r="E25" s="71" t="s">
        <v>33</v>
      </c>
      <c r="F25" s="73"/>
      <c r="G25" s="74"/>
    </row>
    <row r="26" ht="19.5" customHeight="1">
      <c r="A26" s="77"/>
      <c r="B26" s="63">
        <v>46052.0</v>
      </c>
      <c r="C26" s="79">
        <v>103500.0</v>
      </c>
      <c r="D26" s="68"/>
      <c r="E26" s="71" t="s">
        <v>60</v>
      </c>
      <c r="F26" s="73"/>
      <c r="G26" s="74"/>
    </row>
    <row r="27" ht="19.5" customHeight="1">
      <c r="A27" s="77"/>
      <c r="B27" s="63">
        <v>46053.0</v>
      </c>
      <c r="C27" s="79">
        <v>10100.0</v>
      </c>
      <c r="D27" s="68"/>
      <c r="E27" s="71" t="s">
        <v>56</v>
      </c>
      <c r="F27" s="73"/>
      <c r="G27" s="74"/>
    </row>
    <row r="28" ht="19.5" customHeight="1">
      <c r="A28" s="77"/>
      <c r="B28" s="82">
        <v>46053.0</v>
      </c>
      <c r="C28" s="83">
        <v>14693.0</v>
      </c>
      <c r="D28" s="72"/>
      <c r="E28" s="75" t="s">
        <v>52</v>
      </c>
      <c r="F28" s="84"/>
      <c r="G28" s="80"/>
    </row>
    <row r="29" ht="19.5" customHeight="1">
      <c r="A29" s="77"/>
      <c r="B29" s="63">
        <v>46053.0</v>
      </c>
      <c r="C29" s="79">
        <v>37900.0</v>
      </c>
      <c r="D29" s="68"/>
      <c r="E29" s="71" t="s">
        <v>33</v>
      </c>
      <c r="F29" s="73"/>
      <c r="G29" s="74"/>
    </row>
    <row r="30" ht="19.5" customHeight="1">
      <c r="A30" s="77"/>
      <c r="B30" s="82">
        <v>46054.0</v>
      </c>
      <c r="C30" s="83">
        <v>15043.0</v>
      </c>
      <c r="D30" s="72"/>
      <c r="E30" s="75" t="s">
        <v>52</v>
      </c>
      <c r="F30" s="86" t="s">
        <v>85</v>
      </c>
      <c r="G30" s="80"/>
    </row>
    <row r="31" ht="19.5" customHeight="1">
      <c r="A31" s="77"/>
      <c r="B31" s="63">
        <v>46054.0</v>
      </c>
      <c r="C31" s="79">
        <v>39600.0</v>
      </c>
      <c r="D31" s="68"/>
      <c r="E31" s="71" t="s">
        <v>33</v>
      </c>
      <c r="F31" s="81"/>
      <c r="G31" s="74"/>
    </row>
    <row r="32" ht="19.5" customHeight="1">
      <c r="A32" s="77"/>
      <c r="B32" s="63">
        <v>46054.0</v>
      </c>
      <c r="C32" s="79">
        <v>5116.76</v>
      </c>
      <c r="D32" s="68"/>
      <c r="E32" s="71" t="s">
        <v>90</v>
      </c>
      <c r="F32" s="73"/>
      <c r="G32" s="74"/>
    </row>
    <row r="33" ht="19.5" customHeight="1">
      <c r="A33" s="77"/>
      <c r="B33" s="63">
        <v>46054.0</v>
      </c>
      <c r="C33" s="79">
        <v>42784.76</v>
      </c>
      <c r="D33" s="68"/>
      <c r="E33" s="71" t="s">
        <v>92</v>
      </c>
      <c r="F33" s="81"/>
      <c r="G33" s="74"/>
    </row>
    <row r="34" ht="19.5" customHeight="1">
      <c r="A34" s="77"/>
      <c r="B34" s="63">
        <v>46055.0</v>
      </c>
      <c r="C34" s="79">
        <v>16900.0</v>
      </c>
      <c r="D34" s="68"/>
      <c r="E34" s="71" t="s">
        <v>96</v>
      </c>
      <c r="F34" s="73"/>
      <c r="G34" s="74"/>
    </row>
    <row r="35" ht="19.5" customHeight="1">
      <c r="A35" s="77"/>
      <c r="B35" s="82">
        <v>46055.0</v>
      </c>
      <c r="C35" s="83">
        <v>4405.0</v>
      </c>
      <c r="D35" s="72"/>
      <c r="E35" s="75" t="s">
        <v>52</v>
      </c>
      <c r="F35" s="86" t="s">
        <v>101</v>
      </c>
      <c r="G35" s="80"/>
    </row>
    <row r="36" ht="19.5" customHeight="1">
      <c r="A36" s="77"/>
      <c r="B36" s="63">
        <v>46055.0</v>
      </c>
      <c r="C36" s="79">
        <v>6900.0</v>
      </c>
      <c r="D36" s="68"/>
      <c r="E36" s="71" t="s">
        <v>104</v>
      </c>
      <c r="F36" s="73"/>
      <c r="G36" s="74"/>
    </row>
    <row r="37" ht="19.5" customHeight="1">
      <c r="A37" s="77"/>
      <c r="B37" s="63">
        <v>46056.0</v>
      </c>
      <c r="C37" s="79">
        <v>18004.93</v>
      </c>
      <c r="D37" s="88"/>
      <c r="E37" s="71" t="s">
        <v>35</v>
      </c>
      <c r="F37" s="73"/>
      <c r="G37" s="74"/>
    </row>
    <row r="38" ht="19.5" customHeight="1">
      <c r="A38" s="77"/>
      <c r="B38" s="63">
        <v>46056.0</v>
      </c>
      <c r="C38" s="79">
        <v>7600.0</v>
      </c>
      <c r="D38" s="88"/>
      <c r="E38" s="71" t="s">
        <v>56</v>
      </c>
      <c r="F38" s="73"/>
      <c r="G38" s="74"/>
    </row>
    <row r="39" ht="19.5" customHeight="1">
      <c r="A39" s="77"/>
      <c r="B39" s="63">
        <v>46056.0</v>
      </c>
      <c r="C39" s="79">
        <v>16600.0</v>
      </c>
      <c r="D39" s="88"/>
      <c r="E39" s="71" t="s">
        <v>33</v>
      </c>
      <c r="F39" s="73"/>
      <c r="G39" s="74"/>
    </row>
    <row r="40" ht="19.5" customHeight="1">
      <c r="A40" s="77"/>
      <c r="B40" s="63">
        <v>46056.0</v>
      </c>
      <c r="C40" s="79">
        <v>151008.0</v>
      </c>
      <c r="D40" s="88"/>
      <c r="E40" s="71" t="s">
        <v>120</v>
      </c>
      <c r="F40" s="71"/>
      <c r="G40" s="74"/>
    </row>
    <row r="41" ht="19.5" customHeight="1">
      <c r="A41" s="77"/>
      <c r="B41" s="82">
        <v>46056.0</v>
      </c>
      <c r="C41" s="93"/>
      <c r="D41" s="94">
        <v>9.99</v>
      </c>
      <c r="E41" s="75" t="s">
        <v>129</v>
      </c>
      <c r="F41" s="75" t="s">
        <v>53</v>
      </c>
      <c r="G41" s="80"/>
    </row>
    <row r="42" ht="19.5" customHeight="1">
      <c r="A42" s="77"/>
      <c r="B42" s="82">
        <v>46057.0</v>
      </c>
      <c r="C42" s="83">
        <v>81550.0</v>
      </c>
      <c r="D42" s="94"/>
      <c r="E42" s="75" t="s">
        <v>29</v>
      </c>
      <c r="F42" s="75" t="s">
        <v>132</v>
      </c>
      <c r="G42" s="80"/>
    </row>
    <row r="43" ht="19.5" customHeight="1">
      <c r="A43" s="77"/>
      <c r="B43" s="82">
        <v>46057.0</v>
      </c>
      <c r="C43" s="83">
        <v>59888.25</v>
      </c>
      <c r="D43" s="94"/>
      <c r="E43" s="89" t="s">
        <v>133</v>
      </c>
      <c r="F43" s="59" t="s">
        <v>154</v>
      </c>
      <c r="G43" s="80"/>
    </row>
    <row r="44" ht="19.5" customHeight="1">
      <c r="A44" s="77"/>
      <c r="B44" s="82">
        <v>46057.0</v>
      </c>
      <c r="C44" s="83">
        <v>59888.25</v>
      </c>
      <c r="D44" s="94"/>
      <c r="E44" s="89" t="s">
        <v>133</v>
      </c>
      <c r="F44" s="59" t="s">
        <v>158</v>
      </c>
      <c r="G44" s="95"/>
    </row>
    <row r="45" ht="19.5" customHeight="1">
      <c r="A45" s="77"/>
      <c r="B45" s="63">
        <v>46057.0</v>
      </c>
      <c r="C45" s="79">
        <v>27800.0</v>
      </c>
      <c r="D45" s="88"/>
      <c r="E45" s="71" t="s">
        <v>33</v>
      </c>
      <c r="F45" s="70"/>
      <c r="G45" s="92"/>
    </row>
    <row r="46" ht="19.5" customHeight="1">
      <c r="A46" s="77"/>
      <c r="B46" s="63">
        <v>46058.0</v>
      </c>
      <c r="C46" s="79">
        <v>33508.94</v>
      </c>
      <c r="D46" s="88"/>
      <c r="E46" s="71" t="s">
        <v>165</v>
      </c>
      <c r="F46" s="70"/>
      <c r="G46" s="92"/>
    </row>
    <row r="47" ht="19.5" customHeight="1">
      <c r="A47" s="77"/>
      <c r="B47" s="63">
        <v>46058.0</v>
      </c>
      <c r="C47" s="79">
        <v>6711.36</v>
      </c>
      <c r="D47" s="88"/>
      <c r="E47" s="71" t="s">
        <v>166</v>
      </c>
      <c r="F47" s="70"/>
      <c r="G47" s="74"/>
    </row>
    <row r="48" ht="19.5" customHeight="1">
      <c r="A48" s="77"/>
      <c r="B48" s="63">
        <v>46058.0</v>
      </c>
      <c r="C48" s="79">
        <v>34000.0</v>
      </c>
      <c r="D48" s="88"/>
      <c r="E48" s="71" t="s">
        <v>33</v>
      </c>
      <c r="F48" s="70"/>
      <c r="G48" s="92"/>
    </row>
    <row r="49" ht="19.5" customHeight="1">
      <c r="A49" s="77"/>
      <c r="B49" s="82">
        <v>46059.0</v>
      </c>
      <c r="C49" s="83">
        <v>1201376.96</v>
      </c>
      <c r="D49" s="94"/>
      <c r="E49" s="75" t="s">
        <v>43</v>
      </c>
      <c r="F49" s="59" t="s">
        <v>44</v>
      </c>
      <c r="G49" s="95"/>
    </row>
    <row r="50" ht="19.5" customHeight="1">
      <c r="A50" s="77"/>
      <c r="B50" s="82">
        <v>46059.0</v>
      </c>
      <c r="C50" s="83">
        <v>34539.56</v>
      </c>
      <c r="D50" s="101"/>
      <c r="E50" s="59" t="s">
        <v>67</v>
      </c>
      <c r="F50" s="59" t="s">
        <v>68</v>
      </c>
      <c r="G50" s="95"/>
    </row>
    <row r="51" ht="19.5" customHeight="1">
      <c r="A51" s="77"/>
      <c r="B51" s="63">
        <v>46059.0</v>
      </c>
      <c r="C51" s="79">
        <v>6800.0</v>
      </c>
      <c r="D51" s="105"/>
      <c r="E51" s="70" t="s">
        <v>32</v>
      </c>
      <c r="F51" s="70"/>
      <c r="G51" s="92"/>
    </row>
    <row r="52" ht="19.5" customHeight="1">
      <c r="A52" s="77"/>
      <c r="B52" s="63">
        <v>46059.0</v>
      </c>
      <c r="C52" s="79">
        <v>51200.0</v>
      </c>
      <c r="D52" s="105"/>
      <c r="E52" s="70" t="s">
        <v>46</v>
      </c>
      <c r="F52" s="70"/>
      <c r="G52" s="92"/>
    </row>
    <row r="53" ht="19.5" customHeight="1">
      <c r="A53" s="77"/>
      <c r="B53" s="82">
        <v>46059.0</v>
      </c>
      <c r="C53" s="83">
        <v>177560.0</v>
      </c>
      <c r="D53" s="101"/>
      <c r="E53" s="59" t="s">
        <v>170</v>
      </c>
      <c r="F53" s="59" t="s">
        <v>171</v>
      </c>
      <c r="G53" s="95"/>
    </row>
    <row r="54" ht="19.5" customHeight="1">
      <c r="A54" s="77"/>
      <c r="B54" s="109">
        <v>46059.0</v>
      </c>
      <c r="C54" s="83">
        <v>26300.0</v>
      </c>
      <c r="D54" s="101"/>
      <c r="E54" s="59" t="s">
        <v>78</v>
      </c>
      <c r="F54" s="59" t="s">
        <v>79</v>
      </c>
      <c r="G54" s="95"/>
    </row>
    <row r="55" ht="19.5" customHeight="1">
      <c r="A55" s="77"/>
      <c r="B55" s="111">
        <v>46060.0</v>
      </c>
      <c r="C55" s="79">
        <v>26700.0</v>
      </c>
      <c r="D55" s="105"/>
      <c r="E55" s="70" t="s">
        <v>175</v>
      </c>
      <c r="F55" s="70"/>
      <c r="G55" s="92"/>
    </row>
    <row r="56" ht="19.5" customHeight="1">
      <c r="A56" s="77"/>
      <c r="B56" s="111">
        <v>46060.0</v>
      </c>
      <c r="C56" s="79">
        <v>20614.9</v>
      </c>
      <c r="D56" s="105"/>
      <c r="E56" s="70" t="s">
        <v>55</v>
      </c>
      <c r="F56" s="70"/>
      <c r="G56" s="92"/>
    </row>
    <row r="57" ht="19.5" customHeight="1">
      <c r="A57" s="77"/>
      <c r="B57" s="111">
        <v>46061.0</v>
      </c>
      <c r="C57" s="79">
        <v>16700.0</v>
      </c>
      <c r="D57" s="105"/>
      <c r="E57" s="70" t="s">
        <v>40</v>
      </c>
      <c r="F57" s="70"/>
      <c r="G57" s="92"/>
    </row>
    <row r="58" ht="19.5" customHeight="1">
      <c r="A58" s="77"/>
      <c r="B58" s="111">
        <v>46061.0</v>
      </c>
      <c r="C58" s="79">
        <v>12500.0</v>
      </c>
      <c r="D58" s="105"/>
      <c r="E58" s="70" t="s">
        <v>33</v>
      </c>
      <c r="F58" s="70"/>
      <c r="G58" s="92"/>
    </row>
    <row r="59" ht="19.5" customHeight="1">
      <c r="A59" s="77"/>
      <c r="B59" s="111">
        <v>46061.0</v>
      </c>
      <c r="C59" s="79">
        <v>7800.0</v>
      </c>
      <c r="D59" s="105"/>
      <c r="E59" s="70" t="s">
        <v>33</v>
      </c>
      <c r="F59" s="70"/>
      <c r="G59" s="92"/>
    </row>
    <row r="60" ht="19.5" customHeight="1">
      <c r="A60" s="77"/>
      <c r="B60" s="111">
        <v>46061.0</v>
      </c>
      <c r="C60" s="79">
        <v>9550.0</v>
      </c>
      <c r="D60" s="105"/>
      <c r="E60" s="70" t="s">
        <v>188</v>
      </c>
      <c r="F60" s="70"/>
      <c r="G60" s="92"/>
    </row>
    <row r="61" ht="19.5" customHeight="1">
      <c r="A61" s="77"/>
      <c r="B61" s="111">
        <v>46062.0</v>
      </c>
      <c r="C61" s="79">
        <v>36600.0</v>
      </c>
      <c r="D61" s="105"/>
      <c r="E61" s="70" t="s">
        <v>33</v>
      </c>
      <c r="F61" s="70"/>
      <c r="G61" s="92"/>
    </row>
    <row r="62" ht="19.5" customHeight="1">
      <c r="A62" s="77"/>
      <c r="B62" s="111">
        <v>46063.0</v>
      </c>
      <c r="C62" s="79">
        <v>22628.09</v>
      </c>
      <c r="D62" s="105"/>
      <c r="E62" s="70" t="s">
        <v>35</v>
      </c>
      <c r="F62" s="70"/>
      <c r="G62" s="92"/>
    </row>
    <row r="63" ht="19.5" customHeight="1">
      <c r="A63" s="77"/>
      <c r="B63" s="111">
        <v>46063.0</v>
      </c>
      <c r="C63" s="79">
        <v>7000.0</v>
      </c>
      <c r="D63" s="105"/>
      <c r="E63" s="70" t="s">
        <v>56</v>
      </c>
      <c r="F63" s="70"/>
      <c r="G63" s="92"/>
    </row>
    <row r="64" ht="19.5" customHeight="1">
      <c r="A64" s="77"/>
      <c r="B64" s="111">
        <v>46063.0</v>
      </c>
      <c r="C64" s="79">
        <v>24900.0</v>
      </c>
      <c r="D64" s="105"/>
      <c r="E64" s="70" t="s">
        <v>33</v>
      </c>
      <c r="F64" s="70"/>
      <c r="G64" s="92"/>
    </row>
    <row r="65" ht="19.5" customHeight="1">
      <c r="A65" s="77"/>
      <c r="B65" s="111">
        <v>46063.0</v>
      </c>
      <c r="C65" s="79">
        <v>136012.0</v>
      </c>
      <c r="D65" s="105"/>
      <c r="E65" s="70" t="s">
        <v>202</v>
      </c>
      <c r="F65" s="70"/>
      <c r="G65" s="92"/>
    </row>
    <row r="66" ht="19.5" customHeight="1">
      <c r="A66" s="77"/>
      <c r="B66" s="111">
        <v>46063.0</v>
      </c>
      <c r="C66" s="79">
        <v>19300.0</v>
      </c>
      <c r="D66" s="105"/>
      <c r="E66" s="70" t="s">
        <v>41</v>
      </c>
      <c r="F66" s="70"/>
      <c r="G66" s="92"/>
    </row>
    <row r="67" ht="19.5" customHeight="1">
      <c r="A67" s="77"/>
      <c r="B67" s="109">
        <v>46063.0</v>
      </c>
      <c r="C67" s="83">
        <v>491955.0</v>
      </c>
      <c r="D67" s="101"/>
      <c r="E67" s="59" t="s">
        <v>97</v>
      </c>
      <c r="F67" s="59" t="s">
        <v>98</v>
      </c>
      <c r="G67" s="95"/>
    </row>
    <row r="68" ht="19.5" customHeight="1">
      <c r="A68" s="77"/>
      <c r="B68" s="109">
        <v>46063.0</v>
      </c>
      <c r="C68" s="83">
        <v>66944.0</v>
      </c>
      <c r="D68" s="101"/>
      <c r="E68" s="59" t="s">
        <v>99</v>
      </c>
      <c r="F68" s="59" t="s">
        <v>102</v>
      </c>
      <c r="G68" s="95"/>
    </row>
    <row r="69" ht="19.5" customHeight="1">
      <c r="A69" s="77"/>
      <c r="B69" s="109">
        <v>46064.0</v>
      </c>
      <c r="C69" s="83">
        <v>20046.74</v>
      </c>
      <c r="D69" s="101"/>
      <c r="E69" s="59" t="s">
        <v>208</v>
      </c>
      <c r="F69" s="59" t="s">
        <v>106</v>
      </c>
      <c r="G69" s="95"/>
    </row>
    <row r="70" ht="19.5" customHeight="1">
      <c r="A70" s="77"/>
      <c r="B70" s="109">
        <v>46064.0</v>
      </c>
      <c r="C70" s="83">
        <v>9674.74</v>
      </c>
      <c r="D70" s="101"/>
      <c r="E70" s="59" t="s">
        <v>212</v>
      </c>
      <c r="F70" s="59" t="s">
        <v>112</v>
      </c>
      <c r="G70" s="95"/>
    </row>
    <row r="71" ht="19.5" customHeight="1">
      <c r="A71" s="77"/>
      <c r="B71" s="109">
        <v>46064.0</v>
      </c>
      <c r="C71" s="83">
        <v>19518.58</v>
      </c>
      <c r="D71" s="101"/>
      <c r="E71" s="59" t="s">
        <v>216</v>
      </c>
      <c r="F71" s="59" t="s">
        <v>115</v>
      </c>
      <c r="G71" s="95"/>
    </row>
    <row r="72" ht="19.5" customHeight="1">
      <c r="A72" s="77"/>
      <c r="B72" s="109">
        <v>46064.0</v>
      </c>
      <c r="C72" s="83">
        <v>110421.09</v>
      </c>
      <c r="D72" s="101"/>
      <c r="E72" s="59" t="s">
        <v>219</v>
      </c>
      <c r="F72" s="59" t="s">
        <v>108</v>
      </c>
      <c r="G72" s="95"/>
    </row>
    <row r="73" ht="19.5" customHeight="1">
      <c r="A73" s="77"/>
      <c r="B73" s="111">
        <v>46064.0</v>
      </c>
      <c r="C73" s="79">
        <v>10800.0</v>
      </c>
      <c r="D73" s="105"/>
      <c r="E73" s="70" t="s">
        <v>41</v>
      </c>
      <c r="F73" s="70"/>
      <c r="G73" s="92"/>
    </row>
    <row r="74" ht="19.5" customHeight="1">
      <c r="A74" s="77"/>
      <c r="B74" s="111">
        <v>46067.0</v>
      </c>
      <c r="C74" s="79">
        <v>13300.0</v>
      </c>
      <c r="D74" s="105"/>
      <c r="E74" s="70" t="s">
        <v>41</v>
      </c>
      <c r="F74" s="70"/>
      <c r="G74" s="92"/>
    </row>
    <row r="75" ht="19.5" customHeight="1">
      <c r="A75" s="77"/>
      <c r="B75" s="111">
        <v>46068.0</v>
      </c>
      <c r="C75" s="79">
        <v>13800.0</v>
      </c>
      <c r="D75" s="105"/>
      <c r="E75" s="70" t="s">
        <v>33</v>
      </c>
      <c r="F75" s="70"/>
      <c r="G75" s="92"/>
    </row>
    <row r="76" ht="19.5" customHeight="1">
      <c r="A76" s="77"/>
      <c r="B76" s="111">
        <v>46068.0</v>
      </c>
      <c r="C76" s="79">
        <v>152008.0</v>
      </c>
      <c r="D76" s="105"/>
      <c r="E76" s="70" t="s">
        <v>202</v>
      </c>
      <c r="F76" s="70"/>
      <c r="G76" s="92"/>
    </row>
    <row r="77" ht="19.5" customHeight="1">
      <c r="A77" s="77"/>
      <c r="B77" s="111">
        <v>46069.0</v>
      </c>
      <c r="C77" s="79">
        <v>11460.0</v>
      </c>
      <c r="D77" s="105"/>
      <c r="E77" s="70" t="s">
        <v>56</v>
      </c>
      <c r="F77" s="70"/>
      <c r="G77" s="92"/>
    </row>
    <row r="78" ht="19.5" customHeight="1">
      <c r="A78" s="77"/>
      <c r="B78" s="111">
        <v>46069.0</v>
      </c>
      <c r="C78" s="79">
        <v>20500.0</v>
      </c>
      <c r="D78" s="105"/>
      <c r="E78" s="70" t="s">
        <v>41</v>
      </c>
      <c r="F78" s="70"/>
      <c r="G78" s="92"/>
    </row>
    <row r="79" ht="19.5" customHeight="1">
      <c r="A79" s="77"/>
      <c r="B79" s="111">
        <v>46070.0</v>
      </c>
      <c r="C79" s="79">
        <v>122370.0</v>
      </c>
      <c r="D79" s="105"/>
      <c r="E79" s="70" t="s">
        <v>229</v>
      </c>
      <c r="F79" s="70"/>
      <c r="G79" s="92"/>
    </row>
    <row r="80" ht="19.5" customHeight="1">
      <c r="A80" s="77"/>
      <c r="B80" s="111">
        <v>46070.0</v>
      </c>
      <c r="C80" s="79">
        <v>17600.0</v>
      </c>
      <c r="D80" s="105"/>
      <c r="E80" s="70" t="s">
        <v>41</v>
      </c>
      <c r="F80" s="70"/>
      <c r="G80" s="92"/>
    </row>
    <row r="81" ht="19.5" customHeight="1">
      <c r="A81" s="77"/>
      <c r="B81" s="109">
        <v>46070.0</v>
      </c>
      <c r="C81" s="83">
        <v>2295538.8</v>
      </c>
      <c r="D81" s="101"/>
      <c r="E81" s="59" t="s">
        <v>234</v>
      </c>
      <c r="F81" s="59" t="s">
        <v>136</v>
      </c>
      <c r="G81" s="95"/>
    </row>
    <row r="82" ht="19.5" customHeight="1">
      <c r="A82" s="77"/>
      <c r="B82" s="111">
        <v>46071.0</v>
      </c>
      <c r="C82" s="79">
        <v>20000.0</v>
      </c>
      <c r="D82" s="105"/>
      <c r="E82" s="70" t="s">
        <v>41</v>
      </c>
      <c r="F82" s="70"/>
      <c r="G82" s="92"/>
    </row>
    <row r="83" ht="19.5" customHeight="1">
      <c r="A83" s="77"/>
      <c r="B83" s="111">
        <v>46071.0</v>
      </c>
      <c r="C83" s="79">
        <v>11900.0</v>
      </c>
      <c r="D83" s="105"/>
      <c r="E83" s="70" t="s">
        <v>41</v>
      </c>
      <c r="F83" s="70"/>
      <c r="G83" s="92"/>
    </row>
    <row r="84" ht="19.5" customHeight="1">
      <c r="A84" s="77"/>
      <c r="B84" s="109">
        <v>46071.0</v>
      </c>
      <c r="C84" s="83">
        <v>207952.38</v>
      </c>
      <c r="D84" s="101"/>
      <c r="E84" s="115" t="s">
        <v>95</v>
      </c>
      <c r="F84" s="90" t="s">
        <v>247</v>
      </c>
      <c r="G84" s="95"/>
    </row>
    <row r="85" ht="19.5" customHeight="1">
      <c r="A85" s="77"/>
      <c r="B85" s="109">
        <v>46072.0</v>
      </c>
      <c r="C85" s="83">
        <v>794207.7</v>
      </c>
      <c r="D85" s="101"/>
      <c r="E85" s="59" t="s">
        <v>251</v>
      </c>
      <c r="F85" s="59"/>
      <c r="G85" s="95"/>
    </row>
    <row r="86" ht="19.5" customHeight="1">
      <c r="A86" s="77"/>
      <c r="B86" s="109">
        <v>46072.0</v>
      </c>
      <c r="C86" s="83">
        <v>69643.52</v>
      </c>
      <c r="D86" s="101"/>
      <c r="E86" s="59" t="s">
        <v>254</v>
      </c>
      <c r="F86" s="59" t="s">
        <v>255</v>
      </c>
      <c r="G86" s="95"/>
    </row>
    <row r="87" ht="19.5" customHeight="1">
      <c r="A87" s="77"/>
      <c r="B87" s="111">
        <v>46072.0</v>
      </c>
      <c r="C87" s="79">
        <v>9262.8</v>
      </c>
      <c r="D87" s="105"/>
      <c r="E87" s="70" t="s">
        <v>258</v>
      </c>
      <c r="F87" s="70"/>
      <c r="G87" s="92"/>
    </row>
    <row r="88" ht="19.5" customHeight="1">
      <c r="A88" s="77"/>
      <c r="B88" s="111">
        <v>46072.0</v>
      </c>
      <c r="C88" s="79">
        <v>20800.0</v>
      </c>
      <c r="D88" s="105"/>
      <c r="E88" s="70" t="s">
        <v>41</v>
      </c>
      <c r="F88" s="70"/>
      <c r="G88" s="92"/>
    </row>
    <row r="89" ht="19.5" customHeight="1">
      <c r="A89" s="77"/>
      <c r="B89" s="111">
        <v>46072.0</v>
      </c>
      <c r="C89" s="79">
        <v>4650.0</v>
      </c>
      <c r="D89" s="105"/>
      <c r="E89" s="70" t="s">
        <v>41</v>
      </c>
      <c r="F89" s="70"/>
      <c r="G89" s="92"/>
    </row>
    <row r="90" ht="19.5" customHeight="1">
      <c r="A90" s="77"/>
      <c r="B90" s="111">
        <v>46072.0</v>
      </c>
      <c r="C90" s="79">
        <v>17200.0</v>
      </c>
      <c r="D90" s="105"/>
      <c r="E90" s="70" t="s">
        <v>41</v>
      </c>
      <c r="F90" s="70"/>
      <c r="G90" s="92"/>
    </row>
    <row r="91" ht="19.5" customHeight="1">
      <c r="A91" s="77"/>
      <c r="B91" s="111">
        <v>46072.0</v>
      </c>
      <c r="C91" s="79">
        <v>31459.41</v>
      </c>
      <c r="D91" s="105"/>
      <c r="E91" s="70" t="s">
        <v>265</v>
      </c>
      <c r="F91" s="70"/>
      <c r="G91" s="92"/>
    </row>
    <row r="92" ht="19.5" customHeight="1">
      <c r="A92" s="77"/>
      <c r="B92" s="111">
        <v>46072.0</v>
      </c>
      <c r="C92" s="79">
        <v>15100.54</v>
      </c>
      <c r="D92" s="105"/>
      <c r="E92" s="70" t="s">
        <v>266</v>
      </c>
      <c r="F92" s="70"/>
      <c r="G92" s="92"/>
    </row>
    <row r="93" ht="19.5" customHeight="1">
      <c r="A93" s="77"/>
      <c r="B93" s="111">
        <v>46073.0</v>
      </c>
      <c r="C93" s="79">
        <v>11750.0</v>
      </c>
      <c r="D93" s="105"/>
      <c r="E93" s="70" t="s">
        <v>56</v>
      </c>
      <c r="F93" s="70"/>
      <c r="G93" s="92"/>
    </row>
    <row r="94" ht="19.5" customHeight="1">
      <c r="A94" s="77"/>
      <c r="B94" s="111">
        <v>46073.0</v>
      </c>
      <c r="C94" s="79">
        <v>22000.0</v>
      </c>
      <c r="D94" s="105"/>
      <c r="E94" s="70" t="s">
        <v>268</v>
      </c>
      <c r="F94" s="70"/>
      <c r="G94" s="92"/>
    </row>
    <row r="95" ht="19.5" customHeight="1">
      <c r="A95" s="77"/>
      <c r="B95" s="111">
        <v>46073.0</v>
      </c>
      <c r="C95" s="79">
        <v>15800.0</v>
      </c>
      <c r="D95" s="105"/>
      <c r="E95" s="70" t="s">
        <v>41</v>
      </c>
      <c r="F95" s="70"/>
      <c r="G95" s="92"/>
    </row>
    <row r="96" ht="19.5" customHeight="1">
      <c r="A96" s="77"/>
      <c r="B96" s="109">
        <v>46073.0</v>
      </c>
      <c r="C96" s="93"/>
      <c r="D96" s="101">
        <v>1.99</v>
      </c>
      <c r="E96" s="59" t="s">
        <v>271</v>
      </c>
      <c r="F96" s="59" t="s">
        <v>82</v>
      </c>
      <c r="G96" s="95"/>
    </row>
    <row r="97" ht="19.5" customHeight="1">
      <c r="A97" s="77"/>
      <c r="B97" s="109">
        <v>46074.0</v>
      </c>
      <c r="C97" s="83">
        <v>127750.76</v>
      </c>
      <c r="D97" s="101"/>
      <c r="E97" s="59" t="s">
        <v>43</v>
      </c>
      <c r="F97" s="59" t="s">
        <v>44</v>
      </c>
      <c r="G97" s="95"/>
    </row>
    <row r="98" ht="19.5" customHeight="1">
      <c r="A98" s="77"/>
      <c r="B98" s="111">
        <v>46074.0</v>
      </c>
      <c r="C98" s="79">
        <v>5750.0</v>
      </c>
      <c r="D98" s="105"/>
      <c r="E98" s="70" t="s">
        <v>32</v>
      </c>
      <c r="F98" s="70"/>
      <c r="G98" s="92"/>
    </row>
    <row r="99" ht="19.5" customHeight="1">
      <c r="A99" s="77"/>
      <c r="B99" s="111">
        <v>46074.0</v>
      </c>
      <c r="C99" s="79">
        <v>15400.0</v>
      </c>
      <c r="D99" s="105"/>
      <c r="E99" s="70" t="s">
        <v>275</v>
      </c>
      <c r="F99" s="70"/>
      <c r="G99" s="92"/>
    </row>
    <row r="100" ht="19.5" customHeight="1">
      <c r="A100" s="77"/>
      <c r="B100" s="111">
        <v>46076.0</v>
      </c>
      <c r="C100" s="79">
        <v>32000.0</v>
      </c>
      <c r="D100" s="105"/>
      <c r="E100" s="70" t="s">
        <v>276</v>
      </c>
      <c r="F100" s="70"/>
      <c r="G100" s="92"/>
    </row>
    <row r="101" ht="19.5" customHeight="1">
      <c r="A101" s="77"/>
      <c r="B101" s="111">
        <v>46076.0</v>
      </c>
      <c r="C101" s="79">
        <v>5500.0</v>
      </c>
      <c r="D101" s="105"/>
      <c r="E101" s="70" t="s">
        <v>277</v>
      </c>
      <c r="F101" s="70"/>
      <c r="G101" s="92"/>
    </row>
    <row r="102" ht="19.5" customHeight="1">
      <c r="A102" s="77"/>
      <c r="B102" s="111">
        <v>46077.0</v>
      </c>
      <c r="C102" s="79">
        <v>6600.0</v>
      </c>
      <c r="D102" s="105"/>
      <c r="E102" s="70" t="s">
        <v>32</v>
      </c>
      <c r="F102" s="70"/>
      <c r="G102" s="92"/>
    </row>
    <row r="103" ht="19.5" customHeight="1">
      <c r="A103" s="77"/>
      <c r="B103" s="111">
        <v>46077.0</v>
      </c>
      <c r="C103" s="79">
        <v>12000.0</v>
      </c>
      <c r="D103" s="105"/>
      <c r="E103" s="70" t="s">
        <v>41</v>
      </c>
      <c r="F103" s="70"/>
      <c r="G103" s="92"/>
    </row>
    <row r="104" ht="19.5" customHeight="1">
      <c r="A104" s="122"/>
      <c r="B104" s="111">
        <v>46078.0</v>
      </c>
      <c r="C104" s="123">
        <v>145006.06</v>
      </c>
      <c r="D104" s="105"/>
      <c r="E104" s="70" t="s">
        <v>55</v>
      </c>
      <c r="F104" s="70"/>
      <c r="G104" s="92"/>
    </row>
    <row r="105" ht="30.0" customHeight="1">
      <c r="A105" s="124" t="s">
        <v>163</v>
      </c>
      <c r="B105" s="125"/>
      <c r="C105" s="126">
        <f t="shared" ref="C105:D105" si="3">SUM(C20:C104)</f>
        <v>7877685.94</v>
      </c>
      <c r="D105" s="127">
        <f t="shared" si="3"/>
        <v>11.98</v>
      </c>
      <c r="E105" s="128"/>
      <c r="F105" s="130"/>
      <c r="G105" s="104"/>
    </row>
    <row r="106" ht="4.5" customHeight="1">
      <c r="A106" s="132">
        <f>SUM(C20:C105)</f>
        <v>15755371.88</v>
      </c>
      <c r="B106" s="133"/>
      <c r="C106" s="133"/>
      <c r="D106" s="133"/>
      <c r="E106" s="133"/>
      <c r="F106" s="133"/>
      <c r="G106" s="125"/>
    </row>
    <row r="107" ht="19.5" customHeight="1">
      <c r="A107" s="136" t="s">
        <v>172</v>
      </c>
      <c r="B107" s="109">
        <v>45997.0</v>
      </c>
      <c r="C107" s="101">
        <v>20000.0</v>
      </c>
      <c r="D107" s="138"/>
      <c r="E107" s="59" t="s">
        <v>324</v>
      </c>
      <c r="F107" s="140" t="s">
        <v>325</v>
      </c>
      <c r="G107" s="95" t="s">
        <v>179</v>
      </c>
    </row>
    <row r="108" ht="19.5" customHeight="1">
      <c r="A108" s="77"/>
      <c r="B108" s="109">
        <v>46014.0</v>
      </c>
      <c r="C108" s="101">
        <v>47166.66</v>
      </c>
      <c r="D108" s="94"/>
      <c r="E108" s="59" t="s">
        <v>326</v>
      </c>
      <c r="F108" s="140" t="s">
        <v>327</v>
      </c>
      <c r="G108" s="95" t="s">
        <v>179</v>
      </c>
    </row>
    <row r="109" ht="19.5" customHeight="1">
      <c r="A109" s="77"/>
      <c r="B109" s="109">
        <v>46015.0</v>
      </c>
      <c r="C109" s="101">
        <v>86071.66</v>
      </c>
      <c r="D109" s="94"/>
      <c r="E109" s="59" t="s">
        <v>330</v>
      </c>
      <c r="F109" s="140" t="s">
        <v>331</v>
      </c>
      <c r="G109" s="95" t="s">
        <v>179</v>
      </c>
    </row>
    <row r="110" ht="19.5" customHeight="1">
      <c r="A110" s="77"/>
      <c r="B110" s="109">
        <v>46028.0</v>
      </c>
      <c r="C110" s="101">
        <v>22916.66</v>
      </c>
      <c r="D110" s="94"/>
      <c r="E110" s="59" t="s">
        <v>180</v>
      </c>
      <c r="F110" s="140" t="s">
        <v>181</v>
      </c>
      <c r="G110" s="95" t="s">
        <v>179</v>
      </c>
    </row>
    <row r="111" ht="19.5" customHeight="1">
      <c r="A111" s="77"/>
      <c r="B111" s="109">
        <v>46028.0</v>
      </c>
      <c r="C111" s="101">
        <v>129814.2</v>
      </c>
      <c r="D111" s="94"/>
      <c r="E111" s="59" t="s">
        <v>333</v>
      </c>
      <c r="F111" s="140" t="s">
        <v>334</v>
      </c>
      <c r="G111" s="95" t="s">
        <v>179</v>
      </c>
    </row>
    <row r="112" ht="19.5" customHeight="1">
      <c r="A112" s="77"/>
      <c r="B112" s="109">
        <v>46053.0</v>
      </c>
      <c r="C112" s="101">
        <v>150248.98</v>
      </c>
      <c r="D112" s="94"/>
      <c r="E112" s="59" t="s">
        <v>190</v>
      </c>
      <c r="F112" s="140" t="s">
        <v>204</v>
      </c>
      <c r="G112" s="95" t="s">
        <v>179</v>
      </c>
    </row>
    <row r="113" ht="19.5" customHeight="1">
      <c r="A113" s="77"/>
      <c r="B113" s="109">
        <v>46053.0</v>
      </c>
      <c r="C113" s="101">
        <v>98973.76</v>
      </c>
      <c r="D113" s="94"/>
      <c r="E113" s="59" t="s">
        <v>190</v>
      </c>
      <c r="F113" s="140" t="s">
        <v>204</v>
      </c>
      <c r="G113" s="95" t="s">
        <v>179</v>
      </c>
    </row>
    <row r="114" ht="19.5" customHeight="1">
      <c r="A114" s="77"/>
      <c r="B114" s="109">
        <v>46055.0</v>
      </c>
      <c r="C114" s="101">
        <v>29999.99</v>
      </c>
      <c r="D114" s="94"/>
      <c r="E114" s="59" t="s">
        <v>41</v>
      </c>
      <c r="F114" s="140" t="s">
        <v>342</v>
      </c>
      <c r="G114" s="95" t="s">
        <v>179</v>
      </c>
    </row>
    <row r="115" ht="19.5" customHeight="1">
      <c r="A115" s="77"/>
      <c r="B115" s="109">
        <v>46056.0</v>
      </c>
      <c r="C115" s="101">
        <v>189874.14</v>
      </c>
      <c r="D115" s="94"/>
      <c r="E115" s="59" t="s">
        <v>344</v>
      </c>
      <c r="F115" s="140" t="s">
        <v>347</v>
      </c>
      <c r="G115" s="95" t="s">
        <v>192</v>
      </c>
    </row>
    <row r="116" ht="19.5" customHeight="1">
      <c r="A116" s="77"/>
      <c r="B116" s="109">
        <v>46056.0</v>
      </c>
      <c r="C116" s="101">
        <v>29999.99</v>
      </c>
      <c r="D116" s="94"/>
      <c r="E116" s="59" t="s">
        <v>41</v>
      </c>
      <c r="F116" s="140" t="s">
        <v>342</v>
      </c>
      <c r="G116" s="95" t="s">
        <v>179</v>
      </c>
    </row>
    <row r="117" ht="19.5" customHeight="1">
      <c r="A117" s="77"/>
      <c r="B117" s="109">
        <v>46060.0</v>
      </c>
      <c r="C117" s="101">
        <v>57362.34</v>
      </c>
      <c r="D117" s="94"/>
      <c r="E117" s="59" t="s">
        <v>353</v>
      </c>
      <c r="F117" s="140" t="s">
        <v>354</v>
      </c>
      <c r="G117" s="95" t="s">
        <v>179</v>
      </c>
    </row>
    <row r="118" ht="19.5" customHeight="1">
      <c r="A118" s="77"/>
      <c r="B118" s="109">
        <v>46063.0</v>
      </c>
      <c r="C118" s="101">
        <v>1000000.0</v>
      </c>
      <c r="D118" s="94"/>
      <c r="E118" s="59" t="s">
        <v>357</v>
      </c>
      <c r="F118" s="140" t="s">
        <v>358</v>
      </c>
      <c r="G118" s="95" t="s">
        <v>192</v>
      </c>
    </row>
    <row r="119" ht="19.5" customHeight="1">
      <c r="A119" s="77"/>
      <c r="B119" s="109">
        <v>46063.0</v>
      </c>
      <c r="C119" s="101">
        <v>39999.98</v>
      </c>
      <c r="D119" s="94"/>
      <c r="E119" s="59" t="s">
        <v>41</v>
      </c>
      <c r="F119" s="140" t="s">
        <v>342</v>
      </c>
      <c r="G119" s="95" t="s">
        <v>179</v>
      </c>
    </row>
    <row r="120" ht="19.5" customHeight="1">
      <c r="A120" s="77"/>
      <c r="B120" s="109">
        <v>46064.0</v>
      </c>
      <c r="C120" s="101">
        <v>700000.0</v>
      </c>
      <c r="D120" s="94"/>
      <c r="E120" s="59" t="s">
        <v>369</v>
      </c>
      <c r="F120" s="140" t="s">
        <v>358</v>
      </c>
      <c r="G120" s="95" t="s">
        <v>192</v>
      </c>
    </row>
    <row r="121" ht="19.5" customHeight="1">
      <c r="A121" s="77"/>
      <c r="B121" s="109">
        <v>46064.0</v>
      </c>
      <c r="C121" s="101">
        <v>65738.4</v>
      </c>
      <c r="D121" s="94"/>
      <c r="E121" s="59" t="s">
        <v>372</v>
      </c>
      <c r="F121" s="140" t="s">
        <v>373</v>
      </c>
      <c r="G121" s="95" t="s">
        <v>179</v>
      </c>
    </row>
    <row r="122" ht="19.5" customHeight="1">
      <c r="A122" s="77"/>
      <c r="B122" s="109">
        <v>46067.0</v>
      </c>
      <c r="C122" s="101">
        <v>47000.0</v>
      </c>
      <c r="D122" s="94"/>
      <c r="E122" s="59" t="s">
        <v>376</v>
      </c>
      <c r="F122" s="140" t="s">
        <v>377</v>
      </c>
      <c r="G122" s="95" t="s">
        <v>179</v>
      </c>
    </row>
    <row r="123" ht="19.5" customHeight="1">
      <c r="A123" s="77"/>
      <c r="B123" s="109">
        <v>46067.0</v>
      </c>
      <c r="C123" s="101">
        <v>123944.56</v>
      </c>
      <c r="D123" s="94"/>
      <c r="E123" s="59" t="s">
        <v>190</v>
      </c>
      <c r="F123" s="140" t="s">
        <v>204</v>
      </c>
      <c r="G123" s="95" t="s">
        <v>179</v>
      </c>
    </row>
    <row r="124" ht="19.5" customHeight="1">
      <c r="A124" s="77"/>
      <c r="B124" s="109">
        <v>46067.0</v>
      </c>
      <c r="C124" s="101">
        <v>48270.0</v>
      </c>
      <c r="D124" s="94"/>
      <c r="E124" s="59" t="s">
        <v>190</v>
      </c>
      <c r="F124" s="140" t="s">
        <v>191</v>
      </c>
      <c r="G124" s="95" t="s">
        <v>192</v>
      </c>
    </row>
    <row r="125" ht="19.5" customHeight="1">
      <c r="A125" s="77"/>
      <c r="B125" s="109">
        <v>46068.0</v>
      </c>
      <c r="C125" s="101"/>
      <c r="D125" s="94">
        <v>0.89</v>
      </c>
      <c r="E125" s="59" t="s">
        <v>381</v>
      </c>
      <c r="F125" s="140" t="s">
        <v>382</v>
      </c>
      <c r="G125" s="95" t="s">
        <v>192</v>
      </c>
    </row>
    <row r="126" ht="19.5" customHeight="1">
      <c r="A126" s="77"/>
      <c r="B126" s="109">
        <v>46070.0</v>
      </c>
      <c r="C126" s="101">
        <v>29999.99</v>
      </c>
      <c r="D126" s="94"/>
      <c r="E126" s="59" t="s">
        <v>41</v>
      </c>
      <c r="F126" s="140" t="s">
        <v>342</v>
      </c>
      <c r="G126" s="95" t="s">
        <v>179</v>
      </c>
    </row>
    <row r="127" ht="19.5" customHeight="1">
      <c r="A127" s="77"/>
      <c r="B127" s="109">
        <v>46072.0</v>
      </c>
      <c r="C127" s="101">
        <v>35500.0</v>
      </c>
      <c r="D127" s="94"/>
      <c r="E127" s="59" t="s">
        <v>41</v>
      </c>
      <c r="F127" s="140" t="s">
        <v>342</v>
      </c>
      <c r="G127" s="95" t="s">
        <v>179</v>
      </c>
    </row>
    <row r="128" ht="19.5" customHeight="1">
      <c r="A128" s="77"/>
      <c r="B128" s="109">
        <v>46074.0</v>
      </c>
      <c r="C128" s="101">
        <v>89950.1</v>
      </c>
      <c r="D128" s="94"/>
      <c r="E128" s="59" t="s">
        <v>370</v>
      </c>
      <c r="F128" s="140" t="s">
        <v>391</v>
      </c>
      <c r="G128" s="95" t="s">
        <v>179</v>
      </c>
    </row>
    <row r="129" ht="19.5" customHeight="1">
      <c r="A129" s="77"/>
      <c r="B129" s="109">
        <v>46075.0</v>
      </c>
      <c r="C129" s="101">
        <v>79822.52</v>
      </c>
      <c r="D129" s="94"/>
      <c r="E129" s="59" t="s">
        <v>190</v>
      </c>
      <c r="F129" s="140" t="s">
        <v>204</v>
      </c>
      <c r="G129" s="95" t="s">
        <v>179</v>
      </c>
    </row>
    <row r="130" ht="19.5" customHeight="1">
      <c r="A130" s="77"/>
      <c r="B130" s="109">
        <v>46076.0</v>
      </c>
      <c r="C130" s="101">
        <v>29999.99</v>
      </c>
      <c r="D130" s="94"/>
      <c r="E130" s="59" t="s">
        <v>41</v>
      </c>
      <c r="F130" s="140" t="s">
        <v>342</v>
      </c>
      <c r="G130" s="95" t="s">
        <v>179</v>
      </c>
    </row>
    <row r="131" ht="19.5" customHeight="1">
      <c r="A131" s="77"/>
      <c r="B131" s="109">
        <v>46077.0</v>
      </c>
      <c r="C131" s="101">
        <v>29999.99</v>
      </c>
      <c r="D131" s="94"/>
      <c r="E131" s="59" t="s">
        <v>41</v>
      </c>
      <c r="F131" s="140" t="s">
        <v>342</v>
      </c>
      <c r="G131" s="95" t="s">
        <v>179</v>
      </c>
    </row>
    <row r="132" ht="19.5" customHeight="1">
      <c r="A132" s="77"/>
      <c r="B132" s="109">
        <v>46078.0</v>
      </c>
      <c r="C132" s="101">
        <v>29999.99</v>
      </c>
      <c r="D132" s="94"/>
      <c r="E132" s="59" t="s">
        <v>41</v>
      </c>
      <c r="F132" s="140" t="s">
        <v>342</v>
      </c>
      <c r="G132" s="95" t="s">
        <v>179</v>
      </c>
    </row>
    <row r="133" ht="30.0" customHeight="1">
      <c r="A133" s="124" t="s">
        <v>163</v>
      </c>
      <c r="B133" s="125"/>
      <c r="C133" s="152">
        <f>SUM(C107:C132)</f>
        <v>3212653.9</v>
      </c>
      <c r="D133" s="152">
        <f>SUM(D108:D132)</f>
        <v>0.89</v>
      </c>
      <c r="E133" s="128"/>
      <c r="F133" s="130"/>
      <c r="G133" s="104"/>
    </row>
    <row r="134" ht="4.5" customHeight="1">
      <c r="A134" s="153"/>
      <c r="B134" s="133"/>
      <c r="C134" s="133"/>
      <c r="D134" s="133"/>
      <c r="E134" s="133"/>
      <c r="F134" s="133"/>
      <c r="G134" s="125"/>
    </row>
    <row r="135" ht="19.5" customHeight="1">
      <c r="A135" s="156" t="s">
        <v>19</v>
      </c>
      <c r="B135" s="157">
        <v>45987.0</v>
      </c>
      <c r="C135" s="101">
        <v>50933.33</v>
      </c>
      <c r="D135" s="155"/>
      <c r="E135" s="158" t="s">
        <v>441</v>
      </c>
      <c r="F135" s="158" t="s">
        <v>250</v>
      </c>
      <c r="G135" s="159" t="s">
        <v>179</v>
      </c>
    </row>
    <row r="136" ht="30.0" customHeight="1">
      <c r="A136" s="124" t="s">
        <v>163</v>
      </c>
      <c r="B136" s="125"/>
      <c r="C136" s="160">
        <f t="shared" ref="C136:D136" si="4">SUM(C135)</f>
        <v>50933.33</v>
      </c>
      <c r="D136" s="152">
        <f t="shared" si="4"/>
        <v>0</v>
      </c>
      <c r="E136" s="161"/>
      <c r="F136" s="130"/>
      <c r="G136" s="162"/>
    </row>
    <row r="137" ht="4.5" customHeight="1">
      <c r="A137" s="153"/>
      <c r="B137" s="133"/>
      <c r="C137" s="133"/>
      <c r="D137" s="133"/>
      <c r="E137" s="133"/>
      <c r="F137" s="133"/>
      <c r="G137" s="125"/>
    </row>
    <row r="138" ht="19.5" customHeight="1">
      <c r="A138" s="156" t="s">
        <v>18</v>
      </c>
      <c r="B138" s="163">
        <v>46052.0</v>
      </c>
      <c r="C138" s="164">
        <v>12334.0</v>
      </c>
      <c r="D138" s="164"/>
      <c r="E138" s="59" t="s">
        <v>52</v>
      </c>
      <c r="F138" s="85" t="s">
        <v>470</v>
      </c>
      <c r="G138" s="165" t="s">
        <v>192</v>
      </c>
    </row>
    <row r="139" ht="19.5" customHeight="1">
      <c r="A139" s="167"/>
      <c r="B139" s="168">
        <v>46054.0</v>
      </c>
      <c r="C139" s="94">
        <v>43876.82</v>
      </c>
      <c r="D139" s="94"/>
      <c r="E139" s="75" t="s">
        <v>36</v>
      </c>
      <c r="F139" s="85" t="s">
        <v>479</v>
      </c>
      <c r="G139" s="169" t="s">
        <v>192</v>
      </c>
    </row>
    <row r="140" ht="19.5" customHeight="1">
      <c r="A140" s="167"/>
      <c r="B140" s="168">
        <v>46056.0</v>
      </c>
      <c r="C140" s="94">
        <v>124959.89</v>
      </c>
      <c r="D140" s="94"/>
      <c r="E140" s="75" t="s">
        <v>482</v>
      </c>
      <c r="F140" s="85" t="s">
        <v>483</v>
      </c>
      <c r="G140" s="169" t="s">
        <v>192</v>
      </c>
    </row>
    <row r="141" ht="19.5" customHeight="1">
      <c r="A141" s="167"/>
      <c r="B141" s="168">
        <v>46056.0</v>
      </c>
      <c r="C141" s="94">
        <v>14579.0</v>
      </c>
      <c r="D141" s="94"/>
      <c r="E141" s="75" t="s">
        <v>52</v>
      </c>
      <c r="F141" s="85" t="s">
        <v>485</v>
      </c>
      <c r="G141" s="169" t="s">
        <v>192</v>
      </c>
    </row>
    <row r="142" ht="19.5" customHeight="1">
      <c r="A142" s="167"/>
      <c r="B142" s="168">
        <v>46056.0</v>
      </c>
      <c r="C142" s="94">
        <v>10102.0</v>
      </c>
      <c r="D142" s="94"/>
      <c r="E142" s="75" t="s">
        <v>52</v>
      </c>
      <c r="F142" s="85" t="s">
        <v>487</v>
      </c>
      <c r="G142" s="169" t="s">
        <v>192</v>
      </c>
    </row>
    <row r="143" ht="19.5" customHeight="1">
      <c r="A143" s="167"/>
      <c r="B143" s="168">
        <v>46056.0</v>
      </c>
      <c r="C143" s="94">
        <v>4685.0</v>
      </c>
      <c r="D143" s="94"/>
      <c r="E143" s="75" t="s">
        <v>52</v>
      </c>
      <c r="F143" s="85" t="s">
        <v>489</v>
      </c>
      <c r="G143" s="169" t="s">
        <v>192</v>
      </c>
    </row>
    <row r="144" ht="19.5" customHeight="1">
      <c r="A144" s="167"/>
      <c r="B144" s="168">
        <v>46057.0</v>
      </c>
      <c r="C144" s="94">
        <v>41827.5</v>
      </c>
      <c r="D144" s="94"/>
      <c r="E144" s="75" t="s">
        <v>36</v>
      </c>
      <c r="F144" s="85" t="s">
        <v>47</v>
      </c>
      <c r="G144" s="169" t="s">
        <v>192</v>
      </c>
    </row>
    <row r="145" ht="19.5" customHeight="1">
      <c r="A145" s="167"/>
      <c r="B145" s="168">
        <v>46058.0</v>
      </c>
      <c r="C145" s="94">
        <v>12608.0</v>
      </c>
      <c r="D145" s="94"/>
      <c r="E145" s="75" t="s">
        <v>52</v>
      </c>
      <c r="F145" s="85" t="s">
        <v>491</v>
      </c>
      <c r="G145" s="169" t="s">
        <v>192</v>
      </c>
    </row>
    <row r="146" ht="19.5" customHeight="1">
      <c r="A146" s="167"/>
      <c r="B146" s="168">
        <v>46058.0</v>
      </c>
      <c r="C146" s="94">
        <v>772.0</v>
      </c>
      <c r="D146" s="94"/>
      <c r="E146" s="75" t="s">
        <v>52</v>
      </c>
      <c r="F146" s="85" t="s">
        <v>492</v>
      </c>
      <c r="G146" s="169" t="s">
        <v>192</v>
      </c>
    </row>
    <row r="147" ht="19.5" customHeight="1">
      <c r="A147" s="167"/>
      <c r="B147" s="168">
        <v>46060.0</v>
      </c>
      <c r="C147" s="94">
        <v>18506.0</v>
      </c>
      <c r="D147" s="94"/>
      <c r="E147" s="75" t="s">
        <v>52</v>
      </c>
      <c r="F147" s="85" t="s">
        <v>493</v>
      </c>
      <c r="G147" s="169" t="s">
        <v>192</v>
      </c>
    </row>
    <row r="148" ht="19.5" customHeight="1">
      <c r="A148" s="167"/>
      <c r="B148" s="168">
        <v>46062.0</v>
      </c>
      <c r="C148" s="94">
        <v>30780.75</v>
      </c>
      <c r="D148" s="94"/>
      <c r="E148" s="75" t="s">
        <v>36</v>
      </c>
      <c r="F148" s="85" t="s">
        <v>494</v>
      </c>
      <c r="G148" s="169" t="s">
        <v>192</v>
      </c>
    </row>
    <row r="149" ht="19.5" customHeight="1">
      <c r="A149" s="167"/>
      <c r="B149" s="168">
        <v>46062.0</v>
      </c>
      <c r="C149" s="94">
        <v>12667.0</v>
      </c>
      <c r="D149" s="94"/>
      <c r="E149" s="75" t="s">
        <v>52</v>
      </c>
      <c r="F149" s="85" t="s">
        <v>495</v>
      </c>
      <c r="G149" s="169" t="s">
        <v>192</v>
      </c>
    </row>
    <row r="150" ht="19.5" customHeight="1">
      <c r="A150" s="167"/>
      <c r="B150" s="168">
        <v>46062.0</v>
      </c>
      <c r="C150" s="94">
        <v>15077.0</v>
      </c>
      <c r="D150" s="94"/>
      <c r="E150" s="75" t="s">
        <v>52</v>
      </c>
      <c r="F150" s="85" t="s">
        <v>497</v>
      </c>
      <c r="G150" s="169" t="s">
        <v>192</v>
      </c>
    </row>
    <row r="151" ht="19.5" customHeight="1">
      <c r="A151" s="167"/>
      <c r="B151" s="168">
        <v>46062.0</v>
      </c>
      <c r="C151" s="94">
        <v>89243.32</v>
      </c>
      <c r="D151" s="94"/>
      <c r="E151" s="89" t="s">
        <v>95</v>
      </c>
      <c r="F151" s="85" t="s">
        <v>499</v>
      </c>
      <c r="G151" s="169" t="s">
        <v>192</v>
      </c>
    </row>
    <row r="152" ht="19.5" customHeight="1">
      <c r="A152" s="167"/>
      <c r="B152" s="168">
        <v>46062.0</v>
      </c>
      <c r="C152" s="94">
        <v>8412.0</v>
      </c>
      <c r="D152" s="94"/>
      <c r="E152" s="75" t="s">
        <v>500</v>
      </c>
      <c r="F152" s="78" t="s">
        <v>501</v>
      </c>
      <c r="G152" s="169" t="s">
        <v>192</v>
      </c>
    </row>
    <row r="153" ht="19.5" customHeight="1">
      <c r="A153" s="167"/>
      <c r="B153" s="168">
        <v>46063.0</v>
      </c>
      <c r="C153" s="94">
        <v>100525.72</v>
      </c>
      <c r="D153" s="94"/>
      <c r="E153" s="89" t="s">
        <v>95</v>
      </c>
      <c r="F153" s="85" t="s">
        <v>502</v>
      </c>
      <c r="G153" s="169" t="s">
        <v>192</v>
      </c>
    </row>
    <row r="154" ht="19.5" customHeight="1">
      <c r="A154" s="167"/>
      <c r="B154" s="168">
        <v>46065.0</v>
      </c>
      <c r="C154" s="94">
        <v>79078.26</v>
      </c>
      <c r="D154" s="94"/>
      <c r="E154" s="75" t="s">
        <v>36</v>
      </c>
      <c r="F154" s="85" t="s">
        <v>505</v>
      </c>
      <c r="G154" s="169" t="s">
        <v>192</v>
      </c>
    </row>
    <row r="155" ht="19.5" customHeight="1">
      <c r="A155" s="167"/>
      <c r="B155" s="168">
        <v>46067.0</v>
      </c>
      <c r="C155" s="94">
        <v>5141.0</v>
      </c>
      <c r="D155" s="94"/>
      <c r="E155" s="75" t="s">
        <v>52</v>
      </c>
      <c r="F155" s="85" t="s">
        <v>507</v>
      </c>
      <c r="G155" s="169" t="s">
        <v>192</v>
      </c>
    </row>
    <row r="156" ht="19.5" customHeight="1">
      <c r="A156" s="167"/>
      <c r="B156" s="168">
        <v>46069.0</v>
      </c>
      <c r="C156" s="94">
        <v>92664.0</v>
      </c>
      <c r="D156" s="94"/>
      <c r="E156" s="75" t="s">
        <v>36</v>
      </c>
      <c r="F156" s="85" t="s">
        <v>508</v>
      </c>
      <c r="G156" s="169" t="s">
        <v>192</v>
      </c>
    </row>
    <row r="157" ht="19.5" customHeight="1">
      <c r="A157" s="167"/>
      <c r="B157" s="168">
        <v>46069.0</v>
      </c>
      <c r="C157" s="94">
        <v>10989.0</v>
      </c>
      <c r="D157" s="94"/>
      <c r="E157" s="75" t="s">
        <v>52</v>
      </c>
      <c r="F157" s="85" t="s">
        <v>470</v>
      </c>
      <c r="G157" s="169" t="s">
        <v>192</v>
      </c>
    </row>
    <row r="158" ht="19.5" customHeight="1">
      <c r="A158" s="167"/>
      <c r="B158" s="168">
        <v>46069.0</v>
      </c>
      <c r="C158" s="94">
        <v>10798.0</v>
      </c>
      <c r="D158" s="94"/>
      <c r="E158" s="75" t="s">
        <v>52</v>
      </c>
      <c r="F158" s="85" t="s">
        <v>509</v>
      </c>
      <c r="G158" s="169" t="s">
        <v>192</v>
      </c>
    </row>
    <row r="159" ht="19.5" customHeight="1">
      <c r="A159" s="167"/>
      <c r="B159" s="168">
        <v>46069.0</v>
      </c>
      <c r="C159" s="94">
        <v>131456.0</v>
      </c>
      <c r="D159" s="94"/>
      <c r="E159" s="75" t="s">
        <v>510</v>
      </c>
      <c r="F159" s="85" t="s">
        <v>511</v>
      </c>
      <c r="G159" s="169" t="s">
        <v>192</v>
      </c>
    </row>
    <row r="160" ht="19.5" customHeight="1">
      <c r="A160" s="167"/>
      <c r="B160" s="168">
        <v>46070.0</v>
      </c>
      <c r="C160" s="94">
        <v>60877.71</v>
      </c>
      <c r="D160" s="94"/>
      <c r="E160" s="75" t="s">
        <v>36</v>
      </c>
      <c r="F160" s="85" t="s">
        <v>513</v>
      </c>
      <c r="G160" s="169" t="s">
        <v>192</v>
      </c>
    </row>
    <row r="161" ht="19.5" customHeight="1">
      <c r="A161" s="167"/>
      <c r="B161" s="168">
        <v>46070.0</v>
      </c>
      <c r="C161" s="94">
        <v>361474.45</v>
      </c>
      <c r="D161" s="94"/>
      <c r="E161" s="75" t="s">
        <v>344</v>
      </c>
      <c r="F161" s="85" t="s">
        <v>515</v>
      </c>
      <c r="G161" s="169" t="s">
        <v>192</v>
      </c>
    </row>
    <row r="162" ht="19.5" customHeight="1">
      <c r="A162" s="167"/>
      <c r="B162" s="168">
        <v>46071.0</v>
      </c>
      <c r="C162" s="94">
        <v>111111.0</v>
      </c>
      <c r="D162" s="94"/>
      <c r="E162" s="75" t="s">
        <v>36</v>
      </c>
      <c r="F162" s="85" t="s">
        <v>516</v>
      </c>
      <c r="G162" s="169" t="s">
        <v>192</v>
      </c>
    </row>
    <row r="163" ht="19.5" customHeight="1">
      <c r="A163" s="167"/>
      <c r="B163" s="168">
        <v>46071.0</v>
      </c>
      <c r="C163" s="94">
        <v>14754.0</v>
      </c>
      <c r="D163" s="94"/>
      <c r="E163" s="75" t="s">
        <v>52</v>
      </c>
      <c r="F163" s="85" t="s">
        <v>517</v>
      </c>
      <c r="G163" s="169" t="s">
        <v>192</v>
      </c>
    </row>
    <row r="164" ht="19.5" customHeight="1">
      <c r="A164" s="167"/>
      <c r="B164" s="168">
        <v>46071.0</v>
      </c>
      <c r="C164" s="94">
        <v>128998.56</v>
      </c>
      <c r="D164" s="94"/>
      <c r="E164" s="89" t="s">
        <v>95</v>
      </c>
      <c r="F164" s="85" t="s">
        <v>518</v>
      </c>
      <c r="G164" s="169" t="s">
        <v>192</v>
      </c>
    </row>
    <row r="165" ht="19.5" customHeight="1">
      <c r="A165" s="167"/>
      <c r="B165" s="168">
        <v>46071.0</v>
      </c>
      <c r="C165" s="94">
        <v>219922.18</v>
      </c>
      <c r="D165" s="94"/>
      <c r="E165" s="89" t="s">
        <v>95</v>
      </c>
      <c r="F165" s="85" t="s">
        <v>519</v>
      </c>
      <c r="G165" s="169" t="s">
        <v>192</v>
      </c>
    </row>
    <row r="166" ht="21.0" customHeight="1">
      <c r="A166" s="167"/>
      <c r="B166" s="168">
        <v>46072.0</v>
      </c>
      <c r="C166" s="94">
        <v>52552.5</v>
      </c>
      <c r="D166" s="94"/>
      <c r="E166" s="75" t="s">
        <v>36</v>
      </c>
      <c r="F166" s="85" t="s">
        <v>520</v>
      </c>
      <c r="G166" s="169" t="s">
        <v>192</v>
      </c>
    </row>
    <row r="167" ht="19.5" customHeight="1">
      <c r="A167" s="167"/>
      <c r="B167" s="168">
        <v>46072.0</v>
      </c>
      <c r="C167" s="94">
        <v>106990.0</v>
      </c>
      <c r="D167" s="94"/>
      <c r="E167" s="75" t="s">
        <v>521</v>
      </c>
      <c r="F167" s="85" t="s">
        <v>511</v>
      </c>
      <c r="G167" s="169" t="s">
        <v>192</v>
      </c>
    </row>
    <row r="168" ht="19.5" customHeight="1">
      <c r="A168" s="167"/>
      <c r="B168" s="168">
        <v>46073.0</v>
      </c>
      <c r="C168" s="94">
        <v>75075.0</v>
      </c>
      <c r="D168" s="94"/>
      <c r="E168" s="75" t="s">
        <v>36</v>
      </c>
      <c r="F168" s="85" t="s">
        <v>522</v>
      </c>
      <c r="G168" s="169" t="s">
        <v>192</v>
      </c>
    </row>
    <row r="169" ht="19.5" customHeight="1">
      <c r="A169" s="167"/>
      <c r="B169" s="168">
        <v>46073.0</v>
      </c>
      <c r="C169" s="94">
        <v>60300.96</v>
      </c>
      <c r="D169" s="94"/>
      <c r="E169" s="75" t="s">
        <v>149</v>
      </c>
      <c r="F169" s="59" t="s">
        <v>523</v>
      </c>
      <c r="G169" s="169" t="s">
        <v>192</v>
      </c>
    </row>
    <row r="170" ht="19.5" customHeight="1">
      <c r="A170" s="167"/>
      <c r="B170" s="168">
        <v>46073.0</v>
      </c>
      <c r="C170" s="94">
        <v>39832.53</v>
      </c>
      <c r="D170" s="94"/>
      <c r="E170" s="75" t="s">
        <v>157</v>
      </c>
      <c r="F170" s="85" t="s">
        <v>524</v>
      </c>
      <c r="G170" s="169" t="s">
        <v>192</v>
      </c>
    </row>
    <row r="171" ht="19.5" customHeight="1">
      <c r="A171" s="167"/>
      <c r="B171" s="168">
        <v>46073.0</v>
      </c>
      <c r="C171" s="183">
        <v>-36750.0</v>
      </c>
      <c r="D171" s="94"/>
      <c r="E171" s="75" t="s">
        <v>36</v>
      </c>
      <c r="F171" s="85" t="s">
        <v>525</v>
      </c>
      <c r="G171" s="169" t="s">
        <v>192</v>
      </c>
    </row>
    <row r="172" ht="19.5" customHeight="1">
      <c r="A172" s="167"/>
      <c r="B172" s="168">
        <v>46075.0</v>
      </c>
      <c r="C172" s="94">
        <v>10170.0</v>
      </c>
      <c r="D172" s="94"/>
      <c r="E172" s="75" t="s">
        <v>52</v>
      </c>
      <c r="F172" s="85" t="s">
        <v>526</v>
      </c>
      <c r="G172" s="169" t="s">
        <v>192</v>
      </c>
    </row>
    <row r="173" ht="24.0" customHeight="1">
      <c r="A173" s="167"/>
      <c r="B173" s="168">
        <v>46075.0</v>
      </c>
      <c r="C173" s="94"/>
      <c r="D173" s="94">
        <v>9.99</v>
      </c>
      <c r="E173" s="75" t="s">
        <v>527</v>
      </c>
      <c r="F173" s="85" t="s">
        <v>321</v>
      </c>
      <c r="G173" s="169" t="s">
        <v>192</v>
      </c>
    </row>
    <row r="174" ht="19.5" customHeight="1">
      <c r="A174" s="167"/>
      <c r="B174" s="168">
        <v>46077.0</v>
      </c>
      <c r="C174" s="94">
        <v>43972.5</v>
      </c>
      <c r="D174" s="94"/>
      <c r="E174" s="75" t="s">
        <v>36</v>
      </c>
      <c r="F174" s="85" t="s">
        <v>530</v>
      </c>
      <c r="G174" s="169" t="s">
        <v>192</v>
      </c>
    </row>
    <row r="175" ht="19.5" customHeight="1">
      <c r="A175" s="167"/>
      <c r="B175" s="168">
        <v>46077.0</v>
      </c>
      <c r="C175" s="94">
        <v>263835.0</v>
      </c>
      <c r="D175" s="94"/>
      <c r="E175" s="75" t="s">
        <v>36</v>
      </c>
      <c r="F175" s="85" t="s">
        <v>532</v>
      </c>
      <c r="G175" s="169" t="s">
        <v>192</v>
      </c>
    </row>
    <row r="176" ht="19.5" customHeight="1">
      <c r="A176" s="167"/>
      <c r="B176" s="168">
        <v>46077.0</v>
      </c>
      <c r="C176" s="94">
        <v>12436.0</v>
      </c>
      <c r="D176" s="94"/>
      <c r="E176" s="75" t="s">
        <v>52</v>
      </c>
      <c r="F176" s="85" t="s">
        <v>526</v>
      </c>
      <c r="G176" s="169" t="s">
        <v>192</v>
      </c>
    </row>
    <row r="177" ht="19.5" customHeight="1">
      <c r="A177" s="167"/>
      <c r="B177" s="168">
        <v>46077.0</v>
      </c>
      <c r="C177" s="94">
        <v>4410.0</v>
      </c>
      <c r="D177" s="94"/>
      <c r="E177" s="75" t="s">
        <v>52</v>
      </c>
      <c r="F177" s="78" t="s">
        <v>533</v>
      </c>
      <c r="G177" s="169" t="s">
        <v>192</v>
      </c>
    </row>
    <row r="178" ht="19.5" customHeight="1">
      <c r="A178" s="167"/>
      <c r="B178" s="168">
        <v>46078.0</v>
      </c>
      <c r="C178" s="94">
        <v>41474.7</v>
      </c>
      <c r="D178" s="94"/>
      <c r="E178" s="75" t="s">
        <v>36</v>
      </c>
      <c r="F178" s="85" t="s">
        <v>530</v>
      </c>
      <c r="G178" s="169" t="s">
        <v>192</v>
      </c>
    </row>
    <row r="179" ht="19.5" customHeight="1">
      <c r="A179" s="167"/>
      <c r="B179" s="168">
        <v>46078.0</v>
      </c>
      <c r="C179" s="94">
        <v>10012.0</v>
      </c>
      <c r="D179" s="94"/>
      <c r="E179" s="75" t="s">
        <v>52</v>
      </c>
      <c r="F179" s="85" t="s">
        <v>538</v>
      </c>
      <c r="G179" s="169" t="s">
        <v>192</v>
      </c>
    </row>
    <row r="180" ht="19.5" customHeight="1">
      <c r="A180" s="167"/>
      <c r="B180" s="168">
        <v>46078.0</v>
      </c>
      <c r="C180" s="94">
        <v>13733.0</v>
      </c>
      <c r="D180" s="94"/>
      <c r="E180" s="75" t="s">
        <v>52</v>
      </c>
      <c r="F180" s="85" t="s">
        <v>538</v>
      </c>
      <c r="G180" s="169" t="s">
        <v>192</v>
      </c>
    </row>
    <row r="181" ht="19.5" customHeight="1">
      <c r="A181" s="167"/>
      <c r="B181" s="168">
        <v>46078.0</v>
      </c>
      <c r="C181" s="94">
        <v>13736.0</v>
      </c>
      <c r="D181" s="94"/>
      <c r="E181" s="75" t="s">
        <v>52</v>
      </c>
      <c r="F181" s="85" t="s">
        <v>541</v>
      </c>
      <c r="G181" s="169" t="s">
        <v>192</v>
      </c>
    </row>
    <row r="182" ht="19.5" customHeight="1">
      <c r="A182" s="167"/>
      <c r="B182" s="168">
        <v>46078.0</v>
      </c>
      <c r="C182" s="94">
        <v>11542.0</v>
      </c>
      <c r="D182" s="94"/>
      <c r="E182" s="75" t="s">
        <v>52</v>
      </c>
      <c r="F182" s="85" t="s">
        <v>544</v>
      </c>
      <c r="G182" s="169" t="s">
        <v>192</v>
      </c>
    </row>
    <row r="183" ht="19.5" customHeight="1">
      <c r="A183" s="167"/>
      <c r="B183" s="168">
        <v>46078.0</v>
      </c>
      <c r="C183" s="94">
        <v>48643.97</v>
      </c>
      <c r="D183" s="94"/>
      <c r="E183" s="75" t="s">
        <v>546</v>
      </c>
      <c r="F183" s="85" t="s">
        <v>547</v>
      </c>
      <c r="G183" s="169" t="s">
        <v>192</v>
      </c>
    </row>
    <row r="184" ht="30.0" customHeight="1">
      <c r="A184" s="124" t="s">
        <v>163</v>
      </c>
      <c r="B184" s="125"/>
      <c r="C184" s="152">
        <f t="shared" ref="C184:D184" si="5">SUM(C138:C183)</f>
        <v>2540186.32</v>
      </c>
      <c r="D184" s="152">
        <f t="shared" si="5"/>
        <v>9.99</v>
      </c>
      <c r="E184" s="128"/>
      <c r="F184" s="103"/>
      <c r="G184" s="104"/>
    </row>
    <row r="185" ht="4.5" customHeight="1">
      <c r="A185" s="153"/>
      <c r="B185" s="133"/>
      <c r="C185" s="133"/>
      <c r="D185" s="133"/>
      <c r="E185" s="133"/>
      <c r="F185" s="133"/>
      <c r="G185" s="125"/>
    </row>
    <row r="186" ht="19.5" customHeight="1">
      <c r="A186" s="136" t="s">
        <v>335</v>
      </c>
      <c r="B186" s="184">
        <v>46043.0</v>
      </c>
      <c r="C186" s="155">
        <v>38000.0</v>
      </c>
      <c r="D186" s="188"/>
      <c r="E186" s="59" t="s">
        <v>564</v>
      </c>
      <c r="F186" s="59" t="s">
        <v>403</v>
      </c>
      <c r="G186" s="95"/>
    </row>
    <row r="187" ht="19.5" customHeight="1">
      <c r="A187" s="77"/>
      <c r="B187" s="82">
        <v>46051.0</v>
      </c>
      <c r="C187" s="72">
        <v>8600.0</v>
      </c>
      <c r="D187" s="72"/>
      <c r="E187" s="75" t="s">
        <v>566</v>
      </c>
      <c r="F187" s="59"/>
      <c r="G187" s="95"/>
    </row>
    <row r="188" ht="19.5" customHeight="1">
      <c r="A188" s="77"/>
      <c r="B188" s="82">
        <v>46051.0</v>
      </c>
      <c r="C188" s="72">
        <v>7400.0</v>
      </c>
      <c r="D188" s="72"/>
      <c r="E188" s="75" t="s">
        <v>355</v>
      </c>
      <c r="F188" s="59"/>
      <c r="G188" s="95"/>
    </row>
    <row r="189" ht="19.5" customHeight="1">
      <c r="A189" s="77"/>
      <c r="B189" s="82">
        <v>46052.0</v>
      </c>
      <c r="C189" s="72">
        <v>12100.0</v>
      </c>
      <c r="D189" s="72"/>
      <c r="E189" s="75" t="s">
        <v>570</v>
      </c>
      <c r="F189" s="59" t="s">
        <v>571</v>
      </c>
      <c r="G189" s="95"/>
    </row>
    <row r="190" ht="19.5" customHeight="1">
      <c r="A190" s="77"/>
      <c r="B190" s="82">
        <v>46052.0</v>
      </c>
      <c r="C190" s="72">
        <v>20400.0</v>
      </c>
      <c r="D190" s="72"/>
      <c r="E190" s="75" t="s">
        <v>338</v>
      </c>
      <c r="F190" s="59" t="s">
        <v>573</v>
      </c>
      <c r="G190" s="95"/>
    </row>
    <row r="191" ht="19.5" customHeight="1">
      <c r="A191" s="77"/>
      <c r="B191" s="82">
        <v>46055.0</v>
      </c>
      <c r="C191" s="72">
        <v>14500.0</v>
      </c>
      <c r="D191" s="72"/>
      <c r="E191" s="75" t="s">
        <v>577</v>
      </c>
      <c r="F191" s="59" t="s">
        <v>578</v>
      </c>
      <c r="G191" s="95"/>
    </row>
    <row r="192" ht="19.5" customHeight="1">
      <c r="A192" s="77"/>
      <c r="B192" s="82">
        <v>46055.0</v>
      </c>
      <c r="C192" s="72">
        <v>130906.9</v>
      </c>
      <c r="D192" s="72"/>
      <c r="E192" s="75" t="s">
        <v>338</v>
      </c>
      <c r="F192" s="59" t="s">
        <v>580</v>
      </c>
      <c r="G192" s="95"/>
    </row>
    <row r="193" ht="19.5" customHeight="1">
      <c r="A193" s="77"/>
      <c r="B193" s="82">
        <v>46056.0</v>
      </c>
      <c r="C193" s="72">
        <v>16650.0</v>
      </c>
      <c r="D193" s="72"/>
      <c r="E193" s="75" t="s">
        <v>577</v>
      </c>
      <c r="F193" s="59" t="s">
        <v>578</v>
      </c>
      <c r="G193" s="95"/>
    </row>
    <row r="194" ht="19.5" customHeight="1">
      <c r="A194" s="77"/>
      <c r="B194" s="82">
        <v>46056.0</v>
      </c>
      <c r="C194" s="72">
        <v>20650.0</v>
      </c>
      <c r="D194" s="72"/>
      <c r="E194" s="75" t="s">
        <v>577</v>
      </c>
      <c r="F194" s="75" t="s">
        <v>578</v>
      </c>
      <c r="G194" s="80"/>
    </row>
    <row r="195" ht="19.5" customHeight="1">
      <c r="A195" s="77"/>
      <c r="B195" s="82">
        <v>46056.0</v>
      </c>
      <c r="C195" s="72">
        <v>35200.0</v>
      </c>
      <c r="D195" s="72"/>
      <c r="E195" s="75" t="s">
        <v>577</v>
      </c>
      <c r="F195" s="75" t="s">
        <v>586</v>
      </c>
      <c r="G195" s="80"/>
    </row>
    <row r="196" ht="19.5" customHeight="1">
      <c r="A196" s="77"/>
      <c r="B196" s="82">
        <v>46056.0</v>
      </c>
      <c r="C196" s="72">
        <v>35000.0</v>
      </c>
      <c r="D196" s="72"/>
      <c r="E196" s="75" t="s">
        <v>588</v>
      </c>
      <c r="F196" s="75" t="s">
        <v>589</v>
      </c>
      <c r="G196" s="80"/>
    </row>
    <row r="197" ht="19.5" customHeight="1">
      <c r="A197" s="77"/>
      <c r="B197" s="82">
        <v>46057.0</v>
      </c>
      <c r="C197" s="72">
        <v>5800.0</v>
      </c>
      <c r="D197" s="72"/>
      <c r="E197" s="75" t="s">
        <v>390</v>
      </c>
      <c r="F197" s="75" t="s">
        <v>591</v>
      </c>
      <c r="G197" s="80"/>
    </row>
    <row r="198" ht="19.5" customHeight="1">
      <c r="A198" s="77"/>
      <c r="B198" s="82">
        <v>46057.0</v>
      </c>
      <c r="C198" s="72">
        <v>18000.0</v>
      </c>
      <c r="D198" s="72"/>
      <c r="E198" s="75" t="s">
        <v>390</v>
      </c>
      <c r="F198" s="75" t="s">
        <v>591</v>
      </c>
      <c r="G198" s="80"/>
    </row>
    <row r="199" ht="19.5" customHeight="1">
      <c r="A199" s="77"/>
      <c r="B199" s="82">
        <v>46059.0</v>
      </c>
      <c r="C199" s="72">
        <v>8800.0</v>
      </c>
      <c r="D199" s="72"/>
      <c r="E199" s="75" t="s">
        <v>577</v>
      </c>
      <c r="F199" s="75" t="s">
        <v>578</v>
      </c>
      <c r="G199" s="80"/>
    </row>
    <row r="200" ht="19.5" customHeight="1">
      <c r="A200" s="77"/>
      <c r="B200" s="82">
        <v>46060.0</v>
      </c>
      <c r="C200" s="72">
        <v>29200.0</v>
      </c>
      <c r="D200" s="72"/>
      <c r="E200" s="75" t="s">
        <v>566</v>
      </c>
      <c r="F200" s="75" t="s">
        <v>586</v>
      </c>
      <c r="G200" s="80"/>
    </row>
    <row r="201" ht="19.5" customHeight="1">
      <c r="A201" s="77"/>
      <c r="B201" s="82">
        <v>46060.0</v>
      </c>
      <c r="C201" s="72">
        <v>118055.07</v>
      </c>
      <c r="D201" s="72"/>
      <c r="E201" s="75" t="s">
        <v>596</v>
      </c>
      <c r="F201" s="75" t="s">
        <v>580</v>
      </c>
      <c r="G201" s="80"/>
    </row>
    <row r="202" ht="19.5" customHeight="1">
      <c r="A202" s="77"/>
      <c r="B202" s="82">
        <v>46062.0</v>
      </c>
      <c r="C202" s="72">
        <v>5200.0</v>
      </c>
      <c r="D202" s="72"/>
      <c r="E202" s="75" t="s">
        <v>566</v>
      </c>
      <c r="F202" s="75" t="s">
        <v>578</v>
      </c>
      <c r="G202" s="80"/>
    </row>
    <row r="203" ht="19.5" customHeight="1">
      <c r="A203" s="77"/>
      <c r="B203" s="82">
        <v>46062.0</v>
      </c>
      <c r="C203" s="72">
        <v>12600.0</v>
      </c>
      <c r="D203" s="72"/>
      <c r="E203" s="75" t="s">
        <v>577</v>
      </c>
      <c r="F203" s="75" t="s">
        <v>578</v>
      </c>
      <c r="G203" s="80"/>
    </row>
    <row r="204" ht="19.5" customHeight="1">
      <c r="A204" s="77"/>
      <c r="B204" s="109">
        <v>46063.0</v>
      </c>
      <c r="C204" s="58">
        <v>24121.68</v>
      </c>
      <c r="D204" s="58"/>
      <c r="E204" s="59" t="s">
        <v>604</v>
      </c>
      <c r="F204" s="59" t="s">
        <v>605</v>
      </c>
      <c r="G204" s="95"/>
    </row>
    <row r="205" ht="19.5" customHeight="1">
      <c r="A205" s="77"/>
      <c r="B205" s="109">
        <v>46065.0</v>
      </c>
      <c r="C205" s="58">
        <v>7200.0</v>
      </c>
      <c r="D205" s="58"/>
      <c r="E205" s="59" t="s">
        <v>32</v>
      </c>
      <c r="F205" s="59" t="s">
        <v>606</v>
      </c>
      <c r="G205" s="95"/>
    </row>
    <row r="206" ht="19.5" customHeight="1">
      <c r="A206" s="77"/>
      <c r="B206" s="109">
        <v>46065.0</v>
      </c>
      <c r="C206" s="58">
        <v>13700.0</v>
      </c>
      <c r="D206" s="58"/>
      <c r="E206" s="59" t="s">
        <v>609</v>
      </c>
      <c r="F206" s="59" t="s">
        <v>610</v>
      </c>
      <c r="G206" s="95"/>
    </row>
    <row r="207" ht="19.5" customHeight="1">
      <c r="A207" s="77"/>
      <c r="B207" s="109">
        <v>46065.0</v>
      </c>
      <c r="C207" s="58">
        <v>11400.0</v>
      </c>
      <c r="D207" s="58"/>
      <c r="E207" s="59" t="s">
        <v>613</v>
      </c>
      <c r="F207" s="59" t="s">
        <v>615</v>
      </c>
      <c r="G207" s="95"/>
    </row>
    <row r="208" ht="19.5" customHeight="1">
      <c r="A208" s="77"/>
      <c r="B208" s="109">
        <v>46066.0</v>
      </c>
      <c r="C208" s="58">
        <v>270.0</v>
      </c>
      <c r="D208" s="58"/>
      <c r="E208" s="59" t="s">
        <v>616</v>
      </c>
      <c r="F208" s="59"/>
      <c r="G208" s="95"/>
    </row>
    <row r="209" ht="19.5" customHeight="1">
      <c r="A209" s="77"/>
      <c r="B209" s="109">
        <v>46066.0</v>
      </c>
      <c r="C209" s="58">
        <v>5400.0</v>
      </c>
      <c r="D209" s="58"/>
      <c r="E209" s="59" t="s">
        <v>438</v>
      </c>
      <c r="F209" s="59" t="s">
        <v>618</v>
      </c>
      <c r="G209" s="95"/>
    </row>
    <row r="210" ht="19.5" customHeight="1">
      <c r="A210" s="77"/>
      <c r="B210" s="109">
        <v>46066.0</v>
      </c>
      <c r="C210" s="58">
        <v>120008.7</v>
      </c>
      <c r="D210" s="58"/>
      <c r="E210" s="59" t="s">
        <v>619</v>
      </c>
      <c r="F210" s="59" t="s">
        <v>620</v>
      </c>
      <c r="G210" s="95"/>
    </row>
    <row r="211" ht="19.5" customHeight="1">
      <c r="A211" s="77"/>
      <c r="B211" s="109">
        <v>46067.0</v>
      </c>
      <c r="C211" s="58">
        <v>28500.0</v>
      </c>
      <c r="D211" s="58"/>
      <c r="E211" s="59" t="s">
        <v>438</v>
      </c>
      <c r="F211" s="59" t="s">
        <v>618</v>
      </c>
      <c r="G211" s="95"/>
    </row>
    <row r="212" ht="19.5" customHeight="1">
      <c r="A212" s="77"/>
      <c r="B212" s="109">
        <v>46067.0</v>
      </c>
      <c r="C212" s="58">
        <v>15000.0</v>
      </c>
      <c r="D212" s="58"/>
      <c r="E212" s="59" t="s">
        <v>298</v>
      </c>
      <c r="F212" s="59"/>
      <c r="G212" s="95"/>
    </row>
    <row r="213" ht="19.5" customHeight="1">
      <c r="A213" s="77"/>
      <c r="B213" s="109">
        <v>46069.0</v>
      </c>
      <c r="C213" s="58">
        <v>5300.0</v>
      </c>
      <c r="D213" s="58"/>
      <c r="E213" s="59" t="s">
        <v>131</v>
      </c>
      <c r="F213" s="59" t="s">
        <v>626</v>
      </c>
      <c r="G213" s="95"/>
    </row>
    <row r="214" ht="19.5" customHeight="1">
      <c r="A214" s="77"/>
      <c r="B214" s="109">
        <v>46072.0</v>
      </c>
      <c r="C214" s="58">
        <v>21279.0</v>
      </c>
      <c r="D214" s="58"/>
      <c r="E214" s="59" t="s">
        <v>298</v>
      </c>
      <c r="F214" s="59"/>
      <c r="G214" s="95"/>
    </row>
    <row r="215" ht="19.5" customHeight="1">
      <c r="A215" s="77"/>
      <c r="B215" s="109">
        <v>46073.0</v>
      </c>
      <c r="C215" s="58">
        <v>3800.0</v>
      </c>
      <c r="D215" s="58"/>
      <c r="E215" s="59" t="s">
        <v>629</v>
      </c>
      <c r="F215" s="59" t="s">
        <v>630</v>
      </c>
      <c r="G215" s="95"/>
    </row>
    <row r="216" ht="19.5" customHeight="1">
      <c r="A216" s="77"/>
      <c r="B216" s="109">
        <v>46073.0</v>
      </c>
      <c r="C216" s="58">
        <v>13700.0</v>
      </c>
      <c r="D216" s="58"/>
      <c r="E216" s="59" t="s">
        <v>633</v>
      </c>
      <c r="F216" s="59" t="s">
        <v>626</v>
      </c>
      <c r="G216" s="95"/>
    </row>
    <row r="217" ht="19.5" customHeight="1">
      <c r="A217" s="77"/>
      <c r="B217" s="109">
        <v>46076.0</v>
      </c>
      <c r="C217" s="58">
        <v>6320.0</v>
      </c>
      <c r="D217" s="58"/>
      <c r="E217" s="59" t="s">
        <v>635</v>
      </c>
      <c r="F217" s="59"/>
      <c r="G217" s="95"/>
    </row>
    <row r="218" ht="19.5" customHeight="1">
      <c r="A218" s="77"/>
      <c r="B218" s="109">
        <v>46076.0</v>
      </c>
      <c r="C218" s="58">
        <v>123008.0</v>
      </c>
      <c r="D218" s="58"/>
      <c r="E218" s="59" t="s">
        <v>374</v>
      </c>
      <c r="F218" s="59" t="s">
        <v>637</v>
      </c>
      <c r="G218" s="95"/>
    </row>
    <row r="219" ht="19.5" customHeight="1">
      <c r="A219" s="77"/>
      <c r="B219" s="109">
        <v>46076.0</v>
      </c>
      <c r="C219" s="58">
        <v>20300.0</v>
      </c>
      <c r="D219" s="58"/>
      <c r="E219" s="59" t="s">
        <v>613</v>
      </c>
      <c r="F219" s="59" t="s">
        <v>615</v>
      </c>
      <c r="G219" s="95"/>
    </row>
    <row r="220" ht="19.5" customHeight="1">
      <c r="A220" s="77"/>
      <c r="B220" s="109">
        <v>46077.0</v>
      </c>
      <c r="C220" s="58">
        <v>10100.0</v>
      </c>
      <c r="D220" s="58"/>
      <c r="E220" s="59" t="s">
        <v>609</v>
      </c>
      <c r="F220" s="59" t="s">
        <v>642</v>
      </c>
      <c r="G220" s="95"/>
    </row>
    <row r="221" ht="19.5" customHeight="1">
      <c r="A221" s="77"/>
      <c r="B221" s="109">
        <v>46078.0</v>
      </c>
      <c r="C221" s="58">
        <v>9900.0</v>
      </c>
      <c r="D221" s="58"/>
      <c r="E221" s="59" t="s">
        <v>644</v>
      </c>
      <c r="F221" s="59" t="s">
        <v>645</v>
      </c>
      <c r="G221" s="95"/>
    </row>
    <row r="222" ht="19.5" customHeight="1">
      <c r="A222" s="77"/>
      <c r="B222" s="109">
        <v>46078.0</v>
      </c>
      <c r="C222" s="58">
        <v>12500.0</v>
      </c>
      <c r="D222" s="58"/>
      <c r="E222" s="59" t="s">
        <v>644</v>
      </c>
      <c r="F222" s="59" t="s">
        <v>648</v>
      </c>
      <c r="G222" s="95"/>
    </row>
    <row r="223" ht="19.5" customHeight="1">
      <c r="A223" s="77"/>
      <c r="B223" s="109">
        <v>46078.0</v>
      </c>
      <c r="C223" s="58">
        <v>3200.0</v>
      </c>
      <c r="D223" s="58"/>
      <c r="E223" s="59" t="s">
        <v>650</v>
      </c>
      <c r="F223" s="59" t="s">
        <v>651</v>
      </c>
      <c r="G223" s="95"/>
    </row>
    <row r="224" ht="30.0" customHeight="1">
      <c r="A224" s="124" t="s">
        <v>163</v>
      </c>
      <c r="B224" s="125"/>
      <c r="C224" s="152">
        <f>SUM(C186:C223)</f>
        <v>992069.35</v>
      </c>
      <c r="D224" s="152">
        <f>SUM(D187:D223)</f>
        <v>0</v>
      </c>
      <c r="E224" s="128"/>
      <c r="F224" s="130"/>
      <c r="G224" s="104"/>
    </row>
    <row r="225" ht="4.5" customHeight="1">
      <c r="A225" s="153"/>
      <c r="B225" s="133"/>
      <c r="C225" s="133"/>
      <c r="D225" s="133"/>
      <c r="E225" s="133"/>
      <c r="F225" s="133"/>
      <c r="G225" s="125"/>
    </row>
    <row r="226" ht="19.5" customHeight="1">
      <c r="A226" s="156" t="s">
        <v>17</v>
      </c>
      <c r="B226" s="163">
        <v>46051.0</v>
      </c>
      <c r="C226" s="164">
        <v>30000.0</v>
      </c>
      <c r="D226" s="155"/>
      <c r="E226" s="158" t="s">
        <v>60</v>
      </c>
      <c r="F226" s="159"/>
      <c r="G226" s="159"/>
    </row>
    <row r="227" ht="19.5" customHeight="1">
      <c r="A227" s="167"/>
      <c r="B227" s="168">
        <v>46054.0</v>
      </c>
      <c r="C227" s="94">
        <v>50000.0</v>
      </c>
      <c r="D227" s="72"/>
      <c r="E227" s="75" t="s">
        <v>588</v>
      </c>
      <c r="F227" s="80" t="s">
        <v>661</v>
      </c>
      <c r="G227" s="80"/>
    </row>
    <row r="228" ht="19.5" customHeight="1">
      <c r="A228" s="167"/>
      <c r="B228" s="168">
        <v>46056.0</v>
      </c>
      <c r="C228" s="94">
        <v>40511.0</v>
      </c>
      <c r="D228" s="72"/>
      <c r="E228" s="75" t="s">
        <v>664</v>
      </c>
      <c r="F228" s="80" t="s">
        <v>661</v>
      </c>
      <c r="G228" s="80"/>
    </row>
    <row r="229" ht="19.5" customHeight="1">
      <c r="A229" s="167"/>
      <c r="B229" s="168">
        <v>46058.0</v>
      </c>
      <c r="C229" s="94">
        <v>48000.0</v>
      </c>
      <c r="D229" s="72"/>
      <c r="E229" s="75" t="s">
        <v>60</v>
      </c>
      <c r="F229" s="80" t="s">
        <v>661</v>
      </c>
      <c r="G229" s="80"/>
    </row>
    <row r="230" ht="19.5" customHeight="1">
      <c r="A230" s="167"/>
      <c r="B230" s="168">
        <v>46059.0</v>
      </c>
      <c r="C230" s="94">
        <v>40000.0</v>
      </c>
      <c r="D230" s="72"/>
      <c r="E230" s="75" t="s">
        <v>664</v>
      </c>
      <c r="F230" s="80" t="s">
        <v>661</v>
      </c>
      <c r="G230" s="80"/>
    </row>
    <row r="231" ht="19.5" customHeight="1">
      <c r="A231" s="167"/>
      <c r="B231" s="168">
        <v>46063.0</v>
      </c>
      <c r="C231" s="94">
        <v>126000.0</v>
      </c>
      <c r="D231" s="72"/>
      <c r="E231" s="75" t="s">
        <v>60</v>
      </c>
      <c r="F231" s="80" t="s">
        <v>661</v>
      </c>
      <c r="G231" s="80"/>
    </row>
    <row r="232" ht="19.5" customHeight="1">
      <c r="A232" s="167"/>
      <c r="B232" s="168">
        <v>46065.0</v>
      </c>
      <c r="C232" s="94">
        <v>148000.0</v>
      </c>
      <c r="D232" s="72"/>
      <c r="E232" s="75" t="s">
        <v>60</v>
      </c>
      <c r="F232" s="80" t="s">
        <v>671</v>
      </c>
      <c r="G232" s="80"/>
    </row>
    <row r="233" ht="19.5" customHeight="1">
      <c r="A233" s="167"/>
      <c r="B233" s="168">
        <v>46066.0</v>
      </c>
      <c r="C233" s="94">
        <v>52375.0</v>
      </c>
      <c r="D233" s="72"/>
      <c r="E233" s="75" t="s">
        <v>418</v>
      </c>
      <c r="F233" s="80" t="s">
        <v>661</v>
      </c>
      <c r="G233" s="80"/>
    </row>
    <row r="234" ht="19.5" customHeight="1">
      <c r="A234" s="167"/>
      <c r="B234" s="168">
        <v>46067.0</v>
      </c>
      <c r="C234" s="94">
        <v>137000.0</v>
      </c>
      <c r="D234" s="72"/>
      <c r="E234" s="75" t="s">
        <v>153</v>
      </c>
      <c r="F234" s="80"/>
      <c r="G234" s="80"/>
    </row>
    <row r="235" ht="19.5" customHeight="1">
      <c r="A235" s="167"/>
      <c r="B235" s="168">
        <v>46070.0</v>
      </c>
      <c r="C235" s="94">
        <v>19000.0</v>
      </c>
      <c r="D235" s="72"/>
      <c r="E235" s="75" t="s">
        <v>664</v>
      </c>
      <c r="F235" s="80"/>
      <c r="G235" s="80"/>
    </row>
    <row r="236" ht="19.5" customHeight="1">
      <c r="A236" s="167"/>
      <c r="B236" s="168">
        <v>46070.0</v>
      </c>
      <c r="C236" s="94">
        <v>81500.0</v>
      </c>
      <c r="D236" s="72"/>
      <c r="E236" s="75" t="s">
        <v>60</v>
      </c>
      <c r="F236" s="80"/>
      <c r="G236" s="80"/>
    </row>
    <row r="237" ht="19.5" customHeight="1">
      <c r="A237" s="167"/>
      <c r="B237" s="168">
        <v>46071.0</v>
      </c>
      <c r="C237" s="94">
        <v>72000.0</v>
      </c>
      <c r="D237" s="72"/>
      <c r="E237" s="75" t="s">
        <v>664</v>
      </c>
      <c r="F237" s="80"/>
      <c r="G237" s="80"/>
    </row>
    <row r="238" ht="19.5" customHeight="1">
      <c r="A238" s="167"/>
      <c r="B238" s="168">
        <v>46071.0</v>
      </c>
      <c r="C238" s="94">
        <v>74108.0</v>
      </c>
      <c r="D238" s="72"/>
      <c r="E238" s="75" t="s">
        <v>664</v>
      </c>
      <c r="F238" s="80"/>
      <c r="G238" s="80"/>
    </row>
    <row r="239" ht="19.5" customHeight="1">
      <c r="A239" s="167"/>
      <c r="B239" s="168">
        <v>46073.0</v>
      </c>
      <c r="C239" s="94">
        <v>64010.67</v>
      </c>
      <c r="D239" s="72"/>
      <c r="E239" s="75" t="s">
        <v>175</v>
      </c>
      <c r="F239" s="80"/>
      <c r="G239" s="80"/>
    </row>
    <row r="240" ht="19.5" customHeight="1">
      <c r="A240" s="167"/>
      <c r="B240" s="168">
        <v>46073.0</v>
      </c>
      <c r="C240" s="94">
        <v>55000.0</v>
      </c>
      <c r="D240" s="72"/>
      <c r="E240" s="75" t="s">
        <v>664</v>
      </c>
      <c r="F240" s="80"/>
      <c r="G240" s="80"/>
    </row>
    <row r="241" ht="19.5" customHeight="1">
      <c r="A241" s="167"/>
      <c r="B241" s="168">
        <v>46073.0</v>
      </c>
      <c r="C241" s="94">
        <v>37260.0</v>
      </c>
      <c r="D241" s="72"/>
      <c r="E241" s="75" t="s">
        <v>664</v>
      </c>
      <c r="F241" s="80"/>
      <c r="G241" s="80"/>
    </row>
    <row r="242" ht="19.5" customHeight="1">
      <c r="A242" s="167"/>
      <c r="B242" s="168">
        <v>46075.0</v>
      </c>
      <c r="C242" s="94">
        <v>66557.62</v>
      </c>
      <c r="D242" s="72"/>
      <c r="E242" s="75" t="s">
        <v>679</v>
      </c>
      <c r="F242" s="80"/>
      <c r="G242" s="80"/>
    </row>
    <row r="243" ht="19.5" customHeight="1">
      <c r="A243" s="167"/>
      <c r="B243" s="168">
        <v>46076.0</v>
      </c>
      <c r="C243" s="94">
        <v>44000.0</v>
      </c>
      <c r="D243" s="72"/>
      <c r="E243" s="75" t="s">
        <v>682</v>
      </c>
      <c r="F243" s="80"/>
      <c r="G243" s="80"/>
    </row>
    <row r="244" ht="19.5" customHeight="1">
      <c r="A244" s="167"/>
      <c r="B244" s="168">
        <v>46076.0</v>
      </c>
      <c r="C244" s="94">
        <v>116380.0</v>
      </c>
      <c r="D244" s="72"/>
      <c r="E244" s="75" t="s">
        <v>684</v>
      </c>
      <c r="F244" s="80"/>
      <c r="G244" s="80"/>
    </row>
    <row r="245" ht="19.5" customHeight="1">
      <c r="A245" s="167"/>
      <c r="B245" s="168">
        <v>46076.0</v>
      </c>
      <c r="C245" s="94">
        <v>11796.69</v>
      </c>
      <c r="D245" s="72"/>
      <c r="E245" s="75" t="s">
        <v>685</v>
      </c>
      <c r="F245" s="80"/>
      <c r="G245" s="80"/>
    </row>
    <row r="246" ht="19.5" customHeight="1">
      <c r="A246" s="167"/>
      <c r="B246" s="168">
        <v>46077.0</v>
      </c>
      <c r="C246" s="94">
        <v>194387.5</v>
      </c>
      <c r="D246" s="72"/>
      <c r="E246" s="75" t="s">
        <v>685</v>
      </c>
      <c r="F246" s="80"/>
      <c r="G246" s="80"/>
    </row>
    <row r="247" ht="19.5" customHeight="1">
      <c r="A247" s="167"/>
      <c r="B247" s="168">
        <v>46077.0</v>
      </c>
      <c r="C247" s="94">
        <v>7864.46</v>
      </c>
      <c r="D247" s="72"/>
      <c r="E247" s="75" t="s">
        <v>685</v>
      </c>
      <c r="F247" s="80"/>
      <c r="G247" s="80"/>
    </row>
    <row r="248" ht="19.5" customHeight="1">
      <c r="A248" s="167"/>
      <c r="B248" s="168">
        <v>46077.0</v>
      </c>
      <c r="C248" s="94">
        <v>152554.42</v>
      </c>
      <c r="D248" s="72"/>
      <c r="E248" s="75" t="s">
        <v>685</v>
      </c>
      <c r="F248" s="80"/>
      <c r="G248" s="80"/>
    </row>
    <row r="249" ht="19.5" customHeight="1">
      <c r="A249" s="167"/>
      <c r="B249" s="168">
        <v>46078.0</v>
      </c>
      <c r="C249" s="94">
        <v>11796.69</v>
      </c>
      <c r="D249" s="58"/>
      <c r="E249" s="75" t="s">
        <v>685</v>
      </c>
      <c r="F249" s="80"/>
      <c r="G249" s="80"/>
    </row>
    <row r="250" ht="30.0" customHeight="1">
      <c r="A250" s="124" t="s">
        <v>163</v>
      </c>
      <c r="B250" s="125"/>
      <c r="C250" s="152">
        <f t="shared" ref="C250:D250" si="6">SUM(C226:C249)</f>
        <v>1680102.05</v>
      </c>
      <c r="D250" s="152">
        <f t="shared" si="6"/>
        <v>0</v>
      </c>
      <c r="E250" s="128"/>
      <c r="F250" s="130"/>
      <c r="G250" s="104"/>
    </row>
    <row r="251" ht="4.5" customHeight="1">
      <c r="A251" s="153"/>
      <c r="B251" s="133"/>
      <c r="C251" s="133"/>
      <c r="D251" s="195"/>
      <c r="E251" s="173"/>
      <c r="F251" s="173"/>
      <c r="G251" s="173"/>
    </row>
    <row r="252" ht="30.0" customHeight="1">
      <c r="A252" s="124" t="s">
        <v>496</v>
      </c>
      <c r="B252" s="125"/>
      <c r="C252" s="152">
        <f>+C105+C133+C136+C184+C224+C250</f>
        <v>16353630.89</v>
      </c>
      <c r="D252" s="152">
        <f>+D105+D133+D136+D184+D224</f>
        <v>22.86</v>
      </c>
      <c r="E252" s="102"/>
      <c r="F252" s="103"/>
      <c r="G252" s="104"/>
    </row>
    <row r="253" ht="19.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9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104"/>
    <mergeCell ref="A105:B105"/>
    <mergeCell ref="A106:G106"/>
    <mergeCell ref="A138:A183"/>
    <mergeCell ref="A186:A223"/>
    <mergeCell ref="A224:B224"/>
    <mergeCell ref="A226:A249"/>
    <mergeCell ref="A250:B250"/>
    <mergeCell ref="A252:B252"/>
    <mergeCell ref="A225:G225"/>
    <mergeCell ref="A251:D251"/>
    <mergeCell ref="A107:A132"/>
    <mergeCell ref="A133:B133"/>
    <mergeCell ref="A134:G134"/>
    <mergeCell ref="A136:B136"/>
    <mergeCell ref="A137:G137"/>
    <mergeCell ref="A184:B184"/>
    <mergeCell ref="A185:G185"/>
  </mergeCells>
  <hyperlinks>
    <hyperlink r:id="rId1" ref="E43"/>
    <hyperlink r:id="rId2" ref="E44"/>
    <hyperlink r:id="rId3" ref="E84"/>
    <hyperlink r:id="rId4" ref="E151"/>
    <hyperlink r:id="rId5" ref="E153"/>
    <hyperlink r:id="rId6" ref="E164"/>
    <hyperlink r:id="rId7" ref="E165"/>
  </hyperlink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5.5"/>
    <col customWidth="1" min="7" max="7" width="19.38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>
      <c r="A6" s="1" t="s">
        <v>0</v>
      </c>
      <c r="B6" s="2"/>
      <c r="C6" s="3"/>
      <c r="D6" s="6" t="s">
        <v>1</v>
      </c>
      <c r="E6" s="5"/>
      <c r="F6" s="8" t="s">
        <v>3</v>
      </c>
      <c r="G6" s="9"/>
    </row>
    <row r="7">
      <c r="A7" s="10"/>
      <c r="B7" s="11"/>
      <c r="C7" s="12"/>
      <c r="D7" s="13" t="s">
        <v>5</v>
      </c>
      <c r="E7" s="15"/>
      <c r="F7" s="16">
        <v>2026.0</v>
      </c>
      <c r="G7" s="17"/>
    </row>
    <row r="8">
      <c r="A8" s="19" t="s">
        <v>7</v>
      </c>
      <c r="B8" s="21" t="s">
        <v>8</v>
      </c>
      <c r="C8" s="23" t="s">
        <v>9</v>
      </c>
      <c r="D8" s="13" t="s">
        <v>9</v>
      </c>
      <c r="E8" s="24"/>
      <c r="F8" s="25">
        <v>2.503141846E7</v>
      </c>
      <c r="G8" s="17"/>
    </row>
    <row r="9" ht="19.5" customHeight="1">
      <c r="A9" s="26" t="s">
        <v>10</v>
      </c>
      <c r="B9" s="28">
        <f>SUM(C131)</f>
        <v>12027505.85</v>
      </c>
      <c r="C9" s="31">
        <f t="shared" ref="C9:C10" si="1">SUM(B9)</f>
        <v>12027505.85</v>
      </c>
      <c r="D9" s="36" t="s">
        <v>11</v>
      </c>
      <c r="E9" s="33"/>
      <c r="F9" s="33"/>
      <c r="G9" s="35"/>
    </row>
    <row r="10" ht="19.5" customHeight="1">
      <c r="A10" s="26" t="s">
        <v>12</v>
      </c>
      <c r="B10" s="28">
        <f>SUM(D131)</f>
        <v>14.97</v>
      </c>
      <c r="C10" s="31">
        <f t="shared" si="1"/>
        <v>14.97</v>
      </c>
      <c r="D10" s="37"/>
      <c r="G10" s="38"/>
    </row>
    <row r="11" ht="19.5" customHeight="1">
      <c r="A11" s="26" t="s">
        <v>13</v>
      </c>
      <c r="B11" s="28">
        <v>1509917.38</v>
      </c>
      <c r="C11" s="40">
        <f>SUM(B11+B12)</f>
        <v>3582085.63</v>
      </c>
      <c r="D11" s="37"/>
      <c r="G11" s="38"/>
    </row>
    <row r="12" ht="19.5" customHeight="1">
      <c r="A12" s="26" t="s">
        <v>14</v>
      </c>
      <c r="B12" s="28">
        <v>2072168.25</v>
      </c>
      <c r="C12" s="42"/>
      <c r="D12" s="37"/>
      <c r="G12" s="38"/>
    </row>
    <row r="13" ht="19.5" customHeight="1">
      <c r="A13" s="26" t="s">
        <v>15</v>
      </c>
      <c r="B13" s="28"/>
      <c r="C13" s="40"/>
      <c r="D13" s="37"/>
      <c r="G13" s="38"/>
    </row>
    <row r="14" ht="19.5" customHeight="1">
      <c r="A14" s="26" t="s">
        <v>16</v>
      </c>
      <c r="B14" s="28"/>
      <c r="C14" s="42"/>
      <c r="D14" s="37"/>
      <c r="G14" s="38"/>
    </row>
    <row r="15" ht="19.5" customHeight="1">
      <c r="A15" s="26" t="s">
        <v>17</v>
      </c>
      <c r="B15" s="28">
        <f>SUM(C347)</f>
        <v>3363150.33</v>
      </c>
      <c r="C15" s="31">
        <f t="shared" ref="C15:C17" si="2">SUM(B15)</f>
        <v>3363150.33</v>
      </c>
      <c r="D15" s="37"/>
      <c r="G15" s="38"/>
    </row>
    <row r="16" ht="19.5" customHeight="1">
      <c r="A16" s="26" t="s">
        <v>18</v>
      </c>
      <c r="B16" s="28">
        <f>SUM(C262)</f>
        <v>3261969.62</v>
      </c>
      <c r="C16" s="31">
        <f t="shared" si="2"/>
        <v>3261969.62</v>
      </c>
      <c r="D16" s="37"/>
      <c r="G16" s="38"/>
    </row>
    <row r="17" ht="19.5" customHeight="1">
      <c r="A17" s="26" t="s">
        <v>19</v>
      </c>
      <c r="B17" s="28">
        <f>SUM(C182)</f>
        <v>990933.33</v>
      </c>
      <c r="C17" s="31">
        <f t="shared" si="2"/>
        <v>990933.33</v>
      </c>
      <c r="D17" s="45"/>
      <c r="E17" s="46"/>
      <c r="F17" s="46"/>
      <c r="G17" s="47"/>
    </row>
    <row r="18" ht="4.5" customHeight="1">
      <c r="A18" s="48"/>
      <c r="B18" s="49"/>
      <c r="C18" s="49"/>
      <c r="D18" s="49"/>
      <c r="E18" s="49"/>
      <c r="F18" s="49"/>
      <c r="G18" s="50"/>
    </row>
    <row r="19" ht="24.75" customHeight="1">
      <c r="A19" s="51" t="s">
        <v>21</v>
      </c>
      <c r="B19" s="51" t="s">
        <v>22</v>
      </c>
      <c r="C19" s="51" t="s">
        <v>23</v>
      </c>
      <c r="D19" s="51" t="s">
        <v>24</v>
      </c>
      <c r="E19" s="51" t="s">
        <v>25</v>
      </c>
      <c r="F19" s="51" t="s">
        <v>26</v>
      </c>
      <c r="G19" s="51" t="s">
        <v>27</v>
      </c>
    </row>
    <row r="20" ht="19.5" customHeight="1">
      <c r="A20" s="64" t="s">
        <v>28</v>
      </c>
      <c r="B20" s="63">
        <v>46080.0</v>
      </c>
      <c r="C20" s="69">
        <v>6600.0</v>
      </c>
      <c r="D20" s="68"/>
      <c r="E20" s="71" t="s">
        <v>32</v>
      </c>
      <c r="F20" s="71"/>
      <c r="G20" s="74"/>
    </row>
    <row r="21" ht="19.5" customHeight="1">
      <c r="A21" s="76"/>
      <c r="B21" s="63">
        <v>46081.0</v>
      </c>
      <c r="C21" s="69">
        <v>44258.0</v>
      </c>
      <c r="D21" s="68"/>
      <c r="E21" s="71" t="s">
        <v>38</v>
      </c>
      <c r="F21" s="71"/>
      <c r="G21" s="74"/>
    </row>
    <row r="22" ht="19.5" customHeight="1">
      <c r="A22" s="76"/>
      <c r="B22" s="63">
        <v>46081.0</v>
      </c>
      <c r="C22" s="69">
        <v>750.0</v>
      </c>
      <c r="D22" s="68"/>
      <c r="E22" s="71" t="s">
        <v>42</v>
      </c>
      <c r="F22" s="71"/>
      <c r="G22" s="74"/>
    </row>
    <row r="23" ht="19.5" customHeight="1">
      <c r="A23" s="76"/>
      <c r="B23" s="63">
        <v>46081.0</v>
      </c>
      <c r="C23" s="69">
        <v>27600.0</v>
      </c>
      <c r="D23" s="68"/>
      <c r="E23" s="71" t="s">
        <v>46</v>
      </c>
      <c r="F23" s="70"/>
      <c r="G23" s="74"/>
    </row>
    <row r="24" ht="19.5" customHeight="1">
      <c r="A24" s="76"/>
      <c r="B24" s="63">
        <v>46081.0</v>
      </c>
      <c r="C24" s="69">
        <v>9700.0</v>
      </c>
      <c r="D24" s="68"/>
      <c r="E24" s="71" t="s">
        <v>41</v>
      </c>
      <c r="F24" s="71"/>
      <c r="G24" s="74"/>
    </row>
    <row r="25" ht="19.5" customHeight="1">
      <c r="A25" s="76"/>
      <c r="B25" s="63">
        <v>46082.0</v>
      </c>
      <c r="C25" s="69">
        <v>11300.0</v>
      </c>
      <c r="D25" s="68"/>
      <c r="E25" s="71" t="s">
        <v>56</v>
      </c>
      <c r="F25" s="71"/>
      <c r="G25" s="74"/>
    </row>
    <row r="26" ht="19.5" customHeight="1">
      <c r="A26" s="76"/>
      <c r="B26" s="63">
        <v>46082.0</v>
      </c>
      <c r="C26" s="69">
        <v>5500.0</v>
      </c>
      <c r="D26" s="68"/>
      <c r="E26" s="71" t="s">
        <v>56</v>
      </c>
      <c r="F26" s="71"/>
      <c r="G26" s="74"/>
    </row>
    <row r="27" ht="19.5" customHeight="1">
      <c r="A27" s="76"/>
      <c r="B27" s="63">
        <v>46082.0</v>
      </c>
      <c r="C27" s="69">
        <v>23950.0</v>
      </c>
      <c r="D27" s="68"/>
      <c r="E27" s="71" t="s">
        <v>59</v>
      </c>
      <c r="F27" s="71"/>
      <c r="G27" s="74"/>
    </row>
    <row r="28" ht="19.5" customHeight="1">
      <c r="A28" s="76"/>
      <c r="B28" s="63">
        <v>46082.0</v>
      </c>
      <c r="C28" s="69">
        <v>117479.0</v>
      </c>
      <c r="D28" s="68"/>
      <c r="E28" s="71" t="s">
        <v>62</v>
      </c>
      <c r="F28" s="71"/>
      <c r="G28" s="74"/>
    </row>
    <row r="29" ht="19.5" customHeight="1">
      <c r="A29" s="76"/>
      <c r="B29" s="63">
        <v>46082.0</v>
      </c>
      <c r="C29" s="69">
        <v>30448.0</v>
      </c>
      <c r="D29" s="68"/>
      <c r="E29" s="71" t="s">
        <v>64</v>
      </c>
      <c r="F29" s="71"/>
      <c r="G29" s="74"/>
    </row>
    <row r="30" ht="19.5" customHeight="1">
      <c r="A30" s="76"/>
      <c r="B30" s="63">
        <v>46082.0</v>
      </c>
      <c r="C30" s="69">
        <v>55158.0</v>
      </c>
      <c r="D30" s="68"/>
      <c r="E30" s="71" t="s">
        <v>66</v>
      </c>
      <c r="F30" s="70"/>
      <c r="G30" s="74"/>
    </row>
    <row r="31" ht="19.5" customHeight="1">
      <c r="A31" s="76"/>
      <c r="B31" s="63">
        <v>46082.0</v>
      </c>
      <c r="C31" s="69">
        <v>1533493.5</v>
      </c>
      <c r="D31" s="68"/>
      <c r="E31" s="71" t="s">
        <v>70</v>
      </c>
      <c r="F31" s="70"/>
      <c r="G31" s="74"/>
    </row>
    <row r="32" ht="19.5" customHeight="1">
      <c r="A32" s="76"/>
      <c r="B32" s="63">
        <v>46082.0</v>
      </c>
      <c r="C32" s="69">
        <v>125010.0</v>
      </c>
      <c r="D32" s="68"/>
      <c r="E32" s="71" t="s">
        <v>73</v>
      </c>
      <c r="F32" s="71"/>
      <c r="G32" s="74"/>
    </row>
    <row r="33" ht="19.5" customHeight="1">
      <c r="A33" s="76"/>
      <c r="B33" s="63">
        <v>46083.0</v>
      </c>
      <c r="C33" s="69">
        <v>8500.0</v>
      </c>
      <c r="D33" s="68"/>
      <c r="E33" s="71" t="s">
        <v>56</v>
      </c>
      <c r="F33" s="70"/>
      <c r="G33" s="74"/>
    </row>
    <row r="34" ht="19.5" customHeight="1">
      <c r="A34" s="76"/>
      <c r="B34" s="63">
        <v>46083.0</v>
      </c>
      <c r="C34" s="69">
        <v>272515.9</v>
      </c>
      <c r="D34" s="68"/>
      <c r="E34" s="71" t="s">
        <v>77</v>
      </c>
      <c r="F34" s="71"/>
      <c r="G34" s="74"/>
    </row>
    <row r="35" ht="19.5" customHeight="1">
      <c r="A35" s="76"/>
      <c r="B35" s="63">
        <v>46083.0</v>
      </c>
      <c r="C35" s="69">
        <v>950.0</v>
      </c>
      <c r="D35" s="68"/>
      <c r="E35" s="71" t="s">
        <v>42</v>
      </c>
      <c r="F35" s="71"/>
      <c r="G35" s="74"/>
    </row>
    <row r="36" ht="19.5" customHeight="1">
      <c r="A36" s="76"/>
      <c r="B36" s="63">
        <v>46083.0</v>
      </c>
      <c r="C36" s="69">
        <v>70900.0</v>
      </c>
      <c r="D36" s="68"/>
      <c r="E36" s="71" t="s">
        <v>83</v>
      </c>
      <c r="F36" s="71"/>
      <c r="G36" s="74"/>
    </row>
    <row r="37" ht="19.5" customHeight="1">
      <c r="A37" s="76"/>
      <c r="B37" s="63">
        <v>46084.0</v>
      </c>
      <c r="C37" s="69">
        <v>72600.0</v>
      </c>
      <c r="D37" s="68"/>
      <c r="E37" s="71" t="s">
        <v>88</v>
      </c>
      <c r="F37" s="71"/>
      <c r="G37" s="74"/>
    </row>
    <row r="38" ht="19.5" customHeight="1">
      <c r="A38" s="76"/>
      <c r="B38" s="82">
        <v>46084.0</v>
      </c>
      <c r="C38" s="87">
        <v>317008.11</v>
      </c>
      <c r="D38" s="72"/>
      <c r="E38" s="89" t="s">
        <v>95</v>
      </c>
      <c r="F38" s="90" t="s">
        <v>118</v>
      </c>
      <c r="G38" s="80"/>
    </row>
    <row r="39" ht="19.5" customHeight="1">
      <c r="A39" s="76"/>
      <c r="B39" s="63">
        <v>46084.0</v>
      </c>
      <c r="C39" s="69">
        <v>31484.26</v>
      </c>
      <c r="D39" s="68"/>
      <c r="E39" s="71" t="s">
        <v>122</v>
      </c>
      <c r="F39" s="71"/>
      <c r="G39" s="74"/>
    </row>
    <row r="40" ht="19.5" customHeight="1">
      <c r="A40" s="76"/>
      <c r="B40" s="63">
        <v>46084.0</v>
      </c>
      <c r="C40" s="69">
        <v>35342.64</v>
      </c>
      <c r="D40" s="68"/>
      <c r="E40" s="71" t="s">
        <v>124</v>
      </c>
      <c r="F40" s="71"/>
      <c r="G40" s="74"/>
    </row>
    <row r="41" ht="19.5" customHeight="1">
      <c r="A41" s="76"/>
      <c r="B41" s="82">
        <v>46084.0</v>
      </c>
      <c r="C41" s="87"/>
      <c r="D41" s="72">
        <v>9.99</v>
      </c>
      <c r="E41" s="75" t="s">
        <v>127</v>
      </c>
      <c r="F41" s="75" t="s">
        <v>53</v>
      </c>
      <c r="G41" s="80"/>
    </row>
    <row r="42" ht="19.5" customHeight="1">
      <c r="A42" s="76"/>
      <c r="B42" s="63">
        <v>46085.0</v>
      </c>
      <c r="C42" s="69">
        <v>39040.0</v>
      </c>
      <c r="D42" s="68"/>
      <c r="E42" s="71" t="s">
        <v>131</v>
      </c>
      <c r="F42" s="71"/>
      <c r="G42" s="74"/>
    </row>
    <row r="43" ht="19.5" customHeight="1">
      <c r="A43" s="76"/>
      <c r="B43" s="63">
        <v>46085.0</v>
      </c>
      <c r="C43" s="69">
        <v>4400.0</v>
      </c>
      <c r="D43" s="68"/>
      <c r="E43" s="71" t="s">
        <v>131</v>
      </c>
      <c r="F43" s="70"/>
      <c r="G43" s="74"/>
    </row>
    <row r="44" ht="19.5" customHeight="1">
      <c r="A44" s="76"/>
      <c r="B44" s="63">
        <v>46085.0</v>
      </c>
      <c r="C44" s="69">
        <v>104000.09</v>
      </c>
      <c r="D44" s="68"/>
      <c r="E44" s="71" t="s">
        <v>134</v>
      </c>
      <c r="F44" s="70"/>
      <c r="G44" s="92"/>
    </row>
    <row r="45" ht="19.5" customHeight="1">
      <c r="A45" s="76"/>
      <c r="B45" s="63">
        <v>46085.0</v>
      </c>
      <c r="C45" s="69">
        <v>140020.0</v>
      </c>
      <c r="D45" s="68"/>
      <c r="E45" s="71" t="s">
        <v>134</v>
      </c>
      <c r="F45" s="70"/>
      <c r="G45" s="92"/>
    </row>
    <row r="46" ht="19.5" customHeight="1">
      <c r="A46" s="76"/>
      <c r="B46" s="82">
        <v>46085.0</v>
      </c>
      <c r="C46" s="87">
        <v>63000.0</v>
      </c>
      <c r="D46" s="72"/>
      <c r="E46" s="75" t="s">
        <v>141</v>
      </c>
      <c r="F46" s="59" t="s">
        <v>145</v>
      </c>
      <c r="G46" s="95"/>
    </row>
    <row r="47" ht="19.5" customHeight="1">
      <c r="A47" s="76"/>
      <c r="B47" s="63">
        <v>46086.0</v>
      </c>
      <c r="C47" s="69">
        <v>50400.0</v>
      </c>
      <c r="D47" s="68"/>
      <c r="E47" s="71" t="s">
        <v>131</v>
      </c>
      <c r="F47" s="70"/>
      <c r="G47" s="74"/>
    </row>
    <row r="48" ht="19.5" customHeight="1">
      <c r="A48" s="76"/>
      <c r="B48" s="63">
        <v>46086.0</v>
      </c>
      <c r="C48" s="69">
        <v>12800.0</v>
      </c>
      <c r="D48" s="68"/>
      <c r="E48" s="71" t="s">
        <v>152</v>
      </c>
      <c r="F48" s="70"/>
      <c r="G48" s="92"/>
    </row>
    <row r="49" ht="19.5" customHeight="1">
      <c r="A49" s="76"/>
      <c r="B49" s="63">
        <v>46086.0</v>
      </c>
      <c r="C49" s="69">
        <v>63600.0</v>
      </c>
      <c r="D49" s="68"/>
      <c r="E49" s="71" t="s">
        <v>155</v>
      </c>
      <c r="F49" s="70"/>
      <c r="G49" s="92"/>
    </row>
    <row r="50" ht="19.5" customHeight="1">
      <c r="A50" s="76"/>
      <c r="B50" s="82">
        <v>46086.0</v>
      </c>
      <c r="C50" s="96">
        <v>26699.81</v>
      </c>
      <c r="D50" s="58"/>
      <c r="E50" s="59" t="s">
        <v>157</v>
      </c>
      <c r="F50" s="97" t="s">
        <v>159</v>
      </c>
      <c r="G50" s="95"/>
    </row>
    <row r="51" ht="19.5" customHeight="1">
      <c r="A51" s="76"/>
      <c r="B51" s="82">
        <v>46086.0</v>
      </c>
      <c r="C51" s="96"/>
      <c r="D51" s="58">
        <v>2.99</v>
      </c>
      <c r="E51" s="59" t="s">
        <v>168</v>
      </c>
      <c r="F51" s="59" t="s">
        <v>82</v>
      </c>
      <c r="G51" s="95"/>
    </row>
    <row r="52" ht="19.5" customHeight="1">
      <c r="A52" s="76"/>
      <c r="B52" s="63">
        <v>46087.0</v>
      </c>
      <c r="C52" s="106">
        <v>73200.0</v>
      </c>
      <c r="D52" s="67"/>
      <c r="E52" s="70" t="s">
        <v>169</v>
      </c>
      <c r="F52" s="70"/>
      <c r="G52" s="92"/>
    </row>
    <row r="53" ht="19.5" customHeight="1">
      <c r="A53" s="76"/>
      <c r="B53" s="82">
        <v>46087.0</v>
      </c>
      <c r="C53" s="96">
        <v>34539.53</v>
      </c>
      <c r="D53" s="58"/>
      <c r="E53" s="59" t="s">
        <v>67</v>
      </c>
      <c r="F53" s="59" t="s">
        <v>68</v>
      </c>
      <c r="G53" s="95"/>
    </row>
    <row r="54" ht="19.5" customHeight="1">
      <c r="A54" s="76"/>
      <c r="B54" s="111">
        <v>46087.0</v>
      </c>
      <c r="C54" s="106">
        <v>41000.0</v>
      </c>
      <c r="D54" s="67"/>
      <c r="E54" s="70" t="s">
        <v>174</v>
      </c>
      <c r="F54" s="70"/>
      <c r="G54" s="92"/>
    </row>
    <row r="55" ht="19.5" customHeight="1">
      <c r="A55" s="76"/>
      <c r="B55" s="111">
        <v>46087.0</v>
      </c>
      <c r="C55" s="106">
        <v>96021.97</v>
      </c>
      <c r="D55" s="67"/>
      <c r="E55" s="70" t="s">
        <v>41</v>
      </c>
      <c r="F55" s="70"/>
      <c r="G55" s="92"/>
    </row>
    <row r="56" ht="19.5" customHeight="1">
      <c r="A56" s="76"/>
      <c r="B56" s="109">
        <v>46087.0</v>
      </c>
      <c r="C56" s="96">
        <v>26300.0</v>
      </c>
      <c r="D56" s="58"/>
      <c r="E56" s="59" t="s">
        <v>78</v>
      </c>
      <c r="F56" s="59" t="s">
        <v>79</v>
      </c>
      <c r="G56" s="95"/>
    </row>
    <row r="57" ht="19.5" customHeight="1">
      <c r="A57" s="76"/>
      <c r="B57" s="111">
        <v>46088.0</v>
      </c>
      <c r="C57" s="106">
        <v>6700.0</v>
      </c>
      <c r="D57" s="67"/>
      <c r="E57" s="70" t="s">
        <v>182</v>
      </c>
      <c r="F57" s="70"/>
      <c r="G57" s="92"/>
    </row>
    <row r="58" ht="19.5" customHeight="1">
      <c r="A58" s="76"/>
      <c r="B58" s="111">
        <v>46088.0</v>
      </c>
      <c r="C58" s="106">
        <v>36100.0</v>
      </c>
      <c r="D58" s="67"/>
      <c r="E58" s="70" t="s">
        <v>186</v>
      </c>
      <c r="F58" s="70"/>
      <c r="G58" s="92"/>
    </row>
    <row r="59" ht="19.5" customHeight="1">
      <c r="A59" s="76"/>
      <c r="B59" s="111">
        <v>46088.0</v>
      </c>
      <c r="C59" s="106">
        <v>39609.0</v>
      </c>
      <c r="D59" s="67"/>
      <c r="E59" s="70" t="s">
        <v>189</v>
      </c>
      <c r="F59" s="70"/>
      <c r="G59" s="92"/>
    </row>
    <row r="60" ht="19.5" customHeight="1">
      <c r="A60" s="76"/>
      <c r="B60" s="111">
        <v>46088.0</v>
      </c>
      <c r="C60" s="106">
        <v>1000.0</v>
      </c>
      <c r="D60" s="67"/>
      <c r="E60" s="70" t="s">
        <v>42</v>
      </c>
      <c r="F60" s="70"/>
      <c r="G60" s="92"/>
    </row>
    <row r="61" ht="19.5" customHeight="1">
      <c r="A61" s="76"/>
      <c r="B61" s="109">
        <v>46088.0</v>
      </c>
      <c r="C61" s="96">
        <v>14355.75</v>
      </c>
      <c r="D61" s="58"/>
      <c r="E61" s="59" t="s">
        <v>157</v>
      </c>
      <c r="F61" s="97" t="s">
        <v>194</v>
      </c>
      <c r="G61" s="95"/>
    </row>
    <row r="62" ht="19.5" customHeight="1">
      <c r="A62" s="76"/>
      <c r="B62" s="111">
        <v>46089.0</v>
      </c>
      <c r="C62" s="106">
        <v>71000.0</v>
      </c>
      <c r="D62" s="67"/>
      <c r="E62" s="70" t="s">
        <v>197</v>
      </c>
      <c r="F62" s="70"/>
      <c r="G62" s="92"/>
    </row>
    <row r="63" ht="19.5" customHeight="1">
      <c r="A63" s="76"/>
      <c r="B63" s="111">
        <v>46089.0</v>
      </c>
      <c r="C63" s="106">
        <v>29489.0</v>
      </c>
      <c r="D63" s="67"/>
      <c r="E63" s="70" t="s">
        <v>200</v>
      </c>
      <c r="F63" s="70"/>
      <c r="G63" s="92"/>
    </row>
    <row r="64" ht="19.5" customHeight="1">
      <c r="A64" s="76"/>
      <c r="B64" s="111">
        <v>46089.0</v>
      </c>
      <c r="C64" s="106">
        <v>700.0</v>
      </c>
      <c r="D64" s="67"/>
      <c r="E64" s="70" t="s">
        <v>42</v>
      </c>
      <c r="F64" s="70"/>
      <c r="G64" s="92"/>
    </row>
    <row r="65" ht="19.5" customHeight="1">
      <c r="A65" s="76"/>
      <c r="B65" s="111">
        <v>46089.0</v>
      </c>
      <c r="C65" s="106">
        <v>1000.0</v>
      </c>
      <c r="D65" s="67"/>
      <c r="E65" s="70" t="s">
        <v>42</v>
      </c>
      <c r="F65" s="70"/>
      <c r="G65" s="92"/>
    </row>
    <row r="66" ht="19.5" customHeight="1">
      <c r="A66" s="76"/>
      <c r="B66" s="111">
        <v>46089.0</v>
      </c>
      <c r="C66" s="106">
        <v>750.0</v>
      </c>
      <c r="D66" s="67"/>
      <c r="E66" s="70" t="s">
        <v>42</v>
      </c>
      <c r="F66" s="70"/>
      <c r="G66" s="92"/>
    </row>
    <row r="67" ht="19.5" customHeight="1">
      <c r="A67" s="76"/>
      <c r="B67" s="111">
        <v>46089.0</v>
      </c>
      <c r="C67" s="106">
        <v>20660.0</v>
      </c>
      <c r="D67" s="67"/>
      <c r="E67" s="70" t="s">
        <v>206</v>
      </c>
      <c r="F67" s="70"/>
      <c r="G67" s="92"/>
    </row>
    <row r="68" ht="19.5" customHeight="1">
      <c r="A68" s="76"/>
      <c r="B68" s="111">
        <v>46089.0</v>
      </c>
      <c r="C68" s="106">
        <v>1258.38</v>
      </c>
      <c r="D68" s="67"/>
      <c r="E68" s="70" t="s">
        <v>121</v>
      </c>
      <c r="F68" s="70"/>
      <c r="G68" s="92"/>
    </row>
    <row r="69" ht="19.5" customHeight="1">
      <c r="A69" s="76"/>
      <c r="B69" s="111">
        <v>46089.0</v>
      </c>
      <c r="C69" s="106">
        <v>51815.0</v>
      </c>
      <c r="D69" s="67"/>
      <c r="E69" s="70" t="s">
        <v>211</v>
      </c>
      <c r="F69" s="70"/>
      <c r="G69" s="92"/>
    </row>
    <row r="70" ht="19.5" customHeight="1">
      <c r="A70" s="76"/>
      <c r="B70" s="111">
        <v>46089.0</v>
      </c>
      <c r="C70" s="106">
        <v>35640.0</v>
      </c>
      <c r="D70" s="67"/>
      <c r="E70" s="70" t="s">
        <v>215</v>
      </c>
      <c r="F70" s="70"/>
      <c r="G70" s="92"/>
    </row>
    <row r="71" ht="19.5" customHeight="1">
      <c r="A71" s="76"/>
      <c r="B71" s="111">
        <v>46090.0</v>
      </c>
      <c r="C71" s="106">
        <v>1000.0</v>
      </c>
      <c r="D71" s="67"/>
      <c r="E71" s="70" t="s">
        <v>42</v>
      </c>
      <c r="F71" s="70"/>
      <c r="G71" s="92"/>
    </row>
    <row r="72" ht="19.5" customHeight="1">
      <c r="A72" s="76"/>
      <c r="B72" s="111">
        <v>46090.0</v>
      </c>
      <c r="C72" s="106">
        <v>88000.0</v>
      </c>
      <c r="D72" s="67"/>
      <c r="E72" s="70" t="s">
        <v>221</v>
      </c>
      <c r="F72" s="70"/>
      <c r="G72" s="92"/>
    </row>
    <row r="73" ht="19.5" customHeight="1">
      <c r="A73" s="76"/>
      <c r="B73" s="111">
        <v>46090.0</v>
      </c>
      <c r="C73" s="106">
        <v>28489.0</v>
      </c>
      <c r="D73" s="67"/>
      <c r="E73" s="70" t="s">
        <v>224</v>
      </c>
      <c r="F73" s="70"/>
      <c r="G73" s="92"/>
    </row>
    <row r="74" ht="19.5" customHeight="1">
      <c r="A74" s="76"/>
      <c r="B74" s="111">
        <v>46090.0</v>
      </c>
      <c r="C74" s="106">
        <v>25400.0</v>
      </c>
      <c r="D74" s="67"/>
      <c r="E74" s="70" t="s">
        <v>225</v>
      </c>
      <c r="F74" s="70"/>
      <c r="G74" s="92"/>
    </row>
    <row r="75" ht="19.5" customHeight="1">
      <c r="A75" s="76"/>
      <c r="B75" s="111">
        <v>46091.0</v>
      </c>
      <c r="C75" s="106">
        <v>5200.0</v>
      </c>
      <c r="D75" s="67"/>
      <c r="E75" s="70" t="s">
        <v>32</v>
      </c>
      <c r="F75" s="70"/>
      <c r="G75" s="92"/>
    </row>
    <row r="76" ht="19.5" customHeight="1">
      <c r="A76" s="76"/>
      <c r="B76" s="109">
        <v>46091.0</v>
      </c>
      <c r="C76" s="96">
        <v>506033.0</v>
      </c>
      <c r="D76" s="58"/>
      <c r="E76" s="59" t="s">
        <v>97</v>
      </c>
      <c r="F76" s="59" t="s">
        <v>98</v>
      </c>
      <c r="G76" s="95"/>
    </row>
    <row r="77" ht="19.5" customHeight="1">
      <c r="A77" s="76"/>
      <c r="B77" s="109">
        <v>46092.0</v>
      </c>
      <c r="C77" s="96">
        <v>19518.58</v>
      </c>
      <c r="D77" s="58"/>
      <c r="E77" s="59" t="s">
        <v>228</v>
      </c>
      <c r="F77" s="59" t="s">
        <v>115</v>
      </c>
      <c r="G77" s="95"/>
    </row>
    <row r="78" ht="19.5" customHeight="1">
      <c r="A78" s="76"/>
      <c r="B78" s="109">
        <v>46092.0</v>
      </c>
      <c r="C78" s="96">
        <v>21272.51</v>
      </c>
      <c r="D78" s="58"/>
      <c r="E78" s="59" t="s">
        <v>232</v>
      </c>
      <c r="F78" s="59" t="s">
        <v>106</v>
      </c>
      <c r="G78" s="95"/>
    </row>
    <row r="79" ht="19.5" customHeight="1">
      <c r="A79" s="76"/>
      <c r="B79" s="109">
        <v>46092.0</v>
      </c>
      <c r="C79" s="96">
        <v>117179.97</v>
      </c>
      <c r="D79" s="58"/>
      <c r="E79" s="59" t="s">
        <v>236</v>
      </c>
      <c r="F79" s="59" t="s">
        <v>108</v>
      </c>
      <c r="G79" s="95"/>
    </row>
    <row r="80" ht="19.5" customHeight="1">
      <c r="A80" s="76"/>
      <c r="B80" s="109">
        <v>46092.0</v>
      </c>
      <c r="C80" s="96">
        <v>19518.58</v>
      </c>
      <c r="D80" s="58"/>
      <c r="E80" s="59" t="s">
        <v>239</v>
      </c>
      <c r="F80" s="59" t="s">
        <v>112</v>
      </c>
      <c r="G80" s="95"/>
    </row>
    <row r="81" ht="19.5" customHeight="1">
      <c r="A81" s="76"/>
      <c r="B81" s="111">
        <v>46092.0</v>
      </c>
      <c r="C81" s="106">
        <v>1703.83</v>
      </c>
      <c r="D81" s="67"/>
      <c r="E81" s="70" t="s">
        <v>240</v>
      </c>
      <c r="F81" s="70"/>
      <c r="G81" s="92"/>
    </row>
    <row r="82" ht="19.5" customHeight="1">
      <c r="A82" s="76"/>
      <c r="B82" s="109">
        <v>46093.0</v>
      </c>
      <c r="C82" s="96">
        <v>825930.68</v>
      </c>
      <c r="D82" s="58"/>
      <c r="E82" s="59" t="s">
        <v>43</v>
      </c>
      <c r="F82" s="59" t="s">
        <v>44</v>
      </c>
      <c r="G82" s="95"/>
    </row>
    <row r="83" ht="19.5" customHeight="1">
      <c r="A83" s="76"/>
      <c r="B83" s="111">
        <v>46094.0</v>
      </c>
      <c r="C83" s="106">
        <v>1000.0</v>
      </c>
      <c r="D83" s="67"/>
      <c r="E83" s="70" t="s">
        <v>42</v>
      </c>
      <c r="F83" s="70"/>
      <c r="G83" s="92"/>
    </row>
    <row r="84" ht="19.5" customHeight="1">
      <c r="A84" s="76"/>
      <c r="B84" s="111">
        <v>46094.0</v>
      </c>
      <c r="C84" s="106">
        <v>12898.0</v>
      </c>
      <c r="D84" s="67"/>
      <c r="E84" s="70" t="s">
        <v>244</v>
      </c>
      <c r="F84" s="70"/>
      <c r="G84" s="92"/>
    </row>
    <row r="85" ht="19.5" customHeight="1">
      <c r="A85" s="76"/>
      <c r="B85" s="111">
        <v>46095.0</v>
      </c>
      <c r="C85" s="106">
        <v>25100.0</v>
      </c>
      <c r="D85" s="67"/>
      <c r="E85" s="70" t="s">
        <v>41</v>
      </c>
      <c r="F85" s="70"/>
      <c r="G85" s="92"/>
    </row>
    <row r="86" ht="19.5" customHeight="1">
      <c r="A86" s="76"/>
      <c r="B86" s="111">
        <v>46097.0</v>
      </c>
      <c r="C86" s="106">
        <v>5800.0</v>
      </c>
      <c r="D86" s="67"/>
      <c r="E86" s="70" t="s">
        <v>56</v>
      </c>
      <c r="F86" s="70"/>
      <c r="G86" s="92"/>
    </row>
    <row r="87" ht="19.5" customHeight="1">
      <c r="A87" s="76"/>
      <c r="B87" s="111">
        <v>46097.0</v>
      </c>
      <c r="C87" s="106">
        <v>13600.0</v>
      </c>
      <c r="D87" s="67"/>
      <c r="E87" s="70" t="s">
        <v>56</v>
      </c>
      <c r="F87" s="70"/>
      <c r="G87" s="92"/>
    </row>
    <row r="88" ht="19.5" customHeight="1">
      <c r="A88" s="76"/>
      <c r="B88" s="111">
        <v>46097.0</v>
      </c>
      <c r="C88" s="106">
        <v>143001.0</v>
      </c>
      <c r="D88" s="67"/>
      <c r="E88" s="70" t="s">
        <v>35</v>
      </c>
      <c r="F88" s="70"/>
      <c r="G88" s="92"/>
    </row>
    <row r="89" ht="19.5" customHeight="1">
      <c r="A89" s="76"/>
      <c r="B89" s="111">
        <v>46097.0</v>
      </c>
      <c r="C89" s="106">
        <v>13700.0</v>
      </c>
      <c r="D89" s="67"/>
      <c r="E89" s="70" t="s">
        <v>262</v>
      </c>
      <c r="F89" s="70"/>
      <c r="G89" s="92"/>
    </row>
    <row r="90" ht="19.5" customHeight="1">
      <c r="A90" s="76"/>
      <c r="B90" s="111">
        <v>46097.0</v>
      </c>
      <c r="C90" s="106">
        <v>7100.0</v>
      </c>
      <c r="D90" s="67"/>
      <c r="E90" s="70" t="s">
        <v>49</v>
      </c>
      <c r="F90" s="70"/>
      <c r="G90" s="92"/>
    </row>
    <row r="91" ht="19.5" customHeight="1">
      <c r="A91" s="76"/>
      <c r="B91" s="111">
        <v>46098.0</v>
      </c>
      <c r="C91" s="106">
        <v>2800.0</v>
      </c>
      <c r="D91" s="67"/>
      <c r="E91" s="70" t="s">
        <v>264</v>
      </c>
      <c r="F91" s="70"/>
      <c r="G91" s="92"/>
    </row>
    <row r="92" ht="19.5" customHeight="1">
      <c r="A92" s="76"/>
      <c r="B92" s="111">
        <v>46098.0</v>
      </c>
      <c r="C92" s="106">
        <v>5900.0</v>
      </c>
      <c r="D92" s="67"/>
      <c r="E92" s="70" t="s">
        <v>32</v>
      </c>
      <c r="F92" s="70"/>
      <c r="G92" s="92"/>
    </row>
    <row r="93" ht="19.5" customHeight="1">
      <c r="A93" s="76"/>
      <c r="B93" s="109">
        <v>46098.0</v>
      </c>
      <c r="C93" s="96">
        <v>45744.62</v>
      </c>
      <c r="D93" s="58"/>
      <c r="E93" s="59" t="s">
        <v>117</v>
      </c>
      <c r="F93" s="59" t="s">
        <v>267</v>
      </c>
      <c r="G93" s="95"/>
    </row>
    <row r="94" ht="19.5" customHeight="1">
      <c r="A94" s="76"/>
      <c r="B94" s="111">
        <v>46098.0</v>
      </c>
      <c r="C94" s="106">
        <v>97500.0</v>
      </c>
      <c r="D94" s="67"/>
      <c r="E94" s="70" t="s">
        <v>269</v>
      </c>
      <c r="F94" s="70"/>
      <c r="G94" s="92"/>
    </row>
    <row r="95" ht="19.5" customHeight="1">
      <c r="A95" s="76"/>
      <c r="B95" s="111">
        <v>46098.0</v>
      </c>
      <c r="C95" s="106">
        <v>67500.0</v>
      </c>
      <c r="D95" s="67"/>
      <c r="E95" s="70" t="s">
        <v>270</v>
      </c>
      <c r="F95" s="70"/>
      <c r="G95" s="92"/>
    </row>
    <row r="96" ht="19.5" customHeight="1">
      <c r="A96" s="76"/>
      <c r="B96" s="109">
        <v>46098.0</v>
      </c>
      <c r="C96" s="96">
        <v>2295538.8</v>
      </c>
      <c r="D96" s="58"/>
      <c r="E96" s="59" t="s">
        <v>234</v>
      </c>
      <c r="F96" s="59" t="s">
        <v>136</v>
      </c>
      <c r="G96" s="95"/>
    </row>
    <row r="97" ht="19.5" customHeight="1">
      <c r="A97" s="76"/>
      <c r="B97" s="111">
        <v>46098.0</v>
      </c>
      <c r="C97" s="120">
        <v>-85.19</v>
      </c>
      <c r="D97" s="67"/>
      <c r="E97" s="70" t="s">
        <v>240</v>
      </c>
      <c r="F97" s="70"/>
      <c r="G97" s="92"/>
    </row>
    <row r="98" ht="19.5" customHeight="1">
      <c r="A98" s="76"/>
      <c r="B98" s="111">
        <v>46099.0</v>
      </c>
      <c r="C98" s="106">
        <v>140000.0</v>
      </c>
      <c r="D98" s="67"/>
      <c r="E98" s="70" t="s">
        <v>274</v>
      </c>
      <c r="F98" s="70"/>
      <c r="G98" s="92"/>
    </row>
    <row r="99" ht="19.5" customHeight="1">
      <c r="A99" s="76"/>
      <c r="B99" s="111">
        <v>46099.0</v>
      </c>
      <c r="C99" s="106">
        <v>3300.0</v>
      </c>
      <c r="D99" s="67"/>
      <c r="E99" s="70" t="s">
        <v>32</v>
      </c>
      <c r="F99" s="70"/>
      <c r="G99" s="92"/>
    </row>
    <row r="100" ht="19.5" customHeight="1">
      <c r="A100" s="76"/>
      <c r="B100" s="111">
        <v>46100.0</v>
      </c>
      <c r="C100" s="106">
        <v>12250.0</v>
      </c>
      <c r="D100" s="67"/>
      <c r="E100" s="70" t="s">
        <v>56</v>
      </c>
      <c r="F100" s="70"/>
      <c r="G100" s="92"/>
    </row>
    <row r="101" ht="19.5" customHeight="1">
      <c r="A101" s="76"/>
      <c r="B101" s="111">
        <v>46100.0</v>
      </c>
      <c r="C101" s="106">
        <v>17500.0</v>
      </c>
      <c r="D101" s="67"/>
      <c r="E101" s="70" t="s">
        <v>41</v>
      </c>
      <c r="F101" s="70"/>
      <c r="G101" s="92"/>
    </row>
    <row r="102" ht="19.5" customHeight="1">
      <c r="A102" s="76"/>
      <c r="B102" s="109">
        <v>46100.0</v>
      </c>
      <c r="C102" s="96">
        <v>69642.5</v>
      </c>
      <c r="D102" s="58"/>
      <c r="E102" s="59" t="s">
        <v>254</v>
      </c>
      <c r="F102" s="59" t="s">
        <v>255</v>
      </c>
      <c r="G102" s="95"/>
    </row>
    <row r="103" ht="19.5" customHeight="1">
      <c r="A103" s="76"/>
      <c r="B103" s="109">
        <v>46100.0</v>
      </c>
      <c r="C103" s="96">
        <v>2222628.83</v>
      </c>
      <c r="D103" s="58"/>
      <c r="E103" s="59" t="s">
        <v>281</v>
      </c>
      <c r="F103" s="59" t="s">
        <v>44</v>
      </c>
      <c r="G103" s="95"/>
    </row>
    <row r="104" ht="19.5" customHeight="1">
      <c r="A104" s="76"/>
      <c r="B104" s="111">
        <v>46100.0</v>
      </c>
      <c r="C104" s="106">
        <v>1659.2</v>
      </c>
      <c r="D104" s="67"/>
      <c r="E104" s="70" t="s">
        <v>57</v>
      </c>
      <c r="F104" s="70"/>
      <c r="G104" s="92"/>
    </row>
    <row r="105" ht="19.5" customHeight="1">
      <c r="A105" s="76"/>
      <c r="B105" s="111">
        <v>46100.0</v>
      </c>
      <c r="C105" s="106">
        <v>7276.03</v>
      </c>
      <c r="D105" s="67"/>
      <c r="E105" s="70" t="s">
        <v>287</v>
      </c>
      <c r="F105" s="70"/>
      <c r="G105" s="92"/>
    </row>
    <row r="106" ht="19.5" customHeight="1">
      <c r="A106" s="76"/>
      <c r="B106" s="111">
        <v>46100.0</v>
      </c>
      <c r="C106" s="106">
        <v>6711.36</v>
      </c>
      <c r="D106" s="67"/>
      <c r="E106" s="70" t="s">
        <v>166</v>
      </c>
      <c r="F106" s="70"/>
      <c r="G106" s="92"/>
    </row>
    <row r="107" ht="19.5" customHeight="1">
      <c r="A107" s="76"/>
      <c r="B107" s="111">
        <v>46100.0</v>
      </c>
      <c r="C107" s="106">
        <v>50642.07</v>
      </c>
      <c r="D107" s="67"/>
      <c r="E107" s="70" t="s">
        <v>72</v>
      </c>
      <c r="F107" s="70"/>
      <c r="G107" s="92"/>
    </row>
    <row r="108" ht="19.5" customHeight="1">
      <c r="A108" s="76"/>
      <c r="B108" s="109">
        <v>46101.0</v>
      </c>
      <c r="C108" s="96">
        <v>67567.5</v>
      </c>
      <c r="D108" s="58"/>
      <c r="E108" s="59" t="s">
        <v>36</v>
      </c>
      <c r="F108" s="59" t="s">
        <v>293</v>
      </c>
      <c r="G108" s="95"/>
    </row>
    <row r="109" ht="19.5" customHeight="1">
      <c r="A109" s="76"/>
      <c r="B109" s="109">
        <v>46101.0</v>
      </c>
      <c r="C109" s="96">
        <v>163800.0</v>
      </c>
      <c r="D109" s="58"/>
      <c r="E109" s="59" t="s">
        <v>214</v>
      </c>
      <c r="F109" s="59" t="s">
        <v>296</v>
      </c>
      <c r="G109" s="95"/>
    </row>
    <row r="110" ht="19.5" customHeight="1">
      <c r="A110" s="76"/>
      <c r="B110" s="109">
        <v>46101.0</v>
      </c>
      <c r="C110" s="96">
        <v>172200.0</v>
      </c>
      <c r="D110" s="58"/>
      <c r="E110" s="59" t="s">
        <v>214</v>
      </c>
      <c r="F110" s="59" t="s">
        <v>301</v>
      </c>
      <c r="G110" s="95"/>
    </row>
    <row r="111" ht="19.5" customHeight="1">
      <c r="A111" s="76"/>
      <c r="B111" s="109">
        <v>46101.0</v>
      </c>
      <c r="C111" s="96">
        <v>2769.0</v>
      </c>
      <c r="D111" s="58"/>
      <c r="E111" s="59" t="s">
        <v>52</v>
      </c>
      <c r="F111" s="97" t="s">
        <v>303</v>
      </c>
      <c r="G111" s="95"/>
    </row>
    <row r="112" ht="19.5" customHeight="1">
      <c r="A112" s="76"/>
      <c r="B112" s="111">
        <v>46101.0</v>
      </c>
      <c r="C112" s="106">
        <v>8300.0</v>
      </c>
      <c r="D112" s="67"/>
      <c r="E112" s="70" t="s">
        <v>49</v>
      </c>
      <c r="F112" s="70"/>
      <c r="G112" s="92"/>
    </row>
    <row r="113" ht="19.5" customHeight="1">
      <c r="A113" s="76"/>
      <c r="B113" s="111">
        <v>46101.0</v>
      </c>
      <c r="C113" s="106">
        <v>13300.0</v>
      </c>
      <c r="D113" s="67"/>
      <c r="E113" s="70" t="s">
        <v>32</v>
      </c>
      <c r="F113" s="70"/>
      <c r="G113" s="92"/>
    </row>
    <row r="114" ht="19.5" customHeight="1">
      <c r="A114" s="76"/>
      <c r="B114" s="109">
        <v>46101.0</v>
      </c>
      <c r="C114" s="96"/>
      <c r="D114" s="58">
        <v>1.99</v>
      </c>
      <c r="E114" s="59" t="s">
        <v>308</v>
      </c>
      <c r="F114" s="59" t="s">
        <v>82</v>
      </c>
      <c r="G114" s="95"/>
    </row>
    <row r="115" ht="19.5" customHeight="1">
      <c r="A115" s="76"/>
      <c r="B115" s="111">
        <v>46102.0</v>
      </c>
      <c r="C115" s="106">
        <v>24200.0</v>
      </c>
      <c r="D115" s="67"/>
      <c r="E115" s="70" t="s">
        <v>276</v>
      </c>
      <c r="F115" s="70"/>
      <c r="G115" s="92"/>
    </row>
    <row r="116" ht="19.5" customHeight="1">
      <c r="A116" s="76"/>
      <c r="B116" s="111">
        <v>46102.0</v>
      </c>
      <c r="C116" s="106">
        <v>160012.92</v>
      </c>
      <c r="D116" s="67"/>
      <c r="E116" s="70" t="s">
        <v>35</v>
      </c>
      <c r="F116" s="70"/>
      <c r="G116" s="92"/>
    </row>
    <row r="117" ht="19.5" customHeight="1">
      <c r="A117" s="76"/>
      <c r="B117" s="111">
        <v>46102.0</v>
      </c>
      <c r="C117" s="106">
        <v>14050.0</v>
      </c>
      <c r="D117" s="67"/>
      <c r="E117" s="70" t="s">
        <v>40</v>
      </c>
      <c r="F117" s="70"/>
      <c r="G117" s="92"/>
    </row>
    <row r="118" ht="19.5" customHeight="1">
      <c r="A118" s="76"/>
      <c r="B118" s="109">
        <v>46102.0</v>
      </c>
      <c r="C118" s="96">
        <v>2865.0</v>
      </c>
      <c r="D118" s="58"/>
      <c r="E118" s="59" t="s">
        <v>52</v>
      </c>
      <c r="F118" s="97" t="s">
        <v>315</v>
      </c>
      <c r="G118" s="95"/>
    </row>
    <row r="119" ht="19.5" customHeight="1">
      <c r="A119" s="76"/>
      <c r="B119" s="111">
        <v>46103.0</v>
      </c>
      <c r="C119" s="106">
        <v>8800.0</v>
      </c>
      <c r="D119" s="67"/>
      <c r="E119" s="70" t="s">
        <v>318</v>
      </c>
      <c r="F119" s="70"/>
      <c r="G119" s="92"/>
    </row>
    <row r="120" ht="19.5" customHeight="1">
      <c r="A120" s="76"/>
      <c r="B120" s="111">
        <v>46103.0</v>
      </c>
      <c r="C120" s="106">
        <v>24222.03</v>
      </c>
      <c r="D120" s="67"/>
      <c r="E120" s="70" t="s">
        <v>55</v>
      </c>
      <c r="F120" s="70"/>
      <c r="G120" s="92"/>
    </row>
    <row r="121" ht="19.5" customHeight="1">
      <c r="A121" s="76"/>
      <c r="B121" s="109">
        <v>46104.0</v>
      </c>
      <c r="C121" s="96">
        <v>76126.05</v>
      </c>
      <c r="D121" s="58"/>
      <c r="E121" s="59" t="s">
        <v>36</v>
      </c>
      <c r="F121" s="59" t="s">
        <v>323</v>
      </c>
      <c r="G121" s="95"/>
    </row>
    <row r="122" ht="19.5" customHeight="1">
      <c r="A122" s="76"/>
      <c r="B122" s="139">
        <v>46104.0</v>
      </c>
      <c r="C122" s="141">
        <v>53495.0</v>
      </c>
      <c r="D122" s="142"/>
      <c r="E122" s="143" t="s">
        <v>328</v>
      </c>
      <c r="F122" s="143" t="s">
        <v>329</v>
      </c>
      <c r="G122" s="144"/>
    </row>
    <row r="123" ht="19.5" customHeight="1">
      <c r="A123" s="76"/>
      <c r="B123" s="109">
        <v>46104.0</v>
      </c>
      <c r="C123" s="96">
        <v>9299.0</v>
      </c>
      <c r="D123" s="58"/>
      <c r="E123" s="59" t="s">
        <v>52</v>
      </c>
      <c r="F123" s="97" t="s">
        <v>332</v>
      </c>
      <c r="G123" s="95"/>
    </row>
    <row r="124" ht="19.5" customHeight="1">
      <c r="A124" s="76"/>
      <c r="B124" s="111">
        <v>46104.0</v>
      </c>
      <c r="C124" s="106">
        <v>7000.0</v>
      </c>
      <c r="D124" s="67"/>
      <c r="E124" s="70" t="s">
        <v>32</v>
      </c>
      <c r="F124" s="70"/>
      <c r="G124" s="92"/>
    </row>
    <row r="125" ht="19.5" customHeight="1">
      <c r="A125" s="76"/>
      <c r="B125" s="111">
        <v>46104.0</v>
      </c>
      <c r="C125" s="106">
        <v>6000.0</v>
      </c>
      <c r="D125" s="67"/>
      <c r="E125" s="70" t="s">
        <v>338</v>
      </c>
      <c r="F125" s="70"/>
      <c r="G125" s="92"/>
    </row>
    <row r="126" ht="19.5" customHeight="1">
      <c r="A126" s="76"/>
      <c r="B126" s="111">
        <v>46105.0</v>
      </c>
      <c r="C126" s="106">
        <v>44999.17</v>
      </c>
      <c r="D126" s="67"/>
      <c r="E126" s="70" t="s">
        <v>339</v>
      </c>
      <c r="F126" s="70"/>
      <c r="G126" s="92"/>
    </row>
    <row r="127" ht="19.5" customHeight="1">
      <c r="A127" s="76"/>
      <c r="B127" s="111">
        <v>46105.0</v>
      </c>
      <c r="C127" s="106">
        <v>8120.0</v>
      </c>
      <c r="D127" s="67"/>
      <c r="E127" s="70" t="s">
        <v>34</v>
      </c>
      <c r="F127" s="70"/>
      <c r="G127" s="92"/>
    </row>
    <row r="128" ht="19.5" customHeight="1">
      <c r="A128" s="76"/>
      <c r="B128" s="111">
        <v>46105.0</v>
      </c>
      <c r="C128" s="106">
        <v>163319.97</v>
      </c>
      <c r="D128" s="67"/>
      <c r="E128" s="70" t="s">
        <v>346</v>
      </c>
      <c r="F128" s="70"/>
      <c r="G128" s="92"/>
    </row>
    <row r="129" ht="19.5" customHeight="1">
      <c r="A129" s="76"/>
      <c r="B129" s="139">
        <v>46106.0</v>
      </c>
      <c r="C129" s="141">
        <v>97360.9</v>
      </c>
      <c r="D129" s="142"/>
      <c r="E129" s="143" t="s">
        <v>350</v>
      </c>
      <c r="F129" s="143" t="s">
        <v>329</v>
      </c>
      <c r="G129" s="144"/>
    </row>
    <row r="130" ht="19.5" customHeight="1">
      <c r="A130" s="43"/>
      <c r="B130" s="148">
        <v>46107.0</v>
      </c>
      <c r="C130" s="96">
        <v>86100.0</v>
      </c>
      <c r="D130" s="58"/>
      <c r="E130" s="59" t="s">
        <v>214</v>
      </c>
      <c r="F130" s="59" t="s">
        <v>360</v>
      </c>
      <c r="G130" s="95"/>
    </row>
    <row r="131" ht="30.0" customHeight="1">
      <c r="A131" s="124" t="s">
        <v>163</v>
      </c>
      <c r="B131" s="125"/>
      <c r="C131" s="150">
        <f t="shared" ref="C131:D131" si="3">SUM(C20:C130)</f>
        <v>12027505.85</v>
      </c>
      <c r="D131" s="152">
        <f t="shared" si="3"/>
        <v>14.97</v>
      </c>
      <c r="E131" s="128"/>
      <c r="F131" s="130"/>
      <c r="G131" s="104"/>
    </row>
    <row r="132" ht="4.5" customHeight="1">
      <c r="A132" s="153"/>
      <c r="B132" s="133"/>
      <c r="C132" s="133"/>
      <c r="D132" s="133"/>
      <c r="E132" s="133"/>
      <c r="F132" s="133"/>
      <c r="G132" s="125"/>
    </row>
    <row r="133" ht="19.5" customHeight="1">
      <c r="A133" s="154" t="s">
        <v>172</v>
      </c>
      <c r="B133" s="82">
        <v>46028.0</v>
      </c>
      <c r="C133" s="72">
        <v>22916.66</v>
      </c>
      <c r="D133" s="155"/>
      <c r="E133" s="75" t="s">
        <v>326</v>
      </c>
      <c r="F133" s="84" t="s">
        <v>327</v>
      </c>
      <c r="G133" s="80" t="s">
        <v>179</v>
      </c>
    </row>
    <row r="134" ht="19.5" customHeight="1">
      <c r="A134" s="76"/>
      <c r="B134" s="109">
        <v>46028.0</v>
      </c>
      <c r="C134" s="58">
        <v>129814.2</v>
      </c>
      <c r="D134" s="72"/>
      <c r="E134" s="59" t="s">
        <v>396</v>
      </c>
      <c r="F134" s="140" t="s">
        <v>400</v>
      </c>
      <c r="G134" s="95" t="s">
        <v>179</v>
      </c>
    </row>
    <row r="135" ht="19.5" customHeight="1">
      <c r="A135" s="76"/>
      <c r="B135" s="109">
        <v>46050.0</v>
      </c>
      <c r="C135" s="58">
        <v>65095.34</v>
      </c>
      <c r="D135" s="72"/>
      <c r="E135" s="59" t="s">
        <v>404</v>
      </c>
      <c r="F135" s="140" t="s">
        <v>405</v>
      </c>
      <c r="G135" s="95" t="s">
        <v>179</v>
      </c>
    </row>
    <row r="136" ht="19.5" customHeight="1">
      <c r="A136" s="76"/>
      <c r="B136" s="109">
        <v>46060.0</v>
      </c>
      <c r="C136" s="58">
        <v>57362.33</v>
      </c>
      <c r="D136" s="72"/>
      <c r="E136" s="59" t="s">
        <v>409</v>
      </c>
      <c r="F136" s="140" t="s">
        <v>411</v>
      </c>
      <c r="G136" s="95" t="s">
        <v>179</v>
      </c>
    </row>
    <row r="137" ht="19.5" customHeight="1">
      <c r="A137" s="76"/>
      <c r="B137" s="109">
        <v>46080.0</v>
      </c>
      <c r="C137" s="58">
        <v>29999.99</v>
      </c>
      <c r="D137" s="72"/>
      <c r="E137" s="59" t="s">
        <v>41</v>
      </c>
      <c r="F137" s="140" t="s">
        <v>351</v>
      </c>
      <c r="G137" s="95" t="s">
        <v>179</v>
      </c>
    </row>
    <row r="138" ht="19.5" customHeight="1">
      <c r="A138" s="76"/>
      <c r="B138" s="109">
        <v>46081.0</v>
      </c>
      <c r="C138" s="58">
        <v>79147.41</v>
      </c>
      <c r="D138" s="72"/>
      <c r="E138" s="59" t="s">
        <v>190</v>
      </c>
      <c r="F138" s="140" t="s">
        <v>359</v>
      </c>
      <c r="G138" s="95" t="s">
        <v>179</v>
      </c>
    </row>
    <row r="139" ht="19.5" customHeight="1">
      <c r="A139" s="76"/>
      <c r="B139" s="109">
        <v>46081.0</v>
      </c>
      <c r="C139" s="58">
        <v>30000.0</v>
      </c>
      <c r="D139" s="72"/>
      <c r="E139" s="59" t="s">
        <v>418</v>
      </c>
      <c r="F139" s="140" t="s">
        <v>420</v>
      </c>
      <c r="G139" s="95" t="s">
        <v>192</v>
      </c>
    </row>
    <row r="140" ht="19.5" customHeight="1">
      <c r="A140" s="76"/>
      <c r="B140" s="109">
        <v>46082.0</v>
      </c>
      <c r="C140" s="58">
        <v>21800.0</v>
      </c>
      <c r="D140" s="72"/>
      <c r="E140" s="59" t="s">
        <v>217</v>
      </c>
      <c r="F140" s="140" t="s">
        <v>428</v>
      </c>
      <c r="G140" s="95" t="s">
        <v>179</v>
      </c>
    </row>
    <row r="141" ht="19.5" customHeight="1">
      <c r="A141" s="76"/>
      <c r="B141" s="109">
        <v>46083.0</v>
      </c>
      <c r="C141" s="58">
        <v>29999.99</v>
      </c>
      <c r="D141" s="72"/>
      <c r="E141" s="59" t="s">
        <v>41</v>
      </c>
      <c r="F141" s="140" t="s">
        <v>351</v>
      </c>
      <c r="G141" s="95" t="s">
        <v>179</v>
      </c>
    </row>
    <row r="142" ht="19.5" customHeight="1">
      <c r="A142" s="76"/>
      <c r="B142" s="109">
        <v>46084.0</v>
      </c>
      <c r="C142" s="58">
        <v>65986.68</v>
      </c>
      <c r="D142" s="72"/>
      <c r="E142" s="59" t="s">
        <v>432</v>
      </c>
      <c r="F142" s="140" t="s">
        <v>433</v>
      </c>
      <c r="G142" s="95" t="s">
        <v>179</v>
      </c>
    </row>
    <row r="143" ht="19.5" customHeight="1">
      <c r="A143" s="76"/>
      <c r="B143" s="109">
        <v>46084.0</v>
      </c>
      <c r="C143" s="58">
        <v>29999.97</v>
      </c>
      <c r="D143" s="72"/>
      <c r="E143" s="59" t="s">
        <v>41</v>
      </c>
      <c r="F143" s="140" t="s">
        <v>351</v>
      </c>
      <c r="G143" s="95" t="s">
        <v>179</v>
      </c>
    </row>
    <row r="144" ht="19.5" customHeight="1">
      <c r="A144" s="76"/>
      <c r="B144" s="109">
        <v>46085.0</v>
      </c>
      <c r="C144" s="58">
        <v>900000.0</v>
      </c>
      <c r="D144" s="72"/>
      <c r="E144" s="59" t="s">
        <v>369</v>
      </c>
      <c r="F144" s="140" t="s">
        <v>440</v>
      </c>
      <c r="G144" s="95" t="s">
        <v>192</v>
      </c>
    </row>
    <row r="145" ht="19.5" customHeight="1">
      <c r="A145" s="76"/>
      <c r="B145" s="109">
        <v>46085.0</v>
      </c>
      <c r="C145" s="58">
        <v>29999.97</v>
      </c>
      <c r="D145" s="72"/>
      <c r="E145" s="59" t="s">
        <v>41</v>
      </c>
      <c r="F145" s="140" t="s">
        <v>351</v>
      </c>
      <c r="G145" s="95" t="s">
        <v>179</v>
      </c>
    </row>
    <row r="146" ht="19.5" customHeight="1">
      <c r="A146" s="76"/>
      <c r="B146" s="109">
        <v>46086.0</v>
      </c>
      <c r="C146" s="58">
        <v>29999.97</v>
      </c>
      <c r="D146" s="72"/>
      <c r="E146" s="59" t="s">
        <v>41</v>
      </c>
      <c r="F146" s="140" t="s">
        <v>448</v>
      </c>
      <c r="G146" s="95" t="s">
        <v>192</v>
      </c>
    </row>
    <row r="147" ht="19.5" customHeight="1">
      <c r="A147" s="76"/>
      <c r="B147" s="109">
        <v>46087.0</v>
      </c>
      <c r="C147" s="58">
        <v>100000.0</v>
      </c>
      <c r="D147" s="72"/>
      <c r="E147" s="59" t="s">
        <v>453</v>
      </c>
      <c r="F147" s="140" t="s">
        <v>454</v>
      </c>
      <c r="G147" s="95" t="s">
        <v>192</v>
      </c>
    </row>
    <row r="148" ht="19.5" customHeight="1">
      <c r="A148" s="76"/>
      <c r="B148" s="109">
        <v>46087.0</v>
      </c>
      <c r="C148" s="58">
        <v>29999.94</v>
      </c>
      <c r="D148" s="72"/>
      <c r="E148" s="59" t="s">
        <v>41</v>
      </c>
      <c r="F148" s="140" t="s">
        <v>456</v>
      </c>
      <c r="G148" s="95" t="s">
        <v>192</v>
      </c>
    </row>
    <row r="149" ht="19.5" customHeight="1">
      <c r="A149" s="76"/>
      <c r="B149" s="109">
        <v>46088.0</v>
      </c>
      <c r="C149" s="58">
        <v>26200.0</v>
      </c>
      <c r="D149" s="72"/>
      <c r="E149" s="59" t="s">
        <v>459</v>
      </c>
      <c r="F149" s="140" t="s">
        <v>460</v>
      </c>
      <c r="G149" s="95" t="s">
        <v>179</v>
      </c>
    </row>
    <row r="150" ht="19.5" customHeight="1">
      <c r="A150" s="76"/>
      <c r="B150" s="109">
        <v>46088.0</v>
      </c>
      <c r="C150" s="58">
        <v>78371.8</v>
      </c>
      <c r="D150" s="72"/>
      <c r="E150" s="59" t="s">
        <v>370</v>
      </c>
      <c r="F150" s="140" t="s">
        <v>391</v>
      </c>
      <c r="G150" s="95" t="s">
        <v>179</v>
      </c>
    </row>
    <row r="151" ht="19.5" customHeight="1">
      <c r="A151" s="76"/>
      <c r="B151" s="109">
        <v>46089.0</v>
      </c>
      <c r="C151" s="58">
        <v>32300.0</v>
      </c>
      <c r="D151" s="72"/>
      <c r="E151" s="59" t="s">
        <v>217</v>
      </c>
      <c r="F151" s="140" t="s">
        <v>428</v>
      </c>
      <c r="G151" s="95" t="s">
        <v>179</v>
      </c>
    </row>
    <row r="152" ht="19.5" customHeight="1">
      <c r="A152" s="76"/>
      <c r="B152" s="109">
        <v>46089.0</v>
      </c>
      <c r="C152" s="58">
        <v>143293.14</v>
      </c>
      <c r="D152" s="72"/>
      <c r="E152" s="59" t="s">
        <v>190</v>
      </c>
      <c r="F152" s="140" t="s">
        <v>359</v>
      </c>
      <c r="G152" s="95" t="s">
        <v>179</v>
      </c>
    </row>
    <row r="153" ht="19.5" customHeight="1">
      <c r="A153" s="76"/>
      <c r="B153" s="109">
        <v>46091.0</v>
      </c>
      <c r="C153" s="58">
        <v>39999.97</v>
      </c>
      <c r="D153" s="72"/>
      <c r="E153" s="59" t="s">
        <v>41</v>
      </c>
      <c r="F153" s="140" t="s">
        <v>351</v>
      </c>
      <c r="G153" s="95" t="s">
        <v>179</v>
      </c>
    </row>
    <row r="154" ht="19.5" customHeight="1">
      <c r="A154" s="76"/>
      <c r="B154" s="109">
        <v>46092.0</v>
      </c>
      <c r="C154" s="58">
        <v>77592.69</v>
      </c>
      <c r="D154" s="72"/>
      <c r="E154" s="59" t="s">
        <v>372</v>
      </c>
      <c r="F154" s="140" t="s">
        <v>465</v>
      </c>
      <c r="G154" s="95" t="s">
        <v>179</v>
      </c>
    </row>
    <row r="155" ht="19.5" customHeight="1">
      <c r="A155" s="76"/>
      <c r="B155" s="109">
        <v>46094.0</v>
      </c>
      <c r="C155" s="58">
        <v>39999.97</v>
      </c>
      <c r="D155" s="72"/>
      <c r="E155" s="59" t="s">
        <v>41</v>
      </c>
      <c r="F155" s="140" t="s">
        <v>448</v>
      </c>
      <c r="G155" s="95" t="s">
        <v>192</v>
      </c>
    </row>
    <row r="156" ht="19.5" customHeight="1">
      <c r="A156" s="76"/>
      <c r="B156" s="109">
        <v>46095.0</v>
      </c>
      <c r="C156" s="58">
        <v>213980.0</v>
      </c>
      <c r="D156" s="72"/>
      <c r="E156" s="59" t="s">
        <v>467</v>
      </c>
      <c r="F156" s="140" t="s">
        <v>469</v>
      </c>
      <c r="G156" s="95" t="s">
        <v>192</v>
      </c>
    </row>
    <row r="157" ht="19.5" customHeight="1">
      <c r="A157" s="76"/>
      <c r="B157" s="109">
        <v>46095.0</v>
      </c>
      <c r="C157" s="58">
        <v>30000.0</v>
      </c>
      <c r="D157" s="72"/>
      <c r="E157" s="59" t="s">
        <v>41</v>
      </c>
      <c r="F157" s="140" t="s">
        <v>351</v>
      </c>
      <c r="G157" s="95" t="s">
        <v>179</v>
      </c>
    </row>
    <row r="158" ht="19.5" customHeight="1">
      <c r="A158" s="76"/>
      <c r="B158" s="109">
        <v>46095.0</v>
      </c>
      <c r="C158" s="58">
        <v>51500.0</v>
      </c>
      <c r="D158" s="72"/>
      <c r="E158" s="59" t="s">
        <v>473</v>
      </c>
      <c r="F158" s="140" t="s">
        <v>474</v>
      </c>
      <c r="G158" s="95" t="s">
        <v>179</v>
      </c>
    </row>
    <row r="159" ht="19.5" customHeight="1">
      <c r="A159" s="76"/>
      <c r="B159" s="109">
        <v>46096.0</v>
      </c>
      <c r="C159" s="58">
        <v>213980.0</v>
      </c>
      <c r="D159" s="72"/>
      <c r="E159" s="59" t="s">
        <v>471</v>
      </c>
      <c r="F159" s="140" t="s">
        <v>476</v>
      </c>
      <c r="G159" s="95" t="s">
        <v>192</v>
      </c>
    </row>
    <row r="160" ht="19.5" customHeight="1">
      <c r="A160" s="76"/>
      <c r="B160" s="109">
        <v>46096.0</v>
      </c>
      <c r="C160" s="58">
        <v>98888.53</v>
      </c>
      <c r="D160" s="72"/>
      <c r="E160" s="59" t="s">
        <v>190</v>
      </c>
      <c r="F160" s="140" t="s">
        <v>359</v>
      </c>
      <c r="G160" s="95" t="s">
        <v>179</v>
      </c>
    </row>
    <row r="161" ht="19.5" customHeight="1">
      <c r="A161" s="76"/>
      <c r="B161" s="109">
        <v>46096.0</v>
      </c>
      <c r="C161" s="58">
        <v>26949.0</v>
      </c>
      <c r="D161" s="72"/>
      <c r="E161" s="59" t="s">
        <v>190</v>
      </c>
      <c r="F161" s="140" t="s">
        <v>191</v>
      </c>
      <c r="G161" s="95" t="s">
        <v>192</v>
      </c>
    </row>
    <row r="162" ht="19.5" customHeight="1">
      <c r="A162" s="76"/>
      <c r="B162" s="109">
        <v>46096.0</v>
      </c>
      <c r="C162" s="58"/>
      <c r="D162" s="72">
        <v>0.89</v>
      </c>
      <c r="E162" s="59" t="s">
        <v>484</v>
      </c>
      <c r="F162" s="140" t="s">
        <v>486</v>
      </c>
      <c r="G162" s="95"/>
    </row>
    <row r="163" ht="19.5" customHeight="1">
      <c r="A163" s="76"/>
      <c r="B163" s="109">
        <v>46098.0</v>
      </c>
      <c r="C163" s="58">
        <v>224410.74</v>
      </c>
      <c r="D163" s="72"/>
      <c r="E163" s="59" t="s">
        <v>344</v>
      </c>
      <c r="F163" s="140" t="s">
        <v>488</v>
      </c>
      <c r="G163" s="95" t="s">
        <v>192</v>
      </c>
    </row>
    <row r="164" ht="19.5" customHeight="1">
      <c r="A164" s="76"/>
      <c r="B164" s="109">
        <v>46098.0</v>
      </c>
      <c r="C164" s="58">
        <v>39999.97</v>
      </c>
      <c r="D164" s="72"/>
      <c r="E164" s="59" t="s">
        <v>41</v>
      </c>
      <c r="F164" s="140" t="s">
        <v>351</v>
      </c>
      <c r="G164" s="95" t="s">
        <v>179</v>
      </c>
    </row>
    <row r="165" ht="19.5" customHeight="1">
      <c r="A165" s="76"/>
      <c r="B165" s="109">
        <v>46098.0</v>
      </c>
      <c r="C165" s="58">
        <v>153129.34</v>
      </c>
      <c r="D165" s="72"/>
      <c r="E165" s="59" t="s">
        <v>344</v>
      </c>
      <c r="F165" s="140" t="s">
        <v>490</v>
      </c>
      <c r="G165" s="95" t="s">
        <v>209</v>
      </c>
    </row>
    <row r="166" ht="19.5" customHeight="1">
      <c r="A166" s="76"/>
      <c r="B166" s="109">
        <v>46098.0</v>
      </c>
      <c r="C166" s="58">
        <v>30000.0</v>
      </c>
      <c r="D166" s="72"/>
      <c r="E166" s="59" t="s">
        <v>202</v>
      </c>
      <c r="F166" s="140" t="s">
        <v>351</v>
      </c>
      <c r="G166" s="95" t="s">
        <v>179</v>
      </c>
    </row>
    <row r="167" ht="19.5" customHeight="1">
      <c r="A167" s="76"/>
      <c r="B167" s="109">
        <v>46098.0</v>
      </c>
      <c r="C167" s="172">
        <v>-14977.61</v>
      </c>
      <c r="D167" s="72"/>
      <c r="E167" s="59" t="s">
        <v>372</v>
      </c>
      <c r="F167" s="140" t="s">
        <v>465</v>
      </c>
      <c r="G167" s="95" t="s">
        <v>179</v>
      </c>
    </row>
    <row r="168" ht="19.5" customHeight="1">
      <c r="A168" s="76"/>
      <c r="B168" s="109">
        <v>46100.0</v>
      </c>
      <c r="C168" s="58">
        <v>20000.06</v>
      </c>
      <c r="D168" s="72"/>
      <c r="E168" s="59" t="s">
        <v>41</v>
      </c>
      <c r="F168" s="140" t="s">
        <v>351</v>
      </c>
      <c r="G168" s="95" t="s">
        <v>179</v>
      </c>
    </row>
    <row r="169" ht="19.5" customHeight="1">
      <c r="A169" s="76"/>
      <c r="B169" s="109">
        <v>46100.0</v>
      </c>
      <c r="C169" s="58">
        <v>44999.5</v>
      </c>
      <c r="D169" s="72"/>
      <c r="E169" s="59" t="s">
        <v>175</v>
      </c>
      <c r="F169" s="140" t="s">
        <v>498</v>
      </c>
      <c r="G169" s="95" t="s">
        <v>192</v>
      </c>
    </row>
    <row r="170" ht="19.5" customHeight="1">
      <c r="A170" s="76"/>
      <c r="B170" s="109">
        <v>46101.0</v>
      </c>
      <c r="C170" s="58">
        <v>35000.01</v>
      </c>
      <c r="D170" s="72"/>
      <c r="E170" s="59" t="s">
        <v>41</v>
      </c>
      <c r="F170" s="140" t="s">
        <v>448</v>
      </c>
      <c r="G170" s="95" t="s">
        <v>192</v>
      </c>
    </row>
    <row r="171" ht="19.5" customHeight="1">
      <c r="A171" s="76"/>
      <c r="B171" s="109">
        <v>46102.0</v>
      </c>
      <c r="C171" s="58">
        <v>29999.92</v>
      </c>
      <c r="D171" s="58"/>
      <c r="E171" s="59" t="s">
        <v>41</v>
      </c>
      <c r="F171" s="140" t="s">
        <v>351</v>
      </c>
      <c r="G171" s="95" t="s">
        <v>179</v>
      </c>
    </row>
    <row r="172" ht="19.5" customHeight="1">
      <c r="A172" s="76"/>
      <c r="B172" s="109">
        <v>46103.0</v>
      </c>
      <c r="C172" s="58">
        <v>53495.0</v>
      </c>
      <c r="D172" s="58"/>
      <c r="E172" s="59" t="s">
        <v>503</v>
      </c>
      <c r="F172" s="140" t="s">
        <v>504</v>
      </c>
      <c r="G172" s="95" t="s">
        <v>192</v>
      </c>
    </row>
    <row r="173" ht="19.5" customHeight="1">
      <c r="A173" s="76"/>
      <c r="B173" s="109">
        <v>46103.0</v>
      </c>
      <c r="C173" s="58">
        <v>14100.0</v>
      </c>
      <c r="D173" s="58"/>
      <c r="E173" s="59" t="s">
        <v>217</v>
      </c>
      <c r="F173" s="140" t="s">
        <v>428</v>
      </c>
      <c r="G173" s="95" t="s">
        <v>179</v>
      </c>
    </row>
    <row r="174" ht="19.5" customHeight="1">
      <c r="A174" s="76"/>
      <c r="B174" s="109">
        <v>46103.0</v>
      </c>
      <c r="C174" s="58">
        <v>29999.92</v>
      </c>
      <c r="D174" s="58"/>
      <c r="E174" s="59" t="s">
        <v>41</v>
      </c>
      <c r="F174" s="140" t="s">
        <v>351</v>
      </c>
      <c r="G174" s="95" t="s">
        <v>179</v>
      </c>
    </row>
    <row r="175" ht="19.5" customHeight="1">
      <c r="A175" s="76"/>
      <c r="B175" s="109">
        <v>46103.0</v>
      </c>
      <c r="C175" s="58">
        <v>131753.2</v>
      </c>
      <c r="D175" s="58"/>
      <c r="E175" s="59" t="s">
        <v>190</v>
      </c>
      <c r="F175" s="140" t="s">
        <v>359</v>
      </c>
      <c r="G175" s="95" t="s">
        <v>179</v>
      </c>
    </row>
    <row r="176" ht="19.5" customHeight="1">
      <c r="A176" s="76"/>
      <c r="B176" s="109">
        <v>46105.0</v>
      </c>
      <c r="C176" s="58">
        <v>29999.99</v>
      </c>
      <c r="D176" s="58"/>
      <c r="E176" s="59" t="s">
        <v>41</v>
      </c>
      <c r="F176" s="140" t="s">
        <v>351</v>
      </c>
      <c r="G176" s="95" t="s">
        <v>179</v>
      </c>
    </row>
    <row r="177" ht="19.5" customHeight="1">
      <c r="A177" s="43"/>
      <c r="B177" s="148">
        <v>46105.0</v>
      </c>
      <c r="C177" s="58">
        <v>34998.04</v>
      </c>
      <c r="D177" s="58"/>
      <c r="E177" s="59" t="s">
        <v>512</v>
      </c>
      <c r="F177" s="140" t="s">
        <v>514</v>
      </c>
      <c r="G177" s="95" t="s">
        <v>179</v>
      </c>
    </row>
    <row r="178" ht="30.0" customHeight="1">
      <c r="A178" s="124" t="s">
        <v>163</v>
      </c>
      <c r="B178" s="125"/>
      <c r="C178" s="152">
        <f t="shared" ref="C178:D178" si="4">SUM(C133:C177)</f>
        <v>3582085.63</v>
      </c>
      <c r="D178" s="152">
        <f t="shared" si="4"/>
        <v>0.89</v>
      </c>
      <c r="E178" s="128"/>
      <c r="F178" s="130"/>
      <c r="G178" s="104"/>
    </row>
    <row r="179" ht="4.5" customHeight="1">
      <c r="A179" s="153"/>
      <c r="B179" s="133"/>
      <c r="C179" s="133"/>
      <c r="D179" s="133"/>
      <c r="E179" s="133"/>
      <c r="F179" s="133"/>
      <c r="G179" s="125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 ht="19.5" customHeight="1">
      <c r="A180" s="154" t="s">
        <v>19</v>
      </c>
      <c r="B180" s="184">
        <v>45987.0</v>
      </c>
      <c r="C180" s="72">
        <v>50933.33</v>
      </c>
      <c r="D180" s="155"/>
      <c r="E180" s="158" t="s">
        <v>528</v>
      </c>
      <c r="F180" s="185" t="s">
        <v>250</v>
      </c>
      <c r="G180" s="159" t="s">
        <v>179</v>
      </c>
    </row>
    <row r="181" ht="19.5" customHeight="1">
      <c r="A181" s="43"/>
      <c r="B181" s="148">
        <v>46105.0</v>
      </c>
      <c r="C181" s="186">
        <v>940000.0</v>
      </c>
      <c r="D181" s="58"/>
      <c r="E181" s="59" t="s">
        <v>369</v>
      </c>
      <c r="F181" s="140" t="s">
        <v>535</v>
      </c>
      <c r="G181" s="95" t="s">
        <v>192</v>
      </c>
    </row>
    <row r="182" ht="30.0" customHeight="1">
      <c r="A182" s="124" t="s">
        <v>163</v>
      </c>
      <c r="B182" s="125"/>
      <c r="C182" s="152">
        <f t="shared" ref="C182:D182" si="5">SUM(C180:C181)</f>
        <v>990933.33</v>
      </c>
      <c r="D182" s="152">
        <f t="shared" si="5"/>
        <v>0</v>
      </c>
      <c r="E182" s="161"/>
      <c r="F182" s="130"/>
      <c r="G182" s="162"/>
    </row>
    <row r="183" ht="4.5" customHeight="1">
      <c r="A183" s="153"/>
      <c r="B183" s="133"/>
      <c r="C183" s="133"/>
      <c r="D183" s="133"/>
      <c r="E183" s="133"/>
      <c r="F183" s="133"/>
      <c r="G183" s="125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 ht="19.5" customHeight="1">
      <c r="A184" s="154" t="s">
        <v>18</v>
      </c>
      <c r="B184" s="184">
        <v>46079.0</v>
      </c>
      <c r="C184" s="155">
        <v>30351.75</v>
      </c>
      <c r="D184" s="155"/>
      <c r="E184" s="75" t="s">
        <v>36</v>
      </c>
      <c r="F184" s="187" t="s">
        <v>557</v>
      </c>
      <c r="G184" s="165" t="s">
        <v>192</v>
      </c>
    </row>
    <row r="185" ht="19.5" customHeight="1">
      <c r="A185" s="76"/>
      <c r="B185" s="82">
        <v>46079.0</v>
      </c>
      <c r="C185" s="72">
        <v>263835.0</v>
      </c>
      <c r="D185" s="72"/>
      <c r="E185" s="59" t="s">
        <v>36</v>
      </c>
      <c r="F185" s="85" t="s">
        <v>562</v>
      </c>
      <c r="G185" s="169" t="s">
        <v>192</v>
      </c>
    </row>
    <row r="186" ht="19.5" customHeight="1">
      <c r="A186" s="76"/>
      <c r="B186" s="82">
        <v>46079.0</v>
      </c>
      <c r="C186" s="72">
        <v>3688.0</v>
      </c>
      <c r="D186" s="72"/>
      <c r="E186" s="75" t="s">
        <v>52</v>
      </c>
      <c r="F186" s="78" t="s">
        <v>567</v>
      </c>
      <c r="G186" s="169" t="s">
        <v>192</v>
      </c>
    </row>
    <row r="187" ht="19.5" customHeight="1">
      <c r="A187" s="76"/>
      <c r="B187" s="82">
        <v>46079.0</v>
      </c>
      <c r="C187" s="72">
        <v>7335.0</v>
      </c>
      <c r="D187" s="72"/>
      <c r="E187" s="75" t="s">
        <v>52</v>
      </c>
      <c r="F187" s="78" t="s">
        <v>569</v>
      </c>
      <c r="G187" s="169" t="s">
        <v>192</v>
      </c>
    </row>
    <row r="188" ht="19.5" customHeight="1">
      <c r="A188" s="76"/>
      <c r="B188" s="82">
        <v>46080.0</v>
      </c>
      <c r="C188" s="72">
        <v>13937.62</v>
      </c>
      <c r="D188" s="72"/>
      <c r="E188" s="75" t="s">
        <v>157</v>
      </c>
      <c r="F188" s="85" t="s">
        <v>574</v>
      </c>
      <c r="G188" s="169" t="s">
        <v>192</v>
      </c>
    </row>
    <row r="189" ht="19.5" customHeight="1">
      <c r="A189" s="76"/>
      <c r="B189" s="82">
        <v>46081.0</v>
      </c>
      <c r="C189" s="72">
        <v>148600.88</v>
      </c>
      <c r="D189" s="72"/>
      <c r="E189" s="75" t="s">
        <v>36</v>
      </c>
      <c r="F189" s="85" t="s">
        <v>579</v>
      </c>
      <c r="G189" s="169" t="s">
        <v>192</v>
      </c>
    </row>
    <row r="190" ht="19.5" customHeight="1">
      <c r="A190" s="76"/>
      <c r="B190" s="82">
        <v>46081.0</v>
      </c>
      <c r="C190" s="72">
        <v>10844.4</v>
      </c>
      <c r="D190" s="72"/>
      <c r="E190" s="75" t="s">
        <v>582</v>
      </c>
      <c r="F190" s="85" t="s">
        <v>579</v>
      </c>
      <c r="G190" s="169" t="s">
        <v>192</v>
      </c>
    </row>
    <row r="191" ht="19.5" customHeight="1">
      <c r="A191" s="76"/>
      <c r="B191" s="82">
        <v>46081.0</v>
      </c>
      <c r="C191" s="72">
        <v>12307.0</v>
      </c>
      <c r="D191" s="72"/>
      <c r="E191" s="75" t="s">
        <v>52</v>
      </c>
      <c r="F191" s="78" t="s">
        <v>584</v>
      </c>
      <c r="G191" s="169" t="s">
        <v>192</v>
      </c>
    </row>
    <row r="192" ht="19.5" customHeight="1">
      <c r="A192" s="76"/>
      <c r="B192" s="82">
        <v>46081.0</v>
      </c>
      <c r="C192" s="72">
        <v>12572.0</v>
      </c>
      <c r="D192" s="72"/>
      <c r="E192" s="75" t="s">
        <v>52</v>
      </c>
      <c r="F192" s="78" t="s">
        <v>587</v>
      </c>
      <c r="G192" s="169" t="s">
        <v>192</v>
      </c>
    </row>
    <row r="193" ht="19.5" customHeight="1">
      <c r="A193" s="76"/>
      <c r="B193" s="82">
        <v>46082.0</v>
      </c>
      <c r="C193" s="72">
        <v>51714.66</v>
      </c>
      <c r="D193" s="72"/>
      <c r="E193" s="75" t="s">
        <v>36</v>
      </c>
      <c r="F193" s="85" t="s">
        <v>590</v>
      </c>
      <c r="G193" s="169" t="s">
        <v>192</v>
      </c>
    </row>
    <row r="194" ht="19.5" customHeight="1">
      <c r="A194" s="76"/>
      <c r="B194" s="82">
        <v>46082.0</v>
      </c>
      <c r="C194" s="72">
        <v>14154.0</v>
      </c>
      <c r="D194" s="72"/>
      <c r="E194" s="75" t="s">
        <v>52</v>
      </c>
      <c r="F194" s="78" t="s">
        <v>587</v>
      </c>
      <c r="G194" s="169" t="s">
        <v>192</v>
      </c>
    </row>
    <row r="195" ht="19.5" customHeight="1">
      <c r="A195" s="76"/>
      <c r="B195" s="82">
        <v>46082.0</v>
      </c>
      <c r="C195" s="72">
        <v>12823.0</v>
      </c>
      <c r="D195" s="72"/>
      <c r="E195" s="75" t="s">
        <v>52</v>
      </c>
      <c r="F195" s="78" t="s">
        <v>587</v>
      </c>
      <c r="G195" s="169" t="s">
        <v>192</v>
      </c>
    </row>
    <row r="196" ht="19.5" customHeight="1">
      <c r="A196" s="76"/>
      <c r="B196" s="82">
        <v>46083.0</v>
      </c>
      <c r="C196" s="72">
        <v>43348.99</v>
      </c>
      <c r="D196" s="72"/>
      <c r="E196" s="75" t="s">
        <v>592</v>
      </c>
      <c r="F196" s="85" t="s">
        <v>594</v>
      </c>
      <c r="G196" s="169" t="s">
        <v>192</v>
      </c>
    </row>
    <row r="197" ht="19.5" customHeight="1">
      <c r="A197" s="76"/>
      <c r="B197" s="82">
        <v>46083.0</v>
      </c>
      <c r="C197" s="72">
        <v>499999.0</v>
      </c>
      <c r="D197" s="72"/>
      <c r="E197" s="75" t="s">
        <v>597</v>
      </c>
      <c r="F197" s="85" t="s">
        <v>599</v>
      </c>
      <c r="G197" s="169" t="s">
        <v>192</v>
      </c>
    </row>
    <row r="198" ht="19.5" customHeight="1">
      <c r="A198" s="76"/>
      <c r="B198" s="82">
        <v>46084.0</v>
      </c>
      <c r="C198" s="72">
        <v>44401.5</v>
      </c>
      <c r="D198" s="72"/>
      <c r="E198" s="75" t="s">
        <v>36</v>
      </c>
      <c r="F198" s="85" t="s">
        <v>601</v>
      </c>
      <c r="G198" s="169" t="s">
        <v>192</v>
      </c>
    </row>
    <row r="199" ht="19.5" customHeight="1">
      <c r="A199" s="76"/>
      <c r="B199" s="82">
        <v>46084.0</v>
      </c>
      <c r="C199" s="72">
        <v>13587.73</v>
      </c>
      <c r="D199" s="72"/>
      <c r="E199" s="75" t="s">
        <v>529</v>
      </c>
      <c r="F199" s="85" t="s">
        <v>603</v>
      </c>
      <c r="G199" s="169" t="s">
        <v>192</v>
      </c>
    </row>
    <row r="200" ht="19.5" customHeight="1">
      <c r="A200" s="76"/>
      <c r="B200" s="82">
        <v>46084.0</v>
      </c>
      <c r="C200" s="72">
        <v>3858.0</v>
      </c>
      <c r="D200" s="72"/>
      <c r="E200" s="75" t="s">
        <v>52</v>
      </c>
      <c r="F200" s="78" t="s">
        <v>567</v>
      </c>
      <c r="G200" s="169" t="s">
        <v>192</v>
      </c>
    </row>
    <row r="201" ht="19.5" customHeight="1">
      <c r="A201" s="76"/>
      <c r="B201" s="82">
        <v>46084.0</v>
      </c>
      <c r="C201" s="72">
        <v>13933.0</v>
      </c>
      <c r="D201" s="72"/>
      <c r="E201" s="75" t="s">
        <v>52</v>
      </c>
      <c r="F201" s="78" t="s">
        <v>608</v>
      </c>
      <c r="G201" s="169" t="s">
        <v>192</v>
      </c>
    </row>
    <row r="202" ht="19.5" customHeight="1">
      <c r="A202" s="76"/>
      <c r="B202" s="82">
        <v>46084.0</v>
      </c>
      <c r="C202" s="72">
        <v>7621.0</v>
      </c>
      <c r="D202" s="72"/>
      <c r="E202" s="75" t="s">
        <v>52</v>
      </c>
      <c r="F202" s="78" t="s">
        <v>614</v>
      </c>
      <c r="G202" s="169" t="s">
        <v>192</v>
      </c>
    </row>
    <row r="203" ht="19.5" customHeight="1">
      <c r="A203" s="76"/>
      <c r="B203" s="82">
        <v>46084.0</v>
      </c>
      <c r="C203" s="72">
        <v>10985.0</v>
      </c>
      <c r="D203" s="72"/>
      <c r="E203" s="75" t="s">
        <v>52</v>
      </c>
      <c r="F203" s="78" t="s">
        <v>617</v>
      </c>
      <c r="G203" s="169" t="s">
        <v>192</v>
      </c>
    </row>
    <row r="204" ht="19.5" customHeight="1">
      <c r="A204" s="76"/>
      <c r="B204" s="82">
        <v>46084.0</v>
      </c>
      <c r="C204" s="72">
        <v>12903.0</v>
      </c>
      <c r="D204" s="72"/>
      <c r="E204" s="75" t="s">
        <v>52</v>
      </c>
      <c r="F204" s="78" t="s">
        <v>584</v>
      </c>
      <c r="G204" s="169" t="s">
        <v>192</v>
      </c>
    </row>
    <row r="205" ht="19.5" customHeight="1">
      <c r="A205" s="76"/>
      <c r="B205" s="82">
        <v>46084.0</v>
      </c>
      <c r="C205" s="72">
        <v>12749.0</v>
      </c>
      <c r="D205" s="72"/>
      <c r="E205" s="75" t="s">
        <v>52</v>
      </c>
      <c r="F205" s="78" t="s">
        <v>622</v>
      </c>
      <c r="G205" s="169" t="s">
        <v>192</v>
      </c>
    </row>
    <row r="206" ht="19.5" customHeight="1">
      <c r="A206" s="76"/>
      <c r="B206" s="82">
        <v>46084.0</v>
      </c>
      <c r="C206" s="72">
        <v>4194.0</v>
      </c>
      <c r="D206" s="72"/>
      <c r="E206" s="75" t="s">
        <v>52</v>
      </c>
      <c r="F206" s="78" t="s">
        <v>623</v>
      </c>
      <c r="G206" s="169" t="s">
        <v>192</v>
      </c>
    </row>
    <row r="207" ht="19.5" customHeight="1">
      <c r="A207" s="76"/>
      <c r="B207" s="82">
        <v>46084.0</v>
      </c>
      <c r="C207" s="72">
        <v>7707.0</v>
      </c>
      <c r="D207" s="72"/>
      <c r="E207" s="75" t="s">
        <v>52</v>
      </c>
      <c r="F207" s="78" t="s">
        <v>625</v>
      </c>
      <c r="G207" s="169" t="s">
        <v>192</v>
      </c>
    </row>
    <row r="208" ht="19.5" customHeight="1">
      <c r="A208" s="76"/>
      <c r="B208" s="82">
        <v>46084.0</v>
      </c>
      <c r="C208" s="72">
        <v>37972.0</v>
      </c>
      <c r="D208" s="72"/>
      <c r="E208" s="75" t="s">
        <v>52</v>
      </c>
      <c r="F208" s="78" t="s">
        <v>587</v>
      </c>
      <c r="G208" s="169" t="s">
        <v>192</v>
      </c>
    </row>
    <row r="209" ht="19.5" customHeight="1">
      <c r="A209" s="76"/>
      <c r="B209" s="82">
        <v>46084.0</v>
      </c>
      <c r="C209" s="72">
        <v>10934.0</v>
      </c>
      <c r="D209" s="72"/>
      <c r="E209" s="75" t="s">
        <v>52</v>
      </c>
      <c r="F209" s="78" t="s">
        <v>631</v>
      </c>
      <c r="G209" s="169" t="s">
        <v>192</v>
      </c>
    </row>
    <row r="210" ht="19.5" customHeight="1">
      <c r="A210" s="76"/>
      <c r="B210" s="82">
        <v>46084.0</v>
      </c>
      <c r="C210" s="72">
        <v>13255.0</v>
      </c>
      <c r="D210" s="72"/>
      <c r="E210" s="75" t="s">
        <v>52</v>
      </c>
      <c r="F210" s="78" t="s">
        <v>634</v>
      </c>
      <c r="G210" s="169" t="s">
        <v>192</v>
      </c>
    </row>
    <row r="211" ht="19.5" customHeight="1">
      <c r="A211" s="76"/>
      <c r="B211" s="82">
        <v>46084.0</v>
      </c>
      <c r="C211" s="72">
        <v>157620.26</v>
      </c>
      <c r="D211" s="72"/>
      <c r="E211" s="89" t="s">
        <v>95</v>
      </c>
      <c r="F211" s="85" t="s">
        <v>639</v>
      </c>
      <c r="G211" s="169" t="s">
        <v>192</v>
      </c>
    </row>
    <row r="212" ht="19.5" customHeight="1">
      <c r="A212" s="76"/>
      <c r="B212" s="82">
        <v>46085.0</v>
      </c>
      <c r="C212" s="72">
        <v>37541.76</v>
      </c>
      <c r="D212" s="72"/>
      <c r="E212" s="75" t="s">
        <v>36</v>
      </c>
      <c r="F212" s="85" t="s">
        <v>548</v>
      </c>
      <c r="G212" s="169" t="s">
        <v>192</v>
      </c>
    </row>
    <row r="213" ht="19.5" customHeight="1">
      <c r="A213" s="76"/>
      <c r="B213" s="82">
        <v>46085.0</v>
      </c>
      <c r="C213" s="72">
        <v>8345.22</v>
      </c>
      <c r="D213" s="72"/>
      <c r="E213" s="75" t="s">
        <v>503</v>
      </c>
      <c r="F213" s="85" t="s">
        <v>649</v>
      </c>
      <c r="G213" s="169" t="s">
        <v>192</v>
      </c>
    </row>
    <row r="214" ht="19.5" customHeight="1">
      <c r="A214" s="76"/>
      <c r="B214" s="82">
        <v>46085.0</v>
      </c>
      <c r="C214" s="72">
        <v>16295.0</v>
      </c>
      <c r="D214" s="72"/>
      <c r="E214" s="75" t="s">
        <v>52</v>
      </c>
      <c r="F214" s="78" t="s">
        <v>584</v>
      </c>
      <c r="G214" s="169" t="s">
        <v>192</v>
      </c>
    </row>
    <row r="215" ht="19.5" customHeight="1">
      <c r="A215" s="76"/>
      <c r="B215" s="82">
        <v>46085.0</v>
      </c>
      <c r="C215" s="72">
        <v>14187.0</v>
      </c>
      <c r="D215" s="72"/>
      <c r="E215" s="75" t="s">
        <v>52</v>
      </c>
      <c r="F215" s="78" t="s">
        <v>653</v>
      </c>
      <c r="G215" s="169" t="s">
        <v>192</v>
      </c>
    </row>
    <row r="216" ht="19.5" customHeight="1">
      <c r="A216" s="76"/>
      <c r="B216" s="82">
        <v>46085.0</v>
      </c>
      <c r="C216" s="72">
        <v>3393.0</v>
      </c>
      <c r="D216" s="72"/>
      <c r="E216" s="75" t="s">
        <v>52</v>
      </c>
      <c r="F216" s="78" t="s">
        <v>623</v>
      </c>
      <c r="G216" s="169" t="s">
        <v>192</v>
      </c>
    </row>
    <row r="217" ht="19.5" customHeight="1">
      <c r="A217" s="76"/>
      <c r="B217" s="82">
        <v>46085.0</v>
      </c>
      <c r="C217" s="72">
        <v>12917.0</v>
      </c>
      <c r="D217" s="72"/>
      <c r="E217" s="75" t="s">
        <v>52</v>
      </c>
      <c r="F217" s="78" t="s">
        <v>653</v>
      </c>
      <c r="G217" s="169" t="s">
        <v>192</v>
      </c>
    </row>
    <row r="218" ht="19.5" customHeight="1">
      <c r="A218" s="76"/>
      <c r="B218" s="82">
        <v>46085.0</v>
      </c>
      <c r="C218" s="72">
        <v>6582.0</v>
      </c>
      <c r="D218" s="72"/>
      <c r="E218" s="75" t="s">
        <v>52</v>
      </c>
      <c r="F218" s="78" t="s">
        <v>625</v>
      </c>
      <c r="G218" s="169" t="s">
        <v>192</v>
      </c>
    </row>
    <row r="219" ht="19.5" customHeight="1">
      <c r="A219" s="76"/>
      <c r="B219" s="82">
        <v>46085.0</v>
      </c>
      <c r="C219" s="72">
        <v>7510.0</v>
      </c>
      <c r="D219" s="72"/>
      <c r="E219" s="75" t="s">
        <v>52</v>
      </c>
      <c r="F219" s="78" t="s">
        <v>625</v>
      </c>
      <c r="G219" s="169" t="s">
        <v>192</v>
      </c>
    </row>
    <row r="220" ht="19.5" customHeight="1">
      <c r="A220" s="76"/>
      <c r="B220" s="82">
        <v>46085.0</v>
      </c>
      <c r="C220" s="189">
        <v>-28794.17</v>
      </c>
      <c r="D220" s="72"/>
      <c r="E220" s="75" t="s">
        <v>149</v>
      </c>
      <c r="F220" s="85" t="s">
        <v>659</v>
      </c>
      <c r="G220" s="169" t="s">
        <v>192</v>
      </c>
    </row>
    <row r="221" ht="19.5" customHeight="1">
      <c r="A221" s="76"/>
      <c r="B221" s="82">
        <v>46086.0</v>
      </c>
      <c r="C221" s="72">
        <v>43972.5</v>
      </c>
      <c r="D221" s="72"/>
      <c r="E221" s="75" t="s">
        <v>36</v>
      </c>
      <c r="F221" s="85" t="s">
        <v>662</v>
      </c>
      <c r="G221" s="169" t="s">
        <v>192</v>
      </c>
    </row>
    <row r="222" ht="19.5" customHeight="1">
      <c r="A222" s="76"/>
      <c r="B222" s="82">
        <v>46086.0</v>
      </c>
      <c r="C222" s="72">
        <v>193212.5</v>
      </c>
      <c r="D222" s="72"/>
      <c r="E222" s="75" t="s">
        <v>36</v>
      </c>
      <c r="F222" s="85" t="s">
        <v>666</v>
      </c>
      <c r="G222" s="169" t="s">
        <v>192</v>
      </c>
    </row>
    <row r="223" ht="19.5" customHeight="1">
      <c r="A223" s="76"/>
      <c r="B223" s="82">
        <v>46086.0</v>
      </c>
      <c r="C223" s="72">
        <v>263835.0</v>
      </c>
      <c r="D223" s="72"/>
      <c r="E223" s="75" t="s">
        <v>36</v>
      </c>
      <c r="F223" s="85" t="s">
        <v>668</v>
      </c>
      <c r="G223" s="169" t="s">
        <v>192</v>
      </c>
    </row>
    <row r="224" ht="19.5" customHeight="1">
      <c r="A224" s="76"/>
      <c r="B224" s="82">
        <v>46086.0</v>
      </c>
      <c r="C224" s="72">
        <v>43972.5</v>
      </c>
      <c r="D224" s="72"/>
      <c r="E224" s="75" t="s">
        <v>36</v>
      </c>
      <c r="F224" s="85" t="s">
        <v>670</v>
      </c>
      <c r="G224" s="169" t="s">
        <v>192</v>
      </c>
    </row>
    <row r="225" ht="19.5" customHeight="1">
      <c r="A225" s="76"/>
      <c r="B225" s="82">
        <v>46086.0</v>
      </c>
      <c r="C225" s="72">
        <v>8053.79</v>
      </c>
      <c r="D225" s="72"/>
      <c r="E225" s="75" t="s">
        <v>672</v>
      </c>
      <c r="F225" s="78" t="s">
        <v>674</v>
      </c>
      <c r="G225" s="169" t="s">
        <v>192</v>
      </c>
    </row>
    <row r="226" ht="19.5" customHeight="1">
      <c r="A226" s="76"/>
      <c r="B226" s="82">
        <v>46086.0</v>
      </c>
      <c r="C226" s="72">
        <v>14327.0</v>
      </c>
      <c r="D226" s="72"/>
      <c r="E226" s="75" t="s">
        <v>52</v>
      </c>
      <c r="F226" s="78" t="s">
        <v>587</v>
      </c>
      <c r="G226" s="169" t="s">
        <v>192</v>
      </c>
    </row>
    <row r="227" ht="19.5" customHeight="1">
      <c r="A227" s="76"/>
      <c r="B227" s="82">
        <v>46086.0</v>
      </c>
      <c r="C227" s="72">
        <v>6127.0</v>
      </c>
      <c r="D227" s="72"/>
      <c r="E227" s="75" t="s">
        <v>52</v>
      </c>
      <c r="F227" s="78" t="s">
        <v>625</v>
      </c>
      <c r="G227" s="169" t="s">
        <v>192</v>
      </c>
    </row>
    <row r="228" ht="19.5" customHeight="1">
      <c r="A228" s="76"/>
      <c r="B228" s="82">
        <v>46086.0</v>
      </c>
      <c r="C228" s="72">
        <v>20812.0</v>
      </c>
      <c r="D228" s="72"/>
      <c r="E228" s="75" t="s">
        <v>52</v>
      </c>
      <c r="F228" s="78" t="s">
        <v>634</v>
      </c>
      <c r="G228" s="169" t="s">
        <v>192</v>
      </c>
    </row>
    <row r="229" ht="21.0" customHeight="1">
      <c r="A229" s="76"/>
      <c r="B229" s="82">
        <v>46086.0</v>
      </c>
      <c r="C229" s="72">
        <v>8965.0</v>
      </c>
      <c r="D229" s="72"/>
      <c r="E229" s="75" t="s">
        <v>52</v>
      </c>
      <c r="F229" s="78" t="s">
        <v>676</v>
      </c>
      <c r="G229" s="169" t="s">
        <v>192</v>
      </c>
    </row>
    <row r="230" ht="19.5" customHeight="1">
      <c r="A230" s="76"/>
      <c r="B230" s="82">
        <v>46086.0</v>
      </c>
      <c r="C230" s="72">
        <v>15641.0</v>
      </c>
      <c r="D230" s="72"/>
      <c r="E230" s="75" t="s">
        <v>52</v>
      </c>
      <c r="F230" s="78" t="s">
        <v>678</v>
      </c>
      <c r="G230" s="169" t="s">
        <v>192</v>
      </c>
    </row>
    <row r="231" ht="19.5" customHeight="1">
      <c r="A231" s="76"/>
      <c r="B231" s="82">
        <v>46086.0</v>
      </c>
      <c r="C231" s="72">
        <v>3829.0</v>
      </c>
      <c r="D231" s="72"/>
      <c r="E231" s="75" t="s">
        <v>52</v>
      </c>
      <c r="F231" s="78" t="s">
        <v>623</v>
      </c>
      <c r="G231" s="169" t="s">
        <v>192</v>
      </c>
    </row>
    <row r="232" ht="19.5" customHeight="1">
      <c r="A232" s="76"/>
      <c r="B232" s="82">
        <v>46086.0</v>
      </c>
      <c r="C232" s="72">
        <v>8284.0</v>
      </c>
      <c r="D232" s="72"/>
      <c r="E232" s="75" t="s">
        <v>52</v>
      </c>
      <c r="F232" s="78" t="s">
        <v>681</v>
      </c>
      <c r="G232" s="169" t="s">
        <v>192</v>
      </c>
    </row>
    <row r="233" ht="19.5" customHeight="1">
      <c r="A233" s="76"/>
      <c r="B233" s="82">
        <v>46086.0</v>
      </c>
      <c r="C233" s="72">
        <v>6947.0</v>
      </c>
      <c r="D233" s="72"/>
      <c r="E233" s="75" t="s">
        <v>52</v>
      </c>
      <c r="F233" s="78" t="s">
        <v>567</v>
      </c>
      <c r="G233" s="169" t="s">
        <v>192</v>
      </c>
    </row>
    <row r="234" ht="19.5" customHeight="1">
      <c r="A234" s="76"/>
      <c r="B234" s="82">
        <v>46086.0</v>
      </c>
      <c r="C234" s="189">
        <v>-26650.0</v>
      </c>
      <c r="D234" s="72"/>
      <c r="E234" s="75" t="s">
        <v>36</v>
      </c>
      <c r="F234" s="85" t="s">
        <v>686</v>
      </c>
      <c r="G234" s="169" t="s">
        <v>192</v>
      </c>
    </row>
    <row r="235" ht="19.5" customHeight="1">
      <c r="A235" s="76"/>
      <c r="B235" s="82">
        <v>46087.0</v>
      </c>
      <c r="C235" s="72">
        <v>23537.8</v>
      </c>
      <c r="D235" s="72"/>
      <c r="E235" s="75" t="s">
        <v>687</v>
      </c>
      <c r="F235" s="85" t="s">
        <v>688</v>
      </c>
      <c r="G235" s="169" t="s">
        <v>192</v>
      </c>
    </row>
    <row r="236" ht="19.5" customHeight="1">
      <c r="A236" s="76"/>
      <c r="B236" s="82">
        <v>46087.0</v>
      </c>
      <c r="C236" s="72">
        <v>60000.0</v>
      </c>
      <c r="D236" s="72"/>
      <c r="E236" s="75" t="s">
        <v>689</v>
      </c>
      <c r="F236" s="85" t="s">
        <v>690</v>
      </c>
      <c r="G236" s="169" t="s">
        <v>192</v>
      </c>
    </row>
    <row r="237" ht="19.5" customHeight="1">
      <c r="A237" s="76"/>
      <c r="B237" s="82">
        <v>46087.0</v>
      </c>
      <c r="C237" s="72">
        <v>6970.13</v>
      </c>
      <c r="D237" s="72"/>
      <c r="E237" s="75" t="s">
        <v>691</v>
      </c>
      <c r="F237" s="78" t="s">
        <v>674</v>
      </c>
      <c r="G237" s="169" t="s">
        <v>192</v>
      </c>
    </row>
    <row r="238" ht="19.5" customHeight="1">
      <c r="A238" s="76"/>
      <c r="B238" s="82">
        <v>46089.0</v>
      </c>
      <c r="C238" s="72">
        <v>44401.5</v>
      </c>
      <c r="D238" s="72"/>
      <c r="E238" s="75" t="s">
        <v>143</v>
      </c>
      <c r="F238" s="85" t="s">
        <v>692</v>
      </c>
      <c r="G238" s="169" t="s">
        <v>192</v>
      </c>
    </row>
    <row r="239" ht="19.5" customHeight="1">
      <c r="A239" s="76"/>
      <c r="B239" s="82">
        <v>46090.0</v>
      </c>
      <c r="C239" s="72">
        <v>53495.0</v>
      </c>
      <c r="D239" s="72"/>
      <c r="E239" s="75" t="s">
        <v>471</v>
      </c>
      <c r="F239" s="85" t="s">
        <v>693</v>
      </c>
      <c r="G239" s="169" t="s">
        <v>192</v>
      </c>
    </row>
    <row r="240" ht="19.5" customHeight="1">
      <c r="A240" s="76"/>
      <c r="B240" s="82">
        <v>46090.0</v>
      </c>
      <c r="C240" s="72">
        <v>29063.0</v>
      </c>
      <c r="D240" s="72"/>
      <c r="E240" s="75" t="s">
        <v>52</v>
      </c>
      <c r="F240" s="78" t="s">
        <v>634</v>
      </c>
      <c r="G240" s="169" t="s">
        <v>192</v>
      </c>
    </row>
    <row r="241" ht="19.5" customHeight="1">
      <c r="A241" s="76"/>
      <c r="B241" s="82">
        <v>46090.0</v>
      </c>
      <c r="C241" s="72">
        <v>5478.0</v>
      </c>
      <c r="D241" s="72"/>
      <c r="E241" s="75" t="s">
        <v>52</v>
      </c>
      <c r="F241" s="78" t="s">
        <v>567</v>
      </c>
      <c r="G241" s="169" t="s">
        <v>192</v>
      </c>
    </row>
    <row r="242" ht="19.5" customHeight="1">
      <c r="A242" s="76"/>
      <c r="B242" s="82">
        <v>46091.0</v>
      </c>
      <c r="C242" s="72">
        <v>44401.5</v>
      </c>
      <c r="D242" s="72"/>
      <c r="E242" s="75" t="s">
        <v>36</v>
      </c>
      <c r="F242" s="85" t="s">
        <v>697</v>
      </c>
      <c r="G242" s="169" t="s">
        <v>192</v>
      </c>
    </row>
    <row r="243" ht="19.5" customHeight="1">
      <c r="A243" s="76"/>
      <c r="B243" s="82">
        <v>46091.0</v>
      </c>
      <c r="C243" s="72">
        <v>88803.0</v>
      </c>
      <c r="D243" s="72"/>
      <c r="E243" s="75" t="s">
        <v>36</v>
      </c>
      <c r="F243" s="85" t="s">
        <v>698</v>
      </c>
      <c r="G243" s="169" t="s">
        <v>192</v>
      </c>
    </row>
    <row r="244" ht="19.5" customHeight="1">
      <c r="A244" s="76"/>
      <c r="B244" s="82">
        <v>46091.0</v>
      </c>
      <c r="C244" s="72">
        <v>15295.0</v>
      </c>
      <c r="D244" s="72"/>
      <c r="E244" s="75" t="s">
        <v>52</v>
      </c>
      <c r="F244" s="78" t="s">
        <v>700</v>
      </c>
      <c r="G244" s="169" t="s">
        <v>192</v>
      </c>
    </row>
    <row r="245" ht="19.5" customHeight="1">
      <c r="A245" s="76"/>
      <c r="B245" s="82">
        <v>46091.0</v>
      </c>
      <c r="C245" s="189">
        <v>-35190.0</v>
      </c>
      <c r="D245" s="72"/>
      <c r="E245" s="75" t="s">
        <v>36</v>
      </c>
      <c r="F245" s="85" t="s">
        <v>702</v>
      </c>
      <c r="G245" s="169" t="s">
        <v>192</v>
      </c>
    </row>
    <row r="246" ht="19.5" customHeight="1">
      <c r="A246" s="76"/>
      <c r="B246" s="82">
        <v>46092.0</v>
      </c>
      <c r="C246" s="72">
        <v>235950.0</v>
      </c>
      <c r="D246" s="72"/>
      <c r="E246" s="75" t="s">
        <v>36</v>
      </c>
      <c r="F246" s="85" t="s">
        <v>704</v>
      </c>
      <c r="G246" s="169" t="s">
        <v>192</v>
      </c>
    </row>
    <row r="247" ht="19.5" customHeight="1">
      <c r="A247" s="76"/>
      <c r="B247" s="82">
        <v>46092.0</v>
      </c>
      <c r="C247" s="72">
        <v>34600.0</v>
      </c>
      <c r="D247" s="72"/>
      <c r="E247" s="75" t="s">
        <v>706</v>
      </c>
      <c r="F247" s="85" t="s">
        <v>707</v>
      </c>
      <c r="G247" s="169" t="s">
        <v>192</v>
      </c>
    </row>
    <row r="248" ht="19.5" customHeight="1">
      <c r="A248" s="76"/>
      <c r="B248" s="82">
        <v>46094.0</v>
      </c>
      <c r="C248" s="72">
        <v>60703.5</v>
      </c>
      <c r="D248" s="72"/>
      <c r="E248" s="75" t="s">
        <v>36</v>
      </c>
      <c r="F248" s="85" t="s">
        <v>708</v>
      </c>
      <c r="G248" s="169" t="s">
        <v>192</v>
      </c>
    </row>
    <row r="249" ht="19.5" customHeight="1">
      <c r="A249" s="76"/>
      <c r="B249" s="82">
        <v>46094.0</v>
      </c>
      <c r="C249" s="72">
        <v>46045.0</v>
      </c>
      <c r="D249" s="72"/>
      <c r="E249" s="75" t="s">
        <v>36</v>
      </c>
      <c r="F249" s="85" t="s">
        <v>294</v>
      </c>
      <c r="G249" s="169" t="s">
        <v>192</v>
      </c>
    </row>
    <row r="250" ht="19.5" customHeight="1">
      <c r="A250" s="76"/>
      <c r="B250" s="82">
        <v>46095.0</v>
      </c>
      <c r="C250" s="72">
        <v>81437.5</v>
      </c>
      <c r="D250" s="72"/>
      <c r="E250" s="75" t="s">
        <v>36</v>
      </c>
      <c r="F250" s="85" t="s">
        <v>710</v>
      </c>
      <c r="G250" s="169" t="s">
        <v>192</v>
      </c>
    </row>
    <row r="251" ht="19.5" customHeight="1">
      <c r="A251" s="76"/>
      <c r="B251" s="82">
        <v>46096.0</v>
      </c>
      <c r="C251" s="72">
        <v>55770.0</v>
      </c>
      <c r="D251" s="72"/>
      <c r="E251" s="75" t="s">
        <v>36</v>
      </c>
      <c r="F251" s="85" t="s">
        <v>712</v>
      </c>
      <c r="G251" s="169" t="s">
        <v>192</v>
      </c>
    </row>
    <row r="252" ht="19.5" customHeight="1">
      <c r="A252" s="76"/>
      <c r="B252" s="82">
        <v>46096.0</v>
      </c>
      <c r="C252" s="72">
        <v>11357.0</v>
      </c>
      <c r="D252" s="72"/>
      <c r="E252" s="75" t="s">
        <v>52</v>
      </c>
      <c r="F252" s="78" t="s">
        <v>567</v>
      </c>
      <c r="G252" s="169" t="s">
        <v>192</v>
      </c>
    </row>
    <row r="253" ht="19.5" customHeight="1">
      <c r="A253" s="76"/>
      <c r="B253" s="82">
        <v>46097.0</v>
      </c>
      <c r="C253" s="72">
        <v>5045.0</v>
      </c>
      <c r="D253" s="72"/>
      <c r="E253" s="75" t="s">
        <v>52</v>
      </c>
      <c r="F253" s="78" t="s">
        <v>714</v>
      </c>
      <c r="G253" s="169" t="s">
        <v>192</v>
      </c>
    </row>
    <row r="254" ht="19.5" customHeight="1">
      <c r="A254" s="76"/>
      <c r="B254" s="82">
        <v>46097.0</v>
      </c>
      <c r="C254" s="72">
        <v>14776.0</v>
      </c>
      <c r="D254" s="72"/>
      <c r="E254" s="75" t="s">
        <v>52</v>
      </c>
      <c r="F254" s="78" t="s">
        <v>715</v>
      </c>
      <c r="G254" s="169" t="s">
        <v>192</v>
      </c>
    </row>
    <row r="255" ht="19.5" customHeight="1">
      <c r="A255" s="76"/>
      <c r="B255" s="82">
        <v>46097.0</v>
      </c>
      <c r="C255" s="72">
        <v>17797.0</v>
      </c>
      <c r="D255" s="72"/>
      <c r="E255" s="75" t="s">
        <v>52</v>
      </c>
      <c r="F255" s="78" t="s">
        <v>332</v>
      </c>
      <c r="G255" s="169" t="s">
        <v>192</v>
      </c>
    </row>
    <row r="256" ht="19.5" customHeight="1">
      <c r="A256" s="76"/>
      <c r="B256" s="82">
        <v>46098.0</v>
      </c>
      <c r="C256" s="72">
        <v>33800.0</v>
      </c>
      <c r="D256" s="72"/>
      <c r="E256" s="75" t="s">
        <v>706</v>
      </c>
      <c r="F256" s="85" t="s">
        <v>707</v>
      </c>
      <c r="G256" s="169" t="s">
        <v>192</v>
      </c>
    </row>
    <row r="257" ht="19.5" customHeight="1">
      <c r="A257" s="76"/>
      <c r="B257" s="82">
        <v>46098.0</v>
      </c>
      <c r="C257" s="72">
        <v>8935.0</v>
      </c>
      <c r="D257" s="72"/>
      <c r="E257" s="75" t="s">
        <v>52</v>
      </c>
      <c r="F257" s="78" t="s">
        <v>719</v>
      </c>
      <c r="G257" s="169" t="s">
        <v>192</v>
      </c>
    </row>
    <row r="258" ht="19.5" customHeight="1">
      <c r="A258" s="76"/>
      <c r="B258" s="82">
        <v>46099.0</v>
      </c>
      <c r="C258" s="72">
        <v>4988.0</v>
      </c>
      <c r="D258" s="72"/>
      <c r="E258" s="75" t="s">
        <v>52</v>
      </c>
      <c r="F258" s="78" t="s">
        <v>721</v>
      </c>
      <c r="G258" s="169" t="s">
        <v>192</v>
      </c>
    </row>
    <row r="259" ht="19.5" customHeight="1">
      <c r="A259" s="76"/>
      <c r="B259" s="82">
        <v>46102.0</v>
      </c>
      <c r="C259" s="72">
        <v>12838.8</v>
      </c>
      <c r="D259" s="72"/>
      <c r="E259" s="75" t="s">
        <v>722</v>
      </c>
      <c r="F259" s="85" t="s">
        <v>707</v>
      </c>
      <c r="G259" s="169" t="s">
        <v>192</v>
      </c>
    </row>
    <row r="260" ht="19.5" customHeight="1">
      <c r="A260" s="76"/>
      <c r="B260" s="82">
        <v>46103.0</v>
      </c>
      <c r="C260" s="72">
        <v>135135.0</v>
      </c>
      <c r="D260" s="58"/>
      <c r="E260" s="75" t="s">
        <v>36</v>
      </c>
      <c r="F260" s="85" t="s">
        <v>724</v>
      </c>
      <c r="G260" s="169" t="s">
        <v>192</v>
      </c>
    </row>
    <row r="261" ht="19.5" customHeight="1">
      <c r="A261" s="43"/>
      <c r="B261" s="206">
        <v>46103.0</v>
      </c>
      <c r="C261" s="72"/>
      <c r="D261" s="58">
        <v>9.99</v>
      </c>
      <c r="E261" s="75" t="s">
        <v>725</v>
      </c>
      <c r="F261" s="208" t="s">
        <v>321</v>
      </c>
      <c r="G261" s="169" t="s">
        <v>192</v>
      </c>
    </row>
    <row r="262" ht="30.0" customHeight="1">
      <c r="A262" s="124" t="s">
        <v>163</v>
      </c>
      <c r="B262" s="125"/>
      <c r="C262" s="127">
        <f t="shared" ref="C262:D262" si="6">SUM(C184:C261)</f>
        <v>3261969.62</v>
      </c>
      <c r="D262" s="152">
        <f t="shared" si="6"/>
        <v>9.99</v>
      </c>
      <c r="E262" s="128"/>
      <c r="F262" s="103"/>
      <c r="G262" s="104"/>
    </row>
    <row r="263" ht="4.5" customHeight="1">
      <c r="A263" s="212"/>
      <c r="B263" s="214"/>
      <c r="C263" s="214"/>
      <c r="D263" s="214"/>
      <c r="E263" s="214"/>
      <c r="F263" s="214"/>
      <c r="G263" s="215"/>
    </row>
    <row r="264" ht="19.5" customHeight="1">
      <c r="A264" s="156" t="s">
        <v>335</v>
      </c>
      <c r="B264" s="157">
        <v>46043.0</v>
      </c>
      <c r="C264" s="155">
        <v>38000.0</v>
      </c>
      <c r="D264" s="155"/>
      <c r="E264" s="59" t="s">
        <v>729</v>
      </c>
      <c r="F264" s="59" t="s">
        <v>403</v>
      </c>
      <c r="G264" s="95"/>
    </row>
    <row r="265" ht="19.5" customHeight="1">
      <c r="A265" s="167"/>
      <c r="B265" s="146">
        <v>46079.0</v>
      </c>
      <c r="C265" s="72">
        <v>25500.0</v>
      </c>
      <c r="D265" s="72"/>
      <c r="E265" s="75" t="s">
        <v>609</v>
      </c>
      <c r="F265" s="59" t="s">
        <v>733</v>
      </c>
      <c r="G265" s="95"/>
    </row>
    <row r="266" ht="19.5" customHeight="1">
      <c r="A266" s="167"/>
      <c r="B266" s="146">
        <v>46079.0</v>
      </c>
      <c r="C266" s="72">
        <v>33000.0</v>
      </c>
      <c r="D266" s="72"/>
      <c r="E266" s="75" t="s">
        <v>609</v>
      </c>
      <c r="F266" s="59" t="s">
        <v>733</v>
      </c>
      <c r="G266" s="95"/>
    </row>
    <row r="267" ht="19.5" customHeight="1">
      <c r="A267" s="167"/>
      <c r="B267" s="146">
        <v>46080.0</v>
      </c>
      <c r="C267" s="72">
        <v>11100.0</v>
      </c>
      <c r="D267" s="72"/>
      <c r="E267" s="75" t="s">
        <v>633</v>
      </c>
      <c r="F267" s="59"/>
      <c r="G267" s="95"/>
    </row>
    <row r="268" ht="19.5" customHeight="1">
      <c r="A268" s="167"/>
      <c r="B268" s="146">
        <v>46080.0</v>
      </c>
      <c r="C268" s="72">
        <v>8000.0</v>
      </c>
      <c r="D268" s="72"/>
      <c r="E268" s="75" t="s">
        <v>633</v>
      </c>
      <c r="F268" s="59"/>
      <c r="G268" s="95"/>
    </row>
    <row r="269" ht="19.5" customHeight="1">
      <c r="A269" s="167"/>
      <c r="B269" s="146">
        <v>46080.0</v>
      </c>
      <c r="C269" s="72">
        <v>10100.0</v>
      </c>
      <c r="D269" s="72"/>
      <c r="E269" s="75" t="s">
        <v>633</v>
      </c>
      <c r="F269" s="59" t="s">
        <v>738</v>
      </c>
      <c r="G269" s="95"/>
    </row>
    <row r="270" ht="19.5" customHeight="1">
      <c r="A270" s="167"/>
      <c r="B270" s="146">
        <v>46080.0</v>
      </c>
      <c r="C270" s="72">
        <v>9700.0</v>
      </c>
      <c r="D270" s="72"/>
      <c r="E270" s="75" t="s">
        <v>613</v>
      </c>
      <c r="F270" s="70" t="s">
        <v>739</v>
      </c>
      <c r="G270" s="95"/>
    </row>
    <row r="271" ht="19.5" customHeight="1">
      <c r="A271" s="167"/>
      <c r="B271" s="146">
        <v>46081.0</v>
      </c>
      <c r="C271" s="72">
        <v>25200.0</v>
      </c>
      <c r="D271" s="72"/>
      <c r="E271" s="75" t="s">
        <v>741</v>
      </c>
      <c r="F271" s="59"/>
      <c r="G271" s="95"/>
    </row>
    <row r="272" ht="19.5" customHeight="1">
      <c r="A272" s="167"/>
      <c r="B272" s="146">
        <v>46081.0</v>
      </c>
      <c r="C272" s="72">
        <v>8000.0</v>
      </c>
      <c r="D272" s="72"/>
      <c r="E272" s="75" t="s">
        <v>742</v>
      </c>
      <c r="F272" s="75"/>
      <c r="G272" s="80"/>
    </row>
    <row r="273" ht="19.5" customHeight="1">
      <c r="A273" s="167"/>
      <c r="B273" s="146">
        <v>46081.0</v>
      </c>
      <c r="C273" s="72">
        <v>15000.0</v>
      </c>
      <c r="D273" s="72"/>
      <c r="E273" s="75" t="s">
        <v>157</v>
      </c>
      <c r="F273" s="75" t="s">
        <v>744</v>
      </c>
      <c r="G273" s="80"/>
    </row>
    <row r="274" ht="19.5" customHeight="1">
      <c r="A274" s="167"/>
      <c r="B274" s="146">
        <v>46082.0</v>
      </c>
      <c r="C274" s="72">
        <v>23800.0</v>
      </c>
      <c r="D274" s="72"/>
      <c r="E274" s="75" t="s">
        <v>747</v>
      </c>
      <c r="F274" s="75" t="s">
        <v>748</v>
      </c>
      <c r="G274" s="80"/>
    </row>
    <row r="275" ht="19.5" customHeight="1">
      <c r="A275" s="167"/>
      <c r="B275" s="146">
        <v>46082.0</v>
      </c>
      <c r="C275" s="72">
        <v>71361.44</v>
      </c>
      <c r="D275" s="72"/>
      <c r="E275" s="75" t="s">
        <v>749</v>
      </c>
      <c r="F275" s="75" t="s">
        <v>750</v>
      </c>
      <c r="G275" s="80"/>
    </row>
    <row r="276" ht="19.5" customHeight="1">
      <c r="A276" s="167"/>
      <c r="B276" s="146">
        <v>46082.0</v>
      </c>
      <c r="C276" s="72">
        <v>16800.0</v>
      </c>
      <c r="D276" s="72"/>
      <c r="E276" s="75" t="s">
        <v>419</v>
      </c>
      <c r="F276" s="75" t="s">
        <v>751</v>
      </c>
      <c r="G276" s="80"/>
    </row>
    <row r="277" ht="19.5" customHeight="1">
      <c r="A277" s="167"/>
      <c r="B277" s="146">
        <v>46082.0</v>
      </c>
      <c r="C277" s="72">
        <v>6600.0</v>
      </c>
      <c r="D277" s="72"/>
      <c r="E277" s="75" t="s">
        <v>419</v>
      </c>
      <c r="F277" s="75"/>
      <c r="G277" s="80"/>
    </row>
    <row r="278" ht="19.5" customHeight="1">
      <c r="A278" s="167"/>
      <c r="B278" s="146">
        <v>46083.0</v>
      </c>
      <c r="C278" s="72">
        <v>24300.0</v>
      </c>
      <c r="D278" s="72"/>
      <c r="E278" s="75" t="s">
        <v>741</v>
      </c>
      <c r="F278" s="75" t="s">
        <v>753</v>
      </c>
      <c r="G278" s="80"/>
    </row>
    <row r="279" ht="19.5" customHeight="1">
      <c r="A279" s="167"/>
      <c r="B279" s="146">
        <v>46083.0</v>
      </c>
      <c r="C279" s="72">
        <v>38500.0</v>
      </c>
      <c r="D279" s="72"/>
      <c r="E279" s="75" t="s">
        <v>755</v>
      </c>
      <c r="F279" s="75" t="s">
        <v>756</v>
      </c>
      <c r="G279" s="80"/>
    </row>
    <row r="280" ht="19.5" customHeight="1">
      <c r="A280" s="167"/>
      <c r="B280" s="146">
        <v>46083.0</v>
      </c>
      <c r="C280" s="72">
        <v>18900.0</v>
      </c>
      <c r="D280" s="72"/>
      <c r="E280" s="75" t="s">
        <v>419</v>
      </c>
      <c r="F280" s="75" t="s">
        <v>757</v>
      </c>
      <c r="G280" s="80"/>
    </row>
    <row r="281" ht="19.5" customHeight="1">
      <c r="A281" s="167"/>
      <c r="B281" s="146">
        <v>46084.0</v>
      </c>
      <c r="C281" s="72">
        <v>22540.0</v>
      </c>
      <c r="D281" s="72"/>
      <c r="E281" s="75" t="s">
        <v>758</v>
      </c>
      <c r="F281" s="75" t="s">
        <v>759</v>
      </c>
      <c r="G281" s="80"/>
    </row>
    <row r="282" ht="19.5" customHeight="1">
      <c r="A282" s="167"/>
      <c r="B282" s="57">
        <v>46085.0</v>
      </c>
      <c r="C282" s="58">
        <v>9000.0</v>
      </c>
      <c r="D282" s="58"/>
      <c r="E282" s="59" t="s">
        <v>760</v>
      </c>
      <c r="F282" s="59" t="s">
        <v>726</v>
      </c>
      <c r="G282" s="95"/>
    </row>
    <row r="283" ht="19.5" customHeight="1">
      <c r="A283" s="167"/>
      <c r="B283" s="57">
        <v>46085.0</v>
      </c>
      <c r="C283" s="58">
        <v>8400.0</v>
      </c>
      <c r="D283" s="58"/>
      <c r="E283" s="59" t="s">
        <v>338</v>
      </c>
      <c r="F283" s="59" t="s">
        <v>761</v>
      </c>
      <c r="G283" s="95"/>
    </row>
    <row r="284" ht="19.5" customHeight="1">
      <c r="A284" s="167"/>
      <c r="B284" s="57">
        <v>46085.0</v>
      </c>
      <c r="C284" s="58">
        <v>128007.08</v>
      </c>
      <c r="D284" s="58"/>
      <c r="E284" s="59" t="s">
        <v>338</v>
      </c>
      <c r="F284" s="59" t="s">
        <v>763</v>
      </c>
      <c r="G284" s="95"/>
    </row>
    <row r="285" ht="19.5" customHeight="1">
      <c r="A285" s="167"/>
      <c r="B285" s="57">
        <v>46085.0</v>
      </c>
      <c r="C285" s="58">
        <v>20000.0</v>
      </c>
      <c r="D285" s="58"/>
      <c r="E285" s="59" t="s">
        <v>613</v>
      </c>
      <c r="F285" s="59" t="s">
        <v>764</v>
      </c>
      <c r="G285" s="95"/>
    </row>
    <row r="286" ht="19.5" customHeight="1">
      <c r="A286" s="167"/>
      <c r="B286" s="57">
        <v>46086.0</v>
      </c>
      <c r="C286" s="58">
        <v>7400.0</v>
      </c>
      <c r="D286" s="58"/>
      <c r="E286" s="59" t="s">
        <v>355</v>
      </c>
      <c r="F286" s="59" t="s">
        <v>765</v>
      </c>
      <c r="G286" s="95"/>
    </row>
    <row r="287" ht="19.5" customHeight="1">
      <c r="A287" s="167"/>
      <c r="B287" s="57">
        <v>46087.0</v>
      </c>
      <c r="C287" s="58">
        <v>15500.0</v>
      </c>
      <c r="D287" s="58"/>
      <c r="E287" s="59" t="s">
        <v>151</v>
      </c>
      <c r="F287" s="59" t="s">
        <v>765</v>
      </c>
      <c r="G287" s="95"/>
    </row>
    <row r="288" ht="19.5" customHeight="1">
      <c r="A288" s="167"/>
      <c r="B288" s="57">
        <v>46087.0</v>
      </c>
      <c r="C288" s="58">
        <v>7600.0</v>
      </c>
      <c r="D288" s="58"/>
      <c r="E288" s="59" t="s">
        <v>355</v>
      </c>
      <c r="F288" s="59" t="s">
        <v>766</v>
      </c>
      <c r="G288" s="95"/>
    </row>
    <row r="289" ht="19.5" customHeight="1">
      <c r="A289" s="167"/>
      <c r="B289" s="57">
        <v>46087.0</v>
      </c>
      <c r="C289" s="58">
        <v>14900.0</v>
      </c>
      <c r="D289" s="58"/>
      <c r="E289" s="59" t="s">
        <v>613</v>
      </c>
      <c r="F289" s="59" t="s">
        <v>764</v>
      </c>
      <c r="G289" s="95"/>
    </row>
    <row r="290" ht="19.5" customHeight="1">
      <c r="A290" s="167"/>
      <c r="B290" s="57">
        <v>46088.0</v>
      </c>
      <c r="C290" s="58">
        <v>8800.0</v>
      </c>
      <c r="D290" s="58"/>
      <c r="E290" s="59" t="s">
        <v>363</v>
      </c>
      <c r="F290" s="59" t="s">
        <v>761</v>
      </c>
      <c r="G290" s="95"/>
    </row>
    <row r="291" ht="19.5" customHeight="1">
      <c r="A291" s="167"/>
      <c r="B291" s="57">
        <v>46090.0</v>
      </c>
      <c r="C291" s="58">
        <v>3800.0</v>
      </c>
      <c r="D291" s="58"/>
      <c r="E291" s="59" t="s">
        <v>644</v>
      </c>
      <c r="F291" s="59" t="s">
        <v>771</v>
      </c>
      <c r="G291" s="95"/>
    </row>
    <row r="292" ht="19.5" customHeight="1">
      <c r="A292" s="167"/>
      <c r="B292" s="57">
        <v>46090.0</v>
      </c>
      <c r="C292" s="58">
        <v>17000.0</v>
      </c>
      <c r="D292" s="58"/>
      <c r="E292" s="59" t="s">
        <v>438</v>
      </c>
      <c r="F292" s="59" t="s">
        <v>765</v>
      </c>
      <c r="G292" s="95"/>
    </row>
    <row r="293" ht="19.5" customHeight="1">
      <c r="A293" s="167"/>
      <c r="B293" s="57">
        <v>46090.0</v>
      </c>
      <c r="C293" s="58">
        <v>7869.0</v>
      </c>
      <c r="D293" s="58"/>
      <c r="E293" s="59" t="s">
        <v>52</v>
      </c>
      <c r="F293" s="59"/>
      <c r="G293" s="95"/>
    </row>
    <row r="294" ht="19.5" customHeight="1">
      <c r="A294" s="167"/>
      <c r="B294" s="57">
        <v>46091.0</v>
      </c>
      <c r="C294" s="58">
        <v>20400.0</v>
      </c>
      <c r="D294" s="58"/>
      <c r="E294" s="59" t="s">
        <v>442</v>
      </c>
      <c r="F294" s="59"/>
      <c r="G294" s="95"/>
    </row>
    <row r="295" ht="19.5" customHeight="1">
      <c r="A295" s="167"/>
      <c r="B295" s="57">
        <v>46091.0</v>
      </c>
      <c r="C295" s="58">
        <v>23000.0</v>
      </c>
      <c r="D295" s="58"/>
      <c r="E295" s="59" t="s">
        <v>609</v>
      </c>
      <c r="F295" s="59" t="s">
        <v>774</v>
      </c>
      <c r="G295" s="95"/>
    </row>
    <row r="296" ht="19.5" customHeight="1">
      <c r="A296" s="167"/>
      <c r="B296" s="57">
        <v>46092.0</v>
      </c>
      <c r="C296" s="58">
        <v>134058.0</v>
      </c>
      <c r="D296" s="58"/>
      <c r="E296" s="59" t="s">
        <v>374</v>
      </c>
      <c r="F296" s="59" t="s">
        <v>763</v>
      </c>
      <c r="G296" s="95"/>
    </row>
    <row r="297" ht="19.5" customHeight="1">
      <c r="A297" s="167"/>
      <c r="B297" s="57">
        <v>46093.0</v>
      </c>
      <c r="C297" s="58">
        <v>10500.0</v>
      </c>
      <c r="D297" s="58"/>
      <c r="E297" s="59" t="s">
        <v>777</v>
      </c>
      <c r="F297" s="59" t="s">
        <v>778</v>
      </c>
      <c r="G297" s="95"/>
    </row>
    <row r="298" ht="19.5" customHeight="1">
      <c r="A298" s="167"/>
      <c r="B298" s="57">
        <v>46093.0</v>
      </c>
      <c r="C298" s="58">
        <v>31300.0</v>
      </c>
      <c r="D298" s="58"/>
      <c r="E298" s="59" t="s">
        <v>609</v>
      </c>
      <c r="F298" s="59" t="s">
        <v>779</v>
      </c>
      <c r="G298" s="95"/>
    </row>
    <row r="299" ht="19.5" customHeight="1">
      <c r="A299" s="167"/>
      <c r="B299" s="57">
        <v>46094.0</v>
      </c>
      <c r="C299" s="58">
        <v>33920.0</v>
      </c>
      <c r="D299" s="58"/>
      <c r="E299" s="59" t="s">
        <v>151</v>
      </c>
      <c r="F299" s="59" t="s">
        <v>781</v>
      </c>
      <c r="G299" s="95"/>
    </row>
    <row r="300" ht="19.5" customHeight="1">
      <c r="A300" s="167"/>
      <c r="B300" s="57">
        <v>46094.0</v>
      </c>
      <c r="C300" s="58">
        <v>7200.0</v>
      </c>
      <c r="D300" s="58"/>
      <c r="E300" s="59" t="s">
        <v>783</v>
      </c>
      <c r="F300" s="59" t="s">
        <v>784</v>
      </c>
      <c r="G300" s="95"/>
    </row>
    <row r="301" ht="19.5" customHeight="1">
      <c r="A301" s="167"/>
      <c r="B301" s="57">
        <v>46094.0</v>
      </c>
      <c r="C301" s="58">
        <v>6500.0</v>
      </c>
      <c r="D301" s="58"/>
      <c r="E301" s="59" t="s">
        <v>338</v>
      </c>
      <c r="F301" s="59" t="s">
        <v>765</v>
      </c>
      <c r="G301" s="95"/>
    </row>
    <row r="302" ht="19.5" customHeight="1">
      <c r="A302" s="167"/>
      <c r="B302" s="57">
        <v>46094.0</v>
      </c>
      <c r="C302" s="58">
        <v>7600.0</v>
      </c>
      <c r="D302" s="58"/>
      <c r="E302" s="59" t="s">
        <v>338</v>
      </c>
      <c r="F302" s="59"/>
      <c r="G302" s="95"/>
    </row>
    <row r="303" ht="19.5" customHeight="1">
      <c r="A303" s="167"/>
      <c r="B303" s="57">
        <v>46096.0</v>
      </c>
      <c r="C303" s="58">
        <v>7600.0</v>
      </c>
      <c r="D303" s="58"/>
      <c r="E303" s="59" t="s">
        <v>355</v>
      </c>
      <c r="F303" s="59" t="s">
        <v>766</v>
      </c>
      <c r="G303" s="95"/>
    </row>
    <row r="304" ht="19.5" customHeight="1">
      <c r="A304" s="167"/>
      <c r="B304" s="57">
        <v>46097.0</v>
      </c>
      <c r="C304" s="58">
        <v>39400.0</v>
      </c>
      <c r="D304" s="58"/>
      <c r="E304" s="59" t="s">
        <v>151</v>
      </c>
      <c r="F304" s="59" t="s">
        <v>788</v>
      </c>
      <c r="G304" s="95"/>
    </row>
    <row r="305" ht="19.5" customHeight="1">
      <c r="A305" s="167"/>
      <c r="B305" s="57">
        <v>46097.0</v>
      </c>
      <c r="C305" s="58">
        <v>26860.0</v>
      </c>
      <c r="D305" s="58"/>
      <c r="E305" s="59" t="s">
        <v>151</v>
      </c>
      <c r="F305" s="59" t="s">
        <v>789</v>
      </c>
      <c r="G305" s="95"/>
    </row>
    <row r="306" ht="19.5" customHeight="1">
      <c r="A306" s="167"/>
      <c r="B306" s="57">
        <v>46098.0</v>
      </c>
      <c r="C306" s="58">
        <v>12800.0</v>
      </c>
      <c r="D306" s="58"/>
      <c r="E306" s="59" t="s">
        <v>790</v>
      </c>
      <c r="F306" s="59" t="s">
        <v>791</v>
      </c>
      <c r="G306" s="95"/>
    </row>
    <row r="307" ht="19.5" customHeight="1">
      <c r="A307" s="167"/>
      <c r="B307" s="57">
        <v>46098.0</v>
      </c>
      <c r="C307" s="58">
        <v>9991.0</v>
      </c>
      <c r="D307" s="58"/>
      <c r="E307" s="59" t="s">
        <v>52</v>
      </c>
      <c r="F307" s="59"/>
      <c r="G307" s="95"/>
    </row>
    <row r="308" ht="19.5" customHeight="1">
      <c r="A308" s="167"/>
      <c r="B308" s="57">
        <v>46100.0</v>
      </c>
      <c r="C308" s="58">
        <v>5500.0</v>
      </c>
      <c r="D308" s="58"/>
      <c r="E308" s="59" t="s">
        <v>151</v>
      </c>
      <c r="F308" s="59" t="s">
        <v>792</v>
      </c>
      <c r="G308" s="95"/>
    </row>
    <row r="309" ht="19.5" customHeight="1">
      <c r="A309" s="167"/>
      <c r="B309" s="57">
        <v>46100.0</v>
      </c>
      <c r="C309" s="58">
        <v>13000.0</v>
      </c>
      <c r="D309" s="58"/>
      <c r="E309" s="59" t="s">
        <v>363</v>
      </c>
      <c r="F309" s="59"/>
      <c r="G309" s="95"/>
    </row>
    <row r="310" ht="19.5" customHeight="1">
      <c r="A310" s="167"/>
      <c r="B310" s="57">
        <v>46100.0</v>
      </c>
      <c r="C310" s="58">
        <v>8800.0</v>
      </c>
      <c r="D310" s="58"/>
      <c r="E310" s="59" t="s">
        <v>794</v>
      </c>
      <c r="F310" s="59" t="s">
        <v>726</v>
      </c>
      <c r="G310" s="95"/>
    </row>
    <row r="311" ht="19.5" customHeight="1">
      <c r="A311" s="167"/>
      <c r="B311" s="57">
        <v>46101.0</v>
      </c>
      <c r="C311" s="58">
        <v>19300.0</v>
      </c>
      <c r="D311" s="58"/>
      <c r="E311" s="59" t="s">
        <v>151</v>
      </c>
      <c r="F311" s="59" t="s">
        <v>765</v>
      </c>
      <c r="G311" s="95"/>
    </row>
    <row r="312" ht="19.5" customHeight="1">
      <c r="A312" s="167"/>
      <c r="B312" s="57">
        <v>46102.0</v>
      </c>
      <c r="C312" s="58">
        <v>5000.0</v>
      </c>
      <c r="D312" s="58"/>
      <c r="E312" s="59" t="s">
        <v>795</v>
      </c>
      <c r="F312" s="59"/>
      <c r="G312" s="95"/>
    </row>
    <row r="313" ht="19.5" customHeight="1">
      <c r="A313" s="167"/>
      <c r="B313" s="57">
        <v>46102.0</v>
      </c>
      <c r="C313" s="58">
        <v>47600.0</v>
      </c>
      <c r="D313" s="58"/>
      <c r="E313" s="59" t="s">
        <v>796</v>
      </c>
      <c r="F313" s="59" t="s">
        <v>797</v>
      </c>
      <c r="G313" s="95"/>
    </row>
    <row r="314" ht="19.5" customHeight="1">
      <c r="A314" s="167"/>
      <c r="B314" s="57">
        <v>46102.0</v>
      </c>
      <c r="C314" s="58">
        <v>117021.31</v>
      </c>
      <c r="D314" s="58"/>
      <c r="E314" s="59" t="s">
        <v>799</v>
      </c>
      <c r="F314" s="59" t="s">
        <v>637</v>
      </c>
      <c r="G314" s="95"/>
    </row>
    <row r="315" ht="19.5" customHeight="1">
      <c r="A315" s="167"/>
      <c r="B315" s="57">
        <v>46103.0</v>
      </c>
      <c r="C315" s="58">
        <v>8300.0</v>
      </c>
      <c r="D315" s="58"/>
      <c r="E315" s="59" t="s">
        <v>338</v>
      </c>
      <c r="F315" s="59"/>
      <c r="G315" s="95"/>
    </row>
    <row r="316" ht="19.5" customHeight="1">
      <c r="A316" s="167"/>
      <c r="B316" s="57">
        <v>46103.0</v>
      </c>
      <c r="C316" s="58">
        <v>22300.0</v>
      </c>
      <c r="D316" s="58"/>
      <c r="E316" s="59" t="s">
        <v>338</v>
      </c>
      <c r="F316" s="59"/>
      <c r="G316" s="95"/>
    </row>
    <row r="317" ht="19.5" customHeight="1">
      <c r="A317" s="167"/>
      <c r="B317" s="57">
        <v>46105.0</v>
      </c>
      <c r="C317" s="58">
        <v>145006.0</v>
      </c>
      <c r="D317" s="58"/>
      <c r="E317" s="59" t="s">
        <v>338</v>
      </c>
      <c r="F317" s="59"/>
      <c r="G317" s="95"/>
    </row>
    <row r="318" ht="30.0" customHeight="1">
      <c r="A318" s="124" t="s">
        <v>163</v>
      </c>
      <c r="B318" s="125"/>
      <c r="C318" s="152">
        <f>SUM(C264:C317)</f>
        <v>1417633.83</v>
      </c>
      <c r="D318" s="152">
        <f>SUM(D265:D317)</f>
        <v>0</v>
      </c>
      <c r="E318" s="128"/>
      <c r="F318" s="130"/>
      <c r="G318" s="104"/>
    </row>
    <row r="319" ht="4.5" customHeight="1">
      <c r="A319" s="233"/>
      <c r="B319" s="180"/>
      <c r="C319" s="180"/>
      <c r="D319" s="180"/>
      <c r="E319" s="180"/>
      <c r="F319" s="180"/>
      <c r="G319" s="181"/>
    </row>
    <row r="320" ht="19.5" customHeight="1">
      <c r="A320" s="56" t="s">
        <v>17</v>
      </c>
      <c r="B320" s="184">
        <v>46079.0</v>
      </c>
      <c r="C320" s="155">
        <v>103500.0</v>
      </c>
      <c r="D320" s="155"/>
      <c r="E320" s="236" t="s">
        <v>749</v>
      </c>
      <c r="F320" s="59" t="s">
        <v>829</v>
      </c>
      <c r="G320" s="59"/>
    </row>
    <row r="321" ht="19.5" customHeight="1">
      <c r="A321" s="61"/>
      <c r="B321" s="82">
        <v>46081.0</v>
      </c>
      <c r="C321" s="72">
        <v>80689.49</v>
      </c>
      <c r="D321" s="72"/>
      <c r="E321" s="237" t="s">
        <v>685</v>
      </c>
      <c r="F321" s="59" t="s">
        <v>835</v>
      </c>
      <c r="G321" s="59"/>
    </row>
    <row r="322" ht="19.5" customHeight="1">
      <c r="A322" s="61"/>
      <c r="B322" s="82">
        <v>46082.0</v>
      </c>
      <c r="C322" s="72">
        <v>40500.0</v>
      </c>
      <c r="D322" s="72"/>
      <c r="E322" s="238" t="s">
        <v>749</v>
      </c>
      <c r="F322" s="59" t="s">
        <v>838</v>
      </c>
      <c r="G322" s="59"/>
    </row>
    <row r="323" ht="19.5" customHeight="1">
      <c r="A323" s="61"/>
      <c r="B323" s="82">
        <v>46083.0</v>
      </c>
      <c r="C323" s="72">
        <v>13500.0</v>
      </c>
      <c r="D323" s="72"/>
      <c r="E323" s="237" t="s">
        <v>741</v>
      </c>
      <c r="F323" s="59" t="s">
        <v>835</v>
      </c>
      <c r="G323" s="59"/>
    </row>
    <row r="324" ht="19.5" customHeight="1">
      <c r="A324" s="61"/>
      <c r="B324" s="82">
        <v>46083.0</v>
      </c>
      <c r="C324" s="72">
        <v>137568.89</v>
      </c>
      <c r="D324" s="72"/>
      <c r="E324" s="237" t="s">
        <v>685</v>
      </c>
      <c r="F324" s="59" t="s">
        <v>835</v>
      </c>
      <c r="G324" s="59"/>
    </row>
    <row r="325" ht="19.5" customHeight="1">
      <c r="A325" s="61"/>
      <c r="B325" s="82">
        <v>46083.0</v>
      </c>
      <c r="C325" s="72">
        <v>78758.22</v>
      </c>
      <c r="D325" s="72"/>
      <c r="E325" s="237" t="s">
        <v>685</v>
      </c>
      <c r="F325" s="59" t="s">
        <v>835</v>
      </c>
      <c r="G325" s="59"/>
    </row>
    <row r="326" ht="19.5" customHeight="1">
      <c r="A326" s="61"/>
      <c r="B326" s="82">
        <v>46085.0</v>
      </c>
      <c r="C326" s="72">
        <v>112043.8</v>
      </c>
      <c r="D326" s="72"/>
      <c r="E326" s="237" t="s">
        <v>684</v>
      </c>
      <c r="F326" s="59" t="s">
        <v>843</v>
      </c>
      <c r="G326" s="59"/>
    </row>
    <row r="327" ht="19.5" customHeight="1">
      <c r="A327" s="61"/>
      <c r="B327" s="82">
        <v>46085.0</v>
      </c>
      <c r="C327" s="72">
        <v>168270.0</v>
      </c>
      <c r="D327" s="72"/>
      <c r="E327" s="237" t="s">
        <v>685</v>
      </c>
      <c r="F327" s="59" t="s">
        <v>835</v>
      </c>
      <c r="G327" s="59"/>
    </row>
    <row r="328" ht="19.5" customHeight="1">
      <c r="A328" s="61"/>
      <c r="B328" s="82">
        <v>46086.0</v>
      </c>
      <c r="C328" s="72">
        <v>89248.51</v>
      </c>
      <c r="D328" s="72"/>
      <c r="E328" s="237" t="s">
        <v>685</v>
      </c>
      <c r="F328" s="59" t="s">
        <v>835</v>
      </c>
      <c r="G328" s="59"/>
    </row>
    <row r="329" ht="19.5" customHeight="1">
      <c r="A329" s="61"/>
      <c r="B329" s="82">
        <v>46087.0</v>
      </c>
      <c r="C329" s="72">
        <v>149951.3</v>
      </c>
      <c r="D329" s="72"/>
      <c r="E329" s="237" t="s">
        <v>685</v>
      </c>
      <c r="F329" s="59" t="s">
        <v>835</v>
      </c>
      <c r="G329" s="59"/>
    </row>
    <row r="330" ht="19.5" customHeight="1">
      <c r="A330" s="61"/>
      <c r="B330" s="82">
        <v>46088.0</v>
      </c>
      <c r="C330" s="72">
        <v>21000.03</v>
      </c>
      <c r="D330" s="72"/>
      <c r="E330" s="237" t="s">
        <v>847</v>
      </c>
      <c r="F330" s="59" t="s">
        <v>835</v>
      </c>
      <c r="G330" s="59"/>
    </row>
    <row r="331" ht="19.5" customHeight="1">
      <c r="A331" s="61"/>
      <c r="B331" s="82">
        <v>46089.0</v>
      </c>
      <c r="C331" s="72">
        <v>42000.02</v>
      </c>
      <c r="D331" s="72"/>
      <c r="E331" s="237" t="s">
        <v>847</v>
      </c>
      <c r="F331" s="59" t="s">
        <v>835</v>
      </c>
      <c r="G331" s="59"/>
    </row>
    <row r="332" ht="19.5" customHeight="1">
      <c r="A332" s="61"/>
      <c r="B332" s="82">
        <v>46090.0</v>
      </c>
      <c r="C332" s="72">
        <v>9000.0</v>
      </c>
      <c r="D332" s="72"/>
      <c r="E332" s="237" t="s">
        <v>758</v>
      </c>
      <c r="F332" s="59" t="s">
        <v>849</v>
      </c>
      <c r="G332" s="59"/>
    </row>
    <row r="333" ht="19.5" customHeight="1">
      <c r="A333" s="61"/>
      <c r="B333" s="82">
        <v>46090.0</v>
      </c>
      <c r="C333" s="72">
        <v>86678.78</v>
      </c>
      <c r="D333" s="72"/>
      <c r="E333" s="237" t="s">
        <v>685</v>
      </c>
      <c r="F333" s="59" t="s">
        <v>835</v>
      </c>
      <c r="G333" s="59"/>
    </row>
    <row r="334" ht="19.5" customHeight="1">
      <c r="A334" s="61"/>
      <c r="B334" s="82">
        <v>46091.0</v>
      </c>
      <c r="C334" s="72">
        <v>11090.91</v>
      </c>
      <c r="D334" s="72"/>
      <c r="E334" s="237" t="s">
        <v>685</v>
      </c>
      <c r="F334" s="59" t="s">
        <v>853</v>
      </c>
      <c r="G334" s="59"/>
    </row>
    <row r="335" ht="19.5" customHeight="1">
      <c r="A335" s="61"/>
      <c r="B335" s="82">
        <v>46091.0</v>
      </c>
      <c r="C335" s="72">
        <v>78086.72</v>
      </c>
      <c r="D335" s="72"/>
      <c r="E335" s="237" t="s">
        <v>685</v>
      </c>
      <c r="F335" s="59" t="s">
        <v>835</v>
      </c>
      <c r="G335" s="59"/>
    </row>
    <row r="336" ht="19.5" customHeight="1">
      <c r="A336" s="61"/>
      <c r="B336" s="82">
        <v>46091.0</v>
      </c>
      <c r="C336" s="72">
        <v>165229.79</v>
      </c>
      <c r="D336" s="72"/>
      <c r="E336" s="237" t="s">
        <v>685</v>
      </c>
      <c r="F336" s="59" t="s">
        <v>835</v>
      </c>
      <c r="G336" s="59"/>
    </row>
    <row r="337" ht="19.5" customHeight="1">
      <c r="A337" s="61"/>
      <c r="B337" s="82">
        <v>46091.0</v>
      </c>
      <c r="C337" s="72">
        <v>1260000.0</v>
      </c>
      <c r="D337" s="72"/>
      <c r="E337" s="237" t="s">
        <v>857</v>
      </c>
      <c r="F337" s="59" t="s">
        <v>858</v>
      </c>
      <c r="G337" s="59"/>
    </row>
    <row r="338" ht="19.5" customHeight="1">
      <c r="A338" s="61"/>
      <c r="B338" s="82">
        <v>46092.0</v>
      </c>
      <c r="C338" s="72">
        <v>138000.0</v>
      </c>
      <c r="D338" s="72"/>
      <c r="E338" s="237" t="s">
        <v>862</v>
      </c>
      <c r="F338" s="59" t="s">
        <v>863</v>
      </c>
      <c r="G338" s="59"/>
    </row>
    <row r="339" ht="19.5" customHeight="1">
      <c r="A339" s="61"/>
      <c r="B339" s="82">
        <v>46097.0</v>
      </c>
      <c r="C339" s="72">
        <v>98345.94</v>
      </c>
      <c r="D339" s="72"/>
      <c r="E339" s="237" t="s">
        <v>865</v>
      </c>
      <c r="F339" s="59" t="s">
        <v>866</v>
      </c>
      <c r="G339" s="59"/>
    </row>
    <row r="340" ht="19.5" customHeight="1">
      <c r="A340" s="61"/>
      <c r="B340" s="82">
        <v>46098.0</v>
      </c>
      <c r="C340" s="72">
        <v>40000.0</v>
      </c>
      <c r="D340" s="72"/>
      <c r="E340" s="237" t="s">
        <v>151</v>
      </c>
      <c r="F340" s="59" t="s">
        <v>868</v>
      </c>
      <c r="G340" s="59"/>
    </row>
    <row r="341" ht="19.5" customHeight="1">
      <c r="A341" s="61"/>
      <c r="B341" s="82">
        <v>46098.0</v>
      </c>
      <c r="C341" s="72">
        <v>14885.0</v>
      </c>
      <c r="D341" s="72"/>
      <c r="E341" s="237" t="s">
        <v>870</v>
      </c>
      <c r="F341" s="59" t="s">
        <v>871</v>
      </c>
      <c r="G341" s="59"/>
    </row>
    <row r="342" ht="19.5" customHeight="1">
      <c r="A342" s="61"/>
      <c r="B342" s="82">
        <v>46099.0</v>
      </c>
      <c r="C342" s="72">
        <v>157900.0</v>
      </c>
      <c r="D342" s="72"/>
      <c r="E342" s="237" t="s">
        <v>151</v>
      </c>
      <c r="F342" s="59" t="s">
        <v>873</v>
      </c>
      <c r="G342" s="59"/>
    </row>
    <row r="343" ht="19.5" customHeight="1">
      <c r="A343" s="61"/>
      <c r="B343" s="82">
        <v>46099.0</v>
      </c>
      <c r="C343" s="72">
        <v>85002.93</v>
      </c>
      <c r="D343" s="72"/>
      <c r="E343" s="237" t="s">
        <v>874</v>
      </c>
      <c r="F343" s="59" t="s">
        <v>866</v>
      </c>
      <c r="G343" s="59"/>
    </row>
    <row r="344" ht="19.5" customHeight="1">
      <c r="A344" s="61"/>
      <c r="B344" s="82">
        <v>46100.0</v>
      </c>
      <c r="C344" s="72">
        <v>73200.0</v>
      </c>
      <c r="D344" s="72"/>
      <c r="E344" s="237" t="s">
        <v>877</v>
      </c>
      <c r="F344" s="59"/>
      <c r="G344" s="59"/>
    </row>
    <row r="345" ht="19.5" customHeight="1">
      <c r="A345" s="61"/>
      <c r="B345" s="82">
        <v>46103.0</v>
      </c>
      <c r="C345" s="72">
        <v>100000.0</v>
      </c>
      <c r="D345" s="72"/>
      <c r="E345" s="237" t="s">
        <v>880</v>
      </c>
      <c r="F345" s="59" t="s">
        <v>866</v>
      </c>
      <c r="G345" s="59"/>
    </row>
    <row r="346" ht="19.5" customHeight="1">
      <c r="A346" s="42"/>
      <c r="B346" s="206">
        <v>46104.0</v>
      </c>
      <c r="C346" s="72">
        <v>8700.0</v>
      </c>
      <c r="D346" s="72"/>
      <c r="E346" s="237" t="s">
        <v>151</v>
      </c>
      <c r="F346" s="245" t="s">
        <v>883</v>
      </c>
      <c r="G346" s="59"/>
    </row>
    <row r="347" ht="30.0" customHeight="1">
      <c r="A347" s="124" t="s">
        <v>163</v>
      </c>
      <c r="B347" s="125"/>
      <c r="C347" s="152">
        <f t="shared" ref="C347:D347" si="7">SUM(C320:C346)</f>
        <v>3363150.33</v>
      </c>
      <c r="D347" s="152">
        <f t="shared" si="7"/>
        <v>0</v>
      </c>
      <c r="E347" s="128"/>
      <c r="F347" s="103"/>
      <c r="G347" s="104"/>
    </row>
    <row r="348" ht="4.5" customHeight="1">
      <c r="A348" s="153"/>
      <c r="B348" s="133"/>
      <c r="C348" s="133"/>
      <c r="D348" s="195"/>
      <c r="E348" s="173"/>
      <c r="F348" s="173"/>
      <c r="G348" s="173"/>
    </row>
    <row r="349" ht="30.0" customHeight="1">
      <c r="A349" s="124" t="s">
        <v>496</v>
      </c>
      <c r="B349" s="125"/>
      <c r="C349" s="152">
        <f>+C131+C178+C182+C262+C318+C347</f>
        <v>24643278.59</v>
      </c>
      <c r="D349" s="152">
        <f>+D131+D178+D182+D262+D318</f>
        <v>25.85</v>
      </c>
      <c r="E349" s="102"/>
      <c r="F349" s="103"/>
      <c r="G349" s="104"/>
    </row>
    <row r="350" ht="19.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</sheetData>
  <mergeCells count="30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130"/>
    <mergeCell ref="A131:B131"/>
    <mergeCell ref="A132:G132"/>
    <mergeCell ref="A133:A177"/>
    <mergeCell ref="A178:B178"/>
    <mergeCell ref="A179:G179"/>
    <mergeCell ref="A180:A181"/>
    <mergeCell ref="A182:B182"/>
    <mergeCell ref="A183:G183"/>
    <mergeCell ref="A184:A261"/>
    <mergeCell ref="A348:D348"/>
    <mergeCell ref="A349:B349"/>
    <mergeCell ref="A262:B262"/>
    <mergeCell ref="A263:G263"/>
    <mergeCell ref="A264:A317"/>
    <mergeCell ref="A318:B318"/>
    <mergeCell ref="A319:G319"/>
    <mergeCell ref="A320:A346"/>
    <mergeCell ref="A347:B347"/>
  </mergeCells>
  <hyperlinks>
    <hyperlink r:id="rId1" ref="E38"/>
    <hyperlink r:id="rId2" ref="E211"/>
  </hyperlink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89.75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23.25" customHeight="1">
      <c r="A6" s="1" t="s">
        <v>0</v>
      </c>
      <c r="B6" s="2"/>
      <c r="C6" s="3"/>
      <c r="D6" s="4" t="s">
        <v>1</v>
      </c>
      <c r="E6" s="5"/>
      <c r="F6" s="8" t="s">
        <v>2</v>
      </c>
      <c r="G6" s="9"/>
    </row>
    <row r="7" ht="24.0" customHeight="1">
      <c r="A7" s="10"/>
      <c r="B7" s="11"/>
      <c r="C7" s="12"/>
      <c r="D7" s="14" t="s">
        <v>5</v>
      </c>
      <c r="E7" s="15"/>
      <c r="F7" s="16">
        <v>2026.0</v>
      </c>
      <c r="G7" s="17"/>
    </row>
    <row r="8" ht="27.75" customHeight="1">
      <c r="A8" s="18" t="s">
        <v>7</v>
      </c>
      <c r="B8" s="20" t="s">
        <v>8</v>
      </c>
      <c r="C8" s="22" t="s">
        <v>9</v>
      </c>
      <c r="D8" s="14" t="s">
        <v>9</v>
      </c>
      <c r="E8" s="24"/>
      <c r="F8" s="25">
        <v>1.833129931E7</v>
      </c>
      <c r="G8" s="17"/>
    </row>
    <row r="9" ht="27.75" customHeight="1">
      <c r="A9" s="26" t="s">
        <v>10</v>
      </c>
      <c r="B9" s="27">
        <f>SUM(C116)</f>
        <v>7946630.97</v>
      </c>
      <c r="C9" s="29">
        <f t="shared" ref="C9:C10" si="1">SUM(B9)</f>
        <v>7946630.97</v>
      </c>
      <c r="D9" s="32" t="s">
        <v>11</v>
      </c>
      <c r="E9" s="33"/>
      <c r="F9" s="33"/>
      <c r="G9" s="35"/>
    </row>
    <row r="10" ht="19.5" customHeight="1">
      <c r="A10" s="26" t="s">
        <v>12</v>
      </c>
      <c r="B10" s="27">
        <f>SUM(D116)</f>
        <v>21.96</v>
      </c>
      <c r="C10" s="29">
        <f t="shared" si="1"/>
        <v>21.96</v>
      </c>
      <c r="D10" s="37"/>
      <c r="G10" s="38"/>
    </row>
    <row r="11" ht="19.5" customHeight="1">
      <c r="A11" s="26" t="s">
        <v>13</v>
      </c>
      <c r="B11" s="39">
        <v>1905535.01</v>
      </c>
      <c r="C11" s="44">
        <f>SUM(B11+B12)</f>
        <v>3536841.21</v>
      </c>
      <c r="D11" s="37"/>
      <c r="G11" s="38"/>
    </row>
    <row r="12" ht="19.5" customHeight="1">
      <c r="A12" s="26" t="s">
        <v>14</v>
      </c>
      <c r="B12" s="39">
        <v>1631306.2</v>
      </c>
      <c r="C12" s="42"/>
      <c r="D12" s="37"/>
      <c r="G12" s="38"/>
    </row>
    <row r="13" ht="19.5" customHeight="1">
      <c r="A13" s="26" t="s">
        <v>15</v>
      </c>
      <c r="B13" s="27"/>
      <c r="C13" s="44"/>
      <c r="D13" s="37"/>
      <c r="G13" s="38"/>
    </row>
    <row r="14" ht="19.5" customHeight="1">
      <c r="A14" s="26" t="s">
        <v>16</v>
      </c>
      <c r="B14" s="27"/>
      <c r="C14" s="42"/>
      <c r="D14" s="37"/>
      <c r="G14" s="38"/>
    </row>
    <row r="15" ht="19.5" customHeight="1">
      <c r="A15" s="26" t="s">
        <v>17</v>
      </c>
      <c r="B15" s="27">
        <f>SUM(C327)</f>
        <v>1589663.07</v>
      </c>
      <c r="C15" s="29">
        <f t="shared" ref="C15:C18" si="2">SUM(B15)</f>
        <v>1589663.07</v>
      </c>
      <c r="D15" s="37"/>
      <c r="G15" s="38"/>
    </row>
    <row r="16" ht="19.5" customHeight="1">
      <c r="A16" s="26" t="s">
        <v>18</v>
      </c>
      <c r="B16" s="39">
        <f>C264</f>
        <v>3209437.48</v>
      </c>
      <c r="C16" s="29">
        <f t="shared" si="2"/>
        <v>3209437.48</v>
      </c>
      <c r="D16" s="37"/>
      <c r="G16" s="38"/>
    </row>
    <row r="17" ht="19.5" customHeight="1">
      <c r="A17" s="26" t="s">
        <v>19</v>
      </c>
      <c r="B17" s="27">
        <f>SUM(C170)</f>
        <v>50933.33</v>
      </c>
      <c r="C17" s="29">
        <f t="shared" si="2"/>
        <v>50933.33</v>
      </c>
      <c r="D17" s="37"/>
      <c r="G17" s="38"/>
    </row>
    <row r="18" ht="19.5" customHeight="1">
      <c r="A18" s="26" t="s">
        <v>20</v>
      </c>
      <c r="B18" s="27">
        <f>SUM(C336)</f>
        <v>521439</v>
      </c>
      <c r="C18" s="29">
        <f t="shared" si="2"/>
        <v>521439</v>
      </c>
      <c r="D18" s="45"/>
      <c r="E18" s="46"/>
      <c r="F18" s="46"/>
      <c r="G18" s="47"/>
    </row>
    <row r="19" ht="4.5" customHeight="1">
      <c r="A19" s="48"/>
      <c r="B19" s="49"/>
      <c r="C19" s="49"/>
      <c r="D19" s="49"/>
      <c r="E19" s="49"/>
      <c r="F19" s="49"/>
      <c r="G19" s="50"/>
    </row>
    <row r="20" ht="24.75" customHeight="1">
      <c r="A20" s="53" t="s">
        <v>21</v>
      </c>
      <c r="B20" s="55" t="s">
        <v>22</v>
      </c>
      <c r="C20" s="55" t="s">
        <v>23</v>
      </c>
      <c r="D20" s="55" t="s">
        <v>24</v>
      </c>
      <c r="E20" s="55" t="s">
        <v>25</v>
      </c>
      <c r="F20" s="55" t="s">
        <v>26</v>
      </c>
      <c r="G20" s="55" t="s">
        <v>27</v>
      </c>
    </row>
    <row r="21" ht="19.5" customHeight="1">
      <c r="A21" s="62" t="s">
        <v>28</v>
      </c>
      <c r="B21" s="57">
        <v>46108.0</v>
      </c>
      <c r="C21" s="72">
        <v>53625.0</v>
      </c>
      <c r="D21" s="72"/>
      <c r="E21" s="75" t="s">
        <v>36</v>
      </c>
      <c r="F21" s="78" t="s">
        <v>37</v>
      </c>
      <c r="G21" s="80"/>
    </row>
    <row r="22" ht="19.5" customHeight="1">
      <c r="A22" s="61"/>
      <c r="B22" s="57">
        <v>46108.0</v>
      </c>
      <c r="C22" s="72">
        <v>37537.5</v>
      </c>
      <c r="D22" s="72"/>
      <c r="E22" s="75" t="s">
        <v>36</v>
      </c>
      <c r="F22" s="78" t="s">
        <v>47</v>
      </c>
      <c r="G22" s="80"/>
    </row>
    <row r="23" ht="19.5" customHeight="1">
      <c r="A23" s="61"/>
      <c r="B23" s="57">
        <v>46111.0</v>
      </c>
      <c r="C23" s="72">
        <v>26279.23</v>
      </c>
      <c r="D23" s="72"/>
      <c r="E23" s="75" t="s">
        <v>36</v>
      </c>
      <c r="F23" s="78" t="s">
        <v>50</v>
      </c>
      <c r="G23" s="80"/>
    </row>
    <row r="24" ht="19.5" customHeight="1">
      <c r="A24" s="61"/>
      <c r="B24" s="57">
        <v>46112.0</v>
      </c>
      <c r="C24" s="72">
        <v>650.0</v>
      </c>
      <c r="D24" s="72"/>
      <c r="E24" s="75" t="s">
        <v>52</v>
      </c>
      <c r="F24" s="78" t="s">
        <v>54</v>
      </c>
      <c r="G24" s="80"/>
    </row>
    <row r="25" ht="19.5" customHeight="1">
      <c r="A25" s="61"/>
      <c r="B25" s="65">
        <v>46112.0</v>
      </c>
      <c r="C25" s="68">
        <v>8100.0</v>
      </c>
      <c r="D25" s="68"/>
      <c r="E25" s="71" t="s">
        <v>58</v>
      </c>
      <c r="F25" s="71"/>
      <c r="G25" s="74"/>
    </row>
    <row r="26" ht="19.5" customHeight="1">
      <c r="A26" s="61"/>
      <c r="B26" s="65">
        <v>46112.0</v>
      </c>
      <c r="C26" s="68">
        <v>178002.01</v>
      </c>
      <c r="D26" s="68"/>
      <c r="E26" s="71" t="s">
        <v>63</v>
      </c>
      <c r="F26" s="71"/>
      <c r="G26" s="74"/>
    </row>
    <row r="27" ht="19.5" customHeight="1">
      <c r="A27" s="61"/>
      <c r="B27" s="57">
        <v>46113.0</v>
      </c>
      <c r="C27" s="72">
        <v>81081.0</v>
      </c>
      <c r="D27" s="72"/>
      <c r="E27" s="75" t="s">
        <v>36</v>
      </c>
      <c r="F27" s="78" t="s">
        <v>65</v>
      </c>
      <c r="G27" s="80"/>
    </row>
    <row r="28" ht="19.5" customHeight="1">
      <c r="A28" s="61"/>
      <c r="B28" s="57">
        <v>46113.0</v>
      </c>
      <c r="C28" s="72">
        <v>46045.0</v>
      </c>
      <c r="D28" s="72"/>
      <c r="E28" s="75" t="s">
        <v>36</v>
      </c>
      <c r="F28" s="78" t="s">
        <v>69</v>
      </c>
      <c r="G28" s="80"/>
    </row>
    <row r="29" ht="19.5" customHeight="1">
      <c r="A29" s="61"/>
      <c r="B29" s="57">
        <v>46113.0</v>
      </c>
      <c r="C29" s="72">
        <v>148986.34</v>
      </c>
      <c r="D29" s="72"/>
      <c r="E29" s="75" t="s">
        <v>36</v>
      </c>
      <c r="F29" s="78" t="s">
        <v>71</v>
      </c>
      <c r="G29" s="80"/>
    </row>
    <row r="30" ht="19.5" customHeight="1">
      <c r="A30" s="61"/>
      <c r="B30" s="57">
        <v>46113.0</v>
      </c>
      <c r="C30" s="72">
        <v>35000.0</v>
      </c>
      <c r="D30" s="72"/>
      <c r="E30" s="75" t="s">
        <v>74</v>
      </c>
      <c r="F30" s="85" t="s">
        <v>75</v>
      </c>
      <c r="G30" s="80"/>
    </row>
    <row r="31" ht="19.5" customHeight="1">
      <c r="A31" s="61"/>
      <c r="B31" s="65">
        <v>46113.0</v>
      </c>
      <c r="C31" s="68">
        <v>138639.66</v>
      </c>
      <c r="D31" s="68"/>
      <c r="E31" s="71" t="s">
        <v>80</v>
      </c>
      <c r="F31" s="70"/>
      <c r="G31" s="74"/>
    </row>
    <row r="32" ht="19.5" customHeight="1">
      <c r="A32" s="61"/>
      <c r="B32" s="57">
        <v>46113.0</v>
      </c>
      <c r="C32" s="72">
        <v>12766.0</v>
      </c>
      <c r="D32" s="72"/>
      <c r="E32" s="75" t="s">
        <v>52</v>
      </c>
      <c r="F32" s="78" t="s">
        <v>84</v>
      </c>
      <c r="G32" s="80"/>
    </row>
    <row r="33" ht="19.5" customHeight="1">
      <c r="A33" s="61"/>
      <c r="B33" s="65">
        <v>46113.0</v>
      </c>
      <c r="C33" s="68">
        <v>90000.0</v>
      </c>
      <c r="D33" s="68"/>
      <c r="E33" s="71" t="s">
        <v>87</v>
      </c>
      <c r="F33" s="71"/>
      <c r="G33" s="74"/>
    </row>
    <row r="34" ht="19.5" customHeight="1">
      <c r="A34" s="61"/>
      <c r="B34" s="65">
        <v>46113.0</v>
      </c>
      <c r="C34" s="68">
        <v>55500.0</v>
      </c>
      <c r="D34" s="68"/>
      <c r="E34" s="71" t="s">
        <v>89</v>
      </c>
      <c r="F34" s="70"/>
      <c r="G34" s="74"/>
    </row>
    <row r="35" ht="19.5" customHeight="1">
      <c r="A35" s="61"/>
      <c r="B35" s="65">
        <v>46114.0</v>
      </c>
      <c r="C35" s="68">
        <v>7200.0</v>
      </c>
      <c r="D35" s="68"/>
      <c r="E35" s="71" t="s">
        <v>91</v>
      </c>
      <c r="F35" s="71"/>
      <c r="G35" s="74"/>
    </row>
    <row r="36" ht="19.5" customHeight="1">
      <c r="A36" s="61"/>
      <c r="B36" s="65">
        <v>46114.0</v>
      </c>
      <c r="C36" s="68">
        <v>6600.0</v>
      </c>
      <c r="D36" s="68"/>
      <c r="E36" s="71" t="s">
        <v>32</v>
      </c>
      <c r="F36" s="71"/>
      <c r="G36" s="74"/>
    </row>
    <row r="37" ht="19.5" customHeight="1">
      <c r="A37" s="61"/>
      <c r="B37" s="57">
        <v>46115.0</v>
      </c>
      <c r="C37" s="72">
        <v>11511.0</v>
      </c>
      <c r="D37" s="72"/>
      <c r="E37" s="75" t="s">
        <v>52</v>
      </c>
      <c r="F37" s="78" t="s">
        <v>94</v>
      </c>
      <c r="G37" s="80"/>
    </row>
    <row r="38" ht="19.5" customHeight="1">
      <c r="A38" s="61"/>
      <c r="B38" s="65">
        <v>46115.0</v>
      </c>
      <c r="C38" s="68">
        <v>12300.0</v>
      </c>
      <c r="D38" s="68"/>
      <c r="E38" s="71" t="s">
        <v>41</v>
      </c>
      <c r="F38" s="71"/>
      <c r="G38" s="74"/>
    </row>
    <row r="39" ht="19.5" customHeight="1">
      <c r="A39" s="61"/>
      <c r="B39" s="57">
        <v>46115.0</v>
      </c>
      <c r="C39" s="72"/>
      <c r="D39" s="72">
        <v>9.99</v>
      </c>
      <c r="E39" s="75" t="s">
        <v>100</v>
      </c>
      <c r="F39" s="75" t="s">
        <v>53</v>
      </c>
      <c r="G39" s="80"/>
    </row>
    <row r="40" ht="19.5" customHeight="1">
      <c r="A40" s="61"/>
      <c r="B40" s="57">
        <v>46116.0</v>
      </c>
      <c r="C40" s="72">
        <v>13698.0</v>
      </c>
      <c r="D40" s="72"/>
      <c r="E40" s="75" t="s">
        <v>52</v>
      </c>
      <c r="F40" s="78" t="s">
        <v>105</v>
      </c>
      <c r="G40" s="80"/>
    </row>
    <row r="41" ht="19.5" customHeight="1">
      <c r="A41" s="61"/>
      <c r="B41" s="65">
        <v>46116.0</v>
      </c>
      <c r="C41" s="68">
        <v>12500.0</v>
      </c>
      <c r="D41" s="68"/>
      <c r="E41" s="71" t="s">
        <v>41</v>
      </c>
      <c r="F41" s="71"/>
      <c r="G41" s="74"/>
    </row>
    <row r="42" ht="19.5" customHeight="1">
      <c r="A42" s="61"/>
      <c r="B42" s="65">
        <v>46116.0</v>
      </c>
      <c r="C42" s="68">
        <v>170003.1</v>
      </c>
      <c r="D42" s="68"/>
      <c r="E42" s="71" t="s">
        <v>63</v>
      </c>
      <c r="F42" s="71"/>
      <c r="G42" s="74"/>
    </row>
    <row r="43" ht="19.5" customHeight="1">
      <c r="A43" s="61"/>
      <c r="B43" s="65">
        <v>46116.0</v>
      </c>
      <c r="C43" s="68">
        <v>7200.0</v>
      </c>
      <c r="D43" s="68"/>
      <c r="E43" s="71" t="s">
        <v>113</v>
      </c>
      <c r="F43" s="71"/>
      <c r="G43" s="74"/>
    </row>
    <row r="44" ht="19.5" customHeight="1">
      <c r="A44" s="61"/>
      <c r="B44" s="57">
        <v>46116.0</v>
      </c>
      <c r="C44" s="72">
        <v>140000.0</v>
      </c>
      <c r="D44" s="72"/>
      <c r="E44" s="75" t="s">
        <v>117</v>
      </c>
      <c r="F44" s="59" t="s">
        <v>119</v>
      </c>
      <c r="G44" s="80"/>
    </row>
    <row r="45" ht="19.5" customHeight="1">
      <c r="A45" s="61"/>
      <c r="B45" s="65">
        <v>46117.0</v>
      </c>
      <c r="C45" s="68">
        <v>2600.0</v>
      </c>
      <c r="D45" s="68"/>
      <c r="E45" s="71" t="s">
        <v>121</v>
      </c>
      <c r="F45" s="70"/>
      <c r="G45" s="92"/>
    </row>
    <row r="46" ht="19.5" customHeight="1">
      <c r="A46" s="61"/>
      <c r="B46" s="57">
        <v>46117.0</v>
      </c>
      <c r="C46" s="72"/>
      <c r="D46" s="72">
        <v>2.99</v>
      </c>
      <c r="E46" s="75" t="s">
        <v>126</v>
      </c>
      <c r="F46" s="59" t="s">
        <v>82</v>
      </c>
      <c r="G46" s="95"/>
    </row>
    <row r="47" ht="19.5" customHeight="1">
      <c r="A47" s="61"/>
      <c r="B47" s="57">
        <v>46118.0</v>
      </c>
      <c r="C47" s="72">
        <v>35409.15</v>
      </c>
      <c r="D47" s="72"/>
      <c r="E47" s="75" t="s">
        <v>67</v>
      </c>
      <c r="F47" s="59" t="s">
        <v>68</v>
      </c>
      <c r="G47" s="95"/>
    </row>
    <row r="48" ht="19.5" customHeight="1">
      <c r="A48" s="61"/>
      <c r="B48" s="57">
        <v>46118.0</v>
      </c>
      <c r="C48" s="72">
        <v>14831.0</v>
      </c>
      <c r="D48" s="72"/>
      <c r="E48" s="75" t="s">
        <v>52</v>
      </c>
      <c r="F48" s="78" t="s">
        <v>137</v>
      </c>
      <c r="G48" s="80"/>
    </row>
    <row r="49" ht="19.5" customHeight="1">
      <c r="A49" s="61"/>
      <c r="B49" s="57">
        <v>46118.0</v>
      </c>
      <c r="C49" s="72">
        <v>15116.0</v>
      </c>
      <c r="D49" s="72"/>
      <c r="E49" s="75" t="s">
        <v>52</v>
      </c>
      <c r="F49" s="78" t="s">
        <v>105</v>
      </c>
      <c r="G49" s="95"/>
    </row>
    <row r="50" ht="19.5" customHeight="1">
      <c r="A50" s="61"/>
      <c r="B50" s="57">
        <v>46118.0</v>
      </c>
      <c r="C50" s="72">
        <v>1270.0</v>
      </c>
      <c r="D50" s="72"/>
      <c r="E50" s="75" t="s">
        <v>52</v>
      </c>
      <c r="F50" s="78" t="s">
        <v>142</v>
      </c>
      <c r="G50" s="95"/>
    </row>
    <row r="51" ht="19.5" customHeight="1">
      <c r="A51" s="61"/>
      <c r="B51" s="65">
        <v>46118.0</v>
      </c>
      <c r="C51" s="67">
        <v>11500.0</v>
      </c>
      <c r="D51" s="67"/>
      <c r="E51" s="70" t="s">
        <v>41</v>
      </c>
      <c r="F51" s="70"/>
      <c r="G51" s="92"/>
    </row>
    <row r="52" ht="19.5" customHeight="1">
      <c r="A52" s="61"/>
      <c r="B52" s="65">
        <v>46119.0</v>
      </c>
      <c r="C52" s="67">
        <v>12000.0</v>
      </c>
      <c r="D52" s="67"/>
      <c r="E52" s="70" t="s">
        <v>151</v>
      </c>
      <c r="F52" s="70"/>
      <c r="G52" s="92"/>
    </row>
    <row r="53" ht="19.5" customHeight="1">
      <c r="A53" s="61"/>
      <c r="B53" s="65">
        <v>46119.0</v>
      </c>
      <c r="C53" s="67">
        <v>176002.94</v>
      </c>
      <c r="D53" s="67"/>
      <c r="E53" s="70" t="s">
        <v>35</v>
      </c>
      <c r="F53" s="70"/>
      <c r="G53" s="92"/>
    </row>
    <row r="54" ht="19.5" customHeight="1">
      <c r="A54" s="61"/>
      <c r="B54" s="65">
        <v>46119.0</v>
      </c>
      <c r="C54" s="67">
        <v>22500.0</v>
      </c>
      <c r="D54" s="67"/>
      <c r="E54" s="70" t="s">
        <v>156</v>
      </c>
      <c r="F54" s="70"/>
      <c r="G54" s="92"/>
    </row>
    <row r="55" ht="19.5" customHeight="1">
      <c r="A55" s="61"/>
      <c r="B55" s="57">
        <v>46119.0</v>
      </c>
      <c r="C55" s="58">
        <v>960143.7</v>
      </c>
      <c r="D55" s="58"/>
      <c r="E55" s="59" t="s">
        <v>43</v>
      </c>
      <c r="F55" s="59" t="s">
        <v>44</v>
      </c>
      <c r="G55" s="95"/>
    </row>
    <row r="56" ht="19.5" customHeight="1">
      <c r="A56" s="61"/>
      <c r="B56" s="57">
        <v>46119.0</v>
      </c>
      <c r="C56" s="58">
        <v>458640.0</v>
      </c>
      <c r="D56" s="58"/>
      <c r="E56" s="59" t="s">
        <v>160</v>
      </c>
      <c r="F56" s="59" t="s">
        <v>162</v>
      </c>
      <c r="G56" s="95"/>
    </row>
    <row r="57" ht="19.5" customHeight="1">
      <c r="A57" s="61"/>
      <c r="B57" s="57">
        <v>46119.0</v>
      </c>
      <c r="C57" s="58">
        <v>7890.0</v>
      </c>
      <c r="D57" s="58"/>
      <c r="E57" s="59" t="s">
        <v>52</v>
      </c>
      <c r="F57" s="78" t="s">
        <v>164</v>
      </c>
      <c r="G57" s="95"/>
    </row>
    <row r="58" ht="19.5" customHeight="1">
      <c r="A58" s="61"/>
      <c r="B58" s="57">
        <v>46119.0</v>
      </c>
      <c r="C58" s="58">
        <v>15256.0</v>
      </c>
      <c r="D58" s="58"/>
      <c r="E58" s="59" t="s">
        <v>52</v>
      </c>
      <c r="F58" s="78" t="s">
        <v>164</v>
      </c>
      <c r="G58" s="95"/>
    </row>
    <row r="59" ht="19.5" customHeight="1">
      <c r="A59" s="61"/>
      <c r="B59" s="57">
        <v>46119.0</v>
      </c>
      <c r="C59" s="58">
        <v>2397.0</v>
      </c>
      <c r="D59" s="58"/>
      <c r="E59" s="59" t="s">
        <v>52</v>
      </c>
      <c r="F59" s="78" t="s">
        <v>167</v>
      </c>
      <c r="G59" s="95"/>
    </row>
    <row r="60" ht="19.5" customHeight="1">
      <c r="A60" s="61"/>
      <c r="B60" s="65">
        <v>46119.0</v>
      </c>
      <c r="C60" s="67">
        <v>4600.0</v>
      </c>
      <c r="D60" s="67"/>
      <c r="E60" s="70" t="s">
        <v>58</v>
      </c>
      <c r="F60" s="70"/>
      <c r="G60" s="92"/>
    </row>
    <row r="61" ht="19.5" customHeight="1">
      <c r="A61" s="61"/>
      <c r="B61" s="65">
        <v>46120.0</v>
      </c>
      <c r="C61" s="67">
        <v>40955.9</v>
      </c>
      <c r="D61" s="67"/>
      <c r="E61" s="70" t="s">
        <v>72</v>
      </c>
      <c r="F61" s="70"/>
      <c r="G61" s="92"/>
    </row>
    <row r="62" ht="19.5" customHeight="1">
      <c r="A62" s="61"/>
      <c r="B62" s="65">
        <v>46120.0</v>
      </c>
      <c r="C62" s="67">
        <v>22821.16</v>
      </c>
      <c r="D62" s="67"/>
      <c r="E62" s="70" t="s">
        <v>166</v>
      </c>
      <c r="F62" s="70"/>
      <c r="G62" s="92"/>
    </row>
    <row r="63" ht="19.5" customHeight="1">
      <c r="A63" s="61"/>
      <c r="B63" s="57">
        <v>46120.0</v>
      </c>
      <c r="C63" s="58">
        <v>20749.0</v>
      </c>
      <c r="D63" s="58"/>
      <c r="E63" s="59" t="s">
        <v>52</v>
      </c>
      <c r="F63" s="78" t="s">
        <v>84</v>
      </c>
      <c r="G63" s="95"/>
    </row>
    <row r="64" ht="19.5" customHeight="1">
      <c r="A64" s="61"/>
      <c r="B64" s="57">
        <v>46120.0</v>
      </c>
      <c r="C64" s="58">
        <v>21740.0</v>
      </c>
      <c r="D64" s="58"/>
      <c r="E64" s="59" t="s">
        <v>52</v>
      </c>
      <c r="F64" s="78" t="s">
        <v>94</v>
      </c>
      <c r="G64" s="95"/>
    </row>
    <row r="65" ht="19.5" customHeight="1">
      <c r="A65" s="61"/>
      <c r="B65" s="57">
        <v>46120.0</v>
      </c>
      <c r="C65" s="58">
        <v>10137.0</v>
      </c>
      <c r="D65" s="58"/>
      <c r="E65" s="59" t="s">
        <v>52</v>
      </c>
      <c r="F65" s="78" t="s">
        <v>173</v>
      </c>
      <c r="G65" s="95"/>
    </row>
    <row r="66" ht="19.5" customHeight="1">
      <c r="A66" s="61"/>
      <c r="B66" s="57">
        <v>46120.0</v>
      </c>
      <c r="C66" s="58">
        <v>9213.0</v>
      </c>
      <c r="D66" s="58"/>
      <c r="E66" s="59" t="s">
        <v>52</v>
      </c>
      <c r="F66" s="78" t="s">
        <v>176</v>
      </c>
      <c r="G66" s="95"/>
    </row>
    <row r="67" ht="19.5" customHeight="1">
      <c r="A67" s="61"/>
      <c r="B67" s="57">
        <v>46120.0</v>
      </c>
      <c r="C67" s="58">
        <v>9193.0</v>
      </c>
      <c r="D67" s="58"/>
      <c r="E67" s="59" t="s">
        <v>52</v>
      </c>
      <c r="F67" s="78" t="s">
        <v>176</v>
      </c>
      <c r="G67" s="95"/>
    </row>
    <row r="68" ht="19.5" customHeight="1">
      <c r="A68" s="61"/>
      <c r="B68" s="65">
        <v>46120.0</v>
      </c>
      <c r="C68" s="67">
        <v>4500.0</v>
      </c>
      <c r="D68" s="67"/>
      <c r="E68" s="70" t="s">
        <v>41</v>
      </c>
      <c r="F68" s="70"/>
      <c r="G68" s="92"/>
    </row>
    <row r="69" ht="19.5" customHeight="1">
      <c r="A69" s="61"/>
      <c r="B69" s="65">
        <v>46120.0</v>
      </c>
      <c r="C69" s="67">
        <v>16900.0</v>
      </c>
      <c r="D69" s="67"/>
      <c r="E69" s="70" t="s">
        <v>183</v>
      </c>
      <c r="F69" s="70"/>
      <c r="G69" s="92"/>
    </row>
    <row r="70" ht="19.5" customHeight="1">
      <c r="A70" s="61"/>
      <c r="B70" s="65">
        <v>46121.0</v>
      </c>
      <c r="C70" s="67">
        <v>7800.0</v>
      </c>
      <c r="D70" s="67"/>
      <c r="E70" s="70" t="s">
        <v>41</v>
      </c>
      <c r="F70" s="70"/>
      <c r="G70" s="92"/>
    </row>
    <row r="71" ht="19.5" customHeight="1">
      <c r="A71" s="61"/>
      <c r="B71" s="57">
        <v>46121.0</v>
      </c>
      <c r="C71" s="58">
        <v>10266.0</v>
      </c>
      <c r="D71" s="58"/>
      <c r="E71" s="59" t="s">
        <v>52</v>
      </c>
      <c r="F71" s="78" t="s">
        <v>173</v>
      </c>
      <c r="G71" s="95"/>
    </row>
    <row r="72" ht="19.5" customHeight="1">
      <c r="A72" s="61"/>
      <c r="B72" s="65">
        <v>46122.0</v>
      </c>
      <c r="C72" s="67">
        <v>27017.98</v>
      </c>
      <c r="D72" s="67"/>
      <c r="E72" s="70" t="s">
        <v>35</v>
      </c>
      <c r="F72" s="70"/>
      <c r="G72" s="92"/>
    </row>
    <row r="73" ht="19.5" customHeight="1">
      <c r="A73" s="61"/>
      <c r="B73" s="65">
        <v>46122.0</v>
      </c>
      <c r="C73" s="67">
        <v>4300.0</v>
      </c>
      <c r="D73" s="67"/>
      <c r="E73" s="70" t="s">
        <v>56</v>
      </c>
      <c r="F73" s="70"/>
      <c r="G73" s="92"/>
    </row>
    <row r="74" ht="19.5" customHeight="1">
      <c r="A74" s="61"/>
      <c r="B74" s="65">
        <v>46122.0</v>
      </c>
      <c r="C74" s="67">
        <v>87016.92</v>
      </c>
      <c r="D74" s="67"/>
      <c r="E74" s="70" t="s">
        <v>201</v>
      </c>
      <c r="F74" s="70"/>
      <c r="G74" s="92"/>
    </row>
    <row r="75" ht="19.5" customHeight="1">
      <c r="A75" s="61"/>
      <c r="B75" s="57">
        <v>46122.0</v>
      </c>
      <c r="C75" s="58">
        <v>26300.0</v>
      </c>
      <c r="D75" s="58"/>
      <c r="E75" s="59" t="s">
        <v>78</v>
      </c>
      <c r="F75" s="59" t="s">
        <v>79</v>
      </c>
      <c r="G75" s="95"/>
    </row>
    <row r="76" ht="18.75" customHeight="1">
      <c r="A76" s="61"/>
      <c r="B76" s="65">
        <v>46123.0</v>
      </c>
      <c r="C76" s="67">
        <v>20550.0</v>
      </c>
      <c r="D76" s="67"/>
      <c r="E76" s="70" t="s">
        <v>32</v>
      </c>
      <c r="F76" s="70"/>
      <c r="G76" s="92"/>
    </row>
    <row r="77" ht="19.5" customHeight="1">
      <c r="A77" s="61"/>
      <c r="B77" s="65">
        <v>46125.0</v>
      </c>
      <c r="C77" s="67">
        <v>7700.0</v>
      </c>
      <c r="D77" s="67"/>
      <c r="E77" s="70" t="s">
        <v>41</v>
      </c>
      <c r="F77" s="70"/>
      <c r="G77" s="92"/>
    </row>
    <row r="78" ht="19.5" customHeight="1">
      <c r="A78" s="61"/>
      <c r="B78" s="65">
        <v>46125.0</v>
      </c>
      <c r="C78" s="67">
        <v>8200.0</v>
      </c>
      <c r="D78" s="67"/>
      <c r="E78" s="70" t="s">
        <v>41</v>
      </c>
      <c r="F78" s="70"/>
      <c r="G78" s="92"/>
    </row>
    <row r="79" ht="19.5" customHeight="1">
      <c r="A79" s="61"/>
      <c r="B79" s="57">
        <v>46126.0</v>
      </c>
      <c r="C79" s="58">
        <v>86100.0</v>
      </c>
      <c r="D79" s="58"/>
      <c r="E79" s="59" t="s">
        <v>214</v>
      </c>
      <c r="F79" s="59"/>
      <c r="G79" s="95"/>
    </row>
    <row r="80" ht="19.5" customHeight="1">
      <c r="A80" s="61"/>
      <c r="B80" s="57">
        <v>46126.0</v>
      </c>
      <c r="C80" s="58">
        <v>231412.5</v>
      </c>
      <c r="D80" s="58"/>
      <c r="E80" s="59" t="s">
        <v>214</v>
      </c>
      <c r="F80" s="59" t="s">
        <v>218</v>
      </c>
      <c r="G80" s="95"/>
    </row>
    <row r="81" ht="19.5" customHeight="1">
      <c r="A81" s="61"/>
      <c r="B81" s="57">
        <v>46126.0</v>
      </c>
      <c r="C81" s="58">
        <v>498665.0</v>
      </c>
      <c r="D81" s="58"/>
      <c r="E81" s="59" t="s">
        <v>97</v>
      </c>
      <c r="F81" s="59" t="s">
        <v>98</v>
      </c>
      <c r="G81" s="95"/>
    </row>
    <row r="82" ht="19.5" customHeight="1">
      <c r="A82" s="61"/>
      <c r="B82" s="65">
        <v>46127.0</v>
      </c>
      <c r="C82" s="67">
        <v>8300.0</v>
      </c>
      <c r="D82" s="67"/>
      <c r="E82" s="70" t="s">
        <v>41</v>
      </c>
      <c r="F82" s="70"/>
      <c r="G82" s="92"/>
    </row>
    <row r="83" ht="19.5" customHeight="1">
      <c r="A83" s="61"/>
      <c r="B83" s="57">
        <v>46127.0</v>
      </c>
      <c r="C83" s="58">
        <v>117179.96</v>
      </c>
      <c r="D83" s="58"/>
      <c r="E83" s="59" t="s">
        <v>227</v>
      </c>
      <c r="F83" s="59" t="s">
        <v>108</v>
      </c>
      <c r="G83" s="95"/>
    </row>
    <row r="84" ht="19.5" customHeight="1">
      <c r="A84" s="61"/>
      <c r="B84" s="57">
        <v>46127.0</v>
      </c>
      <c r="C84" s="58">
        <v>20240.29</v>
      </c>
      <c r="D84" s="58"/>
      <c r="E84" s="59" t="s">
        <v>231</v>
      </c>
      <c r="F84" s="59" t="s">
        <v>112</v>
      </c>
      <c r="G84" s="95"/>
    </row>
    <row r="85" ht="19.5" customHeight="1">
      <c r="A85" s="61"/>
      <c r="B85" s="57">
        <v>46127.0</v>
      </c>
      <c r="C85" s="58">
        <v>20903.18</v>
      </c>
      <c r="D85" s="58"/>
      <c r="E85" s="59" t="s">
        <v>233</v>
      </c>
      <c r="F85" s="59" t="s">
        <v>115</v>
      </c>
      <c r="G85" s="95"/>
    </row>
    <row r="86" ht="19.5" customHeight="1">
      <c r="A86" s="61"/>
      <c r="B86" s="57">
        <v>46127.0</v>
      </c>
      <c r="C86" s="58">
        <v>21272.49</v>
      </c>
      <c r="D86" s="58"/>
      <c r="E86" s="59" t="s">
        <v>238</v>
      </c>
      <c r="F86" s="59" t="s">
        <v>106</v>
      </c>
      <c r="G86" s="95"/>
    </row>
    <row r="87" ht="19.5" customHeight="1">
      <c r="A87" s="61"/>
      <c r="B87" s="65">
        <v>46127.0</v>
      </c>
      <c r="C87" s="67">
        <v>6400.0</v>
      </c>
      <c r="D87" s="67"/>
      <c r="E87" s="70" t="s">
        <v>241</v>
      </c>
      <c r="F87" s="70"/>
      <c r="G87" s="92"/>
    </row>
    <row r="88" ht="19.5" customHeight="1">
      <c r="A88" s="61"/>
      <c r="B88" s="65">
        <v>46127.0</v>
      </c>
      <c r="C88" s="67">
        <v>156016.64</v>
      </c>
      <c r="D88" s="67"/>
      <c r="E88" s="70" t="s">
        <v>242</v>
      </c>
      <c r="F88" s="70"/>
      <c r="G88" s="92"/>
    </row>
    <row r="89" ht="19.5" customHeight="1">
      <c r="A89" s="61"/>
      <c r="B89" s="57">
        <v>46127.0</v>
      </c>
      <c r="C89" s="58"/>
      <c r="D89" s="58">
        <v>6.99</v>
      </c>
      <c r="E89" s="59" t="s">
        <v>243</v>
      </c>
      <c r="F89" s="59" t="s">
        <v>245</v>
      </c>
      <c r="G89" s="95"/>
    </row>
    <row r="90" ht="19.5" customHeight="1">
      <c r="A90" s="61"/>
      <c r="B90" s="65">
        <v>46128.0</v>
      </c>
      <c r="C90" s="67">
        <v>10200.0</v>
      </c>
      <c r="D90" s="67"/>
      <c r="E90" s="70" t="s">
        <v>41</v>
      </c>
      <c r="F90" s="70"/>
      <c r="G90" s="92"/>
    </row>
    <row r="91" ht="19.5" customHeight="1">
      <c r="A91" s="61"/>
      <c r="B91" s="65">
        <v>46130.0</v>
      </c>
      <c r="C91" s="67">
        <v>56000.0</v>
      </c>
      <c r="D91" s="67"/>
      <c r="E91" s="70" t="s">
        <v>246</v>
      </c>
      <c r="F91" s="70"/>
      <c r="G91" s="92"/>
    </row>
    <row r="92" ht="19.5" customHeight="1">
      <c r="A92" s="61"/>
      <c r="B92" s="65">
        <v>46130.0</v>
      </c>
      <c r="C92" s="67">
        <v>31800.0</v>
      </c>
      <c r="D92" s="67"/>
      <c r="E92" s="70" t="s">
        <v>248</v>
      </c>
      <c r="F92" s="70"/>
      <c r="G92" s="92"/>
    </row>
    <row r="93" ht="19.5" customHeight="1">
      <c r="A93" s="61"/>
      <c r="B93" s="65">
        <v>46130.0</v>
      </c>
      <c r="C93" s="67">
        <v>22261.02</v>
      </c>
      <c r="D93" s="67"/>
      <c r="E93" s="70" t="s">
        <v>35</v>
      </c>
      <c r="F93" s="70"/>
      <c r="G93" s="92"/>
    </row>
    <row r="94" ht="19.5" customHeight="1">
      <c r="A94" s="61"/>
      <c r="B94" s="65">
        <v>46130.0</v>
      </c>
      <c r="C94" s="67">
        <v>4200.0</v>
      </c>
      <c r="D94" s="67"/>
      <c r="E94" s="70" t="s">
        <v>58</v>
      </c>
      <c r="F94" s="70"/>
      <c r="G94" s="92"/>
    </row>
    <row r="95" ht="19.5" customHeight="1">
      <c r="A95" s="61"/>
      <c r="B95" s="57">
        <v>46131.0</v>
      </c>
      <c r="C95" s="58">
        <v>69642.5</v>
      </c>
      <c r="D95" s="58"/>
      <c r="E95" s="59" t="s">
        <v>254</v>
      </c>
      <c r="F95" s="59" t="s">
        <v>255</v>
      </c>
      <c r="G95" s="95"/>
    </row>
    <row r="96" ht="19.5" customHeight="1">
      <c r="A96" s="61"/>
      <c r="B96" s="57">
        <v>46132.0</v>
      </c>
      <c r="C96" s="58"/>
      <c r="D96" s="58">
        <v>1.99</v>
      </c>
      <c r="E96" s="59" t="s">
        <v>261</v>
      </c>
      <c r="F96" s="59" t="s">
        <v>82</v>
      </c>
      <c r="G96" s="95"/>
    </row>
    <row r="97" ht="19.5" customHeight="1">
      <c r="A97" s="61"/>
      <c r="B97" s="65">
        <v>46133.0</v>
      </c>
      <c r="C97" s="67">
        <v>10050.0</v>
      </c>
      <c r="D97" s="67"/>
      <c r="E97" s="70" t="s">
        <v>58</v>
      </c>
      <c r="F97" s="70"/>
      <c r="G97" s="92"/>
    </row>
    <row r="98" ht="19.5" customHeight="1">
      <c r="A98" s="61"/>
      <c r="B98" s="65">
        <v>46133.0</v>
      </c>
      <c r="C98" s="67">
        <v>7350.0</v>
      </c>
      <c r="D98" s="67"/>
      <c r="E98" s="70" t="s">
        <v>263</v>
      </c>
      <c r="F98" s="70"/>
      <c r="G98" s="92"/>
    </row>
    <row r="99" ht="19.5" customHeight="1">
      <c r="A99" s="61"/>
      <c r="B99" s="57">
        <v>46133.0</v>
      </c>
      <c r="C99" s="58">
        <v>2295538.8</v>
      </c>
      <c r="D99" s="58"/>
      <c r="E99" s="59" t="s">
        <v>234</v>
      </c>
      <c r="F99" s="59" t="s">
        <v>136</v>
      </c>
      <c r="G99" s="95"/>
    </row>
    <row r="100" ht="19.5" customHeight="1">
      <c r="A100" s="61"/>
      <c r="B100" s="65">
        <v>46135.0</v>
      </c>
      <c r="C100" s="67">
        <v>12300.0</v>
      </c>
      <c r="D100" s="67"/>
      <c r="E100" s="70" t="s">
        <v>41</v>
      </c>
      <c r="F100" s="70"/>
      <c r="G100" s="92"/>
    </row>
    <row r="101" ht="19.5" customHeight="1">
      <c r="A101" s="61"/>
      <c r="B101" s="65">
        <v>46136.0</v>
      </c>
      <c r="C101" s="67">
        <v>31400.0</v>
      </c>
      <c r="D101" s="67"/>
      <c r="E101" s="70" t="s">
        <v>248</v>
      </c>
      <c r="F101" s="70"/>
      <c r="G101" s="92"/>
    </row>
    <row r="102" ht="19.5" customHeight="1">
      <c r="A102" s="61"/>
      <c r="B102" s="65">
        <v>46136.0</v>
      </c>
      <c r="C102" s="67">
        <v>167010.0</v>
      </c>
      <c r="D102" s="67"/>
      <c r="E102" s="70" t="s">
        <v>272</v>
      </c>
      <c r="F102" s="70"/>
      <c r="G102" s="92"/>
    </row>
    <row r="103" ht="19.5" customHeight="1">
      <c r="A103" s="61"/>
      <c r="B103" s="65">
        <v>46137.0</v>
      </c>
      <c r="C103" s="67">
        <v>13200.0</v>
      </c>
      <c r="D103" s="67"/>
      <c r="E103" s="70" t="s">
        <v>41</v>
      </c>
      <c r="F103" s="70"/>
      <c r="G103" s="92"/>
    </row>
    <row r="104" ht="19.5" customHeight="1">
      <c r="A104" s="61"/>
      <c r="B104" s="65">
        <v>46137.0</v>
      </c>
      <c r="C104" s="67">
        <v>85109.0</v>
      </c>
      <c r="D104" s="67"/>
      <c r="E104" s="70" t="s">
        <v>273</v>
      </c>
      <c r="F104" s="70"/>
      <c r="G104" s="92"/>
    </row>
    <row r="105" ht="19.5" customHeight="1">
      <c r="A105" s="61"/>
      <c r="B105" s="65">
        <v>46137.0</v>
      </c>
      <c r="C105" s="67">
        <v>10700.0</v>
      </c>
      <c r="D105" s="67"/>
      <c r="E105" s="70" t="s">
        <v>32</v>
      </c>
      <c r="F105" s="70"/>
      <c r="G105" s="92"/>
    </row>
    <row r="106" ht="19.5" customHeight="1">
      <c r="A106" s="61"/>
      <c r="B106" s="65">
        <v>46137.0</v>
      </c>
      <c r="C106" s="67">
        <v>5300.0</v>
      </c>
      <c r="D106" s="67"/>
      <c r="E106" s="70" t="s">
        <v>32</v>
      </c>
      <c r="F106" s="70"/>
      <c r="G106" s="92"/>
    </row>
    <row r="107" ht="19.5" customHeight="1">
      <c r="A107" s="61"/>
      <c r="B107" s="65">
        <v>46140.0</v>
      </c>
      <c r="C107" s="67">
        <v>16800.0</v>
      </c>
      <c r="D107" s="67"/>
      <c r="E107" s="70" t="s">
        <v>278</v>
      </c>
      <c r="F107" s="70"/>
      <c r="G107" s="92"/>
    </row>
    <row r="108" ht="19.5" customHeight="1">
      <c r="A108" s="61"/>
      <c r="B108" s="65">
        <v>46140.0</v>
      </c>
      <c r="C108" s="67">
        <v>5900.0</v>
      </c>
      <c r="D108" s="67"/>
      <c r="E108" s="70" t="s">
        <v>32</v>
      </c>
      <c r="F108" s="70"/>
      <c r="G108" s="92"/>
    </row>
    <row r="109" ht="19.5" customHeight="1">
      <c r="A109" s="61"/>
      <c r="B109" s="65">
        <v>46140.0</v>
      </c>
      <c r="C109" s="67">
        <v>9250.0</v>
      </c>
      <c r="D109" s="67"/>
      <c r="E109" s="70" t="s">
        <v>188</v>
      </c>
      <c r="F109" s="70"/>
      <c r="G109" s="92"/>
    </row>
    <row r="110" ht="19.5" customHeight="1">
      <c r="A110" s="61"/>
      <c r="B110" s="65">
        <v>46141.0</v>
      </c>
      <c r="C110" s="67">
        <v>106990.0</v>
      </c>
      <c r="D110" s="67"/>
      <c r="E110" s="70" t="s">
        <v>286</v>
      </c>
      <c r="F110" s="70"/>
      <c r="G110" s="92"/>
    </row>
    <row r="111" ht="19.5" customHeight="1">
      <c r="A111" s="61"/>
      <c r="B111" s="65">
        <v>46141.0</v>
      </c>
      <c r="C111" s="67">
        <v>180000.0</v>
      </c>
      <c r="D111" s="67"/>
      <c r="E111" s="70" t="s">
        <v>290</v>
      </c>
      <c r="F111" s="70"/>
      <c r="G111" s="92"/>
    </row>
    <row r="112" ht="19.5" customHeight="1">
      <c r="A112" s="61"/>
      <c r="B112" s="65">
        <v>46141.0</v>
      </c>
      <c r="C112" s="67">
        <v>16600.0</v>
      </c>
      <c r="D112" s="67"/>
      <c r="E112" s="70" t="s">
        <v>248</v>
      </c>
      <c r="F112" s="70"/>
      <c r="G112" s="92"/>
    </row>
    <row r="113" ht="19.5" customHeight="1">
      <c r="A113" s="61"/>
      <c r="B113" s="65">
        <v>46141.0</v>
      </c>
      <c r="C113" s="67">
        <v>18100.0</v>
      </c>
      <c r="D113" s="67"/>
      <c r="E113" s="70" t="s">
        <v>295</v>
      </c>
      <c r="F113" s="70"/>
      <c r="G113" s="92"/>
    </row>
    <row r="114" ht="19.5" customHeight="1">
      <c r="A114" s="61"/>
      <c r="B114" s="57">
        <v>46142.0</v>
      </c>
      <c r="C114" s="58">
        <v>102850.0</v>
      </c>
      <c r="D114" s="58"/>
      <c r="E114" s="59" t="s">
        <v>214</v>
      </c>
      <c r="F114" s="59" t="s">
        <v>300</v>
      </c>
      <c r="G114" s="95"/>
    </row>
    <row r="115" ht="19.5" customHeight="1">
      <c r="A115" s="42"/>
      <c r="B115" s="57">
        <v>46142.0</v>
      </c>
      <c r="C115" s="58">
        <v>102850.0</v>
      </c>
      <c r="D115" s="58"/>
      <c r="E115" s="59" t="s">
        <v>214</v>
      </c>
      <c r="F115" s="59" t="s">
        <v>304</v>
      </c>
      <c r="G115" s="95"/>
    </row>
    <row r="116" ht="30.0" customHeight="1">
      <c r="A116" s="129" t="s">
        <v>163</v>
      </c>
      <c r="B116" s="38"/>
      <c r="C116" s="131">
        <f t="shared" ref="C116:D116" si="3">SUM(C21:C115)</f>
        <v>7946630.97</v>
      </c>
      <c r="D116" s="131">
        <f t="shared" si="3"/>
        <v>21.96</v>
      </c>
      <c r="E116" s="134"/>
      <c r="F116" s="135"/>
    </row>
    <row r="117" ht="4.5" customHeight="1">
      <c r="A117" s="137"/>
      <c r="B117" s="133"/>
      <c r="C117" s="133"/>
      <c r="D117" s="133"/>
      <c r="E117" s="133"/>
      <c r="F117" s="133"/>
      <c r="G117" s="125"/>
    </row>
    <row r="118" ht="19.5" customHeight="1">
      <c r="A118" s="145" t="s">
        <v>172</v>
      </c>
      <c r="B118" s="146">
        <v>46050.0</v>
      </c>
      <c r="C118" s="72">
        <v>65095.34</v>
      </c>
      <c r="D118" s="72"/>
      <c r="E118" s="75" t="s">
        <v>336</v>
      </c>
      <c r="F118" s="140" t="s">
        <v>337</v>
      </c>
      <c r="G118" s="80" t="s">
        <v>179</v>
      </c>
    </row>
    <row r="119" ht="19.5" customHeight="1">
      <c r="A119" s="61"/>
      <c r="B119" s="57">
        <v>46060.0</v>
      </c>
      <c r="C119" s="58">
        <v>57362.33</v>
      </c>
      <c r="D119" s="72"/>
      <c r="E119" s="59" t="s">
        <v>340</v>
      </c>
      <c r="F119" s="140" t="s">
        <v>341</v>
      </c>
      <c r="G119" s="95" t="s">
        <v>179</v>
      </c>
    </row>
    <row r="120" ht="19.5" customHeight="1">
      <c r="A120" s="61"/>
      <c r="B120" s="57">
        <v>46084.0</v>
      </c>
      <c r="C120" s="58">
        <v>65986.66</v>
      </c>
      <c r="D120" s="72"/>
      <c r="E120" s="59" t="s">
        <v>343</v>
      </c>
      <c r="F120" s="140" t="s">
        <v>345</v>
      </c>
      <c r="G120" s="95" t="s">
        <v>179</v>
      </c>
    </row>
    <row r="121" ht="19.5" customHeight="1">
      <c r="A121" s="61"/>
      <c r="B121" s="57">
        <v>46108.0</v>
      </c>
      <c r="C121" s="58">
        <v>29999.9</v>
      </c>
      <c r="D121" s="72"/>
      <c r="E121" s="59" t="s">
        <v>41</v>
      </c>
      <c r="F121" s="140" t="s">
        <v>351</v>
      </c>
      <c r="G121" s="95" t="s">
        <v>179</v>
      </c>
    </row>
    <row r="122" ht="19.5" customHeight="1">
      <c r="A122" s="61"/>
      <c r="B122" s="57">
        <v>46109.0</v>
      </c>
      <c r="C122" s="58">
        <v>29999.9</v>
      </c>
      <c r="D122" s="72"/>
      <c r="E122" s="59" t="s">
        <v>41</v>
      </c>
      <c r="F122" s="140" t="s">
        <v>351</v>
      </c>
      <c r="G122" s="95" t="s">
        <v>179</v>
      </c>
    </row>
    <row r="123" ht="19.5" customHeight="1">
      <c r="A123" s="61"/>
      <c r="B123" s="57">
        <v>46109.0</v>
      </c>
      <c r="C123" s="58">
        <v>141151.92</v>
      </c>
      <c r="D123" s="72"/>
      <c r="E123" s="59" t="s">
        <v>190</v>
      </c>
      <c r="F123" s="140" t="s">
        <v>359</v>
      </c>
      <c r="G123" s="95" t="s">
        <v>179</v>
      </c>
    </row>
    <row r="124" ht="19.5" customHeight="1">
      <c r="A124" s="61"/>
      <c r="B124" s="57">
        <v>46111.0</v>
      </c>
      <c r="C124" s="58">
        <v>84999.0</v>
      </c>
      <c r="D124" s="72"/>
      <c r="E124" s="59" t="s">
        <v>361</v>
      </c>
      <c r="F124" s="140" t="s">
        <v>362</v>
      </c>
      <c r="G124" s="95" t="s">
        <v>192</v>
      </c>
    </row>
    <row r="125" ht="19.5" customHeight="1">
      <c r="A125" s="61"/>
      <c r="B125" s="57">
        <v>46112.0</v>
      </c>
      <c r="C125" s="58">
        <v>34999.91</v>
      </c>
      <c r="D125" s="72"/>
      <c r="E125" s="59" t="s">
        <v>41</v>
      </c>
      <c r="F125" s="140" t="s">
        <v>365</v>
      </c>
      <c r="G125" s="95" t="s">
        <v>179</v>
      </c>
    </row>
    <row r="126" ht="19.5" customHeight="1">
      <c r="A126" s="61"/>
      <c r="B126" s="57">
        <v>46113.0</v>
      </c>
      <c r="C126" s="58">
        <v>40000.0</v>
      </c>
      <c r="D126" s="72"/>
      <c r="E126" s="59" t="s">
        <v>41</v>
      </c>
      <c r="F126" s="140" t="s">
        <v>367</v>
      </c>
      <c r="G126" s="95" t="s">
        <v>192</v>
      </c>
    </row>
    <row r="127" ht="19.5" customHeight="1">
      <c r="A127" s="61"/>
      <c r="B127" s="57">
        <v>46114.0</v>
      </c>
      <c r="C127" s="58">
        <v>124984.0</v>
      </c>
      <c r="D127" s="72"/>
      <c r="E127" s="59" t="s">
        <v>370</v>
      </c>
      <c r="F127" s="140" t="s">
        <v>371</v>
      </c>
      <c r="G127" s="95" t="s">
        <v>179</v>
      </c>
    </row>
    <row r="128" ht="19.5" customHeight="1">
      <c r="A128" s="61"/>
      <c r="B128" s="57">
        <v>46115.0</v>
      </c>
      <c r="C128" s="58">
        <v>34800.0</v>
      </c>
      <c r="D128" s="72"/>
      <c r="E128" s="59" t="s">
        <v>217</v>
      </c>
      <c r="F128" s="149" t="s">
        <v>378</v>
      </c>
      <c r="G128" s="95" t="s">
        <v>179</v>
      </c>
    </row>
    <row r="129" ht="19.5" customHeight="1">
      <c r="A129" s="61"/>
      <c r="B129" s="57">
        <v>46116.0</v>
      </c>
      <c r="C129" s="58">
        <v>76250.47</v>
      </c>
      <c r="D129" s="72"/>
      <c r="E129" s="59" t="s">
        <v>190</v>
      </c>
      <c r="F129" s="140" t="s">
        <v>359</v>
      </c>
      <c r="G129" s="95" t="s">
        <v>179</v>
      </c>
    </row>
    <row r="130" ht="19.5" customHeight="1">
      <c r="A130" s="61"/>
      <c r="B130" s="57">
        <v>46116.0</v>
      </c>
      <c r="C130" s="58">
        <v>129661.48</v>
      </c>
      <c r="D130" s="72"/>
      <c r="E130" s="59" t="s">
        <v>190</v>
      </c>
      <c r="F130" s="140" t="s">
        <v>359</v>
      </c>
      <c r="G130" s="95" t="s">
        <v>179</v>
      </c>
    </row>
    <row r="131" ht="19.5" customHeight="1">
      <c r="A131" s="61"/>
      <c r="B131" s="57">
        <v>46117.0</v>
      </c>
      <c r="C131" s="58">
        <v>53000.0</v>
      </c>
      <c r="D131" s="72"/>
      <c r="E131" s="59" t="s">
        <v>376</v>
      </c>
      <c r="F131" s="140" t="s">
        <v>384</v>
      </c>
      <c r="G131" s="95" t="s">
        <v>179</v>
      </c>
    </row>
    <row r="132" ht="19.5" customHeight="1">
      <c r="A132" s="61"/>
      <c r="B132" s="57">
        <v>46118.0</v>
      </c>
      <c r="C132" s="58">
        <v>55636.2</v>
      </c>
      <c r="D132" s="72"/>
      <c r="E132" s="59" t="s">
        <v>385</v>
      </c>
      <c r="F132" s="140" t="s">
        <v>386</v>
      </c>
      <c r="G132" s="95" t="s">
        <v>179</v>
      </c>
    </row>
    <row r="133" ht="19.5" customHeight="1">
      <c r="A133" s="61"/>
      <c r="B133" s="57">
        <v>46118.0</v>
      </c>
      <c r="C133" s="58">
        <v>40000.08</v>
      </c>
      <c r="D133" s="72"/>
      <c r="E133" s="59" t="s">
        <v>41</v>
      </c>
      <c r="F133" s="140" t="s">
        <v>351</v>
      </c>
      <c r="G133" s="95" t="s">
        <v>179</v>
      </c>
    </row>
    <row r="134" ht="19.5" customHeight="1">
      <c r="A134" s="61"/>
      <c r="B134" s="57">
        <v>46119.0</v>
      </c>
      <c r="C134" s="58">
        <v>64194.0</v>
      </c>
      <c r="D134" s="72"/>
      <c r="E134" s="59" t="s">
        <v>388</v>
      </c>
      <c r="F134" s="140" t="s">
        <v>389</v>
      </c>
      <c r="G134" s="95" t="s">
        <v>192</v>
      </c>
    </row>
    <row r="135" ht="19.5" customHeight="1">
      <c r="A135" s="61"/>
      <c r="B135" s="57">
        <v>46119.0</v>
      </c>
      <c r="C135" s="58">
        <v>29999.95</v>
      </c>
      <c r="D135" s="72"/>
      <c r="E135" s="59" t="s">
        <v>41</v>
      </c>
      <c r="F135" s="140" t="s">
        <v>351</v>
      </c>
      <c r="G135" s="95" t="s">
        <v>179</v>
      </c>
    </row>
    <row r="136" ht="19.5" customHeight="1">
      <c r="A136" s="61"/>
      <c r="B136" s="57">
        <v>46120.0</v>
      </c>
      <c r="C136" s="58">
        <v>32097.0</v>
      </c>
      <c r="D136" s="72"/>
      <c r="E136" s="59" t="s">
        <v>394</v>
      </c>
      <c r="F136" s="140" t="s">
        <v>395</v>
      </c>
      <c r="G136" s="95" t="s">
        <v>192</v>
      </c>
    </row>
    <row r="137" ht="19.5" customHeight="1">
      <c r="A137" s="61"/>
      <c r="B137" s="57">
        <v>46120.0</v>
      </c>
      <c r="C137" s="58">
        <v>213980.0</v>
      </c>
      <c r="D137" s="72"/>
      <c r="E137" s="59" t="s">
        <v>397</v>
      </c>
      <c r="F137" s="140" t="s">
        <v>398</v>
      </c>
      <c r="G137" s="95" t="s">
        <v>192</v>
      </c>
    </row>
    <row r="138" ht="19.5" customHeight="1">
      <c r="A138" s="61"/>
      <c r="B138" s="57">
        <v>46122.0</v>
      </c>
      <c r="C138" s="58">
        <v>46200.08</v>
      </c>
      <c r="D138" s="72"/>
      <c r="E138" s="59" t="s">
        <v>41</v>
      </c>
      <c r="F138" s="140" t="s">
        <v>401</v>
      </c>
      <c r="G138" s="95" t="s">
        <v>192</v>
      </c>
    </row>
    <row r="139" ht="19.5" customHeight="1">
      <c r="A139" s="61"/>
      <c r="B139" s="57">
        <v>46123.0</v>
      </c>
      <c r="C139" s="58">
        <v>69999.68</v>
      </c>
      <c r="D139" s="72"/>
      <c r="E139" s="59" t="s">
        <v>407</v>
      </c>
      <c r="F139" s="140" t="s">
        <v>408</v>
      </c>
      <c r="G139" s="95" t="s">
        <v>179</v>
      </c>
    </row>
    <row r="140" ht="19.5" customHeight="1">
      <c r="A140" s="61"/>
      <c r="B140" s="57">
        <v>46124.0</v>
      </c>
      <c r="C140" s="58">
        <v>30000.0</v>
      </c>
      <c r="D140" s="72"/>
      <c r="E140" s="59" t="s">
        <v>376</v>
      </c>
      <c r="F140" s="140" t="s">
        <v>384</v>
      </c>
      <c r="G140" s="95" t="s">
        <v>179</v>
      </c>
    </row>
    <row r="141" ht="19.5" customHeight="1">
      <c r="A141" s="61"/>
      <c r="B141" s="57">
        <v>46124.0</v>
      </c>
      <c r="C141" s="58">
        <v>116058.86</v>
      </c>
      <c r="D141" s="72"/>
      <c r="E141" s="59" t="s">
        <v>190</v>
      </c>
      <c r="F141" s="140" t="s">
        <v>359</v>
      </c>
      <c r="G141" s="95" t="s">
        <v>179</v>
      </c>
    </row>
    <row r="142" ht="19.5" customHeight="1">
      <c r="A142" s="61"/>
      <c r="B142" s="57">
        <v>46125.0</v>
      </c>
      <c r="C142" s="58">
        <v>40000.08</v>
      </c>
      <c r="D142" s="72"/>
      <c r="E142" s="59" t="s">
        <v>41</v>
      </c>
      <c r="F142" s="140" t="s">
        <v>351</v>
      </c>
      <c r="G142" s="95" t="s">
        <v>179</v>
      </c>
    </row>
    <row r="143" ht="19.5" customHeight="1">
      <c r="A143" s="61"/>
      <c r="B143" s="57">
        <v>46125.0</v>
      </c>
      <c r="C143" s="58">
        <v>20581.5</v>
      </c>
      <c r="D143" s="72"/>
      <c r="E143" s="59" t="s">
        <v>422</v>
      </c>
      <c r="F143" s="140" t="s">
        <v>423</v>
      </c>
      <c r="G143" s="95" t="s">
        <v>179</v>
      </c>
    </row>
    <row r="144" ht="19.5" customHeight="1">
      <c r="A144" s="61"/>
      <c r="B144" s="57">
        <v>46126.0</v>
      </c>
      <c r="C144" s="58">
        <v>23377.32</v>
      </c>
      <c r="D144" s="72"/>
      <c r="E144" s="59" t="s">
        <v>426</v>
      </c>
      <c r="F144" s="140" t="s">
        <v>427</v>
      </c>
      <c r="G144" s="95" t="s">
        <v>192</v>
      </c>
    </row>
    <row r="145" ht="19.5" customHeight="1">
      <c r="A145" s="61"/>
      <c r="B145" s="57">
        <v>46126.0</v>
      </c>
      <c r="C145" s="58">
        <v>62839.94</v>
      </c>
      <c r="D145" s="72"/>
      <c r="E145" s="59" t="s">
        <v>372</v>
      </c>
      <c r="F145" s="140" t="s">
        <v>430</v>
      </c>
      <c r="G145" s="95" t="s">
        <v>179</v>
      </c>
    </row>
    <row r="146" ht="19.5" customHeight="1">
      <c r="A146" s="61"/>
      <c r="B146" s="57">
        <v>46127.0</v>
      </c>
      <c r="C146" s="58">
        <v>40000.08</v>
      </c>
      <c r="D146" s="72"/>
      <c r="E146" s="59" t="s">
        <v>41</v>
      </c>
      <c r="F146" s="140" t="s">
        <v>351</v>
      </c>
      <c r="G146" s="95" t="s">
        <v>179</v>
      </c>
    </row>
    <row r="147" ht="19.5" customHeight="1">
      <c r="A147" s="61"/>
      <c r="B147" s="57">
        <v>46127.0</v>
      </c>
      <c r="C147" s="58"/>
      <c r="D147" s="72">
        <v>0.89</v>
      </c>
      <c r="E147" s="59" t="s">
        <v>435</v>
      </c>
      <c r="F147" s="140" t="s">
        <v>436</v>
      </c>
      <c r="G147" s="95" t="s">
        <v>179</v>
      </c>
    </row>
    <row r="148" ht="19.5" customHeight="1">
      <c r="A148" s="61"/>
      <c r="B148" s="57">
        <v>46128.0</v>
      </c>
      <c r="C148" s="58">
        <v>29999.95</v>
      </c>
      <c r="D148" s="72"/>
      <c r="E148" s="59" t="s">
        <v>41</v>
      </c>
      <c r="F148" s="140" t="s">
        <v>351</v>
      </c>
      <c r="G148" s="95" t="s">
        <v>179</v>
      </c>
    </row>
    <row r="149" ht="19.5" customHeight="1">
      <c r="A149" s="61"/>
      <c r="B149" s="57">
        <v>46129.0</v>
      </c>
      <c r="C149" s="58">
        <v>40000.08</v>
      </c>
      <c r="D149" s="72"/>
      <c r="E149" s="59" t="s">
        <v>41</v>
      </c>
      <c r="F149" s="140" t="s">
        <v>401</v>
      </c>
      <c r="G149" s="95" t="s">
        <v>192</v>
      </c>
    </row>
    <row r="150" ht="19.5" customHeight="1">
      <c r="A150" s="61"/>
      <c r="B150" s="57">
        <v>46129.0</v>
      </c>
      <c r="C150" s="58">
        <v>240551.12</v>
      </c>
      <c r="D150" s="72"/>
      <c r="E150" s="59" t="s">
        <v>344</v>
      </c>
      <c r="F150" s="140" t="s">
        <v>444</v>
      </c>
      <c r="G150" s="95" t="s">
        <v>209</v>
      </c>
    </row>
    <row r="151" ht="19.5" customHeight="1">
      <c r="A151" s="61"/>
      <c r="B151" s="57">
        <v>46129.0</v>
      </c>
      <c r="C151" s="58">
        <v>235607.3</v>
      </c>
      <c r="D151" s="72"/>
      <c r="E151" s="59" t="s">
        <v>447</v>
      </c>
      <c r="F151" s="140" t="s">
        <v>449</v>
      </c>
      <c r="G151" s="95" t="s">
        <v>192</v>
      </c>
    </row>
    <row r="152" ht="19.5" customHeight="1">
      <c r="A152" s="61"/>
      <c r="B152" s="57">
        <v>46131.0</v>
      </c>
      <c r="C152" s="58">
        <v>40000.0</v>
      </c>
      <c r="D152" s="72"/>
      <c r="E152" s="59" t="s">
        <v>376</v>
      </c>
      <c r="F152" s="140" t="s">
        <v>351</v>
      </c>
      <c r="G152" s="95" t="s">
        <v>179</v>
      </c>
    </row>
    <row r="153" ht="19.5" customHeight="1">
      <c r="A153" s="61"/>
      <c r="B153" s="57">
        <v>46133.0</v>
      </c>
      <c r="C153" s="58">
        <v>40000.08</v>
      </c>
      <c r="D153" s="72"/>
      <c r="E153" s="59" t="s">
        <v>41</v>
      </c>
      <c r="F153" s="140" t="s">
        <v>351</v>
      </c>
      <c r="G153" s="95" t="s">
        <v>179</v>
      </c>
    </row>
    <row r="154" ht="19.5" customHeight="1">
      <c r="A154" s="61"/>
      <c r="B154" s="57">
        <v>46135.0</v>
      </c>
      <c r="C154" s="58">
        <v>25000.0</v>
      </c>
      <c r="D154" s="72"/>
      <c r="E154" s="59" t="s">
        <v>41</v>
      </c>
      <c r="F154" s="140" t="s">
        <v>351</v>
      </c>
      <c r="G154" s="95" t="s">
        <v>179</v>
      </c>
    </row>
    <row r="155" ht="19.5" customHeight="1">
      <c r="A155" s="61"/>
      <c r="B155" s="57">
        <v>46136.0</v>
      </c>
      <c r="C155" s="58">
        <v>40000.08</v>
      </c>
      <c r="D155" s="72"/>
      <c r="E155" s="59" t="s">
        <v>41</v>
      </c>
      <c r="F155" s="140" t="s">
        <v>351</v>
      </c>
      <c r="G155" s="95" t="s">
        <v>179</v>
      </c>
    </row>
    <row r="156" ht="19.5" customHeight="1">
      <c r="A156" s="61"/>
      <c r="B156" s="57">
        <v>46136.0</v>
      </c>
      <c r="C156" s="58">
        <v>199999.87</v>
      </c>
      <c r="D156" s="58"/>
      <c r="E156" s="59" t="s">
        <v>175</v>
      </c>
      <c r="F156" s="140" t="s">
        <v>462</v>
      </c>
      <c r="G156" s="95" t="s">
        <v>192</v>
      </c>
    </row>
    <row r="157" ht="19.5" customHeight="1">
      <c r="A157" s="61"/>
      <c r="B157" s="57">
        <v>46137.0</v>
      </c>
      <c r="C157" s="58">
        <v>29999.95</v>
      </c>
      <c r="D157" s="58"/>
      <c r="E157" s="59" t="s">
        <v>41</v>
      </c>
      <c r="F157" s="140" t="s">
        <v>351</v>
      </c>
      <c r="G157" s="95" t="s">
        <v>179</v>
      </c>
    </row>
    <row r="158" ht="19.5" customHeight="1">
      <c r="A158" s="61"/>
      <c r="B158" s="57">
        <v>46137.0</v>
      </c>
      <c r="C158" s="58">
        <v>29999.95</v>
      </c>
      <c r="D158" s="58"/>
      <c r="E158" s="59" t="s">
        <v>41</v>
      </c>
      <c r="F158" s="140" t="s">
        <v>351</v>
      </c>
      <c r="G158" s="95" t="s">
        <v>179</v>
      </c>
    </row>
    <row r="159" ht="19.5" customHeight="1">
      <c r="A159" s="61"/>
      <c r="B159" s="57">
        <v>46137.0</v>
      </c>
      <c r="C159" s="58">
        <v>15900.0</v>
      </c>
      <c r="D159" s="58"/>
      <c r="E159" s="59" t="s">
        <v>463</v>
      </c>
      <c r="F159" s="140" t="s">
        <v>464</v>
      </c>
      <c r="G159" s="95" t="s">
        <v>179</v>
      </c>
    </row>
    <row r="160" ht="19.5" customHeight="1">
      <c r="A160" s="61"/>
      <c r="B160" s="57">
        <v>46137.0</v>
      </c>
      <c r="C160" s="58">
        <v>27500.0</v>
      </c>
      <c r="D160" s="58"/>
      <c r="E160" s="59" t="s">
        <v>217</v>
      </c>
      <c r="F160" s="140" t="s">
        <v>466</v>
      </c>
      <c r="G160" s="95" t="s">
        <v>179</v>
      </c>
    </row>
    <row r="161" ht="19.5" customHeight="1">
      <c r="A161" s="61"/>
      <c r="B161" s="57">
        <v>46138.0</v>
      </c>
      <c r="C161" s="58">
        <v>160485.0</v>
      </c>
      <c r="D161" s="58"/>
      <c r="E161" s="59" t="s">
        <v>426</v>
      </c>
      <c r="F161" s="140" t="s">
        <v>468</v>
      </c>
      <c r="G161" s="95" t="s">
        <v>192</v>
      </c>
    </row>
    <row r="162" ht="19.5" customHeight="1">
      <c r="A162" s="61"/>
      <c r="B162" s="57">
        <v>46138.0</v>
      </c>
      <c r="C162" s="58">
        <v>267475.0</v>
      </c>
      <c r="D162" s="58"/>
      <c r="E162" s="59" t="s">
        <v>471</v>
      </c>
      <c r="F162" s="140" t="s">
        <v>472</v>
      </c>
      <c r="G162" s="95" t="s">
        <v>192</v>
      </c>
    </row>
    <row r="163" ht="19.5" customHeight="1">
      <c r="A163" s="61"/>
      <c r="B163" s="57">
        <v>46138.0</v>
      </c>
      <c r="C163" s="58">
        <v>171067.3</v>
      </c>
      <c r="D163" s="58"/>
      <c r="E163" s="59" t="s">
        <v>190</v>
      </c>
      <c r="F163" s="140" t="s">
        <v>359</v>
      </c>
      <c r="G163" s="95" t="s">
        <v>179</v>
      </c>
    </row>
    <row r="164" ht="19.5" customHeight="1">
      <c r="A164" s="61"/>
      <c r="B164" s="57">
        <v>46140.0</v>
      </c>
      <c r="C164" s="58">
        <v>29999.95</v>
      </c>
      <c r="D164" s="58"/>
      <c r="E164" s="59" t="s">
        <v>41</v>
      </c>
      <c r="F164" s="140" t="s">
        <v>351</v>
      </c>
      <c r="G164" s="95" t="s">
        <v>179</v>
      </c>
    </row>
    <row r="165" ht="19.5" customHeight="1">
      <c r="A165" s="61"/>
      <c r="B165" s="57">
        <v>46141.0</v>
      </c>
      <c r="C165" s="58">
        <v>29999.95</v>
      </c>
      <c r="D165" s="58"/>
      <c r="E165" s="59" t="s">
        <v>41</v>
      </c>
      <c r="F165" s="140" t="s">
        <v>351</v>
      </c>
      <c r="G165" s="95" t="s">
        <v>179</v>
      </c>
    </row>
    <row r="166" ht="19.5" customHeight="1">
      <c r="A166" s="42"/>
      <c r="B166" s="57">
        <v>46142.0</v>
      </c>
      <c r="C166" s="58">
        <v>29999.95</v>
      </c>
      <c r="D166" s="58"/>
      <c r="E166" s="59" t="s">
        <v>41</v>
      </c>
      <c r="F166" s="140" t="s">
        <v>401</v>
      </c>
      <c r="G166" s="95" t="s">
        <v>192</v>
      </c>
    </row>
    <row r="167" ht="30.0" customHeight="1">
      <c r="A167" s="170" t="s">
        <v>163</v>
      </c>
      <c r="B167" s="47"/>
      <c r="C167" s="152">
        <f t="shared" ref="C167:D167" si="4">SUM(C118:C166)</f>
        <v>3536841.21</v>
      </c>
      <c r="D167" s="152">
        <f t="shared" si="4"/>
        <v>0.89</v>
      </c>
      <c r="E167" s="134"/>
      <c r="F167" s="135"/>
    </row>
    <row r="168" ht="4.5" customHeight="1">
      <c r="A168" s="137"/>
      <c r="B168" s="133"/>
      <c r="C168" s="133"/>
      <c r="D168" s="133"/>
      <c r="E168" s="133"/>
      <c r="F168" s="133"/>
      <c r="G168" s="125"/>
    </row>
    <row r="169" ht="19.5" customHeight="1">
      <c r="A169" s="174" t="s">
        <v>19</v>
      </c>
      <c r="B169" s="175">
        <v>45987.0</v>
      </c>
      <c r="C169" s="58">
        <v>50933.33</v>
      </c>
      <c r="D169" s="155"/>
      <c r="E169" s="158" t="s">
        <v>506</v>
      </c>
      <c r="F169" s="158" t="s">
        <v>250</v>
      </c>
      <c r="G169" s="159" t="s">
        <v>179</v>
      </c>
    </row>
    <row r="170" ht="30.0" customHeight="1">
      <c r="A170" s="176" t="s">
        <v>163</v>
      </c>
      <c r="B170" s="125"/>
      <c r="C170" s="152">
        <f t="shared" ref="C170:D170" si="5">SUM(C169)</f>
        <v>50933.33</v>
      </c>
      <c r="D170" s="152">
        <f t="shared" si="5"/>
        <v>0</v>
      </c>
      <c r="E170" s="177"/>
      <c r="F170" s="135"/>
      <c r="G170" s="178"/>
    </row>
    <row r="171" ht="4.5" customHeight="1">
      <c r="A171" s="179"/>
      <c r="B171" s="180"/>
      <c r="C171" s="180"/>
      <c r="D171" s="180"/>
      <c r="E171" s="180"/>
      <c r="F171" s="180"/>
      <c r="G171" s="181"/>
    </row>
    <row r="172" ht="19.5" customHeight="1">
      <c r="A172" s="62" t="s">
        <v>18</v>
      </c>
      <c r="B172" s="184">
        <v>46108.0</v>
      </c>
      <c r="C172" s="155">
        <v>10666.9</v>
      </c>
      <c r="D172" s="155"/>
      <c r="E172" s="158" t="s">
        <v>529</v>
      </c>
      <c r="F172" s="86" t="s">
        <v>531</v>
      </c>
      <c r="G172" s="165"/>
    </row>
    <row r="173" ht="19.5" customHeight="1">
      <c r="A173" s="61"/>
      <c r="B173" s="82">
        <v>46108.0</v>
      </c>
      <c r="C173" s="72">
        <v>9939.37</v>
      </c>
      <c r="D173" s="72"/>
      <c r="E173" s="75" t="s">
        <v>534</v>
      </c>
      <c r="F173" s="86" t="s">
        <v>536</v>
      </c>
      <c r="G173" s="169"/>
    </row>
    <row r="174" ht="19.5" customHeight="1">
      <c r="A174" s="61"/>
      <c r="B174" s="82">
        <v>46114.0</v>
      </c>
      <c r="C174" s="72">
        <v>8024.25</v>
      </c>
      <c r="D174" s="72"/>
      <c r="E174" s="75" t="s">
        <v>537</v>
      </c>
      <c r="F174" s="86" t="s">
        <v>539</v>
      </c>
      <c r="G174" s="169"/>
    </row>
    <row r="175" ht="19.5" customHeight="1">
      <c r="A175" s="61"/>
      <c r="B175" s="82">
        <v>46117.0</v>
      </c>
      <c r="C175" s="72">
        <v>10699.0</v>
      </c>
      <c r="D175" s="72"/>
      <c r="E175" s="75" t="s">
        <v>426</v>
      </c>
      <c r="F175" s="86" t="s">
        <v>540</v>
      </c>
      <c r="G175" s="169"/>
    </row>
    <row r="176" ht="19.5" customHeight="1">
      <c r="A176" s="61"/>
      <c r="B176" s="82">
        <v>46118.0</v>
      </c>
      <c r="C176" s="72">
        <v>34176.89</v>
      </c>
      <c r="D176" s="72"/>
      <c r="E176" s="75" t="s">
        <v>542</v>
      </c>
      <c r="F176" s="86" t="s">
        <v>543</v>
      </c>
      <c r="G176" s="169"/>
    </row>
    <row r="177" ht="19.5" customHeight="1">
      <c r="A177" s="61"/>
      <c r="B177" s="82">
        <v>46119.0</v>
      </c>
      <c r="C177" s="72">
        <v>113513.4</v>
      </c>
      <c r="D177" s="72"/>
      <c r="E177" s="75" t="s">
        <v>36</v>
      </c>
      <c r="F177" s="86" t="s">
        <v>545</v>
      </c>
      <c r="G177" s="169"/>
    </row>
    <row r="178" ht="19.5" customHeight="1">
      <c r="A178" s="61"/>
      <c r="B178" s="82">
        <v>46119.0</v>
      </c>
      <c r="C178" s="72">
        <v>37541.76</v>
      </c>
      <c r="D178" s="72"/>
      <c r="E178" s="75" t="s">
        <v>36</v>
      </c>
      <c r="F178" s="86" t="s">
        <v>548</v>
      </c>
      <c r="G178" s="169"/>
    </row>
    <row r="179" ht="19.5" customHeight="1">
      <c r="A179" s="61"/>
      <c r="B179" s="82">
        <v>46119.0</v>
      </c>
      <c r="C179" s="72">
        <v>141891.75</v>
      </c>
      <c r="D179" s="72"/>
      <c r="E179" s="75" t="s">
        <v>36</v>
      </c>
      <c r="F179" s="86" t="s">
        <v>549</v>
      </c>
      <c r="G179" s="169"/>
    </row>
    <row r="180" ht="19.5" customHeight="1">
      <c r="A180" s="61"/>
      <c r="B180" s="82">
        <v>46119.0</v>
      </c>
      <c r="C180" s="72">
        <v>48145.5</v>
      </c>
      <c r="D180" s="72"/>
      <c r="E180" s="75" t="s">
        <v>550</v>
      </c>
      <c r="F180" s="86" t="s">
        <v>551</v>
      </c>
      <c r="G180" s="169"/>
    </row>
    <row r="181" ht="19.5" customHeight="1">
      <c r="A181" s="61"/>
      <c r="B181" s="82">
        <v>46119.0</v>
      </c>
      <c r="C181" s="72">
        <v>13694.72</v>
      </c>
      <c r="D181" s="72"/>
      <c r="E181" s="75" t="s">
        <v>529</v>
      </c>
      <c r="F181" s="86" t="s">
        <v>531</v>
      </c>
      <c r="G181" s="169"/>
    </row>
    <row r="182" ht="19.5" customHeight="1">
      <c r="A182" s="61"/>
      <c r="B182" s="82">
        <v>46119.0</v>
      </c>
      <c r="C182" s="72">
        <v>7810.27</v>
      </c>
      <c r="D182" s="72"/>
      <c r="E182" s="75" t="s">
        <v>552</v>
      </c>
      <c r="F182" s="86" t="s">
        <v>553</v>
      </c>
      <c r="G182" s="169"/>
    </row>
    <row r="183" ht="19.5" customHeight="1">
      <c r="A183" s="61"/>
      <c r="B183" s="82">
        <v>46119.0</v>
      </c>
      <c r="C183" s="72">
        <v>204132.64</v>
      </c>
      <c r="D183" s="72"/>
      <c r="E183" s="75" t="s">
        <v>298</v>
      </c>
      <c r="F183" s="86" t="s">
        <v>554</v>
      </c>
      <c r="G183" s="169"/>
    </row>
    <row r="184" ht="19.5" customHeight="1">
      <c r="A184" s="61"/>
      <c r="B184" s="82">
        <v>46120.0</v>
      </c>
      <c r="C184" s="72">
        <v>10485.02</v>
      </c>
      <c r="D184" s="72"/>
      <c r="E184" s="75" t="s">
        <v>555</v>
      </c>
      <c r="F184" s="86" t="s">
        <v>556</v>
      </c>
      <c r="G184" s="169"/>
    </row>
    <row r="185" ht="19.5" customHeight="1">
      <c r="A185" s="61"/>
      <c r="B185" s="82">
        <v>46120.0</v>
      </c>
      <c r="C185" s="72">
        <v>18998.0</v>
      </c>
      <c r="D185" s="72"/>
      <c r="E185" s="75" t="s">
        <v>558</v>
      </c>
      <c r="F185" s="86" t="s">
        <v>559</v>
      </c>
      <c r="G185" s="169"/>
    </row>
    <row r="186" ht="19.5" customHeight="1">
      <c r="A186" s="61"/>
      <c r="B186" s="82">
        <v>46120.0</v>
      </c>
      <c r="C186" s="72">
        <v>43560.0</v>
      </c>
      <c r="D186" s="72"/>
      <c r="E186" s="75" t="s">
        <v>560</v>
      </c>
      <c r="F186" s="86" t="s">
        <v>561</v>
      </c>
      <c r="G186" s="169"/>
    </row>
    <row r="187" ht="19.5" customHeight="1">
      <c r="A187" s="61"/>
      <c r="B187" s="82">
        <v>46121.0</v>
      </c>
      <c r="C187" s="72">
        <v>283140.0</v>
      </c>
      <c r="D187" s="72"/>
      <c r="E187" s="59" t="s">
        <v>36</v>
      </c>
      <c r="F187" s="86" t="s">
        <v>563</v>
      </c>
      <c r="G187" s="169"/>
    </row>
    <row r="188" ht="19.5" customHeight="1">
      <c r="A188" s="61"/>
      <c r="B188" s="82">
        <v>46121.0</v>
      </c>
      <c r="C188" s="72">
        <v>94380.0</v>
      </c>
      <c r="D188" s="72"/>
      <c r="E188" s="59" t="s">
        <v>36</v>
      </c>
      <c r="F188" s="86" t="s">
        <v>565</v>
      </c>
      <c r="G188" s="169"/>
    </row>
    <row r="189" ht="19.5" customHeight="1">
      <c r="A189" s="61"/>
      <c r="B189" s="82">
        <v>46121.0</v>
      </c>
      <c r="C189" s="72">
        <v>47190.0</v>
      </c>
      <c r="D189" s="72"/>
      <c r="E189" s="59" t="s">
        <v>36</v>
      </c>
      <c r="F189" s="86" t="s">
        <v>568</v>
      </c>
      <c r="G189" s="169"/>
    </row>
    <row r="190" ht="19.5" customHeight="1">
      <c r="A190" s="61"/>
      <c r="B190" s="82">
        <v>46121.0</v>
      </c>
      <c r="C190" s="72">
        <v>48262.5</v>
      </c>
      <c r="D190" s="72"/>
      <c r="E190" s="59" t="s">
        <v>36</v>
      </c>
      <c r="F190" s="86" t="s">
        <v>572</v>
      </c>
      <c r="G190" s="169"/>
    </row>
    <row r="191" ht="19.5" customHeight="1">
      <c r="A191" s="61"/>
      <c r="B191" s="82">
        <v>46122.0</v>
      </c>
      <c r="C191" s="72">
        <v>130525.78</v>
      </c>
      <c r="D191" s="72"/>
      <c r="E191" s="75" t="s">
        <v>575</v>
      </c>
      <c r="F191" s="86" t="s">
        <v>576</v>
      </c>
      <c r="G191" s="169"/>
    </row>
    <row r="192" ht="19.5" customHeight="1">
      <c r="A192" s="61"/>
      <c r="B192" s="82">
        <v>46123.0</v>
      </c>
      <c r="C192" s="72">
        <v>5995.0</v>
      </c>
      <c r="D192" s="72"/>
      <c r="E192" s="75" t="s">
        <v>52</v>
      </c>
      <c r="F192" s="86" t="s">
        <v>581</v>
      </c>
      <c r="G192" s="169"/>
    </row>
    <row r="193" ht="19.5" customHeight="1">
      <c r="A193" s="61"/>
      <c r="B193" s="82">
        <v>46123.0</v>
      </c>
      <c r="C193" s="72">
        <v>13532.0</v>
      </c>
      <c r="D193" s="72"/>
      <c r="E193" s="75" t="s">
        <v>52</v>
      </c>
      <c r="F193" s="86" t="s">
        <v>583</v>
      </c>
      <c r="G193" s="169"/>
    </row>
    <row r="194" ht="19.5" customHeight="1">
      <c r="A194" s="61"/>
      <c r="B194" s="82">
        <v>46123.0</v>
      </c>
      <c r="C194" s="72">
        <v>10177.0</v>
      </c>
      <c r="D194" s="72"/>
      <c r="E194" s="75" t="s">
        <v>52</v>
      </c>
      <c r="F194" s="86" t="s">
        <v>585</v>
      </c>
      <c r="G194" s="169"/>
    </row>
    <row r="195" ht="19.5" customHeight="1">
      <c r="A195" s="61"/>
      <c r="B195" s="82">
        <v>46124.0</v>
      </c>
      <c r="C195" s="72">
        <v>15233.0</v>
      </c>
      <c r="D195" s="72"/>
      <c r="E195" s="75" t="s">
        <v>52</v>
      </c>
      <c r="F195" s="86" t="s">
        <v>583</v>
      </c>
      <c r="G195" s="169"/>
    </row>
    <row r="196" ht="19.5" customHeight="1">
      <c r="A196" s="61"/>
      <c r="B196" s="82">
        <v>46124.0</v>
      </c>
      <c r="C196" s="72">
        <v>14868.0</v>
      </c>
      <c r="D196" s="72"/>
      <c r="E196" s="75" t="s">
        <v>52</v>
      </c>
      <c r="F196" s="86" t="s">
        <v>105</v>
      </c>
      <c r="G196" s="169"/>
    </row>
    <row r="197" ht="19.5" customHeight="1">
      <c r="A197" s="61"/>
      <c r="B197" s="82">
        <v>46124.0</v>
      </c>
      <c r="C197" s="72">
        <v>6517.0</v>
      </c>
      <c r="D197" s="72"/>
      <c r="E197" s="75" t="s">
        <v>52</v>
      </c>
      <c r="F197" s="86" t="s">
        <v>585</v>
      </c>
      <c r="G197" s="169"/>
    </row>
    <row r="198" ht="19.5" customHeight="1">
      <c r="A198" s="61"/>
      <c r="B198" s="82">
        <v>46124.0</v>
      </c>
      <c r="C198" s="72">
        <v>117689.0</v>
      </c>
      <c r="D198" s="72"/>
      <c r="E198" s="75" t="s">
        <v>593</v>
      </c>
      <c r="F198" s="86" t="s">
        <v>595</v>
      </c>
      <c r="G198" s="169"/>
    </row>
    <row r="199" ht="19.5" customHeight="1">
      <c r="A199" s="61"/>
      <c r="B199" s="82">
        <v>46124.0</v>
      </c>
      <c r="C199" s="72">
        <v>48145.5</v>
      </c>
      <c r="D199" s="72"/>
      <c r="E199" s="75" t="s">
        <v>598</v>
      </c>
      <c r="F199" s="86" t="s">
        <v>551</v>
      </c>
      <c r="G199" s="169"/>
    </row>
    <row r="200" ht="19.5" customHeight="1">
      <c r="A200" s="61"/>
      <c r="B200" s="82">
        <v>46125.0</v>
      </c>
      <c r="C200" s="72">
        <v>14181.0</v>
      </c>
      <c r="D200" s="72"/>
      <c r="E200" s="75" t="s">
        <v>52</v>
      </c>
      <c r="F200" s="86" t="s">
        <v>600</v>
      </c>
      <c r="G200" s="169"/>
    </row>
    <row r="201" ht="19.5" customHeight="1">
      <c r="A201" s="61"/>
      <c r="B201" s="82">
        <v>46125.0</v>
      </c>
      <c r="C201" s="72">
        <v>3570.0</v>
      </c>
      <c r="D201" s="72"/>
      <c r="E201" s="75" t="s">
        <v>52</v>
      </c>
      <c r="F201" s="86" t="s">
        <v>602</v>
      </c>
      <c r="G201" s="169"/>
    </row>
    <row r="202" ht="19.5" customHeight="1">
      <c r="A202" s="61"/>
      <c r="B202" s="82">
        <v>46125.0</v>
      </c>
      <c r="C202" s="72">
        <v>5636.0</v>
      </c>
      <c r="D202" s="72"/>
      <c r="E202" s="75" t="s">
        <v>52</v>
      </c>
      <c r="F202" s="86" t="s">
        <v>602</v>
      </c>
      <c r="G202" s="169"/>
    </row>
    <row r="203" ht="19.5" customHeight="1">
      <c r="A203" s="61"/>
      <c r="B203" s="82">
        <v>46126.0</v>
      </c>
      <c r="C203" s="72">
        <v>173527.5</v>
      </c>
      <c r="D203" s="72"/>
      <c r="E203" s="75" t="s">
        <v>36</v>
      </c>
      <c r="F203" s="86" t="s">
        <v>607</v>
      </c>
      <c r="G203" s="169"/>
    </row>
    <row r="204" ht="19.5" customHeight="1">
      <c r="A204" s="61"/>
      <c r="B204" s="82">
        <v>46126.0</v>
      </c>
      <c r="C204" s="72">
        <v>9121.35</v>
      </c>
      <c r="D204" s="72"/>
      <c r="E204" s="75" t="s">
        <v>611</v>
      </c>
      <c r="F204" s="86" t="s">
        <v>612</v>
      </c>
      <c r="G204" s="169"/>
    </row>
    <row r="205" ht="19.5" customHeight="1">
      <c r="A205" s="61"/>
      <c r="B205" s="82">
        <v>46126.0</v>
      </c>
      <c r="C205" s="72">
        <v>18660.0</v>
      </c>
      <c r="D205" s="72"/>
      <c r="E205" s="75" t="s">
        <v>52</v>
      </c>
      <c r="F205" s="86" t="s">
        <v>600</v>
      </c>
      <c r="G205" s="169"/>
    </row>
    <row r="206" ht="19.5" customHeight="1">
      <c r="A206" s="61"/>
      <c r="B206" s="82">
        <v>46126.0</v>
      </c>
      <c r="C206" s="72">
        <v>3192.0</v>
      </c>
      <c r="D206" s="72"/>
      <c r="E206" s="75" t="s">
        <v>52</v>
      </c>
      <c r="F206" s="86" t="s">
        <v>602</v>
      </c>
      <c r="G206" s="169"/>
    </row>
    <row r="207" ht="19.5" customHeight="1">
      <c r="A207" s="61"/>
      <c r="B207" s="82">
        <v>46126.0</v>
      </c>
      <c r="C207" s="72">
        <v>21828.0</v>
      </c>
      <c r="D207" s="72"/>
      <c r="E207" s="75" t="s">
        <v>52</v>
      </c>
      <c r="F207" s="86" t="s">
        <v>621</v>
      </c>
      <c r="G207" s="169"/>
    </row>
    <row r="208" ht="19.5" customHeight="1">
      <c r="A208" s="61"/>
      <c r="B208" s="82">
        <v>46126.0</v>
      </c>
      <c r="C208" s="72">
        <v>4197.0</v>
      </c>
      <c r="D208" s="72"/>
      <c r="E208" s="75" t="s">
        <v>52</v>
      </c>
      <c r="F208" s="86" t="s">
        <v>602</v>
      </c>
      <c r="G208" s="169"/>
    </row>
    <row r="209" ht="19.5" customHeight="1">
      <c r="A209" s="61"/>
      <c r="B209" s="82">
        <v>46126.0</v>
      </c>
      <c r="C209" s="72">
        <v>6005.0</v>
      </c>
      <c r="D209" s="72"/>
      <c r="E209" s="75" t="s">
        <v>52</v>
      </c>
      <c r="F209" s="86" t="s">
        <v>624</v>
      </c>
      <c r="G209" s="169"/>
    </row>
    <row r="210" ht="19.5" customHeight="1">
      <c r="A210" s="61"/>
      <c r="B210" s="82">
        <v>46126.0</v>
      </c>
      <c r="C210" s="72">
        <v>15312.0</v>
      </c>
      <c r="D210" s="72"/>
      <c r="E210" s="75" t="s">
        <v>52</v>
      </c>
      <c r="F210" s="86" t="s">
        <v>627</v>
      </c>
      <c r="G210" s="169"/>
    </row>
    <row r="211" ht="19.5" customHeight="1">
      <c r="A211" s="61"/>
      <c r="B211" s="82">
        <v>46126.0</v>
      </c>
      <c r="C211" s="72">
        <v>24493.0</v>
      </c>
      <c r="D211" s="72"/>
      <c r="E211" s="75" t="s">
        <v>52</v>
      </c>
      <c r="F211" s="86" t="s">
        <v>628</v>
      </c>
      <c r="G211" s="169"/>
    </row>
    <row r="212" ht="19.5" customHeight="1">
      <c r="A212" s="61"/>
      <c r="B212" s="82">
        <v>46126.0</v>
      </c>
      <c r="C212" s="72">
        <v>12458.0</v>
      </c>
      <c r="D212" s="72"/>
      <c r="E212" s="75" t="s">
        <v>52</v>
      </c>
      <c r="F212" s="86" t="s">
        <v>632</v>
      </c>
      <c r="G212" s="169"/>
    </row>
    <row r="213" ht="19.5" customHeight="1">
      <c r="A213" s="61"/>
      <c r="B213" s="82">
        <v>46126.0</v>
      </c>
      <c r="C213" s="72">
        <v>14720.0</v>
      </c>
      <c r="D213" s="72"/>
      <c r="E213" s="75" t="s">
        <v>52</v>
      </c>
      <c r="F213" s="86" t="s">
        <v>636</v>
      </c>
      <c r="G213" s="169"/>
    </row>
    <row r="214" ht="19.5" customHeight="1">
      <c r="A214" s="61"/>
      <c r="B214" s="82">
        <v>46126.0</v>
      </c>
      <c r="C214" s="72">
        <v>17161.0</v>
      </c>
      <c r="D214" s="72"/>
      <c r="E214" s="75" t="s">
        <v>52</v>
      </c>
      <c r="F214" s="86" t="s">
        <v>638</v>
      </c>
      <c r="G214" s="169"/>
    </row>
    <row r="215" ht="19.5" customHeight="1">
      <c r="A215" s="61"/>
      <c r="B215" s="82">
        <v>46126.0</v>
      </c>
      <c r="C215" s="72">
        <v>12303.85</v>
      </c>
      <c r="D215" s="72"/>
      <c r="E215" s="75" t="s">
        <v>640</v>
      </c>
      <c r="F215" s="86" t="s">
        <v>641</v>
      </c>
      <c r="G215" s="169"/>
    </row>
    <row r="216" ht="19.5" customHeight="1">
      <c r="A216" s="61"/>
      <c r="B216" s="82">
        <v>46126.0</v>
      </c>
      <c r="C216" s="72">
        <v>10378.03</v>
      </c>
      <c r="D216" s="72"/>
      <c r="E216" s="75" t="s">
        <v>643</v>
      </c>
      <c r="F216" s="86" t="s">
        <v>531</v>
      </c>
      <c r="G216" s="169"/>
    </row>
    <row r="217" ht="19.5" customHeight="1">
      <c r="A217" s="61"/>
      <c r="B217" s="82">
        <v>46127.0</v>
      </c>
      <c r="C217" s="72">
        <v>10699.0</v>
      </c>
      <c r="D217" s="72"/>
      <c r="E217" s="75" t="s">
        <v>646</v>
      </c>
      <c r="F217" s="86" t="s">
        <v>647</v>
      </c>
      <c r="G217" s="169"/>
    </row>
    <row r="218" ht="19.5" customHeight="1">
      <c r="A218" s="61"/>
      <c r="B218" s="82">
        <v>46127.0</v>
      </c>
      <c r="C218" s="72">
        <v>12622.0</v>
      </c>
      <c r="D218" s="72"/>
      <c r="E218" s="75" t="s">
        <v>52</v>
      </c>
      <c r="F218" s="86" t="s">
        <v>652</v>
      </c>
      <c r="G218" s="169"/>
    </row>
    <row r="219" ht="19.5" customHeight="1">
      <c r="A219" s="61"/>
      <c r="B219" s="82">
        <v>46127.0</v>
      </c>
      <c r="C219" s="72">
        <v>4743.0</v>
      </c>
      <c r="D219" s="72"/>
      <c r="E219" s="75" t="s">
        <v>52</v>
      </c>
      <c r="F219" s="86" t="s">
        <v>602</v>
      </c>
      <c r="G219" s="169"/>
    </row>
    <row r="220" ht="19.5" customHeight="1">
      <c r="A220" s="61"/>
      <c r="B220" s="82">
        <v>46127.0</v>
      </c>
      <c r="C220" s="72">
        <v>5208.0</v>
      </c>
      <c r="D220" s="72"/>
      <c r="E220" s="75" t="s">
        <v>52</v>
      </c>
      <c r="F220" s="86" t="s">
        <v>654</v>
      </c>
      <c r="G220" s="169"/>
    </row>
    <row r="221" ht="19.5" customHeight="1">
      <c r="A221" s="61"/>
      <c r="B221" s="82">
        <v>46127.0</v>
      </c>
      <c r="C221" s="72">
        <v>14319.0</v>
      </c>
      <c r="D221" s="72"/>
      <c r="E221" s="75" t="s">
        <v>52</v>
      </c>
      <c r="F221" s="86" t="s">
        <v>655</v>
      </c>
      <c r="G221" s="169"/>
    </row>
    <row r="222" ht="19.5" customHeight="1">
      <c r="A222" s="61"/>
      <c r="B222" s="82">
        <v>46127.0</v>
      </c>
      <c r="C222" s="72">
        <v>4036.0</v>
      </c>
      <c r="D222" s="72"/>
      <c r="E222" s="75" t="s">
        <v>52</v>
      </c>
      <c r="F222" s="86" t="s">
        <v>612</v>
      </c>
      <c r="G222" s="169"/>
    </row>
    <row r="223" ht="19.5" customHeight="1">
      <c r="A223" s="61"/>
      <c r="B223" s="82">
        <v>46127.0</v>
      </c>
      <c r="C223" s="72">
        <v>7591.0</v>
      </c>
      <c r="D223" s="72"/>
      <c r="E223" s="75" t="s">
        <v>52</v>
      </c>
      <c r="F223" s="86" t="s">
        <v>164</v>
      </c>
      <c r="G223" s="169"/>
    </row>
    <row r="224" ht="19.5" customHeight="1">
      <c r="A224" s="61"/>
      <c r="B224" s="82">
        <v>46127.0</v>
      </c>
      <c r="C224" s="72">
        <v>6692.0</v>
      </c>
      <c r="D224" s="72"/>
      <c r="E224" s="75" t="s">
        <v>52</v>
      </c>
      <c r="F224" s="86" t="s">
        <v>656</v>
      </c>
      <c r="G224" s="169"/>
    </row>
    <row r="225" ht="19.5" customHeight="1">
      <c r="A225" s="61"/>
      <c r="B225" s="82">
        <v>46127.0</v>
      </c>
      <c r="C225" s="72">
        <v>7698.0</v>
      </c>
      <c r="D225" s="72"/>
      <c r="E225" s="75" t="s">
        <v>52</v>
      </c>
      <c r="F225" s="86" t="s">
        <v>657</v>
      </c>
      <c r="G225" s="169"/>
    </row>
    <row r="226" ht="19.5" customHeight="1">
      <c r="A226" s="61"/>
      <c r="B226" s="82">
        <v>46127.0</v>
      </c>
      <c r="C226" s="72">
        <v>21148.0</v>
      </c>
      <c r="D226" s="72"/>
      <c r="E226" s="75" t="s">
        <v>52</v>
      </c>
      <c r="F226" s="86" t="s">
        <v>658</v>
      </c>
      <c r="G226" s="169"/>
    </row>
    <row r="227" ht="19.5" customHeight="1">
      <c r="A227" s="61"/>
      <c r="B227" s="82">
        <v>46128.0</v>
      </c>
      <c r="C227" s="72">
        <v>21273.66</v>
      </c>
      <c r="D227" s="72"/>
      <c r="E227" s="75" t="s">
        <v>36</v>
      </c>
      <c r="F227" s="86" t="s">
        <v>660</v>
      </c>
      <c r="G227" s="169"/>
    </row>
    <row r="228" ht="19.5" customHeight="1">
      <c r="A228" s="61"/>
      <c r="B228" s="82">
        <v>46128.0</v>
      </c>
      <c r="C228" s="72">
        <v>12410.84</v>
      </c>
      <c r="D228" s="72"/>
      <c r="E228" s="75" t="s">
        <v>663</v>
      </c>
      <c r="F228" s="86" t="s">
        <v>665</v>
      </c>
      <c r="G228" s="169"/>
    </row>
    <row r="229" ht="19.5" customHeight="1">
      <c r="A229" s="61"/>
      <c r="B229" s="82">
        <v>46128.0</v>
      </c>
      <c r="C229" s="72">
        <v>12794.14</v>
      </c>
      <c r="D229" s="72"/>
      <c r="E229" s="75" t="s">
        <v>667</v>
      </c>
      <c r="F229" s="86" t="s">
        <v>652</v>
      </c>
      <c r="G229" s="169"/>
    </row>
    <row r="230" ht="19.5" customHeight="1">
      <c r="A230" s="61"/>
      <c r="B230" s="82">
        <v>46128.0</v>
      </c>
      <c r="C230" s="72">
        <v>3060.0</v>
      </c>
      <c r="D230" s="72"/>
      <c r="E230" s="75" t="s">
        <v>52</v>
      </c>
      <c r="F230" s="86" t="s">
        <v>669</v>
      </c>
      <c r="G230" s="169"/>
    </row>
    <row r="231" ht="19.5" customHeight="1">
      <c r="A231" s="61"/>
      <c r="B231" s="82">
        <v>46128.0</v>
      </c>
      <c r="C231" s="72">
        <v>12682.0</v>
      </c>
      <c r="D231" s="72"/>
      <c r="E231" s="75" t="s">
        <v>52</v>
      </c>
      <c r="F231" s="86" t="s">
        <v>675</v>
      </c>
      <c r="G231" s="169"/>
    </row>
    <row r="232" ht="19.5" customHeight="1">
      <c r="A232" s="61"/>
      <c r="B232" s="82">
        <v>46128.0</v>
      </c>
      <c r="C232" s="72">
        <v>13532.0</v>
      </c>
      <c r="D232" s="72"/>
      <c r="E232" s="75" t="s">
        <v>52</v>
      </c>
      <c r="F232" s="86" t="s">
        <v>675</v>
      </c>
      <c r="G232" s="169"/>
    </row>
    <row r="233" ht="19.5" customHeight="1">
      <c r="A233" s="61"/>
      <c r="B233" s="82">
        <v>46128.0</v>
      </c>
      <c r="C233" s="72">
        <v>14205.0</v>
      </c>
      <c r="D233" s="72"/>
      <c r="E233" s="75" t="s">
        <v>52</v>
      </c>
      <c r="F233" s="86" t="s">
        <v>105</v>
      </c>
      <c r="G233" s="169"/>
    </row>
    <row r="234" ht="19.5" customHeight="1">
      <c r="A234" s="61"/>
      <c r="B234" s="82">
        <v>46128.0</v>
      </c>
      <c r="C234" s="72">
        <v>13109.0</v>
      </c>
      <c r="D234" s="72"/>
      <c r="E234" s="75" t="s">
        <v>52</v>
      </c>
      <c r="F234" s="86" t="s">
        <v>652</v>
      </c>
      <c r="G234" s="169"/>
    </row>
    <row r="235" ht="19.5" customHeight="1">
      <c r="A235" s="61"/>
      <c r="B235" s="82">
        <v>46128.0</v>
      </c>
      <c r="C235" s="189">
        <v>-12794.14</v>
      </c>
      <c r="D235" s="72"/>
      <c r="E235" s="75" t="s">
        <v>667</v>
      </c>
      <c r="F235" s="86" t="s">
        <v>677</v>
      </c>
      <c r="G235" s="169"/>
    </row>
    <row r="236" ht="21.0" customHeight="1">
      <c r="A236" s="61"/>
      <c r="B236" s="82">
        <v>46129.0</v>
      </c>
      <c r="C236" s="72">
        <v>70945.88</v>
      </c>
      <c r="D236" s="72"/>
      <c r="E236" s="75" t="s">
        <v>36</v>
      </c>
      <c r="F236" s="86" t="s">
        <v>662</v>
      </c>
      <c r="G236" s="169"/>
    </row>
    <row r="237" ht="19.5" customHeight="1">
      <c r="A237" s="61"/>
      <c r="B237" s="82">
        <v>46129.0</v>
      </c>
      <c r="C237" s="72">
        <v>339055.0</v>
      </c>
      <c r="D237" s="72"/>
      <c r="E237" s="75" t="s">
        <v>36</v>
      </c>
      <c r="F237" s="86" t="s">
        <v>680</v>
      </c>
      <c r="G237" s="169"/>
    </row>
    <row r="238" ht="19.5" customHeight="1">
      <c r="A238" s="61"/>
      <c r="B238" s="82">
        <v>46129.0</v>
      </c>
      <c r="C238" s="72">
        <v>14031.89</v>
      </c>
      <c r="D238" s="72"/>
      <c r="E238" s="75" t="s">
        <v>683</v>
      </c>
      <c r="F238" s="86" t="s">
        <v>652</v>
      </c>
      <c r="G238" s="169"/>
    </row>
    <row r="239" ht="19.5" customHeight="1">
      <c r="A239" s="61"/>
      <c r="B239" s="82">
        <v>46129.0</v>
      </c>
      <c r="C239" s="72">
        <v>5965.0</v>
      </c>
      <c r="D239" s="72"/>
      <c r="E239" s="75" t="s">
        <v>52</v>
      </c>
      <c r="F239" s="86" t="s">
        <v>612</v>
      </c>
      <c r="G239" s="169"/>
    </row>
    <row r="240" ht="19.5" customHeight="1">
      <c r="A240" s="61"/>
      <c r="B240" s="82">
        <v>46129.0</v>
      </c>
      <c r="C240" s="72">
        <v>14397.0</v>
      </c>
      <c r="D240" s="72"/>
      <c r="E240" s="75" t="s">
        <v>52</v>
      </c>
      <c r="F240" s="86" t="s">
        <v>94</v>
      </c>
      <c r="G240" s="169"/>
    </row>
    <row r="241" ht="19.5" customHeight="1">
      <c r="A241" s="61"/>
      <c r="B241" s="82">
        <v>46129.0</v>
      </c>
      <c r="C241" s="72">
        <v>18291.0</v>
      </c>
      <c r="D241" s="72"/>
      <c r="E241" s="75" t="s">
        <v>52</v>
      </c>
      <c r="F241" s="86" t="s">
        <v>675</v>
      </c>
      <c r="G241" s="169"/>
    </row>
    <row r="242" ht="19.5" customHeight="1">
      <c r="A242" s="61"/>
      <c r="B242" s="82">
        <v>46129.0</v>
      </c>
      <c r="C242" s="72">
        <v>4490.0</v>
      </c>
      <c r="D242" s="72"/>
      <c r="E242" s="75" t="s">
        <v>52</v>
      </c>
      <c r="F242" s="86" t="s">
        <v>612</v>
      </c>
      <c r="G242" s="169"/>
    </row>
    <row r="243" ht="19.5" customHeight="1">
      <c r="A243" s="61"/>
      <c r="B243" s="82">
        <v>46129.0</v>
      </c>
      <c r="C243" s="72">
        <v>6720.0</v>
      </c>
      <c r="D243" s="72"/>
      <c r="E243" s="75" t="s">
        <v>52</v>
      </c>
      <c r="F243" s="86" t="s">
        <v>602</v>
      </c>
      <c r="G243" s="169"/>
    </row>
    <row r="244" ht="19.5" customHeight="1">
      <c r="A244" s="61"/>
      <c r="B244" s="82">
        <v>46130.0</v>
      </c>
      <c r="C244" s="72">
        <v>57900.0</v>
      </c>
      <c r="D244" s="72"/>
      <c r="E244" s="75" t="s">
        <v>694</v>
      </c>
      <c r="F244" s="86" t="s">
        <v>695</v>
      </c>
      <c r="G244" s="169"/>
    </row>
    <row r="245" ht="19.5" customHeight="1">
      <c r="A245" s="61"/>
      <c r="B245" s="82">
        <v>46130.0</v>
      </c>
      <c r="C245" s="72">
        <v>13458.0</v>
      </c>
      <c r="D245" s="72"/>
      <c r="E245" s="75" t="s">
        <v>52</v>
      </c>
      <c r="F245" s="86" t="s">
        <v>696</v>
      </c>
      <c r="G245" s="169"/>
    </row>
    <row r="246" ht="19.5" customHeight="1">
      <c r="A246" s="61"/>
      <c r="B246" s="82">
        <v>46130.0</v>
      </c>
      <c r="C246" s="72">
        <v>10898.0</v>
      </c>
      <c r="D246" s="72"/>
      <c r="E246" s="75" t="s">
        <v>52</v>
      </c>
      <c r="F246" s="86" t="s">
        <v>696</v>
      </c>
      <c r="G246" s="169"/>
    </row>
    <row r="247" ht="19.5" customHeight="1">
      <c r="A247" s="61"/>
      <c r="B247" s="82">
        <v>46132.0</v>
      </c>
      <c r="C247" s="72">
        <v>47117.5</v>
      </c>
      <c r="D247" s="72"/>
      <c r="E247" s="75" t="s">
        <v>36</v>
      </c>
      <c r="F247" s="86" t="s">
        <v>699</v>
      </c>
      <c r="G247" s="169"/>
    </row>
    <row r="248" ht="19.5" customHeight="1">
      <c r="A248" s="61"/>
      <c r="B248" s="82">
        <v>46132.0</v>
      </c>
      <c r="C248" s="72">
        <v>43548.43</v>
      </c>
      <c r="D248" s="72"/>
      <c r="E248" s="75" t="s">
        <v>36</v>
      </c>
      <c r="F248" s="86" t="s">
        <v>701</v>
      </c>
      <c r="G248" s="169"/>
    </row>
    <row r="249" ht="19.5" customHeight="1">
      <c r="A249" s="61"/>
      <c r="B249" s="82">
        <v>46132.0</v>
      </c>
      <c r="C249" s="72">
        <v>6091.0</v>
      </c>
      <c r="D249" s="72"/>
      <c r="E249" s="75" t="s">
        <v>52</v>
      </c>
      <c r="F249" s="86" t="s">
        <v>703</v>
      </c>
      <c r="G249" s="169"/>
    </row>
    <row r="250" ht="19.5" customHeight="1">
      <c r="A250" s="61"/>
      <c r="B250" s="82">
        <v>46132.0</v>
      </c>
      <c r="C250" s="72">
        <v>15259.0</v>
      </c>
      <c r="D250" s="72"/>
      <c r="E250" s="75" t="s">
        <v>52</v>
      </c>
      <c r="F250" s="86" t="s">
        <v>638</v>
      </c>
      <c r="G250" s="169"/>
    </row>
    <row r="251" ht="19.5" customHeight="1">
      <c r="A251" s="61"/>
      <c r="B251" s="82">
        <v>46133.0</v>
      </c>
      <c r="C251" s="72">
        <v>48262.5</v>
      </c>
      <c r="D251" s="72"/>
      <c r="E251" s="75" t="s">
        <v>36</v>
      </c>
      <c r="F251" s="86" t="s">
        <v>705</v>
      </c>
      <c r="G251" s="169"/>
    </row>
    <row r="252" ht="19.5" customHeight="1">
      <c r="A252" s="61"/>
      <c r="B252" s="82">
        <v>46133.0</v>
      </c>
      <c r="C252" s="72">
        <v>43548.43</v>
      </c>
      <c r="D252" s="72"/>
      <c r="E252" s="75" t="s">
        <v>36</v>
      </c>
      <c r="F252" s="86" t="s">
        <v>289</v>
      </c>
      <c r="G252" s="169"/>
    </row>
    <row r="253" ht="19.5" customHeight="1">
      <c r="A253" s="61"/>
      <c r="B253" s="82">
        <v>46133.0</v>
      </c>
      <c r="C253" s="72">
        <v>88803.0</v>
      </c>
      <c r="D253" s="72"/>
      <c r="E253" s="75" t="s">
        <v>36</v>
      </c>
      <c r="F253" s="86" t="s">
        <v>709</v>
      </c>
      <c r="G253" s="169"/>
    </row>
    <row r="254" ht="19.5" customHeight="1">
      <c r="A254" s="61"/>
      <c r="B254" s="82">
        <v>46133.0</v>
      </c>
      <c r="C254" s="72">
        <v>12698.0</v>
      </c>
      <c r="D254" s="72"/>
      <c r="E254" s="75" t="s">
        <v>52</v>
      </c>
      <c r="F254" s="86" t="s">
        <v>583</v>
      </c>
      <c r="G254" s="169"/>
    </row>
    <row r="255" ht="19.5" customHeight="1">
      <c r="A255" s="61"/>
      <c r="B255" s="82">
        <v>46133.0</v>
      </c>
      <c r="C255" s="189">
        <v>-26392.99</v>
      </c>
      <c r="D255" s="72"/>
      <c r="E255" s="75" t="s">
        <v>36</v>
      </c>
      <c r="F255" s="86" t="s">
        <v>711</v>
      </c>
      <c r="G255" s="169"/>
    </row>
    <row r="256" ht="19.5" customHeight="1">
      <c r="A256" s="61"/>
      <c r="B256" s="82">
        <v>46134.0</v>
      </c>
      <c r="C256" s="72">
        <v>41474.7</v>
      </c>
      <c r="D256" s="72"/>
      <c r="E256" s="75" t="s">
        <v>36</v>
      </c>
      <c r="F256" s="86" t="s">
        <v>289</v>
      </c>
      <c r="G256" s="169"/>
    </row>
    <row r="257" ht="19.5" customHeight="1">
      <c r="A257" s="61"/>
      <c r="B257" s="82">
        <v>46134.0</v>
      </c>
      <c r="C257" s="72"/>
      <c r="D257" s="72">
        <v>9.99</v>
      </c>
      <c r="E257" s="75" t="s">
        <v>713</v>
      </c>
      <c r="F257" s="86" t="s">
        <v>321</v>
      </c>
      <c r="G257" s="169"/>
    </row>
    <row r="258" ht="19.5" customHeight="1">
      <c r="A258" s="61"/>
      <c r="B258" s="82">
        <v>46135.0</v>
      </c>
      <c r="C258" s="72">
        <v>47297.25</v>
      </c>
      <c r="D258" s="72"/>
      <c r="E258" s="75" t="s">
        <v>36</v>
      </c>
      <c r="F258" s="86" t="s">
        <v>716</v>
      </c>
      <c r="G258" s="169"/>
    </row>
    <row r="259" ht="19.5" customHeight="1">
      <c r="A259" s="61"/>
      <c r="B259" s="82">
        <v>46139.0</v>
      </c>
      <c r="C259" s="72">
        <v>39999.5</v>
      </c>
      <c r="D259" s="72"/>
      <c r="E259" s="75" t="s">
        <v>717</v>
      </c>
      <c r="F259" s="86" t="s">
        <v>718</v>
      </c>
      <c r="G259" s="169"/>
    </row>
    <row r="260" ht="19.5" customHeight="1">
      <c r="A260" s="61"/>
      <c r="B260" s="82">
        <v>46139.0</v>
      </c>
      <c r="C260" s="72">
        <v>115387.91</v>
      </c>
      <c r="D260" s="72"/>
      <c r="E260" s="75" t="s">
        <v>282</v>
      </c>
      <c r="F260" s="86" t="s">
        <v>720</v>
      </c>
      <c r="G260" s="169"/>
    </row>
    <row r="261" ht="19.5" customHeight="1">
      <c r="A261" s="61"/>
      <c r="B261" s="82">
        <v>46139.0</v>
      </c>
      <c r="C261" s="72">
        <v>11352.0</v>
      </c>
      <c r="D261" s="72"/>
      <c r="E261" s="75" t="s">
        <v>52</v>
      </c>
      <c r="F261" s="86" t="s">
        <v>600</v>
      </c>
      <c r="G261" s="169"/>
    </row>
    <row r="262" ht="19.5" customHeight="1">
      <c r="A262" s="61"/>
      <c r="B262" s="82">
        <v>46141.0</v>
      </c>
      <c r="C262" s="72">
        <v>650.0</v>
      </c>
      <c r="D262" s="58"/>
      <c r="E262" s="75" t="s">
        <v>52</v>
      </c>
      <c r="F262" s="86" t="s">
        <v>723</v>
      </c>
      <c r="G262" s="169"/>
    </row>
    <row r="263" ht="19.5" customHeight="1">
      <c r="A263" s="42"/>
      <c r="B263" s="82">
        <v>46141.0</v>
      </c>
      <c r="C263" s="72">
        <v>17483.0</v>
      </c>
      <c r="D263" s="58"/>
      <c r="E263" s="75" t="s">
        <v>52</v>
      </c>
      <c r="F263" s="86" t="s">
        <v>600</v>
      </c>
      <c r="G263" s="169"/>
    </row>
    <row r="264" ht="30.0" customHeight="1">
      <c r="A264" s="129" t="s">
        <v>163</v>
      </c>
      <c r="B264" s="38"/>
      <c r="C264" s="131">
        <f t="shared" ref="C264:D264" si="6">SUM(C172:C263)</f>
        <v>3209437.48</v>
      </c>
      <c r="D264" s="131">
        <f t="shared" si="6"/>
        <v>9.99</v>
      </c>
      <c r="E264" s="134"/>
      <c r="F264" s="211"/>
    </row>
    <row r="265" ht="4.5" customHeight="1">
      <c r="A265" s="137"/>
      <c r="B265" s="133"/>
      <c r="C265" s="133"/>
      <c r="D265" s="133"/>
      <c r="E265" s="133"/>
      <c r="F265" s="133"/>
      <c r="G265" s="125"/>
    </row>
    <row r="266" ht="19.5" customHeight="1">
      <c r="A266" s="145" t="s">
        <v>335</v>
      </c>
      <c r="B266" s="146">
        <v>46107.0</v>
      </c>
      <c r="C266" s="72">
        <v>8476.0</v>
      </c>
      <c r="D266" s="72"/>
      <c r="E266" s="75" t="s">
        <v>52</v>
      </c>
      <c r="F266" s="75"/>
      <c r="G266" s="80"/>
    </row>
    <row r="267" ht="19.5" customHeight="1">
      <c r="A267" s="61"/>
      <c r="B267" s="146">
        <v>46112.0</v>
      </c>
      <c r="C267" s="72">
        <v>11000.0</v>
      </c>
      <c r="D267" s="72"/>
      <c r="E267" s="75" t="s">
        <v>355</v>
      </c>
      <c r="F267" s="59" t="s">
        <v>726</v>
      </c>
      <c r="G267" s="95"/>
    </row>
    <row r="268" ht="19.5" customHeight="1">
      <c r="A268" s="61"/>
      <c r="B268" s="146">
        <v>46114.0</v>
      </c>
      <c r="C268" s="72">
        <v>15100.0</v>
      </c>
      <c r="D268" s="72"/>
      <c r="E268" s="75" t="s">
        <v>363</v>
      </c>
      <c r="F268" s="59" t="s">
        <v>727</v>
      </c>
      <c r="G268" s="95"/>
    </row>
    <row r="269" ht="19.5" customHeight="1">
      <c r="A269" s="61"/>
      <c r="B269" s="146">
        <v>46115.0</v>
      </c>
      <c r="C269" s="72">
        <v>25000.0</v>
      </c>
      <c r="D269" s="72"/>
      <c r="E269" s="75" t="s">
        <v>151</v>
      </c>
      <c r="F269" s="59" t="s">
        <v>728</v>
      </c>
      <c r="G269" s="95"/>
    </row>
    <row r="270" ht="19.5" customHeight="1">
      <c r="A270" s="61"/>
      <c r="B270" s="146">
        <v>46115.0</v>
      </c>
      <c r="C270" s="72">
        <v>73000.0</v>
      </c>
      <c r="D270" s="72"/>
      <c r="E270" s="75" t="s">
        <v>151</v>
      </c>
      <c r="F270" s="59" t="s">
        <v>730</v>
      </c>
      <c r="G270" s="95"/>
    </row>
    <row r="271" ht="19.5" customHeight="1">
      <c r="A271" s="61"/>
      <c r="B271" s="146">
        <v>46115.0</v>
      </c>
      <c r="C271" s="72">
        <v>7448.0</v>
      </c>
      <c r="D271" s="72"/>
      <c r="E271" s="75" t="s">
        <v>355</v>
      </c>
      <c r="F271" s="59"/>
      <c r="G271" s="95"/>
    </row>
    <row r="272" ht="19.5" customHeight="1">
      <c r="A272" s="61"/>
      <c r="B272" s="146">
        <v>46115.0</v>
      </c>
      <c r="C272" s="72">
        <v>53943.0</v>
      </c>
      <c r="D272" s="72"/>
      <c r="E272" s="75" t="s">
        <v>731</v>
      </c>
      <c r="F272" s="59" t="s">
        <v>732</v>
      </c>
      <c r="G272" s="95"/>
    </row>
    <row r="273" ht="19.5" customHeight="1">
      <c r="A273" s="61"/>
      <c r="B273" s="146">
        <v>46116.0</v>
      </c>
      <c r="C273" s="72">
        <v>6800.0</v>
      </c>
      <c r="D273" s="72"/>
      <c r="E273" s="75" t="s">
        <v>355</v>
      </c>
      <c r="F273" s="59" t="s">
        <v>734</v>
      </c>
      <c r="G273" s="95"/>
    </row>
    <row r="274" ht="19.5" customHeight="1">
      <c r="A274" s="61"/>
      <c r="B274" s="146">
        <v>46116.0</v>
      </c>
      <c r="C274" s="72">
        <v>17000.0</v>
      </c>
      <c r="D274" s="72"/>
      <c r="E274" s="75" t="s">
        <v>338</v>
      </c>
      <c r="F274" s="75" t="s">
        <v>735</v>
      </c>
      <c r="G274" s="80"/>
    </row>
    <row r="275" ht="19.5" customHeight="1">
      <c r="A275" s="61"/>
      <c r="B275" s="146">
        <v>46117.0</v>
      </c>
      <c r="C275" s="72">
        <v>10638.0</v>
      </c>
      <c r="D275" s="72"/>
      <c r="E275" s="75" t="s">
        <v>736</v>
      </c>
      <c r="F275" s="75" t="s">
        <v>737</v>
      </c>
      <c r="G275" s="80"/>
    </row>
    <row r="276" ht="19.5" customHeight="1">
      <c r="A276" s="61"/>
      <c r="B276" s="146">
        <v>46118.0</v>
      </c>
      <c r="C276" s="72">
        <v>13900.0</v>
      </c>
      <c r="D276" s="72"/>
      <c r="E276" s="75" t="s">
        <v>355</v>
      </c>
      <c r="F276" s="75" t="s">
        <v>735</v>
      </c>
      <c r="G276" s="80"/>
    </row>
    <row r="277" ht="19.5" customHeight="1">
      <c r="A277" s="61"/>
      <c r="B277" s="146">
        <v>46118.0</v>
      </c>
      <c r="C277" s="72">
        <v>38067.06</v>
      </c>
      <c r="D277" s="72"/>
      <c r="E277" s="75" t="s">
        <v>282</v>
      </c>
      <c r="F277" s="75"/>
      <c r="G277" s="80"/>
    </row>
    <row r="278" ht="19.5" customHeight="1">
      <c r="A278" s="61"/>
      <c r="B278" s="146">
        <v>46120.0</v>
      </c>
      <c r="C278" s="72">
        <v>10300.0</v>
      </c>
      <c r="D278" s="72"/>
      <c r="E278" s="75" t="s">
        <v>613</v>
      </c>
      <c r="F278" s="75" t="s">
        <v>740</v>
      </c>
      <c r="G278" s="80"/>
    </row>
    <row r="279" ht="19.5" customHeight="1">
      <c r="A279" s="61"/>
      <c r="B279" s="146">
        <v>46121.0</v>
      </c>
      <c r="C279" s="72">
        <v>150896.94</v>
      </c>
      <c r="D279" s="72"/>
      <c r="E279" s="75" t="s">
        <v>338</v>
      </c>
      <c r="F279" s="75" t="s">
        <v>743</v>
      </c>
      <c r="G279" s="80"/>
    </row>
    <row r="280" ht="19.5" customHeight="1">
      <c r="A280" s="61"/>
      <c r="B280" s="146">
        <v>46121.0</v>
      </c>
      <c r="C280" s="72">
        <v>8500.0</v>
      </c>
      <c r="D280" s="72"/>
      <c r="E280" s="75" t="s">
        <v>745</v>
      </c>
      <c r="F280" s="75" t="s">
        <v>746</v>
      </c>
      <c r="G280" s="80"/>
    </row>
    <row r="281" ht="19.5" customHeight="1">
      <c r="A281" s="61"/>
      <c r="B281" s="146">
        <v>46123.0</v>
      </c>
      <c r="C281" s="72">
        <v>47178.54</v>
      </c>
      <c r="D281" s="72"/>
      <c r="E281" s="75" t="s">
        <v>282</v>
      </c>
      <c r="F281" s="75" t="s">
        <v>366</v>
      </c>
      <c r="G281" s="80"/>
    </row>
    <row r="282" ht="19.5" customHeight="1">
      <c r="A282" s="61"/>
      <c r="B282" s="146">
        <v>46123.0</v>
      </c>
      <c r="C282" s="72">
        <v>11500.0</v>
      </c>
      <c r="D282" s="72"/>
      <c r="E282" s="75" t="s">
        <v>338</v>
      </c>
      <c r="F282" s="75" t="s">
        <v>356</v>
      </c>
      <c r="G282" s="80"/>
    </row>
    <row r="283" ht="19.5" customHeight="1">
      <c r="A283" s="61"/>
      <c r="B283" s="146">
        <v>46124.0</v>
      </c>
      <c r="C283" s="72">
        <v>22200.0</v>
      </c>
      <c r="D283" s="72"/>
      <c r="E283" s="75" t="s">
        <v>338</v>
      </c>
      <c r="F283" s="75" t="s">
        <v>752</v>
      </c>
      <c r="G283" s="80"/>
    </row>
    <row r="284" ht="19.5" customHeight="1">
      <c r="A284" s="61"/>
      <c r="B284" s="57">
        <v>46125.0</v>
      </c>
      <c r="C284" s="58">
        <v>8500.0</v>
      </c>
      <c r="D284" s="58"/>
      <c r="E284" s="59" t="s">
        <v>745</v>
      </c>
      <c r="F284" s="59"/>
      <c r="G284" s="95"/>
    </row>
    <row r="285" ht="19.5" customHeight="1">
      <c r="A285" s="61"/>
      <c r="B285" s="57">
        <v>46126.0</v>
      </c>
      <c r="C285" s="58">
        <v>9000.0</v>
      </c>
      <c r="D285" s="58"/>
      <c r="E285" s="59" t="s">
        <v>754</v>
      </c>
      <c r="F285" s="59"/>
      <c r="G285" s="95"/>
    </row>
    <row r="286" ht="19.5" customHeight="1">
      <c r="A286" s="61"/>
      <c r="B286" s="57">
        <v>46127.0</v>
      </c>
      <c r="C286" s="58">
        <v>18000.0</v>
      </c>
      <c r="D286" s="58"/>
      <c r="E286" s="59" t="s">
        <v>56</v>
      </c>
      <c r="F286" s="59"/>
      <c r="G286" s="95"/>
    </row>
    <row r="287" ht="19.5" customHeight="1">
      <c r="A287" s="61"/>
      <c r="B287" s="57">
        <v>46127.0</v>
      </c>
      <c r="C287" s="58">
        <v>11500.0</v>
      </c>
      <c r="D287" s="58"/>
      <c r="E287" s="59" t="s">
        <v>633</v>
      </c>
      <c r="F287" s="59"/>
      <c r="G287" s="95"/>
    </row>
    <row r="288" ht="19.5" customHeight="1">
      <c r="A288" s="61"/>
      <c r="B288" s="57">
        <v>46127.0</v>
      </c>
      <c r="C288" s="58">
        <v>7200.0</v>
      </c>
      <c r="D288" s="58"/>
      <c r="E288" s="59" t="s">
        <v>633</v>
      </c>
      <c r="F288" s="59"/>
      <c r="G288" s="95"/>
    </row>
    <row r="289" ht="19.5" customHeight="1">
      <c r="A289" s="61"/>
      <c r="B289" s="57">
        <v>46127.0</v>
      </c>
      <c r="C289" s="58">
        <v>21400.0</v>
      </c>
      <c r="D289" s="58"/>
      <c r="E289" s="59" t="s">
        <v>633</v>
      </c>
      <c r="F289" s="59"/>
      <c r="G289" s="95"/>
    </row>
    <row r="290" ht="19.5" customHeight="1">
      <c r="A290" s="61"/>
      <c r="B290" s="57">
        <v>46127.0</v>
      </c>
      <c r="C290" s="58">
        <v>152000.0</v>
      </c>
      <c r="D290" s="58"/>
      <c r="E290" s="59" t="s">
        <v>633</v>
      </c>
      <c r="F290" s="59"/>
      <c r="G290" s="95"/>
    </row>
    <row r="291" ht="19.5" customHeight="1">
      <c r="A291" s="61"/>
      <c r="B291" s="57">
        <v>46128.0</v>
      </c>
      <c r="C291" s="58">
        <v>20430.0</v>
      </c>
      <c r="D291" s="58"/>
      <c r="E291" s="59" t="s">
        <v>762</v>
      </c>
      <c r="F291" s="59"/>
      <c r="G291" s="95"/>
    </row>
    <row r="292" ht="19.5" customHeight="1">
      <c r="A292" s="61"/>
      <c r="B292" s="57">
        <v>46128.0</v>
      </c>
      <c r="C292" s="58">
        <v>13900.0</v>
      </c>
      <c r="D292" s="58"/>
      <c r="E292" s="59" t="s">
        <v>762</v>
      </c>
      <c r="F292" s="59"/>
      <c r="G292" s="95"/>
    </row>
    <row r="293" ht="19.5" customHeight="1">
      <c r="A293" s="61"/>
      <c r="B293" s="57">
        <v>46128.0</v>
      </c>
      <c r="C293" s="58">
        <v>28900.0</v>
      </c>
      <c r="D293" s="58"/>
      <c r="E293" s="59" t="s">
        <v>633</v>
      </c>
      <c r="F293" s="59"/>
      <c r="G293" s="95"/>
    </row>
    <row r="294" ht="19.5" customHeight="1">
      <c r="A294" s="61"/>
      <c r="B294" s="57">
        <v>46129.0</v>
      </c>
      <c r="C294" s="58">
        <v>19750.0</v>
      </c>
      <c r="D294" s="58"/>
      <c r="E294" s="59" t="s">
        <v>633</v>
      </c>
      <c r="F294" s="59"/>
      <c r="G294" s="95"/>
    </row>
    <row r="295" ht="19.5" customHeight="1">
      <c r="A295" s="61"/>
      <c r="B295" s="57">
        <v>46129.0</v>
      </c>
      <c r="C295" s="58">
        <v>11600.0</v>
      </c>
      <c r="D295" s="58"/>
      <c r="E295" s="59" t="s">
        <v>633</v>
      </c>
      <c r="F295" s="59"/>
      <c r="G295" s="95"/>
    </row>
    <row r="296" ht="19.5" customHeight="1">
      <c r="A296" s="61"/>
      <c r="B296" s="57">
        <v>46130.0</v>
      </c>
      <c r="C296" s="58">
        <v>8500.0</v>
      </c>
      <c r="D296" s="58"/>
      <c r="E296" s="59" t="s">
        <v>767</v>
      </c>
      <c r="F296" s="59"/>
      <c r="G296" s="95"/>
    </row>
    <row r="297" ht="19.5" customHeight="1">
      <c r="A297" s="61"/>
      <c r="B297" s="57">
        <v>46130.0</v>
      </c>
      <c r="C297" s="58">
        <v>6000.0</v>
      </c>
      <c r="D297" s="58"/>
      <c r="E297" s="59" t="s">
        <v>768</v>
      </c>
      <c r="F297" s="59"/>
      <c r="G297" s="95"/>
    </row>
    <row r="298" ht="19.5" customHeight="1">
      <c r="A298" s="61"/>
      <c r="B298" s="57">
        <v>46130.0</v>
      </c>
      <c r="C298" s="58">
        <v>23760.0</v>
      </c>
      <c r="D298" s="58"/>
      <c r="E298" s="59" t="s">
        <v>769</v>
      </c>
      <c r="F298" s="59"/>
      <c r="G298" s="95"/>
    </row>
    <row r="299" ht="19.5" customHeight="1">
      <c r="A299" s="61"/>
      <c r="B299" s="57">
        <v>46133.0</v>
      </c>
      <c r="C299" s="58">
        <v>19700.0</v>
      </c>
      <c r="D299" s="58"/>
      <c r="E299" s="59" t="s">
        <v>770</v>
      </c>
      <c r="F299" s="59"/>
      <c r="G299" s="95"/>
    </row>
    <row r="300" ht="19.5" customHeight="1">
      <c r="A300" s="61"/>
      <c r="B300" s="57">
        <v>46133.0</v>
      </c>
      <c r="C300" s="58">
        <v>9500.0</v>
      </c>
      <c r="D300" s="58"/>
      <c r="E300" s="59" t="s">
        <v>633</v>
      </c>
      <c r="F300" s="59"/>
      <c r="G300" s="95"/>
    </row>
    <row r="301" ht="19.5" customHeight="1">
      <c r="A301" s="61"/>
      <c r="B301" s="57">
        <v>46134.0</v>
      </c>
      <c r="C301" s="58">
        <v>24000.0</v>
      </c>
      <c r="D301" s="58"/>
      <c r="E301" s="59" t="s">
        <v>633</v>
      </c>
      <c r="F301" s="59" t="s">
        <v>626</v>
      </c>
      <c r="G301" s="95"/>
    </row>
    <row r="302" ht="19.5" customHeight="1">
      <c r="A302" s="61"/>
      <c r="B302" s="57">
        <v>46135.0</v>
      </c>
      <c r="C302" s="58">
        <v>3955.0</v>
      </c>
      <c r="D302" s="58"/>
      <c r="E302" s="59" t="s">
        <v>355</v>
      </c>
      <c r="F302" s="59"/>
      <c r="G302" s="95"/>
    </row>
    <row r="303" ht="19.5" customHeight="1">
      <c r="A303" s="61"/>
      <c r="B303" s="57">
        <v>46136.0</v>
      </c>
      <c r="C303" s="58">
        <v>14500.0</v>
      </c>
      <c r="D303" s="58"/>
      <c r="E303" s="59" t="s">
        <v>355</v>
      </c>
      <c r="F303" s="59" t="s">
        <v>773</v>
      </c>
      <c r="G303" s="95"/>
    </row>
    <row r="304" ht="19.5" customHeight="1">
      <c r="A304" s="61"/>
      <c r="B304" s="57">
        <v>46136.0</v>
      </c>
      <c r="C304" s="58">
        <v>160017.0</v>
      </c>
      <c r="D304" s="58"/>
      <c r="E304" s="59" t="s">
        <v>374</v>
      </c>
      <c r="F304" s="59" t="s">
        <v>776</v>
      </c>
      <c r="G304" s="95"/>
    </row>
    <row r="305" ht="19.5" customHeight="1">
      <c r="A305" s="61"/>
      <c r="B305" s="57">
        <v>46137.0</v>
      </c>
      <c r="C305" s="58">
        <v>7600.0</v>
      </c>
      <c r="D305" s="58"/>
      <c r="E305" s="59" t="s">
        <v>363</v>
      </c>
      <c r="F305" s="59"/>
      <c r="G305" s="95"/>
    </row>
    <row r="306" ht="19.5" customHeight="1">
      <c r="A306" s="61"/>
      <c r="B306" s="57">
        <v>46138.0</v>
      </c>
      <c r="C306" s="58">
        <v>6600.0</v>
      </c>
      <c r="D306" s="58"/>
      <c r="E306" s="59" t="s">
        <v>780</v>
      </c>
      <c r="F306" s="59"/>
      <c r="G306" s="95"/>
    </row>
    <row r="307" ht="19.5" customHeight="1">
      <c r="A307" s="61"/>
      <c r="B307" s="57">
        <v>46139.0</v>
      </c>
      <c r="C307" s="58">
        <v>14100.0</v>
      </c>
      <c r="D307" s="58"/>
      <c r="E307" s="59" t="s">
        <v>609</v>
      </c>
      <c r="F307" s="59" t="s">
        <v>782</v>
      </c>
      <c r="G307" s="95"/>
    </row>
    <row r="308" ht="19.5" customHeight="1">
      <c r="A308" s="61"/>
      <c r="B308" s="57">
        <v>46140.0</v>
      </c>
      <c r="C308" s="58">
        <v>18500.0</v>
      </c>
      <c r="D308" s="58"/>
      <c r="E308" s="59" t="s">
        <v>785</v>
      </c>
      <c r="F308" s="59" t="s">
        <v>787</v>
      </c>
      <c r="G308" s="95"/>
    </row>
    <row r="309" ht="19.5" customHeight="1">
      <c r="A309" s="61"/>
      <c r="B309" s="57">
        <v>46140.0</v>
      </c>
      <c r="C309" s="58">
        <v>7000.0</v>
      </c>
      <c r="D309" s="58"/>
      <c r="E309" s="59" t="s">
        <v>785</v>
      </c>
      <c r="F309" s="59" t="s">
        <v>787</v>
      </c>
      <c r="G309" s="95"/>
    </row>
    <row r="310" ht="19.5" customHeight="1">
      <c r="A310" s="42"/>
      <c r="B310" s="57">
        <v>46141.0</v>
      </c>
      <c r="C310" s="58">
        <v>6906.0</v>
      </c>
      <c r="D310" s="58"/>
      <c r="E310" s="59" t="s">
        <v>52</v>
      </c>
      <c r="F310" s="59"/>
      <c r="G310" s="95"/>
    </row>
    <row r="311" ht="30.0" customHeight="1">
      <c r="A311" s="170" t="s">
        <v>163</v>
      </c>
      <c r="B311" s="47"/>
      <c r="C311" s="152">
        <f>SUM(C266:C310)</f>
        <v>1183765.54</v>
      </c>
      <c r="D311" s="152">
        <f>SUM(D267:D310)</f>
        <v>0</v>
      </c>
      <c r="E311" s="134"/>
      <c r="F311" s="135"/>
    </row>
    <row r="312" ht="4.5" customHeight="1">
      <c r="A312" s="179"/>
      <c r="B312" s="180"/>
      <c r="C312" s="180"/>
      <c r="D312" s="180"/>
      <c r="E312" s="180"/>
      <c r="F312" s="180"/>
      <c r="G312" s="181"/>
    </row>
    <row r="313" ht="19.5" customHeight="1">
      <c r="A313" s="62" t="s">
        <v>17</v>
      </c>
      <c r="B313" s="184">
        <v>46108.0</v>
      </c>
      <c r="C313" s="155">
        <v>160000.0</v>
      </c>
      <c r="D313" s="155"/>
      <c r="E313" s="158" t="s">
        <v>800</v>
      </c>
      <c r="F313" s="159" t="s">
        <v>801</v>
      </c>
      <c r="G313" s="159" t="s">
        <v>192</v>
      </c>
    </row>
    <row r="314" ht="19.5" customHeight="1">
      <c r="A314" s="61"/>
      <c r="B314" s="82">
        <v>46118.0</v>
      </c>
      <c r="C314" s="72">
        <v>355000.0</v>
      </c>
      <c r="D314" s="72"/>
      <c r="E314" s="75" t="s">
        <v>802</v>
      </c>
      <c r="F314" s="80" t="s">
        <v>803</v>
      </c>
      <c r="G314" s="80" t="s">
        <v>192</v>
      </c>
    </row>
    <row r="315" ht="19.5" customHeight="1">
      <c r="A315" s="61"/>
      <c r="B315" s="82">
        <v>46118.0</v>
      </c>
      <c r="C315" s="72">
        <v>100001.06</v>
      </c>
      <c r="D315" s="72"/>
      <c r="E315" s="75" t="s">
        <v>175</v>
      </c>
      <c r="F315" s="80" t="s">
        <v>763</v>
      </c>
      <c r="G315" s="80" t="s">
        <v>192</v>
      </c>
    </row>
    <row r="316" ht="19.5" customHeight="1">
      <c r="A316" s="61"/>
      <c r="B316" s="82">
        <v>46119.0</v>
      </c>
      <c r="C316" s="72">
        <v>116014.07</v>
      </c>
      <c r="D316" s="72"/>
      <c r="E316" s="75" t="s">
        <v>477</v>
      </c>
      <c r="F316" s="80" t="s">
        <v>763</v>
      </c>
      <c r="G316" s="80" t="s">
        <v>192</v>
      </c>
    </row>
    <row r="317" ht="19.5" customHeight="1">
      <c r="A317" s="61"/>
      <c r="B317" s="82">
        <v>46120.0</v>
      </c>
      <c r="C317" s="72">
        <v>145009.98</v>
      </c>
      <c r="D317" s="72"/>
      <c r="E317" s="75" t="s">
        <v>806</v>
      </c>
      <c r="F317" s="80" t="s">
        <v>807</v>
      </c>
      <c r="G317" s="80" t="s">
        <v>192</v>
      </c>
    </row>
    <row r="318" ht="19.5" customHeight="1">
      <c r="A318" s="61"/>
      <c r="B318" s="82">
        <v>46120.0</v>
      </c>
      <c r="C318" s="72">
        <v>122013.96</v>
      </c>
      <c r="D318" s="72"/>
      <c r="E318" s="75" t="s">
        <v>808</v>
      </c>
      <c r="F318" s="80" t="s">
        <v>763</v>
      </c>
      <c r="G318" s="80" t="s">
        <v>192</v>
      </c>
    </row>
    <row r="319" ht="19.5" customHeight="1">
      <c r="A319" s="61"/>
      <c r="B319" s="82">
        <v>46123.0</v>
      </c>
      <c r="C319" s="72">
        <v>63800.0</v>
      </c>
      <c r="D319" s="72"/>
      <c r="E319" s="75" t="s">
        <v>810</v>
      </c>
      <c r="F319" s="80" t="s">
        <v>811</v>
      </c>
      <c r="G319" s="80" t="s">
        <v>192</v>
      </c>
    </row>
    <row r="320" ht="19.5" customHeight="1">
      <c r="A320" s="61"/>
      <c r="B320" s="82">
        <v>46125.0</v>
      </c>
      <c r="C320" s="72">
        <v>100630.0</v>
      </c>
      <c r="D320" s="72"/>
      <c r="E320" s="75" t="s">
        <v>812</v>
      </c>
      <c r="F320" s="80" t="s">
        <v>763</v>
      </c>
      <c r="G320" s="80" t="s">
        <v>192</v>
      </c>
    </row>
    <row r="321" ht="19.5" customHeight="1">
      <c r="A321" s="61"/>
      <c r="B321" s="82">
        <v>46128.0</v>
      </c>
      <c r="C321" s="72">
        <v>260000.0</v>
      </c>
      <c r="D321" s="72"/>
      <c r="E321" s="75" t="s">
        <v>633</v>
      </c>
      <c r="F321" s="80" t="s">
        <v>763</v>
      </c>
      <c r="G321" s="80" t="s">
        <v>192</v>
      </c>
    </row>
    <row r="322" ht="19.5" customHeight="1">
      <c r="A322" s="61"/>
      <c r="B322" s="82">
        <v>46129.0</v>
      </c>
      <c r="C322" s="72">
        <v>177200.0</v>
      </c>
      <c r="D322" s="72"/>
      <c r="E322" s="75" t="s">
        <v>633</v>
      </c>
      <c r="F322" s="80" t="s">
        <v>763</v>
      </c>
      <c r="G322" s="80" t="s">
        <v>192</v>
      </c>
    </row>
    <row r="323" ht="19.5" customHeight="1">
      <c r="A323" s="61"/>
      <c r="B323" s="82">
        <v>46129.0</v>
      </c>
      <c r="C323" s="189">
        <v>-177500.0</v>
      </c>
      <c r="D323" s="72"/>
      <c r="E323" s="75" t="s">
        <v>802</v>
      </c>
      <c r="F323" s="80" t="s">
        <v>814</v>
      </c>
      <c r="G323" s="80" t="s">
        <v>192</v>
      </c>
    </row>
    <row r="324" ht="19.5" customHeight="1">
      <c r="A324" s="61"/>
      <c r="B324" s="82">
        <v>46132.0</v>
      </c>
      <c r="C324" s="72">
        <v>34485.0</v>
      </c>
      <c r="D324" s="72"/>
      <c r="E324" s="75" t="s">
        <v>633</v>
      </c>
      <c r="F324" s="80" t="s">
        <v>763</v>
      </c>
      <c r="G324" s="80" t="s">
        <v>192</v>
      </c>
    </row>
    <row r="325" ht="19.5" customHeight="1">
      <c r="A325" s="61"/>
      <c r="B325" s="82">
        <v>46133.0</v>
      </c>
      <c r="C325" s="72">
        <v>41000.0</v>
      </c>
      <c r="D325" s="72"/>
      <c r="E325" s="75" t="s">
        <v>633</v>
      </c>
      <c r="F325" s="80" t="s">
        <v>763</v>
      </c>
      <c r="G325" s="80" t="s">
        <v>192</v>
      </c>
    </row>
    <row r="326" ht="19.5" customHeight="1">
      <c r="A326" s="42"/>
      <c r="B326" s="82">
        <v>46140.0</v>
      </c>
      <c r="C326" s="72">
        <v>92009.0</v>
      </c>
      <c r="D326" s="72"/>
      <c r="E326" s="75" t="s">
        <v>338</v>
      </c>
      <c r="F326" s="80" t="s">
        <v>763</v>
      </c>
      <c r="G326" s="80" t="s">
        <v>192</v>
      </c>
    </row>
    <row r="327" ht="30.0" customHeight="1">
      <c r="A327" s="170" t="s">
        <v>163</v>
      </c>
      <c r="B327" s="47"/>
      <c r="C327" s="152">
        <f t="shared" ref="C327:D327" si="7">SUM(C313:C326)</f>
        <v>1589663.07</v>
      </c>
      <c r="D327" s="152">
        <f t="shared" si="7"/>
        <v>0</v>
      </c>
      <c r="E327" s="134"/>
      <c r="F327" s="135"/>
    </row>
    <row r="328" ht="4.5" customHeight="1">
      <c r="A328" s="179"/>
      <c r="B328" s="180"/>
      <c r="C328" s="180"/>
      <c r="D328" s="180"/>
      <c r="E328" s="180"/>
      <c r="F328" s="180"/>
      <c r="G328" s="181"/>
    </row>
    <row r="329" ht="19.5" customHeight="1">
      <c r="A329" s="234" t="s">
        <v>20</v>
      </c>
      <c r="B329" s="184">
        <v>46110.0</v>
      </c>
      <c r="C329" s="155">
        <v>57730.0</v>
      </c>
      <c r="D329" s="155"/>
      <c r="E329" s="158" t="s">
        <v>821</v>
      </c>
      <c r="F329" s="159" t="s">
        <v>822</v>
      </c>
      <c r="G329" s="159" t="s">
        <v>192</v>
      </c>
    </row>
    <row r="330" ht="19.5" customHeight="1">
      <c r="A330" s="61"/>
      <c r="B330" s="82">
        <v>46124.0</v>
      </c>
      <c r="C330" s="72">
        <v>48762.0</v>
      </c>
      <c r="D330" s="72"/>
      <c r="E330" s="75" t="s">
        <v>824</v>
      </c>
      <c r="F330" s="80" t="s">
        <v>825</v>
      </c>
      <c r="G330" s="80" t="s">
        <v>192</v>
      </c>
    </row>
    <row r="331" ht="19.5" customHeight="1">
      <c r="A331" s="61"/>
      <c r="B331" s="82">
        <v>46130.0</v>
      </c>
      <c r="C331" s="72">
        <v>36019.0</v>
      </c>
      <c r="D331" s="72"/>
      <c r="E331" s="75" t="s">
        <v>827</v>
      </c>
      <c r="F331" s="80" t="s">
        <v>828</v>
      </c>
      <c r="G331" s="80" t="s">
        <v>192</v>
      </c>
    </row>
    <row r="332" ht="19.5" customHeight="1">
      <c r="A332" s="61"/>
      <c r="B332" s="82">
        <v>46135.0</v>
      </c>
      <c r="C332" s="72">
        <v>223483.0</v>
      </c>
      <c r="D332" s="72"/>
      <c r="E332" s="75" t="s">
        <v>447</v>
      </c>
      <c r="F332" s="80" t="s">
        <v>830</v>
      </c>
      <c r="G332" s="80" t="s">
        <v>192</v>
      </c>
    </row>
    <row r="333" ht="19.5" customHeight="1">
      <c r="A333" s="61"/>
      <c r="B333" s="82">
        <v>46135.0</v>
      </c>
      <c r="C333" s="72">
        <v>29400.0</v>
      </c>
      <c r="D333" s="72"/>
      <c r="E333" s="75" t="s">
        <v>832</v>
      </c>
      <c r="F333" s="80" t="s">
        <v>833</v>
      </c>
      <c r="G333" s="80" t="s">
        <v>192</v>
      </c>
    </row>
    <row r="334" ht="19.5" customHeight="1">
      <c r="A334" s="61"/>
      <c r="B334" s="82">
        <v>46136.0</v>
      </c>
      <c r="C334" s="72">
        <v>63806.0</v>
      </c>
      <c r="D334" s="72"/>
      <c r="E334" s="75" t="s">
        <v>836</v>
      </c>
      <c r="F334" s="80" t="s">
        <v>837</v>
      </c>
      <c r="G334" s="80" t="s">
        <v>192</v>
      </c>
    </row>
    <row r="335" ht="19.5" customHeight="1">
      <c r="A335" s="42"/>
      <c r="B335" s="82">
        <v>46141.0</v>
      </c>
      <c r="C335" s="72">
        <v>62239.0</v>
      </c>
      <c r="D335" s="72"/>
      <c r="E335" s="75" t="s">
        <v>836</v>
      </c>
      <c r="F335" s="80" t="s">
        <v>837</v>
      </c>
      <c r="G335" s="80" t="s">
        <v>192</v>
      </c>
    </row>
    <row r="336" ht="28.5" customHeight="1">
      <c r="A336" s="170" t="s">
        <v>163</v>
      </c>
      <c r="B336" s="47"/>
      <c r="C336" s="152">
        <f t="shared" ref="C336:D336" si="8">SUM(C329:C335)</f>
        <v>521439</v>
      </c>
      <c r="D336" s="152">
        <f t="shared" si="8"/>
        <v>0</v>
      </c>
      <c r="E336" s="134"/>
      <c r="F336" s="135"/>
    </row>
    <row r="337" ht="3.75" customHeight="1">
      <c r="A337" s="240"/>
      <c r="B337" s="133"/>
      <c r="C337" s="133"/>
      <c r="D337" s="195"/>
      <c r="E337" s="7"/>
      <c r="I337" s="7"/>
      <c r="M337" s="7"/>
      <c r="Q337" s="7"/>
      <c r="U337" s="7"/>
    </row>
    <row r="338" ht="29.25" customHeight="1">
      <c r="A338" s="124" t="s">
        <v>496</v>
      </c>
      <c r="B338" s="125"/>
      <c r="C338" s="152">
        <f>+C141+C188+C192+C272+C326+C336</f>
        <v>883824.86</v>
      </c>
      <c r="D338" s="152">
        <f>+D141+D188+D192+D272+D326</f>
        <v>0</v>
      </c>
    </row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40.5" customHeight="1">
      <c r="A367" s="243"/>
      <c r="C367" s="244"/>
      <c r="D367" s="244"/>
      <c r="E367" s="243"/>
      <c r="G367" s="244"/>
      <c r="H367" s="244"/>
      <c r="I367" s="243"/>
      <c r="K367" s="244"/>
      <c r="L367" s="244"/>
      <c r="M367" s="243"/>
      <c r="O367" s="244"/>
      <c r="P367" s="244"/>
      <c r="Q367" s="243"/>
      <c r="S367" s="244"/>
      <c r="T367" s="244"/>
      <c r="U367" s="243"/>
      <c r="W367" s="244"/>
      <c r="X367" s="244"/>
    </row>
    <row r="368" ht="14.25" customHeight="1">
      <c r="A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</sheetData>
  <mergeCells count="44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115"/>
    <mergeCell ref="A116:B116"/>
    <mergeCell ref="A117:G117"/>
    <mergeCell ref="A312:G312"/>
    <mergeCell ref="A328:G328"/>
    <mergeCell ref="A337:D337"/>
    <mergeCell ref="E337:H337"/>
    <mergeCell ref="I337:L337"/>
    <mergeCell ref="M337:P337"/>
    <mergeCell ref="Q337:T337"/>
    <mergeCell ref="U337:X337"/>
    <mergeCell ref="A118:A166"/>
    <mergeCell ref="A167:B167"/>
    <mergeCell ref="A168:G168"/>
    <mergeCell ref="A170:B170"/>
    <mergeCell ref="A171:G171"/>
    <mergeCell ref="A264:B264"/>
    <mergeCell ref="A265:G265"/>
    <mergeCell ref="A338:B338"/>
    <mergeCell ref="A367:B367"/>
    <mergeCell ref="E367:F367"/>
    <mergeCell ref="I367:J367"/>
    <mergeCell ref="M367:N367"/>
    <mergeCell ref="Q367:R367"/>
    <mergeCell ref="U367:V367"/>
    <mergeCell ref="A368:D368"/>
    <mergeCell ref="A172:A263"/>
    <mergeCell ref="A266:A310"/>
    <mergeCell ref="A311:B311"/>
    <mergeCell ref="A313:A326"/>
    <mergeCell ref="A327:B327"/>
    <mergeCell ref="A329:A335"/>
    <mergeCell ref="A336:B336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106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23.25" customHeight="1">
      <c r="A6" s="190" t="s">
        <v>0</v>
      </c>
      <c r="B6" s="2"/>
      <c r="C6" s="3"/>
      <c r="D6" s="4" t="s">
        <v>1</v>
      </c>
      <c r="E6" s="5"/>
      <c r="F6" s="8" t="s">
        <v>673</v>
      </c>
      <c r="G6" s="9"/>
    </row>
    <row r="7" ht="24.0" customHeight="1">
      <c r="A7" s="10"/>
      <c r="B7" s="11"/>
      <c r="C7" s="12"/>
      <c r="D7" s="191" t="s">
        <v>5</v>
      </c>
      <c r="E7" s="15"/>
      <c r="F7" s="16">
        <v>2026.0</v>
      </c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>
        <v>2.442600975E7</v>
      </c>
      <c r="G8" s="17"/>
    </row>
    <row r="9" ht="19.5" customHeight="1">
      <c r="A9" s="196" t="s">
        <v>10</v>
      </c>
      <c r="B9" s="27">
        <f>SUM(C142)</f>
        <v>9590863.38</v>
      </c>
      <c r="C9" s="197">
        <f t="shared" ref="C9:C10" si="1">SUM(B9)</f>
        <v>9590863.38</v>
      </c>
      <c r="D9" s="198" t="s">
        <v>11</v>
      </c>
      <c r="E9" s="33"/>
      <c r="F9" s="33"/>
      <c r="G9" s="35"/>
    </row>
    <row r="10" ht="19.5" customHeight="1">
      <c r="A10" s="199" t="s">
        <v>12</v>
      </c>
      <c r="B10" s="200">
        <f>SUM(D142)</f>
        <v>21.96</v>
      </c>
      <c r="C10" s="201">
        <f t="shared" si="1"/>
        <v>21.96</v>
      </c>
      <c r="D10" s="202"/>
      <c r="G10" s="38"/>
    </row>
    <row r="11" ht="19.5" customHeight="1">
      <c r="A11" s="203" t="s">
        <v>13</v>
      </c>
      <c r="B11" s="204">
        <v>1895537.07</v>
      </c>
      <c r="C11" s="205">
        <f>SUM(B11+B12)</f>
        <v>6397603.84</v>
      </c>
      <c r="D11" s="202"/>
      <c r="G11" s="38"/>
    </row>
    <row r="12" ht="19.5" customHeight="1">
      <c r="A12" s="199" t="s">
        <v>14</v>
      </c>
      <c r="B12" s="207">
        <v>4502066.77</v>
      </c>
      <c r="C12" s="209"/>
      <c r="D12" s="202"/>
      <c r="G12" s="38"/>
    </row>
    <row r="13" ht="19.5" customHeight="1">
      <c r="A13" s="203" t="s">
        <v>15</v>
      </c>
      <c r="B13" s="210"/>
      <c r="C13" s="205">
        <f>SUM(B13+B14)</f>
        <v>0</v>
      </c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>
        <f>SUM(C302)</f>
        <v>972108.56</v>
      </c>
      <c r="C15" s="217">
        <f t="shared" ref="C15:C18" si="2">SUM(B15)</f>
        <v>972108.56</v>
      </c>
      <c r="D15" s="202"/>
      <c r="G15" s="38"/>
    </row>
    <row r="16" ht="19.5" customHeight="1">
      <c r="A16" s="213" t="s">
        <v>18</v>
      </c>
      <c r="B16" s="216">
        <f>SUM(C240)</f>
        <v>2208302.69</v>
      </c>
      <c r="C16" s="217">
        <f t="shared" si="2"/>
        <v>2208302.69</v>
      </c>
      <c r="D16" s="202"/>
      <c r="G16" s="38"/>
    </row>
    <row r="17" ht="19.5" customHeight="1">
      <c r="A17" s="218" t="s">
        <v>19</v>
      </c>
      <c r="B17" s="219">
        <f>SUM(C193)</f>
        <v>1627344.95</v>
      </c>
      <c r="C17" s="220">
        <f t="shared" si="2"/>
        <v>1627344.95</v>
      </c>
      <c r="D17" s="202"/>
      <c r="G17" s="38"/>
    </row>
    <row r="18" ht="19.5" customHeight="1">
      <c r="A18" s="221" t="s">
        <v>20</v>
      </c>
      <c r="B18" s="222">
        <f>SUM(C314)</f>
        <v>1905437.69</v>
      </c>
      <c r="C18" s="223">
        <f t="shared" si="2"/>
        <v>1905437.69</v>
      </c>
      <c r="D18" s="224"/>
      <c r="E18" s="46"/>
      <c r="F18" s="46"/>
      <c r="G18" s="47"/>
    </row>
    <row r="19" ht="4.5" customHeight="1">
      <c r="A19" s="225"/>
      <c r="B19" s="133"/>
      <c r="C19" s="133"/>
      <c r="D19" s="133"/>
      <c r="E19" s="133"/>
      <c r="F19" s="133"/>
      <c r="G19" s="125"/>
    </row>
    <row r="20" ht="24.75" customHeight="1">
      <c r="A20" s="226" t="s">
        <v>21</v>
      </c>
      <c r="B20" s="226" t="s">
        <v>22</v>
      </c>
      <c r="C20" s="226" t="s">
        <v>23</v>
      </c>
      <c r="D20" s="226" t="s">
        <v>24</v>
      </c>
      <c r="E20" s="227" t="s">
        <v>25</v>
      </c>
      <c r="F20" s="227" t="s">
        <v>26</v>
      </c>
      <c r="G20" s="227" t="s">
        <v>27</v>
      </c>
    </row>
    <row r="21" ht="19.5" customHeight="1">
      <c r="A21" s="174" t="s">
        <v>28</v>
      </c>
      <c r="B21" s="157">
        <v>46142.0</v>
      </c>
      <c r="C21" s="155">
        <v>36465.0</v>
      </c>
      <c r="D21" s="155"/>
      <c r="E21" s="158" t="s">
        <v>36</v>
      </c>
      <c r="F21" s="78" t="s">
        <v>772</v>
      </c>
      <c r="G21" s="159"/>
    </row>
    <row r="22" ht="19.5" customHeight="1">
      <c r="A22" s="167"/>
      <c r="B22" s="146">
        <v>46142.0</v>
      </c>
      <c r="C22" s="72">
        <v>266516.25</v>
      </c>
      <c r="D22" s="72"/>
      <c r="E22" s="59" t="s">
        <v>36</v>
      </c>
      <c r="F22" s="78" t="s">
        <v>786</v>
      </c>
      <c r="G22" s="80"/>
    </row>
    <row r="23" ht="19.5" customHeight="1">
      <c r="A23" s="167"/>
      <c r="B23" s="146">
        <v>46142.0</v>
      </c>
      <c r="C23" s="72">
        <v>92235.0</v>
      </c>
      <c r="D23" s="72"/>
      <c r="E23" s="59" t="s">
        <v>36</v>
      </c>
      <c r="F23" s="78" t="s">
        <v>793</v>
      </c>
      <c r="G23" s="80"/>
    </row>
    <row r="24" ht="19.5" customHeight="1">
      <c r="A24" s="167"/>
      <c r="B24" s="230">
        <v>46142.0</v>
      </c>
      <c r="C24" s="68">
        <v>4000.0</v>
      </c>
      <c r="D24" s="68"/>
      <c r="E24" s="71" t="s">
        <v>798</v>
      </c>
      <c r="F24" s="70"/>
      <c r="G24" s="74"/>
    </row>
    <row r="25" ht="19.5" customHeight="1">
      <c r="A25" s="167"/>
      <c r="B25" s="230">
        <v>46142.0</v>
      </c>
      <c r="C25" s="68">
        <v>20600.0</v>
      </c>
      <c r="D25" s="68"/>
      <c r="E25" s="71" t="s">
        <v>804</v>
      </c>
      <c r="F25" s="71"/>
      <c r="G25" s="74"/>
    </row>
    <row r="26" ht="19.5" customHeight="1">
      <c r="A26" s="167"/>
      <c r="B26" s="146">
        <v>46142.0</v>
      </c>
      <c r="C26" s="72">
        <v>14468.0</v>
      </c>
      <c r="D26" s="72"/>
      <c r="E26" s="75" t="s">
        <v>52</v>
      </c>
      <c r="F26" s="78" t="s">
        <v>805</v>
      </c>
      <c r="G26" s="80"/>
    </row>
    <row r="27" ht="19.5" customHeight="1">
      <c r="A27" s="167"/>
      <c r="B27" s="230">
        <v>46142.0</v>
      </c>
      <c r="C27" s="68">
        <v>16400.0</v>
      </c>
      <c r="D27" s="68"/>
      <c r="E27" s="71" t="s">
        <v>32</v>
      </c>
      <c r="F27" s="71"/>
      <c r="G27" s="74"/>
    </row>
    <row r="28" ht="19.5" customHeight="1">
      <c r="A28" s="167"/>
      <c r="B28" s="230">
        <v>46142.0</v>
      </c>
      <c r="C28" s="68">
        <v>127008.0</v>
      </c>
      <c r="D28" s="68"/>
      <c r="E28" s="71" t="s">
        <v>809</v>
      </c>
      <c r="F28" s="71"/>
      <c r="G28" s="74"/>
    </row>
    <row r="29" ht="19.5" customHeight="1">
      <c r="A29" s="167"/>
      <c r="B29" s="230">
        <v>46142.0</v>
      </c>
      <c r="C29" s="232">
        <v>-180000.0</v>
      </c>
      <c r="D29" s="68"/>
      <c r="E29" s="71" t="s">
        <v>290</v>
      </c>
      <c r="F29" s="71"/>
      <c r="G29" s="74"/>
    </row>
    <row r="30" ht="19.5" customHeight="1">
      <c r="A30" s="167"/>
      <c r="B30" s="230">
        <v>46143.0</v>
      </c>
      <c r="C30" s="68">
        <v>10485.02</v>
      </c>
      <c r="D30" s="68"/>
      <c r="E30" s="71" t="s">
        <v>813</v>
      </c>
      <c r="F30" s="71"/>
      <c r="G30" s="74"/>
    </row>
    <row r="31" ht="19.5" customHeight="1">
      <c r="A31" s="167"/>
      <c r="B31" s="230">
        <v>46143.0</v>
      </c>
      <c r="C31" s="68">
        <v>17400.0</v>
      </c>
      <c r="D31" s="68"/>
      <c r="E31" s="71" t="s">
        <v>815</v>
      </c>
      <c r="F31" s="70"/>
      <c r="G31" s="74"/>
    </row>
    <row r="32" ht="19.5" customHeight="1">
      <c r="A32" s="167"/>
      <c r="B32" s="146">
        <v>46143.0</v>
      </c>
      <c r="C32" s="72">
        <v>9648.0</v>
      </c>
      <c r="D32" s="72"/>
      <c r="E32" s="75" t="s">
        <v>52</v>
      </c>
      <c r="F32" s="78" t="s">
        <v>816</v>
      </c>
      <c r="G32" s="80"/>
    </row>
    <row r="33" ht="19.5" customHeight="1">
      <c r="A33" s="167"/>
      <c r="B33" s="146">
        <v>46143.0</v>
      </c>
      <c r="C33" s="72">
        <v>12266.0</v>
      </c>
      <c r="D33" s="72"/>
      <c r="E33" s="75" t="s">
        <v>52</v>
      </c>
      <c r="F33" s="78" t="s">
        <v>816</v>
      </c>
      <c r="G33" s="80"/>
    </row>
    <row r="34" ht="19.5" customHeight="1">
      <c r="A34" s="167"/>
      <c r="B34" s="230">
        <v>46143.0</v>
      </c>
      <c r="C34" s="68">
        <v>43259.0</v>
      </c>
      <c r="D34" s="68"/>
      <c r="E34" s="71" t="s">
        <v>817</v>
      </c>
      <c r="F34" s="70"/>
      <c r="G34" s="74"/>
    </row>
    <row r="35" ht="19.5" customHeight="1">
      <c r="A35" s="167"/>
      <c r="B35" s="230">
        <v>46143.0</v>
      </c>
      <c r="C35" s="68">
        <v>700.0</v>
      </c>
      <c r="D35" s="68"/>
      <c r="E35" s="71" t="s">
        <v>42</v>
      </c>
      <c r="F35" s="71"/>
      <c r="G35" s="74"/>
    </row>
    <row r="36" ht="19.5" customHeight="1">
      <c r="A36" s="167"/>
      <c r="B36" s="230">
        <v>46143.0</v>
      </c>
      <c r="C36" s="68">
        <v>7200.0</v>
      </c>
      <c r="D36" s="68"/>
      <c r="E36" s="71" t="s">
        <v>32</v>
      </c>
      <c r="F36" s="71"/>
      <c r="G36" s="74"/>
    </row>
    <row r="37" ht="19.5" customHeight="1">
      <c r="A37" s="167"/>
      <c r="B37" s="230">
        <v>46144.0</v>
      </c>
      <c r="C37" s="68">
        <v>427425.05</v>
      </c>
      <c r="D37" s="68"/>
      <c r="E37" s="71" t="s">
        <v>818</v>
      </c>
      <c r="F37" s="71"/>
      <c r="G37" s="74"/>
    </row>
    <row r="38" ht="19.5" customHeight="1">
      <c r="A38" s="167"/>
      <c r="B38" s="230">
        <v>46144.0</v>
      </c>
      <c r="C38" s="68">
        <v>13700.0</v>
      </c>
      <c r="D38" s="68"/>
      <c r="E38" s="71" t="s">
        <v>798</v>
      </c>
      <c r="F38" s="71"/>
      <c r="G38" s="74"/>
    </row>
    <row r="39" ht="19.5" customHeight="1">
      <c r="A39" s="167"/>
      <c r="B39" s="146">
        <v>46144.0</v>
      </c>
      <c r="C39" s="72">
        <v>18909.18</v>
      </c>
      <c r="D39" s="72"/>
      <c r="E39" s="75" t="s">
        <v>819</v>
      </c>
      <c r="F39" s="78" t="s">
        <v>820</v>
      </c>
      <c r="G39" s="80"/>
    </row>
    <row r="40" ht="19.5" customHeight="1">
      <c r="A40" s="167"/>
      <c r="B40" s="230">
        <v>46144.0</v>
      </c>
      <c r="C40" s="68">
        <v>172543.99</v>
      </c>
      <c r="D40" s="68"/>
      <c r="E40" s="71" t="s">
        <v>201</v>
      </c>
      <c r="F40" s="235"/>
      <c r="G40" s="74"/>
    </row>
    <row r="41" ht="19.5" customHeight="1">
      <c r="A41" s="167"/>
      <c r="B41" s="230">
        <v>46144.0</v>
      </c>
      <c r="C41" s="68">
        <v>9150.0</v>
      </c>
      <c r="D41" s="68"/>
      <c r="E41" s="71" t="s">
        <v>823</v>
      </c>
      <c r="F41" s="71"/>
      <c r="G41" s="74"/>
    </row>
    <row r="42" ht="19.5" customHeight="1">
      <c r="A42" s="167"/>
      <c r="B42" s="146">
        <v>46144.0</v>
      </c>
      <c r="C42" s="72">
        <v>6750.0</v>
      </c>
      <c r="D42" s="72"/>
      <c r="E42" s="75" t="s">
        <v>52</v>
      </c>
      <c r="F42" s="78" t="s">
        <v>826</v>
      </c>
      <c r="G42" s="80"/>
    </row>
    <row r="43" ht="19.5" customHeight="1">
      <c r="A43" s="167"/>
      <c r="B43" s="146">
        <v>46144.0</v>
      </c>
      <c r="C43" s="72">
        <v>4935.0</v>
      </c>
      <c r="D43" s="72"/>
      <c r="E43" s="75" t="s">
        <v>52</v>
      </c>
      <c r="F43" s="78" t="s">
        <v>826</v>
      </c>
      <c r="G43" s="80"/>
    </row>
    <row r="44" ht="19.5" customHeight="1">
      <c r="A44" s="167"/>
      <c r="B44" s="146">
        <v>46144.0</v>
      </c>
      <c r="C44" s="72">
        <v>14621.0</v>
      </c>
      <c r="D44" s="72"/>
      <c r="E44" s="75" t="s">
        <v>52</v>
      </c>
      <c r="F44" s="78" t="s">
        <v>831</v>
      </c>
      <c r="G44" s="80"/>
    </row>
    <row r="45" ht="19.5" customHeight="1">
      <c r="A45" s="167"/>
      <c r="B45" s="146">
        <v>46144.0</v>
      </c>
      <c r="C45" s="72">
        <v>34313.0</v>
      </c>
      <c r="D45" s="72"/>
      <c r="E45" s="75" t="s">
        <v>635</v>
      </c>
      <c r="F45" s="78" t="s">
        <v>834</v>
      </c>
      <c r="G45" s="95"/>
    </row>
    <row r="46" ht="19.5" customHeight="1">
      <c r="A46" s="167"/>
      <c r="B46" s="146">
        <v>46144.0</v>
      </c>
      <c r="C46" s="72">
        <v>16792.0</v>
      </c>
      <c r="D46" s="72"/>
      <c r="E46" s="75" t="s">
        <v>52</v>
      </c>
      <c r="F46" s="78" t="s">
        <v>831</v>
      </c>
      <c r="G46" s="95"/>
    </row>
    <row r="47" ht="19.5" customHeight="1">
      <c r="A47" s="167"/>
      <c r="B47" s="146">
        <v>46144.0</v>
      </c>
      <c r="C47" s="72">
        <v>5644.0</v>
      </c>
      <c r="D47" s="72"/>
      <c r="E47" s="75" t="s">
        <v>52</v>
      </c>
      <c r="F47" s="78" t="s">
        <v>816</v>
      </c>
      <c r="G47" s="95"/>
    </row>
    <row r="48" ht="19.5" customHeight="1">
      <c r="A48" s="167"/>
      <c r="B48" s="146">
        <v>46144.0</v>
      </c>
      <c r="C48" s="72">
        <v>1420.0</v>
      </c>
      <c r="D48" s="72"/>
      <c r="E48" s="75" t="s">
        <v>52</v>
      </c>
      <c r="F48" s="78" t="s">
        <v>839</v>
      </c>
      <c r="G48" s="80"/>
    </row>
    <row r="49" ht="19.5" customHeight="1">
      <c r="A49" s="167"/>
      <c r="B49" s="146">
        <v>46144.0</v>
      </c>
      <c r="C49" s="72">
        <v>36864.0</v>
      </c>
      <c r="D49" s="72"/>
      <c r="E49" s="75" t="s">
        <v>635</v>
      </c>
      <c r="F49" s="78" t="s">
        <v>834</v>
      </c>
      <c r="G49" s="95"/>
    </row>
    <row r="50" ht="19.5" customHeight="1">
      <c r="A50" s="167"/>
      <c r="B50" s="146">
        <v>46144.0</v>
      </c>
      <c r="C50" s="72">
        <v>15089.0</v>
      </c>
      <c r="D50" s="72"/>
      <c r="E50" s="75" t="s">
        <v>52</v>
      </c>
      <c r="F50" s="78" t="s">
        <v>840</v>
      </c>
      <c r="G50" s="95"/>
    </row>
    <row r="51" ht="19.5" customHeight="1">
      <c r="A51" s="167"/>
      <c r="B51" s="230">
        <v>46144.0</v>
      </c>
      <c r="C51" s="67">
        <v>23049.0</v>
      </c>
      <c r="D51" s="67"/>
      <c r="E51" s="70" t="s">
        <v>842</v>
      </c>
      <c r="F51" s="70"/>
      <c r="G51" s="92"/>
    </row>
    <row r="52" ht="19.5" customHeight="1">
      <c r="A52" s="167"/>
      <c r="B52" s="230">
        <v>46144.0</v>
      </c>
      <c r="C52" s="67">
        <v>700.0</v>
      </c>
      <c r="D52" s="67"/>
      <c r="E52" s="70" t="s">
        <v>42</v>
      </c>
      <c r="F52" s="70"/>
      <c r="G52" s="92"/>
    </row>
    <row r="53" ht="19.5" customHeight="1">
      <c r="A53" s="167"/>
      <c r="B53" s="146">
        <v>46144.0</v>
      </c>
      <c r="C53" s="58">
        <v>34252.0</v>
      </c>
      <c r="D53" s="58"/>
      <c r="E53" s="59" t="s">
        <v>844</v>
      </c>
      <c r="F53" s="78" t="s">
        <v>834</v>
      </c>
      <c r="G53" s="95"/>
    </row>
    <row r="54" ht="19.5" customHeight="1">
      <c r="A54" s="167"/>
      <c r="B54" s="230">
        <v>46144.0</v>
      </c>
      <c r="C54" s="67">
        <v>59952.11</v>
      </c>
      <c r="D54" s="67"/>
      <c r="E54" s="70" t="s">
        <v>846</v>
      </c>
      <c r="F54" s="70"/>
      <c r="G54" s="92"/>
    </row>
    <row r="55" ht="19.5" customHeight="1">
      <c r="A55" s="167"/>
      <c r="B55" s="65">
        <v>46145.0</v>
      </c>
      <c r="C55" s="67">
        <v>12000.0</v>
      </c>
      <c r="D55" s="67"/>
      <c r="E55" s="70" t="s">
        <v>848</v>
      </c>
      <c r="F55" s="70"/>
      <c r="G55" s="92"/>
    </row>
    <row r="56" ht="19.5" customHeight="1">
      <c r="A56" s="167"/>
      <c r="B56" s="65">
        <v>46145.0</v>
      </c>
      <c r="C56" s="67">
        <v>5200.0</v>
      </c>
      <c r="D56" s="67"/>
      <c r="E56" s="70" t="s">
        <v>121</v>
      </c>
      <c r="F56" s="70"/>
      <c r="G56" s="92"/>
    </row>
    <row r="57" ht="19.5" customHeight="1">
      <c r="A57" s="167"/>
      <c r="B57" s="65">
        <v>46146.0</v>
      </c>
      <c r="C57" s="67">
        <v>400001.5</v>
      </c>
      <c r="D57" s="67"/>
      <c r="E57" s="70" t="s">
        <v>850</v>
      </c>
      <c r="F57" s="70"/>
      <c r="G57" s="92"/>
    </row>
    <row r="58" ht="19.5" customHeight="1">
      <c r="A58" s="167"/>
      <c r="B58" s="65">
        <v>46146.0</v>
      </c>
      <c r="C58" s="67">
        <v>4050.0</v>
      </c>
      <c r="D58" s="67"/>
      <c r="E58" s="70" t="s">
        <v>852</v>
      </c>
      <c r="F58" s="70"/>
      <c r="G58" s="92"/>
    </row>
    <row r="59" ht="19.5" customHeight="1">
      <c r="A59" s="167"/>
      <c r="B59" s="65">
        <v>46147.0</v>
      </c>
      <c r="C59" s="67">
        <v>18873.22</v>
      </c>
      <c r="D59" s="67"/>
      <c r="E59" s="70" t="s">
        <v>57</v>
      </c>
      <c r="F59" s="70"/>
      <c r="G59" s="92"/>
    </row>
    <row r="60" ht="19.5" customHeight="1">
      <c r="A60" s="167"/>
      <c r="B60" s="65">
        <v>46147.0</v>
      </c>
      <c r="C60" s="67">
        <v>11785.12</v>
      </c>
      <c r="D60" s="67"/>
      <c r="E60" s="70" t="s">
        <v>287</v>
      </c>
      <c r="F60" s="70"/>
      <c r="G60" s="92"/>
    </row>
    <row r="61" ht="19.5" customHeight="1">
      <c r="A61" s="167"/>
      <c r="B61" s="57">
        <v>46147.0</v>
      </c>
      <c r="C61" s="58">
        <v>411400.0</v>
      </c>
      <c r="D61" s="58"/>
      <c r="E61" s="59" t="s">
        <v>214</v>
      </c>
      <c r="F61" s="59" t="s">
        <v>855</v>
      </c>
      <c r="G61" s="95"/>
    </row>
    <row r="62" ht="19.5" customHeight="1">
      <c r="A62" s="167"/>
      <c r="B62" s="57">
        <v>46147.0</v>
      </c>
      <c r="C62" s="58">
        <v>41230.0</v>
      </c>
      <c r="D62" s="58"/>
      <c r="E62" s="59" t="s">
        <v>546</v>
      </c>
      <c r="F62" s="78" t="s">
        <v>859</v>
      </c>
      <c r="G62" s="95"/>
    </row>
    <row r="63" ht="19.5" customHeight="1">
      <c r="A63" s="167"/>
      <c r="B63" s="57">
        <v>46148.0</v>
      </c>
      <c r="C63" s="58">
        <v>140000.0</v>
      </c>
      <c r="D63" s="58"/>
      <c r="E63" s="59" t="s">
        <v>860</v>
      </c>
      <c r="F63" s="59" t="s">
        <v>861</v>
      </c>
      <c r="G63" s="95"/>
    </row>
    <row r="64" ht="19.5" customHeight="1">
      <c r="A64" s="167"/>
      <c r="B64" s="57">
        <v>46148.0</v>
      </c>
      <c r="C64" s="58">
        <v>35431.87</v>
      </c>
      <c r="D64" s="58"/>
      <c r="E64" s="59" t="s">
        <v>67</v>
      </c>
      <c r="F64" s="59" t="s">
        <v>68</v>
      </c>
      <c r="G64" s="95"/>
    </row>
    <row r="65" ht="19.5" customHeight="1">
      <c r="A65" s="167"/>
      <c r="B65" s="65">
        <v>46148.0</v>
      </c>
      <c r="C65" s="67">
        <v>21909.0</v>
      </c>
      <c r="D65" s="67"/>
      <c r="E65" s="70" t="s">
        <v>867</v>
      </c>
      <c r="F65" s="70"/>
      <c r="G65" s="92"/>
    </row>
    <row r="66" ht="19.5" customHeight="1">
      <c r="A66" s="167"/>
      <c r="B66" s="65">
        <v>46148.0</v>
      </c>
      <c r="C66" s="67">
        <v>16029.0</v>
      </c>
      <c r="D66" s="67"/>
      <c r="E66" s="70" t="s">
        <v>869</v>
      </c>
      <c r="F66" s="70"/>
      <c r="G66" s="92"/>
    </row>
    <row r="67" ht="19.5" customHeight="1">
      <c r="A67" s="167"/>
      <c r="B67" s="65">
        <v>46148.0</v>
      </c>
      <c r="C67" s="67">
        <v>650.0</v>
      </c>
      <c r="D67" s="67"/>
      <c r="E67" s="70" t="s">
        <v>42</v>
      </c>
      <c r="F67" s="70"/>
      <c r="G67" s="92"/>
    </row>
    <row r="68" ht="19.5" customHeight="1">
      <c r="A68" s="167"/>
      <c r="B68" s="65">
        <v>46148.0</v>
      </c>
      <c r="C68" s="67">
        <v>9250.0</v>
      </c>
      <c r="D68" s="67"/>
      <c r="E68" s="70" t="s">
        <v>852</v>
      </c>
      <c r="F68" s="70"/>
      <c r="G68" s="92"/>
    </row>
    <row r="69" ht="19.5" customHeight="1">
      <c r="A69" s="167"/>
      <c r="B69" s="65">
        <v>46148.0</v>
      </c>
      <c r="C69" s="67">
        <v>115242.96</v>
      </c>
      <c r="D69" s="67"/>
      <c r="E69" s="70" t="s">
        <v>875</v>
      </c>
      <c r="F69" s="70"/>
      <c r="G69" s="92"/>
    </row>
    <row r="70" ht="19.5" customHeight="1">
      <c r="A70" s="167"/>
      <c r="B70" s="57">
        <v>46148.0</v>
      </c>
      <c r="C70" s="58"/>
      <c r="D70" s="58">
        <v>9.99</v>
      </c>
      <c r="E70" s="59" t="s">
        <v>878</v>
      </c>
      <c r="F70" s="75" t="s">
        <v>53</v>
      </c>
      <c r="G70" s="95"/>
    </row>
    <row r="71" ht="19.5" customHeight="1">
      <c r="A71" s="167"/>
      <c r="B71" s="57">
        <v>46148.0</v>
      </c>
      <c r="C71" s="58"/>
      <c r="D71" s="58">
        <v>2.99</v>
      </c>
      <c r="E71" s="59" t="s">
        <v>881</v>
      </c>
      <c r="F71" s="59" t="s">
        <v>82</v>
      </c>
      <c r="G71" s="95"/>
    </row>
    <row r="72" ht="19.5" customHeight="1">
      <c r="A72" s="167"/>
      <c r="B72" s="65">
        <v>46149.0</v>
      </c>
      <c r="C72" s="67">
        <v>47500.0</v>
      </c>
      <c r="D72" s="67"/>
      <c r="E72" s="70" t="s">
        <v>884</v>
      </c>
      <c r="F72" s="70"/>
      <c r="G72" s="92"/>
    </row>
    <row r="73" ht="19.5" customHeight="1">
      <c r="A73" s="167"/>
      <c r="B73" s="65">
        <v>46149.0</v>
      </c>
      <c r="C73" s="67">
        <v>3976.59</v>
      </c>
      <c r="D73" s="67"/>
      <c r="E73" s="70" t="s">
        <v>885</v>
      </c>
      <c r="F73" s="70"/>
      <c r="G73" s="92"/>
    </row>
    <row r="74" ht="19.5" customHeight="1">
      <c r="A74" s="167"/>
      <c r="B74" s="57">
        <v>46149.0</v>
      </c>
      <c r="C74" s="58">
        <v>18287.0</v>
      </c>
      <c r="D74" s="58"/>
      <c r="E74" s="59" t="s">
        <v>635</v>
      </c>
      <c r="F74" s="78" t="s">
        <v>831</v>
      </c>
      <c r="G74" s="95"/>
    </row>
    <row r="75" ht="19.5" customHeight="1">
      <c r="A75" s="167"/>
      <c r="B75" s="65">
        <v>46149.0</v>
      </c>
      <c r="C75" s="67">
        <v>249000.0</v>
      </c>
      <c r="D75" s="67"/>
      <c r="E75" s="70" t="s">
        <v>888</v>
      </c>
      <c r="F75" s="70"/>
      <c r="G75" s="92"/>
    </row>
    <row r="76" ht="19.5" customHeight="1">
      <c r="A76" s="167"/>
      <c r="B76" s="57">
        <v>46149.0</v>
      </c>
      <c r="C76" s="58">
        <v>26300.0</v>
      </c>
      <c r="D76" s="58"/>
      <c r="E76" s="59" t="s">
        <v>78</v>
      </c>
      <c r="F76" s="59" t="s">
        <v>79</v>
      </c>
      <c r="G76" s="95"/>
    </row>
    <row r="77" ht="19.5" customHeight="1">
      <c r="A77" s="167"/>
      <c r="B77" s="65">
        <v>46150.0</v>
      </c>
      <c r="C77" s="67">
        <v>16900.0</v>
      </c>
      <c r="D77" s="67"/>
      <c r="E77" s="70" t="s">
        <v>248</v>
      </c>
      <c r="F77" s="70"/>
      <c r="G77" s="92"/>
    </row>
    <row r="78" ht="19.5" customHeight="1">
      <c r="A78" s="167"/>
      <c r="B78" s="57">
        <v>46150.0</v>
      </c>
      <c r="C78" s="58">
        <v>737352.48</v>
      </c>
      <c r="D78" s="58"/>
      <c r="E78" s="59" t="s">
        <v>43</v>
      </c>
      <c r="F78" s="59" t="s">
        <v>44</v>
      </c>
      <c r="G78" s="95"/>
    </row>
    <row r="79" ht="19.5" customHeight="1">
      <c r="A79" s="167"/>
      <c r="B79" s="65">
        <v>46150.0</v>
      </c>
      <c r="C79" s="67">
        <v>4075.18</v>
      </c>
      <c r="D79" s="67"/>
      <c r="E79" s="70" t="s">
        <v>72</v>
      </c>
      <c r="F79" s="70"/>
      <c r="G79" s="92"/>
    </row>
    <row r="80" ht="19.5" customHeight="1">
      <c r="A80" s="167"/>
      <c r="B80" s="65">
        <v>46150.0</v>
      </c>
      <c r="C80" s="67">
        <v>171518.08</v>
      </c>
      <c r="D80" s="67"/>
      <c r="E80" s="70" t="s">
        <v>892</v>
      </c>
      <c r="F80" s="70"/>
      <c r="G80" s="92"/>
    </row>
    <row r="81" ht="19.5" customHeight="1">
      <c r="A81" s="167"/>
      <c r="B81" s="65">
        <v>46150.0</v>
      </c>
      <c r="C81" s="67">
        <v>4900.0</v>
      </c>
      <c r="D81" s="67"/>
      <c r="E81" s="70" t="s">
        <v>894</v>
      </c>
      <c r="F81" s="70"/>
      <c r="G81" s="92"/>
    </row>
    <row r="82" ht="19.5" customHeight="1">
      <c r="A82" s="167"/>
      <c r="B82" s="65">
        <v>46151.0</v>
      </c>
      <c r="C82" s="67">
        <v>55040.0</v>
      </c>
      <c r="D82" s="67"/>
      <c r="E82" s="70" t="s">
        <v>897</v>
      </c>
      <c r="F82" s="70"/>
      <c r="G82" s="92"/>
    </row>
    <row r="83" ht="19.5" customHeight="1">
      <c r="A83" s="167"/>
      <c r="B83" s="65">
        <v>46151.0</v>
      </c>
      <c r="C83" s="67">
        <v>18800.0</v>
      </c>
      <c r="D83" s="67"/>
      <c r="E83" s="70" t="s">
        <v>58</v>
      </c>
      <c r="F83" s="70"/>
      <c r="G83" s="92"/>
    </row>
    <row r="84" ht="19.5" customHeight="1">
      <c r="A84" s="167"/>
      <c r="B84" s="65">
        <v>46153.0</v>
      </c>
      <c r="C84" s="67">
        <v>94985.0</v>
      </c>
      <c r="D84" s="67"/>
      <c r="E84" s="70" t="s">
        <v>900</v>
      </c>
      <c r="F84" s="70"/>
      <c r="G84" s="92"/>
    </row>
    <row r="85" ht="19.5" customHeight="1">
      <c r="A85" s="167"/>
      <c r="B85" s="65">
        <v>46153.0</v>
      </c>
      <c r="C85" s="67">
        <v>224730.0</v>
      </c>
      <c r="D85" s="67"/>
      <c r="E85" s="70" t="s">
        <v>900</v>
      </c>
      <c r="F85" s="70"/>
      <c r="G85" s="92"/>
    </row>
    <row r="86" ht="19.5" customHeight="1">
      <c r="A86" s="167"/>
      <c r="B86" s="65">
        <v>46154.0</v>
      </c>
      <c r="C86" s="67">
        <v>16900.0</v>
      </c>
      <c r="D86" s="67"/>
      <c r="E86" s="70" t="s">
        <v>248</v>
      </c>
      <c r="F86" s="70"/>
      <c r="G86" s="92"/>
    </row>
    <row r="87" ht="19.5" customHeight="1">
      <c r="A87" s="167"/>
      <c r="B87" s="65">
        <v>46154.0</v>
      </c>
      <c r="C87" s="67">
        <v>9300.0</v>
      </c>
      <c r="D87" s="67"/>
      <c r="E87" s="70" t="s">
        <v>56</v>
      </c>
      <c r="F87" s="70"/>
      <c r="G87" s="92"/>
    </row>
    <row r="88" ht="19.5" customHeight="1">
      <c r="A88" s="167"/>
      <c r="B88" s="65">
        <v>46154.0</v>
      </c>
      <c r="C88" s="67">
        <v>171000.0</v>
      </c>
      <c r="D88" s="67"/>
      <c r="E88" s="70" t="s">
        <v>201</v>
      </c>
      <c r="F88" s="70"/>
      <c r="G88" s="92"/>
    </row>
    <row r="89" ht="19.5" customHeight="1">
      <c r="A89" s="167"/>
      <c r="B89" s="57">
        <v>46154.0</v>
      </c>
      <c r="C89" s="58">
        <v>487141.0</v>
      </c>
      <c r="D89" s="58"/>
      <c r="E89" s="59" t="s">
        <v>97</v>
      </c>
      <c r="F89" s="59" t="s">
        <v>98</v>
      </c>
      <c r="G89" s="95"/>
    </row>
    <row r="90" ht="19.5" customHeight="1">
      <c r="A90" s="167"/>
      <c r="B90" s="65">
        <v>46155.0</v>
      </c>
      <c r="C90" s="67">
        <v>16900.0</v>
      </c>
      <c r="D90" s="67"/>
      <c r="E90" s="70" t="s">
        <v>248</v>
      </c>
      <c r="F90" s="70"/>
      <c r="G90" s="92"/>
    </row>
    <row r="91" ht="19.5" customHeight="1">
      <c r="A91" s="167"/>
      <c r="B91" s="57">
        <v>46155.0</v>
      </c>
      <c r="C91" s="58">
        <v>20903.18</v>
      </c>
      <c r="D91" s="58"/>
      <c r="E91" s="59" t="s">
        <v>902</v>
      </c>
      <c r="F91" s="59" t="s">
        <v>115</v>
      </c>
      <c r="G91" s="95"/>
    </row>
    <row r="92" ht="19.5" customHeight="1">
      <c r="A92" s="167"/>
      <c r="B92" s="57">
        <v>46155.0</v>
      </c>
      <c r="C92" s="58">
        <v>20240.27</v>
      </c>
      <c r="D92" s="58"/>
      <c r="E92" s="59" t="s">
        <v>903</v>
      </c>
      <c r="F92" s="59" t="s">
        <v>112</v>
      </c>
      <c r="G92" s="95"/>
    </row>
    <row r="93" ht="19.5" customHeight="1">
      <c r="A93" s="167"/>
      <c r="B93" s="57">
        <v>46155.0</v>
      </c>
      <c r="C93" s="58">
        <v>117179.96</v>
      </c>
      <c r="D93" s="58"/>
      <c r="E93" s="59" t="s">
        <v>904</v>
      </c>
      <c r="F93" s="59" t="s">
        <v>108</v>
      </c>
      <c r="G93" s="95"/>
    </row>
    <row r="94" ht="19.5" customHeight="1">
      <c r="A94" s="167"/>
      <c r="B94" s="57">
        <v>46155.0</v>
      </c>
      <c r="C94" s="58">
        <v>21272.49</v>
      </c>
      <c r="D94" s="58"/>
      <c r="E94" s="59" t="s">
        <v>905</v>
      </c>
      <c r="F94" s="59" t="s">
        <v>106</v>
      </c>
      <c r="G94" s="95"/>
    </row>
    <row r="95" ht="19.5" customHeight="1">
      <c r="A95" s="167"/>
      <c r="B95" s="65">
        <v>46155.0</v>
      </c>
      <c r="C95" s="67">
        <v>1674.14</v>
      </c>
      <c r="D95" s="67"/>
      <c r="E95" s="70" t="s">
        <v>240</v>
      </c>
      <c r="F95" s="70"/>
      <c r="G95" s="92"/>
    </row>
    <row r="96" ht="19.5" customHeight="1">
      <c r="A96" s="167"/>
      <c r="B96" s="65">
        <v>46156.0</v>
      </c>
      <c r="C96" s="67">
        <v>6600.0</v>
      </c>
      <c r="D96" s="67"/>
      <c r="E96" s="70" t="s">
        <v>32</v>
      </c>
      <c r="F96" s="70"/>
      <c r="G96" s="92"/>
    </row>
    <row r="97" ht="19.5" customHeight="1">
      <c r="A97" s="167"/>
      <c r="B97" s="65">
        <v>46157.0</v>
      </c>
      <c r="C97" s="67">
        <v>16900.0</v>
      </c>
      <c r="D97" s="67"/>
      <c r="E97" s="70" t="s">
        <v>248</v>
      </c>
      <c r="F97" s="70"/>
      <c r="G97" s="92"/>
    </row>
    <row r="98" ht="19.5" customHeight="1">
      <c r="A98" s="167"/>
      <c r="B98" s="57">
        <v>46157.0</v>
      </c>
      <c r="C98" s="58">
        <v>20560.0</v>
      </c>
      <c r="D98" s="58"/>
      <c r="E98" s="59" t="s">
        <v>214</v>
      </c>
      <c r="F98" s="59" t="s">
        <v>908</v>
      </c>
      <c r="G98" s="95"/>
    </row>
    <row r="99" ht="19.5" customHeight="1">
      <c r="A99" s="167"/>
      <c r="B99" s="65">
        <v>46157.0</v>
      </c>
      <c r="C99" s="67">
        <v>7900.0</v>
      </c>
      <c r="D99" s="67"/>
      <c r="E99" s="70" t="s">
        <v>32</v>
      </c>
      <c r="F99" s="70"/>
      <c r="G99" s="92"/>
    </row>
    <row r="100" ht="19.5" customHeight="1">
      <c r="A100" s="167"/>
      <c r="B100" s="65">
        <v>46157.0</v>
      </c>
      <c r="C100" s="67">
        <v>23125.0</v>
      </c>
      <c r="D100" s="67"/>
      <c r="E100" s="70" t="s">
        <v>911</v>
      </c>
      <c r="F100" s="70"/>
      <c r="G100" s="92"/>
    </row>
    <row r="101" ht="19.5" customHeight="1">
      <c r="A101" s="167"/>
      <c r="B101" s="57">
        <v>46157.0</v>
      </c>
      <c r="C101" s="58"/>
      <c r="D101" s="58">
        <v>6.99</v>
      </c>
      <c r="E101" s="59" t="s">
        <v>914</v>
      </c>
      <c r="F101" s="59" t="s">
        <v>245</v>
      </c>
      <c r="G101" s="95"/>
    </row>
    <row r="102" ht="19.5" customHeight="1">
      <c r="A102" s="167"/>
      <c r="B102" s="65">
        <v>46158.0</v>
      </c>
      <c r="C102" s="67">
        <v>7300.0</v>
      </c>
      <c r="D102" s="67"/>
      <c r="E102" s="70" t="s">
        <v>56</v>
      </c>
      <c r="F102" s="70"/>
      <c r="G102" s="92"/>
    </row>
    <row r="103" ht="19.5" customHeight="1">
      <c r="A103" s="167"/>
      <c r="B103" s="65">
        <v>46158.0</v>
      </c>
      <c r="C103" s="67">
        <v>14400.0</v>
      </c>
      <c r="D103" s="67"/>
      <c r="E103" s="70" t="s">
        <v>41</v>
      </c>
      <c r="F103" s="70"/>
      <c r="G103" s="92"/>
    </row>
    <row r="104" ht="19.5" customHeight="1">
      <c r="A104" s="167"/>
      <c r="B104" s="65">
        <v>46158.0</v>
      </c>
      <c r="C104" s="67">
        <v>19800.0</v>
      </c>
      <c r="D104" s="67"/>
      <c r="E104" s="70" t="s">
        <v>917</v>
      </c>
      <c r="F104" s="70"/>
      <c r="G104" s="92"/>
    </row>
    <row r="105" ht="19.5" customHeight="1">
      <c r="A105" s="167"/>
      <c r="B105" s="65">
        <v>46159.0</v>
      </c>
      <c r="C105" s="67">
        <v>12000.0</v>
      </c>
      <c r="D105" s="67"/>
      <c r="E105" s="70" t="s">
        <v>919</v>
      </c>
      <c r="F105" s="70"/>
      <c r="G105" s="92"/>
    </row>
    <row r="106" ht="19.5" customHeight="1">
      <c r="A106" s="167"/>
      <c r="B106" s="258">
        <v>46160.0</v>
      </c>
      <c r="C106" s="253">
        <v>51503.08</v>
      </c>
      <c r="D106" s="253"/>
      <c r="E106" s="249" t="s">
        <v>922</v>
      </c>
      <c r="F106" s="249" t="s">
        <v>899</v>
      </c>
      <c r="G106" s="259"/>
    </row>
    <row r="107" ht="19.5" customHeight="1">
      <c r="A107" s="167"/>
      <c r="B107" s="65">
        <v>46160.0</v>
      </c>
      <c r="C107" s="67">
        <v>76018.0</v>
      </c>
      <c r="D107" s="67"/>
      <c r="E107" s="70" t="s">
        <v>923</v>
      </c>
      <c r="F107" s="70"/>
      <c r="G107" s="92"/>
    </row>
    <row r="108" ht="19.5" customHeight="1">
      <c r="A108" s="167"/>
      <c r="B108" s="57">
        <v>46160.0</v>
      </c>
      <c r="C108" s="58">
        <v>102800.0</v>
      </c>
      <c r="D108" s="58"/>
      <c r="E108" s="59" t="s">
        <v>214</v>
      </c>
      <c r="F108" s="59" t="s">
        <v>924</v>
      </c>
      <c r="G108" s="95"/>
    </row>
    <row r="109" ht="19.5" customHeight="1">
      <c r="A109" s="167"/>
      <c r="B109" s="57">
        <v>46161.0</v>
      </c>
      <c r="C109" s="58">
        <v>69642.5</v>
      </c>
      <c r="D109" s="58"/>
      <c r="E109" s="59" t="s">
        <v>254</v>
      </c>
      <c r="F109" s="59" t="s">
        <v>255</v>
      </c>
      <c r="G109" s="95"/>
    </row>
    <row r="110" ht="19.5" customHeight="1">
      <c r="A110" s="167"/>
      <c r="B110" s="65">
        <v>46161.0</v>
      </c>
      <c r="C110" s="67">
        <v>19514.92</v>
      </c>
      <c r="D110" s="67"/>
      <c r="E110" s="70" t="s">
        <v>165</v>
      </c>
      <c r="F110" s="70"/>
      <c r="G110" s="92"/>
    </row>
    <row r="111" ht="19.5" customHeight="1">
      <c r="A111" s="167"/>
      <c r="B111" s="65">
        <v>46161.0</v>
      </c>
      <c r="C111" s="67">
        <v>28694.22</v>
      </c>
      <c r="D111" s="67"/>
      <c r="E111" s="70" t="s">
        <v>287</v>
      </c>
      <c r="F111" s="70"/>
      <c r="G111" s="92"/>
    </row>
    <row r="112" ht="19.5" customHeight="1">
      <c r="A112" s="167"/>
      <c r="B112" s="65">
        <v>46161.0</v>
      </c>
      <c r="C112" s="67">
        <v>14347.11</v>
      </c>
      <c r="D112" s="67"/>
      <c r="E112" s="70" t="s">
        <v>287</v>
      </c>
      <c r="F112" s="70"/>
      <c r="G112" s="92"/>
    </row>
    <row r="113" ht="19.5" customHeight="1">
      <c r="A113" s="167"/>
      <c r="B113" s="57">
        <v>46161.0</v>
      </c>
      <c r="C113" s="58">
        <v>102800.0</v>
      </c>
      <c r="D113" s="58"/>
      <c r="E113" s="59" t="s">
        <v>214</v>
      </c>
      <c r="F113" s="59"/>
      <c r="G113" s="95"/>
    </row>
    <row r="114" ht="19.5" customHeight="1">
      <c r="A114" s="167"/>
      <c r="B114" s="65">
        <v>46162.0</v>
      </c>
      <c r="C114" s="67">
        <v>62000.0</v>
      </c>
      <c r="D114" s="67"/>
      <c r="E114" s="70" t="s">
        <v>278</v>
      </c>
      <c r="F114" s="70"/>
      <c r="G114" s="92"/>
    </row>
    <row r="115" ht="19.5" customHeight="1">
      <c r="A115" s="167"/>
      <c r="B115" s="65">
        <v>46162.0</v>
      </c>
      <c r="C115" s="67">
        <v>10100.0</v>
      </c>
      <c r="D115" s="67"/>
      <c r="E115" s="70" t="s">
        <v>929</v>
      </c>
      <c r="F115" s="70"/>
      <c r="G115" s="92"/>
    </row>
    <row r="116" ht="19.5" customHeight="1">
      <c r="A116" s="167"/>
      <c r="B116" s="57">
        <v>46162.0</v>
      </c>
      <c r="C116" s="58"/>
      <c r="D116" s="58">
        <v>1.99</v>
      </c>
      <c r="E116" s="59" t="s">
        <v>931</v>
      </c>
      <c r="F116" s="59" t="s">
        <v>82</v>
      </c>
      <c r="G116" s="95"/>
    </row>
    <row r="117" ht="19.5" customHeight="1">
      <c r="A117" s="167"/>
      <c r="B117" s="65">
        <v>46163.0</v>
      </c>
      <c r="C117" s="67">
        <v>34500.0</v>
      </c>
      <c r="D117" s="67"/>
      <c r="E117" s="70" t="s">
        <v>151</v>
      </c>
      <c r="F117" s="70"/>
      <c r="G117" s="92"/>
    </row>
    <row r="118" ht="19.5" customHeight="1">
      <c r="A118" s="167"/>
      <c r="B118" s="65">
        <v>46163.0</v>
      </c>
      <c r="C118" s="67">
        <v>4800.0</v>
      </c>
      <c r="D118" s="67"/>
      <c r="E118" s="70" t="s">
        <v>278</v>
      </c>
      <c r="F118" s="70"/>
      <c r="G118" s="92"/>
    </row>
    <row r="119" ht="19.5" customHeight="1">
      <c r="A119" s="167"/>
      <c r="B119" s="65">
        <v>46163.0</v>
      </c>
      <c r="C119" s="67">
        <v>27000.0</v>
      </c>
      <c r="D119" s="67"/>
      <c r="E119" s="70" t="s">
        <v>151</v>
      </c>
      <c r="F119" s="70"/>
      <c r="G119" s="92"/>
    </row>
    <row r="120" ht="19.5" customHeight="1">
      <c r="A120" s="167"/>
      <c r="B120" s="65">
        <v>46163.0</v>
      </c>
      <c r="C120" s="67">
        <v>3976.59</v>
      </c>
      <c r="D120" s="67"/>
      <c r="E120" s="70" t="s">
        <v>885</v>
      </c>
      <c r="F120" s="70"/>
      <c r="G120" s="92"/>
    </row>
    <row r="121" ht="19.5" customHeight="1">
      <c r="A121" s="167"/>
      <c r="B121" s="65">
        <v>46163.0</v>
      </c>
      <c r="C121" s="67">
        <v>7953.18</v>
      </c>
      <c r="D121" s="67"/>
      <c r="E121" s="70" t="s">
        <v>933</v>
      </c>
      <c r="F121" s="70"/>
      <c r="G121" s="92"/>
    </row>
    <row r="122" ht="19.5" customHeight="1">
      <c r="A122" s="167"/>
      <c r="B122" s="65">
        <v>46163.0</v>
      </c>
      <c r="C122" s="67">
        <v>8150.37</v>
      </c>
      <c r="D122" s="67"/>
      <c r="E122" s="70" t="s">
        <v>166</v>
      </c>
      <c r="F122" s="70"/>
      <c r="G122" s="92"/>
    </row>
    <row r="123" ht="19.5" customHeight="1">
      <c r="A123" s="167"/>
      <c r="B123" s="65">
        <v>46163.0</v>
      </c>
      <c r="C123" s="67">
        <v>8965.45</v>
      </c>
      <c r="D123" s="67"/>
      <c r="E123" s="70" t="s">
        <v>72</v>
      </c>
      <c r="F123" s="70"/>
      <c r="G123" s="92"/>
    </row>
    <row r="124" ht="19.5" customHeight="1">
      <c r="A124" s="167"/>
      <c r="B124" s="65">
        <v>46163.0</v>
      </c>
      <c r="C124" s="67">
        <v>18700.0</v>
      </c>
      <c r="D124" s="67"/>
      <c r="E124" s="70" t="s">
        <v>780</v>
      </c>
      <c r="F124" s="70"/>
      <c r="G124" s="92"/>
    </row>
    <row r="125" ht="19.5" customHeight="1">
      <c r="A125" s="167"/>
      <c r="B125" s="65">
        <v>46164.0</v>
      </c>
      <c r="C125" s="67">
        <v>85034.94</v>
      </c>
      <c r="D125" s="67"/>
      <c r="E125" s="70" t="s">
        <v>35</v>
      </c>
      <c r="F125" s="70"/>
      <c r="G125" s="92"/>
    </row>
    <row r="126" ht="19.5" customHeight="1">
      <c r="A126" s="167"/>
      <c r="B126" s="65">
        <v>46164.0</v>
      </c>
      <c r="C126" s="67">
        <v>32500.0</v>
      </c>
      <c r="D126" s="67"/>
      <c r="E126" s="70" t="s">
        <v>151</v>
      </c>
      <c r="F126" s="70"/>
      <c r="G126" s="92"/>
    </row>
    <row r="127" ht="19.5" customHeight="1">
      <c r="A127" s="167"/>
      <c r="B127" s="65">
        <v>46164.0</v>
      </c>
      <c r="C127" s="67">
        <v>15000.0</v>
      </c>
      <c r="D127" s="67"/>
      <c r="E127" s="70" t="s">
        <v>151</v>
      </c>
      <c r="F127" s="70"/>
      <c r="G127" s="92"/>
    </row>
    <row r="128" ht="19.5" customHeight="1">
      <c r="A128" s="167"/>
      <c r="B128" s="65">
        <v>46164.0</v>
      </c>
      <c r="C128" s="67">
        <v>13350.0</v>
      </c>
      <c r="D128" s="67"/>
      <c r="E128" s="70" t="s">
        <v>58</v>
      </c>
      <c r="F128" s="70"/>
      <c r="G128" s="92"/>
    </row>
    <row r="129" ht="19.5" customHeight="1">
      <c r="A129" s="167"/>
      <c r="B129" s="65">
        <v>46165.0</v>
      </c>
      <c r="C129" s="67">
        <v>15000.0</v>
      </c>
      <c r="D129" s="67"/>
      <c r="E129" s="70" t="s">
        <v>151</v>
      </c>
      <c r="F129" s="70"/>
      <c r="G129" s="92"/>
    </row>
    <row r="130" ht="19.5" customHeight="1">
      <c r="A130" s="167"/>
      <c r="B130" s="65">
        <v>46165.0</v>
      </c>
      <c r="C130" s="67">
        <v>12000.0</v>
      </c>
      <c r="D130" s="67"/>
      <c r="E130" s="70" t="s">
        <v>151</v>
      </c>
      <c r="F130" s="70"/>
      <c r="G130" s="92"/>
    </row>
    <row r="131" ht="19.5" customHeight="1">
      <c r="A131" s="167"/>
      <c r="B131" s="65">
        <v>46165.0</v>
      </c>
      <c r="C131" s="67">
        <v>23076.06</v>
      </c>
      <c r="D131" s="67"/>
      <c r="E131" s="70" t="s">
        <v>827</v>
      </c>
      <c r="F131" s="70"/>
      <c r="G131" s="92"/>
    </row>
    <row r="132" ht="19.5" customHeight="1">
      <c r="A132" s="167"/>
      <c r="B132" s="65">
        <v>46165.0</v>
      </c>
      <c r="C132" s="67">
        <v>30239.0</v>
      </c>
      <c r="D132" s="67"/>
      <c r="E132" s="70" t="s">
        <v>937</v>
      </c>
      <c r="F132" s="70"/>
      <c r="G132" s="92"/>
    </row>
    <row r="133" ht="19.5" customHeight="1">
      <c r="A133" s="167"/>
      <c r="B133" s="65">
        <v>46165.0</v>
      </c>
      <c r="C133" s="67">
        <v>14529.0</v>
      </c>
      <c r="D133" s="67"/>
      <c r="E133" s="70" t="s">
        <v>937</v>
      </c>
      <c r="F133" s="70"/>
      <c r="G133" s="92"/>
    </row>
    <row r="134" ht="19.5" customHeight="1">
      <c r="A134" s="167"/>
      <c r="B134" s="65">
        <v>46166.0</v>
      </c>
      <c r="C134" s="67">
        <v>15000.0</v>
      </c>
      <c r="D134" s="67"/>
      <c r="E134" s="70" t="s">
        <v>151</v>
      </c>
      <c r="F134" s="70"/>
      <c r="G134" s="92"/>
    </row>
    <row r="135" ht="19.5" customHeight="1">
      <c r="A135" s="167"/>
      <c r="B135" s="65">
        <v>46166.0</v>
      </c>
      <c r="C135" s="67">
        <v>140002.01</v>
      </c>
      <c r="D135" s="67"/>
      <c r="E135" s="70" t="s">
        <v>938</v>
      </c>
      <c r="F135" s="70"/>
      <c r="G135" s="92"/>
    </row>
    <row r="136" ht="19.5" customHeight="1">
      <c r="A136" s="167"/>
      <c r="B136" s="65">
        <v>46168.0</v>
      </c>
      <c r="C136" s="67">
        <v>13000.0</v>
      </c>
      <c r="D136" s="67"/>
      <c r="E136" s="70" t="s">
        <v>278</v>
      </c>
      <c r="F136" s="70"/>
      <c r="G136" s="92"/>
    </row>
    <row r="137" ht="19.5" customHeight="1">
      <c r="A137" s="167"/>
      <c r="B137" s="57">
        <v>46168.0</v>
      </c>
      <c r="C137" s="58">
        <v>3173944.31</v>
      </c>
      <c r="D137" s="58"/>
      <c r="E137" s="59" t="s">
        <v>43</v>
      </c>
      <c r="F137" s="59" t="s">
        <v>44</v>
      </c>
      <c r="G137" s="95"/>
    </row>
    <row r="138" ht="19.5" customHeight="1">
      <c r="A138" s="167"/>
      <c r="B138" s="65">
        <v>46168.0</v>
      </c>
      <c r="C138" s="67">
        <v>7900.0</v>
      </c>
      <c r="D138" s="67"/>
      <c r="E138" s="70" t="s">
        <v>939</v>
      </c>
      <c r="F138" s="70"/>
      <c r="G138" s="92"/>
    </row>
    <row r="139" ht="19.5" customHeight="1">
      <c r="A139" s="167"/>
      <c r="B139" s="65">
        <v>46168.0</v>
      </c>
      <c r="C139" s="67">
        <v>5650.0</v>
      </c>
      <c r="D139" s="67"/>
      <c r="E139" s="70" t="s">
        <v>58</v>
      </c>
      <c r="F139" s="70"/>
      <c r="G139" s="92"/>
    </row>
    <row r="140" ht="19.5" customHeight="1">
      <c r="A140" s="167"/>
      <c r="B140" s="65">
        <v>46169.0</v>
      </c>
      <c r="C140" s="67">
        <v>16900.0</v>
      </c>
      <c r="D140" s="67"/>
      <c r="E140" s="70" t="s">
        <v>248</v>
      </c>
      <c r="F140" s="70"/>
      <c r="G140" s="92"/>
    </row>
    <row r="141" ht="19.5" customHeight="1">
      <c r="A141" s="254"/>
      <c r="B141" s="65">
        <v>46169.0</v>
      </c>
      <c r="C141" s="67">
        <v>4000.0</v>
      </c>
      <c r="D141" s="67"/>
      <c r="E141" s="70" t="s">
        <v>32</v>
      </c>
      <c r="F141" s="70"/>
      <c r="G141" s="92"/>
    </row>
    <row r="142" ht="30.0" customHeight="1">
      <c r="A142" s="176" t="s">
        <v>163</v>
      </c>
      <c r="B142" s="125"/>
      <c r="C142" s="152">
        <f t="shared" ref="C142:D142" si="3">SUM(C21:C141)</f>
        <v>9590863.38</v>
      </c>
      <c r="D142" s="152">
        <f t="shared" si="3"/>
        <v>21.96</v>
      </c>
      <c r="E142" s="134"/>
      <c r="F142" s="135"/>
    </row>
    <row r="143" ht="4.5" customHeight="1">
      <c r="A143" s="137"/>
      <c r="B143" s="133"/>
      <c r="C143" s="133"/>
      <c r="D143" s="133"/>
      <c r="E143" s="133"/>
      <c r="F143" s="133"/>
      <c r="G143" s="125"/>
    </row>
    <row r="144" ht="19.5" customHeight="1">
      <c r="A144" s="174" t="s">
        <v>172</v>
      </c>
      <c r="B144" s="272">
        <v>46084.0</v>
      </c>
      <c r="C144" s="273">
        <v>65986.66</v>
      </c>
      <c r="D144" s="274"/>
      <c r="E144" s="140" t="s">
        <v>941</v>
      </c>
      <c r="F144" s="140" t="s">
        <v>942</v>
      </c>
      <c r="G144" s="275" t="s">
        <v>179</v>
      </c>
    </row>
    <row r="145" ht="19.5" customHeight="1">
      <c r="A145" s="167"/>
      <c r="B145" s="272">
        <v>46118.0</v>
      </c>
      <c r="C145" s="273">
        <v>55636.2</v>
      </c>
      <c r="D145" s="276"/>
      <c r="E145" s="140" t="s">
        <v>943</v>
      </c>
      <c r="F145" s="140" t="s">
        <v>944</v>
      </c>
      <c r="G145" s="275" t="s">
        <v>179</v>
      </c>
    </row>
    <row r="146" ht="19.5" customHeight="1">
      <c r="A146" s="167"/>
      <c r="B146" s="272">
        <v>46123.0</v>
      </c>
      <c r="C146" s="273">
        <v>69999.66</v>
      </c>
      <c r="D146" s="276"/>
      <c r="E146" s="140" t="s">
        <v>945</v>
      </c>
      <c r="F146" s="140" t="s">
        <v>946</v>
      </c>
      <c r="G146" s="275" t="s">
        <v>179</v>
      </c>
    </row>
    <row r="147" ht="19.5" customHeight="1">
      <c r="A147" s="167"/>
      <c r="B147" s="272">
        <v>46137.0</v>
      </c>
      <c r="C147" s="273">
        <v>15900.0</v>
      </c>
      <c r="D147" s="276"/>
      <c r="E147" s="140" t="s">
        <v>947</v>
      </c>
      <c r="F147" s="140" t="s">
        <v>948</v>
      </c>
      <c r="G147" s="275" t="s">
        <v>179</v>
      </c>
    </row>
    <row r="148" ht="19.5" customHeight="1">
      <c r="A148" s="167"/>
      <c r="B148" s="272">
        <v>46142.0</v>
      </c>
      <c r="C148" s="273">
        <v>53495.0</v>
      </c>
      <c r="D148" s="276"/>
      <c r="E148" s="140" t="s">
        <v>467</v>
      </c>
      <c r="F148" s="140" t="s">
        <v>949</v>
      </c>
      <c r="G148" s="275" t="s">
        <v>192</v>
      </c>
    </row>
    <row r="149" ht="19.5" customHeight="1">
      <c r="A149" s="167"/>
      <c r="B149" s="272">
        <v>46143.0</v>
      </c>
      <c r="C149" s="273">
        <v>64194.0</v>
      </c>
      <c r="D149" s="276"/>
      <c r="E149" s="140" t="s">
        <v>467</v>
      </c>
      <c r="F149" s="140" t="s">
        <v>950</v>
      </c>
      <c r="G149" s="275" t="s">
        <v>192</v>
      </c>
    </row>
    <row r="150" ht="19.5" customHeight="1">
      <c r="A150" s="167"/>
      <c r="B150" s="272">
        <v>46143.0</v>
      </c>
      <c r="C150" s="273">
        <v>39999.94</v>
      </c>
      <c r="D150" s="276"/>
      <c r="E150" s="140" t="s">
        <v>41</v>
      </c>
      <c r="F150" s="140" t="s">
        <v>951</v>
      </c>
      <c r="G150" s="275" t="s">
        <v>179</v>
      </c>
    </row>
    <row r="151" ht="19.5" customHeight="1">
      <c r="A151" s="167"/>
      <c r="B151" s="272">
        <v>46144.0</v>
      </c>
      <c r="C151" s="273">
        <v>213980.0</v>
      </c>
      <c r="D151" s="276"/>
      <c r="E151" s="140" t="s">
        <v>467</v>
      </c>
      <c r="F151" s="140" t="s">
        <v>952</v>
      </c>
      <c r="G151" s="275" t="s">
        <v>192</v>
      </c>
    </row>
    <row r="152" ht="19.5" customHeight="1">
      <c r="A152" s="167"/>
      <c r="B152" s="272">
        <v>46144.0</v>
      </c>
      <c r="C152" s="273">
        <v>534950.0</v>
      </c>
      <c r="D152" s="276"/>
      <c r="E152" s="140" t="s">
        <v>328</v>
      </c>
      <c r="F152" s="140" t="s">
        <v>953</v>
      </c>
      <c r="G152" s="275" t="s">
        <v>192</v>
      </c>
    </row>
    <row r="153" ht="19.5" customHeight="1">
      <c r="A153" s="167"/>
      <c r="B153" s="272">
        <v>46144.0</v>
      </c>
      <c r="C153" s="273">
        <v>213980.0</v>
      </c>
      <c r="D153" s="276"/>
      <c r="E153" s="140" t="s">
        <v>954</v>
      </c>
      <c r="F153" s="140" t="s">
        <v>955</v>
      </c>
      <c r="G153" s="275" t="s">
        <v>192</v>
      </c>
    </row>
    <row r="154" ht="19.5" customHeight="1">
      <c r="A154" s="167"/>
      <c r="B154" s="272">
        <v>46144.0</v>
      </c>
      <c r="C154" s="273">
        <v>160485.0</v>
      </c>
      <c r="D154" s="276"/>
      <c r="E154" s="140" t="s">
        <v>328</v>
      </c>
      <c r="F154" s="140" t="s">
        <v>956</v>
      </c>
      <c r="G154" s="275" t="s">
        <v>192</v>
      </c>
    </row>
    <row r="155" ht="19.5" customHeight="1">
      <c r="A155" s="167"/>
      <c r="B155" s="272">
        <v>46144.0</v>
      </c>
      <c r="C155" s="273">
        <v>1000000.0</v>
      </c>
      <c r="D155" s="276"/>
      <c r="E155" s="140" t="s">
        <v>369</v>
      </c>
      <c r="F155" s="140" t="s">
        <v>957</v>
      </c>
      <c r="G155" s="275" t="s">
        <v>192</v>
      </c>
    </row>
    <row r="156" ht="19.5" customHeight="1">
      <c r="A156" s="167"/>
      <c r="B156" s="272">
        <v>46144.0</v>
      </c>
      <c r="C156" s="273">
        <v>44000.0</v>
      </c>
      <c r="D156" s="276"/>
      <c r="E156" s="140" t="s">
        <v>376</v>
      </c>
      <c r="F156" s="140" t="s">
        <v>958</v>
      </c>
      <c r="G156" s="275" t="s">
        <v>179</v>
      </c>
    </row>
    <row r="157" ht="19.5" customHeight="1">
      <c r="A157" s="167"/>
      <c r="B157" s="272">
        <v>46144.0</v>
      </c>
      <c r="C157" s="273">
        <v>100636.03</v>
      </c>
      <c r="D157" s="276"/>
      <c r="E157" s="140" t="s">
        <v>190</v>
      </c>
      <c r="F157" s="140" t="s">
        <v>204</v>
      </c>
      <c r="G157" s="275" t="s">
        <v>179</v>
      </c>
    </row>
    <row r="158" ht="19.5" customHeight="1">
      <c r="A158" s="167"/>
      <c r="B158" s="272">
        <v>46144.0</v>
      </c>
      <c r="C158" s="273">
        <v>120293.91</v>
      </c>
      <c r="D158" s="276"/>
      <c r="E158" s="140" t="s">
        <v>190</v>
      </c>
      <c r="F158" s="140" t="s">
        <v>204</v>
      </c>
      <c r="G158" s="275" t="s">
        <v>179</v>
      </c>
    </row>
    <row r="159" ht="19.5" customHeight="1">
      <c r="A159" s="167"/>
      <c r="B159" s="272">
        <v>46145.0</v>
      </c>
      <c r="C159" s="273">
        <v>64194.0</v>
      </c>
      <c r="D159" s="276"/>
      <c r="E159" s="140" t="s">
        <v>467</v>
      </c>
      <c r="F159" s="140" t="s">
        <v>959</v>
      </c>
      <c r="G159" s="275" t="s">
        <v>192</v>
      </c>
    </row>
    <row r="160" ht="19.5" customHeight="1">
      <c r="A160" s="167"/>
      <c r="B160" s="272">
        <v>46145.0</v>
      </c>
      <c r="C160" s="273">
        <v>641940.0</v>
      </c>
      <c r="D160" s="276"/>
      <c r="E160" s="140" t="s">
        <v>328</v>
      </c>
      <c r="F160" s="140" t="s">
        <v>960</v>
      </c>
      <c r="G160" s="275" t="s">
        <v>192</v>
      </c>
    </row>
    <row r="161" ht="19.5" customHeight="1">
      <c r="A161" s="167"/>
      <c r="B161" s="272">
        <v>46146.0</v>
      </c>
      <c r="C161" s="273">
        <v>128388.0</v>
      </c>
      <c r="D161" s="276"/>
      <c r="E161" s="140" t="s">
        <v>467</v>
      </c>
      <c r="F161" s="140" t="s">
        <v>961</v>
      </c>
      <c r="G161" s="275" t="s">
        <v>192</v>
      </c>
    </row>
    <row r="162" ht="19.5" customHeight="1">
      <c r="A162" s="167"/>
      <c r="B162" s="272">
        <v>46146.0</v>
      </c>
      <c r="C162" s="273">
        <v>320970.0</v>
      </c>
      <c r="D162" s="276"/>
      <c r="E162" s="140" t="s">
        <v>962</v>
      </c>
      <c r="F162" s="140" t="s">
        <v>963</v>
      </c>
      <c r="G162" s="275" t="s">
        <v>192</v>
      </c>
    </row>
    <row r="163" ht="19.5" customHeight="1">
      <c r="A163" s="167"/>
      <c r="B163" s="272">
        <v>46146.0</v>
      </c>
      <c r="C163" s="273">
        <v>53495.0</v>
      </c>
      <c r="D163" s="276"/>
      <c r="E163" s="140" t="s">
        <v>467</v>
      </c>
      <c r="F163" s="140" t="s">
        <v>964</v>
      </c>
      <c r="G163" s="275" t="s">
        <v>192</v>
      </c>
    </row>
    <row r="164" ht="19.5" customHeight="1">
      <c r="A164" s="167"/>
      <c r="B164" s="272">
        <v>46147.0</v>
      </c>
      <c r="C164" s="273">
        <v>289942.9</v>
      </c>
      <c r="D164" s="276"/>
      <c r="E164" s="140" t="s">
        <v>965</v>
      </c>
      <c r="F164" s="140" t="s">
        <v>966</v>
      </c>
      <c r="G164" s="275" t="s">
        <v>179</v>
      </c>
    </row>
    <row r="165" ht="19.5" customHeight="1">
      <c r="A165" s="167"/>
      <c r="B165" s="272">
        <v>46147.0</v>
      </c>
      <c r="C165" s="273">
        <v>15300.0</v>
      </c>
      <c r="D165" s="276"/>
      <c r="E165" s="140" t="s">
        <v>967</v>
      </c>
      <c r="F165" s="140" t="s">
        <v>968</v>
      </c>
      <c r="G165" s="275" t="s">
        <v>179</v>
      </c>
    </row>
    <row r="166" ht="19.5" customHeight="1">
      <c r="A166" s="167"/>
      <c r="B166" s="272">
        <v>46147.0</v>
      </c>
      <c r="C166" s="273">
        <v>39999.94</v>
      </c>
      <c r="D166" s="276"/>
      <c r="E166" s="140" t="s">
        <v>969</v>
      </c>
      <c r="F166" s="140" t="s">
        <v>951</v>
      </c>
      <c r="G166" s="275" t="s">
        <v>179</v>
      </c>
    </row>
    <row r="167" ht="19.5" customHeight="1">
      <c r="A167" s="167"/>
      <c r="B167" s="272">
        <v>46150.0</v>
      </c>
      <c r="C167" s="273">
        <v>14999.0</v>
      </c>
      <c r="D167" s="276"/>
      <c r="E167" s="140" t="s">
        <v>970</v>
      </c>
      <c r="F167" s="140" t="s">
        <v>971</v>
      </c>
      <c r="G167" s="275" t="s">
        <v>179</v>
      </c>
    </row>
    <row r="168" ht="19.5" customHeight="1">
      <c r="A168" s="167"/>
      <c r="B168" s="272">
        <v>46151.0</v>
      </c>
      <c r="C168" s="273">
        <v>136623.03</v>
      </c>
      <c r="D168" s="276"/>
      <c r="E168" s="140" t="s">
        <v>190</v>
      </c>
      <c r="F168" s="140" t="s">
        <v>204</v>
      </c>
      <c r="G168" s="275" t="s">
        <v>179</v>
      </c>
    </row>
    <row r="169" ht="19.5" customHeight="1">
      <c r="A169" s="167"/>
      <c r="B169" s="272">
        <v>46155.0</v>
      </c>
      <c r="C169" s="273">
        <v>63905.97</v>
      </c>
      <c r="D169" s="276"/>
      <c r="E169" s="140" t="s">
        <v>372</v>
      </c>
      <c r="F169" s="140" t="s">
        <v>972</v>
      </c>
      <c r="G169" s="275" t="s">
        <v>179</v>
      </c>
    </row>
    <row r="170" ht="19.5" customHeight="1">
      <c r="A170" s="167"/>
      <c r="B170" s="272">
        <v>46157.0</v>
      </c>
      <c r="C170" s="273"/>
      <c r="D170" s="276">
        <v>0.89</v>
      </c>
      <c r="E170" s="140" t="s">
        <v>973</v>
      </c>
      <c r="F170" s="140" t="s">
        <v>974</v>
      </c>
      <c r="G170" s="275" t="s">
        <v>179</v>
      </c>
    </row>
    <row r="171" ht="19.5" customHeight="1">
      <c r="A171" s="167"/>
      <c r="B171" s="272">
        <v>46158.0</v>
      </c>
      <c r="C171" s="273">
        <v>7000.0</v>
      </c>
      <c r="D171" s="276"/>
      <c r="E171" s="140" t="s">
        <v>975</v>
      </c>
      <c r="F171" s="140" t="s">
        <v>976</v>
      </c>
      <c r="G171" s="275" t="s">
        <v>179</v>
      </c>
    </row>
    <row r="172" ht="19.5" customHeight="1">
      <c r="A172" s="167"/>
      <c r="B172" s="272">
        <v>46158.0</v>
      </c>
      <c r="C172" s="273">
        <v>7000.0</v>
      </c>
      <c r="D172" s="276"/>
      <c r="E172" s="140" t="s">
        <v>975</v>
      </c>
      <c r="F172" s="140" t="s">
        <v>976</v>
      </c>
      <c r="G172" s="275" t="s">
        <v>179</v>
      </c>
    </row>
    <row r="173" ht="19.5" customHeight="1">
      <c r="A173" s="167"/>
      <c r="B173" s="272">
        <v>46158.0</v>
      </c>
      <c r="C173" s="273">
        <v>342700.0</v>
      </c>
      <c r="D173" s="276"/>
      <c r="E173" s="140" t="s">
        <v>977</v>
      </c>
      <c r="F173" s="140" t="s">
        <v>978</v>
      </c>
      <c r="G173" s="275" t="s">
        <v>179</v>
      </c>
    </row>
    <row r="174" ht="19.5" customHeight="1">
      <c r="A174" s="167"/>
      <c r="B174" s="272">
        <v>46159.0</v>
      </c>
      <c r="C174" s="273">
        <v>144550.93</v>
      </c>
      <c r="D174" s="276"/>
      <c r="E174" s="140" t="s">
        <v>190</v>
      </c>
      <c r="F174" s="140" t="s">
        <v>204</v>
      </c>
      <c r="G174" s="275" t="s">
        <v>179</v>
      </c>
    </row>
    <row r="175" ht="19.5" customHeight="1">
      <c r="A175" s="167"/>
      <c r="B175" s="272">
        <v>46160.0</v>
      </c>
      <c r="C175" s="273">
        <v>458167.98</v>
      </c>
      <c r="D175" s="276"/>
      <c r="E175" s="140" t="s">
        <v>149</v>
      </c>
      <c r="F175" s="140" t="s">
        <v>979</v>
      </c>
      <c r="G175" s="275" t="s">
        <v>192</v>
      </c>
    </row>
    <row r="176" ht="19.5" customHeight="1">
      <c r="A176" s="167"/>
      <c r="B176" s="272">
        <v>46161.0</v>
      </c>
      <c r="C176" s="273">
        <v>40000.0</v>
      </c>
      <c r="D176" s="276"/>
      <c r="E176" s="140" t="s">
        <v>202</v>
      </c>
      <c r="F176" s="140" t="s">
        <v>951</v>
      </c>
      <c r="G176" s="275" t="s">
        <v>179</v>
      </c>
    </row>
    <row r="177" ht="19.5" customHeight="1">
      <c r="A177" s="167"/>
      <c r="B177" s="272">
        <v>46162.0</v>
      </c>
      <c r="C177" s="273">
        <v>30000.0</v>
      </c>
      <c r="D177" s="276"/>
      <c r="E177" s="140" t="s">
        <v>202</v>
      </c>
      <c r="F177" s="140" t="s">
        <v>951</v>
      </c>
      <c r="G177" s="275" t="s">
        <v>179</v>
      </c>
    </row>
    <row r="178" ht="19.5" customHeight="1">
      <c r="A178" s="167"/>
      <c r="B178" s="272">
        <v>46163.0</v>
      </c>
      <c r="C178" s="273">
        <v>8000.0</v>
      </c>
      <c r="D178" s="276"/>
      <c r="E178" s="140" t="s">
        <v>975</v>
      </c>
      <c r="F178" s="140" t="s">
        <v>976</v>
      </c>
      <c r="G178" s="275" t="s">
        <v>179</v>
      </c>
    </row>
    <row r="179" ht="19.5" customHeight="1">
      <c r="A179" s="167"/>
      <c r="B179" s="272">
        <v>46164.0</v>
      </c>
      <c r="C179" s="273">
        <v>29999.97</v>
      </c>
      <c r="D179" s="276"/>
      <c r="E179" s="140" t="s">
        <v>41</v>
      </c>
      <c r="F179" s="140" t="s">
        <v>951</v>
      </c>
      <c r="G179" s="275" t="s">
        <v>179</v>
      </c>
    </row>
    <row r="180" ht="19.5" customHeight="1">
      <c r="A180" s="167"/>
      <c r="B180" s="272">
        <v>46164.0</v>
      </c>
      <c r="C180" s="273">
        <v>291267.79</v>
      </c>
      <c r="D180" s="276"/>
      <c r="E180" s="140" t="s">
        <v>344</v>
      </c>
      <c r="F180" s="140" t="s">
        <v>980</v>
      </c>
      <c r="G180" s="275" t="s">
        <v>981</v>
      </c>
    </row>
    <row r="181" ht="19.5" customHeight="1">
      <c r="A181" s="167"/>
      <c r="B181" s="272">
        <v>46165.0</v>
      </c>
      <c r="C181" s="273">
        <v>32699.97</v>
      </c>
      <c r="D181" s="276"/>
      <c r="E181" s="140" t="s">
        <v>41</v>
      </c>
      <c r="F181" s="140" t="s">
        <v>958</v>
      </c>
      <c r="G181" s="275" t="s">
        <v>179</v>
      </c>
    </row>
    <row r="182" ht="19.5" customHeight="1">
      <c r="A182" s="167"/>
      <c r="B182" s="272">
        <v>46165.0</v>
      </c>
      <c r="C182" s="273">
        <v>52000.0</v>
      </c>
      <c r="D182" s="276"/>
      <c r="E182" s="140" t="s">
        <v>153</v>
      </c>
      <c r="F182" s="140" t="s">
        <v>982</v>
      </c>
      <c r="G182" s="275" t="s">
        <v>981</v>
      </c>
    </row>
    <row r="183" ht="19.5" customHeight="1">
      <c r="A183" s="167"/>
      <c r="B183" s="272">
        <v>46168.0</v>
      </c>
      <c r="C183" s="273">
        <v>19500.0</v>
      </c>
      <c r="D183" s="276"/>
      <c r="E183" s="140" t="s">
        <v>422</v>
      </c>
      <c r="F183" s="140" t="s">
        <v>984</v>
      </c>
      <c r="G183" s="275" t="s">
        <v>179</v>
      </c>
    </row>
    <row r="184" ht="19.5" customHeight="1">
      <c r="A184" s="167"/>
      <c r="B184" s="272">
        <v>46168.0</v>
      </c>
      <c r="C184" s="273">
        <v>32699.97</v>
      </c>
      <c r="D184" s="273"/>
      <c r="E184" s="140" t="s">
        <v>41</v>
      </c>
      <c r="F184" s="140" t="s">
        <v>958</v>
      </c>
      <c r="G184" s="275" t="s">
        <v>179</v>
      </c>
    </row>
    <row r="185" ht="19.5" customHeight="1">
      <c r="A185" s="167"/>
      <c r="B185" s="272">
        <v>46168.0</v>
      </c>
      <c r="C185" s="273">
        <v>57752.99</v>
      </c>
      <c r="D185" s="273"/>
      <c r="E185" s="140" t="s">
        <v>190</v>
      </c>
      <c r="F185" s="140" t="s">
        <v>204</v>
      </c>
      <c r="G185" s="275" t="s">
        <v>179</v>
      </c>
    </row>
    <row r="186" ht="19.5" customHeight="1">
      <c r="A186" s="167"/>
      <c r="B186" s="272">
        <v>46169.0</v>
      </c>
      <c r="C186" s="273">
        <v>320970.0</v>
      </c>
      <c r="D186" s="273"/>
      <c r="E186" s="140" t="s">
        <v>328</v>
      </c>
      <c r="F186" s="140" t="s">
        <v>985</v>
      </c>
      <c r="G186" s="275" t="s">
        <v>192</v>
      </c>
    </row>
    <row r="187" ht="30.0" customHeight="1">
      <c r="A187" s="176" t="s">
        <v>163</v>
      </c>
      <c r="B187" s="125"/>
      <c r="C187" s="152">
        <f t="shared" ref="C187:D187" si="4">SUM(C144:C186)</f>
        <v>6397603.84</v>
      </c>
      <c r="D187" s="152">
        <f t="shared" si="4"/>
        <v>0.89</v>
      </c>
      <c r="E187" s="134"/>
      <c r="F187" s="135"/>
    </row>
    <row r="188" ht="4.5" customHeight="1">
      <c r="A188" s="137"/>
      <c r="B188" s="133"/>
      <c r="C188" s="133"/>
      <c r="D188" s="133"/>
      <c r="E188" s="133"/>
      <c r="F188" s="133"/>
      <c r="G188" s="125"/>
    </row>
    <row r="189" ht="19.5" customHeight="1">
      <c r="A189" s="174" t="s">
        <v>19</v>
      </c>
      <c r="B189" s="277">
        <v>45987.0</v>
      </c>
      <c r="C189" s="278">
        <v>50933.33</v>
      </c>
      <c r="D189" s="274"/>
      <c r="E189" s="185" t="s">
        <v>986</v>
      </c>
      <c r="F189" s="185" t="s">
        <v>250</v>
      </c>
      <c r="G189" s="279"/>
    </row>
    <row r="190" ht="19.5" customHeight="1">
      <c r="A190" s="167"/>
      <c r="B190" s="280">
        <v>46144.0</v>
      </c>
      <c r="C190" s="281">
        <v>695435.0</v>
      </c>
      <c r="D190" s="276"/>
      <c r="E190" s="84" t="s">
        <v>426</v>
      </c>
      <c r="F190" s="84" t="s">
        <v>987</v>
      </c>
      <c r="G190" s="282"/>
    </row>
    <row r="191" ht="19.5" customHeight="1">
      <c r="A191" s="167"/>
      <c r="B191" s="280">
        <v>46164.0</v>
      </c>
      <c r="C191" s="281">
        <v>280976.62</v>
      </c>
      <c r="D191" s="276"/>
      <c r="E191" s="84" t="s">
        <v>447</v>
      </c>
      <c r="F191" s="84" t="s">
        <v>988</v>
      </c>
      <c r="G191" s="282"/>
    </row>
    <row r="192" ht="19.5" customHeight="1">
      <c r="A192" s="167"/>
      <c r="B192" s="272">
        <v>46168.0</v>
      </c>
      <c r="C192" s="283">
        <v>600000.0</v>
      </c>
      <c r="D192" s="273"/>
      <c r="E192" s="140" t="s">
        <v>369</v>
      </c>
      <c r="F192" s="140" t="s">
        <v>329</v>
      </c>
      <c r="G192" s="275"/>
    </row>
    <row r="193" ht="30.0" customHeight="1">
      <c r="A193" s="176" t="s">
        <v>163</v>
      </c>
      <c r="B193" s="125"/>
      <c r="C193" s="152">
        <f t="shared" ref="C193:D193" si="5">SUM(C189:C192)</f>
        <v>1627344.95</v>
      </c>
      <c r="D193" s="152">
        <f t="shared" si="5"/>
        <v>0</v>
      </c>
      <c r="E193" s="177"/>
      <c r="F193" s="135"/>
      <c r="G193" s="178"/>
    </row>
    <row r="194" ht="4.5" customHeight="1">
      <c r="A194" s="137"/>
      <c r="B194" s="133"/>
      <c r="C194" s="133"/>
      <c r="D194" s="133"/>
      <c r="E194" s="133"/>
      <c r="F194" s="133"/>
      <c r="G194" s="125"/>
    </row>
    <row r="195" ht="19.5" customHeight="1">
      <c r="A195" s="174" t="s">
        <v>18</v>
      </c>
      <c r="B195" s="163">
        <v>46142.0</v>
      </c>
      <c r="C195" s="155">
        <v>30064.19</v>
      </c>
      <c r="D195" s="155"/>
      <c r="E195" s="158" t="s">
        <v>128</v>
      </c>
      <c r="F195" s="78" t="s">
        <v>989</v>
      </c>
      <c r="G195" s="165"/>
    </row>
    <row r="196" ht="19.5" customHeight="1">
      <c r="A196" s="167"/>
      <c r="B196" s="168">
        <v>46142.0</v>
      </c>
      <c r="C196" s="72">
        <v>17385.88</v>
      </c>
      <c r="D196" s="72"/>
      <c r="E196" s="75" t="s">
        <v>990</v>
      </c>
      <c r="F196" s="284" t="s">
        <v>991</v>
      </c>
      <c r="G196" s="169"/>
    </row>
    <row r="197" ht="19.5" customHeight="1">
      <c r="A197" s="167"/>
      <c r="B197" s="168">
        <v>46142.0</v>
      </c>
      <c r="C197" s="72">
        <v>2329.0</v>
      </c>
      <c r="D197" s="72"/>
      <c r="E197" s="75" t="s">
        <v>52</v>
      </c>
      <c r="F197" s="78" t="s">
        <v>992</v>
      </c>
      <c r="G197" s="169"/>
    </row>
    <row r="198" ht="19.5" customHeight="1">
      <c r="A198" s="167"/>
      <c r="B198" s="168">
        <v>46142.0</v>
      </c>
      <c r="C198" s="72">
        <v>7275.0</v>
      </c>
      <c r="D198" s="72"/>
      <c r="E198" s="75" t="s">
        <v>52</v>
      </c>
      <c r="F198" s="78" t="s">
        <v>831</v>
      </c>
      <c r="G198" s="169"/>
    </row>
    <row r="199" ht="19.5" customHeight="1">
      <c r="A199" s="167"/>
      <c r="B199" s="168">
        <v>46144.0</v>
      </c>
      <c r="C199" s="72">
        <v>5858.74</v>
      </c>
      <c r="D199" s="72"/>
      <c r="E199" s="75" t="s">
        <v>993</v>
      </c>
      <c r="F199" s="78" t="s">
        <v>826</v>
      </c>
      <c r="G199" s="169"/>
    </row>
    <row r="200" ht="19.5" customHeight="1">
      <c r="A200" s="167"/>
      <c r="B200" s="168">
        <v>46149.0</v>
      </c>
      <c r="C200" s="72">
        <v>12940.44</v>
      </c>
      <c r="D200" s="72"/>
      <c r="E200" s="75" t="s">
        <v>994</v>
      </c>
      <c r="F200" s="78" t="s">
        <v>805</v>
      </c>
      <c r="G200" s="169"/>
    </row>
    <row r="201" ht="19.5" customHeight="1">
      <c r="A201" s="167"/>
      <c r="B201" s="168">
        <v>46149.0</v>
      </c>
      <c r="C201" s="72">
        <v>59550.63</v>
      </c>
      <c r="D201" s="72"/>
      <c r="E201" s="75" t="s">
        <v>542</v>
      </c>
      <c r="F201" s="78" t="s">
        <v>995</v>
      </c>
      <c r="G201" s="169"/>
    </row>
    <row r="202" ht="19.5" customHeight="1">
      <c r="A202" s="167"/>
      <c r="B202" s="168">
        <v>46149.0</v>
      </c>
      <c r="C202" s="72">
        <v>169999.0</v>
      </c>
      <c r="D202" s="72"/>
      <c r="E202" s="75" t="s">
        <v>996</v>
      </c>
      <c r="F202" s="78" t="s">
        <v>997</v>
      </c>
      <c r="G202" s="169"/>
    </row>
    <row r="203" ht="19.5" customHeight="1">
      <c r="A203" s="167"/>
      <c r="B203" s="168">
        <v>46150.0</v>
      </c>
      <c r="C203" s="72">
        <v>53303.25</v>
      </c>
      <c r="D203" s="72"/>
      <c r="E203" s="75" t="s">
        <v>36</v>
      </c>
      <c r="F203" s="78" t="s">
        <v>999</v>
      </c>
      <c r="G203" s="169"/>
    </row>
    <row r="204" ht="19.5" customHeight="1">
      <c r="A204" s="167"/>
      <c r="B204" s="168">
        <v>46150.0</v>
      </c>
      <c r="C204" s="72">
        <v>18399.0</v>
      </c>
      <c r="D204" s="72"/>
      <c r="E204" s="75" t="s">
        <v>635</v>
      </c>
      <c r="F204" s="78" t="s">
        <v>805</v>
      </c>
      <c r="G204" s="169"/>
    </row>
    <row r="205" ht="19.5" customHeight="1">
      <c r="A205" s="167"/>
      <c r="B205" s="168">
        <v>46150.0</v>
      </c>
      <c r="C205" s="72">
        <v>19541.0</v>
      </c>
      <c r="D205" s="72"/>
      <c r="E205" s="75" t="s">
        <v>635</v>
      </c>
      <c r="F205" s="78" t="s">
        <v>831</v>
      </c>
      <c r="G205" s="169"/>
    </row>
    <row r="206" ht="19.5" customHeight="1">
      <c r="A206" s="167"/>
      <c r="B206" s="168">
        <v>46150.0</v>
      </c>
      <c r="C206" s="72">
        <v>14066.0</v>
      </c>
      <c r="D206" s="72"/>
      <c r="E206" s="75" t="s">
        <v>635</v>
      </c>
      <c r="F206" s="78" t="s">
        <v>831</v>
      </c>
      <c r="G206" s="169"/>
    </row>
    <row r="207" ht="19.5" customHeight="1">
      <c r="A207" s="167"/>
      <c r="B207" s="168">
        <v>46151.0</v>
      </c>
      <c r="C207" s="72">
        <v>11768.9</v>
      </c>
      <c r="D207" s="72"/>
      <c r="E207" s="75" t="s">
        <v>529</v>
      </c>
      <c r="F207" s="78" t="s">
        <v>831</v>
      </c>
      <c r="G207" s="169"/>
    </row>
    <row r="208" ht="19.5" customHeight="1">
      <c r="A208" s="167"/>
      <c r="B208" s="168">
        <v>46151.0</v>
      </c>
      <c r="C208" s="72">
        <v>26280.0</v>
      </c>
      <c r="D208" s="72"/>
      <c r="E208" s="75" t="s">
        <v>635</v>
      </c>
      <c r="F208" s="78" t="s">
        <v>1000</v>
      </c>
      <c r="G208" s="169"/>
    </row>
    <row r="209" ht="21.0" customHeight="1">
      <c r="A209" s="167"/>
      <c r="B209" s="168">
        <v>46152.0</v>
      </c>
      <c r="C209" s="72">
        <v>22986.25</v>
      </c>
      <c r="D209" s="72"/>
      <c r="E209" s="75" t="s">
        <v>36</v>
      </c>
      <c r="F209" s="78" t="s">
        <v>1001</v>
      </c>
      <c r="G209" s="169"/>
    </row>
    <row r="210" ht="19.5" customHeight="1">
      <c r="A210" s="167"/>
      <c r="B210" s="168">
        <v>46152.0</v>
      </c>
      <c r="C210" s="72">
        <v>106990.0</v>
      </c>
      <c r="D210" s="72"/>
      <c r="E210" s="75" t="s">
        <v>521</v>
      </c>
      <c r="F210" s="78" t="s">
        <v>1002</v>
      </c>
      <c r="G210" s="169"/>
    </row>
    <row r="211" ht="19.5" customHeight="1">
      <c r="A211" s="167"/>
      <c r="B211" s="168">
        <v>46153.0</v>
      </c>
      <c r="C211" s="72">
        <v>11949.0</v>
      </c>
      <c r="D211" s="72"/>
      <c r="E211" s="75" t="s">
        <v>635</v>
      </c>
      <c r="F211" s="78" t="s">
        <v>1000</v>
      </c>
      <c r="G211" s="169"/>
    </row>
    <row r="212" ht="19.5" customHeight="1">
      <c r="A212" s="167"/>
      <c r="B212" s="168">
        <v>46153.0</v>
      </c>
      <c r="C212" s="72">
        <v>129997.55</v>
      </c>
      <c r="D212" s="72"/>
      <c r="E212" s="89" t="s">
        <v>95</v>
      </c>
      <c r="F212" s="78" t="s">
        <v>1004</v>
      </c>
      <c r="G212" s="169"/>
    </row>
    <row r="213" ht="19.5" customHeight="1">
      <c r="A213" s="167"/>
      <c r="B213" s="168">
        <v>46154.0</v>
      </c>
      <c r="C213" s="72">
        <v>266516.25</v>
      </c>
      <c r="D213" s="72"/>
      <c r="E213" s="75" t="s">
        <v>36</v>
      </c>
      <c r="F213" s="78" t="s">
        <v>1005</v>
      </c>
      <c r="G213" s="169"/>
    </row>
    <row r="214" ht="19.5" customHeight="1">
      <c r="A214" s="167"/>
      <c r="B214" s="168">
        <v>46154.0</v>
      </c>
      <c r="C214" s="72">
        <v>21879.0</v>
      </c>
      <c r="D214" s="72"/>
      <c r="E214" s="75" t="s">
        <v>36</v>
      </c>
      <c r="F214" s="78" t="s">
        <v>1006</v>
      </c>
      <c r="G214" s="169"/>
    </row>
    <row r="215" ht="19.5" customHeight="1">
      <c r="A215" s="167"/>
      <c r="B215" s="168">
        <v>46154.0</v>
      </c>
      <c r="C215" s="72">
        <v>74967.0</v>
      </c>
      <c r="D215" s="72"/>
      <c r="E215" s="75" t="s">
        <v>36</v>
      </c>
      <c r="F215" s="78" t="s">
        <v>1008</v>
      </c>
      <c r="G215" s="169"/>
    </row>
    <row r="216" ht="19.5" customHeight="1">
      <c r="A216" s="167"/>
      <c r="B216" s="168">
        <v>46154.0</v>
      </c>
      <c r="C216" s="72">
        <v>6872.0</v>
      </c>
      <c r="D216" s="72"/>
      <c r="E216" s="75" t="s">
        <v>635</v>
      </c>
      <c r="F216" s="78" t="s">
        <v>1009</v>
      </c>
      <c r="G216" s="169"/>
    </row>
    <row r="217" ht="19.5" customHeight="1">
      <c r="A217" s="167"/>
      <c r="B217" s="168">
        <v>46155.0</v>
      </c>
      <c r="C217" s="72">
        <v>41860.0</v>
      </c>
      <c r="D217" s="72"/>
      <c r="E217" s="75" t="s">
        <v>36</v>
      </c>
      <c r="F217" s="78" t="s">
        <v>1011</v>
      </c>
      <c r="G217" s="169"/>
    </row>
    <row r="218" ht="19.5" customHeight="1">
      <c r="A218" s="167"/>
      <c r="B218" s="168">
        <v>46155.0</v>
      </c>
      <c r="C218" s="72">
        <v>60060.0</v>
      </c>
      <c r="D218" s="72"/>
      <c r="E218" s="75" t="s">
        <v>36</v>
      </c>
      <c r="F218" s="78" t="s">
        <v>724</v>
      </c>
      <c r="G218" s="169"/>
    </row>
    <row r="219" ht="19.5" customHeight="1">
      <c r="A219" s="167"/>
      <c r="B219" s="168">
        <v>46155.0</v>
      </c>
      <c r="C219" s="72">
        <v>11661.91</v>
      </c>
      <c r="D219" s="72"/>
      <c r="E219" s="75" t="s">
        <v>1012</v>
      </c>
      <c r="F219" s="78" t="s">
        <v>1013</v>
      </c>
      <c r="G219" s="169"/>
    </row>
    <row r="220" ht="19.5" customHeight="1">
      <c r="A220" s="167"/>
      <c r="B220" s="168">
        <v>46155.0</v>
      </c>
      <c r="C220" s="72">
        <v>11180.46</v>
      </c>
      <c r="D220" s="72"/>
      <c r="E220" s="75" t="s">
        <v>1012</v>
      </c>
      <c r="F220" s="78" t="s">
        <v>1015</v>
      </c>
      <c r="G220" s="169"/>
    </row>
    <row r="221" ht="19.5" customHeight="1">
      <c r="A221" s="167"/>
      <c r="B221" s="168">
        <v>46155.0</v>
      </c>
      <c r="C221" s="72">
        <v>16957.92</v>
      </c>
      <c r="D221" s="72"/>
      <c r="E221" s="75" t="s">
        <v>529</v>
      </c>
      <c r="F221" s="78" t="s">
        <v>1016</v>
      </c>
      <c r="G221" s="169"/>
    </row>
    <row r="222" ht="19.5" customHeight="1">
      <c r="A222" s="167"/>
      <c r="B222" s="168">
        <v>46155.0</v>
      </c>
      <c r="C222" s="72">
        <v>72218.25</v>
      </c>
      <c r="D222" s="72"/>
      <c r="E222" s="75" t="s">
        <v>350</v>
      </c>
      <c r="F222" s="78" t="s">
        <v>1018</v>
      </c>
      <c r="G222" s="169"/>
    </row>
    <row r="223" ht="19.5" customHeight="1">
      <c r="A223" s="167"/>
      <c r="B223" s="168">
        <v>46155.0</v>
      </c>
      <c r="C223" s="72">
        <v>32900.0</v>
      </c>
      <c r="D223" s="72"/>
      <c r="E223" s="75" t="s">
        <v>1020</v>
      </c>
      <c r="F223" s="78" t="s">
        <v>1021</v>
      </c>
      <c r="G223" s="169"/>
    </row>
    <row r="224" ht="19.5" customHeight="1">
      <c r="A224" s="167"/>
      <c r="B224" s="168">
        <v>46155.0</v>
      </c>
      <c r="C224" s="189">
        <v>-23800.0</v>
      </c>
      <c r="D224" s="72"/>
      <c r="E224" s="75" t="s">
        <v>36</v>
      </c>
      <c r="F224" s="78" t="s">
        <v>1024</v>
      </c>
      <c r="G224" s="169"/>
    </row>
    <row r="225" ht="19.5" customHeight="1">
      <c r="A225" s="167"/>
      <c r="B225" s="168">
        <v>46158.0</v>
      </c>
      <c r="C225" s="72">
        <v>17901.57</v>
      </c>
      <c r="D225" s="72"/>
      <c r="E225" s="75" t="s">
        <v>471</v>
      </c>
      <c r="F225" s="78" t="s">
        <v>634</v>
      </c>
      <c r="G225" s="169"/>
    </row>
    <row r="226" ht="19.5" customHeight="1">
      <c r="A226" s="167"/>
      <c r="B226" s="168">
        <v>46159.0</v>
      </c>
      <c r="C226" s="72">
        <v>46421.48</v>
      </c>
      <c r="D226" s="72"/>
      <c r="E226" s="75" t="s">
        <v>1026</v>
      </c>
      <c r="F226" s="78" t="s">
        <v>1027</v>
      </c>
      <c r="G226" s="169"/>
    </row>
    <row r="227" ht="19.5" customHeight="1">
      <c r="A227" s="167"/>
      <c r="B227" s="168">
        <v>46160.0</v>
      </c>
      <c r="C227" s="72">
        <v>15268.0</v>
      </c>
      <c r="D227" s="72"/>
      <c r="E227" s="75" t="s">
        <v>52</v>
      </c>
      <c r="F227" s="78" t="s">
        <v>1029</v>
      </c>
      <c r="G227" s="169"/>
    </row>
    <row r="228" ht="19.5" customHeight="1">
      <c r="A228" s="167"/>
      <c r="B228" s="168">
        <v>46161.0</v>
      </c>
      <c r="C228" s="72">
        <v>9278.0</v>
      </c>
      <c r="D228" s="72"/>
      <c r="E228" s="75" t="s">
        <v>52</v>
      </c>
      <c r="F228" s="78" t="s">
        <v>1030</v>
      </c>
      <c r="G228" s="169"/>
    </row>
    <row r="229" ht="19.5" customHeight="1">
      <c r="A229" s="167"/>
      <c r="B229" s="168">
        <v>46163.0</v>
      </c>
      <c r="C229" s="72">
        <v>96525.0</v>
      </c>
      <c r="D229" s="72"/>
      <c r="E229" s="75" t="s">
        <v>36</v>
      </c>
      <c r="F229" s="78" t="s">
        <v>516</v>
      </c>
      <c r="G229" s="169"/>
    </row>
    <row r="230" ht="19.5" customHeight="1">
      <c r="A230" s="167"/>
      <c r="B230" s="168">
        <v>46163.0</v>
      </c>
      <c r="C230" s="72">
        <v>125499.27</v>
      </c>
      <c r="D230" s="72"/>
      <c r="E230" s="75" t="s">
        <v>128</v>
      </c>
      <c r="F230" s="78" t="s">
        <v>1034</v>
      </c>
      <c r="G230" s="169"/>
    </row>
    <row r="231" ht="19.5" customHeight="1">
      <c r="A231" s="167"/>
      <c r="B231" s="168">
        <v>46163.0</v>
      </c>
      <c r="C231" s="72">
        <v>10699.0</v>
      </c>
      <c r="D231" s="72"/>
      <c r="E231" s="75" t="s">
        <v>962</v>
      </c>
      <c r="F231" s="78" t="s">
        <v>1036</v>
      </c>
      <c r="G231" s="169"/>
    </row>
    <row r="232" ht="19.5" customHeight="1">
      <c r="A232" s="167"/>
      <c r="B232" s="168">
        <v>46164.0</v>
      </c>
      <c r="C232" s="72">
        <v>55770.0</v>
      </c>
      <c r="D232" s="72"/>
      <c r="E232" s="75" t="s">
        <v>36</v>
      </c>
      <c r="F232" s="78" t="s">
        <v>1039</v>
      </c>
      <c r="G232" s="169"/>
    </row>
    <row r="233" ht="19.5" customHeight="1">
      <c r="A233" s="167"/>
      <c r="B233" s="168">
        <v>46164.0</v>
      </c>
      <c r="C233" s="72">
        <v>30361.0</v>
      </c>
      <c r="D233" s="72"/>
      <c r="E233" s="75" t="s">
        <v>52</v>
      </c>
      <c r="F233" s="78" t="s">
        <v>1042</v>
      </c>
      <c r="G233" s="169"/>
    </row>
    <row r="234" ht="19.5" customHeight="1">
      <c r="A234" s="167"/>
      <c r="B234" s="168">
        <v>46164.0</v>
      </c>
      <c r="C234" s="72"/>
      <c r="D234" s="72">
        <v>9.99</v>
      </c>
      <c r="E234" s="75" t="s">
        <v>1045</v>
      </c>
      <c r="F234" s="78" t="s">
        <v>321</v>
      </c>
      <c r="G234" s="169"/>
    </row>
    <row r="235" ht="19.5" customHeight="1">
      <c r="A235" s="167"/>
      <c r="B235" s="168">
        <v>46165.0</v>
      </c>
      <c r="C235" s="72">
        <v>22757.0</v>
      </c>
      <c r="D235" s="72"/>
      <c r="E235" s="75" t="s">
        <v>52</v>
      </c>
      <c r="F235" s="78" t="s">
        <v>1048</v>
      </c>
      <c r="G235" s="169"/>
    </row>
    <row r="236" ht="19.5" customHeight="1">
      <c r="A236" s="167"/>
      <c r="B236" s="168">
        <v>46166.0</v>
      </c>
      <c r="C236" s="72">
        <v>93007.0</v>
      </c>
      <c r="D236" s="72"/>
      <c r="E236" s="75" t="s">
        <v>935</v>
      </c>
      <c r="F236" s="78" t="s">
        <v>1050</v>
      </c>
      <c r="G236" s="169"/>
    </row>
    <row r="237" ht="19.5" customHeight="1">
      <c r="A237" s="167"/>
      <c r="B237" s="168">
        <v>46168.0</v>
      </c>
      <c r="C237" s="72">
        <v>80973.75</v>
      </c>
      <c r="D237" s="72"/>
      <c r="E237" s="75" t="s">
        <v>36</v>
      </c>
      <c r="F237" s="78" t="s">
        <v>1053</v>
      </c>
      <c r="G237" s="169"/>
    </row>
    <row r="238" ht="19.5" customHeight="1">
      <c r="A238" s="167"/>
      <c r="B238" s="168">
        <v>46168.0</v>
      </c>
      <c r="C238" s="72">
        <v>108002.0</v>
      </c>
      <c r="D238" s="58"/>
      <c r="E238" s="75" t="s">
        <v>935</v>
      </c>
      <c r="F238" s="78" t="s">
        <v>1055</v>
      </c>
      <c r="G238" s="169"/>
    </row>
    <row r="239" ht="19.5" customHeight="1">
      <c r="A239" s="167"/>
      <c r="B239" s="168">
        <v>46170.0</v>
      </c>
      <c r="C239" s="72">
        <v>181883.0</v>
      </c>
      <c r="D239" s="58"/>
      <c r="E239" s="75" t="s">
        <v>471</v>
      </c>
      <c r="F239" s="78" t="s">
        <v>1056</v>
      </c>
      <c r="G239" s="169"/>
    </row>
    <row r="240" ht="30.0" customHeight="1">
      <c r="A240" s="176" t="s">
        <v>163</v>
      </c>
      <c r="B240" s="125"/>
      <c r="C240" s="152">
        <f t="shared" ref="C240:D240" si="6">SUM(C195:C239)</f>
        <v>2208302.69</v>
      </c>
      <c r="D240" s="152">
        <f t="shared" si="6"/>
        <v>9.99</v>
      </c>
      <c r="E240" s="134"/>
      <c r="F240" s="211"/>
    </row>
    <row r="241" ht="4.5" customHeight="1">
      <c r="A241" s="137"/>
      <c r="B241" s="133"/>
      <c r="C241" s="133"/>
      <c r="D241" s="133"/>
      <c r="E241" s="133"/>
      <c r="F241" s="133"/>
      <c r="G241" s="125"/>
    </row>
    <row r="242" ht="19.5" customHeight="1">
      <c r="A242" s="174" t="s">
        <v>335</v>
      </c>
      <c r="B242" s="157">
        <v>46142.0</v>
      </c>
      <c r="C242" s="155">
        <v>13300.0</v>
      </c>
      <c r="D242" s="155"/>
      <c r="E242" s="158" t="s">
        <v>390</v>
      </c>
      <c r="F242" s="59" t="s">
        <v>1075</v>
      </c>
      <c r="G242" s="252"/>
    </row>
    <row r="243" ht="19.5" customHeight="1">
      <c r="A243" s="167"/>
      <c r="B243" s="146">
        <v>46142.0</v>
      </c>
      <c r="C243" s="72">
        <v>9900.0</v>
      </c>
      <c r="D243" s="72"/>
      <c r="E243" s="59" t="s">
        <v>613</v>
      </c>
      <c r="F243" s="59"/>
      <c r="G243" s="252"/>
    </row>
    <row r="244" ht="19.5" customHeight="1">
      <c r="A244" s="167"/>
      <c r="B244" s="146">
        <v>46144.0</v>
      </c>
      <c r="C244" s="72">
        <v>47300.0</v>
      </c>
      <c r="D244" s="72"/>
      <c r="E244" s="75" t="s">
        <v>609</v>
      </c>
      <c r="F244" s="59" t="s">
        <v>1078</v>
      </c>
      <c r="G244" s="252"/>
    </row>
    <row r="245" ht="19.5" customHeight="1">
      <c r="A245" s="167"/>
      <c r="B245" s="146">
        <v>46145.0</v>
      </c>
      <c r="C245" s="72">
        <v>97055.0</v>
      </c>
      <c r="D245" s="72"/>
      <c r="E245" s="75" t="s">
        <v>282</v>
      </c>
      <c r="F245" s="59" t="s">
        <v>366</v>
      </c>
      <c r="G245" s="252"/>
    </row>
    <row r="246" ht="19.5" customHeight="1">
      <c r="A246" s="167"/>
      <c r="B246" s="146">
        <v>46146.0</v>
      </c>
      <c r="C246" s="72">
        <v>22800.0</v>
      </c>
      <c r="D246" s="72"/>
      <c r="E246" s="75" t="s">
        <v>151</v>
      </c>
      <c r="F246" s="59" t="s">
        <v>1080</v>
      </c>
      <c r="G246" s="252"/>
    </row>
    <row r="247" ht="19.5" customHeight="1">
      <c r="A247" s="167"/>
      <c r="B247" s="146">
        <v>46146.0</v>
      </c>
      <c r="C247" s="72">
        <v>153105.11</v>
      </c>
      <c r="D247" s="72"/>
      <c r="E247" s="75" t="s">
        <v>338</v>
      </c>
      <c r="F247" s="59" t="s">
        <v>776</v>
      </c>
      <c r="G247" s="252"/>
    </row>
    <row r="248" ht="19.5" customHeight="1">
      <c r="A248" s="167"/>
      <c r="B248" s="146">
        <v>46147.0</v>
      </c>
      <c r="C248" s="72">
        <v>18000.0</v>
      </c>
      <c r="D248" s="72"/>
      <c r="E248" s="75" t="s">
        <v>151</v>
      </c>
      <c r="F248" s="59" t="s">
        <v>728</v>
      </c>
      <c r="G248" s="252"/>
    </row>
    <row r="249" ht="19.5" customHeight="1">
      <c r="A249" s="167"/>
      <c r="B249" s="146">
        <v>46147.0</v>
      </c>
      <c r="C249" s="72">
        <v>395.0</v>
      </c>
      <c r="D249" s="72"/>
      <c r="E249" s="75" t="s">
        <v>635</v>
      </c>
      <c r="F249" s="59"/>
      <c r="G249" s="252"/>
    </row>
    <row r="250" ht="19.5" customHeight="1">
      <c r="A250" s="167"/>
      <c r="B250" s="146">
        <v>46147.0</v>
      </c>
      <c r="C250" s="72">
        <v>6378.0</v>
      </c>
      <c r="D250" s="72"/>
      <c r="E250" s="75" t="s">
        <v>635</v>
      </c>
      <c r="F250" s="75"/>
      <c r="G250" s="242"/>
    </row>
    <row r="251" ht="19.5" customHeight="1">
      <c r="A251" s="167"/>
      <c r="B251" s="146">
        <v>46147.0</v>
      </c>
      <c r="C251" s="72">
        <v>6989.0</v>
      </c>
      <c r="D251" s="72"/>
      <c r="E251" s="75" t="s">
        <v>635</v>
      </c>
      <c r="F251" s="75"/>
      <c r="G251" s="242"/>
    </row>
    <row r="252" ht="19.5" customHeight="1">
      <c r="A252" s="167"/>
      <c r="B252" s="146">
        <v>46147.0</v>
      </c>
      <c r="C252" s="72">
        <v>7901.0</v>
      </c>
      <c r="D252" s="72"/>
      <c r="E252" s="75" t="s">
        <v>635</v>
      </c>
      <c r="F252" s="75"/>
      <c r="G252" s="242"/>
    </row>
    <row r="253" ht="19.5" customHeight="1">
      <c r="A253" s="167"/>
      <c r="B253" s="146">
        <v>46148.0</v>
      </c>
      <c r="C253" s="72">
        <v>11000.0</v>
      </c>
      <c r="D253" s="72"/>
      <c r="E253" s="75" t="s">
        <v>1090</v>
      </c>
      <c r="F253" s="75" t="s">
        <v>1092</v>
      </c>
      <c r="G253" s="242"/>
    </row>
    <row r="254" ht="19.5" customHeight="1">
      <c r="A254" s="167"/>
      <c r="B254" s="146">
        <v>46148.0</v>
      </c>
      <c r="C254" s="72">
        <v>36400.0</v>
      </c>
      <c r="D254" s="72"/>
      <c r="E254" s="75" t="s">
        <v>338</v>
      </c>
      <c r="F254" s="75"/>
      <c r="G254" s="242"/>
    </row>
    <row r="255" ht="19.5" customHeight="1">
      <c r="A255" s="167"/>
      <c r="B255" s="146">
        <v>46149.0</v>
      </c>
      <c r="C255" s="72">
        <v>6900.0</v>
      </c>
      <c r="D255" s="72"/>
      <c r="E255" s="75" t="s">
        <v>613</v>
      </c>
      <c r="F255" s="75" t="s">
        <v>1095</v>
      </c>
      <c r="G255" s="242"/>
    </row>
    <row r="256" ht="19.5" customHeight="1">
      <c r="A256" s="167"/>
      <c r="B256" s="146">
        <v>46150.0</v>
      </c>
      <c r="C256" s="72">
        <v>12100.0</v>
      </c>
      <c r="D256" s="72"/>
      <c r="E256" s="75" t="s">
        <v>1098</v>
      </c>
      <c r="F256" s="75"/>
      <c r="G256" s="242"/>
    </row>
    <row r="257" ht="19.5" customHeight="1">
      <c r="A257" s="167"/>
      <c r="B257" s="146">
        <v>46150.0</v>
      </c>
      <c r="C257" s="72">
        <v>15700.0</v>
      </c>
      <c r="D257" s="72"/>
      <c r="E257" s="75" t="s">
        <v>355</v>
      </c>
      <c r="F257" s="75" t="s">
        <v>765</v>
      </c>
      <c r="G257" s="242"/>
    </row>
    <row r="258" ht="19.5" customHeight="1">
      <c r="A258" s="167"/>
      <c r="B258" s="146">
        <v>46153.0</v>
      </c>
      <c r="C258" s="72">
        <v>142009.0</v>
      </c>
      <c r="D258" s="72"/>
      <c r="E258" s="75" t="s">
        <v>935</v>
      </c>
      <c r="F258" s="75" t="s">
        <v>637</v>
      </c>
      <c r="G258" s="242"/>
    </row>
    <row r="259" ht="19.5" customHeight="1">
      <c r="A259" s="167"/>
      <c r="B259" s="146">
        <v>46153.0</v>
      </c>
      <c r="C259" s="72">
        <v>15300.0</v>
      </c>
      <c r="D259" s="72"/>
      <c r="E259" s="75" t="s">
        <v>785</v>
      </c>
      <c r="F259" s="75" t="s">
        <v>1102</v>
      </c>
      <c r="G259" s="242"/>
    </row>
    <row r="260" ht="19.5" customHeight="1">
      <c r="A260" s="167"/>
      <c r="B260" s="146">
        <v>46154.0</v>
      </c>
      <c r="C260" s="72">
        <v>21804.0</v>
      </c>
      <c r="D260" s="72"/>
      <c r="E260" s="75" t="s">
        <v>298</v>
      </c>
      <c r="F260" s="75"/>
      <c r="G260" s="242"/>
    </row>
    <row r="261" ht="19.5" customHeight="1">
      <c r="A261" s="167"/>
      <c r="B261" s="57">
        <v>46154.0</v>
      </c>
      <c r="C261" s="58">
        <v>21900.0</v>
      </c>
      <c r="D261" s="58"/>
      <c r="E261" s="59" t="s">
        <v>609</v>
      </c>
      <c r="F261" s="59" t="s">
        <v>1105</v>
      </c>
      <c r="G261" s="252"/>
    </row>
    <row r="262" ht="19.5" customHeight="1">
      <c r="A262" s="167"/>
      <c r="B262" s="57">
        <v>46154.0</v>
      </c>
      <c r="C262" s="58">
        <v>7000.0</v>
      </c>
      <c r="D262" s="58"/>
      <c r="E262" s="59" t="s">
        <v>785</v>
      </c>
      <c r="F262" s="59" t="s">
        <v>1107</v>
      </c>
      <c r="G262" s="252"/>
    </row>
    <row r="263" ht="19.5" customHeight="1">
      <c r="A263" s="167"/>
      <c r="B263" s="57">
        <v>46154.0</v>
      </c>
      <c r="C263" s="58">
        <v>4700.0</v>
      </c>
      <c r="D263" s="58"/>
      <c r="E263" s="59" t="s">
        <v>785</v>
      </c>
      <c r="F263" s="59" t="s">
        <v>1109</v>
      </c>
      <c r="G263" s="252"/>
    </row>
    <row r="264" ht="19.5" customHeight="1">
      <c r="A264" s="167"/>
      <c r="B264" s="57">
        <v>46154.0</v>
      </c>
      <c r="C264" s="58">
        <v>10000.0</v>
      </c>
      <c r="D264" s="58"/>
      <c r="E264" s="59" t="s">
        <v>785</v>
      </c>
      <c r="F264" s="59"/>
      <c r="G264" s="252"/>
    </row>
    <row r="265" ht="19.5" customHeight="1">
      <c r="A265" s="167"/>
      <c r="B265" s="57">
        <v>46154.0</v>
      </c>
      <c r="C265" s="58">
        <v>8200.0</v>
      </c>
      <c r="D265" s="58"/>
      <c r="E265" s="59" t="s">
        <v>613</v>
      </c>
      <c r="F265" s="70" t="s">
        <v>1112</v>
      </c>
      <c r="G265" s="252"/>
    </row>
    <row r="266" ht="19.5" customHeight="1">
      <c r="A266" s="167"/>
      <c r="B266" s="57">
        <v>46155.0</v>
      </c>
      <c r="C266" s="58">
        <v>54000.0</v>
      </c>
      <c r="D266" s="58"/>
      <c r="E266" s="59" t="s">
        <v>1090</v>
      </c>
      <c r="F266" s="59"/>
      <c r="G266" s="252"/>
    </row>
    <row r="267" ht="19.5" customHeight="1">
      <c r="A267" s="167"/>
      <c r="B267" s="57">
        <v>46155.0</v>
      </c>
      <c r="C267" s="58">
        <v>7424.0</v>
      </c>
      <c r="D267" s="58"/>
      <c r="E267" s="59" t="s">
        <v>635</v>
      </c>
      <c r="F267" s="59"/>
      <c r="G267" s="252"/>
    </row>
    <row r="268" ht="19.5" customHeight="1">
      <c r="A268" s="167"/>
      <c r="B268" s="57">
        <v>46155.0</v>
      </c>
      <c r="C268" s="58">
        <v>2700.0</v>
      </c>
      <c r="D268" s="58"/>
      <c r="E268" s="59" t="s">
        <v>785</v>
      </c>
      <c r="F268" s="59"/>
      <c r="G268" s="252"/>
    </row>
    <row r="269" ht="19.5" customHeight="1">
      <c r="A269" s="167"/>
      <c r="B269" s="57">
        <v>46156.0</v>
      </c>
      <c r="C269" s="58">
        <v>33200.0</v>
      </c>
      <c r="D269" s="58"/>
      <c r="E269" s="59" t="s">
        <v>609</v>
      </c>
      <c r="F269" s="59"/>
      <c r="G269" s="252"/>
    </row>
    <row r="270" ht="19.5" customHeight="1">
      <c r="A270" s="167"/>
      <c r="B270" s="57">
        <v>46156.0</v>
      </c>
      <c r="C270" s="58">
        <v>7200.0</v>
      </c>
      <c r="D270" s="58"/>
      <c r="E270" s="59" t="s">
        <v>609</v>
      </c>
      <c r="F270" s="59" t="s">
        <v>765</v>
      </c>
      <c r="G270" s="252"/>
    </row>
    <row r="271" ht="19.5" customHeight="1">
      <c r="A271" s="167"/>
      <c r="B271" s="57">
        <v>46159.0</v>
      </c>
      <c r="C271" s="58">
        <v>129001.0</v>
      </c>
      <c r="D271" s="58"/>
      <c r="E271" s="59" t="s">
        <v>935</v>
      </c>
      <c r="F271" s="59" t="s">
        <v>637</v>
      </c>
      <c r="G271" s="252"/>
    </row>
    <row r="272" ht="19.5" customHeight="1">
      <c r="A272" s="167"/>
      <c r="B272" s="57">
        <v>46159.0</v>
      </c>
      <c r="C272" s="58">
        <v>25200.0</v>
      </c>
      <c r="D272" s="58"/>
      <c r="E272" s="59" t="s">
        <v>785</v>
      </c>
      <c r="F272" s="59" t="s">
        <v>748</v>
      </c>
      <c r="G272" s="252"/>
    </row>
    <row r="273" ht="19.5" customHeight="1">
      <c r="A273" s="167"/>
      <c r="B273" s="57">
        <v>46160.0</v>
      </c>
      <c r="C273" s="58">
        <v>30300.0</v>
      </c>
      <c r="D273" s="58"/>
      <c r="E273" s="59" t="s">
        <v>609</v>
      </c>
      <c r="F273" s="59"/>
      <c r="G273" s="252"/>
    </row>
    <row r="274" ht="19.5" customHeight="1">
      <c r="A274" s="167"/>
      <c r="B274" s="57">
        <v>46161.0</v>
      </c>
      <c r="C274" s="58">
        <v>7600.0</v>
      </c>
      <c r="D274" s="58"/>
      <c r="E274" s="59" t="s">
        <v>363</v>
      </c>
      <c r="F274" s="59"/>
      <c r="G274" s="252"/>
    </row>
    <row r="275" ht="19.5" customHeight="1">
      <c r="A275" s="167"/>
      <c r="B275" s="57">
        <v>46161.0</v>
      </c>
      <c r="C275" s="58">
        <v>38900.0</v>
      </c>
      <c r="D275" s="58"/>
      <c r="E275" s="59" t="s">
        <v>1090</v>
      </c>
      <c r="F275" s="70" t="s">
        <v>1118</v>
      </c>
      <c r="G275" s="252"/>
    </row>
    <row r="276" ht="19.5" customHeight="1">
      <c r="A276" s="167"/>
      <c r="B276" s="57">
        <v>46161.0</v>
      </c>
      <c r="C276" s="58">
        <v>7044.0</v>
      </c>
      <c r="D276" s="58"/>
      <c r="E276" s="59" t="s">
        <v>52</v>
      </c>
      <c r="F276" s="59"/>
      <c r="G276" s="252"/>
    </row>
    <row r="277" ht="19.5" customHeight="1">
      <c r="A277" s="167"/>
      <c r="B277" s="57">
        <v>46161.0</v>
      </c>
      <c r="C277" s="58">
        <v>20697.89</v>
      </c>
      <c r="D277" s="58"/>
      <c r="E277" s="59" t="s">
        <v>1119</v>
      </c>
      <c r="F277" s="59"/>
      <c r="G277" s="252"/>
    </row>
    <row r="278" ht="19.5" customHeight="1">
      <c r="A278" s="167"/>
      <c r="B278" s="57">
        <v>46163.0</v>
      </c>
      <c r="C278" s="58">
        <v>18600.0</v>
      </c>
      <c r="D278" s="58"/>
      <c r="E278" s="59" t="s">
        <v>355</v>
      </c>
      <c r="F278" s="59" t="s">
        <v>1120</v>
      </c>
      <c r="G278" s="252"/>
    </row>
    <row r="279" ht="19.5" customHeight="1">
      <c r="A279" s="167"/>
      <c r="B279" s="57">
        <v>46165.0</v>
      </c>
      <c r="C279" s="58">
        <v>149048.0</v>
      </c>
      <c r="D279" s="58"/>
      <c r="E279" s="59" t="s">
        <v>442</v>
      </c>
      <c r="F279" s="59" t="s">
        <v>637</v>
      </c>
      <c r="G279" s="252"/>
    </row>
    <row r="280" ht="19.5" customHeight="1">
      <c r="A280" s="167"/>
      <c r="B280" s="57">
        <v>46165.0</v>
      </c>
      <c r="C280" s="58">
        <v>16700.0</v>
      </c>
      <c r="D280" s="58"/>
      <c r="E280" s="59" t="s">
        <v>785</v>
      </c>
      <c r="F280" s="59"/>
      <c r="G280" s="252"/>
    </row>
    <row r="281" ht="19.5" customHeight="1">
      <c r="A281" s="167"/>
      <c r="B281" s="57">
        <v>46166.0</v>
      </c>
      <c r="C281" s="58">
        <v>22000.0</v>
      </c>
      <c r="D281" s="58"/>
      <c r="E281" s="59" t="s">
        <v>785</v>
      </c>
      <c r="F281" s="70" t="s">
        <v>1121</v>
      </c>
      <c r="G281" s="252"/>
    </row>
    <row r="282" ht="19.5" customHeight="1">
      <c r="A282" s="167"/>
      <c r="B282" s="57">
        <v>46169.0</v>
      </c>
      <c r="C282" s="58">
        <v>75500.0</v>
      </c>
      <c r="D282" s="58"/>
      <c r="E282" s="59" t="s">
        <v>1090</v>
      </c>
      <c r="F282" s="59"/>
      <c r="G282" s="252"/>
    </row>
    <row r="283" ht="30.0" customHeight="1">
      <c r="A283" s="176" t="s">
        <v>163</v>
      </c>
      <c r="B283" s="125"/>
      <c r="C283" s="152">
        <f>SUM(C242:C282)</f>
        <v>1341251</v>
      </c>
      <c r="D283" s="152">
        <f>SUM(D243:D282)</f>
        <v>0</v>
      </c>
      <c r="E283" s="134"/>
      <c r="F283" s="135"/>
    </row>
    <row r="284" ht="4.5" customHeight="1">
      <c r="A284" s="137"/>
      <c r="B284" s="133"/>
      <c r="C284" s="133"/>
      <c r="D284" s="133"/>
      <c r="E284" s="133"/>
      <c r="F284" s="133"/>
      <c r="G284" s="125"/>
    </row>
    <row r="285" ht="19.5" customHeight="1">
      <c r="A285" s="174" t="s">
        <v>17</v>
      </c>
      <c r="B285" s="163">
        <v>46146.0</v>
      </c>
      <c r="C285" s="155">
        <v>8200.0</v>
      </c>
      <c r="D285" s="155"/>
      <c r="E285" s="158" t="s">
        <v>1124</v>
      </c>
      <c r="F285" s="159" t="s">
        <v>1125</v>
      </c>
      <c r="G285" s="269"/>
    </row>
    <row r="286" ht="19.5" customHeight="1">
      <c r="A286" s="167"/>
      <c r="B286" s="168">
        <v>46153.0</v>
      </c>
      <c r="C286" s="72">
        <v>98008.86</v>
      </c>
      <c r="D286" s="72"/>
      <c r="E286" s="75" t="s">
        <v>175</v>
      </c>
      <c r="F286" s="80" t="s">
        <v>1127</v>
      </c>
      <c r="G286" s="242"/>
    </row>
    <row r="287" ht="19.5" customHeight="1">
      <c r="A287" s="167"/>
      <c r="B287" s="168">
        <v>46153.0</v>
      </c>
      <c r="C287" s="72">
        <v>5600.0</v>
      </c>
      <c r="D287" s="72"/>
      <c r="E287" s="75" t="s">
        <v>785</v>
      </c>
      <c r="F287" s="80" t="s">
        <v>1128</v>
      </c>
      <c r="G287" s="242"/>
    </row>
    <row r="288" ht="19.5" customHeight="1">
      <c r="A288" s="167"/>
      <c r="B288" s="168">
        <v>46154.0</v>
      </c>
      <c r="C288" s="72">
        <v>21300.0</v>
      </c>
      <c r="D288" s="72"/>
      <c r="E288" s="75" t="s">
        <v>1129</v>
      </c>
      <c r="F288" s="80" t="s">
        <v>1128</v>
      </c>
      <c r="G288" s="242"/>
    </row>
    <row r="289" ht="19.5" customHeight="1">
      <c r="A289" s="167"/>
      <c r="B289" s="168">
        <v>46156.0</v>
      </c>
      <c r="C289" s="72">
        <v>95004.09</v>
      </c>
      <c r="D289" s="72"/>
      <c r="E289" s="75" t="s">
        <v>175</v>
      </c>
      <c r="F289" s="80" t="s">
        <v>1130</v>
      </c>
      <c r="G289" s="242"/>
    </row>
    <row r="290" ht="19.5" customHeight="1">
      <c r="A290" s="167"/>
      <c r="B290" s="168">
        <v>46156.0</v>
      </c>
      <c r="C290" s="72">
        <v>11500.0</v>
      </c>
      <c r="D290" s="72"/>
      <c r="E290" s="75" t="s">
        <v>613</v>
      </c>
      <c r="F290" s="80" t="s">
        <v>1131</v>
      </c>
      <c r="G290" s="242"/>
    </row>
    <row r="291" ht="19.5" customHeight="1">
      <c r="A291" s="167"/>
      <c r="B291" s="168">
        <v>46156.0</v>
      </c>
      <c r="C291" s="72">
        <v>90236.0</v>
      </c>
      <c r="D291" s="72"/>
      <c r="E291" s="75" t="s">
        <v>865</v>
      </c>
      <c r="F291" s="80" t="s">
        <v>1127</v>
      </c>
      <c r="G291" s="242"/>
    </row>
    <row r="292" ht="19.5" customHeight="1">
      <c r="A292" s="167"/>
      <c r="B292" s="168">
        <v>46157.0</v>
      </c>
      <c r="C292" s="72">
        <v>18600.0</v>
      </c>
      <c r="D292" s="72"/>
      <c r="E292" s="75" t="s">
        <v>1090</v>
      </c>
      <c r="F292" s="80" t="s">
        <v>1132</v>
      </c>
      <c r="G292" s="242"/>
    </row>
    <row r="293" ht="19.5" customHeight="1">
      <c r="A293" s="167"/>
      <c r="B293" s="168">
        <v>46157.0</v>
      </c>
      <c r="C293" s="72">
        <v>24900.0</v>
      </c>
      <c r="D293" s="72"/>
      <c r="E293" s="75" t="s">
        <v>1090</v>
      </c>
      <c r="F293" s="80" t="s">
        <v>1132</v>
      </c>
      <c r="G293" s="242"/>
    </row>
    <row r="294" ht="19.5" customHeight="1">
      <c r="A294" s="167"/>
      <c r="B294" s="168">
        <v>46157.0</v>
      </c>
      <c r="C294" s="72">
        <v>16500.0</v>
      </c>
      <c r="D294" s="72"/>
      <c r="E294" s="75" t="s">
        <v>613</v>
      </c>
      <c r="F294" s="80" t="s">
        <v>1131</v>
      </c>
      <c r="G294" s="242"/>
    </row>
    <row r="295" ht="19.5" customHeight="1">
      <c r="A295" s="167"/>
      <c r="B295" s="168">
        <v>46158.0</v>
      </c>
      <c r="C295" s="72">
        <v>47936.54</v>
      </c>
      <c r="D295" s="72"/>
      <c r="E295" s="75" t="s">
        <v>1133</v>
      </c>
      <c r="F295" s="80" t="s">
        <v>1134</v>
      </c>
      <c r="G295" s="242"/>
    </row>
    <row r="296" ht="19.5" customHeight="1">
      <c r="A296" s="167"/>
      <c r="B296" s="168">
        <v>46159.0</v>
      </c>
      <c r="C296" s="72">
        <v>22000.0</v>
      </c>
      <c r="D296" s="72"/>
      <c r="E296" s="75" t="s">
        <v>1135</v>
      </c>
      <c r="F296" s="80" t="s">
        <v>1128</v>
      </c>
      <c r="G296" s="242"/>
    </row>
    <row r="297" ht="19.5" customHeight="1">
      <c r="A297" s="167"/>
      <c r="B297" s="168">
        <v>46160.0</v>
      </c>
      <c r="C297" s="72">
        <v>46900.0</v>
      </c>
      <c r="D297" s="72"/>
      <c r="E297" s="75" t="s">
        <v>877</v>
      </c>
      <c r="F297" s="80" t="s">
        <v>1137</v>
      </c>
      <c r="G297" s="242"/>
    </row>
    <row r="298" ht="19.5" customHeight="1">
      <c r="A298" s="167"/>
      <c r="B298" s="168">
        <v>46160.0</v>
      </c>
      <c r="C298" s="72">
        <v>70400.0</v>
      </c>
      <c r="D298" s="72"/>
      <c r="E298" s="75" t="s">
        <v>613</v>
      </c>
      <c r="F298" s="80" t="s">
        <v>1131</v>
      </c>
      <c r="G298" s="242"/>
    </row>
    <row r="299" ht="19.5" customHeight="1">
      <c r="A299" s="167"/>
      <c r="B299" s="168">
        <v>46160.0</v>
      </c>
      <c r="C299" s="72">
        <v>105002.07</v>
      </c>
      <c r="D299" s="72"/>
      <c r="E299" s="75" t="s">
        <v>865</v>
      </c>
      <c r="F299" s="80" t="s">
        <v>1138</v>
      </c>
      <c r="G299" s="242"/>
    </row>
    <row r="300" ht="19.5" customHeight="1">
      <c r="A300" s="167"/>
      <c r="B300" s="168">
        <v>46163.0</v>
      </c>
      <c r="C300" s="72">
        <v>250000.0</v>
      </c>
      <c r="D300" s="72"/>
      <c r="E300" s="75" t="s">
        <v>1139</v>
      </c>
      <c r="F300" s="80" t="s">
        <v>250</v>
      </c>
      <c r="G300" s="242"/>
    </row>
    <row r="301" ht="19.5" customHeight="1">
      <c r="A301" s="167"/>
      <c r="B301" s="168">
        <v>46166.0</v>
      </c>
      <c r="C301" s="72">
        <v>40021.0</v>
      </c>
      <c r="D301" s="72"/>
      <c r="E301" s="75" t="s">
        <v>935</v>
      </c>
      <c r="F301" s="80" t="s">
        <v>1127</v>
      </c>
      <c r="G301" s="242"/>
    </row>
    <row r="302" ht="30.0" customHeight="1">
      <c r="A302" s="176" t="s">
        <v>163</v>
      </c>
      <c r="B302" s="125"/>
      <c r="C302" s="152">
        <f t="shared" ref="C302:D302" si="7">SUM(C285:C301)</f>
        <v>972108.56</v>
      </c>
      <c r="D302" s="152">
        <f t="shared" si="7"/>
        <v>0</v>
      </c>
      <c r="E302" s="134"/>
      <c r="F302" s="135"/>
    </row>
    <row r="303" ht="4.5" customHeight="1">
      <c r="A303" s="137"/>
      <c r="B303" s="133"/>
      <c r="C303" s="133"/>
      <c r="D303" s="133"/>
      <c r="E303" s="133"/>
      <c r="F303" s="133"/>
      <c r="G303" s="125"/>
    </row>
    <row r="304" ht="19.5" customHeight="1">
      <c r="A304" s="60" t="s">
        <v>20</v>
      </c>
      <c r="B304" s="82">
        <v>46144.0</v>
      </c>
      <c r="C304" s="72">
        <v>113995.84</v>
      </c>
      <c r="D304" s="72"/>
      <c r="E304" s="75" t="s">
        <v>175</v>
      </c>
      <c r="F304" s="80" t="s">
        <v>1142</v>
      </c>
      <c r="G304" s="242"/>
    </row>
    <row r="305" ht="19.5" customHeight="1">
      <c r="A305" s="77"/>
      <c r="B305" s="82">
        <v>46145.0</v>
      </c>
      <c r="C305" s="72">
        <v>494753.0</v>
      </c>
      <c r="D305" s="72"/>
      <c r="E305" s="75" t="s">
        <v>1143</v>
      </c>
      <c r="F305" s="80" t="s">
        <v>1144</v>
      </c>
      <c r="G305" s="242"/>
    </row>
    <row r="306" ht="19.5" customHeight="1">
      <c r="A306" s="77"/>
      <c r="B306" s="82">
        <v>46148.0</v>
      </c>
      <c r="C306" s="72">
        <v>157023.0</v>
      </c>
      <c r="D306" s="72"/>
      <c r="E306" s="75" t="s">
        <v>1143</v>
      </c>
      <c r="F306" s="80" t="s">
        <v>1145</v>
      </c>
      <c r="G306" s="242"/>
    </row>
    <row r="307" ht="19.5" customHeight="1">
      <c r="A307" s="77"/>
      <c r="B307" s="82">
        <v>46152.0</v>
      </c>
      <c r="C307" s="72">
        <v>156018.0</v>
      </c>
      <c r="D307" s="72"/>
      <c r="E307" s="75" t="s">
        <v>1143</v>
      </c>
      <c r="F307" s="80" t="s">
        <v>1146</v>
      </c>
      <c r="G307" s="242"/>
    </row>
    <row r="308" ht="19.5" customHeight="1">
      <c r="A308" s="77"/>
      <c r="B308" s="82">
        <v>46152.0</v>
      </c>
      <c r="C308" s="72">
        <v>40003.0</v>
      </c>
      <c r="D308" s="72"/>
      <c r="E308" s="75" t="s">
        <v>1143</v>
      </c>
      <c r="F308" s="80" t="s">
        <v>1147</v>
      </c>
      <c r="G308" s="242"/>
    </row>
    <row r="309" ht="19.5" customHeight="1">
      <c r="A309" s="77"/>
      <c r="B309" s="82">
        <v>46154.0</v>
      </c>
      <c r="C309" s="72">
        <v>150010.0</v>
      </c>
      <c r="D309" s="72"/>
      <c r="E309" s="75" t="s">
        <v>1143</v>
      </c>
      <c r="F309" s="80" t="s">
        <v>1145</v>
      </c>
      <c r="G309" s="242"/>
    </row>
    <row r="310" ht="19.5" customHeight="1">
      <c r="A310" s="77"/>
      <c r="B310" s="82">
        <v>46155.0</v>
      </c>
      <c r="C310" s="72">
        <v>91077.0</v>
      </c>
      <c r="D310" s="72"/>
      <c r="E310" s="75" t="s">
        <v>1148</v>
      </c>
      <c r="F310" s="80" t="s">
        <v>1149</v>
      </c>
      <c r="G310" s="242"/>
    </row>
    <row r="311" ht="19.5" customHeight="1">
      <c r="A311" s="77"/>
      <c r="B311" s="82">
        <v>46155.0</v>
      </c>
      <c r="C311" s="72">
        <v>243300.0</v>
      </c>
      <c r="D311" s="72"/>
      <c r="E311" s="75" t="s">
        <v>1143</v>
      </c>
      <c r="F311" s="80" t="s">
        <v>1150</v>
      </c>
      <c r="G311" s="242"/>
    </row>
    <row r="312" ht="19.5" customHeight="1">
      <c r="A312" s="77"/>
      <c r="B312" s="82">
        <v>46163.0</v>
      </c>
      <c r="C312" s="72">
        <v>223623.75</v>
      </c>
      <c r="D312" s="72"/>
      <c r="E312" s="75" t="s">
        <v>1151</v>
      </c>
      <c r="F312" s="80" t="s">
        <v>1152</v>
      </c>
      <c r="G312" s="242"/>
    </row>
    <row r="313" ht="19.5" customHeight="1">
      <c r="A313" s="77"/>
      <c r="B313" s="82">
        <v>46163.0</v>
      </c>
      <c r="C313" s="72">
        <v>235634.1</v>
      </c>
      <c r="D313" s="72"/>
      <c r="E313" s="75" t="s">
        <v>1153</v>
      </c>
      <c r="F313" s="80" t="s">
        <v>1154</v>
      </c>
      <c r="G313" s="242"/>
    </row>
    <row r="314" ht="33.0" customHeight="1">
      <c r="A314" s="176" t="s">
        <v>163</v>
      </c>
      <c r="B314" s="125"/>
      <c r="C314" s="152">
        <f t="shared" ref="C314:D314" si="8">SUM(C303:C313)</f>
        <v>1905437.69</v>
      </c>
      <c r="D314" s="152">
        <f t="shared" si="8"/>
        <v>0</v>
      </c>
      <c r="E314" s="134"/>
      <c r="F314" s="135"/>
    </row>
    <row r="315" ht="4.5" customHeight="1">
      <c r="A315" s="240"/>
      <c r="B315" s="133"/>
      <c r="C315" s="133"/>
      <c r="D315" s="19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76" t="s">
        <v>496</v>
      </c>
      <c r="B316" s="125"/>
      <c r="C316" s="152">
        <f>C142+C187+C193+C240+C283+C302+C314</f>
        <v>24042912.11</v>
      </c>
      <c r="D316" s="152">
        <f>+D142+D187+D193+D240+D283+D302+D314</f>
        <v>32.84</v>
      </c>
      <c r="E316" s="129"/>
      <c r="F316" s="243"/>
      <c r="G316" s="244"/>
      <c r="H316" s="244"/>
      <c r="I316" s="243"/>
      <c r="K316" s="244"/>
      <c r="L316" s="244"/>
      <c r="M316" s="243"/>
      <c r="O316" s="244"/>
      <c r="P316" s="244"/>
      <c r="Q316" s="243"/>
      <c r="S316" s="244"/>
      <c r="T316" s="244"/>
      <c r="U316" s="243"/>
      <c r="W316" s="244"/>
      <c r="X316" s="244"/>
    </row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4.5" customHeight="1">
      <c r="A363" s="137"/>
      <c r="B363" s="133"/>
      <c r="C363" s="133"/>
      <c r="D363" s="195"/>
      <c r="E363" s="270"/>
      <c r="F363" s="270"/>
      <c r="G363" s="270"/>
    </row>
    <row r="364" ht="30.0" customHeight="1">
      <c r="A364" s="176" t="s">
        <v>496</v>
      </c>
      <c r="B364" s="125"/>
      <c r="C364" s="255">
        <f>+C213+C259+C265+C302+C340+C362</f>
        <v>1262124.81</v>
      </c>
      <c r="D364" s="255">
        <f>+D213+D259+D265+D302+D340</f>
        <v>0</v>
      </c>
      <c r="E364" s="271"/>
      <c r="F364" s="211"/>
    </row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mergeCells count="39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141"/>
    <mergeCell ref="A142:B142"/>
    <mergeCell ref="A143:G143"/>
    <mergeCell ref="A144:A186"/>
    <mergeCell ref="A187:B187"/>
    <mergeCell ref="A188:G188"/>
    <mergeCell ref="A189:A192"/>
    <mergeCell ref="A193:B193"/>
    <mergeCell ref="A194:G194"/>
    <mergeCell ref="A195:A239"/>
    <mergeCell ref="Q316:R316"/>
    <mergeCell ref="U316:V316"/>
    <mergeCell ref="A285:A301"/>
    <mergeCell ref="A304:A313"/>
    <mergeCell ref="A314:B314"/>
    <mergeCell ref="A315:D315"/>
    <mergeCell ref="A316:B316"/>
    <mergeCell ref="I316:J316"/>
    <mergeCell ref="M316:N316"/>
    <mergeCell ref="A363:D363"/>
    <mergeCell ref="A364:B364"/>
    <mergeCell ref="A240:B240"/>
    <mergeCell ref="A241:G241"/>
    <mergeCell ref="A242:A282"/>
    <mergeCell ref="A283:B283"/>
    <mergeCell ref="A284:G284"/>
    <mergeCell ref="A302:B302"/>
    <mergeCell ref="A303:G303"/>
  </mergeCells>
  <hyperlinks>
    <hyperlink r:id="rId1" ref="E212"/>
  </hyperlink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7.0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90" t="s">
        <v>0</v>
      </c>
      <c r="B6" s="2"/>
      <c r="C6" s="3"/>
      <c r="D6" s="4" t="s">
        <v>1</v>
      </c>
      <c r="E6" s="5"/>
      <c r="F6" s="228" t="s">
        <v>775</v>
      </c>
      <c r="G6" s="9"/>
    </row>
    <row r="7" ht="19.5" customHeight="1">
      <c r="A7" s="10"/>
      <c r="B7" s="11"/>
      <c r="C7" s="12"/>
      <c r="D7" s="191" t="s">
        <v>5</v>
      </c>
      <c r="E7" s="15"/>
      <c r="F7" s="229">
        <v>2026.0</v>
      </c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>
        <v>4498864.1</v>
      </c>
      <c r="G8" s="17"/>
    </row>
    <row r="9" ht="19.5" customHeight="1">
      <c r="A9" s="196" t="s">
        <v>10</v>
      </c>
      <c r="B9" s="39">
        <f>SUM(C53)</f>
        <v>2923837.2</v>
      </c>
      <c r="C9" s="231">
        <f t="shared" ref="C9:C10" si="1">B9</f>
        <v>2923837.2</v>
      </c>
      <c r="D9" s="198" t="s">
        <v>11</v>
      </c>
      <c r="E9" s="33"/>
      <c r="F9" s="33"/>
      <c r="G9" s="35"/>
    </row>
    <row r="10" ht="19.5" customHeight="1">
      <c r="A10" s="199" t="s">
        <v>12</v>
      </c>
      <c r="B10" s="207">
        <v>21.96</v>
      </c>
      <c r="C10" s="201">
        <f t="shared" si="1"/>
        <v>21.96</v>
      </c>
      <c r="D10" s="202"/>
      <c r="G10" s="38"/>
    </row>
    <row r="11" ht="19.5" customHeight="1">
      <c r="A11" s="203" t="s">
        <v>13</v>
      </c>
      <c r="B11" s="204">
        <v>281535.97</v>
      </c>
      <c r="C11" s="205">
        <f>B11+B12</f>
        <v>602505.97</v>
      </c>
      <c r="D11" s="202"/>
      <c r="G11" s="38"/>
    </row>
    <row r="12" ht="19.5" customHeight="1">
      <c r="A12" s="199" t="s">
        <v>14</v>
      </c>
      <c r="B12" s="207">
        <v>320970.0</v>
      </c>
      <c r="C12" s="209"/>
      <c r="D12" s="202"/>
      <c r="G12" s="38"/>
    </row>
    <row r="13" ht="19.5" customHeight="1">
      <c r="A13" s="203" t="s">
        <v>15</v>
      </c>
      <c r="B13" s="210"/>
      <c r="C13" s="205">
        <f>SUM(B14)</f>
        <v>0</v>
      </c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>
        <f>SUM(C84)</f>
        <v>250000</v>
      </c>
      <c r="C15" s="217">
        <f t="shared" ref="C15:C16" si="2">B15</f>
        <v>250000</v>
      </c>
      <c r="D15" s="202"/>
      <c r="G15" s="38"/>
    </row>
    <row r="16" ht="19.5" customHeight="1">
      <c r="A16" s="213" t="s">
        <v>18</v>
      </c>
      <c r="B16" s="216">
        <f>SUM(C74)</f>
        <v>275277.61</v>
      </c>
      <c r="C16" s="217">
        <f t="shared" si="2"/>
        <v>275277.61</v>
      </c>
      <c r="D16" s="224"/>
      <c r="E16" s="46"/>
      <c r="F16" s="46"/>
      <c r="G16" s="47"/>
    </row>
    <row r="17" ht="4.5" customHeight="1">
      <c r="A17" s="225"/>
      <c r="B17" s="133"/>
      <c r="C17" s="133"/>
      <c r="D17" s="133"/>
      <c r="E17" s="133"/>
      <c r="F17" s="133"/>
      <c r="G17" s="125"/>
    </row>
    <row r="18" ht="24.75" customHeight="1">
      <c r="A18" s="226" t="s">
        <v>21</v>
      </c>
      <c r="B18" s="226" t="s">
        <v>22</v>
      </c>
      <c r="C18" s="226" t="s">
        <v>23</v>
      </c>
      <c r="D18" s="226" t="s">
        <v>24</v>
      </c>
      <c r="E18" s="227" t="s">
        <v>25</v>
      </c>
      <c r="F18" s="227" t="s">
        <v>26</v>
      </c>
      <c r="G18" s="227" t="s">
        <v>27</v>
      </c>
    </row>
    <row r="19" ht="19.5" customHeight="1">
      <c r="A19" s="174" t="s">
        <v>28</v>
      </c>
      <c r="B19" s="157">
        <v>46144.0</v>
      </c>
      <c r="C19" s="155">
        <v>18909.16</v>
      </c>
      <c r="D19" s="155"/>
      <c r="E19" s="158" t="s">
        <v>841</v>
      </c>
      <c r="F19" s="78" t="s">
        <v>820</v>
      </c>
      <c r="G19" s="239"/>
    </row>
    <row r="20" ht="19.5" customHeight="1">
      <c r="A20" s="167"/>
      <c r="B20" s="230">
        <v>46157.0</v>
      </c>
      <c r="C20" s="68">
        <v>23125.0</v>
      </c>
      <c r="D20" s="68"/>
      <c r="E20" s="71" t="s">
        <v>845</v>
      </c>
      <c r="F20" s="71"/>
      <c r="G20" s="241"/>
    </row>
    <row r="21" ht="19.5" customHeight="1">
      <c r="A21" s="167"/>
      <c r="B21" s="230">
        <v>46170.0</v>
      </c>
      <c r="C21" s="68">
        <v>12000.0</v>
      </c>
      <c r="D21" s="68"/>
      <c r="E21" s="71" t="s">
        <v>278</v>
      </c>
      <c r="F21" s="71"/>
      <c r="G21" s="241"/>
    </row>
    <row r="22" ht="19.5" customHeight="1">
      <c r="A22" s="167"/>
      <c r="B22" s="230">
        <v>46170.0</v>
      </c>
      <c r="C22" s="68">
        <v>20700.0</v>
      </c>
      <c r="D22" s="68"/>
      <c r="E22" s="71" t="s">
        <v>248</v>
      </c>
      <c r="F22" s="70"/>
      <c r="G22" s="241"/>
    </row>
    <row r="23" ht="19.5" customHeight="1">
      <c r="A23" s="167"/>
      <c r="B23" s="230">
        <v>46170.0</v>
      </c>
      <c r="C23" s="68">
        <v>180553.08</v>
      </c>
      <c r="D23" s="68"/>
      <c r="E23" s="71" t="s">
        <v>851</v>
      </c>
      <c r="F23" s="71"/>
      <c r="G23" s="241"/>
    </row>
    <row r="24" ht="19.5" customHeight="1">
      <c r="A24" s="167"/>
      <c r="B24" s="230">
        <v>46171.0</v>
      </c>
      <c r="C24" s="68">
        <v>15800.0</v>
      </c>
      <c r="D24" s="68"/>
      <c r="E24" s="71" t="s">
        <v>41</v>
      </c>
      <c r="F24" s="71"/>
      <c r="G24" s="241"/>
    </row>
    <row r="25" ht="19.5" customHeight="1">
      <c r="A25" s="167"/>
      <c r="B25" s="230">
        <v>46171.0</v>
      </c>
      <c r="C25" s="68">
        <v>12800.0</v>
      </c>
      <c r="D25" s="68"/>
      <c r="E25" s="71" t="s">
        <v>41</v>
      </c>
      <c r="F25" s="71"/>
      <c r="G25" s="241"/>
    </row>
    <row r="26" ht="19.5" customHeight="1">
      <c r="A26" s="167"/>
      <c r="B26" s="230">
        <v>46173.0</v>
      </c>
      <c r="C26" s="68">
        <v>21000.0</v>
      </c>
      <c r="D26" s="68"/>
      <c r="E26" s="71" t="s">
        <v>854</v>
      </c>
      <c r="F26" s="71"/>
      <c r="G26" s="241"/>
    </row>
    <row r="27" ht="19.5" customHeight="1">
      <c r="A27" s="167"/>
      <c r="B27" s="230">
        <v>46174.0</v>
      </c>
      <c r="C27" s="68">
        <v>16900.0</v>
      </c>
      <c r="D27" s="68"/>
      <c r="E27" s="71" t="s">
        <v>248</v>
      </c>
      <c r="F27" s="71"/>
      <c r="G27" s="241"/>
    </row>
    <row r="28" ht="19.5" customHeight="1">
      <c r="A28" s="167"/>
      <c r="B28" s="230">
        <v>46174.0</v>
      </c>
      <c r="C28" s="68">
        <v>7400.0</v>
      </c>
      <c r="D28" s="68"/>
      <c r="E28" s="71" t="s">
        <v>32</v>
      </c>
      <c r="F28" s="71"/>
      <c r="G28" s="241"/>
    </row>
    <row r="29" ht="19.5" customHeight="1">
      <c r="A29" s="167"/>
      <c r="B29" s="230">
        <v>46175.0</v>
      </c>
      <c r="C29" s="68">
        <v>45000.0</v>
      </c>
      <c r="D29" s="68"/>
      <c r="E29" s="71" t="s">
        <v>856</v>
      </c>
      <c r="F29" s="70"/>
      <c r="G29" s="241"/>
    </row>
    <row r="30" ht="19.5" customHeight="1">
      <c r="A30" s="167"/>
      <c r="B30" s="230">
        <v>46175.0</v>
      </c>
      <c r="C30" s="68">
        <v>5200.0</v>
      </c>
      <c r="D30" s="68"/>
      <c r="E30" s="71" t="s">
        <v>121</v>
      </c>
      <c r="F30" s="70"/>
      <c r="G30" s="241"/>
    </row>
    <row r="31" ht="19.5" customHeight="1">
      <c r="A31" s="167"/>
      <c r="B31" s="230">
        <v>46176.0</v>
      </c>
      <c r="C31" s="68">
        <v>77881.3</v>
      </c>
      <c r="D31" s="68"/>
      <c r="E31" s="71" t="s">
        <v>57</v>
      </c>
      <c r="F31" s="71"/>
      <c r="G31" s="241"/>
    </row>
    <row r="32" ht="19.5" customHeight="1">
      <c r="A32" s="167"/>
      <c r="B32" s="146">
        <v>46176.0</v>
      </c>
      <c r="C32" s="72"/>
      <c r="D32" s="72">
        <v>9.99</v>
      </c>
      <c r="E32" s="75" t="s">
        <v>864</v>
      </c>
      <c r="F32" s="75" t="s">
        <v>53</v>
      </c>
      <c r="G32" s="242"/>
    </row>
    <row r="33" ht="19.5" customHeight="1">
      <c r="A33" s="167"/>
      <c r="B33" s="146">
        <v>46177.0</v>
      </c>
      <c r="C33" s="72">
        <v>140000.0</v>
      </c>
      <c r="D33" s="72"/>
      <c r="E33" s="75" t="s">
        <v>860</v>
      </c>
      <c r="F33" s="59" t="s">
        <v>861</v>
      </c>
      <c r="G33" s="242"/>
    </row>
    <row r="34" ht="19.5" customHeight="1">
      <c r="A34" s="167"/>
      <c r="B34" s="146">
        <v>46178.0</v>
      </c>
      <c r="C34" s="72"/>
      <c r="D34" s="72">
        <v>2.99</v>
      </c>
      <c r="E34" s="75" t="s">
        <v>872</v>
      </c>
      <c r="F34" s="59" t="s">
        <v>82</v>
      </c>
      <c r="G34" s="242"/>
    </row>
    <row r="35" ht="19.5" customHeight="1">
      <c r="A35" s="167"/>
      <c r="B35" s="146">
        <v>46179.0</v>
      </c>
      <c r="C35" s="72">
        <v>37516.15</v>
      </c>
      <c r="D35" s="72"/>
      <c r="E35" s="75" t="s">
        <v>67</v>
      </c>
      <c r="F35" s="59" t="s">
        <v>68</v>
      </c>
      <c r="G35" s="242"/>
    </row>
    <row r="36" ht="19.5" customHeight="1">
      <c r="A36" s="167"/>
      <c r="B36" s="230">
        <v>46180.0</v>
      </c>
      <c r="C36" s="68">
        <v>40249.0</v>
      </c>
      <c r="D36" s="68"/>
      <c r="E36" s="71" t="s">
        <v>876</v>
      </c>
      <c r="F36" s="71"/>
      <c r="G36" s="241"/>
    </row>
    <row r="37" ht="19.5" customHeight="1">
      <c r="A37" s="167"/>
      <c r="B37" s="230">
        <v>46180.0</v>
      </c>
      <c r="C37" s="68">
        <v>800.0</v>
      </c>
      <c r="D37" s="68"/>
      <c r="E37" s="71" t="s">
        <v>879</v>
      </c>
      <c r="F37" s="71"/>
      <c r="G37" s="241"/>
    </row>
    <row r="38" ht="19.5" customHeight="1">
      <c r="A38" s="167"/>
      <c r="B38" s="146">
        <v>46184.0</v>
      </c>
      <c r="C38" s="72">
        <v>26300.0</v>
      </c>
      <c r="D38" s="72"/>
      <c r="E38" s="75" t="s">
        <v>78</v>
      </c>
      <c r="F38" s="59" t="s">
        <v>79</v>
      </c>
      <c r="G38" s="242"/>
    </row>
    <row r="39" ht="19.5" customHeight="1">
      <c r="A39" s="167"/>
      <c r="B39" s="146">
        <v>46188.0</v>
      </c>
      <c r="C39" s="72"/>
      <c r="D39" s="72">
        <v>6.99</v>
      </c>
      <c r="E39" s="75" t="s">
        <v>882</v>
      </c>
      <c r="F39" s="59" t="s">
        <v>245</v>
      </c>
      <c r="G39" s="242"/>
    </row>
    <row r="40" ht="19.5" customHeight="1">
      <c r="A40" s="167"/>
      <c r="B40" s="146">
        <v>46189.0</v>
      </c>
      <c r="C40" s="72">
        <v>486827.0</v>
      </c>
      <c r="D40" s="72"/>
      <c r="E40" s="75" t="s">
        <v>97</v>
      </c>
      <c r="F40" s="59" t="s">
        <v>98</v>
      </c>
      <c r="G40" s="242"/>
    </row>
    <row r="41" ht="19.5" customHeight="1">
      <c r="A41" s="167"/>
      <c r="B41" s="146">
        <v>46190.0</v>
      </c>
      <c r="C41" s="72">
        <v>20903.18</v>
      </c>
      <c r="D41" s="72"/>
      <c r="E41" s="75" t="s">
        <v>886</v>
      </c>
      <c r="F41" s="59" t="s">
        <v>115</v>
      </c>
      <c r="G41" s="242"/>
    </row>
    <row r="42" ht="19.5" customHeight="1">
      <c r="A42" s="167"/>
      <c r="B42" s="146">
        <v>46190.0</v>
      </c>
      <c r="C42" s="72">
        <v>20240.27</v>
      </c>
      <c r="D42" s="72"/>
      <c r="E42" s="75" t="s">
        <v>887</v>
      </c>
      <c r="F42" s="59" t="s">
        <v>112</v>
      </c>
      <c r="G42" s="242"/>
    </row>
    <row r="43" ht="19.5" customHeight="1">
      <c r="A43" s="167"/>
      <c r="B43" s="246">
        <v>46190.0</v>
      </c>
      <c r="C43" s="247">
        <v>22197.58</v>
      </c>
      <c r="D43" s="247"/>
      <c r="E43" s="248" t="s">
        <v>889</v>
      </c>
      <c r="F43" s="249" t="s">
        <v>106</v>
      </c>
      <c r="G43" s="250"/>
    </row>
    <row r="44" ht="19.5" customHeight="1">
      <c r="A44" s="167"/>
      <c r="B44" s="246">
        <v>46190.0</v>
      </c>
      <c r="C44" s="247">
        <v>120605.41</v>
      </c>
      <c r="D44" s="247"/>
      <c r="E44" s="248" t="s">
        <v>890</v>
      </c>
      <c r="F44" s="249" t="s">
        <v>108</v>
      </c>
      <c r="G44" s="250"/>
    </row>
    <row r="45" ht="19.5" customHeight="1">
      <c r="A45" s="167"/>
      <c r="B45" s="230">
        <v>46190.0</v>
      </c>
      <c r="C45" s="68">
        <v>5250.0</v>
      </c>
      <c r="D45" s="68"/>
      <c r="E45" s="71" t="s">
        <v>891</v>
      </c>
      <c r="F45" s="70"/>
      <c r="G45" s="251"/>
    </row>
    <row r="46" ht="19.5" customHeight="1">
      <c r="A46" s="167"/>
      <c r="B46" s="230">
        <v>46190.0</v>
      </c>
      <c r="C46" s="68">
        <v>6000.0</v>
      </c>
      <c r="D46" s="68"/>
      <c r="E46" s="71" t="s">
        <v>893</v>
      </c>
      <c r="F46" s="70"/>
      <c r="G46" s="241"/>
    </row>
    <row r="47" ht="19.5" customHeight="1">
      <c r="A47" s="167"/>
      <c r="B47" s="146">
        <v>46192.0</v>
      </c>
      <c r="C47" s="72">
        <v>69617.44</v>
      </c>
      <c r="D47" s="72"/>
      <c r="E47" s="75" t="s">
        <v>254</v>
      </c>
      <c r="F47" s="59" t="s">
        <v>895</v>
      </c>
      <c r="G47" s="252"/>
    </row>
    <row r="48" ht="19.5" customHeight="1">
      <c r="A48" s="167"/>
      <c r="B48" s="146">
        <v>46193.0</v>
      </c>
      <c r="C48" s="72"/>
      <c r="D48" s="72">
        <v>1.99</v>
      </c>
      <c r="E48" s="75" t="s">
        <v>896</v>
      </c>
      <c r="F48" s="59" t="s">
        <v>82</v>
      </c>
      <c r="G48" s="252"/>
    </row>
    <row r="49" ht="19.5" customHeight="1">
      <c r="A49" s="167"/>
      <c r="B49" s="246">
        <v>46195.0</v>
      </c>
      <c r="C49" s="253">
        <v>52283.45</v>
      </c>
      <c r="D49" s="253"/>
      <c r="E49" s="249" t="s">
        <v>898</v>
      </c>
      <c r="F49" s="249" t="s">
        <v>899</v>
      </c>
      <c r="G49" s="250"/>
    </row>
    <row r="50" ht="19.5" customHeight="1">
      <c r="A50" s="167"/>
      <c r="B50" s="146">
        <v>46196.0</v>
      </c>
      <c r="C50" s="58">
        <v>1205946.34</v>
      </c>
      <c r="D50" s="58"/>
      <c r="E50" s="59" t="s">
        <v>135</v>
      </c>
      <c r="F50" s="59" t="s">
        <v>136</v>
      </c>
      <c r="G50" s="252"/>
    </row>
    <row r="51" ht="19.5" customHeight="1">
      <c r="A51" s="167"/>
      <c r="B51" s="146">
        <v>46202.0</v>
      </c>
      <c r="C51" s="58">
        <v>206582.84</v>
      </c>
      <c r="D51" s="58"/>
      <c r="E51" s="59" t="s">
        <v>43</v>
      </c>
      <c r="F51" s="59" t="s">
        <v>44</v>
      </c>
      <c r="G51" s="252"/>
    </row>
    <row r="52" ht="19.5" customHeight="1">
      <c r="A52" s="254"/>
      <c r="B52" s="230">
        <v>46204.0</v>
      </c>
      <c r="C52" s="67">
        <v>5250.0</v>
      </c>
      <c r="D52" s="67"/>
      <c r="E52" s="70" t="s">
        <v>901</v>
      </c>
      <c r="F52" s="70"/>
      <c r="G52" s="251"/>
    </row>
    <row r="53" ht="30.0" customHeight="1">
      <c r="A53" s="176" t="s">
        <v>163</v>
      </c>
      <c r="B53" s="125"/>
      <c r="C53" s="255">
        <f t="shared" ref="C53:D53" si="3">SUM(C19:C52)</f>
        <v>2923837.2</v>
      </c>
      <c r="D53" s="255">
        <f t="shared" si="3"/>
        <v>21.96</v>
      </c>
      <c r="E53" s="134"/>
      <c r="F53" s="135"/>
    </row>
    <row r="54" ht="4.5" customHeight="1">
      <c r="A54" s="137"/>
      <c r="B54" s="133"/>
      <c r="C54" s="133"/>
      <c r="D54" s="133"/>
      <c r="E54" s="133"/>
      <c r="F54" s="133"/>
      <c r="G54" s="125"/>
    </row>
    <row r="55" ht="19.5" customHeight="1">
      <c r="A55" s="174" t="s">
        <v>172</v>
      </c>
      <c r="B55" s="57">
        <v>46118.0</v>
      </c>
      <c r="C55" s="58">
        <v>55636.2</v>
      </c>
      <c r="D55" s="155"/>
      <c r="E55" s="59" t="s">
        <v>906</v>
      </c>
      <c r="F55" s="59" t="s">
        <v>907</v>
      </c>
      <c r="G55" s="256" t="s">
        <v>179</v>
      </c>
    </row>
    <row r="56" ht="19.5" customHeight="1">
      <c r="A56" s="167"/>
      <c r="B56" s="57">
        <v>46123.0</v>
      </c>
      <c r="C56" s="58">
        <v>69999.66</v>
      </c>
      <c r="D56" s="72"/>
      <c r="E56" s="59" t="s">
        <v>909</v>
      </c>
      <c r="F56" s="59" t="s">
        <v>910</v>
      </c>
      <c r="G56" s="256" t="s">
        <v>179</v>
      </c>
    </row>
    <row r="57" ht="19.5" customHeight="1">
      <c r="A57" s="167"/>
      <c r="B57" s="57">
        <v>46137.0</v>
      </c>
      <c r="C57" s="58">
        <v>15900.0</v>
      </c>
      <c r="D57" s="72"/>
      <c r="E57" s="59" t="s">
        <v>912</v>
      </c>
      <c r="F57" s="59" t="s">
        <v>913</v>
      </c>
      <c r="G57" s="256" t="s">
        <v>179</v>
      </c>
    </row>
    <row r="58" ht="19.5" customHeight="1">
      <c r="A58" s="167"/>
      <c r="B58" s="57">
        <v>46172.0</v>
      </c>
      <c r="C58" s="58">
        <v>53495.0</v>
      </c>
      <c r="D58" s="72"/>
      <c r="E58" s="59" t="s">
        <v>388</v>
      </c>
      <c r="F58" s="257" t="s">
        <v>915</v>
      </c>
      <c r="G58" s="256" t="s">
        <v>192</v>
      </c>
    </row>
    <row r="59" ht="19.5" customHeight="1">
      <c r="A59" s="167"/>
      <c r="B59" s="57">
        <v>46172.0</v>
      </c>
      <c r="C59" s="58">
        <v>53495.0</v>
      </c>
      <c r="D59" s="72"/>
      <c r="E59" s="59" t="s">
        <v>471</v>
      </c>
      <c r="F59" s="257" t="s">
        <v>916</v>
      </c>
      <c r="G59" s="256" t="s">
        <v>192</v>
      </c>
    </row>
    <row r="60" ht="19.5" customHeight="1">
      <c r="A60" s="167"/>
      <c r="B60" s="57">
        <v>46172.0</v>
      </c>
      <c r="C60" s="58">
        <v>100000.0</v>
      </c>
      <c r="D60" s="72"/>
      <c r="E60" s="59" t="s">
        <v>190</v>
      </c>
      <c r="F60" s="112" t="s">
        <v>204</v>
      </c>
      <c r="G60" s="256" t="s">
        <v>179</v>
      </c>
    </row>
    <row r="61" ht="19.5" customHeight="1">
      <c r="A61" s="167"/>
      <c r="B61" s="57">
        <v>46173.0</v>
      </c>
      <c r="C61" s="58">
        <v>85592.0</v>
      </c>
      <c r="D61" s="72"/>
      <c r="E61" s="59" t="s">
        <v>471</v>
      </c>
      <c r="F61" s="257" t="s">
        <v>918</v>
      </c>
      <c r="G61" s="256" t="s">
        <v>192</v>
      </c>
    </row>
    <row r="62" ht="19.5" customHeight="1">
      <c r="A62" s="167"/>
      <c r="B62" s="57">
        <v>46174.0</v>
      </c>
      <c r="C62" s="58">
        <v>128388.0</v>
      </c>
      <c r="D62" s="72"/>
      <c r="E62" s="59" t="s">
        <v>471</v>
      </c>
      <c r="F62" s="257" t="s">
        <v>920</v>
      </c>
      <c r="G62" s="256" t="s">
        <v>192</v>
      </c>
    </row>
    <row r="63" ht="19.5" customHeight="1">
      <c r="A63" s="167"/>
      <c r="B63" s="57">
        <v>46175.0</v>
      </c>
      <c r="C63" s="58">
        <v>40000.11</v>
      </c>
      <c r="D63" s="72"/>
      <c r="E63" s="59" t="s">
        <v>41</v>
      </c>
      <c r="F63" s="59" t="s">
        <v>921</v>
      </c>
      <c r="G63" s="256" t="s">
        <v>179</v>
      </c>
    </row>
    <row r="64" ht="29.25" customHeight="1">
      <c r="A64" s="176" t="s">
        <v>163</v>
      </c>
      <c r="B64" s="125"/>
      <c r="C64" s="255">
        <f t="shared" ref="C64:D64" si="4">SUM(C55:C63)</f>
        <v>602505.97</v>
      </c>
      <c r="D64" s="255">
        <f t="shared" si="4"/>
        <v>0</v>
      </c>
      <c r="E64" s="134"/>
      <c r="F64" s="135"/>
    </row>
    <row r="65" ht="4.5" customHeight="1">
      <c r="A65" s="137"/>
      <c r="B65" s="133"/>
      <c r="C65" s="133"/>
      <c r="D65" s="133"/>
      <c r="E65" s="133"/>
      <c r="F65" s="133"/>
      <c r="G65" s="125"/>
    </row>
    <row r="66" ht="19.5" customHeight="1">
      <c r="A66" s="174" t="s">
        <v>18</v>
      </c>
      <c r="B66" s="163">
        <v>46172.0</v>
      </c>
      <c r="C66" s="155">
        <v>42900.0</v>
      </c>
      <c r="D66" s="155"/>
      <c r="E66" s="158" t="s">
        <v>36</v>
      </c>
      <c r="F66" s="78" t="s">
        <v>716</v>
      </c>
      <c r="G66" s="260" t="s">
        <v>192</v>
      </c>
    </row>
    <row r="67" ht="19.5" customHeight="1">
      <c r="A67" s="167"/>
      <c r="B67" s="168">
        <v>46172.0</v>
      </c>
      <c r="C67" s="72">
        <v>32078.0</v>
      </c>
      <c r="D67" s="72"/>
      <c r="E67" s="75" t="s">
        <v>52</v>
      </c>
      <c r="F67" s="78" t="s">
        <v>925</v>
      </c>
      <c r="G67" s="261" t="s">
        <v>192</v>
      </c>
    </row>
    <row r="68" ht="18.0" customHeight="1">
      <c r="A68" s="167"/>
      <c r="B68" s="168">
        <v>46173.0</v>
      </c>
      <c r="C68" s="72">
        <v>6796.0</v>
      </c>
      <c r="D68" s="72"/>
      <c r="E68" s="75" t="s">
        <v>52</v>
      </c>
      <c r="F68" s="78" t="s">
        <v>926</v>
      </c>
      <c r="G68" s="261" t="s">
        <v>192</v>
      </c>
    </row>
    <row r="69" ht="19.5" customHeight="1">
      <c r="A69" s="167"/>
      <c r="B69" s="168">
        <v>46173.0</v>
      </c>
      <c r="C69" s="72">
        <v>17536.0</v>
      </c>
      <c r="D69" s="72"/>
      <c r="E69" s="75" t="s">
        <v>52</v>
      </c>
      <c r="F69" s="78" t="s">
        <v>927</v>
      </c>
      <c r="G69" s="261" t="s">
        <v>192</v>
      </c>
    </row>
    <row r="70" ht="19.5" customHeight="1">
      <c r="A70" s="167"/>
      <c r="B70" s="168">
        <v>46173.0</v>
      </c>
      <c r="C70" s="72">
        <v>39239.0</v>
      </c>
      <c r="D70" s="72"/>
      <c r="E70" s="75" t="s">
        <v>52</v>
      </c>
      <c r="F70" s="78" t="s">
        <v>928</v>
      </c>
      <c r="G70" s="261" t="s">
        <v>192</v>
      </c>
    </row>
    <row r="71" ht="19.5" customHeight="1">
      <c r="A71" s="167"/>
      <c r="B71" s="168">
        <v>46174.0</v>
      </c>
      <c r="C71" s="72">
        <v>80958.61</v>
      </c>
      <c r="D71" s="72"/>
      <c r="E71" s="75" t="s">
        <v>36</v>
      </c>
      <c r="F71" s="78" t="s">
        <v>930</v>
      </c>
      <c r="G71" s="261" t="s">
        <v>192</v>
      </c>
    </row>
    <row r="72" ht="19.5" customHeight="1">
      <c r="A72" s="167"/>
      <c r="B72" s="168">
        <v>46174.0</v>
      </c>
      <c r="C72" s="72">
        <v>55770.0</v>
      </c>
      <c r="D72" s="72"/>
      <c r="E72" s="75" t="s">
        <v>36</v>
      </c>
      <c r="F72" s="78" t="s">
        <v>494</v>
      </c>
      <c r="G72" s="261" t="s">
        <v>192</v>
      </c>
    </row>
    <row r="73" ht="19.5" customHeight="1">
      <c r="A73" s="167"/>
      <c r="B73" s="168">
        <v>46195.0</v>
      </c>
      <c r="C73" s="72"/>
      <c r="D73" s="72">
        <v>9.99</v>
      </c>
      <c r="E73" s="75" t="s">
        <v>932</v>
      </c>
      <c r="F73" s="78" t="s">
        <v>321</v>
      </c>
      <c r="G73" s="261" t="s">
        <v>192</v>
      </c>
    </row>
    <row r="74" ht="30.0" customHeight="1">
      <c r="A74" s="176" t="s">
        <v>163</v>
      </c>
      <c r="B74" s="125"/>
      <c r="C74" s="255">
        <f t="shared" ref="C74:D74" si="5">SUM(C66:C73)</f>
        <v>275277.61</v>
      </c>
      <c r="D74" s="255">
        <f t="shared" si="5"/>
        <v>9.99</v>
      </c>
      <c r="E74" s="134"/>
      <c r="F74" s="211"/>
    </row>
    <row r="75" ht="4.5" customHeight="1">
      <c r="A75" s="137"/>
      <c r="B75" s="133"/>
      <c r="C75" s="133"/>
      <c r="D75" s="133"/>
      <c r="E75" s="133"/>
      <c r="F75" s="133"/>
      <c r="G75" s="125"/>
    </row>
    <row r="76" ht="19.5" customHeight="1">
      <c r="A76" s="174" t="s">
        <v>335</v>
      </c>
      <c r="B76" s="157">
        <v>46169.0</v>
      </c>
      <c r="C76" s="155">
        <v>14000.0</v>
      </c>
      <c r="D76" s="262"/>
      <c r="E76" s="263" t="s">
        <v>431</v>
      </c>
      <c r="F76" s="264"/>
      <c r="G76" s="252"/>
    </row>
    <row r="77" ht="19.5" customHeight="1">
      <c r="A77" s="167"/>
      <c r="B77" s="146">
        <v>46171.0</v>
      </c>
      <c r="C77" s="72">
        <v>142000.0</v>
      </c>
      <c r="D77" s="265"/>
      <c r="E77" s="266" t="s">
        <v>442</v>
      </c>
      <c r="F77" s="59" t="s">
        <v>637</v>
      </c>
      <c r="G77" s="252"/>
    </row>
    <row r="78" ht="19.5" customHeight="1">
      <c r="A78" s="167"/>
      <c r="B78" s="146">
        <v>46174.0</v>
      </c>
      <c r="C78" s="72">
        <v>70997.0</v>
      </c>
      <c r="D78" s="265"/>
      <c r="E78" s="266" t="s">
        <v>934</v>
      </c>
      <c r="F78" s="264"/>
      <c r="G78" s="252"/>
    </row>
    <row r="79" ht="19.5" customHeight="1">
      <c r="A79" s="167"/>
      <c r="B79" s="146">
        <v>46176.0</v>
      </c>
      <c r="C79" s="72">
        <v>122031.0</v>
      </c>
      <c r="D79" s="265"/>
      <c r="E79" s="266" t="s">
        <v>935</v>
      </c>
      <c r="F79" s="264"/>
      <c r="G79" s="252"/>
    </row>
    <row r="80" ht="19.5" customHeight="1">
      <c r="A80" s="167"/>
      <c r="B80" s="146">
        <v>46177.0</v>
      </c>
      <c r="C80" s="72">
        <v>8500.0</v>
      </c>
      <c r="D80" s="265"/>
      <c r="E80" s="266" t="s">
        <v>936</v>
      </c>
      <c r="F80" s="264"/>
      <c r="G80" s="252"/>
    </row>
    <row r="81" ht="30.0" customHeight="1">
      <c r="A81" s="176" t="s">
        <v>163</v>
      </c>
      <c r="B81" s="125"/>
      <c r="C81" s="255">
        <f>SUM(C76:C80)</f>
        <v>357528</v>
      </c>
      <c r="D81" s="255">
        <f>SUM(D77:D80)</f>
        <v>0</v>
      </c>
      <c r="E81" s="134"/>
      <c r="F81" s="135"/>
    </row>
    <row r="82" ht="4.5" customHeight="1">
      <c r="A82" s="137"/>
      <c r="B82" s="133"/>
      <c r="C82" s="133"/>
      <c r="D82" s="133"/>
      <c r="E82" s="133"/>
      <c r="F82" s="133"/>
      <c r="G82" s="125"/>
    </row>
    <row r="83" ht="19.5" customHeight="1">
      <c r="A83" s="174" t="s">
        <v>17</v>
      </c>
      <c r="B83" s="267">
        <v>46163.0</v>
      </c>
      <c r="C83" s="155">
        <v>250000.0</v>
      </c>
      <c r="D83" s="262"/>
      <c r="E83" s="268" t="s">
        <v>940</v>
      </c>
      <c r="F83" s="80" t="s">
        <v>250</v>
      </c>
      <c r="G83" s="269"/>
    </row>
    <row r="84" ht="30.0" customHeight="1">
      <c r="A84" s="176" t="s">
        <v>163</v>
      </c>
      <c r="B84" s="125"/>
      <c r="C84" s="255">
        <f t="shared" ref="C84:D84" si="6">SUM(C83)</f>
        <v>250000</v>
      </c>
      <c r="D84" s="255">
        <f t="shared" si="6"/>
        <v>0</v>
      </c>
      <c r="E84" s="134"/>
      <c r="F84" s="135"/>
    </row>
    <row r="85" ht="4.5" customHeight="1">
      <c r="A85" s="137"/>
      <c r="B85" s="133"/>
      <c r="C85" s="133"/>
      <c r="D85" s="195"/>
      <c r="E85" s="270"/>
      <c r="F85" s="270"/>
      <c r="G85" s="270"/>
    </row>
    <row r="86" ht="30.0" customHeight="1">
      <c r="A86" s="176" t="s">
        <v>496</v>
      </c>
      <c r="B86" s="125"/>
      <c r="C86" s="255">
        <f t="shared" ref="C86:D86" si="7">SUM(C53+C64+C74+C81+C84)</f>
        <v>4409148.78</v>
      </c>
      <c r="D86" s="255">
        <f t="shared" si="7"/>
        <v>31.95</v>
      </c>
      <c r="E86" s="271"/>
      <c r="F86" s="211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6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52"/>
    <mergeCell ref="A53:B53"/>
    <mergeCell ref="A54:G54"/>
    <mergeCell ref="A81:B81"/>
    <mergeCell ref="A82:G82"/>
    <mergeCell ref="A84:B84"/>
    <mergeCell ref="A85:D85"/>
    <mergeCell ref="A86:B86"/>
    <mergeCell ref="A55:A63"/>
    <mergeCell ref="A64:B64"/>
    <mergeCell ref="A65:G65"/>
    <mergeCell ref="A66:A73"/>
    <mergeCell ref="A74:B74"/>
    <mergeCell ref="A75:G75"/>
    <mergeCell ref="A76:A80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90" t="s">
        <v>0</v>
      </c>
      <c r="B6" s="2"/>
      <c r="C6" s="3"/>
      <c r="D6" s="4" t="s">
        <v>1</v>
      </c>
      <c r="E6" s="5"/>
      <c r="F6" s="228" t="s">
        <v>983</v>
      </c>
      <c r="G6" s="9"/>
    </row>
    <row r="7" ht="19.5" customHeight="1">
      <c r="A7" s="10"/>
      <c r="B7" s="11"/>
      <c r="C7" s="12"/>
      <c r="D7" s="191" t="s">
        <v>5</v>
      </c>
      <c r="E7" s="15"/>
      <c r="F7" s="229">
        <v>2026.0</v>
      </c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>
        <v>5632902.89</v>
      </c>
      <c r="G8" s="17"/>
    </row>
    <row r="9" ht="19.5" customHeight="1">
      <c r="A9" s="196" t="s">
        <v>10</v>
      </c>
      <c r="B9" s="27">
        <f>SUM(C65)</f>
        <v>5183261.36</v>
      </c>
      <c r="C9" s="197">
        <f t="shared" ref="C9:C10" si="1">SUM(B9)</f>
        <v>5183261.36</v>
      </c>
      <c r="D9" s="198" t="s">
        <v>11</v>
      </c>
      <c r="E9" s="33"/>
      <c r="F9" s="33"/>
      <c r="G9" s="35"/>
    </row>
    <row r="10" ht="19.5" customHeight="1">
      <c r="A10" s="199" t="s">
        <v>12</v>
      </c>
      <c r="B10" s="200">
        <f>SUM(D65)</f>
        <v>21.96</v>
      </c>
      <c r="C10" s="201">
        <f t="shared" si="1"/>
        <v>21.96</v>
      </c>
      <c r="D10" s="202"/>
      <c r="G10" s="38"/>
    </row>
    <row r="11" ht="19.5" customHeight="1">
      <c r="A11" s="203" t="s">
        <v>13</v>
      </c>
      <c r="B11" s="210"/>
      <c r="C11" s="205">
        <f>SUM(B11+B12)</f>
        <v>16776</v>
      </c>
      <c r="D11" s="202"/>
      <c r="G11" s="38"/>
    </row>
    <row r="12" ht="19.5" customHeight="1">
      <c r="A12" s="199" t="s">
        <v>14</v>
      </c>
      <c r="B12" s="200">
        <f>SUM(C68)</f>
        <v>16776</v>
      </c>
      <c r="C12" s="209"/>
      <c r="D12" s="202"/>
      <c r="G12" s="38"/>
    </row>
    <row r="13" ht="19.5" customHeight="1">
      <c r="A13" s="203" t="s">
        <v>15</v>
      </c>
      <c r="B13" s="210"/>
      <c r="C13" s="205"/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>
        <f>SUM(C83)</f>
        <v>255592</v>
      </c>
      <c r="C15" s="217">
        <f t="shared" ref="C15:C17" si="2">SUM(B15)</f>
        <v>255592</v>
      </c>
      <c r="D15" s="202"/>
      <c r="G15" s="38"/>
    </row>
    <row r="16" ht="19.5" customHeight="1">
      <c r="A16" s="213" t="s">
        <v>18</v>
      </c>
      <c r="B16" s="216">
        <f>SUM(C75)</f>
        <v>16776</v>
      </c>
      <c r="C16" s="217">
        <f t="shared" si="2"/>
        <v>16776</v>
      </c>
      <c r="D16" s="202"/>
      <c r="G16" s="38"/>
    </row>
    <row r="17" ht="19.5" customHeight="1">
      <c r="A17" s="218" t="s">
        <v>998</v>
      </c>
      <c r="B17" s="219">
        <f>SUM(C71)</f>
        <v>16776</v>
      </c>
      <c r="C17" s="217">
        <f t="shared" si="2"/>
        <v>16776</v>
      </c>
      <c r="D17" s="224"/>
      <c r="E17" s="46"/>
      <c r="F17" s="46"/>
      <c r="G17" s="47"/>
    </row>
    <row r="18" ht="4.5" customHeight="1">
      <c r="A18" s="225"/>
      <c r="B18" s="133"/>
      <c r="C18" s="133"/>
      <c r="D18" s="133"/>
      <c r="E18" s="133"/>
      <c r="F18" s="133"/>
      <c r="G18" s="125"/>
    </row>
    <row r="19" ht="24.75" customHeight="1">
      <c r="A19" s="285" t="s">
        <v>21</v>
      </c>
      <c r="B19" s="226" t="s">
        <v>22</v>
      </c>
      <c r="C19" s="226" t="s">
        <v>23</v>
      </c>
      <c r="D19" s="226" t="s">
        <v>24</v>
      </c>
      <c r="E19" s="227" t="s">
        <v>25</v>
      </c>
      <c r="F19" s="227" t="s">
        <v>26</v>
      </c>
      <c r="G19" s="227" t="s">
        <v>27</v>
      </c>
    </row>
    <row r="20" ht="19.5" customHeight="1">
      <c r="A20" s="174" t="s">
        <v>28</v>
      </c>
      <c r="B20" s="157">
        <v>46144.0</v>
      </c>
      <c r="C20" s="155">
        <v>18909.16</v>
      </c>
      <c r="D20" s="155"/>
      <c r="E20" s="286" t="s">
        <v>1003</v>
      </c>
      <c r="F20" s="85" t="s">
        <v>820</v>
      </c>
      <c r="G20" s="269"/>
    </row>
    <row r="21" ht="19.5" customHeight="1">
      <c r="A21" s="167"/>
      <c r="B21" s="230">
        <v>46157.0</v>
      </c>
      <c r="C21" s="68">
        <v>23125.0</v>
      </c>
      <c r="D21" s="68"/>
      <c r="E21" s="289" t="s">
        <v>1007</v>
      </c>
      <c r="F21" s="71"/>
      <c r="G21" s="241"/>
    </row>
    <row r="22" ht="19.5" customHeight="1">
      <c r="A22" s="167"/>
      <c r="B22" s="146">
        <v>46206.0</v>
      </c>
      <c r="C22" s="72"/>
      <c r="D22" s="72">
        <v>9.99</v>
      </c>
      <c r="E22" s="293" t="s">
        <v>1014</v>
      </c>
      <c r="F22" s="75" t="s">
        <v>53</v>
      </c>
      <c r="G22" s="242"/>
    </row>
    <row r="23" ht="19.5" customHeight="1">
      <c r="A23" s="167"/>
      <c r="B23" s="146">
        <v>46207.0</v>
      </c>
      <c r="C23" s="72">
        <v>7300.0</v>
      </c>
      <c r="D23" s="72"/>
      <c r="E23" s="293" t="s">
        <v>860</v>
      </c>
      <c r="F23" s="59" t="s">
        <v>1019</v>
      </c>
      <c r="G23" s="242"/>
    </row>
    <row r="24" ht="19.5" customHeight="1">
      <c r="A24" s="167"/>
      <c r="B24" s="146">
        <v>46208.0</v>
      </c>
      <c r="C24" s="72"/>
      <c r="D24" s="72">
        <v>2.99</v>
      </c>
      <c r="E24" s="293" t="s">
        <v>1023</v>
      </c>
      <c r="F24" s="59" t="s">
        <v>82</v>
      </c>
      <c r="G24" s="242"/>
    </row>
    <row r="25" ht="19.5" customHeight="1">
      <c r="A25" s="167"/>
      <c r="B25" s="146">
        <v>46209.0</v>
      </c>
      <c r="C25" s="72">
        <v>37515.92</v>
      </c>
      <c r="D25" s="72"/>
      <c r="E25" s="293" t="s">
        <v>67</v>
      </c>
      <c r="F25" s="59" t="s">
        <v>68</v>
      </c>
      <c r="G25" s="242"/>
    </row>
    <row r="26" ht="19.5" customHeight="1">
      <c r="A26" s="167"/>
      <c r="B26" s="146">
        <v>46211.0</v>
      </c>
      <c r="C26" s="72">
        <v>30300.0</v>
      </c>
      <c r="D26" s="72"/>
      <c r="E26" s="293" t="s">
        <v>78</v>
      </c>
      <c r="F26" s="59" t="s">
        <v>79</v>
      </c>
      <c r="G26" s="242"/>
    </row>
    <row r="27" ht="19.5" customHeight="1">
      <c r="A27" s="167"/>
      <c r="B27" s="230">
        <v>46216.0</v>
      </c>
      <c r="C27" s="68">
        <v>89999.0</v>
      </c>
      <c r="D27" s="68"/>
      <c r="E27" s="289" t="s">
        <v>1025</v>
      </c>
      <c r="F27" s="71"/>
      <c r="G27" s="241"/>
    </row>
    <row r="28" ht="19.5" customHeight="1">
      <c r="A28" s="167"/>
      <c r="B28" s="146">
        <v>46217.0</v>
      </c>
      <c r="C28" s="72">
        <v>498159.0</v>
      </c>
      <c r="D28" s="72"/>
      <c r="E28" s="293" t="s">
        <v>97</v>
      </c>
      <c r="F28" s="59" t="s">
        <v>98</v>
      </c>
      <c r="G28" s="242"/>
    </row>
    <row r="29" ht="19.5" customHeight="1">
      <c r="A29" s="167"/>
      <c r="B29" s="146">
        <v>46218.0</v>
      </c>
      <c r="C29" s="72">
        <v>22117.33</v>
      </c>
      <c r="D29" s="72"/>
      <c r="E29" s="293" t="s">
        <v>1031</v>
      </c>
      <c r="F29" s="59" t="s">
        <v>112</v>
      </c>
      <c r="G29" s="242"/>
    </row>
    <row r="30" ht="19.5" customHeight="1">
      <c r="A30" s="167"/>
      <c r="B30" s="146">
        <v>46218.0</v>
      </c>
      <c r="C30" s="72">
        <v>22197.57</v>
      </c>
      <c r="D30" s="72"/>
      <c r="E30" s="293" t="s">
        <v>1033</v>
      </c>
      <c r="F30" s="59" t="s">
        <v>106</v>
      </c>
      <c r="G30" s="242"/>
    </row>
    <row r="31" ht="19.5" customHeight="1">
      <c r="A31" s="167"/>
      <c r="B31" s="146">
        <v>46218.0</v>
      </c>
      <c r="C31" s="72">
        <v>120605.41</v>
      </c>
      <c r="D31" s="72"/>
      <c r="E31" s="293" t="s">
        <v>1035</v>
      </c>
      <c r="F31" s="59" t="s">
        <v>108</v>
      </c>
      <c r="G31" s="242"/>
    </row>
    <row r="32" ht="19.5" customHeight="1">
      <c r="A32" s="167"/>
      <c r="B32" s="146">
        <v>46218.0</v>
      </c>
      <c r="C32" s="72">
        <v>22117.33</v>
      </c>
      <c r="D32" s="72"/>
      <c r="E32" s="293" t="s">
        <v>1037</v>
      </c>
      <c r="F32" s="59" t="s">
        <v>115</v>
      </c>
      <c r="G32" s="242"/>
    </row>
    <row r="33" ht="19.5" customHeight="1">
      <c r="A33" s="167"/>
      <c r="B33" s="146">
        <v>46218.0</v>
      </c>
      <c r="C33" s="72"/>
      <c r="D33" s="72">
        <v>6.99</v>
      </c>
      <c r="E33" s="293" t="s">
        <v>1040</v>
      </c>
      <c r="F33" s="59" t="s">
        <v>245</v>
      </c>
      <c r="G33" s="242"/>
    </row>
    <row r="34" ht="19.5" customHeight="1">
      <c r="A34" s="167"/>
      <c r="B34" s="146">
        <v>46219.0</v>
      </c>
      <c r="C34" s="72">
        <v>219862.5</v>
      </c>
      <c r="D34" s="72"/>
      <c r="E34" s="293" t="s">
        <v>36</v>
      </c>
      <c r="F34" s="90" t="s">
        <v>1044</v>
      </c>
      <c r="G34" s="242"/>
    </row>
    <row r="35" ht="19.5" customHeight="1">
      <c r="A35" s="167"/>
      <c r="B35" s="146">
        <v>46219.0</v>
      </c>
      <c r="C35" s="72">
        <v>98670.0</v>
      </c>
      <c r="D35" s="72"/>
      <c r="E35" s="293" t="s">
        <v>36</v>
      </c>
      <c r="F35" s="90" t="s">
        <v>1046</v>
      </c>
      <c r="G35" s="242"/>
    </row>
    <row r="36" ht="19.5" customHeight="1">
      <c r="A36" s="167"/>
      <c r="B36" s="146">
        <v>46219.0</v>
      </c>
      <c r="C36" s="72">
        <v>39682.5</v>
      </c>
      <c r="D36" s="72"/>
      <c r="E36" s="293" t="s">
        <v>36</v>
      </c>
      <c r="F36" s="90" t="s">
        <v>660</v>
      </c>
      <c r="G36" s="242"/>
    </row>
    <row r="37" ht="19.5" customHeight="1">
      <c r="A37" s="167"/>
      <c r="B37" s="146">
        <v>46219.0</v>
      </c>
      <c r="C37" s="72">
        <v>74860.5</v>
      </c>
      <c r="D37" s="72"/>
      <c r="E37" s="293" t="s">
        <v>36</v>
      </c>
      <c r="F37" s="59" t="s">
        <v>1051</v>
      </c>
      <c r="G37" s="242"/>
    </row>
    <row r="38" ht="18.0" customHeight="1">
      <c r="A38" s="167"/>
      <c r="B38" s="146">
        <v>46219.0</v>
      </c>
      <c r="C38" s="72">
        <v>61060.0</v>
      </c>
      <c r="D38" s="72"/>
      <c r="E38" s="293" t="s">
        <v>36</v>
      </c>
      <c r="F38" s="90" t="s">
        <v>1052</v>
      </c>
      <c r="G38" s="242"/>
    </row>
    <row r="39" ht="19.5" customHeight="1">
      <c r="A39" s="167"/>
      <c r="B39" s="230">
        <v>46220.0</v>
      </c>
      <c r="C39" s="68">
        <v>15000.0</v>
      </c>
      <c r="D39" s="68"/>
      <c r="E39" s="289" t="s">
        <v>1054</v>
      </c>
      <c r="F39" s="71"/>
      <c r="G39" s="241"/>
    </row>
    <row r="40" ht="26.25" customHeight="1">
      <c r="A40" s="167"/>
      <c r="B40" s="309">
        <v>46220.0</v>
      </c>
      <c r="C40" s="310">
        <v>-37400.0</v>
      </c>
      <c r="D40" s="311"/>
      <c r="E40" s="313" t="s">
        <v>36</v>
      </c>
      <c r="F40" s="314" t="s">
        <v>1059</v>
      </c>
      <c r="G40" s="242"/>
    </row>
    <row r="41" ht="19.5" customHeight="1">
      <c r="A41" s="167"/>
      <c r="B41" s="146">
        <v>46222.0</v>
      </c>
      <c r="C41" s="72">
        <v>1301230.76</v>
      </c>
      <c r="D41" s="72"/>
      <c r="E41" s="293" t="s">
        <v>43</v>
      </c>
      <c r="F41" s="59" t="s">
        <v>44</v>
      </c>
      <c r="G41" s="242"/>
    </row>
    <row r="42" ht="19.5" customHeight="1">
      <c r="A42" s="167"/>
      <c r="B42" s="146">
        <v>46222.0</v>
      </c>
      <c r="C42" s="72">
        <v>69617.4</v>
      </c>
      <c r="D42" s="72"/>
      <c r="E42" s="293" t="s">
        <v>254</v>
      </c>
      <c r="F42" s="59" t="s">
        <v>895</v>
      </c>
      <c r="G42" s="242"/>
    </row>
    <row r="43" ht="19.5" customHeight="1">
      <c r="A43" s="167"/>
      <c r="B43" s="146">
        <v>46222.0</v>
      </c>
      <c r="C43" s="72">
        <v>1301230.76</v>
      </c>
      <c r="D43" s="72"/>
      <c r="E43" s="293" t="s">
        <v>43</v>
      </c>
      <c r="F43" s="59" t="s">
        <v>44</v>
      </c>
      <c r="G43" s="242"/>
    </row>
    <row r="44" ht="19.5" customHeight="1">
      <c r="A44" s="167"/>
      <c r="B44" s="146">
        <v>46222.0</v>
      </c>
      <c r="C44" s="72">
        <v>69617.4</v>
      </c>
      <c r="D44" s="72"/>
      <c r="E44" s="293" t="s">
        <v>254</v>
      </c>
      <c r="F44" s="59" t="s">
        <v>895</v>
      </c>
      <c r="G44" s="252"/>
    </row>
    <row r="45" ht="19.5" customHeight="1">
      <c r="A45" s="167"/>
      <c r="B45" s="230">
        <v>46222.0</v>
      </c>
      <c r="C45" s="68">
        <v>6557.04</v>
      </c>
      <c r="D45" s="68"/>
      <c r="E45" s="289" t="s">
        <v>165</v>
      </c>
      <c r="F45" s="70"/>
      <c r="G45" s="251"/>
    </row>
    <row r="46" ht="19.5" customHeight="1">
      <c r="A46" s="167"/>
      <c r="B46" s="230">
        <v>46222.0</v>
      </c>
      <c r="C46" s="68">
        <v>9645.48</v>
      </c>
      <c r="D46" s="68"/>
      <c r="E46" s="289" t="s">
        <v>1064</v>
      </c>
      <c r="F46" s="70"/>
      <c r="G46" s="251"/>
    </row>
    <row r="47" ht="19.5" customHeight="1">
      <c r="A47" s="167"/>
      <c r="B47" s="146">
        <v>46222.0</v>
      </c>
      <c r="C47" s="189">
        <v>-1301230.76</v>
      </c>
      <c r="D47" s="72"/>
      <c r="E47" s="293" t="s">
        <v>43</v>
      </c>
      <c r="F47" s="59" t="s">
        <v>1066</v>
      </c>
      <c r="G47" s="242"/>
    </row>
    <row r="48" ht="19.5" customHeight="1">
      <c r="A48" s="167"/>
      <c r="B48" s="146">
        <v>46222.0</v>
      </c>
      <c r="C48" s="189">
        <v>-69617.4</v>
      </c>
      <c r="D48" s="72"/>
      <c r="E48" s="293" t="s">
        <v>254</v>
      </c>
      <c r="F48" s="59" t="s">
        <v>1067</v>
      </c>
      <c r="G48" s="252"/>
    </row>
    <row r="49" ht="19.5" customHeight="1">
      <c r="A49" s="167"/>
      <c r="B49" s="146">
        <v>46223.0</v>
      </c>
      <c r="C49" s="72">
        <v>52283.45</v>
      </c>
      <c r="D49" s="72"/>
      <c r="E49" s="293" t="s">
        <v>1069</v>
      </c>
      <c r="F49" s="59" t="s">
        <v>899</v>
      </c>
      <c r="G49" s="252"/>
    </row>
    <row r="50" ht="19.5" customHeight="1">
      <c r="A50" s="167"/>
      <c r="B50" s="146">
        <v>46223.0</v>
      </c>
      <c r="C50" s="58">
        <v>52283.45</v>
      </c>
      <c r="D50" s="58"/>
      <c r="E50" s="321" t="s">
        <v>1069</v>
      </c>
      <c r="F50" s="59" t="s">
        <v>899</v>
      </c>
      <c r="G50" s="252"/>
    </row>
    <row r="51" ht="19.5" customHeight="1">
      <c r="A51" s="167"/>
      <c r="B51" s="146">
        <v>46223.0</v>
      </c>
      <c r="C51" s="58">
        <v>105450.0</v>
      </c>
      <c r="D51" s="58"/>
      <c r="E51" s="321" t="s">
        <v>1072</v>
      </c>
      <c r="F51" s="59" t="s">
        <v>1074</v>
      </c>
      <c r="G51" s="252"/>
    </row>
    <row r="52" ht="19.5" customHeight="1">
      <c r="A52" s="167"/>
      <c r="B52" s="230">
        <v>46223.0</v>
      </c>
      <c r="C52" s="67">
        <v>83550.0</v>
      </c>
      <c r="D52" s="67"/>
      <c r="E52" s="324" t="s">
        <v>900</v>
      </c>
      <c r="F52" s="70"/>
      <c r="G52" s="251"/>
    </row>
    <row r="53" ht="19.5" customHeight="1">
      <c r="A53" s="167"/>
      <c r="B53" s="146">
        <v>46223.0</v>
      </c>
      <c r="C53" s="58"/>
      <c r="D53" s="58">
        <v>1.99</v>
      </c>
      <c r="E53" s="321" t="s">
        <v>1079</v>
      </c>
      <c r="F53" s="59" t="s">
        <v>82</v>
      </c>
      <c r="G53" s="252"/>
    </row>
    <row r="54" ht="19.5" customHeight="1">
      <c r="A54" s="167"/>
      <c r="B54" s="57">
        <v>46223.0</v>
      </c>
      <c r="C54" s="172">
        <v>-52283.45</v>
      </c>
      <c r="D54" s="58"/>
      <c r="E54" s="321" t="s">
        <v>1069</v>
      </c>
      <c r="F54" s="59" t="s">
        <v>1081</v>
      </c>
      <c r="G54" s="252"/>
    </row>
    <row r="55" ht="19.5" customHeight="1">
      <c r="A55" s="167"/>
      <c r="B55" s="65">
        <v>46224.0</v>
      </c>
      <c r="C55" s="67">
        <v>3097.64</v>
      </c>
      <c r="D55" s="67"/>
      <c r="E55" s="324" t="s">
        <v>1085</v>
      </c>
      <c r="F55" s="70"/>
      <c r="G55" s="251"/>
    </row>
    <row r="56" ht="19.5" customHeight="1">
      <c r="A56" s="167"/>
      <c r="B56" s="57">
        <v>46224.0</v>
      </c>
      <c r="C56" s="58">
        <v>1525296.41</v>
      </c>
      <c r="D56" s="58"/>
      <c r="E56" s="321" t="s">
        <v>135</v>
      </c>
      <c r="F56" s="59" t="s">
        <v>136</v>
      </c>
      <c r="G56" s="252"/>
    </row>
    <row r="57" ht="19.5" customHeight="1">
      <c r="A57" s="167"/>
      <c r="B57" s="65">
        <v>46225.0</v>
      </c>
      <c r="C57" s="67">
        <v>63847.6</v>
      </c>
      <c r="D57" s="67"/>
      <c r="E57" s="324" t="s">
        <v>546</v>
      </c>
      <c r="F57" s="70"/>
      <c r="G57" s="251"/>
    </row>
    <row r="58" ht="19.5" customHeight="1">
      <c r="A58" s="167"/>
      <c r="B58" s="65">
        <v>46227.0</v>
      </c>
      <c r="C58" s="67">
        <v>1192.99</v>
      </c>
      <c r="D58" s="67"/>
      <c r="E58" s="324" t="s">
        <v>166</v>
      </c>
      <c r="F58" s="70"/>
      <c r="G58" s="251"/>
    </row>
    <row r="59" ht="19.5" customHeight="1">
      <c r="A59" s="167"/>
      <c r="B59" s="57">
        <v>46230.0</v>
      </c>
      <c r="C59" s="58">
        <v>35384.5</v>
      </c>
      <c r="D59" s="58"/>
      <c r="E59" s="321" t="s">
        <v>36</v>
      </c>
      <c r="F59" s="59" t="s">
        <v>1088</v>
      </c>
      <c r="G59" s="252"/>
    </row>
    <row r="60" ht="19.5" customHeight="1">
      <c r="A60" s="167"/>
      <c r="B60" s="57">
        <v>46230.0</v>
      </c>
      <c r="C60" s="58">
        <v>64350.0</v>
      </c>
      <c r="D60" s="58"/>
      <c r="E60" s="321" t="s">
        <v>143</v>
      </c>
      <c r="F60" s="59" t="s">
        <v>859</v>
      </c>
      <c r="G60" s="252"/>
    </row>
    <row r="61" ht="19.5" customHeight="1">
      <c r="A61" s="167"/>
      <c r="B61" s="57">
        <v>46230.0</v>
      </c>
      <c r="C61" s="58">
        <v>109395.0</v>
      </c>
      <c r="D61" s="58"/>
      <c r="E61" s="321" t="s">
        <v>36</v>
      </c>
      <c r="F61" s="59" t="s">
        <v>1093</v>
      </c>
      <c r="G61" s="252"/>
    </row>
    <row r="62" ht="19.5" customHeight="1">
      <c r="A62" s="167"/>
      <c r="B62" s="57">
        <v>46230.0</v>
      </c>
      <c r="C62" s="58">
        <v>214500.0</v>
      </c>
      <c r="D62" s="58"/>
      <c r="E62" s="321" t="s">
        <v>36</v>
      </c>
      <c r="F62" s="59" t="s">
        <v>1094</v>
      </c>
      <c r="G62" s="252"/>
    </row>
    <row r="63" ht="19.5" customHeight="1">
      <c r="A63" s="167"/>
      <c r="B63" s="57">
        <v>46230.0</v>
      </c>
      <c r="C63" s="58">
        <v>52343.94</v>
      </c>
      <c r="D63" s="58"/>
      <c r="E63" s="321" t="s">
        <v>36</v>
      </c>
      <c r="F63" s="59" t="s">
        <v>1096</v>
      </c>
      <c r="G63" s="252"/>
    </row>
    <row r="64" ht="19.5" customHeight="1">
      <c r="A64" s="254"/>
      <c r="B64" s="57">
        <v>46230.0</v>
      </c>
      <c r="C64" s="58">
        <v>121437.93</v>
      </c>
      <c r="D64" s="58"/>
      <c r="E64" s="321" t="s">
        <v>36</v>
      </c>
      <c r="F64" s="59" t="s">
        <v>1099</v>
      </c>
      <c r="G64" s="252"/>
    </row>
    <row r="65" ht="30.0" customHeight="1">
      <c r="A65" s="176" t="s">
        <v>163</v>
      </c>
      <c r="B65" s="125"/>
      <c r="C65" s="255">
        <f t="shared" ref="C65:D65" si="3">SUM(C20:C64)</f>
        <v>5183261.36</v>
      </c>
      <c r="D65" s="255">
        <f t="shared" si="3"/>
        <v>21.96</v>
      </c>
      <c r="E65" s="134"/>
      <c r="F65" s="135"/>
    </row>
    <row r="66" ht="4.5" customHeight="1">
      <c r="A66" s="137"/>
      <c r="B66" s="133"/>
      <c r="C66" s="133"/>
      <c r="D66" s="133"/>
      <c r="E66" s="133"/>
      <c r="F66" s="133"/>
      <c r="G66" s="125"/>
    </row>
    <row r="67" ht="19.5" customHeight="1">
      <c r="A67" s="174" t="s">
        <v>172</v>
      </c>
      <c r="B67" s="57">
        <v>46233.0</v>
      </c>
      <c r="C67" s="58">
        <v>16776.0</v>
      </c>
      <c r="D67" s="155"/>
      <c r="E67" s="321" t="s">
        <v>259</v>
      </c>
      <c r="F67" s="336"/>
      <c r="G67" s="252"/>
    </row>
    <row r="68" ht="30.0" customHeight="1">
      <c r="A68" s="176" t="s">
        <v>163</v>
      </c>
      <c r="B68" s="125"/>
      <c r="C68" s="255">
        <f t="shared" ref="C68:D68" si="4">SUM(C67)</f>
        <v>16776</v>
      </c>
      <c r="D68" s="255">
        <f t="shared" si="4"/>
        <v>0</v>
      </c>
      <c r="E68" s="134"/>
      <c r="F68" s="135"/>
    </row>
    <row r="69" ht="4.5" customHeight="1">
      <c r="A69" s="137"/>
      <c r="B69" s="133"/>
      <c r="C69" s="133"/>
      <c r="D69" s="133"/>
      <c r="E69" s="133"/>
      <c r="F69" s="133"/>
      <c r="G69" s="125"/>
    </row>
    <row r="70" ht="19.5" customHeight="1">
      <c r="A70" s="174" t="s">
        <v>998</v>
      </c>
      <c r="B70" s="157">
        <v>46233.0</v>
      </c>
      <c r="C70" s="58">
        <v>16776.0</v>
      </c>
      <c r="D70" s="155"/>
      <c r="E70" s="321" t="s">
        <v>259</v>
      </c>
      <c r="F70" s="158"/>
      <c r="G70" s="269"/>
    </row>
    <row r="71" ht="30.0" customHeight="1">
      <c r="A71" s="176" t="s">
        <v>163</v>
      </c>
      <c r="B71" s="125"/>
      <c r="C71" s="255">
        <f t="shared" ref="C71:D71" si="5">SUM(C70)</f>
        <v>16776</v>
      </c>
      <c r="D71" s="255">
        <f t="shared" si="5"/>
        <v>0</v>
      </c>
      <c r="E71" s="177"/>
      <c r="F71" s="135"/>
      <c r="G71" s="178"/>
    </row>
    <row r="72" ht="4.5" customHeight="1">
      <c r="A72" s="137"/>
      <c r="B72" s="133"/>
      <c r="C72" s="133"/>
      <c r="D72" s="133"/>
      <c r="E72" s="133"/>
      <c r="F72" s="133"/>
      <c r="G72" s="125"/>
    </row>
    <row r="73" ht="19.5" customHeight="1">
      <c r="A73" s="174" t="s">
        <v>18</v>
      </c>
      <c r="B73" s="163">
        <v>46225.0</v>
      </c>
      <c r="C73" s="155"/>
      <c r="D73" s="155">
        <v>9.99</v>
      </c>
      <c r="E73" s="286" t="s">
        <v>1123</v>
      </c>
      <c r="F73" s="78" t="s">
        <v>321</v>
      </c>
      <c r="G73" s="342"/>
    </row>
    <row r="74" ht="19.5" customHeight="1">
      <c r="A74" s="167"/>
      <c r="B74" s="168">
        <v>46233.0</v>
      </c>
      <c r="C74" s="72">
        <v>16776.0</v>
      </c>
      <c r="D74" s="72"/>
      <c r="E74" s="293" t="s">
        <v>259</v>
      </c>
      <c r="F74" s="75"/>
      <c r="G74" s="350"/>
    </row>
    <row r="75" ht="30.0" customHeight="1">
      <c r="A75" s="176" t="s">
        <v>163</v>
      </c>
      <c r="B75" s="125"/>
      <c r="C75" s="255">
        <f t="shared" ref="C75:D75" si="6">SUM(C73:C74)</f>
        <v>16776</v>
      </c>
      <c r="D75" s="255">
        <f t="shared" si="6"/>
        <v>9.99</v>
      </c>
      <c r="E75" s="134"/>
      <c r="F75" s="211"/>
    </row>
    <row r="76" ht="4.5" customHeight="1">
      <c r="A76" s="137"/>
      <c r="B76" s="133"/>
      <c r="C76" s="133"/>
      <c r="D76" s="133"/>
      <c r="E76" s="133"/>
      <c r="F76" s="133"/>
      <c r="G76" s="125"/>
    </row>
    <row r="77" ht="19.5" customHeight="1">
      <c r="A77" s="174" t="s">
        <v>335</v>
      </c>
      <c r="B77" s="157">
        <v>46207.0</v>
      </c>
      <c r="C77" s="155"/>
      <c r="D77" s="188">
        <v>5.77</v>
      </c>
      <c r="E77" s="321" t="s">
        <v>1136</v>
      </c>
      <c r="F77" s="166"/>
      <c r="G77" s="252"/>
    </row>
    <row r="78" ht="19.5" customHeight="1">
      <c r="A78" s="167"/>
      <c r="B78" s="146">
        <v>46233.0</v>
      </c>
      <c r="C78" s="72">
        <v>16776.0</v>
      </c>
      <c r="D78" s="72"/>
      <c r="E78" s="293" t="s">
        <v>259</v>
      </c>
      <c r="F78" s="59"/>
      <c r="G78" s="252"/>
    </row>
    <row r="79" ht="30.0" customHeight="1">
      <c r="A79" s="176" t="s">
        <v>163</v>
      </c>
      <c r="B79" s="125"/>
      <c r="C79" s="255">
        <f>SUM(C77:C78)</f>
        <v>16776</v>
      </c>
      <c r="D79" s="255">
        <f>SUM(D77)</f>
        <v>5.77</v>
      </c>
      <c r="E79" s="134"/>
      <c r="F79" s="135"/>
    </row>
    <row r="80" ht="4.5" customHeight="1">
      <c r="A80" s="137"/>
      <c r="B80" s="133"/>
      <c r="C80" s="133"/>
      <c r="D80" s="133"/>
      <c r="E80" s="133"/>
      <c r="F80" s="133"/>
      <c r="G80" s="125"/>
    </row>
    <row r="81" ht="19.5" customHeight="1">
      <c r="A81" s="174" t="s">
        <v>17</v>
      </c>
      <c r="B81" s="163">
        <v>46163.0</v>
      </c>
      <c r="C81" s="155">
        <v>250000.0</v>
      </c>
      <c r="D81" s="155"/>
      <c r="E81" s="286" t="s">
        <v>1140</v>
      </c>
      <c r="F81" s="80" t="s">
        <v>250</v>
      </c>
      <c r="G81" s="269"/>
    </row>
    <row r="82" ht="19.5" customHeight="1">
      <c r="A82" s="167"/>
      <c r="B82" s="168">
        <v>46233.0</v>
      </c>
      <c r="C82" s="72">
        <v>5592.0</v>
      </c>
      <c r="D82" s="72"/>
      <c r="E82" s="293" t="s">
        <v>1141</v>
      </c>
      <c r="F82" s="80"/>
      <c r="G82" s="242"/>
    </row>
    <row r="83" ht="30.0" customHeight="1">
      <c r="A83" s="176" t="s">
        <v>163</v>
      </c>
      <c r="B83" s="125"/>
      <c r="C83" s="255">
        <f t="shared" ref="C83:D83" si="7">SUM(C81:C82)</f>
        <v>255592</v>
      </c>
      <c r="D83" s="255">
        <f t="shared" si="7"/>
        <v>0</v>
      </c>
      <c r="E83" s="134"/>
      <c r="F83" s="135"/>
    </row>
    <row r="84" ht="4.5" customHeight="1">
      <c r="A84" s="137"/>
      <c r="B84" s="133"/>
      <c r="C84" s="133"/>
      <c r="D84" s="195"/>
      <c r="E84" s="270"/>
      <c r="F84" s="270"/>
      <c r="G84" s="270"/>
    </row>
    <row r="85" ht="30.0" customHeight="1">
      <c r="A85" s="176" t="s">
        <v>496</v>
      </c>
      <c r="B85" s="125"/>
      <c r="C85" s="255">
        <f>+C65+C68+C71+C75+C79+C83</f>
        <v>5505957.36</v>
      </c>
      <c r="D85" s="255">
        <f>D65+D75+D79</f>
        <v>37.72</v>
      </c>
      <c r="E85" s="271"/>
      <c r="F85" s="211"/>
    </row>
    <row r="86" ht="19.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64"/>
    <mergeCell ref="A65:B65"/>
    <mergeCell ref="A66:G66"/>
    <mergeCell ref="A77:A78"/>
    <mergeCell ref="A79:B79"/>
    <mergeCell ref="A80:G80"/>
    <mergeCell ref="A81:A82"/>
    <mergeCell ref="A83:B83"/>
    <mergeCell ref="A84:D84"/>
    <mergeCell ref="A85:B85"/>
    <mergeCell ref="A68:B68"/>
    <mergeCell ref="A69:G69"/>
    <mergeCell ref="A71:B71"/>
    <mergeCell ref="A72:G72"/>
    <mergeCell ref="A73:A74"/>
    <mergeCell ref="A75:B75"/>
    <mergeCell ref="A76:G76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90" t="s">
        <v>0</v>
      </c>
      <c r="B6" s="2"/>
      <c r="C6" s="3"/>
      <c r="D6" s="4" t="s">
        <v>1</v>
      </c>
      <c r="E6" s="5"/>
      <c r="F6" s="228"/>
      <c r="G6" s="9"/>
    </row>
    <row r="7" ht="19.5" customHeight="1">
      <c r="A7" s="10"/>
      <c r="B7" s="11"/>
      <c r="C7" s="12"/>
      <c r="D7" s="191" t="s">
        <v>5</v>
      </c>
      <c r="E7" s="15"/>
      <c r="F7" s="229"/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/>
      <c r="G8" s="17"/>
    </row>
    <row r="9" ht="19.5" customHeight="1">
      <c r="A9" s="196" t="s">
        <v>10</v>
      </c>
      <c r="B9" s="27"/>
      <c r="C9" s="197"/>
      <c r="D9" s="198" t="s">
        <v>11</v>
      </c>
      <c r="E9" s="33"/>
      <c r="F9" s="33"/>
      <c r="G9" s="35"/>
    </row>
    <row r="10" ht="19.5" customHeight="1">
      <c r="A10" s="199" t="s">
        <v>12</v>
      </c>
      <c r="B10" s="200"/>
      <c r="C10" s="201"/>
      <c r="D10" s="202"/>
      <c r="G10" s="38"/>
    </row>
    <row r="11" ht="19.5" customHeight="1">
      <c r="A11" s="203" t="s">
        <v>13</v>
      </c>
      <c r="B11" s="210"/>
      <c r="C11" s="205"/>
      <c r="D11" s="202"/>
      <c r="G11" s="38"/>
    </row>
    <row r="12" ht="19.5" customHeight="1">
      <c r="A12" s="199" t="s">
        <v>14</v>
      </c>
      <c r="B12" s="200"/>
      <c r="C12" s="209"/>
      <c r="D12" s="202"/>
      <c r="G12" s="38"/>
    </row>
    <row r="13" ht="19.5" customHeight="1">
      <c r="A13" s="203" t="s">
        <v>15</v>
      </c>
      <c r="B13" s="210"/>
      <c r="C13" s="205"/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/>
      <c r="C15" s="217"/>
      <c r="D15" s="202"/>
      <c r="G15" s="38"/>
    </row>
    <row r="16" ht="19.5" customHeight="1">
      <c r="A16" s="213" t="s">
        <v>18</v>
      </c>
      <c r="B16" s="216"/>
      <c r="C16" s="217"/>
      <c r="D16" s="202"/>
      <c r="G16" s="38"/>
    </row>
    <row r="17" ht="19.5" customHeight="1">
      <c r="A17" s="218" t="s">
        <v>19</v>
      </c>
      <c r="B17" s="219"/>
      <c r="C17" s="220"/>
      <c r="D17" s="202"/>
      <c r="G17" s="38"/>
    </row>
    <row r="18" ht="19.5" customHeight="1">
      <c r="A18" s="221" t="s">
        <v>20</v>
      </c>
      <c r="B18" s="222"/>
      <c r="C18" s="223"/>
      <c r="D18" s="224"/>
      <c r="E18" s="46"/>
      <c r="F18" s="46"/>
      <c r="G18" s="47"/>
    </row>
    <row r="19" ht="4.5" customHeight="1">
      <c r="A19" s="225"/>
      <c r="B19" s="133"/>
      <c r="C19" s="133"/>
      <c r="D19" s="133"/>
      <c r="E19" s="133"/>
      <c r="F19" s="133"/>
      <c r="G19" s="125"/>
    </row>
    <row r="20" ht="24.75" customHeight="1">
      <c r="A20" s="285" t="s">
        <v>21</v>
      </c>
      <c r="B20" s="226" t="s">
        <v>22</v>
      </c>
      <c r="C20" s="226" t="s">
        <v>23</v>
      </c>
      <c r="D20" s="226" t="s">
        <v>24</v>
      </c>
      <c r="E20" s="227" t="s">
        <v>25</v>
      </c>
      <c r="F20" s="227" t="s">
        <v>26</v>
      </c>
      <c r="G20" s="227" t="s">
        <v>27</v>
      </c>
    </row>
    <row r="21" ht="19.5" customHeight="1">
      <c r="A21" s="174" t="s">
        <v>28</v>
      </c>
      <c r="B21" s="287">
        <v>46234.0</v>
      </c>
      <c r="C21" s="288">
        <v>8458.94</v>
      </c>
      <c r="D21" s="290"/>
      <c r="E21" s="291" t="s">
        <v>1010</v>
      </c>
      <c r="F21" s="235"/>
      <c r="G21" s="269"/>
    </row>
    <row r="22" ht="19.5" customHeight="1">
      <c r="A22" s="167"/>
      <c r="B22" s="292">
        <v>46234.0</v>
      </c>
      <c r="C22" s="294">
        <v>3000.0</v>
      </c>
      <c r="D22" s="295"/>
      <c r="E22" s="296" t="s">
        <v>1017</v>
      </c>
      <c r="F22" s="297"/>
      <c r="G22" s="242"/>
    </row>
    <row r="23" ht="19.5" customHeight="1">
      <c r="A23" s="167"/>
      <c r="B23" s="292">
        <v>46234.0</v>
      </c>
      <c r="C23" s="294">
        <v>13500.0</v>
      </c>
      <c r="D23" s="298"/>
      <c r="E23" s="296" t="s">
        <v>1022</v>
      </c>
      <c r="F23" s="297"/>
      <c r="G23" s="242"/>
    </row>
    <row r="24" ht="19.5" customHeight="1">
      <c r="A24" s="167"/>
      <c r="B24" s="299">
        <v>46237.0</v>
      </c>
      <c r="C24" s="300"/>
      <c r="D24" s="301">
        <v>9.99</v>
      </c>
      <c r="E24" s="302" t="s">
        <v>1028</v>
      </c>
      <c r="F24" s="75" t="s">
        <v>53</v>
      </c>
      <c r="G24" s="242"/>
    </row>
    <row r="25" ht="19.5" customHeight="1">
      <c r="A25" s="167"/>
      <c r="B25" s="299">
        <v>46238.0</v>
      </c>
      <c r="C25" s="301">
        <v>7300.0</v>
      </c>
      <c r="D25" s="300"/>
      <c r="E25" s="302" t="s">
        <v>860</v>
      </c>
      <c r="F25" s="59" t="s">
        <v>1019</v>
      </c>
      <c r="G25" s="242"/>
    </row>
    <row r="26" ht="19.5" customHeight="1">
      <c r="A26" s="167"/>
      <c r="B26" s="299">
        <v>46239.0</v>
      </c>
      <c r="C26" s="301">
        <v>42827.5</v>
      </c>
      <c r="D26" s="265"/>
      <c r="E26" s="302" t="s">
        <v>36</v>
      </c>
      <c r="F26" s="305" t="s">
        <v>1032</v>
      </c>
      <c r="G26" s="242"/>
    </row>
    <row r="27" ht="19.5" customHeight="1">
      <c r="A27" s="167"/>
      <c r="B27" s="299">
        <v>46239.0</v>
      </c>
      <c r="C27" s="301">
        <v>35320.0</v>
      </c>
      <c r="D27" s="265"/>
      <c r="E27" s="302" t="s">
        <v>36</v>
      </c>
      <c r="F27" s="305" t="s">
        <v>47</v>
      </c>
      <c r="G27" s="242"/>
    </row>
    <row r="28" ht="19.5" customHeight="1">
      <c r="A28" s="167"/>
      <c r="B28" s="299">
        <v>46239.0</v>
      </c>
      <c r="C28" s="301">
        <v>85006.54</v>
      </c>
      <c r="D28" s="265"/>
      <c r="E28" s="302" t="s">
        <v>36</v>
      </c>
      <c r="F28" s="305" t="s">
        <v>1038</v>
      </c>
      <c r="G28" s="242"/>
    </row>
    <row r="29" ht="19.5" customHeight="1">
      <c r="A29" s="167"/>
      <c r="B29" s="299">
        <v>46239.0</v>
      </c>
      <c r="C29" s="301">
        <v>19305.0</v>
      </c>
      <c r="D29" s="265"/>
      <c r="E29" s="302" t="s">
        <v>36</v>
      </c>
      <c r="F29" s="305" t="s">
        <v>1041</v>
      </c>
      <c r="G29" s="242"/>
    </row>
    <row r="30" ht="19.5" customHeight="1">
      <c r="A30" s="167"/>
      <c r="B30" s="299">
        <v>46239.0</v>
      </c>
      <c r="C30" s="301">
        <v>219862.5</v>
      </c>
      <c r="D30" s="265"/>
      <c r="E30" s="302" t="s">
        <v>36</v>
      </c>
      <c r="F30" s="305" t="s">
        <v>1043</v>
      </c>
      <c r="G30" s="242"/>
    </row>
    <row r="31" ht="19.5" customHeight="1">
      <c r="A31" s="167"/>
      <c r="B31" s="299">
        <v>46239.0</v>
      </c>
      <c r="C31" s="301">
        <v>36465.0</v>
      </c>
      <c r="D31" s="265"/>
      <c r="E31" s="302" t="s">
        <v>36</v>
      </c>
      <c r="F31" s="305" t="s">
        <v>660</v>
      </c>
      <c r="G31" s="242"/>
    </row>
    <row r="32" ht="19.5" customHeight="1">
      <c r="A32" s="167"/>
      <c r="B32" s="292">
        <v>46239.0</v>
      </c>
      <c r="C32" s="294">
        <v>1680.0</v>
      </c>
      <c r="D32" s="295"/>
      <c r="E32" s="296" t="s">
        <v>1047</v>
      </c>
      <c r="F32" s="70"/>
      <c r="G32" s="242"/>
    </row>
    <row r="33" ht="19.5" customHeight="1">
      <c r="A33" s="167"/>
      <c r="B33" s="299">
        <v>46239.0</v>
      </c>
      <c r="C33" s="300"/>
      <c r="D33" s="301">
        <v>2.99</v>
      </c>
      <c r="E33" s="302" t="s">
        <v>1049</v>
      </c>
      <c r="F33" s="59" t="s">
        <v>82</v>
      </c>
      <c r="G33" s="242"/>
    </row>
    <row r="34" ht="19.5" customHeight="1">
      <c r="A34" s="167"/>
      <c r="B34" s="299">
        <v>46240.0</v>
      </c>
      <c r="C34" s="301">
        <v>39251.97</v>
      </c>
      <c r="D34" s="300"/>
      <c r="E34" s="302" t="s">
        <v>67</v>
      </c>
      <c r="F34" s="59" t="s">
        <v>68</v>
      </c>
      <c r="G34" s="242"/>
    </row>
    <row r="35" ht="19.5" customHeight="1">
      <c r="A35" s="167"/>
      <c r="B35" s="292">
        <v>46240.0</v>
      </c>
      <c r="C35" s="294">
        <v>4771.96</v>
      </c>
      <c r="D35" s="295"/>
      <c r="E35" s="296" t="s">
        <v>885</v>
      </c>
      <c r="F35" s="308"/>
      <c r="G35" s="242"/>
    </row>
    <row r="36" ht="19.5" customHeight="1">
      <c r="A36" s="167"/>
      <c r="B36" s="292">
        <v>46240.0</v>
      </c>
      <c r="C36" s="294">
        <v>2385.98</v>
      </c>
      <c r="D36" s="295"/>
      <c r="E36" s="296" t="s">
        <v>72</v>
      </c>
      <c r="F36" s="308"/>
      <c r="G36" s="242"/>
    </row>
    <row r="37" ht="19.5" customHeight="1">
      <c r="A37" s="167"/>
      <c r="B37" s="299">
        <v>46240.0</v>
      </c>
      <c r="C37" s="301">
        <v>30300.0</v>
      </c>
      <c r="D37" s="265"/>
      <c r="E37" s="302" t="s">
        <v>78</v>
      </c>
      <c r="F37" s="59" t="s">
        <v>79</v>
      </c>
      <c r="G37" s="242"/>
    </row>
    <row r="38" ht="19.5" customHeight="1">
      <c r="A38" s="167"/>
      <c r="B38" s="299">
        <v>46241.0</v>
      </c>
      <c r="C38" s="301">
        <v>436662.42</v>
      </c>
      <c r="D38" s="265"/>
      <c r="E38" s="302" t="s">
        <v>149</v>
      </c>
      <c r="F38" s="312" t="s">
        <v>1057</v>
      </c>
      <c r="G38" s="242"/>
    </row>
    <row r="39" ht="18.0" customHeight="1">
      <c r="A39" s="167"/>
      <c r="B39" s="292">
        <v>46241.0</v>
      </c>
      <c r="C39" s="294">
        <v>59000.0</v>
      </c>
      <c r="D39" s="295"/>
      <c r="E39" s="296" t="s">
        <v>1058</v>
      </c>
      <c r="F39" s="308"/>
      <c r="G39" s="242"/>
    </row>
    <row r="40" ht="19.5" customHeight="1">
      <c r="A40" s="167"/>
      <c r="B40" s="299">
        <v>46241.0</v>
      </c>
      <c r="C40" s="301">
        <v>134321.25</v>
      </c>
      <c r="D40" s="265"/>
      <c r="E40" s="302" t="s">
        <v>546</v>
      </c>
      <c r="F40" s="305" t="s">
        <v>1060</v>
      </c>
      <c r="G40" s="242"/>
    </row>
    <row r="41" ht="19.5" customHeight="1">
      <c r="A41" s="167"/>
      <c r="B41" s="315">
        <v>46245.0</v>
      </c>
      <c r="C41" s="316">
        <v>12420.0</v>
      </c>
      <c r="D41" s="317"/>
      <c r="E41" s="318" t="s">
        <v>546</v>
      </c>
      <c r="F41" s="305" t="s">
        <v>1061</v>
      </c>
      <c r="G41" s="242"/>
    </row>
    <row r="42" ht="19.5" customHeight="1">
      <c r="A42" s="167"/>
      <c r="B42" s="292">
        <v>46245.0</v>
      </c>
      <c r="C42" s="319">
        <v>108000.0</v>
      </c>
      <c r="D42" s="295"/>
      <c r="E42" s="296" t="s">
        <v>1062</v>
      </c>
      <c r="F42" s="70"/>
      <c r="G42" s="242"/>
    </row>
    <row r="43" ht="19.5" customHeight="1">
      <c r="A43" s="167"/>
      <c r="B43" s="299">
        <v>46245.0</v>
      </c>
      <c r="C43" s="316">
        <v>511764.0</v>
      </c>
      <c r="D43" s="265"/>
      <c r="E43" s="302" t="s">
        <v>97</v>
      </c>
      <c r="F43" s="59" t="s">
        <v>98</v>
      </c>
      <c r="G43" s="242"/>
    </row>
    <row r="44" ht="19.5" customHeight="1">
      <c r="A44" s="167"/>
      <c r="B44" s="299">
        <v>46246.0</v>
      </c>
      <c r="C44" s="316">
        <v>22197.57</v>
      </c>
      <c r="D44" s="265"/>
      <c r="E44" s="302" t="s">
        <v>1063</v>
      </c>
      <c r="F44" s="59" t="s">
        <v>106</v>
      </c>
      <c r="G44" s="242"/>
    </row>
    <row r="45" ht="19.5" customHeight="1">
      <c r="A45" s="167"/>
      <c r="B45" s="299">
        <v>46246.0</v>
      </c>
      <c r="C45" s="316">
        <v>22117.32</v>
      </c>
      <c r="D45" s="265"/>
      <c r="E45" s="302" t="s">
        <v>1065</v>
      </c>
      <c r="F45" s="59" t="s">
        <v>115</v>
      </c>
      <c r="G45" s="252"/>
    </row>
    <row r="46" ht="19.5" customHeight="1">
      <c r="A46" s="167"/>
      <c r="B46" s="299">
        <v>46246.0</v>
      </c>
      <c r="C46" s="316">
        <v>22117.32</v>
      </c>
      <c r="D46" s="265"/>
      <c r="E46" s="320" t="s">
        <v>1068</v>
      </c>
      <c r="F46" s="59" t="s">
        <v>112</v>
      </c>
      <c r="G46" s="252"/>
    </row>
    <row r="47" ht="19.5" customHeight="1">
      <c r="A47" s="167"/>
      <c r="B47" s="299">
        <v>46246.0</v>
      </c>
      <c r="C47" s="316">
        <v>120605.41</v>
      </c>
      <c r="D47" s="265"/>
      <c r="E47" s="302" t="s">
        <v>1070</v>
      </c>
      <c r="F47" s="59" t="s">
        <v>108</v>
      </c>
      <c r="G47" s="252"/>
    </row>
    <row r="48" ht="19.5" customHeight="1">
      <c r="A48" s="167"/>
      <c r="B48" s="299">
        <v>46248.0</v>
      </c>
      <c r="C48" s="316">
        <v>141000.0</v>
      </c>
      <c r="D48" s="265"/>
      <c r="E48" s="302" t="s">
        <v>1071</v>
      </c>
      <c r="F48" s="305" t="s">
        <v>1073</v>
      </c>
      <c r="G48" s="242"/>
    </row>
    <row r="49" ht="19.5" customHeight="1">
      <c r="A49" s="167"/>
      <c r="B49" s="299">
        <v>46248.0</v>
      </c>
      <c r="C49" s="316">
        <v>141000.0</v>
      </c>
      <c r="D49" s="265"/>
      <c r="E49" s="323" t="s">
        <v>1071</v>
      </c>
      <c r="F49" s="305" t="s">
        <v>1076</v>
      </c>
      <c r="G49" s="252"/>
    </row>
    <row r="50" ht="19.5" customHeight="1">
      <c r="A50" s="167"/>
      <c r="B50" s="299">
        <v>46248.0</v>
      </c>
      <c r="C50" s="316">
        <v>9870.0</v>
      </c>
      <c r="D50" s="265"/>
      <c r="E50" s="302" t="s">
        <v>546</v>
      </c>
      <c r="F50" s="305" t="s">
        <v>1077</v>
      </c>
      <c r="G50" s="252"/>
    </row>
    <row r="51" ht="19.5" customHeight="1">
      <c r="A51" s="167"/>
      <c r="B51" s="299">
        <v>46248.0</v>
      </c>
      <c r="C51" s="327">
        <v>9870.0</v>
      </c>
      <c r="D51" s="328"/>
      <c r="E51" s="329" t="s">
        <v>546</v>
      </c>
      <c r="F51" s="305" t="s">
        <v>1082</v>
      </c>
      <c r="G51" s="252"/>
    </row>
    <row r="52" ht="19.5" customHeight="1">
      <c r="A52" s="167"/>
      <c r="B52" s="299">
        <v>46249.0</v>
      </c>
      <c r="C52" s="327">
        <v>194226.0</v>
      </c>
      <c r="D52" s="328"/>
      <c r="E52" s="329" t="s">
        <v>1083</v>
      </c>
      <c r="F52" s="312" t="s">
        <v>1084</v>
      </c>
      <c r="G52" s="252"/>
    </row>
    <row r="53" ht="19.5" customHeight="1">
      <c r="A53" s="167"/>
      <c r="B53" s="299">
        <v>46249.0</v>
      </c>
      <c r="C53" s="330"/>
      <c r="D53" s="327">
        <v>6.99</v>
      </c>
      <c r="E53" s="329" t="s">
        <v>1086</v>
      </c>
      <c r="F53" s="59" t="s">
        <v>245</v>
      </c>
      <c r="G53" s="252"/>
    </row>
    <row r="54" ht="19.5" customHeight="1">
      <c r="A54" s="167"/>
      <c r="B54" s="299">
        <v>46251.0</v>
      </c>
      <c r="C54" s="327">
        <v>141000.0</v>
      </c>
      <c r="D54" s="330"/>
      <c r="E54" s="329" t="s">
        <v>1071</v>
      </c>
      <c r="F54" s="305" t="s">
        <v>1087</v>
      </c>
      <c r="G54" s="252"/>
    </row>
    <row r="55" ht="19.5" customHeight="1">
      <c r="A55" s="167"/>
      <c r="B55" s="332">
        <v>46251.0</v>
      </c>
      <c r="C55" s="333">
        <v>9870.0</v>
      </c>
      <c r="D55" s="328"/>
      <c r="E55" s="329" t="s">
        <v>546</v>
      </c>
      <c r="F55" s="305" t="s">
        <v>1089</v>
      </c>
      <c r="G55" s="252"/>
    </row>
    <row r="56" ht="19.5" customHeight="1">
      <c r="A56" s="167"/>
      <c r="B56" s="332">
        <v>46252.0</v>
      </c>
      <c r="C56" s="327">
        <v>54860.37</v>
      </c>
      <c r="D56" s="328"/>
      <c r="E56" s="329" t="s">
        <v>1091</v>
      </c>
      <c r="F56" s="59" t="s">
        <v>899</v>
      </c>
      <c r="G56" s="252"/>
    </row>
    <row r="57" ht="19.5" customHeight="1">
      <c r="A57" s="167"/>
      <c r="B57" s="332">
        <v>46252.0</v>
      </c>
      <c r="C57" s="327">
        <v>1525296.45</v>
      </c>
      <c r="D57" s="328"/>
      <c r="E57" s="329" t="s">
        <v>135</v>
      </c>
      <c r="F57" s="59" t="s">
        <v>136</v>
      </c>
      <c r="G57" s="252"/>
    </row>
    <row r="58" ht="19.5" customHeight="1">
      <c r="A58" s="167"/>
      <c r="B58" s="332">
        <v>46253.0</v>
      </c>
      <c r="C58" s="327">
        <v>69617.36</v>
      </c>
      <c r="D58" s="328"/>
      <c r="E58" s="329" t="s">
        <v>254</v>
      </c>
      <c r="F58" s="59" t="s">
        <v>895</v>
      </c>
      <c r="G58" s="252"/>
    </row>
    <row r="59" ht="19.5" customHeight="1">
      <c r="A59" s="167"/>
      <c r="B59" s="332">
        <v>46253.0</v>
      </c>
      <c r="C59" s="327">
        <v>18000.0</v>
      </c>
      <c r="D59" s="328"/>
      <c r="E59" s="329" t="s">
        <v>1071</v>
      </c>
      <c r="F59" s="305" t="s">
        <v>1097</v>
      </c>
      <c r="G59" s="252"/>
    </row>
    <row r="60" ht="19.5" customHeight="1">
      <c r="A60" s="167"/>
      <c r="B60" s="332">
        <v>46253.0</v>
      </c>
      <c r="C60" s="327">
        <v>1260.0</v>
      </c>
      <c r="D60" s="328"/>
      <c r="E60" s="329" t="s">
        <v>546</v>
      </c>
      <c r="F60" s="305" t="s">
        <v>1100</v>
      </c>
      <c r="G60" s="252"/>
    </row>
    <row r="61" ht="19.5" customHeight="1">
      <c r="A61" s="167"/>
      <c r="B61" s="332">
        <v>46254.0</v>
      </c>
      <c r="C61" s="330"/>
      <c r="D61" s="327">
        <v>1.99</v>
      </c>
      <c r="E61" s="329" t="s">
        <v>1101</v>
      </c>
      <c r="F61" s="59" t="s">
        <v>82</v>
      </c>
      <c r="G61" s="252"/>
    </row>
    <row r="62" ht="19.5" customHeight="1">
      <c r="A62" s="167"/>
      <c r="B62" s="332">
        <v>46256.0</v>
      </c>
      <c r="C62" s="327">
        <v>811911.44</v>
      </c>
      <c r="D62" s="328"/>
      <c r="E62" s="329" t="s">
        <v>43</v>
      </c>
      <c r="F62" s="59" t="s">
        <v>44</v>
      </c>
      <c r="G62" s="252"/>
    </row>
    <row r="63" ht="19.5" customHeight="1">
      <c r="A63" s="167"/>
      <c r="B63" s="332">
        <v>46258.0</v>
      </c>
      <c r="C63" s="327">
        <v>42900.0</v>
      </c>
      <c r="D63" s="328"/>
      <c r="E63" s="329" t="s">
        <v>36</v>
      </c>
      <c r="F63" s="305" t="s">
        <v>1103</v>
      </c>
      <c r="G63" s="252"/>
    </row>
    <row r="64" ht="19.5" customHeight="1">
      <c r="A64" s="167"/>
      <c r="B64" s="332">
        <v>46259.0</v>
      </c>
      <c r="C64" s="327">
        <v>126486.36</v>
      </c>
      <c r="D64" s="328"/>
      <c r="E64" s="329" t="s">
        <v>36</v>
      </c>
      <c r="F64" s="305" t="s">
        <v>1104</v>
      </c>
      <c r="G64" s="252"/>
    </row>
    <row r="65" ht="19.5" customHeight="1">
      <c r="A65" s="167"/>
      <c r="B65" s="332">
        <v>46259.0</v>
      </c>
      <c r="C65" s="327">
        <v>66405.34</v>
      </c>
      <c r="D65" s="328"/>
      <c r="E65" s="329" t="s">
        <v>36</v>
      </c>
      <c r="F65" s="305" t="s">
        <v>1106</v>
      </c>
      <c r="G65" s="252"/>
    </row>
    <row r="66" ht="19.5" customHeight="1">
      <c r="A66" s="167"/>
      <c r="B66" s="332">
        <v>46259.0</v>
      </c>
      <c r="C66" s="327">
        <v>53554.13</v>
      </c>
      <c r="D66" s="328"/>
      <c r="E66" s="329" t="s">
        <v>36</v>
      </c>
      <c r="F66" s="305" t="s">
        <v>1108</v>
      </c>
      <c r="G66" s="252"/>
    </row>
    <row r="67" ht="19.5" customHeight="1">
      <c r="A67" s="167"/>
      <c r="B67" s="332">
        <v>46259.0</v>
      </c>
      <c r="C67" s="327">
        <v>31081.05</v>
      </c>
      <c r="D67" s="328"/>
      <c r="E67" s="329" t="s">
        <v>143</v>
      </c>
      <c r="F67" s="305" t="s">
        <v>1110</v>
      </c>
      <c r="G67" s="252"/>
    </row>
    <row r="68" ht="19.5" customHeight="1">
      <c r="A68" s="167"/>
      <c r="B68" s="332">
        <v>46259.0</v>
      </c>
      <c r="C68" s="327">
        <v>26381.34</v>
      </c>
      <c r="D68" s="328"/>
      <c r="E68" s="329" t="s">
        <v>36</v>
      </c>
      <c r="F68" s="305" t="s">
        <v>1111</v>
      </c>
      <c r="G68" s="252"/>
    </row>
    <row r="69" ht="19.5" customHeight="1">
      <c r="A69" s="167"/>
      <c r="B69" s="332">
        <v>46259.0</v>
      </c>
      <c r="C69" s="327">
        <v>241312.5</v>
      </c>
      <c r="D69" s="328"/>
      <c r="E69" s="329" t="s">
        <v>36</v>
      </c>
      <c r="F69" s="305" t="s">
        <v>1113</v>
      </c>
      <c r="G69" s="252"/>
    </row>
    <row r="70" ht="19.5" customHeight="1">
      <c r="A70" s="167"/>
      <c r="B70" s="332">
        <v>46259.0</v>
      </c>
      <c r="C70" s="327">
        <v>80437.5</v>
      </c>
      <c r="D70" s="328"/>
      <c r="E70" s="329" t="s">
        <v>36</v>
      </c>
      <c r="F70" s="305" t="s">
        <v>1114</v>
      </c>
      <c r="G70" s="252"/>
    </row>
    <row r="71" ht="19.5" customHeight="1">
      <c r="A71" s="167"/>
      <c r="B71" s="332">
        <v>46259.0</v>
      </c>
      <c r="C71" s="327">
        <v>109395.0</v>
      </c>
      <c r="D71" s="328"/>
      <c r="E71" s="329" t="s">
        <v>36</v>
      </c>
      <c r="F71" s="305" t="s">
        <v>1115</v>
      </c>
      <c r="G71" s="252"/>
    </row>
    <row r="72" ht="19.5" customHeight="1">
      <c r="A72" s="167"/>
      <c r="B72" s="332">
        <v>46259.0</v>
      </c>
      <c r="C72" s="327">
        <v>167808.5</v>
      </c>
      <c r="D72" s="328"/>
      <c r="E72" s="329" t="s">
        <v>36</v>
      </c>
      <c r="F72" s="305" t="s">
        <v>1116</v>
      </c>
      <c r="G72" s="252"/>
    </row>
    <row r="73" ht="19.5" customHeight="1">
      <c r="A73" s="254"/>
      <c r="B73" s="332">
        <v>46259.0</v>
      </c>
      <c r="C73" s="327">
        <v>76611.25</v>
      </c>
      <c r="D73" s="328"/>
      <c r="E73" s="329" t="s">
        <v>36</v>
      </c>
      <c r="F73" s="305" t="s">
        <v>1117</v>
      </c>
      <c r="G73" s="252"/>
    </row>
    <row r="74" ht="30.0" customHeight="1">
      <c r="A74" s="176" t="s">
        <v>163</v>
      </c>
      <c r="B74" s="125"/>
      <c r="C74" s="255">
        <f t="shared" ref="C74:D74" si="1">SUM(C21:C73)</f>
        <v>6148795.27</v>
      </c>
      <c r="D74" s="255">
        <f t="shared" si="1"/>
        <v>21.96</v>
      </c>
      <c r="E74" s="134"/>
      <c r="F74" s="135"/>
    </row>
    <row r="75" ht="4.5" customHeight="1">
      <c r="A75" s="137"/>
      <c r="B75" s="133"/>
      <c r="C75" s="133"/>
      <c r="D75" s="133"/>
      <c r="E75" s="133"/>
      <c r="F75" s="133"/>
      <c r="G75" s="125"/>
    </row>
    <row r="76" ht="19.5" customHeight="1">
      <c r="A76" s="174" t="s">
        <v>18</v>
      </c>
      <c r="B76" s="338">
        <v>46256.0</v>
      </c>
      <c r="C76" s="262"/>
      <c r="D76" s="339">
        <v>9.99</v>
      </c>
      <c r="E76" s="340" t="s">
        <v>1122</v>
      </c>
      <c r="F76" s="78" t="s">
        <v>321</v>
      </c>
      <c r="G76" s="342"/>
    </row>
    <row r="77" ht="30.0" customHeight="1">
      <c r="A77" s="176" t="s">
        <v>163</v>
      </c>
      <c r="B77" s="125"/>
      <c r="C77" s="255">
        <f t="shared" ref="C77:D77" si="2">SUM(C76)</f>
        <v>0</v>
      </c>
      <c r="D77" s="255">
        <f t="shared" si="2"/>
        <v>9.99</v>
      </c>
      <c r="E77" s="134"/>
      <c r="F77" s="211"/>
    </row>
    <row r="78" ht="4.5" customHeight="1">
      <c r="A78" s="137"/>
      <c r="B78" s="133"/>
      <c r="C78" s="133"/>
      <c r="D78" s="133"/>
      <c r="E78" s="133"/>
      <c r="F78" s="133"/>
      <c r="G78" s="125"/>
    </row>
    <row r="79" ht="19.5" customHeight="1">
      <c r="A79" s="174" t="s">
        <v>335</v>
      </c>
      <c r="B79" s="344">
        <v>46238.0</v>
      </c>
      <c r="C79" s="262"/>
      <c r="D79" s="345">
        <v>5.75</v>
      </c>
      <c r="E79" s="347" t="s">
        <v>1126</v>
      </c>
      <c r="F79" s="348"/>
      <c r="G79" s="252"/>
    </row>
    <row r="80" ht="30.0" customHeight="1">
      <c r="A80" s="176" t="s">
        <v>163</v>
      </c>
      <c r="B80" s="125"/>
      <c r="C80" s="255">
        <f t="shared" ref="C80:D80" si="3">SUM(C79)</f>
        <v>0</v>
      </c>
      <c r="D80" s="255">
        <f t="shared" si="3"/>
        <v>5.75</v>
      </c>
      <c r="E80" s="134"/>
      <c r="F80" s="135"/>
    </row>
    <row r="81" ht="4.5" customHeight="1">
      <c r="A81" s="137"/>
      <c r="B81" s="133"/>
      <c r="C81" s="133"/>
      <c r="D81" s="195"/>
      <c r="E81" s="270"/>
      <c r="F81" s="270"/>
      <c r="G81" s="270"/>
    </row>
    <row r="82" ht="30.0" customHeight="1">
      <c r="A82" s="176" t="s">
        <v>496</v>
      </c>
      <c r="B82" s="125"/>
      <c r="C82" s="255">
        <f>+C74+C77+C80</f>
        <v>6148795.27</v>
      </c>
      <c r="D82" s="255">
        <f>D74+D77+D80</f>
        <v>37.7</v>
      </c>
      <c r="E82" s="271"/>
      <c r="F82" s="211"/>
    </row>
    <row r="83" ht="19.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</sheetData>
  <mergeCells count="19">
    <mergeCell ref="A6:C7"/>
    <mergeCell ref="D6:E6"/>
    <mergeCell ref="F6:G6"/>
    <mergeCell ref="D7:E7"/>
    <mergeCell ref="F7:G7"/>
    <mergeCell ref="D8:E8"/>
    <mergeCell ref="F8:G8"/>
    <mergeCell ref="A77:B77"/>
    <mergeCell ref="A78:G78"/>
    <mergeCell ref="A80:B80"/>
    <mergeCell ref="A81:D81"/>
    <mergeCell ref="A82:B82"/>
    <mergeCell ref="D9:G18"/>
    <mergeCell ref="C11:C12"/>
    <mergeCell ref="C13:C14"/>
    <mergeCell ref="A19:G19"/>
    <mergeCell ref="A21:A73"/>
    <mergeCell ref="A74:B74"/>
    <mergeCell ref="A75:G75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90" t="s">
        <v>0</v>
      </c>
      <c r="B6" s="2"/>
      <c r="C6" s="3"/>
      <c r="D6" s="4" t="s">
        <v>1</v>
      </c>
      <c r="E6" s="5"/>
      <c r="F6" s="228"/>
      <c r="G6" s="9"/>
    </row>
    <row r="7" ht="19.5" customHeight="1">
      <c r="A7" s="10"/>
      <c r="B7" s="11"/>
      <c r="C7" s="12"/>
      <c r="D7" s="191" t="s">
        <v>5</v>
      </c>
      <c r="E7" s="15"/>
      <c r="F7" s="229"/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/>
      <c r="G8" s="17"/>
    </row>
    <row r="9" ht="19.5" customHeight="1">
      <c r="A9" s="196" t="s">
        <v>10</v>
      </c>
      <c r="B9" s="27"/>
      <c r="C9" s="197"/>
      <c r="D9" s="198" t="s">
        <v>11</v>
      </c>
      <c r="E9" s="33"/>
      <c r="F9" s="33"/>
      <c r="G9" s="35"/>
    </row>
    <row r="10" ht="19.5" customHeight="1">
      <c r="A10" s="199" t="s">
        <v>12</v>
      </c>
      <c r="B10" s="200"/>
      <c r="C10" s="201"/>
      <c r="D10" s="202"/>
      <c r="G10" s="38"/>
    </row>
    <row r="11" ht="19.5" customHeight="1">
      <c r="A11" s="203" t="s">
        <v>13</v>
      </c>
      <c r="B11" s="210"/>
      <c r="C11" s="205"/>
      <c r="D11" s="202"/>
      <c r="G11" s="38"/>
    </row>
    <row r="12" ht="19.5" customHeight="1">
      <c r="A12" s="199" t="s">
        <v>14</v>
      </c>
      <c r="B12" s="200"/>
      <c r="C12" s="209"/>
      <c r="D12" s="202"/>
      <c r="G12" s="38"/>
    </row>
    <row r="13" ht="19.5" customHeight="1">
      <c r="A13" s="203" t="s">
        <v>15</v>
      </c>
      <c r="B13" s="210"/>
      <c r="C13" s="205"/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/>
      <c r="C15" s="217"/>
      <c r="D15" s="202"/>
      <c r="G15" s="38"/>
    </row>
    <row r="16" ht="19.5" customHeight="1">
      <c r="A16" s="213" t="s">
        <v>18</v>
      </c>
      <c r="B16" s="216"/>
      <c r="C16" s="217"/>
      <c r="D16" s="202"/>
      <c r="G16" s="38"/>
    </row>
    <row r="17" ht="19.5" customHeight="1">
      <c r="A17" s="218" t="s">
        <v>19</v>
      </c>
      <c r="B17" s="219"/>
      <c r="C17" s="220"/>
      <c r="D17" s="202"/>
      <c r="G17" s="38"/>
    </row>
    <row r="18" ht="19.5" customHeight="1">
      <c r="A18" s="221" t="s">
        <v>20</v>
      </c>
      <c r="B18" s="222"/>
      <c r="C18" s="223"/>
      <c r="D18" s="224"/>
      <c r="E18" s="46"/>
      <c r="F18" s="46"/>
      <c r="G18" s="47"/>
    </row>
    <row r="19" ht="4.5" customHeight="1">
      <c r="A19" s="225"/>
      <c r="B19" s="133"/>
      <c r="C19" s="133"/>
      <c r="D19" s="133"/>
      <c r="E19" s="133"/>
      <c r="F19" s="133"/>
      <c r="G19" s="125"/>
    </row>
    <row r="20" ht="24.75" customHeight="1">
      <c r="A20" s="285" t="s">
        <v>21</v>
      </c>
      <c r="B20" s="226" t="s">
        <v>22</v>
      </c>
      <c r="C20" s="226" t="s">
        <v>23</v>
      </c>
      <c r="D20" s="226" t="s">
        <v>24</v>
      </c>
      <c r="E20" s="227" t="s">
        <v>25</v>
      </c>
      <c r="F20" s="227" t="s">
        <v>26</v>
      </c>
      <c r="G20" s="227" t="s">
        <v>27</v>
      </c>
    </row>
    <row r="21" ht="19.5" customHeight="1">
      <c r="A21" s="174" t="s">
        <v>28</v>
      </c>
      <c r="B21" s="303"/>
      <c r="C21" s="304"/>
      <c r="D21" s="262"/>
      <c r="E21" s="268"/>
      <c r="F21" s="85"/>
      <c r="G21" s="269"/>
    </row>
    <row r="22" ht="19.5" customHeight="1">
      <c r="A22" s="167"/>
      <c r="B22" s="306"/>
      <c r="C22" s="300"/>
      <c r="D22" s="265"/>
      <c r="E22" s="266"/>
      <c r="F22" s="307"/>
      <c r="G22" s="242"/>
    </row>
    <row r="23" ht="19.5" customHeight="1">
      <c r="A23" s="167"/>
      <c r="B23" s="306"/>
      <c r="C23" s="265"/>
      <c r="D23" s="300"/>
      <c r="E23" s="266"/>
      <c r="F23" s="75"/>
      <c r="G23" s="242"/>
    </row>
    <row r="24" ht="19.5" customHeight="1">
      <c r="A24" s="167"/>
      <c r="B24" s="306"/>
      <c r="C24" s="300"/>
      <c r="D24" s="265"/>
      <c r="E24" s="266"/>
      <c r="F24" s="59"/>
      <c r="G24" s="242"/>
    </row>
    <row r="25" ht="19.5" customHeight="1">
      <c r="A25" s="167"/>
      <c r="B25" s="306"/>
      <c r="C25" s="265"/>
      <c r="D25" s="300"/>
      <c r="E25" s="266"/>
      <c r="F25" s="59"/>
      <c r="G25" s="242"/>
    </row>
    <row r="26" ht="19.5" customHeight="1">
      <c r="A26" s="167"/>
      <c r="B26" s="306"/>
      <c r="C26" s="300"/>
      <c r="D26" s="265"/>
      <c r="E26" s="266"/>
      <c r="F26" s="59"/>
      <c r="G26" s="242"/>
    </row>
    <row r="27" ht="19.5" customHeight="1">
      <c r="A27" s="167"/>
      <c r="B27" s="306"/>
      <c r="C27" s="300"/>
      <c r="D27" s="265"/>
      <c r="E27" s="266"/>
      <c r="F27" s="59"/>
      <c r="G27" s="242"/>
    </row>
    <row r="28" ht="19.5" customHeight="1">
      <c r="A28" s="167"/>
      <c r="B28" s="306"/>
      <c r="C28" s="300"/>
      <c r="D28" s="265"/>
      <c r="E28" s="266"/>
      <c r="F28" s="307"/>
      <c r="G28" s="242"/>
    </row>
    <row r="29" ht="19.5" customHeight="1">
      <c r="A29" s="167"/>
      <c r="B29" s="306"/>
      <c r="C29" s="300"/>
      <c r="D29" s="265"/>
      <c r="E29" s="266"/>
      <c r="F29" s="59"/>
      <c r="G29" s="242"/>
    </row>
    <row r="30" ht="19.5" customHeight="1">
      <c r="A30" s="167"/>
      <c r="B30" s="306"/>
      <c r="C30" s="300"/>
      <c r="D30" s="265"/>
      <c r="E30" s="266"/>
      <c r="F30" s="59"/>
      <c r="G30" s="242"/>
    </row>
    <row r="31" ht="19.5" customHeight="1">
      <c r="A31" s="167"/>
      <c r="B31" s="306"/>
      <c r="C31" s="300"/>
      <c r="D31" s="265"/>
      <c r="E31" s="266"/>
      <c r="F31" s="59"/>
      <c r="G31" s="242"/>
    </row>
    <row r="32" ht="19.5" customHeight="1">
      <c r="A32" s="167"/>
      <c r="B32" s="306"/>
      <c r="C32" s="300"/>
      <c r="D32" s="265"/>
      <c r="E32" s="266"/>
      <c r="F32" s="59"/>
      <c r="G32" s="242"/>
    </row>
    <row r="33" ht="19.5" customHeight="1">
      <c r="A33" s="167"/>
      <c r="B33" s="306"/>
      <c r="C33" s="300"/>
      <c r="D33" s="265"/>
      <c r="E33" s="266"/>
      <c r="F33" s="59"/>
      <c r="G33" s="242"/>
    </row>
    <row r="34" ht="19.5" customHeight="1">
      <c r="A34" s="167"/>
      <c r="B34" s="306"/>
      <c r="C34" s="265"/>
      <c r="D34" s="300"/>
      <c r="E34" s="266"/>
      <c r="F34" s="59"/>
      <c r="G34" s="242"/>
    </row>
    <row r="35" ht="19.5" customHeight="1">
      <c r="A35" s="167"/>
      <c r="B35" s="306"/>
      <c r="C35" s="300"/>
      <c r="D35" s="265"/>
      <c r="E35" s="266"/>
      <c r="F35" s="90"/>
      <c r="G35" s="242"/>
    </row>
    <row r="36" ht="19.5" customHeight="1">
      <c r="A36" s="167"/>
      <c r="B36" s="306"/>
      <c r="C36" s="300"/>
      <c r="D36" s="265"/>
      <c r="E36" s="266"/>
      <c r="F36" s="90"/>
      <c r="G36" s="242"/>
    </row>
    <row r="37" ht="19.5" customHeight="1">
      <c r="A37" s="167"/>
      <c r="B37" s="306"/>
      <c r="C37" s="300"/>
      <c r="D37" s="265"/>
      <c r="E37" s="266"/>
      <c r="F37" s="90"/>
      <c r="G37" s="242"/>
    </row>
    <row r="38" ht="19.5" customHeight="1">
      <c r="A38" s="167"/>
      <c r="B38" s="306"/>
      <c r="C38" s="300"/>
      <c r="D38" s="265"/>
      <c r="E38" s="266"/>
      <c r="F38" s="59"/>
      <c r="G38" s="242"/>
    </row>
    <row r="39" ht="18.0" customHeight="1">
      <c r="A39" s="167"/>
      <c r="B39" s="306"/>
      <c r="C39" s="300"/>
      <c r="D39" s="265"/>
      <c r="E39" s="266"/>
      <c r="F39" s="90"/>
      <c r="G39" s="242"/>
    </row>
    <row r="40" ht="19.5" customHeight="1">
      <c r="A40" s="167"/>
      <c r="B40" s="306"/>
      <c r="C40" s="300"/>
      <c r="D40" s="265"/>
      <c r="E40" s="266"/>
      <c r="F40" s="307"/>
      <c r="G40" s="242"/>
    </row>
    <row r="41" ht="26.25" customHeight="1">
      <c r="A41" s="167"/>
      <c r="B41" s="322"/>
      <c r="C41" s="325"/>
      <c r="D41" s="317"/>
      <c r="E41" s="326"/>
      <c r="F41" s="314"/>
      <c r="G41" s="242"/>
    </row>
    <row r="42" ht="19.5" customHeight="1">
      <c r="A42" s="167"/>
      <c r="B42" s="306"/>
      <c r="C42" s="300"/>
      <c r="D42" s="265"/>
      <c r="E42" s="266"/>
      <c r="F42" s="59"/>
      <c r="G42" s="242"/>
    </row>
    <row r="43" ht="19.5" customHeight="1">
      <c r="A43" s="167"/>
      <c r="B43" s="306"/>
      <c r="C43" s="300"/>
      <c r="D43" s="265"/>
      <c r="E43" s="266"/>
      <c r="F43" s="59"/>
      <c r="G43" s="242"/>
    </row>
    <row r="44" ht="19.5" customHeight="1">
      <c r="A44" s="167"/>
      <c r="B44" s="306"/>
      <c r="C44" s="300"/>
      <c r="D44" s="265"/>
      <c r="E44" s="266"/>
      <c r="F44" s="59"/>
      <c r="G44" s="242"/>
    </row>
    <row r="45" ht="19.5" customHeight="1">
      <c r="A45" s="167"/>
      <c r="B45" s="306"/>
      <c r="C45" s="300"/>
      <c r="D45" s="265"/>
      <c r="E45" s="266"/>
      <c r="F45" s="59"/>
      <c r="G45" s="252"/>
    </row>
    <row r="46" ht="19.5" customHeight="1">
      <c r="A46" s="167"/>
      <c r="B46" s="306"/>
      <c r="C46" s="300"/>
      <c r="D46" s="265"/>
      <c r="E46" s="266"/>
      <c r="F46" s="264"/>
      <c r="G46" s="252"/>
    </row>
    <row r="47" ht="19.5" customHeight="1">
      <c r="A47" s="167"/>
      <c r="B47" s="306"/>
      <c r="C47" s="300"/>
      <c r="D47" s="265"/>
      <c r="E47" s="266"/>
      <c r="F47" s="264"/>
      <c r="G47" s="252"/>
    </row>
    <row r="48" ht="19.5" customHeight="1">
      <c r="A48" s="167"/>
      <c r="B48" s="306"/>
      <c r="C48" s="331"/>
      <c r="D48" s="265"/>
      <c r="E48" s="266"/>
      <c r="F48" s="59"/>
      <c r="G48" s="242"/>
    </row>
    <row r="49" ht="19.5" customHeight="1">
      <c r="A49" s="167"/>
      <c r="B49" s="306"/>
      <c r="C49" s="331"/>
      <c r="D49" s="265"/>
      <c r="E49" s="266"/>
      <c r="F49" s="59"/>
      <c r="G49" s="252"/>
    </row>
    <row r="50" ht="19.5" customHeight="1">
      <c r="A50" s="167"/>
      <c r="B50" s="306"/>
      <c r="C50" s="300"/>
      <c r="D50" s="265"/>
      <c r="E50" s="266"/>
      <c r="F50" s="59"/>
      <c r="G50" s="252"/>
    </row>
    <row r="51" ht="19.5" customHeight="1">
      <c r="A51" s="167"/>
      <c r="B51" s="306"/>
      <c r="C51" s="330"/>
      <c r="D51" s="328"/>
      <c r="E51" s="263"/>
      <c r="F51" s="59"/>
      <c r="G51" s="252"/>
    </row>
    <row r="52" ht="19.5" customHeight="1">
      <c r="A52" s="167"/>
      <c r="B52" s="306"/>
      <c r="C52" s="330"/>
      <c r="D52" s="328"/>
      <c r="E52" s="263"/>
      <c r="F52" s="59"/>
      <c r="G52" s="252"/>
    </row>
    <row r="53" ht="19.5" customHeight="1">
      <c r="A53" s="167"/>
      <c r="B53" s="306"/>
      <c r="C53" s="330"/>
      <c r="D53" s="328"/>
      <c r="E53" s="263"/>
      <c r="F53" s="264"/>
      <c r="G53" s="252"/>
    </row>
    <row r="54" ht="19.5" customHeight="1">
      <c r="A54" s="167"/>
      <c r="B54" s="306"/>
      <c r="C54" s="328"/>
      <c r="D54" s="330"/>
      <c r="E54" s="263"/>
      <c r="F54" s="59"/>
      <c r="G54" s="252"/>
    </row>
    <row r="55" ht="19.5" customHeight="1">
      <c r="A55" s="167"/>
      <c r="B55" s="334"/>
      <c r="C55" s="335"/>
      <c r="D55" s="328"/>
      <c r="E55" s="263"/>
      <c r="F55" s="59"/>
      <c r="G55" s="252"/>
    </row>
    <row r="56" ht="19.5" customHeight="1">
      <c r="A56" s="167"/>
      <c r="B56" s="334"/>
      <c r="C56" s="330"/>
      <c r="D56" s="328"/>
      <c r="E56" s="263"/>
      <c r="F56" s="264"/>
      <c r="G56" s="252"/>
    </row>
    <row r="57" ht="19.5" customHeight="1">
      <c r="A57" s="167"/>
      <c r="B57" s="334"/>
      <c r="C57" s="330"/>
      <c r="D57" s="328"/>
      <c r="E57" s="263"/>
      <c r="F57" s="59"/>
      <c r="G57" s="252"/>
    </row>
    <row r="58" ht="19.5" customHeight="1">
      <c r="A58" s="167"/>
      <c r="B58" s="334"/>
      <c r="C58" s="330"/>
      <c r="D58" s="328"/>
      <c r="E58" s="263"/>
      <c r="F58" s="264"/>
      <c r="G58" s="252"/>
    </row>
    <row r="59" ht="19.5" customHeight="1">
      <c r="A59" s="167"/>
      <c r="B59" s="334"/>
      <c r="C59" s="330"/>
      <c r="D59" s="328"/>
      <c r="E59" s="263"/>
      <c r="F59" s="264"/>
      <c r="G59" s="252"/>
    </row>
    <row r="60" ht="19.5" customHeight="1">
      <c r="A60" s="167"/>
      <c r="B60" s="334"/>
      <c r="C60" s="330"/>
      <c r="D60" s="328"/>
      <c r="E60" s="263"/>
      <c r="F60" s="59"/>
      <c r="G60" s="252"/>
    </row>
    <row r="61" ht="19.5" customHeight="1">
      <c r="A61" s="167"/>
      <c r="B61" s="334"/>
      <c r="C61" s="330"/>
      <c r="D61" s="328"/>
      <c r="E61" s="263"/>
      <c r="F61" s="59"/>
      <c r="G61" s="252"/>
    </row>
    <row r="62" ht="19.5" customHeight="1">
      <c r="A62" s="167"/>
      <c r="B62" s="334"/>
      <c r="C62" s="330"/>
      <c r="D62" s="328"/>
      <c r="E62" s="263"/>
      <c r="F62" s="59"/>
      <c r="G62" s="252"/>
    </row>
    <row r="63" ht="19.5" customHeight="1">
      <c r="A63" s="167"/>
      <c r="B63" s="334"/>
      <c r="C63" s="330"/>
      <c r="D63" s="328"/>
      <c r="E63" s="263"/>
      <c r="F63" s="59"/>
      <c r="G63" s="252"/>
    </row>
    <row r="64" ht="19.5" customHeight="1">
      <c r="A64" s="167"/>
      <c r="B64" s="334"/>
      <c r="C64" s="330"/>
      <c r="D64" s="328"/>
      <c r="E64" s="263"/>
      <c r="F64" s="59"/>
      <c r="G64" s="252"/>
    </row>
    <row r="65" ht="19.5" customHeight="1">
      <c r="A65" s="254"/>
      <c r="B65" s="334"/>
      <c r="C65" s="330"/>
      <c r="D65" s="328"/>
      <c r="E65" s="263"/>
      <c r="F65" s="59"/>
      <c r="G65" s="252"/>
    </row>
    <row r="66" ht="30.0" customHeight="1">
      <c r="A66" s="176" t="s">
        <v>163</v>
      </c>
      <c r="B66" s="125"/>
      <c r="C66" s="255">
        <f t="shared" ref="C66:D66" si="1">SUM(C21:C65)</f>
        <v>0</v>
      </c>
      <c r="D66" s="255">
        <f t="shared" si="1"/>
        <v>0</v>
      </c>
      <c r="E66" s="134"/>
      <c r="F66" s="135"/>
    </row>
    <row r="67" ht="4.5" customHeight="1">
      <c r="A67" s="137"/>
      <c r="B67" s="133"/>
      <c r="C67" s="133"/>
      <c r="D67" s="133"/>
      <c r="E67" s="133"/>
      <c r="F67" s="133"/>
      <c r="G67" s="125"/>
    </row>
    <row r="68" ht="19.5" customHeight="1">
      <c r="A68" s="174" t="s">
        <v>172</v>
      </c>
      <c r="B68" s="334"/>
      <c r="C68" s="330"/>
      <c r="D68" s="262"/>
      <c r="E68" s="263"/>
      <c r="F68" s="337"/>
      <c r="G68" s="252"/>
    </row>
    <row r="69" ht="30.0" customHeight="1">
      <c r="A69" s="176" t="s">
        <v>163</v>
      </c>
      <c r="B69" s="125"/>
      <c r="C69" s="255">
        <f t="shared" ref="C69:D69" si="2">SUM(C68)</f>
        <v>0</v>
      </c>
      <c r="D69" s="255">
        <f t="shared" si="2"/>
        <v>0</v>
      </c>
      <c r="E69" s="134"/>
      <c r="F69" s="135"/>
    </row>
    <row r="70" ht="4.5" customHeight="1">
      <c r="A70" s="137"/>
      <c r="B70" s="133"/>
      <c r="C70" s="133"/>
      <c r="D70" s="133"/>
      <c r="E70" s="133"/>
      <c r="F70" s="133"/>
      <c r="G70" s="125"/>
    </row>
    <row r="71" ht="19.5" customHeight="1">
      <c r="A71" s="341" t="s">
        <v>998</v>
      </c>
      <c r="B71" s="303"/>
      <c r="C71" s="330"/>
      <c r="D71" s="262"/>
      <c r="E71" s="263"/>
      <c r="F71" s="343"/>
      <c r="G71" s="269"/>
    </row>
    <row r="72" ht="30.0" customHeight="1">
      <c r="A72" s="176" t="s">
        <v>163</v>
      </c>
      <c r="B72" s="125"/>
      <c r="C72" s="255">
        <f t="shared" ref="C72:D72" si="3">SUM(C71)</f>
        <v>0</v>
      </c>
      <c r="D72" s="255">
        <f t="shared" si="3"/>
        <v>0</v>
      </c>
      <c r="E72" s="177"/>
      <c r="F72" s="135"/>
      <c r="G72" s="178"/>
    </row>
    <row r="73" ht="4.5" customHeight="1">
      <c r="A73" s="137"/>
      <c r="B73" s="133"/>
      <c r="C73" s="133"/>
      <c r="D73" s="133"/>
      <c r="E73" s="133"/>
      <c r="F73" s="133"/>
      <c r="G73" s="125"/>
    </row>
    <row r="74" ht="19.5" customHeight="1">
      <c r="A74" s="174" t="s">
        <v>18</v>
      </c>
      <c r="B74" s="346"/>
      <c r="C74" s="262"/>
      <c r="D74" s="304"/>
      <c r="E74" s="268"/>
      <c r="F74" s="78"/>
      <c r="G74" s="342"/>
    </row>
    <row r="75" ht="19.5" customHeight="1">
      <c r="A75" s="167"/>
      <c r="B75" s="349"/>
      <c r="C75" s="300"/>
      <c r="D75" s="265"/>
      <c r="E75" s="266"/>
      <c r="F75" s="307"/>
      <c r="G75" s="350"/>
    </row>
    <row r="76" ht="30.0" customHeight="1">
      <c r="A76" s="176" t="s">
        <v>163</v>
      </c>
      <c r="B76" s="125"/>
      <c r="C76" s="255">
        <f t="shared" ref="C76:D76" si="4">SUM(C74:C75)</f>
        <v>0</v>
      </c>
      <c r="D76" s="255">
        <f t="shared" si="4"/>
        <v>0</v>
      </c>
      <c r="E76" s="134"/>
      <c r="F76" s="211"/>
    </row>
    <row r="77" ht="4.5" customHeight="1">
      <c r="A77" s="137"/>
      <c r="B77" s="133"/>
      <c r="C77" s="133"/>
      <c r="D77" s="133"/>
      <c r="E77" s="133"/>
      <c r="F77" s="133"/>
      <c r="G77" s="125"/>
    </row>
    <row r="78" ht="19.5" customHeight="1">
      <c r="A78" s="174" t="s">
        <v>335</v>
      </c>
      <c r="B78" s="303"/>
      <c r="C78" s="262"/>
      <c r="D78" s="351"/>
      <c r="E78" s="263"/>
      <c r="F78" s="348"/>
      <c r="G78" s="252"/>
    </row>
    <row r="79" ht="19.5" customHeight="1">
      <c r="A79" s="167"/>
      <c r="B79" s="306"/>
      <c r="C79" s="300"/>
      <c r="D79" s="265"/>
      <c r="E79" s="266"/>
      <c r="F79" s="264"/>
      <c r="G79" s="252"/>
    </row>
    <row r="80" ht="30.0" customHeight="1">
      <c r="A80" s="176" t="s">
        <v>163</v>
      </c>
      <c r="B80" s="125"/>
      <c r="C80" s="255">
        <f>SUM(C78:C79)</f>
        <v>0</v>
      </c>
      <c r="D80" s="255">
        <f>SUM(D78)</f>
        <v>0</v>
      </c>
      <c r="E80" s="134"/>
      <c r="F80" s="135"/>
    </row>
    <row r="81" ht="4.5" customHeight="1">
      <c r="A81" s="137"/>
      <c r="B81" s="133"/>
      <c r="C81" s="133"/>
      <c r="D81" s="133"/>
      <c r="E81" s="133"/>
      <c r="F81" s="133"/>
      <c r="G81" s="125"/>
    </row>
    <row r="82" ht="19.5" customHeight="1">
      <c r="A82" s="174" t="s">
        <v>17</v>
      </c>
      <c r="B82" s="346"/>
      <c r="C82" s="304"/>
      <c r="D82" s="262"/>
      <c r="E82" s="268"/>
      <c r="F82" s="80"/>
      <c r="G82" s="269"/>
    </row>
    <row r="83" ht="19.5" customHeight="1">
      <c r="A83" s="167"/>
      <c r="B83" s="349"/>
      <c r="C83" s="300"/>
      <c r="D83" s="265"/>
      <c r="E83" s="266"/>
      <c r="F83" s="242"/>
      <c r="G83" s="242"/>
    </row>
    <row r="84" ht="30.0" customHeight="1">
      <c r="A84" s="176" t="s">
        <v>163</v>
      </c>
      <c r="B84" s="125"/>
      <c r="C84" s="255">
        <f t="shared" ref="C84:D84" si="5">SUM(C82:C83)</f>
        <v>0</v>
      </c>
      <c r="D84" s="255">
        <f t="shared" si="5"/>
        <v>0</v>
      </c>
      <c r="E84" s="134"/>
      <c r="F84" s="135"/>
    </row>
    <row r="85" ht="4.5" customHeight="1">
      <c r="A85" s="137"/>
      <c r="B85" s="133"/>
      <c r="C85" s="133"/>
      <c r="D85" s="195"/>
      <c r="E85" s="270"/>
      <c r="F85" s="270"/>
      <c r="G85" s="270"/>
    </row>
    <row r="86" ht="30.0" customHeight="1">
      <c r="A86" s="176" t="s">
        <v>496</v>
      </c>
      <c r="B86" s="125"/>
      <c r="C86" s="255">
        <f>+C66+C69+C72+C76+C80+C84</f>
        <v>0</v>
      </c>
      <c r="D86" s="255">
        <f>D66+D76+D80</f>
        <v>0</v>
      </c>
      <c r="E86" s="271"/>
      <c r="F86" s="211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90" t="s">
        <v>0</v>
      </c>
      <c r="B6" s="2"/>
      <c r="C6" s="3"/>
      <c r="D6" s="4" t="s">
        <v>1</v>
      </c>
      <c r="E6" s="5"/>
      <c r="F6" s="228"/>
      <c r="G6" s="9"/>
    </row>
    <row r="7" ht="19.5" customHeight="1">
      <c r="A7" s="10"/>
      <c r="B7" s="11"/>
      <c r="C7" s="12"/>
      <c r="D7" s="191" t="s">
        <v>5</v>
      </c>
      <c r="E7" s="15"/>
      <c r="F7" s="229"/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/>
      <c r="G8" s="17"/>
    </row>
    <row r="9" ht="19.5" customHeight="1">
      <c r="A9" s="196" t="s">
        <v>10</v>
      </c>
      <c r="B9" s="27"/>
      <c r="C9" s="197"/>
      <c r="D9" s="198" t="s">
        <v>11</v>
      </c>
      <c r="E9" s="33"/>
      <c r="F9" s="33"/>
      <c r="G9" s="35"/>
    </row>
    <row r="10" ht="19.5" customHeight="1">
      <c r="A10" s="199" t="s">
        <v>12</v>
      </c>
      <c r="B10" s="200"/>
      <c r="C10" s="201"/>
      <c r="D10" s="202"/>
      <c r="G10" s="38"/>
    </row>
    <row r="11" ht="19.5" customHeight="1">
      <c r="A11" s="203" t="s">
        <v>13</v>
      </c>
      <c r="B11" s="210"/>
      <c r="C11" s="205"/>
      <c r="D11" s="202"/>
      <c r="G11" s="38"/>
    </row>
    <row r="12" ht="19.5" customHeight="1">
      <c r="A12" s="199" t="s">
        <v>14</v>
      </c>
      <c r="B12" s="200"/>
      <c r="C12" s="209"/>
      <c r="D12" s="202"/>
      <c r="G12" s="38"/>
    </row>
    <row r="13" ht="19.5" customHeight="1">
      <c r="A13" s="203" t="s">
        <v>15</v>
      </c>
      <c r="B13" s="210"/>
      <c r="C13" s="205"/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/>
      <c r="C15" s="217"/>
      <c r="D15" s="202"/>
      <c r="G15" s="38"/>
    </row>
    <row r="16" ht="19.5" customHeight="1">
      <c r="A16" s="213" t="s">
        <v>18</v>
      </c>
      <c r="B16" s="216"/>
      <c r="C16" s="217"/>
      <c r="D16" s="202"/>
      <c r="G16" s="38"/>
    </row>
    <row r="17" ht="19.5" customHeight="1">
      <c r="A17" s="218" t="s">
        <v>19</v>
      </c>
      <c r="B17" s="219"/>
      <c r="C17" s="220"/>
      <c r="D17" s="202"/>
      <c r="G17" s="38"/>
    </row>
    <row r="18" ht="19.5" customHeight="1">
      <c r="A18" s="221" t="s">
        <v>20</v>
      </c>
      <c r="B18" s="222"/>
      <c r="C18" s="223"/>
      <c r="D18" s="224"/>
      <c r="E18" s="46"/>
      <c r="F18" s="46"/>
      <c r="G18" s="47"/>
    </row>
    <row r="19" ht="4.5" customHeight="1">
      <c r="A19" s="225"/>
      <c r="B19" s="133"/>
      <c r="C19" s="133"/>
      <c r="D19" s="133"/>
      <c r="E19" s="133"/>
      <c r="F19" s="133"/>
      <c r="G19" s="125"/>
    </row>
    <row r="20" ht="24.75" customHeight="1">
      <c r="A20" s="285" t="s">
        <v>21</v>
      </c>
      <c r="B20" s="226" t="s">
        <v>22</v>
      </c>
      <c r="C20" s="226" t="s">
        <v>23</v>
      </c>
      <c r="D20" s="226" t="s">
        <v>24</v>
      </c>
      <c r="E20" s="227" t="s">
        <v>25</v>
      </c>
      <c r="F20" s="227" t="s">
        <v>26</v>
      </c>
      <c r="G20" s="227" t="s">
        <v>27</v>
      </c>
    </row>
    <row r="21" ht="19.5" customHeight="1">
      <c r="A21" s="174" t="s">
        <v>28</v>
      </c>
      <c r="B21" s="303"/>
      <c r="C21" s="304"/>
      <c r="D21" s="262"/>
      <c r="E21" s="268"/>
      <c r="F21" s="85"/>
      <c r="G21" s="269"/>
    </row>
    <row r="22" ht="19.5" customHeight="1">
      <c r="A22" s="167"/>
      <c r="B22" s="306"/>
      <c r="C22" s="300"/>
      <c r="D22" s="265"/>
      <c r="E22" s="266"/>
      <c r="F22" s="307"/>
      <c r="G22" s="242"/>
    </row>
    <row r="23" ht="19.5" customHeight="1">
      <c r="A23" s="167"/>
      <c r="B23" s="306"/>
      <c r="C23" s="265"/>
      <c r="D23" s="300"/>
      <c r="E23" s="266"/>
      <c r="F23" s="75"/>
      <c r="G23" s="242"/>
    </row>
    <row r="24" ht="19.5" customHeight="1">
      <c r="A24" s="167"/>
      <c r="B24" s="306"/>
      <c r="C24" s="300"/>
      <c r="D24" s="265"/>
      <c r="E24" s="266"/>
      <c r="F24" s="59"/>
      <c r="G24" s="242"/>
    </row>
    <row r="25" ht="19.5" customHeight="1">
      <c r="A25" s="167"/>
      <c r="B25" s="306"/>
      <c r="C25" s="265"/>
      <c r="D25" s="300"/>
      <c r="E25" s="266"/>
      <c r="F25" s="59"/>
      <c r="G25" s="242"/>
    </row>
    <row r="26" ht="19.5" customHeight="1">
      <c r="A26" s="167"/>
      <c r="B26" s="306"/>
      <c r="C26" s="300"/>
      <c r="D26" s="265"/>
      <c r="E26" s="266"/>
      <c r="F26" s="59"/>
      <c r="G26" s="242"/>
    </row>
    <row r="27" ht="19.5" customHeight="1">
      <c r="A27" s="167"/>
      <c r="B27" s="306"/>
      <c r="C27" s="300"/>
      <c r="D27" s="265"/>
      <c r="E27" s="266"/>
      <c r="F27" s="59"/>
      <c r="G27" s="242"/>
    </row>
    <row r="28" ht="19.5" customHeight="1">
      <c r="A28" s="167"/>
      <c r="B28" s="306"/>
      <c r="C28" s="300"/>
      <c r="D28" s="265"/>
      <c r="E28" s="266"/>
      <c r="F28" s="307"/>
      <c r="G28" s="242"/>
    </row>
    <row r="29" ht="19.5" customHeight="1">
      <c r="A29" s="167"/>
      <c r="B29" s="306"/>
      <c r="C29" s="300"/>
      <c r="D29" s="265"/>
      <c r="E29" s="266"/>
      <c r="F29" s="59"/>
      <c r="G29" s="242"/>
    </row>
    <row r="30" ht="19.5" customHeight="1">
      <c r="A30" s="167"/>
      <c r="B30" s="306"/>
      <c r="C30" s="300"/>
      <c r="D30" s="265"/>
      <c r="E30" s="266"/>
      <c r="F30" s="59"/>
      <c r="G30" s="242"/>
    </row>
    <row r="31" ht="19.5" customHeight="1">
      <c r="A31" s="167"/>
      <c r="B31" s="306"/>
      <c r="C31" s="300"/>
      <c r="D31" s="265"/>
      <c r="E31" s="266"/>
      <c r="F31" s="59"/>
      <c r="G31" s="242"/>
    </row>
    <row r="32" ht="19.5" customHeight="1">
      <c r="A32" s="167"/>
      <c r="B32" s="306"/>
      <c r="C32" s="300"/>
      <c r="D32" s="265"/>
      <c r="E32" s="266"/>
      <c r="F32" s="59"/>
      <c r="G32" s="242"/>
    </row>
    <row r="33" ht="19.5" customHeight="1">
      <c r="A33" s="167"/>
      <c r="B33" s="306"/>
      <c r="C33" s="300"/>
      <c r="D33" s="265"/>
      <c r="E33" s="266"/>
      <c r="F33" s="59"/>
      <c r="G33" s="242"/>
    </row>
    <row r="34" ht="19.5" customHeight="1">
      <c r="A34" s="167"/>
      <c r="B34" s="306"/>
      <c r="C34" s="265"/>
      <c r="D34" s="300"/>
      <c r="E34" s="266"/>
      <c r="F34" s="59"/>
      <c r="G34" s="242"/>
    </row>
    <row r="35" ht="19.5" customHeight="1">
      <c r="A35" s="167"/>
      <c r="B35" s="306"/>
      <c r="C35" s="300"/>
      <c r="D35" s="265"/>
      <c r="E35" s="266"/>
      <c r="F35" s="90"/>
      <c r="G35" s="242"/>
    </row>
    <row r="36" ht="19.5" customHeight="1">
      <c r="A36" s="167"/>
      <c r="B36" s="306"/>
      <c r="C36" s="300"/>
      <c r="D36" s="265"/>
      <c r="E36" s="266"/>
      <c r="F36" s="90"/>
      <c r="G36" s="242"/>
    </row>
    <row r="37" ht="19.5" customHeight="1">
      <c r="A37" s="167"/>
      <c r="B37" s="306"/>
      <c r="C37" s="300"/>
      <c r="D37" s="265"/>
      <c r="E37" s="266"/>
      <c r="F37" s="90"/>
      <c r="G37" s="242"/>
    </row>
    <row r="38" ht="19.5" customHeight="1">
      <c r="A38" s="167"/>
      <c r="B38" s="306"/>
      <c r="C38" s="300"/>
      <c r="D38" s="265"/>
      <c r="E38" s="266"/>
      <c r="F38" s="59"/>
      <c r="G38" s="242"/>
    </row>
    <row r="39" ht="18.0" customHeight="1">
      <c r="A39" s="167"/>
      <c r="B39" s="306"/>
      <c r="C39" s="300"/>
      <c r="D39" s="265"/>
      <c r="E39" s="266"/>
      <c r="F39" s="90"/>
      <c r="G39" s="242"/>
    </row>
    <row r="40" ht="19.5" customHeight="1">
      <c r="A40" s="167"/>
      <c r="B40" s="306"/>
      <c r="C40" s="300"/>
      <c r="D40" s="265"/>
      <c r="E40" s="266"/>
      <c r="F40" s="307"/>
      <c r="G40" s="242"/>
    </row>
    <row r="41" ht="26.25" customHeight="1">
      <c r="A41" s="167"/>
      <c r="B41" s="322"/>
      <c r="C41" s="325"/>
      <c r="D41" s="317"/>
      <c r="E41" s="326"/>
      <c r="F41" s="314"/>
      <c r="G41" s="242"/>
    </row>
    <row r="42" ht="19.5" customHeight="1">
      <c r="A42" s="167"/>
      <c r="B42" s="306"/>
      <c r="C42" s="300"/>
      <c r="D42" s="265"/>
      <c r="E42" s="266"/>
      <c r="F42" s="59"/>
      <c r="G42" s="242"/>
    </row>
    <row r="43" ht="19.5" customHeight="1">
      <c r="A43" s="167"/>
      <c r="B43" s="306"/>
      <c r="C43" s="300"/>
      <c r="D43" s="265"/>
      <c r="E43" s="266"/>
      <c r="F43" s="59"/>
      <c r="G43" s="242"/>
    </row>
    <row r="44" ht="19.5" customHeight="1">
      <c r="A44" s="167"/>
      <c r="B44" s="306"/>
      <c r="C44" s="300"/>
      <c r="D44" s="265"/>
      <c r="E44" s="266"/>
      <c r="F44" s="59"/>
      <c r="G44" s="242"/>
    </row>
    <row r="45" ht="19.5" customHeight="1">
      <c r="A45" s="167"/>
      <c r="B45" s="306"/>
      <c r="C45" s="300"/>
      <c r="D45" s="265"/>
      <c r="E45" s="266"/>
      <c r="F45" s="59"/>
      <c r="G45" s="252"/>
    </row>
    <row r="46" ht="19.5" customHeight="1">
      <c r="A46" s="167"/>
      <c r="B46" s="306"/>
      <c r="C46" s="300"/>
      <c r="D46" s="265"/>
      <c r="E46" s="266"/>
      <c r="F46" s="264"/>
      <c r="G46" s="252"/>
    </row>
    <row r="47" ht="19.5" customHeight="1">
      <c r="A47" s="167"/>
      <c r="B47" s="306"/>
      <c r="C47" s="300"/>
      <c r="D47" s="265"/>
      <c r="E47" s="266"/>
      <c r="F47" s="264"/>
      <c r="G47" s="252"/>
    </row>
    <row r="48" ht="19.5" customHeight="1">
      <c r="A48" s="167"/>
      <c r="B48" s="306"/>
      <c r="C48" s="331"/>
      <c r="D48" s="265"/>
      <c r="E48" s="266"/>
      <c r="F48" s="59"/>
      <c r="G48" s="242"/>
    </row>
    <row r="49" ht="19.5" customHeight="1">
      <c r="A49" s="167"/>
      <c r="B49" s="306"/>
      <c r="C49" s="331"/>
      <c r="D49" s="265"/>
      <c r="E49" s="266"/>
      <c r="F49" s="59"/>
      <c r="G49" s="252"/>
    </row>
    <row r="50" ht="19.5" customHeight="1">
      <c r="A50" s="167"/>
      <c r="B50" s="306"/>
      <c r="C50" s="300"/>
      <c r="D50" s="265"/>
      <c r="E50" s="266"/>
      <c r="F50" s="59"/>
      <c r="G50" s="252"/>
    </row>
    <row r="51" ht="19.5" customHeight="1">
      <c r="A51" s="167"/>
      <c r="B51" s="306"/>
      <c r="C51" s="330"/>
      <c r="D51" s="328"/>
      <c r="E51" s="263"/>
      <c r="F51" s="59"/>
      <c r="G51" s="252"/>
    </row>
    <row r="52" ht="19.5" customHeight="1">
      <c r="A52" s="167"/>
      <c r="B52" s="306"/>
      <c r="C52" s="330"/>
      <c r="D52" s="328"/>
      <c r="E52" s="263"/>
      <c r="F52" s="59"/>
      <c r="G52" s="252"/>
    </row>
    <row r="53" ht="19.5" customHeight="1">
      <c r="A53" s="167"/>
      <c r="B53" s="306"/>
      <c r="C53" s="330"/>
      <c r="D53" s="328"/>
      <c r="E53" s="263"/>
      <c r="F53" s="264"/>
      <c r="G53" s="252"/>
    </row>
    <row r="54" ht="19.5" customHeight="1">
      <c r="A54" s="167"/>
      <c r="B54" s="306"/>
      <c r="C54" s="328"/>
      <c r="D54" s="330"/>
      <c r="E54" s="263"/>
      <c r="F54" s="59"/>
      <c r="G54" s="252"/>
    </row>
    <row r="55" ht="19.5" customHeight="1">
      <c r="A55" s="167"/>
      <c r="B55" s="334"/>
      <c r="C55" s="335"/>
      <c r="D55" s="328"/>
      <c r="E55" s="263"/>
      <c r="F55" s="59"/>
      <c r="G55" s="252"/>
    </row>
    <row r="56" ht="19.5" customHeight="1">
      <c r="A56" s="167"/>
      <c r="B56" s="334"/>
      <c r="C56" s="330"/>
      <c r="D56" s="328"/>
      <c r="E56" s="263"/>
      <c r="F56" s="264"/>
      <c r="G56" s="252"/>
    </row>
    <row r="57" ht="19.5" customHeight="1">
      <c r="A57" s="167"/>
      <c r="B57" s="334"/>
      <c r="C57" s="330"/>
      <c r="D57" s="328"/>
      <c r="E57" s="263"/>
      <c r="F57" s="59"/>
      <c r="G57" s="252"/>
    </row>
    <row r="58" ht="19.5" customHeight="1">
      <c r="A58" s="167"/>
      <c r="B58" s="334"/>
      <c r="C58" s="330"/>
      <c r="D58" s="328"/>
      <c r="E58" s="263"/>
      <c r="F58" s="264"/>
      <c r="G58" s="252"/>
    </row>
    <row r="59" ht="19.5" customHeight="1">
      <c r="A59" s="167"/>
      <c r="B59" s="334"/>
      <c r="C59" s="330"/>
      <c r="D59" s="328"/>
      <c r="E59" s="263"/>
      <c r="F59" s="264"/>
      <c r="G59" s="252"/>
    </row>
    <row r="60" ht="19.5" customHeight="1">
      <c r="A60" s="167"/>
      <c r="B60" s="334"/>
      <c r="C60" s="330"/>
      <c r="D60" s="328"/>
      <c r="E60" s="263"/>
      <c r="F60" s="59"/>
      <c r="G60" s="252"/>
    </row>
    <row r="61" ht="19.5" customHeight="1">
      <c r="A61" s="167"/>
      <c r="B61" s="334"/>
      <c r="C61" s="330"/>
      <c r="D61" s="328"/>
      <c r="E61" s="263"/>
      <c r="F61" s="59"/>
      <c r="G61" s="252"/>
    </row>
    <row r="62" ht="19.5" customHeight="1">
      <c r="A62" s="167"/>
      <c r="B62" s="334"/>
      <c r="C62" s="330"/>
      <c r="D62" s="328"/>
      <c r="E62" s="263"/>
      <c r="F62" s="59"/>
      <c r="G62" s="252"/>
    </row>
    <row r="63" ht="19.5" customHeight="1">
      <c r="A63" s="167"/>
      <c r="B63" s="334"/>
      <c r="C63" s="330"/>
      <c r="D63" s="328"/>
      <c r="E63" s="263"/>
      <c r="F63" s="59"/>
      <c r="G63" s="252"/>
    </row>
    <row r="64" ht="19.5" customHeight="1">
      <c r="A64" s="167"/>
      <c r="B64" s="334"/>
      <c r="C64" s="330"/>
      <c r="D64" s="328"/>
      <c r="E64" s="263"/>
      <c r="F64" s="59"/>
      <c r="G64" s="252"/>
    </row>
    <row r="65" ht="19.5" customHeight="1">
      <c r="A65" s="254"/>
      <c r="B65" s="334"/>
      <c r="C65" s="330"/>
      <c r="D65" s="328"/>
      <c r="E65" s="263"/>
      <c r="F65" s="59"/>
      <c r="G65" s="252"/>
    </row>
    <row r="66" ht="30.0" customHeight="1">
      <c r="A66" s="176" t="s">
        <v>163</v>
      </c>
      <c r="B66" s="125"/>
      <c r="C66" s="255">
        <f t="shared" ref="C66:D66" si="1">SUM(C21:C65)</f>
        <v>0</v>
      </c>
      <c r="D66" s="255">
        <f t="shared" si="1"/>
        <v>0</v>
      </c>
      <c r="E66" s="134"/>
      <c r="F66" s="135"/>
    </row>
    <row r="67" ht="4.5" customHeight="1">
      <c r="A67" s="137"/>
      <c r="B67" s="133"/>
      <c r="C67" s="133"/>
      <c r="D67" s="133"/>
      <c r="E67" s="133"/>
      <c r="F67" s="133"/>
      <c r="G67" s="125"/>
    </row>
    <row r="68" ht="19.5" customHeight="1">
      <c r="A68" s="174" t="s">
        <v>172</v>
      </c>
      <c r="B68" s="334"/>
      <c r="C68" s="330"/>
      <c r="D68" s="262"/>
      <c r="E68" s="263"/>
      <c r="F68" s="337"/>
      <c r="G68" s="252"/>
    </row>
    <row r="69" ht="30.0" customHeight="1">
      <c r="A69" s="176" t="s">
        <v>163</v>
      </c>
      <c r="B69" s="125"/>
      <c r="C69" s="255">
        <f t="shared" ref="C69:D69" si="2">SUM(C68)</f>
        <v>0</v>
      </c>
      <c r="D69" s="255">
        <f t="shared" si="2"/>
        <v>0</v>
      </c>
      <c r="E69" s="134"/>
      <c r="F69" s="135"/>
    </row>
    <row r="70" ht="4.5" customHeight="1">
      <c r="A70" s="137"/>
      <c r="B70" s="133"/>
      <c r="C70" s="133"/>
      <c r="D70" s="133"/>
      <c r="E70" s="133"/>
      <c r="F70" s="133"/>
      <c r="G70" s="125"/>
    </row>
    <row r="71" ht="19.5" customHeight="1">
      <c r="A71" s="341" t="s">
        <v>998</v>
      </c>
      <c r="B71" s="303"/>
      <c r="C71" s="330"/>
      <c r="D71" s="262"/>
      <c r="E71" s="263"/>
      <c r="F71" s="343"/>
      <c r="G71" s="269"/>
    </row>
    <row r="72" ht="30.0" customHeight="1">
      <c r="A72" s="176" t="s">
        <v>163</v>
      </c>
      <c r="B72" s="125"/>
      <c r="C72" s="255">
        <f t="shared" ref="C72:D72" si="3">SUM(C71)</f>
        <v>0</v>
      </c>
      <c r="D72" s="255">
        <f t="shared" si="3"/>
        <v>0</v>
      </c>
      <c r="E72" s="177"/>
      <c r="F72" s="135"/>
      <c r="G72" s="178"/>
    </row>
    <row r="73" ht="4.5" customHeight="1">
      <c r="A73" s="137"/>
      <c r="B73" s="133"/>
      <c r="C73" s="133"/>
      <c r="D73" s="133"/>
      <c r="E73" s="133"/>
      <c r="F73" s="133"/>
      <c r="G73" s="125"/>
    </row>
    <row r="74" ht="19.5" customHeight="1">
      <c r="A74" s="174" t="s">
        <v>18</v>
      </c>
      <c r="B74" s="346"/>
      <c r="C74" s="262"/>
      <c r="D74" s="304"/>
      <c r="E74" s="268"/>
      <c r="F74" s="78"/>
      <c r="G74" s="342"/>
    </row>
    <row r="75" ht="19.5" customHeight="1">
      <c r="A75" s="167"/>
      <c r="B75" s="349"/>
      <c r="C75" s="300"/>
      <c r="D75" s="265"/>
      <c r="E75" s="266"/>
      <c r="F75" s="307"/>
      <c r="G75" s="350"/>
    </row>
    <row r="76" ht="30.0" customHeight="1">
      <c r="A76" s="176" t="s">
        <v>163</v>
      </c>
      <c r="B76" s="125"/>
      <c r="C76" s="255">
        <f t="shared" ref="C76:D76" si="4">SUM(C74:C75)</f>
        <v>0</v>
      </c>
      <c r="D76" s="255">
        <f t="shared" si="4"/>
        <v>0</v>
      </c>
      <c r="E76" s="134"/>
      <c r="F76" s="211"/>
    </row>
    <row r="77" ht="4.5" customHeight="1">
      <c r="A77" s="137"/>
      <c r="B77" s="133"/>
      <c r="C77" s="133"/>
      <c r="D77" s="133"/>
      <c r="E77" s="133"/>
      <c r="F77" s="133"/>
      <c r="G77" s="125"/>
    </row>
    <row r="78" ht="19.5" customHeight="1">
      <c r="A78" s="174" t="s">
        <v>335</v>
      </c>
      <c r="B78" s="303"/>
      <c r="C78" s="262"/>
      <c r="D78" s="351"/>
      <c r="E78" s="263"/>
      <c r="F78" s="348"/>
      <c r="G78" s="252"/>
    </row>
    <row r="79" ht="19.5" customHeight="1">
      <c r="A79" s="167"/>
      <c r="B79" s="306"/>
      <c r="C79" s="300"/>
      <c r="D79" s="265"/>
      <c r="E79" s="266"/>
      <c r="F79" s="264"/>
      <c r="G79" s="252"/>
    </row>
    <row r="80" ht="30.0" customHeight="1">
      <c r="A80" s="176" t="s">
        <v>163</v>
      </c>
      <c r="B80" s="125"/>
      <c r="C80" s="255">
        <f>SUM(C78:C79)</f>
        <v>0</v>
      </c>
      <c r="D80" s="255">
        <f>SUM(D78)</f>
        <v>0</v>
      </c>
      <c r="E80" s="134"/>
      <c r="F80" s="135"/>
    </row>
    <row r="81" ht="4.5" customHeight="1">
      <c r="A81" s="137"/>
      <c r="B81" s="133"/>
      <c r="C81" s="133"/>
      <c r="D81" s="133"/>
      <c r="E81" s="133"/>
      <c r="F81" s="133"/>
      <c r="G81" s="125"/>
    </row>
    <row r="82" ht="19.5" customHeight="1">
      <c r="A82" s="174" t="s">
        <v>17</v>
      </c>
      <c r="B82" s="346"/>
      <c r="C82" s="304"/>
      <c r="D82" s="262"/>
      <c r="E82" s="268"/>
      <c r="F82" s="80"/>
      <c r="G82" s="269"/>
    </row>
    <row r="83" ht="19.5" customHeight="1">
      <c r="A83" s="167"/>
      <c r="B83" s="349"/>
      <c r="C83" s="300"/>
      <c r="D83" s="265"/>
      <c r="E83" s="266"/>
      <c r="F83" s="242"/>
      <c r="G83" s="242"/>
    </row>
    <row r="84" ht="30.0" customHeight="1">
      <c r="A84" s="176" t="s">
        <v>163</v>
      </c>
      <c r="B84" s="125"/>
      <c r="C84" s="255">
        <f t="shared" ref="C84:D84" si="5">SUM(C82:C83)</f>
        <v>0</v>
      </c>
      <c r="D84" s="255">
        <f t="shared" si="5"/>
        <v>0</v>
      </c>
      <c r="E84" s="134"/>
      <c r="F84" s="135"/>
    </row>
    <row r="85" ht="4.5" customHeight="1">
      <c r="A85" s="137"/>
      <c r="B85" s="133"/>
      <c r="C85" s="133"/>
      <c r="D85" s="195"/>
      <c r="E85" s="270"/>
      <c r="F85" s="270"/>
      <c r="G85" s="270"/>
    </row>
    <row r="86" ht="30.0" customHeight="1">
      <c r="A86" s="176" t="s">
        <v>496</v>
      </c>
      <c r="B86" s="125"/>
      <c r="C86" s="255">
        <f>+C66+C69+C72+C76+C80+C84</f>
        <v>0</v>
      </c>
      <c r="D86" s="255">
        <f>D66+D76+D80</f>
        <v>0</v>
      </c>
      <c r="E86" s="271"/>
      <c r="F86" s="211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90" t="s">
        <v>0</v>
      </c>
      <c r="B6" s="2"/>
      <c r="C6" s="3"/>
      <c r="D6" s="4" t="s">
        <v>1</v>
      </c>
      <c r="E6" s="5"/>
      <c r="F6" s="228"/>
      <c r="G6" s="9"/>
    </row>
    <row r="7" ht="19.5" customHeight="1">
      <c r="A7" s="10"/>
      <c r="B7" s="11"/>
      <c r="C7" s="12"/>
      <c r="D7" s="191" t="s">
        <v>5</v>
      </c>
      <c r="E7" s="15"/>
      <c r="F7" s="229"/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/>
      <c r="G8" s="17"/>
    </row>
    <row r="9" ht="19.5" customHeight="1">
      <c r="A9" s="196" t="s">
        <v>10</v>
      </c>
      <c r="B9" s="27"/>
      <c r="C9" s="197"/>
      <c r="D9" s="198" t="s">
        <v>11</v>
      </c>
      <c r="E9" s="33"/>
      <c r="F9" s="33"/>
      <c r="G9" s="35"/>
    </row>
    <row r="10" ht="19.5" customHeight="1">
      <c r="A10" s="199" t="s">
        <v>12</v>
      </c>
      <c r="B10" s="200"/>
      <c r="C10" s="201"/>
      <c r="D10" s="202"/>
      <c r="G10" s="38"/>
    </row>
    <row r="11" ht="19.5" customHeight="1">
      <c r="A11" s="203" t="s">
        <v>13</v>
      </c>
      <c r="B11" s="210"/>
      <c r="C11" s="205"/>
      <c r="D11" s="202"/>
      <c r="G11" s="38"/>
    </row>
    <row r="12" ht="19.5" customHeight="1">
      <c r="A12" s="199" t="s">
        <v>14</v>
      </c>
      <c r="B12" s="200"/>
      <c r="C12" s="209"/>
      <c r="D12" s="202"/>
      <c r="G12" s="38"/>
    </row>
    <row r="13" ht="19.5" customHeight="1">
      <c r="A13" s="203" t="s">
        <v>15</v>
      </c>
      <c r="B13" s="210"/>
      <c r="C13" s="205"/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/>
      <c r="C15" s="217"/>
      <c r="D15" s="202"/>
      <c r="G15" s="38"/>
    </row>
    <row r="16" ht="19.5" customHeight="1">
      <c r="A16" s="213" t="s">
        <v>18</v>
      </c>
      <c r="B16" s="216"/>
      <c r="C16" s="217"/>
      <c r="D16" s="202"/>
      <c r="G16" s="38"/>
    </row>
    <row r="17" ht="19.5" customHeight="1">
      <c r="A17" s="218" t="s">
        <v>19</v>
      </c>
      <c r="B17" s="219"/>
      <c r="C17" s="220"/>
      <c r="D17" s="202"/>
      <c r="G17" s="38"/>
    </row>
    <row r="18" ht="19.5" customHeight="1">
      <c r="A18" s="221" t="s">
        <v>20</v>
      </c>
      <c r="B18" s="222"/>
      <c r="C18" s="223"/>
      <c r="D18" s="224"/>
      <c r="E18" s="46"/>
      <c r="F18" s="46"/>
      <c r="G18" s="47"/>
    </row>
    <row r="19" ht="4.5" customHeight="1">
      <c r="A19" s="225"/>
      <c r="B19" s="133"/>
      <c r="C19" s="133"/>
      <c r="D19" s="133"/>
      <c r="E19" s="133"/>
      <c r="F19" s="133"/>
      <c r="G19" s="125"/>
    </row>
    <row r="20" ht="24.75" customHeight="1">
      <c r="A20" s="285" t="s">
        <v>21</v>
      </c>
      <c r="B20" s="226" t="s">
        <v>22</v>
      </c>
      <c r="C20" s="226" t="s">
        <v>23</v>
      </c>
      <c r="D20" s="226" t="s">
        <v>24</v>
      </c>
      <c r="E20" s="227" t="s">
        <v>25</v>
      </c>
      <c r="F20" s="227" t="s">
        <v>26</v>
      </c>
      <c r="G20" s="227" t="s">
        <v>27</v>
      </c>
    </row>
    <row r="21" ht="19.5" customHeight="1">
      <c r="A21" s="174" t="s">
        <v>28</v>
      </c>
      <c r="B21" s="303"/>
      <c r="C21" s="304"/>
      <c r="D21" s="262"/>
      <c r="E21" s="268"/>
      <c r="F21" s="85"/>
      <c r="G21" s="269"/>
    </row>
    <row r="22" ht="19.5" customHeight="1">
      <c r="A22" s="167"/>
      <c r="B22" s="306"/>
      <c r="C22" s="300"/>
      <c r="D22" s="265"/>
      <c r="E22" s="266"/>
      <c r="F22" s="307"/>
      <c r="G22" s="242"/>
    </row>
    <row r="23" ht="19.5" customHeight="1">
      <c r="A23" s="167"/>
      <c r="B23" s="306"/>
      <c r="C23" s="265"/>
      <c r="D23" s="300"/>
      <c r="E23" s="266"/>
      <c r="F23" s="75"/>
      <c r="G23" s="242"/>
    </row>
    <row r="24" ht="19.5" customHeight="1">
      <c r="A24" s="167"/>
      <c r="B24" s="306"/>
      <c r="C24" s="300"/>
      <c r="D24" s="265"/>
      <c r="E24" s="266"/>
      <c r="F24" s="59"/>
      <c r="G24" s="242"/>
    </row>
    <row r="25" ht="19.5" customHeight="1">
      <c r="A25" s="167"/>
      <c r="B25" s="306"/>
      <c r="C25" s="265"/>
      <c r="D25" s="300"/>
      <c r="E25" s="266"/>
      <c r="F25" s="59"/>
      <c r="G25" s="242"/>
    </row>
    <row r="26" ht="19.5" customHeight="1">
      <c r="A26" s="167"/>
      <c r="B26" s="306"/>
      <c r="C26" s="300"/>
      <c r="D26" s="265"/>
      <c r="E26" s="266"/>
      <c r="F26" s="59"/>
      <c r="G26" s="242"/>
    </row>
    <row r="27" ht="19.5" customHeight="1">
      <c r="A27" s="167"/>
      <c r="B27" s="306"/>
      <c r="C27" s="300"/>
      <c r="D27" s="265"/>
      <c r="E27" s="266"/>
      <c r="F27" s="59"/>
      <c r="G27" s="242"/>
    </row>
    <row r="28" ht="19.5" customHeight="1">
      <c r="A28" s="167"/>
      <c r="B28" s="306"/>
      <c r="C28" s="300"/>
      <c r="D28" s="265"/>
      <c r="E28" s="266"/>
      <c r="F28" s="307"/>
      <c r="G28" s="242"/>
    </row>
    <row r="29" ht="19.5" customHeight="1">
      <c r="A29" s="167"/>
      <c r="B29" s="306"/>
      <c r="C29" s="300"/>
      <c r="D29" s="265"/>
      <c r="E29" s="266"/>
      <c r="F29" s="59"/>
      <c r="G29" s="242"/>
    </row>
    <row r="30" ht="19.5" customHeight="1">
      <c r="A30" s="167"/>
      <c r="B30" s="306"/>
      <c r="C30" s="300"/>
      <c r="D30" s="265"/>
      <c r="E30" s="266"/>
      <c r="F30" s="59"/>
      <c r="G30" s="242"/>
    </row>
    <row r="31" ht="19.5" customHeight="1">
      <c r="A31" s="167"/>
      <c r="B31" s="306"/>
      <c r="C31" s="300"/>
      <c r="D31" s="265"/>
      <c r="E31" s="266"/>
      <c r="F31" s="59"/>
      <c r="G31" s="242"/>
    </row>
    <row r="32" ht="19.5" customHeight="1">
      <c r="A32" s="167"/>
      <c r="B32" s="306"/>
      <c r="C32" s="300"/>
      <c r="D32" s="265"/>
      <c r="E32" s="266"/>
      <c r="F32" s="59"/>
      <c r="G32" s="242"/>
    </row>
    <row r="33" ht="19.5" customHeight="1">
      <c r="A33" s="167"/>
      <c r="B33" s="306"/>
      <c r="C33" s="300"/>
      <c r="D33" s="265"/>
      <c r="E33" s="266"/>
      <c r="F33" s="59"/>
      <c r="G33" s="242"/>
    </row>
    <row r="34" ht="19.5" customHeight="1">
      <c r="A34" s="167"/>
      <c r="B34" s="306"/>
      <c r="C34" s="265"/>
      <c r="D34" s="300"/>
      <c r="E34" s="266"/>
      <c r="F34" s="59"/>
      <c r="G34" s="242"/>
    </row>
    <row r="35" ht="19.5" customHeight="1">
      <c r="A35" s="167"/>
      <c r="B35" s="306"/>
      <c r="C35" s="300"/>
      <c r="D35" s="265"/>
      <c r="E35" s="266"/>
      <c r="F35" s="90"/>
      <c r="G35" s="242"/>
    </row>
    <row r="36" ht="19.5" customHeight="1">
      <c r="A36" s="167"/>
      <c r="B36" s="306"/>
      <c r="C36" s="300"/>
      <c r="D36" s="265"/>
      <c r="E36" s="266"/>
      <c r="F36" s="90"/>
      <c r="G36" s="242"/>
    </row>
    <row r="37" ht="19.5" customHeight="1">
      <c r="A37" s="167"/>
      <c r="B37" s="306"/>
      <c r="C37" s="300"/>
      <c r="D37" s="265"/>
      <c r="E37" s="266"/>
      <c r="F37" s="90"/>
      <c r="G37" s="242"/>
    </row>
    <row r="38" ht="19.5" customHeight="1">
      <c r="A38" s="167"/>
      <c r="B38" s="306"/>
      <c r="C38" s="300"/>
      <c r="D38" s="265"/>
      <c r="E38" s="266"/>
      <c r="F38" s="59"/>
      <c r="G38" s="242"/>
    </row>
    <row r="39" ht="18.0" customHeight="1">
      <c r="A39" s="167"/>
      <c r="B39" s="306"/>
      <c r="C39" s="300"/>
      <c r="D39" s="265"/>
      <c r="E39" s="266"/>
      <c r="F39" s="90"/>
      <c r="G39" s="242"/>
    </row>
    <row r="40" ht="19.5" customHeight="1">
      <c r="A40" s="167"/>
      <c r="B40" s="306"/>
      <c r="C40" s="300"/>
      <c r="D40" s="265"/>
      <c r="E40" s="266"/>
      <c r="F40" s="307"/>
      <c r="G40" s="242"/>
    </row>
    <row r="41" ht="26.25" customHeight="1">
      <c r="A41" s="167"/>
      <c r="B41" s="322"/>
      <c r="C41" s="325"/>
      <c r="D41" s="317"/>
      <c r="E41" s="326"/>
      <c r="F41" s="314"/>
      <c r="G41" s="242"/>
    </row>
    <row r="42" ht="19.5" customHeight="1">
      <c r="A42" s="167"/>
      <c r="B42" s="306"/>
      <c r="C42" s="300"/>
      <c r="D42" s="265"/>
      <c r="E42" s="266"/>
      <c r="F42" s="59"/>
      <c r="G42" s="242"/>
    </row>
    <row r="43" ht="19.5" customHeight="1">
      <c r="A43" s="167"/>
      <c r="B43" s="306"/>
      <c r="C43" s="300"/>
      <c r="D43" s="265"/>
      <c r="E43" s="266"/>
      <c r="F43" s="59"/>
      <c r="G43" s="242"/>
    </row>
    <row r="44" ht="19.5" customHeight="1">
      <c r="A44" s="167"/>
      <c r="B44" s="306"/>
      <c r="C44" s="300"/>
      <c r="D44" s="265"/>
      <c r="E44" s="266"/>
      <c r="F44" s="59"/>
      <c r="G44" s="242"/>
    </row>
    <row r="45" ht="19.5" customHeight="1">
      <c r="A45" s="167"/>
      <c r="B45" s="306"/>
      <c r="C45" s="300"/>
      <c r="D45" s="265"/>
      <c r="E45" s="266"/>
      <c r="F45" s="59"/>
      <c r="G45" s="252"/>
    </row>
    <row r="46" ht="19.5" customHeight="1">
      <c r="A46" s="167"/>
      <c r="B46" s="306"/>
      <c r="C46" s="300"/>
      <c r="D46" s="265"/>
      <c r="E46" s="266"/>
      <c r="F46" s="264"/>
      <c r="G46" s="252"/>
    </row>
    <row r="47" ht="19.5" customHeight="1">
      <c r="A47" s="167"/>
      <c r="B47" s="306"/>
      <c r="C47" s="300"/>
      <c r="D47" s="265"/>
      <c r="E47" s="266"/>
      <c r="F47" s="264"/>
      <c r="G47" s="252"/>
    </row>
    <row r="48" ht="19.5" customHeight="1">
      <c r="A48" s="167"/>
      <c r="B48" s="306"/>
      <c r="C48" s="331"/>
      <c r="D48" s="265"/>
      <c r="E48" s="266"/>
      <c r="F48" s="59"/>
      <c r="G48" s="242"/>
    </row>
    <row r="49" ht="19.5" customHeight="1">
      <c r="A49" s="167"/>
      <c r="B49" s="306"/>
      <c r="C49" s="331"/>
      <c r="D49" s="265"/>
      <c r="E49" s="266"/>
      <c r="F49" s="59"/>
      <c r="G49" s="252"/>
    </row>
    <row r="50" ht="19.5" customHeight="1">
      <c r="A50" s="167"/>
      <c r="B50" s="306"/>
      <c r="C50" s="300"/>
      <c r="D50" s="265"/>
      <c r="E50" s="266"/>
      <c r="F50" s="59"/>
      <c r="G50" s="252"/>
    </row>
    <row r="51" ht="19.5" customHeight="1">
      <c r="A51" s="167"/>
      <c r="B51" s="306"/>
      <c r="C51" s="330"/>
      <c r="D51" s="328"/>
      <c r="E51" s="263"/>
      <c r="F51" s="59"/>
      <c r="G51" s="252"/>
    </row>
    <row r="52" ht="19.5" customHeight="1">
      <c r="A52" s="167"/>
      <c r="B52" s="306"/>
      <c r="C52" s="330"/>
      <c r="D52" s="328"/>
      <c r="E52" s="263"/>
      <c r="F52" s="59"/>
      <c r="G52" s="252"/>
    </row>
    <row r="53" ht="19.5" customHeight="1">
      <c r="A53" s="167"/>
      <c r="B53" s="306"/>
      <c r="C53" s="330"/>
      <c r="D53" s="328"/>
      <c r="E53" s="263"/>
      <c r="F53" s="264"/>
      <c r="G53" s="252"/>
    </row>
    <row r="54" ht="19.5" customHeight="1">
      <c r="A54" s="167"/>
      <c r="B54" s="306"/>
      <c r="C54" s="328"/>
      <c r="D54" s="330"/>
      <c r="E54" s="263"/>
      <c r="F54" s="59"/>
      <c r="G54" s="252"/>
    </row>
    <row r="55" ht="19.5" customHeight="1">
      <c r="A55" s="167"/>
      <c r="B55" s="334"/>
      <c r="C55" s="335"/>
      <c r="D55" s="328"/>
      <c r="E55" s="263"/>
      <c r="F55" s="59"/>
      <c r="G55" s="252"/>
    </row>
    <row r="56" ht="19.5" customHeight="1">
      <c r="A56" s="167"/>
      <c r="B56" s="334"/>
      <c r="C56" s="330"/>
      <c r="D56" s="328"/>
      <c r="E56" s="263"/>
      <c r="F56" s="264"/>
      <c r="G56" s="252"/>
    </row>
    <row r="57" ht="19.5" customHeight="1">
      <c r="A57" s="167"/>
      <c r="B57" s="334"/>
      <c r="C57" s="330"/>
      <c r="D57" s="328"/>
      <c r="E57" s="263"/>
      <c r="F57" s="59"/>
      <c r="G57" s="252"/>
    </row>
    <row r="58" ht="19.5" customHeight="1">
      <c r="A58" s="167"/>
      <c r="B58" s="334"/>
      <c r="C58" s="330"/>
      <c r="D58" s="328"/>
      <c r="E58" s="263"/>
      <c r="F58" s="264"/>
      <c r="G58" s="252"/>
    </row>
    <row r="59" ht="19.5" customHeight="1">
      <c r="A59" s="167"/>
      <c r="B59" s="334"/>
      <c r="C59" s="330"/>
      <c r="D59" s="328"/>
      <c r="E59" s="263"/>
      <c r="F59" s="264"/>
      <c r="G59" s="252"/>
    </row>
    <row r="60" ht="19.5" customHeight="1">
      <c r="A60" s="167"/>
      <c r="B60" s="334"/>
      <c r="C60" s="330"/>
      <c r="D60" s="328"/>
      <c r="E60" s="263"/>
      <c r="F60" s="59"/>
      <c r="G60" s="252"/>
    </row>
    <row r="61" ht="19.5" customHeight="1">
      <c r="A61" s="167"/>
      <c r="B61" s="334"/>
      <c r="C61" s="330"/>
      <c r="D61" s="328"/>
      <c r="E61" s="263"/>
      <c r="F61" s="59"/>
      <c r="G61" s="252"/>
    </row>
    <row r="62" ht="19.5" customHeight="1">
      <c r="A62" s="167"/>
      <c r="B62" s="334"/>
      <c r="C62" s="330"/>
      <c r="D62" s="328"/>
      <c r="E62" s="263"/>
      <c r="F62" s="59"/>
      <c r="G62" s="252"/>
    </row>
    <row r="63" ht="19.5" customHeight="1">
      <c r="A63" s="167"/>
      <c r="B63" s="334"/>
      <c r="C63" s="330"/>
      <c r="D63" s="328"/>
      <c r="E63" s="263"/>
      <c r="F63" s="59"/>
      <c r="G63" s="252"/>
    </row>
    <row r="64" ht="19.5" customHeight="1">
      <c r="A64" s="167"/>
      <c r="B64" s="334"/>
      <c r="C64" s="330"/>
      <c r="D64" s="328"/>
      <c r="E64" s="263"/>
      <c r="F64" s="59"/>
      <c r="G64" s="252"/>
    </row>
    <row r="65" ht="19.5" customHeight="1">
      <c r="A65" s="254"/>
      <c r="B65" s="334"/>
      <c r="C65" s="330"/>
      <c r="D65" s="328"/>
      <c r="E65" s="263"/>
      <c r="F65" s="59"/>
      <c r="G65" s="252"/>
    </row>
    <row r="66" ht="30.0" customHeight="1">
      <c r="A66" s="176" t="s">
        <v>163</v>
      </c>
      <c r="B66" s="125"/>
      <c r="C66" s="255">
        <f t="shared" ref="C66:D66" si="1">SUM(C21:C65)</f>
        <v>0</v>
      </c>
      <c r="D66" s="255">
        <f t="shared" si="1"/>
        <v>0</v>
      </c>
      <c r="E66" s="134"/>
      <c r="F66" s="135"/>
    </row>
    <row r="67" ht="4.5" customHeight="1">
      <c r="A67" s="137"/>
      <c r="B67" s="133"/>
      <c r="C67" s="133"/>
      <c r="D67" s="133"/>
      <c r="E67" s="133"/>
      <c r="F67" s="133"/>
      <c r="G67" s="125"/>
    </row>
    <row r="68" ht="19.5" customHeight="1">
      <c r="A68" s="174" t="s">
        <v>172</v>
      </c>
      <c r="B68" s="334"/>
      <c r="C68" s="330"/>
      <c r="D68" s="262"/>
      <c r="E68" s="263"/>
      <c r="F68" s="337"/>
      <c r="G68" s="252"/>
    </row>
    <row r="69" ht="30.0" customHeight="1">
      <c r="A69" s="176" t="s">
        <v>163</v>
      </c>
      <c r="B69" s="125"/>
      <c r="C69" s="255">
        <f t="shared" ref="C69:D69" si="2">SUM(C68)</f>
        <v>0</v>
      </c>
      <c r="D69" s="255">
        <f t="shared" si="2"/>
        <v>0</v>
      </c>
      <c r="E69" s="134"/>
      <c r="F69" s="135"/>
    </row>
    <row r="70" ht="4.5" customHeight="1">
      <c r="A70" s="137"/>
      <c r="B70" s="133"/>
      <c r="C70" s="133"/>
      <c r="D70" s="133"/>
      <c r="E70" s="133"/>
      <c r="F70" s="133"/>
      <c r="G70" s="125"/>
    </row>
    <row r="71" ht="19.5" customHeight="1">
      <c r="A71" s="341" t="s">
        <v>998</v>
      </c>
      <c r="B71" s="303"/>
      <c r="C71" s="330"/>
      <c r="D71" s="262"/>
      <c r="E71" s="263"/>
      <c r="F71" s="343"/>
      <c r="G71" s="269"/>
    </row>
    <row r="72" ht="30.0" customHeight="1">
      <c r="A72" s="176" t="s">
        <v>163</v>
      </c>
      <c r="B72" s="125"/>
      <c r="C72" s="255">
        <f t="shared" ref="C72:D72" si="3">SUM(C71)</f>
        <v>0</v>
      </c>
      <c r="D72" s="255">
        <f t="shared" si="3"/>
        <v>0</v>
      </c>
      <c r="E72" s="177"/>
      <c r="F72" s="135"/>
      <c r="G72" s="178"/>
    </row>
    <row r="73" ht="4.5" customHeight="1">
      <c r="A73" s="137"/>
      <c r="B73" s="133"/>
      <c r="C73" s="133"/>
      <c r="D73" s="133"/>
      <c r="E73" s="133"/>
      <c r="F73" s="133"/>
      <c r="G73" s="125"/>
    </row>
    <row r="74" ht="19.5" customHeight="1">
      <c r="A74" s="174" t="s">
        <v>18</v>
      </c>
      <c r="B74" s="346"/>
      <c r="C74" s="262"/>
      <c r="D74" s="304"/>
      <c r="E74" s="268"/>
      <c r="F74" s="78"/>
      <c r="G74" s="342"/>
    </row>
    <row r="75" ht="19.5" customHeight="1">
      <c r="A75" s="167"/>
      <c r="B75" s="349"/>
      <c r="C75" s="300"/>
      <c r="D75" s="265"/>
      <c r="E75" s="266"/>
      <c r="F75" s="307"/>
      <c r="G75" s="350"/>
    </row>
    <row r="76" ht="30.0" customHeight="1">
      <c r="A76" s="176" t="s">
        <v>163</v>
      </c>
      <c r="B76" s="125"/>
      <c r="C76" s="255">
        <f t="shared" ref="C76:D76" si="4">SUM(C74:C75)</f>
        <v>0</v>
      </c>
      <c r="D76" s="255">
        <f t="shared" si="4"/>
        <v>0</v>
      </c>
      <c r="E76" s="134"/>
      <c r="F76" s="211"/>
    </row>
    <row r="77" ht="4.5" customHeight="1">
      <c r="A77" s="137"/>
      <c r="B77" s="133"/>
      <c r="C77" s="133"/>
      <c r="D77" s="133"/>
      <c r="E77" s="133"/>
      <c r="F77" s="133"/>
      <c r="G77" s="125"/>
    </row>
    <row r="78" ht="19.5" customHeight="1">
      <c r="A78" s="174" t="s">
        <v>335</v>
      </c>
      <c r="B78" s="303"/>
      <c r="C78" s="262"/>
      <c r="D78" s="351"/>
      <c r="E78" s="263"/>
      <c r="F78" s="348"/>
      <c r="G78" s="252"/>
    </row>
    <row r="79" ht="19.5" customHeight="1">
      <c r="A79" s="167"/>
      <c r="B79" s="306"/>
      <c r="C79" s="300"/>
      <c r="D79" s="265"/>
      <c r="E79" s="266"/>
      <c r="F79" s="264"/>
      <c r="G79" s="252"/>
    </row>
    <row r="80" ht="30.0" customHeight="1">
      <c r="A80" s="176" t="s">
        <v>163</v>
      </c>
      <c r="B80" s="125"/>
      <c r="C80" s="255">
        <f>SUM(C78:C79)</f>
        <v>0</v>
      </c>
      <c r="D80" s="255">
        <f>SUM(D78)</f>
        <v>0</v>
      </c>
      <c r="E80" s="134"/>
      <c r="F80" s="135"/>
    </row>
    <row r="81" ht="4.5" customHeight="1">
      <c r="A81" s="137"/>
      <c r="B81" s="133"/>
      <c r="C81" s="133"/>
      <c r="D81" s="133"/>
      <c r="E81" s="133"/>
      <c r="F81" s="133"/>
      <c r="G81" s="125"/>
    </row>
    <row r="82" ht="19.5" customHeight="1">
      <c r="A82" s="174" t="s">
        <v>17</v>
      </c>
      <c r="B82" s="346"/>
      <c r="C82" s="304"/>
      <c r="D82" s="262"/>
      <c r="E82" s="268"/>
      <c r="F82" s="80"/>
      <c r="G82" s="269"/>
    </row>
    <row r="83" ht="19.5" customHeight="1">
      <c r="A83" s="167"/>
      <c r="B83" s="349"/>
      <c r="C83" s="300"/>
      <c r="D83" s="265"/>
      <c r="E83" s="266"/>
      <c r="F83" s="242"/>
      <c r="G83" s="242"/>
    </row>
    <row r="84" ht="30.0" customHeight="1">
      <c r="A84" s="176" t="s">
        <v>163</v>
      </c>
      <c r="B84" s="125"/>
      <c r="C84" s="255">
        <f t="shared" ref="C84:D84" si="5">SUM(C82:C83)</f>
        <v>0</v>
      </c>
      <c r="D84" s="255">
        <f t="shared" si="5"/>
        <v>0</v>
      </c>
      <c r="E84" s="134"/>
      <c r="F84" s="135"/>
    </row>
    <row r="85" ht="4.5" customHeight="1">
      <c r="A85" s="137"/>
      <c r="B85" s="133"/>
      <c r="C85" s="133"/>
      <c r="D85" s="195"/>
      <c r="E85" s="270"/>
      <c r="F85" s="270"/>
      <c r="G85" s="270"/>
    </row>
    <row r="86" ht="30.0" customHeight="1">
      <c r="A86" s="176" t="s">
        <v>496</v>
      </c>
      <c r="B86" s="125"/>
      <c r="C86" s="255">
        <f>+C66+C69+C72+C76+C80+C84</f>
        <v>0</v>
      </c>
      <c r="D86" s="255">
        <f>D66+D76+D80</f>
        <v>0</v>
      </c>
      <c r="E86" s="271"/>
      <c r="F86" s="211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90" t="s">
        <v>0</v>
      </c>
      <c r="B6" s="2"/>
      <c r="C6" s="3"/>
      <c r="D6" s="4" t="s">
        <v>1</v>
      </c>
      <c r="E6" s="5"/>
      <c r="F6" s="228"/>
      <c r="G6" s="9"/>
    </row>
    <row r="7" ht="19.5" customHeight="1">
      <c r="A7" s="10"/>
      <c r="B7" s="11"/>
      <c r="C7" s="12"/>
      <c r="D7" s="191" t="s">
        <v>5</v>
      </c>
      <c r="E7" s="15"/>
      <c r="F7" s="229"/>
      <c r="G7" s="17"/>
    </row>
    <row r="8" ht="26.25" customHeight="1">
      <c r="A8" s="192" t="s">
        <v>7</v>
      </c>
      <c r="B8" s="193" t="s">
        <v>8</v>
      </c>
      <c r="C8" s="194" t="s">
        <v>9</v>
      </c>
      <c r="D8" s="14" t="s">
        <v>9</v>
      </c>
      <c r="E8" s="24"/>
      <c r="F8" s="25"/>
      <c r="G8" s="17"/>
    </row>
    <row r="9" ht="19.5" customHeight="1">
      <c r="A9" s="196" t="s">
        <v>10</v>
      </c>
      <c r="B9" s="27"/>
      <c r="C9" s="197"/>
      <c r="D9" s="198" t="s">
        <v>11</v>
      </c>
      <c r="E9" s="33"/>
      <c r="F9" s="33"/>
      <c r="G9" s="35"/>
    </row>
    <row r="10" ht="19.5" customHeight="1">
      <c r="A10" s="199" t="s">
        <v>12</v>
      </c>
      <c r="B10" s="200"/>
      <c r="C10" s="201"/>
      <c r="D10" s="202"/>
      <c r="G10" s="38"/>
    </row>
    <row r="11" ht="19.5" customHeight="1">
      <c r="A11" s="203" t="s">
        <v>13</v>
      </c>
      <c r="B11" s="210"/>
      <c r="C11" s="205"/>
      <c r="D11" s="202"/>
      <c r="G11" s="38"/>
    </row>
    <row r="12" ht="19.5" customHeight="1">
      <c r="A12" s="199" t="s">
        <v>14</v>
      </c>
      <c r="B12" s="200"/>
      <c r="C12" s="209"/>
      <c r="D12" s="202"/>
      <c r="G12" s="38"/>
    </row>
    <row r="13" ht="19.5" customHeight="1">
      <c r="A13" s="203" t="s">
        <v>15</v>
      </c>
      <c r="B13" s="210"/>
      <c r="C13" s="205"/>
      <c r="D13" s="202"/>
      <c r="G13" s="38"/>
    </row>
    <row r="14" ht="19.5" customHeight="1">
      <c r="A14" s="199" t="s">
        <v>16</v>
      </c>
      <c r="B14" s="200"/>
      <c r="C14" s="209"/>
      <c r="D14" s="202"/>
      <c r="G14" s="38"/>
    </row>
    <row r="15" ht="19.5" customHeight="1">
      <c r="A15" s="213" t="s">
        <v>17</v>
      </c>
      <c r="B15" s="216"/>
      <c r="C15" s="217"/>
      <c r="D15" s="202"/>
      <c r="G15" s="38"/>
    </row>
    <row r="16" ht="19.5" customHeight="1">
      <c r="A16" s="213" t="s">
        <v>18</v>
      </c>
      <c r="B16" s="216"/>
      <c r="C16" s="217"/>
      <c r="D16" s="202"/>
      <c r="G16" s="38"/>
    </row>
    <row r="17" ht="19.5" customHeight="1">
      <c r="A17" s="218" t="s">
        <v>19</v>
      </c>
      <c r="B17" s="219"/>
      <c r="C17" s="220"/>
      <c r="D17" s="202"/>
      <c r="G17" s="38"/>
    </row>
    <row r="18" ht="19.5" customHeight="1">
      <c r="A18" s="221" t="s">
        <v>20</v>
      </c>
      <c r="B18" s="222"/>
      <c r="C18" s="223"/>
      <c r="D18" s="224"/>
      <c r="E18" s="46"/>
      <c r="F18" s="46"/>
      <c r="G18" s="47"/>
    </row>
    <row r="19" ht="4.5" customHeight="1">
      <c r="A19" s="225"/>
      <c r="B19" s="133"/>
      <c r="C19" s="133"/>
      <c r="D19" s="133"/>
      <c r="E19" s="133"/>
      <c r="F19" s="133"/>
      <c r="G19" s="125"/>
    </row>
    <row r="20" ht="24.75" customHeight="1">
      <c r="A20" s="285" t="s">
        <v>21</v>
      </c>
      <c r="B20" s="226" t="s">
        <v>22</v>
      </c>
      <c r="C20" s="226" t="s">
        <v>23</v>
      </c>
      <c r="D20" s="226" t="s">
        <v>24</v>
      </c>
      <c r="E20" s="227" t="s">
        <v>25</v>
      </c>
      <c r="F20" s="227" t="s">
        <v>26</v>
      </c>
      <c r="G20" s="227" t="s">
        <v>27</v>
      </c>
    </row>
    <row r="21" ht="19.5" customHeight="1">
      <c r="A21" s="174" t="s">
        <v>28</v>
      </c>
      <c r="B21" s="303"/>
      <c r="C21" s="304"/>
      <c r="D21" s="262"/>
      <c r="E21" s="268"/>
      <c r="F21" s="85"/>
      <c r="G21" s="269"/>
    </row>
    <row r="22" ht="19.5" customHeight="1">
      <c r="A22" s="167"/>
      <c r="B22" s="306"/>
      <c r="C22" s="300"/>
      <c r="D22" s="265"/>
      <c r="E22" s="266"/>
      <c r="F22" s="307"/>
      <c r="G22" s="242"/>
    </row>
    <row r="23" ht="19.5" customHeight="1">
      <c r="A23" s="167"/>
      <c r="B23" s="306"/>
      <c r="C23" s="265"/>
      <c r="D23" s="300"/>
      <c r="E23" s="266"/>
      <c r="F23" s="75"/>
      <c r="G23" s="242"/>
    </row>
    <row r="24" ht="19.5" customHeight="1">
      <c r="A24" s="167"/>
      <c r="B24" s="306"/>
      <c r="C24" s="300"/>
      <c r="D24" s="265"/>
      <c r="E24" s="266"/>
      <c r="F24" s="59"/>
      <c r="G24" s="242"/>
    </row>
    <row r="25" ht="19.5" customHeight="1">
      <c r="A25" s="167"/>
      <c r="B25" s="306"/>
      <c r="C25" s="265"/>
      <c r="D25" s="300"/>
      <c r="E25" s="266"/>
      <c r="F25" s="59"/>
      <c r="G25" s="242"/>
    </row>
    <row r="26" ht="19.5" customHeight="1">
      <c r="A26" s="167"/>
      <c r="B26" s="306"/>
      <c r="C26" s="300"/>
      <c r="D26" s="265"/>
      <c r="E26" s="266"/>
      <c r="F26" s="59"/>
      <c r="G26" s="242"/>
    </row>
    <row r="27" ht="19.5" customHeight="1">
      <c r="A27" s="167"/>
      <c r="B27" s="306"/>
      <c r="C27" s="300"/>
      <c r="D27" s="265"/>
      <c r="E27" s="266"/>
      <c r="F27" s="59"/>
      <c r="G27" s="242"/>
    </row>
    <row r="28" ht="19.5" customHeight="1">
      <c r="A28" s="167"/>
      <c r="B28" s="306"/>
      <c r="C28" s="300"/>
      <c r="D28" s="265"/>
      <c r="E28" s="266"/>
      <c r="F28" s="307"/>
      <c r="G28" s="242"/>
    </row>
    <row r="29" ht="19.5" customHeight="1">
      <c r="A29" s="167"/>
      <c r="B29" s="306"/>
      <c r="C29" s="300"/>
      <c r="D29" s="265"/>
      <c r="E29" s="266"/>
      <c r="F29" s="59"/>
      <c r="G29" s="242"/>
    </row>
    <row r="30" ht="19.5" customHeight="1">
      <c r="A30" s="167"/>
      <c r="B30" s="306"/>
      <c r="C30" s="300"/>
      <c r="D30" s="265"/>
      <c r="E30" s="266"/>
      <c r="F30" s="59"/>
      <c r="G30" s="242"/>
    </row>
    <row r="31" ht="19.5" customHeight="1">
      <c r="A31" s="167"/>
      <c r="B31" s="306"/>
      <c r="C31" s="300"/>
      <c r="D31" s="265"/>
      <c r="E31" s="266"/>
      <c r="F31" s="59"/>
      <c r="G31" s="242"/>
    </row>
    <row r="32" ht="19.5" customHeight="1">
      <c r="A32" s="167"/>
      <c r="B32" s="306"/>
      <c r="C32" s="300"/>
      <c r="D32" s="265"/>
      <c r="E32" s="266"/>
      <c r="F32" s="59"/>
      <c r="G32" s="242"/>
    </row>
    <row r="33" ht="19.5" customHeight="1">
      <c r="A33" s="167"/>
      <c r="B33" s="306"/>
      <c r="C33" s="300"/>
      <c r="D33" s="265"/>
      <c r="E33" s="266"/>
      <c r="F33" s="59"/>
      <c r="G33" s="242"/>
    </row>
    <row r="34" ht="19.5" customHeight="1">
      <c r="A34" s="167"/>
      <c r="B34" s="306"/>
      <c r="C34" s="265"/>
      <c r="D34" s="300"/>
      <c r="E34" s="266"/>
      <c r="F34" s="59"/>
      <c r="G34" s="242"/>
    </row>
    <row r="35" ht="19.5" customHeight="1">
      <c r="A35" s="167"/>
      <c r="B35" s="306"/>
      <c r="C35" s="300"/>
      <c r="D35" s="265"/>
      <c r="E35" s="266"/>
      <c r="F35" s="90"/>
      <c r="G35" s="242"/>
    </row>
    <row r="36" ht="19.5" customHeight="1">
      <c r="A36" s="167"/>
      <c r="B36" s="306"/>
      <c r="C36" s="300"/>
      <c r="D36" s="265"/>
      <c r="E36" s="266"/>
      <c r="F36" s="90"/>
      <c r="G36" s="242"/>
    </row>
    <row r="37" ht="19.5" customHeight="1">
      <c r="A37" s="167"/>
      <c r="B37" s="306"/>
      <c r="C37" s="300"/>
      <c r="D37" s="265"/>
      <c r="E37" s="266"/>
      <c r="F37" s="90"/>
      <c r="G37" s="242"/>
    </row>
    <row r="38" ht="19.5" customHeight="1">
      <c r="A38" s="167"/>
      <c r="B38" s="306"/>
      <c r="C38" s="300"/>
      <c r="D38" s="265"/>
      <c r="E38" s="266"/>
      <c r="F38" s="59"/>
      <c r="G38" s="242"/>
    </row>
    <row r="39" ht="18.0" customHeight="1">
      <c r="A39" s="167"/>
      <c r="B39" s="306"/>
      <c r="C39" s="300"/>
      <c r="D39" s="265"/>
      <c r="E39" s="266"/>
      <c r="F39" s="90"/>
      <c r="G39" s="242"/>
    </row>
    <row r="40" ht="19.5" customHeight="1">
      <c r="A40" s="167"/>
      <c r="B40" s="306"/>
      <c r="C40" s="300"/>
      <c r="D40" s="265"/>
      <c r="E40" s="266"/>
      <c r="F40" s="307"/>
      <c r="G40" s="242"/>
    </row>
    <row r="41" ht="26.25" customHeight="1">
      <c r="A41" s="167"/>
      <c r="B41" s="322"/>
      <c r="C41" s="325"/>
      <c r="D41" s="317"/>
      <c r="E41" s="326"/>
      <c r="F41" s="314"/>
      <c r="G41" s="242"/>
    </row>
    <row r="42" ht="19.5" customHeight="1">
      <c r="A42" s="167"/>
      <c r="B42" s="306"/>
      <c r="C42" s="300"/>
      <c r="D42" s="265"/>
      <c r="E42" s="266"/>
      <c r="F42" s="59"/>
      <c r="G42" s="242"/>
    </row>
    <row r="43" ht="19.5" customHeight="1">
      <c r="A43" s="167"/>
      <c r="B43" s="306"/>
      <c r="C43" s="300"/>
      <c r="D43" s="265"/>
      <c r="E43" s="266"/>
      <c r="F43" s="59"/>
      <c r="G43" s="242"/>
    </row>
    <row r="44" ht="19.5" customHeight="1">
      <c r="A44" s="167"/>
      <c r="B44" s="306"/>
      <c r="C44" s="300"/>
      <c r="D44" s="265"/>
      <c r="E44" s="266"/>
      <c r="F44" s="59"/>
      <c r="G44" s="242"/>
    </row>
    <row r="45" ht="19.5" customHeight="1">
      <c r="A45" s="167"/>
      <c r="B45" s="306"/>
      <c r="C45" s="300"/>
      <c r="D45" s="265"/>
      <c r="E45" s="266"/>
      <c r="F45" s="59"/>
      <c r="G45" s="252"/>
    </row>
    <row r="46" ht="19.5" customHeight="1">
      <c r="A46" s="167"/>
      <c r="B46" s="306"/>
      <c r="C46" s="300"/>
      <c r="D46" s="265"/>
      <c r="E46" s="266"/>
      <c r="F46" s="264"/>
      <c r="G46" s="252"/>
    </row>
    <row r="47" ht="19.5" customHeight="1">
      <c r="A47" s="167"/>
      <c r="B47" s="306"/>
      <c r="C47" s="300"/>
      <c r="D47" s="265"/>
      <c r="E47" s="266"/>
      <c r="F47" s="264"/>
      <c r="G47" s="252"/>
    </row>
    <row r="48" ht="19.5" customHeight="1">
      <c r="A48" s="167"/>
      <c r="B48" s="306"/>
      <c r="C48" s="331"/>
      <c r="D48" s="265"/>
      <c r="E48" s="266"/>
      <c r="F48" s="59"/>
      <c r="G48" s="242"/>
    </row>
    <row r="49" ht="19.5" customHeight="1">
      <c r="A49" s="167"/>
      <c r="B49" s="306"/>
      <c r="C49" s="331"/>
      <c r="D49" s="265"/>
      <c r="E49" s="266"/>
      <c r="F49" s="59"/>
      <c r="G49" s="252"/>
    </row>
    <row r="50" ht="19.5" customHeight="1">
      <c r="A50" s="167"/>
      <c r="B50" s="306"/>
      <c r="C50" s="300"/>
      <c r="D50" s="265"/>
      <c r="E50" s="266"/>
      <c r="F50" s="59"/>
      <c r="G50" s="252"/>
    </row>
    <row r="51" ht="19.5" customHeight="1">
      <c r="A51" s="167"/>
      <c r="B51" s="306"/>
      <c r="C51" s="330"/>
      <c r="D51" s="328"/>
      <c r="E51" s="263"/>
      <c r="F51" s="59"/>
      <c r="G51" s="252"/>
    </row>
    <row r="52" ht="19.5" customHeight="1">
      <c r="A52" s="167"/>
      <c r="B52" s="306"/>
      <c r="C52" s="330"/>
      <c r="D52" s="328"/>
      <c r="E52" s="263"/>
      <c r="F52" s="59"/>
      <c r="G52" s="252"/>
    </row>
    <row r="53" ht="19.5" customHeight="1">
      <c r="A53" s="167"/>
      <c r="B53" s="306"/>
      <c r="C53" s="330"/>
      <c r="D53" s="328"/>
      <c r="E53" s="263"/>
      <c r="F53" s="264"/>
      <c r="G53" s="252"/>
    </row>
    <row r="54" ht="19.5" customHeight="1">
      <c r="A54" s="167"/>
      <c r="B54" s="306"/>
      <c r="C54" s="328"/>
      <c r="D54" s="330"/>
      <c r="E54" s="263"/>
      <c r="F54" s="59"/>
      <c r="G54" s="252"/>
    </row>
    <row r="55" ht="19.5" customHeight="1">
      <c r="A55" s="167"/>
      <c r="B55" s="334"/>
      <c r="C55" s="335"/>
      <c r="D55" s="328"/>
      <c r="E55" s="263"/>
      <c r="F55" s="59"/>
      <c r="G55" s="252"/>
    </row>
    <row r="56" ht="19.5" customHeight="1">
      <c r="A56" s="167"/>
      <c r="B56" s="334"/>
      <c r="C56" s="330"/>
      <c r="D56" s="328"/>
      <c r="E56" s="263"/>
      <c r="F56" s="264"/>
      <c r="G56" s="252"/>
    </row>
    <row r="57" ht="19.5" customHeight="1">
      <c r="A57" s="167"/>
      <c r="B57" s="334"/>
      <c r="C57" s="330"/>
      <c r="D57" s="328"/>
      <c r="E57" s="263"/>
      <c r="F57" s="59"/>
      <c r="G57" s="252"/>
    </row>
    <row r="58" ht="19.5" customHeight="1">
      <c r="A58" s="167"/>
      <c r="B58" s="334"/>
      <c r="C58" s="330"/>
      <c r="D58" s="328"/>
      <c r="E58" s="263"/>
      <c r="F58" s="264"/>
      <c r="G58" s="252"/>
    </row>
    <row r="59" ht="19.5" customHeight="1">
      <c r="A59" s="167"/>
      <c r="B59" s="334"/>
      <c r="C59" s="330"/>
      <c r="D59" s="328"/>
      <c r="E59" s="263"/>
      <c r="F59" s="264"/>
      <c r="G59" s="252"/>
    </row>
    <row r="60" ht="19.5" customHeight="1">
      <c r="A60" s="167"/>
      <c r="B60" s="334"/>
      <c r="C60" s="330"/>
      <c r="D60" s="328"/>
      <c r="E60" s="263"/>
      <c r="F60" s="59"/>
      <c r="G60" s="252"/>
    </row>
    <row r="61" ht="19.5" customHeight="1">
      <c r="A61" s="167"/>
      <c r="B61" s="334"/>
      <c r="C61" s="330"/>
      <c r="D61" s="328"/>
      <c r="E61" s="263"/>
      <c r="F61" s="59"/>
      <c r="G61" s="252"/>
    </row>
    <row r="62" ht="19.5" customHeight="1">
      <c r="A62" s="167"/>
      <c r="B62" s="334"/>
      <c r="C62" s="330"/>
      <c r="D62" s="328"/>
      <c r="E62" s="263"/>
      <c r="F62" s="59"/>
      <c r="G62" s="252"/>
    </row>
    <row r="63" ht="19.5" customHeight="1">
      <c r="A63" s="167"/>
      <c r="B63" s="334"/>
      <c r="C63" s="330"/>
      <c r="D63" s="328"/>
      <c r="E63" s="263"/>
      <c r="F63" s="59"/>
      <c r="G63" s="252"/>
    </row>
    <row r="64" ht="19.5" customHeight="1">
      <c r="A64" s="167"/>
      <c r="B64" s="334"/>
      <c r="C64" s="330"/>
      <c r="D64" s="328"/>
      <c r="E64" s="263"/>
      <c r="F64" s="59"/>
      <c r="G64" s="252"/>
    </row>
    <row r="65" ht="19.5" customHeight="1">
      <c r="A65" s="254"/>
      <c r="B65" s="334"/>
      <c r="C65" s="330"/>
      <c r="D65" s="328"/>
      <c r="E65" s="263"/>
      <c r="F65" s="59"/>
      <c r="G65" s="252"/>
    </row>
    <row r="66" ht="30.0" customHeight="1">
      <c r="A66" s="176" t="s">
        <v>163</v>
      </c>
      <c r="B66" s="125"/>
      <c r="C66" s="255">
        <f t="shared" ref="C66:D66" si="1">SUM(C21:C65)</f>
        <v>0</v>
      </c>
      <c r="D66" s="255">
        <f t="shared" si="1"/>
        <v>0</v>
      </c>
      <c r="E66" s="134"/>
      <c r="F66" s="135"/>
    </row>
    <row r="67" ht="4.5" customHeight="1">
      <c r="A67" s="137"/>
      <c r="B67" s="133"/>
      <c r="C67" s="133"/>
      <c r="D67" s="133"/>
      <c r="E67" s="133"/>
      <c r="F67" s="133"/>
      <c r="G67" s="125"/>
    </row>
    <row r="68" ht="19.5" customHeight="1">
      <c r="A68" s="174" t="s">
        <v>172</v>
      </c>
      <c r="B68" s="334"/>
      <c r="C68" s="330"/>
      <c r="D68" s="262"/>
      <c r="E68" s="263"/>
      <c r="F68" s="337"/>
      <c r="G68" s="252"/>
    </row>
    <row r="69" ht="30.0" customHeight="1">
      <c r="A69" s="176" t="s">
        <v>163</v>
      </c>
      <c r="B69" s="125"/>
      <c r="C69" s="255">
        <f t="shared" ref="C69:D69" si="2">SUM(C68)</f>
        <v>0</v>
      </c>
      <c r="D69" s="255">
        <f t="shared" si="2"/>
        <v>0</v>
      </c>
      <c r="E69" s="134"/>
      <c r="F69" s="135"/>
    </row>
    <row r="70" ht="4.5" customHeight="1">
      <c r="A70" s="137"/>
      <c r="B70" s="133"/>
      <c r="C70" s="133"/>
      <c r="D70" s="133"/>
      <c r="E70" s="133"/>
      <c r="F70" s="133"/>
      <c r="G70" s="125"/>
    </row>
    <row r="71" ht="19.5" customHeight="1">
      <c r="A71" s="341" t="s">
        <v>998</v>
      </c>
      <c r="B71" s="303"/>
      <c r="C71" s="330"/>
      <c r="D71" s="262"/>
      <c r="E71" s="263"/>
      <c r="F71" s="343"/>
      <c r="G71" s="269"/>
    </row>
    <row r="72" ht="30.0" customHeight="1">
      <c r="A72" s="176" t="s">
        <v>163</v>
      </c>
      <c r="B72" s="125"/>
      <c r="C72" s="255">
        <f t="shared" ref="C72:D72" si="3">SUM(C71)</f>
        <v>0</v>
      </c>
      <c r="D72" s="255">
        <f t="shared" si="3"/>
        <v>0</v>
      </c>
      <c r="E72" s="177"/>
      <c r="F72" s="135"/>
      <c r="G72" s="178"/>
    </row>
    <row r="73" ht="4.5" customHeight="1">
      <c r="A73" s="137"/>
      <c r="B73" s="133"/>
      <c r="C73" s="133"/>
      <c r="D73" s="133"/>
      <c r="E73" s="133"/>
      <c r="F73" s="133"/>
      <c r="G73" s="125"/>
    </row>
    <row r="74" ht="19.5" customHeight="1">
      <c r="A74" s="174" t="s">
        <v>18</v>
      </c>
      <c r="B74" s="346"/>
      <c r="C74" s="262"/>
      <c r="D74" s="304"/>
      <c r="E74" s="268"/>
      <c r="F74" s="78"/>
      <c r="G74" s="342"/>
    </row>
    <row r="75" ht="19.5" customHeight="1">
      <c r="A75" s="167"/>
      <c r="B75" s="349"/>
      <c r="C75" s="300"/>
      <c r="D75" s="265"/>
      <c r="E75" s="266"/>
      <c r="F75" s="307"/>
      <c r="G75" s="350"/>
    </row>
    <row r="76" ht="30.0" customHeight="1">
      <c r="A76" s="176" t="s">
        <v>163</v>
      </c>
      <c r="B76" s="125"/>
      <c r="C76" s="255">
        <f t="shared" ref="C76:D76" si="4">SUM(C74:C75)</f>
        <v>0</v>
      </c>
      <c r="D76" s="255">
        <f t="shared" si="4"/>
        <v>0</v>
      </c>
      <c r="E76" s="134"/>
      <c r="F76" s="211"/>
    </row>
    <row r="77" ht="4.5" customHeight="1">
      <c r="A77" s="137"/>
      <c r="B77" s="133"/>
      <c r="C77" s="133"/>
      <c r="D77" s="133"/>
      <c r="E77" s="133"/>
      <c r="F77" s="133"/>
      <c r="G77" s="125"/>
    </row>
    <row r="78" ht="19.5" customHeight="1">
      <c r="A78" s="174" t="s">
        <v>335</v>
      </c>
      <c r="B78" s="303"/>
      <c r="C78" s="262"/>
      <c r="D78" s="351"/>
      <c r="E78" s="263"/>
      <c r="F78" s="348"/>
      <c r="G78" s="252"/>
    </row>
    <row r="79" ht="19.5" customHeight="1">
      <c r="A79" s="167"/>
      <c r="B79" s="306"/>
      <c r="C79" s="300"/>
      <c r="D79" s="265"/>
      <c r="E79" s="266"/>
      <c r="F79" s="264"/>
      <c r="G79" s="252"/>
    </row>
    <row r="80" ht="30.0" customHeight="1">
      <c r="A80" s="176" t="s">
        <v>163</v>
      </c>
      <c r="B80" s="125"/>
      <c r="C80" s="255">
        <f>SUM(C78:C79)</f>
        <v>0</v>
      </c>
      <c r="D80" s="255">
        <f>SUM(D78)</f>
        <v>0</v>
      </c>
      <c r="E80" s="134"/>
      <c r="F80" s="135"/>
    </row>
    <row r="81" ht="4.5" customHeight="1">
      <c r="A81" s="137"/>
      <c r="B81" s="133"/>
      <c r="C81" s="133"/>
      <c r="D81" s="133"/>
      <c r="E81" s="133"/>
      <c r="F81" s="133"/>
      <c r="G81" s="125"/>
    </row>
    <row r="82" ht="19.5" customHeight="1">
      <c r="A82" s="174" t="s">
        <v>17</v>
      </c>
      <c r="B82" s="346"/>
      <c r="C82" s="304"/>
      <c r="D82" s="262"/>
      <c r="E82" s="268"/>
      <c r="F82" s="80"/>
      <c r="G82" s="269"/>
    </row>
    <row r="83" ht="19.5" customHeight="1">
      <c r="A83" s="167"/>
      <c r="B83" s="349"/>
      <c r="C83" s="300"/>
      <c r="D83" s="265"/>
      <c r="E83" s="266"/>
      <c r="F83" s="242"/>
      <c r="G83" s="242"/>
    </row>
    <row r="84" ht="30.0" customHeight="1">
      <c r="A84" s="176" t="s">
        <v>163</v>
      </c>
      <c r="B84" s="125"/>
      <c r="C84" s="255">
        <f t="shared" ref="C84:D84" si="5">SUM(C82:C83)</f>
        <v>0</v>
      </c>
      <c r="D84" s="255">
        <f t="shared" si="5"/>
        <v>0</v>
      </c>
      <c r="E84" s="134"/>
      <c r="F84" s="135"/>
    </row>
    <row r="85" ht="4.5" customHeight="1">
      <c r="A85" s="137"/>
      <c r="B85" s="133"/>
      <c r="C85" s="133"/>
      <c r="D85" s="195"/>
      <c r="E85" s="270"/>
      <c r="F85" s="270"/>
      <c r="G85" s="270"/>
    </row>
    <row r="86" ht="30.0" customHeight="1">
      <c r="A86" s="176" t="s">
        <v>496</v>
      </c>
      <c r="B86" s="125"/>
      <c r="C86" s="255">
        <f>+C66+C69+C72+C76+C80+C84</f>
        <v>0</v>
      </c>
      <c r="D86" s="255">
        <f>D66+D76+D80</f>
        <v>0</v>
      </c>
      <c r="E86" s="271"/>
      <c r="F86" s="211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2026-01-19T13:02:24Z</dcterms:created>
  <dc:creator>Santiago Bibiloni</dc:creator>
</cp:coreProperties>
</file>