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8b119a58adf30ca/Documentos/"/>
    </mc:Choice>
  </mc:AlternateContent>
  <xr:revisionPtr revIDLastSave="6492" documentId="8_{B9570053-5F10-4923-B51F-C96E1491AC0C}" xr6:coauthVersionLast="47" xr6:coauthVersionMax="47" xr10:uidLastSave="{F1C5D905-3BA4-42FC-B2E1-58E816B07ACA}"/>
  <bookViews>
    <workbookView minimized="1" xWindow="2196" yWindow="2196" windowWidth="17280" windowHeight="9048" firstSheet="11" activeTab="15" xr2:uid="{00000000-000D-0000-FFFF-FFFF00000000}"/>
  </bookViews>
  <sheets>
    <sheet name="DICIEMBRE.2025" sheetId="25" r:id="rId1"/>
    <sheet name="ENERO.2026" sheetId="28" r:id="rId2"/>
    <sheet name="FEBRERO.2026" sheetId="29" r:id="rId3"/>
    <sheet name="MARZO.2026" sheetId="30" r:id="rId4"/>
    <sheet name="ABRIL.2026" sheetId="31" r:id="rId5"/>
    <sheet name="MAYO.2026" sheetId="33" r:id="rId6"/>
    <sheet name="JUNIO.2026" sheetId="45" r:id="rId7"/>
    <sheet name="JULIO.2026" sheetId="34" r:id="rId8"/>
    <sheet name="AGOSTO.2026" sheetId="46" r:id="rId9"/>
    <sheet name="SEPTIMBRE.2026" sheetId="47" r:id="rId10"/>
    <sheet name="OCTUBRE.2026" sheetId="48" r:id="rId11"/>
    <sheet name="NOVIEMBRE.2026" sheetId="50" r:id="rId12"/>
    <sheet name="DICIEMBRE.2026" sheetId="49" r:id="rId13"/>
    <sheet name="TRANSF.EFECT DE COMBUSTIBLE " sheetId="43" state="hidden" r:id="rId14"/>
    <sheet name="CONSUMO DE COMBUSTIBLE EN PESOS" sheetId="42" r:id="rId15"/>
    <sheet name="CONSUMO DE LITROS" sheetId="32" r:id="rId16"/>
    <sheet name="CARGAS AUTORIZADAS" sheetId="18" r:id="rId17"/>
  </sheets>
  <definedNames>
    <definedName name="_xlnm.Print_Area" localSheetId="4">ABRIL.2026!$A$1:$AJ$309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6" i="46" l="1"/>
  <c r="G156" i="46"/>
  <c r="M22" i="46"/>
  <c r="M141" i="46" s="1"/>
  <c r="M21" i="46"/>
  <c r="M140" i="46" s="1"/>
  <c r="M20" i="46"/>
  <c r="M18" i="46"/>
  <c r="M137" i="46" s="1"/>
  <c r="M19" i="46"/>
  <c r="M9" i="46"/>
  <c r="M17" i="46"/>
  <c r="M136" i="46" s="1"/>
  <c r="M15" i="46"/>
  <c r="M13" i="46"/>
  <c r="M8" i="46"/>
  <c r="H33" i="46"/>
  <c r="M126" i="46"/>
  <c r="M138" i="46"/>
  <c r="M130" i="46"/>
  <c r="M129" i="46"/>
  <c r="M121" i="46"/>
  <c r="M119" i="46"/>
  <c r="M139" i="46" s="1"/>
  <c r="M118" i="46"/>
  <c r="M113" i="46"/>
  <c r="M133" i="46" s="1"/>
  <c r="M117" i="46"/>
  <c r="M116" i="46"/>
  <c r="M115" i="46"/>
  <c r="M114" i="46"/>
  <c r="M112" i="46"/>
  <c r="M111" i="46"/>
  <c r="M108" i="46"/>
  <c r="M107" i="46"/>
  <c r="H141" i="46"/>
  <c r="M90" i="46"/>
  <c r="M89" i="46"/>
  <c r="M88" i="46"/>
  <c r="M87" i="46"/>
  <c r="M86" i="46"/>
  <c r="M84" i="46"/>
  <c r="M85" i="46"/>
  <c r="M83" i="46"/>
  <c r="M82" i="46"/>
  <c r="M81" i="46"/>
  <c r="M80" i="46"/>
  <c r="M77" i="46"/>
  <c r="M128" i="46" s="1"/>
  <c r="M76" i="46"/>
  <c r="M127" i="46" s="1"/>
  <c r="H102" i="46"/>
  <c r="M51" i="46"/>
  <c r="M48" i="46"/>
  <c r="M45" i="46"/>
  <c r="M44" i="46"/>
  <c r="M43" i="46"/>
  <c r="M132" i="46" s="1"/>
  <c r="M50" i="46"/>
  <c r="M52" i="46"/>
  <c r="M49" i="46"/>
  <c r="M46" i="46"/>
  <c r="M135" i="46" s="1"/>
  <c r="M39" i="46"/>
  <c r="H71" i="46"/>
  <c r="C10" i="42"/>
  <c r="F198" i="28"/>
  <c r="E198" i="28"/>
  <c r="C5" i="42"/>
  <c r="C6" i="42"/>
  <c r="C10" i="43"/>
  <c r="C10" i="32"/>
  <c r="H151" i="34"/>
  <c r="M148" i="34"/>
  <c r="M146" i="34"/>
  <c r="M145" i="34"/>
  <c r="M144" i="34"/>
  <c r="M143" i="34"/>
  <c r="G151" i="34"/>
  <c r="F130" i="34"/>
  <c r="C9" i="42"/>
  <c r="M126" i="34"/>
  <c r="M83" i="34"/>
  <c r="M82" i="34"/>
  <c r="M81" i="34"/>
  <c r="M80" i="34"/>
  <c r="M79" i="34"/>
  <c r="M78" i="34"/>
  <c r="M77" i="34"/>
  <c r="M75" i="34"/>
  <c r="M74" i="34"/>
  <c r="M69" i="34"/>
  <c r="H98" i="34"/>
  <c r="M117" i="34"/>
  <c r="M116" i="34"/>
  <c r="M115" i="34"/>
  <c r="M114" i="34"/>
  <c r="M113" i="34"/>
  <c r="M112" i="34"/>
  <c r="M111" i="34"/>
  <c r="M109" i="34"/>
  <c r="M108" i="34"/>
  <c r="M107" i="34"/>
  <c r="M105" i="34"/>
  <c r="M104" i="34"/>
  <c r="H129" i="34"/>
  <c r="H112" i="50"/>
  <c r="H112" i="48"/>
  <c r="H112" i="47"/>
  <c r="G112" i="50"/>
  <c r="F112" i="50"/>
  <c r="E112" i="50"/>
  <c r="M27" i="50"/>
  <c r="M26" i="50"/>
  <c r="M25" i="50"/>
  <c r="M24" i="50"/>
  <c r="M23" i="50"/>
  <c r="M22" i="50"/>
  <c r="M21" i="50"/>
  <c r="M20" i="50"/>
  <c r="M19" i="50"/>
  <c r="M18" i="50"/>
  <c r="M17" i="50"/>
  <c r="M16" i="50"/>
  <c r="M14" i="50"/>
  <c r="M12" i="50"/>
  <c r="M11" i="50"/>
  <c r="G8" i="50"/>
  <c r="H112" i="49"/>
  <c r="G112" i="49"/>
  <c r="F112" i="49"/>
  <c r="E112" i="49"/>
  <c r="M26" i="49"/>
  <c r="M25" i="49"/>
  <c r="M24" i="49"/>
  <c r="M23" i="49"/>
  <c r="M22" i="49"/>
  <c r="M21" i="49"/>
  <c r="M20" i="49"/>
  <c r="M19" i="49"/>
  <c r="M18" i="49"/>
  <c r="M17" i="49"/>
  <c r="M16" i="49"/>
  <c r="M27" i="49" s="1"/>
  <c r="M14" i="49"/>
  <c r="M12" i="49"/>
  <c r="M11" i="49"/>
  <c r="G8" i="49"/>
  <c r="G112" i="48"/>
  <c r="F112" i="48"/>
  <c r="E112" i="48"/>
  <c r="M26" i="48"/>
  <c r="M25" i="48"/>
  <c r="M24" i="48"/>
  <c r="M23" i="48"/>
  <c r="M22" i="48"/>
  <c r="M21" i="48"/>
  <c r="M20" i="48"/>
  <c r="M19" i="48"/>
  <c r="M18" i="48"/>
  <c r="M17" i="48"/>
  <c r="M16" i="48"/>
  <c r="M27" i="48" s="1"/>
  <c r="M14" i="48"/>
  <c r="M12" i="48"/>
  <c r="M11" i="48"/>
  <c r="G8" i="48"/>
  <c r="G112" i="47"/>
  <c r="F112" i="47"/>
  <c r="E112" i="47"/>
  <c r="M26" i="47"/>
  <c r="M25" i="47"/>
  <c r="M24" i="47"/>
  <c r="M23" i="47"/>
  <c r="M22" i="47"/>
  <c r="M21" i="47"/>
  <c r="M20" i="47"/>
  <c r="M19" i="47"/>
  <c r="M18" i="47"/>
  <c r="M17" i="47"/>
  <c r="M16" i="47"/>
  <c r="M14" i="47"/>
  <c r="M27" i="47" s="1"/>
  <c r="M12" i="47"/>
  <c r="M11" i="47"/>
  <c r="G8" i="47"/>
  <c r="F142" i="46"/>
  <c r="C11" i="42" s="1"/>
  <c r="E142" i="46"/>
  <c r="C11" i="43" s="1"/>
  <c r="G8" i="46"/>
  <c r="G9" i="46" s="1"/>
  <c r="G10" i="46" s="1"/>
  <c r="G11" i="46" s="1"/>
  <c r="G12" i="46" s="1"/>
  <c r="G13" i="46" s="1"/>
  <c r="G14" i="46" s="1"/>
  <c r="G15" i="46" s="1"/>
  <c r="G16" i="46" s="1"/>
  <c r="G17" i="46" s="1"/>
  <c r="G18" i="46" s="1"/>
  <c r="G19" i="46" s="1"/>
  <c r="G20" i="46" s="1"/>
  <c r="G21" i="46" s="1"/>
  <c r="G22" i="46" s="1"/>
  <c r="G23" i="46" s="1"/>
  <c r="G24" i="46" s="1"/>
  <c r="G25" i="46" s="1"/>
  <c r="G26" i="46" s="1"/>
  <c r="G27" i="46" s="1"/>
  <c r="G28" i="46" s="1"/>
  <c r="G29" i="46" s="1"/>
  <c r="G30" i="46" s="1"/>
  <c r="G31" i="46" s="1"/>
  <c r="G32" i="46" s="1"/>
  <c r="G35" i="46" s="1"/>
  <c r="G36" i="46" s="1"/>
  <c r="G37" i="46" s="1"/>
  <c r="G38" i="46" s="1"/>
  <c r="G39" i="46" s="1"/>
  <c r="G40" i="46" s="1"/>
  <c r="G41" i="46" s="1"/>
  <c r="G42" i="46" s="1"/>
  <c r="G43" i="46" s="1"/>
  <c r="G44" i="46" s="1"/>
  <c r="G45" i="46" s="1"/>
  <c r="G46" i="46" s="1"/>
  <c r="G47" i="46" s="1"/>
  <c r="G48" i="46" s="1"/>
  <c r="G49" i="46" s="1"/>
  <c r="G50" i="46" s="1"/>
  <c r="G51" i="46" s="1"/>
  <c r="G52" i="46" s="1"/>
  <c r="G53" i="46" s="1"/>
  <c r="G54" i="46" s="1"/>
  <c r="G55" i="46" s="1"/>
  <c r="G56" i="46" s="1"/>
  <c r="G57" i="46" s="1"/>
  <c r="G58" i="46" s="1"/>
  <c r="G59" i="46" s="1"/>
  <c r="G60" i="46" s="1"/>
  <c r="G61" i="46" s="1"/>
  <c r="G62" i="46" s="1"/>
  <c r="G63" i="46" s="1"/>
  <c r="G64" i="46" s="1"/>
  <c r="G65" i="46" s="1"/>
  <c r="G66" i="46" s="1"/>
  <c r="G67" i="46" s="1"/>
  <c r="G68" i="46" s="1"/>
  <c r="G69" i="46" s="1"/>
  <c r="G70" i="46" s="1"/>
  <c r="G73" i="46" s="1"/>
  <c r="G74" i="46" s="1"/>
  <c r="G75" i="46" s="1"/>
  <c r="G76" i="46" s="1"/>
  <c r="G77" i="46" s="1"/>
  <c r="G78" i="46" s="1"/>
  <c r="G79" i="46" s="1"/>
  <c r="G80" i="46" s="1"/>
  <c r="G81" i="46" s="1"/>
  <c r="G82" i="46" s="1"/>
  <c r="G83" i="46" s="1"/>
  <c r="G84" i="46" s="1"/>
  <c r="G85" i="46" s="1"/>
  <c r="G86" i="46" s="1"/>
  <c r="G87" i="46" s="1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G100" i="46" s="1"/>
  <c r="G101" i="46" s="1"/>
  <c r="G104" i="46" s="1"/>
  <c r="G105" i="46" s="1"/>
  <c r="G106" i="46" s="1"/>
  <c r="G107" i="46" s="1"/>
  <c r="G108" i="46" s="1"/>
  <c r="G109" i="46" s="1"/>
  <c r="G110" i="46" s="1"/>
  <c r="G111" i="46" s="1"/>
  <c r="G112" i="46" s="1"/>
  <c r="G113" i="46" s="1"/>
  <c r="G114" i="46" s="1"/>
  <c r="G115" i="46" s="1"/>
  <c r="G116" i="46" s="1"/>
  <c r="G117" i="46" s="1"/>
  <c r="G118" i="46" s="1"/>
  <c r="G119" i="46" s="1"/>
  <c r="G120" i="46" s="1"/>
  <c r="G121" i="46" s="1"/>
  <c r="G122" i="46" s="1"/>
  <c r="G123" i="46" s="1"/>
  <c r="G124" i="46" s="1"/>
  <c r="G125" i="46" s="1"/>
  <c r="M60" i="34"/>
  <c r="M58" i="34"/>
  <c r="M57" i="34"/>
  <c r="M56" i="34"/>
  <c r="M55" i="34"/>
  <c r="M52" i="34"/>
  <c r="M54" i="34"/>
  <c r="M53" i="34"/>
  <c r="M128" i="34" s="1"/>
  <c r="M51" i="34"/>
  <c r="M50" i="34"/>
  <c r="M48" i="34"/>
  <c r="M47" i="34"/>
  <c r="M45" i="34"/>
  <c r="M122" i="34" s="1"/>
  <c r="H142" i="46" l="1"/>
  <c r="M131" i="46"/>
  <c r="M134" i="46"/>
  <c r="M23" i="46"/>
  <c r="M142" i="46"/>
  <c r="M122" i="46"/>
  <c r="M91" i="46"/>
  <c r="G126" i="46"/>
  <c r="G127" i="46" s="1"/>
  <c r="M53" i="46"/>
  <c r="C11" i="32"/>
  <c r="G142" i="46"/>
  <c r="M127" i="34"/>
  <c r="M136" i="34"/>
  <c r="M132" i="34"/>
  <c r="M84" i="34"/>
  <c r="M118" i="34"/>
  <c r="M61" i="34"/>
  <c r="M39" i="34"/>
  <c r="M37" i="34"/>
  <c r="M36" i="34"/>
  <c r="M33" i="34"/>
  <c r="M32" i="34"/>
  <c r="M29" i="34"/>
  <c r="M28" i="34"/>
  <c r="M124" i="34" s="1"/>
  <c r="M27" i="34"/>
  <c r="M123" i="34" s="1"/>
  <c r="M19" i="34"/>
  <c r="M135" i="34" s="1"/>
  <c r="M18" i="34"/>
  <c r="M134" i="34" s="1"/>
  <c r="M17" i="34"/>
  <c r="M133" i="34" s="1"/>
  <c r="M14" i="34"/>
  <c r="M13" i="34"/>
  <c r="M10" i="34"/>
  <c r="M20" i="34"/>
  <c r="M15" i="34"/>
  <c r="M131" i="34" s="1"/>
  <c r="H64" i="34"/>
  <c r="H37" i="34"/>
  <c r="H19" i="34"/>
  <c r="H130" i="34" s="1"/>
  <c r="M134" i="45"/>
  <c r="M133" i="45"/>
  <c r="M132" i="45"/>
  <c r="M131" i="45"/>
  <c r="M130" i="45"/>
  <c r="M129" i="45"/>
  <c r="M128" i="45"/>
  <c r="M127" i="45"/>
  <c r="M126" i="45"/>
  <c r="M125" i="45"/>
  <c r="M124" i="45"/>
  <c r="M123" i="45"/>
  <c r="M122" i="45"/>
  <c r="M121" i="45"/>
  <c r="M120" i="45"/>
  <c r="M119" i="45"/>
  <c r="M118" i="45"/>
  <c r="M117" i="45"/>
  <c r="M116" i="45"/>
  <c r="M111" i="45"/>
  <c r="M110" i="45"/>
  <c r="M109" i="45"/>
  <c r="M108" i="45"/>
  <c r="M107" i="45"/>
  <c r="M105" i="45"/>
  <c r="M104" i="45"/>
  <c r="M103" i="45"/>
  <c r="M101" i="45"/>
  <c r="M100" i="45"/>
  <c r="H117" i="45"/>
  <c r="G128" i="46" l="1"/>
  <c r="G129" i="46" s="1"/>
  <c r="G130" i="46" s="1"/>
  <c r="G131" i="46" s="1"/>
  <c r="G132" i="46" s="1"/>
  <c r="G133" i="46" s="1"/>
  <c r="M129" i="34"/>
  <c r="M125" i="34"/>
  <c r="M130" i="34"/>
  <c r="M137" i="34"/>
  <c r="M40" i="34"/>
  <c r="M135" i="45"/>
  <c r="M91" i="45"/>
  <c r="M93" i="45"/>
  <c r="M90" i="45"/>
  <c r="M83" i="45"/>
  <c r="M88" i="45"/>
  <c r="M87" i="45"/>
  <c r="M86" i="45"/>
  <c r="M85" i="45"/>
  <c r="M82" i="45"/>
  <c r="M81" i="45"/>
  <c r="M112" i="45"/>
  <c r="H94" i="45"/>
  <c r="C8" i="32"/>
  <c r="M69" i="45"/>
  <c r="M64" i="45"/>
  <c r="M62" i="45"/>
  <c r="M61" i="45"/>
  <c r="M60" i="45"/>
  <c r="M58" i="45"/>
  <c r="M54" i="45"/>
  <c r="M52" i="45"/>
  <c r="M53" i="45"/>
  <c r="M24" i="45"/>
  <c r="M23" i="45"/>
  <c r="M22" i="45"/>
  <c r="M21" i="45"/>
  <c r="M20" i="45"/>
  <c r="M19" i="45"/>
  <c r="M18" i="45"/>
  <c r="M17" i="45"/>
  <c r="M15" i="45"/>
  <c r="M12" i="45"/>
  <c r="M11" i="45"/>
  <c r="M9" i="45"/>
  <c r="H47" i="45"/>
  <c r="M25" i="45"/>
  <c r="M26" i="45"/>
  <c r="H76" i="45"/>
  <c r="F118" i="45"/>
  <c r="E118" i="45"/>
  <c r="C9" i="43" s="1"/>
  <c r="G8" i="45"/>
  <c r="G9" i="45" s="1"/>
  <c r="G10" i="45" s="1"/>
  <c r="G11" i="45" s="1"/>
  <c r="G12" i="45" s="1"/>
  <c r="G13" i="45" s="1"/>
  <c r="G14" i="45" s="1"/>
  <c r="G15" i="45" s="1"/>
  <c r="G16" i="45" s="1"/>
  <c r="G17" i="45" s="1"/>
  <c r="G18" i="45" s="1"/>
  <c r="G19" i="45" s="1"/>
  <c r="G20" i="45" s="1"/>
  <c r="G21" i="45" s="1"/>
  <c r="G22" i="45" s="1"/>
  <c r="G23" i="45" s="1"/>
  <c r="G24" i="45" s="1"/>
  <c r="G25" i="45" s="1"/>
  <c r="G26" i="45" s="1"/>
  <c r="G27" i="45" s="1"/>
  <c r="G28" i="45" s="1"/>
  <c r="G29" i="45" s="1"/>
  <c r="G30" i="45" s="1"/>
  <c r="G31" i="45" s="1"/>
  <c r="G32" i="45" s="1"/>
  <c r="G33" i="45" s="1"/>
  <c r="G34" i="45" s="1"/>
  <c r="G35" i="45" s="1"/>
  <c r="G36" i="45" s="1"/>
  <c r="G37" i="45" s="1"/>
  <c r="G38" i="45" s="1"/>
  <c r="G39" i="45" s="1"/>
  <c r="G40" i="45" s="1"/>
  <c r="G41" i="45" s="1"/>
  <c r="G42" i="45" s="1"/>
  <c r="G43" i="45" s="1"/>
  <c r="G44" i="45" s="1"/>
  <c r="G45" i="45" s="1"/>
  <c r="G46" i="45" s="1"/>
  <c r="G49" i="45" s="1"/>
  <c r="G50" i="45" s="1"/>
  <c r="G51" i="45" s="1"/>
  <c r="G52" i="45" s="1"/>
  <c r="G53" i="45" s="1"/>
  <c r="G54" i="45" s="1"/>
  <c r="G55" i="45" s="1"/>
  <c r="G56" i="45" s="1"/>
  <c r="G57" i="45" s="1"/>
  <c r="G58" i="45" s="1"/>
  <c r="G59" i="45" s="1"/>
  <c r="G60" i="45" s="1"/>
  <c r="G61" i="45" s="1"/>
  <c r="G62" i="45" s="1"/>
  <c r="G63" i="45" s="1"/>
  <c r="G64" i="45" s="1"/>
  <c r="G65" i="45" s="1"/>
  <c r="G66" i="45" s="1"/>
  <c r="G67" i="45" s="1"/>
  <c r="G68" i="45" s="1"/>
  <c r="G69" i="45" s="1"/>
  <c r="G70" i="45" s="1"/>
  <c r="G71" i="45" s="1"/>
  <c r="G72" i="45" s="1"/>
  <c r="G73" i="45" s="1"/>
  <c r="G74" i="45" s="1"/>
  <c r="G75" i="45" s="1"/>
  <c r="G78" i="45" s="1"/>
  <c r="G79" i="45" s="1"/>
  <c r="G80" i="45" s="1"/>
  <c r="G81" i="45" s="1"/>
  <c r="G82" i="45" s="1"/>
  <c r="G83" i="45" s="1"/>
  <c r="G84" i="45" s="1"/>
  <c r="G85" i="45" s="1"/>
  <c r="G86" i="45" s="1"/>
  <c r="G87" i="45" s="1"/>
  <c r="G88" i="45" s="1"/>
  <c r="G89" i="45" s="1"/>
  <c r="G90" i="45" s="1"/>
  <c r="G91" i="45" s="1"/>
  <c r="G92" i="45" s="1"/>
  <c r="G93" i="45" s="1"/>
  <c r="G96" i="45" s="1"/>
  <c r="G97" i="45" s="1"/>
  <c r="G98" i="45" s="1"/>
  <c r="G99" i="45" s="1"/>
  <c r="G100" i="45" s="1"/>
  <c r="G101" i="45" s="1"/>
  <c r="G102" i="45" s="1"/>
  <c r="G103" i="45" s="1"/>
  <c r="G104" i="45" s="1"/>
  <c r="G105" i="45" s="1"/>
  <c r="G106" i="45" s="1"/>
  <c r="G107" i="45" s="1"/>
  <c r="G108" i="45" s="1"/>
  <c r="G109" i="45" s="1"/>
  <c r="G110" i="45" s="1"/>
  <c r="G111" i="45" s="1"/>
  <c r="G112" i="45" s="1"/>
  <c r="G113" i="45" s="1"/>
  <c r="G114" i="45" s="1"/>
  <c r="G115" i="45" s="1"/>
  <c r="G116" i="45" s="1"/>
  <c r="M192" i="33"/>
  <c r="M191" i="33"/>
  <c r="G40" i="33"/>
  <c r="M173" i="33"/>
  <c r="M172" i="33"/>
  <c r="M171" i="33"/>
  <c r="M170" i="33"/>
  <c r="M169" i="33"/>
  <c r="M168" i="33"/>
  <c r="M167" i="33"/>
  <c r="M166" i="33"/>
  <c r="M165" i="33"/>
  <c r="M164" i="33"/>
  <c r="M163" i="33"/>
  <c r="M162" i="33"/>
  <c r="M161" i="33"/>
  <c r="M158" i="33"/>
  <c r="M159" i="33"/>
  <c r="H204" i="33"/>
  <c r="M188" i="33"/>
  <c r="M186" i="33"/>
  <c r="M133" i="33"/>
  <c r="M204" i="33" s="1"/>
  <c r="M130" i="33"/>
  <c r="M129" i="33"/>
  <c r="M128" i="33"/>
  <c r="M127" i="33"/>
  <c r="M125" i="33"/>
  <c r="M124" i="33"/>
  <c r="M123" i="33"/>
  <c r="M122" i="33"/>
  <c r="M121" i="33"/>
  <c r="M119" i="33"/>
  <c r="M118" i="33"/>
  <c r="M116" i="33"/>
  <c r="H151" i="33"/>
  <c r="M90" i="33"/>
  <c r="M88" i="33"/>
  <c r="M87" i="33"/>
  <c r="M86" i="33"/>
  <c r="M85" i="33"/>
  <c r="M84" i="33"/>
  <c r="M83" i="33"/>
  <c r="M82" i="33"/>
  <c r="M79" i="33"/>
  <c r="M81" i="33"/>
  <c r="M80" i="33"/>
  <c r="M77" i="33"/>
  <c r="M21" i="34"/>
  <c r="M75" i="33"/>
  <c r="H111" i="33"/>
  <c r="M73" i="33"/>
  <c r="G8" i="34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9" i="34" s="1"/>
  <c r="G40" i="34" s="1"/>
  <c r="G41" i="34" s="1"/>
  <c r="G42" i="34" s="1"/>
  <c r="G43" i="34" s="1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6" i="34" s="1"/>
  <c r="G67" i="34" s="1"/>
  <c r="G68" i="34" s="1"/>
  <c r="G69" i="34" s="1"/>
  <c r="G70" i="34" s="1"/>
  <c r="G71" i="34" s="1"/>
  <c r="G8" i="33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H68" i="33"/>
  <c r="G249" i="31"/>
  <c r="F205" i="33"/>
  <c r="C8" i="42" s="1"/>
  <c r="E205" i="33"/>
  <c r="C8" i="43" s="1"/>
  <c r="M232" i="31"/>
  <c r="M233" i="31"/>
  <c r="M211" i="30"/>
  <c r="M210" i="30"/>
  <c r="M209" i="30"/>
  <c r="M208" i="30"/>
  <c r="M207" i="30"/>
  <c r="M206" i="30"/>
  <c r="M205" i="30"/>
  <c r="M196" i="30"/>
  <c r="M204" i="30"/>
  <c r="M203" i="30"/>
  <c r="M202" i="30"/>
  <c r="M201" i="30"/>
  <c r="M200" i="30"/>
  <c r="M199" i="30"/>
  <c r="M198" i="30"/>
  <c r="M197" i="30"/>
  <c r="M195" i="30"/>
  <c r="M194" i="30"/>
  <c r="H212" i="30"/>
  <c r="H213" i="30"/>
  <c r="M193" i="30"/>
  <c r="M192" i="30"/>
  <c r="M191" i="30"/>
  <c r="M111" i="30"/>
  <c r="M110" i="30"/>
  <c r="H133" i="30"/>
  <c r="M96" i="30"/>
  <c r="H61" i="28"/>
  <c r="H88" i="28"/>
  <c r="H51" i="30"/>
  <c r="M29" i="30"/>
  <c r="M27" i="30"/>
  <c r="G8" i="30"/>
  <c r="M247" i="29"/>
  <c r="M246" i="29"/>
  <c r="M245" i="29"/>
  <c r="M244" i="29"/>
  <c r="M243" i="29"/>
  <c r="M242" i="29"/>
  <c r="M241" i="29"/>
  <c r="M240" i="29"/>
  <c r="M239" i="29"/>
  <c r="M238" i="29"/>
  <c r="M237" i="29"/>
  <c r="M236" i="29"/>
  <c r="M235" i="29"/>
  <c r="M234" i="29"/>
  <c r="M233" i="29"/>
  <c r="M232" i="29"/>
  <c r="M231" i="29"/>
  <c r="M230" i="29"/>
  <c r="M229" i="29"/>
  <c r="M228" i="29"/>
  <c r="M227" i="29"/>
  <c r="H247" i="29"/>
  <c r="M60" i="29"/>
  <c r="H98" i="29"/>
  <c r="M59" i="29"/>
  <c r="H111" i="28"/>
  <c r="H159" i="28"/>
  <c r="H197" i="28"/>
  <c r="M204" i="28"/>
  <c r="M202" i="28"/>
  <c r="M201" i="28"/>
  <c r="M200" i="28"/>
  <c r="M199" i="28"/>
  <c r="M198" i="28"/>
  <c r="M197" i="28"/>
  <c r="M196" i="28"/>
  <c r="M195" i="28"/>
  <c r="M194" i="28"/>
  <c r="M193" i="28"/>
  <c r="M192" i="28"/>
  <c r="M191" i="28"/>
  <c r="M190" i="28"/>
  <c r="M189" i="28"/>
  <c r="M188" i="28"/>
  <c r="M187" i="28"/>
  <c r="M186" i="28"/>
  <c r="M185" i="28"/>
  <c r="M73" i="28"/>
  <c r="M83" i="28" s="1"/>
  <c r="M109" i="28"/>
  <c r="M133" i="28"/>
  <c r="M96" i="28"/>
  <c r="M122" i="28"/>
  <c r="M181" i="28"/>
  <c r="M177" i="28"/>
  <c r="M52" i="25"/>
  <c r="M50" i="25"/>
  <c r="M51" i="25"/>
  <c r="M234" i="25" s="1"/>
  <c r="H91" i="25"/>
  <c r="M55" i="25"/>
  <c r="M239" i="25" s="1"/>
  <c r="M56" i="25"/>
  <c r="M198" i="25"/>
  <c r="M114" i="25"/>
  <c r="M243" i="25" s="1"/>
  <c r="H127" i="25"/>
  <c r="M26" i="33"/>
  <c r="M25" i="33"/>
  <c r="M203" i="33" s="1"/>
  <c r="M23" i="33"/>
  <c r="M24" i="33"/>
  <c r="M22" i="33"/>
  <c r="M21" i="33"/>
  <c r="M20" i="33"/>
  <c r="M19" i="33"/>
  <c r="M18" i="33"/>
  <c r="M17" i="33"/>
  <c r="M195" i="33" s="1"/>
  <c r="M16" i="33"/>
  <c r="M194" i="33" s="1"/>
  <c r="M15" i="33"/>
  <c r="M14" i="33"/>
  <c r="M11" i="33"/>
  <c r="M227" i="31"/>
  <c r="M226" i="31"/>
  <c r="M225" i="31"/>
  <c r="M224" i="31"/>
  <c r="M223" i="31"/>
  <c r="M222" i="31"/>
  <c r="M221" i="31"/>
  <c r="M220" i="31"/>
  <c r="M219" i="31"/>
  <c r="M218" i="31"/>
  <c r="M217" i="31"/>
  <c r="M216" i="31"/>
  <c r="M215" i="31"/>
  <c r="M213" i="31"/>
  <c r="M212" i="31"/>
  <c r="M210" i="31"/>
  <c r="M237" i="31"/>
  <c r="H248" i="31"/>
  <c r="M197" i="31"/>
  <c r="M196" i="31"/>
  <c r="M195" i="31"/>
  <c r="M194" i="31"/>
  <c r="M247" i="31" s="1"/>
  <c r="M193" i="31"/>
  <c r="H211" i="31"/>
  <c r="M192" i="31"/>
  <c r="M191" i="31"/>
  <c r="M190" i="31"/>
  <c r="M189" i="31"/>
  <c r="M188" i="31"/>
  <c r="M187" i="31"/>
  <c r="M186" i="31"/>
  <c r="M182" i="31"/>
  <c r="M183" i="31"/>
  <c r="H175" i="31"/>
  <c r="M92" i="31"/>
  <c r="M89" i="31"/>
  <c r="M88" i="31"/>
  <c r="M87" i="31"/>
  <c r="M86" i="31"/>
  <c r="M85" i="31"/>
  <c r="M84" i="31"/>
  <c r="M83" i="31"/>
  <c r="M82" i="31"/>
  <c r="M81" i="31"/>
  <c r="M80" i="31"/>
  <c r="M78" i="31"/>
  <c r="M77" i="31"/>
  <c r="M141" i="31"/>
  <c r="M140" i="31"/>
  <c r="M139" i="31"/>
  <c r="M138" i="31"/>
  <c r="M137" i="31"/>
  <c r="M136" i="31"/>
  <c r="M134" i="31"/>
  <c r="M133" i="31"/>
  <c r="M132" i="31"/>
  <c r="M131" i="31"/>
  <c r="M130" i="31"/>
  <c r="M129" i="31"/>
  <c r="M127" i="31"/>
  <c r="M126" i="31"/>
  <c r="M58" i="31"/>
  <c r="M54" i="31"/>
  <c r="M49" i="31"/>
  <c r="M53" i="31"/>
  <c r="M51" i="31"/>
  <c r="M50" i="31"/>
  <c r="M48" i="31"/>
  <c r="M47" i="31"/>
  <c r="M46" i="31"/>
  <c r="M44" i="31"/>
  <c r="M43" i="31"/>
  <c r="M42" i="31"/>
  <c r="M234" i="31" s="1"/>
  <c r="H119" i="31"/>
  <c r="H70" i="31"/>
  <c r="M155" i="30"/>
  <c r="M154" i="30"/>
  <c r="M153" i="30"/>
  <c r="M151" i="30"/>
  <c r="M152" i="30"/>
  <c r="M150" i="30"/>
  <c r="M140" i="30"/>
  <c r="M148" i="30"/>
  <c r="M149" i="30"/>
  <c r="M147" i="30"/>
  <c r="M146" i="30"/>
  <c r="M145" i="30"/>
  <c r="M144" i="30"/>
  <c r="M142" i="30"/>
  <c r="M141" i="30"/>
  <c r="E213" i="30"/>
  <c r="F213" i="30"/>
  <c r="M225" i="25"/>
  <c r="H244" i="25"/>
  <c r="M148" i="25"/>
  <c r="M147" i="25"/>
  <c r="M241" i="25" s="1"/>
  <c r="M146" i="25"/>
  <c r="M145" i="25"/>
  <c r="M144" i="25"/>
  <c r="M143" i="25"/>
  <c r="M142" i="25"/>
  <c r="M141" i="25"/>
  <c r="M140" i="25"/>
  <c r="M138" i="25"/>
  <c r="M137" i="25"/>
  <c r="M135" i="25"/>
  <c r="M136" i="25"/>
  <c r="M226" i="25" s="1"/>
  <c r="M134" i="25"/>
  <c r="M113" i="25"/>
  <c r="M111" i="25"/>
  <c r="M110" i="25"/>
  <c r="M109" i="25"/>
  <c r="M107" i="25"/>
  <c r="M235" i="25" s="1"/>
  <c r="M106" i="25"/>
  <c r="M105" i="25"/>
  <c r="M104" i="25"/>
  <c r="M99" i="25"/>
  <c r="M98" i="25"/>
  <c r="M116" i="25" s="1"/>
  <c r="H181" i="25"/>
  <c r="M240" i="25"/>
  <c r="M54" i="25"/>
  <c r="M238" i="25" s="1"/>
  <c r="M233" i="25"/>
  <c r="M49" i="25"/>
  <c r="M232" i="25" s="1"/>
  <c r="M47" i="25"/>
  <c r="M230" i="25" s="1"/>
  <c r="M46" i="25"/>
  <c r="M229" i="25" s="1"/>
  <c r="M45" i="25"/>
  <c r="M43" i="25"/>
  <c r="M228" i="25" s="1"/>
  <c r="M41" i="25"/>
  <c r="M223" i="25"/>
  <c r="H87" i="30"/>
  <c r="M109" i="30"/>
  <c r="M108" i="30"/>
  <c r="M107" i="30"/>
  <c r="M106" i="30"/>
  <c r="M105" i="30"/>
  <c r="M104" i="30"/>
  <c r="M103" i="30"/>
  <c r="M102" i="30"/>
  <c r="M101" i="30"/>
  <c r="M100" i="30"/>
  <c r="M99" i="30"/>
  <c r="M98" i="30"/>
  <c r="M95" i="30"/>
  <c r="M94" i="30"/>
  <c r="M92" i="30"/>
  <c r="M73" i="30"/>
  <c r="M72" i="30"/>
  <c r="M71" i="30"/>
  <c r="M70" i="30"/>
  <c r="M69" i="30"/>
  <c r="M68" i="30"/>
  <c r="M66" i="30"/>
  <c r="M65" i="30"/>
  <c r="M63" i="30"/>
  <c r="M60" i="30"/>
  <c r="M59" i="30"/>
  <c r="M56" i="30"/>
  <c r="M26" i="30"/>
  <c r="M25" i="30"/>
  <c r="M24" i="30"/>
  <c r="M23" i="30"/>
  <c r="M22" i="30"/>
  <c r="M21" i="30"/>
  <c r="M20" i="30"/>
  <c r="M19" i="30"/>
  <c r="M18" i="30"/>
  <c r="M16" i="30"/>
  <c r="M12" i="30"/>
  <c r="M11" i="30"/>
  <c r="M9" i="30"/>
  <c r="M131" i="28"/>
  <c r="M130" i="28"/>
  <c r="M129" i="28"/>
  <c r="M128" i="28"/>
  <c r="M127" i="28"/>
  <c r="M126" i="28"/>
  <c r="M125" i="28"/>
  <c r="M124" i="28"/>
  <c r="M123" i="28"/>
  <c r="M121" i="28"/>
  <c r="M120" i="28"/>
  <c r="M119" i="28"/>
  <c r="M118" i="28"/>
  <c r="M116" i="28"/>
  <c r="M44" i="28"/>
  <c r="C5" i="32"/>
  <c r="M201" i="29"/>
  <c r="H246" i="29"/>
  <c r="H193" i="29"/>
  <c r="H146" i="29"/>
  <c r="M168" i="29"/>
  <c r="M112" i="29"/>
  <c r="M110" i="29"/>
  <c r="M215" i="29"/>
  <c r="M214" i="29"/>
  <c r="M213" i="29"/>
  <c r="M209" i="29"/>
  <c r="M203" i="29"/>
  <c r="M165" i="29"/>
  <c r="M50" i="29"/>
  <c r="M47" i="29"/>
  <c r="M44" i="29"/>
  <c r="M41" i="29"/>
  <c r="M212" i="29"/>
  <c r="M211" i="29"/>
  <c r="M210" i="29"/>
  <c r="M208" i="29"/>
  <c r="M207" i="29"/>
  <c r="M205" i="29"/>
  <c r="M202" i="29"/>
  <c r="M200" i="29"/>
  <c r="M166" i="29"/>
  <c r="M164" i="29"/>
  <c r="M163" i="29"/>
  <c r="M162" i="29"/>
  <c r="M161" i="29"/>
  <c r="M160" i="29"/>
  <c r="M159" i="29"/>
  <c r="M158" i="29"/>
  <c r="M157" i="29"/>
  <c r="M156" i="29"/>
  <c r="M154" i="29"/>
  <c r="M153" i="29"/>
  <c r="M151" i="29"/>
  <c r="M169" i="29" s="1"/>
  <c r="M120" i="29"/>
  <c r="M119" i="29"/>
  <c r="M118" i="29"/>
  <c r="M117" i="29"/>
  <c r="M116" i="29"/>
  <c r="M111" i="29"/>
  <c r="M115" i="29"/>
  <c r="M114" i="29"/>
  <c r="M113" i="29"/>
  <c r="M109" i="29"/>
  <c r="M108" i="29"/>
  <c r="M106" i="29"/>
  <c r="M105" i="29"/>
  <c r="M57" i="29"/>
  <c r="M54" i="29"/>
  <c r="M53" i="29"/>
  <c r="M52" i="29"/>
  <c r="M51" i="29"/>
  <c r="M49" i="29"/>
  <c r="M48" i="29"/>
  <c r="E130" i="34"/>
  <c r="M24" i="31"/>
  <c r="M22" i="31"/>
  <c r="M17" i="31"/>
  <c r="M14" i="31"/>
  <c r="M13" i="31"/>
  <c r="M180" i="28"/>
  <c r="M178" i="28"/>
  <c r="M176" i="28"/>
  <c r="M175" i="28"/>
  <c r="M174" i="28"/>
  <c r="M173" i="28"/>
  <c r="M172" i="28"/>
  <c r="M171" i="28"/>
  <c r="M170" i="28"/>
  <c r="M169" i="28"/>
  <c r="M166" i="28"/>
  <c r="M24" i="29"/>
  <c r="M22" i="29"/>
  <c r="M17" i="29"/>
  <c r="M14" i="29"/>
  <c r="M13" i="29"/>
  <c r="F249" i="31"/>
  <c r="C7" i="42" s="1"/>
  <c r="E249" i="31"/>
  <c r="C7" i="43" s="1"/>
  <c r="G8" i="3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G169" i="31" s="1"/>
  <c r="G170" i="31" s="1"/>
  <c r="G171" i="31" s="1"/>
  <c r="G172" i="31" s="1"/>
  <c r="G173" i="31" s="1"/>
  <c r="G174" i="31" s="1"/>
  <c r="G177" i="31" s="1"/>
  <c r="G9" i="30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G35" i="30" s="1"/>
  <c r="G36" i="30" s="1"/>
  <c r="G37" i="30" s="1"/>
  <c r="G38" i="30" s="1"/>
  <c r="G39" i="30" s="1"/>
  <c r="G40" i="30" s="1"/>
  <c r="G41" i="30" s="1"/>
  <c r="G42" i="30" s="1"/>
  <c r="G43" i="30" s="1"/>
  <c r="G44" i="30" s="1"/>
  <c r="G45" i="30" s="1"/>
  <c r="G46" i="30" s="1"/>
  <c r="G47" i="30" s="1"/>
  <c r="G48" i="30" s="1"/>
  <c r="G49" i="30" s="1"/>
  <c r="G50" i="30" s="1"/>
  <c r="G53" i="30" s="1"/>
  <c r="G54" i="30" s="1"/>
  <c r="G55" i="30" s="1"/>
  <c r="G56" i="30" s="1"/>
  <c r="G57" i="30" s="1"/>
  <c r="G58" i="30" s="1"/>
  <c r="G59" i="30" s="1"/>
  <c r="G60" i="30" s="1"/>
  <c r="G61" i="30" s="1"/>
  <c r="G62" i="30" s="1"/>
  <c r="G63" i="30" s="1"/>
  <c r="G64" i="30" s="1"/>
  <c r="G65" i="30" s="1"/>
  <c r="G66" i="30" s="1"/>
  <c r="G67" i="30" s="1"/>
  <c r="G68" i="30" s="1"/>
  <c r="G69" i="30" s="1"/>
  <c r="G70" i="30" s="1"/>
  <c r="G71" i="30" s="1"/>
  <c r="G72" i="30" s="1"/>
  <c r="G73" i="30" s="1"/>
  <c r="G74" i="30" s="1"/>
  <c r="G75" i="30" s="1"/>
  <c r="G76" i="30" s="1"/>
  <c r="G77" i="30" s="1"/>
  <c r="G78" i="30" s="1"/>
  <c r="G79" i="30" s="1"/>
  <c r="G80" i="30" s="1"/>
  <c r="G81" i="30" s="1"/>
  <c r="G82" i="30" s="1"/>
  <c r="G83" i="30" s="1"/>
  <c r="G84" i="30" s="1"/>
  <c r="G85" i="30" s="1"/>
  <c r="G86" i="30" s="1"/>
  <c r="G89" i="30" s="1"/>
  <c r="G90" i="30" s="1"/>
  <c r="G91" i="30" s="1"/>
  <c r="G92" i="30" s="1"/>
  <c r="G93" i="30" s="1"/>
  <c r="G94" i="30" s="1"/>
  <c r="G95" i="30" s="1"/>
  <c r="G96" i="30" s="1"/>
  <c r="G97" i="30" s="1"/>
  <c r="G98" i="30" s="1"/>
  <c r="G99" i="30" s="1"/>
  <c r="G100" i="30" s="1"/>
  <c r="G101" i="30" s="1"/>
  <c r="F247" i="29"/>
  <c r="E247" i="29"/>
  <c r="C5" i="43" s="1"/>
  <c r="G8" i="29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G70" i="29" s="1"/>
  <c r="G71" i="29" s="1"/>
  <c r="G72" i="29" s="1"/>
  <c r="G73" i="29" s="1"/>
  <c r="G74" i="29" s="1"/>
  <c r="G75" i="29" s="1"/>
  <c r="G76" i="29" s="1"/>
  <c r="G77" i="29" s="1"/>
  <c r="G78" i="29" s="1"/>
  <c r="G79" i="29" s="1"/>
  <c r="G80" i="29" s="1"/>
  <c r="G81" i="29" s="1"/>
  <c r="G82" i="29" s="1"/>
  <c r="G83" i="29" s="1"/>
  <c r="G84" i="29" s="1"/>
  <c r="G85" i="29" s="1"/>
  <c r="G86" i="29" s="1"/>
  <c r="G87" i="29" s="1"/>
  <c r="G88" i="29" s="1"/>
  <c r="G89" i="29" s="1"/>
  <c r="G90" i="29" s="1"/>
  <c r="G91" i="29" s="1"/>
  <c r="G92" i="29" s="1"/>
  <c r="G93" i="29" s="1"/>
  <c r="G94" i="29" s="1"/>
  <c r="G95" i="29" s="1"/>
  <c r="G96" i="29" s="1"/>
  <c r="G97" i="29" s="1"/>
  <c r="G100" i="29" s="1"/>
  <c r="G101" i="29" s="1"/>
  <c r="G102" i="29" s="1"/>
  <c r="G103" i="29" s="1"/>
  <c r="G104" i="29" s="1"/>
  <c r="G105" i="29" s="1"/>
  <c r="G106" i="29" s="1"/>
  <c r="G107" i="29" s="1"/>
  <c r="G108" i="29" s="1"/>
  <c r="G109" i="29" s="1"/>
  <c r="G110" i="29" s="1"/>
  <c r="G111" i="29" s="1"/>
  <c r="G112" i="29" s="1"/>
  <c r="G113" i="29" s="1"/>
  <c r="G114" i="29" s="1"/>
  <c r="G115" i="29" s="1"/>
  <c r="G116" i="29" s="1"/>
  <c r="G117" i="29" s="1"/>
  <c r="G118" i="29" s="1"/>
  <c r="G119" i="29" s="1"/>
  <c r="G120" i="29" s="1"/>
  <c r="G121" i="29" s="1"/>
  <c r="G122" i="29" s="1"/>
  <c r="G123" i="29" s="1"/>
  <c r="G124" i="29" s="1"/>
  <c r="G125" i="29" s="1"/>
  <c r="G126" i="29" s="1"/>
  <c r="G127" i="29" s="1"/>
  <c r="G128" i="29" s="1"/>
  <c r="G129" i="29" s="1"/>
  <c r="G130" i="29" s="1"/>
  <c r="G131" i="29" s="1"/>
  <c r="G132" i="29" s="1"/>
  <c r="G133" i="29" s="1"/>
  <c r="G134" i="29" s="1"/>
  <c r="G135" i="29" s="1"/>
  <c r="G136" i="29" s="1"/>
  <c r="G137" i="29" s="1"/>
  <c r="G138" i="29" s="1"/>
  <c r="G139" i="29" s="1"/>
  <c r="G140" i="29" s="1"/>
  <c r="G141" i="29" s="1"/>
  <c r="G142" i="29" s="1"/>
  <c r="G143" i="29" s="1"/>
  <c r="G144" i="29" s="1"/>
  <c r="G145" i="29" s="1"/>
  <c r="G148" i="29" s="1"/>
  <c r="G149" i="29" s="1"/>
  <c r="G150" i="29" s="1"/>
  <c r="M45" i="28"/>
  <c r="M95" i="28"/>
  <c r="M68" i="28"/>
  <c r="M43" i="28"/>
  <c r="M57" i="28" s="1"/>
  <c r="M188" i="25"/>
  <c r="M107" i="28"/>
  <c r="M102" i="28"/>
  <c r="M99" i="28"/>
  <c r="M98" i="28"/>
  <c r="M81" i="28"/>
  <c r="M78" i="28"/>
  <c r="M77" i="28"/>
  <c r="M76" i="28"/>
  <c r="M74" i="28"/>
  <c r="M71" i="28"/>
  <c r="M69" i="28"/>
  <c r="M66" i="28"/>
  <c r="M189" i="25"/>
  <c r="M55" i="28"/>
  <c r="M52" i="28"/>
  <c r="M50" i="28"/>
  <c r="M49" i="28"/>
  <c r="M48" i="28"/>
  <c r="M47" i="28"/>
  <c r="M46" i="28"/>
  <c r="G8" i="28"/>
  <c r="G9" i="28" s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22" i="28" s="1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G36" i="28" s="1"/>
  <c r="G37" i="28" s="1"/>
  <c r="G38" i="28" s="1"/>
  <c r="G39" i="28" s="1"/>
  <c r="G40" i="28" s="1"/>
  <c r="G41" i="28" s="1"/>
  <c r="G42" i="28" s="1"/>
  <c r="G43" i="28" s="1"/>
  <c r="G44" i="28" s="1"/>
  <c r="G45" i="28" s="1"/>
  <c r="G46" i="28" s="1"/>
  <c r="G47" i="28" s="1"/>
  <c r="G48" i="28" s="1"/>
  <c r="G49" i="28" s="1"/>
  <c r="G50" i="28" s="1"/>
  <c r="G51" i="28" s="1"/>
  <c r="G52" i="28" s="1"/>
  <c r="G53" i="28" s="1"/>
  <c r="G54" i="28" s="1"/>
  <c r="G55" i="28" s="1"/>
  <c r="G56" i="28" s="1"/>
  <c r="G57" i="28" s="1"/>
  <c r="G58" i="28" s="1"/>
  <c r="G59" i="28" s="1"/>
  <c r="G60" i="28" s="1"/>
  <c r="G63" i="28" s="1"/>
  <c r="G64" i="28" s="1"/>
  <c r="G65" i="28" s="1"/>
  <c r="G66" i="28" s="1"/>
  <c r="G67" i="28" s="1"/>
  <c r="G68" i="28" s="1"/>
  <c r="G69" i="28" s="1"/>
  <c r="G70" i="28" s="1"/>
  <c r="G71" i="28" s="1"/>
  <c r="G72" i="28" s="1"/>
  <c r="G73" i="28" s="1"/>
  <c r="G74" i="28" s="1"/>
  <c r="G75" i="28" s="1"/>
  <c r="G76" i="28" s="1"/>
  <c r="G77" i="28" s="1"/>
  <c r="G78" i="28" s="1"/>
  <c r="G79" i="28" s="1"/>
  <c r="G80" i="28" s="1"/>
  <c r="G81" i="28" s="1"/>
  <c r="G82" i="28" s="1"/>
  <c r="G83" i="28" s="1"/>
  <c r="G84" i="28" s="1"/>
  <c r="G85" i="28" s="1"/>
  <c r="G86" i="28" s="1"/>
  <c r="G87" i="28" s="1"/>
  <c r="G90" i="28" s="1"/>
  <c r="G91" i="28" s="1"/>
  <c r="G92" i="28" s="1"/>
  <c r="G93" i="28" s="1"/>
  <c r="G94" i="28" s="1"/>
  <c r="G95" i="28" s="1"/>
  <c r="G96" i="28" s="1"/>
  <c r="G97" i="28" s="1"/>
  <c r="G98" i="28" s="1"/>
  <c r="G99" i="28" s="1"/>
  <c r="G100" i="28" s="1"/>
  <c r="G101" i="28" s="1"/>
  <c r="G102" i="28" s="1"/>
  <c r="G103" i="28" s="1"/>
  <c r="G104" i="28" s="1"/>
  <c r="G105" i="28" s="1"/>
  <c r="G106" i="28" s="1"/>
  <c r="G107" i="28" s="1"/>
  <c r="G108" i="28" s="1"/>
  <c r="G109" i="28" s="1"/>
  <c r="G110" i="28" s="1"/>
  <c r="G113" i="28" s="1"/>
  <c r="G114" i="28" s="1"/>
  <c r="G115" i="28" s="1"/>
  <c r="G116" i="28" s="1"/>
  <c r="G117" i="28" s="1"/>
  <c r="G118" i="28" s="1"/>
  <c r="G119" i="28" s="1"/>
  <c r="G120" i="28" s="1"/>
  <c r="G121" i="28" s="1"/>
  <c r="G122" i="28" s="1"/>
  <c r="G123" i="28" s="1"/>
  <c r="G124" i="28" s="1"/>
  <c r="G125" i="28" s="1"/>
  <c r="G126" i="28" s="1"/>
  <c r="G127" i="28" s="1"/>
  <c r="G128" i="28" s="1"/>
  <c r="G129" i="28" s="1"/>
  <c r="G130" i="28" s="1"/>
  <c r="G131" i="28" s="1"/>
  <c r="G132" i="28" s="1"/>
  <c r="G133" i="28" s="1"/>
  <c r="G134" i="28" s="1"/>
  <c r="G135" i="28" s="1"/>
  <c r="G136" i="28" s="1"/>
  <c r="G137" i="28" s="1"/>
  <c r="G138" i="28" s="1"/>
  <c r="G139" i="28" s="1"/>
  <c r="G140" i="28" s="1"/>
  <c r="G141" i="28" s="1"/>
  <c r="G142" i="28" s="1"/>
  <c r="G143" i="28" s="1"/>
  <c r="G144" i="28" s="1"/>
  <c r="G145" i="28" s="1"/>
  <c r="G146" i="28" s="1"/>
  <c r="G147" i="28" s="1"/>
  <c r="G148" i="28" s="1"/>
  <c r="G149" i="28" s="1"/>
  <c r="G150" i="28" s="1"/>
  <c r="G151" i="28" s="1"/>
  <c r="G152" i="28" s="1"/>
  <c r="G153" i="28" s="1"/>
  <c r="G154" i="28" s="1"/>
  <c r="G155" i="28" s="1"/>
  <c r="G156" i="28" s="1"/>
  <c r="G157" i="28" s="1"/>
  <c r="G158" i="28" s="1"/>
  <c r="G161" i="28" s="1"/>
  <c r="G162" i="28" s="1"/>
  <c r="G163" i="28" s="1"/>
  <c r="G164" i="28" s="1"/>
  <c r="G165" i="28" s="1"/>
  <c r="G166" i="28" s="1"/>
  <c r="G167" i="28" s="1"/>
  <c r="G168" i="28" s="1"/>
  <c r="G169" i="28" s="1"/>
  <c r="G170" i="28" s="1"/>
  <c r="G171" i="28" s="1"/>
  <c r="G172" i="28" s="1"/>
  <c r="G173" i="28" s="1"/>
  <c r="G174" i="28" s="1"/>
  <c r="G175" i="28" s="1"/>
  <c r="G176" i="28" s="1"/>
  <c r="G177" i="28" s="1"/>
  <c r="G178" i="28" s="1"/>
  <c r="G179" i="28" s="1"/>
  <c r="G180" i="28" s="1"/>
  <c r="G181" i="28" s="1"/>
  <c r="G182" i="28" s="1"/>
  <c r="G183" i="28" s="1"/>
  <c r="G184" i="28" s="1"/>
  <c r="G185" i="28" s="1"/>
  <c r="G186" i="28" s="1"/>
  <c r="G187" i="28" s="1"/>
  <c r="G188" i="28" s="1"/>
  <c r="G189" i="28" s="1"/>
  <c r="G190" i="28" s="1"/>
  <c r="G191" i="28" s="1"/>
  <c r="G192" i="28" s="1"/>
  <c r="G193" i="28" s="1"/>
  <c r="G194" i="28" s="1"/>
  <c r="G195" i="28" s="1"/>
  <c r="G196" i="28" s="1"/>
  <c r="C4" i="43"/>
  <c r="C4" i="42"/>
  <c r="M201" i="25"/>
  <c r="M237" i="25" s="1"/>
  <c r="M203" i="25"/>
  <c r="M200" i="25"/>
  <c r="M199" i="25"/>
  <c r="M197" i="25"/>
  <c r="M236" i="25" s="1"/>
  <c r="M196" i="25"/>
  <c r="M195" i="25"/>
  <c r="M194" i="25"/>
  <c r="M193" i="25"/>
  <c r="M192" i="25"/>
  <c r="M231" i="25" s="1"/>
  <c r="M191" i="25"/>
  <c r="M190" i="25"/>
  <c r="M186" i="25"/>
  <c r="F245" i="25"/>
  <c r="G134" i="46" l="1"/>
  <c r="G135" i="46" s="1"/>
  <c r="G136" i="46" s="1"/>
  <c r="G137" i="46" s="1"/>
  <c r="G138" i="46" s="1"/>
  <c r="M138" i="34"/>
  <c r="G130" i="34"/>
  <c r="C16" i="42"/>
  <c r="G72" i="34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100" i="34" s="1"/>
  <c r="G101" i="34" s="1"/>
  <c r="G102" i="34" s="1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H118" i="45"/>
  <c r="C9" i="32" s="1"/>
  <c r="C16" i="32" s="1"/>
  <c r="M94" i="45"/>
  <c r="M70" i="45"/>
  <c r="M27" i="45"/>
  <c r="G118" i="45"/>
  <c r="G41" i="33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G144" i="33" s="1"/>
  <c r="G145" i="33" s="1"/>
  <c r="G146" i="33" s="1"/>
  <c r="G147" i="33" s="1"/>
  <c r="M200" i="33"/>
  <c r="M190" i="33"/>
  <c r="M198" i="33"/>
  <c r="M193" i="33"/>
  <c r="M202" i="33"/>
  <c r="M187" i="33"/>
  <c r="H205" i="33"/>
  <c r="M189" i="33"/>
  <c r="M196" i="33"/>
  <c r="M201" i="33"/>
  <c r="M199" i="33"/>
  <c r="M197" i="33"/>
  <c r="M174" i="33"/>
  <c r="M134" i="33"/>
  <c r="M91" i="33"/>
  <c r="G205" i="33"/>
  <c r="M239" i="31"/>
  <c r="M213" i="30"/>
  <c r="G213" i="30"/>
  <c r="H198" i="28"/>
  <c r="C4" i="32" s="1"/>
  <c r="M227" i="25"/>
  <c r="M240" i="31"/>
  <c r="M249" i="31"/>
  <c r="M236" i="31"/>
  <c r="M245" i="31"/>
  <c r="C6" i="43"/>
  <c r="C16" i="43" s="1"/>
  <c r="D7" i="43" s="1"/>
  <c r="C6" i="32"/>
  <c r="M224" i="25"/>
  <c r="M238" i="31"/>
  <c r="M250" i="31"/>
  <c r="M244" i="31"/>
  <c r="H245" i="25"/>
  <c r="M27" i="33"/>
  <c r="H249" i="31"/>
  <c r="C7" i="32" s="1"/>
  <c r="M241" i="31"/>
  <c r="M242" i="31"/>
  <c r="M243" i="31"/>
  <c r="M248" i="31"/>
  <c r="M235" i="31"/>
  <c r="M246" i="31"/>
  <c r="M228" i="31"/>
  <c r="M198" i="31"/>
  <c r="M142" i="31"/>
  <c r="M59" i="31"/>
  <c r="M94" i="31"/>
  <c r="G178" i="31"/>
  <c r="M205" i="25"/>
  <c r="M150" i="25"/>
  <c r="M156" i="30"/>
  <c r="M74" i="30"/>
  <c r="G102" i="30"/>
  <c r="G103" i="30" s="1"/>
  <c r="G104" i="30" s="1"/>
  <c r="G105" i="30" s="1"/>
  <c r="G106" i="30" s="1"/>
  <c r="G107" i="30" s="1"/>
  <c r="G108" i="30" s="1"/>
  <c r="G109" i="30" s="1"/>
  <c r="G110" i="30" s="1"/>
  <c r="G111" i="30" s="1"/>
  <c r="G112" i="30" s="1"/>
  <c r="G113" i="30" s="1"/>
  <c r="G114" i="30" s="1"/>
  <c r="G115" i="30" s="1"/>
  <c r="G116" i="30" s="1"/>
  <c r="G117" i="30" s="1"/>
  <c r="G118" i="30" s="1"/>
  <c r="G119" i="30" s="1"/>
  <c r="G120" i="30" s="1"/>
  <c r="G121" i="30" s="1"/>
  <c r="G122" i="30" s="1"/>
  <c r="G123" i="30" s="1"/>
  <c r="M216" i="29"/>
  <c r="M121" i="29"/>
  <c r="G151" i="29"/>
  <c r="G152" i="29" s="1"/>
  <c r="G153" i="29" s="1"/>
  <c r="G154" i="29" s="1"/>
  <c r="G247" i="29"/>
  <c r="G198" i="28"/>
  <c r="M58" i="25"/>
  <c r="E245" i="25"/>
  <c r="G245" i="25" s="1"/>
  <c r="G8" i="25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4" i="25" s="1"/>
  <c r="G35" i="25" s="1"/>
  <c r="G36" i="25" s="1"/>
  <c r="G37" i="25" s="1"/>
  <c r="G38" i="25" s="1"/>
  <c r="G39" i="25" s="1"/>
  <c r="G139" i="46" l="1"/>
  <c r="G140" i="46" s="1"/>
  <c r="D15" i="42"/>
  <c r="D12" i="42"/>
  <c r="D11" i="42"/>
  <c r="D9" i="42"/>
  <c r="D10" i="42"/>
  <c r="G119" i="34"/>
  <c r="G120" i="34" s="1"/>
  <c r="G121" i="34" s="1"/>
  <c r="G122" i="34" s="1"/>
  <c r="G123" i="34" s="1"/>
  <c r="G124" i="34" s="1"/>
  <c r="G125" i="34" s="1"/>
  <c r="G126" i="34" s="1"/>
  <c r="G127" i="34" s="1"/>
  <c r="G128" i="34" s="1"/>
  <c r="M205" i="33"/>
  <c r="G148" i="33"/>
  <c r="G149" i="33" s="1"/>
  <c r="G150" i="33" s="1"/>
  <c r="G153" i="33" s="1"/>
  <c r="G154" i="33" s="1"/>
  <c r="G155" i="33" s="1"/>
  <c r="M252" i="31"/>
  <c r="D6" i="43"/>
  <c r="M245" i="25"/>
  <c r="M60" i="25"/>
  <c r="M242" i="25"/>
  <c r="D14" i="43"/>
  <c r="D9" i="43"/>
  <c r="D12" i="43"/>
  <c r="D13" i="43"/>
  <c r="D10" i="43"/>
  <c r="D11" i="43"/>
  <c r="D15" i="43"/>
  <c r="D5" i="43"/>
  <c r="D8" i="43"/>
  <c r="D7" i="42"/>
  <c r="D6" i="42"/>
  <c r="D5" i="42"/>
  <c r="D8" i="42"/>
  <c r="D14" i="42"/>
  <c r="D13" i="42"/>
  <c r="D4" i="43"/>
  <c r="D4" i="42"/>
  <c r="G179" i="31"/>
  <c r="G180" i="31" s="1"/>
  <c r="G181" i="31" s="1"/>
  <c r="G182" i="31" s="1"/>
  <c r="G183" i="31" s="1"/>
  <c r="G184" i="31" s="1"/>
  <c r="G185" i="31" s="1"/>
  <c r="G186" i="31" s="1"/>
  <c r="G187" i="31" s="1"/>
  <c r="G188" i="31" s="1"/>
  <c r="G189" i="31" s="1"/>
  <c r="G190" i="31" s="1"/>
  <c r="G191" i="31" s="1"/>
  <c r="G192" i="31" s="1"/>
  <c r="G193" i="31" s="1"/>
  <c r="G194" i="31" s="1"/>
  <c r="G195" i="31" s="1"/>
  <c r="G196" i="31" s="1"/>
  <c r="G197" i="31" s="1"/>
  <c r="G198" i="31" s="1"/>
  <c r="G124" i="30"/>
  <c r="G125" i="30" s="1"/>
  <c r="G126" i="30" s="1"/>
  <c r="G127" i="30" s="1"/>
  <c r="G128" i="30" s="1"/>
  <c r="G129" i="30" s="1"/>
  <c r="G130" i="30" s="1"/>
  <c r="G131" i="30" s="1"/>
  <c r="G132" i="30" s="1"/>
  <c r="G135" i="30" s="1"/>
  <c r="G136" i="30" s="1"/>
  <c r="G137" i="30" s="1"/>
  <c r="G138" i="30" s="1"/>
  <c r="G139" i="30" s="1"/>
  <c r="G140" i="30" s="1"/>
  <c r="G141" i="30" s="1"/>
  <c r="G142" i="30" s="1"/>
  <c r="G143" i="30" s="1"/>
  <c r="G144" i="30" s="1"/>
  <c r="G145" i="30" s="1"/>
  <c r="G146" i="30" s="1"/>
  <c r="G147" i="30" s="1"/>
  <c r="G148" i="30" s="1"/>
  <c r="G149" i="30" s="1"/>
  <c r="G150" i="30" s="1"/>
  <c r="G151" i="30" s="1"/>
  <c r="G152" i="30" s="1"/>
  <c r="G153" i="30" s="1"/>
  <c r="G154" i="30" s="1"/>
  <c r="G155" i="30" s="1"/>
  <c r="G156" i="30" s="1"/>
  <c r="G155" i="29"/>
  <c r="G40" i="25"/>
  <c r="G41" i="25" s="1"/>
  <c r="G42" i="25" s="1"/>
  <c r="G43" i="25" s="1"/>
  <c r="G44" i="25" s="1"/>
  <c r="G45" i="25" s="1"/>
  <c r="G156" i="33" l="1"/>
  <c r="G157" i="33" s="1"/>
  <c r="G158" i="33" s="1"/>
  <c r="G159" i="33" s="1"/>
  <c r="G160" i="33" s="1"/>
  <c r="G161" i="33" s="1"/>
  <c r="G162" i="33" s="1"/>
  <c r="G163" i="33" s="1"/>
  <c r="G164" i="33" s="1"/>
  <c r="G165" i="33" s="1"/>
  <c r="G166" i="33" s="1"/>
  <c r="G167" i="33" s="1"/>
  <c r="G168" i="33" s="1"/>
  <c r="G169" i="33" s="1"/>
  <c r="G170" i="33" s="1"/>
  <c r="G171" i="33" s="1"/>
  <c r="G172" i="33" s="1"/>
  <c r="G173" i="33" s="1"/>
  <c r="G174" i="33" s="1"/>
  <c r="G175" i="33" s="1"/>
  <c r="G176" i="33" s="1"/>
  <c r="G177" i="33" s="1"/>
  <c r="G178" i="33" s="1"/>
  <c r="G179" i="33" s="1"/>
  <c r="G180" i="33" s="1"/>
  <c r="G181" i="33" s="1"/>
  <c r="G182" i="33" s="1"/>
  <c r="G183" i="33" s="1"/>
  <c r="G184" i="33" s="1"/>
  <c r="G185" i="33" s="1"/>
  <c r="G186" i="33" s="1"/>
  <c r="G187" i="33" s="1"/>
  <c r="G188" i="33" s="1"/>
  <c r="G189" i="33" s="1"/>
  <c r="G190" i="33" s="1"/>
  <c r="G191" i="33" s="1"/>
  <c r="G192" i="33" s="1"/>
  <c r="G193" i="33" s="1"/>
  <c r="G194" i="33" s="1"/>
  <c r="G195" i="33" s="1"/>
  <c r="G196" i="33" s="1"/>
  <c r="G197" i="33" s="1"/>
  <c r="G198" i="33" s="1"/>
  <c r="G199" i="33" s="1"/>
  <c r="G200" i="33" s="1"/>
  <c r="G201" i="33" s="1"/>
  <c r="G202" i="33" s="1"/>
  <c r="G203" i="33" s="1"/>
  <c r="G199" i="31"/>
  <c r="G200" i="31" s="1"/>
  <c r="G201" i="31" s="1"/>
  <c r="G202" i="31" s="1"/>
  <c r="G157" i="30"/>
  <c r="G158" i="30" s="1"/>
  <c r="G159" i="30" s="1"/>
  <c r="G160" i="30" s="1"/>
  <c r="G161" i="30" s="1"/>
  <c r="G162" i="30" s="1"/>
  <c r="G163" i="30" s="1"/>
  <c r="G164" i="30" s="1"/>
  <c r="G165" i="30" s="1"/>
  <c r="G166" i="30" s="1"/>
  <c r="G167" i="30" s="1"/>
  <c r="G168" i="30" s="1"/>
  <c r="G169" i="30" s="1"/>
  <c r="G170" i="30" s="1"/>
  <c r="G171" i="30" s="1"/>
  <c r="G172" i="30" s="1"/>
  <c r="G173" i="30" s="1"/>
  <c r="G174" i="30" s="1"/>
  <c r="G175" i="30" s="1"/>
  <c r="G176" i="30" s="1"/>
  <c r="G177" i="30" s="1"/>
  <c r="G178" i="30" s="1"/>
  <c r="G179" i="30" s="1"/>
  <c r="G180" i="30" s="1"/>
  <c r="G181" i="30" s="1"/>
  <c r="G182" i="30" s="1"/>
  <c r="G183" i="30" s="1"/>
  <c r="G184" i="30" s="1"/>
  <c r="G185" i="30" s="1"/>
  <c r="G186" i="30" s="1"/>
  <c r="G187" i="30" s="1"/>
  <c r="G188" i="30" s="1"/>
  <c r="G189" i="30" s="1"/>
  <c r="G190" i="30" s="1"/>
  <c r="G191" i="30" s="1"/>
  <c r="G156" i="29"/>
  <c r="G157" i="29" s="1"/>
  <c r="G158" i="29" s="1"/>
  <c r="G159" i="29" s="1"/>
  <c r="G160" i="29" s="1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G172" i="29" s="1"/>
  <c r="G46" i="25"/>
  <c r="G47" i="25" s="1"/>
  <c r="G48" i="25" s="1"/>
  <c r="G49" i="25" s="1"/>
  <c r="G50" i="25" s="1"/>
  <c r="G51" i="25" s="1"/>
  <c r="G52" i="25" s="1"/>
  <c r="G53" i="25" s="1"/>
  <c r="G54" i="25" s="1"/>
  <c r="G55" i="25" s="1"/>
  <c r="G56" i="25" s="1"/>
  <c r="G57" i="25" s="1"/>
  <c r="G58" i="25" s="1"/>
  <c r="G59" i="25" s="1"/>
  <c r="G60" i="25" s="1"/>
  <c r="G61" i="25" s="1"/>
  <c r="G62" i="25" s="1"/>
  <c r="G63" i="25" s="1"/>
  <c r="G64" i="25" s="1"/>
  <c r="G65" i="25" s="1"/>
  <c r="G66" i="25" s="1"/>
  <c r="G67" i="25" s="1"/>
  <c r="G68" i="25" s="1"/>
  <c r="G69" i="25" s="1"/>
  <c r="G70" i="25" s="1"/>
  <c r="G71" i="25" s="1"/>
  <c r="G72" i="25" s="1"/>
  <c r="G73" i="25" s="1"/>
  <c r="G74" i="25" s="1"/>
  <c r="G75" i="25" s="1"/>
  <c r="G76" i="25" s="1"/>
  <c r="G77" i="25" s="1"/>
  <c r="G78" i="25" s="1"/>
  <c r="G79" i="25" s="1"/>
  <c r="G80" i="25" s="1"/>
  <c r="G81" i="25" s="1"/>
  <c r="G82" i="25" s="1"/>
  <c r="G83" i="25" s="1"/>
  <c r="G84" i="25" s="1"/>
  <c r="G85" i="25" s="1"/>
  <c r="G86" i="25" s="1"/>
  <c r="G87" i="25" s="1"/>
  <c r="G88" i="25" s="1"/>
  <c r="G89" i="25" s="1"/>
  <c r="G90" i="25" s="1"/>
  <c r="G93" i="25" s="1"/>
  <c r="G94" i="25" s="1"/>
  <c r="G95" i="25" s="1"/>
  <c r="G96" i="25" s="1"/>
  <c r="G97" i="25" s="1"/>
  <c r="G98" i="25" s="1"/>
  <c r="G203" i="31" l="1"/>
  <c r="G204" i="31" s="1"/>
  <c r="G205" i="31" s="1"/>
  <c r="G206" i="31" s="1"/>
  <c r="G207" i="31" s="1"/>
  <c r="G208" i="31" s="1"/>
  <c r="G209" i="31" s="1"/>
  <c r="G210" i="31" s="1"/>
  <c r="G213" i="31" s="1"/>
  <c r="G214" i="31" s="1"/>
  <c r="G215" i="31" s="1"/>
  <c r="G216" i="31" s="1"/>
  <c r="G217" i="31" s="1"/>
  <c r="G218" i="31" s="1"/>
  <c r="G219" i="31" s="1"/>
  <c r="G220" i="31" s="1"/>
  <c r="G221" i="31" s="1"/>
  <c r="G222" i="31" s="1"/>
  <c r="G223" i="31" s="1"/>
  <c r="G224" i="31" s="1"/>
  <c r="G225" i="31" s="1"/>
  <c r="G226" i="31" s="1"/>
  <c r="G227" i="31" s="1"/>
  <c r="G228" i="31" s="1"/>
  <c r="G229" i="31" s="1"/>
  <c r="G230" i="31" s="1"/>
  <c r="G231" i="31" s="1"/>
  <c r="G232" i="31" s="1"/>
  <c r="G233" i="31" s="1"/>
  <c r="G234" i="31" s="1"/>
  <c r="G235" i="31" s="1"/>
  <c r="G236" i="31" s="1"/>
  <c r="G237" i="31" s="1"/>
  <c r="G238" i="31" s="1"/>
  <c r="G239" i="31" s="1"/>
  <c r="G240" i="31" s="1"/>
  <c r="G241" i="31" s="1"/>
  <c r="G242" i="31" s="1"/>
  <c r="G243" i="31" s="1"/>
  <c r="G244" i="31" s="1"/>
  <c r="G245" i="31" s="1"/>
  <c r="G246" i="31" s="1"/>
  <c r="G247" i="31" s="1"/>
  <c r="G192" i="30"/>
  <c r="G193" i="30" s="1"/>
  <c r="G194" i="30" s="1"/>
  <c r="G195" i="30" s="1"/>
  <c r="G196" i="30" s="1"/>
  <c r="G197" i="30" s="1"/>
  <c r="G198" i="30" s="1"/>
  <c r="G199" i="30" s="1"/>
  <c r="G200" i="30" s="1"/>
  <c r="G201" i="30" s="1"/>
  <c r="G202" i="30" s="1"/>
  <c r="G203" i="30" s="1"/>
  <c r="G204" i="30" s="1"/>
  <c r="G205" i="30" s="1"/>
  <c r="G206" i="30" s="1"/>
  <c r="G207" i="30" s="1"/>
  <c r="G208" i="30" s="1"/>
  <c r="G173" i="29"/>
  <c r="G174" i="29" s="1"/>
  <c r="G175" i="29" s="1"/>
  <c r="G176" i="29" s="1"/>
  <c r="G177" i="29" s="1"/>
  <c r="G178" i="29" s="1"/>
  <c r="G179" i="29" s="1"/>
  <c r="G180" i="29" s="1"/>
  <c r="G181" i="29" s="1"/>
  <c r="G182" i="29" s="1"/>
  <c r="G183" i="29" s="1"/>
  <c r="G184" i="29" s="1"/>
  <c r="G185" i="29" s="1"/>
  <c r="G186" i="29" s="1"/>
  <c r="G187" i="29" s="1"/>
  <c r="G188" i="29" s="1"/>
  <c r="G189" i="29" s="1"/>
  <c r="G190" i="29" s="1"/>
  <c r="G191" i="29" s="1"/>
  <c r="G192" i="29" s="1"/>
  <c r="G195" i="29" s="1"/>
  <c r="G196" i="29" s="1"/>
  <c r="G197" i="29" s="1"/>
  <c r="G198" i="29" s="1"/>
  <c r="G199" i="29" s="1"/>
  <c r="G200" i="29" s="1"/>
  <c r="G201" i="29" s="1"/>
  <c r="G202" i="29" s="1"/>
  <c r="G203" i="29" s="1"/>
  <c r="G204" i="29" s="1"/>
  <c r="G205" i="29" s="1"/>
  <c r="G206" i="29" s="1"/>
  <c r="G207" i="29" s="1"/>
  <c r="G208" i="29" s="1"/>
  <c r="G209" i="29" s="1"/>
  <c r="G210" i="29" s="1"/>
  <c r="G211" i="29" s="1"/>
  <c r="G212" i="29" s="1"/>
  <c r="G213" i="29" s="1"/>
  <c r="G214" i="29" s="1"/>
  <c r="G99" i="25"/>
  <c r="G100" i="25" s="1"/>
  <c r="G101" i="25" s="1"/>
  <c r="G102" i="25" s="1"/>
  <c r="G103" i="25" s="1"/>
  <c r="G104" i="25" s="1"/>
  <c r="G105" i="25" s="1"/>
  <c r="G106" i="25" s="1"/>
  <c r="G107" i="25" s="1"/>
  <c r="G209" i="30" l="1"/>
  <c r="G210" i="30" s="1"/>
  <c r="G211" i="30" s="1"/>
  <c r="G215" i="29"/>
  <c r="G108" i="25"/>
  <c r="G109" i="25" s="1"/>
  <c r="G110" i="25" s="1"/>
  <c r="G111" i="25" s="1"/>
  <c r="G112" i="25" s="1"/>
  <c r="G113" i="25" s="1"/>
  <c r="G114" i="25" s="1"/>
  <c r="G115" i="25" s="1"/>
  <c r="G116" i="25" s="1"/>
  <c r="G117" i="25" s="1"/>
  <c r="G118" i="25" s="1"/>
  <c r="G119" i="25" s="1"/>
  <c r="G120" i="25" s="1"/>
  <c r="G121" i="25" s="1"/>
  <c r="G122" i="25" s="1"/>
  <c r="G123" i="25" s="1"/>
  <c r="G124" i="25" s="1"/>
  <c r="G125" i="25" s="1"/>
  <c r="G126" i="25" s="1"/>
  <c r="G129" i="25" s="1"/>
  <c r="G130" i="25" s="1"/>
  <c r="G131" i="25" s="1"/>
  <c r="G132" i="25" s="1"/>
  <c r="G133" i="25" s="1"/>
  <c r="G134" i="25" s="1"/>
  <c r="G135" i="25" s="1"/>
  <c r="G136" i="25" s="1"/>
  <c r="G137" i="25" s="1"/>
  <c r="G138" i="25" s="1"/>
  <c r="G139" i="25" s="1"/>
  <c r="G140" i="25" s="1"/>
  <c r="G141" i="25" s="1"/>
  <c r="G142" i="25" s="1"/>
  <c r="G143" i="25" s="1"/>
  <c r="G144" i="25" s="1"/>
  <c r="G145" i="25" s="1"/>
  <c r="G146" i="25" s="1"/>
  <c r="G147" i="25" s="1"/>
  <c r="G148" i="25" s="1"/>
  <c r="G149" i="25" s="1"/>
  <c r="G150" i="25" s="1"/>
  <c r="G151" i="25" s="1"/>
  <c r="G152" i="25" s="1"/>
  <c r="G153" i="25" s="1"/>
  <c r="G154" i="25" s="1"/>
  <c r="G155" i="25" s="1"/>
  <c r="G156" i="25" s="1"/>
  <c r="G157" i="25" s="1"/>
  <c r="G158" i="25" s="1"/>
  <c r="G159" i="25" s="1"/>
  <c r="G160" i="25" s="1"/>
  <c r="G161" i="25" s="1"/>
  <c r="G216" i="29" l="1"/>
  <c r="G217" i="29" s="1"/>
  <c r="G218" i="29" s="1"/>
  <c r="G219" i="29" s="1"/>
  <c r="G220" i="29" s="1"/>
  <c r="G221" i="29" s="1"/>
  <c r="G222" i="29" s="1"/>
  <c r="G162" i="25"/>
  <c r="G163" i="25" s="1"/>
  <c r="G164" i="25" s="1"/>
  <c r="G165" i="25" s="1"/>
  <c r="G166" i="25" s="1"/>
  <c r="G167" i="25" s="1"/>
  <c r="G168" i="25" s="1"/>
  <c r="G169" i="25" s="1"/>
  <c r="G170" i="25" s="1"/>
  <c r="G171" i="25" s="1"/>
  <c r="G172" i="25" s="1"/>
  <c r="G173" i="25" s="1"/>
  <c r="G174" i="25" s="1"/>
  <c r="G175" i="25" s="1"/>
  <c r="G223" i="29" l="1"/>
  <c r="G224" i="29" s="1"/>
  <c r="G225" i="29" s="1"/>
  <c r="G226" i="29" s="1"/>
  <c r="G227" i="29" s="1"/>
  <c r="G228" i="29" s="1"/>
  <c r="G229" i="29" s="1"/>
  <c r="G230" i="29" s="1"/>
  <c r="G231" i="29" s="1"/>
  <c r="G232" i="29" s="1"/>
  <c r="G233" i="29" s="1"/>
  <c r="G234" i="29" s="1"/>
  <c r="G235" i="29" s="1"/>
  <c r="G236" i="29" s="1"/>
  <c r="G237" i="29" s="1"/>
  <c r="G238" i="29" s="1"/>
  <c r="G239" i="29" s="1"/>
  <c r="G240" i="29" s="1"/>
  <c r="G241" i="29" s="1"/>
  <c r="G242" i="29" s="1"/>
  <c r="G243" i="29" s="1"/>
  <c r="G244" i="29" s="1"/>
  <c r="G245" i="29" s="1"/>
  <c r="G176" i="25"/>
  <c r="G177" i="25" s="1"/>
  <c r="G178" i="25" l="1"/>
  <c r="G179" i="25" s="1"/>
  <c r="G180" i="25" s="1"/>
  <c r="G183" i="25" s="1"/>
  <c r="G184" i="25" s="1"/>
  <c r="G185" i="25" l="1"/>
  <c r="G186" i="25" s="1"/>
  <c r="G187" i="25" s="1"/>
  <c r="G188" i="25" l="1"/>
  <c r="G189" i="25" s="1"/>
  <c r="G190" i="25" s="1"/>
  <c r="G191" i="25" s="1"/>
  <c r="G192" i="25" s="1"/>
  <c r="G193" i="25" s="1"/>
  <c r="G194" i="25" s="1"/>
  <c r="G195" i="25" s="1"/>
  <c r="G196" i="25" s="1"/>
  <c r="G197" i="25" s="1"/>
  <c r="G198" i="25" s="1"/>
  <c r="G199" i="25" s="1"/>
  <c r="G200" i="25" s="1"/>
  <c r="G201" i="25" s="1"/>
  <c r="G202" i="25" s="1"/>
  <c r="G203" i="25" s="1"/>
  <c r="G204" i="25" s="1"/>
  <c r="G205" i="25" s="1"/>
  <c r="G206" i="25" s="1"/>
  <c r="G207" i="25" s="1"/>
  <c r="G208" i="25" s="1"/>
  <c r="G209" i="25" s="1"/>
  <c r="G210" i="25" s="1"/>
  <c r="G211" i="25" s="1"/>
  <c r="G212" i="25" s="1"/>
  <c r="G213" i="25" s="1"/>
  <c r="G214" i="25" s="1"/>
  <c r="G215" i="25" s="1"/>
  <c r="G216" i="25" s="1"/>
  <c r="G217" i="25" s="1"/>
  <c r="G218" i="25" s="1"/>
  <c r="G219" i="25" s="1"/>
  <c r="G220" i="25" s="1"/>
  <c r="G221" i="25" s="1"/>
  <c r="G222" i="25" s="1"/>
  <c r="G223" i="25" s="1"/>
  <c r="G224" i="25" s="1"/>
  <c r="G225" i="25" s="1"/>
  <c r="G226" i="25" l="1"/>
  <c r="G227" i="25" s="1"/>
  <c r="G228" i="25" s="1"/>
  <c r="G229" i="25" s="1"/>
  <c r="G230" i="25" s="1"/>
  <c r="G231" i="25" s="1"/>
  <c r="G232" i="25" s="1"/>
  <c r="G233" i="25" s="1"/>
  <c r="G234" i="25" s="1"/>
  <c r="G235" i="25" s="1"/>
  <c r="G236" i="25" s="1"/>
  <c r="G237" i="25" s="1"/>
  <c r="G238" i="25" s="1"/>
  <c r="G239" i="25" s="1"/>
  <c r="G240" i="25" s="1"/>
  <c r="G241" i="25" s="1"/>
  <c r="G242" i="25" s="1"/>
  <c r="G243" i="25" s="1"/>
  <c r="D7" i="32" l="1"/>
  <c r="D14" i="32" l="1"/>
  <c r="D13" i="32"/>
  <c r="D11" i="32"/>
  <c r="D12" i="32"/>
  <c r="D8" i="32"/>
  <c r="D15" i="32"/>
  <c r="D10" i="32"/>
  <c r="D5" i="32"/>
  <c r="D4" i="32"/>
  <c r="D9" i="32"/>
  <c r="D6" i="32"/>
</calcChain>
</file>

<file path=xl/sharedStrings.xml><?xml version="1.0" encoding="utf-8"?>
<sst xmlns="http://schemas.openxmlformats.org/spreadsheetml/2006/main" count="8686" uniqueCount="1729">
  <si>
    <t>AG 378 AV</t>
  </si>
  <si>
    <t>AG 337 MY</t>
  </si>
  <si>
    <t>OHA 122</t>
  </si>
  <si>
    <t>PFG 964</t>
  </si>
  <si>
    <t>NSN 325</t>
  </si>
  <si>
    <t>LVX 455</t>
  </si>
  <si>
    <t>KJR 926</t>
  </si>
  <si>
    <t>IHX 980</t>
  </si>
  <si>
    <t>HLW 156</t>
  </si>
  <si>
    <t>WNO 918</t>
  </si>
  <si>
    <t>FTL 303</t>
  </si>
  <si>
    <t>AUTOELEVADOR</t>
  </si>
  <si>
    <t>AUTOELEVADOR-1</t>
  </si>
  <si>
    <t>FECHA</t>
  </si>
  <si>
    <t>SALDO</t>
  </si>
  <si>
    <t>LITROS</t>
  </si>
  <si>
    <t>PAGOS</t>
  </si>
  <si>
    <t>CONSUMOS</t>
  </si>
  <si>
    <t>VEHICULO</t>
  </si>
  <si>
    <t>CARGAS COMBUSTIBLE YPF</t>
  </si>
  <si>
    <t>OBSEVACIONES</t>
  </si>
  <si>
    <t>SALDO ANTERIOR</t>
  </si>
  <si>
    <t>AG 768 OI</t>
  </si>
  <si>
    <t>OXJ 846</t>
  </si>
  <si>
    <t>KEX 251</t>
  </si>
  <si>
    <t>N° FA/COMP</t>
  </si>
  <si>
    <t>AF 728 AT</t>
  </si>
  <si>
    <t>AG 962 EW</t>
  </si>
  <si>
    <t>TOTAL</t>
  </si>
  <si>
    <t xml:space="preserve">AF 728 AT </t>
  </si>
  <si>
    <t>HKQ 258</t>
  </si>
  <si>
    <t>BIDON -(COMPRESOR/HIDROLAV)</t>
  </si>
  <si>
    <t xml:space="preserve">RESUMEN </t>
  </si>
  <si>
    <t>LTS</t>
  </si>
  <si>
    <t>RESUMEN CONSUMO</t>
  </si>
  <si>
    <t>CONSUMO</t>
  </si>
  <si>
    <t>HIELO</t>
  </si>
  <si>
    <t>TIPO DE VEHICULO</t>
  </si>
  <si>
    <t>DOMINIO</t>
  </si>
  <si>
    <t>MODELO</t>
  </si>
  <si>
    <t xml:space="preserve"> FORD RANGER-2024</t>
  </si>
  <si>
    <t xml:space="preserve">SIN LIMITE DE CARGA </t>
  </si>
  <si>
    <t>CAMIONETA</t>
  </si>
  <si>
    <t xml:space="preserve"> FORD RANGER-2015</t>
  </si>
  <si>
    <t>FORD RANGER-2011</t>
  </si>
  <si>
    <t>FORD RANGER- 2008</t>
  </si>
  <si>
    <t>CAMION</t>
  </si>
  <si>
    <t xml:space="preserve"> MERCEDES BENZ-1968</t>
  </si>
  <si>
    <t xml:space="preserve"> VOLKWAGEN-2008</t>
  </si>
  <si>
    <t>VOLVO-2006</t>
  </si>
  <si>
    <t>MERCEDES -2024</t>
  </si>
  <si>
    <t>MINIBUS</t>
  </si>
  <si>
    <t>SPRINTER</t>
  </si>
  <si>
    <t>AG 378 AW</t>
  </si>
  <si>
    <t xml:space="preserve">AUTOELEVADORES </t>
  </si>
  <si>
    <t>DOS57</t>
  </si>
  <si>
    <t>AZUL/ROJO/4X4</t>
  </si>
  <si>
    <t>FA</t>
  </si>
  <si>
    <t>MERCEDES -2025</t>
  </si>
  <si>
    <t>CAMION-PLANCHA</t>
  </si>
  <si>
    <t>RE</t>
  </si>
  <si>
    <t>AG 958 JV</t>
  </si>
  <si>
    <t>AA 183 PK</t>
  </si>
  <si>
    <t>N° COMP</t>
  </si>
  <si>
    <t>60-7935</t>
  </si>
  <si>
    <t xml:space="preserve"> 92-0586</t>
  </si>
  <si>
    <t>COMBUSTIBLE+HIELO</t>
  </si>
  <si>
    <t>50-0011</t>
  </si>
  <si>
    <t>63-0528</t>
  </si>
  <si>
    <t xml:space="preserve">COMBUSTIBLE </t>
  </si>
  <si>
    <t>63-0531</t>
  </si>
  <si>
    <t>55-6980</t>
  </si>
  <si>
    <t>55-6982</t>
  </si>
  <si>
    <t>63-0537</t>
  </si>
  <si>
    <t>55-7000</t>
  </si>
  <si>
    <t>92-0622</t>
  </si>
  <si>
    <t>55-7023</t>
  </si>
  <si>
    <t>63-0556</t>
  </si>
  <si>
    <t>50-0016</t>
  </si>
  <si>
    <t>63-0571</t>
  </si>
  <si>
    <t>63-0572</t>
  </si>
  <si>
    <t>55-7079</t>
  </si>
  <si>
    <t>55-7080</t>
  </si>
  <si>
    <t>92-0690</t>
  </si>
  <si>
    <t>92-0692</t>
  </si>
  <si>
    <t>55-7096</t>
  </si>
  <si>
    <t>92-0708</t>
  </si>
  <si>
    <t>60-8065</t>
  </si>
  <si>
    <t>55-7114</t>
  </si>
  <si>
    <t>55-7156</t>
  </si>
  <si>
    <t>55-7157</t>
  </si>
  <si>
    <t>63-0604</t>
  </si>
  <si>
    <t>COMBUSTIBLE</t>
  </si>
  <si>
    <t>92-0782</t>
  </si>
  <si>
    <t>92-0794</t>
  </si>
  <si>
    <t>50-0020</t>
  </si>
  <si>
    <t>92-0801</t>
  </si>
  <si>
    <t>55-7206</t>
  </si>
  <si>
    <t>92-0803</t>
  </si>
  <si>
    <t>92-0824</t>
  </si>
  <si>
    <t>55-7222</t>
  </si>
  <si>
    <t>92-0825</t>
  </si>
  <si>
    <t>55-7225</t>
  </si>
  <si>
    <t>92-0833</t>
  </si>
  <si>
    <t>50-0021</t>
  </si>
  <si>
    <t>63-0637</t>
  </si>
  <si>
    <t>60-8185</t>
  </si>
  <si>
    <t>63-0640</t>
  </si>
  <si>
    <t>63-0644</t>
  </si>
  <si>
    <t>92-0894</t>
  </si>
  <si>
    <t>55-7280</t>
  </si>
  <si>
    <t>60-8213</t>
  </si>
  <si>
    <t>55-7289</t>
  </si>
  <si>
    <t>92-0937</t>
  </si>
  <si>
    <t>60-8246</t>
  </si>
  <si>
    <t>55-7333</t>
  </si>
  <si>
    <t>63-0655</t>
  </si>
  <si>
    <t>MULITA</t>
  </si>
  <si>
    <t>63-0657</t>
  </si>
  <si>
    <t>92-0977</t>
  </si>
  <si>
    <t>92-0978</t>
  </si>
  <si>
    <t>50-0023</t>
  </si>
  <si>
    <t>50-0024</t>
  </si>
  <si>
    <t>55-7407</t>
  </si>
  <si>
    <t>55-7418</t>
  </si>
  <si>
    <t>60-8327</t>
  </si>
  <si>
    <t>50-0027</t>
  </si>
  <si>
    <t>60-8359</t>
  </si>
  <si>
    <t>60-8338</t>
  </si>
  <si>
    <t>60-8360</t>
  </si>
  <si>
    <t>63-0691</t>
  </si>
  <si>
    <t>92-1089</t>
  </si>
  <si>
    <t>55-7464</t>
  </si>
  <si>
    <t>92-1113</t>
  </si>
  <si>
    <t>92-1138</t>
  </si>
  <si>
    <t>55-7515</t>
  </si>
  <si>
    <t>63-0709</t>
  </si>
  <si>
    <t>92-1161</t>
  </si>
  <si>
    <t>55-7519</t>
  </si>
  <si>
    <t>63-0715</t>
  </si>
  <si>
    <t>92-1206</t>
  </si>
  <si>
    <t>92-1208</t>
  </si>
  <si>
    <t>92-1213</t>
  </si>
  <si>
    <t>55-7581</t>
  </si>
  <si>
    <t>50-0031</t>
  </si>
  <si>
    <t>92-1288</t>
  </si>
  <si>
    <t>60-8528</t>
  </si>
  <si>
    <t>60-8546</t>
  </si>
  <si>
    <t>92-1313</t>
  </si>
  <si>
    <t>92-1331</t>
  </si>
  <si>
    <t>92-1326</t>
  </si>
  <si>
    <t>60-8557</t>
  </si>
  <si>
    <t>60-8593</t>
  </si>
  <si>
    <t>60-8634</t>
  </si>
  <si>
    <t>50-0033</t>
  </si>
  <si>
    <t>60-8669</t>
  </si>
  <si>
    <t>60-8682</t>
  </si>
  <si>
    <t>92-1434</t>
  </si>
  <si>
    <t>92-1453</t>
  </si>
  <si>
    <t>92-1454</t>
  </si>
  <si>
    <t>92-1459</t>
  </si>
  <si>
    <t>50-0039</t>
  </si>
  <si>
    <t>92-1498</t>
  </si>
  <si>
    <t>92-1513</t>
  </si>
  <si>
    <t>60-8805</t>
  </si>
  <si>
    <t>55-7874</t>
  </si>
  <si>
    <t>92-1543</t>
  </si>
  <si>
    <t>60-8839</t>
  </si>
  <si>
    <t>92-1559</t>
  </si>
  <si>
    <t>60-8853</t>
  </si>
  <si>
    <t>92-1578</t>
  </si>
  <si>
    <t>92-1581</t>
  </si>
  <si>
    <t>92-1582</t>
  </si>
  <si>
    <t>60-8888</t>
  </si>
  <si>
    <t>55-7954</t>
  </si>
  <si>
    <t>63-0730</t>
  </si>
  <si>
    <t>50-0044</t>
  </si>
  <si>
    <t>92-1625</t>
  </si>
  <si>
    <t>60-8943</t>
  </si>
  <si>
    <t>92-1637</t>
  </si>
  <si>
    <t>55-8032</t>
  </si>
  <si>
    <t>55-8037</t>
  </si>
  <si>
    <t>55-8038</t>
  </si>
  <si>
    <t>55-8040</t>
  </si>
  <si>
    <t>50-0002</t>
  </si>
  <si>
    <t>CANCELA REMITO</t>
  </si>
  <si>
    <t>92-1659</t>
  </si>
  <si>
    <t>55-8046</t>
  </si>
  <si>
    <t>55-8049</t>
  </si>
  <si>
    <t>50-0045</t>
  </si>
  <si>
    <t>60-9006</t>
  </si>
  <si>
    <t>60-9037</t>
  </si>
  <si>
    <t>55-8118</t>
  </si>
  <si>
    <t>55-8119</t>
  </si>
  <si>
    <t>55-8120</t>
  </si>
  <si>
    <t>55-8122</t>
  </si>
  <si>
    <t>92-1749</t>
  </si>
  <si>
    <t>SEMANA DEL 1/12 AL 7/12</t>
  </si>
  <si>
    <t>SEMANA DEL 8/12 AL 14/12</t>
  </si>
  <si>
    <t>HIELO 3 Y 12 KG</t>
  </si>
  <si>
    <t>-</t>
  </si>
  <si>
    <t>SEMANA DEL 15/12 AL 21/12</t>
  </si>
  <si>
    <t>60-9069</t>
  </si>
  <si>
    <t>60-9067</t>
  </si>
  <si>
    <t>55-8141</t>
  </si>
  <si>
    <t>55-8155</t>
  </si>
  <si>
    <t>92-1791</t>
  </si>
  <si>
    <t>55-8156</t>
  </si>
  <si>
    <t>92-1793</t>
  </si>
  <si>
    <t>92-1817</t>
  </si>
  <si>
    <t>49 BOLSAS</t>
  </si>
  <si>
    <t>11 BOLSAS</t>
  </si>
  <si>
    <t>COMBUSTIBLE Y HIELO</t>
  </si>
  <si>
    <t>18 BOLSAS</t>
  </si>
  <si>
    <t>92-1882</t>
  </si>
  <si>
    <t>55-8226</t>
  </si>
  <si>
    <t>55-8250</t>
  </si>
  <si>
    <t>55-8256</t>
  </si>
  <si>
    <t>92-1928</t>
  </si>
  <si>
    <t>55-8289</t>
  </si>
  <si>
    <t>92-1960</t>
  </si>
  <si>
    <t>92-1963</t>
  </si>
  <si>
    <t>92-1968</t>
  </si>
  <si>
    <t>60-9154</t>
  </si>
  <si>
    <t>92-1994</t>
  </si>
  <si>
    <t>92-2011</t>
  </si>
  <si>
    <t>COMBUSTIBLE Y REFRIGERANTE</t>
  </si>
  <si>
    <t>55-8344</t>
  </si>
  <si>
    <t>55-8349</t>
  </si>
  <si>
    <t>55-8401</t>
  </si>
  <si>
    <t>55-8427</t>
  </si>
  <si>
    <t>55-8429</t>
  </si>
  <si>
    <t>92-2101</t>
  </si>
  <si>
    <t>92-2102</t>
  </si>
  <si>
    <t>55-8439</t>
  </si>
  <si>
    <t>55-8481</t>
  </si>
  <si>
    <t>60-9304</t>
  </si>
  <si>
    <t>50-0053</t>
  </si>
  <si>
    <t>55-8489</t>
  </si>
  <si>
    <t>55-8491</t>
  </si>
  <si>
    <t>55-8492</t>
  </si>
  <si>
    <t>60-9320</t>
  </si>
  <si>
    <t>98-0016</t>
  </si>
  <si>
    <t>60-9334</t>
  </si>
  <si>
    <t>60-9335</t>
  </si>
  <si>
    <t>55-8512</t>
  </si>
  <si>
    <t>55-8524</t>
  </si>
  <si>
    <t>92-2200</t>
  </si>
  <si>
    <t>92-2201</t>
  </si>
  <si>
    <t>55-8528</t>
  </si>
  <si>
    <t>55-8530</t>
  </si>
  <si>
    <t>55-8545</t>
  </si>
  <si>
    <t>55-8582</t>
  </si>
  <si>
    <t>92-2244</t>
  </si>
  <si>
    <t>98-0037</t>
  </si>
  <si>
    <t>50-0056</t>
  </si>
  <si>
    <t>50-0004</t>
  </si>
  <si>
    <t>55-8599</t>
  </si>
  <si>
    <t>92-2261</t>
  </si>
  <si>
    <t>60-9418</t>
  </si>
  <si>
    <t xml:space="preserve">MOTO AMARILLA       </t>
  </si>
  <si>
    <t>55-8632</t>
  </si>
  <si>
    <t>55-8639</t>
  </si>
  <si>
    <t>55-8643</t>
  </si>
  <si>
    <t>60-9426</t>
  </si>
  <si>
    <t>60-9427</t>
  </si>
  <si>
    <t>55-8665</t>
  </si>
  <si>
    <t>92-2308</t>
  </si>
  <si>
    <t>55-8690</t>
  </si>
  <si>
    <t>SEMANA DEL 22/12 AL 31/12</t>
  </si>
  <si>
    <t>92-2321</t>
  </si>
  <si>
    <t>92-2324</t>
  </si>
  <si>
    <t>92-2325</t>
  </si>
  <si>
    <t>55-8705</t>
  </si>
  <si>
    <t>92-2342</t>
  </si>
  <si>
    <t>55-8722</t>
  </si>
  <si>
    <t xml:space="preserve"> HIELO</t>
  </si>
  <si>
    <t>39 BOLSAS</t>
  </si>
  <si>
    <t>92-2374</t>
  </si>
  <si>
    <t>92-2375</t>
  </si>
  <si>
    <t>60-9527</t>
  </si>
  <si>
    <t>98-0109</t>
  </si>
  <si>
    <t>55-8742</t>
  </si>
  <si>
    <t>98-0110</t>
  </si>
  <si>
    <t>FACTURA</t>
  </si>
  <si>
    <t>50-0063</t>
  </si>
  <si>
    <t>98-0124</t>
  </si>
  <si>
    <t>98-0127</t>
  </si>
  <si>
    <t>98-0128</t>
  </si>
  <si>
    <t>60-9578</t>
  </si>
  <si>
    <t>92-2446</t>
  </si>
  <si>
    <t>92-2447</t>
  </si>
  <si>
    <t>55-8784</t>
  </si>
  <si>
    <t>98-0135</t>
  </si>
  <si>
    <t>55-8814</t>
  </si>
  <si>
    <t>92-2479</t>
  </si>
  <si>
    <t>55-8847</t>
  </si>
  <si>
    <t>55-8851</t>
  </si>
  <si>
    <t>55-8856</t>
  </si>
  <si>
    <t>50-0064</t>
  </si>
  <si>
    <t>55-8882</t>
  </si>
  <si>
    <t>55-8881</t>
  </si>
  <si>
    <t>50-0067</t>
  </si>
  <si>
    <t>60-9677</t>
  </si>
  <si>
    <t>55-8914</t>
  </si>
  <si>
    <t>55-8918</t>
  </si>
  <si>
    <t>60-9729</t>
  </si>
  <si>
    <t>60-9741</t>
  </si>
  <si>
    <t>92-2593</t>
  </si>
  <si>
    <t>55-9049</t>
  </si>
  <si>
    <t>55-9050</t>
  </si>
  <si>
    <t>98-0262</t>
  </si>
  <si>
    <t>55-9081</t>
  </si>
  <si>
    <t>55-9086</t>
  </si>
  <si>
    <t>55-9102</t>
  </si>
  <si>
    <t>60-9838</t>
  </si>
  <si>
    <t>50-0074</t>
  </si>
  <si>
    <t>55-9137</t>
  </si>
  <si>
    <t>92-2740</t>
  </si>
  <si>
    <t>55-9144</t>
  </si>
  <si>
    <t>55-9166</t>
  </si>
  <si>
    <t>92-2777</t>
  </si>
  <si>
    <t>55-9213</t>
  </si>
  <si>
    <t>55-9223</t>
  </si>
  <si>
    <t>55-9236</t>
  </si>
  <si>
    <t>60-9923</t>
  </si>
  <si>
    <t>55-9266</t>
  </si>
  <si>
    <t>SEMANA DEL 1/1 AL 4/1</t>
  </si>
  <si>
    <t>SEMANA DEL 5/1 AL 11/1</t>
  </si>
  <si>
    <t>92-2855</t>
  </si>
  <si>
    <t>55-9281</t>
  </si>
  <si>
    <t>60-9977</t>
  </si>
  <si>
    <t>55-9289</t>
  </si>
  <si>
    <t>55-9351</t>
  </si>
  <si>
    <t>92-2923</t>
  </si>
  <si>
    <t>50-0008</t>
  </si>
  <si>
    <t>98-0432</t>
  </si>
  <si>
    <t>92-2947</t>
  </si>
  <si>
    <t>92-2961</t>
  </si>
  <si>
    <t>55-9418</t>
  </si>
  <si>
    <t>55-9420</t>
  </si>
  <si>
    <t>92-3022</t>
  </si>
  <si>
    <t>55-9481</t>
  </si>
  <si>
    <t>55-9482</t>
  </si>
  <si>
    <t>92-3033</t>
  </si>
  <si>
    <t>50-0083</t>
  </si>
  <si>
    <t>60-0110</t>
  </si>
  <si>
    <t>55-9530</t>
  </si>
  <si>
    <t>60-0189</t>
  </si>
  <si>
    <t>60-0190</t>
  </si>
  <si>
    <t>SEMANA DEL 12/1 AL 18/1</t>
  </si>
  <si>
    <t>60-0202</t>
  </si>
  <si>
    <t>60-0216</t>
  </si>
  <si>
    <t>98-0613</t>
  </si>
  <si>
    <t>92-3358</t>
  </si>
  <si>
    <t>94-0008</t>
  </si>
  <si>
    <t>92-3419</t>
  </si>
  <si>
    <t>92-3436</t>
  </si>
  <si>
    <t>SEMANA DEL 19/1 AL 25/1</t>
  </si>
  <si>
    <t>50-0049</t>
  </si>
  <si>
    <t>55-8215</t>
  </si>
  <si>
    <t>MOTO AMARILLA</t>
  </si>
  <si>
    <t>48 BOLSAS</t>
  </si>
  <si>
    <t>147 BOLSAS</t>
  </si>
  <si>
    <t>COMBUSTIBLE Y 4 HIELOS</t>
  </si>
  <si>
    <t>HIELOS</t>
  </si>
  <si>
    <t>COMBUSTIBLE Y 2 HIELOS</t>
  </si>
  <si>
    <t>COMBUSTIBLE Y 6 HIELOS</t>
  </si>
  <si>
    <t xml:space="preserve">HIELO </t>
  </si>
  <si>
    <t>COMBUSTIBLE Y 3 HIELOS</t>
  </si>
  <si>
    <t>92-3441</t>
  </si>
  <si>
    <t>92-3446</t>
  </si>
  <si>
    <t>55-9558</t>
  </si>
  <si>
    <t>94-0023</t>
  </si>
  <si>
    <t>50-0090</t>
  </si>
  <si>
    <t>92-3503</t>
  </si>
  <si>
    <t>92-3507</t>
  </si>
  <si>
    <t>92-3508</t>
  </si>
  <si>
    <t>92-3509</t>
  </si>
  <si>
    <t>92-3510</t>
  </si>
  <si>
    <t>60-0392</t>
  </si>
  <si>
    <t>27 BOLSAS</t>
  </si>
  <si>
    <t>55-9576</t>
  </si>
  <si>
    <t>92-3549</t>
  </si>
  <si>
    <t>92-3551</t>
  </si>
  <si>
    <t>92-3586</t>
  </si>
  <si>
    <t>92-3590</t>
  </si>
  <si>
    <t>60-0448</t>
  </si>
  <si>
    <t>92-3618</t>
  </si>
  <si>
    <t>94-0067</t>
  </si>
  <si>
    <t>60-0475</t>
  </si>
  <si>
    <t>92-3646</t>
  </si>
  <si>
    <t>92-3668</t>
  </si>
  <si>
    <t>92-3669</t>
  </si>
  <si>
    <t>92-3678</t>
  </si>
  <si>
    <t>92-3680</t>
  </si>
  <si>
    <t>50-0094</t>
  </si>
  <si>
    <t>60-0503</t>
  </si>
  <si>
    <t>92-3685</t>
  </si>
  <si>
    <t>92-3686</t>
  </si>
  <si>
    <t>92-3687</t>
  </si>
  <si>
    <t>60-0508</t>
  </si>
  <si>
    <t>98-0709</t>
  </si>
  <si>
    <t>60-0538</t>
  </si>
  <si>
    <t>92-3739</t>
  </si>
  <si>
    <t>92-3742</t>
  </si>
  <si>
    <t>60-0572</t>
  </si>
  <si>
    <t>60-0584</t>
  </si>
  <si>
    <t>50-0095</t>
  </si>
  <si>
    <t>94-0087</t>
  </si>
  <si>
    <t>98-0721</t>
  </si>
  <si>
    <t>94-0102</t>
  </si>
  <si>
    <t>92-3919</t>
  </si>
  <si>
    <t>94-0116</t>
  </si>
  <si>
    <t>60-0682</t>
  </si>
  <si>
    <t>92-3988</t>
  </si>
  <si>
    <t>SEMANA DEL 25/1 AL 31/1</t>
  </si>
  <si>
    <t xml:space="preserve"> </t>
  </si>
  <si>
    <t>60-0691</t>
  </si>
  <si>
    <t>60-0690</t>
  </si>
  <si>
    <t>60-0692</t>
  </si>
  <si>
    <t>92-4056</t>
  </si>
  <si>
    <t>92-4065</t>
  </si>
  <si>
    <t>94-0146</t>
  </si>
  <si>
    <t>60-0738</t>
  </si>
  <si>
    <t>98-0746</t>
  </si>
  <si>
    <t>50-0096</t>
  </si>
  <si>
    <t>60-0749</t>
  </si>
  <si>
    <t>92-4134</t>
  </si>
  <si>
    <t>AE 919 JA</t>
  </si>
  <si>
    <t>92-4136</t>
  </si>
  <si>
    <t>60-0765</t>
  </si>
  <si>
    <t>92-4152</t>
  </si>
  <si>
    <t>92-4175</t>
  </si>
  <si>
    <t>92-4177</t>
  </si>
  <si>
    <t>60-0813</t>
  </si>
  <si>
    <t>92-4202</t>
  </si>
  <si>
    <t>92-4213</t>
  </si>
  <si>
    <t>94-0178</t>
  </si>
  <si>
    <t>92-4245</t>
  </si>
  <si>
    <t>92-4247</t>
  </si>
  <si>
    <t>92-4265</t>
  </si>
  <si>
    <t>60-0878</t>
  </si>
  <si>
    <t>60-0877</t>
  </si>
  <si>
    <t>92-4326</t>
  </si>
  <si>
    <t>60-0895</t>
  </si>
  <si>
    <t>94-0207</t>
  </si>
  <si>
    <t>60-0907</t>
  </si>
  <si>
    <t>92-4355</t>
  </si>
  <si>
    <t>50-0099</t>
  </si>
  <si>
    <t>60-0945</t>
  </si>
  <si>
    <t>92-4423</t>
  </si>
  <si>
    <t>98-0791</t>
  </si>
  <si>
    <t>92-4452</t>
  </si>
  <si>
    <t>98-0794</t>
  </si>
  <si>
    <t>92-4457</t>
  </si>
  <si>
    <t>SEMANA DEL 1/2 AL 7/2</t>
  </si>
  <si>
    <t>92-4463</t>
  </si>
  <si>
    <t>92-4464</t>
  </si>
  <si>
    <t>60-0994</t>
  </si>
  <si>
    <t>92-4510</t>
  </si>
  <si>
    <t>50-0101</t>
  </si>
  <si>
    <t>92-4538</t>
  </si>
  <si>
    <t>92-4540</t>
  </si>
  <si>
    <t>60-1012</t>
  </si>
  <si>
    <t>98-0820</t>
  </si>
  <si>
    <t>60-1014</t>
  </si>
  <si>
    <t>60-1036</t>
  </si>
  <si>
    <t>92-4546</t>
  </si>
  <si>
    <t>60-1039</t>
  </si>
  <si>
    <t>50-0009</t>
  </si>
  <si>
    <t>50-0010</t>
  </si>
  <si>
    <t>92-4547</t>
  </si>
  <si>
    <t>60-1059</t>
  </si>
  <si>
    <t>60-1095</t>
  </si>
  <si>
    <t>92-4590</t>
  </si>
  <si>
    <t>60-1097</t>
  </si>
  <si>
    <t>94-0241</t>
  </si>
  <si>
    <t>94-0244</t>
  </si>
  <si>
    <t>60-1099</t>
  </si>
  <si>
    <t>50-0105</t>
  </si>
  <si>
    <t>96-0124</t>
  </si>
  <si>
    <t>60-1144</t>
  </si>
  <si>
    <t>96-0140</t>
  </si>
  <si>
    <t>92-4652</t>
  </si>
  <si>
    <t>92-4663</t>
  </si>
  <si>
    <t>96-0188</t>
  </si>
  <si>
    <t>92-4707</t>
  </si>
  <si>
    <t>96-0190</t>
  </si>
  <si>
    <t>98-0863</t>
  </si>
  <si>
    <t>92-4716</t>
  </si>
  <si>
    <t>50-0109</t>
  </si>
  <si>
    <t>98-0865</t>
  </si>
  <si>
    <t>94-0296</t>
  </si>
  <si>
    <t>92-4748</t>
  </si>
  <si>
    <t>92-4754</t>
  </si>
  <si>
    <t>92-4762</t>
  </si>
  <si>
    <t>96-0243</t>
  </si>
  <si>
    <t>60-1237</t>
  </si>
  <si>
    <t>96-0245</t>
  </si>
  <si>
    <t>92-4767</t>
  </si>
  <si>
    <t>96-0265</t>
  </si>
  <si>
    <t>60-1258</t>
  </si>
  <si>
    <t>94-0320</t>
  </si>
  <si>
    <t>60-1262</t>
  </si>
  <si>
    <t>96-0276</t>
  </si>
  <si>
    <t>96-0279</t>
  </si>
  <si>
    <t>60-1291</t>
  </si>
  <si>
    <t>96-0325</t>
  </si>
  <si>
    <t>92-4830</t>
  </si>
  <si>
    <t>92-4831</t>
  </si>
  <si>
    <t>92-4832</t>
  </si>
  <si>
    <t>SEMANA DEL 8/2 AL 14/2</t>
  </si>
  <si>
    <t>TOYOTA HILUX-2016</t>
  </si>
  <si>
    <t>TOYOTA HILUX-2021</t>
  </si>
  <si>
    <t>TOYOTA HILUX-2012</t>
  </si>
  <si>
    <t>TOYOTA SW4</t>
  </si>
  <si>
    <t>NISSAN FRONTIER</t>
  </si>
  <si>
    <t>FLOTA VEHICULOS CARGAS AUTORIZADAS-2026</t>
  </si>
  <si>
    <t>MOTOCICLETA</t>
  </si>
  <si>
    <t>A26 2CPD</t>
  </si>
  <si>
    <t>CF 700</t>
  </si>
  <si>
    <t>A19 3NED</t>
  </si>
  <si>
    <t>ROYAL ENFILN- METEOR 350</t>
  </si>
  <si>
    <t>96-0364</t>
  </si>
  <si>
    <t>92-4891</t>
  </si>
  <si>
    <t>60-1337</t>
  </si>
  <si>
    <t>60-1338</t>
  </si>
  <si>
    <t>50-0114</t>
  </si>
  <si>
    <t>50-8345</t>
  </si>
  <si>
    <t>92-4904</t>
  </si>
  <si>
    <t>96-0424</t>
  </si>
  <si>
    <t>92-4937</t>
  </si>
  <si>
    <t>98-0890</t>
  </si>
  <si>
    <t>96-0477</t>
  </si>
  <si>
    <t>96-0478</t>
  </si>
  <si>
    <t>92-4974</t>
  </si>
  <si>
    <t>CARGO DE MERCADO PAGO</t>
  </si>
  <si>
    <t>50-0118</t>
  </si>
  <si>
    <t>92-0001</t>
  </si>
  <si>
    <t>60-1418</t>
  </si>
  <si>
    <t>MOTO GRIS</t>
  </si>
  <si>
    <t>92-5004</t>
  </si>
  <si>
    <t>98-0904</t>
  </si>
  <si>
    <t>60-1423</t>
  </si>
  <si>
    <t>50-0120</t>
  </si>
  <si>
    <t>94-0411</t>
  </si>
  <si>
    <t>92-5039</t>
  </si>
  <si>
    <t>94-0412</t>
  </si>
  <si>
    <t>96-0562</t>
  </si>
  <si>
    <t>94-0415</t>
  </si>
  <si>
    <t>92-5046</t>
  </si>
  <si>
    <t>92-5063</t>
  </si>
  <si>
    <t>96-0573</t>
  </si>
  <si>
    <t>96-0586</t>
  </si>
  <si>
    <t>50-0123</t>
  </si>
  <si>
    <t>98-0922</t>
  </si>
  <si>
    <t>96-0626</t>
  </si>
  <si>
    <t>92-5117</t>
  </si>
  <si>
    <t>92-5121</t>
  </si>
  <si>
    <t>92-5122</t>
  </si>
  <si>
    <t>96-0644</t>
  </si>
  <si>
    <t>96-0656</t>
  </si>
  <si>
    <t>96-0666</t>
  </si>
  <si>
    <t>92-5172</t>
  </si>
  <si>
    <t>98-0935</t>
  </si>
  <si>
    <t>98-0936</t>
  </si>
  <si>
    <t>94-0464</t>
  </si>
  <si>
    <t>50-0125</t>
  </si>
  <si>
    <t>96-0720</t>
  </si>
  <si>
    <t>92-5234</t>
  </si>
  <si>
    <t>96-0737</t>
  </si>
  <si>
    <t>96-0757</t>
  </si>
  <si>
    <t>92-5255</t>
  </si>
  <si>
    <t>92-5269</t>
  </si>
  <si>
    <t>96-0797</t>
  </si>
  <si>
    <t>96-0803</t>
  </si>
  <si>
    <t>92-5301</t>
  </si>
  <si>
    <t>92-5303</t>
  </si>
  <si>
    <t>96-0827</t>
  </si>
  <si>
    <t>60-1680</t>
  </si>
  <si>
    <t>92-5328</t>
  </si>
  <si>
    <t>96-0853</t>
  </si>
  <si>
    <t>92-5355</t>
  </si>
  <si>
    <t>92-5356</t>
  </si>
  <si>
    <t>98-0959</t>
  </si>
  <si>
    <t>60-1708</t>
  </si>
  <si>
    <t>SEMANA DEL 15/2 AL 21/2</t>
  </si>
  <si>
    <t>92-5372</t>
  </si>
  <si>
    <t>96-0881</t>
  </si>
  <si>
    <t>96-0885</t>
  </si>
  <si>
    <t>94-0521</t>
  </si>
  <si>
    <t>96-0906</t>
  </si>
  <si>
    <t>96-0912</t>
  </si>
  <si>
    <t>96-0915</t>
  </si>
  <si>
    <t>96-0916</t>
  </si>
  <si>
    <t>96-0927</t>
  </si>
  <si>
    <t>50-0133</t>
  </si>
  <si>
    <t>92-5457</t>
  </si>
  <si>
    <t>96-0984</t>
  </si>
  <si>
    <t>94-0548</t>
  </si>
  <si>
    <t>96-0987</t>
  </si>
  <si>
    <t>96-0997</t>
  </si>
  <si>
    <t>96-0998</t>
  </si>
  <si>
    <t>92-5477</t>
  </si>
  <si>
    <t>98-0984</t>
  </si>
  <si>
    <t>98-0986</t>
  </si>
  <si>
    <t>96-1014</t>
  </si>
  <si>
    <t>96-1016</t>
  </si>
  <si>
    <t>96-1031</t>
  </si>
  <si>
    <t>92-5501</t>
  </si>
  <si>
    <t>96-1032</t>
  </si>
  <si>
    <t>96-1033</t>
  </si>
  <si>
    <t>98-0989</t>
  </si>
  <si>
    <t>92-5537</t>
  </si>
  <si>
    <t>94-0564</t>
  </si>
  <si>
    <t>98-0996</t>
  </si>
  <si>
    <t>SEMANA DEL 21/2 AL 28/2</t>
  </si>
  <si>
    <t>96-1078</t>
  </si>
  <si>
    <t>96-1081</t>
  </si>
  <si>
    <t>50-0134</t>
  </si>
  <si>
    <t>94-0574</t>
  </si>
  <si>
    <t>96-1100</t>
  </si>
  <si>
    <t>96-1120</t>
  </si>
  <si>
    <t>94-0587</t>
  </si>
  <si>
    <t>96-1138</t>
  </si>
  <si>
    <t>96-1149</t>
  </si>
  <si>
    <t>94-0602</t>
  </si>
  <si>
    <t>92-5616</t>
  </si>
  <si>
    <t>96-1191</t>
  </si>
  <si>
    <t>98-1018</t>
  </si>
  <si>
    <t>96-1202</t>
  </si>
  <si>
    <t>OBSERVACION</t>
  </si>
  <si>
    <t>PORCENTAJE</t>
  </si>
  <si>
    <t>LITROS DE COMBUSTIBLE</t>
  </si>
  <si>
    <t>96-1205</t>
  </si>
  <si>
    <t>96-1207</t>
  </si>
  <si>
    <t>50-0137</t>
  </si>
  <si>
    <t>96-1225</t>
  </si>
  <si>
    <t>94-0636</t>
  </si>
  <si>
    <t>98-1025</t>
  </si>
  <si>
    <t>96-1231</t>
  </si>
  <si>
    <t>92-1261</t>
  </si>
  <si>
    <t>92-1262</t>
  </si>
  <si>
    <t>92-1264</t>
  </si>
  <si>
    <t>92-1266</t>
  </si>
  <si>
    <t>94-0662</t>
  </si>
  <si>
    <t>TOTAL ANUAL</t>
  </si>
  <si>
    <t>CONSUMO MENSUAL 2026</t>
  </si>
  <si>
    <t xml:space="preserve">ENERO </t>
  </si>
  <si>
    <t xml:space="preserve">FEBRERO </t>
  </si>
  <si>
    <t xml:space="preserve">MARZO </t>
  </si>
  <si>
    <t>ABRIL</t>
  </si>
  <si>
    <t>MAYO</t>
  </si>
  <si>
    <t>JUNIO</t>
  </si>
  <si>
    <t>JULIO</t>
  </si>
  <si>
    <t xml:space="preserve">AGOSTO </t>
  </si>
  <si>
    <t>SEPTIEMBRE</t>
  </si>
  <si>
    <t xml:space="preserve">OCTUBRE </t>
  </si>
  <si>
    <t xml:space="preserve">NOVIEMBRE </t>
  </si>
  <si>
    <t xml:space="preserve">DICIEMBRE </t>
  </si>
  <si>
    <t>92-5717</t>
  </si>
  <si>
    <t>50-0142</t>
  </si>
  <si>
    <t>94-0678</t>
  </si>
  <si>
    <t>96-1299</t>
  </si>
  <si>
    <t>92-5764</t>
  </si>
  <si>
    <t>96-1303</t>
  </si>
  <si>
    <t>96-1304</t>
  </si>
  <si>
    <t>92-5765</t>
  </si>
  <si>
    <t>94-0686</t>
  </si>
  <si>
    <t>MES</t>
  </si>
  <si>
    <t xml:space="preserve"> CTA.CTE MARZO - 2026 - CARGAS</t>
  </si>
  <si>
    <t xml:space="preserve"> CTA.CTE FEBRERO - 2026 - CARGAS</t>
  </si>
  <si>
    <t xml:space="preserve"> CTA.CTE ABRIL - 2026 - CARGAS</t>
  </si>
  <si>
    <t>92-5858</t>
  </si>
  <si>
    <t>92-5864</t>
  </si>
  <si>
    <t>60-2112</t>
  </si>
  <si>
    <t>96-1392</t>
  </si>
  <si>
    <t>92-5880</t>
  </si>
  <si>
    <t>96-1397</t>
  </si>
  <si>
    <t>92-5884</t>
  </si>
  <si>
    <t>94-0729</t>
  </si>
  <si>
    <t>94-0730</t>
  </si>
  <si>
    <t>94-0736</t>
  </si>
  <si>
    <t>SEMANA DEL 1/3 AL 7/3</t>
  </si>
  <si>
    <t>98-1068</t>
  </si>
  <si>
    <t>50-0143</t>
  </si>
  <si>
    <t>92-5797</t>
  </si>
  <si>
    <t>96-1327</t>
  </si>
  <si>
    <t>96-1342</t>
  </si>
  <si>
    <t>96-1345</t>
  </si>
  <si>
    <t>96-1359</t>
  </si>
  <si>
    <t>96-1383</t>
  </si>
  <si>
    <t>96-1385</t>
  </si>
  <si>
    <t>TOTAL DE LITROS SEMANAL</t>
  </si>
  <si>
    <t>LITROS SEMANAL</t>
  </si>
  <si>
    <t>1 BOLSA</t>
  </si>
  <si>
    <t>47 BOLSAS</t>
  </si>
  <si>
    <t>94-0742</t>
  </si>
  <si>
    <t>50-0145</t>
  </si>
  <si>
    <t>96-1452</t>
  </si>
  <si>
    <t>94-0746</t>
  </si>
  <si>
    <t>96-1489</t>
  </si>
  <si>
    <t>94-0758</t>
  </si>
  <si>
    <t>96-1495</t>
  </si>
  <si>
    <t>60-2230</t>
  </si>
  <si>
    <t>94-0775</t>
  </si>
  <si>
    <t>92-6007</t>
  </si>
  <si>
    <t>92-6020</t>
  </si>
  <si>
    <t>60-2244</t>
  </si>
  <si>
    <t>50-0148</t>
  </si>
  <si>
    <t>94-0783</t>
  </si>
  <si>
    <t>94-0784</t>
  </si>
  <si>
    <t>98-0001</t>
  </si>
  <si>
    <t>50-0149</t>
  </si>
  <si>
    <t>98-1093</t>
  </si>
  <si>
    <t>96-1592</t>
  </si>
  <si>
    <t>4 HIELOS</t>
  </si>
  <si>
    <t>98-1097</t>
  </si>
  <si>
    <t>98-1098</t>
  </si>
  <si>
    <t>92-6088</t>
  </si>
  <si>
    <t>50-0150</t>
  </si>
  <si>
    <t>96-1631</t>
  </si>
  <si>
    <t>60-2321</t>
  </si>
  <si>
    <t>98-1108</t>
  </si>
  <si>
    <t>96-1640</t>
  </si>
  <si>
    <t xml:space="preserve">ENJOY </t>
  </si>
  <si>
    <t>96-1676</t>
  </si>
  <si>
    <t>60-2370</t>
  </si>
  <si>
    <t>92-6196</t>
  </si>
  <si>
    <t>96-1743</t>
  </si>
  <si>
    <t>96-1751</t>
  </si>
  <si>
    <t>96-1759</t>
  </si>
  <si>
    <t>96-1760</t>
  </si>
  <si>
    <t>BIDON NAFTA Y AUXILIO</t>
  </si>
  <si>
    <t>96-1851</t>
  </si>
  <si>
    <t>96-1859</t>
  </si>
  <si>
    <t>96-1873</t>
  </si>
  <si>
    <t>96-1876</t>
  </si>
  <si>
    <t>96-1878</t>
  </si>
  <si>
    <t>98-1148</t>
  </si>
  <si>
    <t>96-1907</t>
  </si>
  <si>
    <t>96-1909</t>
  </si>
  <si>
    <t>50-0152</t>
  </si>
  <si>
    <t>3KG Y 12KG</t>
  </si>
  <si>
    <t>96-1937</t>
  </si>
  <si>
    <t>92-6366</t>
  </si>
  <si>
    <t>92-6371</t>
  </si>
  <si>
    <t>96-1959</t>
  </si>
  <si>
    <t>98-1158</t>
  </si>
  <si>
    <t>94-0935</t>
  </si>
  <si>
    <t>92-6398</t>
  </si>
  <si>
    <t>92-6404</t>
  </si>
  <si>
    <t>92-6406</t>
  </si>
  <si>
    <t>92-6416</t>
  </si>
  <si>
    <t>50-0156</t>
  </si>
  <si>
    <t>94-0957</t>
  </si>
  <si>
    <t>94-0958</t>
  </si>
  <si>
    <t>92-6470</t>
  </si>
  <si>
    <t>SEMANA DEL 8/3 AL 14/3</t>
  </si>
  <si>
    <t>4 BOLSAS</t>
  </si>
  <si>
    <t>92-6498</t>
  </si>
  <si>
    <t>60-2662</t>
  </si>
  <si>
    <t>50-0159</t>
  </si>
  <si>
    <t>50-0160</t>
  </si>
  <si>
    <t>92-6515</t>
  </si>
  <si>
    <t>96-2108</t>
  </si>
  <si>
    <t>96-2126</t>
  </si>
  <si>
    <t>96-2135</t>
  </si>
  <si>
    <t>92-6556</t>
  </si>
  <si>
    <t>96-2150</t>
  </si>
  <si>
    <t>60-2702</t>
  </si>
  <si>
    <t>98-1193</t>
  </si>
  <si>
    <t>98-1194</t>
  </si>
  <si>
    <t>98-1195</t>
  </si>
  <si>
    <t>96-2200</t>
  </si>
  <si>
    <t>SEMANA DEL 15/3 AL 21/3</t>
  </si>
  <si>
    <t>96-2227</t>
  </si>
  <si>
    <t>50-0162</t>
  </si>
  <si>
    <t>94-1016</t>
  </si>
  <si>
    <t>96-2255</t>
  </si>
  <si>
    <t>92-6655</t>
  </si>
  <si>
    <t>60-2801</t>
  </si>
  <si>
    <t>50-0166</t>
  </si>
  <si>
    <t>92-6662</t>
  </si>
  <si>
    <t>92-6692</t>
  </si>
  <si>
    <t>60-2823</t>
  </si>
  <si>
    <t>92-6722</t>
  </si>
  <si>
    <t>94-1060</t>
  </si>
  <si>
    <t>96-2361</t>
  </si>
  <si>
    <t>98-1235</t>
  </si>
  <si>
    <t>98-1236</t>
  </si>
  <si>
    <t>60-2870</t>
  </si>
  <si>
    <t>92-6765</t>
  </si>
  <si>
    <t>94-1085</t>
  </si>
  <si>
    <t>50-0168</t>
  </si>
  <si>
    <t>98-1243</t>
  </si>
  <si>
    <t>92-6811</t>
  </si>
  <si>
    <t>96-2439</t>
  </si>
  <si>
    <t>60-2930</t>
  </si>
  <si>
    <t>60-2915</t>
  </si>
  <si>
    <t>50-0171</t>
  </si>
  <si>
    <t>60-2941</t>
  </si>
  <si>
    <t>92-6862</t>
  </si>
  <si>
    <t>96-2492</t>
  </si>
  <si>
    <t>92-6870</t>
  </si>
  <si>
    <t>92-6871</t>
  </si>
  <si>
    <t>92-6874</t>
  </si>
  <si>
    <t>98-1266</t>
  </si>
  <si>
    <t>96-2501</t>
  </si>
  <si>
    <t>92-6890</t>
  </si>
  <si>
    <t>96-2509</t>
  </si>
  <si>
    <t>92-6897</t>
  </si>
  <si>
    <t>92-6902</t>
  </si>
  <si>
    <t>94-1129</t>
  </si>
  <si>
    <t>96-2535</t>
  </si>
  <si>
    <t>96-2561</t>
  </si>
  <si>
    <t>60-3021</t>
  </si>
  <si>
    <t>92-6940</t>
  </si>
  <si>
    <t>60-3029</t>
  </si>
  <si>
    <t>60-3048</t>
  </si>
  <si>
    <t>60-3051</t>
  </si>
  <si>
    <t>96-2612</t>
  </si>
  <si>
    <t>96-2617</t>
  </si>
  <si>
    <t>92-7000</t>
  </si>
  <si>
    <t>98-1279</t>
  </si>
  <si>
    <t>98-1280</t>
  </si>
  <si>
    <t>50-0173</t>
  </si>
  <si>
    <t>96-0001</t>
  </si>
  <si>
    <t>94-1159</t>
  </si>
  <si>
    <t>96-2651</t>
  </si>
  <si>
    <t>92-7033</t>
  </si>
  <si>
    <t>92-7034</t>
  </si>
  <si>
    <t>96-2683</t>
  </si>
  <si>
    <t>50-0174</t>
  </si>
  <si>
    <t>94-1183</t>
  </si>
  <si>
    <t>94-1187</t>
  </si>
  <si>
    <t>92-7094</t>
  </si>
  <si>
    <t>98-1296</t>
  </si>
  <si>
    <t>92-7098</t>
  </si>
  <si>
    <t>92-7114</t>
  </si>
  <si>
    <t>60-3158</t>
  </si>
  <si>
    <t>94-1200</t>
  </si>
  <si>
    <t>92-7120</t>
  </si>
  <si>
    <t>60-3160</t>
  </si>
  <si>
    <t>60-3164</t>
  </si>
  <si>
    <t>96-2759</t>
  </si>
  <si>
    <t>92-7134</t>
  </si>
  <si>
    <t>60-3171</t>
  </si>
  <si>
    <t>96-2774</t>
  </si>
  <si>
    <t>50-0181</t>
  </si>
  <si>
    <t>96-2785</t>
  </si>
  <si>
    <t>92-7175</t>
  </si>
  <si>
    <t>92-7176</t>
  </si>
  <si>
    <t>92-7178</t>
  </si>
  <si>
    <t>96-2801</t>
  </si>
  <si>
    <t>94-1226</t>
  </si>
  <si>
    <t>50-0183</t>
  </si>
  <si>
    <t>60-3235</t>
  </si>
  <si>
    <t>94-1238</t>
  </si>
  <si>
    <t>92-7224</t>
  </si>
  <si>
    <t>92-7225</t>
  </si>
  <si>
    <t>96-2845</t>
  </si>
  <si>
    <t>96-2846</t>
  </si>
  <si>
    <t>96-2853</t>
  </si>
  <si>
    <t>96-2860</t>
  </si>
  <si>
    <t>60-3268</t>
  </si>
  <si>
    <t>92-7268</t>
  </si>
  <si>
    <t>94-1253</t>
  </si>
  <si>
    <t>92-7314</t>
  </si>
  <si>
    <t>92-7323</t>
  </si>
  <si>
    <t>SEMANA DEL 22/3 AL 31/3</t>
  </si>
  <si>
    <t xml:space="preserve"> CTA.CTE DICIEMBRE - 2025 - CARGAS + HIELO</t>
  </si>
  <si>
    <t xml:space="preserve"> 2 HIELO</t>
  </si>
  <si>
    <t>COMBUSTIBLE + 4 HIELO</t>
  </si>
  <si>
    <t>4 HIELO</t>
  </si>
  <si>
    <t>COMBUSTIBLE + 8 HIELOS</t>
  </si>
  <si>
    <t>COMBUSTIBLE + 4 HIELOS</t>
  </si>
  <si>
    <t>3 HIELO</t>
  </si>
  <si>
    <t xml:space="preserve"> 4 HIELO</t>
  </si>
  <si>
    <t>2 HIELO</t>
  </si>
  <si>
    <t>COMBUSTIBLE + 3 HIELOS</t>
  </si>
  <si>
    <t>COMBUSTIBLE + HIELO</t>
  </si>
  <si>
    <t>COMBUSTIBLE + 2 HIELO</t>
  </si>
  <si>
    <t>COMBUSTIBLE + 3 HIELO</t>
  </si>
  <si>
    <t>COMBUSTIBLE +  8 HIELO</t>
  </si>
  <si>
    <t>1 ELAION MOTORS</t>
  </si>
  <si>
    <t xml:space="preserve"> COMBUSTIBLE + 3 HIELO</t>
  </si>
  <si>
    <t>92-7326</t>
  </si>
  <si>
    <t>96-2894</t>
  </si>
  <si>
    <t>92-7341</t>
  </si>
  <si>
    <t>50-0184</t>
  </si>
  <si>
    <t>94-1290</t>
  </si>
  <si>
    <t>92-7368</t>
  </si>
  <si>
    <t>92-7377</t>
  </si>
  <si>
    <t>96-2940</t>
  </si>
  <si>
    <t>92-7385</t>
  </si>
  <si>
    <t>96-2941</t>
  </si>
  <si>
    <t>92-7399</t>
  </si>
  <si>
    <t>94-1312</t>
  </si>
  <si>
    <t>94-1313</t>
  </si>
  <si>
    <t>50-0190</t>
  </si>
  <si>
    <t>96-2983</t>
  </si>
  <si>
    <t>60-3415</t>
  </si>
  <si>
    <t>98-1347</t>
  </si>
  <si>
    <t>96-2998</t>
  </si>
  <si>
    <t>96-3000</t>
  </si>
  <si>
    <t>92-7438</t>
  </si>
  <si>
    <t>92-7449</t>
  </si>
  <si>
    <t>96-3011</t>
  </si>
  <si>
    <t>50-0194</t>
  </si>
  <si>
    <t>96-3027</t>
  </si>
  <si>
    <t>92-7478</t>
  </si>
  <si>
    <t>92-7491</t>
  </si>
  <si>
    <t>98-1355</t>
  </si>
  <si>
    <t>96-3060</t>
  </si>
  <si>
    <t>60-3472</t>
  </si>
  <si>
    <t xml:space="preserve">AE 919 JA </t>
  </si>
  <si>
    <t>96-3063</t>
  </si>
  <si>
    <t>96-3070</t>
  </si>
  <si>
    <t>92-7516</t>
  </si>
  <si>
    <t>96-3072</t>
  </si>
  <si>
    <t>60-3496</t>
  </si>
  <si>
    <t>60-3503</t>
  </si>
  <si>
    <t>60-3504</t>
  </si>
  <si>
    <t>92-7547</t>
  </si>
  <si>
    <t>60-3511</t>
  </si>
  <si>
    <t>96-3120</t>
  </si>
  <si>
    <t>60-3517</t>
  </si>
  <si>
    <t>92-7593</t>
  </si>
  <si>
    <t>92-7594</t>
  </si>
  <si>
    <t>92-7595</t>
  </si>
  <si>
    <t>92-7600</t>
  </si>
  <si>
    <t>96-3153</t>
  </si>
  <si>
    <t>94-1378</t>
  </si>
  <si>
    <t>96-3158</t>
  </si>
  <si>
    <t>96-3165</t>
  </si>
  <si>
    <t>60-3551</t>
  </si>
  <si>
    <t>92-7621</t>
  </si>
  <si>
    <t>94-1381</t>
  </si>
  <si>
    <t>92-7636</t>
  </si>
  <si>
    <t>92-7661</t>
  </si>
  <si>
    <t>60-3595</t>
  </si>
  <si>
    <t>96-3251</t>
  </si>
  <si>
    <t>92-7675</t>
  </si>
  <si>
    <t>60-3617</t>
  </si>
  <si>
    <t>94-1401</t>
  </si>
  <si>
    <t>50-0196</t>
  </si>
  <si>
    <t>60-3627</t>
  </si>
  <si>
    <t>92-7729</t>
  </si>
  <si>
    <t>92-7734</t>
  </si>
  <si>
    <t>94-1412</t>
  </si>
  <si>
    <t>92-7739</t>
  </si>
  <si>
    <t>98-1372</t>
  </si>
  <si>
    <t>94-1428</t>
  </si>
  <si>
    <t>96-3334</t>
  </si>
  <si>
    <t>96-3346</t>
  </si>
  <si>
    <t>96-3354</t>
  </si>
  <si>
    <t>92-7794</t>
  </si>
  <si>
    <t>96-3361</t>
  </si>
  <si>
    <t>50-0200</t>
  </si>
  <si>
    <t>98-1383</t>
  </si>
  <si>
    <t>60-3723</t>
  </si>
  <si>
    <t>92-7837</t>
  </si>
  <si>
    <t>96-3402</t>
  </si>
  <si>
    <t>92-7858</t>
  </si>
  <si>
    <t>92-7864</t>
  </si>
  <si>
    <t>92-7865</t>
  </si>
  <si>
    <t>94-1493</t>
  </si>
  <si>
    <t>92-7881</t>
  </si>
  <si>
    <t>92-7888</t>
  </si>
  <si>
    <t>92-7890</t>
  </si>
  <si>
    <t>60-3772</t>
  </si>
  <si>
    <t>96-3467</t>
  </si>
  <si>
    <t>60-3787</t>
  </si>
  <si>
    <t>98-1411</t>
  </si>
  <si>
    <t>60-3815</t>
  </si>
  <si>
    <t>50-0209</t>
  </si>
  <si>
    <t>92-7938</t>
  </si>
  <si>
    <t>96-3492</t>
  </si>
  <si>
    <t>92-7957</t>
  </si>
  <si>
    <t>92-7967</t>
  </si>
  <si>
    <t>92-7971</t>
  </si>
  <si>
    <t>92-7972</t>
  </si>
  <si>
    <t>60-3854</t>
  </si>
  <si>
    <t>96-3537</t>
  </si>
  <si>
    <t>60-3865</t>
  </si>
  <si>
    <t>96-3539</t>
  </si>
  <si>
    <t>92-7995</t>
  </si>
  <si>
    <t>94-1532</t>
  </si>
  <si>
    <t>92-8017</t>
  </si>
  <si>
    <t>98-1421</t>
  </si>
  <si>
    <t>94-1544</t>
  </si>
  <si>
    <t>96-3589</t>
  </si>
  <si>
    <t>96-3590</t>
  </si>
  <si>
    <t>94-1546</t>
  </si>
  <si>
    <t>50-0210</t>
  </si>
  <si>
    <t>60-3909</t>
  </si>
  <si>
    <t>60-3910</t>
  </si>
  <si>
    <t>94-1561</t>
  </si>
  <si>
    <t>60-3918</t>
  </si>
  <si>
    <t>60-3928</t>
  </si>
  <si>
    <t>96-3628</t>
  </si>
  <si>
    <t>96-3631</t>
  </si>
  <si>
    <t>98-1440</t>
  </si>
  <si>
    <t>96-3644</t>
  </si>
  <si>
    <t>60-3956</t>
  </si>
  <si>
    <t>92-8098</t>
  </si>
  <si>
    <t>96-3667</t>
  </si>
  <si>
    <t>92-8116</t>
  </si>
  <si>
    <t>92-8125</t>
  </si>
  <si>
    <t>92-8127</t>
  </si>
  <si>
    <t>SEMANA DEL 1/4 AL 4/4</t>
  </si>
  <si>
    <t>SEMANA DEL 5/4 AL 11/4</t>
  </si>
  <si>
    <t>60-3982</t>
  </si>
  <si>
    <t>92-0134</t>
  </si>
  <si>
    <t>94-1601</t>
  </si>
  <si>
    <t>50-0212</t>
  </si>
  <si>
    <t>96-3717</t>
  </si>
  <si>
    <t>92-8178</t>
  </si>
  <si>
    <t>96-3726</t>
  </si>
  <si>
    <t>94-1617</t>
  </si>
  <si>
    <t>94-1618</t>
  </si>
  <si>
    <t>96-3746</t>
  </si>
  <si>
    <t>94-1623</t>
  </si>
  <si>
    <t>92-8198</t>
  </si>
  <si>
    <t>96-3786</t>
  </si>
  <si>
    <t>92-8231</t>
  </si>
  <si>
    <t>94-1645</t>
  </si>
  <si>
    <t>92-8239</t>
  </si>
  <si>
    <t>92-8240</t>
  </si>
  <si>
    <t>60-4099</t>
  </si>
  <si>
    <t>50-0218</t>
  </si>
  <si>
    <t>60-4107</t>
  </si>
  <si>
    <t>96-3816</t>
  </si>
  <si>
    <t>96-3820</t>
  </si>
  <si>
    <t>96-3822</t>
  </si>
  <si>
    <t>92-8288</t>
  </si>
  <si>
    <t>98-1480</t>
  </si>
  <si>
    <t>60-4119</t>
  </si>
  <si>
    <t>98-1483</t>
  </si>
  <si>
    <t>96-3884</t>
  </si>
  <si>
    <t>60-4164</t>
  </si>
  <si>
    <t>SEMANA DEL 18/4 AL 12/4</t>
  </si>
  <si>
    <t>SEMANA DEL 12/4 AL 18/4</t>
  </si>
  <si>
    <t>SEMANA DEL 19/4 AL 25/4</t>
  </si>
  <si>
    <t>92-8406</t>
  </si>
  <si>
    <t>92-8408</t>
  </si>
  <si>
    <t>92-8410</t>
  </si>
  <si>
    <t>60-4182</t>
  </si>
  <si>
    <t>96-3931</t>
  </si>
  <si>
    <t>92-8425</t>
  </si>
  <si>
    <t>92-8429</t>
  </si>
  <si>
    <t>96-3938</t>
  </si>
  <si>
    <t>92-8438</t>
  </si>
  <si>
    <t>98-1499</t>
  </si>
  <si>
    <t>50-0221</t>
  </si>
  <si>
    <t>96-3989</t>
  </si>
  <si>
    <t>96-3990</t>
  </si>
  <si>
    <t xml:space="preserve"> CTA.CTE ENERO - 2026 - CARGAS+HIELO</t>
  </si>
  <si>
    <t>92-8490</t>
  </si>
  <si>
    <t>98-1512</t>
  </si>
  <si>
    <t>96-4020</t>
  </si>
  <si>
    <t>92-8557</t>
  </si>
  <si>
    <t>50-0228</t>
  </si>
  <si>
    <t>94-1785</t>
  </si>
  <si>
    <t>96-4048</t>
  </si>
  <si>
    <t>98-1527</t>
  </si>
  <si>
    <t>94-1795</t>
  </si>
  <si>
    <t>94-1804</t>
  </si>
  <si>
    <t>96-4076</t>
  </si>
  <si>
    <t>50-0230</t>
  </si>
  <si>
    <t>92-8662</t>
  </si>
  <si>
    <t>96-4114</t>
  </si>
  <si>
    <t>60-4381</t>
  </si>
  <si>
    <t>60-4398</t>
  </si>
  <si>
    <t>96-4139</t>
  </si>
  <si>
    <t>96-4140</t>
  </si>
  <si>
    <t>96-4145</t>
  </si>
  <si>
    <t>96-4154</t>
  </si>
  <si>
    <t>92-8699</t>
  </si>
  <si>
    <t>92-8705</t>
  </si>
  <si>
    <t>94-1852</t>
  </si>
  <si>
    <t>98-1550</t>
  </si>
  <si>
    <t>98-1551</t>
  </si>
  <si>
    <t>92-8734</t>
  </si>
  <si>
    <t>50-0235</t>
  </si>
  <si>
    <t>92-8774</t>
  </si>
  <si>
    <t>92-8775</t>
  </si>
  <si>
    <t>96-4242</t>
  </si>
  <si>
    <t>94-1887</t>
  </si>
  <si>
    <t>92-8784</t>
  </si>
  <si>
    <t>94-1888</t>
  </si>
  <si>
    <t>60-4488</t>
  </si>
  <si>
    <t>92-8791</t>
  </si>
  <si>
    <t>94-1894</t>
  </si>
  <si>
    <t>96-4264</t>
  </si>
  <si>
    <t>92-8837</t>
  </si>
  <si>
    <t>96-4273</t>
  </si>
  <si>
    <t>92-8852</t>
  </si>
  <si>
    <t>94-1923</t>
  </si>
  <si>
    <t>SEMANA DEL 26/4 AL 30/4</t>
  </si>
  <si>
    <t>92-8868</t>
  </si>
  <si>
    <t>50-0238</t>
  </si>
  <si>
    <t>96-4329</t>
  </si>
  <si>
    <t>60-4583</t>
  </si>
  <si>
    <t>96-4340</t>
  </si>
  <si>
    <t>92-8920</t>
  </si>
  <si>
    <t>96-4349</t>
  </si>
  <si>
    <t>60-4600</t>
  </si>
  <si>
    <t>98-1587</t>
  </si>
  <si>
    <t>60-4608</t>
  </si>
  <si>
    <t>60-4633</t>
  </si>
  <si>
    <t>94-1972</t>
  </si>
  <si>
    <t>94-1974</t>
  </si>
  <si>
    <t>96-4382</t>
  </si>
  <si>
    <t>60-4644</t>
  </si>
  <si>
    <t>60-4645</t>
  </si>
  <si>
    <t>60-4647</t>
  </si>
  <si>
    <t>60-4648</t>
  </si>
  <si>
    <t xml:space="preserve">92-8996 </t>
  </si>
  <si>
    <t>96-4389</t>
  </si>
  <si>
    <t>94-1988</t>
  </si>
  <si>
    <t>92-9037</t>
  </si>
  <si>
    <t>96-4414</t>
  </si>
  <si>
    <t>50-0241</t>
  </si>
  <si>
    <t>96-4475</t>
  </si>
  <si>
    <t>96-4479</t>
  </si>
  <si>
    <t>50-0242</t>
  </si>
  <si>
    <t>60-4808</t>
  </si>
  <si>
    <t>92-9096</t>
  </si>
  <si>
    <t>92-9109</t>
  </si>
  <si>
    <t>92-9110</t>
  </si>
  <si>
    <t>94-2048</t>
  </si>
  <si>
    <t>92-9120</t>
  </si>
  <si>
    <t>96-4518</t>
  </si>
  <si>
    <t>96-4519</t>
  </si>
  <si>
    <t>96-4533</t>
  </si>
  <si>
    <t>96-4535</t>
  </si>
  <si>
    <t>94-2068</t>
  </si>
  <si>
    <t>96-4569</t>
  </si>
  <si>
    <t>60-4860</t>
  </si>
  <si>
    <t>96-4573</t>
  </si>
  <si>
    <t>96-4574</t>
  </si>
  <si>
    <t>50-0248</t>
  </si>
  <si>
    <t>98-1634</t>
  </si>
  <si>
    <t>HKQ  258</t>
  </si>
  <si>
    <t>98-1635</t>
  </si>
  <si>
    <t>98-1638</t>
  </si>
  <si>
    <t>60-4881</t>
  </si>
  <si>
    <t>60-4894</t>
  </si>
  <si>
    <t>92-9215</t>
  </si>
  <si>
    <t>94-2105</t>
  </si>
  <si>
    <t>92-9220</t>
  </si>
  <si>
    <t>96-4627</t>
  </si>
  <si>
    <t>96-4631</t>
  </si>
  <si>
    <t>60-4933</t>
  </si>
  <si>
    <t>96-0002</t>
  </si>
  <si>
    <t>96-4653</t>
  </si>
  <si>
    <t>50-0253</t>
  </si>
  <si>
    <t>96-4676</t>
  </si>
  <si>
    <t>92-9245</t>
  </si>
  <si>
    <t>96-4682</t>
  </si>
  <si>
    <t>92-9265</t>
  </si>
  <si>
    <t>92-9266</t>
  </si>
  <si>
    <t>98-1658</t>
  </si>
  <si>
    <t>92-9287</t>
  </si>
  <si>
    <t>94-2157</t>
  </si>
  <si>
    <t>94-2162</t>
  </si>
  <si>
    <t>50-0257</t>
  </si>
  <si>
    <t>92-9329</t>
  </si>
  <si>
    <t>98-1677</t>
  </si>
  <si>
    <t>96-4756</t>
  </si>
  <si>
    <t>92-9349</t>
  </si>
  <si>
    <t>92-9364</t>
  </si>
  <si>
    <t>96-4794</t>
  </si>
  <si>
    <t>SEMANA DEL 1/5 AL 9/5</t>
  </si>
  <si>
    <t>92-9429</t>
  </si>
  <si>
    <t>92-9430</t>
  </si>
  <si>
    <t>96-4822</t>
  </si>
  <si>
    <t>94-2212</t>
  </si>
  <si>
    <t>92-9452</t>
  </si>
  <si>
    <t>50-0260</t>
  </si>
  <si>
    <t>60-5088</t>
  </si>
  <si>
    <t>94-2218</t>
  </si>
  <si>
    <t>92-9473</t>
  </si>
  <si>
    <t>96-4871</t>
  </si>
  <si>
    <t>94-2231</t>
  </si>
  <si>
    <t>92-9482</t>
  </si>
  <si>
    <t>96-4880</t>
  </si>
  <si>
    <t>MONTO EN PESOS</t>
  </si>
  <si>
    <t>COMBUSTIBLE CONSUMIDO EN PESOS</t>
  </si>
  <si>
    <t>PAGOS MENSUAL 2026</t>
  </si>
  <si>
    <t>LITROS MENSUAL 2026</t>
  </si>
  <si>
    <t>94-2244</t>
  </si>
  <si>
    <t>50-0263</t>
  </si>
  <si>
    <t>92-9519</t>
  </si>
  <si>
    <t>60-5131</t>
  </si>
  <si>
    <t>94-2268</t>
  </si>
  <si>
    <t>92-9541</t>
  </si>
  <si>
    <t>92-4543</t>
  </si>
  <si>
    <t>98-1700</t>
  </si>
  <si>
    <t>50-0265</t>
  </si>
  <si>
    <t>94-2288</t>
  </si>
  <si>
    <t>96-4955</t>
  </si>
  <si>
    <t>50-0266</t>
  </si>
  <si>
    <t>96-4985</t>
  </si>
  <si>
    <t xml:space="preserve">94-2320 </t>
  </si>
  <si>
    <t>96-4998</t>
  </si>
  <si>
    <t>96-5000</t>
  </si>
  <si>
    <t>92-9644</t>
  </si>
  <si>
    <t>92-9652</t>
  </si>
  <si>
    <t>60-5246</t>
  </si>
  <si>
    <t>50-0272</t>
  </si>
  <si>
    <t>ENJOY</t>
  </si>
  <si>
    <t>PAGO- SALDO FAVOR</t>
  </si>
  <si>
    <t>*</t>
  </si>
  <si>
    <t>LINK MP</t>
  </si>
  <si>
    <t>TRANSF</t>
  </si>
  <si>
    <t xml:space="preserve"> CTA.CTE MAYO - 2026 - CARGAS</t>
  </si>
  <si>
    <t>PAGO - SALDO PENDIENTE</t>
  </si>
  <si>
    <t>PAGO - SALDO  A FAVOR</t>
  </si>
  <si>
    <t>PAGO - SALDO A FAVOR</t>
  </si>
  <si>
    <t>PAGO- SALDO A FAVOR</t>
  </si>
  <si>
    <t>RESUMEN DE DICIEMBRE.2025</t>
  </si>
  <si>
    <t>TOTAL LTS</t>
  </si>
  <si>
    <t>RESUMEN DE ENERO.2026</t>
  </si>
  <si>
    <t>RESUMEN DE FEBRERO.2026</t>
  </si>
  <si>
    <t>RESUMEN DE MARZO.2026</t>
  </si>
  <si>
    <t>AUTOELEVADOR-</t>
  </si>
  <si>
    <t>5 HIELOS</t>
  </si>
  <si>
    <t>GENERADOR</t>
  </si>
  <si>
    <t>RESUMEN DE ABRIL.2026</t>
  </si>
  <si>
    <t>EFECT</t>
  </si>
  <si>
    <t>60-5275</t>
  </si>
  <si>
    <t>98-1730</t>
  </si>
  <si>
    <t>96-5067</t>
  </si>
  <si>
    <t>96-5073</t>
  </si>
  <si>
    <t>96-5075</t>
  </si>
  <si>
    <t>60-5306</t>
  </si>
  <si>
    <t>96-5103</t>
  </si>
  <si>
    <t>92-9718</t>
  </si>
  <si>
    <t>SEMANA DEL 10/5 AL 16/5</t>
  </si>
  <si>
    <t>96-5141</t>
  </si>
  <si>
    <t>92-9764</t>
  </si>
  <si>
    <t>96-5143</t>
  </si>
  <si>
    <t>96-5146</t>
  </si>
  <si>
    <t>60-5364</t>
  </si>
  <si>
    <t>94-2387</t>
  </si>
  <si>
    <t>96-5177</t>
  </si>
  <si>
    <t>96-5182</t>
  </si>
  <si>
    <t>92-9832</t>
  </si>
  <si>
    <t>96-5208</t>
  </si>
  <si>
    <t>96-5211</t>
  </si>
  <si>
    <t xml:space="preserve">MOTO GRIS </t>
  </si>
  <si>
    <t>96-2534</t>
  </si>
  <si>
    <t>94-2426</t>
  </si>
  <si>
    <t>96-5235</t>
  </si>
  <si>
    <t>50-0275</t>
  </si>
  <si>
    <t>92-9921</t>
  </si>
  <si>
    <t>96-5268</t>
  </si>
  <si>
    <t>60-5497</t>
  </si>
  <si>
    <t>92-9935</t>
  </si>
  <si>
    <t>96-5282</t>
  </si>
  <si>
    <t>60-5504</t>
  </si>
  <si>
    <t>60-5505</t>
  </si>
  <si>
    <t>96-5310</t>
  </si>
  <si>
    <t>98-1793</t>
  </si>
  <si>
    <t>96-5327</t>
  </si>
  <si>
    <t>96-5328</t>
  </si>
  <si>
    <t>92-9974</t>
  </si>
  <si>
    <t>96-5331</t>
  </si>
  <si>
    <t>96-5340</t>
  </si>
  <si>
    <t>96-5347</t>
  </si>
  <si>
    <t xml:space="preserve"> CTA.CTE JUNIO - 2026 - CARGAS</t>
  </si>
  <si>
    <t>SEMANA DEL 17/5 AL 23/5</t>
  </si>
  <si>
    <t>PAGOS MENSUALES TRANS/EFECT</t>
  </si>
  <si>
    <t xml:space="preserve"> CTA.CTE JULIO - 2026 - CARGAS</t>
  </si>
  <si>
    <t>96-5369</t>
  </si>
  <si>
    <t>50-0283</t>
  </si>
  <si>
    <t>94-2494</t>
  </si>
  <si>
    <t>96-5394</t>
  </si>
  <si>
    <t>92-0054</t>
  </si>
  <si>
    <t>92-0057</t>
  </si>
  <si>
    <t>94-2522</t>
  </si>
  <si>
    <t>92-0071</t>
  </si>
  <si>
    <t>94-2524</t>
  </si>
  <si>
    <t>60-5648</t>
  </si>
  <si>
    <t>96-5442</t>
  </si>
  <si>
    <t>96-5443</t>
  </si>
  <si>
    <t>96-5444</t>
  </si>
  <si>
    <t>96-5489</t>
  </si>
  <si>
    <t>98-1818</t>
  </si>
  <si>
    <t>98-1819</t>
  </si>
  <si>
    <t>96-5501</t>
  </si>
  <si>
    <t>96-5503</t>
  </si>
  <si>
    <t>SEMANA DEL 24/5 AL 31/5</t>
  </si>
  <si>
    <t>96-5512</t>
  </si>
  <si>
    <t>94-2555</t>
  </si>
  <si>
    <t>94-2556</t>
  </si>
  <si>
    <t>50-0287</t>
  </si>
  <si>
    <t>50-0288</t>
  </si>
  <si>
    <t>96-5555</t>
  </si>
  <si>
    <t>96-5559</t>
  </si>
  <si>
    <t>60-5761</t>
  </si>
  <si>
    <t>92-0224</t>
  </si>
  <si>
    <t>94-2578</t>
  </si>
  <si>
    <t>94-2579</t>
  </si>
  <si>
    <t>94-2584</t>
  </si>
  <si>
    <t>50-0289</t>
  </si>
  <si>
    <t>92-0263</t>
  </si>
  <si>
    <t>92-0264</t>
  </si>
  <si>
    <t>92-0267</t>
  </si>
  <si>
    <t>60-5807</t>
  </si>
  <si>
    <t>60-5808</t>
  </si>
  <si>
    <t>92-0280</t>
  </si>
  <si>
    <t>92-0295</t>
  </si>
  <si>
    <t>96-5650</t>
  </si>
  <si>
    <t>60-5830</t>
  </si>
  <si>
    <t>96-5656</t>
  </si>
  <si>
    <t>60-5836</t>
  </si>
  <si>
    <t>98-1850</t>
  </si>
  <si>
    <t>96-5662</t>
  </si>
  <si>
    <t>98-1851</t>
  </si>
  <si>
    <t>RESUMEN DE MAYO.2026</t>
  </si>
  <si>
    <t>92-0325</t>
  </si>
  <si>
    <t>96-5673</t>
  </si>
  <si>
    <t>50-0291</t>
  </si>
  <si>
    <t>92-0355</t>
  </si>
  <si>
    <t>92-0356</t>
  </si>
  <si>
    <t>96-5705</t>
  </si>
  <si>
    <t>96-5721</t>
  </si>
  <si>
    <t>92-0371</t>
  </si>
  <si>
    <t>96-5722</t>
  </si>
  <si>
    <t>92-0372</t>
  </si>
  <si>
    <t>92-0406</t>
  </si>
  <si>
    <t>92-0414</t>
  </si>
  <si>
    <t>TRANSF MP</t>
  </si>
  <si>
    <t>TRANSF BCO</t>
  </si>
  <si>
    <t>TOTAL ANUAL DE LTS</t>
  </si>
  <si>
    <t>TIPO</t>
  </si>
  <si>
    <t>98-1867</t>
  </si>
  <si>
    <t>96-5801</t>
  </si>
  <si>
    <t>92-0451</t>
  </si>
  <si>
    <t>96-5804</t>
  </si>
  <si>
    <t>96-5805</t>
  </si>
  <si>
    <t>96-5806</t>
  </si>
  <si>
    <t>96-5807</t>
  </si>
  <si>
    <t>SEMANA DEL 1/6 AL 6/6</t>
  </si>
  <si>
    <t>96-5819</t>
  </si>
  <si>
    <t>92-0475</t>
  </si>
  <si>
    <t>50-0293</t>
  </si>
  <si>
    <t>60-6002</t>
  </si>
  <si>
    <t>96-5868</t>
  </si>
  <si>
    <t>94-2729</t>
  </si>
  <si>
    <t>92-0565</t>
  </si>
  <si>
    <t>96-5917</t>
  </si>
  <si>
    <t>96-5918</t>
  </si>
  <si>
    <t>98-1892</t>
  </si>
  <si>
    <t>94-2772</t>
  </si>
  <si>
    <t>92-0623</t>
  </si>
  <si>
    <t>92-0624</t>
  </si>
  <si>
    <t>98-1898</t>
  </si>
  <si>
    <t>98-1899</t>
  </si>
  <si>
    <t>96-5965</t>
  </si>
  <si>
    <t>94-2777</t>
  </si>
  <si>
    <t>96-6035</t>
  </si>
  <si>
    <t>96-6036</t>
  </si>
  <si>
    <t>96-6037</t>
  </si>
  <si>
    <t>50-0299</t>
  </si>
  <si>
    <t>60-6173</t>
  </si>
  <si>
    <t>96-6097</t>
  </si>
  <si>
    <t>92-0745</t>
  </si>
  <si>
    <t>92-0763</t>
  </si>
  <si>
    <t>96-6157</t>
  </si>
  <si>
    <t>92-0811</t>
  </si>
  <si>
    <t>96-6176</t>
  </si>
  <si>
    <t>96-6218</t>
  </si>
  <si>
    <t>96-6220</t>
  </si>
  <si>
    <t>96-6221</t>
  </si>
  <si>
    <t>92-0861</t>
  </si>
  <si>
    <t>92-0875</t>
  </si>
  <si>
    <t>60-6304</t>
  </si>
  <si>
    <t>96-6267</t>
  </si>
  <si>
    <t>96-6270</t>
  </si>
  <si>
    <t>92-0916</t>
  </si>
  <si>
    <t>60-6361</t>
  </si>
  <si>
    <t>50-0307</t>
  </si>
  <si>
    <t>92-0967</t>
  </si>
  <si>
    <t>96-6346</t>
  </si>
  <si>
    <t>98-1966</t>
  </si>
  <si>
    <t>92-1005</t>
  </si>
  <si>
    <t>50-0312</t>
  </si>
  <si>
    <t>94-2745</t>
  </si>
  <si>
    <t>50-0297</t>
  </si>
  <si>
    <t>92-0593</t>
  </si>
  <si>
    <t>60-6083</t>
  </si>
  <si>
    <t>92-0608</t>
  </si>
  <si>
    <t>92-1034</t>
  </si>
  <si>
    <t>92-1041</t>
  </si>
  <si>
    <t>92-1056</t>
  </si>
  <si>
    <t>60-6433</t>
  </si>
  <si>
    <t>92-1062</t>
  </si>
  <si>
    <t>98-1979</t>
  </si>
  <si>
    <t>92-1070</t>
  </si>
  <si>
    <t>92-1107</t>
  </si>
  <si>
    <t>94-3011</t>
  </si>
  <si>
    <t>SEMANA DEL 7/6 AL 13/6</t>
  </si>
  <si>
    <t>MONTO EN LITROS (LTS)</t>
  </si>
  <si>
    <t>92-1126</t>
  </si>
  <si>
    <t>96-6597</t>
  </si>
  <si>
    <t>92-1128</t>
  </si>
  <si>
    <t>60-6554</t>
  </si>
  <si>
    <t>96-6641</t>
  </si>
  <si>
    <t>96-6660</t>
  </si>
  <si>
    <t>96-6696</t>
  </si>
  <si>
    <t>60-6626</t>
  </si>
  <si>
    <t>96-6755</t>
  </si>
  <si>
    <t>96-6779</t>
  </si>
  <si>
    <t>96-6780</t>
  </si>
  <si>
    <t>50-0322</t>
  </si>
  <si>
    <t>92-1343</t>
  </si>
  <si>
    <t>SEMANA DEL 16/5 AL 23/5</t>
  </si>
  <si>
    <t>SEMANA DEL 14/6 AL 20/6</t>
  </si>
  <si>
    <t>60-6757</t>
  </si>
  <si>
    <t>96-6905</t>
  </si>
  <si>
    <t>60-6809</t>
  </si>
  <si>
    <t>98-2041</t>
  </si>
  <si>
    <t>96-6950</t>
  </si>
  <si>
    <t>94-3190</t>
  </si>
  <si>
    <t>96-6972</t>
  </si>
  <si>
    <t>94-3197</t>
  </si>
  <si>
    <t>96-6981</t>
  </si>
  <si>
    <t>92-1494</t>
  </si>
  <si>
    <t>96-6988</t>
  </si>
  <si>
    <t>92-1539</t>
  </si>
  <si>
    <t>SEMANA DEL 21/6 AL 30/6</t>
  </si>
  <si>
    <t>SEMANA DEL 1/7 AL 4/7</t>
  </si>
  <si>
    <t>60-6931</t>
  </si>
  <si>
    <t>50-0329</t>
  </si>
  <si>
    <t>98-2071</t>
  </si>
  <si>
    <t>96-7200</t>
  </si>
  <si>
    <t>92-1721</t>
  </si>
  <si>
    <t>96-7236</t>
  </si>
  <si>
    <t>96-7237</t>
  </si>
  <si>
    <t>60-7066</t>
  </si>
  <si>
    <t>60-7080</t>
  </si>
  <si>
    <t>RESUMEN DE JUNIO.2026</t>
  </si>
  <si>
    <t>94-3349</t>
  </si>
  <si>
    <t>92-1787</t>
  </si>
  <si>
    <t>92-1790</t>
  </si>
  <si>
    <t>50-0336</t>
  </si>
  <si>
    <t>96-7314</t>
  </si>
  <si>
    <t>92-1830</t>
  </si>
  <si>
    <t>96-7369</t>
  </si>
  <si>
    <t>96-7370</t>
  </si>
  <si>
    <t>94-3419</t>
  </si>
  <si>
    <t>92-1933</t>
  </si>
  <si>
    <t>92-2021</t>
  </si>
  <si>
    <t>96-7493</t>
  </si>
  <si>
    <t>96-7494</t>
  </si>
  <si>
    <t>50-0343</t>
  </si>
  <si>
    <t>92-2083</t>
  </si>
  <si>
    <t>92-2087</t>
  </si>
  <si>
    <t>96-7585</t>
  </si>
  <si>
    <t>82-2150</t>
  </si>
  <si>
    <t>92-2172</t>
  </si>
  <si>
    <t>82-2187</t>
  </si>
  <si>
    <t>96-7640</t>
  </si>
  <si>
    <t>60-7349</t>
  </si>
  <si>
    <t>96-7676</t>
  </si>
  <si>
    <t>92-2255</t>
  </si>
  <si>
    <t>92-2278</t>
  </si>
  <si>
    <t>92-2282</t>
  </si>
  <si>
    <t>SEMANA DEL 5/7 AL 11/7</t>
  </si>
  <si>
    <t>96-7846</t>
  </si>
  <si>
    <t>98-2171</t>
  </si>
  <si>
    <t>50-0352</t>
  </si>
  <si>
    <t>96-7888</t>
  </si>
  <si>
    <t>96-7889</t>
  </si>
  <si>
    <t>92-2437</t>
  </si>
  <si>
    <t>96-7963</t>
  </si>
  <si>
    <t>50-0357</t>
  </si>
  <si>
    <t>60-7576</t>
  </si>
  <si>
    <t>96-7974</t>
  </si>
  <si>
    <t>96-7977</t>
  </si>
  <si>
    <t>60-7592</t>
  </si>
  <si>
    <t>50-0358</t>
  </si>
  <si>
    <t>96-8018</t>
  </si>
  <si>
    <t>60-7628</t>
  </si>
  <si>
    <t>96-8037</t>
  </si>
  <si>
    <t>94-3767</t>
  </si>
  <si>
    <t>94-3770</t>
  </si>
  <si>
    <t>50-0360</t>
  </si>
  <si>
    <t>60-7652</t>
  </si>
  <si>
    <t>94-3773</t>
  </si>
  <si>
    <t>96-8064</t>
  </si>
  <si>
    <t>92-2608</t>
  </si>
  <si>
    <t>NC</t>
  </si>
  <si>
    <t>100-0007</t>
  </si>
  <si>
    <t>96-8070</t>
  </si>
  <si>
    <t>94-3791</t>
  </si>
  <si>
    <t>96-8112</t>
  </si>
  <si>
    <t>96-8118</t>
  </si>
  <si>
    <t>96-8134</t>
  </si>
  <si>
    <t>50-0364</t>
  </si>
  <si>
    <t>94-3823</t>
  </si>
  <si>
    <t>96-8171</t>
  </si>
  <si>
    <t>60-7766</t>
  </si>
  <si>
    <t>96-8195</t>
  </si>
  <si>
    <t xml:space="preserve">AG 378 AW </t>
  </si>
  <si>
    <t>98-2230</t>
  </si>
  <si>
    <t>94-3844</t>
  </si>
  <si>
    <t>96-8218</t>
  </si>
  <si>
    <t>100-0008</t>
  </si>
  <si>
    <t>50-0367</t>
  </si>
  <si>
    <t>94-3870</t>
  </si>
  <si>
    <t>96-8244</t>
  </si>
  <si>
    <t>96-8256</t>
  </si>
  <si>
    <t>92-2857</t>
  </si>
  <si>
    <t>92-2858</t>
  </si>
  <si>
    <t>92-2881</t>
  </si>
  <si>
    <t>96-8327</t>
  </si>
  <si>
    <t>96-8335</t>
  </si>
  <si>
    <t>60-7924</t>
  </si>
  <si>
    <t>96-8354</t>
  </si>
  <si>
    <t>92-2926</t>
  </si>
  <si>
    <t>96-8377</t>
  </si>
  <si>
    <t>50-0375</t>
  </si>
  <si>
    <t>94-3951</t>
  </si>
  <si>
    <t>94-3952</t>
  </si>
  <si>
    <t>94-3953</t>
  </si>
  <si>
    <t>94-3954</t>
  </si>
  <si>
    <t>92-2965</t>
  </si>
  <si>
    <t>96-8400</t>
  </si>
  <si>
    <t>96-8401</t>
  </si>
  <si>
    <t>92-3005</t>
  </si>
  <si>
    <t>94-3976</t>
  </si>
  <si>
    <t>SEMANA DEL 12/7 AL 18/7</t>
  </si>
  <si>
    <t>SEMANA DEL 19/7 AL 25/7</t>
  </si>
  <si>
    <t>NOTA DE CREDITO</t>
  </si>
  <si>
    <t>SEMANA DEL 26/7 AL 31/7</t>
  </si>
  <si>
    <t>94-3980</t>
  </si>
  <si>
    <t>50-0377</t>
  </si>
  <si>
    <t>92-3037</t>
  </si>
  <si>
    <t>96-8477</t>
  </si>
  <si>
    <t>94-4005</t>
  </si>
  <si>
    <t>94-4010</t>
  </si>
  <si>
    <t>92-3062</t>
  </si>
  <si>
    <t>96-8495</t>
  </si>
  <si>
    <t>DEVOLUCIÓN DE PAGO DE COMBUSTIBLE AG 958 JV (94-3844)</t>
  </si>
  <si>
    <t xml:space="preserve"> DEVOLUCIÓN DE PAGO DE COMBUSTIBLE AG 962 EW (96-8064)</t>
  </si>
  <si>
    <t>RESUMEN DE JULIO.2026</t>
  </si>
  <si>
    <t>SEMANA DEL / AL /</t>
  </si>
  <si>
    <t xml:space="preserve"> CTA.CTE  - 2026 - CARGAS</t>
  </si>
  <si>
    <t>50-0381</t>
  </si>
  <si>
    <t>96-8528</t>
  </si>
  <si>
    <t>92-3098</t>
  </si>
  <si>
    <t>96-8549</t>
  </si>
  <si>
    <t>96-8550</t>
  </si>
  <si>
    <t>92-3117</t>
  </si>
  <si>
    <t>96-8555</t>
  </si>
  <si>
    <t>92-3134</t>
  </si>
  <si>
    <t>98-2299</t>
  </si>
  <si>
    <t>94-4063</t>
  </si>
  <si>
    <t>60-8167</t>
  </si>
  <si>
    <t>50-0386</t>
  </si>
  <si>
    <t>96-8635</t>
  </si>
  <si>
    <t>96-8648</t>
  </si>
  <si>
    <t>96-8666</t>
  </si>
  <si>
    <t>92-3255</t>
  </si>
  <si>
    <t>92-3257</t>
  </si>
  <si>
    <t xml:space="preserve"> JULIO - 2026 - CARGAS</t>
  </si>
  <si>
    <t>RESPONSABLE</t>
  </si>
  <si>
    <t>CONSUMO JULIO.2026</t>
  </si>
  <si>
    <t>CARGAS COMBUSTIBLE EXTRAS</t>
  </si>
  <si>
    <t>OBSEVACIONES (LUGAR + EVENTO)</t>
  </si>
  <si>
    <t>07-0242</t>
  </si>
  <si>
    <t>LUIS LEDESMA</t>
  </si>
  <si>
    <t>EFECTIVO</t>
  </si>
  <si>
    <t>07-0241</t>
  </si>
  <si>
    <t>LORETO COMBUSTIBLE/ANIVERSARIO SANTIAGO DEL ESTERO</t>
  </si>
  <si>
    <t>17-0597</t>
  </si>
  <si>
    <t>DAVID AGUIRRE</t>
  </si>
  <si>
    <t>MY BEIYET SRL/ANIVERSARIO SANTIAGO DEL ESTERO</t>
  </si>
  <si>
    <t>63-6192</t>
  </si>
  <si>
    <t>MARIO LOPEZ</t>
  </si>
  <si>
    <t>TRANSFERENCIA</t>
  </si>
  <si>
    <t xml:space="preserve">FABIAN ENRICO YPF/ANIVERSARIO SANTIAGO DEL ESTERO </t>
  </si>
  <si>
    <t>63-6250</t>
  </si>
  <si>
    <t>64-6707</t>
  </si>
  <si>
    <t>FOFI</t>
  </si>
  <si>
    <t>AUTOELEVADOR KEMPES</t>
  </si>
  <si>
    <t>SERVI SUR/ANIVERSARIO SANTIAGO DEL ESTERO</t>
  </si>
  <si>
    <t>28-8509</t>
  </si>
  <si>
    <t>SEMANA DEL 1/8 AL 8/8</t>
  </si>
  <si>
    <t>60-8302</t>
  </si>
  <si>
    <t>92-3356</t>
  </si>
  <si>
    <t>92-3357</t>
  </si>
  <si>
    <t>96-8798</t>
  </si>
  <si>
    <t>60-8364</t>
  </si>
  <si>
    <t>92-3417</t>
  </si>
  <si>
    <t>100-0010</t>
  </si>
  <si>
    <t>DEVOLUCIÓN DE PAGO DE COMBUSTIBLE AG 378 AV (92-3417)</t>
  </si>
  <si>
    <t>92-3439</t>
  </si>
  <si>
    <t>60-8441</t>
  </si>
  <si>
    <t>60-8451</t>
  </si>
  <si>
    <t>96-8926</t>
  </si>
  <si>
    <t>60-8483</t>
  </si>
  <si>
    <t>50-0398</t>
  </si>
  <si>
    <t>92-3515</t>
  </si>
  <si>
    <t>94-4286</t>
  </si>
  <si>
    <t>94-4290</t>
  </si>
  <si>
    <t>92-3539</t>
  </si>
  <si>
    <t>60-8512</t>
  </si>
  <si>
    <t>94-4301</t>
  </si>
  <si>
    <t>96-9014</t>
  </si>
  <si>
    <t>98-2362</t>
  </si>
  <si>
    <t>96-9071</t>
  </si>
  <si>
    <t>96-9043</t>
  </si>
  <si>
    <t>50-0401</t>
  </si>
  <si>
    <t>60-8595</t>
  </si>
  <si>
    <t>60-8596</t>
  </si>
  <si>
    <t>94-4356</t>
  </si>
  <si>
    <t>94-4357</t>
  </si>
  <si>
    <t>96-9108</t>
  </si>
  <si>
    <t>SEMANA DEL 9/8 AL 15/8</t>
  </si>
  <si>
    <t xml:space="preserve"> CTA.CTE AGOSTO - 2026 - CARGAS</t>
  </si>
  <si>
    <t>92-3684</t>
  </si>
  <si>
    <t>94-4367</t>
  </si>
  <si>
    <t>92-3691</t>
  </si>
  <si>
    <t>96-9143</t>
  </si>
  <si>
    <t>98-2369</t>
  </si>
  <si>
    <t>98-2370</t>
  </si>
  <si>
    <t>96-9144</t>
  </si>
  <si>
    <t>96-9146</t>
  </si>
  <si>
    <t>100-0011</t>
  </si>
  <si>
    <t>100-0012</t>
  </si>
  <si>
    <t>DEVOLUCIÓN DE PAGO DE COMBUSTIBLE MULITA (96-9146)</t>
  </si>
  <si>
    <t>DEVOLUCIÓN DE PAGO DE COMBUSTIBLE HLW 156 (96-9144)</t>
  </si>
  <si>
    <t>60-8706</t>
  </si>
  <si>
    <t>96-9170</t>
  </si>
  <si>
    <t>94-4415</t>
  </si>
  <si>
    <t>96-9205</t>
  </si>
  <si>
    <t>96-9206</t>
  </si>
  <si>
    <t>96-9224</t>
  </si>
  <si>
    <t>92-3813</t>
  </si>
  <si>
    <t>92-3817</t>
  </si>
  <si>
    <t>92-3829</t>
  </si>
  <si>
    <t>92-3831</t>
  </si>
  <si>
    <t>92-3833</t>
  </si>
  <si>
    <t>50-0409</t>
  </si>
  <si>
    <t>94-4471</t>
  </si>
  <si>
    <t>96-9310</t>
  </si>
  <si>
    <t>96-9324</t>
  </si>
  <si>
    <t>96-9337</t>
  </si>
  <si>
    <t>92-3911</t>
  </si>
  <si>
    <t>92-3912</t>
  </si>
  <si>
    <t>92-3913</t>
  </si>
  <si>
    <t>60-8874</t>
  </si>
  <si>
    <t>92-3951</t>
  </si>
  <si>
    <t>96-9388</t>
  </si>
  <si>
    <t>94-4513</t>
  </si>
  <si>
    <t>92-3990</t>
  </si>
  <si>
    <t>92-3991</t>
  </si>
  <si>
    <t>96-9408</t>
  </si>
  <si>
    <t>94-4533</t>
  </si>
  <si>
    <t>SEMANA DEL 16/8 AL 22/8</t>
  </si>
  <si>
    <t>92-4034</t>
  </si>
  <si>
    <t>60-8973</t>
  </si>
  <si>
    <t>50-0411</t>
  </si>
  <si>
    <t>92-4068</t>
  </si>
  <si>
    <t>94-4577</t>
  </si>
  <si>
    <t>60-9019</t>
  </si>
  <si>
    <t>50-0412</t>
  </si>
  <si>
    <t>94-4594</t>
  </si>
  <si>
    <t>96-9566</t>
  </si>
  <si>
    <t>94-4610</t>
  </si>
  <si>
    <t>96-9569</t>
  </si>
  <si>
    <t>96-9575</t>
  </si>
  <si>
    <t>96-9576</t>
  </si>
  <si>
    <t>60-9085</t>
  </si>
  <si>
    <t>60-9087</t>
  </si>
  <si>
    <t>96-9641</t>
  </si>
  <si>
    <t>94-4664</t>
  </si>
  <si>
    <t>50-0425</t>
  </si>
  <si>
    <t>96-9693</t>
  </si>
  <si>
    <t>94-4690</t>
  </si>
  <si>
    <t>94-4691</t>
  </si>
  <si>
    <t>92-4217</t>
  </si>
  <si>
    <t>96-9745</t>
  </si>
  <si>
    <t>96-9746</t>
  </si>
  <si>
    <t>60-9209</t>
  </si>
  <si>
    <t>94-4699</t>
  </si>
  <si>
    <t>92-4238</t>
  </si>
  <si>
    <t>94-4742</t>
  </si>
  <si>
    <t>92-4272</t>
  </si>
  <si>
    <t>92-4273</t>
  </si>
  <si>
    <t>96-9858</t>
  </si>
  <si>
    <t>96-9859</t>
  </si>
  <si>
    <t>SEMANA DEL 23/8 AL 31/8</t>
  </si>
  <si>
    <t>96-9860</t>
  </si>
  <si>
    <t>92-4282</t>
  </si>
  <si>
    <t>50-0429</t>
  </si>
  <si>
    <t>96-9893</t>
  </si>
  <si>
    <t>60-9338</t>
  </si>
  <si>
    <t>96-9899</t>
  </si>
  <si>
    <t>92-4315</t>
  </si>
  <si>
    <t>92-4316</t>
  </si>
  <si>
    <t>98-2450</t>
  </si>
  <si>
    <t>60-9396</t>
  </si>
  <si>
    <t>96-9960</t>
  </si>
  <si>
    <t>96-9962</t>
  </si>
  <si>
    <t>92-4390</t>
  </si>
  <si>
    <t>96-10000</t>
  </si>
  <si>
    <t>96-10014</t>
  </si>
  <si>
    <t>60-9490</t>
  </si>
  <si>
    <t>60-9504</t>
  </si>
  <si>
    <t>96-0077</t>
  </si>
  <si>
    <t>96-0079</t>
  </si>
  <si>
    <t>96-0083</t>
  </si>
  <si>
    <t>96-0091</t>
  </si>
  <si>
    <t>94-4893</t>
  </si>
  <si>
    <t>50-0438</t>
  </si>
  <si>
    <t>92-4522</t>
  </si>
  <si>
    <t>92-4524</t>
  </si>
  <si>
    <t>96-0148</t>
  </si>
  <si>
    <t>RESUMEN DE AGOSTO.2026</t>
  </si>
  <si>
    <t xml:space="preserve"> AGOSTO - 2026 - CARGAS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</si>
</sst>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\ * #,##0.00_-;\-&quot;$&quot;\ * #,##0.00_-;_-&quot;$&quot;\ * &quot;-&quot;??_-;_-@_-"/>
    <numFmt numFmtId="164" formatCode="&quot;$&quot;\ #,##0"/>
    <numFmt numFmtId="165" formatCode="_-&quot;$&quot;* #,##0.00_-;\-&quot;$&quot;* #,##0.00_-;_-&quot;$&quot;* &quot;-&quot;??_-;_-@_-"/>
    <numFmt numFmtId="166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1" tint="0.14996795556505021"/>
      <name val="Calibri Light"/>
      <family val="2"/>
      <scheme val="major"/>
    </font>
    <font>
      <b/>
      <sz val="11"/>
      <color theme="1" tint="0.1499679555650502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D4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 tint="0.1499679555650502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CAFD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09">
    <xf numFmtId="0" fontId="0" fillId="0" borderId="0" xfId="0"/>
    <xf numFmtId="0" fontId="0" fillId="0" borderId="2" xfId="0" applyBorder="1"/>
    <xf numFmtId="0" fontId="8" fillId="0" borderId="2" xfId="0" applyFont="1" applyBorder="1"/>
    <xf numFmtId="0" fontId="8" fillId="0" borderId="0" xfId="0" applyFont="1"/>
    <xf numFmtId="0" fontId="0" fillId="3" borderId="2" xfId="0" applyFill="1" applyBorder="1"/>
    <xf numFmtId="0" fontId="0" fillId="0" borderId="0" xfId="0" applyAlignment="1">
      <alignment horizontal="center"/>
    </xf>
    <xf numFmtId="0" fontId="0" fillId="3" borderId="0" xfId="0" applyFill="1"/>
    <xf numFmtId="0" fontId="7" fillId="3" borderId="2" xfId="0" applyFont="1" applyFill="1" applyBorder="1" applyAlignment="1">
      <alignment horizontal="center" vertical="center"/>
    </xf>
    <xf numFmtId="0" fontId="0" fillId="0" borderId="15" xfId="0" applyBorder="1"/>
    <xf numFmtId="0" fontId="6" fillId="3" borderId="2" xfId="1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44" fontId="6" fillId="2" borderId="2" xfId="1" applyFont="1" applyFill="1" applyBorder="1" applyAlignment="1">
      <alignment horizontal="right" vertical="center" wrapText="1"/>
    </xf>
    <xf numFmtId="44" fontId="6" fillId="3" borderId="2" xfId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44" fontId="7" fillId="3" borderId="2" xfId="1" applyFont="1" applyFill="1" applyBorder="1" applyAlignment="1">
      <alignment horizontal="center" vertical="center" wrapText="1"/>
    </xf>
    <xf numFmtId="44" fontId="7" fillId="3" borderId="2" xfId="1" applyFont="1" applyFill="1" applyBorder="1" applyAlignment="1">
      <alignment horizontal="right" vertical="center" wrapText="1"/>
    </xf>
    <xf numFmtId="165" fontId="6" fillId="3" borderId="2" xfId="1" applyNumberFormat="1" applyFont="1" applyFill="1" applyBorder="1" applyAlignment="1">
      <alignment horizontal="right" vertical="center"/>
    </xf>
    <xf numFmtId="165" fontId="6" fillId="2" borderId="2" xfId="1" applyNumberFormat="1" applyFont="1" applyFill="1" applyBorder="1" applyAlignment="1">
      <alignment horizontal="right" vertical="center"/>
    </xf>
    <xf numFmtId="165" fontId="6" fillId="4" borderId="2" xfId="1" applyNumberFormat="1" applyFont="1" applyFill="1" applyBorder="1" applyAlignment="1">
      <alignment horizontal="right" vertical="center"/>
    </xf>
    <xf numFmtId="165" fontId="3" fillId="3" borderId="2" xfId="1" applyNumberFormat="1" applyFont="1" applyFill="1" applyBorder="1" applyAlignment="1">
      <alignment horizontal="right" vertical="center"/>
    </xf>
    <xf numFmtId="44" fontId="9" fillId="2" borderId="2" xfId="1" applyFont="1" applyFill="1" applyBorder="1" applyAlignment="1">
      <alignment horizontal="right" vertical="center" wrapText="1"/>
    </xf>
    <xf numFmtId="44" fontId="9" fillId="3" borderId="2" xfId="1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3" fillId="2" borderId="2" xfId="1" applyFont="1" applyFill="1" applyBorder="1" applyAlignment="1">
      <alignment horizontal="right" vertical="center" wrapText="1"/>
    </xf>
    <xf numFmtId="14" fontId="6" fillId="3" borderId="2" xfId="0" applyNumberFormat="1" applyFont="1" applyFill="1" applyBorder="1" applyAlignment="1">
      <alignment horizontal="center" vertical="center"/>
    </xf>
    <xf numFmtId="44" fontId="8" fillId="3" borderId="2" xfId="1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44" fontId="7" fillId="2" borderId="2" xfId="1" applyFont="1" applyFill="1" applyBorder="1" applyAlignment="1">
      <alignment horizontal="center" vertical="center" wrapText="1"/>
    </xf>
    <xf numFmtId="165" fontId="10" fillId="4" borderId="2" xfId="1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 wrapText="1"/>
    </xf>
    <xf numFmtId="164" fontId="9" fillId="6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0" fontId="6" fillId="2" borderId="2" xfId="1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4" fontId="6" fillId="4" borderId="2" xfId="1" applyFont="1" applyFill="1" applyBorder="1" applyAlignment="1">
      <alignment horizontal="center" vertical="center" wrapText="1"/>
    </xf>
    <xf numFmtId="44" fontId="6" fillId="4" borderId="2" xfId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vertical="center"/>
    </xf>
    <xf numFmtId="44" fontId="6" fillId="3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right" vertical="center"/>
    </xf>
    <xf numFmtId="14" fontId="5" fillId="3" borderId="2" xfId="0" applyNumberFormat="1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/>
    <xf numFmtId="0" fontId="9" fillId="3" borderId="2" xfId="0" applyFont="1" applyFill="1" applyBorder="1" applyAlignment="1">
      <alignment horizontal="center" vertical="center"/>
    </xf>
    <xf numFmtId="165" fontId="5" fillId="4" borderId="2" xfId="1" applyNumberFormat="1" applyFont="1" applyFill="1" applyBorder="1" applyAlignment="1">
      <alignment horizontal="right" vertical="center"/>
    </xf>
    <xf numFmtId="14" fontId="9" fillId="3" borderId="2" xfId="0" applyNumberFormat="1" applyFont="1" applyFill="1" applyBorder="1" applyAlignment="1">
      <alignment horizontal="center" vertical="center" wrapText="1"/>
    </xf>
    <xf numFmtId="14" fontId="8" fillId="3" borderId="2" xfId="0" applyNumberFormat="1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3" fillId="4" borderId="2" xfId="1" applyNumberFormat="1" applyFont="1" applyFill="1" applyBorder="1" applyAlignment="1">
      <alignment horizontal="right" vertical="center"/>
    </xf>
    <xf numFmtId="0" fontId="0" fillId="3" borderId="2" xfId="0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8" fillId="3" borderId="0" xfId="0" applyFont="1" applyFill="1"/>
    <xf numFmtId="44" fontId="0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 vertical="center"/>
    </xf>
    <xf numFmtId="165" fontId="10" fillId="4" borderId="2" xfId="1" applyNumberFormat="1" applyFont="1" applyFill="1" applyBorder="1" applyAlignment="1">
      <alignment horizontal="right" vertical="center" wrapText="1"/>
    </xf>
    <xf numFmtId="44" fontId="10" fillId="4" borderId="2" xfId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0" fillId="0" borderId="1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3" xfId="0" applyBorder="1"/>
    <xf numFmtId="14" fontId="2" fillId="5" borderId="14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8" fillId="3" borderId="17" xfId="0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center" vertical="center"/>
    </xf>
    <xf numFmtId="44" fontId="7" fillId="3" borderId="2" xfId="0" applyNumberFormat="1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7" fontId="10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2" fillId="0" borderId="0" xfId="2" applyFont="1" applyFill="1" applyBorder="1" applyAlignment="1">
      <alignment horizontal="center"/>
    </xf>
    <xf numFmtId="44" fontId="0" fillId="0" borderId="0" xfId="0" applyNumberFormat="1"/>
    <xf numFmtId="0" fontId="9" fillId="0" borderId="2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44" fontId="0" fillId="0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0" fillId="4" borderId="3" xfId="0" applyFill="1" applyBorder="1"/>
    <xf numFmtId="0" fontId="8" fillId="2" borderId="3" xfId="0" applyFont="1" applyFill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44" fontId="0" fillId="0" borderId="10" xfId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8" fillId="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4" fontId="20" fillId="0" borderId="14" xfId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2" fillId="12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/>
    </xf>
    <xf numFmtId="44" fontId="4" fillId="3" borderId="2" xfId="0" applyNumberFormat="1" applyFont="1" applyFill="1" applyBorder="1" applyAlignment="1">
      <alignment vertical="center"/>
    </xf>
    <xf numFmtId="14" fontId="4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165" fontId="3" fillId="3" borderId="2" xfId="1" applyNumberFormat="1" applyFont="1" applyFill="1" applyBorder="1" applyAlignment="1">
      <alignment horizontal="left" vertical="center"/>
    </xf>
    <xf numFmtId="165" fontId="6" fillId="3" borderId="2" xfId="1" applyNumberFormat="1" applyFont="1" applyFill="1" applyBorder="1" applyAlignment="1">
      <alignment horizontal="left" vertical="center"/>
    </xf>
    <xf numFmtId="165" fontId="5" fillId="3" borderId="2" xfId="1" applyNumberFormat="1" applyFont="1" applyFill="1" applyBorder="1" applyAlignment="1">
      <alignment horizontal="left" vertical="center"/>
    </xf>
    <xf numFmtId="165" fontId="3" fillId="4" borderId="2" xfId="1" applyNumberFormat="1" applyFont="1" applyFill="1" applyBorder="1" applyAlignment="1">
      <alignment horizontal="left" vertical="center"/>
    </xf>
    <xf numFmtId="165" fontId="5" fillId="4" borderId="2" xfId="1" applyNumberFormat="1" applyFont="1" applyFill="1" applyBorder="1" applyAlignment="1">
      <alignment horizontal="left" vertical="center"/>
    </xf>
    <xf numFmtId="44" fontId="7" fillId="3" borderId="2" xfId="1" applyFont="1" applyFill="1" applyBorder="1" applyAlignment="1">
      <alignment horizontal="left" vertical="center" wrapText="1"/>
    </xf>
    <xf numFmtId="44" fontId="4" fillId="3" borderId="2" xfId="1" applyFont="1" applyFill="1" applyBorder="1" applyAlignment="1">
      <alignment horizontal="left" vertical="center" wrapText="1"/>
    </xf>
    <xf numFmtId="44" fontId="4" fillId="3" borderId="2" xfId="1" applyFont="1" applyFill="1" applyBorder="1" applyAlignment="1">
      <alignment horizontal="left" vertical="center"/>
    </xf>
    <xf numFmtId="44" fontId="4" fillId="3" borderId="2" xfId="1" applyFont="1" applyFill="1" applyBorder="1" applyAlignment="1">
      <alignment vertical="center" wrapText="1"/>
    </xf>
    <xf numFmtId="44" fontId="8" fillId="3" borderId="2" xfId="1" applyFont="1" applyFill="1" applyBorder="1" applyAlignment="1">
      <alignment horizontal="left" vertical="center" wrapText="1"/>
    </xf>
    <xf numFmtId="44" fontId="9" fillId="2" borderId="2" xfId="1" applyFont="1" applyFill="1" applyBorder="1" applyAlignment="1">
      <alignment horizontal="left" vertical="center" wrapText="1"/>
    </xf>
    <xf numFmtId="14" fontId="5" fillId="2" borderId="2" xfId="0" applyNumberFormat="1" applyFont="1" applyFill="1" applyBorder="1" applyAlignment="1">
      <alignment horizontal="left" vertical="center"/>
    </xf>
    <xf numFmtId="44" fontId="5" fillId="2" borderId="2" xfId="0" applyNumberFormat="1" applyFont="1" applyFill="1" applyBorder="1" applyAlignment="1">
      <alignment horizontal="left" vertical="center"/>
    </xf>
    <xf numFmtId="44" fontId="6" fillId="2" borderId="2" xfId="1" applyFont="1" applyFill="1" applyBorder="1" applyAlignment="1">
      <alignment horizontal="left" vertical="center" wrapText="1"/>
    </xf>
    <xf numFmtId="44" fontId="3" fillId="2" borderId="2" xfId="1" applyFont="1" applyFill="1" applyBorder="1" applyAlignment="1">
      <alignment horizontal="left" vertical="center" wrapText="1"/>
    </xf>
    <xf numFmtId="165" fontId="3" fillId="9" borderId="2" xfId="1" applyNumberFormat="1" applyFont="1" applyFill="1" applyBorder="1" applyAlignment="1">
      <alignment horizontal="left" vertical="center"/>
    </xf>
    <xf numFmtId="44" fontId="4" fillId="9" borderId="2" xfId="1" applyFont="1" applyFill="1" applyBorder="1" applyAlignment="1">
      <alignment horizontal="left" vertical="center" wrapText="1"/>
    </xf>
    <xf numFmtId="44" fontId="4" fillId="3" borderId="2" xfId="0" applyNumberFormat="1" applyFont="1" applyFill="1" applyBorder="1" applyAlignment="1">
      <alignment horizontal="left" vertical="center"/>
    </xf>
    <xf numFmtId="44" fontId="1" fillId="3" borderId="2" xfId="1" applyFont="1" applyFill="1" applyBorder="1" applyAlignment="1">
      <alignment horizontal="left" vertical="center" wrapText="1"/>
    </xf>
    <xf numFmtId="44" fontId="2" fillId="2" borderId="2" xfId="1" applyFont="1" applyFill="1" applyBorder="1" applyAlignment="1">
      <alignment horizontal="left" vertical="center" wrapText="1"/>
    </xf>
    <xf numFmtId="44" fontId="5" fillId="2" borderId="2" xfId="1" applyFont="1" applyFill="1" applyBorder="1" applyAlignment="1">
      <alignment horizontal="left" vertical="center" wrapText="1"/>
    </xf>
    <xf numFmtId="44" fontId="5" fillId="9" borderId="2" xfId="1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left" vertical="center"/>
    </xf>
    <xf numFmtId="44" fontId="6" fillId="2" borderId="2" xfId="0" applyNumberFormat="1" applyFont="1" applyFill="1" applyBorder="1" applyAlignment="1">
      <alignment horizontal="left" vertical="center"/>
    </xf>
    <xf numFmtId="44" fontId="7" fillId="3" borderId="2" xfId="0" applyNumberFormat="1" applyFont="1" applyFill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left" vertical="center"/>
    </xf>
    <xf numFmtId="165" fontId="3" fillId="0" borderId="2" xfId="1" applyNumberFormat="1" applyFont="1" applyFill="1" applyBorder="1" applyAlignment="1">
      <alignment horizontal="left" vertical="center"/>
    </xf>
    <xf numFmtId="165" fontId="6" fillId="0" borderId="2" xfId="1" applyNumberFormat="1" applyFont="1" applyFill="1" applyBorder="1" applyAlignment="1">
      <alignment horizontal="left" vertical="center"/>
    </xf>
    <xf numFmtId="44" fontId="5" fillId="4" borderId="2" xfId="1" applyFont="1" applyFill="1" applyBorder="1" applyAlignment="1">
      <alignment horizontal="left" vertical="center"/>
    </xf>
    <xf numFmtId="44" fontId="0" fillId="3" borderId="2" xfId="1" applyFont="1" applyFill="1" applyBorder="1" applyAlignment="1">
      <alignment horizontal="left" vertical="center" wrapText="1"/>
    </xf>
    <xf numFmtId="44" fontId="2" fillId="2" borderId="0" xfId="0" applyNumberFormat="1" applyFont="1" applyFill="1" applyAlignment="1">
      <alignment horizontal="left"/>
    </xf>
    <xf numFmtId="44" fontId="2" fillId="2" borderId="2" xfId="0" applyNumberFormat="1" applyFont="1" applyFill="1" applyBorder="1" applyAlignment="1">
      <alignment horizontal="left"/>
    </xf>
    <xf numFmtId="44" fontId="2" fillId="2" borderId="8" xfId="0" applyNumberFormat="1" applyFont="1" applyFill="1" applyBorder="1" applyAlignment="1">
      <alignment horizontal="left"/>
    </xf>
    <xf numFmtId="44" fontId="5" fillId="2" borderId="2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14" fontId="8" fillId="9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44" fontId="9" fillId="9" borderId="2" xfId="1" applyFont="1" applyFill="1" applyBorder="1" applyAlignment="1">
      <alignment horizontal="left" vertical="center" wrapText="1"/>
    </xf>
    <xf numFmtId="44" fontId="0" fillId="0" borderId="11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 vertical="center"/>
    </xf>
    <xf numFmtId="44" fontId="9" fillId="13" borderId="2" xfId="1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/>
    </xf>
    <xf numFmtId="14" fontId="8" fillId="13" borderId="2" xfId="0" applyNumberFormat="1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44" fontId="2" fillId="13" borderId="2" xfId="0" applyNumberFormat="1" applyFont="1" applyFill="1" applyBorder="1" applyAlignment="1">
      <alignment horizontal="left"/>
    </xf>
    <xf numFmtId="44" fontId="9" fillId="13" borderId="2" xfId="0" applyNumberFormat="1" applyFont="1" applyFill="1" applyBorder="1" applyAlignment="1">
      <alignment horizontal="left" vertical="center"/>
    </xf>
    <xf numFmtId="14" fontId="0" fillId="3" borderId="2" xfId="0" applyNumberFormat="1" applyFill="1" applyBorder="1" applyAlignment="1">
      <alignment horizontal="center" vertical="center"/>
    </xf>
    <xf numFmtId="44" fontId="20" fillId="3" borderId="2" xfId="1" applyFont="1" applyFill="1" applyBorder="1" applyAlignment="1">
      <alignment horizontal="left" vertical="center"/>
    </xf>
    <xf numFmtId="0" fontId="9" fillId="3" borderId="2" xfId="1" applyNumberFormat="1" applyFon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/>
    </xf>
    <xf numFmtId="44" fontId="0" fillId="13" borderId="2" xfId="1" applyFont="1" applyFill="1" applyBorder="1" applyAlignment="1">
      <alignment horizontal="left" vertical="center" wrapText="1"/>
    </xf>
    <xf numFmtId="44" fontId="9" fillId="13" borderId="2" xfId="1" applyFont="1" applyFill="1" applyBorder="1" applyAlignment="1">
      <alignment horizontal="left" vertical="center"/>
    </xf>
    <xf numFmtId="0" fontId="9" fillId="13" borderId="2" xfId="1" applyNumberFormat="1" applyFont="1" applyFill="1" applyBorder="1" applyAlignment="1">
      <alignment horizontal="center" vertical="center" wrapText="1"/>
    </xf>
    <xf numFmtId="44" fontId="9" fillId="3" borderId="2" xfId="1" applyFont="1" applyFill="1" applyBorder="1" applyAlignment="1">
      <alignment horizontal="left" vertical="center"/>
    </xf>
    <xf numFmtId="0" fontId="0" fillId="13" borderId="2" xfId="0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left" vertical="center"/>
    </xf>
    <xf numFmtId="0" fontId="9" fillId="3" borderId="2" xfId="1" applyNumberFormat="1" applyFont="1" applyFill="1" applyBorder="1" applyAlignment="1">
      <alignment horizontal="center" vertical="center"/>
    </xf>
    <xf numFmtId="44" fontId="0" fillId="3" borderId="2" xfId="1" applyFont="1" applyFill="1" applyBorder="1" applyAlignment="1">
      <alignment horizontal="left" vertical="center"/>
    </xf>
    <xf numFmtId="14" fontId="8" fillId="13" borderId="2" xfId="0" applyNumberFormat="1" applyFont="1" applyFill="1" applyBorder="1" applyAlignment="1">
      <alignment horizontal="center" vertical="center"/>
    </xf>
    <xf numFmtId="14" fontId="9" fillId="13" borderId="2" xfId="0" applyNumberFormat="1" applyFont="1" applyFill="1" applyBorder="1" applyAlignment="1">
      <alignment horizontal="center" vertical="center"/>
    </xf>
    <xf numFmtId="44" fontId="0" fillId="13" borderId="2" xfId="1" applyFont="1" applyFill="1" applyBorder="1" applyAlignment="1">
      <alignment horizontal="left" vertical="center"/>
    </xf>
    <xf numFmtId="44" fontId="9" fillId="2" borderId="2" xfId="0" applyNumberFormat="1" applyFont="1" applyFill="1" applyBorder="1" applyAlignment="1">
      <alignment horizontal="left" vertical="center"/>
    </xf>
    <xf numFmtId="44" fontId="0" fillId="3" borderId="2" xfId="0" applyNumberFormat="1" applyFill="1" applyBorder="1" applyAlignment="1">
      <alignment horizontal="left" vertical="center"/>
    </xf>
    <xf numFmtId="44" fontId="0" fillId="13" borderId="2" xfId="0" applyNumberFormat="1" applyFill="1" applyBorder="1" applyAlignment="1">
      <alignment horizontal="left" vertical="center"/>
    </xf>
    <xf numFmtId="14" fontId="8" fillId="0" borderId="2" xfId="0" applyNumberFormat="1" applyFont="1" applyBorder="1" applyAlignment="1">
      <alignment horizontal="center" vertical="center"/>
    </xf>
    <xf numFmtId="44" fontId="20" fillId="13" borderId="2" xfId="1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left"/>
    </xf>
    <xf numFmtId="0" fontId="8" fillId="9" borderId="2" xfId="0" applyFont="1" applyFill="1" applyBorder="1" applyAlignment="1">
      <alignment horizontal="center" vertical="center" wrapText="1"/>
    </xf>
    <xf numFmtId="44" fontId="0" fillId="9" borderId="2" xfId="1" applyFont="1" applyFill="1" applyBorder="1" applyAlignment="1">
      <alignment horizontal="left" vertical="center" wrapText="1"/>
    </xf>
    <xf numFmtId="44" fontId="9" fillId="9" borderId="2" xfId="1" applyFont="1" applyFill="1" applyBorder="1" applyAlignment="1">
      <alignment horizontal="left" vertical="center"/>
    </xf>
    <xf numFmtId="0" fontId="9" fillId="9" borderId="2" xfId="1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left" vertical="center" wrapText="1"/>
    </xf>
    <xf numFmtId="44" fontId="0" fillId="0" borderId="2" xfId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44" fontId="0" fillId="0" borderId="2" xfId="0" applyNumberFormat="1" applyBorder="1" applyAlignment="1">
      <alignment horizontal="left"/>
    </xf>
    <xf numFmtId="14" fontId="0" fillId="13" borderId="2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/>
    </xf>
    <xf numFmtId="44" fontId="0" fillId="13" borderId="2" xfId="0" applyNumberFormat="1" applyFill="1" applyBorder="1" applyAlignment="1">
      <alignment horizontal="left"/>
    </xf>
    <xf numFmtId="0" fontId="9" fillId="13" borderId="2" xfId="0" applyFont="1" applyFill="1" applyBorder="1" applyAlignment="1">
      <alignment horizontal="center"/>
    </xf>
    <xf numFmtId="44" fontId="0" fillId="0" borderId="2" xfId="0" applyNumberFormat="1" applyBorder="1"/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0" xfId="0" applyFill="1" applyAlignment="1">
      <alignment horizontal="left"/>
    </xf>
    <xf numFmtId="44" fontId="8" fillId="0" borderId="2" xfId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4" fontId="20" fillId="3" borderId="4" xfId="1" applyFont="1" applyFill="1" applyBorder="1" applyAlignment="1">
      <alignment horizontal="left" vertical="center"/>
    </xf>
    <xf numFmtId="44" fontId="2" fillId="3" borderId="2" xfId="1" applyFont="1" applyFill="1" applyBorder="1" applyAlignment="1">
      <alignment horizontal="left" vertical="center"/>
    </xf>
    <xf numFmtId="44" fontId="0" fillId="0" borderId="2" xfId="0" applyNumberFormat="1" applyBorder="1" applyAlignment="1">
      <alignment horizontal="right"/>
    </xf>
    <xf numFmtId="44" fontId="20" fillId="0" borderId="2" xfId="1" applyFont="1" applyFill="1" applyBorder="1" applyAlignment="1">
      <alignment horizontal="left" vertical="center"/>
    </xf>
    <xf numFmtId="44" fontId="0" fillId="0" borderId="0" xfId="0" applyNumberFormat="1" applyAlignment="1">
      <alignment horizontal="right"/>
    </xf>
    <xf numFmtId="0" fontId="9" fillId="0" borderId="2" xfId="0" quotePrefix="1" applyFont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44" fontId="9" fillId="4" borderId="2" xfId="1" applyFont="1" applyFill="1" applyBorder="1" applyAlignment="1">
      <alignment horizontal="center" vertical="center" wrapText="1"/>
    </xf>
    <xf numFmtId="165" fontId="9" fillId="4" borderId="2" xfId="1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14" fontId="9" fillId="4" borderId="2" xfId="0" applyNumberFormat="1" applyFont="1" applyFill="1" applyBorder="1" applyAlignment="1">
      <alignment horizontal="center" vertical="center"/>
    </xf>
    <xf numFmtId="14" fontId="9" fillId="4" borderId="2" xfId="0" applyNumberFormat="1" applyFont="1" applyFill="1" applyBorder="1" applyAlignment="1">
      <alignment horizontal="center" vertical="center" wrapText="1"/>
    </xf>
    <xf numFmtId="44" fontId="9" fillId="4" borderId="2" xfId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44" fontId="8" fillId="2" borderId="2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right" vertical="center"/>
    </xf>
    <xf numFmtId="0" fontId="9" fillId="2" borderId="2" xfId="1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44" fontId="8" fillId="3" borderId="2" xfId="1" applyFont="1" applyFill="1" applyBorder="1" applyAlignment="1">
      <alignment horizontal="center" vertical="center" wrapText="1"/>
    </xf>
    <xf numFmtId="165" fontId="9" fillId="3" borderId="2" xfId="1" applyNumberFormat="1" applyFont="1" applyFill="1" applyBorder="1" applyAlignment="1">
      <alignment horizontal="right" vertical="center"/>
    </xf>
    <xf numFmtId="44" fontId="9" fillId="3" borderId="2" xfId="1" applyFont="1" applyFill="1" applyBorder="1" applyAlignment="1">
      <alignment horizontal="center" vertical="center" wrapText="1"/>
    </xf>
    <xf numFmtId="165" fontId="21" fillId="3" borderId="2" xfId="1" applyNumberFormat="1" applyFont="1" applyFill="1" applyBorder="1" applyAlignment="1">
      <alignment horizontal="right" vertical="center"/>
    </xf>
    <xf numFmtId="165" fontId="2" fillId="3" borderId="2" xfId="1" applyNumberFormat="1" applyFont="1" applyFill="1" applyBorder="1" applyAlignment="1">
      <alignment horizontal="right" vertical="center"/>
    </xf>
    <xf numFmtId="165" fontId="2" fillId="4" borderId="2" xfId="1" applyNumberFormat="1" applyFont="1" applyFill="1" applyBorder="1" applyAlignment="1">
      <alignment horizontal="left" vertical="center"/>
    </xf>
    <xf numFmtId="44" fontId="22" fillId="4" borderId="2" xfId="1" applyFont="1" applyFill="1" applyBorder="1" applyAlignment="1">
      <alignment horizontal="left" vertical="center"/>
    </xf>
    <xf numFmtId="44" fontId="0" fillId="13" borderId="2" xfId="0" applyNumberFormat="1" applyFill="1" applyBorder="1"/>
    <xf numFmtId="14" fontId="0" fillId="14" borderId="2" xfId="0" applyNumberForma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44" fontId="2" fillId="14" borderId="2" xfId="0" applyNumberFormat="1" applyFont="1" applyFill="1" applyBorder="1" applyAlignment="1">
      <alignment horizontal="left"/>
    </xf>
    <xf numFmtId="44" fontId="0" fillId="14" borderId="2" xfId="0" applyNumberFormat="1" applyFill="1" applyBorder="1"/>
    <xf numFmtId="44" fontId="9" fillId="14" borderId="2" xfId="1" applyFont="1" applyFill="1" applyBorder="1" applyAlignment="1">
      <alignment horizontal="left" vertical="center"/>
    </xf>
    <xf numFmtId="0" fontId="9" fillId="1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44" fontId="2" fillId="13" borderId="2" xfId="1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/>
    </xf>
    <xf numFmtId="44" fontId="0" fillId="13" borderId="0" xfId="0" applyNumberFormat="1" applyFill="1"/>
    <xf numFmtId="0" fontId="2" fillId="13" borderId="0" xfId="0" applyFont="1" applyFill="1" applyAlignment="1">
      <alignment horizontal="center"/>
    </xf>
    <xf numFmtId="165" fontId="9" fillId="4" borderId="26" xfId="1" applyNumberFormat="1" applyFont="1" applyFill="1" applyBorder="1" applyAlignment="1">
      <alignment horizontal="right" vertical="center" wrapText="1"/>
    </xf>
    <xf numFmtId="44" fontId="9" fillId="4" borderId="26" xfId="1" applyFont="1" applyFill="1" applyBorder="1" applyAlignment="1">
      <alignment horizontal="center" vertical="center" wrapText="1"/>
    </xf>
    <xf numFmtId="165" fontId="9" fillId="4" borderId="26" xfId="1" applyNumberFormat="1" applyFont="1" applyFill="1" applyBorder="1" applyAlignment="1">
      <alignment horizontal="right" vertical="center"/>
    </xf>
    <xf numFmtId="2" fontId="16" fillId="4" borderId="26" xfId="0" applyNumberFormat="1" applyFont="1" applyFill="1" applyBorder="1" applyAlignment="1">
      <alignment horizontal="center" vertical="center"/>
    </xf>
    <xf numFmtId="0" fontId="0" fillId="4" borderId="26" xfId="0" applyFill="1" applyBorder="1"/>
    <xf numFmtId="44" fontId="0" fillId="0" borderId="10" xfId="1" applyFont="1" applyFill="1" applyBorder="1" applyAlignment="1">
      <alignment horizontal="center" vertical="center"/>
    </xf>
    <xf numFmtId="2" fontId="2" fillId="2" borderId="26" xfId="0" applyNumberFormat="1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/>
    </xf>
    <xf numFmtId="0" fontId="23" fillId="15" borderId="2" xfId="0" applyFont="1" applyFill="1" applyBorder="1" applyAlignment="1">
      <alignment horizontal="center" vertical="center"/>
    </xf>
    <xf numFmtId="44" fontId="10" fillId="4" borderId="26" xfId="1" applyFont="1" applyFill="1" applyBorder="1" applyAlignment="1">
      <alignment horizontal="center" vertical="center" wrapText="1"/>
    </xf>
    <xf numFmtId="165" fontId="10" fillId="4" borderId="26" xfId="1" applyNumberFormat="1" applyFont="1" applyFill="1" applyBorder="1" applyAlignment="1">
      <alignment horizontal="right" vertical="center"/>
    </xf>
    <xf numFmtId="0" fontId="16" fillId="4" borderId="2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165" fontId="21" fillId="4" borderId="26" xfId="1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14" fontId="7" fillId="13" borderId="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44" fontId="4" fillId="13" borderId="2" xfId="1" applyFont="1" applyFill="1" applyBorder="1" applyAlignment="1">
      <alignment horizontal="left" vertical="center" wrapText="1"/>
    </xf>
    <xf numFmtId="165" fontId="6" fillId="13" borderId="2" xfId="1" applyNumberFormat="1" applyFont="1" applyFill="1" applyBorder="1" applyAlignment="1">
      <alignment horizontal="left" vertical="center"/>
    </xf>
    <xf numFmtId="0" fontId="6" fillId="13" borderId="2" xfId="1" applyNumberFormat="1" applyFont="1" applyFill="1" applyBorder="1" applyAlignment="1">
      <alignment horizontal="center" vertical="center" wrapText="1"/>
    </xf>
    <xf numFmtId="44" fontId="6" fillId="13" borderId="2" xfId="0" applyNumberFormat="1" applyFont="1" applyFill="1" applyBorder="1" applyAlignment="1">
      <alignment horizontal="left" vertical="center"/>
    </xf>
    <xf numFmtId="44" fontId="7" fillId="13" borderId="2" xfId="1" applyFont="1" applyFill="1" applyBorder="1" applyAlignment="1">
      <alignment horizontal="left" vertical="center" wrapText="1"/>
    </xf>
    <xf numFmtId="44" fontId="7" fillId="13" borderId="2" xfId="0" applyNumberFormat="1" applyFont="1" applyFill="1" applyBorder="1" applyAlignment="1">
      <alignment horizontal="left" vertical="center"/>
    </xf>
    <xf numFmtId="44" fontId="8" fillId="13" borderId="2" xfId="1" applyFont="1" applyFill="1" applyBorder="1" applyAlignment="1">
      <alignment horizontal="left" vertical="center" wrapText="1"/>
    </xf>
    <xf numFmtId="165" fontId="5" fillId="13" borderId="2" xfId="1" applyNumberFormat="1" applyFont="1" applyFill="1" applyBorder="1" applyAlignment="1">
      <alignment horizontal="left" vertical="center"/>
    </xf>
    <xf numFmtId="165" fontId="3" fillId="13" borderId="2" xfId="1" applyNumberFormat="1" applyFont="1" applyFill="1" applyBorder="1" applyAlignment="1">
      <alignment horizontal="left" vertical="center"/>
    </xf>
    <xf numFmtId="14" fontId="8" fillId="16" borderId="2" xfId="0" applyNumberFormat="1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44" fontId="9" fillId="16" borderId="2" xfId="1" applyFont="1" applyFill="1" applyBorder="1" applyAlignment="1">
      <alignment horizontal="left" vertical="center" wrapText="1"/>
    </xf>
    <xf numFmtId="44" fontId="8" fillId="16" borderId="2" xfId="1" applyFont="1" applyFill="1" applyBorder="1" applyAlignment="1">
      <alignment horizontal="left" vertical="center" wrapText="1"/>
    </xf>
    <xf numFmtId="165" fontId="3" fillId="16" borderId="2" xfId="1" applyNumberFormat="1" applyFont="1" applyFill="1" applyBorder="1" applyAlignment="1">
      <alignment horizontal="left" vertical="center"/>
    </xf>
    <xf numFmtId="0" fontId="6" fillId="16" borderId="2" xfId="1" applyNumberFormat="1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/>
    </xf>
    <xf numFmtId="44" fontId="7" fillId="16" borderId="2" xfId="1" applyFont="1" applyFill="1" applyBorder="1" applyAlignment="1">
      <alignment horizontal="left" vertical="center" wrapText="1"/>
    </xf>
    <xf numFmtId="14" fontId="4" fillId="13" borderId="2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14" fontId="6" fillId="13" borderId="2" xfId="0" applyNumberFormat="1" applyFont="1" applyFill="1" applyBorder="1" applyAlignment="1">
      <alignment horizontal="center" vertical="center"/>
    </xf>
    <xf numFmtId="14" fontId="7" fillId="9" borderId="2" xfId="0" applyNumberFormat="1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44" fontId="6" fillId="9" borderId="2" xfId="0" applyNumberFormat="1" applyFont="1" applyFill="1" applyBorder="1" applyAlignment="1">
      <alignment horizontal="left" vertical="center"/>
    </xf>
    <xf numFmtId="44" fontId="7" fillId="9" borderId="2" xfId="0" applyNumberFormat="1" applyFont="1" applyFill="1" applyBorder="1" applyAlignment="1">
      <alignment horizontal="left" vertical="center"/>
    </xf>
    <xf numFmtId="165" fontId="5" fillId="9" borderId="2" xfId="1" applyNumberFormat="1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/>
    </xf>
    <xf numFmtId="44" fontId="7" fillId="13" borderId="2" xfId="0" applyNumberFormat="1" applyFont="1" applyFill="1" applyBorder="1" applyAlignment="1">
      <alignment vertical="center"/>
    </xf>
    <xf numFmtId="44" fontId="8" fillId="13" borderId="2" xfId="1" applyFont="1" applyFill="1" applyBorder="1" applyAlignment="1">
      <alignment horizontal="right" vertical="center" wrapText="1"/>
    </xf>
    <xf numFmtId="44" fontId="7" fillId="13" borderId="2" xfId="1" applyFont="1" applyFill="1" applyBorder="1" applyAlignment="1">
      <alignment horizontal="center" vertical="center" wrapText="1"/>
    </xf>
    <xf numFmtId="14" fontId="7" fillId="16" borderId="2" xfId="0" applyNumberFormat="1" applyFont="1" applyFill="1" applyBorder="1" applyAlignment="1">
      <alignment horizontal="center" vertical="center"/>
    </xf>
    <xf numFmtId="14" fontId="6" fillId="16" borderId="2" xfId="0" applyNumberFormat="1" applyFont="1" applyFill="1" applyBorder="1" applyAlignment="1">
      <alignment horizontal="center" vertical="center"/>
    </xf>
    <xf numFmtId="44" fontId="6" fillId="16" borderId="2" xfId="0" applyNumberFormat="1" applyFont="1" applyFill="1" applyBorder="1" applyAlignment="1">
      <alignment horizontal="left" vertical="center"/>
    </xf>
    <xf numFmtId="165" fontId="5" fillId="16" borderId="2" xfId="1" applyNumberFormat="1" applyFont="1" applyFill="1" applyBorder="1" applyAlignment="1">
      <alignment horizontal="left" vertical="center"/>
    </xf>
    <xf numFmtId="0" fontId="6" fillId="16" borderId="2" xfId="1" applyNumberFormat="1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/>
    </xf>
    <xf numFmtId="44" fontId="0" fillId="0" borderId="30" xfId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9" xfId="0" applyBorder="1"/>
    <xf numFmtId="44" fontId="2" fillId="13" borderId="2" xfId="1" applyFont="1" applyFill="1" applyBorder="1" applyAlignment="1">
      <alignment horizontal="left" vertical="center" wrapText="1"/>
    </xf>
    <xf numFmtId="0" fontId="5" fillId="13" borderId="2" xfId="1" applyNumberFormat="1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44" fontId="5" fillId="13" borderId="2" xfId="1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/>
    </xf>
    <xf numFmtId="44" fontId="5" fillId="13" borderId="2" xfId="0" applyNumberFormat="1" applyFont="1" applyFill="1" applyBorder="1" applyAlignment="1">
      <alignment horizontal="left" vertical="center"/>
    </xf>
    <xf numFmtId="0" fontId="5" fillId="13" borderId="2" xfId="1" applyNumberFormat="1" applyFont="1" applyFill="1" applyBorder="1" applyAlignment="1">
      <alignment horizontal="center" vertical="center"/>
    </xf>
    <xf numFmtId="44" fontId="4" fillId="13" borderId="2" xfId="1" applyFont="1" applyFill="1" applyBorder="1" applyAlignment="1">
      <alignment vertical="center" wrapText="1"/>
    </xf>
    <xf numFmtId="44" fontId="4" fillId="13" borderId="2" xfId="0" applyNumberFormat="1" applyFont="1" applyFill="1" applyBorder="1" applyAlignment="1">
      <alignment vertical="center"/>
    </xf>
    <xf numFmtId="44" fontId="4" fillId="13" borderId="2" xfId="0" applyNumberFormat="1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vertical="center"/>
    </xf>
    <xf numFmtId="0" fontId="5" fillId="0" borderId="2" xfId="1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44" fontId="4" fillId="13" borderId="2" xfId="1" applyFont="1" applyFill="1" applyBorder="1" applyAlignment="1">
      <alignment horizontal="left" vertical="center"/>
    </xf>
    <xf numFmtId="44" fontId="9" fillId="13" borderId="2" xfId="1" applyFont="1" applyFill="1" applyBorder="1" applyAlignment="1">
      <alignment horizontal="right" vertical="center" wrapText="1"/>
    </xf>
    <xf numFmtId="165" fontId="10" fillId="4" borderId="26" xfId="1" applyNumberFormat="1" applyFont="1" applyFill="1" applyBorder="1" applyAlignment="1">
      <alignment horizontal="center" vertical="center" wrapText="1"/>
    </xf>
    <xf numFmtId="165" fontId="5" fillId="13" borderId="2" xfId="1" applyNumberFormat="1" applyFont="1" applyFill="1" applyBorder="1" applyAlignment="1">
      <alignment horizontal="right" vertical="center"/>
    </xf>
    <xf numFmtId="44" fontId="5" fillId="13" borderId="2" xfId="0" applyNumberFormat="1" applyFont="1" applyFill="1" applyBorder="1" applyAlignment="1">
      <alignment vertical="center"/>
    </xf>
    <xf numFmtId="44" fontId="7" fillId="0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6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 wrapText="1"/>
    </xf>
    <xf numFmtId="164" fontId="13" fillId="6" borderId="4" xfId="0" applyNumberFormat="1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/>
    </xf>
    <xf numFmtId="44" fontId="0" fillId="0" borderId="31" xfId="1" applyFont="1" applyFill="1" applyBorder="1" applyAlignment="1">
      <alignment horizontal="center" vertical="center"/>
    </xf>
    <xf numFmtId="0" fontId="0" fillId="0" borderId="32" xfId="0" applyBorder="1"/>
    <xf numFmtId="0" fontId="8" fillId="3" borderId="8" xfId="0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left" vertical="center"/>
    </xf>
    <xf numFmtId="165" fontId="5" fillId="13" borderId="3" xfId="1" applyNumberFormat="1" applyFont="1" applyFill="1" applyBorder="1" applyAlignment="1">
      <alignment horizontal="left" vertical="center"/>
    </xf>
    <xf numFmtId="0" fontId="0" fillId="2" borderId="0" xfId="0" applyFill="1"/>
    <xf numFmtId="0" fontId="5" fillId="0" borderId="11" xfId="0" applyFont="1" applyBorder="1" applyAlignment="1">
      <alignment horizontal="center"/>
    </xf>
    <xf numFmtId="44" fontId="4" fillId="3" borderId="2" xfId="1" applyFont="1" applyFill="1" applyBorder="1" applyAlignment="1">
      <alignment horizontal="center" vertical="center" wrapText="1"/>
    </xf>
    <xf numFmtId="44" fontId="1" fillId="3" borderId="2" xfId="1" applyFont="1" applyFill="1" applyBorder="1" applyAlignment="1">
      <alignment horizontal="right" vertical="center" wrapText="1"/>
    </xf>
    <xf numFmtId="44" fontId="5" fillId="2" borderId="2" xfId="1" applyFont="1" applyFill="1" applyBorder="1" applyAlignment="1">
      <alignment horizontal="right" vertical="center" wrapText="1"/>
    </xf>
    <xf numFmtId="44" fontId="2" fillId="2" borderId="2" xfId="1" applyFont="1" applyFill="1" applyBorder="1" applyAlignment="1">
      <alignment horizontal="right" vertical="center" wrapText="1"/>
    </xf>
    <xf numFmtId="0" fontId="0" fillId="13" borderId="0" xfId="0" applyFill="1"/>
    <xf numFmtId="44" fontId="6" fillId="13" borderId="2" xfId="1" applyFont="1" applyFill="1" applyBorder="1" applyAlignment="1">
      <alignment horizontal="right" vertical="center" wrapText="1"/>
    </xf>
    <xf numFmtId="44" fontId="2" fillId="13" borderId="2" xfId="1" applyFont="1" applyFill="1" applyBorder="1" applyAlignment="1">
      <alignment horizontal="right" vertical="center" wrapText="1"/>
    </xf>
    <xf numFmtId="44" fontId="1" fillId="13" borderId="2" xfId="1" applyFont="1" applyFill="1" applyBorder="1" applyAlignment="1">
      <alignment horizontal="right" vertical="center" wrapText="1"/>
    </xf>
    <xf numFmtId="165" fontId="25" fillId="4" borderId="2" xfId="1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44" fontId="9" fillId="5" borderId="2" xfId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right" vertical="center"/>
    </xf>
    <xf numFmtId="165" fontId="5" fillId="0" borderId="2" xfId="1" applyNumberFormat="1" applyFont="1" applyFill="1" applyBorder="1" applyAlignment="1">
      <alignment horizontal="right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right" vertical="center"/>
    </xf>
    <xf numFmtId="44" fontId="7" fillId="0" borderId="2" xfId="0" applyNumberFormat="1" applyFont="1" applyBorder="1" applyAlignment="1">
      <alignment vertical="center"/>
    </xf>
    <xf numFmtId="44" fontId="8" fillId="0" borderId="2" xfId="1" applyFont="1" applyFill="1" applyBorder="1" applyAlignment="1">
      <alignment horizontal="right" vertical="center" wrapText="1"/>
    </xf>
    <xf numFmtId="44" fontId="2" fillId="2" borderId="2" xfId="0" applyNumberFormat="1" applyFont="1" applyFill="1" applyBorder="1" applyAlignment="1">
      <alignment vertical="center"/>
    </xf>
    <xf numFmtId="44" fontId="8" fillId="3" borderId="2" xfId="0" applyNumberFormat="1" applyFont="1" applyFill="1" applyBorder="1" applyAlignment="1">
      <alignment vertical="center"/>
    </xf>
    <xf numFmtId="0" fontId="9" fillId="5" borderId="2" xfId="1" applyNumberFormat="1" applyFont="1" applyFill="1" applyBorder="1" applyAlignment="1">
      <alignment horizontal="center" vertical="center" wrapText="1"/>
    </xf>
    <xf numFmtId="44" fontId="2" fillId="13" borderId="2" xfId="0" applyNumberFormat="1" applyFont="1" applyFill="1" applyBorder="1" applyAlignment="1">
      <alignment vertical="center"/>
    </xf>
    <xf numFmtId="14" fontId="8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44" fontId="2" fillId="5" borderId="2" xfId="0" applyNumberFormat="1" applyFont="1" applyFill="1" applyBorder="1" applyAlignment="1">
      <alignment vertical="center"/>
    </xf>
    <xf numFmtId="44" fontId="21" fillId="2" borderId="2" xfId="1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vertical="center"/>
    </xf>
    <xf numFmtId="165" fontId="21" fillId="4" borderId="2" xfId="1" applyNumberFormat="1" applyFont="1" applyFill="1" applyBorder="1" applyAlignment="1">
      <alignment horizontal="right" vertical="center"/>
    </xf>
    <xf numFmtId="0" fontId="23" fillId="15" borderId="2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65" fontId="21" fillId="3" borderId="2" xfId="1" applyNumberFormat="1" applyFont="1" applyFill="1" applyBorder="1" applyAlignment="1">
      <alignment horizontal="left" vertical="center"/>
    </xf>
    <xf numFmtId="165" fontId="9" fillId="13" borderId="2" xfId="1" applyNumberFormat="1" applyFont="1" applyFill="1" applyBorder="1" applyAlignment="1">
      <alignment horizontal="left" vertical="center"/>
    </xf>
    <xf numFmtId="165" fontId="9" fillId="3" borderId="2" xfId="1" applyNumberFormat="1" applyFont="1" applyFill="1" applyBorder="1" applyAlignment="1">
      <alignment horizontal="left" vertical="center"/>
    </xf>
    <xf numFmtId="165" fontId="21" fillId="5" borderId="2" xfId="1" applyNumberFormat="1" applyFont="1" applyFill="1" applyBorder="1" applyAlignment="1">
      <alignment horizontal="left" vertical="center"/>
    </xf>
    <xf numFmtId="165" fontId="21" fillId="13" borderId="2" xfId="1" applyNumberFormat="1" applyFont="1" applyFill="1" applyBorder="1" applyAlignment="1">
      <alignment horizontal="left" vertical="center"/>
    </xf>
    <xf numFmtId="165" fontId="21" fillId="4" borderId="2" xfId="1" applyNumberFormat="1" applyFont="1" applyFill="1" applyBorder="1" applyAlignment="1">
      <alignment horizontal="left" vertical="center"/>
    </xf>
    <xf numFmtId="165" fontId="2" fillId="13" borderId="2" xfId="1" applyNumberFormat="1" applyFont="1" applyFill="1" applyBorder="1" applyAlignment="1">
      <alignment horizontal="left" vertical="center"/>
    </xf>
    <xf numFmtId="165" fontId="2" fillId="3" borderId="2" xfId="1" applyNumberFormat="1" applyFont="1" applyFill="1" applyBorder="1" applyAlignment="1">
      <alignment horizontal="left" vertical="center"/>
    </xf>
    <xf numFmtId="44" fontId="8" fillId="3" borderId="2" xfId="0" applyNumberFormat="1" applyFont="1" applyFill="1" applyBorder="1" applyAlignment="1">
      <alignment horizontal="left" vertical="center"/>
    </xf>
    <xf numFmtId="44" fontId="8" fillId="13" borderId="2" xfId="0" applyNumberFormat="1" applyFont="1" applyFill="1" applyBorder="1" applyAlignment="1">
      <alignment horizontal="left" vertical="center"/>
    </xf>
    <xf numFmtId="44" fontId="8" fillId="5" borderId="2" xfId="0" applyNumberFormat="1" applyFont="1" applyFill="1" applyBorder="1" applyAlignment="1">
      <alignment horizontal="left" vertical="center"/>
    </xf>
    <xf numFmtId="44" fontId="8" fillId="3" borderId="2" xfId="1" applyFont="1" applyFill="1" applyBorder="1" applyAlignment="1">
      <alignment vertical="center" wrapText="1"/>
    </xf>
    <xf numFmtId="44" fontId="8" fillId="13" borderId="2" xfId="1" applyFont="1" applyFill="1" applyBorder="1" applyAlignment="1">
      <alignment vertical="center" wrapText="1"/>
    </xf>
    <xf numFmtId="44" fontId="8" fillId="5" borderId="2" xfId="1" applyFont="1" applyFill="1" applyBorder="1" applyAlignment="1">
      <alignment vertical="center" wrapText="1"/>
    </xf>
    <xf numFmtId="49" fontId="28" fillId="0" borderId="2" xfId="0" applyNumberFormat="1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66" fontId="28" fillId="0" borderId="2" xfId="0" applyNumberFormat="1" applyFont="1" applyBorder="1"/>
    <xf numFmtId="0" fontId="26" fillId="0" borderId="2" xfId="0" applyFont="1" applyBorder="1" applyAlignment="1">
      <alignment horizontal="center"/>
    </xf>
    <xf numFmtId="0" fontId="29" fillId="11" borderId="2" xfId="0" applyFont="1" applyFill="1" applyBorder="1" applyAlignment="1">
      <alignment horizontal="center"/>
    </xf>
    <xf numFmtId="44" fontId="28" fillId="0" borderId="2" xfId="0" applyNumberFormat="1" applyFont="1" applyBorder="1" applyAlignment="1">
      <alignment horizontal="center"/>
    </xf>
    <xf numFmtId="14" fontId="14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164" fontId="26" fillId="6" borderId="2" xfId="0" applyNumberFormat="1" applyFont="1" applyFill="1" applyBorder="1" applyAlignment="1">
      <alignment horizontal="center" vertical="center"/>
    </xf>
    <xf numFmtId="164" fontId="26" fillId="6" borderId="2" xfId="0" applyNumberFormat="1" applyFont="1" applyFill="1" applyBorder="1" applyAlignment="1">
      <alignment horizontal="center" vertical="center" wrapText="1"/>
    </xf>
    <xf numFmtId="164" fontId="14" fillId="6" borderId="2" xfId="0" applyNumberFormat="1" applyFont="1" applyFill="1" applyBorder="1" applyAlignment="1">
      <alignment horizontal="center" vertical="center" wrapText="1"/>
    </xf>
    <xf numFmtId="165" fontId="21" fillId="0" borderId="2" xfId="1" applyNumberFormat="1" applyFont="1" applyFill="1" applyBorder="1" applyAlignment="1">
      <alignment horizontal="left" vertical="center"/>
    </xf>
    <xf numFmtId="0" fontId="9" fillId="13" borderId="2" xfId="1" applyNumberFormat="1" applyFont="1" applyFill="1" applyBorder="1" applyAlignment="1">
      <alignment horizontal="center" vertical="center"/>
    </xf>
    <xf numFmtId="165" fontId="9" fillId="0" borderId="2" xfId="1" applyNumberFormat="1" applyFont="1" applyFill="1" applyBorder="1" applyAlignment="1">
      <alignment horizontal="left" vertical="center"/>
    </xf>
    <xf numFmtId="0" fontId="0" fillId="13" borderId="0" xfId="0" applyFill="1" applyAlignment="1">
      <alignment horizontal="center"/>
    </xf>
    <xf numFmtId="0" fontId="10" fillId="16" borderId="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164" fontId="18" fillId="16" borderId="2" xfId="0" applyNumberFormat="1" applyFont="1" applyFill="1" applyBorder="1" applyAlignment="1">
      <alignment horizontal="center" vertical="center"/>
    </xf>
    <xf numFmtId="164" fontId="30" fillId="16" borderId="2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64" fontId="18" fillId="6" borderId="2" xfId="0" applyNumberFormat="1" applyFont="1" applyFill="1" applyBorder="1" applyAlignment="1">
      <alignment horizontal="center" vertical="center"/>
    </xf>
    <xf numFmtId="164" fontId="18" fillId="6" borderId="2" xfId="0" applyNumberFormat="1" applyFont="1" applyFill="1" applyBorder="1" applyAlignment="1">
      <alignment horizontal="center" vertical="center" wrapText="1"/>
    </xf>
    <xf numFmtId="164" fontId="30" fillId="6" borderId="2" xfId="0" applyNumberFormat="1" applyFont="1" applyFill="1" applyBorder="1" applyAlignment="1">
      <alignment horizontal="center" vertical="center" wrapText="1"/>
    </xf>
    <xf numFmtId="164" fontId="10" fillId="6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 vertical="center"/>
    </xf>
    <xf numFmtId="0" fontId="2" fillId="18" borderId="26" xfId="0" applyFont="1" applyFill="1" applyBorder="1" applyAlignment="1">
      <alignment horizontal="center" vertical="center"/>
    </xf>
    <xf numFmtId="164" fontId="10" fillId="16" borderId="2" xfId="0" applyNumberFormat="1" applyFont="1" applyFill="1" applyBorder="1" applyAlignment="1">
      <alignment horizontal="left" vertical="center" wrapText="1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31" fillId="4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44" fontId="7" fillId="5" borderId="2" xfId="1" applyFont="1" applyFill="1" applyBorder="1" applyAlignment="1">
      <alignment horizontal="center" vertical="center" wrapText="1"/>
    </xf>
    <xf numFmtId="165" fontId="9" fillId="5" borderId="2" xfId="1" applyNumberFormat="1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center" vertical="center"/>
    </xf>
    <xf numFmtId="44" fontId="5" fillId="2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1" applyNumberFormat="1" applyFont="1" applyFill="1" applyBorder="1" applyAlignment="1">
      <alignment horizontal="center" vertical="center" wrapText="1"/>
    </xf>
    <xf numFmtId="44" fontId="5" fillId="2" borderId="2" xfId="0" applyNumberFormat="1" applyFont="1" applyFill="1" applyBorder="1" applyAlignment="1">
      <alignment horizontal="center" vertical="center"/>
    </xf>
    <xf numFmtId="165" fontId="9" fillId="3" borderId="2" xfId="1" applyNumberFormat="1" applyFont="1" applyFill="1" applyBorder="1" applyAlignment="1">
      <alignment horizontal="center" vertical="center"/>
    </xf>
    <xf numFmtId="44" fontId="5" fillId="13" borderId="2" xfId="0" applyNumberFormat="1" applyFont="1" applyFill="1" applyBorder="1" applyAlignment="1">
      <alignment horizontal="center" vertical="center" wrapText="1"/>
    </xf>
    <xf numFmtId="165" fontId="9" fillId="13" borderId="2" xfId="1" applyNumberFormat="1" applyFont="1" applyFill="1" applyBorder="1" applyAlignment="1">
      <alignment horizontal="center" vertical="center"/>
    </xf>
    <xf numFmtId="44" fontId="5" fillId="2" borderId="2" xfId="0" applyNumberFormat="1" applyFont="1" applyFill="1" applyBorder="1" applyAlignment="1">
      <alignment horizontal="center" vertical="center" wrapText="1"/>
    </xf>
    <xf numFmtId="44" fontId="7" fillId="0" borderId="2" xfId="0" applyNumberFormat="1" applyFont="1" applyBorder="1" applyAlignment="1">
      <alignment horizontal="center" vertical="center"/>
    </xf>
    <xf numFmtId="44" fontId="5" fillId="5" borderId="2" xfId="0" applyNumberFormat="1" applyFont="1" applyFill="1" applyBorder="1" applyAlignment="1">
      <alignment horizontal="center" vertical="center" wrapText="1"/>
    </xf>
    <xf numFmtId="44" fontId="7" fillId="5" borderId="2" xfId="0" applyNumberFormat="1" applyFont="1" applyFill="1" applyBorder="1" applyAlignment="1">
      <alignment horizontal="center" vertical="center"/>
    </xf>
    <xf numFmtId="44" fontId="28" fillId="0" borderId="0" xfId="0" applyNumberFormat="1" applyFont="1"/>
    <xf numFmtId="0" fontId="17" fillId="11" borderId="2" xfId="0" applyFont="1" applyFill="1" applyBorder="1" applyAlignment="1">
      <alignment horizontal="center"/>
    </xf>
    <xf numFmtId="44" fontId="5" fillId="13" borderId="2" xfId="0" applyNumberFormat="1" applyFont="1" applyFill="1" applyBorder="1" applyAlignment="1">
      <alignment horizontal="right" vertical="center" wrapText="1"/>
    </xf>
    <xf numFmtId="165" fontId="21" fillId="3" borderId="2" xfId="1" applyNumberFormat="1" applyFont="1" applyFill="1" applyBorder="1" applyAlignment="1">
      <alignment horizontal="center" vertical="center"/>
    </xf>
    <xf numFmtId="165" fontId="21" fillId="5" borderId="2" xfId="1" applyNumberFormat="1" applyFont="1" applyFill="1" applyBorder="1" applyAlignment="1">
      <alignment horizontal="center" vertical="center"/>
    </xf>
    <xf numFmtId="164" fontId="10" fillId="16" borderId="2" xfId="0" applyNumberFormat="1" applyFont="1" applyFill="1" applyBorder="1" applyAlignment="1">
      <alignment horizontal="center" vertical="center" wrapText="1"/>
    </xf>
    <xf numFmtId="14" fontId="9" fillId="12" borderId="2" xfId="0" applyNumberFormat="1" applyFont="1" applyFill="1" applyBorder="1" applyAlignment="1">
      <alignment horizontal="center" vertical="center"/>
    </xf>
    <xf numFmtId="0" fontId="9" fillId="12" borderId="2" xfId="1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12" fillId="8" borderId="2" xfId="2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wrapText="1"/>
    </xf>
    <xf numFmtId="0" fontId="14" fillId="8" borderId="7" xfId="0" applyFont="1" applyFill="1" applyBorder="1" applyAlignment="1">
      <alignment horizontal="center" wrapText="1"/>
    </xf>
    <xf numFmtId="0" fontId="14" fillId="8" borderId="8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14" fontId="9" fillId="12" borderId="10" xfId="0" applyNumberFormat="1" applyFont="1" applyFill="1" applyBorder="1" applyAlignment="1">
      <alignment horizontal="center" vertical="center"/>
    </xf>
    <xf numFmtId="0" fontId="9" fillId="12" borderId="10" xfId="1" applyNumberFormat="1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/>
    </xf>
    <xf numFmtId="0" fontId="24" fillId="15" borderId="7" xfId="0" applyFont="1" applyFill="1" applyBorder="1" applyAlignment="1">
      <alignment horizontal="center" vertical="center"/>
    </xf>
    <xf numFmtId="0" fontId="24" fillId="15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14" fontId="6" fillId="1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2" fillId="8" borderId="6" xfId="2" applyFont="1" applyFill="1" applyBorder="1" applyAlignment="1">
      <alignment horizontal="center"/>
    </xf>
    <xf numFmtId="0" fontId="12" fillId="8" borderId="12" xfId="2" applyFont="1" applyFill="1" applyBorder="1" applyAlignment="1">
      <alignment horizontal="center"/>
    </xf>
    <xf numFmtId="0" fontId="12" fillId="8" borderId="19" xfId="2" applyFont="1" applyFill="1" applyBorder="1" applyAlignment="1">
      <alignment horizontal="center"/>
    </xf>
    <xf numFmtId="0" fontId="6" fillId="12" borderId="2" xfId="1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14" fontId="9" fillId="10" borderId="3" xfId="0" applyNumberFormat="1" applyFont="1" applyFill="1" applyBorder="1" applyAlignment="1">
      <alignment horizontal="center" vertical="center"/>
    </xf>
    <xf numFmtId="14" fontId="9" fillId="10" borderId="7" xfId="0" applyNumberFormat="1" applyFont="1" applyFill="1" applyBorder="1" applyAlignment="1">
      <alignment horizontal="center" vertical="center"/>
    </xf>
    <xf numFmtId="14" fontId="9" fillId="10" borderId="8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/>
    </xf>
    <xf numFmtId="14" fontId="10" fillId="8" borderId="7" xfId="0" applyNumberFormat="1" applyFont="1" applyFill="1" applyBorder="1" applyAlignment="1">
      <alignment horizontal="center" vertical="center"/>
    </xf>
    <xf numFmtId="14" fontId="10" fillId="8" borderId="8" xfId="0" applyNumberFormat="1" applyFont="1" applyFill="1" applyBorder="1" applyAlignment="1">
      <alignment horizontal="center" vertical="center"/>
    </xf>
    <xf numFmtId="14" fontId="10" fillId="10" borderId="3" xfId="0" applyNumberFormat="1" applyFont="1" applyFill="1" applyBorder="1" applyAlignment="1">
      <alignment horizontal="center" vertical="center" wrapText="1"/>
    </xf>
    <xf numFmtId="14" fontId="10" fillId="10" borderId="7" xfId="0" applyNumberFormat="1" applyFont="1" applyFill="1" applyBorder="1" applyAlignment="1">
      <alignment horizontal="center" vertical="center" wrapText="1"/>
    </xf>
    <xf numFmtId="14" fontId="10" fillId="10" borderId="8" xfId="0" applyNumberFormat="1" applyFont="1" applyFill="1" applyBorder="1" applyAlignment="1">
      <alignment horizontal="center" vertical="center" wrapText="1"/>
    </xf>
    <xf numFmtId="14" fontId="6" fillId="12" borderId="10" xfId="0" applyNumberFormat="1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8" borderId="4" xfId="2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wrapText="1"/>
    </xf>
    <xf numFmtId="14" fontId="10" fillId="8" borderId="3" xfId="0" applyNumberFormat="1" applyFont="1" applyFill="1" applyBorder="1" applyAlignment="1">
      <alignment horizontal="center" vertical="center" wrapText="1"/>
    </xf>
    <xf numFmtId="14" fontId="10" fillId="8" borderId="7" xfId="0" applyNumberFormat="1" applyFont="1" applyFill="1" applyBorder="1" applyAlignment="1">
      <alignment horizontal="center" vertical="center" wrapText="1"/>
    </xf>
    <xf numFmtId="14" fontId="10" fillId="8" borderId="8" xfId="0" applyNumberFormat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4" fillId="15" borderId="3" xfId="0" applyFont="1" applyFill="1" applyBorder="1" applyAlignment="1">
      <alignment horizontal="center"/>
    </xf>
    <xf numFmtId="0" fontId="24" fillId="15" borderId="7" xfId="0" applyFont="1" applyFill="1" applyBorder="1" applyAlignment="1">
      <alignment horizontal="center"/>
    </xf>
    <xf numFmtId="0" fontId="24" fillId="15" borderId="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/>
    </xf>
    <xf numFmtId="0" fontId="9" fillId="18" borderId="26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2" fillId="17" borderId="2" xfId="2" applyFont="1" applyFill="1" applyBorder="1" applyAlignment="1">
      <alignment horizontal="center"/>
    </xf>
    <xf numFmtId="0" fontId="9" fillId="17" borderId="2" xfId="0" applyFont="1" applyFill="1" applyBorder="1" applyAlignment="1">
      <alignment horizontal="center"/>
    </xf>
    <xf numFmtId="0" fontId="14" fillId="17" borderId="2" xfId="0" applyFont="1" applyFill="1" applyBorder="1" applyAlignment="1">
      <alignment horizontal="center" wrapText="1"/>
    </xf>
    <xf numFmtId="0" fontId="9" fillId="17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/>
    </xf>
    <xf numFmtId="0" fontId="23" fillId="15" borderId="7" xfId="0" applyFont="1" applyFill="1" applyBorder="1" applyAlignment="1">
      <alignment horizontal="center"/>
    </xf>
    <xf numFmtId="0" fontId="23" fillId="15" borderId="8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7" fillId="8" borderId="3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44" fontId="17" fillId="2" borderId="2" xfId="0" applyNumberFormat="1" applyFont="1" applyFill="1" applyBorder="1"/>
    <xf numFmtId="44" fontId="17" fillId="2" borderId="2" xfId="0" applyNumberFormat="1" applyFont="1" applyFill="1" applyBorder="1" applyAlignment="1">
      <alignment horizontal="center"/>
    </xf>
    <xf numFmtId="0" fontId="27" fillId="8" borderId="3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25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Título" xfId="2" builtinId="15"/>
  </cellStyles>
  <dxfs count="3"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 xr9:uid="{00000000-0011-0000-FFFF-FFFF00000000}">
      <tableStyleElement type="wholeTable" dxfId="2"/>
      <tableStyleElement type="headerRow" dxfId="1"/>
      <tableStyleElement type="firstColumn" dxfId="0"/>
    </tableStyle>
  </tableStyles>
  <colors>
    <mruColors>
      <color rgb="FFFFFF99"/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>
                <a:solidFill>
                  <a:schemeClr val="tx1"/>
                </a:solidFill>
                <a:effectLst>
                  <a:outerShdw blurRad="50800" dist="38100" dir="18900000" algn="bl" rotWithShape="0">
                    <a:prstClr val="black">
                      <a:alpha val="40000"/>
                    </a:prstClr>
                  </a:outerShdw>
                </a:effectLst>
              </a:rPr>
              <a:t>TRANS/EFECT ANUAL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137276583348937"/>
          <c:y val="0.12583682008368202"/>
          <c:w val="0.78273215564928678"/>
          <c:h val="0.60427195554530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'TRANSF.EFECT DE COMBUSTIBLE '!$C$1:$C$3</c:f>
              <c:strCache>
                <c:ptCount val="3"/>
                <c:pt idx="1">
                  <c:v>PAGOS MENSUAL 2026</c:v>
                </c:pt>
                <c:pt idx="2">
                  <c:v>MONTO EN PESOS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'TRANSF.EFECT DE COMBUSTIBLE '!$A$4:$B$15</c15:sqref>
                  </c15:fullRef>
                  <c15:levelRef>
                    <c15:sqref>'TRANSF.EFECT DE COMBUSTIBLE '!$A$4:$A$15</c15:sqref>
                  </c15:levelRef>
                </c:ext>
              </c:extLst>
              <c:f>'TRANSF.EFECT DE COMBUSTIBLE '!$A$4:$A$15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 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'TRANSF.EFECT DE COMBUSTIBLE '!$C$4:$C$15</c:f>
              <c:numCache>
                <c:formatCode>_("$"* #,##0.00_);_("$"* \(#,##0.00\);_("$"* "-"??_);_(@_)</c:formatCode>
                <c:ptCount val="12"/>
                <c:pt idx="0">
                  <c:v>14275896.49</c:v>
                </c:pt>
                <c:pt idx="1">
                  <c:v>23928880.600000001</c:v>
                </c:pt>
                <c:pt idx="2">
                  <c:v>27277839.100000001</c:v>
                </c:pt>
                <c:pt idx="3">
                  <c:v>22000000</c:v>
                </c:pt>
                <c:pt idx="4">
                  <c:v>23048710.66</c:v>
                </c:pt>
                <c:pt idx="5">
                  <c:v>9294999.3000000007</c:v>
                </c:pt>
                <c:pt idx="6">
                  <c:v>17810118.539999999</c:v>
                </c:pt>
                <c:pt idx="7">
                  <c:v>15598920.98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5-4970-9A81-1A7D348AB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622688"/>
        <c:axId val="745609728"/>
      </c:barChart>
      <c:lineChart>
        <c:grouping val="standard"/>
        <c:varyColors val="0"/>
        <c:ser>
          <c:idx val="1"/>
          <c:order val="1"/>
          <c:tx>
            <c:strRef>
              <c:f>'TRANSF.EFECT DE COMBUSTIBLE '!$D$1:$D$3</c:f>
              <c:strCache>
                <c:ptCount val="3"/>
                <c:pt idx="1">
                  <c:v>PAGOS MENSUAL 2026</c:v>
                </c:pt>
                <c:pt idx="2">
                  <c:v>PORCENTAJE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'TRANSF.EFECT DE COMBUSTIBLE '!$A$4:$B$15</c15:sqref>
                  </c15:fullRef>
                  <c15:levelRef>
                    <c15:sqref>'TRANSF.EFECT DE COMBUSTIBLE '!$A$4:$A$15</c15:sqref>
                  </c15:levelRef>
                </c:ext>
              </c:extLst>
              <c:f>'TRANSF.EFECT DE COMBUSTIBLE '!$A$4:$A$15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 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'TRANSF.EFECT DE COMBUSTIBLE '!$D$4:$D$15</c:f>
              <c:numCache>
                <c:formatCode>0.0%</c:formatCode>
                <c:ptCount val="12"/>
                <c:pt idx="0">
                  <c:v>9.3163196547876914E-2</c:v>
                </c:pt>
                <c:pt idx="1">
                  <c:v>0.15615768915598793</c:v>
                </c:pt>
                <c:pt idx="2">
                  <c:v>0.17801268643652529</c:v>
                </c:pt>
                <c:pt idx="3">
                  <c:v>0.14356999054237973</c:v>
                </c:pt>
                <c:pt idx="4">
                  <c:v>0.15041378052137488</c:v>
                </c:pt>
                <c:pt idx="5">
                  <c:v>6.0658316436019384E-2</c:v>
                </c:pt>
                <c:pt idx="6">
                  <c:v>0.11622720683393009</c:v>
                </c:pt>
                <c:pt idx="7">
                  <c:v>0.10179713352590587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5-4970-9A81-1A7D348AB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625568"/>
        <c:axId val="745618848"/>
      </c:lineChart>
      <c:catAx>
        <c:axId val="7456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09728"/>
        <c:crosses val="autoZero"/>
        <c:auto val="1"/>
        <c:lblAlgn val="ctr"/>
        <c:lblOffset val="100"/>
        <c:noMultiLvlLbl val="0"/>
      </c:catAx>
      <c:valAx>
        <c:axId val="7456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22688"/>
        <c:crosses val="autoZero"/>
        <c:crossBetween val="between"/>
      </c:valAx>
      <c:valAx>
        <c:axId val="74561884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25568"/>
        <c:crosses val="max"/>
        <c:crossBetween val="between"/>
      </c:valAx>
      <c:catAx>
        <c:axId val="745625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5618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>
                  <a:glow rad="63500">
                    <a:schemeClr val="accent3">
                      <a:lumMod val="40000"/>
                      <a:lumOff val="60000"/>
                      <a:alpha val="40000"/>
                    </a:scheme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chemeClr val="tx1"/>
                </a:solidFill>
                <a:effectLst>
                  <a:glow rad="63500">
                    <a:schemeClr val="accent3">
                      <a:lumMod val="40000"/>
                      <a:lumOff val="60000"/>
                      <a:alpha val="40000"/>
                    </a:scheme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a:rPr>
              <a:t>CONSUMO</a:t>
            </a:r>
            <a:r>
              <a:rPr lang="es-AR" baseline="0">
                <a:solidFill>
                  <a:schemeClr val="tx1"/>
                </a:solidFill>
                <a:effectLst>
                  <a:glow rad="63500">
                    <a:schemeClr val="accent3">
                      <a:lumMod val="40000"/>
                      <a:lumOff val="60000"/>
                      <a:alpha val="40000"/>
                    </a:scheme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a:rPr>
              <a:t> EN PESOS ANUAL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>
                <a:glow rad="63500">
                  <a:schemeClr val="accent3">
                    <a:lumMod val="40000"/>
                    <a:lumOff val="60000"/>
                    <a:alpha val="40000"/>
                  </a:scheme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'CONSUMO DE COMBUSTIBLE EN PESOS'!$C$1:$C$3</c:f>
              <c:strCache>
                <c:ptCount val="3"/>
                <c:pt idx="1">
                  <c:v>CONSUMO MENSUAL 2026</c:v>
                </c:pt>
                <c:pt idx="2">
                  <c:v>MONTO EN PESOS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'CONSUMO DE COMBUSTIBLE EN PESOS'!$A$4:$B$15</c15:sqref>
                  </c15:fullRef>
                  <c15:levelRef>
                    <c15:sqref>'CONSUMO DE COMBUSTIBLE EN PESOS'!$A$4:$A$15</c15:sqref>
                  </c15:levelRef>
                </c:ext>
              </c:extLst>
              <c:f>'CONSUMO DE COMBUSTIBLE EN PESOS'!$A$4:$A$15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 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'CONSUMO DE COMBUSTIBLE EN PESOS'!$C$4:$C$15</c:f>
              <c:numCache>
                <c:formatCode>_("$"* #,##0.00_);_("$"* \(#,##0.00\);_("$"* "-"??_);_(@_)</c:formatCode>
                <c:ptCount val="12"/>
                <c:pt idx="0">
                  <c:v>14847293.590000005</c:v>
                </c:pt>
                <c:pt idx="1">
                  <c:v>20991041.500000007</c:v>
                </c:pt>
                <c:pt idx="2">
                  <c:v>27749587.862999991</c:v>
                </c:pt>
                <c:pt idx="3">
                  <c:v>21851289.34</c:v>
                </c:pt>
                <c:pt idx="4">
                  <c:v>22753711.359999973</c:v>
                </c:pt>
                <c:pt idx="5">
                  <c:v>9476680.1499999985</c:v>
                </c:pt>
                <c:pt idx="6">
                  <c:v>18559835.300000001</c:v>
                </c:pt>
                <c:pt idx="7">
                  <c:v>15859923.560000001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1-4A19-AEAD-222F0FE9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622688"/>
        <c:axId val="745609728"/>
      </c:barChart>
      <c:lineChart>
        <c:grouping val="standard"/>
        <c:varyColors val="0"/>
        <c:ser>
          <c:idx val="1"/>
          <c:order val="1"/>
          <c:tx>
            <c:strRef>
              <c:f>'CONSUMO DE COMBUSTIBLE EN PESOS'!$D$1:$D$3</c:f>
              <c:strCache>
                <c:ptCount val="3"/>
                <c:pt idx="1">
                  <c:v>CONSUMO MENSUAL 2026</c:v>
                </c:pt>
                <c:pt idx="2">
                  <c:v>PORCENTAJE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'CONSUMO DE COMBUSTIBLE EN PESOS'!$A$4:$B$15</c15:sqref>
                  </c15:fullRef>
                  <c15:levelRef>
                    <c15:sqref>'CONSUMO DE COMBUSTIBLE EN PESOS'!$A$4:$A$15</c15:sqref>
                  </c15:levelRef>
                </c:ext>
              </c:extLst>
              <c:f>'CONSUMO DE COMBUSTIBLE EN PESOS'!$A$4:$A$15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 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'CONSUMO DE COMBUSTIBLE EN PESOS'!$D$4:$D$15</c:f>
              <c:numCache>
                <c:formatCode>0.0%</c:formatCode>
                <c:ptCount val="12"/>
                <c:pt idx="0">
                  <c:v>9.7622169821953153E-2</c:v>
                </c:pt>
                <c:pt idx="1">
                  <c:v>0.13801781487185275</c:v>
                </c:pt>
                <c:pt idx="2">
                  <c:v>0.1824558100390466</c:v>
                </c:pt>
                <c:pt idx="3">
                  <c:v>0.14367401478575556</c:v>
                </c:pt>
                <c:pt idx="4">
                  <c:v>0.14960751338288994</c:v>
                </c:pt>
                <c:pt idx="5">
                  <c:v>6.2309947152572737E-2</c:v>
                </c:pt>
                <c:pt idx="6">
                  <c:v>0.12203243524088488</c:v>
                </c:pt>
                <c:pt idx="7">
                  <c:v>0.10428029470504431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D1-4A19-AEAD-222F0FE9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625568"/>
        <c:axId val="745618848"/>
      </c:lineChart>
      <c:catAx>
        <c:axId val="7456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09728"/>
        <c:crosses val="autoZero"/>
        <c:auto val="1"/>
        <c:lblAlgn val="ctr"/>
        <c:lblOffset val="100"/>
        <c:noMultiLvlLbl val="0"/>
      </c:catAx>
      <c:valAx>
        <c:axId val="7456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22688"/>
        <c:crosses val="autoZero"/>
        <c:crossBetween val="between"/>
      </c:valAx>
      <c:valAx>
        <c:axId val="74561884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25568"/>
        <c:crosses val="max"/>
        <c:crossBetween val="between"/>
      </c:valAx>
      <c:catAx>
        <c:axId val="745625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5618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>
                  <a:glow rad="63500">
                    <a:schemeClr val="accent3">
                      <a:lumMod val="40000"/>
                      <a:lumOff val="60000"/>
                      <a:alpha val="40000"/>
                    </a:scheme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chemeClr val="tx1"/>
                </a:solidFill>
                <a:effectLst>
                  <a:glow rad="63500">
                    <a:schemeClr val="accent3">
                      <a:lumMod val="40000"/>
                      <a:lumOff val="60000"/>
                      <a:alpha val="40000"/>
                    </a:scheme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a:rPr>
              <a:t>CONSUMO</a:t>
            </a:r>
            <a:r>
              <a:rPr lang="es-AR" baseline="0">
                <a:solidFill>
                  <a:schemeClr val="tx1"/>
                </a:solidFill>
                <a:effectLst>
                  <a:glow rad="63500">
                    <a:schemeClr val="accent3">
                      <a:lumMod val="40000"/>
                      <a:lumOff val="60000"/>
                      <a:alpha val="40000"/>
                    </a:scheme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a:rPr>
              <a:t> DE LITROS ANUAL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>
                <a:glow rad="63500">
                  <a:schemeClr val="accent3">
                    <a:lumMod val="40000"/>
                    <a:lumOff val="60000"/>
                    <a:alpha val="40000"/>
                  </a:scheme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'CONSUMO DE LITROS'!$C$1:$C$3</c:f>
              <c:strCache>
                <c:ptCount val="3"/>
                <c:pt idx="1">
                  <c:v>LITROS MENSUAL 2026</c:v>
                </c:pt>
                <c:pt idx="2">
                  <c:v>MONTO EN LITROS (LTS)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'CONSUMO DE LITROS'!$A$4:$B$15</c15:sqref>
                  </c15:fullRef>
                  <c15:levelRef>
                    <c15:sqref>'CONSUMO DE LITROS'!$A$4:$A$15</c15:sqref>
                  </c15:levelRef>
                </c:ext>
              </c:extLst>
              <c:f>'CONSUMO DE LITROS'!$A$4:$A$15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 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'CONSUMO DE LITROS'!$C$4:$C$15</c:f>
              <c:numCache>
                <c:formatCode>General</c:formatCode>
                <c:ptCount val="12"/>
                <c:pt idx="0">
                  <c:v>7615.8795000000009</c:v>
                </c:pt>
                <c:pt idx="1">
                  <c:v>10735.877600000002</c:v>
                </c:pt>
                <c:pt idx="2">
                  <c:v>13158.279500000001</c:v>
                </c:pt>
                <c:pt idx="3">
                  <c:v>9192.929100000003</c:v>
                </c:pt>
                <c:pt idx="4">
                  <c:v>9700.7540000000008</c:v>
                </c:pt>
                <c:pt idx="5">
                  <c:v>4009.9589000000001</c:v>
                </c:pt>
                <c:pt idx="6">
                  <c:v>7045.5676999999996</c:v>
                </c:pt>
                <c:pt idx="7">
                  <c:v>6487.9498999999996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F-4C64-B02D-0ED52DA6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622688"/>
        <c:axId val="745609728"/>
      </c:barChart>
      <c:lineChart>
        <c:grouping val="standard"/>
        <c:varyColors val="0"/>
        <c:ser>
          <c:idx val="1"/>
          <c:order val="1"/>
          <c:tx>
            <c:strRef>
              <c:f>'CONSUMO DE LITROS'!$D$1:$D$3</c:f>
              <c:strCache>
                <c:ptCount val="3"/>
                <c:pt idx="1">
                  <c:v>LITROS MENSUAL 2026</c:v>
                </c:pt>
                <c:pt idx="2">
                  <c:v>PORCENTAJE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'CONSUMO DE LITROS'!$A$4:$B$15</c15:sqref>
                  </c15:fullRef>
                  <c15:levelRef>
                    <c15:sqref>'CONSUMO DE LITROS'!$A$4:$A$15</c15:sqref>
                  </c15:levelRef>
                </c:ext>
              </c:extLst>
              <c:f>'CONSUMO DE LITROS'!$A$4:$A$15</c:f>
              <c:strCache>
                <c:ptCount val="12"/>
                <c:pt idx="0">
                  <c:v>ENERO </c:v>
                </c:pt>
                <c:pt idx="1">
                  <c:v>FEBRERO 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 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'CONSUMO DE LITROS'!$D$4:$D$15</c:f>
              <c:numCache>
                <c:formatCode>0.0%</c:formatCode>
                <c:ptCount val="12"/>
                <c:pt idx="0">
                  <c:v>0.11208526511650234</c:v>
                </c:pt>
                <c:pt idx="1">
                  <c:v>0.15800324664463491</c:v>
                </c:pt>
                <c:pt idx="2">
                  <c:v>0.19365448813029904</c:v>
                </c:pt>
                <c:pt idx="3">
                  <c:v>0.13529519412310942</c:v>
                </c:pt>
                <c:pt idx="4">
                  <c:v>0.14276901097502534</c:v>
                </c:pt>
                <c:pt idx="5">
                  <c:v>5.9015811163080779E-2</c:v>
                </c:pt>
                <c:pt idx="6">
                  <c:v>0.1036918091404631</c:v>
                </c:pt>
                <c:pt idx="7">
                  <c:v>9.5485174706885098E-2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F-4C64-B02D-0ED52DA6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625568"/>
        <c:axId val="745618848"/>
      </c:lineChart>
      <c:catAx>
        <c:axId val="7456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09728"/>
        <c:crosses val="autoZero"/>
        <c:auto val="1"/>
        <c:lblAlgn val="ctr"/>
        <c:lblOffset val="100"/>
        <c:noMultiLvlLbl val="0"/>
      </c:catAx>
      <c:valAx>
        <c:axId val="7456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22688"/>
        <c:crosses val="autoZero"/>
        <c:crossBetween val="between"/>
      </c:valAx>
      <c:valAx>
        <c:axId val="74561884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25568"/>
        <c:crosses val="max"/>
        <c:crossBetween val="between"/>
      </c:valAx>
      <c:catAx>
        <c:axId val="745625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5618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458709468039182E-2"/>
          <c:y val="0.91533646060199936"/>
          <c:w val="0.85907937978340942"/>
          <c:h val="5.9840844362539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7620</xdr:colOff>
      <xdr:row>4</xdr:row>
      <xdr:rowOff>22861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B7FDE5-74CB-4AF9-9421-458BBED2C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56920" cy="754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12</xdr:col>
      <xdr:colOff>655320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447F0-6E64-4800-B1C5-0F26C11FA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"/>
          <a:ext cx="12938760" cy="72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15240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4684E5-788A-4D38-B68A-BB4E7DBF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7340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7620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6B5F2F-80F5-427B-AAC6-4639AABDA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61620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74A49A-1EFB-4999-8D14-B4133DEF4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35840" cy="731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13</xdr:col>
      <xdr:colOff>30480</xdr:colOff>
      <xdr:row>3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FE38AD-E0E3-40A5-BEB7-4BE4941B2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"/>
          <a:ext cx="12862560" cy="7086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4</xdr:row>
      <xdr:rowOff>3354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3E7B01-67BB-44A3-82C1-943437300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57860" cy="7348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4</xdr:row>
      <xdr:rowOff>4263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F964DE-E9DA-4C9A-91E2-35CA85040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05857" cy="7584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3</xdr:row>
      <xdr:rowOff>166398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0F8B4C-17B8-4FBD-88E5-CCDAFA64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99820" cy="7150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</xdr:colOff>
      <xdr:row>3</xdr:row>
      <xdr:rowOff>166398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463020-3CCA-489F-9EE8-E14333E8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53160" cy="7150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</xdr:colOff>
      <xdr:row>3</xdr:row>
      <xdr:rowOff>166398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DF63F6-16F7-47D2-9845-46B3F9D73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53160" cy="7150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</xdr:colOff>
      <xdr:row>3</xdr:row>
      <xdr:rowOff>166398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C14E30-2BF0-4E76-9566-B4622EDFA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53160" cy="7150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</xdr:colOff>
      <xdr:row>3</xdr:row>
      <xdr:rowOff>166398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E988B0-4D51-4B98-8286-FD54D837A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53160" cy="71503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1242060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3D6EA8-63E9-4B85-8583-A287BD8C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71360" cy="594360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17</xdr:row>
      <xdr:rowOff>7620</xdr:rowOff>
    </xdr:from>
    <xdr:to>
      <xdr:col>3</xdr:col>
      <xdr:colOff>1249680</xdr:colOff>
      <xdr:row>37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C6F632-B6D6-4E26-AFED-661A7A557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38100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932243-7B61-4DB4-9FCE-629F0C719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44740" cy="594360"/>
        </a:xfrm>
        <a:prstGeom prst="rect">
          <a:avLst/>
        </a:prstGeom>
      </xdr:spPr>
    </xdr:pic>
    <xdr:clientData/>
  </xdr:twoCellAnchor>
  <xdr:twoCellAnchor>
    <xdr:from>
      <xdr:col>0</xdr:col>
      <xdr:colOff>7620</xdr:colOff>
      <xdr:row>17</xdr:row>
      <xdr:rowOff>0</xdr:rowOff>
    </xdr:from>
    <xdr:to>
      <xdr:col>3</xdr:col>
      <xdr:colOff>1234440</xdr:colOff>
      <xdr:row>37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5B612C-05A0-4837-8414-D07DC69C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30480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43BE65-042D-407D-B46F-60DFEA435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06640" cy="594360"/>
        </a:xfrm>
        <a:prstGeom prst="rect">
          <a:avLst/>
        </a:prstGeom>
      </xdr:spPr>
    </xdr:pic>
    <xdr:clientData/>
  </xdr:twoCellAnchor>
  <xdr:twoCellAnchor>
    <xdr:from>
      <xdr:col>0</xdr:col>
      <xdr:colOff>7620</xdr:colOff>
      <xdr:row>16</xdr:row>
      <xdr:rowOff>175260</xdr:rowOff>
    </xdr:from>
    <xdr:to>
      <xdr:col>3</xdr:col>
      <xdr:colOff>1409700</xdr:colOff>
      <xdr:row>37</xdr:row>
      <xdr:rowOff>7620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1181E1-1DCB-425D-1506-22DF23F13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91440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9980" cy="6400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5:O293"/>
  <sheetViews>
    <sheetView showGridLines="0" topLeftCell="A238" zoomScaleNormal="100" workbookViewId="0">
      <selection activeCell="F245" sqref="F24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cols>
    <col min="1" max="1" width="10.5546875" style="64" customWidth="1"/>
    <col min="2" max="2" width="8.33203125" style="64" customWidth="1"/>
    <col min="3" max="3" width="16.6640625" style="74" customWidth="1"/>
    <col min="4" max="4" width="18.44140625" bestFit="1" customWidth="1"/>
    <col min="5" max="6" width="16.6640625" customWidth="1"/>
    <col min="7" max="7" width="15.6640625" customWidth="1"/>
    <col min="8" max="8" width="10" bestFit="1" customWidth="1"/>
    <col min="9" max="9" width="27.6640625" style="3" bestFit="1" customWidth="1"/>
    <col min="10" max="10" width="4.44140625" style="72" customWidth="1"/>
    <col min="11" max="11" width="24.109375" bestFit="1" customWidth="1"/>
    <col min="12" max="12" width="15.33203125" bestFit="1" customWidth="1"/>
  </cols>
  <sheetData>
    <row r="5" spans="1:13" ht="23.4" x14ac:dyDescent="0.45">
      <c r="A5" s="519" t="s">
        <v>872</v>
      </c>
      <c r="B5" s="519"/>
      <c r="C5" s="519"/>
      <c r="D5" s="519"/>
      <c r="E5" s="519"/>
      <c r="F5" s="519"/>
      <c r="G5" s="519"/>
      <c r="H5" s="519"/>
      <c r="I5" s="519"/>
      <c r="J5" s="113"/>
      <c r="K5" s="513" t="s">
        <v>197</v>
      </c>
      <c r="L5" s="514"/>
      <c r="M5" s="515"/>
    </row>
    <row r="6" spans="1:13" ht="18" customHeight="1" x14ac:dyDescent="0.35">
      <c r="A6" s="521" t="s">
        <v>19</v>
      </c>
      <c r="B6" s="522"/>
      <c r="C6" s="522"/>
      <c r="D6" s="522"/>
      <c r="E6" s="522"/>
      <c r="F6" s="522"/>
      <c r="G6" s="522"/>
      <c r="H6" s="522"/>
      <c r="I6" s="523"/>
      <c r="J6" s="108"/>
      <c r="K6" s="520" t="s">
        <v>34</v>
      </c>
      <c r="L6" s="520"/>
      <c r="M6" s="520"/>
    </row>
    <row r="7" spans="1:13" x14ac:dyDescent="0.3">
      <c r="A7" s="260" t="s">
        <v>13</v>
      </c>
      <c r="B7" s="260" t="s">
        <v>284</v>
      </c>
      <c r="C7" s="260" t="s">
        <v>63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9.95" hidden="1" customHeight="1" thickBot="1" x14ac:dyDescent="0.35">
      <c r="A8" s="261"/>
      <c r="B8" s="261"/>
      <c r="C8" s="262"/>
      <c r="D8" s="257" t="s">
        <v>21</v>
      </c>
      <c r="E8" s="259"/>
      <c r="F8" s="263"/>
      <c r="G8" s="258">
        <f>SUM(E8:F8)</f>
        <v>0</v>
      </c>
      <c r="H8" s="36"/>
      <c r="I8" s="36"/>
      <c r="J8"/>
      <c r="K8" s="69"/>
      <c r="L8" s="1"/>
      <c r="M8" s="1"/>
    </row>
    <row r="9" spans="1:13" hidden="1" x14ac:dyDescent="0.3">
      <c r="A9" s="264"/>
      <c r="B9" s="264"/>
      <c r="C9" s="44"/>
      <c r="D9" s="265"/>
      <c r="E9" s="22"/>
      <c r="F9" s="266"/>
      <c r="G9" s="267">
        <f t="shared" ref="G9:G56" si="0">+G8+E9-F9</f>
        <v>0</v>
      </c>
      <c r="H9" s="268"/>
      <c r="I9" s="38"/>
      <c r="J9" s="110"/>
      <c r="K9" s="69"/>
      <c r="L9" s="1"/>
      <c r="M9" s="1"/>
    </row>
    <row r="10" spans="1:13" hidden="1" x14ac:dyDescent="0.3">
      <c r="A10" s="269"/>
      <c r="B10" s="269"/>
      <c r="C10" s="41"/>
      <c r="D10" s="127"/>
      <c r="E10" s="23"/>
      <c r="F10" s="270"/>
      <c r="G10" s="271">
        <f t="shared" si="0"/>
        <v>0</v>
      </c>
      <c r="H10" s="208"/>
      <c r="I10" s="10"/>
      <c r="J10" s="110"/>
      <c r="K10" s="69"/>
      <c r="L10" s="1"/>
      <c r="M10" s="1"/>
    </row>
    <row r="11" spans="1:13" hidden="1" x14ac:dyDescent="0.3">
      <c r="A11" s="269"/>
      <c r="B11" s="269"/>
      <c r="C11" s="41"/>
      <c r="D11" s="127"/>
      <c r="E11" s="23"/>
      <c r="F11" s="270"/>
      <c r="G11" s="271">
        <f t="shared" si="0"/>
        <v>0</v>
      </c>
      <c r="H11" s="208"/>
      <c r="I11" s="10"/>
      <c r="J11" s="110"/>
      <c r="K11" s="69"/>
      <c r="L11" s="1"/>
      <c r="M11" s="1"/>
    </row>
    <row r="12" spans="1:13" hidden="1" x14ac:dyDescent="0.3">
      <c r="A12" s="269"/>
      <c r="B12" s="269"/>
      <c r="C12" s="41"/>
      <c r="D12" s="127"/>
      <c r="E12" s="23"/>
      <c r="F12" s="270"/>
      <c r="G12" s="271">
        <f t="shared" si="0"/>
        <v>0</v>
      </c>
      <c r="H12" s="208"/>
      <c r="I12" s="10"/>
      <c r="J12" s="110"/>
      <c r="K12" s="69"/>
      <c r="L12" s="1"/>
      <c r="M12" s="1"/>
    </row>
    <row r="13" spans="1:13" hidden="1" x14ac:dyDescent="0.3">
      <c r="A13" s="269"/>
      <c r="B13" s="269"/>
      <c r="C13" s="41"/>
      <c r="D13" s="127"/>
      <c r="E13" s="23"/>
      <c r="F13" s="270"/>
      <c r="G13" s="271">
        <f t="shared" si="0"/>
        <v>0</v>
      </c>
      <c r="H13" s="208"/>
      <c r="I13" s="10"/>
      <c r="J13" s="110"/>
      <c r="K13" s="69"/>
      <c r="L13" s="1"/>
      <c r="M13" s="1"/>
    </row>
    <row r="14" spans="1:13" hidden="1" x14ac:dyDescent="0.3">
      <c r="A14" s="269"/>
      <c r="B14" s="269"/>
      <c r="C14" s="41"/>
      <c r="D14" s="127"/>
      <c r="E14" s="23"/>
      <c r="F14" s="270"/>
      <c r="G14" s="271">
        <f t="shared" si="0"/>
        <v>0</v>
      </c>
      <c r="H14" s="208"/>
      <c r="I14" s="10"/>
      <c r="J14" s="110"/>
      <c r="K14" s="69"/>
      <c r="L14" s="1"/>
      <c r="M14" s="1"/>
    </row>
    <row r="15" spans="1:13" hidden="1" x14ac:dyDescent="0.3">
      <c r="A15" s="269"/>
      <c r="B15" s="269"/>
      <c r="C15" s="41"/>
      <c r="D15" s="127"/>
      <c r="E15" s="23"/>
      <c r="F15" s="270"/>
      <c r="G15" s="271">
        <f t="shared" si="0"/>
        <v>0</v>
      </c>
      <c r="H15" s="208"/>
      <c r="I15" s="10"/>
      <c r="J15" s="110"/>
      <c r="K15" s="69"/>
      <c r="L15" s="1"/>
      <c r="M15" s="1"/>
    </row>
    <row r="16" spans="1:13" hidden="1" x14ac:dyDescent="0.3">
      <c r="A16" s="269"/>
      <c r="B16" s="269"/>
      <c r="C16" s="41"/>
      <c r="D16" s="127"/>
      <c r="E16" s="23"/>
      <c r="F16" s="270"/>
      <c r="G16" s="271">
        <f t="shared" si="0"/>
        <v>0</v>
      </c>
      <c r="H16" s="208"/>
      <c r="I16" s="10"/>
      <c r="J16" s="110"/>
      <c r="K16" s="69"/>
      <c r="L16" s="1"/>
      <c r="M16" s="1"/>
    </row>
    <row r="17" spans="1:13" hidden="1" x14ac:dyDescent="0.3">
      <c r="A17" s="269"/>
      <c r="B17" s="269"/>
      <c r="C17" s="41"/>
      <c r="D17" s="127"/>
      <c r="E17" s="23"/>
      <c r="F17" s="270"/>
      <c r="G17" s="271">
        <f t="shared" si="0"/>
        <v>0</v>
      </c>
      <c r="H17" s="208"/>
      <c r="I17" s="10"/>
      <c r="J17" s="110"/>
      <c r="K17" s="69"/>
      <c r="L17" s="1"/>
      <c r="M17" s="1"/>
    </row>
    <row r="18" spans="1:13" hidden="1" x14ac:dyDescent="0.3">
      <c r="A18" s="269"/>
      <c r="B18" s="269"/>
      <c r="C18" s="41"/>
      <c r="D18" s="127"/>
      <c r="E18" s="23"/>
      <c r="F18" s="270"/>
      <c r="G18" s="271">
        <f t="shared" si="0"/>
        <v>0</v>
      </c>
      <c r="H18" s="1"/>
      <c r="I18" s="10"/>
      <c r="J18" s="110"/>
      <c r="K18" s="69"/>
      <c r="L18" s="1"/>
      <c r="M18" s="1"/>
    </row>
    <row r="19" spans="1:13" hidden="1" x14ac:dyDescent="0.3">
      <c r="A19" s="269"/>
      <c r="B19" s="269"/>
      <c r="C19" s="41"/>
      <c r="D19" s="41"/>
      <c r="E19" s="23"/>
      <c r="F19" s="272"/>
      <c r="G19" s="271">
        <f t="shared" si="0"/>
        <v>0</v>
      </c>
      <c r="H19" s="208"/>
      <c r="I19" s="10"/>
      <c r="J19" s="110"/>
      <c r="K19" s="69"/>
      <c r="L19" s="1"/>
      <c r="M19" s="1"/>
    </row>
    <row r="20" spans="1:13" hidden="1" x14ac:dyDescent="0.3">
      <c r="A20" s="269"/>
      <c r="B20" s="269"/>
      <c r="C20" s="41"/>
      <c r="D20" s="42"/>
      <c r="E20" s="23"/>
      <c r="F20" s="270"/>
      <c r="G20" s="273">
        <f t="shared" si="0"/>
        <v>0</v>
      </c>
      <c r="H20" s="208"/>
      <c r="I20" s="208"/>
      <c r="J20" s="111"/>
      <c r="K20" s="69"/>
      <c r="L20" s="1"/>
      <c r="M20" s="1"/>
    </row>
    <row r="21" spans="1:13" hidden="1" x14ac:dyDescent="0.3">
      <c r="A21" s="269"/>
      <c r="B21" s="269"/>
      <c r="C21" s="41"/>
      <c r="D21" s="42"/>
      <c r="E21" s="23"/>
      <c r="F21" s="270"/>
      <c r="G21" s="273">
        <f t="shared" si="0"/>
        <v>0</v>
      </c>
      <c r="H21" s="208"/>
      <c r="I21" s="10"/>
      <c r="J21" s="110"/>
      <c r="K21" s="69"/>
      <c r="L21" s="1"/>
      <c r="M21" s="1"/>
    </row>
    <row r="22" spans="1:13" hidden="1" x14ac:dyDescent="0.3">
      <c r="A22" s="269"/>
      <c r="B22" s="269"/>
      <c r="C22" s="41"/>
      <c r="D22" s="42"/>
      <c r="E22" s="23"/>
      <c r="F22" s="270"/>
      <c r="G22" s="273">
        <f t="shared" si="0"/>
        <v>0</v>
      </c>
      <c r="H22" s="208"/>
      <c r="I22" s="10"/>
      <c r="J22" s="110"/>
      <c r="K22" s="70"/>
      <c r="L22" s="1"/>
      <c r="M22" s="1"/>
    </row>
    <row r="23" spans="1:13" s="6" customFormat="1" ht="18.600000000000001" hidden="1" customHeight="1" x14ac:dyDescent="0.3">
      <c r="A23" s="269"/>
      <c r="B23" s="269"/>
      <c r="C23" s="41"/>
      <c r="D23" s="65"/>
      <c r="E23" s="23"/>
      <c r="F23" s="272"/>
      <c r="G23" s="271">
        <f t="shared" si="0"/>
        <v>0</v>
      </c>
      <c r="H23" s="4"/>
      <c r="I23" s="4"/>
      <c r="J23"/>
      <c r="K23" s="69"/>
      <c r="L23" s="4"/>
      <c r="M23" s="4"/>
    </row>
    <row r="24" spans="1:13" hidden="1" x14ac:dyDescent="0.3">
      <c r="A24" s="59"/>
      <c r="B24" s="59"/>
      <c r="C24" s="57"/>
      <c r="D24" s="56"/>
      <c r="E24" s="272"/>
      <c r="F24" s="270"/>
      <c r="G24" s="271">
        <f t="shared" si="0"/>
        <v>0</v>
      </c>
      <c r="H24" s="42"/>
      <c r="I24" s="56"/>
      <c r="J24" s="3"/>
      <c r="K24" s="70"/>
      <c r="L24" s="1"/>
      <c r="M24" s="1"/>
    </row>
    <row r="25" spans="1:13" hidden="1" x14ac:dyDescent="0.3">
      <c r="A25" s="61"/>
      <c r="B25" s="61"/>
      <c r="C25" s="41"/>
      <c r="D25" s="42"/>
      <c r="E25" s="4"/>
      <c r="F25" s="270"/>
      <c r="G25" s="271">
        <f t="shared" si="0"/>
        <v>0</v>
      </c>
      <c r="H25" s="41"/>
      <c r="I25" s="10"/>
      <c r="J25" s="110"/>
      <c r="K25" s="70"/>
      <c r="L25" s="1"/>
      <c r="M25" s="1"/>
    </row>
    <row r="26" spans="1:13" hidden="1" x14ac:dyDescent="0.3">
      <c r="A26" s="61"/>
      <c r="B26" s="61"/>
      <c r="C26" s="41"/>
      <c r="D26" s="4"/>
      <c r="E26" s="4"/>
      <c r="F26" s="4"/>
      <c r="G26" s="271">
        <f t="shared" si="0"/>
        <v>0</v>
      </c>
      <c r="H26" s="42"/>
      <c r="I26" s="56"/>
      <c r="J26" s="3"/>
      <c r="K26" s="4"/>
      <c r="L26" s="1"/>
      <c r="M26" s="1"/>
    </row>
    <row r="27" spans="1:13" hidden="1" x14ac:dyDescent="0.3">
      <c r="A27" s="61"/>
      <c r="B27" s="61"/>
      <c r="C27" s="41"/>
      <c r="D27" s="4"/>
      <c r="E27" s="4"/>
      <c r="F27" s="4"/>
      <c r="G27" s="271">
        <f t="shared" si="0"/>
        <v>0</v>
      </c>
      <c r="H27" s="42"/>
      <c r="I27" s="56"/>
      <c r="J27" s="3"/>
      <c r="K27" s="4"/>
      <c r="L27" s="1"/>
      <c r="M27" s="1"/>
    </row>
    <row r="28" spans="1:13" hidden="1" x14ac:dyDescent="0.3">
      <c r="A28" s="62"/>
      <c r="B28" s="62"/>
      <c r="C28" s="51"/>
      <c r="D28" s="1"/>
      <c r="E28" s="1"/>
      <c r="F28" s="1"/>
      <c r="G28" s="271">
        <f t="shared" si="0"/>
        <v>0</v>
      </c>
      <c r="H28" s="26"/>
      <c r="I28" s="2"/>
      <c r="J28" s="3"/>
      <c r="K28" s="4"/>
      <c r="L28" s="1"/>
      <c r="M28" s="1"/>
    </row>
    <row r="29" spans="1:13" hidden="1" x14ac:dyDescent="0.3">
      <c r="A29" s="62"/>
      <c r="B29" s="62"/>
      <c r="C29" s="51"/>
      <c r="D29" s="1"/>
      <c r="E29" s="1"/>
      <c r="F29" s="1"/>
      <c r="G29" s="271">
        <f t="shared" si="0"/>
        <v>0</v>
      </c>
      <c r="H29" s="26"/>
      <c r="I29" s="2"/>
      <c r="J29" s="3"/>
      <c r="K29" s="4"/>
      <c r="L29" s="1"/>
      <c r="M29" s="1"/>
    </row>
    <row r="30" spans="1:13" hidden="1" x14ac:dyDescent="0.3">
      <c r="A30" s="62"/>
      <c r="B30" s="62"/>
      <c r="C30" s="51"/>
      <c r="D30" s="1"/>
      <c r="E30" s="1"/>
      <c r="F30" s="1"/>
      <c r="G30" s="271">
        <f t="shared" si="0"/>
        <v>0</v>
      </c>
      <c r="H30" s="26"/>
      <c r="I30" s="2"/>
      <c r="J30" s="3"/>
      <c r="K30" s="4"/>
      <c r="L30" s="1"/>
      <c r="M30" s="1"/>
    </row>
    <row r="31" spans="1:13" hidden="1" x14ac:dyDescent="0.3">
      <c r="A31" s="62"/>
      <c r="B31" s="62"/>
      <c r="C31" s="51"/>
      <c r="D31" s="1"/>
      <c r="E31" s="1"/>
      <c r="F31" s="1"/>
      <c r="G31" s="271">
        <f t="shared" si="0"/>
        <v>0</v>
      </c>
      <c r="H31" s="26"/>
      <c r="I31" s="2"/>
      <c r="J31" s="3"/>
      <c r="K31" s="4"/>
      <c r="L31" s="1"/>
      <c r="M31" s="1"/>
    </row>
    <row r="32" spans="1:13" hidden="1" x14ac:dyDescent="0.3">
      <c r="A32" s="62"/>
      <c r="B32" s="62"/>
      <c r="C32" s="51"/>
      <c r="D32" s="1"/>
      <c r="E32" s="1"/>
      <c r="F32" s="1"/>
      <c r="G32" s="271">
        <f t="shared" si="0"/>
        <v>0</v>
      </c>
      <c r="H32" s="26"/>
      <c r="I32" s="2"/>
      <c r="J32" s="3"/>
      <c r="K32" s="4"/>
      <c r="L32" s="1"/>
      <c r="M32" s="1"/>
    </row>
    <row r="33" spans="1:15" hidden="1" x14ac:dyDescent="0.3">
      <c r="A33" s="62"/>
      <c r="B33" s="62"/>
      <c r="C33" s="51"/>
      <c r="D33" s="1"/>
      <c r="E33" s="1"/>
      <c r="F33" s="1"/>
      <c r="G33" s="271">
        <f t="shared" si="0"/>
        <v>0</v>
      </c>
      <c r="H33" s="26"/>
      <c r="I33" s="2"/>
      <c r="J33" s="3"/>
      <c r="K33" s="4"/>
      <c r="L33" s="1"/>
      <c r="M33" s="1"/>
    </row>
    <row r="34" spans="1:15" hidden="1" x14ac:dyDescent="0.3">
      <c r="A34" s="62"/>
      <c r="B34" s="62"/>
      <c r="C34" s="51"/>
      <c r="D34" s="1"/>
      <c r="E34" s="1"/>
      <c r="F34" s="1"/>
      <c r="G34" s="271">
        <f t="shared" si="0"/>
        <v>0</v>
      </c>
      <c r="H34" s="26"/>
      <c r="I34" s="2"/>
      <c r="J34" s="3"/>
      <c r="K34" s="4"/>
      <c r="L34" s="1"/>
      <c r="M34" s="1"/>
    </row>
    <row r="35" spans="1:15" hidden="1" x14ac:dyDescent="0.3">
      <c r="A35" s="62"/>
      <c r="B35" s="62"/>
      <c r="C35" s="51"/>
      <c r="D35" s="1"/>
      <c r="E35" s="1"/>
      <c r="F35" s="1"/>
      <c r="G35" s="271">
        <f t="shared" si="0"/>
        <v>0</v>
      </c>
      <c r="H35" s="26"/>
      <c r="I35" s="2"/>
      <c r="J35" s="3"/>
      <c r="K35" s="4"/>
      <c r="L35" s="1"/>
      <c r="M35" s="1"/>
    </row>
    <row r="36" spans="1:15" hidden="1" x14ac:dyDescent="0.3">
      <c r="A36" s="62"/>
      <c r="B36" s="62"/>
      <c r="C36" s="51"/>
      <c r="D36" s="1"/>
      <c r="E36" s="1"/>
      <c r="F36" s="1"/>
      <c r="G36" s="271">
        <f t="shared" si="0"/>
        <v>0</v>
      </c>
      <c r="H36" s="26"/>
      <c r="I36" s="2"/>
      <c r="J36" s="3"/>
      <c r="K36" s="4"/>
      <c r="L36" s="1"/>
      <c r="M36" s="1"/>
    </row>
    <row r="37" spans="1:15" hidden="1" x14ac:dyDescent="0.3">
      <c r="A37" s="62"/>
      <c r="B37" s="62"/>
      <c r="C37" s="51"/>
      <c r="D37" s="1"/>
      <c r="E37" s="1"/>
      <c r="F37" s="1"/>
      <c r="G37" s="274">
        <f t="shared" si="0"/>
        <v>0</v>
      </c>
      <c r="H37" s="26"/>
      <c r="I37" s="2"/>
      <c r="J37" s="3"/>
      <c r="K37" s="4"/>
      <c r="L37" s="1"/>
      <c r="M37" s="1"/>
    </row>
    <row r="38" spans="1:15" hidden="1" x14ac:dyDescent="0.3">
      <c r="A38" s="63"/>
      <c r="B38" s="63"/>
      <c r="C38" s="51"/>
      <c r="D38" s="1"/>
      <c r="E38" s="1"/>
      <c r="F38" s="1"/>
      <c r="G38" s="274">
        <f t="shared" si="0"/>
        <v>0</v>
      </c>
      <c r="H38" s="26"/>
      <c r="I38" s="2"/>
      <c r="J38" s="3"/>
      <c r="K38" s="4"/>
      <c r="L38" s="1"/>
      <c r="M38" s="1"/>
    </row>
    <row r="39" spans="1:15" hidden="1" x14ac:dyDescent="0.3">
      <c r="A39" s="63"/>
      <c r="B39" s="63"/>
      <c r="C39" s="51"/>
      <c r="D39" s="1"/>
      <c r="E39" s="1"/>
      <c r="F39" s="1"/>
      <c r="G39" s="274">
        <f t="shared" si="0"/>
        <v>0</v>
      </c>
      <c r="H39" s="26"/>
      <c r="I39" s="2"/>
      <c r="J39" s="3"/>
      <c r="K39" s="4"/>
      <c r="L39" s="1"/>
      <c r="M39" s="1"/>
    </row>
    <row r="40" spans="1:15" ht="20.399999999999999" customHeight="1" x14ac:dyDescent="0.3">
      <c r="A40" s="261">
        <v>45991</v>
      </c>
      <c r="B40" s="261"/>
      <c r="C40" s="257" t="s">
        <v>21</v>
      </c>
      <c r="D40" s="257"/>
      <c r="E40" s="257"/>
      <c r="F40" s="275">
        <v>973849.91</v>
      </c>
      <c r="G40" s="276">
        <f>+G39+E40-F40</f>
        <v>-973849.91</v>
      </c>
      <c r="H40" s="36"/>
      <c r="I40" s="105"/>
      <c r="J40" s="5"/>
      <c r="K40" s="69" t="s">
        <v>0</v>
      </c>
      <c r="L40" s="73" t="s">
        <v>92</v>
      </c>
      <c r="M40" s="26">
        <v>0</v>
      </c>
    </row>
    <row r="41" spans="1:15" s="6" customFormat="1" ht="16.2" customHeight="1" x14ac:dyDescent="0.3">
      <c r="A41" s="206">
        <v>45992</v>
      </c>
      <c r="B41" s="42" t="s">
        <v>57</v>
      </c>
      <c r="C41" s="41" t="s">
        <v>65</v>
      </c>
      <c r="D41" s="127" t="s">
        <v>3</v>
      </c>
      <c r="E41" s="169"/>
      <c r="F41" s="188">
        <v>26149.13</v>
      </c>
      <c r="G41" s="207">
        <f t="shared" si="0"/>
        <v>-999999.04</v>
      </c>
      <c r="H41" s="208">
        <v>7.1189999999999998</v>
      </c>
      <c r="I41" s="10" t="s">
        <v>882</v>
      </c>
      <c r="J41" s="110"/>
      <c r="K41" s="69" t="s">
        <v>1</v>
      </c>
      <c r="L41" s="73" t="s">
        <v>92</v>
      </c>
      <c r="M41" s="42">
        <f>SUM(H61)</f>
        <v>11.627000000000001</v>
      </c>
      <c r="N41"/>
      <c r="O41"/>
    </row>
    <row r="42" spans="1:15" x14ac:dyDescent="0.3">
      <c r="A42" s="206">
        <v>45992</v>
      </c>
      <c r="B42" s="206" t="s">
        <v>57</v>
      </c>
      <c r="C42" s="41" t="s">
        <v>64</v>
      </c>
      <c r="D42" s="10" t="s">
        <v>3</v>
      </c>
      <c r="E42" s="169"/>
      <c r="F42" s="188">
        <v>81338.210000000006</v>
      </c>
      <c r="G42" s="207">
        <f t="shared" si="0"/>
        <v>-1081337.25</v>
      </c>
      <c r="H42" s="208">
        <v>45.335000000000001</v>
      </c>
      <c r="I42" s="10" t="s">
        <v>69</v>
      </c>
      <c r="J42" s="110"/>
      <c r="K42" s="24" t="s">
        <v>27</v>
      </c>
      <c r="L42" s="73" t="s">
        <v>92</v>
      </c>
      <c r="M42" s="26">
        <v>0</v>
      </c>
    </row>
    <row r="43" spans="1:15" x14ac:dyDescent="0.3">
      <c r="A43" s="209">
        <v>45992</v>
      </c>
      <c r="B43" s="209" t="s">
        <v>60</v>
      </c>
      <c r="C43" s="201" t="s">
        <v>67</v>
      </c>
      <c r="D43" s="199" t="s">
        <v>1218</v>
      </c>
      <c r="E43" s="200">
        <v>2000000</v>
      </c>
      <c r="F43" s="210"/>
      <c r="G43" s="211">
        <f t="shared" si="0"/>
        <v>918662.75</v>
      </c>
      <c r="H43" s="212"/>
      <c r="I43" s="199" t="s">
        <v>1221</v>
      </c>
      <c r="J43" s="110"/>
      <c r="K43" s="76" t="s">
        <v>62</v>
      </c>
      <c r="L43" s="80" t="s">
        <v>92</v>
      </c>
      <c r="M43" s="80">
        <f>SUM(H46+H70+H88)</f>
        <v>73.343999999999994</v>
      </c>
    </row>
    <row r="44" spans="1:15" x14ac:dyDescent="0.3">
      <c r="A44" s="206">
        <v>45992</v>
      </c>
      <c r="B44" s="206" t="s">
        <v>57</v>
      </c>
      <c r="C44" s="41" t="s">
        <v>68</v>
      </c>
      <c r="D44" s="127" t="s">
        <v>9</v>
      </c>
      <c r="E44" s="169"/>
      <c r="F44" s="188">
        <v>224384.16</v>
      </c>
      <c r="G44" s="213">
        <f t="shared" si="0"/>
        <v>694278.59</v>
      </c>
      <c r="H44" s="208">
        <v>128</v>
      </c>
      <c r="I44" s="10" t="s">
        <v>92</v>
      </c>
      <c r="J44" s="110"/>
      <c r="K44" s="69" t="s">
        <v>2</v>
      </c>
      <c r="L44" s="73" t="s">
        <v>92</v>
      </c>
      <c r="M44" s="26">
        <v>0</v>
      </c>
    </row>
    <row r="45" spans="1:15" x14ac:dyDescent="0.3">
      <c r="A45" s="206">
        <v>45992</v>
      </c>
      <c r="B45" s="206" t="s">
        <v>57</v>
      </c>
      <c r="C45" s="41" t="s">
        <v>70</v>
      </c>
      <c r="D45" s="198" t="s">
        <v>30</v>
      </c>
      <c r="E45" s="169"/>
      <c r="F45" s="188">
        <v>528508.89</v>
      </c>
      <c r="G45" s="213">
        <f t="shared" si="0"/>
        <v>165769.69999999995</v>
      </c>
      <c r="H45" s="208">
        <v>223.376</v>
      </c>
      <c r="I45" s="10" t="s">
        <v>92</v>
      </c>
      <c r="J45" s="110"/>
      <c r="K45" s="116" t="s">
        <v>24</v>
      </c>
      <c r="L45" s="80" t="s">
        <v>92</v>
      </c>
      <c r="M45" s="80">
        <f>SUM(H67+H87)</f>
        <v>48.793999999999997</v>
      </c>
    </row>
    <row r="46" spans="1:15" x14ac:dyDescent="0.3">
      <c r="A46" s="206">
        <v>45992</v>
      </c>
      <c r="B46" s="206" t="s">
        <v>57</v>
      </c>
      <c r="C46" s="41" t="s">
        <v>71</v>
      </c>
      <c r="D46" s="127" t="s">
        <v>62</v>
      </c>
      <c r="E46" s="169"/>
      <c r="F46" s="188">
        <v>58100.15</v>
      </c>
      <c r="G46" s="213">
        <f t="shared" si="0"/>
        <v>107669.54999999996</v>
      </c>
      <c r="H46" s="208">
        <v>24.55</v>
      </c>
      <c r="I46" s="10" t="s">
        <v>92</v>
      </c>
      <c r="J46" s="110"/>
      <c r="K46" s="69" t="s">
        <v>29</v>
      </c>
      <c r="L46" s="73" t="s">
        <v>92</v>
      </c>
      <c r="M46" s="26">
        <f>SUM(H76+H85)</f>
        <v>94.965000000000003</v>
      </c>
    </row>
    <row r="47" spans="1:15" x14ac:dyDescent="0.3">
      <c r="A47" s="206">
        <v>45992</v>
      </c>
      <c r="B47" s="206" t="s">
        <v>57</v>
      </c>
      <c r="C47" s="41" t="s">
        <v>72</v>
      </c>
      <c r="D47" s="127" t="s">
        <v>5</v>
      </c>
      <c r="E47" s="169"/>
      <c r="F47" s="188">
        <v>13100</v>
      </c>
      <c r="G47" s="213">
        <f t="shared" si="0"/>
        <v>94569.549999999959</v>
      </c>
      <c r="H47" s="208" t="s">
        <v>1216</v>
      </c>
      <c r="I47" s="10" t="s">
        <v>36</v>
      </c>
      <c r="J47" s="110"/>
      <c r="K47" s="69" t="s">
        <v>3</v>
      </c>
      <c r="L47" s="73" t="s">
        <v>92</v>
      </c>
      <c r="M47" s="26">
        <f>SUM(H41+H42+H62+H71+H83)</f>
        <v>163.83799999999999</v>
      </c>
    </row>
    <row r="48" spans="1:15" x14ac:dyDescent="0.3">
      <c r="A48" s="158">
        <v>45992</v>
      </c>
      <c r="B48" s="206" t="s">
        <v>57</v>
      </c>
      <c r="C48" s="41" t="s">
        <v>73</v>
      </c>
      <c r="D48" s="127" t="s">
        <v>61</v>
      </c>
      <c r="E48" s="169"/>
      <c r="F48" s="188">
        <v>291286.90000000002</v>
      </c>
      <c r="G48" s="207">
        <f t="shared" si="0"/>
        <v>-196717.35000000006</v>
      </c>
      <c r="H48" s="208">
        <v>157.565</v>
      </c>
      <c r="I48" s="10" t="s">
        <v>92</v>
      </c>
      <c r="J48" s="110"/>
      <c r="K48" s="69" t="s">
        <v>4</v>
      </c>
      <c r="L48" s="73" t="s">
        <v>92</v>
      </c>
      <c r="M48" s="26">
        <v>0</v>
      </c>
    </row>
    <row r="49" spans="1:13" x14ac:dyDescent="0.3">
      <c r="A49" s="158">
        <v>45992</v>
      </c>
      <c r="B49" s="206" t="s">
        <v>57</v>
      </c>
      <c r="C49" s="41" t="s">
        <v>74</v>
      </c>
      <c r="D49" s="127" t="s">
        <v>6</v>
      </c>
      <c r="E49" s="169"/>
      <c r="F49" s="188">
        <v>45000.15</v>
      </c>
      <c r="G49" s="207">
        <f t="shared" si="0"/>
        <v>-241717.50000000006</v>
      </c>
      <c r="H49" s="208">
        <v>24.55</v>
      </c>
      <c r="I49" s="10" t="s">
        <v>92</v>
      </c>
      <c r="J49" s="110"/>
      <c r="K49" s="69" t="s">
        <v>5</v>
      </c>
      <c r="L49" s="73" t="s">
        <v>92</v>
      </c>
      <c r="M49" s="26">
        <f>SUM(H56+H74+H84)</f>
        <v>106.229</v>
      </c>
    </row>
    <row r="50" spans="1:13" x14ac:dyDescent="0.3">
      <c r="A50" s="158">
        <v>45993</v>
      </c>
      <c r="B50" s="206" t="s">
        <v>57</v>
      </c>
      <c r="C50" s="41" t="s">
        <v>75</v>
      </c>
      <c r="D50" s="127" t="s">
        <v>5</v>
      </c>
      <c r="E50" s="169"/>
      <c r="F50" s="188">
        <v>26200</v>
      </c>
      <c r="G50" s="207">
        <f t="shared" si="0"/>
        <v>-267917.50000000006</v>
      </c>
      <c r="H50" s="208" t="s">
        <v>1216</v>
      </c>
      <c r="I50" s="10" t="s">
        <v>873</v>
      </c>
      <c r="J50" s="110"/>
      <c r="K50" s="116" t="s">
        <v>61</v>
      </c>
      <c r="L50" s="73" t="s">
        <v>92</v>
      </c>
      <c r="M50" s="26">
        <f>SUM(H48+H81)</f>
        <v>340.40999999999997</v>
      </c>
    </row>
    <row r="51" spans="1:13" x14ac:dyDescent="0.3">
      <c r="A51" s="158">
        <v>45993</v>
      </c>
      <c r="B51" s="206" t="s">
        <v>57</v>
      </c>
      <c r="C51" s="41" t="s">
        <v>76</v>
      </c>
      <c r="D51" s="127" t="s">
        <v>8</v>
      </c>
      <c r="E51" s="169"/>
      <c r="F51" s="188">
        <v>58100.49</v>
      </c>
      <c r="G51" s="207">
        <f t="shared" si="0"/>
        <v>-326017.99000000005</v>
      </c>
      <c r="H51" s="208">
        <v>24.577000000000002</v>
      </c>
      <c r="I51" s="10" t="s">
        <v>66</v>
      </c>
      <c r="J51" s="110"/>
      <c r="K51" s="69" t="s">
        <v>22</v>
      </c>
      <c r="L51" s="73" t="s">
        <v>92</v>
      </c>
      <c r="M51" s="26">
        <f>SUM(H52+H54+H72+H82)</f>
        <v>1217.501</v>
      </c>
    </row>
    <row r="52" spans="1:13" x14ac:dyDescent="0.3">
      <c r="A52" s="158">
        <v>45993</v>
      </c>
      <c r="B52" s="206" t="s">
        <v>57</v>
      </c>
      <c r="C52" s="41" t="s">
        <v>77</v>
      </c>
      <c r="D52" s="127" t="s">
        <v>22</v>
      </c>
      <c r="E52" s="169"/>
      <c r="F52" s="188">
        <v>342355.58</v>
      </c>
      <c r="G52" s="207">
        <f t="shared" si="0"/>
        <v>-668373.57000000007</v>
      </c>
      <c r="H52" s="208">
        <v>185.27199999999999</v>
      </c>
      <c r="I52" s="10" t="s">
        <v>92</v>
      </c>
      <c r="J52" s="110"/>
      <c r="K52" s="69" t="s">
        <v>6</v>
      </c>
      <c r="L52" s="73" t="s">
        <v>92</v>
      </c>
      <c r="M52" s="26">
        <f>SUM(H49+H58+H65+H86+H89)</f>
        <v>123.23599999999999</v>
      </c>
    </row>
    <row r="53" spans="1:13" x14ac:dyDescent="0.3">
      <c r="A53" s="219">
        <v>45993</v>
      </c>
      <c r="B53" s="209" t="s">
        <v>60</v>
      </c>
      <c r="C53" s="201" t="s">
        <v>78</v>
      </c>
      <c r="D53" s="214" t="s">
        <v>1218</v>
      </c>
      <c r="E53" s="200">
        <v>1500000</v>
      </c>
      <c r="F53" s="210"/>
      <c r="G53" s="211">
        <f t="shared" si="0"/>
        <v>831626.42999999993</v>
      </c>
      <c r="H53" s="212"/>
      <c r="I53" s="199" t="s">
        <v>1222</v>
      </c>
      <c r="J53" s="110"/>
      <c r="K53" s="69" t="s">
        <v>7</v>
      </c>
      <c r="L53" s="73" t="s">
        <v>92</v>
      </c>
      <c r="M53" s="26">
        <v>0</v>
      </c>
    </row>
    <row r="54" spans="1:13" x14ac:dyDescent="0.3">
      <c r="A54" s="158">
        <v>45993</v>
      </c>
      <c r="B54" s="206" t="s">
        <v>57</v>
      </c>
      <c r="C54" s="41" t="s">
        <v>79</v>
      </c>
      <c r="D54" s="42" t="s">
        <v>22</v>
      </c>
      <c r="E54" s="169"/>
      <c r="F54" s="188">
        <v>646685.28</v>
      </c>
      <c r="G54" s="213">
        <f t="shared" si="0"/>
        <v>184941.14999999991</v>
      </c>
      <c r="H54" s="208">
        <v>351.67200000000003</v>
      </c>
      <c r="I54" s="10" t="s">
        <v>92</v>
      </c>
      <c r="J54" s="110"/>
      <c r="K54" s="69" t="s">
        <v>8</v>
      </c>
      <c r="L54" s="73" t="s">
        <v>92</v>
      </c>
      <c r="M54" s="26">
        <f>SUM(H51)</f>
        <v>24.577000000000002</v>
      </c>
    </row>
    <row r="55" spans="1:13" x14ac:dyDescent="0.3">
      <c r="A55" s="158">
        <v>45993</v>
      </c>
      <c r="B55" s="206" t="s">
        <v>57</v>
      </c>
      <c r="C55" s="41" t="s">
        <v>80</v>
      </c>
      <c r="D55" s="42" t="s">
        <v>30</v>
      </c>
      <c r="E55" s="169"/>
      <c r="F55" s="188">
        <v>547935.91</v>
      </c>
      <c r="G55" s="207">
        <f t="shared" si="0"/>
        <v>-362994.76000000013</v>
      </c>
      <c r="H55" s="208">
        <v>299.255</v>
      </c>
      <c r="I55" s="10" t="s">
        <v>92</v>
      </c>
      <c r="J55" s="110"/>
      <c r="K55" s="69" t="s">
        <v>9</v>
      </c>
      <c r="L55" s="73" t="s">
        <v>92</v>
      </c>
      <c r="M55" s="26">
        <f>SUM(H44+H80)</f>
        <v>287.577</v>
      </c>
    </row>
    <row r="56" spans="1:13" x14ac:dyDescent="0.3">
      <c r="A56" s="158">
        <v>45994</v>
      </c>
      <c r="B56" s="206" t="s">
        <v>57</v>
      </c>
      <c r="C56" s="41" t="s">
        <v>81</v>
      </c>
      <c r="D56" s="42" t="s">
        <v>5</v>
      </c>
      <c r="E56" s="169"/>
      <c r="F56" s="188">
        <v>44999.11</v>
      </c>
      <c r="G56" s="207">
        <f t="shared" si="0"/>
        <v>-407993.87000000011</v>
      </c>
      <c r="H56" s="208">
        <v>24.337</v>
      </c>
      <c r="I56" s="10" t="s">
        <v>92</v>
      </c>
      <c r="J56" s="110"/>
      <c r="K56" s="69" t="s">
        <v>30</v>
      </c>
      <c r="L56" s="73" t="s">
        <v>92</v>
      </c>
      <c r="M56" s="26">
        <f>SUM(H45+H55+H66+H79+H90)</f>
        <v>1329.7650000000001</v>
      </c>
    </row>
    <row r="57" spans="1:13" x14ac:dyDescent="0.3">
      <c r="A57" s="158">
        <v>45994</v>
      </c>
      <c r="B57" s="206" t="s">
        <v>57</v>
      </c>
      <c r="C57" s="41" t="s">
        <v>82</v>
      </c>
      <c r="D57" s="127" t="s">
        <v>5</v>
      </c>
      <c r="E57" s="169"/>
      <c r="F57" s="188">
        <v>12200</v>
      </c>
      <c r="G57" s="207">
        <f>+G56+E57-F57</f>
        <v>-420193.87000000011</v>
      </c>
      <c r="H57" s="41" t="s">
        <v>1216</v>
      </c>
      <c r="I57" s="77" t="s">
        <v>36</v>
      </c>
      <c r="J57"/>
      <c r="K57" s="69" t="s">
        <v>10</v>
      </c>
      <c r="L57" s="73" t="s">
        <v>92</v>
      </c>
      <c r="M57" s="26">
        <v>0</v>
      </c>
    </row>
    <row r="58" spans="1:13" x14ac:dyDescent="0.3">
      <c r="A58" s="158">
        <v>45994</v>
      </c>
      <c r="B58" s="158" t="s">
        <v>57</v>
      </c>
      <c r="C58" s="57" t="s">
        <v>83</v>
      </c>
      <c r="D58" s="127" t="s">
        <v>6</v>
      </c>
      <c r="E58" s="169"/>
      <c r="F58" s="188">
        <v>69399.11</v>
      </c>
      <c r="G58" s="207">
        <f t="shared" ref="G58:G85" si="1">+G57+E58-F58</f>
        <v>-489592.9800000001</v>
      </c>
      <c r="H58" s="41">
        <v>24.337</v>
      </c>
      <c r="I58" s="77" t="s">
        <v>874</v>
      </c>
      <c r="J58"/>
      <c r="K58" s="69" t="s">
        <v>12</v>
      </c>
      <c r="L58" s="73" t="s">
        <v>92</v>
      </c>
      <c r="M58" s="26">
        <f>SUM(H60)</f>
        <v>40.634</v>
      </c>
    </row>
    <row r="59" spans="1:13" x14ac:dyDescent="0.3">
      <c r="A59" s="158">
        <v>45994</v>
      </c>
      <c r="B59" s="158" t="s">
        <v>57</v>
      </c>
      <c r="C59" s="57" t="s">
        <v>84</v>
      </c>
      <c r="D59" s="127" t="s">
        <v>8</v>
      </c>
      <c r="E59" s="169"/>
      <c r="F59" s="188">
        <v>24400</v>
      </c>
      <c r="G59" s="207">
        <f t="shared" si="1"/>
        <v>-513992.9800000001</v>
      </c>
      <c r="H59" s="41" t="s">
        <v>1216</v>
      </c>
      <c r="I59" s="68" t="s">
        <v>875</v>
      </c>
      <c r="J59" s="112"/>
      <c r="K59" s="69" t="s">
        <v>36</v>
      </c>
      <c r="L59" s="117" t="s">
        <v>199</v>
      </c>
      <c r="M59" s="26" t="s">
        <v>210</v>
      </c>
    </row>
    <row r="60" spans="1:13" ht="17.399999999999999" customHeight="1" x14ac:dyDescent="0.3">
      <c r="A60" s="158">
        <v>45994</v>
      </c>
      <c r="B60" s="158" t="s">
        <v>57</v>
      </c>
      <c r="C60" s="57" t="s">
        <v>85</v>
      </c>
      <c r="D60" s="127" t="s">
        <v>117</v>
      </c>
      <c r="E60" s="169"/>
      <c r="F60" s="188">
        <v>118974.92</v>
      </c>
      <c r="G60" s="207">
        <f t="shared" si="1"/>
        <v>-632967.90000000014</v>
      </c>
      <c r="H60" s="41">
        <v>40.634</v>
      </c>
      <c r="I60" s="42" t="s">
        <v>876</v>
      </c>
      <c r="J60" s="25"/>
      <c r="K60" s="512" t="s">
        <v>695</v>
      </c>
      <c r="L60" s="512"/>
      <c r="M60" s="148">
        <f>SUM(M40:M58)</f>
        <v>3862.4970000000003</v>
      </c>
    </row>
    <row r="61" spans="1:13" x14ac:dyDescent="0.3">
      <c r="A61" s="158">
        <v>45994</v>
      </c>
      <c r="B61" s="158" t="s">
        <v>57</v>
      </c>
      <c r="C61" s="215" t="s">
        <v>86</v>
      </c>
      <c r="D61" s="158" t="s">
        <v>1</v>
      </c>
      <c r="E61" s="216"/>
      <c r="F61" s="188">
        <v>21649.47</v>
      </c>
      <c r="G61" s="207">
        <f t="shared" si="1"/>
        <v>-654617.37000000011</v>
      </c>
      <c r="H61" s="217">
        <v>11.627000000000001</v>
      </c>
      <c r="I61" s="10" t="s">
        <v>92</v>
      </c>
      <c r="J61" s="110"/>
    </row>
    <row r="62" spans="1:13" x14ac:dyDescent="0.3">
      <c r="A62" s="158">
        <v>45994</v>
      </c>
      <c r="B62" s="158" t="s">
        <v>57</v>
      </c>
      <c r="C62" s="215" t="s">
        <v>87</v>
      </c>
      <c r="D62" s="158" t="s">
        <v>3</v>
      </c>
      <c r="E62" s="216"/>
      <c r="F62" s="188">
        <v>69399.11</v>
      </c>
      <c r="G62" s="207">
        <f t="shared" si="1"/>
        <v>-724016.4800000001</v>
      </c>
      <c r="H62" s="217">
        <v>24.337</v>
      </c>
      <c r="I62" s="10" t="s">
        <v>877</v>
      </c>
      <c r="J62" s="110"/>
      <c r="L62" s="107"/>
    </row>
    <row r="63" spans="1:13" x14ac:dyDescent="0.3">
      <c r="A63" s="158">
        <v>45994</v>
      </c>
      <c r="B63" s="158" t="s">
        <v>57</v>
      </c>
      <c r="C63" s="215" t="s">
        <v>88</v>
      </c>
      <c r="D63" s="158" t="s">
        <v>5</v>
      </c>
      <c r="E63" s="216"/>
      <c r="F63" s="188">
        <v>12200</v>
      </c>
      <c r="G63" s="207">
        <f t="shared" si="1"/>
        <v>-736216.4800000001</v>
      </c>
      <c r="H63" s="217" t="s">
        <v>1216</v>
      </c>
      <c r="I63" s="10" t="s">
        <v>873</v>
      </c>
      <c r="J63" s="110"/>
    </row>
    <row r="64" spans="1:13" x14ac:dyDescent="0.3">
      <c r="A64" s="158">
        <v>45995</v>
      </c>
      <c r="B64" s="158" t="s">
        <v>57</v>
      </c>
      <c r="C64" s="215" t="s">
        <v>89</v>
      </c>
      <c r="D64" s="158" t="s">
        <v>5</v>
      </c>
      <c r="E64" s="216"/>
      <c r="F64" s="188">
        <v>18300</v>
      </c>
      <c r="G64" s="207">
        <f t="shared" si="1"/>
        <v>-754516.4800000001</v>
      </c>
      <c r="H64" s="217" t="s">
        <v>1216</v>
      </c>
      <c r="I64" s="10" t="s">
        <v>878</v>
      </c>
      <c r="J64" s="110"/>
    </row>
    <row r="65" spans="1:10" x14ac:dyDescent="0.3">
      <c r="A65" s="158">
        <v>45995</v>
      </c>
      <c r="B65" s="158" t="s">
        <v>57</v>
      </c>
      <c r="C65" s="215" t="s">
        <v>90</v>
      </c>
      <c r="D65" s="158" t="s">
        <v>6</v>
      </c>
      <c r="E65" s="216"/>
      <c r="F65" s="188">
        <v>69399.94</v>
      </c>
      <c r="G65" s="207">
        <f t="shared" si="1"/>
        <v>-823916.42000000016</v>
      </c>
      <c r="H65" s="217">
        <v>24.376999999999999</v>
      </c>
      <c r="I65" s="10" t="s">
        <v>877</v>
      </c>
      <c r="J65" s="110"/>
    </row>
    <row r="66" spans="1:10" x14ac:dyDescent="0.3">
      <c r="A66" s="158">
        <v>45995</v>
      </c>
      <c r="B66" s="158" t="s">
        <v>57</v>
      </c>
      <c r="C66" s="215" t="s">
        <v>91</v>
      </c>
      <c r="D66" s="158" t="s">
        <v>30</v>
      </c>
      <c r="E66" s="216"/>
      <c r="F66" s="188">
        <v>315152.81</v>
      </c>
      <c r="G66" s="207">
        <f t="shared" si="1"/>
        <v>-1139069.2300000002</v>
      </c>
      <c r="H66" s="217">
        <v>170.72200000000001</v>
      </c>
      <c r="I66" s="10" t="s">
        <v>92</v>
      </c>
      <c r="J66" s="110"/>
    </row>
    <row r="67" spans="1:10" x14ac:dyDescent="0.3">
      <c r="A67" s="158">
        <v>45995</v>
      </c>
      <c r="B67" s="158" t="s">
        <v>57</v>
      </c>
      <c r="C67" s="215" t="s">
        <v>93</v>
      </c>
      <c r="D67" s="158" t="s">
        <v>24</v>
      </c>
      <c r="E67" s="216"/>
      <c r="F67" s="218">
        <v>44999.94</v>
      </c>
      <c r="G67" s="207">
        <f t="shared" si="1"/>
        <v>-1184069.1700000002</v>
      </c>
      <c r="H67" s="217">
        <v>24.376999999999999</v>
      </c>
      <c r="I67" s="10" t="s">
        <v>92</v>
      </c>
      <c r="J67" s="110"/>
    </row>
    <row r="68" spans="1:10" x14ac:dyDescent="0.3">
      <c r="A68" s="158">
        <v>45995</v>
      </c>
      <c r="B68" s="158" t="s">
        <v>57</v>
      </c>
      <c r="C68" s="215" t="s">
        <v>94</v>
      </c>
      <c r="D68" s="158" t="s">
        <v>8</v>
      </c>
      <c r="E68" s="216"/>
      <c r="F68" s="218">
        <v>24400</v>
      </c>
      <c r="G68" s="207">
        <f t="shared" si="1"/>
        <v>-1208469.1700000002</v>
      </c>
      <c r="H68" s="217" t="s">
        <v>1216</v>
      </c>
      <c r="I68" s="10" t="s">
        <v>879</v>
      </c>
      <c r="J68" s="110"/>
    </row>
    <row r="69" spans="1:10" x14ac:dyDescent="0.3">
      <c r="A69" s="219">
        <v>45995</v>
      </c>
      <c r="B69" s="219" t="s">
        <v>60</v>
      </c>
      <c r="C69" s="220" t="s">
        <v>95</v>
      </c>
      <c r="D69" s="219" t="s">
        <v>1218</v>
      </c>
      <c r="E69" s="211">
        <v>2500000</v>
      </c>
      <c r="F69" s="221"/>
      <c r="G69" s="211">
        <f t="shared" si="1"/>
        <v>1291530.8299999998</v>
      </c>
      <c r="H69" s="212"/>
      <c r="I69" s="199" t="s">
        <v>1222</v>
      </c>
      <c r="J69" s="110"/>
    </row>
    <row r="70" spans="1:10" x14ac:dyDescent="0.3">
      <c r="A70" s="158">
        <v>45995</v>
      </c>
      <c r="B70" s="158" t="s">
        <v>57</v>
      </c>
      <c r="C70" s="215" t="s">
        <v>96</v>
      </c>
      <c r="D70" s="158" t="s">
        <v>62</v>
      </c>
      <c r="E70" s="222"/>
      <c r="F70" s="218">
        <v>44999.94</v>
      </c>
      <c r="G70" s="213">
        <f t="shared" si="1"/>
        <v>1246530.8899999999</v>
      </c>
      <c r="H70" s="208">
        <v>24.376999999999999</v>
      </c>
      <c r="I70" s="10" t="s">
        <v>92</v>
      </c>
      <c r="J70" s="110"/>
    </row>
    <row r="71" spans="1:10" x14ac:dyDescent="0.3">
      <c r="A71" s="158">
        <v>45995</v>
      </c>
      <c r="B71" s="158" t="s">
        <v>57</v>
      </c>
      <c r="C71" s="215" t="s">
        <v>97</v>
      </c>
      <c r="D71" s="158" t="s">
        <v>3</v>
      </c>
      <c r="E71" s="222"/>
      <c r="F71" s="218">
        <v>44999.94</v>
      </c>
      <c r="G71" s="213">
        <f t="shared" si="1"/>
        <v>1201530.95</v>
      </c>
      <c r="H71" s="208">
        <v>24.376999999999999</v>
      </c>
      <c r="I71" s="10" t="s">
        <v>92</v>
      </c>
      <c r="J71" s="110"/>
    </row>
    <row r="72" spans="1:10" x14ac:dyDescent="0.3">
      <c r="A72" s="158">
        <v>45995</v>
      </c>
      <c r="B72" s="158" t="s">
        <v>57</v>
      </c>
      <c r="C72" s="215" t="s">
        <v>98</v>
      </c>
      <c r="D72" s="158" t="s">
        <v>22</v>
      </c>
      <c r="E72" s="222"/>
      <c r="F72" s="218">
        <v>416300.69</v>
      </c>
      <c r="G72" s="213">
        <f t="shared" si="1"/>
        <v>785230.26</v>
      </c>
      <c r="H72" s="208">
        <v>225.51499999999999</v>
      </c>
      <c r="I72" s="10" t="s">
        <v>92</v>
      </c>
      <c r="J72" s="110"/>
    </row>
    <row r="73" spans="1:10" x14ac:dyDescent="0.3">
      <c r="A73" s="158">
        <v>45996</v>
      </c>
      <c r="B73" s="158" t="s">
        <v>57</v>
      </c>
      <c r="C73" s="215" t="s">
        <v>99</v>
      </c>
      <c r="D73" s="158" t="s">
        <v>24</v>
      </c>
      <c r="E73" s="222"/>
      <c r="F73" s="218">
        <v>24400</v>
      </c>
      <c r="G73" s="213">
        <f t="shared" si="1"/>
        <v>760830.26</v>
      </c>
      <c r="H73" s="208" t="s">
        <v>1216</v>
      </c>
      <c r="I73" s="10" t="s">
        <v>875</v>
      </c>
      <c r="J73" s="110"/>
    </row>
    <row r="74" spans="1:10" x14ac:dyDescent="0.3">
      <c r="A74" s="158">
        <v>45996</v>
      </c>
      <c r="B74" s="158" t="s">
        <v>57</v>
      </c>
      <c r="C74" s="215" t="s">
        <v>100</v>
      </c>
      <c r="D74" s="158" t="s">
        <v>5</v>
      </c>
      <c r="E74" s="222"/>
      <c r="F74" s="223">
        <v>63299.94</v>
      </c>
      <c r="G74" s="213">
        <f t="shared" si="1"/>
        <v>697530.32000000007</v>
      </c>
      <c r="H74" s="208">
        <v>24.376999999999999</v>
      </c>
      <c r="I74" s="10" t="s">
        <v>881</v>
      </c>
      <c r="J74" s="110"/>
    </row>
    <row r="75" spans="1:10" x14ac:dyDescent="0.3">
      <c r="A75" s="158">
        <v>45996</v>
      </c>
      <c r="B75" s="158" t="s">
        <v>57</v>
      </c>
      <c r="C75" s="215" t="s">
        <v>101</v>
      </c>
      <c r="D75" s="158" t="s">
        <v>5</v>
      </c>
      <c r="E75" s="222"/>
      <c r="F75" s="223">
        <v>6100</v>
      </c>
      <c r="G75" s="213">
        <f t="shared" si="1"/>
        <v>691430.32000000007</v>
      </c>
      <c r="H75" s="208" t="s">
        <v>1216</v>
      </c>
      <c r="I75" s="10" t="s">
        <v>276</v>
      </c>
      <c r="J75" s="110"/>
    </row>
    <row r="76" spans="1:10" x14ac:dyDescent="0.3">
      <c r="A76" s="158">
        <v>45996</v>
      </c>
      <c r="B76" s="158" t="s">
        <v>57</v>
      </c>
      <c r="C76" s="215" t="s">
        <v>102</v>
      </c>
      <c r="D76" s="158" t="s">
        <v>26</v>
      </c>
      <c r="E76" s="222"/>
      <c r="F76" s="223">
        <v>63050.13</v>
      </c>
      <c r="G76" s="213">
        <f t="shared" si="1"/>
        <v>628380.19000000006</v>
      </c>
      <c r="H76" s="208">
        <v>34.155000000000001</v>
      </c>
      <c r="I76" s="10" t="s">
        <v>92</v>
      </c>
      <c r="J76" s="110"/>
    </row>
    <row r="77" spans="1:10" x14ac:dyDescent="0.3">
      <c r="A77" s="158">
        <v>45996</v>
      </c>
      <c r="B77" s="158" t="s">
        <v>57</v>
      </c>
      <c r="C77" s="215" t="s">
        <v>103</v>
      </c>
      <c r="D77" s="158" t="s">
        <v>3</v>
      </c>
      <c r="E77" s="222"/>
      <c r="F77" s="223">
        <v>12200</v>
      </c>
      <c r="G77" s="213">
        <f t="shared" si="1"/>
        <v>616180.19000000006</v>
      </c>
      <c r="H77" s="208" t="s">
        <v>1216</v>
      </c>
      <c r="I77" s="10" t="s">
        <v>880</v>
      </c>
      <c r="J77" s="110"/>
    </row>
    <row r="78" spans="1:10" x14ac:dyDescent="0.3">
      <c r="A78" s="219">
        <v>45996</v>
      </c>
      <c r="B78" s="219" t="s">
        <v>60</v>
      </c>
      <c r="C78" s="220" t="s">
        <v>104</v>
      </c>
      <c r="D78" s="219" t="s">
        <v>1218</v>
      </c>
      <c r="E78" s="205">
        <v>2000000</v>
      </c>
      <c r="F78" s="224"/>
      <c r="G78" s="211">
        <f t="shared" si="1"/>
        <v>2616180.19</v>
      </c>
      <c r="H78" s="212"/>
      <c r="I78" s="199" t="s">
        <v>1222</v>
      </c>
      <c r="J78" s="110"/>
    </row>
    <row r="79" spans="1:10" x14ac:dyDescent="0.3">
      <c r="A79" s="158">
        <v>45996</v>
      </c>
      <c r="B79" s="158" t="s">
        <v>57</v>
      </c>
      <c r="C79" s="215" t="s">
        <v>105</v>
      </c>
      <c r="D79" s="158" t="s">
        <v>30</v>
      </c>
      <c r="E79" s="222"/>
      <c r="F79" s="223">
        <v>555649.68999999994</v>
      </c>
      <c r="G79" s="213">
        <f t="shared" si="1"/>
        <v>2060530.5</v>
      </c>
      <c r="H79" s="208">
        <v>301.00200000000001</v>
      </c>
      <c r="I79" s="10" t="s">
        <v>92</v>
      </c>
      <c r="J79" s="110"/>
    </row>
    <row r="80" spans="1:10" x14ac:dyDescent="0.3">
      <c r="A80" s="62">
        <v>45996</v>
      </c>
      <c r="B80" s="158" t="s">
        <v>57</v>
      </c>
      <c r="C80" s="215" t="s">
        <v>106</v>
      </c>
      <c r="D80" s="225" t="s">
        <v>9</v>
      </c>
      <c r="E80" s="222"/>
      <c r="F80" s="223">
        <v>279738.64</v>
      </c>
      <c r="G80" s="213">
        <f t="shared" si="1"/>
        <v>1780791.8599999999</v>
      </c>
      <c r="H80" s="208">
        <v>159.577</v>
      </c>
      <c r="I80" s="10" t="s">
        <v>92</v>
      </c>
      <c r="J80" s="110"/>
    </row>
    <row r="81" spans="1:13" x14ac:dyDescent="0.3">
      <c r="A81" s="158">
        <v>45996</v>
      </c>
      <c r="B81" s="63" t="s">
        <v>57</v>
      </c>
      <c r="C81" s="215" t="s">
        <v>107</v>
      </c>
      <c r="D81" s="158" t="s">
        <v>61</v>
      </c>
      <c r="E81" s="222"/>
      <c r="F81" s="223">
        <v>337531.87</v>
      </c>
      <c r="G81" s="213">
        <f t="shared" si="1"/>
        <v>1443259.9899999998</v>
      </c>
      <c r="H81" s="208">
        <v>182.845</v>
      </c>
      <c r="I81" s="10" t="s">
        <v>92</v>
      </c>
      <c r="J81" s="110"/>
    </row>
    <row r="82" spans="1:13" x14ac:dyDescent="0.3">
      <c r="A82" s="158">
        <v>45996</v>
      </c>
      <c r="B82" s="158" t="s">
        <v>57</v>
      </c>
      <c r="C82" s="215" t="s">
        <v>108</v>
      </c>
      <c r="D82" s="158" t="s">
        <v>22</v>
      </c>
      <c r="E82" s="222"/>
      <c r="F82" s="223">
        <v>840007.53</v>
      </c>
      <c r="G82" s="213">
        <f t="shared" si="1"/>
        <v>603252.45999999973</v>
      </c>
      <c r="H82" s="208">
        <v>455.04199999999997</v>
      </c>
      <c r="I82" s="10" t="s">
        <v>92</v>
      </c>
      <c r="J82" s="110"/>
    </row>
    <row r="83" spans="1:13" x14ac:dyDescent="0.3">
      <c r="A83" s="158">
        <v>45997</v>
      </c>
      <c r="B83" s="158" t="s">
        <v>57</v>
      </c>
      <c r="C83" s="215" t="s">
        <v>109</v>
      </c>
      <c r="D83" s="158" t="s">
        <v>3</v>
      </c>
      <c r="E83" s="222"/>
      <c r="F83" s="223">
        <v>115500.81</v>
      </c>
      <c r="G83" s="213">
        <f t="shared" si="1"/>
        <v>487751.64999999973</v>
      </c>
      <c r="H83" s="208">
        <v>62.67</v>
      </c>
      <c r="I83" s="10" t="s">
        <v>92</v>
      </c>
      <c r="J83" s="110"/>
    </row>
    <row r="84" spans="1:13" x14ac:dyDescent="0.3">
      <c r="A84" s="158">
        <v>45997</v>
      </c>
      <c r="B84" s="158" t="s">
        <v>57</v>
      </c>
      <c r="C84" s="215" t="s">
        <v>110</v>
      </c>
      <c r="D84" s="158" t="s">
        <v>5</v>
      </c>
      <c r="E84" s="222"/>
      <c r="F84" s="223">
        <v>106000.15</v>
      </c>
      <c r="G84" s="213">
        <f t="shared" si="1"/>
        <v>381751.49999999977</v>
      </c>
      <c r="H84" s="208">
        <v>57.515000000000001</v>
      </c>
      <c r="I84" s="10" t="s">
        <v>92</v>
      </c>
      <c r="J84" s="110"/>
    </row>
    <row r="85" spans="1:13" x14ac:dyDescent="0.3">
      <c r="A85" s="158">
        <v>45997</v>
      </c>
      <c r="B85" s="158" t="s">
        <v>57</v>
      </c>
      <c r="C85" s="215" t="s">
        <v>111</v>
      </c>
      <c r="D85" s="158" t="s">
        <v>26</v>
      </c>
      <c r="E85" s="222"/>
      <c r="F85" s="223">
        <v>112072.83</v>
      </c>
      <c r="G85" s="213">
        <f t="shared" si="1"/>
        <v>269678.66999999975</v>
      </c>
      <c r="H85" s="208">
        <v>60.81</v>
      </c>
      <c r="I85" s="10" t="s">
        <v>92</v>
      </c>
      <c r="J85" s="110"/>
    </row>
    <row r="86" spans="1:13" x14ac:dyDescent="0.3">
      <c r="A86" s="158">
        <v>45997</v>
      </c>
      <c r="B86" s="158" t="s">
        <v>57</v>
      </c>
      <c r="C86" s="215" t="s">
        <v>112</v>
      </c>
      <c r="D86" s="158" t="s">
        <v>6</v>
      </c>
      <c r="E86" s="222"/>
      <c r="F86" s="223">
        <v>45000.53</v>
      </c>
      <c r="G86" s="213">
        <f>+G85+E86-F86</f>
        <v>224678.13999999975</v>
      </c>
      <c r="H86" s="208">
        <v>24.417000000000002</v>
      </c>
      <c r="I86" s="10" t="s">
        <v>92</v>
      </c>
      <c r="J86" s="110"/>
    </row>
    <row r="87" spans="1:13" x14ac:dyDescent="0.3">
      <c r="A87" s="158">
        <v>45998</v>
      </c>
      <c r="B87" s="158" t="s">
        <v>57</v>
      </c>
      <c r="C87" s="215" t="s">
        <v>113</v>
      </c>
      <c r="D87" s="158" t="s">
        <v>24</v>
      </c>
      <c r="E87" s="222"/>
      <c r="F87" s="223">
        <v>45000.53</v>
      </c>
      <c r="G87" s="213">
        <f>+G86+E87-F87</f>
        <v>179677.60999999975</v>
      </c>
      <c r="H87" s="208">
        <v>24.417000000000002</v>
      </c>
      <c r="I87" s="10" t="s">
        <v>92</v>
      </c>
      <c r="J87" s="110"/>
    </row>
    <row r="88" spans="1:13" x14ac:dyDescent="0.3">
      <c r="A88" s="158">
        <v>45998</v>
      </c>
      <c r="B88" s="158" t="s">
        <v>57</v>
      </c>
      <c r="C88" s="215" t="s">
        <v>114</v>
      </c>
      <c r="D88" s="158" t="s">
        <v>62</v>
      </c>
      <c r="E88" s="222"/>
      <c r="F88" s="223">
        <v>45000.53</v>
      </c>
      <c r="G88" s="213">
        <f t="shared" ref="G88:G113" si="2">+G87+E88-F88</f>
        <v>134677.07999999975</v>
      </c>
      <c r="H88" s="208">
        <v>24.417000000000002</v>
      </c>
      <c r="I88" s="10" t="s">
        <v>92</v>
      </c>
      <c r="J88" s="110"/>
    </row>
    <row r="89" spans="1:13" x14ac:dyDescent="0.3">
      <c r="A89" s="158">
        <v>45998</v>
      </c>
      <c r="B89" s="158" t="s">
        <v>57</v>
      </c>
      <c r="C89" s="215" t="s">
        <v>115</v>
      </c>
      <c r="D89" s="158" t="s">
        <v>6</v>
      </c>
      <c r="E89" s="222"/>
      <c r="F89" s="223">
        <v>47097.87</v>
      </c>
      <c r="G89" s="213">
        <f t="shared" si="2"/>
        <v>87579.209999999759</v>
      </c>
      <c r="H89" s="208">
        <v>25.555</v>
      </c>
      <c r="I89" s="10" t="s">
        <v>92</v>
      </c>
      <c r="J89" s="110"/>
    </row>
    <row r="90" spans="1:13" x14ac:dyDescent="0.3">
      <c r="A90" s="158">
        <v>45998</v>
      </c>
      <c r="B90" s="158" t="s">
        <v>57</v>
      </c>
      <c r="C90" s="215" t="s">
        <v>116</v>
      </c>
      <c r="D90" s="158" t="s">
        <v>30</v>
      </c>
      <c r="E90" s="222"/>
      <c r="F90" s="223">
        <v>618160.63</v>
      </c>
      <c r="G90" s="207">
        <f>+G89+E90-F90</f>
        <v>-530581.42000000027</v>
      </c>
      <c r="H90" s="208">
        <v>335.41</v>
      </c>
      <c r="I90" s="10" t="s">
        <v>92</v>
      </c>
      <c r="J90" s="110"/>
    </row>
    <row r="91" spans="1:13" x14ac:dyDescent="0.3">
      <c r="A91" s="510" t="s">
        <v>694</v>
      </c>
      <c r="B91" s="510"/>
      <c r="C91" s="510"/>
      <c r="D91" s="510"/>
      <c r="E91" s="510"/>
      <c r="F91" s="510"/>
      <c r="G91" s="510"/>
      <c r="H91" s="511">
        <f>SUM(H24:H90)</f>
        <v>3862.4969999999994</v>
      </c>
      <c r="I91" s="511"/>
      <c r="J91" s="110"/>
    </row>
    <row r="92" spans="1:13" x14ac:dyDescent="0.3">
      <c r="A92" s="525" t="s">
        <v>197</v>
      </c>
      <c r="B92" s="525"/>
      <c r="C92" s="525"/>
      <c r="D92" s="525"/>
      <c r="E92" s="525"/>
      <c r="F92" s="525"/>
      <c r="G92" s="525"/>
      <c r="H92" s="525"/>
      <c r="I92" s="525"/>
      <c r="J92" s="110"/>
      <c r="K92" s="513" t="s">
        <v>198</v>
      </c>
      <c r="L92" s="514"/>
      <c r="M92" s="515"/>
    </row>
    <row r="93" spans="1:13" ht="13.95" customHeight="1" x14ac:dyDescent="0.3">
      <c r="A93" s="158">
        <v>45999</v>
      </c>
      <c r="B93" s="158" t="s">
        <v>57</v>
      </c>
      <c r="C93" s="215" t="s">
        <v>118</v>
      </c>
      <c r="D93" s="158" t="s">
        <v>22</v>
      </c>
      <c r="E93" s="222"/>
      <c r="F93" s="223">
        <v>860032.89</v>
      </c>
      <c r="G93" s="207">
        <f>+G90+E93-F93</f>
        <v>-1390614.3100000003</v>
      </c>
      <c r="H93" s="208">
        <v>462.63200000000001</v>
      </c>
      <c r="I93" s="10" t="s">
        <v>92</v>
      </c>
      <c r="J93" s="110"/>
      <c r="K93" s="516" t="s">
        <v>34</v>
      </c>
      <c r="L93" s="517"/>
      <c r="M93" s="518"/>
    </row>
    <row r="94" spans="1:13" ht="13.95" customHeight="1" x14ac:dyDescent="0.3">
      <c r="A94" s="158">
        <v>45999</v>
      </c>
      <c r="B94" s="158" t="s">
        <v>57</v>
      </c>
      <c r="C94" s="215" t="s">
        <v>119</v>
      </c>
      <c r="D94" s="158" t="s">
        <v>6</v>
      </c>
      <c r="E94" s="222"/>
      <c r="F94" s="223">
        <v>58100.81</v>
      </c>
      <c r="G94" s="207">
        <f t="shared" si="2"/>
        <v>-1448715.1200000003</v>
      </c>
      <c r="H94" s="208">
        <v>24.207000000000001</v>
      </c>
      <c r="I94" s="10" t="s">
        <v>882</v>
      </c>
      <c r="J94" s="110"/>
      <c r="K94" s="71" t="s">
        <v>32</v>
      </c>
      <c r="L94" s="43" t="s">
        <v>35</v>
      </c>
      <c r="M94" s="43" t="s">
        <v>33</v>
      </c>
    </row>
    <row r="95" spans="1:13" ht="13.95" customHeight="1" x14ac:dyDescent="0.3">
      <c r="A95" s="158">
        <v>45999</v>
      </c>
      <c r="B95" s="158" t="s">
        <v>57</v>
      </c>
      <c r="C95" s="215" t="s">
        <v>120</v>
      </c>
      <c r="D95" s="158" t="s">
        <v>24</v>
      </c>
      <c r="E95" s="222"/>
      <c r="F95" s="223">
        <v>137393.91</v>
      </c>
      <c r="G95" s="207">
        <f t="shared" si="2"/>
        <v>-1586109.0300000003</v>
      </c>
      <c r="H95" s="208">
        <v>74.495000000000005</v>
      </c>
      <c r="I95" s="10" t="s">
        <v>92</v>
      </c>
      <c r="J95" s="110"/>
      <c r="K95" s="69" t="s">
        <v>0</v>
      </c>
      <c r="L95" s="73" t="s">
        <v>92</v>
      </c>
      <c r="M95" s="26">
        <v>0</v>
      </c>
    </row>
    <row r="96" spans="1:13" ht="13.95" customHeight="1" x14ac:dyDescent="0.3">
      <c r="A96" s="219">
        <v>45999</v>
      </c>
      <c r="B96" s="219" t="s">
        <v>60</v>
      </c>
      <c r="C96" s="220" t="s">
        <v>121</v>
      </c>
      <c r="D96" s="219" t="s">
        <v>1218</v>
      </c>
      <c r="E96" s="205">
        <v>1000000</v>
      </c>
      <c r="F96" s="224"/>
      <c r="G96" s="226">
        <f t="shared" si="2"/>
        <v>-586109.03000000026</v>
      </c>
      <c r="H96" s="212"/>
      <c r="I96" s="199" t="s">
        <v>1220</v>
      </c>
      <c r="J96"/>
      <c r="K96" s="69" t="s">
        <v>1</v>
      </c>
      <c r="L96" s="73" t="s">
        <v>92</v>
      </c>
      <c r="M96" s="26">
        <v>0</v>
      </c>
    </row>
    <row r="97" spans="1:13" ht="13.95" customHeight="1" x14ac:dyDescent="0.3">
      <c r="A97" s="202">
        <v>45999</v>
      </c>
      <c r="B97" s="202" t="s">
        <v>60</v>
      </c>
      <c r="C97" s="203" t="s">
        <v>122</v>
      </c>
      <c r="D97" s="227" t="s">
        <v>1218</v>
      </c>
      <c r="E97" s="200">
        <v>586109</v>
      </c>
      <c r="F97" s="224"/>
      <c r="G97" s="226">
        <f t="shared" si="2"/>
        <v>-3.0000000260770321E-2</v>
      </c>
      <c r="H97" s="212"/>
      <c r="I97" s="199" t="s">
        <v>1220</v>
      </c>
      <c r="J97" s="110"/>
      <c r="K97" s="24" t="s">
        <v>27</v>
      </c>
      <c r="L97" s="73" t="s">
        <v>92</v>
      </c>
      <c r="M97" s="26">
        <v>0</v>
      </c>
    </row>
    <row r="98" spans="1:13" ht="13.95" customHeight="1" x14ac:dyDescent="0.3">
      <c r="A98" s="60">
        <v>46000</v>
      </c>
      <c r="B98" s="60" t="s">
        <v>57</v>
      </c>
      <c r="C98" s="65" t="s">
        <v>123</v>
      </c>
      <c r="D98" s="127" t="s">
        <v>6</v>
      </c>
      <c r="E98" s="169"/>
      <c r="F98" s="188">
        <v>58100.81</v>
      </c>
      <c r="G98" s="207">
        <f t="shared" si="2"/>
        <v>-58100.840000000258</v>
      </c>
      <c r="H98" s="208">
        <v>24.207000000000001</v>
      </c>
      <c r="I98" s="10" t="s">
        <v>882</v>
      </c>
      <c r="J98" s="110"/>
      <c r="K98" s="76" t="s">
        <v>62</v>
      </c>
      <c r="L98" s="73" t="s">
        <v>92</v>
      </c>
      <c r="M98" s="80">
        <f>SUM(H102+H106+H123)</f>
        <v>68.350999999999999</v>
      </c>
    </row>
    <row r="99" spans="1:13" ht="13.95" customHeight="1" x14ac:dyDescent="0.3">
      <c r="A99" s="60">
        <v>46000</v>
      </c>
      <c r="B99" s="60" t="s">
        <v>57</v>
      </c>
      <c r="C99" s="65" t="s">
        <v>124</v>
      </c>
      <c r="D99" s="127" t="s">
        <v>8</v>
      </c>
      <c r="E99" s="169"/>
      <c r="F99" s="188">
        <v>58100.81</v>
      </c>
      <c r="G99" s="207">
        <f>+G98+E99-F99</f>
        <v>-116201.65000000026</v>
      </c>
      <c r="H99" s="208">
        <v>24.207000000000001</v>
      </c>
      <c r="I99" s="10" t="s">
        <v>882</v>
      </c>
      <c r="J99" s="110"/>
      <c r="K99" s="76" t="s">
        <v>24</v>
      </c>
      <c r="L99" s="73" t="s">
        <v>92</v>
      </c>
      <c r="M99" s="80">
        <f>SUM(H95+H103+H120+H125)</f>
        <v>197.15100000000001</v>
      </c>
    </row>
    <row r="100" spans="1:13" x14ac:dyDescent="0.3">
      <c r="A100" s="60">
        <v>46000</v>
      </c>
      <c r="B100" s="60" t="s">
        <v>57</v>
      </c>
      <c r="C100" s="65" t="s">
        <v>125</v>
      </c>
      <c r="D100" s="127" t="s">
        <v>30</v>
      </c>
      <c r="E100" s="169"/>
      <c r="F100" s="228">
        <v>421909.35</v>
      </c>
      <c r="G100" s="207">
        <f>+G99+E100-F100</f>
        <v>-538111.00000000023</v>
      </c>
      <c r="H100" s="208">
        <v>226.95500000000001</v>
      </c>
      <c r="I100" s="10" t="s">
        <v>92</v>
      </c>
      <c r="J100" s="110"/>
      <c r="K100" s="69" t="s">
        <v>2</v>
      </c>
      <c r="L100" s="73" t="s">
        <v>92</v>
      </c>
      <c r="M100" s="26">
        <v>0</v>
      </c>
    </row>
    <row r="101" spans="1:13" x14ac:dyDescent="0.3">
      <c r="A101" s="202">
        <v>46000</v>
      </c>
      <c r="B101" s="202" t="s">
        <v>60</v>
      </c>
      <c r="C101" s="203" t="s">
        <v>126</v>
      </c>
      <c r="D101" s="227" t="s">
        <v>1218</v>
      </c>
      <c r="E101" s="200">
        <v>3000000</v>
      </c>
      <c r="F101" s="210"/>
      <c r="G101" s="211">
        <f>+G100+E101-F101</f>
        <v>2461889</v>
      </c>
      <c r="H101" s="212"/>
      <c r="I101" s="199" t="s">
        <v>1222</v>
      </c>
      <c r="J101" s="110"/>
      <c r="K101" s="69" t="s">
        <v>29</v>
      </c>
      <c r="L101" s="73" t="s">
        <v>92</v>
      </c>
      <c r="M101" s="26">
        <v>0</v>
      </c>
    </row>
    <row r="102" spans="1:13" x14ac:dyDescent="0.3">
      <c r="A102" s="60">
        <v>46000</v>
      </c>
      <c r="B102" s="60" t="s">
        <v>57</v>
      </c>
      <c r="C102" s="65" t="s">
        <v>128</v>
      </c>
      <c r="D102" s="127" t="s">
        <v>62</v>
      </c>
      <c r="E102" s="169"/>
      <c r="F102" s="188">
        <v>51100.81</v>
      </c>
      <c r="G102" s="213">
        <f>+G101+E102-F102</f>
        <v>2410788.19</v>
      </c>
      <c r="H102" s="208">
        <v>24.207000000000001</v>
      </c>
      <c r="I102" s="10" t="s">
        <v>882</v>
      </c>
      <c r="J102" s="110"/>
      <c r="K102" s="69" t="s">
        <v>3</v>
      </c>
      <c r="L102" s="73" t="s">
        <v>92</v>
      </c>
      <c r="M102" s="26">
        <v>0</v>
      </c>
    </row>
    <row r="103" spans="1:13" x14ac:dyDescent="0.3">
      <c r="A103" s="60">
        <v>46000</v>
      </c>
      <c r="B103" s="60" t="s">
        <v>57</v>
      </c>
      <c r="C103" s="65" t="s">
        <v>127</v>
      </c>
      <c r="D103" s="127" t="s">
        <v>24</v>
      </c>
      <c r="E103" s="169"/>
      <c r="F103" s="188">
        <v>104689.59</v>
      </c>
      <c r="G103" s="213">
        <f t="shared" si="2"/>
        <v>2306098.6</v>
      </c>
      <c r="H103" s="208">
        <v>56.314999999999998</v>
      </c>
      <c r="I103" s="10" t="s">
        <v>92</v>
      </c>
      <c r="J103" s="110"/>
      <c r="K103" s="69" t="s">
        <v>4</v>
      </c>
      <c r="L103" s="73" t="s">
        <v>92</v>
      </c>
      <c r="M103" s="26">
        <v>0</v>
      </c>
    </row>
    <row r="104" spans="1:13" x14ac:dyDescent="0.3">
      <c r="A104" s="60">
        <v>46000</v>
      </c>
      <c r="B104" s="60" t="s">
        <v>57</v>
      </c>
      <c r="C104" s="65" t="s">
        <v>129</v>
      </c>
      <c r="D104" s="127" t="s">
        <v>22</v>
      </c>
      <c r="E104" s="169"/>
      <c r="F104" s="188">
        <v>795010.65</v>
      </c>
      <c r="G104" s="213">
        <f t="shared" si="2"/>
        <v>1511087.9500000002</v>
      </c>
      <c r="H104" s="208">
        <v>427.65499999999997</v>
      </c>
      <c r="I104" s="10" t="s">
        <v>92</v>
      </c>
      <c r="J104" s="110"/>
      <c r="K104" s="69" t="s">
        <v>5</v>
      </c>
      <c r="L104" s="73" t="s">
        <v>92</v>
      </c>
      <c r="M104" s="26">
        <f>SUM(H124)</f>
        <v>24.141999999999999</v>
      </c>
    </row>
    <row r="105" spans="1:13" x14ac:dyDescent="0.3">
      <c r="A105" s="60">
        <v>46001</v>
      </c>
      <c r="B105" s="60" t="s">
        <v>57</v>
      </c>
      <c r="C105" s="65" t="s">
        <v>130</v>
      </c>
      <c r="D105" s="127" t="s">
        <v>61</v>
      </c>
      <c r="E105" s="169"/>
      <c r="F105" s="188">
        <v>243684.83</v>
      </c>
      <c r="G105" s="213">
        <f t="shared" si="2"/>
        <v>1267403.1200000001</v>
      </c>
      <c r="H105" s="208">
        <v>131.22499999999999</v>
      </c>
      <c r="I105" s="10" t="s">
        <v>92</v>
      </c>
      <c r="J105" s="110"/>
      <c r="K105" s="116" t="s">
        <v>61</v>
      </c>
      <c r="L105" s="73" t="s">
        <v>92</v>
      </c>
      <c r="M105" s="26">
        <f>SUM(H105+H111+H117)</f>
        <v>358.51700000000005</v>
      </c>
    </row>
    <row r="106" spans="1:13" x14ac:dyDescent="0.3">
      <c r="A106" s="60">
        <v>46001</v>
      </c>
      <c r="B106" s="60" t="s">
        <v>57</v>
      </c>
      <c r="C106" s="65" t="s">
        <v>131</v>
      </c>
      <c r="D106" s="127" t="s">
        <v>62</v>
      </c>
      <c r="E106" s="169"/>
      <c r="F106" s="188">
        <v>34983.5</v>
      </c>
      <c r="G106" s="213">
        <f t="shared" si="2"/>
        <v>1232419.6200000001</v>
      </c>
      <c r="H106" s="208">
        <v>20.001999999999999</v>
      </c>
      <c r="I106" s="10" t="s">
        <v>92</v>
      </c>
      <c r="J106" s="110"/>
      <c r="K106" s="69" t="s">
        <v>22</v>
      </c>
      <c r="L106" s="73" t="s">
        <v>92</v>
      </c>
      <c r="M106" s="26">
        <f>SUM(H93+H104+H114+H115+H126)</f>
        <v>1980.1100000000001</v>
      </c>
    </row>
    <row r="107" spans="1:13" x14ac:dyDescent="0.3">
      <c r="A107" s="60">
        <v>46001</v>
      </c>
      <c r="B107" s="60" t="s">
        <v>57</v>
      </c>
      <c r="C107" s="65" t="s">
        <v>132</v>
      </c>
      <c r="D107" s="127" t="s">
        <v>117</v>
      </c>
      <c r="E107" s="169"/>
      <c r="F107" s="188">
        <v>49802.77</v>
      </c>
      <c r="G107" s="213">
        <f t="shared" si="2"/>
        <v>1182616.8500000001</v>
      </c>
      <c r="H107" s="208">
        <v>20.984999999999999</v>
      </c>
      <c r="I107" s="10" t="s">
        <v>882</v>
      </c>
      <c r="J107" s="110"/>
      <c r="K107" s="69" t="s">
        <v>6</v>
      </c>
      <c r="L107" s="73" t="s">
        <v>92</v>
      </c>
      <c r="M107" s="26">
        <f>SUM(H94+H98+H110)</f>
        <v>72.53</v>
      </c>
    </row>
    <row r="108" spans="1:13" x14ac:dyDescent="0.3">
      <c r="A108" s="60">
        <v>46001</v>
      </c>
      <c r="B108" s="60" t="s">
        <v>57</v>
      </c>
      <c r="C108" s="65" t="s">
        <v>133</v>
      </c>
      <c r="D108" s="127" t="s">
        <v>117</v>
      </c>
      <c r="E108" s="169"/>
      <c r="F108" s="188">
        <v>38295.050000000003</v>
      </c>
      <c r="G108" s="213">
        <f>+G107+E108-F108</f>
        <v>1144321.8</v>
      </c>
      <c r="H108" s="208">
        <v>20.622</v>
      </c>
      <c r="I108" s="10" t="s">
        <v>92</v>
      </c>
      <c r="J108" s="110"/>
      <c r="K108" s="69" t="s">
        <v>7</v>
      </c>
      <c r="L108" s="73" t="s">
        <v>92</v>
      </c>
      <c r="M108" s="26">
        <v>0</v>
      </c>
    </row>
    <row r="109" spans="1:13" x14ac:dyDescent="0.3">
      <c r="A109" s="60">
        <v>46001</v>
      </c>
      <c r="B109" s="60" t="s">
        <v>57</v>
      </c>
      <c r="C109" s="65" t="s">
        <v>134</v>
      </c>
      <c r="D109" s="127" t="s">
        <v>8</v>
      </c>
      <c r="E109" s="169"/>
      <c r="F109" s="188">
        <v>45000.68</v>
      </c>
      <c r="G109" s="213">
        <f t="shared" si="2"/>
        <v>1099321.1200000001</v>
      </c>
      <c r="H109" s="208">
        <v>24.233000000000001</v>
      </c>
      <c r="I109" s="10" t="s">
        <v>92</v>
      </c>
      <c r="J109" s="110"/>
      <c r="K109" s="69" t="s">
        <v>8</v>
      </c>
      <c r="L109" s="73" t="s">
        <v>92</v>
      </c>
      <c r="M109" s="26">
        <f>SUM(H99+H109)</f>
        <v>48.44</v>
      </c>
    </row>
    <row r="110" spans="1:13" x14ac:dyDescent="0.3">
      <c r="A110" s="60">
        <v>46002</v>
      </c>
      <c r="B110" s="60" t="s">
        <v>57</v>
      </c>
      <c r="C110" s="65" t="s">
        <v>135</v>
      </c>
      <c r="D110" s="127" t="s">
        <v>6</v>
      </c>
      <c r="E110" s="169"/>
      <c r="F110" s="188">
        <v>58100.46</v>
      </c>
      <c r="G110" s="213">
        <f t="shared" si="2"/>
        <v>1041220.6600000001</v>
      </c>
      <c r="H110" s="208">
        <v>24.116</v>
      </c>
      <c r="I110" s="10" t="s">
        <v>882</v>
      </c>
      <c r="J110" s="110"/>
      <c r="K110" s="69" t="s">
        <v>9</v>
      </c>
      <c r="L110" s="73" t="s">
        <v>92</v>
      </c>
      <c r="M110" s="26">
        <f>SUM(H121)</f>
        <v>162.83500000000001</v>
      </c>
    </row>
    <row r="111" spans="1:13" x14ac:dyDescent="0.3">
      <c r="A111" s="60">
        <v>46002</v>
      </c>
      <c r="B111" s="60" t="s">
        <v>57</v>
      </c>
      <c r="C111" s="65" t="s">
        <v>136</v>
      </c>
      <c r="D111" s="127" t="s">
        <v>61</v>
      </c>
      <c r="E111" s="169"/>
      <c r="F111" s="188">
        <v>184286.16</v>
      </c>
      <c r="G111" s="213">
        <f t="shared" si="2"/>
        <v>856934.50000000012</v>
      </c>
      <c r="H111" s="208">
        <v>98.76</v>
      </c>
      <c r="I111" s="10" t="s">
        <v>92</v>
      </c>
      <c r="J111" s="110"/>
      <c r="K111" s="69" t="s">
        <v>30</v>
      </c>
      <c r="L111" s="73" t="s">
        <v>92</v>
      </c>
      <c r="M111" s="26">
        <f>SUM(H100+H116+H122)</f>
        <v>970.63499999999999</v>
      </c>
    </row>
    <row r="112" spans="1:13" x14ac:dyDescent="0.3">
      <c r="A112" s="194">
        <v>46002</v>
      </c>
      <c r="B112" s="194" t="s">
        <v>57</v>
      </c>
      <c r="C112" s="195" t="s">
        <v>137</v>
      </c>
      <c r="D112" s="229" t="s">
        <v>23</v>
      </c>
      <c r="E112" s="196"/>
      <c r="F112" s="230">
        <v>66139.539999999994</v>
      </c>
      <c r="G112" s="231">
        <f t="shared" si="2"/>
        <v>790794.96000000008</v>
      </c>
      <c r="H112" s="232">
        <v>39.652000000000001</v>
      </c>
      <c r="I112" s="157" t="s">
        <v>92</v>
      </c>
      <c r="J112" s="110"/>
      <c r="K112" s="69" t="s">
        <v>10</v>
      </c>
      <c r="L112" s="73" t="s">
        <v>92</v>
      </c>
      <c r="M112" s="42">
        <v>0</v>
      </c>
    </row>
    <row r="113" spans="1:13" x14ac:dyDescent="0.3">
      <c r="A113" s="60">
        <v>46002</v>
      </c>
      <c r="B113" s="60" t="s">
        <v>57</v>
      </c>
      <c r="C113" s="65" t="s">
        <v>138</v>
      </c>
      <c r="D113" s="127" t="s">
        <v>8</v>
      </c>
      <c r="E113" s="169"/>
      <c r="F113" s="188">
        <v>26200</v>
      </c>
      <c r="G113" s="213">
        <f t="shared" si="2"/>
        <v>764594.96000000008</v>
      </c>
      <c r="H113" s="208" t="s">
        <v>1216</v>
      </c>
      <c r="I113" s="10" t="s">
        <v>880</v>
      </c>
      <c r="J113" s="110"/>
      <c r="K113" s="69" t="s">
        <v>12</v>
      </c>
      <c r="L113" s="73" t="s">
        <v>92</v>
      </c>
      <c r="M113" s="26">
        <f>SUM(H107+H108)</f>
        <v>41.606999999999999</v>
      </c>
    </row>
    <row r="114" spans="1:13" x14ac:dyDescent="0.3">
      <c r="A114" s="60">
        <v>46002</v>
      </c>
      <c r="B114" s="60" t="s">
        <v>57</v>
      </c>
      <c r="C114" s="57" t="s">
        <v>139</v>
      </c>
      <c r="D114" s="127" t="s">
        <v>22</v>
      </c>
      <c r="E114" s="169"/>
      <c r="F114" s="188">
        <v>475106.93</v>
      </c>
      <c r="G114" s="213">
        <f>+G113+E114-F114</f>
        <v>289488.03000000009</v>
      </c>
      <c r="H114" s="208">
        <v>252.202</v>
      </c>
      <c r="I114" s="10" t="s">
        <v>92</v>
      </c>
      <c r="J114" s="110"/>
      <c r="K114" s="116" t="s">
        <v>23</v>
      </c>
      <c r="L114" s="197" t="s">
        <v>1214</v>
      </c>
      <c r="M114" s="80">
        <f>SUM(H112)</f>
        <v>39.652000000000001</v>
      </c>
    </row>
    <row r="115" spans="1:13" x14ac:dyDescent="0.3">
      <c r="A115" s="60">
        <v>46003</v>
      </c>
      <c r="B115" s="60" t="s">
        <v>57</v>
      </c>
      <c r="C115" s="57" t="s">
        <v>140</v>
      </c>
      <c r="D115" s="127" t="s">
        <v>22</v>
      </c>
      <c r="E115" s="169"/>
      <c r="F115" s="188">
        <v>674033.46</v>
      </c>
      <c r="G115" s="207">
        <f>+G114+E115-F115</f>
        <v>-384545.42999999988</v>
      </c>
      <c r="H115" s="208">
        <v>359.92700000000002</v>
      </c>
      <c r="I115" s="10" t="s">
        <v>92</v>
      </c>
      <c r="J115" s="110"/>
      <c r="K115" s="69" t="s">
        <v>36</v>
      </c>
      <c r="L115" s="117" t="s">
        <v>199</v>
      </c>
      <c r="M115" s="26" t="s">
        <v>211</v>
      </c>
    </row>
    <row r="116" spans="1:13" ht="14.4" customHeight="1" x14ac:dyDescent="0.3">
      <c r="A116" s="119">
        <v>46003</v>
      </c>
      <c r="B116" s="233" t="s">
        <v>57</v>
      </c>
      <c r="C116" s="115" t="s">
        <v>141</v>
      </c>
      <c r="D116" s="233" t="s">
        <v>30</v>
      </c>
      <c r="E116" s="234"/>
      <c r="F116" s="235">
        <v>730371.12</v>
      </c>
      <c r="G116" s="207">
        <f>+G115+E116-F116</f>
        <v>-1114916.5499999998</v>
      </c>
      <c r="H116" s="236">
        <v>391.83</v>
      </c>
      <c r="I116" s="10" t="s">
        <v>92</v>
      </c>
      <c r="J116"/>
      <c r="K116" s="512" t="s">
        <v>695</v>
      </c>
      <c r="L116" s="512"/>
      <c r="M116" s="148">
        <f>SUM(M95:M114)</f>
        <v>3963.9700000000003</v>
      </c>
    </row>
    <row r="117" spans="1:13" x14ac:dyDescent="0.3">
      <c r="A117" s="62">
        <v>46003</v>
      </c>
      <c r="B117" s="63" t="s">
        <v>57</v>
      </c>
      <c r="C117" s="51" t="s">
        <v>142</v>
      </c>
      <c r="D117" s="80" t="s">
        <v>61</v>
      </c>
      <c r="E117" s="237"/>
      <c r="F117" s="238">
        <v>243625.52</v>
      </c>
      <c r="G117" s="207">
        <f t="shared" ref="G117:G123" si="3">+G116+E117-F117</f>
        <v>-1358542.0699999998</v>
      </c>
      <c r="H117" s="79">
        <v>128.53200000000001</v>
      </c>
      <c r="I117" s="10" t="s">
        <v>92</v>
      </c>
      <c r="J117" s="3"/>
    </row>
    <row r="118" spans="1:13" x14ac:dyDescent="0.3">
      <c r="A118" s="62">
        <v>46003</v>
      </c>
      <c r="B118" s="63" t="s">
        <v>57</v>
      </c>
      <c r="C118" s="51" t="s">
        <v>143</v>
      </c>
      <c r="D118" s="80" t="s">
        <v>6</v>
      </c>
      <c r="E118" s="237"/>
      <c r="F118" s="238">
        <v>26200</v>
      </c>
      <c r="G118" s="207">
        <f t="shared" si="3"/>
        <v>-1384742.0699999998</v>
      </c>
      <c r="H118" s="79" t="s">
        <v>1216</v>
      </c>
      <c r="I118" s="10" t="s">
        <v>873</v>
      </c>
      <c r="J118" s="3"/>
    </row>
    <row r="119" spans="1:13" x14ac:dyDescent="0.3">
      <c r="A119" s="239">
        <v>46003</v>
      </c>
      <c r="B119" s="240" t="s">
        <v>60</v>
      </c>
      <c r="C119" s="201" t="s">
        <v>144</v>
      </c>
      <c r="D119" s="241" t="s">
        <v>1218</v>
      </c>
      <c r="E119" s="204">
        <v>2500000</v>
      </c>
      <c r="F119" s="242"/>
      <c r="G119" s="211">
        <f t="shared" si="3"/>
        <v>1115257.9300000002</v>
      </c>
      <c r="H119" s="243"/>
      <c r="I119" s="199" t="s">
        <v>1222</v>
      </c>
      <c r="J119" s="3"/>
    </row>
    <row r="120" spans="1:13" x14ac:dyDescent="0.3">
      <c r="A120" s="62">
        <v>46004</v>
      </c>
      <c r="B120" s="63" t="s">
        <v>57</v>
      </c>
      <c r="C120" s="51" t="s">
        <v>145</v>
      </c>
      <c r="D120" s="80" t="s">
        <v>24</v>
      </c>
      <c r="E120" s="190"/>
      <c r="F120" s="238">
        <v>45000.69</v>
      </c>
      <c r="G120" s="213">
        <f t="shared" si="3"/>
        <v>1070257.2400000002</v>
      </c>
      <c r="H120" s="79">
        <v>24.141999999999999</v>
      </c>
      <c r="I120" s="10" t="s">
        <v>92</v>
      </c>
      <c r="J120" s="3"/>
    </row>
    <row r="121" spans="1:13" x14ac:dyDescent="0.3">
      <c r="A121" s="62">
        <v>46004</v>
      </c>
      <c r="B121" s="63" t="s">
        <v>57</v>
      </c>
      <c r="C121" s="51" t="s">
        <v>146</v>
      </c>
      <c r="D121" s="80" t="s">
        <v>9</v>
      </c>
      <c r="E121" s="190"/>
      <c r="F121" s="238">
        <v>285449.76</v>
      </c>
      <c r="G121" s="213">
        <f t="shared" si="3"/>
        <v>784807.48000000021</v>
      </c>
      <c r="H121" s="79">
        <v>162.83500000000001</v>
      </c>
      <c r="I121" s="10" t="s">
        <v>92</v>
      </c>
      <c r="J121" s="3"/>
    </row>
    <row r="122" spans="1:13" x14ac:dyDescent="0.3">
      <c r="A122" s="62">
        <v>46004</v>
      </c>
      <c r="B122" s="63" t="s">
        <v>57</v>
      </c>
      <c r="C122" s="51" t="s">
        <v>147</v>
      </c>
      <c r="D122" s="80" t="s">
        <v>30</v>
      </c>
      <c r="E122" s="190"/>
      <c r="F122" s="238">
        <v>661948.4</v>
      </c>
      <c r="G122" s="213">
        <f t="shared" si="3"/>
        <v>122859.08000000019</v>
      </c>
      <c r="H122" s="79">
        <v>351.85</v>
      </c>
      <c r="I122" s="10" t="s">
        <v>882</v>
      </c>
      <c r="J122" s="3"/>
    </row>
    <row r="123" spans="1:13" x14ac:dyDescent="0.3">
      <c r="A123" s="62">
        <v>46004</v>
      </c>
      <c r="B123" s="63" t="s">
        <v>57</v>
      </c>
      <c r="C123" s="51" t="s">
        <v>148</v>
      </c>
      <c r="D123" s="80" t="s">
        <v>62</v>
      </c>
      <c r="E123" s="190"/>
      <c r="F123" s="238">
        <v>45000.69</v>
      </c>
      <c r="G123" s="213">
        <f t="shared" si="3"/>
        <v>77858.390000000189</v>
      </c>
      <c r="H123" s="79">
        <v>24.141999999999999</v>
      </c>
      <c r="I123" s="10" t="s">
        <v>92</v>
      </c>
      <c r="J123" s="3"/>
    </row>
    <row r="124" spans="1:13" x14ac:dyDescent="0.3">
      <c r="A124" s="62">
        <v>46005</v>
      </c>
      <c r="B124" s="63" t="s">
        <v>57</v>
      </c>
      <c r="C124" s="51" t="s">
        <v>150</v>
      </c>
      <c r="D124" s="80" t="s">
        <v>5</v>
      </c>
      <c r="E124" s="190"/>
      <c r="F124" s="238">
        <v>45000.69</v>
      </c>
      <c r="G124" s="213">
        <f>+G123+E124-F124</f>
        <v>32857.700000000186</v>
      </c>
      <c r="H124" s="79">
        <v>24.141999999999999</v>
      </c>
      <c r="I124" s="10" t="s">
        <v>92</v>
      </c>
      <c r="J124" s="3"/>
    </row>
    <row r="125" spans="1:13" x14ac:dyDescent="0.3">
      <c r="A125" s="62">
        <v>46005</v>
      </c>
      <c r="B125" s="63" t="s">
        <v>57</v>
      </c>
      <c r="C125" s="51" t="s">
        <v>149</v>
      </c>
      <c r="D125" s="80" t="s">
        <v>24</v>
      </c>
      <c r="E125" s="190"/>
      <c r="F125" s="238">
        <v>76654.61</v>
      </c>
      <c r="G125" s="207">
        <f t="shared" ref="G125:G130" si="4">+G124+E125-F125</f>
        <v>-43796.909999999814</v>
      </c>
      <c r="H125" s="79">
        <v>42.198999999999998</v>
      </c>
      <c r="I125" s="10" t="s">
        <v>92</v>
      </c>
      <c r="J125" s="3"/>
    </row>
    <row r="126" spans="1:13" x14ac:dyDescent="0.3">
      <c r="A126" s="62">
        <v>46005</v>
      </c>
      <c r="B126" s="63" t="s">
        <v>57</v>
      </c>
      <c r="C126" s="51" t="s">
        <v>151</v>
      </c>
      <c r="D126" s="80" t="s">
        <v>22</v>
      </c>
      <c r="E126" s="190"/>
      <c r="F126" s="238">
        <v>893509.04</v>
      </c>
      <c r="G126" s="207">
        <f t="shared" si="4"/>
        <v>-937305.94999999984</v>
      </c>
      <c r="H126" s="79">
        <v>477.69400000000002</v>
      </c>
      <c r="I126" s="10" t="s">
        <v>92</v>
      </c>
      <c r="J126" s="3"/>
    </row>
    <row r="127" spans="1:13" x14ac:dyDescent="0.3">
      <c r="A127" s="510" t="s">
        <v>694</v>
      </c>
      <c r="B127" s="510"/>
      <c r="C127" s="510"/>
      <c r="D127" s="510"/>
      <c r="E127" s="510"/>
      <c r="F127" s="510"/>
      <c r="G127" s="510"/>
      <c r="H127" s="511">
        <f>SUM(H93:H111,H112:H126)</f>
        <v>3963.9699999999993</v>
      </c>
      <c r="I127" s="511"/>
      <c r="J127" s="3"/>
    </row>
    <row r="128" spans="1:13" x14ac:dyDescent="0.3">
      <c r="A128" s="525" t="s">
        <v>198</v>
      </c>
      <c r="B128" s="525"/>
      <c r="C128" s="525"/>
      <c r="D128" s="525"/>
      <c r="E128" s="525"/>
      <c r="F128" s="525"/>
      <c r="G128" s="525"/>
      <c r="H128" s="525"/>
      <c r="I128" s="525"/>
      <c r="J128" s="3"/>
      <c r="K128" s="526" t="s">
        <v>201</v>
      </c>
      <c r="L128" s="526"/>
      <c r="M128" s="526"/>
    </row>
    <row r="129" spans="1:13" x14ac:dyDescent="0.3">
      <c r="A129" s="62">
        <v>46006</v>
      </c>
      <c r="B129" s="63" t="s">
        <v>57</v>
      </c>
      <c r="C129" s="51" t="s">
        <v>152</v>
      </c>
      <c r="D129" s="80" t="s">
        <v>30</v>
      </c>
      <c r="E129" s="190"/>
      <c r="F129" s="244">
        <v>299999.62</v>
      </c>
      <c r="G129" s="207">
        <f>+G126+E129-F129</f>
        <v>-1237305.5699999998</v>
      </c>
      <c r="H129" s="79">
        <v>160.94399999999999</v>
      </c>
      <c r="I129" s="10" t="s">
        <v>92</v>
      </c>
      <c r="J129" s="3"/>
      <c r="K129" s="520" t="s">
        <v>34</v>
      </c>
      <c r="L129" s="520"/>
      <c r="M129" s="520"/>
    </row>
    <row r="130" spans="1:13" x14ac:dyDescent="0.3">
      <c r="A130" s="62">
        <v>46006</v>
      </c>
      <c r="B130" s="63" t="s">
        <v>57</v>
      </c>
      <c r="C130" s="51" t="s">
        <v>153</v>
      </c>
      <c r="D130" s="80" t="s">
        <v>61</v>
      </c>
      <c r="E130" s="190"/>
      <c r="F130" s="244">
        <v>349430.7</v>
      </c>
      <c r="G130" s="207">
        <f t="shared" si="4"/>
        <v>-1586736.2699999998</v>
      </c>
      <c r="H130" s="79">
        <v>185.4</v>
      </c>
      <c r="I130" s="10" t="s">
        <v>92</v>
      </c>
      <c r="J130" s="3"/>
      <c r="K130" s="71" t="s">
        <v>32</v>
      </c>
      <c r="L130" s="43" t="s">
        <v>35</v>
      </c>
      <c r="M130" s="43" t="s">
        <v>33</v>
      </c>
    </row>
    <row r="131" spans="1:13" x14ac:dyDescent="0.3">
      <c r="A131" s="239">
        <v>46006</v>
      </c>
      <c r="B131" s="240" t="s">
        <v>60</v>
      </c>
      <c r="C131" s="201" t="s">
        <v>154</v>
      </c>
      <c r="D131" s="241" t="s">
        <v>1218</v>
      </c>
      <c r="E131" s="204">
        <v>2500000</v>
      </c>
      <c r="F131" s="277"/>
      <c r="G131" s="211">
        <f>+G130+E131-F131</f>
        <v>913263.73000000021</v>
      </c>
      <c r="H131" s="243"/>
      <c r="I131" s="199" t="s">
        <v>1223</v>
      </c>
      <c r="J131" s="3"/>
      <c r="K131" s="69" t="s">
        <v>0</v>
      </c>
      <c r="L131" s="73" t="s">
        <v>92</v>
      </c>
      <c r="M131" s="26">
        <v>0</v>
      </c>
    </row>
    <row r="132" spans="1:13" x14ac:dyDescent="0.3">
      <c r="A132" s="62">
        <v>46006</v>
      </c>
      <c r="B132" s="63" t="s">
        <v>57</v>
      </c>
      <c r="C132" s="51" t="s">
        <v>155</v>
      </c>
      <c r="D132" s="80" t="s">
        <v>6</v>
      </c>
      <c r="E132" s="190"/>
      <c r="F132" s="244">
        <v>45000.69</v>
      </c>
      <c r="G132" s="213">
        <f t="shared" ref="G132:G179" si="5">+G131+E132-F132</f>
        <v>868263.04000000027</v>
      </c>
      <c r="H132" s="79">
        <v>24.141999999999999</v>
      </c>
      <c r="I132" s="10" t="s">
        <v>92</v>
      </c>
      <c r="J132" s="3"/>
      <c r="K132" s="69" t="s">
        <v>1</v>
      </c>
      <c r="L132" s="73" t="s">
        <v>92</v>
      </c>
      <c r="M132" s="26">
        <v>0</v>
      </c>
    </row>
    <row r="133" spans="1:13" x14ac:dyDescent="0.3">
      <c r="A133" s="62">
        <v>46006</v>
      </c>
      <c r="B133" s="63" t="s">
        <v>57</v>
      </c>
      <c r="C133" s="51" t="s">
        <v>156</v>
      </c>
      <c r="D133" s="80" t="s">
        <v>30</v>
      </c>
      <c r="E133" s="190"/>
      <c r="F133" s="244">
        <v>535159.12</v>
      </c>
      <c r="G133" s="213">
        <f t="shared" si="5"/>
        <v>333103.92000000027</v>
      </c>
      <c r="H133" s="79">
        <v>283.83</v>
      </c>
      <c r="I133" s="10" t="s">
        <v>882</v>
      </c>
      <c r="J133" s="3"/>
      <c r="K133" s="24" t="s">
        <v>27</v>
      </c>
      <c r="L133" s="73" t="s">
        <v>92</v>
      </c>
      <c r="M133" s="26">
        <v>0</v>
      </c>
    </row>
    <row r="134" spans="1:13" x14ac:dyDescent="0.3">
      <c r="A134" s="62">
        <v>46006</v>
      </c>
      <c r="B134" s="63" t="s">
        <v>57</v>
      </c>
      <c r="C134" s="51" t="s">
        <v>157</v>
      </c>
      <c r="D134" s="80" t="s">
        <v>22</v>
      </c>
      <c r="E134" s="190"/>
      <c r="F134" s="244">
        <v>760049.73</v>
      </c>
      <c r="G134" s="207">
        <f t="shared" si="5"/>
        <v>-426945.80999999971</v>
      </c>
      <c r="H134" s="79">
        <v>407.75200000000001</v>
      </c>
      <c r="I134" s="10" t="s">
        <v>92</v>
      </c>
      <c r="J134" s="3"/>
      <c r="K134" s="76" t="s">
        <v>62</v>
      </c>
      <c r="L134" s="80" t="s">
        <v>92</v>
      </c>
      <c r="M134" s="80">
        <f>SUM(H144+H155+H157)</f>
        <v>91.572000000000003</v>
      </c>
    </row>
    <row r="135" spans="1:13" x14ac:dyDescent="0.3">
      <c r="A135" s="62">
        <v>46007</v>
      </c>
      <c r="B135" s="63" t="s">
        <v>57</v>
      </c>
      <c r="C135" s="51" t="s">
        <v>158</v>
      </c>
      <c r="D135" s="140" t="s">
        <v>6</v>
      </c>
      <c r="E135" s="190"/>
      <c r="F135" s="244">
        <v>58100.69</v>
      </c>
      <c r="G135" s="207">
        <f t="shared" si="5"/>
        <v>-485046.49999999971</v>
      </c>
      <c r="H135" s="79">
        <v>24.141999999999999</v>
      </c>
      <c r="I135" s="10" t="s">
        <v>882</v>
      </c>
      <c r="J135" s="3"/>
      <c r="K135" s="76" t="s">
        <v>24</v>
      </c>
      <c r="L135" s="80" t="s">
        <v>92</v>
      </c>
      <c r="M135" s="80">
        <f>SUM(H140+H151+H169+H179)</f>
        <v>96.606999999999999</v>
      </c>
    </row>
    <row r="136" spans="1:13" x14ac:dyDescent="0.3">
      <c r="A136" s="62">
        <v>46007</v>
      </c>
      <c r="B136" s="63" t="s">
        <v>57</v>
      </c>
      <c r="C136" s="120" t="s">
        <v>159</v>
      </c>
      <c r="D136" s="80" t="s">
        <v>5</v>
      </c>
      <c r="E136" s="191"/>
      <c r="F136" s="244">
        <v>58100.69</v>
      </c>
      <c r="G136" s="207">
        <f t="shared" si="5"/>
        <v>-543147.18999999971</v>
      </c>
      <c r="H136" s="79">
        <v>24.141999999999999</v>
      </c>
      <c r="I136" s="10" t="s">
        <v>92</v>
      </c>
      <c r="J136" s="3"/>
      <c r="K136" s="69" t="s">
        <v>2</v>
      </c>
      <c r="L136" s="73" t="s">
        <v>92</v>
      </c>
      <c r="M136" s="26">
        <f>SUM(H172)</f>
        <v>39.262</v>
      </c>
    </row>
    <row r="137" spans="1:13" x14ac:dyDescent="0.3">
      <c r="A137" s="62">
        <v>46007</v>
      </c>
      <c r="B137" s="63" t="s">
        <v>57</v>
      </c>
      <c r="C137" s="51" t="s">
        <v>160</v>
      </c>
      <c r="D137" s="245" t="s">
        <v>117</v>
      </c>
      <c r="E137" s="190"/>
      <c r="F137" s="244">
        <v>110737.23</v>
      </c>
      <c r="G137" s="207">
        <f t="shared" si="5"/>
        <v>-653884.41999999969</v>
      </c>
      <c r="H137" s="79">
        <v>60.003999999999998</v>
      </c>
      <c r="I137" s="10" t="s">
        <v>92</v>
      </c>
      <c r="J137" s="3"/>
      <c r="K137" s="69" t="s">
        <v>29</v>
      </c>
      <c r="L137" s="73" t="s">
        <v>92</v>
      </c>
      <c r="M137" s="26">
        <f>SUM(H145)</f>
        <v>76.974999999999994</v>
      </c>
    </row>
    <row r="138" spans="1:13" x14ac:dyDescent="0.3">
      <c r="A138" s="239">
        <v>46007</v>
      </c>
      <c r="B138" s="240" t="s">
        <v>60</v>
      </c>
      <c r="C138" s="201" t="s">
        <v>161</v>
      </c>
      <c r="D138" s="241" t="s">
        <v>1218</v>
      </c>
      <c r="E138" s="204">
        <v>1500000</v>
      </c>
      <c r="F138" s="277"/>
      <c r="G138" s="211">
        <f t="shared" si="5"/>
        <v>846115.58000000031</v>
      </c>
      <c r="H138" s="243"/>
      <c r="I138" s="199" t="s">
        <v>1223</v>
      </c>
      <c r="J138" s="3"/>
      <c r="K138" s="69" t="s">
        <v>3</v>
      </c>
      <c r="L138" s="73" t="s">
        <v>92</v>
      </c>
      <c r="M138" s="26">
        <f>SUM(H164)</f>
        <v>35.472000000000001</v>
      </c>
    </row>
    <row r="139" spans="1:13" x14ac:dyDescent="0.3">
      <c r="A139" s="62">
        <v>46008</v>
      </c>
      <c r="B139" s="63" t="s">
        <v>57</v>
      </c>
      <c r="C139" s="51" t="s">
        <v>162</v>
      </c>
      <c r="D139" s="80" t="s">
        <v>30</v>
      </c>
      <c r="E139" s="190"/>
      <c r="F139" s="244">
        <v>501700.32</v>
      </c>
      <c r="G139" s="213">
        <f t="shared" si="5"/>
        <v>344415.2600000003</v>
      </c>
      <c r="H139" s="79">
        <v>265.88</v>
      </c>
      <c r="I139" s="10" t="s">
        <v>882</v>
      </c>
      <c r="J139" s="3"/>
      <c r="K139" s="69" t="s">
        <v>4</v>
      </c>
      <c r="L139" s="73" t="s">
        <v>92</v>
      </c>
      <c r="M139" s="26">
        <v>0</v>
      </c>
    </row>
    <row r="140" spans="1:13" x14ac:dyDescent="0.3">
      <c r="A140" s="62">
        <v>46008</v>
      </c>
      <c r="B140" s="63" t="s">
        <v>57</v>
      </c>
      <c r="C140" s="51" t="s">
        <v>163</v>
      </c>
      <c r="D140" s="80" t="s">
        <v>24</v>
      </c>
      <c r="E140" s="190"/>
      <c r="F140" s="244">
        <v>58100.69</v>
      </c>
      <c r="G140" s="213">
        <f t="shared" si="5"/>
        <v>286314.5700000003</v>
      </c>
      <c r="H140" s="79">
        <v>24.141999999999999</v>
      </c>
      <c r="I140" s="10" t="s">
        <v>882</v>
      </c>
      <c r="J140" s="3"/>
      <c r="K140" s="69" t="s">
        <v>5</v>
      </c>
      <c r="L140" s="73" t="s">
        <v>92</v>
      </c>
      <c r="M140" s="26">
        <f>SUM(H136+H141+H171+H174)</f>
        <v>96.646000000000001</v>
      </c>
    </row>
    <row r="141" spans="1:13" x14ac:dyDescent="0.3">
      <c r="A141" s="62">
        <v>46008</v>
      </c>
      <c r="B141" s="63" t="s">
        <v>57</v>
      </c>
      <c r="C141" s="51" t="s">
        <v>164</v>
      </c>
      <c r="D141" s="80" t="s">
        <v>5</v>
      </c>
      <c r="E141" s="190"/>
      <c r="F141" s="244">
        <v>58100.69</v>
      </c>
      <c r="G141" s="213">
        <f t="shared" si="5"/>
        <v>228213.8800000003</v>
      </c>
      <c r="H141" s="79">
        <v>24.141999999999999</v>
      </c>
      <c r="I141" s="10" t="s">
        <v>882</v>
      </c>
      <c r="J141" s="3"/>
      <c r="K141" s="69" t="s">
        <v>61</v>
      </c>
      <c r="L141" s="73" t="s">
        <v>92</v>
      </c>
      <c r="M141" s="26">
        <f>SUM(H130+H175)</f>
        <v>330.935</v>
      </c>
    </row>
    <row r="142" spans="1:13" x14ac:dyDescent="0.3">
      <c r="A142" s="62">
        <v>46008</v>
      </c>
      <c r="B142" s="63" t="s">
        <v>57</v>
      </c>
      <c r="C142" s="51" t="s">
        <v>165</v>
      </c>
      <c r="D142" s="80" t="s">
        <v>6</v>
      </c>
      <c r="E142" s="190"/>
      <c r="F142" s="244">
        <v>58100.69</v>
      </c>
      <c r="G142" s="213">
        <f t="shared" si="5"/>
        <v>170113.19000000029</v>
      </c>
      <c r="H142" s="79">
        <v>24.141999999999999</v>
      </c>
      <c r="I142" s="10" t="s">
        <v>882</v>
      </c>
      <c r="J142" s="3"/>
      <c r="K142" s="69" t="s">
        <v>22</v>
      </c>
      <c r="L142" s="73" t="s">
        <v>92</v>
      </c>
      <c r="M142" s="26">
        <f>SUM(H134+H146+H166+H167+H173)</f>
        <v>1259.0830000000001</v>
      </c>
    </row>
    <row r="143" spans="1:13" x14ac:dyDescent="0.3">
      <c r="A143" s="62">
        <v>46008</v>
      </c>
      <c r="B143" s="63" t="s">
        <v>57</v>
      </c>
      <c r="C143" s="51" t="s">
        <v>166</v>
      </c>
      <c r="D143" s="80" t="s">
        <v>62</v>
      </c>
      <c r="E143" s="190"/>
      <c r="F143" s="244">
        <v>13100</v>
      </c>
      <c r="G143" s="213">
        <f t="shared" si="5"/>
        <v>157013.19000000029</v>
      </c>
      <c r="H143" s="79" t="s">
        <v>1216</v>
      </c>
      <c r="I143" s="80" t="s">
        <v>36</v>
      </c>
      <c r="J143" s="3"/>
      <c r="K143" s="69" t="s">
        <v>6</v>
      </c>
      <c r="L143" s="73" t="s">
        <v>92</v>
      </c>
      <c r="M143" s="26">
        <f>SUM(H132+H135+H142+H162)</f>
        <v>96.606999999999999</v>
      </c>
    </row>
    <row r="144" spans="1:13" x14ac:dyDescent="0.3">
      <c r="A144" s="62">
        <v>46008</v>
      </c>
      <c r="B144" s="63" t="s">
        <v>57</v>
      </c>
      <c r="C144" s="51" t="s">
        <v>167</v>
      </c>
      <c r="D144" s="80" t="s">
        <v>62</v>
      </c>
      <c r="E144" s="190"/>
      <c r="F144" s="244">
        <v>45000.69</v>
      </c>
      <c r="G144" s="213">
        <f t="shared" si="5"/>
        <v>112012.50000000029</v>
      </c>
      <c r="H144" s="124">
        <v>24.141999999999999</v>
      </c>
      <c r="I144" s="10" t="s">
        <v>92</v>
      </c>
      <c r="J144" s="3"/>
      <c r="K144" s="69" t="s">
        <v>8</v>
      </c>
      <c r="L144" s="73" t="s">
        <v>92</v>
      </c>
      <c r="M144" s="26">
        <f>SUM(H154+H180)</f>
        <v>48.283999999999999</v>
      </c>
    </row>
    <row r="145" spans="1:13" x14ac:dyDescent="0.3">
      <c r="A145" s="62">
        <v>46008</v>
      </c>
      <c r="B145" s="63" t="s">
        <v>57</v>
      </c>
      <c r="C145" s="51" t="s">
        <v>168</v>
      </c>
      <c r="D145" s="80" t="s">
        <v>26</v>
      </c>
      <c r="E145" s="190"/>
      <c r="F145" s="244">
        <v>143481.4</v>
      </c>
      <c r="G145" s="207">
        <f t="shared" si="5"/>
        <v>-31468.899999999703</v>
      </c>
      <c r="H145" s="76">
        <v>76.974999999999994</v>
      </c>
      <c r="I145" s="10" t="s">
        <v>92</v>
      </c>
      <c r="J145" s="3"/>
      <c r="K145" s="69" t="s">
        <v>9</v>
      </c>
      <c r="L145" s="73" t="s">
        <v>92</v>
      </c>
      <c r="M145" s="26">
        <f>SUM(H152)</f>
        <v>114.09</v>
      </c>
    </row>
    <row r="146" spans="1:13" x14ac:dyDescent="0.3">
      <c r="A146" s="62">
        <v>46008</v>
      </c>
      <c r="B146" s="63" t="s">
        <v>57</v>
      </c>
      <c r="C146" s="51" t="s">
        <v>169</v>
      </c>
      <c r="D146" s="80" t="s">
        <v>22</v>
      </c>
      <c r="E146" s="190"/>
      <c r="F146" s="244">
        <v>805018.73</v>
      </c>
      <c r="G146" s="207">
        <f t="shared" si="5"/>
        <v>-836487.62999999966</v>
      </c>
      <c r="H146" s="76">
        <v>431.87700000000001</v>
      </c>
      <c r="I146" s="10" t="s">
        <v>92</v>
      </c>
      <c r="J146" s="3"/>
      <c r="K146" s="69" t="s">
        <v>30</v>
      </c>
      <c r="L146" s="73" t="s">
        <v>92</v>
      </c>
      <c r="M146" s="26">
        <f>SUM(H129+H133+H139+H150)</f>
        <v>1099.454</v>
      </c>
    </row>
    <row r="147" spans="1:13" x14ac:dyDescent="0.3">
      <c r="A147" s="62">
        <v>46009</v>
      </c>
      <c r="B147" s="63" t="s">
        <v>57</v>
      </c>
      <c r="C147" s="51" t="s">
        <v>170</v>
      </c>
      <c r="D147" s="246" t="s">
        <v>26</v>
      </c>
      <c r="E147" s="190"/>
      <c r="F147" s="244">
        <v>26200</v>
      </c>
      <c r="G147" s="207">
        <f t="shared" si="5"/>
        <v>-862687.62999999966</v>
      </c>
      <c r="H147" s="79" t="s">
        <v>1216</v>
      </c>
      <c r="I147" s="10" t="s">
        <v>880</v>
      </c>
      <c r="J147" s="3"/>
      <c r="K147" s="69" t="s">
        <v>10</v>
      </c>
      <c r="L147" s="73" t="s">
        <v>92</v>
      </c>
      <c r="M147" s="42">
        <f>SUM(H156+H177)</f>
        <v>483.24700000000001</v>
      </c>
    </row>
    <row r="148" spans="1:13" x14ac:dyDescent="0.3">
      <c r="A148" s="62">
        <v>46009</v>
      </c>
      <c r="B148" s="63" t="s">
        <v>57</v>
      </c>
      <c r="C148" s="51" t="s">
        <v>171</v>
      </c>
      <c r="D148" s="80" t="s">
        <v>5</v>
      </c>
      <c r="E148" s="190"/>
      <c r="F148" s="244">
        <v>13100</v>
      </c>
      <c r="G148" s="207">
        <f t="shared" si="5"/>
        <v>-875787.62999999966</v>
      </c>
      <c r="H148" s="79" t="s">
        <v>1216</v>
      </c>
      <c r="I148" s="10" t="s">
        <v>36</v>
      </c>
      <c r="J148" s="3"/>
      <c r="K148" s="69" t="s">
        <v>12</v>
      </c>
      <c r="L148" s="73" t="s">
        <v>92</v>
      </c>
      <c r="M148" s="26">
        <f>SUM(H137+H168+H170)</f>
        <v>139.65800000000002</v>
      </c>
    </row>
    <row r="149" spans="1:13" x14ac:dyDescent="0.3">
      <c r="A149" s="62">
        <v>46009</v>
      </c>
      <c r="B149" s="63" t="s">
        <v>57</v>
      </c>
      <c r="C149" s="51" t="s">
        <v>172</v>
      </c>
      <c r="D149" s="80" t="s">
        <v>6</v>
      </c>
      <c r="E149" s="190"/>
      <c r="F149" s="244">
        <v>26200</v>
      </c>
      <c r="G149" s="207">
        <f t="shared" si="5"/>
        <v>-901987.62999999966</v>
      </c>
      <c r="H149" s="79" t="s">
        <v>1216</v>
      </c>
      <c r="I149" s="10" t="s">
        <v>880</v>
      </c>
      <c r="J149" s="3"/>
      <c r="K149" s="69" t="s">
        <v>36</v>
      </c>
      <c r="L149" s="117" t="s">
        <v>199</v>
      </c>
      <c r="M149" s="26" t="s">
        <v>277</v>
      </c>
    </row>
    <row r="150" spans="1:13" x14ac:dyDescent="0.3">
      <c r="A150" s="62">
        <v>46009</v>
      </c>
      <c r="B150" s="63" t="s">
        <v>57</v>
      </c>
      <c r="C150" s="51" t="s">
        <v>173</v>
      </c>
      <c r="D150" s="80" t="s">
        <v>30</v>
      </c>
      <c r="E150" s="190"/>
      <c r="F150" s="244">
        <v>724723.19999999995</v>
      </c>
      <c r="G150" s="207">
        <f t="shared" si="5"/>
        <v>-1626710.8299999996</v>
      </c>
      <c r="H150" s="76">
        <v>388.8</v>
      </c>
      <c r="I150" s="10" t="s">
        <v>92</v>
      </c>
      <c r="J150" s="3"/>
      <c r="K150" s="512" t="s">
        <v>695</v>
      </c>
      <c r="L150" s="512"/>
      <c r="M150" s="148">
        <f>SUM(M131:M148)</f>
        <v>4007.8919999999998</v>
      </c>
    </row>
    <row r="151" spans="1:13" x14ac:dyDescent="0.3">
      <c r="A151" s="62">
        <v>46009</v>
      </c>
      <c r="B151" s="63" t="s">
        <v>57</v>
      </c>
      <c r="C151" s="51" t="s">
        <v>174</v>
      </c>
      <c r="D151" s="80" t="s">
        <v>24</v>
      </c>
      <c r="E151" s="190"/>
      <c r="F151" s="244">
        <v>58100.69</v>
      </c>
      <c r="G151" s="207">
        <f t="shared" si="5"/>
        <v>-1684811.5199999996</v>
      </c>
      <c r="H151" s="76">
        <v>24.141999999999999</v>
      </c>
      <c r="I151" s="10" t="s">
        <v>882</v>
      </c>
      <c r="J151" s="3"/>
    </row>
    <row r="152" spans="1:13" x14ac:dyDescent="0.3">
      <c r="A152" s="62">
        <v>46009</v>
      </c>
      <c r="B152" s="63" t="s">
        <v>57</v>
      </c>
      <c r="C152" s="51" t="s">
        <v>175</v>
      </c>
      <c r="D152" s="80" t="s">
        <v>9</v>
      </c>
      <c r="E152" s="190"/>
      <c r="F152" s="244">
        <v>199999.77</v>
      </c>
      <c r="G152" s="207">
        <f t="shared" si="5"/>
        <v>-1884811.2899999996</v>
      </c>
      <c r="H152" s="76">
        <v>114.09</v>
      </c>
      <c r="I152" s="10" t="s">
        <v>92</v>
      </c>
      <c r="J152" s="3"/>
    </row>
    <row r="153" spans="1:13" x14ac:dyDescent="0.3">
      <c r="A153" s="239">
        <v>46009</v>
      </c>
      <c r="B153" s="240" t="s">
        <v>60</v>
      </c>
      <c r="C153" s="201" t="s">
        <v>176</v>
      </c>
      <c r="D153" s="241" t="s">
        <v>1218</v>
      </c>
      <c r="E153" s="204">
        <v>2500000</v>
      </c>
      <c r="F153" s="277"/>
      <c r="G153" s="211">
        <f t="shared" si="5"/>
        <v>615188.71000000043</v>
      </c>
      <c r="H153" s="243"/>
      <c r="I153" s="199" t="s">
        <v>1215</v>
      </c>
      <c r="J153" s="3"/>
    </row>
    <row r="154" spans="1:13" x14ac:dyDescent="0.3">
      <c r="A154" s="62">
        <v>46009</v>
      </c>
      <c r="B154" s="63" t="s">
        <v>57</v>
      </c>
      <c r="C154" s="51" t="s">
        <v>177</v>
      </c>
      <c r="D154" s="80" t="s">
        <v>8</v>
      </c>
      <c r="E154" s="190"/>
      <c r="F154" s="244">
        <v>51100.69</v>
      </c>
      <c r="G154" s="213">
        <f t="shared" si="5"/>
        <v>564088.02000000048</v>
      </c>
      <c r="H154" s="76">
        <v>24.141999999999999</v>
      </c>
      <c r="I154" s="10" t="s">
        <v>882</v>
      </c>
      <c r="J154" s="3"/>
    </row>
    <row r="155" spans="1:13" x14ac:dyDescent="0.3">
      <c r="A155" s="62">
        <v>46009</v>
      </c>
      <c r="B155" s="63" t="s">
        <v>57</v>
      </c>
      <c r="C155" s="51" t="s">
        <v>178</v>
      </c>
      <c r="D155" s="80" t="s">
        <v>62</v>
      </c>
      <c r="E155" s="190"/>
      <c r="F155" s="244">
        <v>45000.69</v>
      </c>
      <c r="G155" s="213">
        <f t="shared" si="5"/>
        <v>519087.33000000048</v>
      </c>
      <c r="H155" s="76">
        <v>24.141999999999999</v>
      </c>
      <c r="I155" s="10" t="s">
        <v>92</v>
      </c>
      <c r="J155" s="3"/>
    </row>
    <row r="156" spans="1:13" x14ac:dyDescent="0.3">
      <c r="A156" s="62">
        <v>46010</v>
      </c>
      <c r="B156" s="63" t="s">
        <v>57</v>
      </c>
      <c r="C156" s="51" t="s">
        <v>179</v>
      </c>
      <c r="D156" s="80" t="s">
        <v>10</v>
      </c>
      <c r="E156" s="190"/>
      <c r="F156" s="244">
        <v>384257.6</v>
      </c>
      <c r="G156" s="213">
        <f t="shared" si="5"/>
        <v>134829.73000000051</v>
      </c>
      <c r="H156" s="124">
        <v>219.2</v>
      </c>
      <c r="I156" s="10" t="s">
        <v>92</v>
      </c>
      <c r="J156" s="3"/>
    </row>
    <row r="157" spans="1:13" x14ac:dyDescent="0.3">
      <c r="A157" s="62">
        <v>46010</v>
      </c>
      <c r="B157" s="63" t="s">
        <v>57</v>
      </c>
      <c r="C157" s="51" t="s">
        <v>180</v>
      </c>
      <c r="D157" s="80" t="s">
        <v>62</v>
      </c>
      <c r="E157" s="190"/>
      <c r="F157" s="244">
        <v>78495.41</v>
      </c>
      <c r="G157" s="213">
        <f t="shared" si="5"/>
        <v>56334.320000000502</v>
      </c>
      <c r="H157" s="79">
        <v>43.287999999999997</v>
      </c>
      <c r="I157" s="10" t="s">
        <v>92</v>
      </c>
      <c r="J157" s="3"/>
    </row>
    <row r="158" spans="1:13" x14ac:dyDescent="0.3">
      <c r="A158" s="62">
        <v>46010</v>
      </c>
      <c r="B158" s="63" t="s">
        <v>57</v>
      </c>
      <c r="C158" s="51" t="s">
        <v>181</v>
      </c>
      <c r="D158" s="80" t="s">
        <v>5</v>
      </c>
      <c r="E158" s="190"/>
      <c r="F158" s="244">
        <v>24400</v>
      </c>
      <c r="G158" s="213">
        <f t="shared" si="5"/>
        <v>31934.320000000502</v>
      </c>
      <c r="H158" s="79" t="s">
        <v>1216</v>
      </c>
      <c r="I158" s="10" t="s">
        <v>875</v>
      </c>
      <c r="J158" s="3"/>
    </row>
    <row r="159" spans="1:13" x14ac:dyDescent="0.3">
      <c r="A159" s="62">
        <v>46010</v>
      </c>
      <c r="B159" s="63" t="s">
        <v>57</v>
      </c>
      <c r="C159" s="51" t="s">
        <v>182</v>
      </c>
      <c r="D159" s="80" t="s">
        <v>24</v>
      </c>
      <c r="E159" s="190"/>
      <c r="F159" s="244">
        <v>13100</v>
      </c>
      <c r="G159" s="213">
        <f t="shared" si="5"/>
        <v>18834.320000000502</v>
      </c>
      <c r="H159" s="79" t="s">
        <v>1216</v>
      </c>
      <c r="I159" s="10" t="s">
        <v>36</v>
      </c>
      <c r="J159" s="3"/>
    </row>
    <row r="160" spans="1:13" x14ac:dyDescent="0.3">
      <c r="A160" s="62">
        <v>46010</v>
      </c>
      <c r="B160" s="63" t="s">
        <v>57</v>
      </c>
      <c r="C160" s="51" t="s">
        <v>183</v>
      </c>
      <c r="D160" s="80" t="s">
        <v>24</v>
      </c>
      <c r="E160" s="190"/>
      <c r="F160" s="244">
        <v>18300</v>
      </c>
      <c r="G160" s="213">
        <f t="shared" si="5"/>
        <v>534.32000000050175</v>
      </c>
      <c r="H160" s="79" t="s">
        <v>1216</v>
      </c>
      <c r="I160" s="10" t="s">
        <v>878</v>
      </c>
      <c r="J160" s="3"/>
    </row>
    <row r="161" spans="1:10" x14ac:dyDescent="0.3">
      <c r="A161" s="278">
        <v>46010</v>
      </c>
      <c r="B161" s="279" t="s">
        <v>60</v>
      </c>
      <c r="C161" s="280" t="s">
        <v>184</v>
      </c>
      <c r="D161" s="281"/>
      <c r="E161" s="282">
        <v>13100</v>
      </c>
      <c r="F161" s="283"/>
      <c r="G161" s="284">
        <f t="shared" si="5"/>
        <v>13634.320000000502</v>
      </c>
      <c r="H161" s="285"/>
      <c r="I161" s="286" t="s">
        <v>185</v>
      </c>
      <c r="J161" s="3"/>
    </row>
    <row r="162" spans="1:10" x14ac:dyDescent="0.3">
      <c r="A162" s="62">
        <v>46010</v>
      </c>
      <c r="B162" s="63" t="s">
        <v>57</v>
      </c>
      <c r="C162" s="51" t="s">
        <v>186</v>
      </c>
      <c r="D162" s="80" t="s">
        <v>6</v>
      </c>
      <c r="E162" s="190"/>
      <c r="F162" s="244">
        <v>69400.84</v>
      </c>
      <c r="G162" s="207">
        <f>+G161+E162-F162</f>
        <v>-55766.519999999495</v>
      </c>
      <c r="H162" s="76">
        <v>24.181000000000001</v>
      </c>
      <c r="I162" s="118" t="s">
        <v>874</v>
      </c>
      <c r="J162" s="3"/>
    </row>
    <row r="163" spans="1:10" x14ac:dyDescent="0.3">
      <c r="A163" s="62">
        <v>46010</v>
      </c>
      <c r="B163" s="63" t="s">
        <v>57</v>
      </c>
      <c r="C163" s="51" t="s">
        <v>187</v>
      </c>
      <c r="D163" s="80" t="s">
        <v>62</v>
      </c>
      <c r="E163" s="190"/>
      <c r="F163" s="244">
        <v>24400</v>
      </c>
      <c r="G163" s="207">
        <f t="shared" si="5"/>
        <v>-80166.519999999495</v>
      </c>
      <c r="H163" s="76" t="s">
        <v>1216</v>
      </c>
      <c r="I163" s="118" t="s">
        <v>875</v>
      </c>
      <c r="J163" s="3"/>
    </row>
    <row r="164" spans="1:10" x14ac:dyDescent="0.3">
      <c r="A164" s="62">
        <v>46010</v>
      </c>
      <c r="B164" s="63" t="s">
        <v>57</v>
      </c>
      <c r="C164" s="51" t="s">
        <v>188</v>
      </c>
      <c r="D164" s="80" t="s">
        <v>3</v>
      </c>
      <c r="E164" s="190"/>
      <c r="F164" s="244">
        <v>66013.39</v>
      </c>
      <c r="G164" s="207">
        <f t="shared" si="5"/>
        <v>-146179.90999999951</v>
      </c>
      <c r="H164" s="76">
        <v>35.472000000000001</v>
      </c>
      <c r="I164" s="118" t="s">
        <v>92</v>
      </c>
      <c r="J164" s="3"/>
    </row>
    <row r="165" spans="1:10" x14ac:dyDescent="0.3">
      <c r="A165" s="239">
        <v>46010</v>
      </c>
      <c r="B165" s="240" t="s">
        <v>60</v>
      </c>
      <c r="C165" s="201" t="s">
        <v>189</v>
      </c>
      <c r="D165" s="241" t="s">
        <v>1218</v>
      </c>
      <c r="E165" s="204">
        <v>1500000</v>
      </c>
      <c r="F165" s="277"/>
      <c r="G165" s="211">
        <f t="shared" si="5"/>
        <v>1353820.0900000005</v>
      </c>
      <c r="H165" s="243"/>
      <c r="I165" s="199" t="s">
        <v>1223</v>
      </c>
      <c r="J165" s="3"/>
    </row>
    <row r="166" spans="1:10" x14ac:dyDescent="0.3">
      <c r="A166" s="62">
        <v>46010</v>
      </c>
      <c r="B166" s="63" t="s">
        <v>57</v>
      </c>
      <c r="C166" s="51" t="s">
        <v>190</v>
      </c>
      <c r="D166" s="80" t="s">
        <v>22</v>
      </c>
      <c r="E166" s="190"/>
      <c r="F166" s="244">
        <v>228097.19</v>
      </c>
      <c r="G166" s="213">
        <f t="shared" si="5"/>
        <v>1125722.9000000006</v>
      </c>
      <c r="H166" s="76">
        <v>122.56699999999999</v>
      </c>
      <c r="I166" s="118" t="s">
        <v>92</v>
      </c>
      <c r="J166" s="3"/>
    </row>
    <row r="167" spans="1:10" x14ac:dyDescent="0.3">
      <c r="A167" s="62">
        <v>46010</v>
      </c>
      <c r="B167" s="63" t="s">
        <v>57</v>
      </c>
      <c r="C167" s="51" t="s">
        <v>191</v>
      </c>
      <c r="D167" s="80" t="s">
        <v>22</v>
      </c>
      <c r="E167" s="190"/>
      <c r="F167" s="244">
        <v>277475.09999999998</v>
      </c>
      <c r="G167" s="213">
        <f t="shared" si="5"/>
        <v>848247.80000000063</v>
      </c>
      <c r="H167" s="76">
        <v>149.1</v>
      </c>
      <c r="I167" s="118" t="s">
        <v>92</v>
      </c>
      <c r="J167" s="3"/>
    </row>
    <row r="168" spans="1:10" x14ac:dyDescent="0.3">
      <c r="A168" s="62">
        <v>46011</v>
      </c>
      <c r="B168" s="63" t="s">
        <v>57</v>
      </c>
      <c r="C168" s="51" t="s">
        <v>192</v>
      </c>
      <c r="D168" s="80" t="s">
        <v>117</v>
      </c>
      <c r="E168" s="190"/>
      <c r="F168" s="244">
        <v>111012.37</v>
      </c>
      <c r="G168" s="213">
        <f t="shared" si="5"/>
        <v>737235.43000000063</v>
      </c>
      <c r="H168" s="76">
        <v>59.652000000000001</v>
      </c>
      <c r="I168" s="118" t="s">
        <v>92</v>
      </c>
      <c r="J168" s="3"/>
    </row>
    <row r="169" spans="1:10" x14ac:dyDescent="0.3">
      <c r="A169" s="62">
        <v>46011</v>
      </c>
      <c r="B169" s="63" t="s">
        <v>57</v>
      </c>
      <c r="C169" s="51" t="s">
        <v>193</v>
      </c>
      <c r="D169" s="80" t="s">
        <v>24</v>
      </c>
      <c r="E169" s="190"/>
      <c r="F169" s="244">
        <v>45000.84</v>
      </c>
      <c r="G169" s="213">
        <f t="shared" si="5"/>
        <v>692234.59000000067</v>
      </c>
      <c r="H169" s="76">
        <v>24.181000000000001</v>
      </c>
      <c r="I169" s="118" t="s">
        <v>92</v>
      </c>
      <c r="J169" s="3"/>
    </row>
    <row r="170" spans="1:10" x14ac:dyDescent="0.3">
      <c r="A170" s="62">
        <v>46011</v>
      </c>
      <c r="B170" s="63" t="s">
        <v>57</v>
      </c>
      <c r="C170" s="51" t="s">
        <v>194</v>
      </c>
      <c r="D170" s="80" t="s">
        <v>117</v>
      </c>
      <c r="E170" s="190"/>
      <c r="F170" s="244">
        <v>35023.5</v>
      </c>
      <c r="G170" s="213">
        <f t="shared" si="5"/>
        <v>657211.09000000067</v>
      </c>
      <c r="H170" s="76">
        <v>20.001999999999999</v>
      </c>
      <c r="I170" s="118" t="s">
        <v>92</v>
      </c>
      <c r="J170" s="3"/>
    </row>
    <row r="171" spans="1:10" x14ac:dyDescent="0.3">
      <c r="A171" s="119">
        <v>46011</v>
      </c>
      <c r="B171" s="233" t="s">
        <v>57</v>
      </c>
      <c r="C171" s="115" t="s">
        <v>195</v>
      </c>
      <c r="D171" s="233" t="s">
        <v>5</v>
      </c>
      <c r="E171" s="247"/>
      <c r="F171" s="248">
        <v>69400.84</v>
      </c>
      <c r="G171" s="213">
        <f t="shared" si="5"/>
        <v>587810.2500000007</v>
      </c>
      <c r="H171" s="76">
        <v>24.181000000000001</v>
      </c>
      <c r="I171" s="80" t="s">
        <v>874</v>
      </c>
      <c r="J171" s="3"/>
    </row>
    <row r="172" spans="1:10" x14ac:dyDescent="0.3">
      <c r="A172" s="62">
        <v>46011</v>
      </c>
      <c r="B172" s="63" t="s">
        <v>57</v>
      </c>
      <c r="C172" s="51" t="s">
        <v>196</v>
      </c>
      <c r="D172" s="80" t="s">
        <v>2</v>
      </c>
      <c r="E172" s="234"/>
      <c r="F172" s="244">
        <v>72006.509999999995</v>
      </c>
      <c r="G172" s="213">
        <f t="shared" si="5"/>
        <v>515803.74000000069</v>
      </c>
      <c r="H172" s="76">
        <v>39.262</v>
      </c>
      <c r="I172" s="118" t="s">
        <v>92</v>
      </c>
      <c r="J172" s="3"/>
    </row>
    <row r="173" spans="1:10" x14ac:dyDescent="0.3">
      <c r="A173" s="62">
        <v>46011</v>
      </c>
      <c r="B173" s="63" t="s">
        <v>57</v>
      </c>
      <c r="C173" s="51" t="s">
        <v>203</v>
      </c>
      <c r="D173" s="80" t="s">
        <v>22</v>
      </c>
      <c r="E173" s="237"/>
      <c r="F173" s="244">
        <v>275031.61</v>
      </c>
      <c r="G173" s="213">
        <f t="shared" si="5"/>
        <v>240772.1300000007</v>
      </c>
      <c r="H173" s="76">
        <v>147.78700000000001</v>
      </c>
      <c r="I173" s="118" t="s">
        <v>92</v>
      </c>
      <c r="J173" s="3"/>
    </row>
    <row r="174" spans="1:10" x14ac:dyDescent="0.3">
      <c r="A174" s="62">
        <v>46011</v>
      </c>
      <c r="B174" s="63" t="s">
        <v>57</v>
      </c>
      <c r="C174" s="51" t="s">
        <v>204</v>
      </c>
      <c r="D174" s="80" t="s">
        <v>5</v>
      </c>
      <c r="E174" s="237"/>
      <c r="F174" s="244">
        <v>45000.84</v>
      </c>
      <c r="G174" s="213">
        <f t="shared" si="5"/>
        <v>195771.29000000071</v>
      </c>
      <c r="H174" s="76">
        <v>24.181000000000001</v>
      </c>
      <c r="I174" s="118" t="s">
        <v>92</v>
      </c>
      <c r="J174" s="3"/>
    </row>
    <row r="175" spans="1:10" x14ac:dyDescent="0.3">
      <c r="A175" s="62">
        <v>46011</v>
      </c>
      <c r="B175" s="63" t="s">
        <v>57</v>
      </c>
      <c r="C175" s="51" t="s">
        <v>202</v>
      </c>
      <c r="D175" s="80" t="s">
        <v>61</v>
      </c>
      <c r="E175" s="237"/>
      <c r="F175" s="244">
        <v>270840.64</v>
      </c>
      <c r="G175" s="207">
        <f t="shared" si="5"/>
        <v>-75069.349999999307</v>
      </c>
      <c r="H175" s="76">
        <v>145.535</v>
      </c>
      <c r="I175" s="118" t="s">
        <v>92</v>
      </c>
      <c r="J175" s="3"/>
    </row>
    <row r="176" spans="1:10" x14ac:dyDescent="0.3">
      <c r="A176" s="62">
        <v>46012</v>
      </c>
      <c r="B176" s="63" t="s">
        <v>57</v>
      </c>
      <c r="C176" s="51" t="s">
        <v>205</v>
      </c>
      <c r="D176" s="80" t="s">
        <v>8</v>
      </c>
      <c r="E176" s="237"/>
      <c r="F176" s="244">
        <v>13100</v>
      </c>
      <c r="G176" s="207">
        <f>+G175+E176-F176</f>
        <v>-88169.349999999307</v>
      </c>
      <c r="H176" s="79" t="s">
        <v>1216</v>
      </c>
      <c r="I176" s="118" t="s">
        <v>36</v>
      </c>
      <c r="J176" s="3"/>
    </row>
    <row r="177" spans="1:13" x14ac:dyDescent="0.3">
      <c r="A177" s="62">
        <v>46012</v>
      </c>
      <c r="B177" s="63" t="s">
        <v>57</v>
      </c>
      <c r="C177" s="51" t="s">
        <v>206</v>
      </c>
      <c r="D177" s="80" t="s">
        <v>10</v>
      </c>
      <c r="E177" s="237"/>
      <c r="F177" s="244">
        <v>462346.3</v>
      </c>
      <c r="G177" s="207">
        <f t="shared" si="5"/>
        <v>-550515.64999999932</v>
      </c>
      <c r="H177" s="76">
        <v>264.04700000000003</v>
      </c>
      <c r="I177" s="118" t="s">
        <v>92</v>
      </c>
      <c r="J177" s="3"/>
    </row>
    <row r="178" spans="1:13" x14ac:dyDescent="0.3">
      <c r="A178" s="62">
        <v>46012</v>
      </c>
      <c r="B178" s="63" t="s">
        <v>57</v>
      </c>
      <c r="C178" s="51" t="s">
        <v>207</v>
      </c>
      <c r="D178" s="80" t="s">
        <v>5</v>
      </c>
      <c r="E178" s="237"/>
      <c r="F178" s="244">
        <v>13100</v>
      </c>
      <c r="G178" s="207">
        <f>+G177+E178-F178</f>
        <v>-563615.64999999932</v>
      </c>
      <c r="H178" s="79" t="s">
        <v>1216</v>
      </c>
      <c r="I178" s="118" t="s">
        <v>36</v>
      </c>
      <c r="J178" s="3"/>
    </row>
    <row r="179" spans="1:13" x14ac:dyDescent="0.3">
      <c r="A179" s="62">
        <v>46012</v>
      </c>
      <c r="B179" s="63" t="s">
        <v>57</v>
      </c>
      <c r="C179" s="51" t="s">
        <v>208</v>
      </c>
      <c r="D179" s="80" t="s">
        <v>24</v>
      </c>
      <c r="E179" s="237"/>
      <c r="F179" s="244">
        <v>58100.69</v>
      </c>
      <c r="G179" s="207">
        <f t="shared" si="5"/>
        <v>-621716.33999999939</v>
      </c>
      <c r="H179" s="76">
        <v>24.141999999999999</v>
      </c>
      <c r="I179" s="118" t="s">
        <v>882</v>
      </c>
      <c r="J179" s="3"/>
    </row>
    <row r="180" spans="1:13" x14ac:dyDescent="0.3">
      <c r="A180" s="62">
        <v>46012</v>
      </c>
      <c r="B180" s="63" t="s">
        <v>57</v>
      </c>
      <c r="C180" s="51" t="s">
        <v>209</v>
      </c>
      <c r="D180" s="80" t="s">
        <v>8</v>
      </c>
      <c r="E180" s="237"/>
      <c r="F180" s="244">
        <v>71200.69</v>
      </c>
      <c r="G180" s="207">
        <f>+G179+E180-F180</f>
        <v>-692917.02999999933</v>
      </c>
      <c r="H180" s="76">
        <v>24.141999999999999</v>
      </c>
      <c r="I180" s="118" t="s">
        <v>883</v>
      </c>
      <c r="J180" s="3"/>
    </row>
    <row r="181" spans="1:13" x14ac:dyDescent="0.3">
      <c r="A181" s="510" t="s">
        <v>694</v>
      </c>
      <c r="B181" s="510"/>
      <c r="C181" s="510"/>
      <c r="D181" s="510"/>
      <c r="E181" s="510"/>
      <c r="F181" s="510"/>
      <c r="G181" s="510"/>
      <c r="H181" s="511">
        <f>SUM(H129:H180)</f>
        <v>4007.8919999999994</v>
      </c>
      <c r="I181" s="511"/>
      <c r="J181" s="3"/>
    </row>
    <row r="182" spans="1:13" x14ac:dyDescent="0.3">
      <c r="A182" s="529" t="s">
        <v>201</v>
      </c>
      <c r="B182" s="529"/>
      <c r="C182" s="529"/>
      <c r="D182" s="529"/>
      <c r="E182" s="529"/>
      <c r="F182" s="529"/>
      <c r="G182" s="529"/>
      <c r="H182" s="529"/>
      <c r="I182" s="529"/>
      <c r="J182" s="3"/>
      <c r="K182" s="513" t="s">
        <v>269</v>
      </c>
      <c r="L182" s="514"/>
      <c r="M182" s="515"/>
    </row>
    <row r="183" spans="1:13" x14ac:dyDescent="0.3">
      <c r="A183" s="249">
        <v>46013</v>
      </c>
      <c r="B183" s="250" t="s">
        <v>57</v>
      </c>
      <c r="C183" s="122" t="s">
        <v>360</v>
      </c>
      <c r="D183" s="245" t="s">
        <v>6</v>
      </c>
      <c r="E183" s="189"/>
      <c r="F183" s="244">
        <v>13100</v>
      </c>
      <c r="G183" s="251">
        <f>+G180+E183-F183</f>
        <v>-706017.02999999933</v>
      </c>
      <c r="H183" s="76" t="s">
        <v>1216</v>
      </c>
      <c r="I183" s="123" t="s">
        <v>36</v>
      </c>
      <c r="J183" s="3"/>
      <c r="K183" s="516" t="s">
        <v>34</v>
      </c>
      <c r="L183" s="517"/>
      <c r="M183" s="518"/>
    </row>
    <row r="184" spans="1:13" x14ac:dyDescent="0.3">
      <c r="A184" s="62">
        <v>46013</v>
      </c>
      <c r="B184" s="63" t="s">
        <v>57</v>
      </c>
      <c r="C184" s="51" t="s">
        <v>214</v>
      </c>
      <c r="D184" s="80" t="s">
        <v>6</v>
      </c>
      <c r="E184" s="190"/>
      <c r="F184" s="244">
        <v>58100.69</v>
      </c>
      <c r="G184" s="207">
        <f t="shared" ref="G184:G243" si="6">+G183+E184-F184</f>
        <v>-764117.71999999927</v>
      </c>
      <c r="H184" s="76">
        <v>24.141999999999999</v>
      </c>
      <c r="I184" s="118" t="s">
        <v>92</v>
      </c>
      <c r="J184" s="3"/>
      <c r="K184" s="71" t="s">
        <v>32</v>
      </c>
      <c r="L184" s="43" t="s">
        <v>35</v>
      </c>
      <c r="M184" s="43" t="s">
        <v>33</v>
      </c>
    </row>
    <row r="185" spans="1:13" x14ac:dyDescent="0.3">
      <c r="A185" s="62">
        <v>46013</v>
      </c>
      <c r="B185" s="63" t="s">
        <v>57</v>
      </c>
      <c r="C185" s="51" t="s">
        <v>215</v>
      </c>
      <c r="D185" s="80" t="s">
        <v>6</v>
      </c>
      <c r="E185" s="190"/>
      <c r="F185" s="244">
        <v>13100</v>
      </c>
      <c r="G185" s="207">
        <f t="shared" si="6"/>
        <v>-777217.71999999927</v>
      </c>
      <c r="H185" s="79" t="s">
        <v>1216</v>
      </c>
      <c r="I185" s="118" t="s">
        <v>36</v>
      </c>
      <c r="J185" s="3"/>
      <c r="K185" s="133" t="s">
        <v>0</v>
      </c>
      <c r="L185" s="134" t="s">
        <v>92</v>
      </c>
      <c r="M185" s="30">
        <v>0</v>
      </c>
    </row>
    <row r="186" spans="1:13" x14ac:dyDescent="0.3">
      <c r="A186" s="239">
        <v>46013</v>
      </c>
      <c r="B186" s="240" t="s">
        <v>60</v>
      </c>
      <c r="C186" s="201" t="s">
        <v>359</v>
      </c>
      <c r="D186" s="241" t="s">
        <v>1218</v>
      </c>
      <c r="E186" s="204">
        <v>1500000</v>
      </c>
      <c r="F186" s="277"/>
      <c r="G186" s="287">
        <f t="shared" si="6"/>
        <v>722782.28000000073</v>
      </c>
      <c r="H186" s="288"/>
      <c r="I186" s="199" t="s">
        <v>1223</v>
      </c>
      <c r="J186" s="3"/>
      <c r="K186" s="69" t="s">
        <v>1</v>
      </c>
      <c r="L186" s="73" t="s">
        <v>92</v>
      </c>
      <c r="M186" s="26">
        <f>SUM(H204)</f>
        <v>73.73</v>
      </c>
    </row>
    <row r="187" spans="1:13" x14ac:dyDescent="0.3">
      <c r="A187" s="62">
        <v>46013</v>
      </c>
      <c r="B187" s="63" t="s">
        <v>57</v>
      </c>
      <c r="C187" s="51" t="s">
        <v>216</v>
      </c>
      <c r="D187" s="80" t="s">
        <v>26</v>
      </c>
      <c r="E187" s="190"/>
      <c r="F187" s="244">
        <v>155271.20000000001</v>
      </c>
      <c r="G187" s="252">
        <f t="shared" si="6"/>
        <v>567511.08000000077</v>
      </c>
      <c r="H187" s="79">
        <v>83.3</v>
      </c>
      <c r="I187" s="118" t="s">
        <v>92</v>
      </c>
      <c r="J187" s="3"/>
      <c r="K187" s="135" t="s">
        <v>27</v>
      </c>
      <c r="L187" s="131" t="s">
        <v>92</v>
      </c>
      <c r="M187" s="132">
        <v>0</v>
      </c>
    </row>
    <row r="188" spans="1:13" x14ac:dyDescent="0.3">
      <c r="A188" s="62">
        <v>46013</v>
      </c>
      <c r="B188" s="63" t="s">
        <v>57</v>
      </c>
      <c r="C188" s="51" t="s">
        <v>217</v>
      </c>
      <c r="D188" s="80" t="s">
        <v>6</v>
      </c>
      <c r="E188" s="190"/>
      <c r="F188" s="244">
        <v>13100</v>
      </c>
      <c r="G188" s="252">
        <f t="shared" si="6"/>
        <v>554411.08000000077</v>
      </c>
      <c r="H188" s="79" t="s">
        <v>1216</v>
      </c>
      <c r="I188" s="118" t="s">
        <v>36</v>
      </c>
      <c r="J188" s="3"/>
      <c r="K188" s="76" t="s">
        <v>62</v>
      </c>
      <c r="L188" s="131" t="s">
        <v>92</v>
      </c>
      <c r="M188" s="80">
        <f>SUM(H196+H189+H217+H218+H213+H231+H236+H242)</f>
        <v>179.16300000000001</v>
      </c>
    </row>
    <row r="189" spans="1:13" x14ac:dyDescent="0.3">
      <c r="A189" s="62">
        <v>46013</v>
      </c>
      <c r="B189" s="63" t="s">
        <v>57</v>
      </c>
      <c r="C189" s="51" t="s">
        <v>218</v>
      </c>
      <c r="D189" s="80" t="s">
        <v>62</v>
      </c>
      <c r="E189" s="190"/>
      <c r="F189" s="244">
        <v>45000.69</v>
      </c>
      <c r="G189" s="252">
        <f t="shared" si="6"/>
        <v>509410.39000000077</v>
      </c>
      <c r="H189" s="76">
        <v>24.141999999999999</v>
      </c>
      <c r="I189" s="118" t="s">
        <v>92</v>
      </c>
      <c r="J189" s="3"/>
      <c r="K189" s="69" t="s">
        <v>24</v>
      </c>
      <c r="L189" s="131" t="s">
        <v>92</v>
      </c>
      <c r="M189" s="26">
        <f>SUM(H191+H216+H223+H235+H243)</f>
        <v>120.788</v>
      </c>
    </row>
    <row r="190" spans="1:13" x14ac:dyDescent="0.3">
      <c r="A190" s="62">
        <v>46014</v>
      </c>
      <c r="B190" s="63" t="s">
        <v>57</v>
      </c>
      <c r="C190" s="51" t="s">
        <v>219</v>
      </c>
      <c r="D190" s="80" t="s">
        <v>117</v>
      </c>
      <c r="E190" s="190"/>
      <c r="F190" s="244">
        <v>37024.75</v>
      </c>
      <c r="G190" s="252">
        <f t="shared" si="6"/>
        <v>472385.64000000077</v>
      </c>
      <c r="H190" s="76">
        <v>21.157</v>
      </c>
      <c r="I190" s="118" t="s">
        <v>92</v>
      </c>
      <c r="J190" s="3"/>
      <c r="K190" s="69" t="s">
        <v>29</v>
      </c>
      <c r="L190" s="73" t="s">
        <v>92</v>
      </c>
      <c r="M190" s="26">
        <f>SUM(H187+H229)</f>
        <v>101.11699999999999</v>
      </c>
    </row>
    <row r="191" spans="1:13" x14ac:dyDescent="0.3">
      <c r="A191" s="62">
        <v>46014</v>
      </c>
      <c r="B191" s="63" t="s">
        <v>57</v>
      </c>
      <c r="C191" s="51" t="s">
        <v>220</v>
      </c>
      <c r="D191" s="80" t="s">
        <v>24</v>
      </c>
      <c r="E191" s="190"/>
      <c r="F191" s="244">
        <v>58100.69</v>
      </c>
      <c r="G191" s="252">
        <f t="shared" si="6"/>
        <v>414284.95000000077</v>
      </c>
      <c r="H191" s="76">
        <v>24.141999999999999</v>
      </c>
      <c r="I191" s="118" t="s">
        <v>882</v>
      </c>
      <c r="J191" s="3"/>
      <c r="K191" s="69" t="s">
        <v>3</v>
      </c>
      <c r="L191" s="73" t="s">
        <v>92</v>
      </c>
      <c r="M191" s="26">
        <f>SUM(H199+H232+H238)</f>
        <v>86.861999999999995</v>
      </c>
    </row>
    <row r="192" spans="1:13" x14ac:dyDescent="0.3">
      <c r="A192" s="62">
        <v>46014</v>
      </c>
      <c r="B192" s="63" t="s">
        <v>57</v>
      </c>
      <c r="C192" s="51" t="s">
        <v>221</v>
      </c>
      <c r="D192" s="80" t="s">
        <v>6</v>
      </c>
      <c r="E192" s="190"/>
      <c r="F192" s="114">
        <v>45024.92</v>
      </c>
      <c r="G192" s="252">
        <f t="shared" si="6"/>
        <v>369260.03000000078</v>
      </c>
      <c r="H192" s="124">
        <v>24.155000000000001</v>
      </c>
      <c r="I192" s="118" t="s">
        <v>92</v>
      </c>
      <c r="J192" s="3"/>
      <c r="K192" s="69" t="s">
        <v>4</v>
      </c>
      <c r="L192" s="73" t="s">
        <v>92</v>
      </c>
      <c r="M192" s="26">
        <f>SUM(H237)</f>
        <v>24.167999999999999</v>
      </c>
    </row>
    <row r="193" spans="1:13" x14ac:dyDescent="0.3">
      <c r="A193" s="62">
        <v>46014</v>
      </c>
      <c r="B193" s="63" t="s">
        <v>57</v>
      </c>
      <c r="C193" s="51" t="s">
        <v>222</v>
      </c>
      <c r="D193" s="80" t="s">
        <v>5</v>
      </c>
      <c r="E193" s="190"/>
      <c r="F193" s="253">
        <v>58100.69</v>
      </c>
      <c r="G193" s="252">
        <f t="shared" si="6"/>
        <v>311159.34000000078</v>
      </c>
      <c r="H193" s="76">
        <v>24.141999999999999</v>
      </c>
      <c r="I193" s="118" t="s">
        <v>882</v>
      </c>
      <c r="J193" s="3"/>
      <c r="K193" s="69" t="s">
        <v>5</v>
      </c>
      <c r="L193" s="73" t="s">
        <v>92</v>
      </c>
      <c r="M193" s="26">
        <f>SUM(H193+H206+H208+H222+H234+H239)</f>
        <v>145.02099999999999</v>
      </c>
    </row>
    <row r="194" spans="1:13" x14ac:dyDescent="0.3">
      <c r="A194" s="62">
        <v>46014</v>
      </c>
      <c r="B194" s="63" t="s">
        <v>57</v>
      </c>
      <c r="C194" s="51" t="s">
        <v>223</v>
      </c>
      <c r="D194" s="80" t="s">
        <v>61</v>
      </c>
      <c r="E194" s="190"/>
      <c r="F194" s="114">
        <v>330263.52</v>
      </c>
      <c r="G194" s="254">
        <f t="shared" si="6"/>
        <v>-19104.179999999236</v>
      </c>
      <c r="H194" s="124">
        <v>177.18</v>
      </c>
      <c r="I194" s="118" t="s">
        <v>92</v>
      </c>
      <c r="J194" s="3"/>
      <c r="K194" s="116" t="s">
        <v>61</v>
      </c>
      <c r="L194" s="73" t="s">
        <v>92</v>
      </c>
      <c r="M194" s="26">
        <f>SUM(H194+H224)</f>
        <v>236.19300000000001</v>
      </c>
    </row>
    <row r="195" spans="1:13" x14ac:dyDescent="0.3">
      <c r="A195" s="62">
        <v>46014</v>
      </c>
      <c r="B195" s="63" t="s">
        <v>57</v>
      </c>
      <c r="C195" s="51" t="s">
        <v>224</v>
      </c>
      <c r="D195" s="80" t="s">
        <v>117</v>
      </c>
      <c r="E195" s="190"/>
      <c r="F195" s="244">
        <v>36152.28</v>
      </c>
      <c r="G195" s="207">
        <f t="shared" si="6"/>
        <v>-55256.459999999235</v>
      </c>
      <c r="H195" s="76">
        <v>19.395</v>
      </c>
      <c r="I195" s="118" t="s">
        <v>92</v>
      </c>
      <c r="J195" s="3"/>
      <c r="K195" s="69" t="s">
        <v>22</v>
      </c>
      <c r="L195" s="73" t="s">
        <v>92</v>
      </c>
      <c r="M195" s="26">
        <f>SUM(H207)</f>
        <v>211.54499999999999</v>
      </c>
    </row>
    <row r="196" spans="1:13" x14ac:dyDescent="0.3">
      <c r="A196" s="62">
        <v>46014</v>
      </c>
      <c r="B196" s="63" t="s">
        <v>57</v>
      </c>
      <c r="C196" s="51" t="s">
        <v>225</v>
      </c>
      <c r="D196" s="80" t="s">
        <v>62</v>
      </c>
      <c r="E196" s="190"/>
      <c r="F196" s="114">
        <v>48200.69</v>
      </c>
      <c r="G196" s="207">
        <f t="shared" si="6"/>
        <v>-103457.14999999924</v>
      </c>
      <c r="H196" s="124">
        <v>24.141999999999999</v>
      </c>
      <c r="I196" s="118" t="s">
        <v>226</v>
      </c>
      <c r="J196" s="3"/>
      <c r="K196" s="69" t="s">
        <v>6</v>
      </c>
      <c r="L196" s="73" t="s">
        <v>92</v>
      </c>
      <c r="M196" s="26">
        <f>SUM(H184+H192+H198+H201+H210+H233+H240)</f>
        <v>169.17599999999999</v>
      </c>
    </row>
    <row r="197" spans="1:13" x14ac:dyDescent="0.3">
      <c r="A197" s="62">
        <v>46014</v>
      </c>
      <c r="B197" s="63" t="s">
        <v>57</v>
      </c>
      <c r="C197" s="51" t="s">
        <v>227</v>
      </c>
      <c r="D197" s="80" t="s">
        <v>30</v>
      </c>
      <c r="E197" s="190"/>
      <c r="F197" s="244">
        <v>156072.72</v>
      </c>
      <c r="G197" s="207">
        <f t="shared" si="6"/>
        <v>-259529.86999999924</v>
      </c>
      <c r="H197" s="76">
        <v>83.73</v>
      </c>
      <c r="I197" s="118" t="s">
        <v>92</v>
      </c>
      <c r="J197" s="3"/>
      <c r="K197" s="69" t="s">
        <v>7</v>
      </c>
      <c r="L197" s="73" t="s">
        <v>92</v>
      </c>
      <c r="M197" s="26">
        <f>SUM(H203)</f>
        <v>25.626000000000001</v>
      </c>
    </row>
    <row r="198" spans="1:13" x14ac:dyDescent="0.3">
      <c r="A198" s="62">
        <v>46014</v>
      </c>
      <c r="B198" s="63" t="s">
        <v>57</v>
      </c>
      <c r="C198" s="51" t="s">
        <v>228</v>
      </c>
      <c r="D198" s="80" t="s">
        <v>6</v>
      </c>
      <c r="E198" s="190"/>
      <c r="F198" s="114">
        <v>45000.69</v>
      </c>
      <c r="G198" s="207">
        <f t="shared" si="6"/>
        <v>-304530.55999999924</v>
      </c>
      <c r="H198" s="124">
        <v>24.141999999999999</v>
      </c>
      <c r="I198" s="118" t="s">
        <v>92</v>
      </c>
      <c r="J198" s="3"/>
      <c r="K198" s="69" t="s">
        <v>8</v>
      </c>
      <c r="L198" s="73" t="s">
        <v>92</v>
      </c>
      <c r="M198" s="26">
        <f>SUM(H215+H241+H227)</f>
        <v>64.900999999999996</v>
      </c>
    </row>
    <row r="199" spans="1:13" x14ac:dyDescent="0.3">
      <c r="A199" s="62">
        <v>46016</v>
      </c>
      <c r="B199" s="63" t="s">
        <v>57</v>
      </c>
      <c r="C199" s="51" t="s">
        <v>229</v>
      </c>
      <c r="D199" s="80" t="s">
        <v>3</v>
      </c>
      <c r="E199" s="190"/>
      <c r="F199" s="244">
        <v>84787</v>
      </c>
      <c r="G199" s="207">
        <f t="shared" si="6"/>
        <v>-389317.55999999924</v>
      </c>
      <c r="H199" s="76">
        <v>38.5</v>
      </c>
      <c r="I199" s="118" t="s">
        <v>882</v>
      </c>
      <c r="J199" s="3"/>
      <c r="K199" s="69" t="s">
        <v>9</v>
      </c>
      <c r="L199" s="73" t="s">
        <v>92</v>
      </c>
      <c r="M199" s="26">
        <f>SUM(H212)</f>
        <v>156.79499999999999</v>
      </c>
    </row>
    <row r="200" spans="1:13" x14ac:dyDescent="0.3">
      <c r="A200" s="62">
        <v>46017</v>
      </c>
      <c r="B200" s="63" t="s">
        <v>57</v>
      </c>
      <c r="C200" s="124" t="s">
        <v>230</v>
      </c>
      <c r="D200" s="80" t="s">
        <v>24</v>
      </c>
      <c r="E200" s="190"/>
      <c r="F200" s="244">
        <v>13100</v>
      </c>
      <c r="G200" s="207">
        <f t="shared" si="6"/>
        <v>-402417.55999999924</v>
      </c>
      <c r="H200" s="79" t="s">
        <v>1216</v>
      </c>
      <c r="I200" s="118" t="s">
        <v>36</v>
      </c>
      <c r="J200" s="3"/>
      <c r="K200" s="69" t="s">
        <v>30</v>
      </c>
      <c r="L200" s="73" t="s">
        <v>92</v>
      </c>
      <c r="M200" s="26">
        <f>SUM(H197)</f>
        <v>83.73</v>
      </c>
    </row>
    <row r="201" spans="1:13" x14ac:dyDescent="0.3">
      <c r="A201" s="62">
        <v>46017</v>
      </c>
      <c r="B201" s="63" t="s">
        <v>57</v>
      </c>
      <c r="C201" s="51" t="s">
        <v>231</v>
      </c>
      <c r="D201" s="80" t="s">
        <v>6</v>
      </c>
      <c r="E201" s="190"/>
      <c r="F201" s="244">
        <v>58100.82</v>
      </c>
      <c r="G201" s="207">
        <f t="shared" si="6"/>
        <v>-460518.37999999925</v>
      </c>
      <c r="H201" s="76">
        <v>24.167999999999999</v>
      </c>
      <c r="I201" s="118" t="s">
        <v>882</v>
      </c>
      <c r="J201" s="3"/>
      <c r="K201" s="76" t="s">
        <v>361</v>
      </c>
      <c r="L201" s="80" t="s">
        <v>92</v>
      </c>
      <c r="M201" s="80">
        <f>SUM(H230)</f>
        <v>11.432</v>
      </c>
    </row>
    <row r="202" spans="1:13" x14ac:dyDescent="0.3">
      <c r="A202" s="62">
        <v>46017</v>
      </c>
      <c r="B202" s="63" t="s">
        <v>57</v>
      </c>
      <c r="C202" s="51" t="s">
        <v>232</v>
      </c>
      <c r="D202" s="80" t="s">
        <v>117</v>
      </c>
      <c r="E202" s="190"/>
      <c r="F202" s="244">
        <v>70243.509999999995</v>
      </c>
      <c r="G202" s="207">
        <f t="shared" si="6"/>
        <v>-530761.8899999992</v>
      </c>
      <c r="H202" s="76">
        <v>40.002000000000002</v>
      </c>
      <c r="I202" s="118" t="s">
        <v>92</v>
      </c>
      <c r="J202" s="3"/>
      <c r="K202" s="69" t="s">
        <v>10</v>
      </c>
      <c r="L202" s="73" t="s">
        <v>92</v>
      </c>
      <c r="M202" s="42">
        <v>0</v>
      </c>
    </row>
    <row r="203" spans="1:13" x14ac:dyDescent="0.3">
      <c r="A203" s="62">
        <v>46017</v>
      </c>
      <c r="B203" s="63" t="s">
        <v>57</v>
      </c>
      <c r="C203" s="51" t="s">
        <v>233</v>
      </c>
      <c r="D203" s="80" t="s">
        <v>7</v>
      </c>
      <c r="E203" s="190"/>
      <c r="F203" s="255">
        <v>44999.26</v>
      </c>
      <c r="G203" s="207">
        <f t="shared" si="6"/>
        <v>-575761.14999999921</v>
      </c>
      <c r="H203" s="124">
        <v>25.626000000000001</v>
      </c>
      <c r="I203" s="118" t="s">
        <v>92</v>
      </c>
      <c r="J203" s="3"/>
      <c r="K203" s="69" t="s">
        <v>12</v>
      </c>
      <c r="L203" s="73" t="s">
        <v>92</v>
      </c>
      <c r="M203" s="26">
        <f>SUM(H190+H195+H202+H211+H221)</f>
        <v>132.691</v>
      </c>
    </row>
    <row r="204" spans="1:13" x14ac:dyDescent="0.3">
      <c r="A204" s="62">
        <v>46017</v>
      </c>
      <c r="B204" s="63" t="s">
        <v>57</v>
      </c>
      <c r="C204" s="51" t="s">
        <v>234</v>
      </c>
      <c r="D204" s="80" t="s">
        <v>1</v>
      </c>
      <c r="E204" s="190"/>
      <c r="F204" s="244">
        <v>137285.26</v>
      </c>
      <c r="G204" s="207">
        <f t="shared" si="6"/>
        <v>-713046.40999999922</v>
      </c>
      <c r="H204" s="76">
        <v>73.73</v>
      </c>
      <c r="I204" s="118" t="s">
        <v>92</v>
      </c>
      <c r="J204" s="3"/>
      <c r="K204" s="69" t="s">
        <v>36</v>
      </c>
      <c r="L204" s="117" t="s">
        <v>199</v>
      </c>
      <c r="M204" s="26" t="s">
        <v>362</v>
      </c>
    </row>
    <row r="205" spans="1:13" x14ac:dyDescent="0.3">
      <c r="A205" s="239">
        <v>46017</v>
      </c>
      <c r="B205" s="240" t="s">
        <v>60</v>
      </c>
      <c r="C205" s="201" t="s">
        <v>237</v>
      </c>
      <c r="D205" s="241" t="s">
        <v>1218</v>
      </c>
      <c r="E205" s="204">
        <v>1000000</v>
      </c>
      <c r="F205" s="289"/>
      <c r="G205" s="287">
        <f t="shared" si="6"/>
        <v>286953.59000000078</v>
      </c>
      <c r="H205" s="290"/>
      <c r="I205" s="199" t="s">
        <v>1223</v>
      </c>
      <c r="J205" s="3"/>
      <c r="K205" s="512" t="s">
        <v>695</v>
      </c>
      <c r="L205" s="512"/>
      <c r="M205" s="148">
        <f>SUM(M186:M203)</f>
        <v>1822.9380000000001</v>
      </c>
    </row>
    <row r="206" spans="1:13" x14ac:dyDescent="0.3">
      <c r="A206" s="62">
        <v>46017</v>
      </c>
      <c r="B206" s="63" t="s">
        <v>57</v>
      </c>
      <c r="C206" s="51" t="s">
        <v>235</v>
      </c>
      <c r="D206" s="80" t="s">
        <v>5</v>
      </c>
      <c r="E206" s="190"/>
      <c r="F206" s="244">
        <v>45000.82</v>
      </c>
      <c r="G206" s="252">
        <f t="shared" si="6"/>
        <v>241952.77000000078</v>
      </c>
      <c r="H206" s="76">
        <v>24.167999999999999</v>
      </c>
      <c r="I206" s="118" t="s">
        <v>92</v>
      </c>
      <c r="J206" s="3"/>
    </row>
    <row r="207" spans="1:13" x14ac:dyDescent="0.3">
      <c r="A207" s="62">
        <v>46018</v>
      </c>
      <c r="B207" s="63" t="s">
        <v>57</v>
      </c>
      <c r="C207" s="51" t="s">
        <v>236</v>
      </c>
      <c r="D207" s="80" t="s">
        <v>22</v>
      </c>
      <c r="E207" s="190"/>
      <c r="F207" s="244">
        <v>393262.16</v>
      </c>
      <c r="G207" s="207">
        <f t="shared" si="6"/>
        <v>-151309.3899999992</v>
      </c>
      <c r="H207" s="76">
        <v>211.54499999999999</v>
      </c>
      <c r="I207" s="118" t="s">
        <v>92</v>
      </c>
      <c r="J207" s="3"/>
    </row>
    <row r="208" spans="1:13" x14ac:dyDescent="0.3">
      <c r="A208" s="62">
        <v>46018</v>
      </c>
      <c r="B208" s="63" t="s">
        <v>57</v>
      </c>
      <c r="C208" s="51" t="s">
        <v>238</v>
      </c>
      <c r="D208" s="80" t="s">
        <v>5</v>
      </c>
      <c r="E208" s="190"/>
      <c r="F208" s="244">
        <v>84300.81</v>
      </c>
      <c r="G208" s="207">
        <f t="shared" si="6"/>
        <v>-235610.1999999992</v>
      </c>
      <c r="H208" s="124">
        <v>24.207000000000001</v>
      </c>
      <c r="I208" s="118" t="s">
        <v>884</v>
      </c>
      <c r="J208" s="3"/>
    </row>
    <row r="209" spans="1:13" x14ac:dyDescent="0.3">
      <c r="A209" s="62">
        <v>46018</v>
      </c>
      <c r="B209" s="63" t="s">
        <v>57</v>
      </c>
      <c r="C209" s="51" t="s">
        <v>239</v>
      </c>
      <c r="D209" s="80" t="s">
        <v>3</v>
      </c>
      <c r="E209" s="190"/>
      <c r="F209" s="244">
        <v>37500</v>
      </c>
      <c r="G209" s="207">
        <f t="shared" si="6"/>
        <v>-273110.1999999992</v>
      </c>
      <c r="H209" s="79" t="s">
        <v>1216</v>
      </c>
      <c r="I209" s="118" t="s">
        <v>875</v>
      </c>
      <c r="J209" s="3"/>
    </row>
    <row r="210" spans="1:13" x14ac:dyDescent="0.3">
      <c r="A210" s="62">
        <v>46018</v>
      </c>
      <c r="B210" s="63" t="s">
        <v>57</v>
      </c>
      <c r="C210" s="51" t="s">
        <v>240</v>
      </c>
      <c r="D210" s="80" t="s">
        <v>6</v>
      </c>
      <c r="E210" s="190"/>
      <c r="F210" s="244">
        <v>93800.81</v>
      </c>
      <c r="G210" s="207">
        <f t="shared" si="6"/>
        <v>-366911.00999999919</v>
      </c>
      <c r="H210" s="76">
        <v>24.207000000000001</v>
      </c>
      <c r="I210" s="118" t="s">
        <v>885</v>
      </c>
      <c r="J210" s="3"/>
    </row>
    <row r="211" spans="1:13" x14ac:dyDescent="0.3">
      <c r="A211" s="62">
        <v>46018</v>
      </c>
      <c r="B211" s="63" t="s">
        <v>57</v>
      </c>
      <c r="C211" s="51" t="s">
        <v>241</v>
      </c>
      <c r="D211" s="80" t="s">
        <v>117</v>
      </c>
      <c r="E211" s="190"/>
      <c r="F211" s="244">
        <v>68001.100000000006</v>
      </c>
      <c r="G211" s="207">
        <f t="shared" si="6"/>
        <v>-434912.10999999917</v>
      </c>
      <c r="H211" s="76">
        <v>38.725000000000001</v>
      </c>
      <c r="I211" s="118" t="s">
        <v>92</v>
      </c>
      <c r="J211" s="3"/>
    </row>
    <row r="212" spans="1:13" x14ac:dyDescent="0.3">
      <c r="A212" s="62">
        <v>46018</v>
      </c>
      <c r="B212" s="63" t="s">
        <v>57</v>
      </c>
      <c r="C212" s="51" t="s">
        <v>242</v>
      </c>
      <c r="D212" s="80" t="s">
        <v>9</v>
      </c>
      <c r="E212" s="190"/>
      <c r="F212" s="244">
        <v>275332.02</v>
      </c>
      <c r="G212" s="207">
        <f t="shared" si="6"/>
        <v>-710244.12999999919</v>
      </c>
      <c r="H212" s="76">
        <v>156.79499999999999</v>
      </c>
      <c r="I212" s="118" t="s">
        <v>92</v>
      </c>
      <c r="J212" s="3"/>
    </row>
    <row r="213" spans="1:13" x14ac:dyDescent="0.3">
      <c r="A213" s="62">
        <v>46018</v>
      </c>
      <c r="B213" s="63" t="s">
        <v>57</v>
      </c>
      <c r="C213" s="51" t="s">
        <v>243</v>
      </c>
      <c r="D213" s="80" t="s">
        <v>62</v>
      </c>
      <c r="E213" s="190"/>
      <c r="F213" s="244">
        <v>45000.81</v>
      </c>
      <c r="G213" s="207">
        <f t="shared" si="6"/>
        <v>-755244.93999999925</v>
      </c>
      <c r="H213" s="76">
        <v>24.207000000000001</v>
      </c>
      <c r="I213" s="118" t="s">
        <v>92</v>
      </c>
      <c r="J213" s="3"/>
    </row>
    <row r="214" spans="1:13" x14ac:dyDescent="0.3">
      <c r="A214" s="62">
        <v>46018</v>
      </c>
      <c r="B214" s="63" t="s">
        <v>57</v>
      </c>
      <c r="C214" s="51" t="s">
        <v>244</v>
      </c>
      <c r="D214" s="80" t="s">
        <v>62</v>
      </c>
      <c r="E214" s="190"/>
      <c r="F214" s="244">
        <v>2937</v>
      </c>
      <c r="G214" s="207">
        <f t="shared" si="6"/>
        <v>-758181.93999999925</v>
      </c>
      <c r="H214" s="79" t="s">
        <v>1216</v>
      </c>
      <c r="I214" s="118" t="s">
        <v>886</v>
      </c>
      <c r="J214" s="3"/>
    </row>
    <row r="215" spans="1:13" x14ac:dyDescent="0.3">
      <c r="A215" s="62">
        <v>46018</v>
      </c>
      <c r="B215" s="63" t="s">
        <v>57</v>
      </c>
      <c r="C215" s="51" t="s">
        <v>245</v>
      </c>
      <c r="D215" s="80" t="s">
        <v>8</v>
      </c>
      <c r="E215" s="190"/>
      <c r="F215" s="244">
        <v>45000.81</v>
      </c>
      <c r="G215" s="207">
        <f t="shared" si="6"/>
        <v>-803182.7499999993</v>
      </c>
      <c r="H215" s="76">
        <v>24.207000000000001</v>
      </c>
      <c r="I215" s="118" t="s">
        <v>92</v>
      </c>
      <c r="J215" s="3"/>
    </row>
    <row r="216" spans="1:13" x14ac:dyDescent="0.3">
      <c r="A216" s="62">
        <v>46019</v>
      </c>
      <c r="B216" s="63" t="s">
        <v>57</v>
      </c>
      <c r="C216" s="51" t="s">
        <v>246</v>
      </c>
      <c r="D216" s="80" t="s">
        <v>24</v>
      </c>
      <c r="E216" s="190"/>
      <c r="F216" s="244">
        <v>58100.69</v>
      </c>
      <c r="G216" s="207">
        <f t="shared" si="6"/>
        <v>-861283.43999999925</v>
      </c>
      <c r="H216" s="76">
        <v>24.141999999999999</v>
      </c>
      <c r="I216" s="118" t="s">
        <v>212</v>
      </c>
      <c r="J216" s="3"/>
    </row>
    <row r="217" spans="1:13" x14ac:dyDescent="0.3">
      <c r="A217" s="62">
        <v>46019</v>
      </c>
      <c r="B217" s="63" t="s">
        <v>57</v>
      </c>
      <c r="C217" s="51" t="s">
        <v>247</v>
      </c>
      <c r="D217" s="80" t="s">
        <v>62</v>
      </c>
      <c r="E217" s="190"/>
      <c r="F217" s="244">
        <v>45000.69</v>
      </c>
      <c r="G217" s="207">
        <f t="shared" si="6"/>
        <v>-906284.12999999919</v>
      </c>
      <c r="H217" s="76">
        <v>24.141999999999999</v>
      </c>
      <c r="I217" s="118" t="s">
        <v>92</v>
      </c>
      <c r="J217" s="3"/>
    </row>
    <row r="218" spans="1:13" x14ac:dyDescent="0.3">
      <c r="A218" s="62">
        <v>46019</v>
      </c>
      <c r="B218" s="63" t="s">
        <v>57</v>
      </c>
      <c r="C218" s="51" t="s">
        <v>248</v>
      </c>
      <c r="D218" s="80" t="s">
        <v>62</v>
      </c>
      <c r="E218" s="190"/>
      <c r="F218" s="244">
        <v>16300</v>
      </c>
      <c r="G218" s="207">
        <f t="shared" si="6"/>
        <v>-922584.12999999919</v>
      </c>
      <c r="H218" s="76">
        <v>10</v>
      </c>
      <c r="I218" s="118" t="s">
        <v>92</v>
      </c>
      <c r="J218" s="3"/>
    </row>
    <row r="219" spans="1:13" x14ac:dyDescent="0.3">
      <c r="A219" s="62">
        <v>46019</v>
      </c>
      <c r="B219" s="63" t="s">
        <v>57</v>
      </c>
      <c r="C219" s="51" t="s">
        <v>249</v>
      </c>
      <c r="D219" s="80" t="s">
        <v>5</v>
      </c>
      <c r="E219" s="190"/>
      <c r="F219" s="244">
        <v>26200</v>
      </c>
      <c r="G219" s="207">
        <f t="shared" si="6"/>
        <v>-948784.12999999919</v>
      </c>
      <c r="H219" s="256" t="s">
        <v>1216</v>
      </c>
      <c r="I219" s="118" t="s">
        <v>880</v>
      </c>
      <c r="J219" s="3"/>
    </row>
    <row r="220" spans="1:13" x14ac:dyDescent="0.3">
      <c r="A220" s="62">
        <v>46019</v>
      </c>
      <c r="B220" s="63" t="s">
        <v>57</v>
      </c>
      <c r="C220" s="51" t="s">
        <v>250</v>
      </c>
      <c r="D220" s="80" t="s">
        <v>6</v>
      </c>
      <c r="E220" s="190"/>
      <c r="F220" s="244">
        <v>26200</v>
      </c>
      <c r="G220" s="207">
        <f t="shared" si="6"/>
        <v>-974984.12999999919</v>
      </c>
      <c r="H220" s="256" t="s">
        <v>1216</v>
      </c>
      <c r="I220" s="118" t="s">
        <v>880</v>
      </c>
      <c r="J220" s="3"/>
    </row>
    <row r="221" spans="1:13" x14ac:dyDescent="0.3">
      <c r="A221" s="62">
        <v>46019</v>
      </c>
      <c r="B221" s="63" t="s">
        <v>57</v>
      </c>
      <c r="C221" s="51" t="s">
        <v>251</v>
      </c>
      <c r="D221" s="80" t="s">
        <v>117</v>
      </c>
      <c r="E221" s="190"/>
      <c r="F221" s="244">
        <v>25000</v>
      </c>
      <c r="G221" s="207">
        <f t="shared" si="6"/>
        <v>-999984.12999999919</v>
      </c>
      <c r="H221" s="76">
        <v>13.412000000000001</v>
      </c>
      <c r="I221" s="118" t="s">
        <v>92</v>
      </c>
      <c r="J221" s="3"/>
      <c r="K221" s="530" t="s">
        <v>1224</v>
      </c>
      <c r="L221" s="531"/>
      <c r="M221" s="532"/>
    </row>
    <row r="222" spans="1:13" x14ac:dyDescent="0.3">
      <c r="A222" s="62">
        <v>46020</v>
      </c>
      <c r="B222" s="63" t="s">
        <v>57</v>
      </c>
      <c r="C222" s="51" t="s">
        <v>252</v>
      </c>
      <c r="D222" s="80" t="s">
        <v>5</v>
      </c>
      <c r="E222" s="190"/>
      <c r="F222" s="244">
        <v>45000.69</v>
      </c>
      <c r="G222" s="207">
        <f t="shared" si="6"/>
        <v>-1044984.8199999991</v>
      </c>
      <c r="H222" s="76">
        <v>24.141999999999999</v>
      </c>
      <c r="I222" s="118" t="s">
        <v>92</v>
      </c>
      <c r="J222" s="3"/>
      <c r="K222" s="298" t="s">
        <v>32</v>
      </c>
      <c r="L222" s="299" t="s">
        <v>35</v>
      </c>
      <c r="M222" s="299" t="s">
        <v>33</v>
      </c>
    </row>
    <row r="223" spans="1:13" x14ac:dyDescent="0.3">
      <c r="A223" s="62">
        <v>46020</v>
      </c>
      <c r="B223" s="63" t="s">
        <v>57</v>
      </c>
      <c r="C223" s="51" t="s">
        <v>253</v>
      </c>
      <c r="D223" s="80" t="s">
        <v>24</v>
      </c>
      <c r="E223" s="190"/>
      <c r="F223" s="244">
        <v>45000.69</v>
      </c>
      <c r="G223" s="207">
        <f t="shared" si="6"/>
        <v>-1089985.5099999991</v>
      </c>
      <c r="H223" s="76">
        <v>24.141999999999999</v>
      </c>
      <c r="I223" s="118" t="s">
        <v>92</v>
      </c>
      <c r="J223" s="3"/>
      <c r="K223" s="69" t="s">
        <v>0</v>
      </c>
      <c r="L223" s="73" t="s">
        <v>92</v>
      </c>
      <c r="M223" s="26">
        <f>SUM(M40+M95+M131+M185)</f>
        <v>0</v>
      </c>
    </row>
    <row r="224" spans="1:13" x14ac:dyDescent="0.3">
      <c r="A224" s="62">
        <v>46020</v>
      </c>
      <c r="B224" s="63" t="s">
        <v>57</v>
      </c>
      <c r="C224" s="51" t="s">
        <v>254</v>
      </c>
      <c r="D224" s="80" t="s">
        <v>61</v>
      </c>
      <c r="E224" s="190"/>
      <c r="F224" s="244">
        <v>110000.23</v>
      </c>
      <c r="G224" s="207">
        <f t="shared" si="6"/>
        <v>-1199985.7399999991</v>
      </c>
      <c r="H224" s="76">
        <v>59.012999999999998</v>
      </c>
      <c r="I224" s="118" t="s">
        <v>92</v>
      </c>
      <c r="J224" s="3"/>
      <c r="K224" s="69" t="s">
        <v>1</v>
      </c>
      <c r="L224" s="73" t="s">
        <v>92</v>
      </c>
      <c r="M224" s="26">
        <f>SUM(M41+M96+M132+M186)</f>
        <v>85.356999999999999</v>
      </c>
    </row>
    <row r="225" spans="1:13" x14ac:dyDescent="0.3">
      <c r="A225" s="239">
        <v>46020</v>
      </c>
      <c r="B225" s="240" t="s">
        <v>60</v>
      </c>
      <c r="C225" s="201" t="s">
        <v>255</v>
      </c>
      <c r="D225" s="241" t="s">
        <v>1218</v>
      </c>
      <c r="E225" s="204">
        <v>1700000</v>
      </c>
      <c r="F225" s="277"/>
      <c r="G225" s="287">
        <f t="shared" si="6"/>
        <v>500014.26000000094</v>
      </c>
      <c r="H225" s="243"/>
      <c r="I225" s="199" t="s">
        <v>1223</v>
      </c>
      <c r="J225" s="3"/>
      <c r="K225" s="24" t="s">
        <v>27</v>
      </c>
      <c r="L225" s="73" t="s">
        <v>92</v>
      </c>
      <c r="M225" s="26">
        <f>SUM(M42+M97+M133+M187)</f>
        <v>0</v>
      </c>
    </row>
    <row r="226" spans="1:13" x14ac:dyDescent="0.3">
      <c r="A226" s="239">
        <v>46020</v>
      </c>
      <c r="B226" s="240" t="s">
        <v>60</v>
      </c>
      <c r="C226" s="201" t="s">
        <v>256</v>
      </c>
      <c r="D226" s="241" t="s">
        <v>1218</v>
      </c>
      <c r="E226" s="204">
        <v>24999.97</v>
      </c>
      <c r="F226" s="277"/>
      <c r="G226" s="287">
        <f>+G225+E226-F226</f>
        <v>525014.23000000091</v>
      </c>
      <c r="H226" s="243"/>
      <c r="I226" s="199" t="s">
        <v>1223</v>
      </c>
      <c r="J226" s="3"/>
      <c r="K226" s="69" t="s">
        <v>2</v>
      </c>
      <c r="L226" s="73" t="s">
        <v>92</v>
      </c>
      <c r="M226" s="26">
        <f>SUM(M44+M100+M136)</f>
        <v>39.262</v>
      </c>
    </row>
    <row r="227" spans="1:13" x14ac:dyDescent="0.3">
      <c r="A227" s="62">
        <v>46020</v>
      </c>
      <c r="B227" s="63" t="s">
        <v>57</v>
      </c>
      <c r="C227" s="51" t="s">
        <v>257</v>
      </c>
      <c r="D227" s="198" t="s">
        <v>8</v>
      </c>
      <c r="E227" s="190"/>
      <c r="F227" s="244">
        <v>39026.57</v>
      </c>
      <c r="G227" s="252">
        <f t="shared" si="6"/>
        <v>485987.66000000091</v>
      </c>
      <c r="H227" s="79">
        <v>16.5</v>
      </c>
      <c r="I227" s="118"/>
      <c r="J227" s="3"/>
      <c r="K227" s="76" t="s">
        <v>24</v>
      </c>
      <c r="L227" s="73" t="s">
        <v>92</v>
      </c>
      <c r="M227" s="80">
        <f>SUM(M45+M99+M135+M189)</f>
        <v>463.34000000000003</v>
      </c>
    </row>
    <row r="228" spans="1:13" x14ac:dyDescent="0.3">
      <c r="A228" s="62">
        <v>46020</v>
      </c>
      <c r="B228" s="63" t="s">
        <v>57</v>
      </c>
      <c r="C228" s="51" t="s">
        <v>258</v>
      </c>
      <c r="D228" s="80" t="s">
        <v>5</v>
      </c>
      <c r="E228" s="190"/>
      <c r="F228" s="244">
        <v>26200</v>
      </c>
      <c r="G228" s="252">
        <f t="shared" si="6"/>
        <v>459787.66000000091</v>
      </c>
      <c r="H228" s="256" t="s">
        <v>1216</v>
      </c>
      <c r="I228" s="118" t="s">
        <v>880</v>
      </c>
      <c r="J228" s="3"/>
      <c r="K228" s="76" t="s">
        <v>62</v>
      </c>
      <c r="L228" s="73" t="s">
        <v>92</v>
      </c>
      <c r="M228" s="80">
        <f>SUM(M43+M98+M134+M188)</f>
        <v>412.43</v>
      </c>
    </row>
    <row r="229" spans="1:13" x14ac:dyDescent="0.3">
      <c r="A229" s="62">
        <v>46021</v>
      </c>
      <c r="B229" s="63" t="s">
        <v>57</v>
      </c>
      <c r="C229" s="51" t="s">
        <v>259</v>
      </c>
      <c r="D229" s="80" t="s">
        <v>26</v>
      </c>
      <c r="E229" s="190"/>
      <c r="F229" s="244">
        <v>44333.2</v>
      </c>
      <c r="G229" s="252">
        <f t="shared" si="6"/>
        <v>415454.46000000089</v>
      </c>
      <c r="H229" s="76">
        <v>17.817</v>
      </c>
      <c r="I229" s="118" t="s">
        <v>882</v>
      </c>
      <c r="J229" s="3"/>
      <c r="K229" s="69" t="s">
        <v>29</v>
      </c>
      <c r="L229" s="73" t="s">
        <v>92</v>
      </c>
      <c r="M229" s="26">
        <f t="shared" ref="M229:M235" si="7">SUM(M46+M101+M137+M190)</f>
        <v>273.05700000000002</v>
      </c>
    </row>
    <row r="230" spans="1:13" x14ac:dyDescent="0.3">
      <c r="A230" s="62">
        <v>46021</v>
      </c>
      <c r="B230" s="63" t="s">
        <v>57</v>
      </c>
      <c r="C230" s="51" t="s">
        <v>261</v>
      </c>
      <c r="D230" s="25" t="s">
        <v>260</v>
      </c>
      <c r="E230" s="190"/>
      <c r="F230" s="244">
        <v>20966.29</v>
      </c>
      <c r="G230" s="252">
        <f t="shared" si="6"/>
        <v>394488.17000000092</v>
      </c>
      <c r="H230" s="76">
        <v>11.432</v>
      </c>
      <c r="I230" s="118" t="s">
        <v>92</v>
      </c>
      <c r="J230" s="3"/>
      <c r="K230" s="69" t="s">
        <v>3</v>
      </c>
      <c r="L230" s="73" t="s">
        <v>92</v>
      </c>
      <c r="M230" s="26">
        <f t="shared" si="7"/>
        <v>286.17200000000003</v>
      </c>
    </row>
    <row r="231" spans="1:13" x14ac:dyDescent="0.3">
      <c r="A231" s="62">
        <v>46021</v>
      </c>
      <c r="B231" s="63" t="s">
        <v>57</v>
      </c>
      <c r="C231" s="51" t="s">
        <v>262</v>
      </c>
      <c r="D231" s="80" t="s">
        <v>62</v>
      </c>
      <c r="E231" s="190"/>
      <c r="F231" s="244">
        <v>45000.82</v>
      </c>
      <c r="G231" s="252">
        <f t="shared" si="6"/>
        <v>349487.35000000091</v>
      </c>
      <c r="H231" s="76">
        <v>24.167999999999999</v>
      </c>
      <c r="I231" s="118" t="s">
        <v>92</v>
      </c>
      <c r="J231" s="3"/>
      <c r="K231" s="69" t="s">
        <v>4</v>
      </c>
      <c r="L231" s="73" t="s">
        <v>92</v>
      </c>
      <c r="M231" s="26">
        <f t="shared" si="7"/>
        <v>24.167999999999999</v>
      </c>
    </row>
    <row r="232" spans="1:13" x14ac:dyDescent="0.3">
      <c r="A232" s="62">
        <v>46021</v>
      </c>
      <c r="B232" s="63" t="s">
        <v>57</v>
      </c>
      <c r="C232" s="51" t="s">
        <v>263</v>
      </c>
      <c r="D232" s="80" t="s">
        <v>3</v>
      </c>
      <c r="E232" s="190"/>
      <c r="F232" s="244">
        <v>63300.82</v>
      </c>
      <c r="G232" s="252">
        <f t="shared" si="6"/>
        <v>286186.5300000009</v>
      </c>
      <c r="H232" s="76">
        <v>24.167999999999999</v>
      </c>
      <c r="I232" s="118" t="s">
        <v>887</v>
      </c>
      <c r="J232" s="3"/>
      <c r="K232" s="69" t="s">
        <v>5</v>
      </c>
      <c r="L232" s="73" t="s">
        <v>92</v>
      </c>
      <c r="M232" s="26">
        <f t="shared" si="7"/>
        <v>372.03800000000001</v>
      </c>
    </row>
    <row r="233" spans="1:13" x14ac:dyDescent="0.3">
      <c r="A233" s="62">
        <v>46021</v>
      </c>
      <c r="B233" s="63" t="s">
        <v>57</v>
      </c>
      <c r="C233" s="51" t="s">
        <v>264</v>
      </c>
      <c r="D233" s="80" t="s">
        <v>6</v>
      </c>
      <c r="E233" s="190"/>
      <c r="F233" s="244">
        <v>69400.820000000007</v>
      </c>
      <c r="G233" s="252">
        <f t="shared" si="6"/>
        <v>216785.71000000089</v>
      </c>
      <c r="H233" s="76">
        <v>24.167999999999999</v>
      </c>
      <c r="I233" s="118" t="s">
        <v>874</v>
      </c>
      <c r="J233" s="3"/>
      <c r="K233" s="116" t="s">
        <v>61</v>
      </c>
      <c r="L233" s="73" t="s">
        <v>92</v>
      </c>
      <c r="M233" s="26">
        <f t="shared" si="7"/>
        <v>1266.0550000000001</v>
      </c>
    </row>
    <row r="234" spans="1:13" x14ac:dyDescent="0.3">
      <c r="A234" s="62">
        <v>46021</v>
      </c>
      <c r="B234" s="63" t="s">
        <v>57</v>
      </c>
      <c r="C234" s="51" t="s">
        <v>265</v>
      </c>
      <c r="D234" s="80" t="s">
        <v>5</v>
      </c>
      <c r="E234" s="190"/>
      <c r="F234" s="244">
        <v>69400.820000000007</v>
      </c>
      <c r="G234" s="252">
        <f t="shared" si="6"/>
        <v>147384.89000000089</v>
      </c>
      <c r="H234" s="76">
        <v>24.167999999999999</v>
      </c>
      <c r="I234" s="118" t="s">
        <v>874</v>
      </c>
      <c r="J234" s="3"/>
      <c r="K234" s="69" t="s">
        <v>22</v>
      </c>
      <c r="L234" s="73" t="s">
        <v>92</v>
      </c>
      <c r="M234" s="26">
        <f t="shared" si="7"/>
        <v>4668.2389999999996</v>
      </c>
    </row>
    <row r="235" spans="1:13" x14ac:dyDescent="0.3">
      <c r="A235" s="62">
        <v>46021</v>
      </c>
      <c r="B235" s="63" t="s">
        <v>57</v>
      </c>
      <c r="C235" s="51" t="s">
        <v>266</v>
      </c>
      <c r="D235" s="80" t="s">
        <v>24</v>
      </c>
      <c r="E235" s="190"/>
      <c r="F235" s="244">
        <v>45000.82</v>
      </c>
      <c r="G235" s="252">
        <f t="shared" si="6"/>
        <v>102384.07000000088</v>
      </c>
      <c r="H235" s="76">
        <v>24.167999999999999</v>
      </c>
      <c r="I235" s="118" t="s">
        <v>92</v>
      </c>
      <c r="J235" s="3"/>
      <c r="K235" s="69" t="s">
        <v>6</v>
      </c>
      <c r="L235" s="73" t="s">
        <v>92</v>
      </c>
      <c r="M235" s="80">
        <f t="shared" si="7"/>
        <v>461.54899999999998</v>
      </c>
    </row>
    <row r="236" spans="1:13" x14ac:dyDescent="0.3">
      <c r="A236" s="62">
        <v>46021</v>
      </c>
      <c r="B236" s="63" t="s">
        <v>57</v>
      </c>
      <c r="C236" s="51" t="s">
        <v>267</v>
      </c>
      <c r="D236" s="80" t="s">
        <v>62</v>
      </c>
      <c r="E236" s="190"/>
      <c r="F236" s="244">
        <v>45000.82</v>
      </c>
      <c r="G236" s="252">
        <f t="shared" si="6"/>
        <v>57383.25000000088</v>
      </c>
      <c r="H236" s="76">
        <v>24.167999999999999</v>
      </c>
      <c r="I236" s="118" t="s">
        <v>92</v>
      </c>
      <c r="J236" s="3"/>
      <c r="K236" s="69" t="s">
        <v>7</v>
      </c>
      <c r="L236" s="73" t="s">
        <v>92</v>
      </c>
      <c r="M236" s="26">
        <f>SUM(M53+M108+M197)</f>
        <v>25.626000000000001</v>
      </c>
    </row>
    <row r="237" spans="1:13" x14ac:dyDescent="0.3">
      <c r="A237" s="62">
        <v>46021</v>
      </c>
      <c r="B237" s="63" t="s">
        <v>57</v>
      </c>
      <c r="C237" s="51" t="s">
        <v>268</v>
      </c>
      <c r="D237" s="80" t="s">
        <v>4</v>
      </c>
      <c r="E237" s="190"/>
      <c r="F237" s="244">
        <v>45000.82</v>
      </c>
      <c r="G237" s="252">
        <f t="shared" si="6"/>
        <v>12382.430000000881</v>
      </c>
      <c r="H237" s="76">
        <v>24.167999999999999</v>
      </c>
      <c r="I237" s="118" t="s">
        <v>92</v>
      </c>
      <c r="J237" s="3"/>
      <c r="K237" s="116" t="s">
        <v>361</v>
      </c>
      <c r="L237" s="73" t="s">
        <v>92</v>
      </c>
      <c r="M237" s="80">
        <f>SUM(M201)</f>
        <v>11.432</v>
      </c>
    </row>
    <row r="238" spans="1:13" x14ac:dyDescent="0.3">
      <c r="A238" s="62">
        <v>46022</v>
      </c>
      <c r="B238" s="63" t="s">
        <v>57</v>
      </c>
      <c r="C238" s="51" t="s">
        <v>270</v>
      </c>
      <c r="D238" s="80" t="s">
        <v>3</v>
      </c>
      <c r="E238" s="190"/>
      <c r="F238" s="244">
        <v>58100.84</v>
      </c>
      <c r="G238" s="207">
        <f t="shared" si="6"/>
        <v>-45718.409999999116</v>
      </c>
      <c r="H238" s="76">
        <v>24.193999999999999</v>
      </c>
      <c r="I238" s="118" t="s">
        <v>882</v>
      </c>
      <c r="J238" s="3"/>
      <c r="K238" s="69" t="s">
        <v>8</v>
      </c>
      <c r="L238" s="73" t="s">
        <v>92</v>
      </c>
      <c r="M238" s="26">
        <f>SUM(M54+M109+M144+M198)</f>
        <v>186.202</v>
      </c>
    </row>
    <row r="239" spans="1:13" x14ac:dyDescent="0.3">
      <c r="A239" s="62">
        <v>46022</v>
      </c>
      <c r="B239" s="63" t="s">
        <v>57</v>
      </c>
      <c r="C239" s="51" t="s">
        <v>271</v>
      </c>
      <c r="D239" s="80" t="s">
        <v>5</v>
      </c>
      <c r="E239" s="190"/>
      <c r="F239" s="244">
        <v>71200.84</v>
      </c>
      <c r="G239" s="207">
        <f t="shared" si="6"/>
        <v>-116919.24999999911</v>
      </c>
      <c r="H239" s="76">
        <v>24.193999999999999</v>
      </c>
      <c r="I239" s="118" t="s">
        <v>883</v>
      </c>
      <c r="J239" s="3"/>
      <c r="K239" s="69" t="s">
        <v>9</v>
      </c>
      <c r="L239" s="73" t="s">
        <v>92</v>
      </c>
      <c r="M239" s="26">
        <f>SUM(M55+M110+M145+M199)</f>
        <v>721.29700000000003</v>
      </c>
    </row>
    <row r="240" spans="1:13" x14ac:dyDescent="0.3">
      <c r="A240" s="62">
        <v>46022</v>
      </c>
      <c r="B240" s="63" t="s">
        <v>57</v>
      </c>
      <c r="C240" s="51" t="s">
        <v>272</v>
      </c>
      <c r="D240" s="80" t="s">
        <v>6</v>
      </c>
      <c r="E240" s="190"/>
      <c r="F240" s="244">
        <v>71200.84</v>
      </c>
      <c r="G240" s="207">
        <f t="shared" si="6"/>
        <v>-188120.08999999909</v>
      </c>
      <c r="H240" s="76">
        <v>24.193999999999999</v>
      </c>
      <c r="I240" s="118" t="s">
        <v>883</v>
      </c>
      <c r="J240" s="3"/>
      <c r="K240" s="69" t="s">
        <v>30</v>
      </c>
      <c r="L240" s="73" t="s">
        <v>92</v>
      </c>
      <c r="M240" s="26">
        <f>SUM(M56+M111+M146+M200)</f>
        <v>3483.5840000000003</v>
      </c>
    </row>
    <row r="241" spans="1:13" x14ac:dyDescent="0.3">
      <c r="A241" s="62">
        <v>46022</v>
      </c>
      <c r="B241" s="63" t="s">
        <v>57</v>
      </c>
      <c r="C241" s="51" t="s">
        <v>273</v>
      </c>
      <c r="D241" s="80" t="s">
        <v>8</v>
      </c>
      <c r="E241" s="190"/>
      <c r="F241" s="244">
        <v>51100.84</v>
      </c>
      <c r="G241" s="207">
        <f t="shared" si="6"/>
        <v>-239220.92999999909</v>
      </c>
      <c r="H241" s="76">
        <v>24.193999999999999</v>
      </c>
      <c r="I241" s="118" t="s">
        <v>882</v>
      </c>
      <c r="J241" s="3"/>
      <c r="K241" s="69" t="s">
        <v>10</v>
      </c>
      <c r="L241" s="73" t="s">
        <v>92</v>
      </c>
      <c r="M241" s="42">
        <f>SUM(M57+M112+M147+M202)</f>
        <v>483.24700000000001</v>
      </c>
    </row>
    <row r="242" spans="1:13" x14ac:dyDescent="0.3">
      <c r="A242" s="62">
        <v>46022</v>
      </c>
      <c r="B242" s="63" t="s">
        <v>57</v>
      </c>
      <c r="C242" s="51" t="s">
        <v>274</v>
      </c>
      <c r="D242" s="80" t="s">
        <v>62</v>
      </c>
      <c r="E242" s="190"/>
      <c r="F242" s="244">
        <v>45000.84</v>
      </c>
      <c r="G242" s="207">
        <f t="shared" si="6"/>
        <v>-284221.76999999909</v>
      </c>
      <c r="H242" s="76">
        <v>24.193999999999999</v>
      </c>
      <c r="I242" s="118" t="s">
        <v>92</v>
      </c>
      <c r="J242" s="3"/>
      <c r="K242" s="69" t="s">
        <v>12</v>
      </c>
      <c r="L242" s="73" t="s">
        <v>92</v>
      </c>
      <c r="M242" s="26">
        <f>SUM(M58+M113+M148+M203)</f>
        <v>354.59000000000003</v>
      </c>
    </row>
    <row r="243" spans="1:13" x14ac:dyDescent="0.3">
      <c r="A243" s="62">
        <v>46022</v>
      </c>
      <c r="B243" s="63" t="s">
        <v>57</v>
      </c>
      <c r="C243" s="51" t="s">
        <v>275</v>
      </c>
      <c r="D243" s="80" t="s">
        <v>24</v>
      </c>
      <c r="E243" s="190"/>
      <c r="F243" s="244">
        <v>45000.84</v>
      </c>
      <c r="G243" s="207">
        <f t="shared" si="6"/>
        <v>-329222.60999999905</v>
      </c>
      <c r="H243" s="76">
        <v>24.193999999999999</v>
      </c>
      <c r="I243" s="118" t="s">
        <v>92</v>
      </c>
      <c r="J243" s="3"/>
      <c r="K243" s="116" t="s">
        <v>23</v>
      </c>
      <c r="L243" s="197" t="s">
        <v>1214</v>
      </c>
      <c r="M243" s="80">
        <f>SUM(M114)</f>
        <v>39.652000000000001</v>
      </c>
    </row>
    <row r="244" spans="1:13" ht="15" thickBot="1" x14ac:dyDescent="0.35">
      <c r="A244" s="527" t="s">
        <v>694</v>
      </c>
      <c r="B244" s="527"/>
      <c r="C244" s="527"/>
      <c r="D244" s="527"/>
      <c r="E244" s="527"/>
      <c r="F244" s="527"/>
      <c r="G244" s="527"/>
      <c r="H244" s="528">
        <f>SUM(H183:H243)</f>
        <v>1822.9379999999994</v>
      </c>
      <c r="I244" s="528"/>
      <c r="J244" s="3"/>
      <c r="K244" s="133" t="s">
        <v>36</v>
      </c>
      <c r="L244" s="296" t="s">
        <v>199</v>
      </c>
      <c r="M244" s="30" t="s">
        <v>363</v>
      </c>
    </row>
    <row r="245" spans="1:13" ht="30" customHeight="1" thickTop="1" thickBot="1" x14ac:dyDescent="0.35">
      <c r="A245" s="524" t="s">
        <v>28</v>
      </c>
      <c r="B245" s="524"/>
      <c r="C245" s="524"/>
      <c r="D245" s="524"/>
      <c r="E245" s="291">
        <f>SUM(E41:E243)</f>
        <v>27324208.969999999</v>
      </c>
      <c r="F245" s="292">
        <f>SUM(F40:F243)</f>
        <v>27653431.580000039</v>
      </c>
      <c r="G245" s="304">
        <f>+E245-F245</f>
        <v>-329222.61000004038</v>
      </c>
      <c r="H245" s="294">
        <f>SUM(H91+H127+H181+H244)</f>
        <v>13657.296999999999</v>
      </c>
      <c r="I245" s="295"/>
      <c r="J245" s="3"/>
      <c r="K245" s="533" t="s">
        <v>1225</v>
      </c>
      <c r="L245" s="533"/>
      <c r="M245" s="297">
        <f>SUM(M223:M243)</f>
        <v>13657.297</v>
      </c>
    </row>
    <row r="246" spans="1:13" ht="15" thickTop="1" x14ac:dyDescent="0.3">
      <c r="J246" s="3"/>
    </row>
    <row r="247" spans="1:13" x14ac:dyDescent="0.3">
      <c r="J247" s="3"/>
    </row>
    <row r="248" spans="1:13" x14ac:dyDescent="0.3">
      <c r="J248" s="3"/>
    </row>
    <row r="249" spans="1:13" x14ac:dyDescent="0.3">
      <c r="J249" s="3"/>
    </row>
    <row r="250" spans="1:13" x14ac:dyDescent="0.3">
      <c r="J250" s="3"/>
    </row>
    <row r="251" spans="1:13" x14ac:dyDescent="0.3">
      <c r="J251" s="3"/>
    </row>
    <row r="252" spans="1:13" x14ac:dyDescent="0.3">
      <c r="J252" s="3"/>
    </row>
    <row r="253" spans="1:13" x14ac:dyDescent="0.3">
      <c r="J253" s="3"/>
    </row>
    <row r="254" spans="1:13" x14ac:dyDescent="0.3">
      <c r="J254" s="3"/>
    </row>
    <row r="255" spans="1:13" x14ac:dyDescent="0.3">
      <c r="J255" s="3"/>
    </row>
    <row r="256" spans="1:13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</sheetData>
  <mergeCells count="28">
    <mergeCell ref="A245:D245"/>
    <mergeCell ref="A92:I92"/>
    <mergeCell ref="A128:I128"/>
    <mergeCell ref="K129:M129"/>
    <mergeCell ref="K128:M128"/>
    <mergeCell ref="K183:M183"/>
    <mergeCell ref="K182:M182"/>
    <mergeCell ref="A181:G181"/>
    <mergeCell ref="H181:I181"/>
    <mergeCell ref="K150:L150"/>
    <mergeCell ref="K205:L205"/>
    <mergeCell ref="A244:G244"/>
    <mergeCell ref="H244:I244"/>
    <mergeCell ref="A182:I182"/>
    <mergeCell ref="K221:M221"/>
    <mergeCell ref="K245:L245"/>
    <mergeCell ref="A5:I5"/>
    <mergeCell ref="K6:M6"/>
    <mergeCell ref="K5:M5"/>
    <mergeCell ref="A6:I6"/>
    <mergeCell ref="K60:L60"/>
    <mergeCell ref="A91:G91"/>
    <mergeCell ref="H91:I91"/>
    <mergeCell ref="A127:G127"/>
    <mergeCell ref="H127:I127"/>
    <mergeCell ref="K116:L116"/>
    <mergeCell ref="K92:M92"/>
    <mergeCell ref="K93:M93"/>
  </mergeCells>
  <phoneticPr fontId="19" type="noConversion"/>
  <pageMargins left="0.7" right="0.7" top="0.75" bottom="0.75" header="0.3" footer="0.3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BB287"/>
  <sheetViews>
    <sheetView showGridLines="0" zoomScaleNormal="100" workbookViewId="0">
      <selection activeCell="I193" sqref="I193"/>
    </sheetView>
  </sheetViews>
  <sheetFormatPr baseColWidth="10" defaultRowHeight="14.4" x14ac:dyDescent="0.3"/>
  <cols>
    <col min="1" max="1" width="10.5546875" style="125" customWidth="1"/>
    <col min="2" max="2" width="11" style="64" bestFit="1" customWidth="1"/>
    <col min="3" max="3" width="16.109375" style="74" customWidth="1"/>
    <col min="4" max="4" width="15" customWidth="1"/>
    <col min="5" max="5" width="16.109375" bestFit="1" customWidth="1"/>
    <col min="6" max="6" width="16.6640625" bestFit="1" customWidth="1"/>
    <col min="7" max="7" width="15.6640625" customWidth="1"/>
    <col min="8" max="8" width="10" bestFit="1" customWidth="1"/>
    <col min="9" max="9" width="24.109375" style="3" customWidth="1"/>
    <col min="10" max="10" width="4.44140625" style="72" customWidth="1"/>
    <col min="11" max="11" width="24.109375" bestFit="1" customWidth="1"/>
    <col min="12" max="12" width="15.33203125" bestFit="1" customWidth="1"/>
    <col min="15" max="15" width="24.109375" bestFit="1" customWidth="1"/>
    <col min="16" max="16" width="15.33203125" bestFit="1" customWidth="1"/>
  </cols>
  <sheetData>
    <row r="1" spans="1:13" x14ac:dyDescent="0.3">
      <c r="A1" s="535"/>
      <c r="B1" s="535"/>
      <c r="C1" s="535"/>
      <c r="D1" s="535"/>
      <c r="E1" s="535"/>
      <c r="F1" s="535"/>
      <c r="G1" s="535"/>
      <c r="H1" s="535"/>
      <c r="I1" s="535"/>
      <c r="J1" s="3"/>
    </row>
    <row r="2" spans="1:13" x14ac:dyDescent="0.3">
      <c r="A2" s="535"/>
      <c r="B2" s="535"/>
      <c r="C2" s="535"/>
      <c r="D2" s="535"/>
      <c r="E2" s="535"/>
      <c r="F2" s="535"/>
      <c r="G2" s="535"/>
      <c r="H2" s="535"/>
      <c r="I2" s="535"/>
      <c r="J2" s="3"/>
    </row>
    <row r="3" spans="1:13" x14ac:dyDescent="0.3">
      <c r="A3" s="535"/>
      <c r="B3" s="535"/>
      <c r="C3" s="535"/>
      <c r="D3" s="535"/>
      <c r="E3" s="535"/>
      <c r="F3" s="535"/>
      <c r="G3" s="535"/>
      <c r="H3" s="535"/>
      <c r="I3" s="535"/>
      <c r="J3" s="3"/>
    </row>
    <row r="4" spans="1:13" x14ac:dyDescent="0.3">
      <c r="A4" s="535"/>
      <c r="B4" s="535"/>
      <c r="C4" s="535"/>
      <c r="D4" s="535"/>
      <c r="E4" s="535"/>
      <c r="F4" s="535"/>
      <c r="G4" s="535"/>
      <c r="H4" s="535"/>
      <c r="I4" s="535"/>
      <c r="J4" s="3"/>
    </row>
    <row r="5" spans="1:13" ht="23.4" x14ac:dyDescent="0.45">
      <c r="A5" s="536" t="s">
        <v>1059</v>
      </c>
      <c r="B5" s="537"/>
      <c r="C5" s="537"/>
      <c r="D5" s="537"/>
      <c r="E5" s="537"/>
      <c r="F5" s="537"/>
      <c r="G5" s="537"/>
      <c r="H5" s="537"/>
      <c r="I5" s="538"/>
      <c r="J5" s="113"/>
      <c r="K5" s="526" t="s">
        <v>327</v>
      </c>
      <c r="L5" s="526"/>
      <c r="M5" s="526"/>
    </row>
    <row r="6" spans="1:13" ht="18" customHeight="1" x14ac:dyDescent="0.35">
      <c r="A6" s="521" t="s">
        <v>19</v>
      </c>
      <c r="B6" s="522"/>
      <c r="C6" s="522"/>
      <c r="D6" s="522"/>
      <c r="E6" s="522"/>
      <c r="F6" s="522"/>
      <c r="G6" s="522"/>
      <c r="H6" s="522"/>
      <c r="I6" s="523"/>
      <c r="J6" s="108"/>
      <c r="K6" s="520" t="s">
        <v>34</v>
      </c>
      <c r="L6" s="520"/>
      <c r="M6" s="520"/>
    </row>
    <row r="7" spans="1:13" ht="18" x14ac:dyDescent="0.3">
      <c r="A7" s="455" t="s">
        <v>13</v>
      </c>
      <c r="B7" s="456" t="s">
        <v>284</v>
      </c>
      <c r="C7" s="456" t="s">
        <v>25</v>
      </c>
      <c r="D7" s="457" t="s">
        <v>18</v>
      </c>
      <c r="E7" s="458" t="s">
        <v>16</v>
      </c>
      <c r="F7" s="458" t="s">
        <v>17</v>
      </c>
      <c r="G7" s="459" t="s">
        <v>14</v>
      </c>
      <c r="H7" s="459" t="s">
        <v>15</v>
      </c>
      <c r="I7" s="460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9.95" hidden="1" customHeight="1" thickBot="1" x14ac:dyDescent="0.35">
      <c r="A8" s="54"/>
      <c r="B8" s="54"/>
      <c r="C8" s="104"/>
      <c r="D8" s="13" t="s">
        <v>21</v>
      </c>
      <c r="E8" s="20"/>
      <c r="F8" s="46"/>
      <c r="G8" s="45">
        <f>SUM(E8:F8)</f>
        <v>0</v>
      </c>
      <c r="H8" s="36"/>
      <c r="I8" s="129"/>
      <c r="J8"/>
      <c r="K8" s="69"/>
      <c r="L8" s="1"/>
      <c r="M8" s="1"/>
    </row>
    <row r="9" spans="1:13" ht="14.4" hidden="1" customHeight="1" x14ac:dyDescent="0.3">
      <c r="A9" s="55"/>
      <c r="B9" s="55"/>
      <c r="C9" s="40"/>
      <c r="D9" s="14"/>
      <c r="E9" s="11"/>
      <c r="F9" s="31"/>
      <c r="G9" s="19">
        <f t="shared" ref="G9:G39" si="0">+G8+E9-F9</f>
        <v>0</v>
      </c>
      <c r="H9" s="37"/>
      <c r="I9" s="130"/>
      <c r="J9" s="110"/>
      <c r="K9" s="69"/>
      <c r="L9" s="1"/>
      <c r="M9" s="1"/>
    </row>
    <row r="10" spans="1:13" ht="14.4" hidden="1" customHeight="1" x14ac:dyDescent="0.3">
      <c r="A10" s="53"/>
      <c r="B10" s="53"/>
      <c r="C10" s="49"/>
      <c r="D10" s="15"/>
      <c r="E10" s="23"/>
      <c r="F10" s="16"/>
      <c r="G10" s="18">
        <f t="shared" si="0"/>
        <v>0</v>
      </c>
      <c r="H10" s="9"/>
      <c r="I10" s="128"/>
      <c r="J10" s="110"/>
      <c r="K10" s="69"/>
      <c r="L10" s="1"/>
      <c r="M10" s="1"/>
    </row>
    <row r="11" spans="1:13" ht="14.4" hidden="1" customHeight="1" x14ac:dyDescent="0.3">
      <c r="A11" s="53"/>
      <c r="B11" s="53"/>
      <c r="C11" s="49"/>
      <c r="D11" s="15"/>
      <c r="E11" s="23"/>
      <c r="F11" s="16"/>
      <c r="G11" s="18">
        <f t="shared" si="0"/>
        <v>0</v>
      </c>
      <c r="H11" s="9"/>
      <c r="I11" s="10"/>
      <c r="J11" s="110"/>
      <c r="K11" s="69"/>
      <c r="L11" s="1"/>
      <c r="M11" s="1"/>
    </row>
    <row r="12" spans="1:13" ht="14.4" hidden="1" customHeight="1" x14ac:dyDescent="0.3">
      <c r="A12" s="53"/>
      <c r="B12" s="53"/>
      <c r="C12" s="49"/>
      <c r="D12" s="15"/>
      <c r="E12" s="23"/>
      <c r="F12" s="16"/>
      <c r="G12" s="18">
        <f t="shared" si="0"/>
        <v>0</v>
      </c>
      <c r="H12" s="9"/>
      <c r="I12" s="10"/>
      <c r="J12" s="110"/>
      <c r="K12" s="69"/>
      <c r="L12" s="1"/>
      <c r="M12" s="1"/>
    </row>
    <row r="13" spans="1:13" ht="14.4" hidden="1" customHeight="1" x14ac:dyDescent="0.3">
      <c r="A13" s="53"/>
      <c r="B13" s="53"/>
      <c r="C13" s="49"/>
      <c r="D13" s="15"/>
      <c r="E13" s="23"/>
      <c r="F13" s="16"/>
      <c r="G13" s="18">
        <f t="shared" si="0"/>
        <v>0</v>
      </c>
      <c r="H13" s="9"/>
      <c r="I13" s="10"/>
      <c r="J13" s="110"/>
      <c r="K13" s="69"/>
      <c r="L13" s="1"/>
      <c r="M13" s="1"/>
    </row>
    <row r="14" spans="1:13" ht="14.4" hidden="1" customHeight="1" x14ac:dyDescent="0.3">
      <c r="A14" s="53"/>
      <c r="B14" s="53"/>
      <c r="C14" s="49"/>
      <c r="D14" s="15"/>
      <c r="E14" s="23"/>
      <c r="F14" s="16"/>
      <c r="G14" s="18">
        <f t="shared" si="0"/>
        <v>0</v>
      </c>
      <c r="H14" s="9"/>
      <c r="I14" s="10"/>
      <c r="J14" s="110"/>
      <c r="K14" s="69"/>
      <c r="L14" s="1"/>
      <c r="M14" s="1"/>
    </row>
    <row r="15" spans="1:13" ht="14.4" hidden="1" customHeight="1" x14ac:dyDescent="0.3">
      <c r="A15" s="53"/>
      <c r="B15" s="53"/>
      <c r="C15" s="49"/>
      <c r="D15" s="15"/>
      <c r="E15" s="23"/>
      <c r="F15" s="16"/>
      <c r="G15" s="18">
        <f t="shared" si="0"/>
        <v>0</v>
      </c>
      <c r="H15" s="9"/>
      <c r="I15" s="10"/>
      <c r="J15" s="110"/>
      <c r="K15" s="69"/>
      <c r="L15" s="1"/>
      <c r="M15" s="1"/>
    </row>
    <row r="16" spans="1:13" ht="14.4" hidden="1" customHeight="1" x14ac:dyDescent="0.3">
      <c r="A16" s="53"/>
      <c r="B16" s="53"/>
      <c r="C16" s="49"/>
      <c r="D16" s="15"/>
      <c r="E16" s="23"/>
      <c r="F16" s="16"/>
      <c r="G16" s="18">
        <f t="shared" si="0"/>
        <v>0</v>
      </c>
      <c r="H16" s="9"/>
      <c r="I16" s="10"/>
      <c r="J16" s="110"/>
      <c r="K16" s="69"/>
      <c r="L16" s="1"/>
      <c r="M16" s="1"/>
    </row>
    <row r="17" spans="1:13" ht="14.4" hidden="1" customHeight="1" x14ac:dyDescent="0.3">
      <c r="A17" s="53"/>
      <c r="B17" s="53"/>
      <c r="C17" s="49"/>
      <c r="D17" s="15"/>
      <c r="E17" s="23"/>
      <c r="F17" s="16"/>
      <c r="G17" s="18">
        <f t="shared" si="0"/>
        <v>0</v>
      </c>
      <c r="H17" s="9"/>
      <c r="I17" s="10"/>
      <c r="J17" s="110"/>
      <c r="K17" s="69"/>
      <c r="L17" s="1"/>
      <c r="M17" s="1"/>
    </row>
    <row r="18" spans="1:13" ht="14.4" hidden="1" customHeight="1" x14ac:dyDescent="0.3">
      <c r="A18" s="53"/>
      <c r="B18" s="53"/>
      <c r="C18" s="49"/>
      <c r="D18" s="15"/>
      <c r="E18" s="23"/>
      <c r="F18" s="16"/>
      <c r="G18" s="18">
        <f t="shared" si="0"/>
        <v>0</v>
      </c>
      <c r="H18" s="1"/>
      <c r="I18" s="10"/>
      <c r="J18" s="110"/>
      <c r="K18" s="69"/>
      <c r="L18" s="1"/>
      <c r="M18" s="1"/>
    </row>
    <row r="19" spans="1:13" ht="14.4" hidden="1" customHeight="1" x14ac:dyDescent="0.3">
      <c r="A19" s="53"/>
      <c r="B19" s="53"/>
      <c r="C19" s="49"/>
      <c r="D19" s="49"/>
      <c r="E19" s="23"/>
      <c r="F19" s="48"/>
      <c r="G19" s="18">
        <f t="shared" si="0"/>
        <v>0</v>
      </c>
      <c r="H19" s="9"/>
      <c r="I19" s="10"/>
      <c r="J19" s="110"/>
      <c r="K19" s="69"/>
      <c r="L19" s="1"/>
      <c r="M19" s="1"/>
    </row>
    <row r="20" spans="1:13" ht="14.4" hidden="1" customHeight="1" x14ac:dyDescent="0.3">
      <c r="A20" s="53"/>
      <c r="B20" s="53"/>
      <c r="C20" s="49"/>
      <c r="D20" s="50"/>
      <c r="E20" s="23"/>
      <c r="F20" s="16"/>
      <c r="G20" s="21">
        <f t="shared" si="0"/>
        <v>0</v>
      </c>
      <c r="H20" s="9"/>
      <c r="I20" s="9"/>
      <c r="J20" s="111"/>
      <c r="K20" s="69"/>
      <c r="L20" s="1"/>
      <c r="M20" s="1"/>
    </row>
    <row r="21" spans="1:13" ht="14.4" hidden="1" customHeight="1" x14ac:dyDescent="0.3">
      <c r="A21" s="53"/>
      <c r="B21" s="53"/>
      <c r="C21" s="49"/>
      <c r="D21" s="50"/>
      <c r="E21" s="23"/>
      <c r="F21" s="16"/>
      <c r="G21" s="21">
        <f t="shared" si="0"/>
        <v>0</v>
      </c>
      <c r="H21" s="9"/>
      <c r="I21" s="10"/>
      <c r="J21" s="110"/>
      <c r="K21" s="69"/>
      <c r="L21" s="1"/>
      <c r="M21" s="1"/>
    </row>
    <row r="22" spans="1:13" ht="14.4" hidden="1" customHeight="1" x14ac:dyDescent="0.3">
      <c r="A22" s="53"/>
      <c r="B22" s="53"/>
      <c r="C22" s="49"/>
      <c r="D22" s="50"/>
      <c r="E22" s="23"/>
      <c r="F22" s="16"/>
      <c r="G22" s="21">
        <f t="shared" si="0"/>
        <v>0</v>
      </c>
      <c r="H22" s="9"/>
      <c r="I22" s="10"/>
      <c r="J22" s="110"/>
      <c r="K22" s="70"/>
      <c r="L22" s="1"/>
      <c r="M22" s="1"/>
    </row>
    <row r="23" spans="1:13" s="6" customFormat="1" ht="18.600000000000001" hidden="1" customHeight="1" x14ac:dyDescent="0.3">
      <c r="A23" s="53"/>
      <c r="B23" s="53"/>
      <c r="C23" s="49"/>
      <c r="D23" s="24"/>
      <c r="E23" s="12"/>
      <c r="F23" s="48"/>
      <c r="G23" s="18">
        <f t="shared" si="0"/>
        <v>0</v>
      </c>
      <c r="H23" s="4"/>
      <c r="I23" s="4"/>
      <c r="J23"/>
      <c r="K23" s="69"/>
      <c r="L23" s="4"/>
      <c r="M23" s="4"/>
    </row>
    <row r="24" spans="1:13" ht="14.4" hidden="1" customHeight="1" x14ac:dyDescent="0.3">
      <c r="A24" s="59"/>
      <c r="B24" s="59"/>
      <c r="C24" s="57"/>
      <c r="D24" s="56"/>
      <c r="E24" s="48"/>
      <c r="F24" s="16"/>
      <c r="G24" s="18">
        <f t="shared" si="0"/>
        <v>0</v>
      </c>
      <c r="H24" s="42"/>
      <c r="I24" s="56"/>
      <c r="J24" s="3"/>
      <c r="K24" s="70"/>
      <c r="L24" s="1"/>
      <c r="M24" s="1"/>
    </row>
    <row r="25" spans="1:13" ht="14.4" hidden="1" customHeight="1" x14ac:dyDescent="0.3">
      <c r="A25" s="61"/>
      <c r="B25" s="61"/>
      <c r="C25" s="41"/>
      <c r="D25" s="42"/>
      <c r="E25" s="4"/>
      <c r="F25" s="16"/>
      <c r="G25" s="18">
        <f t="shared" si="0"/>
        <v>0</v>
      </c>
      <c r="H25" s="41"/>
      <c r="I25" s="10"/>
      <c r="J25" s="110"/>
      <c r="K25" s="70"/>
      <c r="L25" s="1"/>
      <c r="M25" s="1"/>
    </row>
    <row r="26" spans="1:13" ht="14.4" hidden="1" customHeight="1" x14ac:dyDescent="0.3">
      <c r="A26" s="61"/>
      <c r="B26" s="61"/>
      <c r="C26" s="41"/>
      <c r="D26" s="4"/>
      <c r="E26" s="4"/>
      <c r="F26" s="4"/>
      <c r="G26" s="18">
        <f t="shared" si="0"/>
        <v>0</v>
      </c>
      <c r="H26" s="42"/>
      <c r="I26" s="56"/>
      <c r="J26" s="3"/>
      <c r="K26" s="4"/>
      <c r="L26" s="1"/>
      <c r="M26" s="1"/>
    </row>
    <row r="27" spans="1:13" ht="15" hidden="1" customHeight="1" thickBot="1" x14ac:dyDescent="0.35">
      <c r="A27" s="61"/>
      <c r="B27" s="61"/>
      <c r="C27" s="41"/>
      <c r="D27" s="4"/>
      <c r="E27" s="4"/>
      <c r="F27" s="4"/>
      <c r="G27" s="18">
        <f t="shared" si="0"/>
        <v>0</v>
      </c>
      <c r="H27" s="42"/>
      <c r="I27" s="56"/>
      <c r="J27" s="3"/>
      <c r="K27" s="4"/>
      <c r="L27" s="1"/>
      <c r="M27" s="1"/>
    </row>
    <row r="28" spans="1:13" ht="15" hidden="1" customHeight="1" thickBot="1" x14ac:dyDescent="0.35">
      <c r="A28" s="62"/>
      <c r="B28" s="62"/>
      <c r="C28" s="51"/>
      <c r="D28" s="1"/>
      <c r="E28" s="1"/>
      <c r="F28" s="1"/>
      <c r="G28" s="18">
        <f t="shared" si="0"/>
        <v>0</v>
      </c>
      <c r="H28" s="26"/>
      <c r="I28" s="2"/>
      <c r="J28" s="3"/>
      <c r="K28" s="4"/>
      <c r="L28" s="1"/>
      <c r="M28" s="1"/>
    </row>
    <row r="29" spans="1:13" ht="15" hidden="1" customHeight="1" thickBot="1" x14ac:dyDescent="0.35">
      <c r="A29" s="62"/>
      <c r="B29" s="62"/>
      <c r="C29" s="51"/>
      <c r="D29" s="1"/>
      <c r="E29" s="1"/>
      <c r="F29" s="1"/>
      <c r="G29" s="18">
        <f t="shared" si="0"/>
        <v>0</v>
      </c>
      <c r="H29" s="26"/>
      <c r="I29" s="2"/>
      <c r="J29" s="3"/>
      <c r="K29" s="4"/>
      <c r="L29" s="1"/>
      <c r="M29" s="1"/>
    </row>
    <row r="30" spans="1:13" ht="15" hidden="1" customHeight="1" thickBot="1" x14ac:dyDescent="0.35">
      <c r="A30" s="62"/>
      <c r="B30" s="62"/>
      <c r="C30" s="51"/>
      <c r="D30" s="1"/>
      <c r="E30" s="1"/>
      <c r="F30" s="1"/>
      <c r="G30" s="18">
        <f t="shared" si="0"/>
        <v>0</v>
      </c>
      <c r="H30" s="26"/>
      <c r="I30" s="2"/>
      <c r="J30" s="3"/>
      <c r="K30" s="4"/>
      <c r="L30" s="1"/>
      <c r="M30" s="1"/>
    </row>
    <row r="31" spans="1:13" ht="15" hidden="1" customHeight="1" thickBot="1" x14ac:dyDescent="0.35">
      <c r="A31" s="62"/>
      <c r="B31" s="62"/>
      <c r="C31" s="51"/>
      <c r="D31" s="1"/>
      <c r="E31" s="1"/>
      <c r="F31" s="1"/>
      <c r="G31" s="18">
        <f t="shared" si="0"/>
        <v>0</v>
      </c>
      <c r="H31" s="26"/>
      <c r="I31" s="2"/>
      <c r="J31" s="3"/>
      <c r="K31" s="4"/>
      <c r="L31" s="1"/>
      <c r="M31" s="1"/>
    </row>
    <row r="32" spans="1:13" ht="15" hidden="1" customHeight="1" thickBot="1" x14ac:dyDescent="0.35">
      <c r="A32" s="62"/>
      <c r="B32" s="62"/>
      <c r="C32" s="51"/>
      <c r="D32" s="1"/>
      <c r="E32" s="1"/>
      <c r="F32" s="1"/>
      <c r="G32" s="18">
        <f t="shared" si="0"/>
        <v>0</v>
      </c>
      <c r="H32" s="26"/>
      <c r="I32" s="2"/>
      <c r="J32" s="3"/>
      <c r="K32" s="4"/>
      <c r="L32" s="1"/>
      <c r="M32" s="1"/>
    </row>
    <row r="33" spans="1:54" ht="15" hidden="1" customHeight="1" thickBot="1" x14ac:dyDescent="0.35">
      <c r="A33" s="62"/>
      <c r="B33" s="62"/>
      <c r="C33" s="51"/>
      <c r="D33" s="1"/>
      <c r="E33" s="1"/>
      <c r="F33" s="1"/>
      <c r="G33" s="18">
        <f t="shared" si="0"/>
        <v>0</v>
      </c>
      <c r="H33" s="26"/>
      <c r="I33" s="2"/>
      <c r="J33" s="3"/>
      <c r="K33" s="4"/>
      <c r="L33" s="1"/>
      <c r="M33" s="1"/>
    </row>
    <row r="34" spans="1:54" ht="15" hidden="1" customHeight="1" thickBot="1" x14ac:dyDescent="0.35">
      <c r="A34" s="62"/>
      <c r="B34" s="62"/>
      <c r="C34" s="51"/>
      <c r="D34" s="1"/>
      <c r="E34" s="1"/>
      <c r="F34" s="1"/>
      <c r="G34" s="18">
        <f t="shared" si="0"/>
        <v>0</v>
      </c>
      <c r="H34" s="26"/>
      <c r="I34" s="2"/>
      <c r="J34" s="3"/>
      <c r="K34" s="4"/>
      <c r="L34" s="1"/>
      <c r="M34" s="1"/>
    </row>
    <row r="35" spans="1:54" ht="15" hidden="1" customHeight="1" thickBot="1" x14ac:dyDescent="0.35">
      <c r="A35" s="62"/>
      <c r="B35" s="62"/>
      <c r="C35" s="51"/>
      <c r="D35" s="1"/>
      <c r="E35" s="1"/>
      <c r="F35" s="1"/>
      <c r="G35" s="18">
        <f t="shared" si="0"/>
        <v>0</v>
      </c>
      <c r="H35" s="26"/>
      <c r="I35" s="2"/>
      <c r="J35" s="3"/>
      <c r="K35" s="4"/>
      <c r="L35" s="1"/>
      <c r="M35" s="1"/>
    </row>
    <row r="36" spans="1:54" ht="15" hidden="1" customHeight="1" thickBot="1" x14ac:dyDescent="0.35">
      <c r="A36" s="62"/>
      <c r="B36" s="62"/>
      <c r="C36" s="51"/>
      <c r="D36" s="1"/>
      <c r="E36" s="1"/>
      <c r="F36" s="1"/>
      <c r="G36" s="18">
        <f t="shared" si="0"/>
        <v>0</v>
      </c>
      <c r="H36" s="26"/>
      <c r="I36" s="2"/>
      <c r="J36" s="3"/>
      <c r="K36" s="4"/>
      <c r="L36" s="1"/>
      <c r="M36" s="1"/>
    </row>
    <row r="37" spans="1:54" ht="15" hidden="1" customHeight="1" thickBot="1" x14ac:dyDescent="0.35">
      <c r="A37" s="62"/>
      <c r="B37" s="62"/>
      <c r="C37" s="51"/>
      <c r="D37" s="1"/>
      <c r="E37" s="1"/>
      <c r="F37" s="1"/>
      <c r="G37" s="52">
        <f t="shared" si="0"/>
        <v>0</v>
      </c>
      <c r="H37" s="26"/>
      <c r="I37" s="2"/>
      <c r="J37" s="3"/>
      <c r="K37" s="4"/>
      <c r="L37" s="1"/>
      <c r="M37" s="1"/>
    </row>
    <row r="38" spans="1:54" ht="15" hidden="1" customHeight="1" thickBot="1" x14ac:dyDescent="0.35">
      <c r="A38" s="62"/>
      <c r="B38" s="63"/>
      <c r="C38" s="51"/>
      <c r="D38" s="1"/>
      <c r="E38" s="1"/>
      <c r="F38" s="1"/>
      <c r="G38" s="52">
        <f t="shared" si="0"/>
        <v>0</v>
      </c>
      <c r="H38" s="26"/>
      <c r="I38" s="2"/>
      <c r="J38" s="3"/>
      <c r="K38" s="4"/>
      <c r="L38" s="1"/>
      <c r="M38" s="1"/>
    </row>
    <row r="39" spans="1:54" ht="15" hidden="1" customHeight="1" thickBot="1" x14ac:dyDescent="0.35">
      <c r="A39" s="62"/>
      <c r="B39" s="63"/>
      <c r="C39" s="51"/>
      <c r="D39" s="1"/>
      <c r="E39" s="1"/>
      <c r="F39" s="1"/>
      <c r="G39" s="52">
        <f t="shared" si="0"/>
        <v>0</v>
      </c>
      <c r="H39" s="26"/>
      <c r="I39" s="2"/>
      <c r="J39" s="3"/>
      <c r="K39" s="4"/>
      <c r="L39" s="1"/>
      <c r="M39" s="1"/>
    </row>
    <row r="40" spans="1:54" ht="20.399999999999999" customHeight="1" x14ac:dyDescent="0.3">
      <c r="A40" s="54"/>
      <c r="B40" s="54"/>
      <c r="C40" s="13" t="s">
        <v>21</v>
      </c>
      <c r="D40" s="13"/>
      <c r="E40" s="67"/>
      <c r="F40" s="187">
        <v>329222.61</v>
      </c>
      <c r="G40" s="162">
        <f>SUM(G39+E40-F40)</f>
        <v>-329222.61</v>
      </c>
      <c r="H40" s="36"/>
      <c r="I40" s="105"/>
      <c r="J40" s="5"/>
      <c r="K40" s="69" t="s">
        <v>0</v>
      </c>
      <c r="L40" s="73" t="s">
        <v>92</v>
      </c>
      <c r="M40" s="26">
        <v>0</v>
      </c>
    </row>
    <row r="41" spans="1:54" s="6" customFormat="1" ht="16.2" customHeight="1" x14ac:dyDescent="0.3">
      <c r="A41" s="158">
        <v>46024</v>
      </c>
      <c r="B41" s="10" t="s">
        <v>57</v>
      </c>
      <c r="C41" s="57" t="s">
        <v>278</v>
      </c>
      <c r="D41" s="127" t="s">
        <v>8</v>
      </c>
      <c r="E41" s="169"/>
      <c r="F41" s="188">
        <v>37500</v>
      </c>
      <c r="G41" s="461">
        <f>+G40-F41+E41</f>
        <v>-366722.61</v>
      </c>
      <c r="H41" s="208" t="s">
        <v>1216</v>
      </c>
      <c r="I41" s="10" t="s">
        <v>1230</v>
      </c>
      <c r="J41" s="110"/>
      <c r="K41" s="69" t="s">
        <v>1</v>
      </c>
      <c r="L41" s="73" t="s">
        <v>92</v>
      </c>
      <c r="M41" s="42">
        <v>0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x14ac:dyDescent="0.3">
      <c r="A42" s="158">
        <v>46024</v>
      </c>
      <c r="B42" s="158" t="s">
        <v>57</v>
      </c>
      <c r="C42" s="57" t="s">
        <v>279</v>
      </c>
      <c r="D42" s="10" t="s">
        <v>26</v>
      </c>
      <c r="E42" s="169"/>
      <c r="F42" s="188">
        <v>24400</v>
      </c>
      <c r="G42" s="461">
        <f t="shared" ref="G42:G189" si="1">+G41-F42+E42</f>
        <v>-391122.61</v>
      </c>
      <c r="H42" s="208" t="s">
        <v>1216</v>
      </c>
      <c r="I42" s="10" t="s">
        <v>1230</v>
      </c>
      <c r="J42" s="110"/>
      <c r="K42" s="24" t="s">
        <v>27</v>
      </c>
      <c r="L42" s="73" t="s">
        <v>92</v>
      </c>
      <c r="M42" s="26">
        <v>0</v>
      </c>
    </row>
    <row r="43" spans="1:54" x14ac:dyDescent="0.3">
      <c r="A43" s="158">
        <v>46024</v>
      </c>
      <c r="B43" s="158" t="s">
        <v>57</v>
      </c>
      <c r="C43" s="10" t="s">
        <v>280</v>
      </c>
      <c r="D43" s="10" t="s">
        <v>117</v>
      </c>
      <c r="E43" s="169"/>
      <c r="F43" s="188">
        <v>95719.32</v>
      </c>
      <c r="G43" s="461">
        <f t="shared" si="1"/>
        <v>-486841.93</v>
      </c>
      <c r="H43" s="76">
        <v>51.462000000000003</v>
      </c>
      <c r="I43" s="10" t="s">
        <v>92</v>
      </c>
      <c r="J43" s="110"/>
      <c r="K43" s="76" t="s">
        <v>62</v>
      </c>
      <c r="L43" s="80" t="s">
        <v>92</v>
      </c>
      <c r="M43" s="80">
        <f>SUM(H58)</f>
        <v>24.141999999999999</v>
      </c>
    </row>
    <row r="44" spans="1:54" x14ac:dyDescent="0.3">
      <c r="A44" s="158">
        <v>46024</v>
      </c>
      <c r="B44" s="158" t="s">
        <v>57</v>
      </c>
      <c r="C44" s="10" t="s">
        <v>281</v>
      </c>
      <c r="D44" s="127" t="s">
        <v>6</v>
      </c>
      <c r="E44" s="169"/>
      <c r="F44" s="188">
        <v>69400.84</v>
      </c>
      <c r="G44" s="461">
        <f t="shared" si="1"/>
        <v>-556242.77</v>
      </c>
      <c r="H44" s="76">
        <v>24.193999999999999</v>
      </c>
      <c r="I44" s="10" t="s">
        <v>364</v>
      </c>
      <c r="J44" s="110"/>
      <c r="K44" s="69" t="s">
        <v>24</v>
      </c>
      <c r="L44" s="73" t="s">
        <v>92</v>
      </c>
      <c r="M44" s="26">
        <f>SUM(H52+H60)</f>
        <v>43.415999999999997</v>
      </c>
    </row>
    <row r="45" spans="1:54" x14ac:dyDescent="0.3">
      <c r="A45" s="158">
        <v>46024</v>
      </c>
      <c r="B45" s="158" t="s">
        <v>57</v>
      </c>
      <c r="C45" s="10" t="s">
        <v>282</v>
      </c>
      <c r="D45" s="198" t="s">
        <v>5</v>
      </c>
      <c r="E45" s="169"/>
      <c r="F45" s="188">
        <v>88465.73</v>
      </c>
      <c r="G45" s="461">
        <f t="shared" si="1"/>
        <v>-644708.5</v>
      </c>
      <c r="H45" s="208">
        <v>35.051000000000002</v>
      </c>
      <c r="I45" s="10" t="s">
        <v>364</v>
      </c>
      <c r="J45" s="110"/>
      <c r="K45" s="69" t="s">
        <v>29</v>
      </c>
      <c r="L45" s="73" t="s">
        <v>92</v>
      </c>
      <c r="M45" s="26">
        <f>SUM(H59)</f>
        <v>77.954999999999998</v>
      </c>
    </row>
    <row r="46" spans="1:54" x14ac:dyDescent="0.3">
      <c r="A46" s="158">
        <v>46024</v>
      </c>
      <c r="B46" s="158" t="s">
        <v>57</v>
      </c>
      <c r="C46" s="10" t="s">
        <v>283</v>
      </c>
      <c r="D46" s="127" t="s">
        <v>61</v>
      </c>
      <c r="E46" s="169"/>
      <c r="F46" s="188">
        <v>333935.09999999998</v>
      </c>
      <c r="G46" s="461">
        <f t="shared" si="1"/>
        <v>-978643.6</v>
      </c>
      <c r="H46" s="124">
        <v>179.535</v>
      </c>
      <c r="I46" s="10" t="s">
        <v>92</v>
      </c>
      <c r="J46" s="110"/>
      <c r="K46" s="69" t="s">
        <v>3</v>
      </c>
      <c r="L46" s="73" t="s">
        <v>92</v>
      </c>
      <c r="M46" s="26">
        <f>SUM(H54)</f>
        <v>24.103000000000002</v>
      </c>
    </row>
    <row r="47" spans="1:54" x14ac:dyDescent="0.3">
      <c r="A47" s="219">
        <v>46024</v>
      </c>
      <c r="B47" s="219" t="s">
        <v>60</v>
      </c>
      <c r="C47" s="199" t="s">
        <v>285</v>
      </c>
      <c r="D47" s="227" t="s">
        <v>1218</v>
      </c>
      <c r="E47" s="200">
        <v>1000000</v>
      </c>
      <c r="F47" s="210"/>
      <c r="G47" s="436">
        <f t="shared" si="1"/>
        <v>21356.400000000023</v>
      </c>
      <c r="H47" s="212"/>
      <c r="I47" s="199" t="s">
        <v>1222</v>
      </c>
      <c r="J47" s="110"/>
      <c r="K47" s="69" t="s">
        <v>5</v>
      </c>
      <c r="L47" s="73" t="s">
        <v>92</v>
      </c>
      <c r="M47" s="26">
        <f>SUM(H45)</f>
        <v>35.051000000000002</v>
      </c>
    </row>
    <row r="48" spans="1:54" x14ac:dyDescent="0.3">
      <c r="A48" s="158">
        <v>46024</v>
      </c>
      <c r="B48" s="158" t="s">
        <v>57</v>
      </c>
      <c r="C48" s="10" t="s">
        <v>286</v>
      </c>
      <c r="D48" s="127" t="s">
        <v>22</v>
      </c>
      <c r="E48" s="169"/>
      <c r="F48" s="188">
        <v>517846.32</v>
      </c>
      <c r="G48" s="461">
        <f t="shared" si="1"/>
        <v>-496489.92</v>
      </c>
      <c r="H48" s="76">
        <v>278.41199999999998</v>
      </c>
      <c r="I48" s="10" t="s">
        <v>92</v>
      </c>
      <c r="J48" s="110"/>
      <c r="K48" s="69" t="s">
        <v>61</v>
      </c>
      <c r="L48" s="73" t="s">
        <v>92</v>
      </c>
      <c r="M48" s="26">
        <f>SUM(H46+H50)</f>
        <v>214.69200000000001</v>
      </c>
    </row>
    <row r="49" spans="1:13" x14ac:dyDescent="0.3">
      <c r="A49" s="158">
        <v>46025</v>
      </c>
      <c r="B49" s="158" t="s">
        <v>57</v>
      </c>
      <c r="C49" s="10" t="s">
        <v>287</v>
      </c>
      <c r="D49" s="127" t="s">
        <v>117</v>
      </c>
      <c r="E49" s="169"/>
      <c r="F49" s="188">
        <v>66039.520000000004</v>
      </c>
      <c r="G49" s="461">
        <f t="shared" si="1"/>
        <v>-562529.43999999994</v>
      </c>
      <c r="H49" s="76">
        <v>35.372</v>
      </c>
      <c r="I49" s="10" t="s">
        <v>92</v>
      </c>
      <c r="J49" s="110"/>
      <c r="K49" s="69" t="s">
        <v>22</v>
      </c>
      <c r="L49" s="73" t="s">
        <v>92</v>
      </c>
      <c r="M49" s="26">
        <f>SUM(H48)</f>
        <v>278.41199999999998</v>
      </c>
    </row>
    <row r="50" spans="1:13" x14ac:dyDescent="0.3">
      <c r="A50" s="158">
        <v>46025</v>
      </c>
      <c r="B50" s="158" t="s">
        <v>57</v>
      </c>
      <c r="C50" s="10" t="s">
        <v>288</v>
      </c>
      <c r="D50" s="127" t="s">
        <v>61</v>
      </c>
      <c r="E50" s="169"/>
      <c r="F50" s="188">
        <v>65638.12</v>
      </c>
      <c r="G50" s="461">
        <f t="shared" si="1"/>
        <v>-628167.55999999994</v>
      </c>
      <c r="H50" s="76">
        <v>35.156999999999996</v>
      </c>
      <c r="I50" s="10" t="s">
        <v>92</v>
      </c>
      <c r="J50" s="110"/>
      <c r="K50" s="69" t="s">
        <v>6</v>
      </c>
      <c r="L50" s="73" t="s">
        <v>92</v>
      </c>
      <c r="M50" s="26">
        <f>SUM(H44+H57)</f>
        <v>43.513999999999996</v>
      </c>
    </row>
    <row r="51" spans="1:13" x14ac:dyDescent="0.3">
      <c r="A51" s="158">
        <v>46025</v>
      </c>
      <c r="B51" s="158" t="s">
        <v>57</v>
      </c>
      <c r="C51" s="10" t="s">
        <v>289</v>
      </c>
      <c r="D51" s="127" t="s">
        <v>117</v>
      </c>
      <c r="E51" s="169"/>
      <c r="F51" s="188">
        <v>74035.320000000007</v>
      </c>
      <c r="G51" s="461">
        <f t="shared" si="1"/>
        <v>-702202.87999999989</v>
      </c>
      <c r="H51" s="76">
        <v>21.355</v>
      </c>
      <c r="I51" s="10" t="s">
        <v>367</v>
      </c>
      <c r="J51" s="110"/>
      <c r="K51" s="69" t="s">
        <v>8</v>
      </c>
      <c r="L51" s="73" t="s">
        <v>92</v>
      </c>
      <c r="M51" s="26">
        <v>0</v>
      </c>
    </row>
    <row r="52" spans="1:13" x14ac:dyDescent="0.3">
      <c r="A52" s="158">
        <v>46025</v>
      </c>
      <c r="B52" s="158" t="s">
        <v>57</v>
      </c>
      <c r="C52" s="10" t="s">
        <v>290</v>
      </c>
      <c r="D52" s="127" t="s">
        <v>24</v>
      </c>
      <c r="E52" s="169"/>
      <c r="F52" s="188">
        <v>45000.3</v>
      </c>
      <c r="G52" s="461">
        <f t="shared" si="1"/>
        <v>-747203.17999999993</v>
      </c>
      <c r="H52" s="124">
        <v>24.103000000000002</v>
      </c>
      <c r="I52" s="10" t="s">
        <v>92</v>
      </c>
      <c r="J52" s="110"/>
      <c r="K52" s="69" t="s">
        <v>9</v>
      </c>
      <c r="L52" s="73" t="s">
        <v>92</v>
      </c>
      <c r="M52" s="26">
        <f>SUM(H55)</f>
        <v>114.09</v>
      </c>
    </row>
    <row r="53" spans="1:13" x14ac:dyDescent="0.3">
      <c r="A53" s="158">
        <v>46025</v>
      </c>
      <c r="B53" s="158" t="s">
        <v>57</v>
      </c>
      <c r="C53" s="10" t="s">
        <v>291</v>
      </c>
      <c r="D53" s="10" t="s">
        <v>24</v>
      </c>
      <c r="E53" s="169"/>
      <c r="F53" s="188">
        <v>6100</v>
      </c>
      <c r="G53" s="461">
        <f t="shared" si="1"/>
        <v>-753303.17999999993</v>
      </c>
      <c r="H53" s="208" t="s">
        <v>1216</v>
      </c>
      <c r="I53" s="10" t="s">
        <v>368</v>
      </c>
      <c r="J53" s="110"/>
      <c r="K53" s="69" t="s">
        <v>30</v>
      </c>
      <c r="L53" s="73" t="s">
        <v>92</v>
      </c>
      <c r="M53" s="26">
        <v>0</v>
      </c>
    </row>
    <row r="54" spans="1:13" x14ac:dyDescent="0.3">
      <c r="A54" s="158">
        <v>46025</v>
      </c>
      <c r="B54" s="158" t="s">
        <v>57</v>
      </c>
      <c r="C54" s="10" t="s">
        <v>292</v>
      </c>
      <c r="D54" s="10" t="s">
        <v>3</v>
      </c>
      <c r="E54" s="169"/>
      <c r="F54" s="188">
        <v>45000.3</v>
      </c>
      <c r="G54" s="461">
        <f t="shared" si="1"/>
        <v>-798303.48</v>
      </c>
      <c r="H54" s="76">
        <v>24.103000000000002</v>
      </c>
      <c r="I54" s="10" t="s">
        <v>92</v>
      </c>
      <c r="J54" s="110"/>
      <c r="K54" s="69" t="s">
        <v>10</v>
      </c>
      <c r="L54" s="73" t="s">
        <v>92</v>
      </c>
      <c r="M54" s="26">
        <v>0</v>
      </c>
    </row>
    <row r="55" spans="1:13" x14ac:dyDescent="0.3">
      <c r="A55" s="158">
        <v>46025</v>
      </c>
      <c r="B55" s="158" t="s">
        <v>57</v>
      </c>
      <c r="C55" s="10" t="s">
        <v>293</v>
      </c>
      <c r="D55" s="10" t="s">
        <v>9</v>
      </c>
      <c r="E55" s="169"/>
      <c r="F55" s="188">
        <v>199999.77</v>
      </c>
      <c r="G55" s="461">
        <f t="shared" si="1"/>
        <v>-998303.25</v>
      </c>
      <c r="H55" s="76">
        <v>114.09</v>
      </c>
      <c r="I55" s="10" t="s">
        <v>92</v>
      </c>
      <c r="J55" s="110"/>
      <c r="K55" s="69" t="s">
        <v>11</v>
      </c>
      <c r="L55" s="73" t="s">
        <v>92</v>
      </c>
      <c r="M55" s="26">
        <f>SUM(H43+H49+H51)</f>
        <v>108.18900000000001</v>
      </c>
    </row>
    <row r="56" spans="1:13" x14ac:dyDescent="0.3">
      <c r="A56" s="158">
        <v>46026</v>
      </c>
      <c r="B56" s="158" t="s">
        <v>57</v>
      </c>
      <c r="C56" s="10" t="s">
        <v>294</v>
      </c>
      <c r="D56" s="10" t="s">
        <v>24</v>
      </c>
      <c r="E56" s="169"/>
      <c r="F56" s="188">
        <v>13100</v>
      </c>
      <c r="G56" s="461">
        <f t="shared" si="1"/>
        <v>-1011403.25</v>
      </c>
      <c r="H56" s="208" t="s">
        <v>1216</v>
      </c>
      <c r="I56" s="10" t="s">
        <v>36</v>
      </c>
      <c r="J56" s="110"/>
      <c r="K56" s="69" t="s">
        <v>36</v>
      </c>
      <c r="L56" s="117" t="s">
        <v>199</v>
      </c>
      <c r="M56" s="26" t="s">
        <v>381</v>
      </c>
    </row>
    <row r="57" spans="1:13" ht="14.4" customHeight="1" x14ac:dyDescent="0.3">
      <c r="A57" s="158">
        <v>46026</v>
      </c>
      <c r="B57" s="158" t="s">
        <v>57</v>
      </c>
      <c r="C57" s="10" t="s">
        <v>295</v>
      </c>
      <c r="D57" s="127" t="s">
        <v>6</v>
      </c>
      <c r="E57" s="169"/>
      <c r="F57" s="188">
        <v>62212.480000000003</v>
      </c>
      <c r="G57" s="461">
        <f t="shared" si="1"/>
        <v>-1073615.73</v>
      </c>
      <c r="H57" s="76">
        <v>19.32</v>
      </c>
      <c r="I57" s="77" t="s">
        <v>366</v>
      </c>
      <c r="J57"/>
      <c r="K57" s="147" t="s">
        <v>695</v>
      </c>
      <c r="L57" s="147"/>
      <c r="M57" s="147">
        <f>SUM(M43:M55)</f>
        <v>963.56399999999996</v>
      </c>
    </row>
    <row r="58" spans="1:13" x14ac:dyDescent="0.3">
      <c r="A58" s="119">
        <v>46026</v>
      </c>
      <c r="B58" s="158" t="s">
        <v>57</v>
      </c>
      <c r="C58" s="10" t="s">
        <v>296</v>
      </c>
      <c r="D58" s="127" t="s">
        <v>62</v>
      </c>
      <c r="E58" s="169"/>
      <c r="F58" s="188">
        <v>45000.69</v>
      </c>
      <c r="G58" s="461">
        <f t="shared" si="1"/>
        <v>-1118616.42</v>
      </c>
      <c r="H58" s="76">
        <v>24.141999999999999</v>
      </c>
      <c r="I58" s="77" t="s">
        <v>92</v>
      </c>
      <c r="J58"/>
    </row>
    <row r="59" spans="1:13" x14ac:dyDescent="0.3">
      <c r="A59" s="158">
        <v>46026</v>
      </c>
      <c r="B59" s="158" t="s">
        <v>57</v>
      </c>
      <c r="C59" s="10" t="s">
        <v>297</v>
      </c>
      <c r="D59" s="127" t="s">
        <v>26</v>
      </c>
      <c r="E59" s="169"/>
      <c r="F59" s="188">
        <v>145308.12</v>
      </c>
      <c r="G59" s="461">
        <f t="shared" si="1"/>
        <v>-1263924.54</v>
      </c>
      <c r="H59" s="76">
        <v>77.954999999999998</v>
      </c>
      <c r="I59" s="68" t="s">
        <v>92</v>
      </c>
      <c r="J59" s="112"/>
      <c r="K59" s="106"/>
      <c r="L59" s="107"/>
      <c r="M59" s="25"/>
    </row>
    <row r="60" spans="1:13" x14ac:dyDescent="0.3">
      <c r="A60" s="158">
        <v>46026</v>
      </c>
      <c r="B60" s="158" t="s">
        <v>57</v>
      </c>
      <c r="C60" s="10" t="s">
        <v>298</v>
      </c>
      <c r="D60" s="127" t="s">
        <v>24</v>
      </c>
      <c r="E60" s="169"/>
      <c r="F60" s="188">
        <v>35999.43</v>
      </c>
      <c r="G60" s="461">
        <f t="shared" si="1"/>
        <v>-1299923.97</v>
      </c>
      <c r="H60" s="76">
        <v>19.312999999999999</v>
      </c>
      <c r="I60" s="42" t="s">
        <v>92</v>
      </c>
      <c r="J60" s="25"/>
      <c r="K60" s="121"/>
      <c r="L60" s="107"/>
      <c r="M60" s="25"/>
    </row>
    <row r="61" spans="1:13" x14ac:dyDescent="0.3">
      <c r="A61" s="510" t="s">
        <v>694</v>
      </c>
      <c r="B61" s="510"/>
      <c r="C61" s="510"/>
      <c r="D61" s="510"/>
      <c r="E61" s="510"/>
      <c r="F61" s="510"/>
      <c r="G61" s="510"/>
      <c r="H61" s="540">
        <f>SUM(H41:H60)</f>
        <v>963.56400000000008</v>
      </c>
      <c r="I61" s="541"/>
      <c r="J61" s="25"/>
      <c r="K61" s="121"/>
      <c r="L61" s="107"/>
      <c r="M61" s="25"/>
    </row>
    <row r="62" spans="1:13" x14ac:dyDescent="0.3">
      <c r="A62" s="542" t="s">
        <v>327</v>
      </c>
      <c r="B62" s="543"/>
      <c r="C62" s="543"/>
      <c r="D62" s="543"/>
      <c r="E62" s="543"/>
      <c r="F62" s="543"/>
      <c r="G62" s="543"/>
      <c r="H62" s="543"/>
      <c r="I62" s="544"/>
      <c r="J62" s="25"/>
      <c r="K62" s="526" t="s">
        <v>328</v>
      </c>
      <c r="L62" s="526"/>
      <c r="M62" s="526"/>
    </row>
    <row r="63" spans="1:13" x14ac:dyDescent="0.3">
      <c r="A63" s="219">
        <v>46027</v>
      </c>
      <c r="B63" s="219" t="s">
        <v>60</v>
      </c>
      <c r="C63" s="219" t="s">
        <v>299</v>
      </c>
      <c r="D63" s="219" t="s">
        <v>1218</v>
      </c>
      <c r="E63" s="205">
        <v>1300000</v>
      </c>
      <c r="F63" s="315"/>
      <c r="G63" s="436">
        <f>+G60-F63+E63</f>
        <v>76.03000000002794</v>
      </c>
      <c r="H63" s="462"/>
      <c r="I63" s="199" t="s">
        <v>1222</v>
      </c>
      <c r="J63" s="110"/>
      <c r="K63" s="545" t="s">
        <v>34</v>
      </c>
      <c r="L63" s="545"/>
      <c r="M63" s="545"/>
    </row>
    <row r="64" spans="1:13" x14ac:dyDescent="0.3">
      <c r="A64" s="158">
        <v>46027</v>
      </c>
      <c r="B64" s="158" t="s">
        <v>57</v>
      </c>
      <c r="C64" s="158" t="s">
        <v>301</v>
      </c>
      <c r="D64" s="158" t="s">
        <v>24</v>
      </c>
      <c r="E64" s="222"/>
      <c r="F64" s="168">
        <v>75762.28</v>
      </c>
      <c r="G64" s="461">
        <f t="shared" si="1"/>
        <v>-75686.249999999971</v>
      </c>
      <c r="H64" s="124">
        <v>40.645000000000003</v>
      </c>
      <c r="I64" s="10" t="s">
        <v>92</v>
      </c>
      <c r="J64" s="110"/>
      <c r="K64" s="71" t="s">
        <v>32</v>
      </c>
      <c r="L64" s="43" t="s">
        <v>35</v>
      </c>
      <c r="M64" s="43" t="s">
        <v>33</v>
      </c>
    </row>
    <row r="65" spans="1:13" x14ac:dyDescent="0.3">
      <c r="A65" s="158">
        <v>46027</v>
      </c>
      <c r="B65" s="158" t="s">
        <v>57</v>
      </c>
      <c r="C65" s="158" t="s">
        <v>300</v>
      </c>
      <c r="D65" s="158" t="s">
        <v>24</v>
      </c>
      <c r="E65" s="222"/>
      <c r="F65" s="168">
        <v>13100</v>
      </c>
      <c r="G65" s="461">
        <f t="shared" si="1"/>
        <v>-88786.249999999971</v>
      </c>
      <c r="H65" s="217" t="s">
        <v>1216</v>
      </c>
      <c r="I65" s="10" t="s">
        <v>36</v>
      </c>
      <c r="J65" s="110"/>
      <c r="K65" s="69" t="s">
        <v>0</v>
      </c>
      <c r="L65" s="73" t="s">
        <v>92</v>
      </c>
      <c r="M65" s="26">
        <v>0</v>
      </c>
    </row>
    <row r="66" spans="1:13" x14ac:dyDescent="0.3">
      <c r="A66" s="219">
        <v>46027</v>
      </c>
      <c r="B66" s="219" t="s">
        <v>60</v>
      </c>
      <c r="C66" s="219" t="s">
        <v>302</v>
      </c>
      <c r="D66" s="219" t="s">
        <v>1218</v>
      </c>
      <c r="E66" s="205">
        <v>1900000</v>
      </c>
      <c r="F66" s="315"/>
      <c r="G66" s="436">
        <f t="shared" si="1"/>
        <v>1811213.75</v>
      </c>
      <c r="H66" s="462"/>
      <c r="I66" s="199" t="s">
        <v>1222</v>
      </c>
      <c r="J66" s="110"/>
      <c r="K66" s="69" t="s">
        <v>1</v>
      </c>
      <c r="L66" s="73" t="s">
        <v>92</v>
      </c>
      <c r="M66" s="42">
        <f>SUM(H69)</f>
        <v>69.364999999999995</v>
      </c>
    </row>
    <row r="67" spans="1:13" x14ac:dyDescent="0.3">
      <c r="A67" s="158">
        <v>46027</v>
      </c>
      <c r="B67" s="158" t="s">
        <v>57</v>
      </c>
      <c r="C67" s="158" t="s">
        <v>303</v>
      </c>
      <c r="D67" s="158" t="s">
        <v>8</v>
      </c>
      <c r="E67" s="222"/>
      <c r="F67" s="168">
        <v>45000.69</v>
      </c>
      <c r="G67" s="463">
        <f t="shared" si="1"/>
        <v>1766213.06</v>
      </c>
      <c r="H67" s="76">
        <v>24.141999999999999</v>
      </c>
      <c r="I67" s="10" t="s">
        <v>92</v>
      </c>
      <c r="J67" s="110"/>
      <c r="K67" s="24" t="s">
        <v>27</v>
      </c>
      <c r="L67" s="73" t="s">
        <v>92</v>
      </c>
      <c r="M67" s="26">
        <v>0</v>
      </c>
    </row>
    <row r="68" spans="1:13" x14ac:dyDescent="0.3">
      <c r="A68" s="158">
        <v>46027</v>
      </c>
      <c r="B68" s="158" t="s">
        <v>57</v>
      </c>
      <c r="C68" s="158" t="s">
        <v>304</v>
      </c>
      <c r="D68" s="158" t="s">
        <v>62</v>
      </c>
      <c r="E68" s="222"/>
      <c r="F68" s="168">
        <v>45000.69</v>
      </c>
      <c r="G68" s="463">
        <f t="shared" si="1"/>
        <v>1721212.37</v>
      </c>
      <c r="H68" s="76">
        <v>24.141999999999999</v>
      </c>
      <c r="I68" s="10" t="s">
        <v>92</v>
      </c>
      <c r="J68" s="110"/>
      <c r="K68" s="76" t="s">
        <v>62</v>
      </c>
      <c r="L68" s="73" t="s">
        <v>92</v>
      </c>
      <c r="M68" s="80">
        <f>SUM(H68+H71+H76+H78)</f>
        <v>96.399000000000001</v>
      </c>
    </row>
    <row r="69" spans="1:13" x14ac:dyDescent="0.3">
      <c r="A69" s="158">
        <v>46027</v>
      </c>
      <c r="B69" s="158" t="s">
        <v>57</v>
      </c>
      <c r="C69" s="158" t="s">
        <v>305</v>
      </c>
      <c r="D69" s="158" t="s">
        <v>1</v>
      </c>
      <c r="E69" s="222"/>
      <c r="F69" s="443">
        <v>129296.36</v>
      </c>
      <c r="G69" s="463">
        <f t="shared" si="1"/>
        <v>1591916.01</v>
      </c>
      <c r="H69" s="76">
        <v>69.364999999999995</v>
      </c>
      <c r="I69" s="10" t="s">
        <v>92</v>
      </c>
      <c r="J69" s="110"/>
      <c r="K69" s="76" t="s">
        <v>24</v>
      </c>
      <c r="L69" s="80" t="s">
        <v>92</v>
      </c>
      <c r="M69" s="80">
        <f>SUM(H64+H70+H77+H83+H87)</f>
        <v>135.798</v>
      </c>
    </row>
    <row r="70" spans="1:13" x14ac:dyDescent="0.3">
      <c r="A70" s="158">
        <v>46028</v>
      </c>
      <c r="B70" s="158" t="s">
        <v>57</v>
      </c>
      <c r="C70" s="158" t="s">
        <v>306</v>
      </c>
      <c r="D70" s="158" t="s">
        <v>24</v>
      </c>
      <c r="E70" s="222"/>
      <c r="F70" s="443">
        <v>44999.42</v>
      </c>
      <c r="G70" s="463">
        <f t="shared" si="1"/>
        <v>1546916.59</v>
      </c>
      <c r="H70" s="76">
        <v>24.050999999999998</v>
      </c>
      <c r="I70" s="10" t="s">
        <v>92</v>
      </c>
      <c r="J70" s="110"/>
      <c r="K70" s="69" t="s">
        <v>29</v>
      </c>
      <c r="L70" s="73" t="s">
        <v>92</v>
      </c>
      <c r="M70" s="26">
        <v>0</v>
      </c>
    </row>
    <row r="71" spans="1:13" x14ac:dyDescent="0.3">
      <c r="A71" s="158">
        <v>46028</v>
      </c>
      <c r="B71" s="158" t="s">
        <v>57</v>
      </c>
      <c r="C71" s="158" t="s">
        <v>307</v>
      </c>
      <c r="D71" s="158" t="s">
        <v>62</v>
      </c>
      <c r="E71" s="222"/>
      <c r="F71" s="443">
        <v>44999.42</v>
      </c>
      <c r="G71" s="463">
        <f t="shared" si="1"/>
        <v>1501917.1700000002</v>
      </c>
      <c r="H71" s="76">
        <v>24.050999999999998</v>
      </c>
      <c r="I71" s="10" t="s">
        <v>92</v>
      </c>
      <c r="J71" s="110"/>
      <c r="K71" s="69" t="s">
        <v>3</v>
      </c>
      <c r="L71" s="73" t="s">
        <v>92</v>
      </c>
      <c r="M71" s="26">
        <f>SUM(H81+H86)</f>
        <v>48.257999999999996</v>
      </c>
    </row>
    <row r="72" spans="1:13" x14ac:dyDescent="0.3">
      <c r="A72" s="158">
        <v>46029</v>
      </c>
      <c r="B72" s="158" t="s">
        <v>57</v>
      </c>
      <c r="C72" s="158" t="s">
        <v>308</v>
      </c>
      <c r="D72" s="158" t="s">
        <v>5</v>
      </c>
      <c r="E72" s="222"/>
      <c r="F72" s="443">
        <v>45000.12</v>
      </c>
      <c r="G72" s="463">
        <f t="shared" si="1"/>
        <v>1456917.05</v>
      </c>
      <c r="H72" s="76">
        <v>24.09</v>
      </c>
      <c r="I72" s="10" t="s">
        <v>92</v>
      </c>
      <c r="J72" s="110"/>
      <c r="K72" s="69" t="s">
        <v>4</v>
      </c>
      <c r="L72" s="73" t="s">
        <v>92</v>
      </c>
      <c r="M72" s="26">
        <v>0</v>
      </c>
    </row>
    <row r="73" spans="1:13" x14ac:dyDescent="0.3">
      <c r="A73" s="158">
        <v>46030</v>
      </c>
      <c r="B73" s="158" t="s">
        <v>57</v>
      </c>
      <c r="C73" s="158" t="s">
        <v>309</v>
      </c>
      <c r="D73" s="158" t="s">
        <v>6</v>
      </c>
      <c r="E73" s="222"/>
      <c r="F73" s="443">
        <v>45000.12</v>
      </c>
      <c r="G73" s="463">
        <f t="shared" si="1"/>
        <v>1411916.93</v>
      </c>
      <c r="H73" s="76">
        <v>24.09</v>
      </c>
      <c r="I73" s="10" t="s">
        <v>92</v>
      </c>
      <c r="J73" s="110"/>
      <c r="K73" s="69" t="s">
        <v>5</v>
      </c>
      <c r="L73" s="73" t="s">
        <v>92</v>
      </c>
      <c r="M73" s="26">
        <f>SUM(H72+H79)</f>
        <v>48.206000000000003</v>
      </c>
    </row>
    <row r="74" spans="1:13" x14ac:dyDescent="0.3">
      <c r="A74" s="158">
        <v>46030</v>
      </c>
      <c r="B74" s="158" t="s">
        <v>57</v>
      </c>
      <c r="C74" s="158" t="s">
        <v>310</v>
      </c>
      <c r="D74" s="158" t="s">
        <v>117</v>
      </c>
      <c r="E74" s="222"/>
      <c r="F74" s="443">
        <v>60011</v>
      </c>
      <c r="G74" s="463">
        <f t="shared" si="1"/>
        <v>1351905.93</v>
      </c>
      <c r="H74" s="76">
        <v>34.292000000000002</v>
      </c>
      <c r="I74" s="10" t="s">
        <v>92</v>
      </c>
      <c r="J74" s="110"/>
      <c r="K74" s="69" t="s">
        <v>61</v>
      </c>
      <c r="L74" s="73" t="s">
        <v>92</v>
      </c>
      <c r="M74" s="26">
        <f>SUM(H82)</f>
        <v>182.82</v>
      </c>
    </row>
    <row r="75" spans="1:13" x14ac:dyDescent="0.3">
      <c r="A75" s="158">
        <v>46030</v>
      </c>
      <c r="B75" s="158" t="s">
        <v>57</v>
      </c>
      <c r="C75" s="158" t="s">
        <v>311</v>
      </c>
      <c r="D75" s="158" t="s">
        <v>9</v>
      </c>
      <c r="E75" s="222"/>
      <c r="F75" s="443">
        <v>247038.75</v>
      </c>
      <c r="G75" s="463">
        <f t="shared" si="1"/>
        <v>1104867.18</v>
      </c>
      <c r="H75" s="76">
        <v>141.16499999999999</v>
      </c>
      <c r="I75" s="10" t="s">
        <v>92</v>
      </c>
      <c r="J75" s="110"/>
      <c r="K75" s="69" t="s">
        <v>22</v>
      </c>
      <c r="L75" s="73" t="s">
        <v>92</v>
      </c>
      <c r="M75" s="26">
        <v>0</v>
      </c>
    </row>
    <row r="76" spans="1:13" x14ac:dyDescent="0.3">
      <c r="A76" s="158">
        <v>46030</v>
      </c>
      <c r="B76" s="158" t="s">
        <v>57</v>
      </c>
      <c r="C76" s="158" t="s">
        <v>312</v>
      </c>
      <c r="D76" s="158" t="s">
        <v>62</v>
      </c>
      <c r="E76" s="222"/>
      <c r="F76" s="443">
        <v>45000.12</v>
      </c>
      <c r="G76" s="463">
        <f t="shared" si="1"/>
        <v>1059867.0599999998</v>
      </c>
      <c r="H76" s="76">
        <v>24.09</v>
      </c>
      <c r="I76" s="10" t="s">
        <v>92</v>
      </c>
      <c r="J76" s="110"/>
      <c r="K76" s="69" t="s">
        <v>6</v>
      </c>
      <c r="L76" s="73" t="s">
        <v>92</v>
      </c>
      <c r="M76" s="26">
        <f>SUM(H73+H84+H85)</f>
        <v>72.347999999999999</v>
      </c>
    </row>
    <row r="77" spans="1:13" x14ac:dyDescent="0.3">
      <c r="A77" s="158">
        <v>46030</v>
      </c>
      <c r="B77" s="158" t="s">
        <v>57</v>
      </c>
      <c r="C77" s="158" t="s">
        <v>313</v>
      </c>
      <c r="D77" s="158" t="s">
        <v>24</v>
      </c>
      <c r="E77" s="222"/>
      <c r="F77" s="443">
        <v>45000.12</v>
      </c>
      <c r="G77" s="463">
        <f t="shared" si="1"/>
        <v>1014866.9399999998</v>
      </c>
      <c r="H77" s="76">
        <v>24.09</v>
      </c>
      <c r="I77" s="10" t="s">
        <v>92</v>
      </c>
      <c r="J77" s="110"/>
      <c r="K77" s="69" t="s">
        <v>8</v>
      </c>
      <c r="L77" s="73" t="s">
        <v>92</v>
      </c>
      <c r="M77" s="26">
        <f>SUM(H67)</f>
        <v>24.141999999999999</v>
      </c>
    </row>
    <row r="78" spans="1:13" x14ac:dyDescent="0.3">
      <c r="A78" s="158">
        <v>46031</v>
      </c>
      <c r="B78" s="158" t="s">
        <v>57</v>
      </c>
      <c r="C78" s="158" t="s">
        <v>314</v>
      </c>
      <c r="D78" s="158" t="s">
        <v>62</v>
      </c>
      <c r="E78" s="222"/>
      <c r="F78" s="443">
        <v>45000.46</v>
      </c>
      <c r="G78" s="463">
        <f t="shared" si="1"/>
        <v>969866.47999999986</v>
      </c>
      <c r="H78" s="76">
        <v>24.116</v>
      </c>
      <c r="I78" s="10" t="s">
        <v>92</v>
      </c>
      <c r="J78" s="110"/>
      <c r="K78" s="69" t="s">
        <v>9</v>
      </c>
      <c r="L78" s="73" t="s">
        <v>92</v>
      </c>
      <c r="M78" s="26">
        <f>SUM(H75)</f>
        <v>141.16499999999999</v>
      </c>
    </row>
    <row r="79" spans="1:13" x14ac:dyDescent="0.3">
      <c r="A79" s="158">
        <v>46031</v>
      </c>
      <c r="B79" s="158" t="s">
        <v>57</v>
      </c>
      <c r="C79" s="158" t="s">
        <v>315</v>
      </c>
      <c r="D79" s="158" t="s">
        <v>5</v>
      </c>
      <c r="E79" s="222"/>
      <c r="F79" s="443">
        <v>45000.46</v>
      </c>
      <c r="G79" s="463">
        <f t="shared" si="1"/>
        <v>924866.0199999999</v>
      </c>
      <c r="H79" s="76">
        <v>24.116</v>
      </c>
      <c r="I79" s="10" t="s">
        <v>92</v>
      </c>
      <c r="J79" s="110"/>
      <c r="K79" s="69" t="s">
        <v>30</v>
      </c>
      <c r="L79" s="73" t="s">
        <v>92</v>
      </c>
      <c r="M79" s="26">
        <v>0</v>
      </c>
    </row>
    <row r="80" spans="1:13" x14ac:dyDescent="0.3">
      <c r="A80" s="219">
        <v>46031</v>
      </c>
      <c r="B80" s="219" t="s">
        <v>60</v>
      </c>
      <c r="C80" s="219" t="s">
        <v>316</v>
      </c>
      <c r="D80" s="219" t="s">
        <v>1218</v>
      </c>
      <c r="E80" s="205">
        <v>1000000</v>
      </c>
      <c r="F80" s="444"/>
      <c r="G80" s="436">
        <f t="shared" si="1"/>
        <v>1924866.02</v>
      </c>
      <c r="H80" s="212"/>
      <c r="I80" s="199" t="s">
        <v>1222</v>
      </c>
      <c r="J80" s="110"/>
      <c r="K80" s="69" t="s">
        <v>10</v>
      </c>
      <c r="L80" s="73" t="s">
        <v>92</v>
      </c>
      <c r="M80" s="26">
        <v>0</v>
      </c>
    </row>
    <row r="81" spans="1:13" x14ac:dyDescent="0.3">
      <c r="A81" s="158">
        <v>46031</v>
      </c>
      <c r="B81" s="158" t="s">
        <v>57</v>
      </c>
      <c r="C81" s="158" t="s">
        <v>317</v>
      </c>
      <c r="D81" s="158" t="s">
        <v>3</v>
      </c>
      <c r="E81" s="222"/>
      <c r="F81" s="443">
        <v>45000.46</v>
      </c>
      <c r="G81" s="463">
        <f t="shared" si="1"/>
        <v>1879865.56</v>
      </c>
      <c r="H81" s="76">
        <v>24.116</v>
      </c>
      <c r="I81" s="10" t="s">
        <v>92</v>
      </c>
      <c r="J81" s="110"/>
      <c r="K81" s="69" t="s">
        <v>11</v>
      </c>
      <c r="L81" s="73" t="s">
        <v>92</v>
      </c>
      <c r="M81" s="26">
        <f>SUM(H74)</f>
        <v>34.292000000000002</v>
      </c>
    </row>
    <row r="82" spans="1:13" x14ac:dyDescent="0.3">
      <c r="A82" s="62">
        <v>46032</v>
      </c>
      <c r="B82" s="158" t="s">
        <v>57</v>
      </c>
      <c r="C82" s="158" t="s">
        <v>318</v>
      </c>
      <c r="D82" s="158" t="s">
        <v>61</v>
      </c>
      <c r="E82" s="222"/>
      <c r="F82" s="443">
        <v>341142.12</v>
      </c>
      <c r="G82" s="463">
        <f t="shared" si="1"/>
        <v>1538723.44</v>
      </c>
      <c r="H82" s="76">
        <v>182.82</v>
      </c>
      <c r="I82" s="10" t="s">
        <v>92</v>
      </c>
      <c r="J82" s="110"/>
      <c r="K82" s="69" t="s">
        <v>36</v>
      </c>
      <c r="L82" s="117" t="s">
        <v>199</v>
      </c>
      <c r="M82" s="26" t="s">
        <v>696</v>
      </c>
    </row>
    <row r="83" spans="1:13" x14ac:dyDescent="0.3">
      <c r="A83" s="62">
        <v>46032</v>
      </c>
      <c r="B83" s="158" t="s">
        <v>57</v>
      </c>
      <c r="C83" s="158" t="s">
        <v>319</v>
      </c>
      <c r="D83" s="158" t="s">
        <v>24</v>
      </c>
      <c r="E83" s="222"/>
      <c r="F83" s="443">
        <v>45000.46</v>
      </c>
      <c r="G83" s="463">
        <f t="shared" si="1"/>
        <v>1493722.98</v>
      </c>
      <c r="H83" s="76">
        <v>24.116</v>
      </c>
      <c r="I83" s="10" t="s">
        <v>92</v>
      </c>
      <c r="J83" s="110"/>
      <c r="K83" s="147" t="s">
        <v>695</v>
      </c>
      <c r="L83" s="147"/>
      <c r="M83" s="147">
        <f>SUM(M65:M81)</f>
        <v>852.79300000000001</v>
      </c>
    </row>
    <row r="84" spans="1:13" x14ac:dyDescent="0.3">
      <c r="A84" s="62">
        <v>46032</v>
      </c>
      <c r="B84" s="158" t="s">
        <v>57</v>
      </c>
      <c r="C84" s="158" t="s">
        <v>320</v>
      </c>
      <c r="D84" s="158" t="s">
        <v>6</v>
      </c>
      <c r="E84" s="222"/>
      <c r="F84" s="443">
        <v>45000.46</v>
      </c>
      <c r="G84" s="463">
        <f t="shared" si="1"/>
        <v>1448722.52</v>
      </c>
      <c r="H84" s="76">
        <v>24.116</v>
      </c>
      <c r="I84" s="10" t="s">
        <v>92</v>
      </c>
      <c r="J84" s="110"/>
    </row>
    <row r="85" spans="1:13" x14ac:dyDescent="0.3">
      <c r="A85" s="158">
        <v>46033</v>
      </c>
      <c r="B85" s="158" t="s">
        <v>57</v>
      </c>
      <c r="C85" s="158" t="s">
        <v>321</v>
      </c>
      <c r="D85" s="158" t="s">
        <v>6</v>
      </c>
      <c r="E85" s="222"/>
      <c r="F85" s="443">
        <v>45000.69</v>
      </c>
      <c r="G85" s="463">
        <f t="shared" si="1"/>
        <v>1403721.83</v>
      </c>
      <c r="H85" s="76">
        <v>24.141999999999999</v>
      </c>
      <c r="I85" s="10" t="s">
        <v>92</v>
      </c>
      <c r="J85" s="110"/>
    </row>
    <row r="86" spans="1:13" x14ac:dyDescent="0.3">
      <c r="A86" s="158">
        <v>46033</v>
      </c>
      <c r="B86" s="158" t="s">
        <v>57</v>
      </c>
      <c r="C86" s="158" t="s">
        <v>322</v>
      </c>
      <c r="D86" s="158" t="s">
        <v>3</v>
      </c>
      <c r="E86" s="222"/>
      <c r="F86" s="443">
        <v>45000.69</v>
      </c>
      <c r="G86" s="463">
        <f t="shared" si="1"/>
        <v>1358721.1400000001</v>
      </c>
      <c r="H86" s="76">
        <v>24.141999999999999</v>
      </c>
      <c r="I86" s="10" t="s">
        <v>92</v>
      </c>
      <c r="J86" s="110"/>
    </row>
    <row r="87" spans="1:13" x14ac:dyDescent="0.3">
      <c r="A87" s="158">
        <v>46033</v>
      </c>
      <c r="B87" s="158" t="s">
        <v>57</v>
      </c>
      <c r="C87" s="158" t="s">
        <v>323</v>
      </c>
      <c r="D87" s="158" t="s">
        <v>24</v>
      </c>
      <c r="E87" s="222"/>
      <c r="F87" s="443">
        <v>39999.31</v>
      </c>
      <c r="G87" s="463">
        <f t="shared" si="1"/>
        <v>1318721.83</v>
      </c>
      <c r="H87" s="76">
        <v>22.896000000000001</v>
      </c>
      <c r="I87" s="10" t="s">
        <v>92</v>
      </c>
      <c r="J87" s="110"/>
    </row>
    <row r="88" spans="1:13" x14ac:dyDescent="0.3">
      <c r="A88" s="510" t="s">
        <v>694</v>
      </c>
      <c r="B88" s="510"/>
      <c r="C88" s="510"/>
      <c r="D88" s="510"/>
      <c r="E88" s="510"/>
      <c r="F88" s="510"/>
      <c r="G88" s="510"/>
      <c r="H88" s="540">
        <f>SUM(H64:H87)</f>
        <v>852.79299999999989</v>
      </c>
      <c r="I88" s="541"/>
      <c r="J88" s="110"/>
    </row>
    <row r="89" spans="1:13" x14ac:dyDescent="0.3">
      <c r="A89" s="542" t="s">
        <v>328</v>
      </c>
      <c r="B89" s="543"/>
      <c r="C89" s="543"/>
      <c r="D89" s="543"/>
      <c r="E89" s="543"/>
      <c r="F89" s="543"/>
      <c r="G89" s="543"/>
      <c r="H89" s="543"/>
      <c r="I89" s="544"/>
      <c r="J89" s="110"/>
      <c r="K89" s="526" t="s">
        <v>350</v>
      </c>
      <c r="L89" s="526"/>
      <c r="M89" s="526"/>
    </row>
    <row r="90" spans="1:13" x14ac:dyDescent="0.3">
      <c r="A90" s="158">
        <v>46034</v>
      </c>
      <c r="B90" s="158" t="s">
        <v>57</v>
      </c>
      <c r="C90" s="158" t="s">
        <v>324</v>
      </c>
      <c r="D90" s="158" t="s">
        <v>24</v>
      </c>
      <c r="E90" s="222"/>
      <c r="F90" s="443">
        <v>39300</v>
      </c>
      <c r="G90" s="463">
        <f>+G87-F90+E90</f>
        <v>1279421.83</v>
      </c>
      <c r="H90" s="208">
        <v>3</v>
      </c>
      <c r="I90" s="10" t="s">
        <v>365</v>
      </c>
      <c r="J90" s="110"/>
      <c r="K90" s="545" t="s">
        <v>34</v>
      </c>
      <c r="L90" s="545"/>
      <c r="M90" s="545"/>
    </row>
    <row r="91" spans="1:13" x14ac:dyDescent="0.3">
      <c r="A91" s="158">
        <v>46034</v>
      </c>
      <c r="B91" s="158" t="s">
        <v>57</v>
      </c>
      <c r="C91" s="158" t="s">
        <v>325</v>
      </c>
      <c r="D91" s="158" t="s">
        <v>62</v>
      </c>
      <c r="E91" s="222"/>
      <c r="F91" s="443">
        <v>45000.69</v>
      </c>
      <c r="G91" s="463">
        <f t="shared" si="1"/>
        <v>1234421.1400000001</v>
      </c>
      <c r="H91" s="76">
        <v>24.141999999999999</v>
      </c>
      <c r="I91" s="10" t="s">
        <v>92</v>
      </c>
      <c r="J91" s="110"/>
      <c r="K91" s="71" t="s">
        <v>32</v>
      </c>
      <c r="L91" s="43" t="s">
        <v>35</v>
      </c>
      <c r="M91" s="43" t="s">
        <v>33</v>
      </c>
    </row>
    <row r="92" spans="1:13" x14ac:dyDescent="0.3">
      <c r="A92" s="158">
        <v>46034</v>
      </c>
      <c r="B92" s="158" t="s">
        <v>57</v>
      </c>
      <c r="C92" s="158" t="s">
        <v>326</v>
      </c>
      <c r="D92" s="158" t="s">
        <v>117</v>
      </c>
      <c r="E92" s="222"/>
      <c r="F92" s="443">
        <v>92737.21</v>
      </c>
      <c r="G92" s="463">
        <f t="shared" si="1"/>
        <v>1141683.9300000002</v>
      </c>
      <c r="H92" s="76">
        <v>52.902000000000001</v>
      </c>
      <c r="I92" s="10" t="s">
        <v>92</v>
      </c>
      <c r="J92" s="110"/>
      <c r="K92" s="69" t="s">
        <v>0</v>
      </c>
      <c r="L92" s="73" t="s">
        <v>92</v>
      </c>
      <c r="M92" s="26">
        <v>0</v>
      </c>
    </row>
    <row r="93" spans="1:13" x14ac:dyDescent="0.3">
      <c r="A93" s="158">
        <v>46035</v>
      </c>
      <c r="B93" s="158" t="s">
        <v>57</v>
      </c>
      <c r="C93" s="158" t="s">
        <v>329</v>
      </c>
      <c r="D93" s="158" t="s">
        <v>6</v>
      </c>
      <c r="E93" s="222"/>
      <c r="F93" s="443">
        <v>45000.69</v>
      </c>
      <c r="G93" s="463">
        <f t="shared" si="1"/>
        <v>1096683.2400000002</v>
      </c>
      <c r="H93" s="76">
        <v>24.141999999999999</v>
      </c>
      <c r="I93" s="10" t="s">
        <v>92</v>
      </c>
      <c r="J93" s="110"/>
      <c r="K93" s="69" t="s">
        <v>1</v>
      </c>
      <c r="L93" s="73" t="s">
        <v>92</v>
      </c>
      <c r="M93" s="42">
        <v>0</v>
      </c>
    </row>
    <row r="94" spans="1:13" x14ac:dyDescent="0.3">
      <c r="A94" s="158">
        <v>46035</v>
      </c>
      <c r="B94" s="158" t="s">
        <v>57</v>
      </c>
      <c r="C94" s="158" t="s">
        <v>330</v>
      </c>
      <c r="D94" s="158" t="s">
        <v>24</v>
      </c>
      <c r="E94" s="222"/>
      <c r="F94" s="443">
        <v>45000.69</v>
      </c>
      <c r="G94" s="463">
        <f t="shared" si="1"/>
        <v>1051682.5500000003</v>
      </c>
      <c r="H94" s="76">
        <v>24.141999999999999</v>
      </c>
      <c r="I94" s="10" t="s">
        <v>92</v>
      </c>
      <c r="J94" s="110"/>
      <c r="K94" s="24" t="s">
        <v>27</v>
      </c>
      <c r="L94" s="73" t="s">
        <v>92</v>
      </c>
      <c r="M94" s="26">
        <v>0</v>
      </c>
    </row>
    <row r="95" spans="1:13" ht="13.95" customHeight="1" x14ac:dyDescent="0.3">
      <c r="A95" s="158">
        <v>46035</v>
      </c>
      <c r="B95" s="158" t="s">
        <v>57</v>
      </c>
      <c r="C95" s="158" t="s">
        <v>332</v>
      </c>
      <c r="D95" s="158" t="s">
        <v>3</v>
      </c>
      <c r="E95" s="222"/>
      <c r="F95" s="443">
        <v>39300</v>
      </c>
      <c r="G95" s="463">
        <f t="shared" si="1"/>
        <v>1012382.5500000003</v>
      </c>
      <c r="H95" s="208">
        <v>3</v>
      </c>
      <c r="I95" s="10" t="s">
        <v>365</v>
      </c>
      <c r="J95" s="110"/>
      <c r="K95" s="76" t="s">
        <v>62</v>
      </c>
      <c r="L95" s="80" t="s">
        <v>92</v>
      </c>
      <c r="M95" s="80">
        <f>SUM(H91+H96+H100+H110)</f>
        <v>96.477000000000004</v>
      </c>
    </row>
    <row r="96" spans="1:13" ht="13.95" customHeight="1" x14ac:dyDescent="0.3">
      <c r="A96" s="158">
        <v>46035</v>
      </c>
      <c r="B96" s="158" t="s">
        <v>57</v>
      </c>
      <c r="C96" s="158" t="s">
        <v>331</v>
      </c>
      <c r="D96" s="158" t="s">
        <v>62</v>
      </c>
      <c r="E96" s="222"/>
      <c r="F96" s="443">
        <v>45000.12</v>
      </c>
      <c r="G96" s="463">
        <f t="shared" si="1"/>
        <v>967382.43000000028</v>
      </c>
      <c r="H96" s="76">
        <v>24.09</v>
      </c>
      <c r="I96" s="10" t="s">
        <v>69</v>
      </c>
      <c r="J96" s="110"/>
      <c r="K96" s="69" t="s">
        <v>24</v>
      </c>
      <c r="L96" s="73" t="s">
        <v>92</v>
      </c>
      <c r="M96" s="26">
        <f>SUM(H94+H98+H109)</f>
        <v>72.386799999999994</v>
      </c>
    </row>
    <row r="97" spans="1:13" ht="13.95" customHeight="1" x14ac:dyDescent="0.3">
      <c r="A97" s="158">
        <v>46036</v>
      </c>
      <c r="B97" s="158" t="s">
        <v>57</v>
      </c>
      <c r="C97" s="158" t="s">
        <v>333</v>
      </c>
      <c r="D97" s="158" t="s">
        <v>3</v>
      </c>
      <c r="E97" s="222"/>
      <c r="F97" s="443">
        <v>84300.12</v>
      </c>
      <c r="G97" s="463">
        <f t="shared" si="1"/>
        <v>883082.31000000029</v>
      </c>
      <c r="H97" s="76">
        <v>24.09</v>
      </c>
      <c r="I97" s="10" t="s">
        <v>369</v>
      </c>
      <c r="J97" s="110"/>
      <c r="K97" s="69" t="s">
        <v>29</v>
      </c>
      <c r="L97" s="73" t="s">
        <v>92</v>
      </c>
      <c r="M97" s="26">
        <v>0</v>
      </c>
    </row>
    <row r="98" spans="1:13" ht="13.95" customHeight="1" x14ac:dyDescent="0.3">
      <c r="A98" s="158">
        <v>46036</v>
      </c>
      <c r="B98" s="158" t="s">
        <v>57</v>
      </c>
      <c r="C98" s="158" t="s">
        <v>334</v>
      </c>
      <c r="D98" s="158" t="s">
        <v>24</v>
      </c>
      <c r="E98" s="222"/>
      <c r="F98" s="443">
        <v>58100.12</v>
      </c>
      <c r="G98" s="463">
        <f t="shared" si="1"/>
        <v>824982.19000000029</v>
      </c>
      <c r="H98" s="76">
        <v>24.09</v>
      </c>
      <c r="I98" s="10" t="s">
        <v>212</v>
      </c>
      <c r="J98" s="110"/>
      <c r="K98" s="69" t="s">
        <v>3</v>
      </c>
      <c r="L98" s="73" t="s">
        <v>92</v>
      </c>
      <c r="M98" s="26">
        <f>SUM(H97)</f>
        <v>24.09</v>
      </c>
    </row>
    <row r="99" spans="1:13" ht="13.95" customHeight="1" x14ac:dyDescent="0.3">
      <c r="A99" s="158">
        <v>46036</v>
      </c>
      <c r="B99" s="158" t="s">
        <v>57</v>
      </c>
      <c r="C99" s="158" t="s">
        <v>336</v>
      </c>
      <c r="D99" s="158" t="s">
        <v>117</v>
      </c>
      <c r="E99" s="222"/>
      <c r="F99" s="443">
        <v>89393.14</v>
      </c>
      <c r="G99" s="463">
        <f t="shared" si="1"/>
        <v>735589.05000000028</v>
      </c>
      <c r="H99" s="76">
        <v>47.854999999999997</v>
      </c>
      <c r="I99" s="10" t="s">
        <v>92</v>
      </c>
      <c r="J99" s="110"/>
      <c r="K99" s="69" t="s">
        <v>5</v>
      </c>
      <c r="L99" s="73" t="s">
        <v>92</v>
      </c>
      <c r="M99" s="26">
        <f>SUM(H103+H104)</f>
        <v>48.231999999999999</v>
      </c>
    </row>
    <row r="100" spans="1:13" ht="13.95" customHeight="1" x14ac:dyDescent="0.3">
      <c r="A100" s="158">
        <v>46036</v>
      </c>
      <c r="B100" s="158" t="s">
        <v>57</v>
      </c>
      <c r="C100" s="158" t="s">
        <v>337</v>
      </c>
      <c r="D100" s="158" t="s">
        <v>62</v>
      </c>
      <c r="E100" s="222"/>
      <c r="F100" s="443">
        <v>45000.12</v>
      </c>
      <c r="G100" s="463">
        <f t="shared" si="1"/>
        <v>690588.93000000028</v>
      </c>
      <c r="H100" s="76">
        <v>24.09</v>
      </c>
      <c r="I100" s="10" t="s">
        <v>92</v>
      </c>
      <c r="J100" s="110"/>
      <c r="K100" s="69" t="s">
        <v>61</v>
      </c>
      <c r="L100" s="73" t="s">
        <v>92</v>
      </c>
      <c r="M100" s="26">
        <v>0</v>
      </c>
    </row>
    <row r="101" spans="1:13" ht="13.95" customHeight="1" x14ac:dyDescent="0.3">
      <c r="A101" s="158">
        <v>46036</v>
      </c>
      <c r="B101" s="158" t="s">
        <v>57</v>
      </c>
      <c r="C101" s="158" t="s">
        <v>338</v>
      </c>
      <c r="D101" s="158" t="s">
        <v>6</v>
      </c>
      <c r="E101" s="222"/>
      <c r="F101" s="443">
        <v>45000.12</v>
      </c>
      <c r="G101" s="463">
        <f t="shared" si="1"/>
        <v>645588.81000000029</v>
      </c>
      <c r="H101" s="76">
        <v>24.09</v>
      </c>
      <c r="I101" s="10" t="s">
        <v>92</v>
      </c>
      <c r="J101" s="110"/>
      <c r="K101" s="69" t="s">
        <v>22</v>
      </c>
      <c r="L101" s="73" t="s">
        <v>92</v>
      </c>
      <c r="M101" s="26">
        <v>0</v>
      </c>
    </row>
    <row r="102" spans="1:13" ht="13.95" customHeight="1" x14ac:dyDescent="0.3">
      <c r="A102" s="158">
        <v>46037</v>
      </c>
      <c r="B102" s="158" t="s">
        <v>57</v>
      </c>
      <c r="C102" s="158" t="s">
        <v>339</v>
      </c>
      <c r="D102" s="158" t="s">
        <v>6</v>
      </c>
      <c r="E102" s="222"/>
      <c r="F102" s="443">
        <v>12200</v>
      </c>
      <c r="G102" s="463">
        <f t="shared" si="1"/>
        <v>633388.81000000029</v>
      </c>
      <c r="H102" s="208">
        <v>2</v>
      </c>
      <c r="I102" s="10" t="s">
        <v>365</v>
      </c>
      <c r="J102" s="110"/>
      <c r="K102" s="69" t="s">
        <v>6</v>
      </c>
      <c r="L102" s="73" t="s">
        <v>92</v>
      </c>
      <c r="M102" s="26">
        <f>SUM(H93+H101+H105)</f>
        <v>72.347999999999999</v>
      </c>
    </row>
    <row r="103" spans="1:13" ht="13.95" customHeight="1" x14ac:dyDescent="0.3">
      <c r="A103" s="158">
        <v>46037</v>
      </c>
      <c r="B103" s="158" t="s">
        <v>57</v>
      </c>
      <c r="C103" s="158" t="s">
        <v>340</v>
      </c>
      <c r="D103" s="158" t="s">
        <v>5</v>
      </c>
      <c r="E103" s="222"/>
      <c r="F103" s="443">
        <v>57200.46</v>
      </c>
      <c r="G103" s="463">
        <f t="shared" si="1"/>
        <v>576188.35000000033</v>
      </c>
      <c r="H103" s="76">
        <v>24.116</v>
      </c>
      <c r="I103" s="10" t="s">
        <v>366</v>
      </c>
      <c r="J103" s="110"/>
      <c r="K103" s="69" t="s">
        <v>8</v>
      </c>
      <c r="L103" s="73" t="s">
        <v>92</v>
      </c>
      <c r="M103" s="26">
        <v>0</v>
      </c>
    </row>
    <row r="104" spans="1:13" ht="13.95" customHeight="1" x14ac:dyDescent="0.3">
      <c r="A104" s="158">
        <v>46038</v>
      </c>
      <c r="B104" s="158" t="s">
        <v>57</v>
      </c>
      <c r="C104" s="158" t="s">
        <v>341</v>
      </c>
      <c r="D104" s="158" t="s">
        <v>5</v>
      </c>
      <c r="E104" s="222"/>
      <c r="F104" s="443">
        <v>45000.46</v>
      </c>
      <c r="G104" s="463">
        <f t="shared" si="1"/>
        <v>531187.89000000036</v>
      </c>
      <c r="H104" s="76">
        <v>24.116</v>
      </c>
      <c r="I104" s="10" t="s">
        <v>92</v>
      </c>
      <c r="J104" s="110"/>
      <c r="K104" s="69" t="s">
        <v>9</v>
      </c>
      <c r="L104" s="73" t="s">
        <v>92</v>
      </c>
      <c r="M104" s="26">
        <v>0</v>
      </c>
    </row>
    <row r="105" spans="1:13" ht="13.95" customHeight="1" x14ac:dyDescent="0.3">
      <c r="A105" s="158">
        <v>46038</v>
      </c>
      <c r="B105" s="158" t="s">
        <v>57</v>
      </c>
      <c r="C105" s="158" t="s">
        <v>342</v>
      </c>
      <c r="D105" s="158" t="s">
        <v>6</v>
      </c>
      <c r="E105" s="222"/>
      <c r="F105" s="443">
        <v>45000.46</v>
      </c>
      <c r="G105" s="463">
        <f t="shared" si="1"/>
        <v>486187.43000000034</v>
      </c>
      <c r="H105" s="76">
        <v>24.116</v>
      </c>
      <c r="I105" s="10" t="s">
        <v>92</v>
      </c>
      <c r="J105" s="110"/>
      <c r="K105" s="69" t="s">
        <v>30</v>
      </c>
      <c r="L105" s="73" t="s">
        <v>92</v>
      </c>
      <c r="M105" s="26">
        <v>0</v>
      </c>
    </row>
    <row r="106" spans="1:13" ht="13.95" customHeight="1" x14ac:dyDescent="0.3">
      <c r="A106" s="158">
        <v>46038</v>
      </c>
      <c r="B106" s="158" t="s">
        <v>57</v>
      </c>
      <c r="C106" s="158" t="s">
        <v>343</v>
      </c>
      <c r="D106" s="158" t="s">
        <v>117</v>
      </c>
      <c r="E106" s="222"/>
      <c r="F106" s="443">
        <v>35080</v>
      </c>
      <c r="G106" s="463">
        <f t="shared" si="1"/>
        <v>451107.43000000034</v>
      </c>
      <c r="H106" s="124">
        <v>20</v>
      </c>
      <c r="I106" s="10" t="s">
        <v>92</v>
      </c>
      <c r="J106" s="110"/>
      <c r="K106" s="69" t="s">
        <v>10</v>
      </c>
      <c r="L106" s="73" t="s">
        <v>92</v>
      </c>
      <c r="M106" s="26">
        <v>0</v>
      </c>
    </row>
    <row r="107" spans="1:13" ht="13.95" customHeight="1" x14ac:dyDescent="0.3">
      <c r="A107" s="158">
        <v>46038</v>
      </c>
      <c r="B107" s="158" t="s">
        <v>57</v>
      </c>
      <c r="C107" s="158" t="s">
        <v>344</v>
      </c>
      <c r="D107" s="158" t="s">
        <v>6</v>
      </c>
      <c r="E107" s="222"/>
      <c r="F107" s="443">
        <v>24400</v>
      </c>
      <c r="G107" s="463">
        <f t="shared" si="1"/>
        <v>426707.43000000034</v>
      </c>
      <c r="H107" s="208">
        <v>4</v>
      </c>
      <c r="I107" s="10" t="s">
        <v>365</v>
      </c>
      <c r="J107" s="110"/>
      <c r="K107" s="69" t="s">
        <v>11</v>
      </c>
      <c r="L107" s="73" t="s">
        <v>92</v>
      </c>
      <c r="M107" s="26">
        <f>SUM(H92+H99+H106)</f>
        <v>120.75700000000001</v>
      </c>
    </row>
    <row r="108" spans="1:13" ht="13.95" customHeight="1" x14ac:dyDescent="0.3">
      <c r="A108" s="219">
        <v>46038</v>
      </c>
      <c r="B108" s="219" t="s">
        <v>60</v>
      </c>
      <c r="C108" s="219" t="s">
        <v>345</v>
      </c>
      <c r="D108" s="464" t="s">
        <v>1218</v>
      </c>
      <c r="E108" s="205">
        <v>1000000</v>
      </c>
      <c r="F108" s="444"/>
      <c r="G108" s="436">
        <f t="shared" si="1"/>
        <v>1426707.4300000004</v>
      </c>
      <c r="H108" s="212"/>
      <c r="I108" s="199" t="s">
        <v>1222</v>
      </c>
      <c r="J108" s="110"/>
      <c r="K108" s="69" t="s">
        <v>36</v>
      </c>
      <c r="L108" s="117" t="s">
        <v>199</v>
      </c>
      <c r="M108" s="26" t="s">
        <v>213</v>
      </c>
    </row>
    <row r="109" spans="1:13" ht="13.95" customHeight="1" x14ac:dyDescent="0.3">
      <c r="A109" s="158">
        <v>46038</v>
      </c>
      <c r="B109" s="158" t="s">
        <v>57</v>
      </c>
      <c r="C109" s="158" t="s">
        <v>346</v>
      </c>
      <c r="D109" s="158" t="s">
        <v>24</v>
      </c>
      <c r="E109" s="222"/>
      <c r="F109" s="443">
        <v>45000.46</v>
      </c>
      <c r="G109" s="463">
        <f t="shared" si="1"/>
        <v>1381706.9700000004</v>
      </c>
      <c r="H109" s="208">
        <v>24.154800000000002</v>
      </c>
      <c r="I109" s="10"/>
      <c r="J109" s="110"/>
      <c r="K109" s="540" t="s">
        <v>695</v>
      </c>
      <c r="L109" s="541"/>
      <c r="M109" s="147">
        <f>SUM(M92:M107)</f>
        <v>434.29079999999999</v>
      </c>
    </row>
    <row r="110" spans="1:13" ht="13.95" customHeight="1" x14ac:dyDescent="0.3">
      <c r="A110" s="158">
        <v>46039</v>
      </c>
      <c r="B110" s="158" t="s">
        <v>57</v>
      </c>
      <c r="C110" s="158" t="s">
        <v>347</v>
      </c>
      <c r="D110" s="158" t="s">
        <v>62</v>
      </c>
      <c r="E110" s="222"/>
      <c r="F110" s="443">
        <v>45000.77</v>
      </c>
      <c r="G110" s="463">
        <f t="shared" si="1"/>
        <v>1336706.2000000004</v>
      </c>
      <c r="H110" s="76">
        <v>24.155000000000001</v>
      </c>
      <c r="I110" s="10" t="s">
        <v>92</v>
      </c>
      <c r="J110" s="110"/>
    </row>
    <row r="111" spans="1:13" ht="13.95" customHeight="1" x14ac:dyDescent="0.3">
      <c r="A111" s="534" t="s">
        <v>694</v>
      </c>
      <c r="B111" s="534"/>
      <c r="C111" s="534"/>
      <c r="D111" s="534"/>
      <c r="E111" s="534"/>
      <c r="F111" s="534"/>
      <c r="G111" s="534"/>
      <c r="H111" s="540">
        <f>SUM(H91:H94,H96:H101,H103:H106,H109:H110)</f>
        <v>434.29079999999988</v>
      </c>
      <c r="I111" s="541"/>
      <c r="J111" s="110"/>
    </row>
    <row r="112" spans="1:13" ht="13.95" customHeight="1" x14ac:dyDescent="0.3">
      <c r="A112" s="546" t="s">
        <v>350</v>
      </c>
      <c r="B112" s="547"/>
      <c r="C112" s="547"/>
      <c r="D112" s="547"/>
      <c r="E112" s="547"/>
      <c r="F112" s="547"/>
      <c r="G112" s="547"/>
      <c r="H112" s="547"/>
      <c r="I112" s="548"/>
      <c r="J112" s="110"/>
      <c r="K112" s="526" t="s">
        <v>358</v>
      </c>
      <c r="L112" s="526"/>
      <c r="M112" s="526"/>
    </row>
    <row r="113" spans="1:13" ht="13.95" customHeight="1" x14ac:dyDescent="0.3">
      <c r="A113" s="99">
        <v>46041</v>
      </c>
      <c r="B113" s="99" t="s">
        <v>57</v>
      </c>
      <c r="C113" s="99" t="s">
        <v>348</v>
      </c>
      <c r="D113" s="99" t="s">
        <v>26</v>
      </c>
      <c r="E113" s="182"/>
      <c r="F113" s="183">
        <v>160676.53</v>
      </c>
      <c r="G113" s="186">
        <f>+G110-F113+E113</f>
        <v>1176029.6700000004</v>
      </c>
      <c r="H113" s="124">
        <v>79.257000000000005</v>
      </c>
      <c r="I113" s="10" t="s">
        <v>212</v>
      </c>
      <c r="J113" s="110"/>
      <c r="K113" s="545" t="s">
        <v>34</v>
      </c>
      <c r="L113" s="545"/>
      <c r="M113" s="545"/>
    </row>
    <row r="114" spans="1:13" ht="13.95" customHeight="1" x14ac:dyDescent="0.3">
      <c r="A114" s="99">
        <v>46041</v>
      </c>
      <c r="B114" s="99" t="s">
        <v>57</v>
      </c>
      <c r="C114" s="99" t="s">
        <v>349</v>
      </c>
      <c r="D114" s="99" t="s">
        <v>117</v>
      </c>
      <c r="E114" s="182"/>
      <c r="F114" s="183">
        <v>74442.759999999995</v>
      </c>
      <c r="G114" s="186">
        <f t="shared" si="1"/>
        <v>1101586.9100000004</v>
      </c>
      <c r="H114" s="76">
        <v>39.979999999999997</v>
      </c>
      <c r="I114" s="10" t="s">
        <v>92</v>
      </c>
      <c r="J114" s="110"/>
      <c r="K114" s="71" t="s">
        <v>32</v>
      </c>
      <c r="L114" s="43" t="s">
        <v>35</v>
      </c>
      <c r="M114" s="43" t="s">
        <v>33</v>
      </c>
    </row>
    <row r="115" spans="1:13" ht="13.95" customHeight="1" x14ac:dyDescent="0.3">
      <c r="A115" s="99">
        <v>46041</v>
      </c>
      <c r="B115" s="99" t="s">
        <v>57</v>
      </c>
      <c r="C115" s="99" t="s">
        <v>351</v>
      </c>
      <c r="D115" s="99" t="s">
        <v>5</v>
      </c>
      <c r="E115" s="182"/>
      <c r="F115" s="183">
        <v>45000.82</v>
      </c>
      <c r="G115" s="186">
        <f t="shared" si="1"/>
        <v>1056586.0900000003</v>
      </c>
      <c r="H115" s="76">
        <v>24.167999999999999</v>
      </c>
      <c r="I115" s="10" t="s">
        <v>92</v>
      </c>
      <c r="J115" s="110"/>
      <c r="K115" s="69" t="s">
        <v>0</v>
      </c>
      <c r="L115" s="73" t="s">
        <v>92</v>
      </c>
      <c r="M115" s="26">
        <v>0</v>
      </c>
    </row>
    <row r="116" spans="1:13" ht="13.95" customHeight="1" x14ac:dyDescent="0.3">
      <c r="A116" s="99">
        <v>46041</v>
      </c>
      <c r="B116" s="99" t="s">
        <v>57</v>
      </c>
      <c r="C116" s="99" t="s">
        <v>352</v>
      </c>
      <c r="D116" s="99" t="s">
        <v>6</v>
      </c>
      <c r="E116" s="182"/>
      <c r="F116" s="183">
        <v>45000.82</v>
      </c>
      <c r="G116" s="186">
        <f t="shared" si="1"/>
        <v>1011585.2700000004</v>
      </c>
      <c r="H116" s="76">
        <v>24.167999999999999</v>
      </c>
      <c r="I116" s="10" t="s">
        <v>92</v>
      </c>
      <c r="J116" s="110"/>
      <c r="K116" s="69" t="s">
        <v>1</v>
      </c>
      <c r="L116" s="73" t="s">
        <v>92</v>
      </c>
      <c r="M116" s="42">
        <f>SUM(H158)</f>
        <v>54.807000000000002</v>
      </c>
    </row>
    <row r="117" spans="1:13" ht="13.95" customHeight="1" x14ac:dyDescent="0.3">
      <c r="A117" s="60">
        <v>46041</v>
      </c>
      <c r="B117" s="99" t="s">
        <v>57</v>
      </c>
      <c r="C117" s="127" t="s">
        <v>353</v>
      </c>
      <c r="D117" s="15" t="s">
        <v>22</v>
      </c>
      <c r="E117" s="169"/>
      <c r="F117" s="168">
        <v>989999.33</v>
      </c>
      <c r="G117" s="186">
        <f t="shared" si="1"/>
        <v>21585.94000000041</v>
      </c>
      <c r="H117" s="76">
        <v>531.68600000000004</v>
      </c>
      <c r="I117" s="10" t="s">
        <v>92</v>
      </c>
      <c r="J117" s="110"/>
      <c r="K117" s="24" t="s">
        <v>27</v>
      </c>
      <c r="L117" s="73" t="s">
        <v>92</v>
      </c>
      <c r="M117" s="26">
        <v>0</v>
      </c>
    </row>
    <row r="118" spans="1:13" ht="13.95" customHeight="1" x14ac:dyDescent="0.3">
      <c r="A118" s="60">
        <v>46042</v>
      </c>
      <c r="B118" s="60" t="s">
        <v>57</v>
      </c>
      <c r="C118" s="127" t="s">
        <v>354</v>
      </c>
      <c r="D118" s="15" t="s">
        <v>62</v>
      </c>
      <c r="E118" s="169"/>
      <c r="F118" s="168">
        <v>45000.82</v>
      </c>
      <c r="G118" s="185">
        <f t="shared" ref="G118:G124" si="2">+G117-F118+E118</f>
        <v>-23414.87999999959</v>
      </c>
      <c r="H118" s="76">
        <v>24.167999999999999</v>
      </c>
      <c r="I118" s="10" t="s">
        <v>92</v>
      </c>
      <c r="J118" s="110"/>
      <c r="K118" s="76" t="s">
        <v>62</v>
      </c>
      <c r="L118" s="73" t="s">
        <v>92</v>
      </c>
      <c r="M118" s="80">
        <f>SUM(H118+H122+H128+H129+H140+H144+H155)</f>
        <v>185.673</v>
      </c>
    </row>
    <row r="119" spans="1:13" ht="13.95" customHeight="1" x14ac:dyDescent="0.3">
      <c r="A119" s="60">
        <v>46042</v>
      </c>
      <c r="B119" s="60" t="s">
        <v>57</v>
      </c>
      <c r="C119" s="127" t="s">
        <v>355</v>
      </c>
      <c r="D119" s="15" t="s">
        <v>61</v>
      </c>
      <c r="E119" s="169"/>
      <c r="F119" s="168">
        <v>335582.67</v>
      </c>
      <c r="G119" s="185">
        <f t="shared" si="2"/>
        <v>-358997.54999999958</v>
      </c>
      <c r="H119" s="76">
        <v>180.227</v>
      </c>
      <c r="I119" s="10" t="s">
        <v>92</v>
      </c>
      <c r="J119" s="110"/>
      <c r="K119" s="76" t="s">
        <v>361</v>
      </c>
      <c r="L119" s="73" t="s">
        <v>92</v>
      </c>
      <c r="M119" s="80">
        <f>SUM(H134+H152)</f>
        <v>47.731999999999999</v>
      </c>
    </row>
    <row r="120" spans="1:13" ht="13.95" customHeight="1" x14ac:dyDescent="0.3">
      <c r="A120" s="60">
        <v>46042</v>
      </c>
      <c r="B120" s="60" t="s">
        <v>57</v>
      </c>
      <c r="C120" s="127" t="s">
        <v>356</v>
      </c>
      <c r="D120" s="15" t="s">
        <v>8</v>
      </c>
      <c r="E120" s="169"/>
      <c r="F120" s="168">
        <v>45000.82</v>
      </c>
      <c r="G120" s="185">
        <f t="shared" si="2"/>
        <v>-403998.36999999959</v>
      </c>
      <c r="H120" s="76">
        <v>24.167999999999999</v>
      </c>
      <c r="I120" s="10" t="s">
        <v>92</v>
      </c>
      <c r="J120" s="110"/>
      <c r="K120" s="69" t="s">
        <v>24</v>
      </c>
      <c r="L120" s="73" t="s">
        <v>92</v>
      </c>
      <c r="M120" s="26">
        <f>SUM(H124+H131+H147+H155)</f>
        <v>82.682000000000002</v>
      </c>
    </row>
    <row r="121" spans="1:13" ht="13.95" customHeight="1" x14ac:dyDescent="0.3">
      <c r="A121" s="60">
        <v>46043</v>
      </c>
      <c r="B121" s="60" t="s">
        <v>57</v>
      </c>
      <c r="C121" s="127" t="s">
        <v>357</v>
      </c>
      <c r="D121" s="15" t="s">
        <v>5</v>
      </c>
      <c r="E121" s="169"/>
      <c r="F121" s="168">
        <v>45000.82</v>
      </c>
      <c r="G121" s="185">
        <f t="shared" si="2"/>
        <v>-448999.18999999959</v>
      </c>
      <c r="H121" s="76">
        <v>24.167999999999999</v>
      </c>
      <c r="I121" s="10" t="s">
        <v>92</v>
      </c>
      <c r="J121" s="110"/>
      <c r="K121" s="69" t="s">
        <v>29</v>
      </c>
      <c r="L121" s="73" t="s">
        <v>92</v>
      </c>
      <c r="M121" s="26">
        <f>SUM(H113+H127+H143)</f>
        <v>204.149</v>
      </c>
    </row>
    <row r="122" spans="1:13" ht="13.95" customHeight="1" x14ac:dyDescent="0.3">
      <c r="A122" s="60">
        <v>46043</v>
      </c>
      <c r="B122" s="60" t="s">
        <v>57</v>
      </c>
      <c r="C122" s="127" t="s">
        <v>370</v>
      </c>
      <c r="D122" s="15" t="s">
        <v>62</v>
      </c>
      <c r="E122" s="169"/>
      <c r="F122" s="168">
        <v>45000.82</v>
      </c>
      <c r="G122" s="185">
        <f t="shared" si="2"/>
        <v>-494000.0099999996</v>
      </c>
      <c r="H122" s="124">
        <v>24.167999999999999</v>
      </c>
      <c r="I122" s="10" t="s">
        <v>92</v>
      </c>
      <c r="J122" s="110"/>
      <c r="K122" s="69" t="s">
        <v>3</v>
      </c>
      <c r="L122" s="73" t="s">
        <v>92</v>
      </c>
      <c r="M122" s="26">
        <f>SUM(H123+H135)</f>
        <v>48.31</v>
      </c>
    </row>
    <row r="123" spans="1:13" ht="13.95" customHeight="1" x14ac:dyDescent="0.3">
      <c r="A123" s="60">
        <v>46043</v>
      </c>
      <c r="B123" s="60" t="s">
        <v>57</v>
      </c>
      <c r="C123" s="127" t="s">
        <v>371</v>
      </c>
      <c r="D123" s="305" t="s">
        <v>3</v>
      </c>
      <c r="E123" s="169"/>
      <c r="F123" s="168">
        <v>45000.82</v>
      </c>
      <c r="G123" s="185">
        <f t="shared" si="2"/>
        <v>-539000.82999999961</v>
      </c>
      <c r="H123" s="124">
        <v>24.167999999999999</v>
      </c>
      <c r="I123" s="10" t="s">
        <v>92</v>
      </c>
      <c r="J123" s="110"/>
      <c r="K123" s="69" t="s">
        <v>5</v>
      </c>
      <c r="L123" s="73" t="s">
        <v>92</v>
      </c>
      <c r="M123" s="26">
        <f>SUM(H115+H121+H136+H150)</f>
        <v>96.645999999999987</v>
      </c>
    </row>
    <row r="124" spans="1:13" ht="13.95" customHeight="1" x14ac:dyDescent="0.3">
      <c r="A124" s="60">
        <v>46043</v>
      </c>
      <c r="B124" s="60" t="s">
        <v>57</v>
      </c>
      <c r="C124" s="127" t="s">
        <v>372</v>
      </c>
      <c r="D124" s="15" t="s">
        <v>24</v>
      </c>
      <c r="E124" s="169"/>
      <c r="F124" s="168">
        <v>45000.82</v>
      </c>
      <c r="G124" s="185">
        <f t="shared" si="2"/>
        <v>-584001.64999999956</v>
      </c>
      <c r="H124" s="76">
        <v>24.167999999999999</v>
      </c>
      <c r="I124" s="10" t="s">
        <v>92</v>
      </c>
      <c r="J124" s="110"/>
      <c r="K124" s="69" t="s">
        <v>61</v>
      </c>
      <c r="L124" s="73" t="s">
        <v>92</v>
      </c>
      <c r="M124" s="26">
        <f>SUM(H119+H142)</f>
        <v>317.61199999999997</v>
      </c>
    </row>
    <row r="125" spans="1:13" ht="13.95" customHeight="1" x14ac:dyDescent="0.3">
      <c r="A125" s="60">
        <v>46043</v>
      </c>
      <c r="B125" s="60" t="s">
        <v>57</v>
      </c>
      <c r="C125" s="127" t="s">
        <v>373</v>
      </c>
      <c r="D125" s="15" t="s">
        <v>30</v>
      </c>
      <c r="E125" s="169"/>
      <c r="F125" s="168">
        <v>415000.7</v>
      </c>
      <c r="G125" s="185">
        <f t="shared" ref="G125:G152" si="3">+G124-F125+E125</f>
        <v>-999002.34999999963</v>
      </c>
      <c r="H125" s="76">
        <v>222.87899999999999</v>
      </c>
      <c r="I125" s="10" t="s">
        <v>92</v>
      </c>
      <c r="J125" s="110"/>
      <c r="K125" s="69" t="s">
        <v>22</v>
      </c>
      <c r="L125" s="73" t="s">
        <v>92</v>
      </c>
      <c r="M125" s="26">
        <f>SUM(H117+H141)</f>
        <v>658.32600000000002</v>
      </c>
    </row>
    <row r="126" spans="1:13" ht="13.95" customHeight="1" x14ac:dyDescent="0.3">
      <c r="A126" s="202">
        <v>46043</v>
      </c>
      <c r="B126" s="202" t="s">
        <v>60</v>
      </c>
      <c r="C126" s="227" t="s">
        <v>374</v>
      </c>
      <c r="D126" s="308" t="s">
        <v>1218</v>
      </c>
      <c r="E126" s="200">
        <v>1500000</v>
      </c>
      <c r="F126" s="315"/>
      <c r="G126" s="316">
        <f t="shared" si="3"/>
        <v>500997.65000000037</v>
      </c>
      <c r="H126" s="311"/>
      <c r="I126" s="199" t="s">
        <v>1222</v>
      </c>
      <c r="J126" s="110"/>
      <c r="K126" s="69" t="s">
        <v>6</v>
      </c>
      <c r="L126" s="73" t="s">
        <v>92</v>
      </c>
      <c r="M126" s="26">
        <f>SUM(H116+H133+H139+H146+H157)</f>
        <v>116.648</v>
      </c>
    </row>
    <row r="127" spans="1:13" ht="13.95" customHeight="1" x14ac:dyDescent="0.3">
      <c r="A127" s="60">
        <v>46044</v>
      </c>
      <c r="B127" s="60" t="s">
        <v>57</v>
      </c>
      <c r="C127" s="127" t="s">
        <v>375</v>
      </c>
      <c r="D127" s="15" t="s">
        <v>26</v>
      </c>
      <c r="E127" s="169"/>
      <c r="F127" s="168">
        <v>93796.479999999996</v>
      </c>
      <c r="G127" s="184">
        <f t="shared" si="3"/>
        <v>407201.17000000039</v>
      </c>
      <c r="H127" s="76">
        <v>50.32</v>
      </c>
      <c r="I127" s="10" t="s">
        <v>92</v>
      </c>
      <c r="J127" s="110"/>
      <c r="K127" s="69" t="s">
        <v>8</v>
      </c>
      <c r="L127" s="73" t="s">
        <v>92</v>
      </c>
      <c r="M127" s="26">
        <f>SUM(H120+H132+H137+H151)</f>
        <v>145.97499999999999</v>
      </c>
    </row>
    <row r="128" spans="1:13" ht="13.95" customHeight="1" x14ac:dyDescent="0.3">
      <c r="A128" s="60">
        <v>46044</v>
      </c>
      <c r="B128" s="60" t="s">
        <v>57</v>
      </c>
      <c r="C128" s="127" t="s">
        <v>376</v>
      </c>
      <c r="D128" s="15" t="s">
        <v>62</v>
      </c>
      <c r="E128" s="169"/>
      <c r="F128" s="168">
        <v>45000.69</v>
      </c>
      <c r="G128" s="184">
        <f t="shared" si="3"/>
        <v>362200.48000000039</v>
      </c>
      <c r="H128" s="76">
        <v>24.141999999999999</v>
      </c>
      <c r="I128" s="10" t="s">
        <v>92</v>
      </c>
      <c r="J128" s="110"/>
      <c r="K128" s="69" t="s">
        <v>9</v>
      </c>
      <c r="L128" s="73" t="s">
        <v>92</v>
      </c>
      <c r="M128" s="26">
        <f>SUM(H153)</f>
        <v>160.072</v>
      </c>
    </row>
    <row r="129" spans="1:13" ht="13.95" customHeight="1" x14ac:dyDescent="0.3">
      <c r="A129" s="60">
        <v>46044</v>
      </c>
      <c r="B129" s="60" t="s">
        <v>57</v>
      </c>
      <c r="C129" s="127" t="s">
        <v>377</v>
      </c>
      <c r="D129" s="15" t="s">
        <v>62</v>
      </c>
      <c r="E129" s="169"/>
      <c r="F129" s="168">
        <v>75896.490000000005</v>
      </c>
      <c r="G129" s="184">
        <f t="shared" si="3"/>
        <v>286303.9900000004</v>
      </c>
      <c r="H129" s="76">
        <v>40.716999999999999</v>
      </c>
      <c r="I129" s="10" t="s">
        <v>92</v>
      </c>
      <c r="J129" s="110"/>
      <c r="K129" s="69" t="s">
        <v>30</v>
      </c>
      <c r="L129" s="73" t="s">
        <v>92</v>
      </c>
      <c r="M129" s="26">
        <f>SUM(H125+H149)</f>
        <v>566.03099999999995</v>
      </c>
    </row>
    <row r="130" spans="1:13" ht="13.95" customHeight="1" x14ac:dyDescent="0.3">
      <c r="A130" s="60">
        <v>46044</v>
      </c>
      <c r="B130" s="60" t="s">
        <v>57</v>
      </c>
      <c r="C130" s="127" t="s">
        <v>378</v>
      </c>
      <c r="D130" s="15" t="s">
        <v>117</v>
      </c>
      <c r="E130" s="169"/>
      <c r="F130" s="168">
        <v>75896.490000000005</v>
      </c>
      <c r="G130" s="184">
        <f t="shared" si="3"/>
        <v>210407.50000000041</v>
      </c>
      <c r="H130" s="76">
        <v>40.716999999999999</v>
      </c>
      <c r="I130" s="10" t="s">
        <v>92</v>
      </c>
      <c r="J130" s="110"/>
      <c r="K130" s="69" t="s">
        <v>10</v>
      </c>
      <c r="L130" s="73" t="s">
        <v>92</v>
      </c>
      <c r="M130" s="26">
        <f>SUM(H154)</f>
        <v>53.7057</v>
      </c>
    </row>
    <row r="131" spans="1:13" ht="13.95" customHeight="1" x14ac:dyDescent="0.3">
      <c r="A131" s="60">
        <v>46044</v>
      </c>
      <c r="B131" s="60" t="s">
        <v>57</v>
      </c>
      <c r="C131" s="127" t="s">
        <v>379</v>
      </c>
      <c r="D131" s="15" t="s">
        <v>24</v>
      </c>
      <c r="E131" s="169"/>
      <c r="F131" s="168">
        <v>45000.69</v>
      </c>
      <c r="G131" s="184">
        <f t="shared" si="3"/>
        <v>165406.81000000041</v>
      </c>
      <c r="H131" s="76">
        <v>24.141999999999999</v>
      </c>
      <c r="I131" s="10" t="s">
        <v>92</v>
      </c>
      <c r="J131" s="110"/>
      <c r="K131" s="69" t="s">
        <v>11</v>
      </c>
      <c r="L131" s="73" t="s">
        <v>92</v>
      </c>
      <c r="M131" s="26">
        <f>SUM(H114+H130+H145)</f>
        <v>132.22899999999998</v>
      </c>
    </row>
    <row r="132" spans="1:13" ht="13.95" customHeight="1" x14ac:dyDescent="0.3">
      <c r="A132" s="60">
        <v>46044</v>
      </c>
      <c r="B132" s="60" t="s">
        <v>57</v>
      </c>
      <c r="C132" s="127" t="s">
        <v>380</v>
      </c>
      <c r="D132" s="15" t="s">
        <v>8</v>
      </c>
      <c r="E132" s="169"/>
      <c r="F132" s="168">
        <v>45000.69</v>
      </c>
      <c r="G132" s="184">
        <f t="shared" si="3"/>
        <v>120406.1200000004</v>
      </c>
      <c r="H132" s="76">
        <v>24.141999999999999</v>
      </c>
      <c r="I132" s="10" t="s">
        <v>92</v>
      </c>
      <c r="J132" s="110"/>
      <c r="K132" s="69" t="s">
        <v>36</v>
      </c>
      <c r="L132" s="117" t="s">
        <v>199</v>
      </c>
      <c r="M132" s="26" t="s">
        <v>696</v>
      </c>
    </row>
    <row r="133" spans="1:13" ht="13.95" customHeight="1" x14ac:dyDescent="0.3">
      <c r="A133" s="60">
        <v>46044</v>
      </c>
      <c r="B133" s="60" t="s">
        <v>57</v>
      </c>
      <c r="C133" s="127" t="s">
        <v>382</v>
      </c>
      <c r="D133" s="15" t="s">
        <v>6</v>
      </c>
      <c r="E133" s="169"/>
      <c r="F133" s="168">
        <v>35003.5</v>
      </c>
      <c r="G133" s="184">
        <f t="shared" si="3"/>
        <v>85402.620000000403</v>
      </c>
      <c r="H133" s="9">
        <v>20.001999999999999</v>
      </c>
      <c r="I133" s="10" t="s">
        <v>92</v>
      </c>
      <c r="J133" s="110"/>
      <c r="K133" s="540" t="s">
        <v>695</v>
      </c>
      <c r="L133" s="541"/>
      <c r="M133" s="148">
        <f>SUM(M115:M131)</f>
        <v>2870.5976999999993</v>
      </c>
    </row>
    <row r="134" spans="1:13" ht="13.95" customHeight="1" x14ac:dyDescent="0.3">
      <c r="A134" s="60">
        <v>46044</v>
      </c>
      <c r="B134" s="60" t="s">
        <v>57</v>
      </c>
      <c r="C134" s="127" t="s">
        <v>383</v>
      </c>
      <c r="D134" s="15" t="s">
        <v>361</v>
      </c>
      <c r="E134" s="169"/>
      <c r="F134" s="168">
        <v>21420.15</v>
      </c>
      <c r="G134" s="184">
        <f t="shared" si="3"/>
        <v>63982.470000000401</v>
      </c>
      <c r="H134" s="9">
        <v>11.705</v>
      </c>
      <c r="I134" s="10" t="s">
        <v>92</v>
      </c>
      <c r="J134" s="110"/>
    </row>
    <row r="135" spans="1:13" ht="13.95" customHeight="1" x14ac:dyDescent="0.3">
      <c r="A135" s="60">
        <v>46044</v>
      </c>
      <c r="B135" s="60" t="s">
        <v>57</v>
      </c>
      <c r="C135" s="127" t="s">
        <v>384</v>
      </c>
      <c r="D135" s="305" t="s">
        <v>3</v>
      </c>
      <c r="E135" s="169"/>
      <c r="F135" s="168">
        <v>45000.69</v>
      </c>
      <c r="G135" s="184">
        <f t="shared" si="3"/>
        <v>18981.780000000399</v>
      </c>
      <c r="H135" s="76">
        <v>24.141999999999999</v>
      </c>
      <c r="I135" s="10"/>
      <c r="J135" s="110"/>
    </row>
    <row r="136" spans="1:13" ht="13.95" customHeight="1" x14ac:dyDescent="0.3">
      <c r="A136" s="60">
        <v>46045</v>
      </c>
      <c r="B136" s="60" t="s">
        <v>57</v>
      </c>
      <c r="C136" s="127" t="s">
        <v>385</v>
      </c>
      <c r="D136" s="15" t="s">
        <v>5</v>
      </c>
      <c r="E136" s="169"/>
      <c r="F136" s="168">
        <v>45000.69</v>
      </c>
      <c r="G136" s="185">
        <f t="shared" si="3"/>
        <v>-26018.909999999603</v>
      </c>
      <c r="H136" s="9">
        <v>24.141999999999999</v>
      </c>
      <c r="I136" s="10" t="s">
        <v>92</v>
      </c>
      <c r="J136" s="110"/>
    </row>
    <row r="137" spans="1:13" ht="13.95" customHeight="1" x14ac:dyDescent="0.3">
      <c r="A137" s="60">
        <v>46045</v>
      </c>
      <c r="B137" s="60" t="s">
        <v>57</v>
      </c>
      <c r="C137" s="127" t="s">
        <v>386</v>
      </c>
      <c r="D137" s="15" t="s">
        <v>8</v>
      </c>
      <c r="E137" s="169"/>
      <c r="F137" s="168">
        <v>128472.76</v>
      </c>
      <c r="G137" s="185">
        <f t="shared" si="3"/>
        <v>-154491.66999999961</v>
      </c>
      <c r="H137" s="9">
        <v>73.497</v>
      </c>
      <c r="I137" s="10" t="s">
        <v>92</v>
      </c>
      <c r="J137" s="110"/>
    </row>
    <row r="138" spans="1:13" ht="13.95" customHeight="1" x14ac:dyDescent="0.3">
      <c r="A138" s="318">
        <v>46045</v>
      </c>
      <c r="B138" s="318" t="s">
        <v>60</v>
      </c>
      <c r="C138" s="319" t="s">
        <v>335</v>
      </c>
      <c r="D138" s="320"/>
      <c r="E138" s="321">
        <v>75896.490000000005</v>
      </c>
      <c r="F138" s="322"/>
      <c r="G138" s="323">
        <f t="shared" si="3"/>
        <v>-78595.1799999996</v>
      </c>
      <c r="H138" s="324"/>
      <c r="I138" s="325" t="s">
        <v>185</v>
      </c>
      <c r="J138" s="110"/>
    </row>
    <row r="139" spans="1:13" ht="13.95" customHeight="1" x14ac:dyDescent="0.3">
      <c r="A139" s="60">
        <v>46045</v>
      </c>
      <c r="B139" s="60" t="s">
        <v>57</v>
      </c>
      <c r="C139" s="127" t="s">
        <v>387</v>
      </c>
      <c r="D139" s="15" t="s">
        <v>6</v>
      </c>
      <c r="E139" s="169"/>
      <c r="F139" s="168">
        <v>45000.69</v>
      </c>
      <c r="G139" s="185">
        <f t="shared" si="3"/>
        <v>-123595.8699999996</v>
      </c>
      <c r="H139" s="9">
        <v>24.141999999999999</v>
      </c>
      <c r="I139" s="10" t="s">
        <v>92</v>
      </c>
      <c r="J139" s="110"/>
    </row>
    <row r="140" spans="1:13" ht="13.95" customHeight="1" x14ac:dyDescent="0.3">
      <c r="A140" s="60">
        <v>46045</v>
      </c>
      <c r="B140" s="60" t="s">
        <v>57</v>
      </c>
      <c r="C140" s="127" t="s">
        <v>388</v>
      </c>
      <c r="D140" s="15" t="s">
        <v>62</v>
      </c>
      <c r="E140" s="169"/>
      <c r="F140" s="168">
        <v>45000.69</v>
      </c>
      <c r="G140" s="185">
        <f t="shared" si="3"/>
        <v>-168596.55999999959</v>
      </c>
      <c r="H140" s="9">
        <v>24.141999999999999</v>
      </c>
      <c r="I140" s="10" t="s">
        <v>92</v>
      </c>
      <c r="J140" s="110"/>
    </row>
    <row r="141" spans="1:13" ht="13.95" customHeight="1" x14ac:dyDescent="0.3">
      <c r="A141" s="60">
        <v>46045</v>
      </c>
      <c r="B141" s="60" t="s">
        <v>57</v>
      </c>
      <c r="C141" s="127" t="s">
        <v>389</v>
      </c>
      <c r="D141" s="15" t="s">
        <v>22</v>
      </c>
      <c r="E141" s="169"/>
      <c r="F141" s="168">
        <v>236056.95999999999</v>
      </c>
      <c r="G141" s="185">
        <f t="shared" si="3"/>
        <v>-404653.51999999955</v>
      </c>
      <c r="H141" s="9">
        <v>126.64</v>
      </c>
      <c r="I141" s="10" t="s">
        <v>92</v>
      </c>
      <c r="J141" s="110"/>
    </row>
    <row r="142" spans="1:13" ht="13.95" customHeight="1" x14ac:dyDescent="0.3">
      <c r="A142" s="60">
        <v>46045</v>
      </c>
      <c r="B142" s="60" t="s">
        <v>57</v>
      </c>
      <c r="C142" s="127" t="s">
        <v>390</v>
      </c>
      <c r="D142" s="15" t="s">
        <v>61</v>
      </c>
      <c r="E142" s="169"/>
      <c r="F142" s="168">
        <v>256085.64</v>
      </c>
      <c r="G142" s="185">
        <f t="shared" si="3"/>
        <v>-660739.15999999957</v>
      </c>
      <c r="H142" s="9">
        <v>137.38499999999999</v>
      </c>
      <c r="I142" s="10" t="s">
        <v>92</v>
      </c>
      <c r="J142" s="110"/>
    </row>
    <row r="143" spans="1:13" ht="13.95" customHeight="1" x14ac:dyDescent="0.3">
      <c r="A143" s="60">
        <v>46045</v>
      </c>
      <c r="B143" s="60" t="s">
        <v>57</v>
      </c>
      <c r="C143" s="127" t="s">
        <v>391</v>
      </c>
      <c r="D143" s="15" t="s">
        <v>26</v>
      </c>
      <c r="E143" s="169"/>
      <c r="F143" s="168">
        <v>139002.21</v>
      </c>
      <c r="G143" s="185">
        <f t="shared" si="3"/>
        <v>-799741.36999999953</v>
      </c>
      <c r="H143" s="9">
        <v>74.572000000000003</v>
      </c>
      <c r="I143" s="10" t="s">
        <v>92</v>
      </c>
      <c r="J143" s="110"/>
    </row>
    <row r="144" spans="1:13" ht="13.95" customHeight="1" x14ac:dyDescent="0.3">
      <c r="A144" s="60">
        <v>46046</v>
      </c>
      <c r="B144" s="60" t="s">
        <v>57</v>
      </c>
      <c r="C144" s="127" t="s">
        <v>392</v>
      </c>
      <c r="D144" s="15" t="s">
        <v>62</v>
      </c>
      <c r="E144" s="169"/>
      <c r="F144" s="168">
        <v>45000.82</v>
      </c>
      <c r="G144" s="185">
        <f t="shared" si="3"/>
        <v>-844742.18999999948</v>
      </c>
      <c r="H144" s="9">
        <v>24.167999999999999</v>
      </c>
      <c r="I144" s="10" t="s">
        <v>92</v>
      </c>
      <c r="J144" s="110"/>
    </row>
    <row r="145" spans="1:13" ht="13.95" customHeight="1" x14ac:dyDescent="0.3">
      <c r="A145" s="60">
        <v>46046</v>
      </c>
      <c r="B145" s="60" t="s">
        <v>57</v>
      </c>
      <c r="C145" s="127" t="s">
        <v>393</v>
      </c>
      <c r="D145" s="15" t="s">
        <v>117</v>
      </c>
      <c r="E145" s="169"/>
      <c r="F145" s="168">
        <v>90438.66</v>
      </c>
      <c r="G145" s="185">
        <f t="shared" si="3"/>
        <v>-935180.84999999951</v>
      </c>
      <c r="H145" s="9">
        <v>51.531999999999996</v>
      </c>
      <c r="I145" s="10" t="s">
        <v>92</v>
      </c>
      <c r="J145" s="110"/>
    </row>
    <row r="146" spans="1:13" ht="13.95" customHeight="1" x14ac:dyDescent="0.3">
      <c r="A146" s="60">
        <v>46046</v>
      </c>
      <c r="B146" s="60" t="s">
        <v>57</v>
      </c>
      <c r="C146" s="127" t="s">
        <v>394</v>
      </c>
      <c r="D146" s="15" t="s">
        <v>6</v>
      </c>
      <c r="E146" s="169"/>
      <c r="F146" s="168">
        <v>45000.82</v>
      </c>
      <c r="G146" s="185">
        <f t="shared" si="3"/>
        <v>-980181.66999999946</v>
      </c>
      <c r="H146" s="9">
        <v>24.167999999999999</v>
      </c>
      <c r="I146" s="10" t="s">
        <v>92</v>
      </c>
      <c r="J146" s="110"/>
    </row>
    <row r="147" spans="1:13" ht="13.95" customHeight="1" x14ac:dyDescent="0.3">
      <c r="A147" s="60">
        <v>46046</v>
      </c>
      <c r="B147" s="60" t="s">
        <v>57</v>
      </c>
      <c r="C147" s="127" t="s">
        <v>395</v>
      </c>
      <c r="D147" s="15" t="s">
        <v>24</v>
      </c>
      <c r="E147" s="169"/>
      <c r="F147" s="168">
        <v>18999.849999999999</v>
      </c>
      <c r="G147" s="185">
        <f t="shared" si="3"/>
        <v>-999181.51999999944</v>
      </c>
      <c r="H147" s="9">
        <v>10.204000000000001</v>
      </c>
      <c r="I147" s="10" t="s">
        <v>92</v>
      </c>
      <c r="J147" s="110"/>
    </row>
    <row r="148" spans="1:13" ht="13.95" customHeight="1" x14ac:dyDescent="0.3">
      <c r="A148" s="202">
        <v>46046</v>
      </c>
      <c r="B148" s="202" t="s">
        <v>60</v>
      </c>
      <c r="C148" s="227" t="s">
        <v>396</v>
      </c>
      <c r="D148" s="308" t="s">
        <v>1218</v>
      </c>
      <c r="E148" s="200">
        <v>2000000</v>
      </c>
      <c r="F148" s="315"/>
      <c r="G148" s="316">
        <f t="shared" si="3"/>
        <v>1000818.4800000006</v>
      </c>
      <c r="H148" s="311"/>
      <c r="I148" s="199" t="s">
        <v>1222</v>
      </c>
      <c r="J148" s="110"/>
    </row>
    <row r="149" spans="1:13" ht="13.95" customHeight="1" x14ac:dyDescent="0.3">
      <c r="A149" s="60">
        <v>46046</v>
      </c>
      <c r="B149" s="60" t="s">
        <v>57</v>
      </c>
      <c r="C149" s="127" t="s">
        <v>397</v>
      </c>
      <c r="D149" s="15" t="s">
        <v>30</v>
      </c>
      <c r="E149" s="169"/>
      <c r="F149" s="168">
        <v>638949.02</v>
      </c>
      <c r="G149" s="184">
        <f t="shared" si="3"/>
        <v>361869.46000000054</v>
      </c>
      <c r="H149" s="9">
        <v>343.15199999999999</v>
      </c>
      <c r="I149" s="10" t="s">
        <v>92</v>
      </c>
      <c r="J149" s="110"/>
    </row>
    <row r="150" spans="1:13" ht="13.95" customHeight="1" x14ac:dyDescent="0.3">
      <c r="A150" s="60">
        <v>46046</v>
      </c>
      <c r="B150" s="60" t="s">
        <v>57</v>
      </c>
      <c r="C150" s="127" t="s">
        <v>398</v>
      </c>
      <c r="D150" s="15" t="s">
        <v>5</v>
      </c>
      <c r="E150" s="169"/>
      <c r="F150" s="168">
        <v>45000.82</v>
      </c>
      <c r="G150" s="184">
        <f t="shared" si="3"/>
        <v>316868.64000000054</v>
      </c>
      <c r="H150" s="9">
        <v>24.167999999999999</v>
      </c>
      <c r="I150" s="10" t="s">
        <v>92</v>
      </c>
      <c r="J150" s="110"/>
    </row>
    <row r="151" spans="1:13" ht="13.95" customHeight="1" x14ac:dyDescent="0.3">
      <c r="A151" s="60">
        <v>46046</v>
      </c>
      <c r="B151" s="60" t="s">
        <v>57</v>
      </c>
      <c r="C151" s="127" t="s">
        <v>399</v>
      </c>
      <c r="D151" s="15" t="s">
        <v>8</v>
      </c>
      <c r="E151" s="169"/>
      <c r="F151" s="168">
        <v>45000.82</v>
      </c>
      <c r="G151" s="184">
        <f t="shared" si="3"/>
        <v>271867.82000000053</v>
      </c>
      <c r="H151" s="9">
        <v>24.167999999999999</v>
      </c>
      <c r="I151" s="10" t="s">
        <v>92</v>
      </c>
      <c r="J151" s="110"/>
    </row>
    <row r="152" spans="1:13" ht="13.95" customHeight="1" x14ac:dyDescent="0.3">
      <c r="A152" s="60">
        <v>46046</v>
      </c>
      <c r="B152" s="60" t="s">
        <v>57</v>
      </c>
      <c r="C152" s="127" t="s">
        <v>400</v>
      </c>
      <c r="D152" s="15" t="s">
        <v>361</v>
      </c>
      <c r="E152" s="169"/>
      <c r="F152" s="168">
        <v>66037.490000000005</v>
      </c>
      <c r="G152" s="184">
        <f t="shared" si="3"/>
        <v>205830.33000000054</v>
      </c>
      <c r="H152" s="9">
        <v>36.027000000000001</v>
      </c>
      <c r="I152" s="10" t="s">
        <v>92</v>
      </c>
      <c r="J152" s="110"/>
    </row>
    <row r="153" spans="1:13" ht="13.95" customHeight="1" x14ac:dyDescent="0.3">
      <c r="A153" s="60">
        <v>46046</v>
      </c>
      <c r="B153" s="60" t="s">
        <v>57</v>
      </c>
      <c r="C153" s="127" t="s">
        <v>401</v>
      </c>
      <c r="D153" s="15" t="s">
        <v>9</v>
      </c>
      <c r="E153" s="169"/>
      <c r="F153" s="168">
        <v>280926.36</v>
      </c>
      <c r="G153" s="185">
        <f>+G152-F153+E153</f>
        <v>-75096.029999999446</v>
      </c>
      <c r="H153" s="9">
        <v>160.072</v>
      </c>
      <c r="I153" s="10" t="s">
        <v>92</v>
      </c>
      <c r="J153" s="110"/>
    </row>
    <row r="154" spans="1:13" ht="13.95" customHeight="1" x14ac:dyDescent="0.3">
      <c r="A154" s="60">
        <v>46046</v>
      </c>
      <c r="B154" s="60" t="s">
        <v>57</v>
      </c>
      <c r="C154" s="127" t="s">
        <v>402</v>
      </c>
      <c r="D154" s="15" t="s">
        <v>10</v>
      </c>
      <c r="E154" s="169"/>
      <c r="F154" s="168">
        <v>100000</v>
      </c>
      <c r="G154" s="185">
        <f>+G153-F154+E154</f>
        <v>-175096.02999999945</v>
      </c>
      <c r="H154" s="126">
        <v>53.7057</v>
      </c>
      <c r="I154" s="10" t="s">
        <v>92</v>
      </c>
      <c r="J154" s="110"/>
    </row>
    <row r="155" spans="1:13" ht="13.95" customHeight="1" x14ac:dyDescent="0.3">
      <c r="A155" s="60">
        <v>46046</v>
      </c>
      <c r="B155" s="60" t="s">
        <v>57</v>
      </c>
      <c r="C155" s="127" t="s">
        <v>403</v>
      </c>
      <c r="D155" s="15" t="s">
        <v>24</v>
      </c>
      <c r="E155" s="169"/>
      <c r="F155" s="168">
        <v>45000.82</v>
      </c>
      <c r="G155" s="185">
        <f t="shared" ref="G155:G182" si="4">+G154-F155+E155</f>
        <v>-220096.84999999945</v>
      </c>
      <c r="H155" s="9">
        <v>24.167999999999999</v>
      </c>
      <c r="I155" s="10" t="s">
        <v>92</v>
      </c>
      <c r="J155" s="110"/>
      <c r="K155" t="s">
        <v>417</v>
      </c>
    </row>
    <row r="156" spans="1:13" ht="13.95" customHeight="1" x14ac:dyDescent="0.3">
      <c r="A156" s="60">
        <v>46047</v>
      </c>
      <c r="B156" s="60" t="s">
        <v>57</v>
      </c>
      <c r="C156" s="127" t="s">
        <v>404</v>
      </c>
      <c r="D156" s="15" t="s">
        <v>62</v>
      </c>
      <c r="E156" s="169"/>
      <c r="F156" s="168">
        <v>45000.82</v>
      </c>
      <c r="G156" s="185">
        <f t="shared" si="4"/>
        <v>-265097.66999999946</v>
      </c>
      <c r="H156" s="9">
        <v>24.167999999999999</v>
      </c>
      <c r="I156" s="10" t="s">
        <v>92</v>
      </c>
      <c r="J156" s="110"/>
    </row>
    <row r="157" spans="1:13" ht="13.95" customHeight="1" x14ac:dyDescent="0.3">
      <c r="A157" s="60">
        <v>46047</v>
      </c>
      <c r="B157" s="60" t="s">
        <v>57</v>
      </c>
      <c r="C157" s="127" t="s">
        <v>405</v>
      </c>
      <c r="D157" s="15" t="s">
        <v>6</v>
      </c>
      <c r="E157" s="169"/>
      <c r="F157" s="168">
        <v>45000.82</v>
      </c>
      <c r="G157" s="185">
        <f t="shared" si="4"/>
        <v>-310098.48999999947</v>
      </c>
      <c r="H157" s="9">
        <v>24.167999999999999</v>
      </c>
      <c r="I157" s="10" t="s">
        <v>92</v>
      </c>
      <c r="J157" s="110"/>
    </row>
    <row r="158" spans="1:13" ht="13.95" customHeight="1" x14ac:dyDescent="0.3">
      <c r="A158" s="60">
        <v>46047</v>
      </c>
      <c r="B158" s="60" t="s">
        <v>57</v>
      </c>
      <c r="C158" s="127" t="s">
        <v>406</v>
      </c>
      <c r="D158" s="15" t="s">
        <v>1</v>
      </c>
      <c r="E158" s="169"/>
      <c r="F158" s="168">
        <v>102050.63</v>
      </c>
      <c r="G158" s="185">
        <f t="shared" si="4"/>
        <v>-412149.11999999947</v>
      </c>
      <c r="H158" s="9">
        <v>54.807000000000002</v>
      </c>
      <c r="I158" s="10" t="s">
        <v>92</v>
      </c>
      <c r="J158" s="110"/>
    </row>
    <row r="159" spans="1:13" ht="13.95" customHeight="1" x14ac:dyDescent="0.3">
      <c r="A159" s="534" t="s">
        <v>694</v>
      </c>
      <c r="B159" s="534"/>
      <c r="C159" s="534"/>
      <c r="D159" s="534"/>
      <c r="E159" s="534"/>
      <c r="F159" s="534"/>
      <c r="G159" s="534"/>
      <c r="H159" s="539">
        <f>SUM(H113:H158)</f>
        <v>2870.5977000000012</v>
      </c>
      <c r="I159" s="539"/>
      <c r="J159" s="110"/>
    </row>
    <row r="160" spans="1:13" ht="13.95" customHeight="1" x14ac:dyDescent="0.3">
      <c r="A160" s="549" t="s">
        <v>358</v>
      </c>
      <c r="B160" s="550"/>
      <c r="C160" s="550"/>
      <c r="D160" s="550"/>
      <c r="E160" s="550"/>
      <c r="F160" s="550"/>
      <c r="G160" s="550"/>
      <c r="H160" s="550"/>
      <c r="I160" s="551"/>
      <c r="J160" s="110"/>
      <c r="K160" s="526" t="s">
        <v>416</v>
      </c>
      <c r="L160" s="526"/>
      <c r="M160" s="526"/>
    </row>
    <row r="161" spans="1:13" ht="13.95" customHeight="1" x14ac:dyDescent="0.3">
      <c r="A161" s="60">
        <v>46048</v>
      </c>
      <c r="B161" s="60" t="s">
        <v>57</v>
      </c>
      <c r="C161" s="127" t="s">
        <v>407</v>
      </c>
      <c r="D161" s="15" t="s">
        <v>26</v>
      </c>
      <c r="E161" s="169"/>
      <c r="F161" s="168">
        <v>126005.26</v>
      </c>
      <c r="G161" s="185">
        <f>+G158-F161+E161</f>
        <v>-538154.37999999942</v>
      </c>
      <c r="H161" s="9">
        <v>67.671999999999997</v>
      </c>
      <c r="I161" s="10" t="s">
        <v>92</v>
      </c>
      <c r="J161" s="110"/>
      <c r="K161" s="545" t="s">
        <v>34</v>
      </c>
      <c r="L161" s="545"/>
      <c r="M161" s="545"/>
    </row>
    <row r="162" spans="1:13" ht="13.95" customHeight="1" x14ac:dyDescent="0.3">
      <c r="A162" s="202">
        <v>46048</v>
      </c>
      <c r="B162" s="202" t="s">
        <v>60</v>
      </c>
      <c r="C162" s="227" t="s">
        <v>408</v>
      </c>
      <c r="D162" s="308" t="s">
        <v>1218</v>
      </c>
      <c r="E162" s="200">
        <v>2500000</v>
      </c>
      <c r="F162" s="315"/>
      <c r="G162" s="316">
        <f t="shared" si="4"/>
        <v>1961845.6200000006</v>
      </c>
      <c r="H162" s="311"/>
      <c r="I162" s="199" t="s">
        <v>1222</v>
      </c>
      <c r="J162" s="110"/>
      <c r="K162" s="71" t="s">
        <v>32</v>
      </c>
      <c r="L162" s="43" t="s">
        <v>35</v>
      </c>
      <c r="M162" s="43" t="s">
        <v>33</v>
      </c>
    </row>
    <row r="163" spans="1:13" ht="13.95" customHeight="1" x14ac:dyDescent="0.3">
      <c r="A163" s="60">
        <v>46048</v>
      </c>
      <c r="B163" s="60" t="s">
        <v>57</v>
      </c>
      <c r="C163" s="127" t="s">
        <v>409</v>
      </c>
      <c r="D163" s="15" t="s">
        <v>61</v>
      </c>
      <c r="E163" s="169"/>
      <c r="F163" s="168">
        <v>263337.07</v>
      </c>
      <c r="G163" s="184">
        <f t="shared" si="4"/>
        <v>1698508.5500000005</v>
      </c>
      <c r="H163" s="9">
        <v>141.42699999999999</v>
      </c>
      <c r="I163" s="10" t="s">
        <v>92</v>
      </c>
      <c r="J163" s="110"/>
      <c r="K163" s="69" t="s">
        <v>0</v>
      </c>
      <c r="L163" s="73" t="s">
        <v>92</v>
      </c>
      <c r="M163" s="26">
        <v>0</v>
      </c>
    </row>
    <row r="164" spans="1:13" ht="13.95" customHeight="1" x14ac:dyDescent="0.3">
      <c r="A164" s="60">
        <v>46048</v>
      </c>
      <c r="B164" s="60" t="s">
        <v>57</v>
      </c>
      <c r="C164" s="127" t="s">
        <v>410</v>
      </c>
      <c r="D164" s="15" t="s">
        <v>24</v>
      </c>
      <c r="E164" s="169"/>
      <c r="F164" s="168">
        <v>45000.82</v>
      </c>
      <c r="G164" s="184">
        <f t="shared" si="4"/>
        <v>1653507.7300000004</v>
      </c>
      <c r="H164" s="9">
        <v>24.167999999999999</v>
      </c>
      <c r="I164" s="10" t="s">
        <v>92</v>
      </c>
      <c r="J164" s="110"/>
      <c r="K164" s="69" t="s">
        <v>1</v>
      </c>
      <c r="L164" s="73" t="s">
        <v>92</v>
      </c>
      <c r="M164" s="42">
        <v>0</v>
      </c>
    </row>
    <row r="165" spans="1:13" ht="13.95" customHeight="1" x14ac:dyDescent="0.3">
      <c r="A165" s="60">
        <v>46048</v>
      </c>
      <c r="B165" s="60" t="s">
        <v>57</v>
      </c>
      <c r="C165" s="127" t="s">
        <v>411</v>
      </c>
      <c r="D165" s="15" t="s">
        <v>30</v>
      </c>
      <c r="E165" s="169"/>
      <c r="F165" s="168">
        <v>153075.01999999999</v>
      </c>
      <c r="G165" s="184">
        <f t="shared" si="4"/>
        <v>1500432.7100000004</v>
      </c>
      <c r="H165" s="9">
        <v>82.21</v>
      </c>
      <c r="I165" s="10" t="s">
        <v>92</v>
      </c>
      <c r="J165" s="110"/>
      <c r="K165" s="24" t="s">
        <v>27</v>
      </c>
      <c r="L165" s="73" t="s">
        <v>92</v>
      </c>
      <c r="M165" s="26">
        <v>0</v>
      </c>
    </row>
    <row r="166" spans="1:13" ht="13.95" customHeight="1" x14ac:dyDescent="0.3">
      <c r="A166" s="60">
        <v>46049</v>
      </c>
      <c r="B166" s="60" t="s">
        <v>57</v>
      </c>
      <c r="C166" s="127" t="s">
        <v>412</v>
      </c>
      <c r="D166" s="15" t="s">
        <v>117</v>
      </c>
      <c r="E166" s="169"/>
      <c r="F166" s="168">
        <v>38510.78</v>
      </c>
      <c r="G166" s="184">
        <f t="shared" si="4"/>
        <v>1461921.9300000004</v>
      </c>
      <c r="H166" s="9">
        <v>20.571999999999999</v>
      </c>
      <c r="I166" s="10" t="s">
        <v>92</v>
      </c>
      <c r="J166" s="110"/>
      <c r="K166" s="76" t="s">
        <v>429</v>
      </c>
      <c r="L166" s="73" t="s">
        <v>92</v>
      </c>
      <c r="M166" s="80">
        <f>SUM(H180+H188+H196)</f>
        <v>71.733000000000004</v>
      </c>
    </row>
    <row r="167" spans="1:13" ht="13.95" customHeight="1" x14ac:dyDescent="0.3">
      <c r="A167" s="60">
        <v>46049</v>
      </c>
      <c r="B167" s="60" t="s">
        <v>57</v>
      </c>
      <c r="C167" s="127" t="s">
        <v>413</v>
      </c>
      <c r="D167" s="15" t="s">
        <v>22</v>
      </c>
      <c r="E167" s="169"/>
      <c r="F167" s="168">
        <v>989999.71</v>
      </c>
      <c r="G167" s="184">
        <f t="shared" si="4"/>
        <v>471922.22000000044</v>
      </c>
      <c r="H167" s="76">
        <v>528.846</v>
      </c>
      <c r="I167" s="10" t="s">
        <v>92</v>
      </c>
      <c r="J167" s="110"/>
      <c r="K167" s="76" t="s">
        <v>62</v>
      </c>
      <c r="L167" s="73" t="s">
        <v>92</v>
      </c>
      <c r="M167" s="80">
        <v>0</v>
      </c>
    </row>
    <row r="168" spans="1:13" ht="13.95" customHeight="1" x14ac:dyDescent="0.3">
      <c r="A168" s="60">
        <v>46049</v>
      </c>
      <c r="B168" s="60" t="s">
        <v>57</v>
      </c>
      <c r="C168" s="127" t="s">
        <v>414</v>
      </c>
      <c r="D168" s="15" t="s">
        <v>3</v>
      </c>
      <c r="E168" s="169"/>
      <c r="F168" s="168">
        <v>44999.14</v>
      </c>
      <c r="G168" s="184">
        <f t="shared" si="4"/>
        <v>426923.08000000042</v>
      </c>
      <c r="H168" s="76">
        <v>24.038</v>
      </c>
      <c r="I168" s="10" t="s">
        <v>92</v>
      </c>
      <c r="J168" s="110"/>
      <c r="K168" s="76" t="s">
        <v>361</v>
      </c>
      <c r="L168" s="73" t="s">
        <v>92</v>
      </c>
      <c r="M168" s="80">
        <v>0</v>
      </c>
    </row>
    <row r="169" spans="1:13" ht="13.95" customHeight="1" x14ac:dyDescent="0.3">
      <c r="A169" s="60">
        <v>46049</v>
      </c>
      <c r="B169" s="60" t="s">
        <v>57</v>
      </c>
      <c r="C169" s="127" t="s">
        <v>415</v>
      </c>
      <c r="D169" s="15" t="s">
        <v>6</v>
      </c>
      <c r="E169" s="169"/>
      <c r="F169" s="168">
        <v>44999.14</v>
      </c>
      <c r="G169" s="184">
        <f t="shared" si="4"/>
        <v>381923.94000000041</v>
      </c>
      <c r="H169" s="76">
        <v>24.038</v>
      </c>
      <c r="I169" s="10" t="s">
        <v>92</v>
      </c>
      <c r="J169" s="110"/>
      <c r="K169" s="69" t="s">
        <v>24</v>
      </c>
      <c r="L169" s="73" t="s">
        <v>92</v>
      </c>
      <c r="M169" s="26">
        <f>SUM(H164+H173+H195)</f>
        <v>72.143000000000001</v>
      </c>
    </row>
    <row r="170" spans="1:13" ht="13.95" customHeight="1" x14ac:dyDescent="0.3">
      <c r="A170" s="60">
        <v>46050</v>
      </c>
      <c r="B170" s="60" t="s">
        <v>57</v>
      </c>
      <c r="C170" s="127" t="s">
        <v>419</v>
      </c>
      <c r="D170" s="15" t="s">
        <v>3</v>
      </c>
      <c r="E170" s="169"/>
      <c r="F170" s="168">
        <v>44999.68</v>
      </c>
      <c r="G170" s="184">
        <f t="shared" si="4"/>
        <v>336924.26000000042</v>
      </c>
      <c r="H170" s="76">
        <v>24.064</v>
      </c>
      <c r="I170" s="10" t="s">
        <v>92</v>
      </c>
      <c r="J170" s="110"/>
      <c r="K170" s="69" t="s">
        <v>29</v>
      </c>
      <c r="L170" s="73" t="s">
        <v>92</v>
      </c>
      <c r="M170" s="26">
        <f>SUM(H161+H174+H192)</f>
        <v>209.67400000000001</v>
      </c>
    </row>
    <row r="171" spans="1:13" ht="13.95" customHeight="1" x14ac:dyDescent="0.3">
      <c r="A171" s="60">
        <v>46050</v>
      </c>
      <c r="B171" s="60" t="s">
        <v>57</v>
      </c>
      <c r="C171" s="127" t="s">
        <v>418</v>
      </c>
      <c r="D171" s="15" t="s">
        <v>5</v>
      </c>
      <c r="E171" s="169"/>
      <c r="F171" s="168">
        <v>44999.68</v>
      </c>
      <c r="G171" s="184">
        <f t="shared" si="4"/>
        <v>291924.58000000042</v>
      </c>
      <c r="H171" s="76">
        <v>24.064</v>
      </c>
      <c r="I171" s="10" t="s">
        <v>92</v>
      </c>
      <c r="J171" s="110"/>
      <c r="K171" s="69" t="s">
        <v>3</v>
      </c>
      <c r="L171" s="73" t="s">
        <v>92</v>
      </c>
      <c r="M171" s="26">
        <f>SUM(H168+H170+H181+H184+H187)</f>
        <v>138.49600000000001</v>
      </c>
    </row>
    <row r="172" spans="1:13" ht="13.95" customHeight="1" x14ac:dyDescent="0.3">
      <c r="A172" s="60">
        <v>46050</v>
      </c>
      <c r="B172" s="60" t="s">
        <v>57</v>
      </c>
      <c r="C172" s="127" t="s">
        <v>420</v>
      </c>
      <c r="D172" s="305" t="s">
        <v>9</v>
      </c>
      <c r="E172" s="169"/>
      <c r="F172" s="168">
        <v>100016</v>
      </c>
      <c r="G172" s="184">
        <f t="shared" si="4"/>
        <v>191908.58000000042</v>
      </c>
      <c r="H172" s="9">
        <v>53.427</v>
      </c>
      <c r="I172" s="10" t="s">
        <v>92</v>
      </c>
      <c r="J172" s="110"/>
      <c r="K172" s="69" t="s">
        <v>5</v>
      </c>
      <c r="L172" s="73" t="s">
        <v>92</v>
      </c>
      <c r="M172" s="26">
        <f>SUM(H171+H176+H186)</f>
        <v>85.015000000000001</v>
      </c>
    </row>
    <row r="173" spans="1:13" ht="13.95" customHeight="1" x14ac:dyDescent="0.3">
      <c r="A173" s="60">
        <v>46050</v>
      </c>
      <c r="B173" s="60" t="s">
        <v>57</v>
      </c>
      <c r="C173" s="127" t="s">
        <v>421</v>
      </c>
      <c r="D173" s="15" t="s">
        <v>24</v>
      </c>
      <c r="E173" s="169"/>
      <c r="F173" s="168">
        <v>44999.68</v>
      </c>
      <c r="G173" s="184">
        <f t="shared" si="4"/>
        <v>146908.90000000043</v>
      </c>
      <c r="H173" s="76">
        <v>24.064</v>
      </c>
      <c r="I173" s="10" t="s">
        <v>92</v>
      </c>
      <c r="J173" s="110"/>
      <c r="K173" s="69" t="s">
        <v>61</v>
      </c>
      <c r="L173" s="73" t="s">
        <v>92</v>
      </c>
      <c r="M173" s="26">
        <f>SUM(H163+H182)</f>
        <v>299.33600000000001</v>
      </c>
    </row>
    <row r="174" spans="1:13" ht="13.95" customHeight="1" x14ac:dyDescent="0.3">
      <c r="A174" s="60">
        <v>46050</v>
      </c>
      <c r="B174" s="60" t="s">
        <v>57</v>
      </c>
      <c r="C174" s="127" t="s">
        <v>422</v>
      </c>
      <c r="D174" s="15" t="s">
        <v>26</v>
      </c>
      <c r="E174" s="169"/>
      <c r="F174" s="168">
        <v>157229.6</v>
      </c>
      <c r="G174" s="185">
        <f t="shared" si="4"/>
        <v>-10320.699999999575</v>
      </c>
      <c r="H174" s="76">
        <v>84.08</v>
      </c>
      <c r="I174" s="10" t="s">
        <v>92</v>
      </c>
      <c r="J174" s="110"/>
      <c r="K174" s="69" t="s">
        <v>22</v>
      </c>
      <c r="L174" s="73" t="s">
        <v>92</v>
      </c>
      <c r="M174" s="26">
        <f>SUM(H167+H189)</f>
        <v>991.13100000000009</v>
      </c>
    </row>
    <row r="175" spans="1:13" ht="13.95" customHeight="1" x14ac:dyDescent="0.3">
      <c r="A175" s="60">
        <v>46051</v>
      </c>
      <c r="B175" s="60" t="s">
        <v>57</v>
      </c>
      <c r="C175" s="127" t="s">
        <v>423</v>
      </c>
      <c r="D175" s="15" t="s">
        <v>30</v>
      </c>
      <c r="E175" s="169"/>
      <c r="F175" s="168">
        <v>446640</v>
      </c>
      <c r="G175" s="185">
        <f t="shared" si="4"/>
        <v>-456960.6999999996</v>
      </c>
      <c r="H175" s="76">
        <v>237.322</v>
      </c>
      <c r="I175" s="10" t="s">
        <v>92</v>
      </c>
      <c r="J175" s="110"/>
      <c r="K175" s="69" t="s">
        <v>6</v>
      </c>
      <c r="L175" s="73" t="s">
        <v>92</v>
      </c>
      <c r="M175" s="26">
        <f>SUM(H169+H185+H190)</f>
        <v>71.86</v>
      </c>
    </row>
    <row r="176" spans="1:13" ht="13.95" customHeight="1" x14ac:dyDescent="0.3">
      <c r="A176" s="60">
        <v>46051</v>
      </c>
      <c r="B176" s="60" t="s">
        <v>57</v>
      </c>
      <c r="C176" s="127" t="s">
        <v>424</v>
      </c>
      <c r="D176" s="15" t="s">
        <v>5</v>
      </c>
      <c r="E176" s="169"/>
      <c r="F176" s="168">
        <v>66372.98</v>
      </c>
      <c r="G176" s="185">
        <f t="shared" si="4"/>
        <v>-523333.67999999959</v>
      </c>
      <c r="H176" s="9">
        <v>37.030999999999999</v>
      </c>
      <c r="I176" s="10" t="s">
        <v>92</v>
      </c>
      <c r="J176" s="110"/>
      <c r="K176" s="69" t="s">
        <v>8</v>
      </c>
      <c r="L176" s="73" t="s">
        <v>92</v>
      </c>
      <c r="M176" s="26">
        <f>SUM(H183)</f>
        <v>23.911000000000001</v>
      </c>
    </row>
    <row r="177" spans="1:13" ht="13.95" customHeight="1" x14ac:dyDescent="0.3">
      <c r="A177" s="60">
        <v>46051</v>
      </c>
      <c r="B177" s="60" t="s">
        <v>57</v>
      </c>
      <c r="C177" s="127" t="s">
        <v>425</v>
      </c>
      <c r="D177" s="15" t="s">
        <v>9</v>
      </c>
      <c r="E177" s="169"/>
      <c r="F177" s="168">
        <v>39632.25</v>
      </c>
      <c r="G177" s="185">
        <f t="shared" si="4"/>
        <v>-562965.92999999959</v>
      </c>
      <c r="H177" s="76">
        <v>22.646999999999998</v>
      </c>
      <c r="I177" s="10" t="s">
        <v>92</v>
      </c>
      <c r="J177" s="110"/>
      <c r="K177" s="69" t="s">
        <v>9</v>
      </c>
      <c r="L177" s="73" t="s">
        <v>92</v>
      </c>
      <c r="M177" s="26">
        <f>SUM(H172+H177)</f>
        <v>76.073999999999998</v>
      </c>
    </row>
    <row r="178" spans="1:13" ht="13.95" customHeight="1" x14ac:dyDescent="0.3">
      <c r="A178" s="202">
        <v>46051</v>
      </c>
      <c r="B178" s="202" t="s">
        <v>60</v>
      </c>
      <c r="C178" s="227" t="s">
        <v>426</v>
      </c>
      <c r="D178" s="308" t="s">
        <v>1218</v>
      </c>
      <c r="E178" s="200">
        <v>2000000</v>
      </c>
      <c r="F178" s="315"/>
      <c r="G178" s="316">
        <f t="shared" si="4"/>
        <v>1437034.0700000003</v>
      </c>
      <c r="H178" s="311"/>
      <c r="I178" s="199" t="s">
        <v>1222</v>
      </c>
      <c r="J178" s="110"/>
      <c r="K178" s="69" t="s">
        <v>30</v>
      </c>
      <c r="L178" s="73" t="s">
        <v>92</v>
      </c>
      <c r="M178" s="26">
        <f>SUM(H165+H175)</f>
        <v>319.53199999999998</v>
      </c>
    </row>
    <row r="179" spans="1:13" ht="13.95" customHeight="1" x14ac:dyDescent="0.3">
      <c r="A179" s="60">
        <v>46051</v>
      </c>
      <c r="B179" s="60" t="s">
        <v>57</v>
      </c>
      <c r="C179" s="127" t="s">
        <v>427</v>
      </c>
      <c r="D179" s="15" t="s">
        <v>117</v>
      </c>
      <c r="E179" s="169"/>
      <c r="F179" s="168">
        <v>63332.5</v>
      </c>
      <c r="G179" s="184">
        <f t="shared" si="4"/>
        <v>1373701.5700000003</v>
      </c>
      <c r="H179" s="76">
        <v>36.19</v>
      </c>
      <c r="I179" s="10" t="s">
        <v>92</v>
      </c>
      <c r="J179" s="110"/>
      <c r="K179" s="69" t="s">
        <v>10</v>
      </c>
      <c r="L179" s="73" t="s">
        <v>92</v>
      </c>
      <c r="M179" s="26">
        <v>0</v>
      </c>
    </row>
    <row r="180" spans="1:13" ht="13.95" customHeight="1" x14ac:dyDescent="0.3">
      <c r="A180" s="60">
        <v>46051</v>
      </c>
      <c r="B180" s="60" t="s">
        <v>57</v>
      </c>
      <c r="C180" s="127" t="s">
        <v>428</v>
      </c>
      <c r="D180" s="15" t="s">
        <v>429</v>
      </c>
      <c r="E180" s="169"/>
      <c r="F180" s="168">
        <v>45000.5</v>
      </c>
      <c r="G180" s="184">
        <f t="shared" si="4"/>
        <v>1328701.0700000003</v>
      </c>
      <c r="H180" s="76">
        <v>23.911000000000001</v>
      </c>
      <c r="I180" s="10" t="s">
        <v>92</v>
      </c>
      <c r="J180" s="110"/>
      <c r="K180" s="69" t="s">
        <v>11</v>
      </c>
      <c r="L180" s="73" t="s">
        <v>92</v>
      </c>
      <c r="M180" s="26">
        <f>SUM(H166+H179+H191+H193+H194)</f>
        <v>135.72899999999998</v>
      </c>
    </row>
    <row r="181" spans="1:13" ht="13.95" customHeight="1" x14ac:dyDescent="0.3">
      <c r="A181" s="60">
        <v>46051</v>
      </c>
      <c r="B181" s="60" t="s">
        <v>57</v>
      </c>
      <c r="C181" s="127" t="s">
        <v>430</v>
      </c>
      <c r="D181" s="15" t="s">
        <v>3</v>
      </c>
      <c r="E181" s="169"/>
      <c r="F181" s="168">
        <v>45000.5</v>
      </c>
      <c r="G181" s="184">
        <f t="shared" si="4"/>
        <v>1283700.5700000003</v>
      </c>
      <c r="H181" s="76">
        <v>23.911000000000001</v>
      </c>
      <c r="I181" s="10" t="s">
        <v>92</v>
      </c>
      <c r="J181" s="110"/>
      <c r="K181" s="540" t="s">
        <v>695</v>
      </c>
      <c r="L181" s="541"/>
      <c r="M181" s="148">
        <f>SUM(M164:M180)</f>
        <v>2494.634</v>
      </c>
    </row>
    <row r="182" spans="1:13" x14ac:dyDescent="0.3">
      <c r="A182" s="60">
        <v>46051</v>
      </c>
      <c r="B182" s="60" t="s">
        <v>57</v>
      </c>
      <c r="C182" s="127" t="s">
        <v>431</v>
      </c>
      <c r="D182" s="15" t="s">
        <v>61</v>
      </c>
      <c r="E182" s="169"/>
      <c r="F182" s="164">
        <v>297184.74</v>
      </c>
      <c r="G182" s="184">
        <f t="shared" si="4"/>
        <v>986515.83000000031</v>
      </c>
      <c r="H182" s="9">
        <v>157.90899999999999</v>
      </c>
      <c r="I182" s="10" t="s">
        <v>92</v>
      </c>
      <c r="J182" s="110"/>
    </row>
    <row r="183" spans="1:13" x14ac:dyDescent="0.3">
      <c r="A183" s="60">
        <v>46051</v>
      </c>
      <c r="B183" s="60" t="s">
        <v>57</v>
      </c>
      <c r="C183" s="127" t="s">
        <v>432</v>
      </c>
      <c r="D183" s="15" t="s">
        <v>8</v>
      </c>
      <c r="E183" s="169"/>
      <c r="F183" s="164">
        <v>45000.5</v>
      </c>
      <c r="G183" s="184">
        <f t="shared" si="1"/>
        <v>941515.33000000031</v>
      </c>
      <c r="H183" s="76">
        <v>23.911000000000001</v>
      </c>
      <c r="I183" s="10" t="s">
        <v>92</v>
      </c>
      <c r="J183" s="110"/>
      <c r="K183" s="530" t="s">
        <v>1226</v>
      </c>
      <c r="L183" s="531"/>
      <c r="M183" s="532"/>
    </row>
    <row r="184" spans="1:13" x14ac:dyDescent="0.3">
      <c r="A184" s="60">
        <v>46051</v>
      </c>
      <c r="B184" s="60" t="s">
        <v>57</v>
      </c>
      <c r="C184" s="127" t="s">
        <v>433</v>
      </c>
      <c r="D184" s="15" t="s">
        <v>3</v>
      </c>
      <c r="E184" s="169"/>
      <c r="F184" s="164">
        <v>45000.5</v>
      </c>
      <c r="G184" s="184">
        <f t="shared" si="1"/>
        <v>896514.83000000031</v>
      </c>
      <c r="H184" s="76">
        <v>23.911000000000001</v>
      </c>
      <c r="I184" s="10" t="s">
        <v>92</v>
      </c>
      <c r="J184" s="110"/>
      <c r="K184" s="298" t="s">
        <v>32</v>
      </c>
      <c r="L184" s="299" t="s">
        <v>35</v>
      </c>
      <c r="M184" s="299" t="s">
        <v>33</v>
      </c>
    </row>
    <row r="185" spans="1:13" x14ac:dyDescent="0.3">
      <c r="A185" s="60">
        <v>46051</v>
      </c>
      <c r="B185" s="60" t="s">
        <v>57</v>
      </c>
      <c r="C185" s="127" t="s">
        <v>434</v>
      </c>
      <c r="D185" s="15" t="s">
        <v>6</v>
      </c>
      <c r="E185" s="169"/>
      <c r="F185" s="164">
        <v>45000.5</v>
      </c>
      <c r="G185" s="184">
        <f t="shared" si="1"/>
        <v>851514.33000000031</v>
      </c>
      <c r="H185" s="76">
        <v>23.911000000000001</v>
      </c>
      <c r="I185" s="10" t="s">
        <v>92</v>
      </c>
      <c r="J185" s="110"/>
      <c r="K185" s="69" t="s">
        <v>0</v>
      </c>
      <c r="L185" s="73" t="s">
        <v>92</v>
      </c>
      <c r="M185" s="26">
        <f>SUM(M40+M65+M92+M115+M163)</f>
        <v>0</v>
      </c>
    </row>
    <row r="186" spans="1:13" x14ac:dyDescent="0.3">
      <c r="A186" s="60">
        <v>46052</v>
      </c>
      <c r="B186" s="60" t="s">
        <v>57</v>
      </c>
      <c r="C186" s="127" t="s">
        <v>435</v>
      </c>
      <c r="D186" s="15" t="s">
        <v>5</v>
      </c>
      <c r="E186" s="169"/>
      <c r="F186" s="164">
        <v>45017.440000000002</v>
      </c>
      <c r="G186" s="184">
        <f t="shared" si="1"/>
        <v>806496.89000000036</v>
      </c>
      <c r="H186" s="76">
        <v>23.92</v>
      </c>
      <c r="I186" s="10" t="s">
        <v>92</v>
      </c>
      <c r="J186" s="110"/>
      <c r="K186" s="69" t="s">
        <v>1</v>
      </c>
      <c r="L186" s="73" t="s">
        <v>92</v>
      </c>
      <c r="M186" s="42">
        <f>SUM(M41+M66+M93+M116+M164)</f>
        <v>124.172</v>
      </c>
    </row>
    <row r="187" spans="1:13" x14ac:dyDescent="0.3">
      <c r="A187" s="60">
        <v>46052</v>
      </c>
      <c r="B187" s="60" t="s">
        <v>57</v>
      </c>
      <c r="C187" s="127" t="s">
        <v>436</v>
      </c>
      <c r="D187" s="15" t="s">
        <v>3</v>
      </c>
      <c r="E187" s="169"/>
      <c r="F187" s="164">
        <v>80120.5</v>
      </c>
      <c r="G187" s="184">
        <f t="shared" si="1"/>
        <v>726376.39000000036</v>
      </c>
      <c r="H187" s="76">
        <v>42.572000000000003</v>
      </c>
      <c r="I187" s="10" t="s">
        <v>92</v>
      </c>
      <c r="J187" s="110"/>
      <c r="K187" s="24" t="s">
        <v>27</v>
      </c>
      <c r="L187" s="73" t="s">
        <v>92</v>
      </c>
      <c r="M187" s="26">
        <f>SUM(M42+M67+M94+M117+M165)</f>
        <v>0</v>
      </c>
    </row>
    <row r="188" spans="1:13" x14ac:dyDescent="0.3">
      <c r="A188" s="60">
        <v>46052</v>
      </c>
      <c r="B188" s="60" t="s">
        <v>57</v>
      </c>
      <c r="C188" s="127" t="s">
        <v>437</v>
      </c>
      <c r="D188" s="15" t="s">
        <v>429</v>
      </c>
      <c r="E188" s="169"/>
      <c r="F188" s="164">
        <v>45000.5</v>
      </c>
      <c r="G188" s="184">
        <f t="shared" si="1"/>
        <v>681375.89000000036</v>
      </c>
      <c r="H188" s="76">
        <v>23.911000000000001</v>
      </c>
      <c r="I188" s="10" t="s">
        <v>92</v>
      </c>
      <c r="J188" s="110"/>
      <c r="K188" s="126" t="s">
        <v>429</v>
      </c>
      <c r="L188" s="73" t="s">
        <v>92</v>
      </c>
      <c r="M188" s="80">
        <f>SUM(M166)</f>
        <v>71.733000000000004</v>
      </c>
    </row>
    <row r="189" spans="1:13" x14ac:dyDescent="0.3">
      <c r="A189" s="60">
        <v>46052</v>
      </c>
      <c r="B189" s="60" t="s">
        <v>57</v>
      </c>
      <c r="C189" s="127" t="s">
        <v>438</v>
      </c>
      <c r="D189" s="15" t="s">
        <v>22</v>
      </c>
      <c r="E189" s="169"/>
      <c r="F189" s="164">
        <v>870020.37</v>
      </c>
      <c r="G189" s="185">
        <f t="shared" si="1"/>
        <v>-188644.47999999963</v>
      </c>
      <c r="H189" s="76">
        <v>462.28500000000003</v>
      </c>
      <c r="I189" s="10" t="s">
        <v>92</v>
      </c>
      <c r="J189" s="110"/>
      <c r="K189" s="126" t="s">
        <v>62</v>
      </c>
      <c r="L189" s="73" t="s">
        <v>92</v>
      </c>
      <c r="M189" s="80">
        <f>SUM(M43+M68+M95+M118+M167)</f>
        <v>402.69100000000003</v>
      </c>
    </row>
    <row r="190" spans="1:13" x14ac:dyDescent="0.3">
      <c r="A190" s="60">
        <v>46052</v>
      </c>
      <c r="B190" s="60" t="s">
        <v>57</v>
      </c>
      <c r="C190" s="127" t="s">
        <v>439</v>
      </c>
      <c r="D190" s="15" t="s">
        <v>6</v>
      </c>
      <c r="E190" s="169"/>
      <c r="F190" s="164">
        <v>45000.5</v>
      </c>
      <c r="G190" s="185">
        <f t="shared" ref="G190:G196" si="5">+G189-F190+E190</f>
        <v>-233644.97999999963</v>
      </c>
      <c r="H190" s="76">
        <v>23.911000000000001</v>
      </c>
      <c r="I190" s="10" t="s">
        <v>92</v>
      </c>
      <c r="J190" s="110"/>
      <c r="K190" s="126" t="s">
        <v>361</v>
      </c>
      <c r="L190" s="73" t="s">
        <v>92</v>
      </c>
      <c r="M190" s="80">
        <f>SUM(M119+M168)</f>
        <v>47.731999999999999</v>
      </c>
    </row>
    <row r="191" spans="1:13" x14ac:dyDescent="0.3">
      <c r="A191" s="60">
        <v>46052</v>
      </c>
      <c r="B191" s="60" t="s">
        <v>57</v>
      </c>
      <c r="C191" s="127" t="s">
        <v>440</v>
      </c>
      <c r="D191" s="15" t="s">
        <v>117</v>
      </c>
      <c r="E191" s="169"/>
      <c r="F191" s="164">
        <v>34960</v>
      </c>
      <c r="G191" s="185">
        <f t="shared" si="5"/>
        <v>-268604.97999999963</v>
      </c>
      <c r="H191" s="76">
        <v>20</v>
      </c>
      <c r="I191" s="10" t="s">
        <v>92</v>
      </c>
      <c r="J191" s="110"/>
      <c r="K191" s="69" t="s">
        <v>24</v>
      </c>
      <c r="L191" s="73" t="s">
        <v>92</v>
      </c>
      <c r="M191" s="26">
        <f>SUM(M44+M69+M96+M120+M169)</f>
        <v>406.42579999999998</v>
      </c>
    </row>
    <row r="192" spans="1:13" x14ac:dyDescent="0.3">
      <c r="A192" s="60">
        <v>46052</v>
      </c>
      <c r="B192" s="60" t="s">
        <v>57</v>
      </c>
      <c r="C192" s="127" t="s">
        <v>441</v>
      </c>
      <c r="D192" s="15" t="s">
        <v>26</v>
      </c>
      <c r="E192" s="169"/>
      <c r="F192" s="164">
        <v>109009.2</v>
      </c>
      <c r="G192" s="185">
        <f t="shared" si="5"/>
        <v>-377614.17999999964</v>
      </c>
      <c r="H192" s="76">
        <v>57.921999999999997</v>
      </c>
      <c r="I192" s="10" t="s">
        <v>92</v>
      </c>
      <c r="J192" s="110"/>
      <c r="K192" s="69" t="s">
        <v>29</v>
      </c>
      <c r="L192" s="73" t="s">
        <v>92</v>
      </c>
      <c r="M192" s="26">
        <f>SUM(M45+M70+M97+M121+M170)</f>
        <v>491.77800000000002</v>
      </c>
    </row>
    <row r="193" spans="1:13" x14ac:dyDescent="0.3">
      <c r="A193" s="60">
        <v>46053</v>
      </c>
      <c r="B193" s="60" t="s">
        <v>57</v>
      </c>
      <c r="C193" s="127" t="s">
        <v>443</v>
      </c>
      <c r="D193" s="15" t="s">
        <v>117</v>
      </c>
      <c r="E193" s="169"/>
      <c r="F193" s="164">
        <v>68780.800000000003</v>
      </c>
      <c r="G193" s="185">
        <f t="shared" si="5"/>
        <v>-446394.97999999963</v>
      </c>
      <c r="H193" s="76">
        <v>39.08</v>
      </c>
      <c r="I193" s="10" t="s">
        <v>92</v>
      </c>
      <c r="J193" s="110"/>
      <c r="K193" s="69" t="s">
        <v>3</v>
      </c>
      <c r="L193" s="73" t="s">
        <v>92</v>
      </c>
      <c r="M193" s="26">
        <f>SUM(M46+M71+M98+M122+M171)</f>
        <v>283.25700000000001</v>
      </c>
    </row>
    <row r="194" spans="1:13" x14ac:dyDescent="0.3">
      <c r="A194" s="60">
        <v>46053</v>
      </c>
      <c r="B194" s="60" t="s">
        <v>57</v>
      </c>
      <c r="C194" s="127" t="s">
        <v>442</v>
      </c>
      <c r="D194" s="15" t="s">
        <v>117</v>
      </c>
      <c r="E194" s="169"/>
      <c r="F194" s="164">
        <v>35001.120000000003</v>
      </c>
      <c r="G194" s="185">
        <f t="shared" si="5"/>
        <v>-481396.09999999963</v>
      </c>
      <c r="H194" s="76">
        <v>19.887</v>
      </c>
      <c r="I194" s="10" t="s">
        <v>92</v>
      </c>
      <c r="J194" s="110"/>
      <c r="K194" s="69" t="s">
        <v>5</v>
      </c>
      <c r="L194" s="73" t="s">
        <v>92</v>
      </c>
      <c r="M194" s="26">
        <f t="shared" ref="M194:M202" si="6">SUM(M47+M73+M99+M123+M172)</f>
        <v>313.14999999999998</v>
      </c>
    </row>
    <row r="195" spans="1:13" x14ac:dyDescent="0.3">
      <c r="A195" s="60">
        <v>46053</v>
      </c>
      <c r="B195" s="60" t="s">
        <v>57</v>
      </c>
      <c r="C195" s="127" t="s">
        <v>444</v>
      </c>
      <c r="D195" s="15" t="s">
        <v>24</v>
      </c>
      <c r="E195" s="169"/>
      <c r="F195" s="164">
        <v>45000.5</v>
      </c>
      <c r="G195" s="185">
        <f t="shared" si="5"/>
        <v>-526396.59999999963</v>
      </c>
      <c r="H195" s="76">
        <v>23.911000000000001</v>
      </c>
      <c r="I195" s="10" t="s">
        <v>92</v>
      </c>
      <c r="J195" s="110"/>
      <c r="K195" s="69" t="s">
        <v>61</v>
      </c>
      <c r="L195" s="73" t="s">
        <v>92</v>
      </c>
      <c r="M195" s="26">
        <f t="shared" si="6"/>
        <v>1014.46</v>
      </c>
    </row>
    <row r="196" spans="1:13" x14ac:dyDescent="0.3">
      <c r="A196" s="60">
        <v>46053</v>
      </c>
      <c r="B196" s="60" t="s">
        <v>57</v>
      </c>
      <c r="C196" s="10" t="s">
        <v>445</v>
      </c>
      <c r="D196" s="15" t="s">
        <v>429</v>
      </c>
      <c r="E196" s="22"/>
      <c r="F196" s="164">
        <v>45000.5</v>
      </c>
      <c r="G196" s="185">
        <f t="shared" si="5"/>
        <v>-571397.09999999963</v>
      </c>
      <c r="H196" s="76">
        <v>23.911000000000001</v>
      </c>
      <c r="I196" s="10" t="s">
        <v>92</v>
      </c>
      <c r="J196" s="110"/>
      <c r="K196" s="69" t="s">
        <v>22</v>
      </c>
      <c r="L196" s="73" t="s">
        <v>92</v>
      </c>
      <c r="M196" s="26">
        <f t="shared" si="6"/>
        <v>1927.8690000000001</v>
      </c>
    </row>
    <row r="197" spans="1:13" ht="15" thickBot="1" x14ac:dyDescent="0.35">
      <c r="A197" s="552" t="s">
        <v>694</v>
      </c>
      <c r="B197" s="552"/>
      <c r="C197" s="552"/>
      <c r="D197" s="552"/>
      <c r="E197" s="552"/>
      <c r="F197" s="552"/>
      <c r="G197" s="552"/>
      <c r="H197" s="553">
        <f>SUM(H161:H196)</f>
        <v>2494.6340000000005</v>
      </c>
      <c r="I197" s="554"/>
      <c r="J197" s="110"/>
      <c r="K197" s="69" t="s">
        <v>6</v>
      </c>
      <c r="L197" s="73" t="s">
        <v>92</v>
      </c>
      <c r="M197" s="26">
        <f t="shared" si="6"/>
        <v>376.71799999999996</v>
      </c>
    </row>
    <row r="198" spans="1:13" ht="30" customHeight="1" thickTop="1" thickBot="1" x14ac:dyDescent="0.35">
      <c r="A198" s="524" t="s">
        <v>28</v>
      </c>
      <c r="B198" s="524"/>
      <c r="C198" s="524"/>
      <c r="D198" s="524"/>
      <c r="E198" s="291">
        <f>SUM(E40:E196)</f>
        <v>14275896.49</v>
      </c>
      <c r="F198" s="292">
        <f>SUM(F40:F196)</f>
        <v>14847293.590000005</v>
      </c>
      <c r="G198" s="304">
        <f>SUM(E198-F198)</f>
        <v>-571397.10000000522</v>
      </c>
      <c r="H198" s="302">
        <f>SUM(H61+H88+H111+H159+H197)</f>
        <v>7615.8795000000009</v>
      </c>
      <c r="I198" s="295"/>
      <c r="J198"/>
      <c r="K198" s="39" t="s">
        <v>8</v>
      </c>
      <c r="L198" s="73" t="s">
        <v>92</v>
      </c>
      <c r="M198" s="26">
        <f t="shared" si="6"/>
        <v>194.02799999999999</v>
      </c>
    </row>
    <row r="199" spans="1:13" ht="15" thickTop="1" x14ac:dyDescent="0.3">
      <c r="J199" s="3"/>
      <c r="K199" s="69" t="s">
        <v>9</v>
      </c>
      <c r="L199" s="73" t="s">
        <v>92</v>
      </c>
      <c r="M199" s="26">
        <f t="shared" si="6"/>
        <v>491.40100000000001</v>
      </c>
    </row>
    <row r="200" spans="1:13" x14ac:dyDescent="0.3">
      <c r="J200" s="3"/>
      <c r="K200" s="39" t="s">
        <v>30</v>
      </c>
      <c r="L200" s="73" t="s">
        <v>92</v>
      </c>
      <c r="M200" s="26">
        <f t="shared" si="6"/>
        <v>885.56299999999987</v>
      </c>
    </row>
    <row r="201" spans="1:13" x14ac:dyDescent="0.3">
      <c r="J201" s="3"/>
      <c r="K201" s="69" t="s">
        <v>10</v>
      </c>
      <c r="L201" s="73" t="s">
        <v>92</v>
      </c>
      <c r="M201" s="26">
        <f t="shared" si="6"/>
        <v>53.7057</v>
      </c>
    </row>
    <row r="202" spans="1:13" ht="14.4" customHeight="1" x14ac:dyDescent="0.3">
      <c r="J202" s="3"/>
      <c r="K202" s="69" t="s">
        <v>1229</v>
      </c>
      <c r="L202" s="73" t="s">
        <v>92</v>
      </c>
      <c r="M202" s="26">
        <f t="shared" si="6"/>
        <v>531.19599999999991</v>
      </c>
    </row>
    <row r="203" spans="1:13" ht="15" thickBot="1" x14ac:dyDescent="0.35">
      <c r="J203" s="3"/>
      <c r="K203" s="133" t="s">
        <v>36</v>
      </c>
      <c r="L203" s="296" t="s">
        <v>199</v>
      </c>
      <c r="M203" s="30" t="s">
        <v>697</v>
      </c>
    </row>
    <row r="204" spans="1:13" ht="30" customHeight="1" thickTop="1" thickBot="1" x14ac:dyDescent="0.35">
      <c r="J204" s="3"/>
      <c r="K204" s="555" t="s">
        <v>1225</v>
      </c>
      <c r="L204" s="556"/>
      <c r="M204" s="303">
        <f>SUM(M186+M188+M189+M190+M191+M192+M193+M194+M195+M196+M197+M198+M199+M200+M201+M202)</f>
        <v>7615.8795</v>
      </c>
    </row>
    <row r="205" spans="1:13" ht="14.4" customHeight="1" thickTop="1" x14ac:dyDescent="0.3">
      <c r="J205" s="3"/>
    </row>
    <row r="206" spans="1:13" ht="14.4" customHeight="1" x14ac:dyDescent="0.3">
      <c r="J206" s="3"/>
    </row>
    <row r="207" spans="1:13" x14ac:dyDescent="0.3">
      <c r="J207" s="3"/>
    </row>
    <row r="208" spans="1:13" x14ac:dyDescent="0.3">
      <c r="J208" s="3"/>
    </row>
    <row r="209" spans="10:10" x14ac:dyDescent="0.3">
      <c r="J209" s="3"/>
    </row>
    <row r="210" spans="10:10" ht="15" customHeight="1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</sheetData>
  <mergeCells count="33">
    <mergeCell ref="K204:L204"/>
    <mergeCell ref="K109:L109"/>
    <mergeCell ref="K133:L133"/>
    <mergeCell ref="K181:L181"/>
    <mergeCell ref="K6:M6"/>
    <mergeCell ref="K161:M161"/>
    <mergeCell ref="K183:M183"/>
    <mergeCell ref="A198:D198"/>
    <mergeCell ref="K5:M5"/>
    <mergeCell ref="A62:I62"/>
    <mergeCell ref="A89:I89"/>
    <mergeCell ref="K62:M62"/>
    <mergeCell ref="K63:M63"/>
    <mergeCell ref="K89:M89"/>
    <mergeCell ref="K90:M90"/>
    <mergeCell ref="A6:I6"/>
    <mergeCell ref="A112:I112"/>
    <mergeCell ref="K112:M112"/>
    <mergeCell ref="K113:M113"/>
    <mergeCell ref="A160:I160"/>
    <mergeCell ref="K160:M160"/>
    <mergeCell ref="A197:G197"/>
    <mergeCell ref="H197:I197"/>
    <mergeCell ref="A159:G159"/>
    <mergeCell ref="A1:I4"/>
    <mergeCell ref="A5:I5"/>
    <mergeCell ref="H159:I159"/>
    <mergeCell ref="H61:I61"/>
    <mergeCell ref="H88:I88"/>
    <mergeCell ref="H111:I111"/>
    <mergeCell ref="A61:G61"/>
    <mergeCell ref="A88:G88"/>
    <mergeCell ref="A111:G111"/>
  </mergeCells>
  <phoneticPr fontId="19" type="noConversion"/>
  <pageMargins left="0.39370078740157483" right="0.39370078740157483" top="0.19685039370078741" bottom="0.19685039370078741" header="0.31496062992125984" footer="0.31496062992125984"/>
  <pageSetup paperSize="9" scale="50" fitToHeight="2" orientation="portrait" r:id="rId1"/>
  <ignoredErrors>
    <ignoredError sqref="G19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R470"/>
  <sheetViews>
    <sheetView showGridLines="0" zoomScaleNormal="100" workbookViewId="0">
      <selection activeCell="K220" sqref="K220"/>
    </sheetView>
  </sheetViews>
  <sheetFormatPr baseColWidth="10" defaultRowHeight="14.4" x14ac:dyDescent="0.3"/>
  <cols>
    <col min="1" max="1" width="10.5546875" style="64" customWidth="1"/>
    <col min="2" max="2" width="8.33203125" style="64" customWidth="1"/>
    <col min="3" max="3" width="16.6640625" style="74" customWidth="1"/>
    <col min="4" max="4" width="15" bestFit="1" customWidth="1"/>
    <col min="5" max="5" width="16.109375" bestFit="1" customWidth="1"/>
    <col min="6" max="6" width="16.6640625" bestFit="1" customWidth="1"/>
    <col min="7" max="7" width="16" customWidth="1"/>
    <col min="8" max="8" width="11" bestFit="1" customWidth="1"/>
    <col min="9" max="9" width="24.109375" style="3" customWidth="1"/>
    <col min="10" max="10" width="4.44140625" style="72" customWidth="1"/>
    <col min="11" max="11" width="24.88671875" customWidth="1"/>
    <col min="12" max="12" width="14.109375" customWidth="1"/>
  </cols>
  <sheetData>
    <row r="1" spans="1:13" x14ac:dyDescent="0.3">
      <c r="A1" s="557"/>
      <c r="B1" s="557"/>
      <c r="C1" s="557"/>
      <c r="D1" s="557"/>
      <c r="E1" s="557"/>
      <c r="F1" s="557"/>
      <c r="G1" s="557"/>
      <c r="H1" s="557"/>
      <c r="I1" s="557"/>
      <c r="J1" s="3"/>
    </row>
    <row r="2" spans="1:13" x14ac:dyDescent="0.3">
      <c r="A2" s="557"/>
      <c r="B2" s="557"/>
      <c r="C2" s="557"/>
      <c r="D2" s="557"/>
      <c r="E2" s="557"/>
      <c r="F2" s="557"/>
      <c r="G2" s="557"/>
      <c r="H2" s="557"/>
      <c r="I2" s="557"/>
      <c r="J2" s="3"/>
    </row>
    <row r="3" spans="1:13" x14ac:dyDescent="0.3">
      <c r="A3" s="557"/>
      <c r="B3" s="557"/>
      <c r="C3" s="557"/>
      <c r="D3" s="557"/>
      <c r="E3" s="557"/>
      <c r="F3" s="557"/>
      <c r="G3" s="557"/>
      <c r="H3" s="557"/>
      <c r="I3" s="557"/>
      <c r="J3" s="3"/>
    </row>
    <row r="4" spans="1:13" x14ac:dyDescent="0.3">
      <c r="A4" s="557"/>
      <c r="B4" s="557"/>
      <c r="C4" s="557"/>
      <c r="D4" s="557"/>
      <c r="E4" s="557"/>
      <c r="F4" s="557"/>
      <c r="G4" s="557"/>
      <c r="H4" s="557"/>
      <c r="I4" s="557"/>
      <c r="J4" s="3"/>
    </row>
    <row r="5" spans="1:13" ht="23.4" x14ac:dyDescent="0.45">
      <c r="A5" s="558" t="s">
        <v>672</v>
      </c>
      <c r="B5" s="558"/>
      <c r="C5" s="558"/>
      <c r="D5" s="558"/>
      <c r="E5" s="558"/>
      <c r="F5" s="558"/>
      <c r="G5" s="558"/>
      <c r="H5" s="558"/>
      <c r="I5" s="558"/>
      <c r="J5" s="113"/>
      <c r="K5" s="526" t="s">
        <v>456</v>
      </c>
      <c r="L5" s="526"/>
      <c r="M5" s="526"/>
    </row>
    <row r="6" spans="1:13" ht="18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45" t="s">
        <v>34</v>
      </c>
      <c r="L6" s="545"/>
      <c r="M6" s="545"/>
    </row>
    <row r="7" spans="1:13" x14ac:dyDescent="0.3">
      <c r="A7" s="33" t="s">
        <v>13</v>
      </c>
      <c r="B7" s="33" t="s">
        <v>284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5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9.95" hidden="1" customHeight="1" x14ac:dyDescent="0.3">
      <c r="A8" s="54"/>
      <c r="B8" s="54"/>
      <c r="C8" s="104"/>
      <c r="D8" s="13" t="s">
        <v>21</v>
      </c>
      <c r="E8" s="20"/>
      <c r="F8" s="46"/>
      <c r="G8" s="45">
        <f>SUM(E8:F8)</f>
        <v>0</v>
      </c>
      <c r="H8" s="36"/>
      <c r="I8" s="36"/>
      <c r="J8"/>
      <c r="K8" s="69" t="s">
        <v>1</v>
      </c>
      <c r="L8" s="73" t="s">
        <v>92</v>
      </c>
      <c r="M8" s="42"/>
    </row>
    <row r="9" spans="1:13" ht="14.4" hidden="1" customHeight="1" x14ac:dyDescent="0.3">
      <c r="A9" s="55"/>
      <c r="B9" s="55"/>
      <c r="C9" s="40"/>
      <c r="D9" s="14"/>
      <c r="E9" s="11"/>
      <c r="F9" s="31"/>
      <c r="G9" s="19">
        <f t="shared" ref="G9:G72" si="0">+G8+E9-F9</f>
        <v>0</v>
      </c>
      <c r="H9" s="37"/>
      <c r="I9" s="38"/>
      <c r="J9" s="110"/>
      <c r="K9" s="24" t="s">
        <v>27</v>
      </c>
      <c r="L9" s="73" t="s">
        <v>92</v>
      </c>
      <c r="M9" s="26"/>
    </row>
    <row r="10" spans="1:13" ht="14.4" hidden="1" customHeight="1" x14ac:dyDescent="0.3">
      <c r="A10" s="53"/>
      <c r="B10" s="53"/>
      <c r="C10" s="49"/>
      <c r="D10" s="15"/>
      <c r="E10" s="23"/>
      <c r="F10" s="16"/>
      <c r="G10" s="18">
        <f t="shared" si="0"/>
        <v>0</v>
      </c>
      <c r="H10" s="9"/>
      <c r="I10" s="10"/>
      <c r="J10" s="110"/>
      <c r="K10" s="76" t="s">
        <v>429</v>
      </c>
      <c r="L10" s="73" t="s">
        <v>92</v>
      </c>
      <c r="M10" s="80"/>
    </row>
    <row r="11" spans="1:13" ht="14.4" hidden="1" customHeight="1" x14ac:dyDescent="0.3">
      <c r="A11" s="53"/>
      <c r="B11" s="53"/>
      <c r="C11" s="49"/>
      <c r="D11" s="15"/>
      <c r="E11" s="23"/>
      <c r="F11" s="16"/>
      <c r="G11" s="18">
        <f t="shared" si="0"/>
        <v>0</v>
      </c>
      <c r="H11" s="9"/>
      <c r="I11" s="10"/>
      <c r="J11" s="110"/>
      <c r="K11" s="76" t="s">
        <v>62</v>
      </c>
      <c r="L11" s="73" t="s">
        <v>92</v>
      </c>
      <c r="M11" s="80"/>
    </row>
    <row r="12" spans="1:13" ht="14.4" hidden="1" customHeight="1" x14ac:dyDescent="0.3">
      <c r="A12" s="53"/>
      <c r="B12" s="53"/>
      <c r="C12" s="49"/>
      <c r="D12" s="15"/>
      <c r="E12" s="23"/>
      <c r="F12" s="16"/>
      <c r="G12" s="18">
        <f t="shared" si="0"/>
        <v>0</v>
      </c>
      <c r="H12" s="9"/>
      <c r="I12" s="10"/>
      <c r="J12" s="110"/>
      <c r="K12" s="76" t="s">
        <v>361</v>
      </c>
      <c r="L12" s="73" t="s">
        <v>92</v>
      </c>
      <c r="M12" s="80"/>
    </row>
    <row r="13" spans="1:13" ht="14.4" hidden="1" customHeight="1" x14ac:dyDescent="0.3">
      <c r="A13" s="53"/>
      <c r="B13" s="53"/>
      <c r="C13" s="49"/>
      <c r="D13" s="15"/>
      <c r="E13" s="23"/>
      <c r="F13" s="16"/>
      <c r="G13" s="18">
        <f t="shared" si="0"/>
        <v>0</v>
      </c>
      <c r="H13" s="9"/>
      <c r="I13" s="10"/>
      <c r="J13" s="110"/>
      <c r="K13" s="69" t="s">
        <v>24</v>
      </c>
      <c r="L13" s="73" t="s">
        <v>92</v>
      </c>
      <c r="M13" s="26">
        <f>SUM(H9)</f>
        <v>0</v>
      </c>
    </row>
    <row r="14" spans="1:13" ht="14.4" hidden="1" customHeight="1" x14ac:dyDescent="0.3">
      <c r="A14" s="53"/>
      <c r="B14" s="53"/>
      <c r="C14" s="49"/>
      <c r="D14" s="15"/>
      <c r="E14" s="23"/>
      <c r="F14" s="16"/>
      <c r="G14" s="18">
        <f t="shared" si="0"/>
        <v>0</v>
      </c>
      <c r="H14" s="9"/>
      <c r="I14" s="10"/>
      <c r="J14" s="110"/>
      <c r="K14" s="69" t="s">
        <v>29</v>
      </c>
      <c r="L14" s="73" t="s">
        <v>92</v>
      </c>
      <c r="M14" s="26">
        <f>SUM(H6)</f>
        <v>0</v>
      </c>
    </row>
    <row r="15" spans="1:13" ht="14.4" hidden="1" customHeight="1" x14ac:dyDescent="0.3">
      <c r="A15" s="53"/>
      <c r="B15" s="53"/>
      <c r="C15" s="49"/>
      <c r="D15" s="15"/>
      <c r="E15" s="23"/>
      <c r="F15" s="16"/>
      <c r="G15" s="18">
        <f t="shared" si="0"/>
        <v>0</v>
      </c>
      <c r="H15" s="9"/>
      <c r="I15" s="10"/>
      <c r="J15" s="110"/>
      <c r="K15" s="69" t="s">
        <v>3</v>
      </c>
      <c r="L15" s="73" t="s">
        <v>92</v>
      </c>
      <c r="M15" s="26"/>
    </row>
    <row r="16" spans="1:13" ht="14.4" hidden="1" customHeight="1" x14ac:dyDescent="0.3">
      <c r="A16" s="53"/>
      <c r="B16" s="53"/>
      <c r="C16" s="49"/>
      <c r="D16" s="15"/>
      <c r="E16" s="23"/>
      <c r="F16" s="16"/>
      <c r="G16" s="18">
        <f t="shared" si="0"/>
        <v>0</v>
      </c>
      <c r="H16" s="9"/>
      <c r="I16" s="10"/>
      <c r="J16" s="110"/>
      <c r="K16" s="69" t="s">
        <v>5</v>
      </c>
      <c r="L16" s="73" t="s">
        <v>92</v>
      </c>
      <c r="M16" s="26"/>
    </row>
    <row r="17" spans="1:18" ht="14.4" hidden="1" customHeight="1" x14ac:dyDescent="0.3">
      <c r="A17" s="53"/>
      <c r="B17" s="53"/>
      <c r="C17" s="49"/>
      <c r="D17" s="15"/>
      <c r="E17" s="23"/>
      <c r="F17" s="16"/>
      <c r="G17" s="18">
        <f t="shared" si="0"/>
        <v>0</v>
      </c>
      <c r="H17" s="9"/>
      <c r="I17" s="10"/>
      <c r="J17" s="110"/>
      <c r="K17" s="69" t="s">
        <v>61</v>
      </c>
      <c r="L17" s="73" t="s">
        <v>92</v>
      </c>
      <c r="M17" s="26">
        <f>SUM(H8)</f>
        <v>0</v>
      </c>
    </row>
    <row r="18" spans="1:18" ht="14.4" hidden="1" customHeight="1" x14ac:dyDescent="0.3">
      <c r="A18" s="53"/>
      <c r="B18" s="53"/>
      <c r="C18" s="49"/>
      <c r="D18" s="15"/>
      <c r="E18" s="23"/>
      <c r="F18" s="16"/>
      <c r="G18" s="18">
        <f t="shared" si="0"/>
        <v>0</v>
      </c>
      <c r="H18" s="1"/>
      <c r="I18" s="10"/>
      <c r="J18" s="110"/>
      <c r="K18" s="69" t="s">
        <v>22</v>
      </c>
      <c r="L18" s="73" t="s">
        <v>92</v>
      </c>
      <c r="M18" s="26"/>
    </row>
    <row r="19" spans="1:18" ht="14.4" hidden="1" customHeight="1" x14ac:dyDescent="0.3">
      <c r="A19" s="53"/>
      <c r="B19" s="53"/>
      <c r="C19" s="49"/>
      <c r="D19" s="49"/>
      <c r="E19" s="23"/>
      <c r="F19" s="48"/>
      <c r="G19" s="18">
        <f t="shared" si="0"/>
        <v>0</v>
      </c>
      <c r="H19" s="9"/>
      <c r="I19" s="10"/>
      <c r="J19" s="110"/>
      <c r="K19" s="69" t="s">
        <v>6</v>
      </c>
      <c r="L19" s="73" t="s">
        <v>92</v>
      </c>
      <c r="M19" s="26"/>
    </row>
    <row r="20" spans="1:18" ht="14.4" hidden="1" customHeight="1" x14ac:dyDescent="0.3">
      <c r="A20" s="53"/>
      <c r="B20" s="53"/>
      <c r="C20" s="49"/>
      <c r="D20" s="50"/>
      <c r="E20" s="23"/>
      <c r="F20" s="16"/>
      <c r="G20" s="21">
        <f t="shared" si="0"/>
        <v>0</v>
      </c>
      <c r="H20" s="9"/>
      <c r="I20" s="9"/>
      <c r="J20" s="111"/>
      <c r="K20" s="69" t="s">
        <v>8</v>
      </c>
      <c r="L20" s="73" t="s">
        <v>92</v>
      </c>
      <c r="M20" s="26"/>
    </row>
    <row r="21" spans="1:18" ht="14.4" hidden="1" customHeight="1" x14ac:dyDescent="0.3">
      <c r="A21" s="53"/>
      <c r="B21" s="53"/>
      <c r="C21" s="49"/>
      <c r="D21" s="50"/>
      <c r="E21" s="23"/>
      <c r="F21" s="16"/>
      <c r="G21" s="21">
        <f t="shared" si="0"/>
        <v>0</v>
      </c>
      <c r="H21" s="9"/>
      <c r="I21" s="10"/>
      <c r="J21" s="110"/>
      <c r="K21" s="69" t="s">
        <v>9</v>
      </c>
      <c r="L21" s="73" t="s">
        <v>92</v>
      </c>
      <c r="M21" s="26"/>
    </row>
    <row r="22" spans="1:18" ht="14.4" hidden="1" customHeight="1" x14ac:dyDescent="0.3">
      <c r="A22" s="53"/>
      <c r="B22" s="53"/>
      <c r="C22" s="49"/>
      <c r="D22" s="50"/>
      <c r="E22" s="23"/>
      <c r="F22" s="16"/>
      <c r="G22" s="21">
        <f t="shared" si="0"/>
        <v>0</v>
      </c>
      <c r="H22" s="9"/>
      <c r="I22" s="10"/>
      <c r="J22" s="110"/>
      <c r="K22" s="69" t="s">
        <v>30</v>
      </c>
      <c r="L22" s="73" t="s">
        <v>92</v>
      </c>
      <c r="M22" s="26">
        <f>SUM(H10)</f>
        <v>0</v>
      </c>
    </row>
    <row r="23" spans="1:18" s="6" customFormat="1" ht="18.600000000000001" hidden="1" customHeight="1" x14ac:dyDescent="0.3">
      <c r="A23" s="53"/>
      <c r="B23" s="53"/>
      <c r="C23" s="49"/>
      <c r="D23" s="24"/>
      <c r="E23" s="12"/>
      <c r="F23" s="48"/>
      <c r="G23" s="18">
        <f t="shared" si="0"/>
        <v>0</v>
      </c>
      <c r="H23" s="4"/>
      <c r="I23" s="4"/>
      <c r="J23"/>
      <c r="K23" s="69" t="s">
        <v>10</v>
      </c>
      <c r="L23" s="73" t="s">
        <v>92</v>
      </c>
      <c r="M23" s="26"/>
      <c r="N23"/>
      <c r="O23"/>
      <c r="P23"/>
      <c r="Q23"/>
      <c r="R23"/>
    </row>
    <row r="24" spans="1:18" ht="14.4" hidden="1" customHeight="1" x14ac:dyDescent="0.3">
      <c r="A24" s="59"/>
      <c r="B24" s="59"/>
      <c r="C24" s="57"/>
      <c r="D24" s="56"/>
      <c r="E24" s="48"/>
      <c r="F24" s="16"/>
      <c r="G24" s="18">
        <f t="shared" si="0"/>
        <v>0</v>
      </c>
      <c r="H24" s="42"/>
      <c r="I24" s="56"/>
      <c r="J24" s="3"/>
      <c r="K24" s="69" t="s">
        <v>12</v>
      </c>
      <c r="L24" s="73" t="s">
        <v>92</v>
      </c>
      <c r="M24" s="26">
        <f>SUM(H11)</f>
        <v>0</v>
      </c>
    </row>
    <row r="25" spans="1:18" ht="36.6" hidden="1" customHeight="1" x14ac:dyDescent="0.3">
      <c r="A25" s="61"/>
      <c r="B25" s="61"/>
      <c r="C25" s="41"/>
      <c r="D25" s="42"/>
      <c r="E25" s="4"/>
      <c r="F25" s="16"/>
      <c r="G25" s="18">
        <f t="shared" si="0"/>
        <v>0</v>
      </c>
      <c r="H25" s="41"/>
      <c r="I25" s="10"/>
      <c r="J25" s="110"/>
      <c r="K25" s="70" t="s">
        <v>31</v>
      </c>
      <c r="L25" s="73"/>
      <c r="M25" s="26"/>
    </row>
    <row r="26" spans="1:18" ht="14.4" hidden="1" customHeight="1" x14ac:dyDescent="0.3">
      <c r="A26" s="61"/>
      <c r="B26" s="61"/>
      <c r="C26" s="41"/>
      <c r="D26" s="4"/>
      <c r="E26" s="4"/>
      <c r="F26" s="4"/>
      <c r="G26" s="18">
        <f t="shared" si="0"/>
        <v>0</v>
      </c>
      <c r="H26" s="42"/>
      <c r="I26" s="56"/>
      <c r="J26" s="3"/>
      <c r="K26" s="69" t="s">
        <v>36</v>
      </c>
      <c r="L26" s="117" t="s">
        <v>199</v>
      </c>
      <c r="M26" s="26" t="s">
        <v>200</v>
      </c>
    </row>
    <row r="27" spans="1:18" hidden="1" x14ac:dyDescent="0.3">
      <c r="A27" s="61"/>
      <c r="B27" s="61"/>
      <c r="C27" s="41"/>
      <c r="D27" s="4"/>
      <c r="E27" s="4"/>
      <c r="F27" s="4"/>
      <c r="G27" s="18">
        <f t="shared" si="0"/>
        <v>0</v>
      </c>
      <c r="H27" s="42"/>
      <c r="I27" s="56"/>
      <c r="J27" s="3"/>
    </row>
    <row r="28" spans="1:18" hidden="1" x14ac:dyDescent="0.3">
      <c r="A28" s="62"/>
      <c r="B28" s="62"/>
      <c r="C28" s="51"/>
      <c r="D28" s="1"/>
      <c r="E28" s="1"/>
      <c r="F28" s="1"/>
      <c r="G28" s="18">
        <f t="shared" si="0"/>
        <v>0</v>
      </c>
      <c r="H28" s="26"/>
      <c r="I28" s="2"/>
      <c r="J28" s="3"/>
    </row>
    <row r="29" spans="1:18" hidden="1" x14ac:dyDescent="0.3">
      <c r="A29" s="62"/>
      <c r="B29" s="62"/>
      <c r="C29" s="51"/>
      <c r="D29" s="1"/>
      <c r="E29" s="1"/>
      <c r="F29" s="1"/>
      <c r="G29" s="18">
        <f t="shared" si="0"/>
        <v>0</v>
      </c>
      <c r="H29" s="26"/>
      <c r="I29" s="2"/>
      <c r="J29" s="3"/>
    </row>
    <row r="30" spans="1:18" hidden="1" x14ac:dyDescent="0.3">
      <c r="A30" s="62"/>
      <c r="B30" s="62"/>
      <c r="C30" s="51"/>
      <c r="D30" s="1"/>
      <c r="E30" s="1"/>
      <c r="F30" s="1"/>
      <c r="G30" s="18">
        <f t="shared" si="0"/>
        <v>0</v>
      </c>
      <c r="H30" s="26"/>
      <c r="I30" s="2"/>
      <c r="J30" s="3"/>
    </row>
    <row r="31" spans="1:18" hidden="1" x14ac:dyDescent="0.3">
      <c r="A31" s="62"/>
      <c r="B31" s="62"/>
      <c r="C31" s="51"/>
      <c r="D31" s="1"/>
      <c r="E31" s="1"/>
      <c r="F31" s="1"/>
      <c r="G31" s="18">
        <f t="shared" si="0"/>
        <v>0</v>
      </c>
      <c r="H31" s="26"/>
      <c r="I31" s="2"/>
      <c r="J31" s="3"/>
    </row>
    <row r="32" spans="1:18" hidden="1" x14ac:dyDescent="0.3">
      <c r="A32" s="62"/>
      <c r="B32" s="62"/>
      <c r="C32" s="51"/>
      <c r="D32" s="1"/>
      <c r="E32" s="1"/>
      <c r="F32" s="1"/>
      <c r="G32" s="18">
        <f t="shared" si="0"/>
        <v>0</v>
      </c>
      <c r="H32" s="26"/>
      <c r="I32" s="2"/>
      <c r="J32" s="3"/>
    </row>
    <row r="33" spans="1:18" hidden="1" x14ac:dyDescent="0.3">
      <c r="A33" s="62"/>
      <c r="B33" s="62"/>
      <c r="C33" s="51"/>
      <c r="D33" s="1"/>
      <c r="E33" s="1"/>
      <c r="F33" s="1"/>
      <c r="G33" s="18">
        <f t="shared" si="0"/>
        <v>0</v>
      </c>
      <c r="H33" s="26"/>
      <c r="I33" s="2"/>
      <c r="J33" s="3"/>
    </row>
    <row r="34" spans="1:18" hidden="1" x14ac:dyDescent="0.3">
      <c r="A34" s="62"/>
      <c r="B34" s="62"/>
      <c r="C34" s="51"/>
      <c r="D34" s="1"/>
      <c r="E34" s="1"/>
      <c r="F34" s="1"/>
      <c r="G34" s="18">
        <f t="shared" si="0"/>
        <v>0</v>
      </c>
      <c r="H34" s="26"/>
      <c r="I34" s="2"/>
      <c r="J34" s="3"/>
    </row>
    <row r="35" spans="1:18" hidden="1" x14ac:dyDescent="0.3">
      <c r="A35" s="62"/>
      <c r="B35" s="62"/>
      <c r="C35" s="51"/>
      <c r="D35" s="1"/>
      <c r="E35" s="1"/>
      <c r="F35" s="1"/>
      <c r="G35" s="18">
        <f t="shared" si="0"/>
        <v>0</v>
      </c>
      <c r="H35" s="26"/>
      <c r="I35" s="2"/>
      <c r="J35" s="3"/>
    </row>
    <row r="36" spans="1:18" hidden="1" x14ac:dyDescent="0.3">
      <c r="A36" s="62"/>
      <c r="B36" s="62"/>
      <c r="C36" s="51"/>
      <c r="D36" s="1"/>
      <c r="E36" s="1"/>
      <c r="F36" s="1"/>
      <c r="G36" s="18">
        <f t="shared" si="0"/>
        <v>0</v>
      </c>
      <c r="H36" s="26"/>
      <c r="I36" s="2"/>
      <c r="J36" s="3"/>
    </row>
    <row r="37" spans="1:18" hidden="1" x14ac:dyDescent="0.3">
      <c r="A37" s="62"/>
      <c r="B37" s="62"/>
      <c r="C37" s="51"/>
      <c r="D37" s="1"/>
      <c r="E37" s="1"/>
      <c r="F37" s="1"/>
      <c r="G37" s="52">
        <f t="shared" si="0"/>
        <v>0</v>
      </c>
      <c r="H37" s="26"/>
      <c r="I37" s="2"/>
      <c r="J37" s="3"/>
    </row>
    <row r="38" spans="1:18" hidden="1" x14ac:dyDescent="0.3">
      <c r="A38" s="63"/>
      <c r="B38" s="63"/>
      <c r="C38" s="51"/>
      <c r="D38" s="1"/>
      <c r="E38" s="1"/>
      <c r="F38" s="1"/>
      <c r="G38" s="52">
        <f t="shared" si="0"/>
        <v>0</v>
      </c>
      <c r="H38" s="26"/>
      <c r="I38" s="2"/>
      <c r="J38" s="3"/>
    </row>
    <row r="39" spans="1:18" hidden="1" x14ac:dyDescent="0.3">
      <c r="A39" s="63"/>
      <c r="B39" s="63"/>
      <c r="C39" s="51"/>
      <c r="D39" s="1"/>
      <c r="E39" s="1"/>
      <c r="F39" s="1"/>
      <c r="G39" s="52">
        <f t="shared" si="0"/>
        <v>0</v>
      </c>
      <c r="H39" s="26"/>
      <c r="I39" s="2"/>
      <c r="J39" s="3"/>
    </row>
    <row r="40" spans="1:18" ht="20.399999999999999" customHeight="1" x14ac:dyDescent="0.3">
      <c r="A40" s="54">
        <v>46053</v>
      </c>
      <c r="B40" s="54"/>
      <c r="C40" s="13" t="s">
        <v>21</v>
      </c>
      <c r="D40" s="13"/>
      <c r="E40" s="67"/>
      <c r="F40" s="163">
        <v>571397.1</v>
      </c>
      <c r="G40" s="162">
        <f t="shared" si="0"/>
        <v>-571397.1</v>
      </c>
      <c r="H40" s="36"/>
      <c r="I40" s="105"/>
      <c r="J40" s="5"/>
      <c r="K40" s="69" t="s">
        <v>0</v>
      </c>
      <c r="L40" s="73" t="s">
        <v>92</v>
      </c>
      <c r="M40" s="26">
        <v>0</v>
      </c>
    </row>
    <row r="41" spans="1:18" s="6" customFormat="1" ht="16.2" customHeight="1" x14ac:dyDescent="0.3">
      <c r="A41" s="82">
        <v>46054</v>
      </c>
      <c r="B41" s="50" t="s">
        <v>57</v>
      </c>
      <c r="C41" s="49" t="s">
        <v>446</v>
      </c>
      <c r="D41" s="15" t="s">
        <v>10</v>
      </c>
      <c r="E41" s="172"/>
      <c r="F41" s="164">
        <v>350351.16</v>
      </c>
      <c r="G41" s="185">
        <f t="shared" si="0"/>
        <v>-921748.26</v>
      </c>
      <c r="H41" s="124">
        <v>186.357</v>
      </c>
      <c r="I41" s="10" t="s">
        <v>92</v>
      </c>
      <c r="J41" s="110"/>
      <c r="K41" s="69" t="s">
        <v>1</v>
      </c>
      <c r="L41" s="73" t="s">
        <v>92</v>
      </c>
      <c r="M41" s="42">
        <f>SUM(H95)</f>
        <v>66.411000000000001</v>
      </c>
      <c r="N41"/>
      <c r="O41"/>
      <c r="P41"/>
      <c r="Q41"/>
      <c r="R41"/>
    </row>
    <row r="42" spans="1:18" x14ac:dyDescent="0.3">
      <c r="A42" s="82">
        <v>46054</v>
      </c>
      <c r="B42" s="82" t="s">
        <v>57</v>
      </c>
      <c r="C42" s="49" t="s">
        <v>447</v>
      </c>
      <c r="D42" s="5" t="s">
        <v>5</v>
      </c>
      <c r="E42" s="169"/>
      <c r="F42" s="164">
        <v>77000.87</v>
      </c>
      <c r="G42" s="185">
        <f t="shared" si="0"/>
        <v>-998749.13</v>
      </c>
      <c r="H42" s="9">
        <v>42.139200000000002</v>
      </c>
      <c r="I42" s="10" t="s">
        <v>92</v>
      </c>
      <c r="J42" s="110"/>
      <c r="K42" s="24" t="s">
        <v>27</v>
      </c>
      <c r="L42" s="73" t="s">
        <v>92</v>
      </c>
      <c r="M42" s="26">
        <v>0</v>
      </c>
    </row>
    <row r="43" spans="1:18" x14ac:dyDescent="0.3">
      <c r="A43" s="82">
        <v>46054</v>
      </c>
      <c r="B43" s="82" t="s">
        <v>57</v>
      </c>
      <c r="C43" s="49" t="s">
        <v>448</v>
      </c>
      <c r="D43" s="7" t="s">
        <v>5</v>
      </c>
      <c r="E43" s="169"/>
      <c r="F43" s="164">
        <v>45001.56</v>
      </c>
      <c r="G43" s="185">
        <f t="shared" si="0"/>
        <v>-1043750.69</v>
      </c>
      <c r="H43" s="124">
        <v>23.937000000000001</v>
      </c>
      <c r="I43" s="10" t="s">
        <v>92</v>
      </c>
      <c r="J43" s="110"/>
      <c r="K43" s="76" t="s">
        <v>429</v>
      </c>
      <c r="L43" s="73" t="s">
        <v>92</v>
      </c>
      <c r="M43" s="80">
        <v>0</v>
      </c>
    </row>
    <row r="44" spans="1:18" x14ac:dyDescent="0.3">
      <c r="A44" s="327">
        <v>46054</v>
      </c>
      <c r="B44" s="327" t="s">
        <v>60</v>
      </c>
      <c r="C44" s="328" t="s">
        <v>449</v>
      </c>
      <c r="D44" s="306" t="s">
        <v>1218</v>
      </c>
      <c r="E44" s="200">
        <v>1000000</v>
      </c>
      <c r="F44" s="313"/>
      <c r="G44" s="317">
        <f t="shared" si="0"/>
        <v>-43750.689999999944</v>
      </c>
      <c r="H44" s="311"/>
      <c r="I44" s="199" t="s">
        <v>1220</v>
      </c>
      <c r="J44" s="110"/>
      <c r="K44" s="76" t="s">
        <v>62</v>
      </c>
      <c r="L44" s="73" t="s">
        <v>92</v>
      </c>
      <c r="M44" s="80">
        <f>SUM(H54+H62+H63+H75+H80+H85+H89)</f>
        <v>167.36320000000001</v>
      </c>
    </row>
    <row r="45" spans="1:18" x14ac:dyDescent="0.3">
      <c r="A45" s="82">
        <v>46054</v>
      </c>
      <c r="B45" s="82" t="s">
        <v>57</v>
      </c>
      <c r="C45" s="49" t="s">
        <v>452</v>
      </c>
      <c r="D45" s="85" t="s">
        <v>6</v>
      </c>
      <c r="E45" s="169"/>
      <c r="F45" s="164">
        <v>44999.68</v>
      </c>
      <c r="G45" s="185">
        <f t="shared" si="0"/>
        <v>-88750.369999999937</v>
      </c>
      <c r="H45" s="76">
        <v>23.936</v>
      </c>
      <c r="I45" s="10" t="s">
        <v>92</v>
      </c>
      <c r="J45" s="110"/>
      <c r="K45" s="76" t="s">
        <v>541</v>
      </c>
      <c r="L45" s="73" t="s">
        <v>92</v>
      </c>
      <c r="M45" s="80">
        <v>0</v>
      </c>
    </row>
    <row r="46" spans="1:18" x14ac:dyDescent="0.3">
      <c r="A46" s="82">
        <v>46054</v>
      </c>
      <c r="B46" s="82" t="s">
        <v>57</v>
      </c>
      <c r="C46" s="49" t="s">
        <v>450</v>
      </c>
      <c r="D46" s="15" t="s">
        <v>22</v>
      </c>
      <c r="E46" s="169"/>
      <c r="F46" s="164">
        <v>645012.96</v>
      </c>
      <c r="G46" s="185">
        <f t="shared" si="0"/>
        <v>-733763.32999999984</v>
      </c>
      <c r="H46" s="76">
        <v>343.09199999999998</v>
      </c>
      <c r="I46" s="10" t="s">
        <v>92</v>
      </c>
      <c r="J46" s="110"/>
      <c r="K46" s="76" t="s">
        <v>361</v>
      </c>
      <c r="L46" s="73" t="s">
        <v>92</v>
      </c>
      <c r="M46" s="80">
        <v>0</v>
      </c>
    </row>
    <row r="47" spans="1:18" x14ac:dyDescent="0.3">
      <c r="A47" s="82">
        <v>46054</v>
      </c>
      <c r="B47" s="82" t="s">
        <v>57</v>
      </c>
      <c r="C47" s="49" t="s">
        <v>451</v>
      </c>
      <c r="D47" s="15" t="s">
        <v>26</v>
      </c>
      <c r="E47" s="169"/>
      <c r="F47" s="164">
        <v>144290</v>
      </c>
      <c r="G47" s="185">
        <f t="shared" si="0"/>
        <v>-878053.32999999984</v>
      </c>
      <c r="H47" s="76">
        <v>76.75</v>
      </c>
      <c r="I47" s="10" t="s">
        <v>92</v>
      </c>
      <c r="J47" s="110"/>
      <c r="K47" s="69" t="s">
        <v>24</v>
      </c>
      <c r="L47" s="73" t="s">
        <v>92</v>
      </c>
      <c r="M47" s="26">
        <f>SUM(H49+H58+H70+H82+H90+H97)</f>
        <v>143.31300000000002</v>
      </c>
    </row>
    <row r="48" spans="1:18" x14ac:dyDescent="0.3">
      <c r="A48" s="82">
        <v>46055</v>
      </c>
      <c r="B48" s="82" t="s">
        <v>57</v>
      </c>
      <c r="C48" s="49" t="s">
        <v>453</v>
      </c>
      <c r="D48" s="15" t="s">
        <v>5</v>
      </c>
      <c r="E48" s="169"/>
      <c r="F48" s="164">
        <v>44999.68</v>
      </c>
      <c r="G48" s="185">
        <f t="shared" si="0"/>
        <v>-923053.00999999989</v>
      </c>
      <c r="H48" s="76">
        <v>23.936</v>
      </c>
      <c r="I48" s="10" t="s">
        <v>92</v>
      </c>
      <c r="J48" s="110"/>
      <c r="K48" s="69" t="s">
        <v>29</v>
      </c>
      <c r="L48" s="73" t="s">
        <v>92</v>
      </c>
      <c r="M48" s="26">
        <f>SUM(H47+H59+H77+H94)</f>
        <v>269.63200000000001</v>
      </c>
    </row>
    <row r="49" spans="1:13" x14ac:dyDescent="0.3">
      <c r="A49" s="82">
        <v>46055</v>
      </c>
      <c r="B49" s="82" t="s">
        <v>57</v>
      </c>
      <c r="C49" s="49" t="s">
        <v>454</v>
      </c>
      <c r="D49" s="15" t="s">
        <v>24</v>
      </c>
      <c r="E49" s="169"/>
      <c r="F49" s="164">
        <v>44999.68</v>
      </c>
      <c r="G49" s="185">
        <f t="shared" si="0"/>
        <v>-968052.69</v>
      </c>
      <c r="H49" s="76">
        <v>23.936</v>
      </c>
      <c r="I49" s="10" t="s">
        <v>92</v>
      </c>
      <c r="J49" s="110"/>
      <c r="K49" s="69" t="s">
        <v>3</v>
      </c>
      <c r="L49" s="73" t="s">
        <v>92</v>
      </c>
      <c r="M49" s="26">
        <f>SUM(H50+H57+H66+H67+H83+H96)</f>
        <v>285.57979999999998</v>
      </c>
    </row>
    <row r="50" spans="1:13" x14ac:dyDescent="0.3">
      <c r="A50" s="82">
        <v>46055</v>
      </c>
      <c r="B50" s="82" t="s">
        <v>57</v>
      </c>
      <c r="C50" s="49" t="s">
        <v>455</v>
      </c>
      <c r="D50" s="15" t="s">
        <v>3</v>
      </c>
      <c r="E50" s="169"/>
      <c r="F50" s="164">
        <v>31899.84</v>
      </c>
      <c r="G50" s="185">
        <f t="shared" si="0"/>
        <v>-999952.52999999991</v>
      </c>
      <c r="H50" s="124">
        <v>16.968</v>
      </c>
      <c r="I50" s="10" t="s">
        <v>92</v>
      </c>
      <c r="J50" s="110"/>
      <c r="K50" s="69" t="s">
        <v>5</v>
      </c>
      <c r="L50" s="73" t="s">
        <v>92</v>
      </c>
      <c r="M50" s="26">
        <f>SUM(H42+H43+H48+H56+H78+H81+H91)</f>
        <v>185.56720000000004</v>
      </c>
    </row>
    <row r="51" spans="1:13" x14ac:dyDescent="0.3">
      <c r="A51" s="82">
        <v>46055</v>
      </c>
      <c r="B51" s="82" t="s">
        <v>57</v>
      </c>
      <c r="C51" s="49" t="s">
        <v>457</v>
      </c>
      <c r="D51" s="15" t="s">
        <v>8</v>
      </c>
      <c r="E51" s="169"/>
      <c r="F51" s="164">
        <v>44999.14</v>
      </c>
      <c r="G51" s="185">
        <f t="shared" si="0"/>
        <v>-1044951.6699999999</v>
      </c>
      <c r="H51" s="76">
        <v>25.452000000000002</v>
      </c>
      <c r="I51" s="10" t="s">
        <v>92</v>
      </c>
      <c r="J51" s="110"/>
      <c r="K51" s="69" t="s">
        <v>61</v>
      </c>
      <c r="L51" s="73" t="s">
        <v>92</v>
      </c>
      <c r="M51" s="26">
        <f>SUM(H61+H84)</f>
        <v>322.44200000000001</v>
      </c>
    </row>
    <row r="52" spans="1:13" x14ac:dyDescent="0.3">
      <c r="A52" s="82">
        <v>46055</v>
      </c>
      <c r="B52" s="82" t="s">
        <v>57</v>
      </c>
      <c r="C52" s="49" t="s">
        <v>458</v>
      </c>
      <c r="D52" s="15" t="s">
        <v>6</v>
      </c>
      <c r="E52" s="169"/>
      <c r="F52" s="164">
        <v>44999.68</v>
      </c>
      <c r="G52" s="185">
        <f t="shared" si="0"/>
        <v>-1089951.3499999999</v>
      </c>
      <c r="H52" s="76">
        <v>23.936</v>
      </c>
      <c r="I52" s="10" t="s">
        <v>92</v>
      </c>
      <c r="J52" s="110"/>
      <c r="K52" s="69" t="s">
        <v>22</v>
      </c>
      <c r="L52" s="73" t="s">
        <v>92</v>
      </c>
      <c r="M52" s="26">
        <f>SUM(H46+H73+H87)</f>
        <v>546.726</v>
      </c>
    </row>
    <row r="53" spans="1:13" x14ac:dyDescent="0.3">
      <c r="A53" s="82">
        <v>46055</v>
      </c>
      <c r="B53" s="82" t="s">
        <v>57</v>
      </c>
      <c r="C53" s="49" t="s">
        <v>459</v>
      </c>
      <c r="D53" s="50" t="s">
        <v>8</v>
      </c>
      <c r="E53" s="169"/>
      <c r="F53" s="164">
        <v>44999.68</v>
      </c>
      <c r="G53" s="185">
        <f t="shared" si="0"/>
        <v>-1134951.0299999998</v>
      </c>
      <c r="H53" s="76">
        <v>23.936</v>
      </c>
      <c r="I53" s="10" t="s">
        <v>92</v>
      </c>
      <c r="J53" s="110"/>
      <c r="K53" s="69" t="s">
        <v>6</v>
      </c>
      <c r="L53" s="73" t="s">
        <v>92</v>
      </c>
      <c r="M53" s="26">
        <f>SUM(H45+H52+H60+H68+H69+H76+H93)</f>
        <v>224.88100000000003</v>
      </c>
    </row>
    <row r="54" spans="1:13" x14ac:dyDescent="0.3">
      <c r="A54" s="82">
        <v>46055</v>
      </c>
      <c r="B54" s="82" t="s">
        <v>57</v>
      </c>
      <c r="C54" s="49" t="s">
        <v>460</v>
      </c>
      <c r="D54" s="50" t="s">
        <v>62</v>
      </c>
      <c r="E54" s="169"/>
      <c r="F54" s="164">
        <v>44999.68</v>
      </c>
      <c r="G54" s="185">
        <f t="shared" si="0"/>
        <v>-1179950.7099999997</v>
      </c>
      <c r="H54" s="76">
        <v>23.936</v>
      </c>
      <c r="I54" s="10" t="s">
        <v>92</v>
      </c>
      <c r="J54" s="110"/>
      <c r="K54" s="69" t="s">
        <v>8</v>
      </c>
      <c r="L54" s="73" t="s">
        <v>92</v>
      </c>
      <c r="M54" s="26">
        <f>SUM(H51+H53)</f>
        <v>49.388000000000005</v>
      </c>
    </row>
    <row r="55" spans="1:13" x14ac:dyDescent="0.3">
      <c r="A55" s="327">
        <v>46055</v>
      </c>
      <c r="B55" s="327" t="s">
        <v>60</v>
      </c>
      <c r="C55" s="328" t="s">
        <v>461</v>
      </c>
      <c r="D55" s="306" t="s">
        <v>1218</v>
      </c>
      <c r="E55" s="200">
        <v>2000000</v>
      </c>
      <c r="F55" s="313"/>
      <c r="G55" s="316">
        <f t="shared" si="0"/>
        <v>820049.29000000027</v>
      </c>
      <c r="H55" s="311"/>
      <c r="I55" s="199" t="s">
        <v>1222</v>
      </c>
      <c r="J55" s="110"/>
      <c r="K55" s="69" t="s">
        <v>9</v>
      </c>
      <c r="L55" s="73" t="s">
        <v>92</v>
      </c>
      <c r="M55" s="26">
        <v>0</v>
      </c>
    </row>
    <row r="56" spans="1:13" x14ac:dyDescent="0.3">
      <c r="A56" s="82">
        <v>46055</v>
      </c>
      <c r="B56" s="82" t="s">
        <v>57</v>
      </c>
      <c r="C56" s="49" t="s">
        <v>462</v>
      </c>
      <c r="D56" s="50" t="s">
        <v>5</v>
      </c>
      <c r="E56" s="169"/>
      <c r="F56" s="164">
        <v>44999.68</v>
      </c>
      <c r="G56" s="184">
        <f t="shared" si="0"/>
        <v>775049.61000000022</v>
      </c>
      <c r="H56" s="76">
        <v>23.936</v>
      </c>
      <c r="I56" s="10" t="s">
        <v>92</v>
      </c>
      <c r="J56" s="110"/>
      <c r="K56" s="69" t="s">
        <v>30</v>
      </c>
      <c r="L56" s="73" t="s">
        <v>92</v>
      </c>
      <c r="M56" s="26">
        <v>0</v>
      </c>
    </row>
    <row r="57" spans="1:13" ht="14.4" customHeight="1" x14ac:dyDescent="0.3">
      <c r="A57" s="82">
        <v>46055</v>
      </c>
      <c r="B57" s="82" t="s">
        <v>57</v>
      </c>
      <c r="C57" s="49" t="s">
        <v>463</v>
      </c>
      <c r="D57" s="15" t="s">
        <v>3</v>
      </c>
      <c r="E57" s="172"/>
      <c r="F57" s="164">
        <v>44999.68</v>
      </c>
      <c r="G57" s="184">
        <f t="shared" si="0"/>
        <v>730049.93000000017</v>
      </c>
      <c r="H57" s="76">
        <v>23.936</v>
      </c>
      <c r="I57" s="10" t="s">
        <v>92</v>
      </c>
      <c r="J57"/>
      <c r="K57" s="69" t="s">
        <v>10</v>
      </c>
      <c r="L57" s="73" t="s">
        <v>92</v>
      </c>
      <c r="M57" s="26">
        <f>SUM(H41+H71+H72+H88)</f>
        <v>892.18900000000008</v>
      </c>
    </row>
    <row r="58" spans="1:13" x14ac:dyDescent="0.3">
      <c r="A58" s="99">
        <v>46056</v>
      </c>
      <c r="B58" s="99" t="s">
        <v>57</v>
      </c>
      <c r="C58" s="39" t="s">
        <v>464</v>
      </c>
      <c r="D58" s="15" t="s">
        <v>24</v>
      </c>
      <c r="E58" s="172"/>
      <c r="F58" s="164">
        <v>44999.68</v>
      </c>
      <c r="G58" s="184">
        <f t="shared" si="0"/>
        <v>685050.25000000012</v>
      </c>
      <c r="H58" s="76">
        <v>23.936</v>
      </c>
      <c r="I58" s="10" t="s">
        <v>92</v>
      </c>
      <c r="J58"/>
      <c r="K58" s="69" t="s">
        <v>11</v>
      </c>
      <c r="L58" s="73" t="s">
        <v>92</v>
      </c>
      <c r="M58" s="26">
        <v>0</v>
      </c>
    </row>
    <row r="59" spans="1:13" x14ac:dyDescent="0.3">
      <c r="A59" s="99">
        <v>46056</v>
      </c>
      <c r="B59" s="99" t="s">
        <v>57</v>
      </c>
      <c r="C59" s="39" t="s">
        <v>465</v>
      </c>
      <c r="D59" s="15" t="s">
        <v>26</v>
      </c>
      <c r="E59" s="172"/>
      <c r="F59" s="164">
        <v>126900</v>
      </c>
      <c r="G59" s="184">
        <f t="shared" si="0"/>
        <v>558150.25000000012</v>
      </c>
      <c r="H59" s="124">
        <v>67.5</v>
      </c>
      <c r="I59" s="10" t="s">
        <v>92</v>
      </c>
      <c r="J59" s="112"/>
      <c r="K59" s="116" t="s">
        <v>23</v>
      </c>
      <c r="L59" s="197" t="s">
        <v>1214</v>
      </c>
      <c r="M59" s="80">
        <f>SUM(H92)</f>
        <v>35.006999999999998</v>
      </c>
    </row>
    <row r="60" spans="1:13" ht="14.4" customHeight="1" x14ac:dyDescent="0.3">
      <c r="A60" s="99">
        <v>46056</v>
      </c>
      <c r="B60" s="99" t="s">
        <v>57</v>
      </c>
      <c r="C60" s="39" t="s">
        <v>466</v>
      </c>
      <c r="D60" s="15" t="s">
        <v>6</v>
      </c>
      <c r="E60" s="172"/>
      <c r="F60" s="164">
        <v>79627.58</v>
      </c>
      <c r="G60" s="184">
        <f t="shared" si="0"/>
        <v>478522.6700000001</v>
      </c>
      <c r="H60" s="41">
        <v>43.533000000000001</v>
      </c>
      <c r="I60" s="10" t="s">
        <v>92</v>
      </c>
      <c r="J60" s="25"/>
      <c r="K60" s="147" t="s">
        <v>695</v>
      </c>
      <c r="L60" s="147"/>
      <c r="M60" s="147">
        <f>SUM(M40:M59)</f>
        <v>3188.4991999999997</v>
      </c>
    </row>
    <row r="61" spans="1:13" x14ac:dyDescent="0.3">
      <c r="A61" s="99">
        <v>46056</v>
      </c>
      <c r="B61" s="99" t="s">
        <v>57</v>
      </c>
      <c r="C61" s="28" t="s">
        <v>467</v>
      </c>
      <c r="D61" s="99" t="s">
        <v>61</v>
      </c>
      <c r="E61" s="181"/>
      <c r="F61" s="164">
        <v>318011.40000000002</v>
      </c>
      <c r="G61" s="184">
        <f t="shared" si="0"/>
        <v>160511.27000000008</v>
      </c>
      <c r="H61" s="76">
        <v>169.155</v>
      </c>
      <c r="I61" s="10" t="s">
        <v>92</v>
      </c>
      <c r="J61" s="110"/>
      <c r="K61" s="106"/>
      <c r="L61" s="107"/>
    </row>
    <row r="62" spans="1:13" x14ac:dyDescent="0.3">
      <c r="A62" s="99">
        <v>46056</v>
      </c>
      <c r="B62" s="99" t="s">
        <v>57</v>
      </c>
      <c r="C62" s="28" t="s">
        <v>468</v>
      </c>
      <c r="D62" s="99" t="s">
        <v>62</v>
      </c>
      <c r="E62" s="181"/>
      <c r="F62" s="164">
        <v>44999.68</v>
      </c>
      <c r="G62" s="184">
        <f t="shared" si="0"/>
        <v>115511.59000000008</v>
      </c>
      <c r="H62" s="76">
        <v>23.936</v>
      </c>
      <c r="I62" s="10" t="s">
        <v>92</v>
      </c>
      <c r="J62" s="110"/>
      <c r="K62" s="106"/>
      <c r="L62" s="107"/>
    </row>
    <row r="63" spans="1:13" x14ac:dyDescent="0.3">
      <c r="A63" s="99">
        <v>46056</v>
      </c>
      <c r="B63" s="99" t="s">
        <v>57</v>
      </c>
      <c r="C63" s="28" t="s">
        <v>469</v>
      </c>
      <c r="D63" s="99" t="s">
        <v>62</v>
      </c>
      <c r="E63" s="181"/>
      <c r="F63" s="164">
        <v>45000</v>
      </c>
      <c r="G63" s="184">
        <f t="shared" si="0"/>
        <v>70511.590000000084</v>
      </c>
      <c r="H63" s="76">
        <v>23.936199999999999</v>
      </c>
      <c r="I63" s="10" t="s">
        <v>92</v>
      </c>
      <c r="J63" s="110"/>
    </row>
    <row r="64" spans="1:13" x14ac:dyDescent="0.3">
      <c r="A64" s="340">
        <v>46056</v>
      </c>
      <c r="B64" s="340" t="s">
        <v>60</v>
      </c>
      <c r="C64" s="341" t="s">
        <v>470</v>
      </c>
      <c r="D64" s="340"/>
      <c r="E64" s="342">
        <v>45001.56</v>
      </c>
      <c r="F64" s="326"/>
      <c r="G64" s="343">
        <f t="shared" si="0"/>
        <v>115513.15000000008</v>
      </c>
      <c r="H64" s="344"/>
      <c r="I64" s="325" t="s">
        <v>185</v>
      </c>
      <c r="J64" s="110"/>
    </row>
    <row r="65" spans="1:13" x14ac:dyDescent="0.3">
      <c r="A65" s="340">
        <v>46056</v>
      </c>
      <c r="B65" s="340" t="s">
        <v>60</v>
      </c>
      <c r="C65" s="341" t="s">
        <v>471</v>
      </c>
      <c r="D65" s="340"/>
      <c r="E65" s="342">
        <v>44999.68</v>
      </c>
      <c r="F65" s="326"/>
      <c r="G65" s="343">
        <f t="shared" si="0"/>
        <v>160512.83000000007</v>
      </c>
      <c r="H65" s="344"/>
      <c r="I65" s="325" t="s">
        <v>185</v>
      </c>
      <c r="J65" s="110"/>
    </row>
    <row r="66" spans="1:13" x14ac:dyDescent="0.3">
      <c r="A66" s="99">
        <v>46056</v>
      </c>
      <c r="B66" s="99" t="s">
        <v>57</v>
      </c>
      <c r="C66" s="28" t="s">
        <v>472</v>
      </c>
      <c r="D66" s="99" t="s">
        <v>3</v>
      </c>
      <c r="E66" s="182"/>
      <c r="F66" s="164">
        <v>138879.35999999999</v>
      </c>
      <c r="G66" s="184">
        <f t="shared" si="0"/>
        <v>21633.470000000088</v>
      </c>
      <c r="H66" s="76">
        <v>73.872</v>
      </c>
      <c r="I66" s="10" t="s">
        <v>92</v>
      </c>
      <c r="J66" s="110"/>
    </row>
    <row r="67" spans="1:13" x14ac:dyDescent="0.3">
      <c r="A67" s="99">
        <v>46056</v>
      </c>
      <c r="B67" s="99" t="s">
        <v>57</v>
      </c>
      <c r="C67" s="28" t="s">
        <v>473</v>
      </c>
      <c r="D67" s="99" t="s">
        <v>3</v>
      </c>
      <c r="E67" s="182"/>
      <c r="F67" s="183">
        <v>138879</v>
      </c>
      <c r="G67" s="185">
        <f t="shared" si="0"/>
        <v>-117245.52999999991</v>
      </c>
      <c r="H67" s="76">
        <v>73.871799999999993</v>
      </c>
      <c r="I67" s="10" t="s">
        <v>92</v>
      </c>
      <c r="J67" s="110"/>
      <c r="K67" s="106"/>
      <c r="L67" s="141"/>
      <c r="M67" s="25"/>
    </row>
    <row r="68" spans="1:13" x14ac:dyDescent="0.3">
      <c r="A68" s="99">
        <v>46056</v>
      </c>
      <c r="B68" s="99" t="s">
        <v>57</v>
      </c>
      <c r="C68" s="28" t="s">
        <v>474</v>
      </c>
      <c r="D68" s="99" t="s">
        <v>6</v>
      </c>
      <c r="E68" s="182"/>
      <c r="F68" s="183">
        <v>44999.68</v>
      </c>
      <c r="G68" s="185">
        <f t="shared" si="0"/>
        <v>-162245.2099999999</v>
      </c>
      <c r="H68" s="76">
        <v>23.936</v>
      </c>
      <c r="I68" s="10" t="s">
        <v>92</v>
      </c>
      <c r="J68" s="110"/>
    </row>
    <row r="69" spans="1:13" x14ac:dyDescent="0.3">
      <c r="A69" s="99">
        <v>46057</v>
      </c>
      <c r="B69" s="99" t="s">
        <v>57</v>
      </c>
      <c r="C69" s="28" t="s">
        <v>475</v>
      </c>
      <c r="D69" s="99" t="s">
        <v>6</v>
      </c>
      <c r="E69" s="182"/>
      <c r="F69" s="183">
        <v>112205.82</v>
      </c>
      <c r="G69" s="185">
        <f t="shared" si="0"/>
        <v>-274451.02999999991</v>
      </c>
      <c r="H69" s="76">
        <v>61.756</v>
      </c>
      <c r="I69" s="10" t="s">
        <v>92</v>
      </c>
      <c r="J69" s="110"/>
    </row>
    <row r="70" spans="1:13" x14ac:dyDescent="0.3">
      <c r="A70" s="99">
        <v>46057</v>
      </c>
      <c r="B70" s="99" t="s">
        <v>57</v>
      </c>
      <c r="C70" s="28" t="s">
        <v>476</v>
      </c>
      <c r="D70" s="99" t="s">
        <v>24</v>
      </c>
      <c r="E70" s="182"/>
      <c r="F70" s="183">
        <v>44999.68</v>
      </c>
      <c r="G70" s="185">
        <f t="shared" si="0"/>
        <v>-319450.7099999999</v>
      </c>
      <c r="H70" s="76">
        <v>23.936</v>
      </c>
      <c r="I70" s="10" t="s">
        <v>92</v>
      </c>
      <c r="J70" s="110"/>
    </row>
    <row r="71" spans="1:13" x14ac:dyDescent="0.3">
      <c r="A71" s="99">
        <v>46057</v>
      </c>
      <c r="B71" s="99" t="s">
        <v>57</v>
      </c>
      <c r="C71" s="28" t="s">
        <v>477</v>
      </c>
      <c r="D71" s="99" t="s">
        <v>10</v>
      </c>
      <c r="E71" s="182"/>
      <c r="F71" s="183">
        <v>468984.8</v>
      </c>
      <c r="G71" s="185">
        <f t="shared" si="0"/>
        <v>-788435.50999999989</v>
      </c>
      <c r="H71" s="76">
        <v>249.46</v>
      </c>
      <c r="I71" s="10" t="s">
        <v>92</v>
      </c>
      <c r="J71" s="110"/>
    </row>
    <row r="72" spans="1:13" x14ac:dyDescent="0.3">
      <c r="A72" s="99">
        <v>46057</v>
      </c>
      <c r="B72" s="99" t="s">
        <v>57</v>
      </c>
      <c r="C72" s="28" t="s">
        <v>478</v>
      </c>
      <c r="D72" s="99" t="s">
        <v>10</v>
      </c>
      <c r="E72" s="182"/>
      <c r="F72" s="183">
        <v>332867.15999999997</v>
      </c>
      <c r="G72" s="185">
        <f t="shared" si="0"/>
        <v>-1121302.67</v>
      </c>
      <c r="H72" s="76">
        <v>177.05699999999999</v>
      </c>
      <c r="I72" s="10" t="s">
        <v>92</v>
      </c>
      <c r="J72" s="110"/>
    </row>
    <row r="73" spans="1:13" x14ac:dyDescent="0.3">
      <c r="A73" s="99">
        <v>46057</v>
      </c>
      <c r="B73" s="99" t="s">
        <v>57</v>
      </c>
      <c r="C73" s="28" t="s">
        <v>479</v>
      </c>
      <c r="D73" s="99" t="s">
        <v>22</v>
      </c>
      <c r="E73" s="182"/>
      <c r="F73" s="183">
        <v>77999.320000000007</v>
      </c>
      <c r="G73" s="185">
        <f t="shared" ref="G73:G245" si="1">+G72+E73-F73</f>
        <v>-1199301.99</v>
      </c>
      <c r="H73" s="76">
        <v>41.488999999999997</v>
      </c>
      <c r="I73" s="10" t="s">
        <v>92</v>
      </c>
      <c r="J73" s="110"/>
    </row>
    <row r="74" spans="1:13" x14ac:dyDescent="0.3">
      <c r="A74" s="306">
        <v>46057</v>
      </c>
      <c r="B74" s="306" t="s">
        <v>60</v>
      </c>
      <c r="C74" s="330" t="s">
        <v>480</v>
      </c>
      <c r="D74" s="306" t="s">
        <v>1218</v>
      </c>
      <c r="E74" s="312">
        <v>2200000</v>
      </c>
      <c r="F74" s="314"/>
      <c r="G74" s="316">
        <f t="shared" si="1"/>
        <v>1000698.01</v>
      </c>
      <c r="H74" s="311"/>
      <c r="I74" s="199" t="s">
        <v>1222</v>
      </c>
      <c r="J74" s="110"/>
    </row>
    <row r="75" spans="1:13" x14ac:dyDescent="0.3">
      <c r="A75" s="99">
        <v>46057</v>
      </c>
      <c r="B75" s="99" t="s">
        <v>57</v>
      </c>
      <c r="C75" s="28" t="s">
        <v>481</v>
      </c>
      <c r="D75" s="99" t="s">
        <v>62</v>
      </c>
      <c r="E75" s="182"/>
      <c r="F75" s="183">
        <v>44999.68</v>
      </c>
      <c r="G75" s="184">
        <f t="shared" si="1"/>
        <v>955698.33</v>
      </c>
      <c r="H75" s="76">
        <v>23.936</v>
      </c>
      <c r="I75" s="10" t="s">
        <v>92</v>
      </c>
      <c r="J75" s="110"/>
    </row>
    <row r="76" spans="1:13" x14ac:dyDescent="0.3">
      <c r="A76" s="99">
        <v>46058</v>
      </c>
      <c r="B76" s="99" t="s">
        <v>57</v>
      </c>
      <c r="C76" s="28" t="s">
        <v>482</v>
      </c>
      <c r="D76" s="99" t="s">
        <v>6</v>
      </c>
      <c r="E76" s="182"/>
      <c r="F76" s="183">
        <v>45000.17</v>
      </c>
      <c r="G76" s="184">
        <f t="shared" si="1"/>
        <v>910698.15999999992</v>
      </c>
      <c r="H76" s="76">
        <v>23.949000000000002</v>
      </c>
      <c r="I76" s="10" t="s">
        <v>92</v>
      </c>
      <c r="J76" s="110"/>
    </row>
    <row r="77" spans="1:13" x14ac:dyDescent="0.3">
      <c r="A77" s="99">
        <v>46058</v>
      </c>
      <c r="B77" s="99" t="s">
        <v>57</v>
      </c>
      <c r="C77" s="28" t="s">
        <v>483</v>
      </c>
      <c r="D77" s="99" t="s">
        <v>26</v>
      </c>
      <c r="E77" s="182"/>
      <c r="F77" s="183">
        <v>150000.57</v>
      </c>
      <c r="G77" s="184">
        <f t="shared" si="1"/>
        <v>760697.58999999985</v>
      </c>
      <c r="H77" s="76">
        <v>79.83</v>
      </c>
      <c r="I77" s="10" t="s">
        <v>92</v>
      </c>
      <c r="J77" s="110"/>
    </row>
    <row r="78" spans="1:13" x14ac:dyDescent="0.3">
      <c r="A78" s="99">
        <v>46058</v>
      </c>
      <c r="B78" s="99" t="s">
        <v>57</v>
      </c>
      <c r="C78" s="28" t="s">
        <v>484</v>
      </c>
      <c r="D78" s="99" t="s">
        <v>5</v>
      </c>
      <c r="E78" s="182"/>
      <c r="F78" s="183">
        <v>45000.17</v>
      </c>
      <c r="G78" s="184">
        <f t="shared" si="1"/>
        <v>715697.41999999981</v>
      </c>
      <c r="H78" s="76">
        <v>23.949000000000002</v>
      </c>
      <c r="I78" s="10" t="s">
        <v>92</v>
      </c>
      <c r="J78" s="110"/>
    </row>
    <row r="79" spans="1:13" x14ac:dyDescent="0.3">
      <c r="A79" s="306">
        <v>46058</v>
      </c>
      <c r="B79" s="306" t="s">
        <v>60</v>
      </c>
      <c r="C79" s="330" t="s">
        <v>67</v>
      </c>
      <c r="D79" s="306" t="s">
        <v>1218</v>
      </c>
      <c r="E79" s="312">
        <v>138879.35999999999</v>
      </c>
      <c r="F79" s="314"/>
      <c r="G79" s="316">
        <f t="shared" si="1"/>
        <v>854576.7799999998</v>
      </c>
      <c r="H79" s="311"/>
      <c r="I79" s="199" t="s">
        <v>1222</v>
      </c>
      <c r="J79" s="110"/>
    </row>
    <row r="80" spans="1:13" x14ac:dyDescent="0.3">
      <c r="A80" s="99">
        <v>46058</v>
      </c>
      <c r="B80" s="99" t="s">
        <v>57</v>
      </c>
      <c r="C80" s="28" t="s">
        <v>485</v>
      </c>
      <c r="D80" s="99" t="s">
        <v>62</v>
      </c>
      <c r="E80" s="182"/>
      <c r="F80" s="183">
        <v>45000.17</v>
      </c>
      <c r="G80" s="184">
        <f t="shared" si="1"/>
        <v>809576.60999999975</v>
      </c>
      <c r="H80" s="76">
        <v>23.949000000000002</v>
      </c>
      <c r="I80" s="10" t="s">
        <v>92</v>
      </c>
      <c r="J80" s="110"/>
    </row>
    <row r="81" spans="1:10" x14ac:dyDescent="0.3">
      <c r="A81" s="99">
        <v>46059</v>
      </c>
      <c r="B81" s="99" t="s">
        <v>57</v>
      </c>
      <c r="C81" s="28" t="s">
        <v>486</v>
      </c>
      <c r="D81" s="99" t="s">
        <v>5</v>
      </c>
      <c r="E81" s="182"/>
      <c r="F81" s="183">
        <v>45000.480000000003</v>
      </c>
      <c r="G81" s="184">
        <f t="shared" si="1"/>
        <v>764576.12999999977</v>
      </c>
      <c r="H81" s="76">
        <v>23.835000000000001</v>
      </c>
      <c r="I81" s="10" t="s">
        <v>92</v>
      </c>
      <c r="J81" s="110"/>
    </row>
    <row r="82" spans="1:10" x14ac:dyDescent="0.3">
      <c r="A82" s="99">
        <v>46059</v>
      </c>
      <c r="B82" s="99" t="s">
        <v>57</v>
      </c>
      <c r="C82" s="28" t="s">
        <v>487</v>
      </c>
      <c r="D82" s="99" t="s">
        <v>24</v>
      </c>
      <c r="E82" s="182"/>
      <c r="F82" s="183">
        <v>45000.480000000003</v>
      </c>
      <c r="G82" s="184">
        <f t="shared" si="1"/>
        <v>719575.64999999979</v>
      </c>
      <c r="H82" s="76">
        <v>23.835000000000001</v>
      </c>
      <c r="I82" s="10" t="s">
        <v>92</v>
      </c>
      <c r="J82" s="110"/>
    </row>
    <row r="83" spans="1:10" x14ac:dyDescent="0.3">
      <c r="A83" s="99">
        <v>46059</v>
      </c>
      <c r="B83" s="99" t="s">
        <v>57</v>
      </c>
      <c r="C83" s="28" t="s">
        <v>488</v>
      </c>
      <c r="D83" s="99" t="s">
        <v>3</v>
      </c>
      <c r="E83" s="182"/>
      <c r="F83" s="183">
        <v>45000.480000000003</v>
      </c>
      <c r="G83" s="184">
        <f t="shared" si="1"/>
        <v>674575.16999999981</v>
      </c>
      <c r="H83" s="76">
        <v>23.835000000000001</v>
      </c>
      <c r="I83" s="10" t="s">
        <v>92</v>
      </c>
      <c r="J83" s="110"/>
    </row>
    <row r="84" spans="1:10" x14ac:dyDescent="0.3">
      <c r="A84" s="99">
        <v>46059</v>
      </c>
      <c r="B84" s="99" t="s">
        <v>57</v>
      </c>
      <c r="C84" s="28" t="s">
        <v>489</v>
      </c>
      <c r="D84" s="99" t="s">
        <v>61</v>
      </c>
      <c r="E84" s="182"/>
      <c r="F84" s="183">
        <v>289405.86</v>
      </c>
      <c r="G84" s="184">
        <f t="shared" si="1"/>
        <v>385169.30999999982</v>
      </c>
      <c r="H84" s="76">
        <v>153.28700000000001</v>
      </c>
      <c r="I84" s="10" t="s">
        <v>92</v>
      </c>
      <c r="J84" s="110"/>
    </row>
    <row r="85" spans="1:10" x14ac:dyDescent="0.3">
      <c r="A85" s="99">
        <v>46059</v>
      </c>
      <c r="B85" s="99" t="s">
        <v>57</v>
      </c>
      <c r="C85" s="28" t="s">
        <v>490</v>
      </c>
      <c r="D85" s="99" t="s">
        <v>62</v>
      </c>
      <c r="E85" s="182"/>
      <c r="F85" s="183">
        <v>45000.480000000003</v>
      </c>
      <c r="G85" s="184">
        <f t="shared" si="1"/>
        <v>340168.82999999984</v>
      </c>
      <c r="H85" s="76">
        <v>23.835000000000001</v>
      </c>
      <c r="I85" s="10" t="s">
        <v>92</v>
      </c>
      <c r="J85" s="110"/>
    </row>
    <row r="86" spans="1:10" x14ac:dyDescent="0.3">
      <c r="A86" s="306">
        <v>46059</v>
      </c>
      <c r="B86" s="306" t="s">
        <v>60</v>
      </c>
      <c r="C86" s="330" t="s">
        <v>491</v>
      </c>
      <c r="D86" s="306" t="s">
        <v>1218</v>
      </c>
      <c r="E86" s="312">
        <v>1000000</v>
      </c>
      <c r="F86" s="314"/>
      <c r="G86" s="316">
        <f t="shared" si="1"/>
        <v>1340168.8299999998</v>
      </c>
      <c r="H86" s="311"/>
      <c r="I86" s="199" t="s">
        <v>1222</v>
      </c>
      <c r="J86" s="110"/>
    </row>
    <row r="87" spans="1:10" x14ac:dyDescent="0.3">
      <c r="A87" s="99">
        <v>46059</v>
      </c>
      <c r="B87" s="99" t="s">
        <v>57</v>
      </c>
      <c r="C87" s="28" t="s">
        <v>492</v>
      </c>
      <c r="D87" s="99" t="s">
        <v>22</v>
      </c>
      <c r="E87" s="182"/>
      <c r="F87" s="183">
        <v>306129.76</v>
      </c>
      <c r="G87" s="184">
        <f t="shared" si="1"/>
        <v>1034039.0699999998</v>
      </c>
      <c r="H87" s="76">
        <v>162.14500000000001</v>
      </c>
      <c r="I87" s="10" t="s">
        <v>92</v>
      </c>
      <c r="J87" s="110"/>
    </row>
    <row r="88" spans="1:10" x14ac:dyDescent="0.3">
      <c r="A88" s="99">
        <v>46059</v>
      </c>
      <c r="B88" s="99" t="s">
        <v>57</v>
      </c>
      <c r="C88" s="28" t="s">
        <v>493</v>
      </c>
      <c r="D88" s="99" t="s">
        <v>10</v>
      </c>
      <c r="E88" s="182"/>
      <c r="F88" s="183">
        <v>527346.72</v>
      </c>
      <c r="G88" s="184">
        <f t="shared" si="1"/>
        <v>506692.34999999986</v>
      </c>
      <c r="H88" s="76">
        <v>279.315</v>
      </c>
      <c r="I88" s="10" t="s">
        <v>92</v>
      </c>
      <c r="J88" s="110"/>
    </row>
    <row r="89" spans="1:10" x14ac:dyDescent="0.3">
      <c r="A89" s="99">
        <v>46059</v>
      </c>
      <c r="B89" s="99" t="s">
        <v>57</v>
      </c>
      <c r="C89" s="28" t="s">
        <v>494</v>
      </c>
      <c r="D89" s="99" t="s">
        <v>62</v>
      </c>
      <c r="E89" s="182"/>
      <c r="F89" s="183">
        <v>45000.480000000003</v>
      </c>
      <c r="G89" s="184">
        <f t="shared" si="1"/>
        <v>461691.86999999988</v>
      </c>
      <c r="H89" s="76">
        <v>23.835000000000001</v>
      </c>
      <c r="I89" s="10" t="s">
        <v>92</v>
      </c>
      <c r="J89" s="110"/>
    </row>
    <row r="90" spans="1:10" x14ac:dyDescent="0.3">
      <c r="A90" s="99">
        <v>46059</v>
      </c>
      <c r="B90" s="99" t="s">
        <v>57</v>
      </c>
      <c r="C90" s="28" t="s">
        <v>495</v>
      </c>
      <c r="D90" s="99" t="s">
        <v>24</v>
      </c>
      <c r="E90" s="182"/>
      <c r="F90" s="183">
        <v>45000.480000000003</v>
      </c>
      <c r="G90" s="184">
        <f t="shared" si="1"/>
        <v>416691.3899999999</v>
      </c>
      <c r="H90" s="76">
        <v>23.835000000000001</v>
      </c>
      <c r="I90" s="10" t="s">
        <v>92</v>
      </c>
      <c r="J90" s="110"/>
    </row>
    <row r="91" spans="1:10" x14ac:dyDescent="0.3">
      <c r="A91" s="99">
        <v>46060</v>
      </c>
      <c r="B91" s="99" t="s">
        <v>57</v>
      </c>
      <c r="C91" s="28" t="s">
        <v>496</v>
      </c>
      <c r="D91" s="99" t="s">
        <v>5</v>
      </c>
      <c r="E91" s="182"/>
      <c r="F91" s="183">
        <v>45000.480000000003</v>
      </c>
      <c r="G91" s="184">
        <f t="shared" si="1"/>
        <v>371690.90999999992</v>
      </c>
      <c r="H91" s="76">
        <v>23.835000000000001</v>
      </c>
      <c r="I91" s="10" t="s">
        <v>92</v>
      </c>
      <c r="J91" s="110"/>
    </row>
    <row r="92" spans="1:10" x14ac:dyDescent="0.3">
      <c r="A92" s="331">
        <v>46060</v>
      </c>
      <c r="B92" s="331" t="s">
        <v>57</v>
      </c>
      <c r="C92" s="332" t="s">
        <v>497</v>
      </c>
      <c r="D92" s="331" t="s">
        <v>23</v>
      </c>
      <c r="E92" s="333"/>
      <c r="F92" s="334">
        <v>57621.52</v>
      </c>
      <c r="G92" s="335">
        <f t="shared" si="1"/>
        <v>314069.3899999999</v>
      </c>
      <c r="H92" s="336">
        <v>35.006999999999998</v>
      </c>
      <c r="I92" s="157" t="s">
        <v>92</v>
      </c>
      <c r="J92" s="110"/>
    </row>
    <row r="93" spans="1:10" x14ac:dyDescent="0.3">
      <c r="A93" s="99">
        <v>46060</v>
      </c>
      <c r="B93" s="99" t="s">
        <v>57</v>
      </c>
      <c r="C93" s="28" t="s">
        <v>498</v>
      </c>
      <c r="D93" s="99" t="s">
        <v>6</v>
      </c>
      <c r="E93" s="182"/>
      <c r="F93" s="183">
        <v>45000.480000000003</v>
      </c>
      <c r="G93" s="184">
        <f t="shared" si="1"/>
        <v>269068.90999999992</v>
      </c>
      <c r="H93" s="76">
        <v>23.835000000000001</v>
      </c>
      <c r="I93" s="10" t="s">
        <v>92</v>
      </c>
      <c r="J93" s="110"/>
    </row>
    <row r="94" spans="1:10" x14ac:dyDescent="0.3">
      <c r="A94" s="99">
        <v>46060</v>
      </c>
      <c r="B94" s="99" t="s">
        <v>57</v>
      </c>
      <c r="C94" s="28" t="s">
        <v>499</v>
      </c>
      <c r="D94" s="99" t="s">
        <v>26</v>
      </c>
      <c r="E94" s="182"/>
      <c r="F94" s="183">
        <v>86002.18</v>
      </c>
      <c r="G94" s="184">
        <f t="shared" si="1"/>
        <v>183066.72999999992</v>
      </c>
      <c r="H94" s="76">
        <v>45.552</v>
      </c>
      <c r="I94" s="10" t="s">
        <v>92</v>
      </c>
      <c r="J94" s="110"/>
    </row>
    <row r="95" spans="1:10" x14ac:dyDescent="0.3">
      <c r="A95" s="99">
        <v>46060</v>
      </c>
      <c r="B95" s="99" t="s">
        <v>57</v>
      </c>
      <c r="C95" s="28" t="s">
        <v>500</v>
      </c>
      <c r="D95" s="99" t="s">
        <v>1</v>
      </c>
      <c r="E95" s="182"/>
      <c r="F95" s="183">
        <v>121091.9</v>
      </c>
      <c r="G95" s="184">
        <f t="shared" si="1"/>
        <v>61974.829999999929</v>
      </c>
      <c r="H95" s="9">
        <v>66.411000000000001</v>
      </c>
      <c r="I95" s="10" t="s">
        <v>92</v>
      </c>
      <c r="J95" s="110"/>
    </row>
    <row r="96" spans="1:10" x14ac:dyDescent="0.3">
      <c r="A96" s="99">
        <v>46060</v>
      </c>
      <c r="B96" s="99" t="s">
        <v>57</v>
      </c>
      <c r="C96" s="28" t="s">
        <v>501</v>
      </c>
      <c r="D96" s="99" t="s">
        <v>3</v>
      </c>
      <c r="E96" s="182"/>
      <c r="F96" s="183">
        <v>138007.14000000001</v>
      </c>
      <c r="G96" s="185">
        <f t="shared" si="1"/>
        <v>-76032.310000000085</v>
      </c>
      <c r="H96" s="76">
        <v>73.096999999999994</v>
      </c>
      <c r="I96" s="10" t="s">
        <v>92</v>
      </c>
      <c r="J96" s="110"/>
    </row>
    <row r="97" spans="1:14" x14ac:dyDescent="0.3">
      <c r="A97" s="99">
        <v>46060</v>
      </c>
      <c r="B97" s="99" t="s">
        <v>57</v>
      </c>
      <c r="C97" s="28" t="s">
        <v>502</v>
      </c>
      <c r="D97" s="99" t="s">
        <v>24</v>
      </c>
      <c r="E97" s="182"/>
      <c r="F97" s="183">
        <v>45000.480000000003</v>
      </c>
      <c r="G97" s="185">
        <f t="shared" si="1"/>
        <v>-121032.7900000001</v>
      </c>
      <c r="H97" s="76">
        <v>23.835000000000001</v>
      </c>
      <c r="I97" s="10" t="s">
        <v>92</v>
      </c>
      <c r="J97" s="110"/>
    </row>
    <row r="98" spans="1:14" x14ac:dyDescent="0.3">
      <c r="A98" s="534" t="s">
        <v>694</v>
      </c>
      <c r="B98" s="534"/>
      <c r="C98" s="534"/>
      <c r="D98" s="534"/>
      <c r="E98" s="534"/>
      <c r="F98" s="534"/>
      <c r="G98" s="534"/>
      <c r="H98" s="540">
        <f>SUM(H41:H97)</f>
        <v>3188.4992000000011</v>
      </c>
      <c r="I98" s="541"/>
      <c r="J98" s="110"/>
    </row>
    <row r="99" spans="1:14" ht="15.6" x14ac:dyDescent="0.3">
      <c r="A99" s="546" t="s">
        <v>456</v>
      </c>
      <c r="B99" s="547"/>
      <c r="C99" s="547"/>
      <c r="D99" s="547"/>
      <c r="E99" s="547"/>
      <c r="F99" s="547"/>
      <c r="G99" s="547"/>
      <c r="H99" s="547"/>
      <c r="I99" s="548"/>
      <c r="J99" s="110"/>
      <c r="K99" s="526" t="s">
        <v>512</v>
      </c>
      <c r="L99" s="526"/>
      <c r="M99" s="526"/>
    </row>
    <row r="100" spans="1:14" x14ac:dyDescent="0.3">
      <c r="A100" s="99">
        <v>46061</v>
      </c>
      <c r="B100" s="99" t="s">
        <v>57</v>
      </c>
      <c r="C100" s="28" t="s">
        <v>503</v>
      </c>
      <c r="D100" s="99" t="s">
        <v>61</v>
      </c>
      <c r="E100" s="182"/>
      <c r="F100" s="100">
        <v>195153.54</v>
      </c>
      <c r="G100" s="185">
        <f>+G97+E100-F100</f>
        <v>-316186.33000000007</v>
      </c>
      <c r="H100" s="76">
        <v>103.42</v>
      </c>
      <c r="I100" s="10" t="s">
        <v>92</v>
      </c>
      <c r="J100" s="110"/>
      <c r="K100" s="545" t="s">
        <v>34</v>
      </c>
      <c r="L100" s="545"/>
      <c r="M100" s="545"/>
    </row>
    <row r="101" spans="1:14" x14ac:dyDescent="0.3">
      <c r="A101" s="99">
        <v>46061</v>
      </c>
      <c r="B101" s="99" t="s">
        <v>57</v>
      </c>
      <c r="C101" s="28" t="s">
        <v>504</v>
      </c>
      <c r="D101" s="99" t="s">
        <v>6</v>
      </c>
      <c r="E101" s="182"/>
      <c r="F101" s="100">
        <v>80013.820000000007</v>
      </c>
      <c r="G101" s="185">
        <f t="shared" si="1"/>
        <v>-396200.15000000008</v>
      </c>
      <c r="H101" s="9">
        <v>43.451999999999998</v>
      </c>
      <c r="I101" s="10" t="s">
        <v>92</v>
      </c>
      <c r="J101" s="110"/>
      <c r="K101" s="71" t="s">
        <v>32</v>
      </c>
      <c r="L101" s="43" t="s">
        <v>35</v>
      </c>
      <c r="M101" s="43" t="s">
        <v>33</v>
      </c>
    </row>
    <row r="102" spans="1:14" x14ac:dyDescent="0.3">
      <c r="A102" s="99">
        <v>46061</v>
      </c>
      <c r="B102" s="99" t="s">
        <v>57</v>
      </c>
      <c r="C102" s="28" t="s">
        <v>505</v>
      </c>
      <c r="D102" s="99" t="s">
        <v>5</v>
      </c>
      <c r="E102" s="182"/>
      <c r="F102" s="100">
        <v>44999.29</v>
      </c>
      <c r="G102" s="185">
        <f t="shared" si="1"/>
        <v>-441199.44000000006</v>
      </c>
      <c r="H102" s="76">
        <v>23.847000000000001</v>
      </c>
      <c r="I102" s="10" t="s">
        <v>92</v>
      </c>
      <c r="J102" s="110"/>
      <c r="K102" s="69" t="s">
        <v>0</v>
      </c>
      <c r="L102" s="73" t="s">
        <v>92</v>
      </c>
      <c r="M102" s="26">
        <v>0</v>
      </c>
    </row>
    <row r="103" spans="1:14" x14ac:dyDescent="0.3">
      <c r="A103" s="99">
        <v>46061</v>
      </c>
      <c r="B103" s="99" t="s">
        <v>57</v>
      </c>
      <c r="C103" s="28" t="s">
        <v>506</v>
      </c>
      <c r="D103" s="99" t="s">
        <v>62</v>
      </c>
      <c r="E103" s="182"/>
      <c r="F103" s="100">
        <v>44999.29</v>
      </c>
      <c r="G103" s="185">
        <f t="shared" si="1"/>
        <v>-486198.73000000004</v>
      </c>
      <c r="H103" s="76">
        <v>23.847000000000001</v>
      </c>
      <c r="I103" s="10" t="s">
        <v>92</v>
      </c>
      <c r="J103" s="110"/>
      <c r="K103" s="69" t="s">
        <v>1</v>
      </c>
      <c r="L103" s="73" t="s">
        <v>92</v>
      </c>
      <c r="M103" s="42">
        <v>0</v>
      </c>
    </row>
    <row r="104" spans="1:14" x14ac:dyDescent="0.3">
      <c r="A104" s="99">
        <v>46062</v>
      </c>
      <c r="B104" s="99" t="s">
        <v>57</v>
      </c>
      <c r="C104" s="28" t="s">
        <v>507</v>
      </c>
      <c r="D104" s="99" t="s">
        <v>117</v>
      </c>
      <c r="E104" s="182"/>
      <c r="F104" s="100">
        <v>70430.91</v>
      </c>
      <c r="G104" s="185">
        <f t="shared" si="1"/>
        <v>-556629.64</v>
      </c>
      <c r="H104" s="76">
        <v>39.435000000000002</v>
      </c>
      <c r="I104" s="10" t="s">
        <v>92</v>
      </c>
      <c r="J104" s="110"/>
      <c r="K104" s="24" t="s">
        <v>27</v>
      </c>
      <c r="L104" s="73" t="s">
        <v>92</v>
      </c>
      <c r="M104" s="26">
        <v>0</v>
      </c>
    </row>
    <row r="105" spans="1:14" x14ac:dyDescent="0.3">
      <c r="A105" s="99">
        <v>46062</v>
      </c>
      <c r="B105" s="99" t="s">
        <v>57</v>
      </c>
      <c r="C105" s="28" t="s">
        <v>508</v>
      </c>
      <c r="D105" s="99" t="s">
        <v>5</v>
      </c>
      <c r="E105" s="182"/>
      <c r="F105" s="100">
        <v>45000.6</v>
      </c>
      <c r="G105" s="185">
        <f t="shared" si="1"/>
        <v>-601630.24</v>
      </c>
      <c r="H105" s="76">
        <v>23.696999999999999</v>
      </c>
      <c r="I105" s="10" t="s">
        <v>92</v>
      </c>
      <c r="J105" s="110"/>
      <c r="K105" s="76" t="s">
        <v>429</v>
      </c>
      <c r="L105" s="73" t="s">
        <v>92</v>
      </c>
      <c r="M105" s="80">
        <f>SUM(H137+H145)</f>
        <v>47.17</v>
      </c>
    </row>
    <row r="106" spans="1:14" x14ac:dyDescent="0.3">
      <c r="A106" s="99">
        <v>46062</v>
      </c>
      <c r="B106" s="99" t="s">
        <v>57</v>
      </c>
      <c r="C106" s="28" t="s">
        <v>509</v>
      </c>
      <c r="D106" s="99" t="s">
        <v>26</v>
      </c>
      <c r="E106" s="182"/>
      <c r="F106" s="100">
        <v>152774.54999999999</v>
      </c>
      <c r="G106" s="185">
        <f t="shared" si="1"/>
        <v>-754404.79</v>
      </c>
      <c r="H106" s="76">
        <v>80.45</v>
      </c>
      <c r="I106" s="10" t="s">
        <v>92</v>
      </c>
      <c r="J106" s="110"/>
      <c r="K106" s="76" t="s">
        <v>62</v>
      </c>
      <c r="L106" s="73" t="s">
        <v>92</v>
      </c>
      <c r="M106" s="80">
        <f>SUM(H103+H115+H119)</f>
        <v>71.241</v>
      </c>
    </row>
    <row r="107" spans="1:14" x14ac:dyDescent="0.3">
      <c r="A107" s="99">
        <v>46062</v>
      </c>
      <c r="B107" s="99" t="s">
        <v>57</v>
      </c>
      <c r="C107" s="28" t="s">
        <v>510</v>
      </c>
      <c r="D107" s="99" t="s">
        <v>6</v>
      </c>
      <c r="E107" s="182"/>
      <c r="F107" s="100">
        <v>45000.6</v>
      </c>
      <c r="G107" s="185">
        <f t="shared" si="1"/>
        <v>-799405.39</v>
      </c>
      <c r="H107" s="76">
        <v>23.696999999999999</v>
      </c>
      <c r="I107" s="10" t="s">
        <v>92</v>
      </c>
      <c r="J107" s="110"/>
      <c r="K107" s="76" t="s">
        <v>541</v>
      </c>
      <c r="L107" s="73" t="s">
        <v>92</v>
      </c>
      <c r="M107" s="80">
        <v>0</v>
      </c>
    </row>
    <row r="108" spans="1:14" x14ac:dyDescent="0.3">
      <c r="A108" s="99">
        <v>46062</v>
      </c>
      <c r="B108" s="99" t="s">
        <v>57</v>
      </c>
      <c r="C108" s="28" t="s">
        <v>511</v>
      </c>
      <c r="D108" s="99" t="s">
        <v>117</v>
      </c>
      <c r="E108" s="182"/>
      <c r="F108" s="100">
        <v>124493.13</v>
      </c>
      <c r="G108" s="185">
        <f t="shared" si="1"/>
        <v>-923898.52</v>
      </c>
      <c r="H108" s="76">
        <v>69.704999999999998</v>
      </c>
      <c r="I108" s="10" t="s">
        <v>92</v>
      </c>
      <c r="J108" s="110"/>
      <c r="K108" s="76" t="s">
        <v>361</v>
      </c>
      <c r="L108" s="73" t="s">
        <v>92</v>
      </c>
      <c r="M108" s="80">
        <f>SUM(H120)</f>
        <v>19.925000000000001</v>
      </c>
    </row>
    <row r="109" spans="1:14" x14ac:dyDescent="0.3">
      <c r="A109" s="99">
        <v>46062</v>
      </c>
      <c r="B109" s="99" t="s">
        <v>57</v>
      </c>
      <c r="C109" s="28" t="s">
        <v>524</v>
      </c>
      <c r="D109" s="99" t="s">
        <v>8</v>
      </c>
      <c r="E109" s="182"/>
      <c r="F109" s="100">
        <v>45000.6</v>
      </c>
      <c r="G109" s="185">
        <f t="shared" si="1"/>
        <v>-968899.12</v>
      </c>
      <c r="H109" s="76">
        <v>23.696999999999999</v>
      </c>
      <c r="I109" s="10" t="s">
        <v>92</v>
      </c>
      <c r="J109" s="110"/>
      <c r="K109" s="69" t="s">
        <v>24</v>
      </c>
      <c r="L109" s="73" t="s">
        <v>92</v>
      </c>
      <c r="M109" s="26">
        <f>SUM(H117+H121+H130+H135)</f>
        <v>94.687999999999988</v>
      </c>
    </row>
    <row r="110" spans="1:14" x14ac:dyDescent="0.3">
      <c r="A110" s="99">
        <v>46063</v>
      </c>
      <c r="B110" s="99" t="s">
        <v>57</v>
      </c>
      <c r="C110" s="28" t="s">
        <v>525</v>
      </c>
      <c r="D110" s="99" t="s">
        <v>6</v>
      </c>
      <c r="E110" s="182"/>
      <c r="F110" s="100">
        <v>45000.6</v>
      </c>
      <c r="G110" s="185">
        <f t="shared" si="1"/>
        <v>-1013899.72</v>
      </c>
      <c r="H110" s="76">
        <v>23.696999999999999</v>
      </c>
      <c r="I110" s="10" t="s">
        <v>92</v>
      </c>
      <c r="J110" s="110"/>
      <c r="K110" s="69" t="s">
        <v>29</v>
      </c>
      <c r="L110" s="73" t="s">
        <v>92</v>
      </c>
      <c r="M110" s="26">
        <f>SUM(H106+H118+H141)</f>
        <v>213.65500000000003</v>
      </c>
    </row>
    <row r="111" spans="1:14" x14ac:dyDescent="0.3">
      <c r="A111" s="99">
        <v>46063</v>
      </c>
      <c r="B111" s="99" t="s">
        <v>57</v>
      </c>
      <c r="C111" s="28" t="s">
        <v>526</v>
      </c>
      <c r="D111" s="99" t="s">
        <v>61</v>
      </c>
      <c r="E111" s="182"/>
      <c r="F111" s="100">
        <v>210228.8</v>
      </c>
      <c r="G111" s="185">
        <f t="shared" si="1"/>
        <v>-1224128.52</v>
      </c>
      <c r="H111" s="76">
        <v>110.705</v>
      </c>
      <c r="I111" s="10" t="s">
        <v>92</v>
      </c>
      <c r="J111" s="110"/>
      <c r="K111" s="69" t="s">
        <v>3</v>
      </c>
      <c r="L111" s="73" t="s">
        <v>92</v>
      </c>
      <c r="M111" s="26">
        <f>SUM(H136+H140)</f>
        <v>78.622</v>
      </c>
    </row>
    <row r="112" spans="1:14" x14ac:dyDescent="0.3">
      <c r="A112" s="99">
        <v>46063</v>
      </c>
      <c r="B112" s="99" t="s">
        <v>57</v>
      </c>
      <c r="C112" s="28" t="s">
        <v>527</v>
      </c>
      <c r="D112" s="99" t="s">
        <v>5</v>
      </c>
      <c r="E112" s="182"/>
      <c r="F112" s="100">
        <v>45000.6</v>
      </c>
      <c r="G112" s="185">
        <f t="shared" si="1"/>
        <v>-1269129.1200000001</v>
      </c>
      <c r="H112" s="76">
        <v>23.696999999999999</v>
      </c>
      <c r="I112" s="10" t="s">
        <v>92</v>
      </c>
      <c r="J112" s="110"/>
      <c r="K112" s="69" t="s">
        <v>5</v>
      </c>
      <c r="L112" s="73" t="s">
        <v>92</v>
      </c>
      <c r="M112" s="26">
        <f>SUM(H102+H105+H112)</f>
        <v>71.241</v>
      </c>
      <c r="N112" s="25"/>
    </row>
    <row r="113" spans="1:13" x14ac:dyDescent="0.3">
      <c r="A113" s="306">
        <v>46063</v>
      </c>
      <c r="B113" s="306" t="s">
        <v>60</v>
      </c>
      <c r="C113" s="330" t="s">
        <v>528</v>
      </c>
      <c r="D113" s="306" t="s">
        <v>1218</v>
      </c>
      <c r="E113" s="312">
        <v>1000000</v>
      </c>
      <c r="F113" s="337"/>
      <c r="G113" s="317">
        <f t="shared" si="1"/>
        <v>-269129.12000000011</v>
      </c>
      <c r="H113" s="311"/>
      <c r="I113" s="199" t="s">
        <v>1220</v>
      </c>
      <c r="J113" s="110"/>
      <c r="K113" s="69" t="s">
        <v>61</v>
      </c>
      <c r="L113" s="73" t="s">
        <v>92</v>
      </c>
      <c r="M113" s="80">
        <f>SUM(H100+H111+H126)</f>
        <v>378.78200000000004</v>
      </c>
    </row>
    <row r="114" spans="1:13" x14ac:dyDescent="0.3">
      <c r="A114" s="306">
        <v>46063</v>
      </c>
      <c r="B114" s="306" t="s">
        <v>60</v>
      </c>
      <c r="C114" s="330" t="s">
        <v>529</v>
      </c>
      <c r="D114" s="306" t="s">
        <v>1217</v>
      </c>
      <c r="E114" s="312"/>
      <c r="F114" s="337">
        <v>15100</v>
      </c>
      <c r="G114" s="317">
        <f t="shared" si="1"/>
        <v>-284229.12000000011</v>
      </c>
      <c r="H114" s="311"/>
      <c r="I114" s="199" t="s">
        <v>537</v>
      </c>
      <c r="J114" s="110"/>
      <c r="K114" s="69" t="s">
        <v>22</v>
      </c>
      <c r="L114" s="73" t="s">
        <v>92</v>
      </c>
      <c r="M114" s="26">
        <f>SUM(H131)</f>
        <v>521.60199999999998</v>
      </c>
    </row>
    <row r="115" spans="1:13" x14ac:dyDescent="0.3">
      <c r="A115" s="99">
        <v>46063</v>
      </c>
      <c r="B115" s="99" t="s">
        <v>57</v>
      </c>
      <c r="C115" s="28" t="s">
        <v>530</v>
      </c>
      <c r="D115" s="99" t="s">
        <v>62</v>
      </c>
      <c r="E115" s="182"/>
      <c r="F115" s="100">
        <v>45000.6</v>
      </c>
      <c r="G115" s="185">
        <f t="shared" si="1"/>
        <v>-329229.72000000009</v>
      </c>
      <c r="H115" s="76">
        <v>23.696999999999999</v>
      </c>
      <c r="I115" s="10" t="s">
        <v>92</v>
      </c>
      <c r="J115" s="110"/>
      <c r="K115" s="69" t="s">
        <v>6</v>
      </c>
      <c r="L115" s="73" t="s">
        <v>92</v>
      </c>
      <c r="M115" s="26">
        <f>SUM(H101+H107+H110+H125+H142)</f>
        <v>138.14000000000001</v>
      </c>
    </row>
    <row r="116" spans="1:13" ht="13.95" customHeight="1" x14ac:dyDescent="0.3">
      <c r="A116" s="99">
        <v>46063</v>
      </c>
      <c r="B116" s="99" t="s">
        <v>57</v>
      </c>
      <c r="C116" s="28" t="s">
        <v>531</v>
      </c>
      <c r="D116" s="99" t="s">
        <v>8</v>
      </c>
      <c r="E116" s="182"/>
      <c r="F116" s="100">
        <v>44999.85</v>
      </c>
      <c r="G116" s="185">
        <f t="shared" si="1"/>
        <v>-374229.57000000007</v>
      </c>
      <c r="H116" s="76">
        <v>25.21</v>
      </c>
      <c r="I116" s="10" t="s">
        <v>92</v>
      </c>
      <c r="J116" s="110"/>
      <c r="K116" s="69" t="s">
        <v>8</v>
      </c>
      <c r="L116" s="73" t="s">
        <v>92</v>
      </c>
      <c r="M116" s="26">
        <f>SUM(H109+H116+H132+H134+H144)</f>
        <v>94.14</v>
      </c>
    </row>
    <row r="117" spans="1:13" ht="13.95" customHeight="1" x14ac:dyDescent="0.3">
      <c r="A117" s="99">
        <v>46063</v>
      </c>
      <c r="B117" s="99" t="s">
        <v>57</v>
      </c>
      <c r="C117" s="28" t="s">
        <v>532</v>
      </c>
      <c r="D117" s="99" t="s">
        <v>24</v>
      </c>
      <c r="E117" s="182"/>
      <c r="F117" s="100">
        <v>45000.6</v>
      </c>
      <c r="G117" s="185">
        <f t="shared" si="1"/>
        <v>-419230.17000000004</v>
      </c>
      <c r="H117" s="76">
        <v>23.696999999999999</v>
      </c>
      <c r="I117" s="10" t="s">
        <v>92</v>
      </c>
      <c r="J117" s="110"/>
      <c r="K117" s="69" t="s">
        <v>9</v>
      </c>
      <c r="L117" s="73" t="s">
        <v>92</v>
      </c>
      <c r="M117" s="26">
        <f>SUM(H139)</f>
        <v>176.7</v>
      </c>
    </row>
    <row r="118" spans="1:13" ht="13.95" customHeight="1" x14ac:dyDescent="0.3">
      <c r="A118" s="99">
        <v>46064</v>
      </c>
      <c r="B118" s="99" t="s">
        <v>57</v>
      </c>
      <c r="C118" s="28" t="s">
        <v>533</v>
      </c>
      <c r="D118" s="99" t="s">
        <v>26</v>
      </c>
      <c r="E118" s="182"/>
      <c r="F118" s="100">
        <v>120596</v>
      </c>
      <c r="G118" s="185">
        <f t="shared" si="1"/>
        <v>-539826.17000000004</v>
      </c>
      <c r="H118" s="76">
        <v>63.505000000000003</v>
      </c>
      <c r="I118" s="10" t="s">
        <v>92</v>
      </c>
      <c r="J118" s="110"/>
      <c r="K118" s="69" t="s">
        <v>30</v>
      </c>
      <c r="L118" s="73" t="s">
        <v>92</v>
      </c>
      <c r="M118" s="26">
        <f>SUM(H129)</f>
        <v>193.55</v>
      </c>
    </row>
    <row r="119" spans="1:13" ht="13.95" customHeight="1" x14ac:dyDescent="0.3">
      <c r="A119" s="99">
        <v>46064</v>
      </c>
      <c r="B119" s="99" t="s">
        <v>57</v>
      </c>
      <c r="C119" s="28" t="s">
        <v>534</v>
      </c>
      <c r="D119" s="99" t="s">
        <v>62</v>
      </c>
      <c r="E119" s="182"/>
      <c r="F119" s="100">
        <v>45000.6</v>
      </c>
      <c r="G119" s="185">
        <f t="shared" si="1"/>
        <v>-584826.77</v>
      </c>
      <c r="H119" s="76">
        <v>23.696999999999999</v>
      </c>
      <c r="I119" s="10" t="s">
        <v>92</v>
      </c>
      <c r="J119" s="110"/>
      <c r="K119" s="69" t="s">
        <v>10</v>
      </c>
      <c r="L119" s="73" t="s">
        <v>92</v>
      </c>
      <c r="M119" s="26">
        <f>SUM(H133)</f>
        <v>375.03500000000003</v>
      </c>
    </row>
    <row r="120" spans="1:13" ht="13.95" customHeight="1" x14ac:dyDescent="0.3">
      <c r="A120" s="60">
        <v>46064</v>
      </c>
      <c r="B120" s="60" t="s">
        <v>57</v>
      </c>
      <c r="C120" s="65" t="s">
        <v>535</v>
      </c>
      <c r="D120" s="15" t="s">
        <v>361</v>
      </c>
      <c r="E120" s="169"/>
      <c r="F120" s="29">
        <v>33015.730000000003</v>
      </c>
      <c r="G120" s="185">
        <f t="shared" si="1"/>
        <v>-617842.5</v>
      </c>
      <c r="H120" s="76">
        <v>19.925000000000001</v>
      </c>
      <c r="I120" s="10" t="s">
        <v>92</v>
      </c>
      <c r="J120" s="110"/>
      <c r="K120" s="69" t="s">
        <v>11</v>
      </c>
      <c r="L120" s="73" t="s">
        <v>92</v>
      </c>
      <c r="M120" s="26">
        <f>SUM(H104+H108+H124+H127+H143)</f>
        <v>164.459</v>
      </c>
    </row>
    <row r="121" spans="1:13" ht="13.95" customHeight="1" x14ac:dyDescent="0.3">
      <c r="A121" s="60">
        <v>46064</v>
      </c>
      <c r="B121" s="60" t="s">
        <v>57</v>
      </c>
      <c r="C121" s="65" t="s">
        <v>536</v>
      </c>
      <c r="D121" s="15" t="s">
        <v>24</v>
      </c>
      <c r="E121" s="169"/>
      <c r="F121" s="29">
        <v>45000.6</v>
      </c>
      <c r="G121" s="185">
        <f t="shared" si="1"/>
        <v>-662843.1</v>
      </c>
      <c r="H121" s="76">
        <v>23.696999999999999</v>
      </c>
      <c r="I121" s="10" t="s">
        <v>92</v>
      </c>
      <c r="J121" s="110"/>
      <c r="K121" s="147" t="s">
        <v>695</v>
      </c>
      <c r="L121" s="147"/>
      <c r="M121" s="148">
        <f>SUM(M103:M120)</f>
        <v>2638.95</v>
      </c>
    </row>
    <row r="122" spans="1:13" ht="13.95" customHeight="1" x14ac:dyDescent="0.3">
      <c r="A122" s="202">
        <v>46064</v>
      </c>
      <c r="B122" s="202" t="s">
        <v>60</v>
      </c>
      <c r="C122" s="203" t="s">
        <v>538</v>
      </c>
      <c r="D122" s="306" t="s">
        <v>1218</v>
      </c>
      <c r="E122" s="200">
        <v>700000</v>
      </c>
      <c r="F122" s="338"/>
      <c r="G122" s="316">
        <f t="shared" si="1"/>
        <v>37156.900000000023</v>
      </c>
      <c r="H122" s="311"/>
      <c r="I122" s="199" t="s">
        <v>1222</v>
      </c>
      <c r="J122" s="110"/>
    </row>
    <row r="123" spans="1:13" x14ac:dyDescent="0.3">
      <c r="A123" s="202">
        <v>46064</v>
      </c>
      <c r="B123" s="202" t="s">
        <v>60</v>
      </c>
      <c r="C123" s="203" t="s">
        <v>539</v>
      </c>
      <c r="D123" s="308" t="s">
        <v>1217</v>
      </c>
      <c r="E123" s="200"/>
      <c r="F123" s="339">
        <v>10570</v>
      </c>
      <c r="G123" s="316">
        <f t="shared" si="1"/>
        <v>26586.900000000023</v>
      </c>
      <c r="H123" s="311"/>
      <c r="I123" s="199" t="s">
        <v>537</v>
      </c>
      <c r="J123" s="110"/>
    </row>
    <row r="124" spans="1:13" x14ac:dyDescent="0.3">
      <c r="A124" s="60">
        <v>46065</v>
      </c>
      <c r="B124" s="60" t="s">
        <v>57</v>
      </c>
      <c r="C124" s="65" t="s">
        <v>540</v>
      </c>
      <c r="D124" s="15" t="s">
        <v>117</v>
      </c>
      <c r="E124" s="169"/>
      <c r="F124" s="16">
        <v>47608.06</v>
      </c>
      <c r="G124" s="185">
        <f t="shared" si="1"/>
        <v>-21021.159999999974</v>
      </c>
      <c r="H124" s="76">
        <v>26.567</v>
      </c>
      <c r="I124" s="10" t="s">
        <v>92</v>
      </c>
      <c r="J124" s="110"/>
    </row>
    <row r="125" spans="1:13" x14ac:dyDescent="0.3">
      <c r="A125" s="60">
        <v>46065</v>
      </c>
      <c r="B125" s="60" t="s">
        <v>57</v>
      </c>
      <c r="C125" s="65" t="s">
        <v>542</v>
      </c>
      <c r="D125" s="15" t="s">
        <v>6</v>
      </c>
      <c r="E125" s="169"/>
      <c r="F125" s="16">
        <v>44999.68</v>
      </c>
      <c r="G125" s="185">
        <f t="shared" si="1"/>
        <v>-66020.839999999967</v>
      </c>
      <c r="H125" s="76">
        <v>23.709</v>
      </c>
      <c r="I125" s="10" t="s">
        <v>92</v>
      </c>
      <c r="J125" s="110"/>
    </row>
    <row r="126" spans="1:13" x14ac:dyDescent="0.3">
      <c r="A126" s="60">
        <v>46065</v>
      </c>
      <c r="B126" s="60" t="s">
        <v>57</v>
      </c>
      <c r="C126" s="65" t="s">
        <v>543</v>
      </c>
      <c r="D126" s="15" t="s">
        <v>61</v>
      </c>
      <c r="E126" s="169"/>
      <c r="F126" s="16">
        <v>312518.99</v>
      </c>
      <c r="G126" s="185">
        <f t="shared" si="1"/>
        <v>-378539.82999999996</v>
      </c>
      <c r="H126" s="76">
        <v>164.65700000000001</v>
      </c>
      <c r="I126" s="10" t="s">
        <v>92</v>
      </c>
      <c r="J126" s="110"/>
    </row>
    <row r="127" spans="1:13" x14ac:dyDescent="0.3">
      <c r="A127" s="60">
        <v>46065</v>
      </c>
      <c r="B127" s="60" t="s">
        <v>57</v>
      </c>
      <c r="C127" s="65" t="s">
        <v>544</v>
      </c>
      <c r="D127" s="15" t="s">
        <v>117</v>
      </c>
      <c r="E127" s="169"/>
      <c r="F127" s="16">
        <v>33152</v>
      </c>
      <c r="G127" s="185">
        <f t="shared" si="1"/>
        <v>-411691.82999999996</v>
      </c>
      <c r="H127" s="76">
        <v>18.5</v>
      </c>
      <c r="I127" s="10" t="s">
        <v>92</v>
      </c>
      <c r="J127" s="110"/>
    </row>
    <row r="128" spans="1:13" x14ac:dyDescent="0.3">
      <c r="A128" s="202">
        <v>46065</v>
      </c>
      <c r="B128" s="202" t="s">
        <v>60</v>
      </c>
      <c r="C128" s="203" t="s">
        <v>545</v>
      </c>
      <c r="D128" s="306" t="s">
        <v>1218</v>
      </c>
      <c r="E128" s="200">
        <v>1800000</v>
      </c>
      <c r="F128" s="339"/>
      <c r="G128" s="316">
        <f t="shared" si="1"/>
        <v>1388308.17</v>
      </c>
      <c r="H128" s="311"/>
      <c r="I128" s="199" t="s">
        <v>1223</v>
      </c>
      <c r="J128" s="110"/>
    </row>
    <row r="129" spans="1:10" x14ac:dyDescent="0.3">
      <c r="A129" s="60">
        <v>46065</v>
      </c>
      <c r="B129" s="60" t="s">
        <v>57</v>
      </c>
      <c r="C129" s="65" t="s">
        <v>546</v>
      </c>
      <c r="D129" s="15" t="s">
        <v>30</v>
      </c>
      <c r="E129" s="169"/>
      <c r="F129" s="16">
        <v>367357.9</v>
      </c>
      <c r="G129" s="184">
        <f t="shared" si="1"/>
        <v>1020950.2699999999</v>
      </c>
      <c r="H129" s="76">
        <v>193.55</v>
      </c>
      <c r="I129" s="10" t="s">
        <v>92</v>
      </c>
      <c r="J129" s="110"/>
    </row>
    <row r="130" spans="1:10" x14ac:dyDescent="0.3">
      <c r="A130" s="60">
        <v>46065</v>
      </c>
      <c r="B130" s="60" t="s">
        <v>57</v>
      </c>
      <c r="C130" s="65" t="s">
        <v>547</v>
      </c>
      <c r="D130" s="15" t="s">
        <v>24</v>
      </c>
      <c r="E130" s="169"/>
      <c r="F130" s="16">
        <v>44999.68</v>
      </c>
      <c r="G130" s="184">
        <f t="shared" si="1"/>
        <v>975950.58999999985</v>
      </c>
      <c r="H130" s="76">
        <v>23.709</v>
      </c>
      <c r="I130" s="10" t="s">
        <v>92</v>
      </c>
      <c r="J130" s="110"/>
    </row>
    <row r="131" spans="1:10" x14ac:dyDescent="0.3">
      <c r="A131" s="60">
        <v>46065</v>
      </c>
      <c r="B131" s="60" t="s">
        <v>57</v>
      </c>
      <c r="C131" s="65" t="s">
        <v>548</v>
      </c>
      <c r="D131" s="15" t="s">
        <v>22</v>
      </c>
      <c r="E131" s="169"/>
      <c r="F131" s="16">
        <v>990000.6</v>
      </c>
      <c r="G131" s="185">
        <f t="shared" si="1"/>
        <v>-14050.010000000126</v>
      </c>
      <c r="H131" s="76">
        <v>521.60199999999998</v>
      </c>
      <c r="I131" s="10" t="s">
        <v>92</v>
      </c>
      <c r="J131" s="110"/>
    </row>
    <row r="132" spans="1:10" x14ac:dyDescent="0.3">
      <c r="A132" s="60">
        <v>46065</v>
      </c>
      <c r="B132" s="60" t="s">
        <v>57</v>
      </c>
      <c r="C132" s="65" t="s">
        <v>549</v>
      </c>
      <c r="D132" s="15" t="s">
        <v>8</v>
      </c>
      <c r="E132" s="169"/>
      <c r="F132" s="16">
        <v>44999.68</v>
      </c>
      <c r="G132" s="185">
        <f t="shared" si="1"/>
        <v>-59049.690000000126</v>
      </c>
      <c r="H132" s="76">
        <v>23.709</v>
      </c>
      <c r="I132" s="10" t="s">
        <v>92</v>
      </c>
      <c r="J132" s="110"/>
    </row>
    <row r="133" spans="1:10" x14ac:dyDescent="0.3">
      <c r="A133" s="60">
        <v>46065</v>
      </c>
      <c r="B133" s="60" t="s">
        <v>57</v>
      </c>
      <c r="C133" s="65" t="s">
        <v>550</v>
      </c>
      <c r="D133" s="15" t="s">
        <v>10</v>
      </c>
      <c r="E133" s="169"/>
      <c r="F133" s="16">
        <v>711816.43</v>
      </c>
      <c r="G133" s="185">
        <f t="shared" si="1"/>
        <v>-770866.12000000023</v>
      </c>
      <c r="H133" s="9">
        <v>375.03500000000003</v>
      </c>
      <c r="I133" s="10" t="s">
        <v>92</v>
      </c>
      <c r="J133" s="110"/>
    </row>
    <row r="134" spans="1:10" x14ac:dyDescent="0.3">
      <c r="A134" s="60">
        <v>46066</v>
      </c>
      <c r="B134" s="60" t="s">
        <v>57</v>
      </c>
      <c r="C134" s="65" t="s">
        <v>551</v>
      </c>
      <c r="D134" s="15" t="s">
        <v>8</v>
      </c>
      <c r="E134" s="169"/>
      <c r="F134" s="16">
        <v>35740.660000000003</v>
      </c>
      <c r="G134" s="185">
        <f t="shared" si="1"/>
        <v>-806606.78000000026</v>
      </c>
      <c r="H134" s="76">
        <v>18.731999999999999</v>
      </c>
      <c r="I134" s="10" t="s">
        <v>92</v>
      </c>
      <c r="J134" s="110"/>
    </row>
    <row r="135" spans="1:10" x14ac:dyDescent="0.3">
      <c r="A135" s="60">
        <v>46066</v>
      </c>
      <c r="B135" s="60" t="s">
        <v>57</v>
      </c>
      <c r="C135" s="65" t="s">
        <v>552</v>
      </c>
      <c r="D135" s="15" t="s">
        <v>24</v>
      </c>
      <c r="E135" s="169"/>
      <c r="F135" s="16">
        <v>45000.18</v>
      </c>
      <c r="G135" s="185">
        <f t="shared" si="1"/>
        <v>-851606.96000000031</v>
      </c>
      <c r="H135" s="76">
        <v>23.585000000000001</v>
      </c>
      <c r="I135" s="10" t="s">
        <v>92</v>
      </c>
      <c r="J135" s="110"/>
    </row>
    <row r="136" spans="1:10" x14ac:dyDescent="0.3">
      <c r="A136" s="60">
        <v>46066</v>
      </c>
      <c r="B136" s="60" t="s">
        <v>57</v>
      </c>
      <c r="C136" s="65" t="s">
        <v>553</v>
      </c>
      <c r="D136" s="15" t="s">
        <v>3</v>
      </c>
      <c r="E136" s="169"/>
      <c r="F136" s="16">
        <v>105010.6</v>
      </c>
      <c r="G136" s="185">
        <f t="shared" si="1"/>
        <v>-956617.56000000029</v>
      </c>
      <c r="H136" s="76">
        <v>55.036999999999999</v>
      </c>
      <c r="I136" s="10" t="s">
        <v>92</v>
      </c>
      <c r="J136" s="110"/>
    </row>
    <row r="137" spans="1:10" x14ac:dyDescent="0.3">
      <c r="A137" s="60">
        <v>46066</v>
      </c>
      <c r="B137" s="60" t="s">
        <v>57</v>
      </c>
      <c r="C137" s="65" t="s">
        <v>554</v>
      </c>
      <c r="D137" s="15" t="s">
        <v>429</v>
      </c>
      <c r="E137" s="169"/>
      <c r="F137" s="16">
        <v>45000.18</v>
      </c>
      <c r="G137" s="185">
        <f t="shared" si="1"/>
        <v>-1001617.7400000003</v>
      </c>
      <c r="H137" s="76">
        <v>23.585000000000001</v>
      </c>
      <c r="I137" s="10" t="s">
        <v>92</v>
      </c>
      <c r="J137" s="110"/>
    </row>
    <row r="138" spans="1:10" x14ac:dyDescent="0.3">
      <c r="A138" s="202">
        <v>46066</v>
      </c>
      <c r="B138" s="202" t="s">
        <v>60</v>
      </c>
      <c r="C138" s="203" t="s">
        <v>555</v>
      </c>
      <c r="D138" s="306" t="s">
        <v>1218</v>
      </c>
      <c r="E138" s="200">
        <v>2000000</v>
      </c>
      <c r="F138" s="339"/>
      <c r="G138" s="316">
        <f t="shared" si="1"/>
        <v>998382.25999999966</v>
      </c>
      <c r="H138" s="311"/>
      <c r="I138" s="199" t="s">
        <v>1222</v>
      </c>
      <c r="J138" s="110"/>
    </row>
    <row r="139" spans="1:10" x14ac:dyDescent="0.3">
      <c r="A139" s="60">
        <v>46066</v>
      </c>
      <c r="B139" s="60" t="s">
        <v>57</v>
      </c>
      <c r="C139" s="65" t="s">
        <v>556</v>
      </c>
      <c r="D139" s="15" t="s">
        <v>9</v>
      </c>
      <c r="E139" s="169"/>
      <c r="F139" s="16">
        <v>316646.40000000002</v>
      </c>
      <c r="G139" s="184">
        <f t="shared" si="1"/>
        <v>681735.85999999964</v>
      </c>
      <c r="H139" s="76">
        <v>176.7</v>
      </c>
      <c r="I139" s="10" t="s">
        <v>92</v>
      </c>
      <c r="J139" s="110"/>
    </row>
    <row r="140" spans="1:10" x14ac:dyDescent="0.3">
      <c r="A140" s="60">
        <v>46067</v>
      </c>
      <c r="B140" s="60" t="s">
        <v>57</v>
      </c>
      <c r="C140" s="65" t="s">
        <v>557</v>
      </c>
      <c r="D140" s="15" t="s">
        <v>3</v>
      </c>
      <c r="E140" s="169"/>
      <c r="F140" s="16">
        <v>45000.18</v>
      </c>
      <c r="G140" s="184">
        <f t="shared" si="1"/>
        <v>636735.67999999959</v>
      </c>
      <c r="H140" s="76">
        <v>23.585000000000001</v>
      </c>
      <c r="I140" s="10" t="s">
        <v>92</v>
      </c>
      <c r="J140" s="110"/>
    </row>
    <row r="141" spans="1:10" x14ac:dyDescent="0.3">
      <c r="A141" s="60">
        <v>46067</v>
      </c>
      <c r="B141" s="60" t="s">
        <v>57</v>
      </c>
      <c r="C141" s="65" t="s">
        <v>558</v>
      </c>
      <c r="D141" s="15" t="s">
        <v>26</v>
      </c>
      <c r="E141" s="169"/>
      <c r="F141" s="16">
        <v>132987.6</v>
      </c>
      <c r="G141" s="184">
        <f t="shared" si="1"/>
        <v>503748.07999999961</v>
      </c>
      <c r="H141" s="76">
        <v>69.7</v>
      </c>
      <c r="I141" s="10" t="s">
        <v>92</v>
      </c>
      <c r="J141" s="110"/>
    </row>
    <row r="142" spans="1:10" x14ac:dyDescent="0.3">
      <c r="A142" s="60">
        <v>46067</v>
      </c>
      <c r="B142" s="60" t="s">
        <v>57</v>
      </c>
      <c r="C142" s="65" t="s">
        <v>559</v>
      </c>
      <c r="D142" s="15" t="s">
        <v>6</v>
      </c>
      <c r="E142" s="169"/>
      <c r="F142" s="16">
        <v>45000.18</v>
      </c>
      <c r="G142" s="184">
        <f t="shared" si="1"/>
        <v>458747.89999999962</v>
      </c>
      <c r="H142" s="76">
        <v>23.585000000000001</v>
      </c>
      <c r="I142" s="10" t="s">
        <v>92</v>
      </c>
      <c r="J142" s="110"/>
    </row>
    <row r="143" spans="1:10" x14ac:dyDescent="0.3">
      <c r="A143" s="60">
        <v>46067</v>
      </c>
      <c r="B143" s="60" t="s">
        <v>57</v>
      </c>
      <c r="C143" s="65" t="s">
        <v>560</v>
      </c>
      <c r="D143" s="15" t="s">
        <v>117</v>
      </c>
      <c r="E143" s="169"/>
      <c r="F143" s="16">
        <v>17090.080000000002</v>
      </c>
      <c r="G143" s="184">
        <f t="shared" si="1"/>
        <v>441657.8199999996</v>
      </c>
      <c r="H143" s="76">
        <v>10.252000000000001</v>
      </c>
      <c r="I143" s="10" t="s">
        <v>92</v>
      </c>
      <c r="J143" s="110"/>
    </row>
    <row r="144" spans="1:10" x14ac:dyDescent="0.3">
      <c r="A144" s="60">
        <v>46067</v>
      </c>
      <c r="B144" s="60" t="s">
        <v>57</v>
      </c>
      <c r="C144" s="65" t="s">
        <v>561</v>
      </c>
      <c r="D144" s="15" t="s">
        <v>8</v>
      </c>
      <c r="E144" s="169"/>
      <c r="F144" s="16">
        <v>4654.26</v>
      </c>
      <c r="G144" s="184">
        <f t="shared" si="1"/>
        <v>437003.55999999959</v>
      </c>
      <c r="H144" s="76">
        <v>2.7919999999999998</v>
      </c>
      <c r="I144" s="10" t="s">
        <v>92</v>
      </c>
      <c r="J144" s="110"/>
    </row>
    <row r="145" spans="1:13" x14ac:dyDescent="0.3">
      <c r="A145" s="60">
        <v>46067</v>
      </c>
      <c r="B145" s="60" t="s">
        <v>57</v>
      </c>
      <c r="C145" s="65" t="s">
        <v>562</v>
      </c>
      <c r="D145" s="15" t="s">
        <v>429</v>
      </c>
      <c r="E145" s="169"/>
      <c r="F145" s="16">
        <v>45000.18</v>
      </c>
      <c r="G145" s="184">
        <f t="shared" si="1"/>
        <v>392003.3799999996</v>
      </c>
      <c r="H145" s="76">
        <v>23.585000000000001</v>
      </c>
      <c r="I145" s="10" t="s">
        <v>92</v>
      </c>
      <c r="J145" s="110"/>
    </row>
    <row r="146" spans="1:13" x14ac:dyDescent="0.3">
      <c r="A146" s="534" t="s">
        <v>694</v>
      </c>
      <c r="B146" s="534"/>
      <c r="C146" s="534"/>
      <c r="D146" s="534"/>
      <c r="E146" s="534"/>
      <c r="F146" s="534"/>
      <c r="G146" s="534"/>
      <c r="H146" s="512">
        <f>SUM(H100:H145)</f>
        <v>2638.9499999999994</v>
      </c>
      <c r="I146" s="512"/>
      <c r="J146" s="110"/>
    </row>
    <row r="147" spans="1:13" ht="15.6" x14ac:dyDescent="0.3">
      <c r="A147" s="561" t="s">
        <v>512</v>
      </c>
      <c r="B147" s="562"/>
      <c r="C147" s="562"/>
      <c r="D147" s="562"/>
      <c r="E147" s="562"/>
      <c r="F147" s="562"/>
      <c r="G147" s="562"/>
      <c r="H147" s="562"/>
      <c r="I147" s="563"/>
      <c r="J147" s="110"/>
      <c r="K147" s="526" t="s">
        <v>587</v>
      </c>
      <c r="L147" s="526"/>
      <c r="M147" s="526"/>
    </row>
    <row r="148" spans="1:13" x14ac:dyDescent="0.3">
      <c r="A148" s="60">
        <v>46068</v>
      </c>
      <c r="B148" s="60" t="s">
        <v>57</v>
      </c>
      <c r="C148" s="65" t="s">
        <v>563</v>
      </c>
      <c r="D148" s="15" t="s">
        <v>3</v>
      </c>
      <c r="E148" s="169"/>
      <c r="F148" s="16">
        <v>44999.48</v>
      </c>
      <c r="G148" s="184">
        <f>+G145+E148-F148</f>
        <v>347003.89999999962</v>
      </c>
      <c r="H148" s="76">
        <v>23.597000000000001</v>
      </c>
      <c r="I148" s="10" t="s">
        <v>92</v>
      </c>
      <c r="J148" s="110"/>
      <c r="K148" s="545" t="s">
        <v>34</v>
      </c>
      <c r="L148" s="545"/>
      <c r="M148" s="545"/>
    </row>
    <row r="149" spans="1:13" x14ac:dyDescent="0.3">
      <c r="A149" s="60">
        <v>46068</v>
      </c>
      <c r="B149" s="60" t="s">
        <v>57</v>
      </c>
      <c r="C149" s="65" t="s">
        <v>564</v>
      </c>
      <c r="D149" s="15" t="s">
        <v>6</v>
      </c>
      <c r="E149" s="169"/>
      <c r="F149" s="16">
        <v>44999.48</v>
      </c>
      <c r="G149" s="184">
        <f t="shared" si="1"/>
        <v>302004.41999999963</v>
      </c>
      <c r="H149" s="76">
        <v>23.597000000000001</v>
      </c>
      <c r="I149" s="10" t="s">
        <v>92</v>
      </c>
      <c r="J149" s="110"/>
      <c r="K149" s="71" t="s">
        <v>32</v>
      </c>
      <c r="L149" s="43" t="s">
        <v>35</v>
      </c>
      <c r="M149" s="43" t="s">
        <v>33</v>
      </c>
    </row>
    <row r="150" spans="1:13" x14ac:dyDescent="0.3">
      <c r="A150" s="60">
        <v>46068</v>
      </c>
      <c r="B150" s="60" t="s">
        <v>57</v>
      </c>
      <c r="C150" s="65" t="s">
        <v>565</v>
      </c>
      <c r="D150" s="15" t="s">
        <v>24</v>
      </c>
      <c r="E150" s="169"/>
      <c r="F150" s="16">
        <v>44999.48</v>
      </c>
      <c r="G150" s="184">
        <f t="shared" si="1"/>
        <v>257004.93999999962</v>
      </c>
      <c r="H150" s="76">
        <v>23.597000000000001</v>
      </c>
      <c r="I150" s="10" t="s">
        <v>92</v>
      </c>
      <c r="J150" s="110"/>
      <c r="K150" s="69" t="s">
        <v>0</v>
      </c>
      <c r="L150" s="73" t="s">
        <v>92</v>
      </c>
      <c r="M150" s="26">
        <v>0</v>
      </c>
    </row>
    <row r="151" spans="1:13" x14ac:dyDescent="0.3">
      <c r="A151" s="60">
        <v>46069</v>
      </c>
      <c r="B151" s="60" t="s">
        <v>57</v>
      </c>
      <c r="C151" s="65" t="s">
        <v>566</v>
      </c>
      <c r="D151" s="15" t="s">
        <v>61</v>
      </c>
      <c r="E151" s="169"/>
      <c r="F151" s="16">
        <v>188375.04000000001</v>
      </c>
      <c r="G151" s="184">
        <f t="shared" si="1"/>
        <v>68629.899999999616</v>
      </c>
      <c r="H151" s="76">
        <v>98.111999999999995</v>
      </c>
      <c r="I151" s="10" t="s">
        <v>92</v>
      </c>
      <c r="J151" s="110"/>
      <c r="K151" s="69" t="s">
        <v>1</v>
      </c>
      <c r="L151" s="73" t="s">
        <v>92</v>
      </c>
      <c r="M151" s="42">
        <f>SUM(H191)</f>
        <v>71.540000000000006</v>
      </c>
    </row>
    <row r="152" spans="1:13" x14ac:dyDescent="0.3">
      <c r="A152" s="60">
        <v>46069</v>
      </c>
      <c r="B152" s="60" t="s">
        <v>57</v>
      </c>
      <c r="C152" s="65" t="s">
        <v>567</v>
      </c>
      <c r="D152" s="15" t="s">
        <v>22</v>
      </c>
      <c r="E152" s="169"/>
      <c r="F152" s="16">
        <v>417993.6</v>
      </c>
      <c r="G152" s="185">
        <f t="shared" si="1"/>
        <v>-349363.70000000036</v>
      </c>
      <c r="H152" s="76">
        <v>217.70500000000001</v>
      </c>
      <c r="I152" s="10" t="s">
        <v>92</v>
      </c>
      <c r="J152" s="110"/>
      <c r="K152" s="24" t="s">
        <v>27</v>
      </c>
      <c r="L152" s="73" t="s">
        <v>92</v>
      </c>
      <c r="M152" s="26">
        <v>0</v>
      </c>
    </row>
    <row r="153" spans="1:13" x14ac:dyDescent="0.3">
      <c r="A153" s="202">
        <v>46069</v>
      </c>
      <c r="B153" s="202" t="s">
        <v>60</v>
      </c>
      <c r="C153" s="203" t="s">
        <v>568</v>
      </c>
      <c r="D153" s="306" t="s">
        <v>1218</v>
      </c>
      <c r="E153" s="200">
        <v>1000000</v>
      </c>
      <c r="F153" s="339"/>
      <c r="G153" s="316">
        <f t="shared" si="1"/>
        <v>650636.29999999958</v>
      </c>
      <c r="H153" s="311"/>
      <c r="I153" s="199" t="s">
        <v>1222</v>
      </c>
      <c r="J153" s="110"/>
      <c r="K153" s="76" t="s">
        <v>429</v>
      </c>
      <c r="L153" s="73" t="s">
        <v>92</v>
      </c>
      <c r="M153" s="80">
        <f>SUM(H160+H167+H173)</f>
        <v>70.325999999999993</v>
      </c>
    </row>
    <row r="154" spans="1:13" x14ac:dyDescent="0.3">
      <c r="A154" s="60">
        <v>46069</v>
      </c>
      <c r="B154" s="60" t="s">
        <v>57</v>
      </c>
      <c r="C154" s="65" t="s">
        <v>569</v>
      </c>
      <c r="D154" s="15" t="s">
        <v>3</v>
      </c>
      <c r="E154" s="169"/>
      <c r="F154" s="16">
        <v>45000.959999999999</v>
      </c>
      <c r="G154" s="184">
        <f t="shared" si="1"/>
        <v>605635.33999999962</v>
      </c>
      <c r="H154" s="76">
        <v>23.437999999999999</v>
      </c>
      <c r="I154" s="10" t="s">
        <v>92</v>
      </c>
      <c r="J154" s="110"/>
      <c r="K154" s="76" t="s">
        <v>62</v>
      </c>
      <c r="L154" s="73" t="s">
        <v>92</v>
      </c>
      <c r="M154" s="80">
        <f>SUM(H168+H171+H177+H192)</f>
        <v>93.543999999999997</v>
      </c>
    </row>
    <row r="155" spans="1:13" x14ac:dyDescent="0.3">
      <c r="A155" s="60">
        <v>46069</v>
      </c>
      <c r="B155" s="60" t="s">
        <v>57</v>
      </c>
      <c r="C155" s="65" t="s">
        <v>570</v>
      </c>
      <c r="D155" s="15" t="s">
        <v>117</v>
      </c>
      <c r="E155" s="169"/>
      <c r="F155" s="16">
        <v>38007.47</v>
      </c>
      <c r="G155" s="184">
        <f t="shared" si="1"/>
        <v>567627.86999999965</v>
      </c>
      <c r="H155" s="76">
        <v>21.126999999999999</v>
      </c>
      <c r="I155" s="10" t="s">
        <v>92</v>
      </c>
      <c r="J155" s="110"/>
      <c r="K155" s="76" t="s">
        <v>541</v>
      </c>
      <c r="L155" s="73" t="s">
        <v>92</v>
      </c>
      <c r="M155" s="80">
        <v>0</v>
      </c>
    </row>
    <row r="156" spans="1:13" x14ac:dyDescent="0.3">
      <c r="A156" s="60">
        <v>46069</v>
      </c>
      <c r="B156" s="60" t="s">
        <v>57</v>
      </c>
      <c r="C156" s="65" t="s">
        <v>571</v>
      </c>
      <c r="D156" s="15" t="s">
        <v>6</v>
      </c>
      <c r="E156" s="169"/>
      <c r="F156" s="16">
        <v>45000.959999999999</v>
      </c>
      <c r="G156" s="184">
        <f t="shared" si="1"/>
        <v>522626.90999999963</v>
      </c>
      <c r="H156" s="76">
        <v>23.437999999999999</v>
      </c>
      <c r="I156" s="10" t="s">
        <v>92</v>
      </c>
      <c r="J156" s="110"/>
      <c r="K156" s="76" t="s">
        <v>361</v>
      </c>
      <c r="L156" s="73" t="s">
        <v>92</v>
      </c>
      <c r="M156" s="80">
        <f>SUM(H166+H186)</f>
        <v>18.363999999999997</v>
      </c>
    </row>
    <row r="157" spans="1:13" x14ac:dyDescent="0.3">
      <c r="A157" s="60">
        <v>46070</v>
      </c>
      <c r="B157" s="60" t="s">
        <v>57</v>
      </c>
      <c r="C157" s="65" t="s">
        <v>572</v>
      </c>
      <c r="D157" s="15" t="s">
        <v>3</v>
      </c>
      <c r="E157" s="169"/>
      <c r="F157" s="16">
        <v>45000.959999999999</v>
      </c>
      <c r="G157" s="184">
        <f t="shared" si="1"/>
        <v>477625.9499999996</v>
      </c>
      <c r="H157" s="76">
        <v>23.437999999999999</v>
      </c>
      <c r="I157" s="10" t="s">
        <v>92</v>
      </c>
      <c r="J157" s="110"/>
      <c r="K157" s="69" t="s">
        <v>24</v>
      </c>
      <c r="L157" s="73" t="s">
        <v>92</v>
      </c>
      <c r="M157" s="26">
        <f>SUM(H150+H161+H182+H187)</f>
        <v>125.315</v>
      </c>
    </row>
    <row r="158" spans="1:13" x14ac:dyDescent="0.3">
      <c r="A158" s="60">
        <v>46070</v>
      </c>
      <c r="B158" s="60" t="s">
        <v>57</v>
      </c>
      <c r="C158" s="65" t="s">
        <v>573</v>
      </c>
      <c r="D158" s="15" t="s">
        <v>117</v>
      </c>
      <c r="E158" s="169"/>
      <c r="F158" s="16">
        <v>71420.160000000003</v>
      </c>
      <c r="G158" s="184">
        <f t="shared" si="1"/>
        <v>406205.78999999957</v>
      </c>
      <c r="H158" s="76">
        <v>39.722000000000001</v>
      </c>
      <c r="I158" s="10" t="s">
        <v>92</v>
      </c>
      <c r="J158" s="110"/>
      <c r="K158" s="69" t="s">
        <v>29</v>
      </c>
      <c r="L158" s="73" t="s">
        <v>92</v>
      </c>
      <c r="M158" s="26">
        <f>SUM(H164)</f>
        <v>73.814999999999998</v>
      </c>
    </row>
    <row r="159" spans="1:13" x14ac:dyDescent="0.3">
      <c r="A159" s="60">
        <v>46070</v>
      </c>
      <c r="B159" s="60" t="s">
        <v>57</v>
      </c>
      <c r="C159" s="65" t="s">
        <v>574</v>
      </c>
      <c r="D159" s="15" t="s">
        <v>8</v>
      </c>
      <c r="E159" s="169"/>
      <c r="F159" s="16">
        <v>45000.959999999999</v>
      </c>
      <c r="G159" s="184">
        <f t="shared" si="1"/>
        <v>361204.82999999955</v>
      </c>
      <c r="H159" s="76">
        <v>23.437999999999999</v>
      </c>
      <c r="I159" s="10" t="s">
        <v>92</v>
      </c>
      <c r="J159" s="110"/>
      <c r="K159" s="69" t="s">
        <v>3</v>
      </c>
      <c r="L159" s="73" t="s">
        <v>92</v>
      </c>
      <c r="M159" s="26">
        <f>SUM(H148+H154+H157+H162+H178+H188)</f>
        <v>183.09899999999999</v>
      </c>
    </row>
    <row r="160" spans="1:13" x14ac:dyDescent="0.3">
      <c r="A160" s="60">
        <v>46070</v>
      </c>
      <c r="B160" s="60" t="s">
        <v>57</v>
      </c>
      <c r="C160" s="65" t="s">
        <v>575</v>
      </c>
      <c r="D160" s="15" t="s">
        <v>429</v>
      </c>
      <c r="E160" s="169"/>
      <c r="F160" s="16">
        <v>45000.959999999999</v>
      </c>
      <c r="G160" s="184">
        <f t="shared" si="1"/>
        <v>316203.86999999953</v>
      </c>
      <c r="H160" s="76">
        <v>23.437999999999999</v>
      </c>
      <c r="I160" s="10" t="s">
        <v>92</v>
      </c>
      <c r="J160" s="110"/>
      <c r="K160" s="69" t="s">
        <v>5</v>
      </c>
      <c r="L160" s="73" t="s">
        <v>92</v>
      </c>
      <c r="M160" s="26">
        <f>SUM(H163+H176+H183)</f>
        <v>70.215999999999994</v>
      </c>
    </row>
    <row r="161" spans="1:13" x14ac:dyDescent="0.3">
      <c r="A161" s="60">
        <v>46070</v>
      </c>
      <c r="B161" s="60" t="s">
        <v>57</v>
      </c>
      <c r="C161" s="65" t="s">
        <v>576</v>
      </c>
      <c r="D161" s="15" t="s">
        <v>24</v>
      </c>
      <c r="E161" s="169"/>
      <c r="F161" s="16">
        <v>45000.959999999999</v>
      </c>
      <c r="G161" s="184">
        <f t="shared" si="1"/>
        <v>271202.90999999951</v>
      </c>
      <c r="H161" s="76">
        <v>23.437999999999999</v>
      </c>
      <c r="I161" s="10" t="s">
        <v>92</v>
      </c>
      <c r="J161" s="110"/>
      <c r="K161" s="69" t="s">
        <v>61</v>
      </c>
      <c r="L161" s="73" t="s">
        <v>92</v>
      </c>
      <c r="M161" s="80">
        <f>SUM(H151+H170)</f>
        <v>199.059</v>
      </c>
    </row>
    <row r="162" spans="1:13" x14ac:dyDescent="0.3">
      <c r="A162" s="60">
        <v>46071</v>
      </c>
      <c r="B162" s="60" t="s">
        <v>57</v>
      </c>
      <c r="C162" s="65" t="s">
        <v>577</v>
      </c>
      <c r="D162" s="15" t="s">
        <v>3</v>
      </c>
      <c r="E162" s="169"/>
      <c r="F162" s="16">
        <v>45000.959999999999</v>
      </c>
      <c r="G162" s="184">
        <f t="shared" si="1"/>
        <v>226201.94999999952</v>
      </c>
      <c r="H162" s="76">
        <v>23.437999999999999</v>
      </c>
      <c r="I162" s="10" t="s">
        <v>92</v>
      </c>
      <c r="J162" s="110"/>
      <c r="K162" s="69" t="s">
        <v>22</v>
      </c>
      <c r="L162" s="73" t="s">
        <v>92</v>
      </c>
      <c r="M162" s="26">
        <f>SUM(H152+H189)</f>
        <v>460.74700000000001</v>
      </c>
    </row>
    <row r="163" spans="1:13" x14ac:dyDescent="0.3">
      <c r="A163" s="60">
        <v>46071</v>
      </c>
      <c r="B163" s="60" t="s">
        <v>57</v>
      </c>
      <c r="C163" s="65" t="s">
        <v>578</v>
      </c>
      <c r="D163" s="15" t="s">
        <v>5</v>
      </c>
      <c r="E163" s="169"/>
      <c r="F163" s="16">
        <v>45000.959999999999</v>
      </c>
      <c r="G163" s="184">
        <f t="shared" si="1"/>
        <v>181200.98999999953</v>
      </c>
      <c r="H163" s="76">
        <v>23.437999999999999</v>
      </c>
      <c r="I163" s="10" t="s">
        <v>92</v>
      </c>
      <c r="J163" s="110"/>
      <c r="K163" s="69" t="s">
        <v>6</v>
      </c>
      <c r="L163" s="73" t="s">
        <v>92</v>
      </c>
      <c r="M163" s="26">
        <f>SUM(H149+H156+H169+H180)</f>
        <v>93.801000000000002</v>
      </c>
    </row>
    <row r="164" spans="1:13" x14ac:dyDescent="0.3">
      <c r="A164" s="60">
        <v>46071</v>
      </c>
      <c r="B164" s="60" t="s">
        <v>57</v>
      </c>
      <c r="C164" s="65" t="s">
        <v>579</v>
      </c>
      <c r="D164" s="15" t="s">
        <v>26</v>
      </c>
      <c r="E164" s="169"/>
      <c r="F164" s="16">
        <v>141724.79999999999</v>
      </c>
      <c r="G164" s="184">
        <f t="shared" si="1"/>
        <v>39476.189999999537</v>
      </c>
      <c r="H164" s="76">
        <v>73.814999999999998</v>
      </c>
      <c r="I164" s="10" t="s">
        <v>92</v>
      </c>
      <c r="J164" s="110"/>
      <c r="K164" s="69" t="s">
        <v>8</v>
      </c>
      <c r="L164" s="73" t="s">
        <v>92</v>
      </c>
      <c r="M164" s="26">
        <f>SUM(H159+H174+H185)</f>
        <v>70.215999999999994</v>
      </c>
    </row>
    <row r="165" spans="1:13" x14ac:dyDescent="0.3">
      <c r="A165" s="60">
        <v>46071</v>
      </c>
      <c r="B165" s="60" t="s">
        <v>57</v>
      </c>
      <c r="C165" s="65" t="s">
        <v>580</v>
      </c>
      <c r="D165" s="15" t="s">
        <v>117</v>
      </c>
      <c r="E165" s="169"/>
      <c r="F165" s="16">
        <v>74304</v>
      </c>
      <c r="G165" s="185">
        <f t="shared" si="1"/>
        <v>-34827.810000000463</v>
      </c>
      <c r="H165" s="76">
        <v>38.700000000000003</v>
      </c>
      <c r="I165" s="10" t="s">
        <v>92</v>
      </c>
      <c r="J165" s="110"/>
      <c r="K165" s="69" t="s">
        <v>9</v>
      </c>
      <c r="L165" s="73" t="s">
        <v>92</v>
      </c>
      <c r="M165" s="26">
        <f>SUM(H175+H190)</f>
        <v>259.1019</v>
      </c>
    </row>
    <row r="166" spans="1:13" x14ac:dyDescent="0.3">
      <c r="A166" s="60">
        <v>46071</v>
      </c>
      <c r="B166" s="60" t="s">
        <v>57</v>
      </c>
      <c r="C166" s="65" t="s">
        <v>581</v>
      </c>
      <c r="D166" s="15" t="s">
        <v>361</v>
      </c>
      <c r="E166" s="169"/>
      <c r="F166" s="16">
        <v>17628.75</v>
      </c>
      <c r="G166" s="185">
        <f t="shared" si="1"/>
        <v>-52456.560000000463</v>
      </c>
      <c r="H166" s="76">
        <v>9.4019999999999992</v>
      </c>
      <c r="I166" s="10" t="s">
        <v>92</v>
      </c>
      <c r="J166" s="110"/>
      <c r="K166" s="69" t="s">
        <v>30</v>
      </c>
      <c r="L166" s="73" t="s">
        <v>92</v>
      </c>
      <c r="M166" s="26">
        <f>SUM(H184)</f>
        <v>276.322</v>
      </c>
    </row>
    <row r="167" spans="1:13" x14ac:dyDescent="0.3">
      <c r="A167" s="60">
        <v>46071</v>
      </c>
      <c r="B167" s="60" t="s">
        <v>57</v>
      </c>
      <c r="C167" s="65" t="s">
        <v>582</v>
      </c>
      <c r="D167" s="15" t="s">
        <v>429</v>
      </c>
      <c r="E167" s="169"/>
      <c r="F167" s="16">
        <v>45000.959999999999</v>
      </c>
      <c r="G167" s="185">
        <f t="shared" si="1"/>
        <v>-97457.520000000455</v>
      </c>
      <c r="H167" s="76">
        <v>23.437999999999999</v>
      </c>
      <c r="I167" s="10" t="s">
        <v>92</v>
      </c>
      <c r="J167" s="110"/>
      <c r="K167" s="69" t="s">
        <v>10</v>
      </c>
      <c r="L167" s="73" t="s">
        <v>92</v>
      </c>
      <c r="M167" s="26">
        <v>0</v>
      </c>
    </row>
    <row r="168" spans="1:13" x14ac:dyDescent="0.3">
      <c r="A168" s="60">
        <v>46071</v>
      </c>
      <c r="B168" s="60" t="s">
        <v>57</v>
      </c>
      <c r="C168" s="65" t="s">
        <v>583</v>
      </c>
      <c r="D168" s="15" t="s">
        <v>62</v>
      </c>
      <c r="E168" s="169"/>
      <c r="F168" s="16">
        <v>45000.959999999999</v>
      </c>
      <c r="G168" s="185">
        <f t="shared" si="1"/>
        <v>-142458.48000000045</v>
      </c>
      <c r="H168" s="76">
        <v>23.437999999999999</v>
      </c>
      <c r="I168" s="10" t="s">
        <v>92</v>
      </c>
      <c r="J168" s="110"/>
      <c r="K168" s="69" t="s">
        <v>11</v>
      </c>
      <c r="L168" s="73" t="s">
        <v>92</v>
      </c>
      <c r="M168" s="26">
        <f>SUM(H155+H158+H165+H172+H179)</f>
        <v>152.01400000000001</v>
      </c>
    </row>
    <row r="169" spans="1:13" x14ac:dyDescent="0.3">
      <c r="A169" s="60">
        <v>46071</v>
      </c>
      <c r="B169" s="60" t="s">
        <v>57</v>
      </c>
      <c r="C169" s="65" t="s">
        <v>584</v>
      </c>
      <c r="D169" s="15" t="s">
        <v>6</v>
      </c>
      <c r="E169" s="169"/>
      <c r="F169" s="16">
        <v>45000.959999999999</v>
      </c>
      <c r="G169" s="185">
        <f t="shared" si="1"/>
        <v>-187459.44000000044</v>
      </c>
      <c r="H169" s="76">
        <v>23.437999999999999</v>
      </c>
      <c r="I169" s="10" t="s">
        <v>92</v>
      </c>
      <c r="J169" s="110"/>
      <c r="K169" s="147" t="s">
        <v>695</v>
      </c>
      <c r="L169" s="147"/>
      <c r="M169" s="147">
        <f>SUM(M151:M168)</f>
        <v>2217.4798999999998</v>
      </c>
    </row>
    <row r="170" spans="1:13" x14ac:dyDescent="0.3">
      <c r="A170" s="60">
        <v>46072</v>
      </c>
      <c r="B170" s="60" t="s">
        <v>57</v>
      </c>
      <c r="C170" s="65" t="s">
        <v>585</v>
      </c>
      <c r="D170" s="15" t="s">
        <v>61</v>
      </c>
      <c r="E170" s="169"/>
      <c r="F170" s="16">
        <v>193717.29</v>
      </c>
      <c r="G170" s="185">
        <f t="shared" si="1"/>
        <v>-381176.73000000045</v>
      </c>
      <c r="H170" s="76">
        <v>100.947</v>
      </c>
      <c r="I170" s="10" t="s">
        <v>92</v>
      </c>
      <c r="J170" s="110"/>
    </row>
    <row r="171" spans="1:13" x14ac:dyDescent="0.3">
      <c r="A171" s="60">
        <v>46072</v>
      </c>
      <c r="B171" s="60" t="s">
        <v>57</v>
      </c>
      <c r="C171" s="65" t="s">
        <v>586</v>
      </c>
      <c r="D171" s="15" t="s">
        <v>62</v>
      </c>
      <c r="E171" s="169"/>
      <c r="F171" s="16">
        <v>45000.55</v>
      </c>
      <c r="G171" s="185">
        <f t="shared" si="1"/>
        <v>-426177.28000000044</v>
      </c>
      <c r="H171" s="76">
        <v>23.45</v>
      </c>
      <c r="I171" s="10" t="s">
        <v>92</v>
      </c>
      <c r="J171" s="110"/>
    </row>
    <row r="172" spans="1:13" x14ac:dyDescent="0.3">
      <c r="A172" s="60">
        <v>46072</v>
      </c>
      <c r="B172" s="60" t="s">
        <v>57</v>
      </c>
      <c r="C172" s="65" t="s">
        <v>588</v>
      </c>
      <c r="D172" s="15" t="s">
        <v>117</v>
      </c>
      <c r="E172" s="169"/>
      <c r="F172" s="16">
        <v>75013.710000000006</v>
      </c>
      <c r="G172" s="185">
        <f t="shared" si="1"/>
        <v>-501190.99000000046</v>
      </c>
      <c r="H172" s="76">
        <v>39.090000000000003</v>
      </c>
      <c r="I172" s="10" t="s">
        <v>92</v>
      </c>
      <c r="J172" s="110"/>
    </row>
    <row r="173" spans="1:13" x14ac:dyDescent="0.3">
      <c r="A173" s="60">
        <v>46072</v>
      </c>
      <c r="B173" s="60" t="s">
        <v>57</v>
      </c>
      <c r="C173" s="65" t="s">
        <v>589</v>
      </c>
      <c r="D173" s="15" t="s">
        <v>429</v>
      </c>
      <c r="E173" s="169"/>
      <c r="F173" s="16">
        <v>45000.55</v>
      </c>
      <c r="G173" s="185">
        <f t="shared" si="1"/>
        <v>-546191.5400000005</v>
      </c>
      <c r="H173" s="76">
        <v>23.45</v>
      </c>
      <c r="I173" s="10" t="s">
        <v>92</v>
      </c>
      <c r="J173" s="110"/>
    </row>
    <row r="174" spans="1:13" x14ac:dyDescent="0.3">
      <c r="A174" s="60">
        <v>46072</v>
      </c>
      <c r="B174" s="60" t="s">
        <v>57</v>
      </c>
      <c r="C174" s="65" t="s">
        <v>590</v>
      </c>
      <c r="D174" s="15" t="s">
        <v>8</v>
      </c>
      <c r="E174" s="169"/>
      <c r="F174" s="16">
        <v>45000.55</v>
      </c>
      <c r="G174" s="185">
        <f t="shared" si="1"/>
        <v>-591192.09000000055</v>
      </c>
      <c r="H174" s="76">
        <v>23.45</v>
      </c>
      <c r="I174" s="10" t="s">
        <v>92</v>
      </c>
      <c r="J174" s="110"/>
    </row>
    <row r="175" spans="1:13" x14ac:dyDescent="0.3">
      <c r="A175" s="60">
        <v>46072</v>
      </c>
      <c r="B175" s="60" t="s">
        <v>57</v>
      </c>
      <c r="C175" s="65" t="s">
        <v>591</v>
      </c>
      <c r="D175" s="15" t="s">
        <v>9</v>
      </c>
      <c r="E175" s="169"/>
      <c r="F175" s="16">
        <v>250950.74</v>
      </c>
      <c r="G175" s="185">
        <f t="shared" si="1"/>
        <v>-842142.83000000054</v>
      </c>
      <c r="H175" s="124">
        <v>138.87700000000001</v>
      </c>
      <c r="I175" s="10" t="s">
        <v>92</v>
      </c>
      <c r="J175" s="110"/>
    </row>
    <row r="176" spans="1:13" x14ac:dyDescent="0.3">
      <c r="A176" s="60">
        <v>46072</v>
      </c>
      <c r="B176" s="60" t="s">
        <v>57</v>
      </c>
      <c r="C176" s="65" t="s">
        <v>592</v>
      </c>
      <c r="D176" s="15" t="s">
        <v>5</v>
      </c>
      <c r="E176" s="169"/>
      <c r="F176" s="16">
        <v>45000.55</v>
      </c>
      <c r="G176" s="185">
        <f t="shared" si="1"/>
        <v>-887143.38000000059</v>
      </c>
      <c r="H176" s="76">
        <v>23.45</v>
      </c>
      <c r="I176" s="10" t="s">
        <v>92</v>
      </c>
      <c r="J176" s="110"/>
    </row>
    <row r="177" spans="1:10" x14ac:dyDescent="0.3">
      <c r="A177" s="60">
        <v>46073</v>
      </c>
      <c r="B177" s="60" t="s">
        <v>57</v>
      </c>
      <c r="C177" s="65" t="s">
        <v>593</v>
      </c>
      <c r="D177" s="15" t="s">
        <v>62</v>
      </c>
      <c r="E177" s="169"/>
      <c r="F177" s="16">
        <v>44999.71</v>
      </c>
      <c r="G177" s="185">
        <f t="shared" si="1"/>
        <v>-932143.09000000055</v>
      </c>
      <c r="H177" s="76">
        <v>23.327999999999999</v>
      </c>
      <c r="I177" s="10" t="s">
        <v>92</v>
      </c>
      <c r="J177" s="110"/>
    </row>
    <row r="178" spans="1:10" x14ac:dyDescent="0.3">
      <c r="A178" s="60">
        <v>46073</v>
      </c>
      <c r="B178" s="60" t="s">
        <v>57</v>
      </c>
      <c r="C178" s="65" t="s">
        <v>594</v>
      </c>
      <c r="D178" s="15" t="s">
        <v>3</v>
      </c>
      <c r="E178" s="169"/>
      <c r="F178" s="16">
        <v>44999.71</v>
      </c>
      <c r="G178" s="185">
        <f t="shared" si="1"/>
        <v>-977142.80000000051</v>
      </c>
      <c r="H178" s="76">
        <v>23.327999999999999</v>
      </c>
      <c r="I178" s="10" t="s">
        <v>92</v>
      </c>
      <c r="J178" s="110"/>
    </row>
    <row r="179" spans="1:10" x14ac:dyDescent="0.3">
      <c r="A179" s="60">
        <v>46073</v>
      </c>
      <c r="B179" s="60" t="s">
        <v>57</v>
      </c>
      <c r="C179" s="65" t="s">
        <v>595</v>
      </c>
      <c r="D179" s="15" t="s">
        <v>117</v>
      </c>
      <c r="E179" s="169"/>
      <c r="F179" s="16">
        <v>25800.38</v>
      </c>
      <c r="G179" s="185">
        <f t="shared" si="1"/>
        <v>-1002943.1800000005</v>
      </c>
      <c r="H179" s="76">
        <v>13.375</v>
      </c>
      <c r="I179" s="10" t="s">
        <v>92</v>
      </c>
      <c r="J179" s="110"/>
    </row>
    <row r="180" spans="1:10" x14ac:dyDescent="0.3">
      <c r="A180" s="60">
        <v>46073</v>
      </c>
      <c r="B180" s="60" t="s">
        <v>57</v>
      </c>
      <c r="C180" s="65" t="s">
        <v>596</v>
      </c>
      <c r="D180" s="15" t="s">
        <v>6</v>
      </c>
      <c r="E180" s="169"/>
      <c r="F180" s="16">
        <v>44999.71</v>
      </c>
      <c r="G180" s="185">
        <f t="shared" si="1"/>
        <v>-1047942.8900000005</v>
      </c>
      <c r="H180" s="76">
        <v>23.327999999999999</v>
      </c>
      <c r="I180" s="10" t="s">
        <v>92</v>
      </c>
      <c r="J180" s="110"/>
    </row>
    <row r="181" spans="1:10" x14ac:dyDescent="0.3">
      <c r="A181" s="202">
        <v>46073</v>
      </c>
      <c r="B181" s="202" t="s">
        <v>60</v>
      </c>
      <c r="C181" s="203" t="s">
        <v>597</v>
      </c>
      <c r="D181" s="306" t="s">
        <v>1218</v>
      </c>
      <c r="E181" s="200">
        <v>2500000</v>
      </c>
      <c r="F181" s="339"/>
      <c r="G181" s="316">
        <f t="shared" si="1"/>
        <v>1452057.1099999994</v>
      </c>
      <c r="H181" s="311"/>
      <c r="I181" s="199" t="s">
        <v>1222</v>
      </c>
      <c r="J181" s="110"/>
    </row>
    <row r="182" spans="1:10" x14ac:dyDescent="0.3">
      <c r="A182" s="60">
        <v>46073</v>
      </c>
      <c r="B182" s="60" t="s">
        <v>57</v>
      </c>
      <c r="C182" s="65" t="s">
        <v>598</v>
      </c>
      <c r="D182" s="15" t="s">
        <v>24</v>
      </c>
      <c r="E182" s="169"/>
      <c r="F182" s="16">
        <v>44999.71</v>
      </c>
      <c r="G182" s="184">
        <f t="shared" si="1"/>
        <v>1407057.3999999994</v>
      </c>
      <c r="H182" s="76">
        <v>23.327999999999999</v>
      </c>
      <c r="I182" s="10" t="s">
        <v>92</v>
      </c>
      <c r="J182" s="110"/>
    </row>
    <row r="183" spans="1:10" x14ac:dyDescent="0.3">
      <c r="A183" s="60">
        <v>46074</v>
      </c>
      <c r="B183" s="60" t="s">
        <v>57</v>
      </c>
      <c r="C183" s="65" t="s">
        <v>599</v>
      </c>
      <c r="D183" s="15" t="s">
        <v>5</v>
      </c>
      <c r="E183" s="169"/>
      <c r="F183" s="16">
        <v>44999.71</v>
      </c>
      <c r="G183" s="184">
        <f t="shared" si="1"/>
        <v>1362057.6899999995</v>
      </c>
      <c r="H183" s="76">
        <v>23.327999999999999</v>
      </c>
      <c r="I183" s="10" t="s">
        <v>92</v>
      </c>
      <c r="J183" s="110"/>
    </row>
    <row r="184" spans="1:10" x14ac:dyDescent="0.3">
      <c r="A184" s="60">
        <v>46074</v>
      </c>
      <c r="B184" s="60" t="s">
        <v>57</v>
      </c>
      <c r="C184" s="65" t="s">
        <v>600</v>
      </c>
      <c r="D184" s="15" t="s">
        <v>30</v>
      </c>
      <c r="E184" s="169"/>
      <c r="F184" s="16">
        <v>533025.14</v>
      </c>
      <c r="G184" s="184">
        <f t="shared" si="1"/>
        <v>829032.54999999946</v>
      </c>
      <c r="H184" s="76">
        <v>276.322</v>
      </c>
      <c r="I184" s="10" t="s">
        <v>92</v>
      </c>
      <c r="J184" s="110"/>
    </row>
    <row r="185" spans="1:10" x14ac:dyDescent="0.3">
      <c r="A185" s="60">
        <v>46074</v>
      </c>
      <c r="B185" s="60" t="s">
        <v>57</v>
      </c>
      <c r="C185" s="65" t="s">
        <v>601</v>
      </c>
      <c r="D185" s="15" t="s">
        <v>8</v>
      </c>
      <c r="E185" s="169"/>
      <c r="F185" s="16">
        <v>44999.71</v>
      </c>
      <c r="G185" s="184">
        <f t="shared" si="1"/>
        <v>784032.8399999995</v>
      </c>
      <c r="H185" s="76">
        <v>23.327999999999999</v>
      </c>
      <c r="I185" s="10" t="s">
        <v>92</v>
      </c>
      <c r="J185" s="110"/>
    </row>
    <row r="186" spans="1:10" x14ac:dyDescent="0.3">
      <c r="A186" s="60">
        <v>46074</v>
      </c>
      <c r="B186" s="60" t="s">
        <v>57</v>
      </c>
      <c r="C186" s="65" t="s">
        <v>602</v>
      </c>
      <c r="D186" s="15" t="s">
        <v>361</v>
      </c>
      <c r="E186" s="169"/>
      <c r="F186" s="16">
        <v>15118.89</v>
      </c>
      <c r="G186" s="184">
        <f t="shared" si="1"/>
        <v>768913.94999999949</v>
      </c>
      <c r="H186" s="76">
        <v>8.9619999999999997</v>
      </c>
      <c r="I186" s="10" t="s">
        <v>92</v>
      </c>
      <c r="J186" s="110"/>
    </row>
    <row r="187" spans="1:10" x14ac:dyDescent="0.3">
      <c r="A187" s="60">
        <v>46074</v>
      </c>
      <c r="B187" s="60" t="s">
        <v>57</v>
      </c>
      <c r="C187" s="65" t="s">
        <v>603</v>
      </c>
      <c r="D187" s="15" t="s">
        <v>24</v>
      </c>
      <c r="E187" s="169"/>
      <c r="F187" s="16">
        <v>106002.41</v>
      </c>
      <c r="G187" s="184">
        <f t="shared" si="1"/>
        <v>662911.53999999946</v>
      </c>
      <c r="H187" s="124">
        <v>54.951999999999998</v>
      </c>
      <c r="I187" s="10" t="s">
        <v>92</v>
      </c>
      <c r="J187" s="110"/>
    </row>
    <row r="188" spans="1:10" x14ac:dyDescent="0.3">
      <c r="A188" s="60">
        <v>46074</v>
      </c>
      <c r="B188" s="60" t="s">
        <v>57</v>
      </c>
      <c r="C188" s="65" t="s">
        <v>604</v>
      </c>
      <c r="D188" s="15" t="s">
        <v>3</v>
      </c>
      <c r="E188" s="169"/>
      <c r="F188" s="16">
        <v>127043.94</v>
      </c>
      <c r="G188" s="184">
        <f t="shared" si="1"/>
        <v>535867.59999999939</v>
      </c>
      <c r="H188" s="76">
        <v>65.86</v>
      </c>
      <c r="I188" s="10" t="s">
        <v>92</v>
      </c>
      <c r="J188" s="110"/>
    </row>
    <row r="189" spans="1:10" x14ac:dyDescent="0.3">
      <c r="A189" s="60">
        <v>46074</v>
      </c>
      <c r="B189" s="60" t="s">
        <v>57</v>
      </c>
      <c r="C189" s="65" t="s">
        <v>605</v>
      </c>
      <c r="D189" s="15" t="s">
        <v>22</v>
      </c>
      <c r="E189" s="169"/>
      <c r="F189" s="16">
        <v>468828.02</v>
      </c>
      <c r="G189" s="184">
        <f t="shared" si="1"/>
        <v>67039.579999999376</v>
      </c>
      <c r="H189" s="76">
        <v>243.042</v>
      </c>
      <c r="I189" s="10" t="s">
        <v>92</v>
      </c>
      <c r="J189" s="110"/>
    </row>
    <row r="190" spans="1:10" x14ac:dyDescent="0.3">
      <c r="A190" s="60">
        <v>46074</v>
      </c>
      <c r="B190" s="60" t="s">
        <v>57</v>
      </c>
      <c r="C190" s="65" t="s">
        <v>606</v>
      </c>
      <c r="D190" s="15" t="s">
        <v>9</v>
      </c>
      <c r="E190" s="169"/>
      <c r="F190" s="16">
        <v>217006</v>
      </c>
      <c r="G190" s="185">
        <f t="shared" si="1"/>
        <v>-149966.42000000062</v>
      </c>
      <c r="H190" s="76">
        <v>120.22490000000001</v>
      </c>
      <c r="I190" s="10" t="s">
        <v>92</v>
      </c>
      <c r="J190" s="110"/>
    </row>
    <row r="191" spans="1:10" x14ac:dyDescent="0.3">
      <c r="A191" s="60">
        <v>46074</v>
      </c>
      <c r="B191" s="60" t="s">
        <v>57</v>
      </c>
      <c r="C191" s="65" t="s">
        <v>607</v>
      </c>
      <c r="D191" s="15" t="s">
        <v>1</v>
      </c>
      <c r="E191" s="169"/>
      <c r="F191" s="16">
        <v>138000.66</v>
      </c>
      <c r="G191" s="185">
        <f t="shared" si="1"/>
        <v>-287967.08000000066</v>
      </c>
      <c r="H191" s="76">
        <v>71.540000000000006</v>
      </c>
      <c r="I191" s="10" t="s">
        <v>92</v>
      </c>
      <c r="J191" s="110"/>
    </row>
    <row r="192" spans="1:10" x14ac:dyDescent="0.3">
      <c r="A192" s="60">
        <v>46074</v>
      </c>
      <c r="B192" s="60" t="s">
        <v>57</v>
      </c>
      <c r="C192" s="65" t="s">
        <v>608</v>
      </c>
      <c r="D192" s="15" t="s">
        <v>62</v>
      </c>
      <c r="E192" s="169"/>
      <c r="F192" s="16">
        <v>44999.71</v>
      </c>
      <c r="G192" s="185">
        <f t="shared" si="1"/>
        <v>-332966.79000000068</v>
      </c>
      <c r="H192" s="76">
        <v>23.327999999999999</v>
      </c>
      <c r="I192" s="10" t="s">
        <v>92</v>
      </c>
      <c r="J192" s="110"/>
    </row>
    <row r="193" spans="1:13" x14ac:dyDescent="0.3">
      <c r="A193" s="534" t="s">
        <v>694</v>
      </c>
      <c r="B193" s="534"/>
      <c r="C193" s="534"/>
      <c r="D193" s="534"/>
      <c r="E193" s="534"/>
      <c r="F193" s="534"/>
      <c r="G193" s="534"/>
      <c r="H193" s="540">
        <f>SUM(H148:H192)</f>
        <v>2217.4798999999998</v>
      </c>
      <c r="I193" s="541"/>
      <c r="J193" s="110"/>
    </row>
    <row r="194" spans="1:13" ht="15.6" x14ac:dyDescent="0.3">
      <c r="A194" s="561" t="s">
        <v>587</v>
      </c>
      <c r="B194" s="562"/>
      <c r="C194" s="562"/>
      <c r="D194" s="562"/>
      <c r="E194" s="562"/>
      <c r="F194" s="562"/>
      <c r="G194" s="562"/>
      <c r="H194" s="562"/>
      <c r="I194" s="563"/>
      <c r="J194" s="110"/>
      <c r="K194" s="526" t="s">
        <v>617</v>
      </c>
      <c r="L194" s="526"/>
      <c r="M194" s="526"/>
    </row>
    <row r="195" spans="1:13" x14ac:dyDescent="0.3">
      <c r="A195" s="60">
        <v>46075</v>
      </c>
      <c r="B195" s="60" t="s">
        <v>57</v>
      </c>
      <c r="C195" s="65" t="s">
        <v>609</v>
      </c>
      <c r="D195" s="15" t="s">
        <v>62</v>
      </c>
      <c r="E195" s="169"/>
      <c r="F195" s="16">
        <v>44999.519999999997</v>
      </c>
      <c r="G195" s="185">
        <f>+G192+E195-F195</f>
        <v>-377966.3100000007</v>
      </c>
      <c r="H195" s="76">
        <v>23.34</v>
      </c>
      <c r="I195" s="10" t="s">
        <v>92</v>
      </c>
      <c r="J195" s="110"/>
      <c r="K195" s="545" t="s">
        <v>34</v>
      </c>
      <c r="L195" s="545"/>
      <c r="M195" s="545"/>
    </row>
    <row r="196" spans="1:13" x14ac:dyDescent="0.3">
      <c r="A196" s="60">
        <v>46075</v>
      </c>
      <c r="B196" s="60" t="s">
        <v>57</v>
      </c>
      <c r="C196" s="65" t="s">
        <v>610</v>
      </c>
      <c r="D196" s="15" t="s">
        <v>8</v>
      </c>
      <c r="E196" s="169"/>
      <c r="F196" s="16">
        <v>44999.519999999997</v>
      </c>
      <c r="G196" s="185">
        <f t="shared" si="1"/>
        <v>-422965.83000000071</v>
      </c>
      <c r="H196" s="76">
        <v>23.34</v>
      </c>
      <c r="I196" s="10" t="s">
        <v>92</v>
      </c>
      <c r="J196" s="110"/>
      <c r="K196" s="71" t="s">
        <v>32</v>
      </c>
      <c r="L196" s="43" t="s">
        <v>35</v>
      </c>
      <c r="M196" s="43" t="s">
        <v>33</v>
      </c>
    </row>
    <row r="197" spans="1:13" x14ac:dyDescent="0.3">
      <c r="A197" s="60">
        <v>46075</v>
      </c>
      <c r="B197" s="60" t="s">
        <v>57</v>
      </c>
      <c r="C197" s="65" t="s">
        <v>611</v>
      </c>
      <c r="D197" s="15" t="s">
        <v>5</v>
      </c>
      <c r="E197" s="169"/>
      <c r="F197" s="16">
        <v>44999.519999999997</v>
      </c>
      <c r="G197" s="185">
        <f t="shared" si="1"/>
        <v>-467965.35000000073</v>
      </c>
      <c r="H197" s="76">
        <v>23.34</v>
      </c>
      <c r="I197" s="10" t="s">
        <v>92</v>
      </c>
      <c r="J197" s="110"/>
      <c r="K197" s="69" t="s">
        <v>0</v>
      </c>
      <c r="L197" s="73" t="s">
        <v>92</v>
      </c>
      <c r="M197" s="26">
        <v>0</v>
      </c>
    </row>
    <row r="198" spans="1:13" x14ac:dyDescent="0.3">
      <c r="A198" s="60">
        <v>46075</v>
      </c>
      <c r="B198" s="60" t="s">
        <v>57</v>
      </c>
      <c r="C198" s="65" t="s">
        <v>612</v>
      </c>
      <c r="D198" s="15" t="s">
        <v>6</v>
      </c>
      <c r="E198" s="169"/>
      <c r="F198" s="16">
        <v>44999.519999999997</v>
      </c>
      <c r="G198" s="185">
        <f t="shared" si="1"/>
        <v>-512964.87000000075</v>
      </c>
      <c r="H198" s="76">
        <v>23.34</v>
      </c>
      <c r="I198" s="10" t="s">
        <v>92</v>
      </c>
      <c r="J198" s="110"/>
      <c r="K198" s="69" t="s">
        <v>1</v>
      </c>
      <c r="L198" s="73" t="s">
        <v>92</v>
      </c>
      <c r="M198" s="42">
        <v>0</v>
      </c>
    </row>
    <row r="199" spans="1:13" x14ac:dyDescent="0.3">
      <c r="A199" s="60">
        <v>46075</v>
      </c>
      <c r="B199" s="60" t="s">
        <v>57</v>
      </c>
      <c r="C199" s="65" t="s">
        <v>613</v>
      </c>
      <c r="D199" s="15" t="s">
        <v>26</v>
      </c>
      <c r="E199" s="169"/>
      <c r="F199" s="16">
        <v>133012</v>
      </c>
      <c r="G199" s="185">
        <f t="shared" si="1"/>
        <v>-645976.87000000081</v>
      </c>
      <c r="H199" s="76">
        <v>68.989599999999996</v>
      </c>
      <c r="I199" s="10" t="s">
        <v>92</v>
      </c>
      <c r="J199" s="110"/>
      <c r="K199" s="24" t="s">
        <v>27</v>
      </c>
      <c r="L199" s="73" t="s">
        <v>92</v>
      </c>
      <c r="M199" s="26">
        <v>0</v>
      </c>
    </row>
    <row r="200" spans="1:13" x14ac:dyDescent="0.3">
      <c r="A200" s="60">
        <v>46075</v>
      </c>
      <c r="B200" s="60" t="s">
        <v>57</v>
      </c>
      <c r="C200" s="65" t="s">
        <v>614</v>
      </c>
      <c r="D200" s="15" t="s">
        <v>5</v>
      </c>
      <c r="E200" s="169"/>
      <c r="F200" s="16">
        <v>44999.519999999997</v>
      </c>
      <c r="G200" s="185">
        <f t="shared" si="1"/>
        <v>-690976.39000000083</v>
      </c>
      <c r="H200" s="124">
        <v>23.34</v>
      </c>
      <c r="I200" s="10" t="s">
        <v>92</v>
      </c>
      <c r="J200" s="110"/>
      <c r="K200" s="76" t="s">
        <v>429</v>
      </c>
      <c r="L200" s="73" t="s">
        <v>92</v>
      </c>
      <c r="M200" s="80">
        <f>SUM(H208+H211+H218+H223+H229+H240+H242+H244)</f>
        <v>184.36799999999999</v>
      </c>
    </row>
    <row r="201" spans="1:13" x14ac:dyDescent="0.3">
      <c r="A201" s="60">
        <v>46076</v>
      </c>
      <c r="B201" s="60" t="s">
        <v>57</v>
      </c>
      <c r="C201" s="65" t="s">
        <v>615</v>
      </c>
      <c r="D201" s="15" t="s">
        <v>10</v>
      </c>
      <c r="E201" s="169"/>
      <c r="F201" s="16">
        <v>400001.28000000003</v>
      </c>
      <c r="G201" s="185">
        <f t="shared" si="1"/>
        <v>-1090977.6700000009</v>
      </c>
      <c r="H201" s="76">
        <v>206.08</v>
      </c>
      <c r="I201" s="10" t="s">
        <v>92</v>
      </c>
      <c r="J201" s="110"/>
      <c r="K201" s="76" t="s">
        <v>62</v>
      </c>
      <c r="L201" s="73" t="s">
        <v>92</v>
      </c>
      <c r="M201" s="80">
        <f>SUM(H195+H210+H214+H224+H232)</f>
        <v>115.735</v>
      </c>
    </row>
    <row r="202" spans="1:13" x14ac:dyDescent="0.3">
      <c r="A202" s="60">
        <v>46076</v>
      </c>
      <c r="B202" s="60" t="s">
        <v>57</v>
      </c>
      <c r="C202" s="65" t="s">
        <v>616</v>
      </c>
      <c r="D202" s="15" t="s">
        <v>22</v>
      </c>
      <c r="E202" s="169"/>
      <c r="F202" s="16">
        <v>112000</v>
      </c>
      <c r="G202" s="185">
        <f t="shared" si="1"/>
        <v>-1202977.6700000009</v>
      </c>
      <c r="H202" s="76">
        <v>57.702199999999998</v>
      </c>
      <c r="I202" s="10" t="s">
        <v>92</v>
      </c>
      <c r="J202" s="110"/>
      <c r="K202" s="76" t="s">
        <v>541</v>
      </c>
      <c r="L202" s="73" t="s">
        <v>92</v>
      </c>
      <c r="M202" s="80">
        <f>SUM(H220)</f>
        <v>9.43</v>
      </c>
    </row>
    <row r="203" spans="1:13" x14ac:dyDescent="0.3">
      <c r="A203" s="60">
        <v>46076</v>
      </c>
      <c r="B203" s="60" t="s">
        <v>57</v>
      </c>
      <c r="C203" s="65" t="s">
        <v>618</v>
      </c>
      <c r="D203" s="15" t="s">
        <v>117</v>
      </c>
      <c r="E203" s="169"/>
      <c r="F203" s="16">
        <v>37097.24</v>
      </c>
      <c r="G203" s="185">
        <f t="shared" si="1"/>
        <v>-1240074.9100000008</v>
      </c>
      <c r="H203" s="76">
        <v>20.305</v>
      </c>
      <c r="I203" s="10" t="s">
        <v>92</v>
      </c>
      <c r="J203" s="110"/>
      <c r="K203" s="76" t="s">
        <v>361</v>
      </c>
      <c r="L203" s="73" t="s">
        <v>92</v>
      </c>
      <c r="M203" s="80">
        <f>SUM(H207+H241)</f>
        <v>14.009</v>
      </c>
    </row>
    <row r="204" spans="1:13" x14ac:dyDescent="0.3">
      <c r="A204" s="60">
        <v>46076</v>
      </c>
      <c r="B204" s="60" t="s">
        <v>57</v>
      </c>
      <c r="C204" s="65" t="s">
        <v>619</v>
      </c>
      <c r="D204" s="15" t="s">
        <v>6</v>
      </c>
      <c r="E204" s="169"/>
      <c r="F204" s="16">
        <v>45000.14</v>
      </c>
      <c r="G204" s="185">
        <f t="shared" si="1"/>
        <v>-1285075.0500000007</v>
      </c>
      <c r="H204" s="76">
        <v>23.184000000000001</v>
      </c>
      <c r="I204" s="10" t="s">
        <v>92</v>
      </c>
      <c r="J204" s="110"/>
      <c r="K204" s="69" t="s">
        <v>24</v>
      </c>
      <c r="L204" s="73" t="s">
        <v>92</v>
      </c>
      <c r="M204" s="26">
        <v>0</v>
      </c>
    </row>
    <row r="205" spans="1:13" x14ac:dyDescent="0.3">
      <c r="A205" s="202">
        <v>46076</v>
      </c>
      <c r="B205" s="202" t="s">
        <v>60</v>
      </c>
      <c r="C205" s="203" t="s">
        <v>620</v>
      </c>
      <c r="D205" s="306" t="s">
        <v>1218</v>
      </c>
      <c r="E205" s="200">
        <v>2500000</v>
      </c>
      <c r="F205" s="339"/>
      <c r="G205" s="316">
        <f t="shared" si="1"/>
        <v>1214924.9499999993</v>
      </c>
      <c r="H205" s="311"/>
      <c r="I205" s="199" t="s">
        <v>1222</v>
      </c>
      <c r="J205" s="110"/>
      <c r="K205" s="69" t="s">
        <v>29</v>
      </c>
      <c r="L205" s="73" t="s">
        <v>92</v>
      </c>
      <c r="M205" s="26">
        <f>SUM(H199+H233)</f>
        <v>128.14659999999998</v>
      </c>
    </row>
    <row r="206" spans="1:13" x14ac:dyDescent="0.3">
      <c r="A206" s="60">
        <v>46076</v>
      </c>
      <c r="B206" s="60" t="s">
        <v>57</v>
      </c>
      <c r="C206" s="65" t="s">
        <v>621</v>
      </c>
      <c r="D206" s="15" t="s">
        <v>9</v>
      </c>
      <c r="E206" s="169"/>
      <c r="F206" s="16">
        <v>143560.24</v>
      </c>
      <c r="G206" s="184">
        <f t="shared" si="1"/>
        <v>1071364.7099999993</v>
      </c>
      <c r="H206" s="76">
        <v>73.962000000000003</v>
      </c>
      <c r="I206" s="10" t="s">
        <v>92</v>
      </c>
      <c r="J206" s="110"/>
      <c r="K206" s="69" t="s">
        <v>3</v>
      </c>
      <c r="L206" s="73" t="s">
        <v>92</v>
      </c>
      <c r="M206" s="26">
        <v>0</v>
      </c>
    </row>
    <row r="207" spans="1:13" x14ac:dyDescent="0.3">
      <c r="A207" s="60">
        <v>46076</v>
      </c>
      <c r="B207" s="60" t="s">
        <v>57</v>
      </c>
      <c r="C207" s="65" t="s">
        <v>622</v>
      </c>
      <c r="D207" s="15" t="s">
        <v>361</v>
      </c>
      <c r="E207" s="169"/>
      <c r="F207" s="16">
        <v>17289.810000000001</v>
      </c>
      <c r="G207" s="184">
        <f t="shared" si="1"/>
        <v>1054074.8999999992</v>
      </c>
      <c r="H207" s="76">
        <v>9.0570000000000004</v>
      </c>
      <c r="I207" s="10" t="s">
        <v>92</v>
      </c>
      <c r="J207" s="110"/>
      <c r="K207" s="69" t="s">
        <v>5</v>
      </c>
      <c r="L207" s="73" t="s">
        <v>92</v>
      </c>
      <c r="M207" s="26">
        <f>SUM(H197+H200+H226+H243+H245)</f>
        <v>115.65100000000001</v>
      </c>
    </row>
    <row r="208" spans="1:13" x14ac:dyDescent="0.3">
      <c r="A208" s="60">
        <v>46076</v>
      </c>
      <c r="B208" s="60" t="s">
        <v>57</v>
      </c>
      <c r="C208" s="65" t="s">
        <v>623</v>
      </c>
      <c r="D208" s="15" t="s">
        <v>429</v>
      </c>
      <c r="E208" s="169"/>
      <c r="F208" s="16">
        <v>45000.14</v>
      </c>
      <c r="G208" s="184">
        <f t="shared" si="1"/>
        <v>1009074.7599999992</v>
      </c>
      <c r="H208" s="76">
        <v>23.184000000000001</v>
      </c>
      <c r="I208" s="10" t="s">
        <v>92</v>
      </c>
      <c r="J208" s="110"/>
      <c r="K208" s="69" t="s">
        <v>61</v>
      </c>
      <c r="L208" s="73" t="s">
        <v>92</v>
      </c>
      <c r="M208" s="80">
        <f>SUM(H222+H231)</f>
        <v>272.93029999999999</v>
      </c>
    </row>
    <row r="209" spans="1:13" x14ac:dyDescent="0.3">
      <c r="A209" s="60">
        <v>46076</v>
      </c>
      <c r="B209" s="60" t="s">
        <v>57</v>
      </c>
      <c r="C209" s="65" t="s">
        <v>624</v>
      </c>
      <c r="D209" s="15" t="s">
        <v>22</v>
      </c>
      <c r="E209" s="169"/>
      <c r="F209" s="16">
        <v>450005.32</v>
      </c>
      <c r="G209" s="184">
        <f t="shared" si="1"/>
        <v>559069.43999999925</v>
      </c>
      <c r="H209" s="76">
        <v>231.84200000000001</v>
      </c>
      <c r="I209" s="10" t="s">
        <v>92</v>
      </c>
      <c r="J209" s="110"/>
      <c r="K209" s="69" t="s">
        <v>22</v>
      </c>
      <c r="L209" s="73" t="s">
        <v>92</v>
      </c>
      <c r="M209" s="26">
        <f>SUM(H202+H209+H215)</f>
        <v>506.48919999999998</v>
      </c>
    </row>
    <row r="210" spans="1:13" x14ac:dyDescent="0.3">
      <c r="A210" s="60">
        <v>46077</v>
      </c>
      <c r="B210" s="60" t="s">
        <v>57</v>
      </c>
      <c r="C210" s="65" t="s">
        <v>625</v>
      </c>
      <c r="D210" s="15" t="s">
        <v>62</v>
      </c>
      <c r="E210" s="169"/>
      <c r="F210" s="16">
        <v>45000.14</v>
      </c>
      <c r="G210" s="184">
        <f t="shared" si="1"/>
        <v>514069.29999999923</v>
      </c>
      <c r="H210" s="76">
        <v>23.184000000000001</v>
      </c>
      <c r="I210" s="10" t="s">
        <v>92</v>
      </c>
      <c r="J210" s="110"/>
      <c r="K210" s="69" t="s">
        <v>6</v>
      </c>
      <c r="L210" s="73" t="s">
        <v>92</v>
      </c>
      <c r="M210" s="26">
        <f>SUM(H198+H204+H217+H227+H234)</f>
        <v>115.589</v>
      </c>
    </row>
    <row r="211" spans="1:13" x14ac:dyDescent="0.3">
      <c r="A211" s="60">
        <v>46077</v>
      </c>
      <c r="B211" s="60" t="s">
        <v>57</v>
      </c>
      <c r="C211" s="65" t="s">
        <v>626</v>
      </c>
      <c r="D211" s="15" t="s">
        <v>429</v>
      </c>
      <c r="E211" s="169"/>
      <c r="F211" s="16">
        <v>45000.14</v>
      </c>
      <c r="G211" s="184">
        <f t="shared" si="1"/>
        <v>469069.15999999922</v>
      </c>
      <c r="H211" s="76">
        <v>23.184000000000001</v>
      </c>
      <c r="I211" s="10" t="s">
        <v>92</v>
      </c>
      <c r="J211" s="110"/>
      <c r="K211" s="69" t="s">
        <v>8</v>
      </c>
      <c r="L211" s="73" t="s">
        <v>92</v>
      </c>
      <c r="M211" s="26">
        <f>SUM(H196+H235)</f>
        <v>46.286999999999999</v>
      </c>
    </row>
    <row r="212" spans="1:13" x14ac:dyDescent="0.3">
      <c r="A212" s="60">
        <v>46077</v>
      </c>
      <c r="B212" s="60" t="s">
        <v>57</v>
      </c>
      <c r="C212" s="65" t="s">
        <v>627</v>
      </c>
      <c r="D212" s="15" t="s">
        <v>30</v>
      </c>
      <c r="E212" s="169"/>
      <c r="F212" s="16">
        <v>388209.71</v>
      </c>
      <c r="G212" s="184">
        <f t="shared" si="1"/>
        <v>80859.449999999197</v>
      </c>
      <c r="H212" s="76">
        <v>200.005</v>
      </c>
      <c r="I212" s="10" t="s">
        <v>92</v>
      </c>
      <c r="J212" s="110"/>
      <c r="K212" s="69" t="s">
        <v>9</v>
      </c>
      <c r="L212" s="73" t="s">
        <v>92</v>
      </c>
      <c r="M212" s="26">
        <f>SUM(H206+H237)</f>
        <v>132.60900000000001</v>
      </c>
    </row>
    <row r="213" spans="1:13" x14ac:dyDescent="0.3">
      <c r="A213" s="60">
        <v>46077</v>
      </c>
      <c r="B213" s="60" t="s">
        <v>57</v>
      </c>
      <c r="C213" s="65" t="s">
        <v>628</v>
      </c>
      <c r="D213" s="15" t="s">
        <v>117</v>
      </c>
      <c r="E213" s="169"/>
      <c r="F213" s="16">
        <v>68501.77</v>
      </c>
      <c r="G213" s="184">
        <f>+G212+E213-F213</f>
        <v>12357.679999999193</v>
      </c>
      <c r="H213" s="76">
        <v>35.292000000000002</v>
      </c>
      <c r="I213" s="10" t="s">
        <v>92</v>
      </c>
      <c r="J213" s="110"/>
      <c r="K213" s="69" t="s">
        <v>30</v>
      </c>
      <c r="L213" s="73" t="s">
        <v>92</v>
      </c>
      <c r="M213" s="26">
        <f>SUM(H212+H221+H228)</f>
        <v>678.80240000000003</v>
      </c>
    </row>
    <row r="214" spans="1:13" x14ac:dyDescent="0.3">
      <c r="A214" s="60">
        <v>46077</v>
      </c>
      <c r="B214" s="60" t="s">
        <v>57</v>
      </c>
      <c r="C214" s="65" t="s">
        <v>629</v>
      </c>
      <c r="D214" s="15" t="s">
        <v>62</v>
      </c>
      <c r="E214" s="169"/>
      <c r="F214" s="16">
        <v>45000.14</v>
      </c>
      <c r="G214" s="185">
        <f>+G213+E214-F214</f>
        <v>-32642.460000000807</v>
      </c>
      <c r="H214" s="76">
        <v>23.184000000000001</v>
      </c>
      <c r="I214" s="10" t="s">
        <v>92</v>
      </c>
      <c r="J214" s="110"/>
      <c r="K214" s="69" t="s">
        <v>10</v>
      </c>
      <c r="L214" s="73" t="s">
        <v>92</v>
      </c>
      <c r="M214" s="26">
        <f>SUM(H201)</f>
        <v>206.08</v>
      </c>
    </row>
    <row r="215" spans="1:13" x14ac:dyDescent="0.3">
      <c r="A215" s="60">
        <v>46077</v>
      </c>
      <c r="B215" s="60" t="s">
        <v>57</v>
      </c>
      <c r="C215" s="65" t="s">
        <v>630</v>
      </c>
      <c r="D215" s="15" t="s">
        <v>22</v>
      </c>
      <c r="E215" s="169"/>
      <c r="F215" s="16">
        <v>421090.25</v>
      </c>
      <c r="G215" s="185">
        <f t="shared" si="1"/>
        <v>-453732.71000000078</v>
      </c>
      <c r="H215" s="76">
        <v>216.94499999999999</v>
      </c>
      <c r="I215" s="10" t="s">
        <v>92</v>
      </c>
      <c r="J215" s="110"/>
      <c r="K215" s="69" t="s">
        <v>11</v>
      </c>
      <c r="L215" s="73" t="s">
        <v>92</v>
      </c>
      <c r="M215" s="26">
        <f>SUM(H203+H213+H216+H225+H236+H239)</f>
        <v>164.822</v>
      </c>
    </row>
    <row r="216" spans="1:13" x14ac:dyDescent="0.3">
      <c r="A216" s="60">
        <v>46078</v>
      </c>
      <c r="B216" s="60" t="s">
        <v>57</v>
      </c>
      <c r="C216" s="65" t="s">
        <v>631</v>
      </c>
      <c r="D216" s="15" t="s">
        <v>117</v>
      </c>
      <c r="E216" s="169"/>
      <c r="F216" s="16">
        <v>38210.449999999997</v>
      </c>
      <c r="G216" s="185">
        <f t="shared" si="1"/>
        <v>-491943.16000000079</v>
      </c>
      <c r="H216" s="76">
        <v>19.565000000000001</v>
      </c>
      <c r="I216" s="10" t="s">
        <v>92</v>
      </c>
      <c r="J216" s="110"/>
      <c r="K216" s="147" t="s">
        <v>695</v>
      </c>
      <c r="L216" s="147"/>
      <c r="M216" s="148">
        <f>SUM(M198:M215)</f>
        <v>2690.9485</v>
      </c>
    </row>
    <row r="217" spans="1:13" x14ac:dyDescent="0.3">
      <c r="A217" s="60">
        <v>46078</v>
      </c>
      <c r="B217" s="60" t="s">
        <v>57</v>
      </c>
      <c r="C217" s="65" t="s">
        <v>635</v>
      </c>
      <c r="D217" s="15" t="s">
        <v>6</v>
      </c>
      <c r="E217" s="169"/>
      <c r="F217" s="16">
        <v>44999.07</v>
      </c>
      <c r="G217" s="185">
        <f t="shared" si="1"/>
        <v>-536942.2300000008</v>
      </c>
      <c r="H217" s="76">
        <v>23.041</v>
      </c>
      <c r="I217" s="10" t="s">
        <v>92</v>
      </c>
      <c r="J217" s="110"/>
    </row>
    <row r="218" spans="1:13" x14ac:dyDescent="0.3">
      <c r="A218" s="60">
        <v>46078</v>
      </c>
      <c r="B218" s="60" t="s">
        <v>57</v>
      </c>
      <c r="C218" s="65" t="s">
        <v>636</v>
      </c>
      <c r="D218" s="15" t="s">
        <v>429</v>
      </c>
      <c r="E218" s="169"/>
      <c r="F218" s="16">
        <v>44999.07</v>
      </c>
      <c r="G218" s="185">
        <f t="shared" si="1"/>
        <v>-581941.30000000075</v>
      </c>
      <c r="H218" s="76">
        <v>23.041</v>
      </c>
      <c r="I218" s="10" t="s">
        <v>92</v>
      </c>
      <c r="J218" s="110"/>
    </row>
    <row r="219" spans="1:13" x14ac:dyDescent="0.3">
      <c r="A219" s="202">
        <v>46078</v>
      </c>
      <c r="B219" s="202" t="s">
        <v>60</v>
      </c>
      <c r="C219" s="203" t="s">
        <v>637</v>
      </c>
      <c r="D219" s="306" t="s">
        <v>1218</v>
      </c>
      <c r="E219" s="200">
        <v>2000000</v>
      </c>
      <c r="F219" s="339"/>
      <c r="G219" s="316">
        <f t="shared" si="1"/>
        <v>1418058.6999999993</v>
      </c>
      <c r="H219" s="311"/>
      <c r="I219" s="199" t="s">
        <v>1222</v>
      </c>
      <c r="J219" s="110"/>
    </row>
    <row r="220" spans="1:13" x14ac:dyDescent="0.3">
      <c r="A220" s="60">
        <v>46078</v>
      </c>
      <c r="B220" s="60" t="s">
        <v>57</v>
      </c>
      <c r="C220" s="65" t="s">
        <v>638</v>
      </c>
      <c r="D220" s="15" t="s">
        <v>541</v>
      </c>
      <c r="E220" s="169"/>
      <c r="F220" s="16">
        <v>18001.87</v>
      </c>
      <c r="G220" s="184">
        <f t="shared" si="1"/>
        <v>1400056.8299999991</v>
      </c>
      <c r="H220" s="76">
        <v>9.43</v>
      </c>
      <c r="I220" s="10" t="s">
        <v>92</v>
      </c>
      <c r="J220" s="110"/>
    </row>
    <row r="221" spans="1:13" x14ac:dyDescent="0.3">
      <c r="A221" s="60">
        <v>46078</v>
      </c>
      <c r="B221" s="60" t="s">
        <v>57</v>
      </c>
      <c r="C221" s="65" t="s">
        <v>639</v>
      </c>
      <c r="D221" s="15" t="s">
        <v>30</v>
      </c>
      <c r="E221" s="169"/>
      <c r="F221" s="16">
        <v>490653</v>
      </c>
      <c r="G221" s="184">
        <f t="shared" si="1"/>
        <v>909403.82999999914</v>
      </c>
      <c r="H221" s="76">
        <v>251.2304</v>
      </c>
      <c r="I221" s="10" t="s">
        <v>92</v>
      </c>
      <c r="J221" s="110"/>
    </row>
    <row r="222" spans="1:13" x14ac:dyDescent="0.3">
      <c r="A222" s="60">
        <v>46078</v>
      </c>
      <c r="B222" s="60" t="s">
        <v>57</v>
      </c>
      <c r="C222" s="65" t="s">
        <v>640</v>
      </c>
      <c r="D222" s="15" t="s">
        <v>61</v>
      </c>
      <c r="E222" s="169"/>
      <c r="F222" s="16">
        <v>399095.11</v>
      </c>
      <c r="G222" s="184">
        <f t="shared" si="1"/>
        <v>510308.71999999916</v>
      </c>
      <c r="H222" s="9">
        <v>205.58330000000001</v>
      </c>
      <c r="I222" s="10" t="s">
        <v>92</v>
      </c>
      <c r="J222" s="110"/>
    </row>
    <row r="223" spans="1:13" x14ac:dyDescent="0.3">
      <c r="A223" s="60">
        <v>46078</v>
      </c>
      <c r="B223" s="60" t="s">
        <v>57</v>
      </c>
      <c r="C223" s="65" t="s">
        <v>641</v>
      </c>
      <c r="D223" s="15" t="s">
        <v>429</v>
      </c>
      <c r="E223" s="169"/>
      <c r="F223" s="16">
        <v>44999.07</v>
      </c>
      <c r="G223" s="184">
        <f t="shared" si="1"/>
        <v>465309.64999999915</v>
      </c>
      <c r="H223" s="76">
        <v>23.041</v>
      </c>
      <c r="I223" s="10" t="s">
        <v>92</v>
      </c>
      <c r="J223" s="110"/>
    </row>
    <row r="224" spans="1:13" x14ac:dyDescent="0.3">
      <c r="A224" s="60">
        <v>46079</v>
      </c>
      <c r="B224" s="60" t="s">
        <v>57</v>
      </c>
      <c r="C224" s="65" t="s">
        <v>642</v>
      </c>
      <c r="D224" s="15" t="s">
        <v>62</v>
      </c>
      <c r="E224" s="169"/>
      <c r="F224" s="16">
        <v>45000.15</v>
      </c>
      <c r="G224" s="184">
        <f t="shared" si="1"/>
        <v>420309.49999999913</v>
      </c>
      <c r="H224" s="76">
        <v>23.077000000000002</v>
      </c>
      <c r="I224" s="10" t="s">
        <v>92</v>
      </c>
      <c r="J224" s="110"/>
    </row>
    <row r="225" spans="1:13" x14ac:dyDescent="0.3">
      <c r="A225" s="60">
        <v>46079</v>
      </c>
      <c r="B225" s="60" t="s">
        <v>57</v>
      </c>
      <c r="C225" s="65" t="s">
        <v>643</v>
      </c>
      <c r="D225" s="15" t="s">
        <v>117</v>
      </c>
      <c r="E225" s="169"/>
      <c r="F225" s="16">
        <v>35002.5</v>
      </c>
      <c r="G225" s="184">
        <f t="shared" si="1"/>
        <v>385306.99999999913</v>
      </c>
      <c r="H225" s="76">
        <v>17.95</v>
      </c>
      <c r="I225" s="10" t="s">
        <v>92</v>
      </c>
      <c r="J225" s="110"/>
      <c r="K225" s="530" t="s">
        <v>1227</v>
      </c>
      <c r="L225" s="531"/>
      <c r="M225" s="532"/>
    </row>
    <row r="226" spans="1:13" x14ac:dyDescent="0.3">
      <c r="A226" s="60">
        <v>46079</v>
      </c>
      <c r="B226" s="60" t="s">
        <v>57</v>
      </c>
      <c r="C226" s="65" t="s">
        <v>644</v>
      </c>
      <c r="D226" s="15" t="s">
        <v>5</v>
      </c>
      <c r="E226" s="169"/>
      <c r="F226" s="16">
        <v>45000.15</v>
      </c>
      <c r="G226" s="184">
        <f t="shared" si="1"/>
        <v>340306.8499999991</v>
      </c>
      <c r="H226" s="76">
        <v>23.077000000000002</v>
      </c>
      <c r="I226" s="10" t="s">
        <v>92</v>
      </c>
      <c r="J226" s="110"/>
      <c r="K226" s="298" t="s">
        <v>32</v>
      </c>
      <c r="L226" s="299" t="s">
        <v>35</v>
      </c>
      <c r="M226" s="299" t="s">
        <v>33</v>
      </c>
    </row>
    <row r="227" spans="1:13" x14ac:dyDescent="0.3">
      <c r="A227" s="60">
        <v>46079</v>
      </c>
      <c r="B227" s="60" t="s">
        <v>57</v>
      </c>
      <c r="C227" s="65" t="s">
        <v>645</v>
      </c>
      <c r="D227" s="15" t="s">
        <v>6</v>
      </c>
      <c r="E227" s="169"/>
      <c r="F227" s="16">
        <v>45000.15</v>
      </c>
      <c r="G227" s="184">
        <f t="shared" si="1"/>
        <v>295306.69999999908</v>
      </c>
      <c r="H227" s="76">
        <v>23.077000000000002</v>
      </c>
      <c r="I227" s="10" t="s">
        <v>92</v>
      </c>
      <c r="J227" s="110"/>
      <c r="K227" s="69" t="s">
        <v>0</v>
      </c>
      <c r="L227" s="73" t="s">
        <v>92</v>
      </c>
      <c r="M227" s="26">
        <f t="shared" ref="M227:M245" si="2">SUM(M40+M102+M150+M197)</f>
        <v>0</v>
      </c>
    </row>
    <row r="228" spans="1:13" x14ac:dyDescent="0.3">
      <c r="A228" s="60">
        <v>46079</v>
      </c>
      <c r="B228" s="60" t="s">
        <v>57</v>
      </c>
      <c r="C228" s="65" t="s">
        <v>646</v>
      </c>
      <c r="D228" s="15" t="s">
        <v>30</v>
      </c>
      <c r="E228" s="169"/>
      <c r="F228" s="16">
        <v>443755.65</v>
      </c>
      <c r="G228" s="185">
        <f t="shared" si="1"/>
        <v>-148448.95000000094</v>
      </c>
      <c r="H228" s="76">
        <v>227.56700000000001</v>
      </c>
      <c r="I228" s="10" t="s">
        <v>92</v>
      </c>
      <c r="J228" s="110"/>
      <c r="K228" s="69" t="s">
        <v>1</v>
      </c>
      <c r="L228" s="73" t="s">
        <v>92</v>
      </c>
      <c r="M228" s="42">
        <f t="shared" si="2"/>
        <v>137.95100000000002</v>
      </c>
    </row>
    <row r="229" spans="1:13" x14ac:dyDescent="0.3">
      <c r="A229" s="60">
        <v>46079</v>
      </c>
      <c r="B229" s="60" t="s">
        <v>57</v>
      </c>
      <c r="C229" s="65" t="s">
        <v>661</v>
      </c>
      <c r="D229" s="15" t="s">
        <v>429</v>
      </c>
      <c r="E229" s="169"/>
      <c r="F229" s="16">
        <v>45000.15</v>
      </c>
      <c r="G229" s="185">
        <f t="shared" si="1"/>
        <v>-193449.10000000094</v>
      </c>
      <c r="H229" s="76">
        <v>23.077000000000002</v>
      </c>
      <c r="I229" s="10" t="s">
        <v>92</v>
      </c>
      <c r="J229" s="110"/>
      <c r="K229" s="24" t="s">
        <v>27</v>
      </c>
      <c r="L229" s="73" t="s">
        <v>92</v>
      </c>
      <c r="M229" s="26">
        <f t="shared" si="2"/>
        <v>0</v>
      </c>
    </row>
    <row r="230" spans="1:13" x14ac:dyDescent="0.3">
      <c r="A230" s="202">
        <v>46079</v>
      </c>
      <c r="B230" s="202" t="s">
        <v>60</v>
      </c>
      <c r="C230" s="203" t="s">
        <v>662</v>
      </c>
      <c r="D230" s="306" t="s">
        <v>1218</v>
      </c>
      <c r="E230" s="200">
        <v>1000000</v>
      </c>
      <c r="F230" s="339"/>
      <c r="G230" s="316">
        <f t="shared" si="1"/>
        <v>806550.89999999909</v>
      </c>
      <c r="H230" s="311"/>
      <c r="I230" s="199" t="s">
        <v>1222</v>
      </c>
      <c r="J230" s="110"/>
      <c r="K230" s="76" t="s">
        <v>429</v>
      </c>
      <c r="L230" s="73" t="s">
        <v>92</v>
      </c>
      <c r="M230" s="80">
        <f t="shared" si="2"/>
        <v>301.86399999999998</v>
      </c>
    </row>
    <row r="231" spans="1:13" x14ac:dyDescent="0.3">
      <c r="A231" s="60">
        <v>46079</v>
      </c>
      <c r="B231" s="60" t="s">
        <v>57</v>
      </c>
      <c r="C231" s="65" t="s">
        <v>663</v>
      </c>
      <c r="D231" s="15" t="s">
        <v>61</v>
      </c>
      <c r="E231" s="169"/>
      <c r="F231" s="16">
        <v>131326.65</v>
      </c>
      <c r="G231" s="184">
        <f t="shared" si="1"/>
        <v>675224.24999999907</v>
      </c>
      <c r="H231" s="76">
        <v>67.346999999999994</v>
      </c>
      <c r="I231" s="10" t="s">
        <v>92</v>
      </c>
      <c r="J231" s="110"/>
      <c r="K231" s="76" t="s">
        <v>62</v>
      </c>
      <c r="L231" s="73" t="s">
        <v>92</v>
      </c>
      <c r="M231" s="80">
        <f t="shared" si="2"/>
        <v>447.88319999999999</v>
      </c>
    </row>
    <row r="232" spans="1:13" x14ac:dyDescent="0.3">
      <c r="A232" s="60">
        <v>46080</v>
      </c>
      <c r="B232" s="60" t="s">
        <v>57</v>
      </c>
      <c r="C232" s="65" t="s">
        <v>664</v>
      </c>
      <c r="D232" s="15" t="s">
        <v>62</v>
      </c>
      <c r="E232" s="169"/>
      <c r="F232" s="16">
        <v>45004.95</v>
      </c>
      <c r="G232" s="184">
        <f t="shared" si="1"/>
        <v>630219.29999999912</v>
      </c>
      <c r="H232" s="76">
        <v>22.95</v>
      </c>
      <c r="I232" s="10" t="s">
        <v>92</v>
      </c>
      <c r="J232" s="110"/>
      <c r="K232" s="76" t="s">
        <v>541</v>
      </c>
      <c r="L232" s="73" t="s">
        <v>92</v>
      </c>
      <c r="M232" s="80">
        <f t="shared" si="2"/>
        <v>9.43</v>
      </c>
    </row>
    <row r="233" spans="1:13" x14ac:dyDescent="0.3">
      <c r="A233" s="60">
        <v>46080</v>
      </c>
      <c r="B233" s="60" t="s">
        <v>57</v>
      </c>
      <c r="C233" s="65" t="s">
        <v>665</v>
      </c>
      <c r="D233" s="15" t="s">
        <v>26</v>
      </c>
      <c r="E233" s="169"/>
      <c r="F233" s="16">
        <v>116006.88</v>
      </c>
      <c r="G233" s="184">
        <f t="shared" si="1"/>
        <v>514212.41999999911</v>
      </c>
      <c r="H233" s="76">
        <v>59.156999999999996</v>
      </c>
      <c r="I233" s="10" t="s">
        <v>92</v>
      </c>
      <c r="J233" s="110"/>
      <c r="K233" s="76" t="s">
        <v>361</v>
      </c>
      <c r="L233" s="73" t="s">
        <v>92</v>
      </c>
      <c r="M233" s="80">
        <f t="shared" si="2"/>
        <v>52.298000000000002</v>
      </c>
    </row>
    <row r="234" spans="1:13" x14ac:dyDescent="0.3">
      <c r="A234" s="60">
        <v>46080</v>
      </c>
      <c r="B234" s="60" t="s">
        <v>57</v>
      </c>
      <c r="C234" s="65" t="s">
        <v>666</v>
      </c>
      <c r="D234" s="15" t="s">
        <v>6</v>
      </c>
      <c r="E234" s="169"/>
      <c r="F234" s="16">
        <v>44999.07</v>
      </c>
      <c r="G234" s="184">
        <f t="shared" si="1"/>
        <v>469213.3499999991</v>
      </c>
      <c r="H234" s="76">
        <v>22.946999999999999</v>
      </c>
      <c r="I234" s="10" t="s">
        <v>92</v>
      </c>
      <c r="J234" s="110"/>
      <c r="K234" s="69" t="s">
        <v>24</v>
      </c>
      <c r="L234" s="73" t="s">
        <v>92</v>
      </c>
      <c r="M234" s="26">
        <f t="shared" si="2"/>
        <v>363.31600000000003</v>
      </c>
    </row>
    <row r="235" spans="1:13" x14ac:dyDescent="0.3">
      <c r="A235" s="60">
        <v>46080</v>
      </c>
      <c r="B235" s="60" t="s">
        <v>57</v>
      </c>
      <c r="C235" s="65" t="s">
        <v>667</v>
      </c>
      <c r="D235" s="15" t="s">
        <v>8</v>
      </c>
      <c r="E235" s="169"/>
      <c r="F235" s="16">
        <v>44999.07</v>
      </c>
      <c r="G235" s="184">
        <f t="shared" si="1"/>
        <v>424214.2799999991</v>
      </c>
      <c r="H235" s="76">
        <v>22.946999999999999</v>
      </c>
      <c r="I235" s="10" t="s">
        <v>92</v>
      </c>
      <c r="J235" s="110"/>
      <c r="K235" s="69" t="s">
        <v>29</v>
      </c>
      <c r="L235" s="73" t="s">
        <v>92</v>
      </c>
      <c r="M235" s="26">
        <f t="shared" si="2"/>
        <v>685.24860000000012</v>
      </c>
    </row>
    <row r="236" spans="1:13" x14ac:dyDescent="0.3">
      <c r="A236" s="60">
        <v>46080</v>
      </c>
      <c r="B236" s="60" t="s">
        <v>57</v>
      </c>
      <c r="C236" s="65" t="s">
        <v>668</v>
      </c>
      <c r="D236" s="15" t="s">
        <v>117</v>
      </c>
      <c r="E236" s="169"/>
      <c r="F236" s="16">
        <v>35002.559999999998</v>
      </c>
      <c r="G236" s="184">
        <f t="shared" si="1"/>
        <v>389211.7199999991</v>
      </c>
      <c r="H236" s="76">
        <v>19.190000000000001</v>
      </c>
      <c r="I236" s="10" t="s">
        <v>92</v>
      </c>
      <c r="J236" s="110"/>
      <c r="K236" s="69" t="s">
        <v>3</v>
      </c>
      <c r="L236" s="73" t="s">
        <v>92</v>
      </c>
      <c r="M236" s="26">
        <f t="shared" si="2"/>
        <v>547.30079999999998</v>
      </c>
    </row>
    <row r="237" spans="1:13" x14ac:dyDescent="0.3">
      <c r="A237" s="60">
        <v>46080</v>
      </c>
      <c r="B237" s="60" t="s">
        <v>57</v>
      </c>
      <c r="C237" s="65" t="s">
        <v>669</v>
      </c>
      <c r="D237" s="15" t="s">
        <v>9</v>
      </c>
      <c r="E237" s="169"/>
      <c r="F237" s="114">
        <v>115006.77</v>
      </c>
      <c r="G237" s="184">
        <f t="shared" si="1"/>
        <v>274204.94999999908</v>
      </c>
      <c r="H237" s="76">
        <v>58.646999999999998</v>
      </c>
      <c r="I237" s="10" t="s">
        <v>92</v>
      </c>
      <c r="J237" s="110"/>
      <c r="K237" s="69" t="s">
        <v>5</v>
      </c>
      <c r="L237" s="73" t="s">
        <v>92</v>
      </c>
      <c r="M237" s="26">
        <f t="shared" si="2"/>
        <v>442.67520000000007</v>
      </c>
    </row>
    <row r="238" spans="1:13" x14ac:dyDescent="0.3">
      <c r="A238" s="202">
        <v>46080</v>
      </c>
      <c r="B238" s="202" t="s">
        <v>60</v>
      </c>
      <c r="C238" s="203" t="s">
        <v>686</v>
      </c>
      <c r="D238" s="306" t="s">
        <v>1218</v>
      </c>
      <c r="E238" s="200">
        <v>3000000</v>
      </c>
      <c r="F238" s="339"/>
      <c r="G238" s="316">
        <f t="shared" si="1"/>
        <v>3274204.9499999993</v>
      </c>
      <c r="H238" s="311"/>
      <c r="I238" s="199" t="s">
        <v>1222</v>
      </c>
      <c r="J238" s="110"/>
      <c r="K238" s="69" t="s">
        <v>61</v>
      </c>
      <c r="L238" s="73" t="s">
        <v>92</v>
      </c>
      <c r="M238" s="80">
        <f t="shared" si="2"/>
        <v>1173.2132999999999</v>
      </c>
    </row>
    <row r="239" spans="1:13" x14ac:dyDescent="0.3">
      <c r="A239" s="60">
        <v>46080</v>
      </c>
      <c r="B239" s="60" t="s">
        <v>57</v>
      </c>
      <c r="C239" s="65" t="s">
        <v>687</v>
      </c>
      <c r="D239" s="15" t="s">
        <v>117</v>
      </c>
      <c r="E239" s="169"/>
      <c r="F239" s="16">
        <v>102991.72</v>
      </c>
      <c r="G239" s="184">
        <f t="shared" si="1"/>
        <v>3171213.2299999991</v>
      </c>
      <c r="H239" s="76">
        <v>52.52</v>
      </c>
      <c r="I239" s="10" t="s">
        <v>92</v>
      </c>
      <c r="J239" s="110"/>
      <c r="K239" s="69" t="s">
        <v>22</v>
      </c>
      <c r="L239" s="73" t="s">
        <v>92</v>
      </c>
      <c r="M239" s="26">
        <f t="shared" si="2"/>
        <v>2035.5642</v>
      </c>
    </row>
    <row r="240" spans="1:13" x14ac:dyDescent="0.3">
      <c r="A240" s="60">
        <v>46080</v>
      </c>
      <c r="B240" s="60" t="s">
        <v>57</v>
      </c>
      <c r="C240" s="65" t="s">
        <v>688</v>
      </c>
      <c r="D240" s="15" t="s">
        <v>429</v>
      </c>
      <c r="E240" s="169"/>
      <c r="F240" s="16">
        <v>44999.07</v>
      </c>
      <c r="G240" s="184">
        <f t="shared" si="1"/>
        <v>3126214.1599999992</v>
      </c>
      <c r="H240" s="76">
        <v>22.946999999999999</v>
      </c>
      <c r="I240" s="10" t="s">
        <v>92</v>
      </c>
      <c r="J240" s="110"/>
      <c r="K240" s="69" t="s">
        <v>6</v>
      </c>
      <c r="L240" s="73" t="s">
        <v>92</v>
      </c>
      <c r="M240" s="26">
        <f t="shared" si="2"/>
        <v>572.41100000000006</v>
      </c>
    </row>
    <row r="241" spans="1:14" x14ac:dyDescent="0.3">
      <c r="A241" s="60">
        <v>46080</v>
      </c>
      <c r="B241" s="60" t="s">
        <v>57</v>
      </c>
      <c r="C241" s="65" t="s">
        <v>689</v>
      </c>
      <c r="D241" s="15" t="s">
        <v>361</v>
      </c>
      <c r="E241" s="169"/>
      <c r="F241" s="16">
        <v>8378.7800000000007</v>
      </c>
      <c r="G241" s="184">
        <f t="shared" si="1"/>
        <v>3117835.3799999994</v>
      </c>
      <c r="H241" s="76">
        <v>4.952</v>
      </c>
      <c r="I241" s="10" t="s">
        <v>92</v>
      </c>
      <c r="J241" s="110"/>
      <c r="K241" s="69" t="s">
        <v>8</v>
      </c>
      <c r="L241" s="73" t="s">
        <v>92</v>
      </c>
      <c r="M241" s="26">
        <f t="shared" si="2"/>
        <v>260.03100000000001</v>
      </c>
    </row>
    <row r="242" spans="1:14" x14ac:dyDescent="0.3">
      <c r="A242" s="60">
        <v>46080</v>
      </c>
      <c r="B242" s="60" t="s">
        <v>57</v>
      </c>
      <c r="C242" s="65" t="s">
        <v>690</v>
      </c>
      <c r="D242" s="15" t="s">
        <v>429</v>
      </c>
      <c r="E242" s="169"/>
      <c r="F242" s="16">
        <v>44999.07</v>
      </c>
      <c r="G242" s="184">
        <f t="shared" si="1"/>
        <v>3072836.3099999996</v>
      </c>
      <c r="H242" s="76">
        <v>22.946999999999999</v>
      </c>
      <c r="I242" s="10" t="s">
        <v>92</v>
      </c>
      <c r="J242" s="110"/>
      <c r="K242" s="69" t="s">
        <v>9</v>
      </c>
      <c r="L242" s="73" t="s">
        <v>92</v>
      </c>
      <c r="M242" s="26">
        <f t="shared" si="2"/>
        <v>568.41089999999997</v>
      </c>
    </row>
    <row r="243" spans="1:14" x14ac:dyDescent="0.3">
      <c r="A243" s="60">
        <v>46081</v>
      </c>
      <c r="B243" s="60" t="s">
        <v>57</v>
      </c>
      <c r="C243" s="65" t="s">
        <v>691</v>
      </c>
      <c r="D243" s="15" t="s">
        <v>5</v>
      </c>
      <c r="E243" s="169"/>
      <c r="F243" s="16">
        <v>44999.07</v>
      </c>
      <c r="G243" s="184">
        <f t="shared" si="1"/>
        <v>3027837.2399999998</v>
      </c>
      <c r="H243" s="76">
        <v>22.946999999999999</v>
      </c>
      <c r="I243" s="10" t="s">
        <v>92</v>
      </c>
      <c r="J243" s="110"/>
      <c r="K243" s="69" t="s">
        <v>30</v>
      </c>
      <c r="L243" s="73" t="s">
        <v>92</v>
      </c>
      <c r="M243" s="26">
        <f t="shared" si="2"/>
        <v>1148.6744000000001</v>
      </c>
    </row>
    <row r="244" spans="1:14" x14ac:dyDescent="0.3">
      <c r="A244" s="60">
        <v>46081</v>
      </c>
      <c r="B244" s="60" t="s">
        <v>57</v>
      </c>
      <c r="C244" s="65" t="s">
        <v>692</v>
      </c>
      <c r="D244" s="15" t="s">
        <v>429</v>
      </c>
      <c r="E244" s="169"/>
      <c r="F244" s="16">
        <v>44999.07</v>
      </c>
      <c r="G244" s="184">
        <f t="shared" si="1"/>
        <v>2982838.17</v>
      </c>
      <c r="H244" s="76">
        <v>22.946999999999999</v>
      </c>
      <c r="I244" s="10" t="s">
        <v>92</v>
      </c>
      <c r="J244" s="110"/>
      <c r="K244" s="133" t="s">
        <v>10</v>
      </c>
      <c r="L244" s="134" t="s">
        <v>92</v>
      </c>
      <c r="M244" s="30">
        <f t="shared" si="2"/>
        <v>1473.3040000000001</v>
      </c>
    </row>
    <row r="245" spans="1:14" x14ac:dyDescent="0.3">
      <c r="A245" s="60">
        <v>46081</v>
      </c>
      <c r="B245" s="60" t="s">
        <v>57</v>
      </c>
      <c r="C245" s="65" t="s">
        <v>693</v>
      </c>
      <c r="D245" s="15" t="s">
        <v>5</v>
      </c>
      <c r="E245" s="169"/>
      <c r="F245" s="16">
        <v>44999.07</v>
      </c>
      <c r="G245" s="184">
        <f t="shared" si="1"/>
        <v>2937839.1</v>
      </c>
      <c r="H245" s="76">
        <v>22.946999999999999</v>
      </c>
      <c r="I245" s="10" t="s">
        <v>92</v>
      </c>
      <c r="J245" s="110"/>
      <c r="K245" s="69" t="s">
        <v>11</v>
      </c>
      <c r="L245" s="346" t="s">
        <v>92</v>
      </c>
      <c r="M245" s="26">
        <f t="shared" si="2"/>
        <v>481.29500000000002</v>
      </c>
    </row>
    <row r="246" spans="1:14" ht="15" thickBot="1" x14ac:dyDescent="0.35">
      <c r="A246" s="552" t="s">
        <v>694</v>
      </c>
      <c r="B246" s="552"/>
      <c r="C246" s="552"/>
      <c r="D246" s="552"/>
      <c r="E246" s="552"/>
      <c r="F246" s="552"/>
      <c r="G246" s="552"/>
      <c r="H246" s="553">
        <f>SUM(H195:H245)</f>
        <v>2690.9485000000009</v>
      </c>
      <c r="I246" s="554"/>
      <c r="J246" s="110"/>
      <c r="K246" s="347" t="s">
        <v>23</v>
      </c>
      <c r="L246" s="348" t="s">
        <v>1214</v>
      </c>
      <c r="M246" s="349">
        <f>SUM(M59)</f>
        <v>35.006999999999998</v>
      </c>
      <c r="N246" s="350"/>
    </row>
    <row r="247" spans="1:14" ht="30" customHeight="1" thickTop="1" thickBot="1" x14ac:dyDescent="0.35">
      <c r="A247" s="524" t="s">
        <v>28</v>
      </c>
      <c r="B247" s="524"/>
      <c r="C247" s="524"/>
      <c r="D247" s="524"/>
      <c r="E247" s="291">
        <f>SUM(E40:E245)</f>
        <v>23928880.600000001</v>
      </c>
      <c r="F247" s="292">
        <f>SUM(F40:F245)</f>
        <v>20991041.500000007</v>
      </c>
      <c r="G247" s="293">
        <f>+E247-F247</f>
        <v>2937839.099999994</v>
      </c>
      <c r="H247" s="302">
        <f>SUM(H98+H146+H193+H246)</f>
        <v>10735.877600000002</v>
      </c>
      <c r="I247" s="295"/>
      <c r="J247"/>
      <c r="K247" s="559" t="s">
        <v>1225</v>
      </c>
      <c r="L247" s="559"/>
      <c r="M247" s="345">
        <f>SUM(M227:M246)</f>
        <v>10735.8776</v>
      </c>
    </row>
    <row r="248" spans="1:14" ht="15" thickTop="1" x14ac:dyDescent="0.3">
      <c r="J248" s="3"/>
      <c r="K248" s="106"/>
      <c r="L248" s="141"/>
      <c r="M248" s="25"/>
    </row>
    <row r="249" spans="1:14" x14ac:dyDescent="0.3">
      <c r="J249" s="3"/>
      <c r="K249" s="106"/>
      <c r="L249" s="141"/>
      <c r="M249" s="25"/>
    </row>
    <row r="250" spans="1:14" x14ac:dyDescent="0.3">
      <c r="J250" s="3"/>
      <c r="K250" s="106"/>
      <c r="L250" s="141"/>
      <c r="M250" s="25"/>
    </row>
    <row r="251" spans="1:14" x14ac:dyDescent="0.3">
      <c r="J251" s="3"/>
      <c r="K251" s="106"/>
      <c r="L251" s="141"/>
      <c r="M251" s="25"/>
    </row>
    <row r="252" spans="1:14" x14ac:dyDescent="0.3">
      <c r="J252" s="3"/>
      <c r="K252" s="106"/>
      <c r="L252" s="141"/>
      <c r="M252" s="25"/>
    </row>
    <row r="253" spans="1:14" x14ac:dyDescent="0.3">
      <c r="J253" s="3"/>
      <c r="K253" s="106"/>
      <c r="L253" s="141"/>
      <c r="M253" s="25"/>
    </row>
    <row r="254" spans="1:14" x14ac:dyDescent="0.3">
      <c r="J254" s="3"/>
      <c r="K254" s="106"/>
      <c r="L254" s="141"/>
      <c r="M254" s="25"/>
    </row>
    <row r="255" spans="1:14" x14ac:dyDescent="0.3">
      <c r="J255" s="3"/>
      <c r="K255" s="106"/>
      <c r="L255" s="141"/>
      <c r="M255" s="25"/>
    </row>
    <row r="256" spans="1:14" x14ac:dyDescent="0.3">
      <c r="J256" s="3"/>
      <c r="K256" s="106"/>
      <c r="L256" s="141"/>
      <c r="M256" s="25"/>
    </row>
    <row r="257" spans="10:13" x14ac:dyDescent="0.3">
      <c r="J257" s="3"/>
      <c r="K257" s="106"/>
      <c r="L257" s="141"/>
      <c r="M257" s="25"/>
    </row>
    <row r="258" spans="10:13" x14ac:dyDescent="0.3">
      <c r="J258" s="3"/>
      <c r="K258" s="106"/>
      <c r="L258" s="141"/>
      <c r="M258" s="25"/>
    </row>
    <row r="259" spans="10:13" x14ac:dyDescent="0.3">
      <c r="J259" s="3"/>
      <c r="K259" s="142"/>
      <c r="L259" s="141"/>
      <c r="M259" s="25"/>
    </row>
    <row r="260" spans="10:13" x14ac:dyDescent="0.3">
      <c r="J260" s="3"/>
      <c r="K260" s="106"/>
      <c r="L260" s="107"/>
      <c r="M260" s="25"/>
    </row>
    <row r="261" spans="10:13" x14ac:dyDescent="0.3">
      <c r="J261" s="3"/>
    </row>
    <row r="262" spans="10:13" x14ac:dyDescent="0.3">
      <c r="J262" s="3"/>
    </row>
    <row r="263" spans="10:13" x14ac:dyDescent="0.3">
      <c r="J263" s="3"/>
    </row>
    <row r="264" spans="10:13" x14ac:dyDescent="0.3">
      <c r="J264" s="3"/>
    </row>
    <row r="265" spans="10:13" x14ac:dyDescent="0.3">
      <c r="J265" s="3"/>
    </row>
    <row r="266" spans="10:13" x14ac:dyDescent="0.3">
      <c r="J266" s="3"/>
    </row>
    <row r="267" spans="10:13" x14ac:dyDescent="0.3">
      <c r="J267" s="3"/>
    </row>
    <row r="268" spans="10:13" x14ac:dyDescent="0.3">
      <c r="J268" s="3"/>
    </row>
    <row r="269" spans="10:13" x14ac:dyDescent="0.3">
      <c r="J269" s="3"/>
    </row>
    <row r="270" spans="10:13" x14ac:dyDescent="0.3">
      <c r="J270" s="3"/>
    </row>
    <row r="271" spans="10:13" x14ac:dyDescent="0.3">
      <c r="J271" s="3"/>
    </row>
    <row r="272" spans="10:13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  <row r="325" spans="10:10" x14ac:dyDescent="0.3">
      <c r="J325" s="3"/>
    </row>
    <row r="326" spans="10:10" x14ac:dyDescent="0.3">
      <c r="J326" s="3"/>
    </row>
    <row r="327" spans="10:10" x14ac:dyDescent="0.3">
      <c r="J327" s="3"/>
    </row>
    <row r="328" spans="10:10" x14ac:dyDescent="0.3">
      <c r="J328" s="3"/>
    </row>
    <row r="329" spans="10:10" x14ac:dyDescent="0.3">
      <c r="J329" s="3"/>
    </row>
    <row r="330" spans="10:10" x14ac:dyDescent="0.3">
      <c r="J330" s="3"/>
    </row>
    <row r="331" spans="10:10" x14ac:dyDescent="0.3">
      <c r="J331" s="3"/>
    </row>
    <row r="332" spans="10:10" x14ac:dyDescent="0.3">
      <c r="J332" s="3"/>
    </row>
    <row r="333" spans="10:10" x14ac:dyDescent="0.3">
      <c r="J333" s="3"/>
    </row>
    <row r="334" spans="10:10" x14ac:dyDescent="0.3">
      <c r="J334" s="3"/>
    </row>
    <row r="335" spans="10:10" x14ac:dyDescent="0.3">
      <c r="J335" s="3"/>
    </row>
    <row r="336" spans="10:10" x14ac:dyDescent="0.3">
      <c r="J336" s="3"/>
    </row>
    <row r="337" spans="10:10" x14ac:dyDescent="0.3">
      <c r="J337" s="3"/>
    </row>
    <row r="338" spans="10:10" x14ac:dyDescent="0.3">
      <c r="J338" s="3"/>
    </row>
    <row r="339" spans="10:10" x14ac:dyDescent="0.3">
      <c r="J339" s="3"/>
    </row>
    <row r="340" spans="10:10" x14ac:dyDescent="0.3">
      <c r="J340" s="3"/>
    </row>
    <row r="341" spans="10:10" x14ac:dyDescent="0.3">
      <c r="J341" s="3"/>
    </row>
    <row r="342" spans="10:10" x14ac:dyDescent="0.3">
      <c r="J342" s="3"/>
    </row>
    <row r="343" spans="10:10" x14ac:dyDescent="0.3">
      <c r="J343" s="3"/>
    </row>
    <row r="344" spans="10:10" x14ac:dyDescent="0.3">
      <c r="J344" s="3"/>
    </row>
    <row r="345" spans="10:10" x14ac:dyDescent="0.3">
      <c r="J345" s="3"/>
    </row>
    <row r="346" spans="10:10" x14ac:dyDescent="0.3">
      <c r="J346" s="3"/>
    </row>
    <row r="347" spans="10:10" x14ac:dyDescent="0.3">
      <c r="J347" s="3"/>
    </row>
    <row r="348" spans="10:10" x14ac:dyDescent="0.3">
      <c r="J348" s="3"/>
    </row>
    <row r="349" spans="10:10" x14ac:dyDescent="0.3">
      <c r="J349" s="3"/>
    </row>
    <row r="350" spans="10:10" x14ac:dyDescent="0.3">
      <c r="J350" s="3"/>
    </row>
    <row r="351" spans="10:10" x14ac:dyDescent="0.3">
      <c r="J351" s="3"/>
    </row>
    <row r="352" spans="10:10" x14ac:dyDescent="0.3">
      <c r="J352" s="3"/>
    </row>
    <row r="353" spans="10:10" x14ac:dyDescent="0.3">
      <c r="J353" s="3"/>
    </row>
    <row r="354" spans="10:10" x14ac:dyDescent="0.3">
      <c r="J354" s="3"/>
    </row>
    <row r="355" spans="10:10" x14ac:dyDescent="0.3">
      <c r="J355" s="3"/>
    </row>
    <row r="356" spans="10:10" x14ac:dyDescent="0.3">
      <c r="J356" s="3"/>
    </row>
    <row r="357" spans="10:10" x14ac:dyDescent="0.3">
      <c r="J357" s="3"/>
    </row>
    <row r="358" spans="10:10" x14ac:dyDescent="0.3">
      <c r="J358" s="3"/>
    </row>
    <row r="359" spans="10:10" x14ac:dyDescent="0.3">
      <c r="J359" s="3"/>
    </row>
    <row r="360" spans="10:10" x14ac:dyDescent="0.3">
      <c r="J360" s="3"/>
    </row>
    <row r="361" spans="10:10" x14ac:dyDescent="0.3">
      <c r="J361" s="3"/>
    </row>
    <row r="362" spans="10:10" x14ac:dyDescent="0.3">
      <c r="J362" s="3"/>
    </row>
    <row r="363" spans="10:10" x14ac:dyDescent="0.3">
      <c r="J363" s="3"/>
    </row>
    <row r="364" spans="10:10" x14ac:dyDescent="0.3">
      <c r="J364" s="3"/>
    </row>
    <row r="365" spans="10:10" x14ac:dyDescent="0.3">
      <c r="J365" s="3"/>
    </row>
    <row r="366" spans="10:10" x14ac:dyDescent="0.3">
      <c r="J366" s="3"/>
    </row>
    <row r="367" spans="10:10" x14ac:dyDescent="0.3">
      <c r="J367" s="3"/>
    </row>
    <row r="368" spans="10:10" x14ac:dyDescent="0.3">
      <c r="J368" s="3"/>
    </row>
    <row r="369" spans="10:10" x14ac:dyDescent="0.3">
      <c r="J369" s="3"/>
    </row>
    <row r="370" spans="10:10" x14ac:dyDescent="0.3">
      <c r="J370" s="3"/>
    </row>
    <row r="371" spans="10:10" x14ac:dyDescent="0.3">
      <c r="J371" s="3"/>
    </row>
    <row r="372" spans="10:10" x14ac:dyDescent="0.3">
      <c r="J372" s="3"/>
    </row>
    <row r="373" spans="10:10" x14ac:dyDescent="0.3">
      <c r="J373" s="3"/>
    </row>
    <row r="374" spans="10:10" x14ac:dyDescent="0.3">
      <c r="J374" s="3"/>
    </row>
    <row r="375" spans="10:10" x14ac:dyDescent="0.3">
      <c r="J375" s="3"/>
    </row>
    <row r="376" spans="10:10" x14ac:dyDescent="0.3">
      <c r="J376" s="3"/>
    </row>
    <row r="377" spans="10:10" x14ac:dyDescent="0.3">
      <c r="J377" s="3"/>
    </row>
    <row r="378" spans="10:10" x14ac:dyDescent="0.3">
      <c r="J378" s="3"/>
    </row>
    <row r="379" spans="10:10" x14ac:dyDescent="0.3">
      <c r="J379" s="3"/>
    </row>
    <row r="380" spans="10:10" x14ac:dyDescent="0.3">
      <c r="J380" s="3"/>
    </row>
    <row r="381" spans="10:10" x14ac:dyDescent="0.3">
      <c r="J381" s="3"/>
    </row>
    <row r="382" spans="10:10" x14ac:dyDescent="0.3">
      <c r="J382" s="3"/>
    </row>
    <row r="383" spans="10:10" x14ac:dyDescent="0.3">
      <c r="J383" s="3"/>
    </row>
    <row r="384" spans="10:10" x14ac:dyDescent="0.3">
      <c r="J384" s="3"/>
    </row>
    <row r="385" spans="10:10" x14ac:dyDescent="0.3">
      <c r="J385" s="3"/>
    </row>
    <row r="386" spans="10:10" x14ac:dyDescent="0.3">
      <c r="J386" s="3"/>
    </row>
    <row r="387" spans="10:10" x14ac:dyDescent="0.3">
      <c r="J387" s="3"/>
    </row>
    <row r="388" spans="10:10" x14ac:dyDescent="0.3">
      <c r="J388" s="3"/>
    </row>
    <row r="389" spans="10:10" x14ac:dyDescent="0.3">
      <c r="J389" s="3"/>
    </row>
    <row r="390" spans="10:10" x14ac:dyDescent="0.3">
      <c r="J390" s="3"/>
    </row>
    <row r="391" spans="10:10" x14ac:dyDescent="0.3">
      <c r="J391" s="3"/>
    </row>
    <row r="392" spans="10:10" x14ac:dyDescent="0.3">
      <c r="J392" s="3"/>
    </row>
    <row r="393" spans="10:10" x14ac:dyDescent="0.3">
      <c r="J393" s="3"/>
    </row>
    <row r="394" spans="10:10" x14ac:dyDescent="0.3">
      <c r="J394" s="3"/>
    </row>
    <row r="395" spans="10:10" x14ac:dyDescent="0.3">
      <c r="J395" s="3"/>
    </row>
    <row r="396" spans="10:10" x14ac:dyDescent="0.3">
      <c r="J396" s="3"/>
    </row>
    <row r="397" spans="10:10" x14ac:dyDescent="0.3">
      <c r="J397" s="3"/>
    </row>
    <row r="398" spans="10:10" x14ac:dyDescent="0.3">
      <c r="J398" s="3"/>
    </row>
    <row r="399" spans="10:10" x14ac:dyDescent="0.3">
      <c r="J399" s="3"/>
    </row>
    <row r="400" spans="10:10" x14ac:dyDescent="0.3">
      <c r="J400" s="3"/>
    </row>
    <row r="401" spans="10:10" x14ac:dyDescent="0.3">
      <c r="J401" s="3"/>
    </row>
    <row r="402" spans="10:10" x14ac:dyDescent="0.3">
      <c r="J402" s="3"/>
    </row>
    <row r="403" spans="10:10" x14ac:dyDescent="0.3">
      <c r="J403" s="3"/>
    </row>
    <row r="404" spans="10:10" x14ac:dyDescent="0.3">
      <c r="J404" s="3"/>
    </row>
    <row r="405" spans="10:10" x14ac:dyDescent="0.3">
      <c r="J405" s="3"/>
    </row>
    <row r="406" spans="10:10" x14ac:dyDescent="0.3">
      <c r="J406" s="3"/>
    </row>
    <row r="407" spans="10:10" x14ac:dyDescent="0.3">
      <c r="J407" s="3"/>
    </row>
    <row r="408" spans="10:10" x14ac:dyDescent="0.3">
      <c r="J408" s="3"/>
    </row>
    <row r="409" spans="10:10" x14ac:dyDescent="0.3">
      <c r="J409" s="3"/>
    </row>
    <row r="410" spans="10:10" x14ac:dyDescent="0.3">
      <c r="J410" s="3"/>
    </row>
    <row r="411" spans="10:10" x14ac:dyDescent="0.3">
      <c r="J411" s="3"/>
    </row>
    <row r="412" spans="10:10" x14ac:dyDescent="0.3">
      <c r="J412" s="3"/>
    </row>
    <row r="413" spans="10:10" x14ac:dyDescent="0.3">
      <c r="J413" s="3"/>
    </row>
    <row r="414" spans="10:10" x14ac:dyDescent="0.3">
      <c r="J414" s="3"/>
    </row>
    <row r="415" spans="10:10" x14ac:dyDescent="0.3">
      <c r="J415" s="3"/>
    </row>
    <row r="416" spans="10:10" x14ac:dyDescent="0.3">
      <c r="J416" s="3"/>
    </row>
    <row r="417" spans="10:10" x14ac:dyDescent="0.3">
      <c r="J417" s="3"/>
    </row>
    <row r="418" spans="10:10" x14ac:dyDescent="0.3">
      <c r="J418" s="3"/>
    </row>
    <row r="419" spans="10:10" x14ac:dyDescent="0.3">
      <c r="J419" s="3"/>
    </row>
    <row r="420" spans="10:10" x14ac:dyDescent="0.3">
      <c r="J420" s="3"/>
    </row>
    <row r="421" spans="10:10" x14ac:dyDescent="0.3">
      <c r="J421" s="3"/>
    </row>
    <row r="422" spans="10:10" x14ac:dyDescent="0.3">
      <c r="J422" s="3"/>
    </row>
    <row r="423" spans="10:10" x14ac:dyDescent="0.3">
      <c r="J423" s="3"/>
    </row>
    <row r="424" spans="10:10" x14ac:dyDescent="0.3">
      <c r="J424" s="3"/>
    </row>
    <row r="425" spans="10:10" x14ac:dyDescent="0.3">
      <c r="J425" s="3"/>
    </row>
    <row r="426" spans="10:10" x14ac:dyDescent="0.3">
      <c r="J426" s="3"/>
    </row>
    <row r="427" spans="10:10" x14ac:dyDescent="0.3">
      <c r="J427" s="3"/>
    </row>
    <row r="428" spans="10:10" x14ac:dyDescent="0.3">
      <c r="J428" s="3"/>
    </row>
    <row r="429" spans="10:10" x14ac:dyDescent="0.3">
      <c r="J429" s="3"/>
    </row>
    <row r="430" spans="10:10" x14ac:dyDescent="0.3">
      <c r="J430" s="3"/>
    </row>
    <row r="431" spans="10:10" x14ac:dyDescent="0.3">
      <c r="J431" s="3"/>
    </row>
    <row r="432" spans="10:10" x14ac:dyDescent="0.3">
      <c r="J432" s="3"/>
    </row>
    <row r="433" spans="10:10" x14ac:dyDescent="0.3">
      <c r="J433" s="3"/>
    </row>
    <row r="434" spans="10:10" x14ac:dyDescent="0.3">
      <c r="J434" s="3"/>
    </row>
    <row r="435" spans="10:10" x14ac:dyDescent="0.3">
      <c r="J435" s="3"/>
    </row>
    <row r="436" spans="10:10" x14ac:dyDescent="0.3">
      <c r="J436" s="3"/>
    </row>
    <row r="437" spans="10:10" x14ac:dyDescent="0.3">
      <c r="J437" s="3"/>
    </row>
    <row r="438" spans="10:10" x14ac:dyDescent="0.3">
      <c r="J438" s="3"/>
    </row>
    <row r="439" spans="10:10" x14ac:dyDescent="0.3">
      <c r="J439" s="3"/>
    </row>
    <row r="440" spans="10:10" x14ac:dyDescent="0.3">
      <c r="J440" s="3"/>
    </row>
    <row r="441" spans="10:10" x14ac:dyDescent="0.3">
      <c r="J441" s="3"/>
    </row>
    <row r="442" spans="10:10" x14ac:dyDescent="0.3">
      <c r="J442" s="3"/>
    </row>
    <row r="443" spans="10:10" x14ac:dyDescent="0.3">
      <c r="J443" s="3"/>
    </row>
    <row r="444" spans="10:10" x14ac:dyDescent="0.3">
      <c r="J444" s="3"/>
    </row>
    <row r="445" spans="10:10" x14ac:dyDescent="0.3">
      <c r="J445" s="3"/>
    </row>
    <row r="446" spans="10:10" x14ac:dyDescent="0.3">
      <c r="J446" s="3"/>
    </row>
    <row r="447" spans="10:10" x14ac:dyDescent="0.3">
      <c r="J447" s="3"/>
    </row>
    <row r="448" spans="10:10" x14ac:dyDescent="0.3">
      <c r="J448" s="3"/>
    </row>
    <row r="449" spans="10:10" x14ac:dyDescent="0.3">
      <c r="J449" s="3"/>
    </row>
    <row r="450" spans="10:10" x14ac:dyDescent="0.3">
      <c r="J450" s="3"/>
    </row>
    <row r="451" spans="10:10" x14ac:dyDescent="0.3">
      <c r="J451" s="3"/>
    </row>
    <row r="452" spans="10:10" x14ac:dyDescent="0.3">
      <c r="J452" s="3"/>
    </row>
    <row r="453" spans="10:10" x14ac:dyDescent="0.3">
      <c r="J453" s="3"/>
    </row>
    <row r="454" spans="10:10" x14ac:dyDescent="0.3">
      <c r="J454" s="3"/>
    </row>
    <row r="455" spans="10:10" x14ac:dyDescent="0.3">
      <c r="J455" s="3"/>
    </row>
    <row r="456" spans="10:10" x14ac:dyDescent="0.3">
      <c r="J456" s="3"/>
    </row>
    <row r="457" spans="10:10" x14ac:dyDescent="0.3">
      <c r="J457" s="3"/>
    </row>
    <row r="458" spans="10:10" x14ac:dyDescent="0.3">
      <c r="J458" s="3"/>
    </row>
    <row r="459" spans="10:10" x14ac:dyDescent="0.3">
      <c r="J459" s="3"/>
    </row>
    <row r="460" spans="10:10" x14ac:dyDescent="0.3">
      <c r="J460" s="3"/>
    </row>
    <row r="461" spans="10:10" x14ac:dyDescent="0.3">
      <c r="J461" s="3"/>
    </row>
    <row r="462" spans="10:10" x14ac:dyDescent="0.3">
      <c r="J462" s="3"/>
    </row>
    <row r="463" spans="10:10" x14ac:dyDescent="0.3">
      <c r="J463" s="3"/>
    </row>
    <row r="464" spans="10:10" x14ac:dyDescent="0.3">
      <c r="J464" s="3"/>
    </row>
    <row r="465" spans="10:10" x14ac:dyDescent="0.3">
      <c r="J465" s="3"/>
    </row>
    <row r="466" spans="10:10" x14ac:dyDescent="0.3">
      <c r="J466" s="3"/>
    </row>
    <row r="467" spans="10:10" x14ac:dyDescent="0.3">
      <c r="J467" s="3"/>
    </row>
    <row r="468" spans="10:10" x14ac:dyDescent="0.3">
      <c r="J468" s="3"/>
    </row>
    <row r="469" spans="10:10" x14ac:dyDescent="0.3">
      <c r="J469" s="3"/>
    </row>
    <row r="470" spans="10:10" x14ac:dyDescent="0.3">
      <c r="J470" s="3"/>
    </row>
  </sheetData>
  <mergeCells count="25">
    <mergeCell ref="A1:I4"/>
    <mergeCell ref="A193:G193"/>
    <mergeCell ref="H193:I193"/>
    <mergeCell ref="A5:I5"/>
    <mergeCell ref="K247:L247"/>
    <mergeCell ref="K225:M225"/>
    <mergeCell ref="A247:D247"/>
    <mergeCell ref="A6:I6"/>
    <mergeCell ref="K5:M5"/>
    <mergeCell ref="A99:I99"/>
    <mergeCell ref="K99:M99"/>
    <mergeCell ref="K100:M100"/>
    <mergeCell ref="A147:I147"/>
    <mergeCell ref="K147:M147"/>
    <mergeCell ref="K148:M148"/>
    <mergeCell ref="A194:I194"/>
    <mergeCell ref="K6:M6"/>
    <mergeCell ref="H98:I98"/>
    <mergeCell ref="A146:G146"/>
    <mergeCell ref="H146:I146"/>
    <mergeCell ref="H246:I246"/>
    <mergeCell ref="K194:M194"/>
    <mergeCell ref="K195:M195"/>
    <mergeCell ref="A98:G98"/>
    <mergeCell ref="A246:G246"/>
  </mergeCells>
  <pageMargins left="0.39370078740157483" right="0.39370078740157483" top="0.19685039370078741" bottom="0.19685039370078741" header="0.31496062992125984" footer="0.31496062992125984"/>
  <pageSetup paperSize="9" scale="50" fitToHeight="2" orientation="portrait" r:id="rId1"/>
  <ignoredErrors>
    <ignoredError sqref="G24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R244"/>
  <sheetViews>
    <sheetView showGridLines="0" zoomScaleNormal="100" workbookViewId="0">
      <selection activeCell="I149" sqref="I149"/>
    </sheetView>
  </sheetViews>
  <sheetFormatPr baseColWidth="10" defaultRowHeight="14.4" x14ac:dyDescent="0.3"/>
  <cols>
    <col min="1" max="1" width="10.5546875" style="64" customWidth="1"/>
    <col min="2" max="2" width="8.33203125" style="64" customWidth="1"/>
    <col min="3" max="3" width="16.6640625" style="74" customWidth="1"/>
    <col min="4" max="4" width="15" customWidth="1"/>
    <col min="5" max="5" width="16.109375" bestFit="1" customWidth="1"/>
    <col min="6" max="6" width="16.6640625" bestFit="1" customWidth="1"/>
    <col min="7" max="7" width="15.6640625" customWidth="1"/>
    <col min="8" max="8" width="8.88671875" customWidth="1"/>
    <col min="9" max="9" width="23.88671875" style="3" bestFit="1" customWidth="1"/>
    <col min="10" max="10" width="4.44140625" style="72" customWidth="1"/>
    <col min="11" max="11" width="27" customWidth="1"/>
    <col min="12" max="12" width="14.109375" customWidth="1"/>
  </cols>
  <sheetData>
    <row r="1" spans="1:18" x14ac:dyDescent="0.3">
      <c r="A1" s="557"/>
      <c r="B1" s="557"/>
      <c r="C1" s="557"/>
      <c r="D1" s="557"/>
      <c r="E1" s="557"/>
      <c r="F1" s="557"/>
      <c r="G1" s="557"/>
      <c r="H1" s="557"/>
      <c r="I1" s="557"/>
      <c r="J1" s="3"/>
    </row>
    <row r="2" spans="1:18" x14ac:dyDescent="0.3">
      <c r="A2" s="557"/>
      <c r="B2" s="557"/>
      <c r="C2" s="557"/>
      <c r="D2" s="557"/>
      <c r="E2" s="557"/>
      <c r="F2" s="557"/>
      <c r="G2" s="557"/>
      <c r="H2" s="557"/>
      <c r="I2" s="557"/>
      <c r="J2" s="3"/>
    </row>
    <row r="3" spans="1:18" x14ac:dyDescent="0.3">
      <c r="A3" s="557"/>
      <c r="B3" s="557"/>
      <c r="C3" s="557"/>
      <c r="D3" s="557"/>
      <c r="E3" s="557"/>
      <c r="F3" s="557"/>
      <c r="G3" s="557"/>
      <c r="H3" s="557"/>
      <c r="I3" s="557"/>
    </row>
    <row r="4" spans="1:18" x14ac:dyDescent="0.3">
      <c r="A4" s="557"/>
      <c r="B4" s="557"/>
      <c r="C4" s="557"/>
      <c r="D4" s="557"/>
      <c r="E4" s="557"/>
      <c r="F4" s="557"/>
      <c r="G4" s="557"/>
      <c r="H4" s="557"/>
      <c r="I4" s="557"/>
      <c r="J4" s="3"/>
    </row>
    <row r="5" spans="1:18" ht="23.4" x14ac:dyDescent="0.45">
      <c r="A5" s="558" t="s">
        <v>671</v>
      </c>
      <c r="B5" s="558"/>
      <c r="C5" s="558"/>
      <c r="D5" s="558"/>
      <c r="E5" s="558"/>
      <c r="F5" s="558"/>
      <c r="G5" s="558"/>
      <c r="H5" s="558"/>
      <c r="I5" s="558"/>
      <c r="J5" s="113"/>
      <c r="K5" s="526" t="s">
        <v>684</v>
      </c>
      <c r="L5" s="526"/>
      <c r="M5" s="526"/>
    </row>
    <row r="6" spans="1:18" ht="18" customHeight="1" x14ac:dyDescent="0.35">
      <c r="A6" s="521" t="s">
        <v>19</v>
      </c>
      <c r="B6" s="522"/>
      <c r="C6" s="522"/>
      <c r="D6" s="522"/>
      <c r="E6" s="522"/>
      <c r="F6" s="522"/>
      <c r="G6" s="522"/>
      <c r="H6" s="522"/>
      <c r="I6" s="523"/>
      <c r="J6" s="108"/>
      <c r="K6" s="545" t="s">
        <v>34</v>
      </c>
      <c r="L6" s="545"/>
      <c r="M6" s="545"/>
    </row>
    <row r="7" spans="1:18" x14ac:dyDescent="0.3">
      <c r="A7" s="33" t="s">
        <v>13</v>
      </c>
      <c r="B7" s="33" t="s">
        <v>284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8" ht="20.399999999999999" customHeight="1" x14ac:dyDescent="0.3">
      <c r="A8" s="54">
        <v>46081</v>
      </c>
      <c r="B8" s="54"/>
      <c r="C8" s="13" t="s">
        <v>21</v>
      </c>
      <c r="D8" s="13"/>
      <c r="E8" s="20">
        <v>2937839.1</v>
      </c>
      <c r="F8" s="67"/>
      <c r="G8" s="163">
        <f>+E8-F8</f>
        <v>2937839.1</v>
      </c>
      <c r="H8" s="36"/>
      <c r="I8" s="105"/>
      <c r="J8" s="5"/>
      <c r="K8" s="69" t="s">
        <v>0</v>
      </c>
      <c r="L8" s="73" t="s">
        <v>92</v>
      </c>
      <c r="M8" s="26">
        <v>0</v>
      </c>
    </row>
    <row r="9" spans="1:18" s="6" customFormat="1" ht="16.2" customHeight="1" x14ac:dyDescent="0.3">
      <c r="A9" s="82">
        <v>46082</v>
      </c>
      <c r="B9" s="50" t="s">
        <v>57</v>
      </c>
      <c r="C9" s="49" t="s">
        <v>674</v>
      </c>
      <c r="D9" s="15" t="s">
        <v>26</v>
      </c>
      <c r="E9" s="172"/>
      <c r="F9" s="164">
        <v>163010.51</v>
      </c>
      <c r="G9" s="161">
        <f t="shared" ref="G9:G24" si="0">+G8+E9-F9</f>
        <v>2774828.59</v>
      </c>
      <c r="H9" s="76">
        <v>82.956999999999994</v>
      </c>
      <c r="I9" s="10" t="s">
        <v>92</v>
      </c>
      <c r="J9" s="110"/>
      <c r="K9" s="69" t="s">
        <v>1</v>
      </c>
      <c r="L9" s="73" t="s">
        <v>92</v>
      </c>
      <c r="M9" s="42">
        <f>SUM(H15)</f>
        <v>70.739900000000006</v>
      </c>
      <c r="N9"/>
      <c r="O9"/>
      <c r="P9"/>
      <c r="Q9"/>
      <c r="R9"/>
    </row>
    <row r="10" spans="1:18" x14ac:dyDescent="0.3">
      <c r="A10" s="82">
        <v>46082</v>
      </c>
      <c r="B10" s="82" t="s">
        <v>57</v>
      </c>
      <c r="C10" s="49" t="s">
        <v>675</v>
      </c>
      <c r="D10" s="7" t="s">
        <v>6</v>
      </c>
      <c r="E10" s="169"/>
      <c r="F10" s="164">
        <v>45000.47</v>
      </c>
      <c r="G10" s="161">
        <f t="shared" si="0"/>
        <v>2729828.1199999996</v>
      </c>
      <c r="H10" s="76">
        <v>22.901</v>
      </c>
      <c r="I10" s="10" t="s">
        <v>92</v>
      </c>
      <c r="J10" s="110"/>
      <c r="K10" s="24" t="s">
        <v>27</v>
      </c>
      <c r="L10" s="73" t="s">
        <v>92</v>
      </c>
      <c r="M10" s="26">
        <v>0</v>
      </c>
    </row>
    <row r="11" spans="1:18" x14ac:dyDescent="0.3">
      <c r="A11" s="82">
        <v>46082</v>
      </c>
      <c r="B11" s="82" t="s">
        <v>57</v>
      </c>
      <c r="C11" s="49" t="s">
        <v>676</v>
      </c>
      <c r="D11" s="7" t="s">
        <v>8</v>
      </c>
      <c r="E11" s="169"/>
      <c r="F11" s="164">
        <v>45000.47</v>
      </c>
      <c r="G11" s="161">
        <f t="shared" si="0"/>
        <v>2684827.6499999994</v>
      </c>
      <c r="H11" s="76">
        <v>22.901</v>
      </c>
      <c r="I11" s="10" t="s">
        <v>92</v>
      </c>
      <c r="J11" s="110"/>
      <c r="K11" s="76" t="s">
        <v>429</v>
      </c>
      <c r="L11" s="73" t="s">
        <v>92</v>
      </c>
      <c r="M11" s="80">
        <f>SUM(H14)</f>
        <v>55.472000000000001</v>
      </c>
    </row>
    <row r="12" spans="1:18" x14ac:dyDescent="0.3">
      <c r="A12" s="82">
        <v>46082</v>
      </c>
      <c r="B12" s="82" t="s">
        <v>57</v>
      </c>
      <c r="C12" s="49" t="s">
        <v>677</v>
      </c>
      <c r="D12" s="15" t="s">
        <v>5</v>
      </c>
      <c r="E12" s="169"/>
      <c r="F12" s="164">
        <v>45000.47</v>
      </c>
      <c r="G12" s="161">
        <f t="shared" si="0"/>
        <v>2639827.1799999992</v>
      </c>
      <c r="H12" s="76">
        <v>22.901</v>
      </c>
      <c r="I12" s="10" t="s">
        <v>92</v>
      </c>
      <c r="J12" s="110"/>
      <c r="K12" s="76" t="s">
        <v>62</v>
      </c>
      <c r="L12" s="73" t="s">
        <v>92</v>
      </c>
      <c r="M12" s="80">
        <f>SUM(H26+H30+H41+H43+H47+H48)</f>
        <v>117.235</v>
      </c>
    </row>
    <row r="13" spans="1:18" x14ac:dyDescent="0.3">
      <c r="A13" s="82">
        <v>46082</v>
      </c>
      <c r="B13" s="82" t="s">
        <v>57</v>
      </c>
      <c r="C13" s="49" t="s">
        <v>678</v>
      </c>
      <c r="D13" s="85" t="s">
        <v>5</v>
      </c>
      <c r="E13" s="169"/>
      <c r="F13" s="164">
        <v>47317.2</v>
      </c>
      <c r="G13" s="161">
        <f t="shared" si="0"/>
        <v>2592509.9799999991</v>
      </c>
      <c r="H13" s="76">
        <v>24.08</v>
      </c>
      <c r="I13" s="10" t="s">
        <v>92</v>
      </c>
      <c r="J13" s="110"/>
      <c r="K13" s="76" t="s">
        <v>361</v>
      </c>
      <c r="L13" s="73" t="s">
        <v>92</v>
      </c>
      <c r="M13" s="80">
        <v>0</v>
      </c>
    </row>
    <row r="14" spans="1:18" x14ac:dyDescent="0.3">
      <c r="A14" s="82">
        <v>46082</v>
      </c>
      <c r="B14" s="82" t="s">
        <v>57</v>
      </c>
      <c r="C14" s="49" t="s">
        <v>679</v>
      </c>
      <c r="D14" s="15" t="s">
        <v>429</v>
      </c>
      <c r="E14" s="169"/>
      <c r="F14" s="164">
        <v>109002.48</v>
      </c>
      <c r="G14" s="161">
        <f t="shared" si="0"/>
        <v>2483507.4999999991</v>
      </c>
      <c r="H14" s="76">
        <v>55.472000000000001</v>
      </c>
      <c r="I14" s="10" t="s">
        <v>92</v>
      </c>
      <c r="J14" s="110"/>
      <c r="K14" s="76" t="s">
        <v>541</v>
      </c>
      <c r="L14" s="73" t="s">
        <v>92</v>
      </c>
      <c r="M14" s="80">
        <v>0</v>
      </c>
    </row>
    <row r="15" spans="1:18" x14ac:dyDescent="0.3">
      <c r="A15" s="82">
        <v>46082</v>
      </c>
      <c r="B15" s="82" t="s">
        <v>57</v>
      </c>
      <c r="C15" s="49" t="s">
        <v>680</v>
      </c>
      <c r="D15" s="15" t="s">
        <v>1</v>
      </c>
      <c r="E15" s="169"/>
      <c r="F15" s="164">
        <v>139004</v>
      </c>
      <c r="G15" s="161">
        <f t="shared" si="0"/>
        <v>2344503.4999999991</v>
      </c>
      <c r="H15" s="76">
        <v>70.739900000000006</v>
      </c>
      <c r="I15" s="10" t="s">
        <v>92</v>
      </c>
      <c r="J15" s="110"/>
      <c r="K15" s="69" t="s">
        <v>24</v>
      </c>
      <c r="L15" s="73" t="s">
        <v>92</v>
      </c>
      <c r="M15" s="26">
        <v>0</v>
      </c>
    </row>
    <row r="16" spans="1:18" x14ac:dyDescent="0.3">
      <c r="A16" s="82">
        <v>46082</v>
      </c>
      <c r="B16" s="82" t="s">
        <v>57</v>
      </c>
      <c r="C16" s="49" t="s">
        <v>681</v>
      </c>
      <c r="D16" s="15" t="s">
        <v>30</v>
      </c>
      <c r="E16" s="169"/>
      <c r="F16" s="164">
        <v>666007.28</v>
      </c>
      <c r="G16" s="161">
        <f t="shared" si="0"/>
        <v>1678496.219999999</v>
      </c>
      <c r="H16" s="9">
        <v>338.935</v>
      </c>
      <c r="I16" s="10" t="s">
        <v>92</v>
      </c>
      <c r="J16" s="110"/>
      <c r="K16" s="69" t="s">
        <v>29</v>
      </c>
      <c r="L16" s="73" t="s">
        <v>92</v>
      </c>
      <c r="M16" s="26">
        <f>SUM(H9+H22+H29+H44)</f>
        <v>264.45859999999999</v>
      </c>
    </row>
    <row r="17" spans="1:13" x14ac:dyDescent="0.3">
      <c r="A17" s="82">
        <v>46082</v>
      </c>
      <c r="B17" s="82" t="s">
        <v>57</v>
      </c>
      <c r="C17" s="49" t="s">
        <v>682</v>
      </c>
      <c r="D17" s="15" t="s">
        <v>22</v>
      </c>
      <c r="E17" s="169"/>
      <c r="F17" s="164">
        <v>750011.03</v>
      </c>
      <c r="G17" s="161">
        <f t="shared" si="0"/>
        <v>928485.18999999901</v>
      </c>
      <c r="H17" s="124">
        <v>381.685</v>
      </c>
      <c r="I17" s="10" t="s">
        <v>92</v>
      </c>
      <c r="J17" s="110"/>
      <c r="K17" s="69" t="s">
        <v>3</v>
      </c>
      <c r="L17" s="73" t="s">
        <v>92</v>
      </c>
      <c r="M17" s="26">
        <v>0</v>
      </c>
    </row>
    <row r="18" spans="1:13" x14ac:dyDescent="0.3">
      <c r="A18" s="82">
        <v>46083</v>
      </c>
      <c r="B18" s="82" t="s">
        <v>57</v>
      </c>
      <c r="C18" s="49" t="s">
        <v>683</v>
      </c>
      <c r="D18" s="15" t="s">
        <v>10</v>
      </c>
      <c r="E18" s="169"/>
      <c r="F18" s="164">
        <v>673197.18</v>
      </c>
      <c r="G18" s="161">
        <f t="shared" si="0"/>
        <v>255288.00999999896</v>
      </c>
      <c r="H18" s="9">
        <v>362.714</v>
      </c>
      <c r="I18" s="10" t="s">
        <v>92</v>
      </c>
      <c r="J18" s="110"/>
      <c r="K18" s="69" t="s">
        <v>5</v>
      </c>
      <c r="L18" s="73" t="s">
        <v>92</v>
      </c>
      <c r="M18" s="26">
        <f>SUM(H12+H13)</f>
        <v>46.980999999999995</v>
      </c>
    </row>
    <row r="19" spans="1:13" x14ac:dyDescent="0.3">
      <c r="A19" s="82">
        <v>46083</v>
      </c>
      <c r="B19" s="82" t="s">
        <v>57</v>
      </c>
      <c r="C19" s="49" t="s">
        <v>685</v>
      </c>
      <c r="D19" s="15" t="s">
        <v>61</v>
      </c>
      <c r="E19" s="169"/>
      <c r="F19" s="164">
        <v>325687.06</v>
      </c>
      <c r="G19" s="159">
        <f t="shared" si="0"/>
        <v>-70399.050000001036</v>
      </c>
      <c r="H19" s="124">
        <v>165.072</v>
      </c>
      <c r="I19" s="10" t="s">
        <v>92</v>
      </c>
      <c r="J19" s="110"/>
      <c r="K19" s="69" t="s">
        <v>61</v>
      </c>
      <c r="L19" s="73" t="s">
        <v>92</v>
      </c>
      <c r="M19" s="26">
        <f>SUM(H19+H23+H39+H40)</f>
        <v>379.04300000000006</v>
      </c>
    </row>
    <row r="20" spans="1:13" x14ac:dyDescent="0.3">
      <c r="A20" s="82">
        <v>46083</v>
      </c>
      <c r="B20" s="82" t="s">
        <v>57</v>
      </c>
      <c r="C20" s="49" t="s">
        <v>698</v>
      </c>
      <c r="D20" s="15" t="s">
        <v>61</v>
      </c>
      <c r="E20" s="169"/>
      <c r="F20" s="164">
        <v>24400</v>
      </c>
      <c r="G20" s="159">
        <f t="shared" si="0"/>
        <v>-94799.050000001036</v>
      </c>
      <c r="H20" s="150" t="s">
        <v>1216</v>
      </c>
      <c r="I20" s="10" t="s">
        <v>717</v>
      </c>
      <c r="J20" s="110"/>
      <c r="K20" s="69" t="s">
        <v>22</v>
      </c>
      <c r="L20" s="73" t="s">
        <v>92</v>
      </c>
      <c r="M20" s="26">
        <f>SUM(H17+H25+H37+H45)</f>
        <v>1431.758</v>
      </c>
    </row>
    <row r="21" spans="1:13" x14ac:dyDescent="0.3">
      <c r="A21" s="327">
        <v>46083</v>
      </c>
      <c r="B21" s="327" t="s">
        <v>60</v>
      </c>
      <c r="C21" s="328" t="s">
        <v>699</v>
      </c>
      <c r="D21" s="329" t="s">
        <v>1218</v>
      </c>
      <c r="E21" s="351">
        <v>1500000</v>
      </c>
      <c r="F21" s="309"/>
      <c r="G21" s="316">
        <f t="shared" si="0"/>
        <v>1405200.949999999</v>
      </c>
      <c r="H21" s="352"/>
      <c r="I21" s="199" t="s">
        <v>1222</v>
      </c>
      <c r="J21" s="110"/>
      <c r="K21" s="69" t="s">
        <v>6</v>
      </c>
      <c r="L21" s="73" t="s">
        <v>92</v>
      </c>
      <c r="M21" s="26">
        <f>SUM(H10+H24+H38+H49)</f>
        <v>90.257999999999996</v>
      </c>
    </row>
    <row r="22" spans="1:13" x14ac:dyDescent="0.3">
      <c r="A22" s="82">
        <v>46083</v>
      </c>
      <c r="B22" s="82" t="s">
        <v>57</v>
      </c>
      <c r="C22" s="49" t="s">
        <v>700</v>
      </c>
      <c r="D22" s="50" t="s">
        <v>26</v>
      </c>
      <c r="E22" s="178"/>
      <c r="F22" s="165">
        <v>114003</v>
      </c>
      <c r="G22" s="161">
        <f t="shared" si="0"/>
        <v>1291197.949999999</v>
      </c>
      <c r="H22" s="124">
        <v>57.781599999999997</v>
      </c>
      <c r="I22" s="10" t="s">
        <v>92</v>
      </c>
      <c r="J22" s="110"/>
      <c r="K22" s="69" t="s">
        <v>8</v>
      </c>
      <c r="L22" s="73" t="s">
        <v>92</v>
      </c>
      <c r="M22" s="26">
        <f>SUM(H11+H50)</f>
        <v>45.155999999999999</v>
      </c>
    </row>
    <row r="23" spans="1:13" x14ac:dyDescent="0.3">
      <c r="A23" s="82">
        <v>46083</v>
      </c>
      <c r="B23" s="82" t="s">
        <v>57</v>
      </c>
      <c r="C23" s="49" t="s">
        <v>701</v>
      </c>
      <c r="D23" s="50" t="s">
        <v>61</v>
      </c>
      <c r="E23" s="178"/>
      <c r="F23" s="165">
        <v>73734.960000000006</v>
      </c>
      <c r="G23" s="161">
        <f t="shared" si="0"/>
        <v>1217462.9899999991</v>
      </c>
      <c r="H23" s="76">
        <v>37.372</v>
      </c>
      <c r="I23" s="10" t="s">
        <v>92</v>
      </c>
      <c r="J23" s="110"/>
      <c r="K23" s="69" t="s">
        <v>9</v>
      </c>
      <c r="L23" s="73" t="s">
        <v>92</v>
      </c>
      <c r="M23" s="26">
        <f>SUM(H33)</f>
        <v>138.602</v>
      </c>
    </row>
    <row r="24" spans="1:13" x14ac:dyDescent="0.3">
      <c r="A24" s="82">
        <v>46084</v>
      </c>
      <c r="B24" s="82" t="s">
        <v>57</v>
      </c>
      <c r="C24" s="49" t="s">
        <v>702</v>
      </c>
      <c r="D24" s="50" t="s">
        <v>6</v>
      </c>
      <c r="E24" s="178"/>
      <c r="F24" s="165">
        <v>44999.59</v>
      </c>
      <c r="G24" s="161">
        <f t="shared" si="0"/>
        <v>1172463.399999999</v>
      </c>
      <c r="H24" s="76">
        <v>22.646999999999998</v>
      </c>
      <c r="I24" s="10" t="s">
        <v>92</v>
      </c>
      <c r="J24" s="110"/>
      <c r="K24" s="69" t="s">
        <v>30</v>
      </c>
      <c r="L24" s="73" t="s">
        <v>92</v>
      </c>
      <c r="M24" s="26">
        <f>SUM(H16+H28)</f>
        <v>660.04700000000003</v>
      </c>
    </row>
    <row r="25" spans="1:13" ht="14.4" customHeight="1" x14ac:dyDescent="0.3">
      <c r="A25" s="82">
        <v>46084</v>
      </c>
      <c r="B25" s="82" t="s">
        <v>57</v>
      </c>
      <c r="C25" s="49" t="s">
        <v>703</v>
      </c>
      <c r="D25" s="15" t="s">
        <v>22</v>
      </c>
      <c r="E25" s="179"/>
      <c r="F25" s="165">
        <v>1190373.95</v>
      </c>
      <c r="G25" s="159">
        <f>+G24+E25-F25</f>
        <v>-17910.550000000978</v>
      </c>
      <c r="H25" s="79">
        <v>599.08100000000002</v>
      </c>
      <c r="I25" s="10" t="s">
        <v>92</v>
      </c>
      <c r="J25"/>
      <c r="K25" s="69" t="s">
        <v>10</v>
      </c>
      <c r="L25" s="73" t="s">
        <v>92</v>
      </c>
      <c r="M25" s="26">
        <f>SUM(H18+H34)</f>
        <v>630.52359999999999</v>
      </c>
    </row>
    <row r="26" spans="1:13" x14ac:dyDescent="0.3">
      <c r="A26" s="82">
        <v>46084</v>
      </c>
      <c r="B26" s="82" t="s">
        <v>57</v>
      </c>
      <c r="C26" s="49" t="s">
        <v>704</v>
      </c>
      <c r="D26" s="149" t="s">
        <v>62</v>
      </c>
      <c r="E26" s="179"/>
      <c r="F26" s="165">
        <v>44999.59</v>
      </c>
      <c r="G26" s="159">
        <f t="shared" ref="G26:G124" si="1">+G25+E26-F26</f>
        <v>-62910.140000000974</v>
      </c>
      <c r="H26" s="79">
        <v>22.646999999999998</v>
      </c>
      <c r="I26" s="10" t="s">
        <v>92</v>
      </c>
      <c r="J26"/>
      <c r="K26" s="69" t="s">
        <v>11</v>
      </c>
      <c r="L26" s="73" t="s">
        <v>92</v>
      </c>
      <c r="M26" s="26">
        <f>SUM(H31+H46)</f>
        <v>55.427000000000007</v>
      </c>
    </row>
    <row r="27" spans="1:13" ht="14.4" customHeight="1" x14ac:dyDescent="0.3">
      <c r="A27" s="153">
        <v>46084</v>
      </c>
      <c r="B27" s="153" t="s">
        <v>57</v>
      </c>
      <c r="C27" s="154" t="s">
        <v>705</v>
      </c>
      <c r="D27" s="155" t="s">
        <v>23</v>
      </c>
      <c r="E27" s="180"/>
      <c r="F27" s="175">
        <v>44999.16</v>
      </c>
      <c r="G27" s="174">
        <f t="shared" si="1"/>
        <v>-107909.30000000098</v>
      </c>
      <c r="H27" s="156">
        <v>26.376999999999999</v>
      </c>
      <c r="I27" s="157" t="s">
        <v>726</v>
      </c>
      <c r="J27" s="112"/>
      <c r="K27" s="69" t="s">
        <v>23</v>
      </c>
      <c r="L27" s="117" t="s">
        <v>1214</v>
      </c>
      <c r="M27" s="80">
        <f>SUM(H27)</f>
        <v>26.376999999999999</v>
      </c>
    </row>
    <row r="28" spans="1:13" ht="14.4" customHeight="1" x14ac:dyDescent="0.3">
      <c r="A28" s="82">
        <v>46084</v>
      </c>
      <c r="B28" s="82" t="s">
        <v>57</v>
      </c>
      <c r="C28" s="49" t="s">
        <v>706</v>
      </c>
      <c r="D28" s="149" t="s">
        <v>30</v>
      </c>
      <c r="E28" s="179"/>
      <c r="F28" s="165">
        <v>638049.54</v>
      </c>
      <c r="G28" s="159">
        <f t="shared" si="1"/>
        <v>-745958.84000000102</v>
      </c>
      <c r="H28" s="76">
        <v>321.11200000000002</v>
      </c>
      <c r="I28" s="10" t="s">
        <v>92</v>
      </c>
      <c r="J28" s="112"/>
      <c r="K28" s="76" t="s">
        <v>36</v>
      </c>
      <c r="L28" s="80" t="s">
        <v>744</v>
      </c>
      <c r="M28" s="80" t="s">
        <v>760</v>
      </c>
    </row>
    <row r="29" spans="1:13" ht="14.4" customHeight="1" x14ac:dyDescent="0.3">
      <c r="A29" s="82">
        <v>46084</v>
      </c>
      <c r="B29" s="82" t="s">
        <v>57</v>
      </c>
      <c r="C29" s="49" t="s">
        <v>707</v>
      </c>
      <c r="D29" s="149" t="s">
        <v>26</v>
      </c>
      <c r="E29" s="179"/>
      <c r="F29" s="165">
        <v>119895.58</v>
      </c>
      <c r="G29" s="159">
        <f t="shared" si="1"/>
        <v>-865854.42000000097</v>
      </c>
      <c r="H29" s="79">
        <v>60.34</v>
      </c>
      <c r="I29" s="10" t="s">
        <v>92</v>
      </c>
      <c r="J29" s="112"/>
      <c r="K29" s="540" t="s">
        <v>695</v>
      </c>
      <c r="L29" s="541"/>
      <c r="M29" s="148">
        <f>SUM(M9:M27)</f>
        <v>4012.0780999999997</v>
      </c>
    </row>
    <row r="30" spans="1:13" ht="14.4" customHeight="1" x14ac:dyDescent="0.3">
      <c r="A30" s="82">
        <v>46085</v>
      </c>
      <c r="B30" s="82" t="s">
        <v>57</v>
      </c>
      <c r="C30" s="49" t="s">
        <v>708</v>
      </c>
      <c r="D30" s="149" t="s">
        <v>62</v>
      </c>
      <c r="E30" s="179"/>
      <c r="F30" s="165">
        <v>45000.6</v>
      </c>
      <c r="G30" s="159">
        <f t="shared" si="1"/>
        <v>-910855.02000000095</v>
      </c>
      <c r="H30" s="79">
        <v>22.433</v>
      </c>
      <c r="I30" s="10" t="s">
        <v>92</v>
      </c>
      <c r="J30" s="112"/>
    </row>
    <row r="31" spans="1:13" ht="14.4" customHeight="1" x14ac:dyDescent="0.3">
      <c r="A31" s="82">
        <v>46085</v>
      </c>
      <c r="B31" s="82" t="s">
        <v>57</v>
      </c>
      <c r="C31" s="49" t="s">
        <v>709</v>
      </c>
      <c r="D31" s="149" t="s">
        <v>117</v>
      </c>
      <c r="E31" s="179"/>
      <c r="F31" s="165">
        <v>68821.350000000006</v>
      </c>
      <c r="G31" s="159">
        <f t="shared" si="1"/>
        <v>-979676.37000000093</v>
      </c>
      <c r="H31" s="79">
        <v>36.862000000000002</v>
      </c>
      <c r="I31" s="10" t="s">
        <v>92</v>
      </c>
      <c r="J31" s="112"/>
    </row>
    <row r="32" spans="1:13" ht="14.4" customHeight="1" x14ac:dyDescent="0.3">
      <c r="A32" s="327">
        <v>46085</v>
      </c>
      <c r="B32" s="327" t="s">
        <v>60</v>
      </c>
      <c r="C32" s="328" t="s">
        <v>710</v>
      </c>
      <c r="D32" s="353" t="s">
        <v>1218</v>
      </c>
      <c r="E32" s="354">
        <v>900000</v>
      </c>
      <c r="F32" s="309"/>
      <c r="G32" s="317">
        <f t="shared" si="1"/>
        <v>-79676.370000000927</v>
      </c>
      <c r="H32" s="355"/>
      <c r="I32" s="199" t="s">
        <v>1220</v>
      </c>
      <c r="J32" s="112"/>
    </row>
    <row r="33" spans="1:10" ht="14.4" customHeight="1" x14ac:dyDescent="0.3">
      <c r="A33" s="82">
        <v>46085</v>
      </c>
      <c r="B33" s="82" t="s">
        <v>57</v>
      </c>
      <c r="C33" s="49" t="s">
        <v>711</v>
      </c>
      <c r="D33" s="149" t="s">
        <v>9</v>
      </c>
      <c r="E33" s="179"/>
      <c r="F33" s="165">
        <v>258769.93</v>
      </c>
      <c r="G33" s="159">
        <f t="shared" si="1"/>
        <v>-338446.30000000092</v>
      </c>
      <c r="H33" s="79">
        <v>138.602</v>
      </c>
      <c r="I33" s="10" t="s">
        <v>92</v>
      </c>
      <c r="J33" s="112"/>
    </row>
    <row r="34" spans="1:10" ht="14.4" customHeight="1" x14ac:dyDescent="0.3">
      <c r="A34" s="82">
        <v>46085</v>
      </c>
      <c r="B34" s="82" t="s">
        <v>57</v>
      </c>
      <c r="C34" s="49" t="s">
        <v>712</v>
      </c>
      <c r="D34" s="149" t="s">
        <v>10</v>
      </c>
      <c r="E34" s="179"/>
      <c r="F34" s="165">
        <v>500000.54</v>
      </c>
      <c r="G34" s="159">
        <f t="shared" si="1"/>
        <v>-838446.8400000009</v>
      </c>
      <c r="H34" s="57">
        <v>267.80959999999999</v>
      </c>
      <c r="I34" s="10" t="s">
        <v>92</v>
      </c>
      <c r="J34" s="112"/>
    </row>
    <row r="35" spans="1:10" ht="14.4" customHeight="1" x14ac:dyDescent="0.3">
      <c r="A35" s="327">
        <v>46085</v>
      </c>
      <c r="B35" s="327" t="s">
        <v>60</v>
      </c>
      <c r="C35" s="328" t="s">
        <v>713</v>
      </c>
      <c r="D35" s="353" t="s">
        <v>1217</v>
      </c>
      <c r="E35" s="354"/>
      <c r="F35" s="309">
        <v>16443.900000000001</v>
      </c>
      <c r="G35" s="317">
        <f t="shared" si="1"/>
        <v>-854890.74000000092</v>
      </c>
      <c r="H35" s="355"/>
      <c r="I35" s="199" t="s">
        <v>537</v>
      </c>
      <c r="J35" s="112"/>
    </row>
    <row r="36" spans="1:10" ht="14.4" customHeight="1" x14ac:dyDescent="0.3">
      <c r="A36" s="327">
        <v>46085</v>
      </c>
      <c r="B36" s="327" t="s">
        <v>57</v>
      </c>
      <c r="C36" s="328" t="s">
        <v>714</v>
      </c>
      <c r="D36" s="353" t="s">
        <v>1218</v>
      </c>
      <c r="E36" s="354">
        <v>2000000</v>
      </c>
      <c r="F36" s="309"/>
      <c r="G36" s="316">
        <f t="shared" si="1"/>
        <v>1145109.2599999991</v>
      </c>
      <c r="H36" s="355"/>
      <c r="I36" s="199" t="s">
        <v>1222</v>
      </c>
      <c r="J36" s="112"/>
    </row>
    <row r="37" spans="1:10" ht="14.4" customHeight="1" x14ac:dyDescent="0.3">
      <c r="A37" s="82">
        <v>46086</v>
      </c>
      <c r="B37" s="82" t="s">
        <v>57</v>
      </c>
      <c r="C37" s="49" t="s">
        <v>715</v>
      </c>
      <c r="D37" s="149" t="s">
        <v>22</v>
      </c>
      <c r="E37" s="179"/>
      <c r="F37" s="165">
        <v>830036.76</v>
      </c>
      <c r="G37" s="161">
        <f t="shared" si="1"/>
        <v>315072.49999999907</v>
      </c>
      <c r="H37" s="79">
        <v>414.19</v>
      </c>
      <c r="I37" s="10" t="s">
        <v>92</v>
      </c>
      <c r="J37" s="112"/>
    </row>
    <row r="38" spans="1:10" ht="14.4" customHeight="1" x14ac:dyDescent="0.3">
      <c r="A38" s="82">
        <v>46086</v>
      </c>
      <c r="B38" s="82" t="s">
        <v>57</v>
      </c>
      <c r="C38" s="49" t="s">
        <v>716</v>
      </c>
      <c r="D38" s="149" t="s">
        <v>6</v>
      </c>
      <c r="E38" s="179"/>
      <c r="F38" s="165">
        <v>44999.82</v>
      </c>
      <c r="G38" s="161">
        <f t="shared" si="1"/>
        <v>270072.67999999906</v>
      </c>
      <c r="H38" s="79">
        <v>22.454999999999998</v>
      </c>
      <c r="I38" s="10" t="s">
        <v>92</v>
      </c>
      <c r="J38" s="112"/>
    </row>
    <row r="39" spans="1:10" ht="14.4" customHeight="1" x14ac:dyDescent="0.3">
      <c r="A39" s="82">
        <v>46086</v>
      </c>
      <c r="B39" s="82" t="s">
        <v>57</v>
      </c>
      <c r="C39" s="49" t="s">
        <v>718</v>
      </c>
      <c r="D39" s="149" t="s">
        <v>61</v>
      </c>
      <c r="E39" s="179"/>
      <c r="F39" s="165">
        <v>316605.95</v>
      </c>
      <c r="G39" s="159">
        <f t="shared" si="1"/>
        <v>-46533.27000000095</v>
      </c>
      <c r="H39" s="76">
        <v>157.98699999999999</v>
      </c>
      <c r="I39" s="10" t="s">
        <v>92</v>
      </c>
      <c r="J39" s="112"/>
    </row>
    <row r="40" spans="1:10" ht="14.4" customHeight="1" x14ac:dyDescent="0.3">
      <c r="A40" s="82">
        <v>46086</v>
      </c>
      <c r="B40" s="82" t="s">
        <v>57</v>
      </c>
      <c r="C40" s="49" t="s">
        <v>719</v>
      </c>
      <c r="D40" s="149" t="s">
        <v>61</v>
      </c>
      <c r="E40" s="179"/>
      <c r="F40" s="165">
        <v>37298.449999999997</v>
      </c>
      <c r="G40" s="159">
        <f t="shared" si="1"/>
        <v>-83831.720000000947</v>
      </c>
      <c r="H40" s="76">
        <v>18.611999999999998</v>
      </c>
      <c r="I40" s="10" t="s">
        <v>92</v>
      </c>
      <c r="J40" s="112"/>
    </row>
    <row r="41" spans="1:10" ht="14.4" customHeight="1" x14ac:dyDescent="0.3">
      <c r="A41" s="82">
        <v>46086</v>
      </c>
      <c r="B41" s="82" t="s">
        <v>57</v>
      </c>
      <c r="C41" s="49" t="s">
        <v>720</v>
      </c>
      <c r="D41" s="149" t="s">
        <v>62</v>
      </c>
      <c r="E41" s="179"/>
      <c r="F41" s="165">
        <v>44999.82</v>
      </c>
      <c r="G41" s="159">
        <f t="shared" si="1"/>
        <v>-128831.54000000094</v>
      </c>
      <c r="H41" s="76">
        <v>22.454999999999998</v>
      </c>
      <c r="I41" s="10" t="s">
        <v>92</v>
      </c>
      <c r="J41" s="112"/>
    </row>
    <row r="42" spans="1:10" ht="14.4" customHeight="1" x14ac:dyDescent="0.3">
      <c r="A42" s="327">
        <v>46086</v>
      </c>
      <c r="B42" s="327" t="s">
        <v>60</v>
      </c>
      <c r="C42" s="328" t="s">
        <v>721</v>
      </c>
      <c r="D42" s="353" t="s">
        <v>1218</v>
      </c>
      <c r="E42" s="354">
        <v>1000000</v>
      </c>
      <c r="F42" s="309"/>
      <c r="G42" s="316">
        <f t="shared" si="1"/>
        <v>871168.45999999903</v>
      </c>
      <c r="H42" s="201"/>
      <c r="I42" s="199" t="s">
        <v>1222</v>
      </c>
      <c r="J42" s="112"/>
    </row>
    <row r="43" spans="1:10" ht="14.4" customHeight="1" x14ac:dyDescent="0.3">
      <c r="A43" s="82">
        <v>46086</v>
      </c>
      <c r="B43" s="82" t="s">
        <v>57</v>
      </c>
      <c r="C43" s="49" t="s">
        <v>722</v>
      </c>
      <c r="D43" s="149" t="s">
        <v>62</v>
      </c>
      <c r="E43" s="179"/>
      <c r="F43" s="165">
        <v>44999.82</v>
      </c>
      <c r="G43" s="161">
        <f t="shared" si="1"/>
        <v>826168.63999999908</v>
      </c>
      <c r="H43" s="76">
        <v>22.454999999999998</v>
      </c>
      <c r="I43" s="10" t="s">
        <v>92</v>
      </c>
      <c r="J43" s="112"/>
    </row>
    <row r="44" spans="1:10" ht="14.4" customHeight="1" x14ac:dyDescent="0.3">
      <c r="A44" s="82">
        <v>46086</v>
      </c>
      <c r="B44" s="82" t="s">
        <v>57</v>
      </c>
      <c r="C44" s="49" t="s">
        <v>723</v>
      </c>
      <c r="D44" s="149" t="s">
        <v>26</v>
      </c>
      <c r="E44" s="179"/>
      <c r="F44" s="165">
        <v>127013.52</v>
      </c>
      <c r="G44" s="161">
        <f t="shared" si="1"/>
        <v>699155.11999999906</v>
      </c>
      <c r="H44" s="76">
        <v>63.38</v>
      </c>
      <c r="I44" s="10" t="s">
        <v>92</v>
      </c>
      <c r="J44" s="112"/>
    </row>
    <row r="45" spans="1:10" ht="14.4" customHeight="1" x14ac:dyDescent="0.3">
      <c r="A45" s="82">
        <v>46086</v>
      </c>
      <c r="B45" s="82" t="s">
        <v>57</v>
      </c>
      <c r="C45" s="49" t="s">
        <v>724</v>
      </c>
      <c r="D45" s="149" t="s">
        <v>22</v>
      </c>
      <c r="E45" s="179"/>
      <c r="F45" s="165">
        <v>76327.350000000006</v>
      </c>
      <c r="G45" s="161">
        <f t="shared" si="1"/>
        <v>622827.76999999909</v>
      </c>
      <c r="H45" s="76">
        <v>36.802</v>
      </c>
      <c r="I45" s="10" t="s">
        <v>92</v>
      </c>
      <c r="J45" s="112"/>
    </row>
    <row r="46" spans="1:10" ht="14.4" customHeight="1" x14ac:dyDescent="0.3">
      <c r="A46" s="82">
        <v>46087</v>
      </c>
      <c r="B46" s="82" t="s">
        <v>57</v>
      </c>
      <c r="C46" s="49" t="s">
        <v>725</v>
      </c>
      <c r="D46" s="149" t="s">
        <v>117</v>
      </c>
      <c r="E46" s="179"/>
      <c r="F46" s="165">
        <v>35013.589999999997</v>
      </c>
      <c r="G46" s="161">
        <f t="shared" si="1"/>
        <v>587814.17999999912</v>
      </c>
      <c r="H46" s="76">
        <v>18.565000000000001</v>
      </c>
      <c r="I46" s="10" t="s">
        <v>92</v>
      </c>
      <c r="J46" s="112"/>
    </row>
    <row r="47" spans="1:10" ht="14.4" customHeight="1" x14ac:dyDescent="0.3">
      <c r="A47" s="82">
        <v>46087</v>
      </c>
      <c r="B47" s="82" t="s">
        <v>57</v>
      </c>
      <c r="C47" s="49" t="s">
        <v>727</v>
      </c>
      <c r="D47" s="149" t="s">
        <v>62</v>
      </c>
      <c r="E47" s="179"/>
      <c r="F47" s="165">
        <v>10105.6</v>
      </c>
      <c r="G47" s="161">
        <f t="shared" si="1"/>
        <v>577708.57999999914</v>
      </c>
      <c r="H47" s="76">
        <v>5.0119999999999996</v>
      </c>
      <c r="I47" s="10" t="s">
        <v>734</v>
      </c>
      <c r="J47" s="112"/>
    </row>
    <row r="48" spans="1:10" ht="14.4" customHeight="1" x14ac:dyDescent="0.3">
      <c r="A48" s="82">
        <v>46087</v>
      </c>
      <c r="B48" s="82" t="s">
        <v>57</v>
      </c>
      <c r="C48" s="49" t="s">
        <v>728</v>
      </c>
      <c r="D48" s="149" t="s">
        <v>62</v>
      </c>
      <c r="E48" s="179"/>
      <c r="F48" s="165">
        <v>44999.59</v>
      </c>
      <c r="G48" s="161">
        <f t="shared" si="1"/>
        <v>532708.98999999918</v>
      </c>
      <c r="H48" s="76">
        <v>22.233000000000001</v>
      </c>
      <c r="I48" s="10" t="s">
        <v>92</v>
      </c>
      <c r="J48" s="112"/>
    </row>
    <row r="49" spans="1:13" ht="14.4" customHeight="1" x14ac:dyDescent="0.3">
      <c r="A49" s="82">
        <v>46088</v>
      </c>
      <c r="B49" s="82" t="s">
        <v>57</v>
      </c>
      <c r="C49" s="49" t="s">
        <v>729</v>
      </c>
      <c r="D49" s="149" t="s">
        <v>6</v>
      </c>
      <c r="E49" s="179"/>
      <c r="F49" s="165">
        <v>44999.61</v>
      </c>
      <c r="G49" s="161">
        <f t="shared" si="1"/>
        <v>487709.37999999919</v>
      </c>
      <c r="H49" s="76">
        <v>22.254999999999999</v>
      </c>
      <c r="I49" s="10" t="s">
        <v>92</v>
      </c>
      <c r="J49" s="112"/>
    </row>
    <row r="50" spans="1:13" ht="14.4" customHeight="1" x14ac:dyDescent="0.3">
      <c r="A50" s="82">
        <v>46088</v>
      </c>
      <c r="B50" s="82" t="s">
        <v>57</v>
      </c>
      <c r="C50" s="49" t="s">
        <v>730</v>
      </c>
      <c r="D50" s="149" t="s">
        <v>8</v>
      </c>
      <c r="E50" s="179"/>
      <c r="F50" s="165">
        <v>44999.61</v>
      </c>
      <c r="G50" s="161">
        <f t="shared" si="1"/>
        <v>442709.7699999992</v>
      </c>
      <c r="H50" s="76">
        <v>22.254999999999999</v>
      </c>
      <c r="I50" s="10" t="s">
        <v>92</v>
      </c>
      <c r="J50" s="112"/>
    </row>
    <row r="51" spans="1:13" ht="14.4" customHeight="1" x14ac:dyDescent="0.3">
      <c r="A51" s="534" t="s">
        <v>694</v>
      </c>
      <c r="B51" s="534"/>
      <c r="C51" s="534"/>
      <c r="D51" s="534"/>
      <c r="E51" s="534"/>
      <c r="F51" s="534"/>
      <c r="G51" s="534"/>
      <c r="H51" s="540">
        <f>SUM(H9:H50)</f>
        <v>4012.0781000000011</v>
      </c>
      <c r="I51" s="541"/>
      <c r="J51" s="112"/>
    </row>
    <row r="52" spans="1:13" ht="14.4" customHeight="1" x14ac:dyDescent="0.3">
      <c r="A52" s="546" t="s">
        <v>684</v>
      </c>
      <c r="B52" s="547"/>
      <c r="C52" s="547"/>
      <c r="D52" s="547"/>
      <c r="E52" s="547"/>
      <c r="F52" s="547"/>
      <c r="G52" s="547"/>
      <c r="H52" s="547"/>
      <c r="I52" s="548"/>
      <c r="J52" s="112"/>
      <c r="K52" s="513" t="s">
        <v>759</v>
      </c>
      <c r="L52" s="514"/>
      <c r="M52" s="515"/>
    </row>
    <row r="53" spans="1:13" ht="14.4" customHeight="1" x14ac:dyDescent="0.3">
      <c r="A53" s="82">
        <v>46089</v>
      </c>
      <c r="B53" s="82" t="s">
        <v>57</v>
      </c>
      <c r="C53" s="49" t="s">
        <v>731</v>
      </c>
      <c r="D53" s="149" t="s">
        <v>6</v>
      </c>
      <c r="E53" s="179"/>
      <c r="F53" s="165">
        <v>44999.59</v>
      </c>
      <c r="G53" s="161">
        <f>+G50+E53-F53</f>
        <v>397710.17999999924</v>
      </c>
      <c r="H53" s="76">
        <v>22.233000000000001</v>
      </c>
      <c r="I53" s="10" t="s">
        <v>92</v>
      </c>
      <c r="J53" s="112"/>
      <c r="K53" s="564" t="s">
        <v>34</v>
      </c>
      <c r="L53" s="565"/>
      <c r="M53" s="566"/>
    </row>
    <row r="54" spans="1:13" ht="14.4" customHeight="1" x14ac:dyDescent="0.3">
      <c r="A54" s="82">
        <v>46089</v>
      </c>
      <c r="B54" s="82" t="s">
        <v>57</v>
      </c>
      <c r="C54" s="49" t="s">
        <v>732</v>
      </c>
      <c r="D54" s="149" t="s">
        <v>26</v>
      </c>
      <c r="E54" s="179"/>
      <c r="F54" s="165">
        <v>130234.28</v>
      </c>
      <c r="G54" s="161">
        <f t="shared" si="1"/>
        <v>267475.89999999921</v>
      </c>
      <c r="H54" s="76">
        <v>64.344999999999999</v>
      </c>
      <c r="I54" s="10" t="s">
        <v>92</v>
      </c>
      <c r="J54" s="112"/>
      <c r="K54" s="71" t="s">
        <v>32</v>
      </c>
      <c r="L54" s="43" t="s">
        <v>35</v>
      </c>
      <c r="M54" s="43" t="s">
        <v>33</v>
      </c>
    </row>
    <row r="55" spans="1:13" ht="14.4" customHeight="1" x14ac:dyDescent="0.3">
      <c r="A55" s="82">
        <v>46089</v>
      </c>
      <c r="B55" s="82" t="s">
        <v>57</v>
      </c>
      <c r="C55" s="49" t="s">
        <v>733</v>
      </c>
      <c r="D55" s="149" t="s">
        <v>117</v>
      </c>
      <c r="E55" s="179"/>
      <c r="F55" s="165">
        <v>76077.740000000005</v>
      </c>
      <c r="G55" s="161">
        <f t="shared" si="1"/>
        <v>191398.15999999922</v>
      </c>
      <c r="H55" s="76">
        <v>40.061999999999998</v>
      </c>
      <c r="I55" s="10" t="s">
        <v>92</v>
      </c>
      <c r="J55" s="112"/>
      <c r="K55" s="69" t="s">
        <v>0</v>
      </c>
      <c r="L55" s="73" t="s">
        <v>92</v>
      </c>
      <c r="M55" s="26">
        <v>0</v>
      </c>
    </row>
    <row r="56" spans="1:13" x14ac:dyDescent="0.3">
      <c r="A56" s="82">
        <v>46090</v>
      </c>
      <c r="B56" s="82" t="s">
        <v>57</v>
      </c>
      <c r="C56" s="49" t="s">
        <v>735</v>
      </c>
      <c r="D56" s="149" t="s">
        <v>62</v>
      </c>
      <c r="E56" s="179"/>
      <c r="F56" s="165">
        <v>44999.16</v>
      </c>
      <c r="G56" s="161">
        <f>+G55+E56-F56</f>
        <v>146398.99999999921</v>
      </c>
      <c r="H56" s="76">
        <v>22.178000000000001</v>
      </c>
      <c r="I56" s="10" t="s">
        <v>92</v>
      </c>
      <c r="J56" s="112"/>
      <c r="K56" s="69" t="s">
        <v>1</v>
      </c>
      <c r="L56" s="73" t="s">
        <v>92</v>
      </c>
      <c r="M56" s="42">
        <f>SUM(H60)</f>
        <v>68.385000000000005</v>
      </c>
    </row>
    <row r="57" spans="1:13" x14ac:dyDescent="0.3">
      <c r="A57" s="82">
        <v>46090</v>
      </c>
      <c r="B57" s="82" t="s">
        <v>57</v>
      </c>
      <c r="C57" s="49" t="s">
        <v>736</v>
      </c>
      <c r="D57" s="5" t="s">
        <v>5</v>
      </c>
      <c r="E57" s="179"/>
      <c r="F57" s="165">
        <v>44999.16</v>
      </c>
      <c r="G57" s="161">
        <f t="shared" si="1"/>
        <v>101399.83999999921</v>
      </c>
      <c r="H57" s="76">
        <v>22.178000000000001</v>
      </c>
      <c r="I57" s="10" t="s">
        <v>92</v>
      </c>
      <c r="J57" s="112"/>
      <c r="K57" s="24" t="s">
        <v>27</v>
      </c>
      <c r="L57" s="73" t="s">
        <v>92</v>
      </c>
      <c r="M57" s="26">
        <v>0</v>
      </c>
    </row>
    <row r="58" spans="1:13" x14ac:dyDescent="0.3">
      <c r="A58" s="82">
        <v>46091</v>
      </c>
      <c r="B58" s="82" t="s">
        <v>57</v>
      </c>
      <c r="C58" s="49" t="s">
        <v>737</v>
      </c>
      <c r="D58" s="149" t="s">
        <v>5</v>
      </c>
      <c r="E58" s="179"/>
      <c r="F58" s="165">
        <v>55011.68</v>
      </c>
      <c r="G58" s="161">
        <f t="shared" si="1"/>
        <v>46388.15999999921</v>
      </c>
      <c r="H58" s="76">
        <v>28.637</v>
      </c>
      <c r="I58" s="10" t="s">
        <v>92</v>
      </c>
      <c r="J58" s="112"/>
      <c r="K58" s="76" t="s">
        <v>429</v>
      </c>
      <c r="L58" s="73" t="s">
        <v>92</v>
      </c>
      <c r="M58" s="80">
        <v>0</v>
      </c>
    </row>
    <row r="59" spans="1:13" x14ac:dyDescent="0.3">
      <c r="A59" s="82">
        <v>46091</v>
      </c>
      <c r="B59" s="82" t="s">
        <v>57</v>
      </c>
      <c r="C59" s="49" t="s">
        <v>738</v>
      </c>
      <c r="D59" s="149" t="s">
        <v>117</v>
      </c>
      <c r="E59" s="179"/>
      <c r="F59" s="165">
        <v>65452.31</v>
      </c>
      <c r="G59" s="159">
        <f t="shared" si="1"/>
        <v>-19064.150000000787</v>
      </c>
      <c r="H59" s="76">
        <v>34.072000000000003</v>
      </c>
      <c r="I59" s="10" t="s">
        <v>92</v>
      </c>
      <c r="J59" s="112"/>
      <c r="K59" s="76" t="s">
        <v>62</v>
      </c>
      <c r="L59" s="73" t="s">
        <v>92</v>
      </c>
      <c r="M59" s="80">
        <f>SUM(H56+H65+H73+H80+H86)</f>
        <v>148.67500000000001</v>
      </c>
    </row>
    <row r="60" spans="1:13" x14ac:dyDescent="0.3">
      <c r="A60" s="82">
        <v>46091</v>
      </c>
      <c r="B60" s="82" t="s">
        <v>57</v>
      </c>
      <c r="C60" s="49" t="s">
        <v>739</v>
      </c>
      <c r="D60" s="149" t="s">
        <v>1</v>
      </c>
      <c r="E60" s="179"/>
      <c r="F60" s="165">
        <v>138753.17000000001</v>
      </c>
      <c r="G60" s="159">
        <f t="shared" si="1"/>
        <v>-157817.32000000079</v>
      </c>
      <c r="H60" s="76">
        <v>68.385000000000005</v>
      </c>
      <c r="I60" s="10" t="s">
        <v>92</v>
      </c>
      <c r="J60" s="112"/>
      <c r="K60" s="76" t="s">
        <v>361</v>
      </c>
      <c r="L60" s="73" t="s">
        <v>92</v>
      </c>
      <c r="M60" s="80">
        <f>SUM(H74)</f>
        <v>8.5350000000000001</v>
      </c>
    </row>
    <row r="61" spans="1:13" x14ac:dyDescent="0.3">
      <c r="A61" s="82">
        <v>46091</v>
      </c>
      <c r="B61" s="82" t="s">
        <v>57</v>
      </c>
      <c r="C61" s="49" t="s">
        <v>740</v>
      </c>
      <c r="D61" s="149" t="s">
        <v>30</v>
      </c>
      <c r="E61" s="179"/>
      <c r="F61" s="165">
        <v>538780.66</v>
      </c>
      <c r="G61" s="159">
        <f t="shared" si="1"/>
        <v>-696597.9800000008</v>
      </c>
      <c r="H61" s="76">
        <v>265.54000000000002</v>
      </c>
      <c r="I61" s="10" t="s">
        <v>92</v>
      </c>
      <c r="J61" s="112"/>
      <c r="K61" s="145" t="s">
        <v>541</v>
      </c>
      <c r="L61" s="73" t="s">
        <v>92</v>
      </c>
      <c r="M61" s="80">
        <v>0</v>
      </c>
    </row>
    <row r="62" spans="1:13" x14ac:dyDescent="0.3">
      <c r="A62" s="82">
        <v>46091</v>
      </c>
      <c r="B62" s="82" t="s">
        <v>57</v>
      </c>
      <c r="C62" s="49" t="s">
        <v>741</v>
      </c>
      <c r="D62" s="149" t="s">
        <v>6</v>
      </c>
      <c r="E62" s="179"/>
      <c r="F62" s="165">
        <v>44999.16</v>
      </c>
      <c r="G62" s="159">
        <f t="shared" si="1"/>
        <v>-741597.14000000083</v>
      </c>
      <c r="H62" s="76">
        <v>22.178000000000001</v>
      </c>
      <c r="I62" s="10" t="s">
        <v>92</v>
      </c>
      <c r="J62" s="112"/>
      <c r="K62" s="69" t="s">
        <v>24</v>
      </c>
      <c r="L62" s="73" t="s">
        <v>92</v>
      </c>
      <c r="M62" s="26">
        <v>0</v>
      </c>
    </row>
    <row r="63" spans="1:13" x14ac:dyDescent="0.3">
      <c r="A63" s="82">
        <v>46091</v>
      </c>
      <c r="B63" s="82" t="s">
        <v>57</v>
      </c>
      <c r="C63" s="49" t="s">
        <v>742</v>
      </c>
      <c r="D63" s="149" t="s">
        <v>26</v>
      </c>
      <c r="E63" s="179"/>
      <c r="F63" s="165">
        <v>149013.82</v>
      </c>
      <c r="G63" s="159">
        <f t="shared" si="1"/>
        <v>-890610.96000000089</v>
      </c>
      <c r="H63" s="76">
        <v>73.441999999999993</v>
      </c>
      <c r="I63" s="10" t="s">
        <v>92</v>
      </c>
      <c r="J63" s="112"/>
      <c r="K63" s="69" t="s">
        <v>29</v>
      </c>
      <c r="L63" s="73" t="s">
        <v>92</v>
      </c>
      <c r="M63" s="26">
        <f>SUM(H54+H63)</f>
        <v>137.78699999999998</v>
      </c>
    </row>
    <row r="64" spans="1:13" x14ac:dyDescent="0.3">
      <c r="A64" s="327">
        <v>46092</v>
      </c>
      <c r="B64" s="327" t="s">
        <v>60</v>
      </c>
      <c r="C64" s="328" t="s">
        <v>743</v>
      </c>
      <c r="D64" s="353" t="s">
        <v>1218</v>
      </c>
      <c r="E64" s="354">
        <v>1500000</v>
      </c>
      <c r="F64" s="309"/>
      <c r="G64" s="316">
        <f t="shared" si="1"/>
        <v>609389.03999999911</v>
      </c>
      <c r="H64" s="201"/>
      <c r="I64" s="199" t="s">
        <v>1222</v>
      </c>
      <c r="J64" s="112"/>
      <c r="K64" s="69" t="s">
        <v>3</v>
      </c>
      <c r="L64" s="73" t="s">
        <v>92</v>
      </c>
      <c r="M64" s="26">
        <v>0</v>
      </c>
    </row>
    <row r="65" spans="1:13" x14ac:dyDescent="0.3">
      <c r="A65" s="82">
        <v>46092</v>
      </c>
      <c r="B65" s="82" t="s">
        <v>57</v>
      </c>
      <c r="C65" s="49" t="s">
        <v>745</v>
      </c>
      <c r="D65" s="149" t="s">
        <v>62</v>
      </c>
      <c r="E65" s="179"/>
      <c r="F65" s="165">
        <v>44999.16</v>
      </c>
      <c r="G65" s="161">
        <f t="shared" si="1"/>
        <v>564389.87999999907</v>
      </c>
      <c r="H65" s="76">
        <v>22.178000000000001</v>
      </c>
      <c r="I65" s="10" t="s">
        <v>92</v>
      </c>
      <c r="J65" s="112"/>
      <c r="K65" s="69" t="s">
        <v>5</v>
      </c>
      <c r="L65" s="73" t="s">
        <v>92</v>
      </c>
      <c r="M65" s="26">
        <f>SUM(H57+H58+H68+H78+H83)</f>
        <v>152.8185</v>
      </c>
    </row>
    <row r="66" spans="1:13" x14ac:dyDescent="0.3">
      <c r="A66" s="82">
        <v>46092</v>
      </c>
      <c r="B66" s="82" t="s">
        <v>57</v>
      </c>
      <c r="C66" s="49" t="s">
        <v>746</v>
      </c>
      <c r="D66" s="149" t="s">
        <v>6</v>
      </c>
      <c r="E66" s="179"/>
      <c r="F66" s="165">
        <v>44999.16</v>
      </c>
      <c r="G66" s="161">
        <f t="shared" si="1"/>
        <v>519390.71999999904</v>
      </c>
      <c r="H66" s="76">
        <v>22.178000000000001</v>
      </c>
      <c r="I66" s="10" t="s">
        <v>92</v>
      </c>
      <c r="J66" s="112"/>
      <c r="K66" s="69" t="s">
        <v>61</v>
      </c>
      <c r="L66" s="73" t="s">
        <v>92</v>
      </c>
      <c r="M66" s="26">
        <f>SUM(H70)</f>
        <v>158.70699999999999</v>
      </c>
    </row>
    <row r="67" spans="1:13" x14ac:dyDescent="0.3">
      <c r="A67" s="82">
        <v>46092</v>
      </c>
      <c r="B67" s="82" t="s">
        <v>57</v>
      </c>
      <c r="C67" s="49" t="s">
        <v>747</v>
      </c>
      <c r="D67" s="149" t="s">
        <v>8</v>
      </c>
      <c r="E67" s="179"/>
      <c r="F67" s="165">
        <v>44999.06</v>
      </c>
      <c r="G67" s="161">
        <f t="shared" si="1"/>
        <v>474391.65999999904</v>
      </c>
      <c r="H67" s="76">
        <v>23.111999999999998</v>
      </c>
      <c r="I67" s="10" t="s">
        <v>92</v>
      </c>
      <c r="J67" s="112"/>
      <c r="K67" s="69" t="s">
        <v>22</v>
      </c>
      <c r="L67" s="73" t="s">
        <v>92</v>
      </c>
      <c r="M67" s="26">
        <v>0</v>
      </c>
    </row>
    <row r="68" spans="1:13" x14ac:dyDescent="0.3">
      <c r="A68" s="82">
        <v>46092</v>
      </c>
      <c r="B68" s="82" t="s">
        <v>57</v>
      </c>
      <c r="C68" s="49" t="s">
        <v>748</v>
      </c>
      <c r="D68" s="149" t="s">
        <v>5</v>
      </c>
      <c r="E68" s="179"/>
      <c r="F68" s="165">
        <v>44999.16</v>
      </c>
      <c r="G68" s="161">
        <f t="shared" si="1"/>
        <v>429392.49999999907</v>
      </c>
      <c r="H68" s="76">
        <v>22.178000000000001</v>
      </c>
      <c r="I68" s="10" t="s">
        <v>92</v>
      </c>
      <c r="J68" s="112"/>
      <c r="K68" s="69" t="s">
        <v>6</v>
      </c>
      <c r="L68" s="73" t="s">
        <v>92</v>
      </c>
      <c r="M68" s="26">
        <f>SUM(H53+H62+H66+H72+H85)</f>
        <v>110.018</v>
      </c>
    </row>
    <row r="69" spans="1:13" x14ac:dyDescent="0.3">
      <c r="A69" s="82">
        <v>46092</v>
      </c>
      <c r="B69" s="82" t="s">
        <v>57</v>
      </c>
      <c r="C69" s="49" t="s">
        <v>749</v>
      </c>
      <c r="D69" s="149" t="s">
        <v>9</v>
      </c>
      <c r="E69" s="179"/>
      <c r="F69" s="165">
        <v>281579.03000000003</v>
      </c>
      <c r="G69" s="161">
        <f t="shared" si="1"/>
        <v>147813.46999999904</v>
      </c>
      <c r="H69" s="76">
        <v>144.62200000000001</v>
      </c>
      <c r="I69" s="10" t="s">
        <v>92</v>
      </c>
      <c r="J69" s="112"/>
      <c r="K69" s="69" t="s">
        <v>8</v>
      </c>
      <c r="L69" s="73" t="s">
        <v>92</v>
      </c>
      <c r="M69" s="26">
        <f>SUM(H67+H79)</f>
        <v>44.988999999999997</v>
      </c>
    </row>
    <row r="70" spans="1:13" x14ac:dyDescent="0.3">
      <c r="A70" s="82">
        <v>46092</v>
      </c>
      <c r="B70" s="82" t="s">
        <v>57</v>
      </c>
      <c r="C70" s="49" t="s">
        <v>750</v>
      </c>
      <c r="D70" s="149" t="s">
        <v>61</v>
      </c>
      <c r="E70" s="179"/>
      <c r="F70" s="165">
        <v>322016.5</v>
      </c>
      <c r="G70" s="159">
        <f t="shared" si="1"/>
        <v>-174203.03000000096</v>
      </c>
      <c r="H70" s="76">
        <v>158.70699999999999</v>
      </c>
      <c r="I70" s="10" t="s">
        <v>92</v>
      </c>
      <c r="J70" s="112"/>
      <c r="K70" s="69" t="s">
        <v>9</v>
      </c>
      <c r="L70" s="73" t="s">
        <v>92</v>
      </c>
      <c r="M70" s="26">
        <f>SUM(H69+H77)</f>
        <v>221.50400000000002</v>
      </c>
    </row>
    <row r="71" spans="1:13" x14ac:dyDescent="0.3">
      <c r="A71" s="82">
        <v>46093</v>
      </c>
      <c r="B71" s="82" t="s">
        <v>57</v>
      </c>
      <c r="C71" s="49" t="s">
        <v>751</v>
      </c>
      <c r="D71" s="149" t="s">
        <v>117</v>
      </c>
      <c r="E71" s="179"/>
      <c r="F71" s="165">
        <v>82290.289999999994</v>
      </c>
      <c r="G71" s="159">
        <f t="shared" si="1"/>
        <v>-256493.32000000094</v>
      </c>
      <c r="H71" s="76">
        <v>40.005000000000003</v>
      </c>
      <c r="I71" s="10" t="s">
        <v>92</v>
      </c>
      <c r="J71" s="112"/>
      <c r="K71" s="69" t="s">
        <v>30</v>
      </c>
      <c r="L71" s="73" t="s">
        <v>92</v>
      </c>
      <c r="M71" s="26">
        <f>SUM(H61)</f>
        <v>265.54000000000002</v>
      </c>
    </row>
    <row r="72" spans="1:13" x14ac:dyDescent="0.3">
      <c r="A72" s="82">
        <v>46093</v>
      </c>
      <c r="B72" s="82" t="s">
        <v>57</v>
      </c>
      <c r="C72" s="49" t="s">
        <v>752</v>
      </c>
      <c r="D72" s="149" t="s">
        <v>6</v>
      </c>
      <c r="E72" s="179"/>
      <c r="F72" s="165">
        <v>45000.99</v>
      </c>
      <c r="G72" s="159">
        <f t="shared" si="1"/>
        <v>-301494.31000000093</v>
      </c>
      <c r="H72" s="76">
        <v>21.876999999999999</v>
      </c>
      <c r="I72" s="10" t="s">
        <v>92</v>
      </c>
      <c r="J72" s="112"/>
      <c r="K72" s="69" t="s">
        <v>10</v>
      </c>
      <c r="L72" s="73" t="s">
        <v>92</v>
      </c>
      <c r="M72" s="26">
        <f>SUM(H76)</f>
        <v>101.26600000000001</v>
      </c>
    </row>
    <row r="73" spans="1:13" x14ac:dyDescent="0.3">
      <c r="A73" s="82">
        <v>46093</v>
      </c>
      <c r="B73" s="82" t="s">
        <v>57</v>
      </c>
      <c r="C73" s="49" t="s">
        <v>753</v>
      </c>
      <c r="D73" s="149" t="s">
        <v>62</v>
      </c>
      <c r="E73" s="179"/>
      <c r="F73" s="165">
        <v>45000.99</v>
      </c>
      <c r="G73" s="159">
        <f t="shared" si="1"/>
        <v>-346495.30000000092</v>
      </c>
      <c r="H73" s="76">
        <v>21.876999999999999</v>
      </c>
      <c r="I73" s="10" t="s">
        <v>92</v>
      </c>
      <c r="J73" s="112"/>
      <c r="K73" s="69" t="s">
        <v>11</v>
      </c>
      <c r="L73" s="73" t="s">
        <v>92</v>
      </c>
      <c r="M73" s="26">
        <f>SUM(H55+H59+H71+H84)</f>
        <v>134.43400000000003</v>
      </c>
    </row>
    <row r="74" spans="1:13" x14ac:dyDescent="0.3">
      <c r="A74" s="82">
        <v>46093</v>
      </c>
      <c r="B74" s="82" t="s">
        <v>57</v>
      </c>
      <c r="C74" s="49" t="s">
        <v>754</v>
      </c>
      <c r="D74" s="149" t="s">
        <v>361</v>
      </c>
      <c r="E74" s="179"/>
      <c r="F74" s="165">
        <v>16429.88</v>
      </c>
      <c r="G74" s="159">
        <f t="shared" si="1"/>
        <v>-362925.18000000092</v>
      </c>
      <c r="H74" s="76">
        <v>8.5350000000000001</v>
      </c>
      <c r="I74" s="10" t="s">
        <v>92</v>
      </c>
      <c r="J74" s="112"/>
      <c r="K74" s="540" t="s">
        <v>695</v>
      </c>
      <c r="L74" s="541"/>
      <c r="M74" s="148">
        <f>SUM(M56:M73)</f>
        <v>1552.6585</v>
      </c>
    </row>
    <row r="75" spans="1:13" x14ac:dyDescent="0.3">
      <c r="A75" s="327">
        <v>46093</v>
      </c>
      <c r="B75" s="327" t="s">
        <v>60</v>
      </c>
      <c r="C75" s="328" t="s">
        <v>755</v>
      </c>
      <c r="D75" s="353" t="s">
        <v>1218</v>
      </c>
      <c r="E75" s="354">
        <v>2000000</v>
      </c>
      <c r="F75" s="309"/>
      <c r="G75" s="316">
        <f t="shared" si="1"/>
        <v>1637074.8199999991</v>
      </c>
      <c r="H75" s="201"/>
      <c r="I75" s="199" t="s">
        <v>1222</v>
      </c>
      <c r="J75" s="112"/>
    </row>
    <row r="76" spans="1:13" x14ac:dyDescent="0.3">
      <c r="A76" s="82">
        <v>46094</v>
      </c>
      <c r="B76" s="82" t="s">
        <v>57</v>
      </c>
      <c r="C76" s="49" t="s">
        <v>756</v>
      </c>
      <c r="D76" s="149" t="s">
        <v>10</v>
      </c>
      <c r="E76" s="179"/>
      <c r="F76" s="165">
        <v>200000.35</v>
      </c>
      <c r="G76" s="161">
        <f t="shared" si="1"/>
        <v>1437074.469999999</v>
      </c>
      <c r="H76" s="76">
        <v>101.26600000000001</v>
      </c>
      <c r="I76" s="10" t="s">
        <v>92</v>
      </c>
      <c r="J76" s="112"/>
    </row>
    <row r="77" spans="1:13" x14ac:dyDescent="0.3">
      <c r="A77" s="82">
        <v>46094</v>
      </c>
      <c r="B77" s="82" t="s">
        <v>57</v>
      </c>
      <c r="C77" s="49" t="s">
        <v>757</v>
      </c>
      <c r="D77" s="149" t="s">
        <v>9</v>
      </c>
      <c r="E77" s="179"/>
      <c r="F77" s="165">
        <v>151841.95000000001</v>
      </c>
      <c r="G77" s="161">
        <f t="shared" si="1"/>
        <v>1285232.5199999991</v>
      </c>
      <c r="H77" s="76">
        <v>76.882000000000005</v>
      </c>
      <c r="I77" s="10" t="s">
        <v>92</v>
      </c>
      <c r="J77" s="112"/>
    </row>
    <row r="78" spans="1:13" x14ac:dyDescent="0.3">
      <c r="A78" s="82">
        <v>46094</v>
      </c>
      <c r="B78" s="82" t="s">
        <v>57</v>
      </c>
      <c r="C78" s="49" t="s">
        <v>758</v>
      </c>
      <c r="D78" s="149" t="s">
        <v>5</v>
      </c>
      <c r="E78" s="179"/>
      <c r="F78" s="165">
        <v>119868.62300000001</v>
      </c>
      <c r="G78" s="161">
        <f t="shared" si="1"/>
        <v>1165363.8969999992</v>
      </c>
      <c r="H78" s="41">
        <v>58.273499999999999</v>
      </c>
      <c r="I78" s="10" t="s">
        <v>92</v>
      </c>
      <c r="J78" s="25"/>
    </row>
    <row r="79" spans="1:13" x14ac:dyDescent="0.3">
      <c r="A79" s="82">
        <v>46094</v>
      </c>
      <c r="B79" s="82" t="s">
        <v>57</v>
      </c>
      <c r="C79" s="53" t="s">
        <v>761</v>
      </c>
      <c r="D79" s="82" t="s">
        <v>8</v>
      </c>
      <c r="E79" s="171"/>
      <c r="F79" s="165">
        <v>45000.99</v>
      </c>
      <c r="G79" s="161">
        <f t="shared" si="1"/>
        <v>1120362.9069999992</v>
      </c>
      <c r="H79" s="76">
        <v>21.876999999999999</v>
      </c>
      <c r="I79" s="10" t="s">
        <v>92</v>
      </c>
      <c r="J79" s="110"/>
    </row>
    <row r="80" spans="1:13" x14ac:dyDescent="0.3">
      <c r="A80" s="82">
        <v>46066</v>
      </c>
      <c r="B80" s="82" t="s">
        <v>57</v>
      </c>
      <c r="C80" s="53" t="s">
        <v>762</v>
      </c>
      <c r="D80" s="82" t="s">
        <v>62</v>
      </c>
      <c r="E80" s="171"/>
      <c r="F80" s="165">
        <v>45000.99</v>
      </c>
      <c r="G80" s="161">
        <f t="shared" si="1"/>
        <v>1075361.9169999992</v>
      </c>
      <c r="H80" s="76">
        <v>21.876999999999999</v>
      </c>
      <c r="I80" s="10" t="s">
        <v>92</v>
      </c>
      <c r="J80" s="110"/>
    </row>
    <row r="81" spans="1:13" x14ac:dyDescent="0.3">
      <c r="A81" s="327">
        <v>46095</v>
      </c>
      <c r="B81" s="327" t="s">
        <v>60</v>
      </c>
      <c r="C81" s="356" t="s">
        <v>763</v>
      </c>
      <c r="D81" s="327" t="s">
        <v>1218</v>
      </c>
      <c r="E81" s="357">
        <v>500000</v>
      </c>
      <c r="F81" s="309"/>
      <c r="G81" s="316">
        <f t="shared" si="1"/>
        <v>1575361.9169999992</v>
      </c>
      <c r="H81" s="358"/>
      <c r="I81" s="199" t="s">
        <v>1222</v>
      </c>
      <c r="J81" s="110"/>
    </row>
    <row r="82" spans="1:13" x14ac:dyDescent="0.3">
      <c r="A82" s="327">
        <v>46095</v>
      </c>
      <c r="B82" s="327" t="s">
        <v>60</v>
      </c>
      <c r="C82" s="356" t="s">
        <v>764</v>
      </c>
      <c r="D82" s="327" t="s">
        <v>1218</v>
      </c>
      <c r="E82" s="357">
        <v>500000</v>
      </c>
      <c r="F82" s="309"/>
      <c r="G82" s="316">
        <f t="shared" si="1"/>
        <v>2075361.9169999992</v>
      </c>
      <c r="H82" s="358"/>
      <c r="I82" s="199" t="s">
        <v>1222</v>
      </c>
      <c r="J82" s="110"/>
    </row>
    <row r="83" spans="1:13" x14ac:dyDescent="0.3">
      <c r="A83" s="82">
        <v>46095</v>
      </c>
      <c r="B83" s="82" t="s">
        <v>57</v>
      </c>
      <c r="C83" s="53" t="s">
        <v>765</v>
      </c>
      <c r="D83" s="82" t="s">
        <v>5</v>
      </c>
      <c r="E83" s="171"/>
      <c r="F83" s="165">
        <v>45000.58</v>
      </c>
      <c r="G83" s="161">
        <f t="shared" si="1"/>
        <v>2030361.3369999991</v>
      </c>
      <c r="H83" s="76">
        <v>21.552</v>
      </c>
      <c r="I83" s="10" t="s">
        <v>92</v>
      </c>
      <c r="J83" s="110"/>
    </row>
    <row r="84" spans="1:13" x14ac:dyDescent="0.3">
      <c r="A84" s="82">
        <v>46095</v>
      </c>
      <c r="B84" s="82" t="s">
        <v>57</v>
      </c>
      <c r="C84" s="53" t="s">
        <v>766</v>
      </c>
      <c r="D84" s="82" t="s">
        <v>117</v>
      </c>
      <c r="E84" s="171"/>
      <c r="F84" s="165">
        <v>40021.74</v>
      </c>
      <c r="G84" s="161">
        <f t="shared" si="1"/>
        <v>1990339.5969999991</v>
      </c>
      <c r="H84" s="76">
        <v>20.295000000000002</v>
      </c>
      <c r="I84" s="10" t="s">
        <v>92</v>
      </c>
      <c r="J84" s="110"/>
    </row>
    <row r="85" spans="1:13" x14ac:dyDescent="0.3">
      <c r="A85" s="82">
        <v>46095</v>
      </c>
      <c r="B85" s="82" t="s">
        <v>57</v>
      </c>
      <c r="C85" s="53" t="s">
        <v>767</v>
      </c>
      <c r="D85" s="82" t="s">
        <v>6</v>
      </c>
      <c r="E85" s="171"/>
      <c r="F85" s="165">
        <v>45000.58</v>
      </c>
      <c r="G85" s="161">
        <f t="shared" si="1"/>
        <v>1945339.0169999991</v>
      </c>
      <c r="H85" s="76">
        <v>21.552</v>
      </c>
      <c r="I85" s="10" t="s">
        <v>92</v>
      </c>
      <c r="J85" s="110"/>
    </row>
    <row r="86" spans="1:13" x14ac:dyDescent="0.3">
      <c r="A86" s="82">
        <v>46095</v>
      </c>
      <c r="B86" s="82" t="s">
        <v>57</v>
      </c>
      <c r="C86" s="53" t="s">
        <v>768</v>
      </c>
      <c r="D86" s="82" t="s">
        <v>62</v>
      </c>
      <c r="E86" s="171"/>
      <c r="F86" s="165">
        <v>126459.72</v>
      </c>
      <c r="G86" s="161">
        <f t="shared" si="1"/>
        <v>1818879.2969999991</v>
      </c>
      <c r="H86" s="76">
        <v>60.564999999999998</v>
      </c>
      <c r="I86" s="10" t="s">
        <v>92</v>
      </c>
      <c r="J86" s="110"/>
    </row>
    <row r="87" spans="1:13" x14ac:dyDescent="0.3">
      <c r="A87" s="534" t="s">
        <v>694</v>
      </c>
      <c r="B87" s="534"/>
      <c r="C87" s="534"/>
      <c r="D87" s="534"/>
      <c r="E87" s="534"/>
      <c r="F87" s="534"/>
      <c r="G87" s="534"/>
      <c r="H87" s="540">
        <f>SUM(H53:H86)</f>
        <v>1552.6585</v>
      </c>
      <c r="I87" s="541"/>
      <c r="J87" s="110"/>
    </row>
    <row r="88" spans="1:13" ht="15.6" x14ac:dyDescent="0.3">
      <c r="A88" s="546" t="s">
        <v>759</v>
      </c>
      <c r="B88" s="547"/>
      <c r="C88" s="547"/>
      <c r="D88" s="547"/>
      <c r="E88" s="547"/>
      <c r="F88" s="547"/>
      <c r="G88" s="547"/>
      <c r="H88" s="547"/>
      <c r="I88" s="548"/>
      <c r="J88" s="110"/>
      <c r="K88" s="526" t="s">
        <v>776</v>
      </c>
      <c r="L88" s="526"/>
      <c r="M88" s="526"/>
    </row>
    <row r="89" spans="1:13" x14ac:dyDescent="0.3">
      <c r="A89" s="82">
        <v>46096</v>
      </c>
      <c r="B89" s="82" t="s">
        <v>57</v>
      </c>
      <c r="C89" s="53" t="s">
        <v>769</v>
      </c>
      <c r="D89" s="82" t="s">
        <v>8</v>
      </c>
      <c r="E89" s="171"/>
      <c r="F89" s="167">
        <v>45000.58</v>
      </c>
      <c r="G89" s="161">
        <f>+G86+E89-F89</f>
        <v>1773878.716999999</v>
      </c>
      <c r="H89" s="76">
        <v>21.552</v>
      </c>
      <c r="I89" s="10" t="s">
        <v>92</v>
      </c>
      <c r="J89" s="110"/>
      <c r="K89" s="545" t="s">
        <v>34</v>
      </c>
      <c r="L89" s="545"/>
      <c r="M89" s="545"/>
    </row>
    <row r="90" spans="1:13" x14ac:dyDescent="0.3">
      <c r="A90" s="82">
        <v>46096</v>
      </c>
      <c r="B90" s="82" t="s">
        <v>57</v>
      </c>
      <c r="C90" s="53" t="s">
        <v>770</v>
      </c>
      <c r="D90" s="82" t="s">
        <v>62</v>
      </c>
      <c r="E90" s="171"/>
      <c r="F90" s="167">
        <v>20065.68</v>
      </c>
      <c r="G90" s="161">
        <f t="shared" si="1"/>
        <v>1753813.0369999991</v>
      </c>
      <c r="H90" s="76">
        <v>9.61</v>
      </c>
      <c r="I90" s="10" t="s">
        <v>92</v>
      </c>
      <c r="J90" s="110"/>
      <c r="K90" s="71" t="s">
        <v>32</v>
      </c>
      <c r="L90" s="43" t="s">
        <v>35</v>
      </c>
      <c r="M90" s="43" t="s">
        <v>33</v>
      </c>
    </row>
    <row r="91" spans="1:13" x14ac:dyDescent="0.3">
      <c r="A91" s="82">
        <v>46096</v>
      </c>
      <c r="B91" s="82" t="s">
        <v>57</v>
      </c>
      <c r="C91" s="53" t="s">
        <v>771</v>
      </c>
      <c r="D91" s="82" t="s">
        <v>3</v>
      </c>
      <c r="E91" s="171"/>
      <c r="F91" s="167">
        <v>129021.7</v>
      </c>
      <c r="G91" s="161">
        <f t="shared" si="1"/>
        <v>1624791.3369999991</v>
      </c>
      <c r="H91" s="151">
        <v>61.792000000000002</v>
      </c>
      <c r="I91" s="10" t="s">
        <v>92</v>
      </c>
      <c r="J91" s="110"/>
      <c r="K91" s="69" t="s">
        <v>0</v>
      </c>
      <c r="L91" s="73" t="s">
        <v>92</v>
      </c>
      <c r="M91" s="26">
        <v>0</v>
      </c>
    </row>
    <row r="92" spans="1:13" x14ac:dyDescent="0.3">
      <c r="A92" s="82">
        <v>46097</v>
      </c>
      <c r="B92" s="82" t="s">
        <v>57</v>
      </c>
      <c r="C92" s="53" t="s">
        <v>772</v>
      </c>
      <c r="D92" s="82" t="s">
        <v>61</v>
      </c>
      <c r="E92" s="171"/>
      <c r="F92" s="167">
        <v>234509.2</v>
      </c>
      <c r="G92" s="161">
        <f t="shared" si="1"/>
        <v>1390282.1369999992</v>
      </c>
      <c r="H92" s="76">
        <v>110.72199999999999</v>
      </c>
      <c r="I92" s="10" t="s">
        <v>92</v>
      </c>
      <c r="J92" s="110"/>
      <c r="K92" s="69" t="s">
        <v>1</v>
      </c>
      <c r="L92" s="73" t="s">
        <v>92</v>
      </c>
      <c r="M92" s="42">
        <f>SUM(H106)</f>
        <v>76.091999999999999</v>
      </c>
    </row>
    <row r="93" spans="1:13" x14ac:dyDescent="0.3">
      <c r="A93" s="82">
        <v>46097</v>
      </c>
      <c r="B93" s="82" t="s">
        <v>57</v>
      </c>
      <c r="C93" s="53" t="s">
        <v>773</v>
      </c>
      <c r="D93" s="82" t="s">
        <v>30</v>
      </c>
      <c r="E93" s="171"/>
      <c r="F93" s="167">
        <v>122467</v>
      </c>
      <c r="G93" s="161">
        <f t="shared" si="1"/>
        <v>1267815.1369999992</v>
      </c>
      <c r="H93" s="76">
        <v>57.822000000000003</v>
      </c>
      <c r="I93" s="10" t="s">
        <v>92</v>
      </c>
      <c r="J93" s="110"/>
      <c r="K93" s="24" t="s">
        <v>27</v>
      </c>
      <c r="L93" s="73" t="s">
        <v>92</v>
      </c>
      <c r="M93" s="26">
        <v>0</v>
      </c>
    </row>
    <row r="94" spans="1:13" x14ac:dyDescent="0.3">
      <c r="A94" s="82">
        <v>46097</v>
      </c>
      <c r="B94" s="82" t="s">
        <v>57</v>
      </c>
      <c r="C94" s="53" t="s">
        <v>774</v>
      </c>
      <c r="D94" s="82" t="s">
        <v>22</v>
      </c>
      <c r="E94" s="171"/>
      <c r="F94" s="167">
        <v>1343693.35</v>
      </c>
      <c r="G94" s="159">
        <f t="shared" si="1"/>
        <v>-75878.21300000092</v>
      </c>
      <c r="H94" s="151">
        <v>635.13199999999995</v>
      </c>
      <c r="I94" s="10" t="s">
        <v>92</v>
      </c>
      <c r="J94" s="110"/>
      <c r="K94" s="76" t="s">
        <v>429</v>
      </c>
      <c r="L94" s="73" t="s">
        <v>92</v>
      </c>
      <c r="M94" s="80">
        <f>SUM(H124)</f>
        <v>20.529</v>
      </c>
    </row>
    <row r="95" spans="1:13" x14ac:dyDescent="0.3">
      <c r="A95" s="82">
        <v>46097</v>
      </c>
      <c r="B95" s="82" t="s">
        <v>57</v>
      </c>
      <c r="C95" s="53" t="s">
        <v>775</v>
      </c>
      <c r="D95" s="82" t="s">
        <v>5</v>
      </c>
      <c r="E95" s="171"/>
      <c r="F95" s="167">
        <v>139029.76000000001</v>
      </c>
      <c r="G95" s="159">
        <f t="shared" si="1"/>
        <v>-214907.97300000093</v>
      </c>
      <c r="H95" s="76">
        <v>65.641999999999996</v>
      </c>
      <c r="I95" s="10" t="s">
        <v>92</v>
      </c>
      <c r="J95" s="110"/>
      <c r="K95" s="76" t="s">
        <v>62</v>
      </c>
      <c r="L95" s="73" t="s">
        <v>92</v>
      </c>
      <c r="M95" s="80">
        <f>SUM(H90+H116+H118)</f>
        <v>69.413000000000011</v>
      </c>
    </row>
    <row r="96" spans="1:13" x14ac:dyDescent="0.3">
      <c r="A96" s="82">
        <v>46097</v>
      </c>
      <c r="B96" s="82" t="s">
        <v>57</v>
      </c>
      <c r="C96" s="53" t="s">
        <v>777</v>
      </c>
      <c r="D96" s="82" t="s">
        <v>24</v>
      </c>
      <c r="E96" s="171"/>
      <c r="F96" s="167">
        <v>140004.04</v>
      </c>
      <c r="G96" s="159">
        <f t="shared" si="1"/>
        <v>-354912.01300000097</v>
      </c>
      <c r="H96" s="76">
        <v>66.102000000000004</v>
      </c>
      <c r="I96" s="10" t="s">
        <v>92</v>
      </c>
      <c r="J96" s="110"/>
      <c r="K96" s="76" t="s">
        <v>361</v>
      </c>
      <c r="L96" s="73" t="s">
        <v>92</v>
      </c>
      <c r="M96" s="80">
        <f>SUM(H100+H112)</f>
        <v>20.372</v>
      </c>
    </row>
    <row r="97" spans="1:13" x14ac:dyDescent="0.3">
      <c r="A97" s="327">
        <v>46097</v>
      </c>
      <c r="B97" s="327" t="s">
        <v>60</v>
      </c>
      <c r="C97" s="356" t="s">
        <v>778</v>
      </c>
      <c r="D97" s="327" t="s">
        <v>1218</v>
      </c>
      <c r="E97" s="357">
        <v>1500000</v>
      </c>
      <c r="F97" s="359"/>
      <c r="G97" s="316">
        <f t="shared" si="1"/>
        <v>1145087.986999999</v>
      </c>
      <c r="H97" s="358"/>
      <c r="I97" s="199" t="s">
        <v>1222</v>
      </c>
      <c r="J97" s="110"/>
      <c r="K97" s="145" t="s">
        <v>541</v>
      </c>
      <c r="L97" s="73" t="s">
        <v>92</v>
      </c>
      <c r="M97" s="80">
        <v>0</v>
      </c>
    </row>
    <row r="98" spans="1:13" x14ac:dyDescent="0.3">
      <c r="A98" s="82">
        <v>46098</v>
      </c>
      <c r="B98" s="82" t="s">
        <v>57</v>
      </c>
      <c r="C98" s="53" t="s">
        <v>779</v>
      </c>
      <c r="D98" s="82" t="s">
        <v>10</v>
      </c>
      <c r="E98" s="171"/>
      <c r="F98" s="167">
        <v>808709.11</v>
      </c>
      <c r="G98" s="161">
        <f t="shared" si="1"/>
        <v>336378.87699999905</v>
      </c>
      <c r="H98" s="151">
        <v>404.96199999999999</v>
      </c>
      <c r="I98" s="10" t="s">
        <v>92</v>
      </c>
      <c r="J98" s="110"/>
      <c r="K98" s="69" t="s">
        <v>24</v>
      </c>
      <c r="L98" s="73" t="s">
        <v>92</v>
      </c>
      <c r="M98" s="26">
        <f>SUM(H96+H123+H125)</f>
        <v>107.16</v>
      </c>
    </row>
    <row r="99" spans="1:13" x14ac:dyDescent="0.3">
      <c r="A99" s="82">
        <v>46098</v>
      </c>
      <c r="B99" s="82" t="s">
        <v>57</v>
      </c>
      <c r="C99" s="53" t="s">
        <v>780</v>
      </c>
      <c r="D99" s="82" t="s">
        <v>117</v>
      </c>
      <c r="E99" s="171"/>
      <c r="F99" s="167">
        <v>84359.94</v>
      </c>
      <c r="G99" s="161">
        <f t="shared" si="1"/>
        <v>252018.93699999904</v>
      </c>
      <c r="H99" s="76">
        <v>39.83</v>
      </c>
      <c r="I99" s="10" t="s">
        <v>92</v>
      </c>
      <c r="J99" s="110"/>
      <c r="K99" s="69" t="s">
        <v>29</v>
      </c>
      <c r="L99" s="73" t="s">
        <v>92</v>
      </c>
      <c r="M99" s="26">
        <f>SUM(H122)</f>
        <v>84.751999999999995</v>
      </c>
    </row>
    <row r="100" spans="1:13" x14ac:dyDescent="0.3">
      <c r="A100" s="82">
        <v>46098</v>
      </c>
      <c r="B100" s="82" t="s">
        <v>57</v>
      </c>
      <c r="C100" s="53" t="s">
        <v>781</v>
      </c>
      <c r="D100" s="82" t="s">
        <v>361</v>
      </c>
      <c r="E100" s="171"/>
      <c r="F100" s="167">
        <v>20678.23</v>
      </c>
      <c r="G100" s="161">
        <f t="shared" si="1"/>
        <v>231340.70699999903</v>
      </c>
      <c r="H100" s="76">
        <v>10.412000000000001</v>
      </c>
      <c r="I100" s="10" t="s">
        <v>92</v>
      </c>
      <c r="J100" s="110"/>
      <c r="K100" s="69" t="s">
        <v>3</v>
      </c>
      <c r="L100" s="73" t="s">
        <v>92</v>
      </c>
      <c r="M100" s="26">
        <f>SUM(H91+H128)</f>
        <v>82.320999999999998</v>
      </c>
    </row>
    <row r="101" spans="1:13" x14ac:dyDescent="0.3">
      <c r="A101" s="82">
        <v>46098</v>
      </c>
      <c r="B101" s="82" t="s">
        <v>57</v>
      </c>
      <c r="C101" s="53" t="s">
        <v>782</v>
      </c>
      <c r="D101" s="82" t="s">
        <v>117</v>
      </c>
      <c r="E101" s="171"/>
      <c r="F101" s="167">
        <v>83538.16</v>
      </c>
      <c r="G101" s="161">
        <f t="shared" si="1"/>
        <v>147802.54699999903</v>
      </c>
      <c r="H101" s="76">
        <v>39.442</v>
      </c>
      <c r="I101" s="10" t="s">
        <v>92</v>
      </c>
      <c r="J101" s="110"/>
      <c r="K101" s="69" t="s">
        <v>5</v>
      </c>
      <c r="L101" s="73" t="s">
        <v>92</v>
      </c>
      <c r="M101" s="26">
        <f>SUM(H95+H103+H105+H108+H117)</f>
        <v>149.792</v>
      </c>
    </row>
    <row r="102" spans="1:13" x14ac:dyDescent="0.3">
      <c r="A102" s="327">
        <v>46098</v>
      </c>
      <c r="B102" s="327" t="s">
        <v>60</v>
      </c>
      <c r="C102" s="356" t="s">
        <v>783</v>
      </c>
      <c r="D102" s="327" t="s">
        <v>1218</v>
      </c>
      <c r="E102" s="357">
        <v>1000000</v>
      </c>
      <c r="F102" s="359"/>
      <c r="G102" s="316">
        <f t="shared" si="1"/>
        <v>1147802.5469999991</v>
      </c>
      <c r="H102" s="358"/>
      <c r="I102" s="199" t="s">
        <v>1222</v>
      </c>
      <c r="J102" s="110"/>
      <c r="K102" s="69" t="s">
        <v>61</v>
      </c>
      <c r="L102" s="73" t="s">
        <v>92</v>
      </c>
      <c r="M102" s="26">
        <f>SUM(H92+H109)</f>
        <v>259.35199999999998</v>
      </c>
    </row>
    <row r="103" spans="1:13" x14ac:dyDescent="0.3">
      <c r="A103" s="82">
        <v>46098</v>
      </c>
      <c r="B103" s="82" t="s">
        <v>57</v>
      </c>
      <c r="C103" s="53" t="s">
        <v>784</v>
      </c>
      <c r="D103" s="82" t="s">
        <v>5</v>
      </c>
      <c r="E103" s="171"/>
      <c r="F103" s="167">
        <v>44999.03</v>
      </c>
      <c r="G103" s="161">
        <f t="shared" si="1"/>
        <v>1102803.5169999991</v>
      </c>
      <c r="H103" s="76">
        <v>21.245999999999999</v>
      </c>
      <c r="I103" s="10" t="s">
        <v>92</v>
      </c>
      <c r="J103" s="110"/>
      <c r="K103" s="69" t="s">
        <v>22</v>
      </c>
      <c r="L103" s="73" t="s">
        <v>92</v>
      </c>
      <c r="M103" s="26">
        <f>SUM(H94+H107)</f>
        <v>969.97599999999989</v>
      </c>
    </row>
    <row r="104" spans="1:13" x14ac:dyDescent="0.3">
      <c r="A104" s="82">
        <v>46098</v>
      </c>
      <c r="B104" s="82" t="s">
        <v>57</v>
      </c>
      <c r="C104" s="53" t="s">
        <v>785</v>
      </c>
      <c r="D104" s="82" t="s">
        <v>8</v>
      </c>
      <c r="E104" s="171"/>
      <c r="F104" s="167">
        <v>44999.03</v>
      </c>
      <c r="G104" s="161">
        <f t="shared" si="1"/>
        <v>1057804.486999999</v>
      </c>
      <c r="H104" s="76">
        <v>21.245999999999999</v>
      </c>
      <c r="I104" s="10" t="s">
        <v>92</v>
      </c>
      <c r="J104" s="110"/>
      <c r="K104" s="69" t="s">
        <v>6</v>
      </c>
      <c r="L104" s="73" t="s">
        <v>92</v>
      </c>
      <c r="M104" s="26">
        <f>SUM(H131+H132)</f>
        <v>41.058</v>
      </c>
    </row>
    <row r="105" spans="1:13" x14ac:dyDescent="0.3">
      <c r="A105" s="82">
        <v>46099</v>
      </c>
      <c r="B105" s="82" t="s">
        <v>57</v>
      </c>
      <c r="C105" s="53" t="s">
        <v>786</v>
      </c>
      <c r="D105" s="82" t="s">
        <v>5</v>
      </c>
      <c r="E105" s="171"/>
      <c r="F105" s="152">
        <v>44999.03</v>
      </c>
      <c r="G105" s="161">
        <f t="shared" si="1"/>
        <v>1012805.456999999</v>
      </c>
      <c r="H105" s="76">
        <v>21.245999999999999</v>
      </c>
      <c r="I105" s="10" t="s">
        <v>92</v>
      </c>
      <c r="J105" s="110"/>
      <c r="K105" s="69" t="s">
        <v>8</v>
      </c>
      <c r="L105" s="73" t="s">
        <v>92</v>
      </c>
      <c r="M105" s="26">
        <f>SUM(H89+H104+H126+H129)</f>
        <v>83.855999999999995</v>
      </c>
    </row>
    <row r="106" spans="1:13" x14ac:dyDescent="0.3">
      <c r="A106" s="82">
        <v>46099</v>
      </c>
      <c r="B106" s="82" t="s">
        <v>57</v>
      </c>
      <c r="C106" s="53" t="s">
        <v>787</v>
      </c>
      <c r="D106" s="82" t="s">
        <v>1</v>
      </c>
      <c r="E106" s="171"/>
      <c r="F106" s="152">
        <v>161162.85999999999</v>
      </c>
      <c r="G106" s="161">
        <f t="shared" si="1"/>
        <v>851642.59699999902</v>
      </c>
      <c r="H106" s="124">
        <v>76.091999999999999</v>
      </c>
      <c r="I106" s="10" t="s">
        <v>92</v>
      </c>
      <c r="J106" s="110"/>
      <c r="K106" s="69" t="s">
        <v>9</v>
      </c>
      <c r="L106" s="73" t="s">
        <v>92</v>
      </c>
      <c r="M106" s="80">
        <f>SUM(H115)</f>
        <v>160.52000000000001</v>
      </c>
    </row>
    <row r="107" spans="1:13" x14ac:dyDescent="0.3">
      <c r="A107" s="82">
        <v>46099</v>
      </c>
      <c r="B107" s="82" t="s">
        <v>57</v>
      </c>
      <c r="C107" s="53" t="s">
        <v>788</v>
      </c>
      <c r="D107" s="82" t="s">
        <v>22</v>
      </c>
      <c r="E107" s="171"/>
      <c r="F107" s="152">
        <v>711818.36</v>
      </c>
      <c r="G107" s="161">
        <f t="shared" si="1"/>
        <v>139824.23699999903</v>
      </c>
      <c r="H107" s="150">
        <v>334.84399999999999</v>
      </c>
      <c r="I107" s="10" t="s">
        <v>92</v>
      </c>
      <c r="J107" s="110"/>
      <c r="K107" s="69" t="s">
        <v>30</v>
      </c>
      <c r="L107" s="73" t="s">
        <v>92</v>
      </c>
      <c r="M107" s="26">
        <f>SUM(H93+H113+H127)</f>
        <v>508.54300000000001</v>
      </c>
    </row>
    <row r="108" spans="1:13" x14ac:dyDescent="0.3">
      <c r="A108" s="82">
        <v>46100</v>
      </c>
      <c r="B108" s="82" t="s">
        <v>57</v>
      </c>
      <c r="C108" s="53" t="s">
        <v>789</v>
      </c>
      <c r="D108" s="82" t="s">
        <v>5</v>
      </c>
      <c r="E108" s="171"/>
      <c r="F108" s="152">
        <v>44999.5</v>
      </c>
      <c r="G108" s="161">
        <f t="shared" si="1"/>
        <v>94824.736999999033</v>
      </c>
      <c r="H108" s="76">
        <v>20.93</v>
      </c>
      <c r="I108" s="10" t="s">
        <v>92</v>
      </c>
      <c r="J108" s="110"/>
      <c r="K108" s="69" t="s">
        <v>10</v>
      </c>
      <c r="L108" s="73" t="s">
        <v>92</v>
      </c>
      <c r="M108" s="26">
        <f>SUM(H98+H119)</f>
        <v>551.73299999999995</v>
      </c>
    </row>
    <row r="109" spans="1:13" x14ac:dyDescent="0.3">
      <c r="A109" s="82">
        <v>46100</v>
      </c>
      <c r="B109" s="82" t="s">
        <v>57</v>
      </c>
      <c r="C109" s="53" t="s">
        <v>790</v>
      </c>
      <c r="D109" s="82" t="s">
        <v>61</v>
      </c>
      <c r="E109" s="171"/>
      <c r="F109" s="152">
        <v>319554.5</v>
      </c>
      <c r="G109" s="159">
        <f t="shared" si="1"/>
        <v>-224729.76300000097</v>
      </c>
      <c r="H109" s="76">
        <v>148.63</v>
      </c>
      <c r="I109" s="10" t="s">
        <v>92</v>
      </c>
      <c r="J109" s="110"/>
      <c r="K109" s="69" t="s">
        <v>11</v>
      </c>
      <c r="L109" s="73" t="s">
        <v>92</v>
      </c>
      <c r="M109" s="26">
        <f>SUM(H99+H101+H110+H121+H130)</f>
        <v>194.52599999999998</v>
      </c>
    </row>
    <row r="110" spans="1:13" x14ac:dyDescent="0.3">
      <c r="A110" s="82">
        <v>46100</v>
      </c>
      <c r="B110" s="82" t="s">
        <v>57</v>
      </c>
      <c r="C110" s="53" t="s">
        <v>791</v>
      </c>
      <c r="D110" s="82" t="s">
        <v>117</v>
      </c>
      <c r="E110" s="171"/>
      <c r="F110" s="152">
        <v>85161.5</v>
      </c>
      <c r="G110" s="159">
        <f t="shared" si="1"/>
        <v>-309891.26300000097</v>
      </c>
      <c r="H110" s="76">
        <v>39.61</v>
      </c>
      <c r="I110" s="10" t="s">
        <v>92</v>
      </c>
      <c r="J110" s="110"/>
      <c r="K110" s="116" t="s">
        <v>1231</v>
      </c>
      <c r="L110" s="73" t="s">
        <v>92</v>
      </c>
      <c r="M110" s="80">
        <f>SUM(H111)</f>
        <v>9.65</v>
      </c>
    </row>
    <row r="111" spans="1:13" x14ac:dyDescent="0.3">
      <c r="A111" s="82">
        <v>46100</v>
      </c>
      <c r="B111" s="82" t="s">
        <v>57</v>
      </c>
      <c r="C111" s="53" t="s">
        <v>792</v>
      </c>
      <c r="D111" s="82" t="s">
        <v>1231</v>
      </c>
      <c r="E111" s="171"/>
      <c r="F111" s="152">
        <v>18016.55</v>
      </c>
      <c r="G111" s="159">
        <f t="shared" si="1"/>
        <v>-327907.81300000096</v>
      </c>
      <c r="H111" s="76">
        <v>9.65</v>
      </c>
      <c r="I111" s="10" t="s">
        <v>92</v>
      </c>
      <c r="J111" s="110"/>
      <c r="K111" s="540" t="s">
        <v>695</v>
      </c>
      <c r="L111" s="541"/>
      <c r="M111" s="148">
        <f>SUM(M92:M110)</f>
        <v>3389.645</v>
      </c>
    </row>
    <row r="112" spans="1:13" x14ac:dyDescent="0.3">
      <c r="A112" s="363">
        <v>46100</v>
      </c>
      <c r="B112" s="363" t="s">
        <v>57</v>
      </c>
      <c r="C112" s="364" t="s">
        <v>793</v>
      </c>
      <c r="D112" s="363" t="s">
        <v>361</v>
      </c>
      <c r="E112" s="171"/>
      <c r="F112" s="365">
        <v>18599.29</v>
      </c>
      <c r="G112" s="185">
        <f t="shared" si="1"/>
        <v>-346507.10300000093</v>
      </c>
      <c r="H112" s="366">
        <v>9.9600000000000009</v>
      </c>
      <c r="I112" s="367" t="s">
        <v>92</v>
      </c>
      <c r="J112" s="110"/>
    </row>
    <row r="113" spans="1:10" x14ac:dyDescent="0.3">
      <c r="A113" s="82">
        <v>46100</v>
      </c>
      <c r="B113" s="82" t="s">
        <v>57</v>
      </c>
      <c r="C113" s="53" t="s">
        <v>794</v>
      </c>
      <c r="D113" s="82" t="s">
        <v>30</v>
      </c>
      <c r="E113" s="171"/>
      <c r="F113" s="152">
        <v>653000.15</v>
      </c>
      <c r="G113" s="159">
        <f t="shared" si="1"/>
        <v>-999507.25300000096</v>
      </c>
      <c r="H113" s="76">
        <v>303.721</v>
      </c>
      <c r="I113" s="10" t="s">
        <v>92</v>
      </c>
      <c r="J113" s="110"/>
    </row>
    <row r="114" spans="1:10" x14ac:dyDescent="0.3">
      <c r="A114" s="327">
        <v>46101</v>
      </c>
      <c r="B114" s="327" t="s">
        <v>60</v>
      </c>
      <c r="C114" s="356" t="s">
        <v>795</v>
      </c>
      <c r="D114" s="327" t="s">
        <v>1218</v>
      </c>
      <c r="E114" s="357">
        <v>1500000</v>
      </c>
      <c r="F114" s="360"/>
      <c r="G114" s="316">
        <f t="shared" si="1"/>
        <v>500492.74699999904</v>
      </c>
      <c r="H114" s="352"/>
      <c r="I114" s="199" t="s">
        <v>1222</v>
      </c>
      <c r="J114" s="110"/>
    </row>
    <row r="115" spans="1:10" x14ac:dyDescent="0.3">
      <c r="A115" s="82">
        <v>46101</v>
      </c>
      <c r="B115" s="82" t="s">
        <v>57</v>
      </c>
      <c r="C115" s="53" t="s">
        <v>796</v>
      </c>
      <c r="D115" s="82" t="s">
        <v>9</v>
      </c>
      <c r="E115" s="171"/>
      <c r="F115" s="152">
        <v>328102.88</v>
      </c>
      <c r="G115" s="161">
        <f t="shared" si="1"/>
        <v>172389.86699999904</v>
      </c>
      <c r="H115" s="76">
        <v>160.52000000000001</v>
      </c>
      <c r="I115" s="10" t="s">
        <v>92</v>
      </c>
      <c r="J115" s="110"/>
    </row>
    <row r="116" spans="1:10" x14ac:dyDescent="0.3">
      <c r="A116" s="82">
        <v>46101</v>
      </c>
      <c r="B116" s="82" t="s">
        <v>57</v>
      </c>
      <c r="C116" s="53" t="s">
        <v>797</v>
      </c>
      <c r="D116" s="82" t="s">
        <v>62</v>
      </c>
      <c r="E116" s="171"/>
      <c r="F116" s="152">
        <v>73812.679999999993</v>
      </c>
      <c r="G116" s="161">
        <f t="shared" si="1"/>
        <v>98577.186999999045</v>
      </c>
      <c r="H116" s="76">
        <v>39.075000000000003</v>
      </c>
      <c r="I116" s="10" t="s">
        <v>92</v>
      </c>
      <c r="J116" s="110"/>
    </row>
    <row r="117" spans="1:10" x14ac:dyDescent="0.3">
      <c r="A117" s="82">
        <v>46101</v>
      </c>
      <c r="B117" s="82" t="s">
        <v>57</v>
      </c>
      <c r="C117" s="53" t="s">
        <v>798</v>
      </c>
      <c r="D117" s="82" t="s">
        <v>5</v>
      </c>
      <c r="E117" s="171"/>
      <c r="F117" s="152">
        <v>45000.49</v>
      </c>
      <c r="G117" s="161">
        <f t="shared" si="1"/>
        <v>53576.696999999047</v>
      </c>
      <c r="H117" s="76">
        <v>20.728000000000002</v>
      </c>
      <c r="I117" s="10" t="s">
        <v>92</v>
      </c>
      <c r="J117" s="110"/>
    </row>
    <row r="118" spans="1:10" x14ac:dyDescent="0.3">
      <c r="A118" s="82">
        <v>46101</v>
      </c>
      <c r="B118" s="82" t="s">
        <v>57</v>
      </c>
      <c r="C118" s="53" t="s">
        <v>800</v>
      </c>
      <c r="D118" s="82" t="s">
        <v>62</v>
      </c>
      <c r="E118" s="171"/>
      <c r="F118" s="152">
        <v>45000.49</v>
      </c>
      <c r="G118" s="161">
        <f t="shared" si="1"/>
        <v>8576.206999999049</v>
      </c>
      <c r="H118" s="76">
        <v>20.728000000000002</v>
      </c>
      <c r="I118" s="10" t="s">
        <v>92</v>
      </c>
      <c r="J118" s="110"/>
    </row>
    <row r="119" spans="1:10" x14ac:dyDescent="0.3">
      <c r="A119" s="82">
        <v>46101</v>
      </c>
      <c r="B119" s="82" t="s">
        <v>57</v>
      </c>
      <c r="C119" s="53" t="s">
        <v>799</v>
      </c>
      <c r="D119" s="82" t="s">
        <v>10</v>
      </c>
      <c r="E119" s="171"/>
      <c r="F119" s="152">
        <v>299999.92</v>
      </c>
      <c r="G119" s="159">
        <f t="shared" si="1"/>
        <v>-291423.71300000092</v>
      </c>
      <c r="H119" s="76">
        <v>146.77099999999999</v>
      </c>
      <c r="I119" s="10" t="s">
        <v>92</v>
      </c>
      <c r="J119" s="110"/>
    </row>
    <row r="120" spans="1:10" x14ac:dyDescent="0.3">
      <c r="A120" s="327">
        <v>46101</v>
      </c>
      <c r="B120" s="327" t="s">
        <v>60</v>
      </c>
      <c r="C120" s="356" t="s">
        <v>801</v>
      </c>
      <c r="D120" s="327" t="s">
        <v>1218</v>
      </c>
      <c r="E120" s="357">
        <v>2000000</v>
      </c>
      <c r="F120" s="360"/>
      <c r="G120" s="316">
        <f t="shared" si="1"/>
        <v>1708576.2869999991</v>
      </c>
      <c r="H120" s="352"/>
      <c r="I120" s="199" t="s">
        <v>1222</v>
      </c>
      <c r="J120" s="110"/>
    </row>
    <row r="121" spans="1:10" x14ac:dyDescent="0.3">
      <c r="A121" s="82">
        <v>46101</v>
      </c>
      <c r="B121" s="82" t="s">
        <v>57</v>
      </c>
      <c r="C121" s="53" t="s">
        <v>802</v>
      </c>
      <c r="D121" s="82" t="s">
        <v>117</v>
      </c>
      <c r="E121" s="171"/>
      <c r="F121" s="152">
        <v>70593.63</v>
      </c>
      <c r="G121" s="161">
        <f t="shared" si="1"/>
        <v>1637982.6569999992</v>
      </c>
      <c r="H121" s="76">
        <v>34.536999999999999</v>
      </c>
      <c r="I121" s="10" t="s">
        <v>92</v>
      </c>
      <c r="J121" s="110"/>
    </row>
    <row r="122" spans="1:10" x14ac:dyDescent="0.3">
      <c r="A122" s="82">
        <v>46101</v>
      </c>
      <c r="B122" s="82" t="s">
        <v>57</v>
      </c>
      <c r="C122" s="53" t="s">
        <v>803</v>
      </c>
      <c r="D122" s="82" t="s">
        <v>26</v>
      </c>
      <c r="E122" s="171"/>
      <c r="F122" s="152">
        <v>183996.59</v>
      </c>
      <c r="G122" s="161">
        <f t="shared" si="1"/>
        <v>1453986.0669999991</v>
      </c>
      <c r="H122" s="76">
        <v>84.751999999999995</v>
      </c>
      <c r="I122" s="10" t="s">
        <v>92</v>
      </c>
      <c r="J122" s="110"/>
    </row>
    <row r="123" spans="1:10" x14ac:dyDescent="0.3">
      <c r="A123" s="82">
        <v>46102</v>
      </c>
      <c r="B123" s="82" t="s">
        <v>57</v>
      </c>
      <c r="C123" s="53" t="s">
        <v>804</v>
      </c>
      <c r="D123" s="82" t="s">
        <v>24</v>
      </c>
      <c r="E123" s="171"/>
      <c r="F123" s="152">
        <v>44999.57</v>
      </c>
      <c r="G123" s="161">
        <f t="shared" si="1"/>
        <v>1408986.496999999</v>
      </c>
      <c r="H123" s="76">
        <v>20.529</v>
      </c>
      <c r="I123" s="10" t="s">
        <v>92</v>
      </c>
      <c r="J123" s="110"/>
    </row>
    <row r="124" spans="1:10" x14ac:dyDescent="0.3">
      <c r="A124" s="82">
        <v>46102</v>
      </c>
      <c r="B124" s="82" t="s">
        <v>57</v>
      </c>
      <c r="C124" s="53" t="s">
        <v>805</v>
      </c>
      <c r="D124" s="82" t="s">
        <v>429</v>
      </c>
      <c r="E124" s="171"/>
      <c r="F124" s="152">
        <v>44999.57</v>
      </c>
      <c r="G124" s="161">
        <f t="shared" si="1"/>
        <v>1363986.926999999</v>
      </c>
      <c r="H124" s="76">
        <v>20.529</v>
      </c>
      <c r="I124" s="10" t="s">
        <v>92</v>
      </c>
      <c r="J124" s="110"/>
    </row>
    <row r="125" spans="1:10" x14ac:dyDescent="0.3">
      <c r="A125" s="82">
        <v>46102</v>
      </c>
      <c r="B125" s="82" t="s">
        <v>57</v>
      </c>
      <c r="C125" s="53" t="s">
        <v>806</v>
      </c>
      <c r="D125" s="82" t="s">
        <v>24</v>
      </c>
      <c r="E125" s="171"/>
      <c r="F125" s="152">
        <v>44999.57</v>
      </c>
      <c r="G125" s="161">
        <f t="shared" ref="G125:G187" si="2">+G124+E125-F125</f>
        <v>1318987.3569999989</v>
      </c>
      <c r="H125" s="76">
        <v>20.529</v>
      </c>
      <c r="I125" s="10" t="s">
        <v>92</v>
      </c>
      <c r="J125" s="110"/>
    </row>
    <row r="126" spans="1:10" x14ac:dyDescent="0.3">
      <c r="A126" s="82">
        <v>46102</v>
      </c>
      <c r="B126" s="82" t="s">
        <v>57</v>
      </c>
      <c r="C126" s="53" t="s">
        <v>807</v>
      </c>
      <c r="D126" s="82" t="s">
        <v>8</v>
      </c>
      <c r="E126" s="171"/>
      <c r="F126" s="152">
        <v>44999.57</v>
      </c>
      <c r="G126" s="161">
        <f t="shared" si="2"/>
        <v>1273987.7869999988</v>
      </c>
      <c r="H126" s="76">
        <v>20.529</v>
      </c>
      <c r="I126" s="10" t="s">
        <v>92</v>
      </c>
      <c r="J126" s="110"/>
    </row>
    <row r="127" spans="1:10" x14ac:dyDescent="0.3">
      <c r="A127" s="82">
        <v>46102</v>
      </c>
      <c r="B127" s="82" t="s">
        <v>57</v>
      </c>
      <c r="C127" s="53" t="s">
        <v>808</v>
      </c>
      <c r="D127" s="82" t="s">
        <v>30</v>
      </c>
      <c r="E127" s="171"/>
      <c r="F127" s="152">
        <v>303849</v>
      </c>
      <c r="G127" s="161">
        <f t="shared" si="2"/>
        <v>970138.78699999885</v>
      </c>
      <c r="H127" s="76">
        <v>147</v>
      </c>
      <c r="I127" s="10" t="s">
        <v>92</v>
      </c>
      <c r="J127" s="110"/>
    </row>
    <row r="128" spans="1:10" x14ac:dyDescent="0.3">
      <c r="A128" s="82">
        <v>46102</v>
      </c>
      <c r="B128" s="82" t="s">
        <v>57</v>
      </c>
      <c r="C128" s="53" t="s">
        <v>809</v>
      </c>
      <c r="D128" s="82" t="s">
        <v>3</v>
      </c>
      <c r="E128" s="171"/>
      <c r="F128" s="152">
        <v>44999.57</v>
      </c>
      <c r="G128" s="161">
        <f t="shared" si="2"/>
        <v>925139.2169999989</v>
      </c>
      <c r="H128" s="76">
        <v>20.529</v>
      </c>
      <c r="I128" s="10" t="s">
        <v>92</v>
      </c>
      <c r="J128" s="110"/>
    </row>
    <row r="129" spans="1:13" x14ac:dyDescent="0.3">
      <c r="A129" s="82">
        <v>46102</v>
      </c>
      <c r="B129" s="82" t="s">
        <v>57</v>
      </c>
      <c r="C129" s="53" t="s">
        <v>810</v>
      </c>
      <c r="D129" s="82" t="s">
        <v>8</v>
      </c>
      <c r="E129" s="171"/>
      <c r="F129" s="152">
        <v>44999.57</v>
      </c>
      <c r="G129" s="161">
        <f t="shared" si="2"/>
        <v>880139.64699999895</v>
      </c>
      <c r="H129" s="76">
        <v>20.529</v>
      </c>
      <c r="I129" s="10" t="s">
        <v>92</v>
      </c>
      <c r="J129" s="110"/>
    </row>
    <row r="130" spans="1:13" x14ac:dyDescent="0.3">
      <c r="A130" s="82">
        <v>46102</v>
      </c>
      <c r="B130" s="82" t="s">
        <v>57</v>
      </c>
      <c r="C130" s="53" t="s">
        <v>811</v>
      </c>
      <c r="D130" s="82" t="s">
        <v>117</v>
      </c>
      <c r="E130" s="171"/>
      <c r="F130" s="152">
        <v>90106.54</v>
      </c>
      <c r="G130" s="161">
        <f t="shared" si="2"/>
        <v>790033.10699999891</v>
      </c>
      <c r="H130" s="76">
        <v>41.106999999999999</v>
      </c>
      <c r="I130" s="10" t="s">
        <v>92</v>
      </c>
      <c r="J130" s="110"/>
    </row>
    <row r="131" spans="1:13" x14ac:dyDescent="0.3">
      <c r="A131" s="82">
        <v>46102</v>
      </c>
      <c r="B131" s="82" t="s">
        <v>57</v>
      </c>
      <c r="C131" s="53" t="s">
        <v>812</v>
      </c>
      <c r="D131" s="82" t="s">
        <v>6</v>
      </c>
      <c r="E131" s="171"/>
      <c r="F131" s="152">
        <v>44999.57</v>
      </c>
      <c r="G131" s="161">
        <f t="shared" si="2"/>
        <v>745033.53699999896</v>
      </c>
      <c r="H131" s="76">
        <v>20.529</v>
      </c>
      <c r="I131" s="10" t="s">
        <v>92</v>
      </c>
      <c r="J131" s="110"/>
    </row>
    <row r="132" spans="1:13" x14ac:dyDescent="0.3">
      <c r="A132" s="82">
        <v>46102</v>
      </c>
      <c r="B132" s="82" t="s">
        <v>57</v>
      </c>
      <c r="C132" s="53" t="s">
        <v>813</v>
      </c>
      <c r="D132" s="82" t="s">
        <v>6</v>
      </c>
      <c r="E132" s="171"/>
      <c r="F132" s="152">
        <v>44999.57</v>
      </c>
      <c r="G132" s="161">
        <f t="shared" si="2"/>
        <v>700033.96699999901</v>
      </c>
      <c r="H132" s="76">
        <v>20.529</v>
      </c>
      <c r="I132" s="10" t="s">
        <v>92</v>
      </c>
      <c r="J132" s="110"/>
    </row>
    <row r="133" spans="1:13" x14ac:dyDescent="0.3">
      <c r="A133" s="534" t="s">
        <v>694</v>
      </c>
      <c r="B133" s="534"/>
      <c r="C133" s="534"/>
      <c r="D133" s="534"/>
      <c r="E133" s="534"/>
      <c r="F133" s="534"/>
      <c r="G133" s="534"/>
      <c r="H133" s="540">
        <f>SUM(H89:H132)</f>
        <v>3389.6450000000004</v>
      </c>
      <c r="I133" s="541"/>
      <c r="J133" s="110"/>
    </row>
    <row r="134" spans="1:13" ht="15.6" x14ac:dyDescent="0.3">
      <c r="A134" s="546" t="s">
        <v>776</v>
      </c>
      <c r="B134" s="547"/>
      <c r="C134" s="547"/>
      <c r="D134" s="547"/>
      <c r="E134" s="547"/>
      <c r="F134" s="547"/>
      <c r="G134" s="547"/>
      <c r="H134" s="547"/>
      <c r="I134" s="548"/>
      <c r="J134" s="110"/>
      <c r="K134" s="526" t="s">
        <v>871</v>
      </c>
      <c r="L134" s="526"/>
      <c r="M134" s="526"/>
    </row>
    <row r="135" spans="1:13" x14ac:dyDescent="0.3">
      <c r="A135" s="82">
        <v>46103</v>
      </c>
      <c r="B135" s="82" t="s">
        <v>57</v>
      </c>
      <c r="C135" s="53" t="s">
        <v>814</v>
      </c>
      <c r="D135" s="82" t="s">
        <v>10</v>
      </c>
      <c r="E135" s="171"/>
      <c r="F135" s="176">
        <v>619651.98</v>
      </c>
      <c r="G135" s="161">
        <f>+G132+E135-F135</f>
        <v>80381.986999999033</v>
      </c>
      <c r="H135" s="76">
        <v>280.13200000000001</v>
      </c>
      <c r="I135" s="10" t="s">
        <v>92</v>
      </c>
      <c r="J135" s="110"/>
      <c r="K135" s="545" t="s">
        <v>34</v>
      </c>
      <c r="L135" s="545"/>
      <c r="M135" s="545"/>
    </row>
    <row r="136" spans="1:13" x14ac:dyDescent="0.3">
      <c r="A136" s="82">
        <v>46103</v>
      </c>
      <c r="B136" s="82" t="s">
        <v>57</v>
      </c>
      <c r="C136" s="53" t="s">
        <v>815</v>
      </c>
      <c r="D136" s="82" t="s">
        <v>3</v>
      </c>
      <c r="E136" s="171"/>
      <c r="F136" s="176">
        <v>45000.93</v>
      </c>
      <c r="G136" s="161">
        <f t="shared" si="2"/>
        <v>35381.056999999033</v>
      </c>
      <c r="H136" s="76">
        <v>20.344000000000001</v>
      </c>
      <c r="I136" s="10" t="s">
        <v>92</v>
      </c>
      <c r="J136" s="110"/>
      <c r="K136" s="71" t="s">
        <v>32</v>
      </c>
      <c r="L136" s="43" t="s">
        <v>35</v>
      </c>
      <c r="M136" s="43" t="s">
        <v>33</v>
      </c>
    </row>
    <row r="137" spans="1:13" x14ac:dyDescent="0.3">
      <c r="A137" s="82">
        <v>46103</v>
      </c>
      <c r="B137" s="82" t="s">
        <v>57</v>
      </c>
      <c r="C137" s="53" t="s">
        <v>816</v>
      </c>
      <c r="D137" s="82" t="s">
        <v>5</v>
      </c>
      <c r="E137" s="171"/>
      <c r="F137" s="176">
        <v>45000.93</v>
      </c>
      <c r="G137" s="159">
        <f t="shared" si="2"/>
        <v>-9619.8730000009673</v>
      </c>
      <c r="H137" s="76">
        <v>20.344000000000001</v>
      </c>
      <c r="I137" s="10" t="s">
        <v>92</v>
      </c>
      <c r="J137" s="110"/>
      <c r="K137" s="69" t="s">
        <v>0</v>
      </c>
      <c r="L137" s="73" t="s">
        <v>92</v>
      </c>
      <c r="M137" s="26">
        <v>0</v>
      </c>
    </row>
    <row r="138" spans="1:13" x14ac:dyDescent="0.3">
      <c r="A138" s="82">
        <v>46104</v>
      </c>
      <c r="B138" s="82" t="s">
        <v>57</v>
      </c>
      <c r="C138" s="53" t="s">
        <v>817</v>
      </c>
      <c r="D138" s="82" t="s">
        <v>8</v>
      </c>
      <c r="E138" s="171"/>
      <c r="F138" s="176">
        <v>44999.42</v>
      </c>
      <c r="G138" s="159">
        <f t="shared" si="2"/>
        <v>-54619.293000000966</v>
      </c>
      <c r="H138" s="76">
        <v>20.152000000000001</v>
      </c>
      <c r="I138" s="10" t="s">
        <v>92</v>
      </c>
      <c r="J138" s="110"/>
      <c r="K138" s="69" t="s">
        <v>1</v>
      </c>
      <c r="L138" s="73" t="s">
        <v>92</v>
      </c>
      <c r="M138" s="42">
        <v>0</v>
      </c>
    </row>
    <row r="139" spans="1:13" x14ac:dyDescent="0.3">
      <c r="A139" s="82">
        <v>46104</v>
      </c>
      <c r="B139" s="82" t="s">
        <v>57</v>
      </c>
      <c r="C139" s="53" t="s">
        <v>818</v>
      </c>
      <c r="D139" s="82" t="s">
        <v>24</v>
      </c>
      <c r="E139" s="171"/>
      <c r="F139" s="176">
        <v>44999.42</v>
      </c>
      <c r="G139" s="159">
        <f t="shared" si="2"/>
        <v>-99618.713000000964</v>
      </c>
      <c r="H139" s="76">
        <v>20.152000000000001</v>
      </c>
      <c r="I139" s="10" t="s">
        <v>92</v>
      </c>
      <c r="J139" s="110"/>
      <c r="K139" s="24" t="s">
        <v>27</v>
      </c>
      <c r="L139" s="73" t="s">
        <v>92</v>
      </c>
      <c r="M139" s="26">
        <v>0</v>
      </c>
    </row>
    <row r="140" spans="1:13" x14ac:dyDescent="0.3">
      <c r="A140" s="82">
        <v>46104</v>
      </c>
      <c r="B140" s="82" t="s">
        <v>57</v>
      </c>
      <c r="C140" s="53" t="s">
        <v>819</v>
      </c>
      <c r="D140" s="82" t="s">
        <v>61</v>
      </c>
      <c r="E140" s="171"/>
      <c r="F140" s="176">
        <v>401218.74</v>
      </c>
      <c r="G140" s="159">
        <f t="shared" si="2"/>
        <v>-500837.45300000097</v>
      </c>
      <c r="H140" s="76">
        <v>179.67699999999999</v>
      </c>
      <c r="I140" s="10" t="s">
        <v>92</v>
      </c>
      <c r="J140" s="110"/>
      <c r="K140" s="76" t="s">
        <v>429</v>
      </c>
      <c r="L140" s="73" t="s">
        <v>92</v>
      </c>
      <c r="M140" s="80">
        <f>SUM(H141+H162+H170+H174+H186+H194+H198+H207)</f>
        <v>155.54700000000003</v>
      </c>
    </row>
    <row r="141" spans="1:13" x14ac:dyDescent="0.3">
      <c r="A141" s="82">
        <v>46104</v>
      </c>
      <c r="B141" s="82" t="s">
        <v>57</v>
      </c>
      <c r="C141" s="53" t="s">
        <v>820</v>
      </c>
      <c r="D141" s="82" t="s">
        <v>429</v>
      </c>
      <c r="E141" s="171"/>
      <c r="F141" s="176">
        <v>44999.42</v>
      </c>
      <c r="G141" s="159">
        <f t="shared" si="2"/>
        <v>-545836.87300000095</v>
      </c>
      <c r="H141" s="76">
        <v>20.152000000000001</v>
      </c>
      <c r="I141" s="10" t="s">
        <v>92</v>
      </c>
      <c r="J141" s="110"/>
      <c r="K141" s="76" t="s">
        <v>62</v>
      </c>
      <c r="L141" s="73" t="s">
        <v>92</v>
      </c>
      <c r="M141" s="80">
        <f>SUM(H192+H202+H206)</f>
        <v>57.048000000000002</v>
      </c>
    </row>
    <row r="142" spans="1:13" x14ac:dyDescent="0.3">
      <c r="A142" s="82">
        <v>46104</v>
      </c>
      <c r="B142" s="82" t="s">
        <v>57</v>
      </c>
      <c r="C142" s="53" t="s">
        <v>821</v>
      </c>
      <c r="D142" s="82" t="s">
        <v>26</v>
      </c>
      <c r="E142" s="171"/>
      <c r="F142" s="176">
        <v>162015.32</v>
      </c>
      <c r="G142" s="159">
        <f t="shared" si="2"/>
        <v>-707852.1930000009</v>
      </c>
      <c r="H142" s="76">
        <v>72.555000000000007</v>
      </c>
      <c r="I142" s="10" t="s">
        <v>92</v>
      </c>
      <c r="J142" s="110"/>
      <c r="K142" s="76" t="s">
        <v>361</v>
      </c>
      <c r="L142" s="73" t="s">
        <v>92</v>
      </c>
      <c r="M142" s="80">
        <f>SUM(H168)</f>
        <v>11.725</v>
      </c>
    </row>
    <row r="143" spans="1:13" x14ac:dyDescent="0.3">
      <c r="A143" s="82">
        <v>46104</v>
      </c>
      <c r="B143" s="82" t="s">
        <v>57</v>
      </c>
      <c r="C143" s="53" t="s">
        <v>822</v>
      </c>
      <c r="D143" s="50" t="s">
        <v>3</v>
      </c>
      <c r="E143" s="171"/>
      <c r="F143" s="176">
        <v>45000</v>
      </c>
      <c r="G143" s="159">
        <f t="shared" si="2"/>
        <v>-752852.1930000009</v>
      </c>
      <c r="H143" s="76">
        <v>20.1523</v>
      </c>
      <c r="I143" s="10" t="s">
        <v>92</v>
      </c>
      <c r="J143" s="110"/>
      <c r="K143" s="145" t="s">
        <v>541</v>
      </c>
      <c r="L143" s="73" t="s">
        <v>92</v>
      </c>
      <c r="M143" s="80">
        <v>0</v>
      </c>
    </row>
    <row r="144" spans="1:13" x14ac:dyDescent="0.3">
      <c r="A144" s="82">
        <v>46105</v>
      </c>
      <c r="B144" s="82" t="s">
        <v>57</v>
      </c>
      <c r="C144" s="53" t="s">
        <v>823</v>
      </c>
      <c r="D144" s="50" t="s">
        <v>24</v>
      </c>
      <c r="E144" s="171"/>
      <c r="F144" s="176">
        <v>44999.17</v>
      </c>
      <c r="G144" s="159">
        <f t="shared" si="2"/>
        <v>-797851.36300000094</v>
      </c>
      <c r="H144" s="76">
        <v>19.972999999999999</v>
      </c>
      <c r="I144" s="10" t="s">
        <v>92</v>
      </c>
      <c r="J144" s="110"/>
      <c r="K144" s="69" t="s">
        <v>24</v>
      </c>
      <c r="L144" s="73" t="s">
        <v>92</v>
      </c>
      <c r="M144" s="26">
        <f>SUM(H139+H144+H151+H158+H179+H181+H199+H210)</f>
        <v>173.99590000000001</v>
      </c>
    </row>
    <row r="145" spans="1:13" x14ac:dyDescent="0.3">
      <c r="A145" s="82">
        <v>46105</v>
      </c>
      <c r="B145" s="82" t="s">
        <v>57</v>
      </c>
      <c r="C145" s="53" t="s">
        <v>824</v>
      </c>
      <c r="D145" s="50" t="s">
        <v>117</v>
      </c>
      <c r="E145" s="171"/>
      <c r="F145" s="176">
        <v>97014.18</v>
      </c>
      <c r="G145" s="159">
        <f t="shared" si="2"/>
        <v>-894865.54300000099</v>
      </c>
      <c r="H145" s="76">
        <v>43.06</v>
      </c>
      <c r="I145" s="10" t="s">
        <v>92</v>
      </c>
      <c r="J145" s="110"/>
      <c r="K145" s="69" t="s">
        <v>29</v>
      </c>
      <c r="L145" s="73" t="s">
        <v>92</v>
      </c>
      <c r="M145" s="26">
        <f>SUM(H142+H176)</f>
        <v>131.202</v>
      </c>
    </row>
    <row r="146" spans="1:13" x14ac:dyDescent="0.3">
      <c r="A146" s="82">
        <v>46105</v>
      </c>
      <c r="B146" s="82" t="s">
        <v>57</v>
      </c>
      <c r="C146" s="53" t="s">
        <v>825</v>
      </c>
      <c r="D146" s="50" t="s">
        <v>5</v>
      </c>
      <c r="E146" s="171"/>
      <c r="F146" s="176">
        <v>44999.17</v>
      </c>
      <c r="G146" s="159">
        <f t="shared" si="2"/>
        <v>-939864.71300000104</v>
      </c>
      <c r="H146" s="76">
        <v>19.972999999999999</v>
      </c>
      <c r="I146" s="10" t="s">
        <v>92</v>
      </c>
      <c r="J146" s="110"/>
      <c r="K146" s="69" t="s">
        <v>3</v>
      </c>
      <c r="L146" s="73" t="s">
        <v>92</v>
      </c>
      <c r="M146" s="26">
        <f>SUM(H136+H143+H165+H175+H185+H193+H200)</f>
        <v>137.09430000000003</v>
      </c>
    </row>
    <row r="147" spans="1:13" x14ac:dyDescent="0.3">
      <c r="A147" s="82">
        <v>46105</v>
      </c>
      <c r="B147" s="82" t="s">
        <v>57</v>
      </c>
      <c r="C147" s="53" t="s">
        <v>826</v>
      </c>
      <c r="D147" s="50" t="s">
        <v>22</v>
      </c>
      <c r="E147" s="171"/>
      <c r="F147" s="176">
        <v>310000.96999999997</v>
      </c>
      <c r="G147" s="159">
        <f t="shared" si="2"/>
        <v>-1249865.6830000011</v>
      </c>
      <c r="H147" s="150">
        <v>137.58099999999999</v>
      </c>
      <c r="I147" s="10" t="s">
        <v>92</v>
      </c>
      <c r="J147" s="110"/>
      <c r="K147" s="69" t="s">
        <v>5</v>
      </c>
      <c r="L147" s="73" t="s">
        <v>92</v>
      </c>
      <c r="M147" s="26">
        <f>SUM(H137+H146+H154+H172+H183+H190+H209)</f>
        <v>137.114</v>
      </c>
    </row>
    <row r="148" spans="1:13" x14ac:dyDescent="0.3">
      <c r="A148" s="327">
        <v>46105</v>
      </c>
      <c r="B148" s="327" t="s">
        <v>60</v>
      </c>
      <c r="C148" s="356" t="s">
        <v>827</v>
      </c>
      <c r="D148" s="329" t="s">
        <v>1218</v>
      </c>
      <c r="E148" s="357">
        <v>940000</v>
      </c>
      <c r="F148" s="361"/>
      <c r="G148" s="317">
        <f t="shared" si="2"/>
        <v>-309865.68300000113</v>
      </c>
      <c r="H148" s="352"/>
      <c r="I148" s="199" t="s">
        <v>1220</v>
      </c>
      <c r="J148" s="110"/>
      <c r="K148" s="69" t="s">
        <v>61</v>
      </c>
      <c r="L148" s="73" t="s">
        <v>92</v>
      </c>
      <c r="M148" s="26">
        <f>SUM(H140+H169+H182+H204)</f>
        <v>567.44900000000007</v>
      </c>
    </row>
    <row r="149" spans="1:13" x14ac:dyDescent="0.3">
      <c r="A149" s="327">
        <v>46105</v>
      </c>
      <c r="B149" s="327" t="s">
        <v>60</v>
      </c>
      <c r="C149" s="356" t="s">
        <v>828</v>
      </c>
      <c r="D149" s="329" t="s">
        <v>1217</v>
      </c>
      <c r="E149" s="357"/>
      <c r="F149" s="361">
        <v>17174.740000000002</v>
      </c>
      <c r="G149" s="317">
        <f t="shared" si="2"/>
        <v>-327040.42300000112</v>
      </c>
      <c r="H149" s="352"/>
      <c r="I149" s="199" t="s">
        <v>537</v>
      </c>
      <c r="J149" s="110"/>
      <c r="K149" s="69" t="s">
        <v>22</v>
      </c>
      <c r="L149" s="73" t="s">
        <v>92</v>
      </c>
      <c r="M149" s="26">
        <f>SUM(H147+H163+H208)</f>
        <v>923.31770000000006</v>
      </c>
    </row>
    <row r="150" spans="1:13" x14ac:dyDescent="0.3">
      <c r="A150" s="82">
        <v>46105</v>
      </c>
      <c r="B150" s="82" t="s">
        <v>57</v>
      </c>
      <c r="C150" s="53" t="s">
        <v>829</v>
      </c>
      <c r="D150" s="50" t="s">
        <v>30</v>
      </c>
      <c r="E150" s="171"/>
      <c r="F150" s="176">
        <v>956409.77</v>
      </c>
      <c r="G150" s="159">
        <f t="shared" si="2"/>
        <v>-1283450.1930000011</v>
      </c>
      <c r="H150" s="76">
        <v>424.505</v>
      </c>
      <c r="I150" s="10" t="s">
        <v>92</v>
      </c>
      <c r="J150" s="110"/>
      <c r="K150" s="69" t="s">
        <v>6</v>
      </c>
      <c r="L150" s="73" t="s">
        <v>92</v>
      </c>
      <c r="M150" s="26">
        <f>SUM(H153+H164+H173+H187+H188+H191+H197)</f>
        <v>135.76900000000003</v>
      </c>
    </row>
    <row r="151" spans="1:13" x14ac:dyDescent="0.3">
      <c r="A151" s="82">
        <v>46105</v>
      </c>
      <c r="B151" s="82" t="s">
        <v>57</v>
      </c>
      <c r="C151" s="53" t="s">
        <v>830</v>
      </c>
      <c r="D151" s="50" t="s">
        <v>24</v>
      </c>
      <c r="E151" s="171"/>
      <c r="F151" s="176">
        <v>16000.81</v>
      </c>
      <c r="G151" s="159">
        <f t="shared" si="2"/>
        <v>-1299451.0030000012</v>
      </c>
      <c r="H151" s="76">
        <v>7.1020000000000003</v>
      </c>
      <c r="I151" s="10" t="s">
        <v>92</v>
      </c>
      <c r="J151" s="110"/>
      <c r="K151" s="69" t="s">
        <v>8</v>
      </c>
      <c r="L151" s="73" t="s">
        <v>92</v>
      </c>
      <c r="M151" s="26">
        <f>SUM(H138+H166+H211)</f>
        <v>58.949000000000005</v>
      </c>
    </row>
    <row r="152" spans="1:13" x14ac:dyDescent="0.3">
      <c r="A152" s="82">
        <v>46105</v>
      </c>
      <c r="B152" s="82" t="s">
        <v>57</v>
      </c>
      <c r="C152" s="53" t="s">
        <v>831</v>
      </c>
      <c r="D152" s="50" t="s">
        <v>117</v>
      </c>
      <c r="E152" s="171"/>
      <c r="F152" s="176">
        <v>22000.42</v>
      </c>
      <c r="G152" s="159">
        <f t="shared" si="2"/>
        <v>-1321451.4230000011</v>
      </c>
      <c r="H152" s="76">
        <v>10.295</v>
      </c>
      <c r="I152" s="10" t="s">
        <v>92</v>
      </c>
      <c r="J152" s="110"/>
      <c r="K152" s="69" t="s">
        <v>9</v>
      </c>
      <c r="L152" s="73" t="s">
        <v>92</v>
      </c>
      <c r="M152" s="80">
        <f>SUM(H156+H180)</f>
        <v>266.11400000000003</v>
      </c>
    </row>
    <row r="153" spans="1:13" x14ac:dyDescent="0.3">
      <c r="A153" s="82">
        <v>46105</v>
      </c>
      <c r="B153" s="82" t="s">
        <v>57</v>
      </c>
      <c r="C153" s="53" t="s">
        <v>832</v>
      </c>
      <c r="D153" s="50" t="s">
        <v>6</v>
      </c>
      <c r="E153" s="171"/>
      <c r="F153" s="176">
        <v>44999.17</v>
      </c>
      <c r="G153" s="159">
        <f t="shared" si="2"/>
        <v>-1366450.593000001</v>
      </c>
      <c r="H153" s="76">
        <v>19.972999999999999</v>
      </c>
      <c r="I153" s="10" t="s">
        <v>92</v>
      </c>
      <c r="J153" s="110"/>
      <c r="K153" s="69" t="s">
        <v>30</v>
      </c>
      <c r="L153" s="73" t="s">
        <v>92</v>
      </c>
      <c r="M153" s="26">
        <f>SUM(H150)</f>
        <v>424.505</v>
      </c>
    </row>
    <row r="154" spans="1:13" x14ac:dyDescent="0.3">
      <c r="A154" s="82">
        <v>46106</v>
      </c>
      <c r="B154" s="82" t="s">
        <v>57</v>
      </c>
      <c r="C154" s="53" t="s">
        <v>833</v>
      </c>
      <c r="D154" s="50" t="s">
        <v>5</v>
      </c>
      <c r="E154" s="171"/>
      <c r="F154" s="176">
        <v>45000.85</v>
      </c>
      <c r="G154" s="159">
        <f t="shared" si="2"/>
        <v>-1411451.4430000011</v>
      </c>
      <c r="H154" s="76">
        <v>19.797999999999998</v>
      </c>
      <c r="I154" s="10" t="s">
        <v>92</v>
      </c>
      <c r="J154" s="110"/>
      <c r="K154" s="69" t="s">
        <v>10</v>
      </c>
      <c r="L154" s="73" t="s">
        <v>92</v>
      </c>
      <c r="M154" s="26">
        <f>SUM(H135+H159+H177)</f>
        <v>708.21900000000005</v>
      </c>
    </row>
    <row r="155" spans="1:13" x14ac:dyDescent="0.3">
      <c r="A155" s="327">
        <v>46106</v>
      </c>
      <c r="B155" s="327" t="s">
        <v>60</v>
      </c>
      <c r="C155" s="356" t="s">
        <v>834</v>
      </c>
      <c r="D155" s="329" t="s">
        <v>1218</v>
      </c>
      <c r="E155" s="357">
        <v>2500000</v>
      </c>
      <c r="F155" s="361"/>
      <c r="G155" s="316">
        <f t="shared" si="2"/>
        <v>1088548.5569999989</v>
      </c>
      <c r="H155" s="352"/>
      <c r="I155" s="199" t="s">
        <v>1222</v>
      </c>
      <c r="J155" s="110"/>
      <c r="K155" s="69" t="s">
        <v>11</v>
      </c>
      <c r="L155" s="73" t="s">
        <v>92</v>
      </c>
      <c r="M155" s="26">
        <f>SUM(H145+H152+H157+H160+H161+H167+H184+H189+H196+H201+H203)</f>
        <v>315.84900000000005</v>
      </c>
    </row>
    <row r="156" spans="1:13" ht="13.95" customHeight="1" x14ac:dyDescent="0.3">
      <c r="A156" s="82">
        <v>46106</v>
      </c>
      <c r="B156" s="82" t="s">
        <v>57</v>
      </c>
      <c r="C156" s="53" t="s">
        <v>835</v>
      </c>
      <c r="D156" s="50" t="s">
        <v>9</v>
      </c>
      <c r="E156" s="171"/>
      <c r="F156" s="176">
        <v>250000.45</v>
      </c>
      <c r="G156" s="161">
        <f t="shared" si="2"/>
        <v>838548.10699999891</v>
      </c>
      <c r="H156" s="76">
        <v>109.98699999999999</v>
      </c>
      <c r="I156" s="10" t="s">
        <v>92</v>
      </c>
      <c r="J156" s="110"/>
      <c r="K156" s="540" t="s">
        <v>695</v>
      </c>
      <c r="L156" s="541"/>
      <c r="M156" s="148">
        <f>SUM(M138:M155)</f>
        <v>4203.8979000000008</v>
      </c>
    </row>
    <row r="157" spans="1:13" ht="13.95" customHeight="1" x14ac:dyDescent="0.3">
      <c r="A157" s="82">
        <v>46106</v>
      </c>
      <c r="B157" s="82" t="s">
        <v>57</v>
      </c>
      <c r="C157" s="53" t="s">
        <v>836</v>
      </c>
      <c r="D157" s="50" t="s">
        <v>117</v>
      </c>
      <c r="E157" s="171"/>
      <c r="F157" s="176">
        <v>39524.81</v>
      </c>
      <c r="G157" s="161">
        <f t="shared" si="2"/>
        <v>799023.29699999886</v>
      </c>
      <c r="H157" s="76">
        <v>18.306999999999999</v>
      </c>
      <c r="I157" s="10" t="s">
        <v>92</v>
      </c>
      <c r="J157" s="110"/>
    </row>
    <row r="158" spans="1:13" ht="13.95" customHeight="1" x14ac:dyDescent="0.3">
      <c r="A158" s="82">
        <v>46106</v>
      </c>
      <c r="B158" s="82" t="s">
        <v>57</v>
      </c>
      <c r="C158" s="53" t="s">
        <v>837</v>
      </c>
      <c r="D158" s="50" t="s">
        <v>24</v>
      </c>
      <c r="E158" s="171"/>
      <c r="F158" s="176">
        <v>45000.85</v>
      </c>
      <c r="G158" s="161">
        <f t="shared" si="2"/>
        <v>754022.44699999888</v>
      </c>
      <c r="H158" s="76">
        <v>19.797999999999998</v>
      </c>
      <c r="I158" s="10" t="s">
        <v>92</v>
      </c>
      <c r="J158" s="110"/>
    </row>
    <row r="159" spans="1:13" ht="13.95" customHeight="1" x14ac:dyDescent="0.3">
      <c r="A159" s="82">
        <v>46106</v>
      </c>
      <c r="B159" s="82" t="s">
        <v>57</v>
      </c>
      <c r="C159" s="53" t="s">
        <v>838</v>
      </c>
      <c r="D159" s="50" t="s">
        <v>10</v>
      </c>
      <c r="E159" s="171"/>
      <c r="F159" s="176">
        <v>492439.83</v>
      </c>
      <c r="G159" s="161">
        <f t="shared" si="2"/>
        <v>261582.61699999886</v>
      </c>
      <c r="H159" s="76">
        <v>228.08699999999999</v>
      </c>
      <c r="I159" s="10" t="s">
        <v>92</v>
      </c>
      <c r="J159" s="110"/>
    </row>
    <row r="160" spans="1:13" ht="13.95" customHeight="1" x14ac:dyDescent="0.3">
      <c r="A160" s="82">
        <v>46106</v>
      </c>
      <c r="B160" s="82" t="s">
        <v>57</v>
      </c>
      <c r="C160" s="53" t="s">
        <v>839</v>
      </c>
      <c r="D160" s="50" t="s">
        <v>117</v>
      </c>
      <c r="E160" s="171"/>
      <c r="F160" s="176">
        <v>42907.42</v>
      </c>
      <c r="G160" s="161">
        <f t="shared" si="2"/>
        <v>218675.19699999888</v>
      </c>
      <c r="H160" s="76">
        <v>18.876999999999999</v>
      </c>
      <c r="I160" s="10" t="s">
        <v>92</v>
      </c>
      <c r="J160" s="110"/>
    </row>
    <row r="161" spans="1:10" ht="13.95" customHeight="1" x14ac:dyDescent="0.3">
      <c r="A161" s="82">
        <v>46107</v>
      </c>
      <c r="B161" s="82" t="s">
        <v>57</v>
      </c>
      <c r="C161" s="53" t="s">
        <v>840</v>
      </c>
      <c r="D161" s="50" t="s">
        <v>117</v>
      </c>
      <c r="E161" s="171"/>
      <c r="F161" s="176">
        <v>81007.47</v>
      </c>
      <c r="G161" s="161">
        <f t="shared" si="2"/>
        <v>137667.72699999888</v>
      </c>
      <c r="H161" s="76">
        <v>35.281999999999996</v>
      </c>
      <c r="I161" s="10" t="s">
        <v>92</v>
      </c>
      <c r="J161" s="110"/>
    </row>
    <row r="162" spans="1:10" ht="13.95" customHeight="1" x14ac:dyDescent="0.3">
      <c r="A162" s="82">
        <v>46107</v>
      </c>
      <c r="B162" s="82" t="s">
        <v>57</v>
      </c>
      <c r="C162" s="53" t="s">
        <v>841</v>
      </c>
      <c r="D162" s="50" t="s">
        <v>429</v>
      </c>
      <c r="E162" s="171"/>
      <c r="F162" s="176">
        <v>44999.3</v>
      </c>
      <c r="G162" s="161">
        <f t="shared" si="2"/>
        <v>92668.426999998876</v>
      </c>
      <c r="H162" s="76">
        <v>19.599</v>
      </c>
      <c r="I162" s="10" t="s">
        <v>92</v>
      </c>
      <c r="J162" s="110"/>
    </row>
    <row r="163" spans="1:10" ht="13.95" customHeight="1" x14ac:dyDescent="0.3">
      <c r="A163" s="82">
        <v>46107</v>
      </c>
      <c r="B163" s="82" t="s">
        <v>57</v>
      </c>
      <c r="C163" s="53" t="s">
        <v>842</v>
      </c>
      <c r="D163" s="50" t="s">
        <v>22</v>
      </c>
      <c r="E163" s="171"/>
      <c r="F163" s="176">
        <v>530001.75</v>
      </c>
      <c r="G163" s="159">
        <f t="shared" si="2"/>
        <v>-437333.32300000114</v>
      </c>
      <c r="H163" s="76">
        <v>230.83699999999999</v>
      </c>
      <c r="I163" s="10" t="s">
        <v>92</v>
      </c>
      <c r="J163" s="110"/>
    </row>
    <row r="164" spans="1:10" ht="13.95" customHeight="1" x14ac:dyDescent="0.3">
      <c r="A164" s="82">
        <v>46107</v>
      </c>
      <c r="B164" s="82" t="s">
        <v>57</v>
      </c>
      <c r="C164" s="53" t="s">
        <v>843</v>
      </c>
      <c r="D164" s="50" t="s">
        <v>6</v>
      </c>
      <c r="E164" s="171"/>
      <c r="F164" s="176">
        <v>44999.3</v>
      </c>
      <c r="G164" s="159">
        <f t="shared" si="2"/>
        <v>-482332.62300000113</v>
      </c>
      <c r="H164" s="76">
        <v>19.599</v>
      </c>
      <c r="I164" s="10" t="s">
        <v>92</v>
      </c>
      <c r="J164" s="110"/>
    </row>
    <row r="165" spans="1:10" ht="13.95" customHeight="1" x14ac:dyDescent="0.3">
      <c r="A165" s="82">
        <v>46107</v>
      </c>
      <c r="B165" s="82" t="s">
        <v>57</v>
      </c>
      <c r="C165" s="53" t="s">
        <v>844</v>
      </c>
      <c r="D165" s="50" t="s">
        <v>3</v>
      </c>
      <c r="E165" s="171"/>
      <c r="F165" s="176">
        <v>44999.3</v>
      </c>
      <c r="G165" s="159">
        <f t="shared" si="2"/>
        <v>-527331.92300000112</v>
      </c>
      <c r="H165" s="76">
        <v>19.599</v>
      </c>
      <c r="I165" s="10" t="s">
        <v>92</v>
      </c>
      <c r="J165" s="110"/>
    </row>
    <row r="166" spans="1:10" ht="13.95" customHeight="1" x14ac:dyDescent="0.3">
      <c r="A166" s="82">
        <v>46107</v>
      </c>
      <c r="B166" s="82" t="s">
        <v>57</v>
      </c>
      <c r="C166" s="53" t="s">
        <v>845</v>
      </c>
      <c r="D166" s="50" t="s">
        <v>8</v>
      </c>
      <c r="E166" s="171"/>
      <c r="F166" s="176">
        <v>44999.3</v>
      </c>
      <c r="G166" s="159">
        <f t="shared" si="2"/>
        <v>-572331.22300000116</v>
      </c>
      <c r="H166" s="76">
        <v>19.599</v>
      </c>
      <c r="I166" s="10" t="s">
        <v>92</v>
      </c>
      <c r="J166" s="110"/>
    </row>
    <row r="167" spans="1:10" ht="13.95" customHeight="1" x14ac:dyDescent="0.3">
      <c r="A167" s="82">
        <v>46107</v>
      </c>
      <c r="B167" s="82" t="s">
        <v>57</v>
      </c>
      <c r="C167" s="53" t="s">
        <v>846</v>
      </c>
      <c r="D167" s="50" t="s">
        <v>117</v>
      </c>
      <c r="E167" s="171"/>
      <c r="F167" s="176">
        <v>85009.4</v>
      </c>
      <c r="G167" s="159">
        <f t="shared" si="2"/>
        <v>-657340.62300000119</v>
      </c>
      <c r="H167" s="76">
        <v>37.024999999999999</v>
      </c>
      <c r="I167" s="10" t="s">
        <v>92</v>
      </c>
      <c r="J167" s="110"/>
    </row>
    <row r="168" spans="1:10" ht="13.95" customHeight="1" x14ac:dyDescent="0.3">
      <c r="A168" s="82">
        <v>46107</v>
      </c>
      <c r="B168" s="82" t="s">
        <v>57</v>
      </c>
      <c r="C168" s="53" t="s">
        <v>847</v>
      </c>
      <c r="D168" s="50" t="s">
        <v>361</v>
      </c>
      <c r="E168" s="171"/>
      <c r="F168" s="176">
        <v>25185.3</v>
      </c>
      <c r="G168" s="159">
        <f t="shared" si="2"/>
        <v>-682525.92300000123</v>
      </c>
      <c r="H168" s="76">
        <v>11.725</v>
      </c>
      <c r="I168" s="10" t="s">
        <v>92</v>
      </c>
      <c r="J168" s="110"/>
    </row>
    <row r="169" spans="1:10" ht="13.95" customHeight="1" x14ac:dyDescent="0.3">
      <c r="A169" s="82">
        <v>46107</v>
      </c>
      <c r="B169" s="82" t="s">
        <v>57</v>
      </c>
      <c r="C169" s="53" t="s">
        <v>848</v>
      </c>
      <c r="D169" s="50" t="s">
        <v>61</v>
      </c>
      <c r="E169" s="171"/>
      <c r="F169" s="176">
        <v>224553.39</v>
      </c>
      <c r="G169" s="159">
        <f t="shared" si="2"/>
        <v>-907079.31300000125</v>
      </c>
      <c r="H169" s="76">
        <v>97.802000000000007</v>
      </c>
      <c r="I169" s="10" t="s">
        <v>92</v>
      </c>
      <c r="J169" s="110"/>
    </row>
    <row r="170" spans="1:10" ht="13.95" customHeight="1" x14ac:dyDescent="0.3">
      <c r="A170" s="82">
        <v>46107</v>
      </c>
      <c r="B170" s="82" t="s">
        <v>57</v>
      </c>
      <c r="C170" s="53" t="s">
        <v>849</v>
      </c>
      <c r="D170" s="50" t="s">
        <v>429</v>
      </c>
      <c r="E170" s="171"/>
      <c r="F170" s="176">
        <v>44999.3</v>
      </c>
      <c r="G170" s="159">
        <f t="shared" si="2"/>
        <v>-952078.61300000129</v>
      </c>
      <c r="H170" s="76">
        <v>19.599</v>
      </c>
      <c r="I170" s="10" t="s">
        <v>92</v>
      </c>
      <c r="J170" s="110"/>
    </row>
    <row r="171" spans="1:10" ht="13.95" customHeight="1" x14ac:dyDescent="0.3">
      <c r="A171" s="327">
        <v>46108</v>
      </c>
      <c r="B171" s="327" t="s">
        <v>60</v>
      </c>
      <c r="C171" s="356" t="s">
        <v>850</v>
      </c>
      <c r="D171" s="329" t="s">
        <v>1218</v>
      </c>
      <c r="E171" s="357">
        <v>2000000</v>
      </c>
      <c r="F171" s="361"/>
      <c r="G171" s="316">
        <f t="shared" si="2"/>
        <v>1047921.3869999987</v>
      </c>
      <c r="H171" s="352"/>
      <c r="I171" s="199" t="s">
        <v>1222</v>
      </c>
      <c r="J171" s="110"/>
    </row>
    <row r="172" spans="1:10" ht="13.95" customHeight="1" x14ac:dyDescent="0.3">
      <c r="A172" s="82">
        <v>46108</v>
      </c>
      <c r="B172" s="82" t="s">
        <v>57</v>
      </c>
      <c r="C172" s="53" t="s">
        <v>851</v>
      </c>
      <c r="D172" s="50" t="s">
        <v>5</v>
      </c>
      <c r="E172" s="171"/>
      <c r="F172" s="176">
        <v>45000.2</v>
      </c>
      <c r="G172" s="161">
        <f t="shared" si="2"/>
        <v>1002921.1869999988</v>
      </c>
      <c r="H172" s="76">
        <v>19.405000000000001</v>
      </c>
      <c r="I172" s="10" t="s">
        <v>92</v>
      </c>
      <c r="J172" s="110"/>
    </row>
    <row r="173" spans="1:10" ht="13.95" customHeight="1" x14ac:dyDescent="0.3">
      <c r="A173" s="82">
        <v>46108</v>
      </c>
      <c r="B173" s="82" t="s">
        <v>57</v>
      </c>
      <c r="C173" s="53" t="s">
        <v>852</v>
      </c>
      <c r="D173" s="50" t="s">
        <v>6</v>
      </c>
      <c r="E173" s="171"/>
      <c r="F173" s="176">
        <v>45000.2</v>
      </c>
      <c r="G173" s="161">
        <f t="shared" si="2"/>
        <v>957920.9869999988</v>
      </c>
      <c r="H173" s="76">
        <v>19.405000000000001</v>
      </c>
      <c r="I173" s="10" t="s">
        <v>92</v>
      </c>
      <c r="J173" s="110"/>
    </row>
    <row r="174" spans="1:10" ht="13.95" customHeight="1" x14ac:dyDescent="0.3">
      <c r="A174" s="82">
        <v>46108</v>
      </c>
      <c r="B174" s="82" t="s">
        <v>57</v>
      </c>
      <c r="C174" s="53" t="s">
        <v>853</v>
      </c>
      <c r="D174" s="50" t="s">
        <v>429</v>
      </c>
      <c r="E174" s="171"/>
      <c r="F174" s="176">
        <v>45000.2</v>
      </c>
      <c r="G174" s="161">
        <f t="shared" si="2"/>
        <v>912920.78699999885</v>
      </c>
      <c r="H174" s="76">
        <v>19.405000000000001</v>
      </c>
      <c r="I174" s="10" t="s">
        <v>92</v>
      </c>
      <c r="J174" s="110"/>
    </row>
    <row r="175" spans="1:10" ht="13.95" customHeight="1" x14ac:dyDescent="0.3">
      <c r="A175" s="82">
        <v>46108</v>
      </c>
      <c r="B175" s="82" t="s">
        <v>57</v>
      </c>
      <c r="C175" s="53" t="s">
        <v>854</v>
      </c>
      <c r="D175" s="50" t="s">
        <v>3</v>
      </c>
      <c r="E175" s="171"/>
      <c r="F175" s="176">
        <v>45000.2</v>
      </c>
      <c r="G175" s="161">
        <f t="shared" si="2"/>
        <v>867920.58699999889</v>
      </c>
      <c r="H175" s="76">
        <v>19.405000000000001</v>
      </c>
      <c r="I175" s="10" t="s">
        <v>92</v>
      </c>
      <c r="J175" s="110"/>
    </row>
    <row r="176" spans="1:10" ht="13.95" customHeight="1" x14ac:dyDescent="0.3">
      <c r="A176" s="82">
        <v>46108</v>
      </c>
      <c r="B176" s="82" t="s">
        <v>57</v>
      </c>
      <c r="C176" s="53" t="s">
        <v>855</v>
      </c>
      <c r="D176" s="50" t="s">
        <v>26</v>
      </c>
      <c r="E176" s="171"/>
      <c r="F176" s="176">
        <v>136002.39000000001</v>
      </c>
      <c r="G176" s="161">
        <f t="shared" si="2"/>
        <v>731918.19699999888</v>
      </c>
      <c r="H176" s="76">
        <v>58.646999999999998</v>
      </c>
      <c r="I176" s="10" t="s">
        <v>92</v>
      </c>
      <c r="J176" s="110"/>
    </row>
    <row r="177" spans="1:13" ht="13.95" customHeight="1" x14ac:dyDescent="0.3">
      <c r="A177" s="82">
        <v>46108</v>
      </c>
      <c r="B177" s="82" t="s">
        <v>57</v>
      </c>
      <c r="C177" s="53" t="s">
        <v>856</v>
      </c>
      <c r="D177" s="50" t="s">
        <v>10</v>
      </c>
      <c r="E177" s="171"/>
      <c r="F177" s="176">
        <v>463800</v>
      </c>
      <c r="G177" s="161">
        <f t="shared" si="2"/>
        <v>268118.19699999888</v>
      </c>
      <c r="H177" s="76">
        <v>200</v>
      </c>
      <c r="I177" s="10" t="s">
        <v>92</v>
      </c>
      <c r="J177" s="110"/>
    </row>
    <row r="178" spans="1:13" ht="13.95" customHeight="1" x14ac:dyDescent="0.3">
      <c r="A178" s="327">
        <v>46108</v>
      </c>
      <c r="B178" s="327" t="s">
        <v>60</v>
      </c>
      <c r="C178" s="356" t="s">
        <v>857</v>
      </c>
      <c r="D178" s="329" t="s">
        <v>1218</v>
      </c>
      <c r="E178" s="357">
        <v>1000000</v>
      </c>
      <c r="F178" s="361"/>
      <c r="G178" s="316">
        <f t="shared" si="2"/>
        <v>1268118.1969999988</v>
      </c>
      <c r="H178" s="352"/>
      <c r="I178" s="199" t="s">
        <v>1222</v>
      </c>
      <c r="J178" s="110"/>
    </row>
    <row r="179" spans="1:13" ht="13.95" customHeight="1" x14ac:dyDescent="0.3">
      <c r="A179" s="82">
        <v>46108</v>
      </c>
      <c r="B179" s="82" t="s">
        <v>57</v>
      </c>
      <c r="C179" s="53" t="s">
        <v>858</v>
      </c>
      <c r="D179" s="50" t="s">
        <v>24</v>
      </c>
      <c r="E179" s="171"/>
      <c r="F179" s="176">
        <v>45000</v>
      </c>
      <c r="G179" s="161">
        <f t="shared" si="2"/>
        <v>1223118.1969999988</v>
      </c>
      <c r="H179" s="76">
        <v>19.404900000000001</v>
      </c>
      <c r="I179" s="10" t="s">
        <v>92</v>
      </c>
      <c r="J179" s="110"/>
    </row>
    <row r="180" spans="1:13" ht="13.95" customHeight="1" x14ac:dyDescent="0.3">
      <c r="A180" s="61">
        <v>46108</v>
      </c>
      <c r="B180" s="82" t="s">
        <v>57</v>
      </c>
      <c r="C180" s="66" t="s">
        <v>859</v>
      </c>
      <c r="D180" s="149" t="s">
        <v>9</v>
      </c>
      <c r="E180" s="178"/>
      <c r="F180" s="177">
        <v>362058.51</v>
      </c>
      <c r="G180" s="161">
        <f t="shared" si="2"/>
        <v>861059.68699999875</v>
      </c>
      <c r="H180" s="76">
        <v>156.12700000000001</v>
      </c>
      <c r="I180" s="10" t="s">
        <v>92</v>
      </c>
      <c r="J180" s="110"/>
    </row>
    <row r="181" spans="1:13" ht="13.95" customHeight="1" x14ac:dyDescent="0.3">
      <c r="A181" s="61">
        <v>46108</v>
      </c>
      <c r="B181" s="82" t="s">
        <v>57</v>
      </c>
      <c r="C181" s="66" t="s">
        <v>860</v>
      </c>
      <c r="D181" s="149" t="s">
        <v>24</v>
      </c>
      <c r="E181" s="178"/>
      <c r="F181" s="177">
        <v>114025.23</v>
      </c>
      <c r="G181" s="161">
        <f t="shared" si="2"/>
        <v>747034.45699999877</v>
      </c>
      <c r="H181" s="76">
        <v>49.17</v>
      </c>
      <c r="I181" s="10" t="s">
        <v>92</v>
      </c>
      <c r="J181" s="110"/>
    </row>
    <row r="182" spans="1:13" ht="13.95" customHeight="1" x14ac:dyDescent="0.3">
      <c r="A182" s="61">
        <v>46108</v>
      </c>
      <c r="B182" s="82" t="s">
        <v>57</v>
      </c>
      <c r="C182" s="66" t="s">
        <v>861</v>
      </c>
      <c r="D182" s="149" t="s">
        <v>61</v>
      </c>
      <c r="E182" s="178"/>
      <c r="F182" s="177">
        <v>276018.98</v>
      </c>
      <c r="G182" s="161">
        <f t="shared" si="2"/>
        <v>471015.47699999879</v>
      </c>
      <c r="H182" s="76">
        <v>119.02500000000001</v>
      </c>
      <c r="I182" s="10" t="s">
        <v>92</v>
      </c>
      <c r="J182" s="110"/>
    </row>
    <row r="183" spans="1:13" x14ac:dyDescent="0.3">
      <c r="A183" s="61">
        <v>46109</v>
      </c>
      <c r="B183" s="82" t="s">
        <v>57</v>
      </c>
      <c r="C183" s="66" t="s">
        <v>862</v>
      </c>
      <c r="D183" s="149" t="s">
        <v>5</v>
      </c>
      <c r="E183" s="178"/>
      <c r="F183" s="165">
        <v>45000.11</v>
      </c>
      <c r="G183" s="161">
        <f t="shared" si="2"/>
        <v>426015.36699999881</v>
      </c>
      <c r="H183" s="76">
        <v>19.198</v>
      </c>
      <c r="I183" s="10" t="s">
        <v>92</v>
      </c>
      <c r="J183" s="110"/>
    </row>
    <row r="184" spans="1:13" x14ac:dyDescent="0.3">
      <c r="A184" s="61">
        <v>46109</v>
      </c>
      <c r="B184" s="82" t="s">
        <v>57</v>
      </c>
      <c r="C184" s="66" t="s">
        <v>863</v>
      </c>
      <c r="D184" s="149" t="s">
        <v>117</v>
      </c>
      <c r="E184" s="178"/>
      <c r="F184" s="165">
        <v>43272.37</v>
      </c>
      <c r="G184" s="161">
        <f t="shared" si="2"/>
        <v>382742.99699999881</v>
      </c>
      <c r="H184" s="76">
        <v>19.457000000000001</v>
      </c>
      <c r="I184" s="10" t="s">
        <v>92</v>
      </c>
      <c r="J184" s="110"/>
    </row>
    <row r="185" spans="1:13" x14ac:dyDescent="0.3">
      <c r="A185" s="61">
        <v>46109</v>
      </c>
      <c r="B185" s="82" t="s">
        <v>57</v>
      </c>
      <c r="C185" s="66" t="s">
        <v>864</v>
      </c>
      <c r="D185" s="149" t="s">
        <v>3</v>
      </c>
      <c r="E185" s="178"/>
      <c r="F185" s="165">
        <v>45000.11</v>
      </c>
      <c r="G185" s="161">
        <f t="shared" si="2"/>
        <v>337742.88699999882</v>
      </c>
      <c r="H185" s="76">
        <v>19.198</v>
      </c>
      <c r="I185" s="10" t="s">
        <v>92</v>
      </c>
      <c r="J185" s="110"/>
    </row>
    <row r="186" spans="1:13" x14ac:dyDescent="0.3">
      <c r="A186" s="61">
        <v>46109</v>
      </c>
      <c r="B186" s="82" t="s">
        <v>57</v>
      </c>
      <c r="C186" s="66" t="s">
        <v>865</v>
      </c>
      <c r="D186" s="149" t="s">
        <v>429</v>
      </c>
      <c r="E186" s="178"/>
      <c r="F186" s="165">
        <v>45000.11</v>
      </c>
      <c r="G186" s="161">
        <f t="shared" si="2"/>
        <v>292742.77699999884</v>
      </c>
      <c r="H186" s="76">
        <v>19.198</v>
      </c>
      <c r="I186" s="10" t="s">
        <v>92</v>
      </c>
      <c r="J186" s="110"/>
    </row>
    <row r="187" spans="1:13" x14ac:dyDescent="0.3">
      <c r="A187" s="61">
        <v>46109</v>
      </c>
      <c r="B187" s="82" t="s">
        <v>57</v>
      </c>
      <c r="C187" s="66" t="s">
        <v>866</v>
      </c>
      <c r="D187" s="149" t="s">
        <v>6</v>
      </c>
      <c r="E187" s="178"/>
      <c r="F187" s="165">
        <v>45000.11</v>
      </c>
      <c r="G187" s="161">
        <f t="shared" si="2"/>
        <v>247742.66699999885</v>
      </c>
      <c r="H187" s="76">
        <v>19.198</v>
      </c>
      <c r="I187" s="10" t="s">
        <v>92</v>
      </c>
      <c r="J187" s="110"/>
    </row>
    <row r="188" spans="1:13" x14ac:dyDescent="0.3">
      <c r="A188" s="61">
        <v>46110</v>
      </c>
      <c r="B188" s="82" t="s">
        <v>57</v>
      </c>
      <c r="C188" s="66" t="s">
        <v>867</v>
      </c>
      <c r="D188" s="149" t="s">
        <v>6</v>
      </c>
      <c r="E188" s="178"/>
      <c r="F188" s="165">
        <v>45000.11</v>
      </c>
      <c r="G188" s="161">
        <f>+G187+E188-F188</f>
        <v>202742.55699999887</v>
      </c>
      <c r="H188" s="76">
        <v>19.198</v>
      </c>
      <c r="I188" s="10" t="s">
        <v>92</v>
      </c>
      <c r="J188" s="110"/>
    </row>
    <row r="189" spans="1:13" x14ac:dyDescent="0.3">
      <c r="A189" s="61">
        <v>46110</v>
      </c>
      <c r="B189" s="82" t="s">
        <v>57</v>
      </c>
      <c r="C189" s="66" t="s">
        <v>868</v>
      </c>
      <c r="D189" s="149" t="s">
        <v>117</v>
      </c>
      <c r="E189" s="178"/>
      <c r="F189" s="165">
        <v>46085.73</v>
      </c>
      <c r="G189" s="161">
        <f t="shared" ref="G189:G200" si="3">+G188+E189-F189</f>
        <v>156656.82699999886</v>
      </c>
      <c r="H189" s="76">
        <v>20.722000000000001</v>
      </c>
      <c r="I189" s="10" t="s">
        <v>92</v>
      </c>
      <c r="J189" s="110"/>
      <c r="K189" s="530" t="s">
        <v>1228</v>
      </c>
      <c r="L189" s="531"/>
      <c r="M189" s="532"/>
    </row>
    <row r="190" spans="1:13" x14ac:dyDescent="0.3">
      <c r="A190" s="61">
        <v>46111</v>
      </c>
      <c r="B190" s="82" t="s">
        <v>57</v>
      </c>
      <c r="C190" s="66" t="s">
        <v>869</v>
      </c>
      <c r="D190" s="149" t="s">
        <v>5</v>
      </c>
      <c r="E190" s="178"/>
      <c r="F190" s="165">
        <v>45000.11</v>
      </c>
      <c r="G190" s="161">
        <f t="shared" si="3"/>
        <v>111656.71699999885</v>
      </c>
      <c r="H190" s="76">
        <v>19.198</v>
      </c>
      <c r="I190" s="10" t="s">
        <v>92</v>
      </c>
      <c r="J190" s="110"/>
      <c r="K190" s="298" t="s">
        <v>32</v>
      </c>
      <c r="L190" s="299" t="s">
        <v>35</v>
      </c>
      <c r="M190" s="299" t="s">
        <v>33</v>
      </c>
    </row>
    <row r="191" spans="1:13" x14ac:dyDescent="0.3">
      <c r="A191" s="61">
        <v>46111</v>
      </c>
      <c r="B191" s="82" t="s">
        <v>57</v>
      </c>
      <c r="C191" s="66" t="s">
        <v>870</v>
      </c>
      <c r="D191" s="149" t="s">
        <v>6</v>
      </c>
      <c r="E191" s="178"/>
      <c r="F191" s="165">
        <v>45000.11</v>
      </c>
      <c r="G191" s="161">
        <f t="shared" si="3"/>
        <v>66656.606999998854</v>
      </c>
      <c r="H191" s="76">
        <v>19.198</v>
      </c>
      <c r="I191" s="10" t="s">
        <v>92</v>
      </c>
      <c r="J191" s="110"/>
      <c r="K191" s="69" t="s">
        <v>0</v>
      </c>
      <c r="L191" s="73" t="s">
        <v>92</v>
      </c>
      <c r="M191" s="26">
        <f t="shared" ref="M191:M209" si="4">SUM(M8+M55+M91+M137)</f>
        <v>0</v>
      </c>
    </row>
    <row r="192" spans="1:13" x14ac:dyDescent="0.3">
      <c r="A192" s="61">
        <v>46111</v>
      </c>
      <c r="B192" s="82" t="s">
        <v>57</v>
      </c>
      <c r="C192" s="66" t="s">
        <v>888</v>
      </c>
      <c r="D192" s="149" t="s">
        <v>62</v>
      </c>
      <c r="E192" s="178"/>
      <c r="F192" s="165">
        <v>40000.36</v>
      </c>
      <c r="G192" s="161">
        <f t="shared" si="3"/>
        <v>26656.246999998853</v>
      </c>
      <c r="H192" s="76">
        <v>17.065000000000001</v>
      </c>
      <c r="I192" s="10" t="s">
        <v>92</v>
      </c>
      <c r="J192" s="110"/>
      <c r="K192" s="69" t="s">
        <v>1</v>
      </c>
      <c r="L192" s="73" t="s">
        <v>92</v>
      </c>
      <c r="M192" s="42">
        <f t="shared" si="4"/>
        <v>215.21690000000001</v>
      </c>
    </row>
    <row r="193" spans="1:13" x14ac:dyDescent="0.3">
      <c r="A193" s="61">
        <v>46111</v>
      </c>
      <c r="B193" s="82" t="s">
        <v>57</v>
      </c>
      <c r="C193" s="66" t="s">
        <v>889</v>
      </c>
      <c r="D193" s="149" t="s">
        <v>3</v>
      </c>
      <c r="E193" s="178"/>
      <c r="F193" s="165">
        <v>45000.11</v>
      </c>
      <c r="G193" s="159">
        <f t="shared" si="3"/>
        <v>-18343.863000001147</v>
      </c>
      <c r="H193" s="76">
        <v>19.198</v>
      </c>
      <c r="I193" s="10" t="s">
        <v>92</v>
      </c>
      <c r="J193" s="110"/>
      <c r="K193" s="24" t="s">
        <v>27</v>
      </c>
      <c r="L193" s="73" t="s">
        <v>92</v>
      </c>
      <c r="M193" s="26">
        <f t="shared" si="4"/>
        <v>0</v>
      </c>
    </row>
    <row r="194" spans="1:13" x14ac:dyDescent="0.3">
      <c r="A194" s="61">
        <v>46111</v>
      </c>
      <c r="B194" s="82" t="s">
        <v>57</v>
      </c>
      <c r="C194" s="66" t="s">
        <v>890</v>
      </c>
      <c r="D194" s="149" t="s">
        <v>429</v>
      </c>
      <c r="E194" s="178"/>
      <c r="F194" s="165">
        <v>45000.11</v>
      </c>
      <c r="G194" s="159">
        <f t="shared" si="3"/>
        <v>-63343.973000001148</v>
      </c>
      <c r="H194" s="76">
        <v>19.198</v>
      </c>
      <c r="I194" s="10" t="s">
        <v>92</v>
      </c>
      <c r="J194" s="110"/>
      <c r="K194" s="76" t="s">
        <v>429</v>
      </c>
      <c r="L194" s="73" t="s">
        <v>92</v>
      </c>
      <c r="M194" s="80">
        <f t="shared" si="4"/>
        <v>231.54800000000003</v>
      </c>
    </row>
    <row r="195" spans="1:13" x14ac:dyDescent="0.3">
      <c r="A195" s="239">
        <v>46111</v>
      </c>
      <c r="B195" s="327" t="s">
        <v>60</v>
      </c>
      <c r="C195" s="362" t="s">
        <v>891</v>
      </c>
      <c r="D195" s="353" t="s">
        <v>1218</v>
      </c>
      <c r="E195" s="351">
        <v>1000000</v>
      </c>
      <c r="F195" s="309"/>
      <c r="G195" s="316">
        <f t="shared" si="3"/>
        <v>936656.02699999884</v>
      </c>
      <c r="H195" s="352"/>
      <c r="I195" s="199" t="s">
        <v>1222</v>
      </c>
      <c r="J195" s="110"/>
      <c r="K195" s="76" t="s">
        <v>62</v>
      </c>
      <c r="L195" s="73" t="s">
        <v>92</v>
      </c>
      <c r="M195" s="80">
        <f t="shared" si="4"/>
        <v>392.37100000000004</v>
      </c>
    </row>
    <row r="196" spans="1:13" x14ac:dyDescent="0.3">
      <c r="A196" s="61">
        <v>46111</v>
      </c>
      <c r="B196" s="82" t="s">
        <v>57</v>
      </c>
      <c r="C196" s="66" t="s">
        <v>892</v>
      </c>
      <c r="D196" s="149" t="s">
        <v>117</v>
      </c>
      <c r="E196" s="178"/>
      <c r="F196" s="165">
        <v>84383.01</v>
      </c>
      <c r="G196" s="161">
        <f t="shared" si="3"/>
        <v>852273.01699999883</v>
      </c>
      <c r="H196" s="76">
        <v>37.942</v>
      </c>
      <c r="I196" s="10" t="s">
        <v>92</v>
      </c>
      <c r="J196" s="110"/>
      <c r="K196" s="76" t="s">
        <v>361</v>
      </c>
      <c r="L196" s="73" t="s">
        <v>92</v>
      </c>
      <c r="M196" s="80">
        <f t="shared" si="4"/>
        <v>40.631999999999998</v>
      </c>
    </row>
    <row r="197" spans="1:13" x14ac:dyDescent="0.3">
      <c r="A197" s="61">
        <v>46111</v>
      </c>
      <c r="B197" s="82" t="s">
        <v>57</v>
      </c>
      <c r="C197" s="66" t="s">
        <v>893</v>
      </c>
      <c r="D197" s="149" t="s">
        <v>6</v>
      </c>
      <c r="E197" s="178"/>
      <c r="F197" s="165">
        <v>45000.11</v>
      </c>
      <c r="G197" s="161">
        <f t="shared" si="3"/>
        <v>807272.90699999884</v>
      </c>
      <c r="H197" s="76">
        <v>19.198</v>
      </c>
      <c r="I197" s="10" t="s">
        <v>92</v>
      </c>
      <c r="J197" s="110"/>
      <c r="K197" s="145" t="s">
        <v>541</v>
      </c>
      <c r="L197" s="73" t="s">
        <v>92</v>
      </c>
      <c r="M197" s="80">
        <f t="shared" si="4"/>
        <v>0</v>
      </c>
    </row>
    <row r="198" spans="1:13" x14ac:dyDescent="0.3">
      <c r="A198" s="61">
        <v>46111</v>
      </c>
      <c r="B198" s="82" t="s">
        <v>57</v>
      </c>
      <c r="C198" s="66" t="s">
        <v>894</v>
      </c>
      <c r="D198" s="149" t="s">
        <v>429</v>
      </c>
      <c r="E198" s="178"/>
      <c r="F198" s="165">
        <v>45000.11</v>
      </c>
      <c r="G198" s="161">
        <f t="shared" si="3"/>
        <v>762272.79699999886</v>
      </c>
      <c r="H198" s="76">
        <v>19.198</v>
      </c>
      <c r="I198" s="10" t="s">
        <v>92</v>
      </c>
      <c r="J198" s="110"/>
      <c r="K198" s="69" t="s">
        <v>24</v>
      </c>
      <c r="L198" s="73" t="s">
        <v>92</v>
      </c>
      <c r="M198" s="26">
        <f t="shared" si="4"/>
        <v>281.15589999999997</v>
      </c>
    </row>
    <row r="199" spans="1:13" x14ac:dyDescent="0.3">
      <c r="A199" s="61">
        <v>46112</v>
      </c>
      <c r="B199" s="82" t="s">
        <v>57</v>
      </c>
      <c r="C199" s="66" t="s">
        <v>895</v>
      </c>
      <c r="D199" s="149" t="s">
        <v>24</v>
      </c>
      <c r="E199" s="178"/>
      <c r="F199" s="165">
        <v>45000.11</v>
      </c>
      <c r="G199" s="161">
        <f t="shared" si="3"/>
        <v>717272.68699999887</v>
      </c>
      <c r="H199" s="76">
        <v>19.198</v>
      </c>
      <c r="I199" s="10" t="s">
        <v>92</v>
      </c>
      <c r="J199" s="110"/>
      <c r="K199" s="69" t="s">
        <v>29</v>
      </c>
      <c r="L199" s="73" t="s">
        <v>92</v>
      </c>
      <c r="M199" s="26">
        <f t="shared" si="4"/>
        <v>618.19959999999992</v>
      </c>
    </row>
    <row r="200" spans="1:13" x14ac:dyDescent="0.3">
      <c r="A200" s="61">
        <v>46112</v>
      </c>
      <c r="B200" s="82" t="s">
        <v>57</v>
      </c>
      <c r="C200" s="66" t="s">
        <v>896</v>
      </c>
      <c r="D200" s="149" t="s">
        <v>3</v>
      </c>
      <c r="E200" s="178"/>
      <c r="F200" s="165">
        <v>45000.11</v>
      </c>
      <c r="G200" s="161">
        <f t="shared" si="3"/>
        <v>672272.57699999888</v>
      </c>
      <c r="H200" s="76">
        <v>19.198</v>
      </c>
      <c r="I200" s="10" t="s">
        <v>92</v>
      </c>
      <c r="J200" s="110"/>
      <c r="K200" s="69" t="s">
        <v>3</v>
      </c>
      <c r="L200" s="73" t="s">
        <v>92</v>
      </c>
      <c r="M200" s="26">
        <f t="shared" si="4"/>
        <v>219.41530000000003</v>
      </c>
    </row>
    <row r="201" spans="1:13" x14ac:dyDescent="0.3">
      <c r="A201" s="61">
        <v>46112</v>
      </c>
      <c r="B201" s="82" t="s">
        <v>57</v>
      </c>
      <c r="C201" s="66" t="s">
        <v>897</v>
      </c>
      <c r="D201" s="149" t="s">
        <v>117</v>
      </c>
      <c r="E201" s="178"/>
      <c r="F201" s="165">
        <v>95271.88</v>
      </c>
      <c r="G201" s="161">
        <f>+G200+E201-F201</f>
        <v>577000.69699999888</v>
      </c>
      <c r="H201" s="76">
        <v>40.645000000000003</v>
      </c>
      <c r="I201" s="10" t="s">
        <v>92</v>
      </c>
      <c r="J201" s="110"/>
      <c r="K201" s="69" t="s">
        <v>5</v>
      </c>
      <c r="L201" s="73" t="s">
        <v>92</v>
      </c>
      <c r="M201" s="26">
        <f t="shared" si="4"/>
        <v>486.70550000000003</v>
      </c>
    </row>
    <row r="202" spans="1:13" x14ac:dyDescent="0.3">
      <c r="A202" s="61">
        <v>46112</v>
      </c>
      <c r="B202" s="82" t="s">
        <v>57</v>
      </c>
      <c r="C202" s="66" t="s">
        <v>898</v>
      </c>
      <c r="D202" s="149" t="s">
        <v>62</v>
      </c>
      <c r="E202" s="178"/>
      <c r="F202" s="165">
        <v>45000.11</v>
      </c>
      <c r="G202" s="161">
        <f t="shared" ref="G202:G211" si="5">+G201+E202-F202</f>
        <v>532000.58699999889</v>
      </c>
      <c r="H202" s="76">
        <v>19.198</v>
      </c>
      <c r="I202" s="10" t="s">
        <v>92</v>
      </c>
      <c r="J202" s="110"/>
      <c r="K202" s="69" t="s">
        <v>61</v>
      </c>
      <c r="L202" s="73" t="s">
        <v>92</v>
      </c>
      <c r="M202" s="26">
        <f t="shared" si="4"/>
        <v>1364.5509999999999</v>
      </c>
    </row>
    <row r="203" spans="1:13" x14ac:dyDescent="0.3">
      <c r="A203" s="61">
        <v>46112</v>
      </c>
      <c r="B203" s="82" t="s">
        <v>57</v>
      </c>
      <c r="C203" s="66" t="s">
        <v>899</v>
      </c>
      <c r="D203" s="149" t="s">
        <v>117</v>
      </c>
      <c r="E203" s="178"/>
      <c r="F203" s="165">
        <v>76143.09</v>
      </c>
      <c r="G203" s="161">
        <f t="shared" si="5"/>
        <v>455857.49699999893</v>
      </c>
      <c r="H203" s="76">
        <v>34.237000000000002</v>
      </c>
      <c r="I203" s="10" t="s">
        <v>92</v>
      </c>
      <c r="J203" s="110"/>
      <c r="K203" s="69" t="s">
        <v>22</v>
      </c>
      <c r="L203" s="73" t="s">
        <v>92</v>
      </c>
      <c r="M203" s="26">
        <f t="shared" si="4"/>
        <v>3325.0517</v>
      </c>
    </row>
    <row r="204" spans="1:13" x14ac:dyDescent="0.3">
      <c r="A204" s="61">
        <v>46112</v>
      </c>
      <c r="B204" s="82" t="s">
        <v>57</v>
      </c>
      <c r="C204" s="66" t="s">
        <v>900</v>
      </c>
      <c r="D204" s="149" t="s">
        <v>61</v>
      </c>
      <c r="E204" s="178"/>
      <c r="F204" s="165">
        <v>400695.08</v>
      </c>
      <c r="G204" s="161">
        <f t="shared" si="5"/>
        <v>55162.41699999891</v>
      </c>
      <c r="H204" s="76">
        <v>170.94499999999999</v>
      </c>
      <c r="I204" s="10" t="s">
        <v>92</v>
      </c>
      <c r="J204" s="110"/>
      <c r="K204" s="69" t="s">
        <v>6</v>
      </c>
      <c r="L204" s="73" t="s">
        <v>92</v>
      </c>
      <c r="M204" s="26">
        <f t="shared" si="4"/>
        <v>377.10300000000007</v>
      </c>
    </row>
    <row r="205" spans="1:13" x14ac:dyDescent="0.3">
      <c r="A205" s="239">
        <v>46112</v>
      </c>
      <c r="B205" s="327" t="s">
        <v>60</v>
      </c>
      <c r="C205" s="362" t="s">
        <v>901</v>
      </c>
      <c r="D205" s="353" t="s">
        <v>1218</v>
      </c>
      <c r="E205" s="351">
        <v>1000000</v>
      </c>
      <c r="F205" s="309"/>
      <c r="G205" s="316">
        <f t="shared" si="5"/>
        <v>1055162.416999999</v>
      </c>
      <c r="H205" s="352"/>
      <c r="I205" s="199" t="s">
        <v>1222</v>
      </c>
      <c r="J205" s="110"/>
      <c r="K205" s="69" t="s">
        <v>8</v>
      </c>
      <c r="L205" s="73" t="s">
        <v>92</v>
      </c>
      <c r="M205" s="26">
        <f t="shared" si="4"/>
        <v>232.95</v>
      </c>
    </row>
    <row r="206" spans="1:13" x14ac:dyDescent="0.3">
      <c r="A206" s="61">
        <v>46112</v>
      </c>
      <c r="B206" s="82" t="s">
        <v>57</v>
      </c>
      <c r="C206" s="66" t="s">
        <v>902</v>
      </c>
      <c r="D206" s="149" t="s">
        <v>62</v>
      </c>
      <c r="E206" s="178"/>
      <c r="F206" s="165">
        <v>46225.84</v>
      </c>
      <c r="G206" s="161">
        <f t="shared" si="5"/>
        <v>1008936.576999999</v>
      </c>
      <c r="H206" s="76">
        <v>20.785</v>
      </c>
      <c r="I206" s="10" t="s">
        <v>92</v>
      </c>
      <c r="J206" s="110"/>
      <c r="K206" s="69" t="s">
        <v>9</v>
      </c>
      <c r="L206" s="73" t="s">
        <v>92</v>
      </c>
      <c r="M206" s="80">
        <f t="shared" si="4"/>
        <v>786.74</v>
      </c>
    </row>
    <row r="207" spans="1:13" x14ac:dyDescent="0.3">
      <c r="A207" s="61">
        <v>46112</v>
      </c>
      <c r="B207" s="82" t="s">
        <v>57</v>
      </c>
      <c r="C207" s="66" t="s">
        <v>903</v>
      </c>
      <c r="D207" s="149" t="s">
        <v>429</v>
      </c>
      <c r="E207" s="178"/>
      <c r="F207" s="165">
        <v>45000.11</v>
      </c>
      <c r="G207" s="161">
        <f t="shared" si="5"/>
        <v>963936.46699999901</v>
      </c>
      <c r="H207" s="76">
        <v>19.198</v>
      </c>
      <c r="I207" s="10" t="s">
        <v>92</v>
      </c>
      <c r="J207" s="110"/>
      <c r="K207" s="69" t="s">
        <v>30</v>
      </c>
      <c r="L207" s="73" t="s">
        <v>92</v>
      </c>
      <c r="M207" s="26">
        <f t="shared" si="4"/>
        <v>1858.6350000000002</v>
      </c>
    </row>
    <row r="208" spans="1:13" x14ac:dyDescent="0.3">
      <c r="A208" s="61">
        <v>46112</v>
      </c>
      <c r="B208" s="82" t="s">
        <v>57</v>
      </c>
      <c r="C208" s="66" t="s">
        <v>904</v>
      </c>
      <c r="D208" s="149" t="s">
        <v>22</v>
      </c>
      <c r="E208" s="178"/>
      <c r="F208" s="165">
        <v>1300684.8999999999</v>
      </c>
      <c r="G208" s="159">
        <f t="shared" si="5"/>
        <v>-336748.43300000089</v>
      </c>
      <c r="H208" s="150">
        <v>554.89970000000005</v>
      </c>
      <c r="I208" s="10" t="s">
        <v>92</v>
      </c>
      <c r="J208" s="110"/>
      <c r="K208" s="69" t="s">
        <v>10</v>
      </c>
      <c r="L208" s="73" t="s">
        <v>92</v>
      </c>
      <c r="M208" s="26">
        <f t="shared" si="4"/>
        <v>1991.7415999999998</v>
      </c>
    </row>
    <row r="209" spans="1:13" x14ac:dyDescent="0.3">
      <c r="A209" s="61">
        <v>46112</v>
      </c>
      <c r="B209" s="82" t="s">
        <v>57</v>
      </c>
      <c r="C209" s="66" t="s">
        <v>905</v>
      </c>
      <c r="D209" s="149" t="s">
        <v>5</v>
      </c>
      <c r="E209" s="178"/>
      <c r="F209" s="165">
        <v>45000.11</v>
      </c>
      <c r="G209" s="159">
        <f t="shared" si="5"/>
        <v>-381748.54300000088</v>
      </c>
      <c r="H209" s="76">
        <v>19.198</v>
      </c>
      <c r="I209" s="10" t="s">
        <v>92</v>
      </c>
      <c r="J209" s="110"/>
      <c r="K209" s="69" t="s">
        <v>11</v>
      </c>
      <c r="L209" s="73" t="s">
        <v>92</v>
      </c>
      <c r="M209" s="26">
        <f t="shared" si="4"/>
        <v>700.2360000000001</v>
      </c>
    </row>
    <row r="210" spans="1:13" x14ac:dyDescent="0.3">
      <c r="A210" s="61">
        <v>46112</v>
      </c>
      <c r="B210" s="82" t="s">
        <v>57</v>
      </c>
      <c r="C210" s="66" t="s">
        <v>906</v>
      </c>
      <c r="D210" s="149" t="s">
        <v>24</v>
      </c>
      <c r="E210" s="178"/>
      <c r="F210" s="165">
        <v>45000.11</v>
      </c>
      <c r="G210" s="159">
        <f t="shared" si="5"/>
        <v>-426748.65300000086</v>
      </c>
      <c r="H210" s="76">
        <v>19.198</v>
      </c>
      <c r="I210" s="10" t="s">
        <v>92</v>
      </c>
      <c r="J210" s="110"/>
      <c r="K210" s="116" t="s">
        <v>1231</v>
      </c>
      <c r="L210" s="73" t="s">
        <v>92</v>
      </c>
      <c r="M210" s="80">
        <f>SUM(M110)</f>
        <v>9.65</v>
      </c>
    </row>
    <row r="211" spans="1:13" x14ac:dyDescent="0.3">
      <c r="A211" s="61">
        <v>46112</v>
      </c>
      <c r="B211" s="82" t="s">
        <v>57</v>
      </c>
      <c r="C211" s="66" t="s">
        <v>907</v>
      </c>
      <c r="D211" s="149" t="s">
        <v>8</v>
      </c>
      <c r="E211" s="178"/>
      <c r="F211" s="165">
        <v>45000.11</v>
      </c>
      <c r="G211" s="159">
        <f t="shared" si="5"/>
        <v>-471748.76300000085</v>
      </c>
      <c r="H211" s="76">
        <v>19.198</v>
      </c>
      <c r="I211" s="10" t="s">
        <v>92</v>
      </c>
      <c r="J211" s="110"/>
      <c r="K211" s="69" t="s">
        <v>23</v>
      </c>
      <c r="L211" s="117" t="s">
        <v>1214</v>
      </c>
      <c r="M211" s="80">
        <f>SUM(M27)</f>
        <v>26.376999999999999</v>
      </c>
    </row>
    <row r="212" spans="1:13" ht="15" thickBot="1" x14ac:dyDescent="0.35">
      <c r="A212" s="552" t="s">
        <v>694</v>
      </c>
      <c r="B212" s="552"/>
      <c r="C212" s="552"/>
      <c r="D212" s="552"/>
      <c r="E212" s="552"/>
      <c r="F212" s="552"/>
      <c r="G212" s="552"/>
      <c r="H212" s="553">
        <f>SUM(H135:H211)</f>
        <v>4203.8979000000008</v>
      </c>
      <c r="I212" s="554"/>
      <c r="J212" s="110"/>
      <c r="K212" s="368" t="s">
        <v>36</v>
      </c>
      <c r="L212" s="140" t="s">
        <v>744</v>
      </c>
      <c r="M212" s="140" t="s">
        <v>760</v>
      </c>
    </row>
    <row r="213" spans="1:13" ht="30" customHeight="1" thickTop="1" thickBot="1" x14ac:dyDescent="0.35">
      <c r="A213" s="524" t="s">
        <v>28</v>
      </c>
      <c r="B213" s="524"/>
      <c r="C213" s="524"/>
      <c r="D213" s="524"/>
      <c r="E213" s="291">
        <f>SUM(E8:E211)</f>
        <v>27277839.100000001</v>
      </c>
      <c r="F213" s="292">
        <f>SUM(F8:F211)</f>
        <v>27749587.862999991</v>
      </c>
      <c r="G213" s="304">
        <f>+E213-F213</f>
        <v>-471748.76299998909</v>
      </c>
      <c r="H213" s="302">
        <f>SUM(H51+H87+H133+H212)</f>
        <v>13158.279500000001</v>
      </c>
      <c r="I213" s="295"/>
      <c r="J213"/>
      <c r="K213" s="533" t="s">
        <v>1225</v>
      </c>
      <c r="L213" s="533"/>
      <c r="M213" s="303">
        <f>SUM(M191:M211)</f>
        <v>13158.279500000001</v>
      </c>
    </row>
    <row r="214" spans="1:13" ht="15" thickTop="1" x14ac:dyDescent="0.3">
      <c r="J214" s="3"/>
    </row>
    <row r="219" spans="1:13" x14ac:dyDescent="0.3">
      <c r="A219" s="25"/>
    </row>
    <row r="220" spans="1:13" x14ac:dyDescent="0.3">
      <c r="A220" s="25"/>
    </row>
    <row r="221" spans="1:13" x14ac:dyDescent="0.3">
      <c r="A221" s="25"/>
    </row>
    <row r="222" spans="1:13" x14ac:dyDescent="0.3">
      <c r="A222" s="25"/>
    </row>
    <row r="223" spans="1:13" x14ac:dyDescent="0.3">
      <c r="A223" s="25"/>
    </row>
    <row r="224" spans="1:13" x14ac:dyDescent="0.3">
      <c r="A224" s="25"/>
    </row>
    <row r="225" spans="1:1" x14ac:dyDescent="0.3">
      <c r="A225" s="25"/>
    </row>
    <row r="226" spans="1:1" x14ac:dyDescent="0.3">
      <c r="A226" s="25"/>
    </row>
    <row r="227" spans="1:1" x14ac:dyDescent="0.3">
      <c r="A227" s="25"/>
    </row>
    <row r="228" spans="1:1" x14ac:dyDescent="0.3">
      <c r="A228" s="25"/>
    </row>
    <row r="229" spans="1:1" x14ac:dyDescent="0.3">
      <c r="A229" s="25"/>
    </row>
    <row r="230" spans="1:1" x14ac:dyDescent="0.3">
      <c r="A230" s="25"/>
    </row>
    <row r="231" spans="1:1" x14ac:dyDescent="0.3">
      <c r="A231" s="25"/>
    </row>
    <row r="232" spans="1:1" x14ac:dyDescent="0.3">
      <c r="A232" s="25"/>
    </row>
    <row r="233" spans="1:1" x14ac:dyDescent="0.3">
      <c r="A233" s="25"/>
    </row>
    <row r="234" spans="1:1" x14ac:dyDescent="0.3">
      <c r="A234" s="25"/>
    </row>
    <row r="235" spans="1:1" x14ac:dyDescent="0.3">
      <c r="A235" s="25"/>
    </row>
    <row r="236" spans="1:1" x14ac:dyDescent="0.3">
      <c r="A236" s="25"/>
    </row>
    <row r="237" spans="1:1" x14ac:dyDescent="0.3">
      <c r="A237" s="25"/>
    </row>
    <row r="238" spans="1:1" x14ac:dyDescent="0.3">
      <c r="A238" s="25"/>
    </row>
    <row r="239" spans="1:1" x14ac:dyDescent="0.3">
      <c r="A239" s="25"/>
    </row>
    <row r="240" spans="1:1" x14ac:dyDescent="0.3">
      <c r="A240" s="25"/>
    </row>
    <row r="241" spans="1:1" x14ac:dyDescent="0.3">
      <c r="A241" s="25"/>
    </row>
    <row r="242" spans="1:1" x14ac:dyDescent="0.3">
      <c r="A242" s="25"/>
    </row>
    <row r="243" spans="1:1" x14ac:dyDescent="0.3">
      <c r="A243" s="25"/>
    </row>
    <row r="244" spans="1:1" x14ac:dyDescent="0.3">
      <c r="A244" s="25"/>
    </row>
  </sheetData>
  <mergeCells count="29">
    <mergeCell ref="K213:L213"/>
    <mergeCell ref="K189:M189"/>
    <mergeCell ref="A1:I4"/>
    <mergeCell ref="A213:D213"/>
    <mergeCell ref="K6:M6"/>
    <mergeCell ref="K5:M5"/>
    <mergeCell ref="A5:I5"/>
    <mergeCell ref="A6:I6"/>
    <mergeCell ref="A51:G51"/>
    <mergeCell ref="H51:I51"/>
    <mergeCell ref="A52:I52"/>
    <mergeCell ref="A88:I88"/>
    <mergeCell ref="A87:G87"/>
    <mergeCell ref="A134:I134"/>
    <mergeCell ref="H87:I87"/>
    <mergeCell ref="K52:M52"/>
    <mergeCell ref="A133:G133"/>
    <mergeCell ref="H133:I133"/>
    <mergeCell ref="A212:G212"/>
    <mergeCell ref="H212:I212"/>
    <mergeCell ref="K134:M134"/>
    <mergeCell ref="K135:M135"/>
    <mergeCell ref="K29:L29"/>
    <mergeCell ref="K74:L74"/>
    <mergeCell ref="K111:L111"/>
    <mergeCell ref="K156:L156"/>
    <mergeCell ref="K53:M53"/>
    <mergeCell ref="K88:M88"/>
    <mergeCell ref="K89:M89"/>
  </mergeCells>
  <pageMargins left="0.39370078740157483" right="0.39370078740157483" top="0.19685039370078741" bottom="0.19685039370078741" header="0.31496062992125984" footer="0.31496062992125984"/>
  <pageSetup paperSize="9" scale="50" fitToHeight="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O455"/>
  <sheetViews>
    <sheetView topLeftCell="A229" zoomScaleNormal="100" workbookViewId="0">
      <selection activeCell="K252" sqref="K252:L252"/>
    </sheetView>
  </sheetViews>
  <sheetFormatPr baseColWidth="10" defaultRowHeight="14.4" x14ac:dyDescent="0.3"/>
  <cols>
    <col min="1" max="1" width="10.5546875" style="64" customWidth="1"/>
    <col min="2" max="2" width="8.33203125" style="64" customWidth="1"/>
    <col min="3" max="3" width="16.6640625" style="74" customWidth="1"/>
    <col min="4" max="4" width="15" customWidth="1"/>
    <col min="5" max="5" width="16.109375" bestFit="1" customWidth="1"/>
    <col min="6" max="6" width="16.6640625" bestFit="1" customWidth="1"/>
    <col min="7" max="7" width="15.6640625" customWidth="1"/>
    <col min="8" max="8" width="8.88671875" customWidth="1"/>
    <col min="9" max="9" width="23.88671875" style="3" customWidth="1"/>
    <col min="10" max="10" width="4.44140625" style="72" customWidth="1"/>
    <col min="11" max="11" width="17.44140625" customWidth="1"/>
    <col min="12" max="12" width="16.33203125" customWidth="1"/>
    <col min="13" max="13" width="11.33203125" bestFit="1" customWidth="1"/>
    <col min="15" max="15" width="15.6640625" bestFit="1" customWidth="1"/>
    <col min="16" max="16" width="14.33203125" bestFit="1" customWidth="1"/>
  </cols>
  <sheetData>
    <row r="1" spans="1:15" x14ac:dyDescent="0.3">
      <c r="A1" s="557"/>
      <c r="B1" s="557"/>
      <c r="C1" s="557"/>
      <c r="D1" s="557"/>
      <c r="E1" s="557"/>
      <c r="F1" s="557"/>
      <c r="G1" s="557"/>
      <c r="H1" s="557"/>
      <c r="I1" s="557"/>
      <c r="J1" s="3"/>
    </row>
    <row r="2" spans="1:15" x14ac:dyDescent="0.3">
      <c r="A2" s="557"/>
      <c r="B2" s="557"/>
      <c r="C2" s="557"/>
      <c r="D2" s="557"/>
      <c r="E2" s="557"/>
      <c r="F2" s="557"/>
      <c r="G2" s="557"/>
      <c r="H2" s="557"/>
      <c r="I2" s="557"/>
      <c r="J2" s="3"/>
    </row>
    <row r="3" spans="1:15" x14ac:dyDescent="0.3">
      <c r="A3" s="557"/>
      <c r="B3" s="557"/>
      <c r="C3" s="557"/>
      <c r="D3" s="557"/>
      <c r="E3" s="557"/>
      <c r="F3" s="557"/>
      <c r="G3" s="557"/>
      <c r="H3" s="557"/>
      <c r="I3" s="557"/>
      <c r="J3" s="3"/>
    </row>
    <row r="4" spans="1:15" x14ac:dyDescent="0.3">
      <c r="A4" s="557"/>
      <c r="B4" s="557"/>
      <c r="C4" s="557"/>
      <c r="D4" s="557"/>
      <c r="E4" s="557"/>
      <c r="F4" s="557"/>
      <c r="G4" s="557"/>
      <c r="H4" s="557"/>
      <c r="I4" s="557"/>
      <c r="J4" s="3"/>
    </row>
    <row r="5" spans="1:15" ht="23.4" x14ac:dyDescent="0.45">
      <c r="A5" s="558" t="s">
        <v>673</v>
      </c>
      <c r="B5" s="558"/>
      <c r="C5" s="558"/>
      <c r="D5" s="558"/>
      <c r="E5" s="558"/>
      <c r="F5" s="558"/>
      <c r="G5" s="558"/>
      <c r="H5" s="558"/>
      <c r="I5" s="558"/>
      <c r="J5" s="113"/>
      <c r="K5" s="526" t="s">
        <v>1012</v>
      </c>
      <c r="L5" s="526"/>
      <c r="M5" s="526"/>
    </row>
    <row r="6" spans="1:15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45" t="s">
        <v>34</v>
      </c>
      <c r="L6" s="545"/>
      <c r="M6" s="545"/>
      <c r="N6" s="146"/>
      <c r="O6" s="146"/>
    </row>
    <row r="7" spans="1:15" x14ac:dyDescent="0.3">
      <c r="A7" s="33" t="s">
        <v>13</v>
      </c>
      <c r="B7" s="33" t="s">
        <v>284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  <c r="N7" s="146"/>
      <c r="O7" s="146"/>
    </row>
    <row r="8" spans="1:15" ht="19.95" hidden="1" customHeight="1" x14ac:dyDescent="0.3">
      <c r="A8" s="54"/>
      <c r="B8" s="54"/>
      <c r="C8" s="104"/>
      <c r="D8" s="13" t="s">
        <v>21</v>
      </c>
      <c r="E8" s="20"/>
      <c r="F8" s="46"/>
      <c r="G8" s="45">
        <f>SUM(E8:F8)</f>
        <v>0</v>
      </c>
      <c r="H8" s="36"/>
      <c r="I8" s="36"/>
      <c r="J8"/>
      <c r="K8" s="69" t="s">
        <v>1</v>
      </c>
      <c r="L8" s="73" t="s">
        <v>92</v>
      </c>
      <c r="M8" s="42"/>
      <c r="N8" s="146"/>
      <c r="O8" s="146"/>
    </row>
    <row r="9" spans="1:15" ht="15" hidden="1" customHeight="1" thickBot="1" x14ac:dyDescent="0.35">
      <c r="A9" s="55"/>
      <c r="B9" s="55"/>
      <c r="C9" s="40"/>
      <c r="D9" s="14"/>
      <c r="E9" s="11"/>
      <c r="F9" s="31"/>
      <c r="G9" s="19">
        <f t="shared" ref="G9:G74" si="0">+G8+E9-F9</f>
        <v>0</v>
      </c>
      <c r="H9" s="37"/>
      <c r="I9" s="38"/>
      <c r="J9" s="110"/>
      <c r="K9" s="24" t="s">
        <v>27</v>
      </c>
      <c r="L9" s="73" t="s">
        <v>92</v>
      </c>
      <c r="M9" s="26"/>
      <c r="N9" s="146"/>
      <c r="O9" s="146"/>
    </row>
    <row r="10" spans="1:15" ht="15" hidden="1" customHeight="1" thickBot="1" x14ac:dyDescent="0.35">
      <c r="A10" s="53"/>
      <c r="B10" s="53"/>
      <c r="C10" s="49"/>
      <c r="D10" s="15"/>
      <c r="E10" s="23"/>
      <c r="F10" s="16"/>
      <c r="G10" s="18">
        <f t="shared" si="0"/>
        <v>0</v>
      </c>
      <c r="H10" s="9"/>
      <c r="I10" s="10"/>
      <c r="J10" s="110"/>
      <c r="K10" s="76" t="s">
        <v>429</v>
      </c>
      <c r="L10" s="73" t="s">
        <v>92</v>
      </c>
      <c r="M10" s="80"/>
      <c r="N10" s="146"/>
      <c r="O10" s="146"/>
    </row>
    <row r="11" spans="1:15" ht="15" hidden="1" customHeight="1" thickBot="1" x14ac:dyDescent="0.35">
      <c r="A11" s="53"/>
      <c r="B11" s="53"/>
      <c r="C11" s="49"/>
      <c r="D11" s="15"/>
      <c r="E11" s="23"/>
      <c r="F11" s="16"/>
      <c r="G11" s="18">
        <f t="shared" si="0"/>
        <v>0</v>
      </c>
      <c r="H11" s="9"/>
      <c r="I11" s="10"/>
      <c r="J11" s="110"/>
      <c r="K11" s="76" t="s">
        <v>62</v>
      </c>
      <c r="L11" s="73" t="s">
        <v>92</v>
      </c>
      <c r="M11" s="80"/>
      <c r="N11" s="146"/>
      <c r="O11" s="146"/>
    </row>
    <row r="12" spans="1:15" ht="15" hidden="1" customHeight="1" thickBot="1" x14ac:dyDescent="0.35">
      <c r="A12" s="53"/>
      <c r="B12" s="53"/>
      <c r="C12" s="49"/>
      <c r="D12" s="15"/>
      <c r="E12" s="23"/>
      <c r="F12" s="16"/>
      <c r="G12" s="18">
        <f t="shared" si="0"/>
        <v>0</v>
      </c>
      <c r="H12" s="9"/>
      <c r="I12" s="10"/>
      <c r="J12" s="110"/>
      <c r="K12" s="76" t="s">
        <v>361</v>
      </c>
      <c r="L12" s="73" t="s">
        <v>92</v>
      </c>
      <c r="M12" s="80"/>
      <c r="N12" s="146"/>
      <c r="O12" s="146"/>
    </row>
    <row r="13" spans="1:15" ht="15" hidden="1" customHeight="1" thickBot="1" x14ac:dyDescent="0.35">
      <c r="A13" s="53"/>
      <c r="B13" s="53"/>
      <c r="C13" s="49"/>
      <c r="D13" s="15"/>
      <c r="E13" s="23"/>
      <c r="F13" s="16"/>
      <c r="G13" s="18">
        <f t="shared" si="0"/>
        <v>0</v>
      </c>
      <c r="H13" s="9"/>
      <c r="I13" s="10"/>
      <c r="J13" s="110"/>
      <c r="K13" s="69" t="s">
        <v>24</v>
      </c>
      <c r="L13" s="73" t="s">
        <v>92</v>
      </c>
      <c r="M13" s="26">
        <f>SUM(H9)</f>
        <v>0</v>
      </c>
      <c r="N13" s="146"/>
      <c r="O13" s="146"/>
    </row>
    <row r="14" spans="1:15" ht="15" hidden="1" customHeight="1" thickBot="1" x14ac:dyDescent="0.35">
      <c r="A14" s="53"/>
      <c r="B14" s="53"/>
      <c r="C14" s="49"/>
      <c r="D14" s="15"/>
      <c r="E14" s="23"/>
      <c r="F14" s="16"/>
      <c r="G14" s="18">
        <f t="shared" si="0"/>
        <v>0</v>
      </c>
      <c r="H14" s="9"/>
      <c r="I14" s="10"/>
      <c r="J14" s="110"/>
      <c r="K14" s="69" t="s">
        <v>29</v>
      </c>
      <c r="L14" s="73" t="s">
        <v>92</v>
      </c>
      <c r="M14" s="26">
        <f>SUM(H6)</f>
        <v>0</v>
      </c>
      <c r="N14" s="146"/>
      <c r="O14" s="146"/>
    </row>
    <row r="15" spans="1:15" ht="15" hidden="1" customHeight="1" thickBot="1" x14ac:dyDescent="0.35">
      <c r="A15" s="53"/>
      <c r="B15" s="53"/>
      <c r="C15" s="49"/>
      <c r="D15" s="15"/>
      <c r="E15" s="23"/>
      <c r="F15" s="16"/>
      <c r="G15" s="18">
        <f t="shared" si="0"/>
        <v>0</v>
      </c>
      <c r="H15" s="9"/>
      <c r="I15" s="10"/>
      <c r="J15" s="110"/>
      <c r="K15" s="69" t="s">
        <v>3</v>
      </c>
      <c r="L15" s="73" t="s">
        <v>92</v>
      </c>
      <c r="M15" s="26"/>
      <c r="N15" s="146"/>
      <c r="O15" s="146"/>
    </row>
    <row r="16" spans="1:15" ht="15" hidden="1" customHeight="1" thickBot="1" x14ac:dyDescent="0.35">
      <c r="A16" s="53"/>
      <c r="B16" s="53"/>
      <c r="C16" s="49"/>
      <c r="D16" s="15"/>
      <c r="E16" s="23"/>
      <c r="F16" s="16"/>
      <c r="G16" s="18">
        <f t="shared" si="0"/>
        <v>0</v>
      </c>
      <c r="H16" s="9"/>
      <c r="I16" s="10"/>
      <c r="J16" s="110"/>
      <c r="K16" s="69" t="s">
        <v>5</v>
      </c>
      <c r="L16" s="73" t="s">
        <v>92</v>
      </c>
      <c r="M16" s="26"/>
      <c r="N16" s="146"/>
      <c r="O16" s="146"/>
    </row>
    <row r="17" spans="1:15" ht="15" hidden="1" customHeight="1" thickBot="1" x14ac:dyDescent="0.35">
      <c r="A17" s="53"/>
      <c r="B17" s="53"/>
      <c r="C17" s="49"/>
      <c r="D17" s="15"/>
      <c r="E17" s="23"/>
      <c r="F17" s="16"/>
      <c r="G17" s="18">
        <f t="shared" si="0"/>
        <v>0</v>
      </c>
      <c r="H17" s="9"/>
      <c r="I17" s="10"/>
      <c r="J17" s="110"/>
      <c r="K17" s="69" t="s">
        <v>61</v>
      </c>
      <c r="L17" s="73" t="s">
        <v>92</v>
      </c>
      <c r="M17" s="26">
        <f>SUM(H8)</f>
        <v>0</v>
      </c>
      <c r="N17" s="146"/>
      <c r="O17" s="146"/>
    </row>
    <row r="18" spans="1:15" ht="15" hidden="1" customHeight="1" thickBot="1" x14ac:dyDescent="0.35">
      <c r="A18" s="53"/>
      <c r="B18" s="53"/>
      <c r="C18" s="49"/>
      <c r="D18" s="15"/>
      <c r="E18" s="23"/>
      <c r="F18" s="16"/>
      <c r="G18" s="18">
        <f t="shared" si="0"/>
        <v>0</v>
      </c>
      <c r="H18" s="1"/>
      <c r="I18" s="10"/>
      <c r="J18" s="110"/>
      <c r="K18" s="69" t="s">
        <v>22</v>
      </c>
      <c r="L18" s="73" t="s">
        <v>92</v>
      </c>
      <c r="M18" s="26"/>
      <c r="N18" s="146"/>
      <c r="O18" s="146"/>
    </row>
    <row r="19" spans="1:15" ht="15" hidden="1" customHeight="1" thickBot="1" x14ac:dyDescent="0.35">
      <c r="A19" s="53"/>
      <c r="B19" s="53"/>
      <c r="C19" s="49"/>
      <c r="D19" s="49"/>
      <c r="E19" s="23"/>
      <c r="F19" s="48"/>
      <c r="G19" s="18">
        <f t="shared" si="0"/>
        <v>0</v>
      </c>
      <c r="H19" s="9"/>
      <c r="I19" s="10"/>
      <c r="J19" s="110"/>
      <c r="K19" s="69" t="s">
        <v>6</v>
      </c>
      <c r="L19" s="73" t="s">
        <v>92</v>
      </c>
      <c r="M19" s="26"/>
      <c r="N19" s="146"/>
      <c r="O19" s="146"/>
    </row>
    <row r="20" spans="1:15" ht="15" hidden="1" customHeight="1" thickBot="1" x14ac:dyDescent="0.35">
      <c r="A20" s="53"/>
      <c r="B20" s="53"/>
      <c r="C20" s="49"/>
      <c r="D20" s="50"/>
      <c r="E20" s="23"/>
      <c r="F20" s="16"/>
      <c r="G20" s="21">
        <f t="shared" si="0"/>
        <v>0</v>
      </c>
      <c r="H20" s="9"/>
      <c r="I20" s="9"/>
      <c r="J20" s="111"/>
      <c r="K20" s="69" t="s">
        <v>8</v>
      </c>
      <c r="L20" s="73" t="s">
        <v>92</v>
      </c>
      <c r="M20" s="26"/>
      <c r="N20" s="146"/>
      <c r="O20" s="146"/>
    </row>
    <row r="21" spans="1:15" ht="15" hidden="1" customHeight="1" thickBot="1" x14ac:dyDescent="0.35">
      <c r="A21" s="53"/>
      <c r="B21" s="53"/>
      <c r="C21" s="49"/>
      <c r="D21" s="50"/>
      <c r="E21" s="23"/>
      <c r="F21" s="16"/>
      <c r="G21" s="21">
        <f t="shared" si="0"/>
        <v>0</v>
      </c>
      <c r="H21" s="9"/>
      <c r="I21" s="10"/>
      <c r="J21" s="110"/>
      <c r="K21" s="69" t="s">
        <v>9</v>
      </c>
      <c r="L21" s="73" t="s">
        <v>92</v>
      </c>
      <c r="M21" s="26"/>
      <c r="N21" s="146"/>
      <c r="O21" s="146"/>
    </row>
    <row r="22" spans="1:15" ht="15" hidden="1" customHeight="1" thickBot="1" x14ac:dyDescent="0.35">
      <c r="A22" s="53"/>
      <c r="B22" s="53"/>
      <c r="C22" s="49"/>
      <c r="D22" s="50"/>
      <c r="E22" s="23"/>
      <c r="F22" s="16"/>
      <c r="G22" s="21">
        <f t="shared" si="0"/>
        <v>0</v>
      </c>
      <c r="H22" s="9"/>
      <c r="I22" s="10"/>
      <c r="J22" s="110"/>
      <c r="K22" s="69" t="s">
        <v>30</v>
      </c>
      <c r="L22" s="73" t="s">
        <v>92</v>
      </c>
      <c r="M22" s="26">
        <f>SUM(H10)</f>
        <v>0</v>
      </c>
      <c r="N22" s="146"/>
      <c r="O22" s="146"/>
    </row>
    <row r="23" spans="1:15" s="6" customFormat="1" ht="18.600000000000001" hidden="1" customHeight="1" x14ac:dyDescent="0.3">
      <c r="A23" s="53"/>
      <c r="B23" s="53"/>
      <c r="C23" s="49"/>
      <c r="D23" s="24"/>
      <c r="E23" s="12"/>
      <c r="F23" s="48"/>
      <c r="G23" s="18">
        <f t="shared" si="0"/>
        <v>0</v>
      </c>
      <c r="H23" s="4"/>
      <c r="I23" s="4"/>
      <c r="J23"/>
      <c r="K23" s="69" t="s">
        <v>10</v>
      </c>
      <c r="L23" s="73" t="s">
        <v>92</v>
      </c>
      <c r="M23" s="26"/>
      <c r="N23" s="146"/>
      <c r="O23" s="146"/>
    </row>
    <row r="24" spans="1:15" ht="15" hidden="1" customHeight="1" thickBot="1" x14ac:dyDescent="0.35">
      <c r="A24" s="59"/>
      <c r="B24" s="59"/>
      <c r="C24" s="57"/>
      <c r="D24" s="56"/>
      <c r="E24" s="48"/>
      <c r="F24" s="16"/>
      <c r="G24" s="18">
        <f t="shared" si="0"/>
        <v>0</v>
      </c>
      <c r="H24" s="42"/>
      <c r="I24" s="56"/>
      <c r="J24" s="3"/>
      <c r="K24" s="69" t="s">
        <v>12</v>
      </c>
      <c r="L24" s="73" t="s">
        <v>92</v>
      </c>
      <c r="M24" s="26">
        <f>SUM(H11)</f>
        <v>0</v>
      </c>
      <c r="N24" s="146"/>
      <c r="O24" s="146"/>
    </row>
    <row r="25" spans="1:15" ht="15" hidden="1" customHeight="1" thickBot="1" x14ac:dyDescent="0.35">
      <c r="A25" s="61"/>
      <c r="B25" s="61"/>
      <c r="C25" s="41"/>
      <c r="D25" s="42"/>
      <c r="E25" s="4"/>
      <c r="F25" s="16"/>
      <c r="G25" s="18">
        <f t="shared" si="0"/>
        <v>0</v>
      </c>
      <c r="H25" s="41"/>
      <c r="I25" s="10"/>
      <c r="J25" s="110"/>
      <c r="K25" s="70" t="s">
        <v>31</v>
      </c>
      <c r="L25" s="73"/>
      <c r="M25" s="26"/>
      <c r="N25" s="146"/>
      <c r="O25" s="146"/>
    </row>
    <row r="26" spans="1:15" ht="15" hidden="1" customHeight="1" thickBot="1" x14ac:dyDescent="0.35">
      <c r="A26" s="61"/>
      <c r="B26" s="61"/>
      <c r="C26" s="41"/>
      <c r="D26" s="4"/>
      <c r="E26" s="4"/>
      <c r="F26" s="4"/>
      <c r="G26" s="18">
        <f t="shared" si="0"/>
        <v>0</v>
      </c>
      <c r="H26" s="42"/>
      <c r="I26" s="56"/>
      <c r="J26" s="3"/>
      <c r="K26" s="69" t="s">
        <v>36</v>
      </c>
      <c r="L26" s="117" t="s">
        <v>199</v>
      </c>
      <c r="M26" s="26" t="s">
        <v>200</v>
      </c>
      <c r="N26" s="146"/>
      <c r="O26" s="146"/>
    </row>
    <row r="27" spans="1:15" ht="15" hidden="1" customHeight="1" thickBot="1" x14ac:dyDescent="0.35">
      <c r="A27" s="61"/>
      <c r="B27" s="61"/>
      <c r="C27" s="41"/>
      <c r="D27" s="4"/>
      <c r="E27" s="4"/>
      <c r="F27" s="4"/>
      <c r="G27" s="18">
        <f t="shared" si="0"/>
        <v>0</v>
      </c>
      <c r="H27" s="42"/>
      <c r="I27" s="56"/>
      <c r="J27" s="3"/>
      <c r="N27" s="146"/>
      <c r="O27" s="146"/>
    </row>
    <row r="28" spans="1:15" ht="15" hidden="1" customHeight="1" thickBot="1" x14ac:dyDescent="0.35">
      <c r="A28" s="62"/>
      <c r="B28" s="62"/>
      <c r="C28" s="51"/>
      <c r="D28" s="1"/>
      <c r="E28" s="1"/>
      <c r="F28" s="1"/>
      <c r="G28" s="18">
        <f t="shared" si="0"/>
        <v>0</v>
      </c>
      <c r="H28" s="26"/>
      <c r="I28" s="2"/>
      <c r="J28" s="3"/>
      <c r="N28" s="146"/>
      <c r="O28" s="146"/>
    </row>
    <row r="29" spans="1:15" ht="15" hidden="1" customHeight="1" thickBot="1" x14ac:dyDescent="0.35">
      <c r="A29" s="62"/>
      <c r="B29" s="62"/>
      <c r="C29" s="51"/>
      <c r="D29" s="1"/>
      <c r="E29" s="1"/>
      <c r="F29" s="1"/>
      <c r="G29" s="18">
        <f t="shared" si="0"/>
        <v>0</v>
      </c>
      <c r="H29" s="26"/>
      <c r="I29" s="2"/>
      <c r="J29" s="3"/>
      <c r="N29" s="146"/>
      <c r="O29" s="146"/>
    </row>
    <row r="30" spans="1:15" ht="15" hidden="1" customHeight="1" thickBot="1" x14ac:dyDescent="0.35">
      <c r="A30" s="62"/>
      <c r="B30" s="62"/>
      <c r="C30" s="51"/>
      <c r="D30" s="1"/>
      <c r="E30" s="1"/>
      <c r="F30" s="1"/>
      <c r="G30" s="18">
        <f t="shared" si="0"/>
        <v>0</v>
      </c>
      <c r="H30" s="26"/>
      <c r="I30" s="2"/>
      <c r="J30" s="3"/>
      <c r="N30" s="146"/>
      <c r="O30" s="146"/>
    </row>
    <row r="31" spans="1:15" ht="15" hidden="1" customHeight="1" thickBot="1" x14ac:dyDescent="0.35">
      <c r="A31" s="62"/>
      <c r="B31" s="62"/>
      <c r="C31" s="51"/>
      <c r="D31" s="1"/>
      <c r="E31" s="1"/>
      <c r="F31" s="1"/>
      <c r="G31" s="18">
        <f t="shared" si="0"/>
        <v>0</v>
      </c>
      <c r="H31" s="26"/>
      <c r="I31" s="2"/>
      <c r="J31" s="3"/>
      <c r="N31" s="146"/>
      <c r="O31" s="146"/>
    </row>
    <row r="32" spans="1:15" ht="15" hidden="1" customHeight="1" thickBot="1" x14ac:dyDescent="0.35">
      <c r="A32" s="62"/>
      <c r="B32" s="62"/>
      <c r="C32" s="51"/>
      <c r="D32" s="1"/>
      <c r="E32" s="1"/>
      <c r="F32" s="1"/>
      <c r="G32" s="18">
        <f t="shared" si="0"/>
        <v>0</v>
      </c>
      <c r="H32" s="26"/>
      <c r="I32" s="2"/>
      <c r="J32" s="3"/>
      <c r="N32" s="146"/>
      <c r="O32" s="146"/>
    </row>
    <row r="33" spans="1:15" ht="15" hidden="1" customHeight="1" thickBot="1" x14ac:dyDescent="0.35">
      <c r="A33" s="62"/>
      <c r="B33" s="62"/>
      <c r="C33" s="51"/>
      <c r="D33" s="1"/>
      <c r="E33" s="1"/>
      <c r="F33" s="1"/>
      <c r="G33" s="18">
        <f t="shared" si="0"/>
        <v>0</v>
      </c>
      <c r="H33" s="26"/>
      <c r="I33" s="2"/>
      <c r="J33" s="3"/>
      <c r="N33" s="146"/>
      <c r="O33" s="146"/>
    </row>
    <row r="34" spans="1:15" ht="15" hidden="1" customHeight="1" thickBot="1" x14ac:dyDescent="0.35">
      <c r="A34" s="62"/>
      <c r="B34" s="62"/>
      <c r="C34" s="51"/>
      <c r="D34" s="1"/>
      <c r="E34" s="1"/>
      <c r="F34" s="1"/>
      <c r="G34" s="18">
        <f t="shared" si="0"/>
        <v>0</v>
      </c>
      <c r="H34" s="26"/>
      <c r="I34" s="2"/>
      <c r="J34" s="3"/>
      <c r="N34" s="146"/>
      <c r="O34" s="146"/>
    </row>
    <row r="35" spans="1:15" ht="15" hidden="1" customHeight="1" thickBot="1" x14ac:dyDescent="0.35">
      <c r="A35" s="62"/>
      <c r="B35" s="62"/>
      <c r="C35" s="51"/>
      <c r="D35" s="1"/>
      <c r="E35" s="1"/>
      <c r="F35" s="1"/>
      <c r="G35" s="18">
        <f t="shared" si="0"/>
        <v>0</v>
      </c>
      <c r="H35" s="26"/>
      <c r="I35" s="2"/>
      <c r="J35" s="3"/>
      <c r="N35" s="146"/>
      <c r="O35" s="146"/>
    </row>
    <row r="36" spans="1:15" ht="15" hidden="1" customHeight="1" thickBot="1" x14ac:dyDescent="0.35">
      <c r="A36" s="62"/>
      <c r="B36" s="62"/>
      <c r="C36" s="51"/>
      <c r="D36" s="1"/>
      <c r="E36" s="1"/>
      <c r="F36" s="1"/>
      <c r="G36" s="18">
        <f t="shared" si="0"/>
        <v>0</v>
      </c>
      <c r="H36" s="26"/>
      <c r="I36" s="2"/>
      <c r="J36" s="3"/>
      <c r="N36" s="146"/>
      <c r="O36" s="146"/>
    </row>
    <row r="37" spans="1:15" ht="15" hidden="1" customHeight="1" thickBot="1" x14ac:dyDescent="0.35">
      <c r="A37" s="62"/>
      <c r="B37" s="62"/>
      <c r="C37" s="51"/>
      <c r="D37" s="1"/>
      <c r="E37" s="1"/>
      <c r="F37" s="1"/>
      <c r="G37" s="52">
        <f t="shared" si="0"/>
        <v>0</v>
      </c>
      <c r="H37" s="26"/>
      <c r="I37" s="2"/>
      <c r="J37" s="3"/>
      <c r="N37" s="146"/>
      <c r="O37" s="146"/>
    </row>
    <row r="38" spans="1:15" ht="15" hidden="1" customHeight="1" thickBot="1" x14ac:dyDescent="0.35">
      <c r="A38" s="63"/>
      <c r="B38" s="63"/>
      <c r="C38" s="51"/>
      <c r="D38" s="1"/>
      <c r="E38" s="1"/>
      <c r="F38" s="1"/>
      <c r="G38" s="52">
        <f t="shared" si="0"/>
        <v>0</v>
      </c>
      <c r="H38" s="26"/>
      <c r="I38" s="2"/>
      <c r="J38" s="3"/>
      <c r="N38" s="146"/>
      <c r="O38" s="146"/>
    </row>
    <row r="39" spans="1:15" ht="15" hidden="1" customHeight="1" thickBot="1" x14ac:dyDescent="0.35">
      <c r="A39" s="63"/>
      <c r="B39" s="63"/>
      <c r="C39" s="51"/>
      <c r="D39" s="1"/>
      <c r="E39" s="1"/>
      <c r="F39" s="1"/>
      <c r="G39" s="52">
        <f t="shared" si="0"/>
        <v>0</v>
      </c>
      <c r="H39" s="26"/>
      <c r="I39" s="2"/>
      <c r="J39" s="3"/>
      <c r="N39" s="146"/>
      <c r="O39" s="146"/>
    </row>
    <row r="40" spans="1:15" ht="20.399999999999999" customHeight="1" x14ac:dyDescent="0.3">
      <c r="A40" s="54"/>
      <c r="B40" s="54"/>
      <c r="C40" s="13" t="s">
        <v>21</v>
      </c>
      <c r="D40" s="13"/>
      <c r="E40" s="67"/>
      <c r="F40" s="163">
        <v>471748.76</v>
      </c>
      <c r="G40" s="162">
        <f t="shared" si="0"/>
        <v>-471748.76</v>
      </c>
      <c r="H40" s="36"/>
      <c r="I40" s="105"/>
      <c r="J40" s="5"/>
      <c r="K40" s="39" t="s">
        <v>0</v>
      </c>
      <c r="L40" s="73" t="s">
        <v>92</v>
      </c>
      <c r="M40" s="26">
        <v>0</v>
      </c>
      <c r="N40" s="146"/>
      <c r="O40" s="146"/>
    </row>
    <row r="41" spans="1:15" s="6" customFormat="1" ht="16.2" customHeight="1" x14ac:dyDescent="0.3">
      <c r="A41" s="82">
        <v>46113</v>
      </c>
      <c r="B41" s="50" t="s">
        <v>57</v>
      </c>
      <c r="C41" s="49" t="s">
        <v>908</v>
      </c>
      <c r="D41" s="15" t="s">
        <v>3</v>
      </c>
      <c r="E41" s="172"/>
      <c r="F41" s="164">
        <v>45000.11</v>
      </c>
      <c r="G41" s="159">
        <f>+G40+E41-F41</f>
        <v>-516748.87</v>
      </c>
      <c r="H41" s="51">
        <v>19.198</v>
      </c>
      <c r="I41" s="10" t="s">
        <v>92</v>
      </c>
      <c r="J41" s="110"/>
      <c r="K41" s="69" t="s">
        <v>1</v>
      </c>
      <c r="L41" s="73" t="s">
        <v>92</v>
      </c>
      <c r="M41" s="42">
        <v>0</v>
      </c>
      <c r="N41" s="146"/>
      <c r="O41" s="146"/>
    </row>
    <row r="42" spans="1:15" x14ac:dyDescent="0.3">
      <c r="A42" s="82">
        <v>46113</v>
      </c>
      <c r="B42" s="82" t="s">
        <v>57</v>
      </c>
      <c r="C42" s="49" t="s">
        <v>909</v>
      </c>
      <c r="D42" s="7" t="s">
        <v>27</v>
      </c>
      <c r="E42" s="169"/>
      <c r="F42" s="164">
        <v>128005.84</v>
      </c>
      <c r="G42" s="159">
        <f t="shared" si="0"/>
        <v>-644754.71</v>
      </c>
      <c r="H42" s="51">
        <v>54.61</v>
      </c>
      <c r="I42" s="10" t="s">
        <v>92</v>
      </c>
      <c r="J42" s="110"/>
      <c r="K42" s="24" t="s">
        <v>27</v>
      </c>
      <c r="L42" s="73" t="s">
        <v>92</v>
      </c>
      <c r="M42" s="26">
        <f>SUM(H42)</f>
        <v>54.61</v>
      </c>
      <c r="N42" s="146"/>
      <c r="O42" s="146"/>
    </row>
    <row r="43" spans="1:15" x14ac:dyDescent="0.3">
      <c r="A43" s="327">
        <v>46113</v>
      </c>
      <c r="B43" s="327" t="s">
        <v>60</v>
      </c>
      <c r="C43" s="328" t="s">
        <v>910</v>
      </c>
      <c r="D43" s="307" t="s">
        <v>1218</v>
      </c>
      <c r="E43" s="200">
        <v>2000000</v>
      </c>
      <c r="F43" s="313"/>
      <c r="G43" s="316">
        <f t="shared" si="0"/>
        <v>1355245.29</v>
      </c>
      <c r="H43" s="311"/>
      <c r="I43" s="199" t="s">
        <v>1222</v>
      </c>
      <c r="J43" s="110"/>
      <c r="K43" s="76" t="s">
        <v>429</v>
      </c>
      <c r="L43" s="73" t="s">
        <v>92</v>
      </c>
      <c r="M43" s="80">
        <f>SUM(H50+H56+H68)</f>
        <v>57.594000000000001</v>
      </c>
      <c r="N43" s="146"/>
      <c r="O43" s="146"/>
    </row>
    <row r="44" spans="1:15" x14ac:dyDescent="0.3">
      <c r="A44" s="82">
        <v>46113</v>
      </c>
      <c r="B44" s="82" t="s">
        <v>57</v>
      </c>
      <c r="C44" s="49" t="s">
        <v>911</v>
      </c>
      <c r="D44" s="15" t="s">
        <v>361</v>
      </c>
      <c r="E44" s="169"/>
      <c r="F44" s="164">
        <v>20181.740000000002</v>
      </c>
      <c r="G44" s="161">
        <f t="shared" si="0"/>
        <v>1335063.55</v>
      </c>
      <c r="H44" s="51">
        <v>9.2070000000000007</v>
      </c>
      <c r="I44" s="10" t="s">
        <v>92</v>
      </c>
      <c r="J44" s="110"/>
      <c r="K44" s="76" t="s">
        <v>62</v>
      </c>
      <c r="L44" s="73" t="s">
        <v>92</v>
      </c>
      <c r="M44" s="80">
        <f>SUM(H47+H53)</f>
        <v>38.400000000000006</v>
      </c>
      <c r="N44" s="146"/>
      <c r="O44" s="146"/>
    </row>
    <row r="45" spans="1:15" x14ac:dyDescent="0.3">
      <c r="A45" s="82">
        <v>46113</v>
      </c>
      <c r="B45" s="82" t="s">
        <v>57</v>
      </c>
      <c r="C45" s="49" t="s">
        <v>912</v>
      </c>
      <c r="D45" s="85" t="s">
        <v>24</v>
      </c>
      <c r="E45" s="169"/>
      <c r="F45" s="164">
        <v>45000.11</v>
      </c>
      <c r="G45" s="161">
        <f t="shared" si="0"/>
        <v>1290063.44</v>
      </c>
      <c r="H45" s="51">
        <v>19.198</v>
      </c>
      <c r="I45" s="10" t="s">
        <v>92</v>
      </c>
      <c r="J45" s="110"/>
      <c r="K45" s="76" t="s">
        <v>541</v>
      </c>
      <c r="L45" s="73" t="s">
        <v>92</v>
      </c>
      <c r="M45" s="80">
        <v>0</v>
      </c>
      <c r="N45" s="146"/>
      <c r="O45" s="146"/>
    </row>
    <row r="46" spans="1:15" x14ac:dyDescent="0.3">
      <c r="A46" s="82">
        <v>46113</v>
      </c>
      <c r="B46" s="82" t="s">
        <v>57</v>
      </c>
      <c r="C46" s="49" t="s">
        <v>913</v>
      </c>
      <c r="D46" s="15" t="s">
        <v>24</v>
      </c>
      <c r="E46" s="169"/>
      <c r="F46" s="164">
        <v>45000.11</v>
      </c>
      <c r="G46" s="161">
        <f t="shared" si="0"/>
        <v>1245063.3299999998</v>
      </c>
      <c r="H46" s="51">
        <v>19.198</v>
      </c>
      <c r="I46" s="10" t="s">
        <v>92</v>
      </c>
      <c r="J46" s="110"/>
      <c r="K46" s="76" t="s">
        <v>361</v>
      </c>
      <c r="L46" s="73" t="s">
        <v>92</v>
      </c>
      <c r="M46" s="80">
        <f>SUM(H44)</f>
        <v>9.2070000000000007</v>
      </c>
      <c r="N46" s="146"/>
      <c r="O46" s="146"/>
    </row>
    <row r="47" spans="1:15" x14ac:dyDescent="0.3">
      <c r="A47" s="82">
        <v>46113</v>
      </c>
      <c r="B47" s="82" t="s">
        <v>57</v>
      </c>
      <c r="C47" s="49" t="s">
        <v>914</v>
      </c>
      <c r="D47" s="15" t="s">
        <v>62</v>
      </c>
      <c r="E47" s="169"/>
      <c r="F47" s="164">
        <v>45009.49</v>
      </c>
      <c r="G47" s="161">
        <f t="shared" si="0"/>
        <v>1200053.8399999999</v>
      </c>
      <c r="H47" s="51">
        <v>19.202000000000002</v>
      </c>
      <c r="I47" s="10" t="s">
        <v>92</v>
      </c>
      <c r="J47" s="110"/>
      <c r="K47" s="69" t="s">
        <v>24</v>
      </c>
      <c r="L47" s="73" t="s">
        <v>92</v>
      </c>
      <c r="M47" s="26">
        <f>SUM(H45+H46+H48+H63)</f>
        <v>76.792000000000002</v>
      </c>
      <c r="N47" s="146"/>
      <c r="O47" s="146"/>
    </row>
    <row r="48" spans="1:15" x14ac:dyDescent="0.3">
      <c r="A48" s="82">
        <v>46113</v>
      </c>
      <c r="B48" s="82" t="s">
        <v>57</v>
      </c>
      <c r="C48" s="49" t="s">
        <v>915</v>
      </c>
      <c r="D48" s="15" t="s">
        <v>24</v>
      </c>
      <c r="E48" s="169"/>
      <c r="F48" s="164">
        <v>45000.11</v>
      </c>
      <c r="G48" s="161">
        <f t="shared" si="0"/>
        <v>1155053.7299999997</v>
      </c>
      <c r="H48" s="51">
        <v>19.198</v>
      </c>
      <c r="I48" s="10" t="s">
        <v>92</v>
      </c>
      <c r="J48" s="110"/>
      <c r="K48" s="69" t="s">
        <v>29</v>
      </c>
      <c r="L48" s="73" t="s">
        <v>92</v>
      </c>
      <c r="M48" s="26">
        <f>SUM(H55)</f>
        <v>72.531999999999996</v>
      </c>
      <c r="N48" s="146"/>
      <c r="O48" s="146"/>
    </row>
    <row r="49" spans="1:15" x14ac:dyDescent="0.3">
      <c r="A49" s="82">
        <v>46113</v>
      </c>
      <c r="B49" s="82" t="s">
        <v>57</v>
      </c>
      <c r="C49" s="49" t="s">
        <v>916</v>
      </c>
      <c r="D49" s="15" t="s">
        <v>6</v>
      </c>
      <c r="E49" s="169"/>
      <c r="F49" s="165">
        <v>45000.11</v>
      </c>
      <c r="G49" s="161">
        <f t="shared" si="0"/>
        <v>1110053.6199999996</v>
      </c>
      <c r="H49" s="51">
        <v>19.198</v>
      </c>
      <c r="I49" s="10" t="s">
        <v>92</v>
      </c>
      <c r="J49" s="110"/>
      <c r="K49" s="69" t="s">
        <v>3</v>
      </c>
      <c r="L49" s="73" t="s">
        <v>92</v>
      </c>
      <c r="M49" s="26">
        <f>SUM(H41+H52+H59+H62)</f>
        <v>76.792000000000002</v>
      </c>
      <c r="N49" s="146"/>
      <c r="O49" s="146"/>
    </row>
    <row r="50" spans="1:15" x14ac:dyDescent="0.3">
      <c r="A50" s="82">
        <v>46113</v>
      </c>
      <c r="B50" s="82" t="s">
        <v>57</v>
      </c>
      <c r="C50" s="49" t="s">
        <v>918</v>
      </c>
      <c r="D50" s="15" t="s">
        <v>917</v>
      </c>
      <c r="E50" s="169"/>
      <c r="F50" s="164">
        <v>45000.11</v>
      </c>
      <c r="G50" s="161">
        <f t="shared" si="0"/>
        <v>1065053.5099999995</v>
      </c>
      <c r="H50" s="51">
        <v>19.198</v>
      </c>
      <c r="I50" s="10" t="s">
        <v>92</v>
      </c>
      <c r="J50" s="110"/>
      <c r="K50" s="69" t="s">
        <v>5</v>
      </c>
      <c r="L50" s="73" t="s">
        <v>92</v>
      </c>
      <c r="M50" s="26">
        <f>SUM(H57+H61)</f>
        <v>38.396000000000001</v>
      </c>
      <c r="N50" s="146"/>
      <c r="O50" s="146"/>
    </row>
    <row r="51" spans="1:15" x14ac:dyDescent="0.3">
      <c r="A51" s="82">
        <v>46114</v>
      </c>
      <c r="B51" s="82" t="s">
        <v>57</v>
      </c>
      <c r="C51" s="49" t="s">
        <v>919</v>
      </c>
      <c r="D51" s="15" t="s">
        <v>6</v>
      </c>
      <c r="E51" s="169"/>
      <c r="F51" s="164">
        <v>45000.11</v>
      </c>
      <c r="G51" s="161">
        <f t="shared" si="0"/>
        <v>1020053.3999999996</v>
      </c>
      <c r="H51" s="51">
        <v>19.198</v>
      </c>
      <c r="I51" s="10" t="s">
        <v>92</v>
      </c>
      <c r="J51" s="110"/>
      <c r="K51" s="69" t="s">
        <v>61</v>
      </c>
      <c r="L51" s="73" t="s">
        <v>92</v>
      </c>
      <c r="M51" s="26">
        <f>SUM(H66)</f>
        <v>158.24700000000001</v>
      </c>
      <c r="N51" s="146"/>
      <c r="O51" s="146"/>
    </row>
    <row r="52" spans="1:15" x14ac:dyDescent="0.3">
      <c r="A52" s="82">
        <v>46114</v>
      </c>
      <c r="B52" s="82" t="s">
        <v>57</v>
      </c>
      <c r="C52" s="49" t="s">
        <v>920</v>
      </c>
      <c r="D52" s="15" t="s">
        <v>3</v>
      </c>
      <c r="E52" s="169"/>
      <c r="F52" s="164">
        <v>45000.11</v>
      </c>
      <c r="G52" s="161">
        <f t="shared" si="0"/>
        <v>975053.28999999957</v>
      </c>
      <c r="H52" s="51">
        <v>19.198</v>
      </c>
      <c r="I52" s="10" t="s">
        <v>92</v>
      </c>
      <c r="J52" s="110"/>
      <c r="K52" s="69" t="s">
        <v>22</v>
      </c>
      <c r="L52" s="73" t="s">
        <v>92</v>
      </c>
      <c r="M52" s="26">
        <v>0</v>
      </c>
      <c r="N52" s="146"/>
      <c r="O52" s="146"/>
    </row>
    <row r="53" spans="1:15" x14ac:dyDescent="0.3">
      <c r="A53" s="82">
        <v>46114</v>
      </c>
      <c r="B53" s="82" t="s">
        <v>57</v>
      </c>
      <c r="C53" s="49" t="s">
        <v>921</v>
      </c>
      <c r="D53" s="50" t="s">
        <v>62</v>
      </c>
      <c r="E53" s="169"/>
      <c r="F53" s="164">
        <v>45000.11</v>
      </c>
      <c r="G53" s="161">
        <f t="shared" si="0"/>
        <v>930053.17999999959</v>
      </c>
      <c r="H53" s="51">
        <v>19.198</v>
      </c>
      <c r="I53" s="10" t="s">
        <v>92</v>
      </c>
      <c r="J53" s="110"/>
      <c r="K53" s="69" t="s">
        <v>6</v>
      </c>
      <c r="L53" s="73" t="s">
        <v>92</v>
      </c>
      <c r="M53" s="26">
        <f>SUM(H49+H51+H64+H69)</f>
        <v>76.792000000000002</v>
      </c>
      <c r="N53" s="146"/>
      <c r="O53" s="146"/>
    </row>
    <row r="54" spans="1:15" x14ac:dyDescent="0.3">
      <c r="A54" s="82">
        <v>46114</v>
      </c>
      <c r="B54" s="82" t="s">
        <v>57</v>
      </c>
      <c r="C54" s="49" t="s">
        <v>922</v>
      </c>
      <c r="D54" s="50" t="s">
        <v>117</v>
      </c>
      <c r="E54" s="169"/>
      <c r="F54" s="164">
        <v>49199.33</v>
      </c>
      <c r="G54" s="161">
        <f t="shared" si="0"/>
        <v>880853.84999999963</v>
      </c>
      <c r="H54" s="51">
        <v>22.122</v>
      </c>
      <c r="I54" s="10" t="s">
        <v>92</v>
      </c>
      <c r="J54" s="110"/>
      <c r="K54" s="69" t="s">
        <v>8</v>
      </c>
      <c r="L54" s="73" t="s">
        <v>92</v>
      </c>
      <c r="M54" s="26">
        <f>SUM(H67)</f>
        <v>19.198</v>
      </c>
      <c r="N54" s="146"/>
      <c r="O54" s="146"/>
    </row>
    <row r="55" spans="1:15" x14ac:dyDescent="0.3">
      <c r="A55" s="82">
        <v>46114</v>
      </c>
      <c r="B55" s="82" t="s">
        <v>57</v>
      </c>
      <c r="C55" s="49" t="s">
        <v>923</v>
      </c>
      <c r="D55" s="50" t="s">
        <v>26</v>
      </c>
      <c r="E55" s="169"/>
      <c r="F55" s="164">
        <v>170015.01</v>
      </c>
      <c r="G55" s="161">
        <f t="shared" si="0"/>
        <v>710838.83999999962</v>
      </c>
      <c r="H55" s="51">
        <v>72.531999999999996</v>
      </c>
      <c r="I55" s="10" t="s">
        <v>92</v>
      </c>
      <c r="J55" s="110"/>
      <c r="K55" s="69" t="s">
        <v>9</v>
      </c>
      <c r="L55" s="73" t="s">
        <v>92</v>
      </c>
      <c r="M55" s="26">
        <v>0</v>
      </c>
      <c r="N55" s="146"/>
      <c r="O55" s="146"/>
    </row>
    <row r="56" spans="1:15" x14ac:dyDescent="0.3">
      <c r="A56" s="82">
        <v>46114</v>
      </c>
      <c r="B56" s="82" t="s">
        <v>57</v>
      </c>
      <c r="C56" s="49" t="s">
        <v>924</v>
      </c>
      <c r="D56" s="50" t="s">
        <v>917</v>
      </c>
      <c r="E56" s="169"/>
      <c r="F56" s="164">
        <v>45000.11</v>
      </c>
      <c r="G56" s="161">
        <f t="shared" si="0"/>
        <v>665838.72999999963</v>
      </c>
      <c r="H56" s="51">
        <v>19.198</v>
      </c>
      <c r="I56" s="10" t="s">
        <v>92</v>
      </c>
      <c r="J56" s="110"/>
      <c r="K56" s="69" t="s">
        <v>30</v>
      </c>
      <c r="L56" s="73" t="s">
        <v>92</v>
      </c>
      <c r="M56" s="26">
        <v>0</v>
      </c>
      <c r="N56" s="146"/>
      <c r="O56" s="146"/>
    </row>
    <row r="57" spans="1:15" x14ac:dyDescent="0.3">
      <c r="A57" s="99">
        <v>46115</v>
      </c>
      <c r="B57" s="82" t="s">
        <v>57</v>
      </c>
      <c r="C57" s="49" t="s">
        <v>925</v>
      </c>
      <c r="D57" s="15" t="s">
        <v>5</v>
      </c>
      <c r="E57" s="172"/>
      <c r="F57" s="164">
        <v>45000.11</v>
      </c>
      <c r="G57" s="161">
        <f t="shared" si="0"/>
        <v>620838.61999999965</v>
      </c>
      <c r="H57" s="51">
        <v>19.198</v>
      </c>
      <c r="I57" s="77" t="s">
        <v>92</v>
      </c>
      <c r="J57"/>
      <c r="K57" s="69" t="s">
        <v>10</v>
      </c>
      <c r="L57" s="73" t="s">
        <v>92</v>
      </c>
      <c r="M57" s="26">
        <v>0</v>
      </c>
      <c r="N57" s="146"/>
      <c r="O57" s="146"/>
    </row>
    <row r="58" spans="1:15" x14ac:dyDescent="0.3">
      <c r="A58" s="99">
        <v>46115</v>
      </c>
      <c r="B58" s="82" t="s">
        <v>57</v>
      </c>
      <c r="C58" s="39" t="s">
        <v>926</v>
      </c>
      <c r="D58" s="15" t="s">
        <v>117</v>
      </c>
      <c r="E58" s="173"/>
      <c r="F58" s="164">
        <v>103805.2</v>
      </c>
      <c r="G58" s="161">
        <f t="shared" si="0"/>
        <v>517033.41999999963</v>
      </c>
      <c r="H58" s="51">
        <v>46.674999999999997</v>
      </c>
      <c r="I58" s="77" t="s">
        <v>92</v>
      </c>
      <c r="J58"/>
      <c r="K58" s="69" t="s">
        <v>11</v>
      </c>
      <c r="L58" s="73" t="s">
        <v>92</v>
      </c>
      <c r="M58" s="26">
        <f>SUM(H54+H58+H60+H65)</f>
        <v>150.232</v>
      </c>
      <c r="N58" s="146"/>
      <c r="O58" s="146"/>
    </row>
    <row r="59" spans="1:15" ht="14.4" customHeight="1" x14ac:dyDescent="0.3">
      <c r="A59" s="99">
        <v>46115</v>
      </c>
      <c r="B59" s="82" t="s">
        <v>57</v>
      </c>
      <c r="C59" s="39" t="s">
        <v>927</v>
      </c>
      <c r="D59" s="15" t="s">
        <v>3</v>
      </c>
      <c r="E59" s="172"/>
      <c r="F59" s="164">
        <v>45000.11</v>
      </c>
      <c r="G59" s="161">
        <f t="shared" si="0"/>
        <v>472033.30999999965</v>
      </c>
      <c r="H59" s="51">
        <v>19.198</v>
      </c>
      <c r="I59" s="68" t="s">
        <v>92</v>
      </c>
      <c r="J59" s="112"/>
      <c r="K59" s="540" t="s">
        <v>695</v>
      </c>
      <c r="L59" s="541"/>
      <c r="M59" s="148">
        <f>SUM(M39:M58)</f>
        <v>828.79200000000003</v>
      </c>
      <c r="N59" s="146"/>
      <c r="O59" s="146"/>
    </row>
    <row r="60" spans="1:15" ht="14.4" customHeight="1" x14ac:dyDescent="0.3">
      <c r="A60" s="99">
        <v>46115</v>
      </c>
      <c r="B60" s="82" t="s">
        <v>57</v>
      </c>
      <c r="C60" s="39" t="s">
        <v>928</v>
      </c>
      <c r="D60" s="15" t="s">
        <v>117</v>
      </c>
      <c r="E60" s="172"/>
      <c r="F60" s="164">
        <v>100791.67999999999</v>
      </c>
      <c r="G60" s="161">
        <f t="shared" si="0"/>
        <v>371241.62999999966</v>
      </c>
      <c r="H60" s="51">
        <v>45.32</v>
      </c>
      <c r="I60" s="42" t="s">
        <v>92</v>
      </c>
      <c r="J60" s="25"/>
      <c r="K60" s="146"/>
      <c r="L60" s="146"/>
      <c r="M60" s="146"/>
      <c r="N60" s="146"/>
      <c r="O60" s="146"/>
    </row>
    <row r="61" spans="1:15" x14ac:dyDescent="0.3">
      <c r="A61" s="99">
        <v>46116</v>
      </c>
      <c r="B61" s="82" t="s">
        <v>57</v>
      </c>
      <c r="C61" s="28" t="s">
        <v>929</v>
      </c>
      <c r="D61" s="82" t="s">
        <v>5</v>
      </c>
      <c r="E61" s="170"/>
      <c r="F61" s="164">
        <v>45000.11</v>
      </c>
      <c r="G61" s="161">
        <f t="shared" si="0"/>
        <v>326241.51999999967</v>
      </c>
      <c r="H61" s="51">
        <v>19.198</v>
      </c>
      <c r="I61" s="10" t="s">
        <v>92</v>
      </c>
      <c r="J61" s="110"/>
      <c r="K61" s="146"/>
      <c r="L61" s="146"/>
      <c r="M61" s="146"/>
      <c r="N61" s="146"/>
      <c r="O61" s="146"/>
    </row>
    <row r="62" spans="1:15" x14ac:dyDescent="0.3">
      <c r="A62" s="99">
        <v>46116</v>
      </c>
      <c r="B62" s="82" t="s">
        <v>57</v>
      </c>
      <c r="C62" s="28" t="s">
        <v>930</v>
      </c>
      <c r="D62" s="82" t="s">
        <v>3</v>
      </c>
      <c r="E62" s="170"/>
      <c r="F62" s="164">
        <v>45000.11</v>
      </c>
      <c r="G62" s="161">
        <f t="shared" si="0"/>
        <v>281241.40999999968</v>
      </c>
      <c r="H62" s="51">
        <v>19.198</v>
      </c>
      <c r="I62" s="10" t="s">
        <v>92</v>
      </c>
      <c r="J62" s="110"/>
      <c r="K62" s="146"/>
      <c r="L62" s="146"/>
      <c r="M62" s="146"/>
      <c r="N62" s="146"/>
      <c r="O62" s="146"/>
    </row>
    <row r="63" spans="1:15" x14ac:dyDescent="0.3">
      <c r="A63" s="99">
        <v>46116</v>
      </c>
      <c r="B63" s="82" t="s">
        <v>57</v>
      </c>
      <c r="C63" s="28" t="s">
        <v>931</v>
      </c>
      <c r="D63" s="82" t="s">
        <v>24</v>
      </c>
      <c r="E63" s="170"/>
      <c r="F63" s="164">
        <v>45000.11</v>
      </c>
      <c r="G63" s="161">
        <f t="shared" si="0"/>
        <v>236241.2999999997</v>
      </c>
      <c r="H63" s="51">
        <v>19.198</v>
      </c>
      <c r="I63" s="10" t="s">
        <v>92</v>
      </c>
      <c r="J63" s="110"/>
      <c r="K63" s="146"/>
      <c r="L63" s="146"/>
      <c r="M63" s="146"/>
      <c r="N63" s="146"/>
      <c r="O63" s="146"/>
    </row>
    <row r="64" spans="1:15" x14ac:dyDescent="0.3">
      <c r="A64" s="99">
        <v>46116</v>
      </c>
      <c r="B64" s="82" t="s">
        <v>57</v>
      </c>
      <c r="C64" s="28" t="s">
        <v>932</v>
      </c>
      <c r="D64" s="82" t="s">
        <v>6</v>
      </c>
      <c r="E64" s="170"/>
      <c r="F64" s="164">
        <v>45000.11</v>
      </c>
      <c r="G64" s="161">
        <f t="shared" si="0"/>
        <v>191241.18999999971</v>
      </c>
      <c r="H64" s="51">
        <v>19.198</v>
      </c>
      <c r="I64" s="10" t="s">
        <v>92</v>
      </c>
      <c r="J64" s="110"/>
      <c r="K64" s="146"/>
      <c r="L64" s="146"/>
      <c r="M64" s="146"/>
      <c r="N64" s="146"/>
      <c r="O64" s="146"/>
    </row>
    <row r="65" spans="1:15" x14ac:dyDescent="0.3">
      <c r="A65" s="99">
        <v>46116</v>
      </c>
      <c r="B65" s="82" t="s">
        <v>57</v>
      </c>
      <c r="C65" s="28" t="s">
        <v>933</v>
      </c>
      <c r="D65" s="82" t="s">
        <v>117</v>
      </c>
      <c r="E65" s="170"/>
      <c r="F65" s="164">
        <v>80319.759999999995</v>
      </c>
      <c r="G65" s="161">
        <f t="shared" si="0"/>
        <v>110921.42999999972</v>
      </c>
      <c r="H65" s="51">
        <v>36.115000000000002</v>
      </c>
      <c r="I65" s="10" t="s">
        <v>92</v>
      </c>
      <c r="J65" s="110"/>
      <c r="K65" s="146"/>
      <c r="L65" s="146"/>
      <c r="M65" s="146"/>
      <c r="N65" s="146"/>
      <c r="O65" s="146"/>
    </row>
    <row r="66" spans="1:15" x14ac:dyDescent="0.3">
      <c r="A66" s="99">
        <v>46116</v>
      </c>
      <c r="B66" s="82" t="s">
        <v>57</v>
      </c>
      <c r="C66" s="28" t="s">
        <v>934</v>
      </c>
      <c r="D66" s="82" t="s">
        <v>61</v>
      </c>
      <c r="E66" s="170"/>
      <c r="F66" s="164">
        <v>370930.97</v>
      </c>
      <c r="G66" s="159">
        <f t="shared" si="0"/>
        <v>-260009.54000000027</v>
      </c>
      <c r="H66" s="51">
        <v>158.24700000000001</v>
      </c>
      <c r="I66" s="10" t="s">
        <v>92</v>
      </c>
      <c r="J66" s="110"/>
      <c r="K66" s="146"/>
      <c r="L66" s="146"/>
      <c r="M66" s="146"/>
      <c r="N66" s="146"/>
      <c r="O66" s="146"/>
    </row>
    <row r="67" spans="1:15" x14ac:dyDescent="0.3">
      <c r="A67" s="99">
        <v>46116</v>
      </c>
      <c r="B67" s="82" t="s">
        <v>57</v>
      </c>
      <c r="C67" s="28" t="s">
        <v>935</v>
      </c>
      <c r="D67" s="82" t="s">
        <v>8</v>
      </c>
      <c r="E67" s="170"/>
      <c r="F67" s="166">
        <v>45000.11</v>
      </c>
      <c r="G67" s="159">
        <f t="shared" si="0"/>
        <v>-305009.65000000026</v>
      </c>
      <c r="H67" s="51">
        <v>19.198</v>
      </c>
      <c r="I67" s="10" t="s">
        <v>92</v>
      </c>
      <c r="J67" s="110"/>
      <c r="K67" s="146"/>
      <c r="L67" s="146"/>
      <c r="M67" s="146"/>
      <c r="N67" s="146"/>
      <c r="O67" s="146"/>
    </row>
    <row r="68" spans="1:15" x14ac:dyDescent="0.3">
      <c r="A68" s="99">
        <v>46116</v>
      </c>
      <c r="B68" s="82" t="s">
        <v>57</v>
      </c>
      <c r="C68" s="28" t="s">
        <v>936</v>
      </c>
      <c r="D68" s="82" t="s">
        <v>917</v>
      </c>
      <c r="E68" s="170"/>
      <c r="F68" s="166">
        <v>45000.11</v>
      </c>
      <c r="G68" s="159">
        <f t="shared" si="0"/>
        <v>-350009.76000000024</v>
      </c>
      <c r="H68" s="51">
        <v>19.198</v>
      </c>
      <c r="I68" s="10" t="s">
        <v>92</v>
      </c>
      <c r="J68" s="110"/>
      <c r="K68" s="146"/>
      <c r="L68" s="146"/>
      <c r="M68" s="146"/>
      <c r="N68" s="146"/>
      <c r="O68" s="146"/>
    </row>
    <row r="69" spans="1:15" x14ac:dyDescent="0.3">
      <c r="A69" s="99">
        <v>46116</v>
      </c>
      <c r="B69" s="82" t="s">
        <v>57</v>
      </c>
      <c r="C69" s="28" t="s">
        <v>937</v>
      </c>
      <c r="D69" s="82" t="s">
        <v>6</v>
      </c>
      <c r="E69" s="170"/>
      <c r="F69" s="166">
        <v>45000.11</v>
      </c>
      <c r="G69" s="159">
        <f t="shared" si="0"/>
        <v>-395009.87000000023</v>
      </c>
      <c r="H69" s="51">
        <v>19.198</v>
      </c>
      <c r="I69" s="10" t="s">
        <v>92</v>
      </c>
      <c r="J69" s="110"/>
      <c r="K69" s="146"/>
      <c r="L69" s="146"/>
      <c r="M69" s="146"/>
      <c r="N69" s="146"/>
      <c r="O69" s="146"/>
    </row>
    <row r="70" spans="1:15" x14ac:dyDescent="0.3">
      <c r="A70" s="534" t="s">
        <v>694</v>
      </c>
      <c r="B70" s="534"/>
      <c r="C70" s="534"/>
      <c r="D70" s="534"/>
      <c r="E70" s="534"/>
      <c r="F70" s="534"/>
      <c r="G70" s="534"/>
      <c r="H70" s="540">
        <f>SUM(H26:H69)</f>
        <v>828.7919999999998</v>
      </c>
      <c r="I70" s="541"/>
      <c r="J70" s="110"/>
      <c r="K70" s="146"/>
      <c r="L70" s="146"/>
      <c r="M70" s="146"/>
      <c r="N70" s="146"/>
      <c r="O70" s="146"/>
    </row>
    <row r="71" spans="1:15" ht="15.6" x14ac:dyDescent="0.3">
      <c r="A71" s="546" t="s">
        <v>1012</v>
      </c>
      <c r="B71" s="547"/>
      <c r="C71" s="547"/>
      <c r="D71" s="547"/>
      <c r="E71" s="547"/>
      <c r="F71" s="547"/>
      <c r="G71" s="547"/>
      <c r="H71" s="547"/>
      <c r="I71" s="548"/>
      <c r="J71" s="110"/>
      <c r="K71" s="526" t="s">
        <v>1013</v>
      </c>
      <c r="L71" s="526"/>
      <c r="M71" s="526"/>
      <c r="N71" s="146"/>
      <c r="O71" s="146"/>
    </row>
    <row r="72" spans="1:15" x14ac:dyDescent="0.3">
      <c r="A72" s="99">
        <v>46117</v>
      </c>
      <c r="B72" s="82" t="s">
        <v>57</v>
      </c>
      <c r="C72" s="28" t="s">
        <v>938</v>
      </c>
      <c r="D72" s="82" t="s">
        <v>24</v>
      </c>
      <c r="E72" s="170"/>
      <c r="F72" s="166">
        <v>45000.11</v>
      </c>
      <c r="G72" s="159">
        <f>+G69+E72-F72</f>
        <v>-440009.98000000021</v>
      </c>
      <c r="H72" s="51">
        <v>19.198</v>
      </c>
      <c r="I72" s="10" t="s">
        <v>92</v>
      </c>
      <c r="J72" s="110"/>
      <c r="K72" s="545" t="s">
        <v>34</v>
      </c>
      <c r="L72" s="545"/>
      <c r="M72" s="545"/>
      <c r="N72" s="146"/>
      <c r="O72" s="146"/>
    </row>
    <row r="73" spans="1:15" x14ac:dyDescent="0.3">
      <c r="A73" s="99">
        <v>46117</v>
      </c>
      <c r="B73" s="82" t="s">
        <v>57</v>
      </c>
      <c r="C73" s="28" t="s">
        <v>939</v>
      </c>
      <c r="D73" s="82" t="s">
        <v>61</v>
      </c>
      <c r="E73" s="170"/>
      <c r="F73" s="166">
        <v>101987.44</v>
      </c>
      <c r="G73" s="159">
        <f t="shared" si="0"/>
        <v>-541997.42000000016</v>
      </c>
      <c r="H73" s="51">
        <v>43.51</v>
      </c>
      <c r="I73" s="10" t="s">
        <v>92</v>
      </c>
      <c r="J73" s="110"/>
      <c r="K73" s="71" t="s">
        <v>32</v>
      </c>
      <c r="L73" s="43" t="s">
        <v>35</v>
      </c>
      <c r="M73" s="43" t="s">
        <v>33</v>
      </c>
      <c r="N73" s="146"/>
      <c r="O73" s="146"/>
    </row>
    <row r="74" spans="1:15" x14ac:dyDescent="0.3">
      <c r="A74" s="99">
        <v>46117</v>
      </c>
      <c r="B74" s="82" t="s">
        <v>57</v>
      </c>
      <c r="C74" s="28" t="s">
        <v>940</v>
      </c>
      <c r="D74" s="82" t="s">
        <v>6</v>
      </c>
      <c r="E74" s="170"/>
      <c r="F74" s="166">
        <v>45000.11</v>
      </c>
      <c r="G74" s="159">
        <f t="shared" si="0"/>
        <v>-586997.53000000014</v>
      </c>
      <c r="H74" s="51">
        <v>19.198</v>
      </c>
      <c r="I74" s="10" t="s">
        <v>92</v>
      </c>
      <c r="J74" s="110"/>
      <c r="K74" s="39" t="s">
        <v>0</v>
      </c>
      <c r="L74" s="73" t="s">
        <v>92</v>
      </c>
      <c r="M74" s="26">
        <v>0</v>
      </c>
      <c r="N74" s="146"/>
      <c r="O74" s="146"/>
    </row>
    <row r="75" spans="1:15" x14ac:dyDescent="0.3">
      <c r="A75" s="99">
        <v>46117</v>
      </c>
      <c r="B75" s="82" t="s">
        <v>57</v>
      </c>
      <c r="C75" s="28" t="s">
        <v>941</v>
      </c>
      <c r="D75" s="82" t="s">
        <v>8</v>
      </c>
      <c r="E75" s="170"/>
      <c r="F75" s="166">
        <v>45000.11</v>
      </c>
      <c r="G75" s="159">
        <f t="shared" ref="G75:G247" si="1">+G74+E75-F75</f>
        <v>-631997.64000000013</v>
      </c>
      <c r="H75" s="51">
        <v>19.198</v>
      </c>
      <c r="I75" s="10" t="s">
        <v>92</v>
      </c>
      <c r="J75" s="110"/>
      <c r="K75" s="69" t="s">
        <v>1</v>
      </c>
      <c r="L75" s="73" t="s">
        <v>92</v>
      </c>
      <c r="M75" s="42">
        <v>0</v>
      </c>
      <c r="N75" s="146"/>
      <c r="O75" s="146"/>
    </row>
    <row r="76" spans="1:15" x14ac:dyDescent="0.3">
      <c r="A76" s="99">
        <v>46118</v>
      </c>
      <c r="B76" s="82" t="s">
        <v>57</v>
      </c>
      <c r="C76" s="28" t="s">
        <v>942</v>
      </c>
      <c r="D76" s="82" t="s">
        <v>5</v>
      </c>
      <c r="E76" s="170"/>
      <c r="F76" s="166">
        <v>45000.11</v>
      </c>
      <c r="G76" s="159">
        <f t="shared" si="1"/>
        <v>-676997.75000000012</v>
      </c>
      <c r="H76" s="51">
        <v>19.198</v>
      </c>
      <c r="I76" s="10" t="s">
        <v>92</v>
      </c>
      <c r="J76" s="110"/>
      <c r="K76" s="24" t="s">
        <v>27</v>
      </c>
      <c r="L76" s="73" t="s">
        <v>92</v>
      </c>
      <c r="M76" s="26">
        <v>0</v>
      </c>
    </row>
    <row r="77" spans="1:15" x14ac:dyDescent="0.3">
      <c r="A77" s="99">
        <v>46118</v>
      </c>
      <c r="B77" s="82" t="s">
        <v>57</v>
      </c>
      <c r="C77" s="28" t="s">
        <v>943</v>
      </c>
      <c r="D77" s="82" t="s">
        <v>30</v>
      </c>
      <c r="E77" s="170"/>
      <c r="F77" s="166">
        <v>26000</v>
      </c>
      <c r="G77" s="159">
        <f t="shared" si="1"/>
        <v>-702997.75000000012</v>
      </c>
      <c r="H77" s="9" t="s">
        <v>1216</v>
      </c>
      <c r="I77" s="10" t="s">
        <v>717</v>
      </c>
      <c r="J77" s="110"/>
      <c r="K77" s="76" t="s">
        <v>429</v>
      </c>
      <c r="L77" s="73" t="s">
        <v>92</v>
      </c>
      <c r="M77" s="80">
        <f>SUM(H82+H92+H100+H105)</f>
        <v>76.792000000000002</v>
      </c>
    </row>
    <row r="78" spans="1:15" x14ac:dyDescent="0.3">
      <c r="A78" s="99">
        <v>46118</v>
      </c>
      <c r="B78" s="82" t="s">
        <v>57</v>
      </c>
      <c r="C78" s="28" t="s">
        <v>944</v>
      </c>
      <c r="D78" s="82" t="s">
        <v>3</v>
      </c>
      <c r="E78" s="170"/>
      <c r="F78" s="166">
        <v>45000.11</v>
      </c>
      <c r="G78" s="159">
        <f t="shared" si="1"/>
        <v>-747997.8600000001</v>
      </c>
      <c r="H78" s="51">
        <v>19.198</v>
      </c>
      <c r="I78" s="10" t="s">
        <v>92</v>
      </c>
      <c r="J78" s="110"/>
      <c r="K78" s="76" t="s">
        <v>62</v>
      </c>
      <c r="L78" s="73" t="s">
        <v>92</v>
      </c>
      <c r="M78" s="80">
        <f>SUM(H79+H86+H89+H108+H113+H114)</f>
        <v>147.89200000000002</v>
      </c>
    </row>
    <row r="79" spans="1:15" x14ac:dyDescent="0.3">
      <c r="A79" s="99">
        <v>46118</v>
      </c>
      <c r="B79" s="82" t="s">
        <v>57</v>
      </c>
      <c r="C79" s="28" t="s">
        <v>945</v>
      </c>
      <c r="D79" s="82" t="s">
        <v>62</v>
      </c>
      <c r="E79" s="170"/>
      <c r="F79" s="166">
        <v>45000.11</v>
      </c>
      <c r="G79" s="159">
        <f t="shared" si="1"/>
        <v>-792997.97000000009</v>
      </c>
      <c r="H79" s="51">
        <v>19.198</v>
      </c>
      <c r="I79" s="10" t="s">
        <v>92</v>
      </c>
      <c r="J79" s="110"/>
      <c r="K79" s="76" t="s">
        <v>541</v>
      </c>
      <c r="L79" s="73" t="s">
        <v>92</v>
      </c>
      <c r="M79" s="80">
        <v>0</v>
      </c>
    </row>
    <row r="80" spans="1:15" x14ac:dyDescent="0.3">
      <c r="A80" s="99">
        <v>46118</v>
      </c>
      <c r="B80" s="82" t="s">
        <v>57</v>
      </c>
      <c r="C80" s="28" t="s">
        <v>946</v>
      </c>
      <c r="D80" s="82" t="s">
        <v>9</v>
      </c>
      <c r="E80" s="170"/>
      <c r="F80" s="166">
        <v>207000</v>
      </c>
      <c r="G80" s="159">
        <f t="shared" si="1"/>
        <v>-999997.97000000009</v>
      </c>
      <c r="H80" s="51">
        <v>93.075500000000005</v>
      </c>
      <c r="I80" s="10" t="s">
        <v>92</v>
      </c>
      <c r="J80" s="110"/>
      <c r="K80" s="76" t="s">
        <v>361</v>
      </c>
      <c r="L80" s="73" t="s">
        <v>92</v>
      </c>
      <c r="M80" s="80">
        <f>SUM(H112)</f>
        <v>10.292</v>
      </c>
    </row>
    <row r="81" spans="1:13" x14ac:dyDescent="0.3">
      <c r="A81" s="306">
        <v>46118</v>
      </c>
      <c r="B81" s="327" t="s">
        <v>60</v>
      </c>
      <c r="C81" s="330" t="s">
        <v>947</v>
      </c>
      <c r="D81" s="327" t="s">
        <v>1218</v>
      </c>
      <c r="E81" s="357">
        <v>2000000</v>
      </c>
      <c r="F81" s="369"/>
      <c r="G81" s="316">
        <f t="shared" si="1"/>
        <v>1000002.0299999999</v>
      </c>
      <c r="H81" s="201"/>
      <c r="I81" s="199" t="s">
        <v>1222</v>
      </c>
      <c r="J81" s="110"/>
      <c r="K81" s="69" t="s">
        <v>24</v>
      </c>
      <c r="L81" s="73" t="s">
        <v>92</v>
      </c>
      <c r="M81" s="26">
        <f>SUM(H72+H84)</f>
        <v>38.396000000000001</v>
      </c>
    </row>
    <row r="82" spans="1:13" x14ac:dyDescent="0.3">
      <c r="A82" s="99">
        <v>46118</v>
      </c>
      <c r="B82" s="82" t="s">
        <v>57</v>
      </c>
      <c r="C82" s="28" t="s">
        <v>948</v>
      </c>
      <c r="D82" s="82" t="s">
        <v>917</v>
      </c>
      <c r="E82" s="171"/>
      <c r="F82" s="166">
        <v>45000.11</v>
      </c>
      <c r="G82" s="161">
        <f t="shared" si="1"/>
        <v>955001.91999999993</v>
      </c>
      <c r="H82" s="51">
        <v>19.198</v>
      </c>
      <c r="I82" s="10" t="s">
        <v>92</v>
      </c>
      <c r="J82" s="110"/>
      <c r="K82" s="69" t="s">
        <v>29</v>
      </c>
      <c r="L82" s="73" t="s">
        <v>92</v>
      </c>
      <c r="M82" s="26">
        <f>SUM(H83+H106)</f>
        <v>159.71199999999999</v>
      </c>
    </row>
    <row r="83" spans="1:13" x14ac:dyDescent="0.3">
      <c r="A83" s="99">
        <v>46118</v>
      </c>
      <c r="B83" s="82" t="s">
        <v>57</v>
      </c>
      <c r="C83" s="28" t="s">
        <v>949</v>
      </c>
      <c r="D83" s="82" t="s">
        <v>26</v>
      </c>
      <c r="E83" s="171"/>
      <c r="F83" s="166">
        <v>174358.44</v>
      </c>
      <c r="G83" s="161">
        <f t="shared" si="1"/>
        <v>780643.48</v>
      </c>
      <c r="H83" s="51">
        <v>74.385000000000005</v>
      </c>
      <c r="I83" s="10" t="s">
        <v>92</v>
      </c>
      <c r="J83" s="110"/>
      <c r="K83" s="69" t="s">
        <v>3</v>
      </c>
      <c r="L83" s="73" t="s">
        <v>92</v>
      </c>
      <c r="M83" s="26">
        <f>SUM(H78+H90+H98+H118)</f>
        <v>76.792000000000002</v>
      </c>
    </row>
    <row r="84" spans="1:13" x14ac:dyDescent="0.3">
      <c r="A84" s="99">
        <v>46118</v>
      </c>
      <c r="B84" s="82" t="s">
        <v>57</v>
      </c>
      <c r="C84" s="28" t="s">
        <v>950</v>
      </c>
      <c r="D84" s="82" t="s">
        <v>24</v>
      </c>
      <c r="E84" s="171"/>
      <c r="F84" s="166">
        <v>45000.11</v>
      </c>
      <c r="G84" s="161">
        <f t="shared" si="1"/>
        <v>735643.37</v>
      </c>
      <c r="H84" s="51">
        <v>19.198</v>
      </c>
      <c r="I84" s="10" t="s">
        <v>92</v>
      </c>
      <c r="J84" s="110"/>
      <c r="K84" s="69" t="s">
        <v>5</v>
      </c>
      <c r="L84" s="73" t="s">
        <v>92</v>
      </c>
      <c r="M84" s="26">
        <f>SUM(H76+H87+H91+H103+H110+H115+H116)</f>
        <v>134.38600000000002</v>
      </c>
    </row>
    <row r="85" spans="1:13" x14ac:dyDescent="0.3">
      <c r="A85" s="99">
        <v>46119</v>
      </c>
      <c r="B85" s="82" t="s">
        <v>57</v>
      </c>
      <c r="C85" s="28" t="s">
        <v>951</v>
      </c>
      <c r="D85" s="82" t="s">
        <v>61</v>
      </c>
      <c r="E85" s="171"/>
      <c r="F85" s="166">
        <v>175242</v>
      </c>
      <c r="G85" s="161">
        <f t="shared" si="1"/>
        <v>560401.37</v>
      </c>
      <c r="H85" s="51">
        <v>74.761899999999997</v>
      </c>
      <c r="I85" s="10" t="s">
        <v>92</v>
      </c>
      <c r="J85" s="110"/>
      <c r="K85" s="69" t="s">
        <v>61</v>
      </c>
      <c r="L85" s="73" t="s">
        <v>92</v>
      </c>
      <c r="M85" s="26">
        <f>SUM(H73+H85+H109)</f>
        <v>294.28390000000002</v>
      </c>
    </row>
    <row r="86" spans="1:13" x14ac:dyDescent="0.3">
      <c r="A86" s="99">
        <v>46119</v>
      </c>
      <c r="B86" s="82" t="s">
        <v>57</v>
      </c>
      <c r="C86" s="28" t="s">
        <v>952</v>
      </c>
      <c r="D86" s="82" t="s">
        <v>62</v>
      </c>
      <c r="E86" s="171"/>
      <c r="F86" s="166">
        <v>45000.11</v>
      </c>
      <c r="G86" s="161">
        <f t="shared" si="1"/>
        <v>515401.26</v>
      </c>
      <c r="H86" s="51">
        <v>19.198</v>
      </c>
      <c r="I86" s="10" t="s">
        <v>92</v>
      </c>
      <c r="J86" s="110"/>
      <c r="K86" s="69" t="s">
        <v>22</v>
      </c>
      <c r="L86" s="73" t="s">
        <v>92</v>
      </c>
      <c r="M86" s="26">
        <f>SUM(H102)</f>
        <v>506.46499999999997</v>
      </c>
    </row>
    <row r="87" spans="1:13" x14ac:dyDescent="0.3">
      <c r="A87" s="99">
        <v>46119</v>
      </c>
      <c r="B87" s="82" t="s">
        <v>57</v>
      </c>
      <c r="C87" s="28" t="s">
        <v>953</v>
      </c>
      <c r="D87" s="82" t="s">
        <v>5</v>
      </c>
      <c r="E87" s="171"/>
      <c r="F87" s="166">
        <v>45000.11</v>
      </c>
      <c r="G87" s="161">
        <f t="shared" si="1"/>
        <v>470401.15</v>
      </c>
      <c r="H87" s="51">
        <v>19.198</v>
      </c>
      <c r="I87" s="10" t="s">
        <v>92</v>
      </c>
      <c r="J87" s="110"/>
      <c r="K87" s="69" t="s">
        <v>6</v>
      </c>
      <c r="L87" s="73" t="s">
        <v>92</v>
      </c>
      <c r="M87" s="26">
        <f>SUM(H74+H96+H97+H104)</f>
        <v>76.792000000000002</v>
      </c>
    </row>
    <row r="88" spans="1:13" x14ac:dyDescent="0.3">
      <c r="A88" s="99">
        <v>46119</v>
      </c>
      <c r="B88" s="82" t="s">
        <v>57</v>
      </c>
      <c r="C88" s="28" t="s">
        <v>954</v>
      </c>
      <c r="D88" s="82" t="s">
        <v>9</v>
      </c>
      <c r="E88" s="171"/>
      <c r="F88" s="166">
        <v>235603.89</v>
      </c>
      <c r="G88" s="161">
        <f t="shared" si="1"/>
        <v>234797.26</v>
      </c>
      <c r="H88" s="51">
        <v>105.937</v>
      </c>
      <c r="I88" s="10" t="s">
        <v>92</v>
      </c>
      <c r="J88" s="110"/>
      <c r="K88" s="69" t="s">
        <v>8</v>
      </c>
      <c r="L88" s="73" t="s">
        <v>92</v>
      </c>
      <c r="M88" s="26">
        <f>SUM(H75+H101+H107)</f>
        <v>57.594000000000001</v>
      </c>
    </row>
    <row r="89" spans="1:13" x14ac:dyDescent="0.3">
      <c r="A89" s="99">
        <v>46119</v>
      </c>
      <c r="B89" s="82" t="s">
        <v>57</v>
      </c>
      <c r="C89" s="28" t="s">
        <v>955</v>
      </c>
      <c r="D89" s="82" t="s">
        <v>62</v>
      </c>
      <c r="E89" s="171"/>
      <c r="F89" s="166">
        <v>121658.29</v>
      </c>
      <c r="G89" s="161">
        <f t="shared" si="1"/>
        <v>113138.97000000002</v>
      </c>
      <c r="H89" s="51">
        <v>51.902000000000001</v>
      </c>
      <c r="I89" s="10" t="s">
        <v>92</v>
      </c>
      <c r="J89" s="110"/>
      <c r="K89" s="69" t="s">
        <v>9</v>
      </c>
      <c r="L89" s="73" t="s">
        <v>92</v>
      </c>
      <c r="M89" s="26">
        <f>SUM(H80+H88+H95)</f>
        <v>273.1995</v>
      </c>
    </row>
    <row r="90" spans="1:13" x14ac:dyDescent="0.3">
      <c r="A90" s="99">
        <v>46119</v>
      </c>
      <c r="B90" s="82" t="s">
        <v>57</v>
      </c>
      <c r="C90" s="28" t="s">
        <v>956</v>
      </c>
      <c r="D90" s="82" t="s">
        <v>3</v>
      </c>
      <c r="E90" s="171"/>
      <c r="F90" s="166">
        <v>45000.11</v>
      </c>
      <c r="G90" s="161">
        <f t="shared" si="1"/>
        <v>68138.860000000015</v>
      </c>
      <c r="H90" s="51">
        <v>19.198</v>
      </c>
      <c r="I90" s="10" t="s">
        <v>92</v>
      </c>
      <c r="J90" s="110"/>
      <c r="K90" s="69" t="s">
        <v>30</v>
      </c>
      <c r="L90" s="73" t="s">
        <v>92</v>
      </c>
      <c r="M90" s="26">
        <v>0</v>
      </c>
    </row>
    <row r="91" spans="1:13" x14ac:dyDescent="0.3">
      <c r="A91" s="99">
        <v>46120</v>
      </c>
      <c r="B91" s="82" t="s">
        <v>57</v>
      </c>
      <c r="C91" s="28" t="s">
        <v>957</v>
      </c>
      <c r="D91" s="82" t="s">
        <v>5</v>
      </c>
      <c r="E91" s="171"/>
      <c r="F91" s="166">
        <v>45000.11</v>
      </c>
      <c r="G91" s="161">
        <f t="shared" si="1"/>
        <v>23138.750000000015</v>
      </c>
      <c r="H91" s="51">
        <v>19.198</v>
      </c>
      <c r="I91" s="10" t="s">
        <v>92</v>
      </c>
      <c r="J91" s="110"/>
      <c r="K91" s="69" t="s">
        <v>10</v>
      </c>
      <c r="L91" s="73" t="s">
        <v>92</v>
      </c>
      <c r="M91" s="26">
        <v>0</v>
      </c>
    </row>
    <row r="92" spans="1:13" x14ac:dyDescent="0.3">
      <c r="A92" s="99">
        <v>46120</v>
      </c>
      <c r="B92" s="82" t="s">
        <v>57</v>
      </c>
      <c r="C92" s="28" t="s">
        <v>958</v>
      </c>
      <c r="D92" s="82" t="s">
        <v>917</v>
      </c>
      <c r="E92" s="171"/>
      <c r="F92" s="166">
        <v>45000.11</v>
      </c>
      <c r="G92" s="159">
        <f t="shared" si="1"/>
        <v>-21861.359999999986</v>
      </c>
      <c r="H92" s="51">
        <v>19.198</v>
      </c>
      <c r="I92" s="10" t="s">
        <v>92</v>
      </c>
      <c r="J92" s="110"/>
      <c r="K92" s="69" t="s">
        <v>11</v>
      </c>
      <c r="L92" s="73" t="s">
        <v>92</v>
      </c>
      <c r="M92" s="26">
        <f>SUM(H93+H99+H117)</f>
        <v>93.789999999999992</v>
      </c>
    </row>
    <row r="93" spans="1:13" ht="13.95" customHeight="1" x14ac:dyDescent="0.3">
      <c r="A93" s="99">
        <v>46120</v>
      </c>
      <c r="B93" s="82" t="s">
        <v>57</v>
      </c>
      <c r="C93" s="28" t="s">
        <v>959</v>
      </c>
      <c r="D93" s="82" t="s">
        <v>117</v>
      </c>
      <c r="E93" s="171"/>
      <c r="F93" s="166">
        <v>41833.440000000002</v>
      </c>
      <c r="G93" s="159">
        <f t="shared" si="1"/>
        <v>-63694.799999999988</v>
      </c>
      <c r="H93" s="51">
        <v>18.809999999999999</v>
      </c>
      <c r="I93" s="10" t="s">
        <v>92</v>
      </c>
      <c r="J93" s="110"/>
      <c r="K93" s="76" t="s">
        <v>36</v>
      </c>
      <c r="L93" s="80" t="s">
        <v>744</v>
      </c>
      <c r="M93" s="80" t="s">
        <v>760</v>
      </c>
    </row>
    <row r="94" spans="1:13" ht="13.95" customHeight="1" x14ac:dyDescent="0.3">
      <c r="A94" s="306">
        <v>46120</v>
      </c>
      <c r="B94" s="327" t="s">
        <v>60</v>
      </c>
      <c r="C94" s="330" t="s">
        <v>960</v>
      </c>
      <c r="D94" s="327" t="s">
        <v>1218</v>
      </c>
      <c r="E94" s="357">
        <v>2000000</v>
      </c>
      <c r="F94" s="369"/>
      <c r="G94" s="316">
        <f t="shared" si="1"/>
        <v>1936305.2</v>
      </c>
      <c r="H94" s="311"/>
      <c r="I94" s="199" t="s">
        <v>1222</v>
      </c>
      <c r="J94" s="110"/>
      <c r="K94" s="540" t="s">
        <v>695</v>
      </c>
      <c r="L94" s="541"/>
      <c r="M94" s="148">
        <f>SUM(M75:M92)</f>
        <v>1946.3863999999999</v>
      </c>
    </row>
    <row r="95" spans="1:13" ht="13.95" customHeight="1" x14ac:dyDescent="0.3">
      <c r="A95" s="99">
        <v>46120</v>
      </c>
      <c r="B95" s="82" t="s">
        <v>57</v>
      </c>
      <c r="C95" s="28" t="s">
        <v>961</v>
      </c>
      <c r="D95" s="82" t="s">
        <v>9</v>
      </c>
      <c r="E95" s="171"/>
      <c r="F95" s="166">
        <v>164991.89000000001</v>
      </c>
      <c r="G95" s="161">
        <f t="shared" si="1"/>
        <v>1771313.31</v>
      </c>
      <c r="H95" s="51">
        <v>74.186999999999998</v>
      </c>
      <c r="I95" s="10" t="s">
        <v>92</v>
      </c>
      <c r="J95" s="110"/>
    </row>
    <row r="96" spans="1:13" ht="13.95" customHeight="1" x14ac:dyDescent="0.3">
      <c r="A96" s="99">
        <v>46120</v>
      </c>
      <c r="B96" s="82" t="s">
        <v>57</v>
      </c>
      <c r="C96" s="28" t="s">
        <v>962</v>
      </c>
      <c r="D96" s="82" t="s">
        <v>6</v>
      </c>
      <c r="E96" s="171"/>
      <c r="F96" s="166">
        <v>45000.11</v>
      </c>
      <c r="G96" s="161">
        <f t="shared" si="1"/>
        <v>1726313.2</v>
      </c>
      <c r="H96" s="51">
        <v>19.198</v>
      </c>
      <c r="I96" s="10" t="s">
        <v>92</v>
      </c>
      <c r="J96" s="110"/>
    </row>
    <row r="97" spans="1:10" ht="13.95" customHeight="1" x14ac:dyDescent="0.3">
      <c r="A97" s="60">
        <v>46120</v>
      </c>
      <c r="B97" s="82" t="s">
        <v>57</v>
      </c>
      <c r="C97" s="65" t="s">
        <v>963</v>
      </c>
      <c r="D97" s="15" t="s">
        <v>6</v>
      </c>
      <c r="E97" s="169"/>
      <c r="F97" s="168">
        <v>45000.11</v>
      </c>
      <c r="G97" s="161">
        <f t="shared" si="1"/>
        <v>1681313.0899999999</v>
      </c>
      <c r="H97" s="51">
        <v>19.198</v>
      </c>
      <c r="I97" s="10" t="s">
        <v>92</v>
      </c>
      <c r="J97" s="110"/>
    </row>
    <row r="98" spans="1:10" ht="13.95" customHeight="1" x14ac:dyDescent="0.3">
      <c r="A98" s="60">
        <v>46121</v>
      </c>
      <c r="B98" s="99" t="s">
        <v>57</v>
      </c>
      <c r="C98" s="65" t="s">
        <v>964</v>
      </c>
      <c r="D98" s="15" t="s">
        <v>3</v>
      </c>
      <c r="E98" s="169"/>
      <c r="F98" s="168">
        <v>45000.11</v>
      </c>
      <c r="G98" s="160">
        <f t="shared" si="1"/>
        <v>1636312.9799999997</v>
      </c>
      <c r="H98" s="51">
        <v>19.198</v>
      </c>
      <c r="I98" s="10" t="s">
        <v>92</v>
      </c>
      <c r="J98" s="110"/>
    </row>
    <row r="99" spans="1:10" ht="13.95" customHeight="1" x14ac:dyDescent="0.3">
      <c r="A99" s="60">
        <v>46121</v>
      </c>
      <c r="B99" s="99" t="s">
        <v>57</v>
      </c>
      <c r="C99" s="65" t="s">
        <v>965</v>
      </c>
      <c r="D99" s="15" t="s">
        <v>117</v>
      </c>
      <c r="E99" s="169"/>
      <c r="F99" s="168">
        <v>124944.32000000001</v>
      </c>
      <c r="G99" s="160">
        <f t="shared" si="1"/>
        <v>1511368.6599999997</v>
      </c>
      <c r="H99" s="51">
        <v>56.18</v>
      </c>
      <c r="I99" s="10" t="s">
        <v>92</v>
      </c>
      <c r="J99" s="110"/>
    </row>
    <row r="100" spans="1:10" ht="13.95" customHeight="1" x14ac:dyDescent="0.3">
      <c r="A100" s="60">
        <v>46121</v>
      </c>
      <c r="B100" s="99" t="s">
        <v>57</v>
      </c>
      <c r="C100" s="65" t="s">
        <v>966</v>
      </c>
      <c r="D100" s="15" t="s">
        <v>917</v>
      </c>
      <c r="E100" s="169"/>
      <c r="F100" s="168">
        <v>45000.11</v>
      </c>
      <c r="G100" s="160">
        <f t="shared" si="1"/>
        <v>1466368.5499999996</v>
      </c>
      <c r="H100" s="51">
        <v>19.198</v>
      </c>
      <c r="I100" s="10" t="s">
        <v>92</v>
      </c>
      <c r="J100" s="110"/>
    </row>
    <row r="101" spans="1:10" ht="13.95" customHeight="1" x14ac:dyDescent="0.3">
      <c r="A101" s="60">
        <v>46121</v>
      </c>
      <c r="B101" s="99" t="s">
        <v>57</v>
      </c>
      <c r="C101" s="65" t="s">
        <v>967</v>
      </c>
      <c r="D101" s="15" t="s">
        <v>8</v>
      </c>
      <c r="E101" s="169"/>
      <c r="F101" s="168">
        <v>45000.11</v>
      </c>
      <c r="G101" s="160">
        <f t="shared" si="1"/>
        <v>1421368.4399999995</v>
      </c>
      <c r="H101" s="51">
        <v>19.198</v>
      </c>
      <c r="I101" s="10" t="s">
        <v>92</v>
      </c>
      <c r="J101" s="110"/>
    </row>
    <row r="102" spans="1:10" ht="13.95" customHeight="1" x14ac:dyDescent="0.3">
      <c r="A102" s="60">
        <v>46121</v>
      </c>
      <c r="B102" s="99" t="s">
        <v>57</v>
      </c>
      <c r="C102" s="65" t="s">
        <v>968</v>
      </c>
      <c r="D102" s="15" t="s">
        <v>22</v>
      </c>
      <c r="E102" s="169"/>
      <c r="F102" s="168">
        <v>1187153.96</v>
      </c>
      <c r="G102" s="160">
        <f t="shared" si="1"/>
        <v>234214.47999999952</v>
      </c>
      <c r="H102" s="9">
        <v>506.46499999999997</v>
      </c>
      <c r="I102" s="10" t="s">
        <v>92</v>
      </c>
      <c r="J102" s="110"/>
    </row>
    <row r="103" spans="1:10" ht="13.95" customHeight="1" x14ac:dyDescent="0.3">
      <c r="A103" s="60">
        <v>46121</v>
      </c>
      <c r="B103" s="99" t="s">
        <v>57</v>
      </c>
      <c r="C103" s="65" t="s">
        <v>969</v>
      </c>
      <c r="D103" s="15" t="s">
        <v>5</v>
      </c>
      <c r="E103" s="169"/>
      <c r="F103" s="168">
        <v>45000</v>
      </c>
      <c r="G103" s="160">
        <f t="shared" si="1"/>
        <v>189214.47999999952</v>
      </c>
      <c r="H103" s="51">
        <v>19.198</v>
      </c>
      <c r="I103" s="10" t="s">
        <v>92</v>
      </c>
      <c r="J103" s="110"/>
    </row>
    <row r="104" spans="1:10" ht="13.95" customHeight="1" x14ac:dyDescent="0.3">
      <c r="A104" s="60">
        <v>46121</v>
      </c>
      <c r="B104" s="99" t="s">
        <v>57</v>
      </c>
      <c r="C104" s="65" t="s">
        <v>970</v>
      </c>
      <c r="D104" s="15" t="s">
        <v>6</v>
      </c>
      <c r="E104" s="169"/>
      <c r="F104" s="168">
        <v>45000.11</v>
      </c>
      <c r="G104" s="160">
        <f t="shared" si="1"/>
        <v>144214.36999999953</v>
      </c>
      <c r="H104" s="51">
        <v>19.198</v>
      </c>
      <c r="I104" s="10" t="s">
        <v>92</v>
      </c>
      <c r="J104" s="110"/>
    </row>
    <row r="105" spans="1:10" ht="13.95" customHeight="1" x14ac:dyDescent="0.3">
      <c r="A105" s="60">
        <v>46121</v>
      </c>
      <c r="B105" s="99" t="s">
        <v>57</v>
      </c>
      <c r="C105" s="65" t="s">
        <v>971</v>
      </c>
      <c r="D105" s="15" t="s">
        <v>917</v>
      </c>
      <c r="E105" s="169"/>
      <c r="F105" s="168">
        <v>45000.11</v>
      </c>
      <c r="G105" s="160">
        <f t="shared" si="1"/>
        <v>99214.259999999529</v>
      </c>
      <c r="H105" s="51">
        <v>19.198</v>
      </c>
      <c r="I105" s="10" t="s">
        <v>92</v>
      </c>
      <c r="J105" s="110"/>
    </row>
    <row r="106" spans="1:10" ht="13.95" customHeight="1" x14ac:dyDescent="0.3">
      <c r="A106" s="60">
        <v>46121</v>
      </c>
      <c r="B106" s="99" t="s">
        <v>57</v>
      </c>
      <c r="C106" s="65" t="s">
        <v>972</v>
      </c>
      <c r="D106" s="15" t="s">
        <v>26</v>
      </c>
      <c r="E106" s="169"/>
      <c r="F106" s="168">
        <v>200006.49</v>
      </c>
      <c r="G106" s="159">
        <f t="shared" si="1"/>
        <v>-100792.23000000046</v>
      </c>
      <c r="H106" s="51">
        <v>85.326999999999998</v>
      </c>
      <c r="I106" s="10" t="s">
        <v>92</v>
      </c>
      <c r="J106" s="110"/>
    </row>
    <row r="107" spans="1:10" ht="13.95" customHeight="1" x14ac:dyDescent="0.3">
      <c r="A107" s="60">
        <v>46122</v>
      </c>
      <c r="B107" s="99" t="s">
        <v>57</v>
      </c>
      <c r="C107" s="65" t="s">
        <v>973</v>
      </c>
      <c r="D107" s="15" t="s">
        <v>8</v>
      </c>
      <c r="E107" s="169"/>
      <c r="F107" s="168">
        <v>45000.11</v>
      </c>
      <c r="G107" s="159">
        <f t="shared" si="1"/>
        <v>-145792.34000000046</v>
      </c>
      <c r="H107" s="51">
        <v>19.198</v>
      </c>
      <c r="I107" s="10" t="s">
        <v>92</v>
      </c>
      <c r="J107" s="110"/>
    </row>
    <row r="108" spans="1:10" ht="13.95" customHeight="1" x14ac:dyDescent="0.3">
      <c r="A108" s="60">
        <v>46122</v>
      </c>
      <c r="B108" s="99" t="s">
        <v>57</v>
      </c>
      <c r="C108" s="65" t="s">
        <v>974</v>
      </c>
      <c r="D108" s="15" t="s">
        <v>62</v>
      </c>
      <c r="E108" s="169"/>
      <c r="F108" s="168">
        <v>45000.11</v>
      </c>
      <c r="G108" s="159">
        <f t="shared" si="1"/>
        <v>-190792.45000000048</v>
      </c>
      <c r="H108" s="51">
        <v>19.198</v>
      </c>
      <c r="I108" s="10" t="s">
        <v>92</v>
      </c>
      <c r="J108" s="110"/>
    </row>
    <row r="109" spans="1:10" ht="13.95" customHeight="1" x14ac:dyDescent="0.3">
      <c r="A109" s="60">
        <v>46122</v>
      </c>
      <c r="B109" s="99" t="s">
        <v>57</v>
      </c>
      <c r="C109" s="65" t="s">
        <v>975</v>
      </c>
      <c r="D109" s="15" t="s">
        <v>61</v>
      </c>
      <c r="E109" s="169"/>
      <c r="F109" s="168">
        <v>412572.13</v>
      </c>
      <c r="G109" s="159">
        <f t="shared" si="1"/>
        <v>-603364.58000000054</v>
      </c>
      <c r="H109" s="51">
        <v>176.012</v>
      </c>
      <c r="I109" s="10" t="s">
        <v>92</v>
      </c>
      <c r="J109" s="110"/>
    </row>
    <row r="110" spans="1:10" ht="13.95" customHeight="1" x14ac:dyDescent="0.3">
      <c r="A110" s="60">
        <v>46122</v>
      </c>
      <c r="B110" s="99" t="s">
        <v>57</v>
      </c>
      <c r="C110" s="65" t="s">
        <v>976</v>
      </c>
      <c r="D110" s="15" t="s">
        <v>5</v>
      </c>
      <c r="E110" s="169"/>
      <c r="F110" s="168">
        <v>45000.11</v>
      </c>
      <c r="G110" s="159">
        <f t="shared" si="1"/>
        <v>-648364.69000000053</v>
      </c>
      <c r="H110" s="51">
        <v>19.198</v>
      </c>
      <c r="I110" s="10" t="s">
        <v>92</v>
      </c>
      <c r="J110" s="110"/>
    </row>
    <row r="111" spans="1:10" ht="13.95" customHeight="1" x14ac:dyDescent="0.3">
      <c r="A111" s="202">
        <v>46122</v>
      </c>
      <c r="B111" s="306" t="s">
        <v>60</v>
      </c>
      <c r="C111" s="203" t="s">
        <v>977</v>
      </c>
      <c r="D111" s="308" t="s">
        <v>1218</v>
      </c>
      <c r="E111" s="200">
        <v>1500000</v>
      </c>
      <c r="F111" s="315"/>
      <c r="G111" s="310">
        <f t="shared" si="1"/>
        <v>851635.30999999947</v>
      </c>
      <c r="H111" s="311"/>
      <c r="I111" s="199" t="s">
        <v>1222</v>
      </c>
      <c r="J111" s="110"/>
    </row>
    <row r="112" spans="1:10" ht="13.95" customHeight="1" x14ac:dyDescent="0.3">
      <c r="A112" s="60">
        <v>46122</v>
      </c>
      <c r="B112" s="99" t="s">
        <v>57</v>
      </c>
      <c r="C112" s="65" t="s">
        <v>978</v>
      </c>
      <c r="D112" s="15" t="s">
        <v>361</v>
      </c>
      <c r="E112" s="169"/>
      <c r="F112" s="168">
        <v>22560.06</v>
      </c>
      <c r="G112" s="160">
        <f t="shared" si="1"/>
        <v>829075.24999999942</v>
      </c>
      <c r="H112" s="51">
        <v>10.292</v>
      </c>
      <c r="I112" s="10" t="s">
        <v>92</v>
      </c>
      <c r="J112" s="110"/>
    </row>
    <row r="113" spans="1:13" ht="13.95" customHeight="1" x14ac:dyDescent="0.3">
      <c r="A113" s="60">
        <v>46122</v>
      </c>
      <c r="B113" s="99" t="s">
        <v>57</v>
      </c>
      <c r="C113" s="65" t="s">
        <v>979</v>
      </c>
      <c r="D113" s="15" t="s">
        <v>62</v>
      </c>
      <c r="E113" s="169"/>
      <c r="F113" s="168">
        <v>45000.11</v>
      </c>
      <c r="G113" s="160">
        <f t="shared" si="1"/>
        <v>784075.13999999943</v>
      </c>
      <c r="H113" s="51">
        <v>19.198</v>
      </c>
      <c r="I113" s="10" t="s">
        <v>92</v>
      </c>
      <c r="J113" s="110"/>
    </row>
    <row r="114" spans="1:13" ht="13.95" customHeight="1" x14ac:dyDescent="0.3">
      <c r="A114" s="60">
        <v>46123</v>
      </c>
      <c r="B114" s="99" t="s">
        <v>57</v>
      </c>
      <c r="C114" s="65" t="s">
        <v>980</v>
      </c>
      <c r="D114" s="15" t="s">
        <v>62</v>
      </c>
      <c r="E114" s="169"/>
      <c r="F114" s="168">
        <v>45000.11</v>
      </c>
      <c r="G114" s="160">
        <f t="shared" si="1"/>
        <v>739075.02999999945</v>
      </c>
      <c r="H114" s="51">
        <v>19.198</v>
      </c>
      <c r="I114" s="10" t="s">
        <v>92</v>
      </c>
      <c r="J114" s="110"/>
    </row>
    <row r="115" spans="1:13" ht="13.95" customHeight="1" x14ac:dyDescent="0.3">
      <c r="A115" s="60">
        <v>46123</v>
      </c>
      <c r="B115" s="99" t="s">
        <v>57</v>
      </c>
      <c r="C115" s="65" t="s">
        <v>981</v>
      </c>
      <c r="D115" s="15" t="s">
        <v>5</v>
      </c>
      <c r="E115" s="169"/>
      <c r="F115" s="168">
        <v>45000.11</v>
      </c>
      <c r="G115" s="160">
        <f t="shared" si="1"/>
        <v>694074.91999999946</v>
      </c>
      <c r="H115" s="51">
        <v>19.198</v>
      </c>
      <c r="I115" s="10" t="s">
        <v>92</v>
      </c>
      <c r="J115" s="110"/>
    </row>
    <row r="116" spans="1:13" ht="13.95" customHeight="1" x14ac:dyDescent="0.3">
      <c r="A116" s="60">
        <v>46123</v>
      </c>
      <c r="B116" s="99" t="s">
        <v>57</v>
      </c>
      <c r="C116" s="65" t="s">
        <v>982</v>
      </c>
      <c r="D116" s="15" t="s">
        <v>5</v>
      </c>
      <c r="E116" s="169"/>
      <c r="F116" s="168">
        <v>45000.11</v>
      </c>
      <c r="G116" s="160">
        <f t="shared" si="1"/>
        <v>649074.80999999947</v>
      </c>
      <c r="H116" s="51">
        <v>19.198</v>
      </c>
      <c r="I116" s="10" t="s">
        <v>92</v>
      </c>
      <c r="J116" s="110"/>
    </row>
    <row r="117" spans="1:13" ht="13.95" customHeight="1" x14ac:dyDescent="0.3">
      <c r="A117" s="60">
        <v>46123</v>
      </c>
      <c r="B117" s="99" t="s">
        <v>57</v>
      </c>
      <c r="C117" s="65" t="s">
        <v>983</v>
      </c>
      <c r="D117" s="15" t="s">
        <v>117</v>
      </c>
      <c r="E117" s="169"/>
      <c r="F117" s="168">
        <v>44067.199999999997</v>
      </c>
      <c r="G117" s="160">
        <f t="shared" si="1"/>
        <v>605007.60999999952</v>
      </c>
      <c r="H117" s="51">
        <v>18.8</v>
      </c>
      <c r="I117" s="10" t="s">
        <v>92</v>
      </c>
      <c r="J117" s="110"/>
    </row>
    <row r="118" spans="1:13" ht="13.95" customHeight="1" x14ac:dyDescent="0.3">
      <c r="A118" s="60">
        <v>46123</v>
      </c>
      <c r="B118" s="99" t="s">
        <v>57</v>
      </c>
      <c r="C118" s="65" t="s">
        <v>984</v>
      </c>
      <c r="D118" s="15" t="s">
        <v>3</v>
      </c>
      <c r="E118" s="169"/>
      <c r="F118" s="168">
        <v>45000.11</v>
      </c>
      <c r="G118" s="160">
        <f t="shared" si="1"/>
        <v>560007.49999999953</v>
      </c>
      <c r="H118" s="51">
        <v>19.198</v>
      </c>
      <c r="I118" s="10" t="s">
        <v>92</v>
      </c>
      <c r="J118" s="110"/>
    </row>
    <row r="119" spans="1:13" ht="13.95" customHeight="1" x14ac:dyDescent="0.3">
      <c r="A119" s="534" t="s">
        <v>694</v>
      </c>
      <c r="B119" s="534"/>
      <c r="C119" s="534"/>
      <c r="D119" s="534"/>
      <c r="E119" s="534"/>
      <c r="F119" s="534"/>
      <c r="G119" s="534"/>
      <c r="H119" s="540">
        <f>SUM(H72:H118)</f>
        <v>1946.3864000000005</v>
      </c>
      <c r="I119" s="541"/>
      <c r="J119" s="110"/>
    </row>
    <row r="120" spans="1:13" ht="13.95" customHeight="1" x14ac:dyDescent="0.3">
      <c r="A120" s="546" t="s">
        <v>1013</v>
      </c>
      <c r="B120" s="547"/>
      <c r="C120" s="547"/>
      <c r="D120" s="547"/>
      <c r="E120" s="547"/>
      <c r="F120" s="547"/>
      <c r="G120" s="547"/>
      <c r="H120" s="547"/>
      <c r="I120" s="548"/>
      <c r="J120" s="110"/>
      <c r="K120" s="526" t="s">
        <v>1044</v>
      </c>
      <c r="L120" s="526"/>
      <c r="M120" s="526"/>
    </row>
    <row r="121" spans="1:13" ht="13.95" customHeight="1" x14ac:dyDescent="0.3">
      <c r="A121" s="60">
        <v>46124</v>
      </c>
      <c r="B121" s="99" t="s">
        <v>57</v>
      </c>
      <c r="C121" s="65" t="s">
        <v>985</v>
      </c>
      <c r="D121" s="15" t="s">
        <v>8</v>
      </c>
      <c r="E121" s="169"/>
      <c r="F121" s="168">
        <v>45000.11</v>
      </c>
      <c r="G121" s="160">
        <f>+G118+E121-F121</f>
        <v>515007.38999999955</v>
      </c>
      <c r="H121" s="51">
        <v>19.198</v>
      </c>
      <c r="I121" s="10" t="s">
        <v>92</v>
      </c>
      <c r="J121" s="110"/>
      <c r="K121" s="545" t="s">
        <v>34</v>
      </c>
      <c r="L121" s="545"/>
      <c r="M121" s="545"/>
    </row>
    <row r="122" spans="1:13" ht="13.95" customHeight="1" x14ac:dyDescent="0.3">
      <c r="A122" s="60">
        <v>46124</v>
      </c>
      <c r="B122" s="99" t="s">
        <v>57</v>
      </c>
      <c r="C122" s="65" t="s">
        <v>986</v>
      </c>
      <c r="D122" s="15" t="s">
        <v>5</v>
      </c>
      <c r="E122" s="169"/>
      <c r="F122" s="168">
        <v>45000.11</v>
      </c>
      <c r="G122" s="160">
        <f t="shared" si="1"/>
        <v>470007.27999999956</v>
      </c>
      <c r="H122" s="51">
        <v>19.198</v>
      </c>
      <c r="I122" s="10" t="s">
        <v>92</v>
      </c>
      <c r="J122" s="110"/>
      <c r="K122" s="71" t="s">
        <v>32</v>
      </c>
      <c r="L122" s="43" t="s">
        <v>35</v>
      </c>
      <c r="M122" s="43" t="s">
        <v>33</v>
      </c>
    </row>
    <row r="123" spans="1:13" ht="13.95" customHeight="1" x14ac:dyDescent="0.3">
      <c r="A123" s="60">
        <v>46124</v>
      </c>
      <c r="B123" s="99" t="s">
        <v>57</v>
      </c>
      <c r="C123" s="65" t="s">
        <v>987</v>
      </c>
      <c r="D123" s="15" t="s">
        <v>3</v>
      </c>
      <c r="E123" s="169"/>
      <c r="F123" s="168">
        <v>45000.11</v>
      </c>
      <c r="G123" s="160">
        <f t="shared" si="1"/>
        <v>425007.16999999958</v>
      </c>
      <c r="H123" s="51">
        <v>19.198</v>
      </c>
      <c r="I123" s="10" t="s">
        <v>92</v>
      </c>
      <c r="J123" s="110"/>
      <c r="K123" s="39" t="s">
        <v>0</v>
      </c>
      <c r="L123" s="73" t="s">
        <v>92</v>
      </c>
      <c r="M123" s="26">
        <v>0</v>
      </c>
    </row>
    <row r="124" spans="1:13" ht="13.95" customHeight="1" x14ac:dyDescent="0.3">
      <c r="A124" s="60">
        <v>46124</v>
      </c>
      <c r="B124" s="99" t="s">
        <v>57</v>
      </c>
      <c r="C124" s="65" t="s">
        <v>988</v>
      </c>
      <c r="D124" s="15" t="s">
        <v>24</v>
      </c>
      <c r="E124" s="169"/>
      <c r="F124" s="168">
        <v>45000.11</v>
      </c>
      <c r="G124" s="160">
        <f t="shared" si="1"/>
        <v>380007.05999999959</v>
      </c>
      <c r="H124" s="51">
        <v>19.198</v>
      </c>
      <c r="I124" s="10" t="s">
        <v>92</v>
      </c>
      <c r="J124" s="110"/>
      <c r="K124" s="69" t="s">
        <v>1</v>
      </c>
      <c r="L124" s="73" t="s">
        <v>92</v>
      </c>
      <c r="M124" s="42">
        <v>0</v>
      </c>
    </row>
    <row r="125" spans="1:13" ht="13.95" customHeight="1" x14ac:dyDescent="0.3">
      <c r="A125" s="60">
        <v>46124</v>
      </c>
      <c r="B125" s="99" t="s">
        <v>57</v>
      </c>
      <c r="C125" s="65" t="s">
        <v>989</v>
      </c>
      <c r="D125" s="15" t="s">
        <v>9</v>
      </c>
      <c r="E125" s="169"/>
      <c r="F125" s="168">
        <v>303713.89</v>
      </c>
      <c r="G125" s="160">
        <f t="shared" si="1"/>
        <v>76293.169999999576</v>
      </c>
      <c r="H125" s="51">
        <v>136.56200000000001</v>
      </c>
      <c r="I125" s="10" t="s">
        <v>92</v>
      </c>
      <c r="J125" s="110"/>
      <c r="K125" s="24" t="s">
        <v>27</v>
      </c>
      <c r="L125" s="73" t="s">
        <v>92</v>
      </c>
      <c r="M125" s="26">
        <v>0</v>
      </c>
    </row>
    <row r="126" spans="1:13" ht="13.95" customHeight="1" x14ac:dyDescent="0.3">
      <c r="A126" s="60">
        <v>46125</v>
      </c>
      <c r="B126" s="99" t="s">
        <v>57</v>
      </c>
      <c r="C126" s="65" t="s">
        <v>990</v>
      </c>
      <c r="D126" s="15" t="s">
        <v>8</v>
      </c>
      <c r="E126" s="169"/>
      <c r="F126" s="168">
        <v>45000.11</v>
      </c>
      <c r="G126" s="160">
        <f t="shared" si="1"/>
        <v>31293.059999999576</v>
      </c>
      <c r="H126" s="51">
        <v>19.198</v>
      </c>
      <c r="I126" s="10" t="s">
        <v>92</v>
      </c>
      <c r="J126" s="110"/>
      <c r="K126" s="76" t="s">
        <v>429</v>
      </c>
      <c r="L126" s="73" t="s">
        <v>92</v>
      </c>
      <c r="M126" s="80">
        <f>SUM(H134+H141+H148+H159+H163+H168)</f>
        <v>140.78400000000002</v>
      </c>
    </row>
    <row r="127" spans="1:13" ht="13.95" customHeight="1" x14ac:dyDescent="0.3">
      <c r="A127" s="60">
        <v>46125</v>
      </c>
      <c r="B127" s="99" t="s">
        <v>57</v>
      </c>
      <c r="C127" s="65" t="s">
        <v>991</v>
      </c>
      <c r="D127" s="15" t="s">
        <v>117</v>
      </c>
      <c r="E127" s="169"/>
      <c r="F127" s="168">
        <v>82659.41</v>
      </c>
      <c r="G127" s="159">
        <f t="shared" si="1"/>
        <v>-51366.350000000428</v>
      </c>
      <c r="H127" s="51">
        <v>37.167000000000002</v>
      </c>
      <c r="I127" s="10" t="s">
        <v>92</v>
      </c>
      <c r="J127" s="110"/>
      <c r="K127" s="76" t="s">
        <v>62</v>
      </c>
      <c r="L127" s="73" t="s">
        <v>92</v>
      </c>
      <c r="M127" s="80">
        <f>SUM(H130+H146+H154+H170)</f>
        <v>83.191000000000003</v>
      </c>
    </row>
    <row r="128" spans="1:13" ht="13.95" customHeight="1" x14ac:dyDescent="0.3">
      <c r="A128" s="60">
        <v>46125</v>
      </c>
      <c r="B128" s="99" t="s">
        <v>57</v>
      </c>
      <c r="C128" s="65" t="s">
        <v>992</v>
      </c>
      <c r="D128" s="15" t="s">
        <v>117</v>
      </c>
      <c r="E128" s="169"/>
      <c r="F128" s="168">
        <v>113357.28</v>
      </c>
      <c r="G128" s="159">
        <f t="shared" si="1"/>
        <v>-164723.63000000041</v>
      </c>
      <c r="H128" s="51">
        <v>50.97</v>
      </c>
      <c r="I128" s="10" t="s">
        <v>92</v>
      </c>
      <c r="J128" s="110"/>
      <c r="K128" s="76" t="s">
        <v>541</v>
      </c>
      <c r="L128" s="73" t="s">
        <v>92</v>
      </c>
      <c r="M128" s="80">
        <v>0</v>
      </c>
    </row>
    <row r="129" spans="1:13" ht="13.95" customHeight="1" x14ac:dyDescent="0.3">
      <c r="A129" s="60">
        <v>46125</v>
      </c>
      <c r="B129" s="99" t="s">
        <v>57</v>
      </c>
      <c r="C129" s="65" t="s">
        <v>993</v>
      </c>
      <c r="D129" s="15" t="s">
        <v>5</v>
      </c>
      <c r="E129" s="169"/>
      <c r="F129" s="168">
        <v>45000.11</v>
      </c>
      <c r="G129" s="159">
        <f t="shared" si="1"/>
        <v>-209723.7400000004</v>
      </c>
      <c r="H129" s="51">
        <v>19.198</v>
      </c>
      <c r="I129" s="10" t="s">
        <v>92</v>
      </c>
      <c r="J129" s="110"/>
      <c r="K129" s="76" t="s">
        <v>361</v>
      </c>
      <c r="L129" s="73" t="s">
        <v>92</v>
      </c>
      <c r="M129" s="80">
        <f>SUM(H165)</f>
        <v>8.2070000000000007</v>
      </c>
    </row>
    <row r="130" spans="1:13" ht="13.95" customHeight="1" x14ac:dyDescent="0.3">
      <c r="A130" s="60">
        <v>46125</v>
      </c>
      <c r="B130" s="99" t="s">
        <v>57</v>
      </c>
      <c r="C130" s="65" t="s">
        <v>994</v>
      </c>
      <c r="D130" s="15" t="s">
        <v>62</v>
      </c>
      <c r="E130" s="169"/>
      <c r="F130" s="168">
        <v>45000.11</v>
      </c>
      <c r="G130" s="159">
        <f t="shared" si="1"/>
        <v>-254723.85000000038</v>
      </c>
      <c r="H130" s="51">
        <v>19.198</v>
      </c>
      <c r="I130" s="10" t="s">
        <v>92</v>
      </c>
      <c r="J130" s="110"/>
      <c r="K130" s="69" t="s">
        <v>24</v>
      </c>
      <c r="L130" s="73" t="s">
        <v>92</v>
      </c>
      <c r="M130" s="26">
        <f>SUM(H124+H138+H152+H172)</f>
        <v>83.191000000000003</v>
      </c>
    </row>
    <row r="131" spans="1:13" ht="13.95" customHeight="1" x14ac:dyDescent="0.3">
      <c r="A131" s="60">
        <v>46125</v>
      </c>
      <c r="B131" s="99" t="s">
        <v>57</v>
      </c>
      <c r="C131" s="65" t="s">
        <v>995</v>
      </c>
      <c r="D131" s="15" t="s">
        <v>10</v>
      </c>
      <c r="E131" s="169"/>
      <c r="F131" s="168">
        <v>351600</v>
      </c>
      <c r="G131" s="159">
        <f t="shared" si="1"/>
        <v>-606323.85000000033</v>
      </c>
      <c r="H131" s="9">
        <v>150</v>
      </c>
      <c r="I131" s="10" t="s">
        <v>92</v>
      </c>
      <c r="J131" s="110"/>
      <c r="K131" s="69" t="s">
        <v>29</v>
      </c>
      <c r="L131" s="73" t="s">
        <v>92</v>
      </c>
      <c r="M131" s="26">
        <f>SUM(H136+H149+H160)</f>
        <v>213.02769999999998</v>
      </c>
    </row>
    <row r="132" spans="1:13" ht="13.95" customHeight="1" x14ac:dyDescent="0.3">
      <c r="A132" s="202">
        <v>46125</v>
      </c>
      <c r="B132" s="306" t="s">
        <v>60</v>
      </c>
      <c r="C132" s="203" t="s">
        <v>996</v>
      </c>
      <c r="D132" s="308" t="s">
        <v>1218</v>
      </c>
      <c r="E132" s="200">
        <v>1000000</v>
      </c>
      <c r="F132" s="315"/>
      <c r="G132" s="310">
        <f t="shared" si="1"/>
        <v>393676.14999999967</v>
      </c>
      <c r="H132" s="311"/>
      <c r="I132" s="199" t="s">
        <v>1222</v>
      </c>
      <c r="J132" s="110"/>
      <c r="K132" s="69" t="s">
        <v>3</v>
      </c>
      <c r="L132" s="73" t="s">
        <v>92</v>
      </c>
      <c r="M132" s="26">
        <f>SUM(H123+H142+H145+H157+H167+H173)</f>
        <v>140.78400000000002</v>
      </c>
    </row>
    <row r="133" spans="1:13" ht="13.95" customHeight="1" x14ac:dyDescent="0.3">
      <c r="A133" s="60">
        <v>46125</v>
      </c>
      <c r="B133" s="99" t="s">
        <v>57</v>
      </c>
      <c r="C133" s="65" t="s">
        <v>997</v>
      </c>
      <c r="D133" s="15" t="s">
        <v>6</v>
      </c>
      <c r="E133" s="169"/>
      <c r="F133" s="168">
        <v>45000.11</v>
      </c>
      <c r="G133" s="160">
        <f t="shared" si="1"/>
        <v>348676.03999999969</v>
      </c>
      <c r="H133" s="51">
        <v>19.198</v>
      </c>
      <c r="I133" s="10" t="s">
        <v>92</v>
      </c>
      <c r="J133" s="110"/>
      <c r="K133" s="69" t="s">
        <v>5</v>
      </c>
      <c r="L133" s="73" t="s">
        <v>92</v>
      </c>
      <c r="M133" s="26">
        <f>SUM(H122+H129+H139+H144+H147+H169+H174)</f>
        <v>153.58300000000003</v>
      </c>
    </row>
    <row r="134" spans="1:13" ht="13.95" customHeight="1" x14ac:dyDescent="0.3">
      <c r="A134" s="60">
        <v>46125</v>
      </c>
      <c r="B134" s="99" t="s">
        <v>57</v>
      </c>
      <c r="C134" s="65" t="s">
        <v>998</v>
      </c>
      <c r="D134" s="15" t="s">
        <v>917</v>
      </c>
      <c r="E134" s="169"/>
      <c r="F134" s="168">
        <v>45000.11</v>
      </c>
      <c r="G134" s="160">
        <f t="shared" si="1"/>
        <v>303675.9299999997</v>
      </c>
      <c r="H134" s="51">
        <v>19.198</v>
      </c>
      <c r="I134" s="10" t="s">
        <v>92</v>
      </c>
      <c r="J134" s="110"/>
      <c r="K134" s="69" t="s">
        <v>61</v>
      </c>
      <c r="L134" s="73" t="s">
        <v>92</v>
      </c>
      <c r="M134" s="26">
        <f>SUM(H135+H162)</f>
        <v>346.19499999999999</v>
      </c>
    </row>
    <row r="135" spans="1:13" ht="13.95" customHeight="1" x14ac:dyDescent="0.3">
      <c r="A135" s="60">
        <v>46125</v>
      </c>
      <c r="B135" s="99" t="s">
        <v>57</v>
      </c>
      <c r="C135" s="65" t="s">
        <v>999</v>
      </c>
      <c r="D135" s="15" t="s">
        <v>61</v>
      </c>
      <c r="E135" s="169"/>
      <c r="F135" s="168">
        <v>370012.12</v>
      </c>
      <c r="G135" s="159">
        <f t="shared" si="1"/>
        <v>-66336.190000000293</v>
      </c>
      <c r="H135" s="51">
        <v>157.85499999999999</v>
      </c>
      <c r="I135" s="10" t="s">
        <v>92</v>
      </c>
      <c r="J135" s="110"/>
      <c r="K135" s="69" t="s">
        <v>22</v>
      </c>
      <c r="L135" s="73" t="s">
        <v>92</v>
      </c>
      <c r="M135" s="26">
        <v>0</v>
      </c>
    </row>
    <row r="136" spans="1:13" ht="13.95" customHeight="1" x14ac:dyDescent="0.3">
      <c r="A136" s="60">
        <v>46125</v>
      </c>
      <c r="B136" s="99" t="s">
        <v>57</v>
      </c>
      <c r="C136" s="65" t="s">
        <v>1000</v>
      </c>
      <c r="D136" s="15" t="s">
        <v>26</v>
      </c>
      <c r="E136" s="169"/>
      <c r="F136" s="168">
        <v>165280.13</v>
      </c>
      <c r="G136" s="159">
        <f t="shared" si="1"/>
        <v>-231616.3200000003</v>
      </c>
      <c r="H136" s="51">
        <v>70.512</v>
      </c>
      <c r="I136" s="10" t="s">
        <v>92</v>
      </c>
      <c r="J136" s="110"/>
      <c r="K136" s="69" t="s">
        <v>6</v>
      </c>
      <c r="L136" s="73" t="s">
        <v>92</v>
      </c>
      <c r="M136" s="26">
        <f>SUM(H133)</f>
        <v>19.198</v>
      </c>
    </row>
    <row r="137" spans="1:13" ht="13.95" customHeight="1" x14ac:dyDescent="0.3">
      <c r="A137" s="60">
        <v>46125</v>
      </c>
      <c r="B137" s="99" t="s">
        <v>57</v>
      </c>
      <c r="C137" s="65" t="s">
        <v>1001</v>
      </c>
      <c r="D137" s="15" t="s">
        <v>117</v>
      </c>
      <c r="E137" s="169"/>
      <c r="F137" s="168">
        <v>48042.85</v>
      </c>
      <c r="G137" s="159">
        <f t="shared" si="1"/>
        <v>-279659.17000000027</v>
      </c>
      <c r="H137" s="51">
        <v>21.602</v>
      </c>
      <c r="I137" s="10" t="s">
        <v>92</v>
      </c>
      <c r="J137" s="110"/>
      <c r="K137" s="69" t="s">
        <v>8</v>
      </c>
      <c r="L137" s="73" t="s">
        <v>92</v>
      </c>
      <c r="M137" s="26">
        <f>SUM(H121+H126+H153+H161+H171)</f>
        <v>115.18700000000001</v>
      </c>
    </row>
    <row r="138" spans="1:13" ht="13.95" customHeight="1" x14ac:dyDescent="0.3">
      <c r="A138" s="60">
        <v>46126</v>
      </c>
      <c r="B138" s="99" t="s">
        <v>57</v>
      </c>
      <c r="C138" s="65" t="s">
        <v>1002</v>
      </c>
      <c r="D138" s="15" t="s">
        <v>24</v>
      </c>
      <c r="E138" s="169"/>
      <c r="F138" s="168">
        <v>45000.11</v>
      </c>
      <c r="G138" s="159">
        <f t="shared" si="1"/>
        <v>-324659.28000000026</v>
      </c>
      <c r="H138" s="51">
        <v>19.198</v>
      </c>
      <c r="I138" s="10" t="s">
        <v>92</v>
      </c>
      <c r="J138" s="110"/>
      <c r="K138" s="69" t="s">
        <v>9</v>
      </c>
      <c r="L138" s="73" t="s">
        <v>92</v>
      </c>
      <c r="M138" s="26">
        <f>SUM(H125+H150+H155)</f>
        <v>297.38099999999997</v>
      </c>
    </row>
    <row r="139" spans="1:13" ht="13.95" customHeight="1" x14ac:dyDescent="0.3">
      <c r="A139" s="60">
        <v>46126</v>
      </c>
      <c r="B139" s="99" t="s">
        <v>57</v>
      </c>
      <c r="C139" s="65" t="s">
        <v>1003</v>
      </c>
      <c r="D139" s="15" t="s">
        <v>5</v>
      </c>
      <c r="E139" s="169"/>
      <c r="F139" s="168">
        <v>45000.11</v>
      </c>
      <c r="G139" s="159">
        <f t="shared" si="1"/>
        <v>-369659.39000000025</v>
      </c>
      <c r="H139" s="51">
        <v>19.198</v>
      </c>
      <c r="I139" s="10" t="s">
        <v>92</v>
      </c>
      <c r="J139" s="110"/>
      <c r="K139" s="69" t="s">
        <v>30</v>
      </c>
      <c r="L139" s="73" t="s">
        <v>92</v>
      </c>
      <c r="M139" s="26">
        <f>SUM(ABRIL.2026!H158)</f>
        <v>200</v>
      </c>
    </row>
    <row r="140" spans="1:13" ht="13.95" customHeight="1" x14ac:dyDescent="0.3">
      <c r="A140" s="60">
        <v>46126</v>
      </c>
      <c r="B140" s="99" t="s">
        <v>57</v>
      </c>
      <c r="C140" s="65" t="s">
        <v>1004</v>
      </c>
      <c r="D140" s="15" t="s">
        <v>117</v>
      </c>
      <c r="E140" s="169"/>
      <c r="F140" s="168">
        <v>76672.399999999994</v>
      </c>
      <c r="G140" s="159">
        <f t="shared" si="1"/>
        <v>-446331.79000000027</v>
      </c>
      <c r="H140" s="51">
        <v>34.475000000000001</v>
      </c>
      <c r="I140" s="10" t="s">
        <v>92</v>
      </c>
      <c r="J140" s="110"/>
      <c r="K140" s="69" t="s">
        <v>10</v>
      </c>
      <c r="L140" s="73" t="s">
        <v>92</v>
      </c>
      <c r="M140" s="26">
        <f>SUM(H131)</f>
        <v>150</v>
      </c>
    </row>
    <row r="141" spans="1:13" ht="13.95" customHeight="1" x14ac:dyDescent="0.3">
      <c r="A141" s="60">
        <v>46126</v>
      </c>
      <c r="B141" s="99" t="s">
        <v>57</v>
      </c>
      <c r="C141" s="65" t="s">
        <v>1005</v>
      </c>
      <c r="D141" s="15" t="s">
        <v>917</v>
      </c>
      <c r="E141" s="169"/>
      <c r="F141" s="168">
        <v>45000.11</v>
      </c>
      <c r="G141" s="159">
        <f t="shared" si="1"/>
        <v>-491331.90000000026</v>
      </c>
      <c r="H141" s="51">
        <v>19.198</v>
      </c>
      <c r="I141" s="10" t="s">
        <v>92</v>
      </c>
      <c r="J141" s="110"/>
      <c r="K141" s="69" t="s">
        <v>11</v>
      </c>
      <c r="L141" s="73" t="s">
        <v>92</v>
      </c>
      <c r="M141" s="26">
        <f>SUM(H127+H128+H137+H140+H143+H156+H164)</f>
        <v>223.02599999999998</v>
      </c>
    </row>
    <row r="142" spans="1:13" ht="13.95" customHeight="1" x14ac:dyDescent="0.3">
      <c r="A142" s="60">
        <v>46126</v>
      </c>
      <c r="B142" s="99" t="s">
        <v>57</v>
      </c>
      <c r="C142" s="65" t="s">
        <v>1006</v>
      </c>
      <c r="D142" s="15" t="s">
        <v>3</v>
      </c>
      <c r="E142" s="169"/>
      <c r="F142" s="168">
        <v>45000.11</v>
      </c>
      <c r="G142" s="159">
        <f t="shared" si="1"/>
        <v>-536332.01000000024</v>
      </c>
      <c r="H142" s="51">
        <v>19.198</v>
      </c>
      <c r="I142" s="10" t="s">
        <v>92</v>
      </c>
      <c r="J142" s="110"/>
      <c r="K142" s="540" t="s">
        <v>695</v>
      </c>
      <c r="L142" s="541"/>
      <c r="M142" s="148">
        <f>SUM(M122:M141)</f>
        <v>2173.7547</v>
      </c>
    </row>
    <row r="143" spans="1:13" ht="13.95" customHeight="1" x14ac:dyDescent="0.3">
      <c r="A143" s="60">
        <v>46126</v>
      </c>
      <c r="B143" s="99" t="s">
        <v>57</v>
      </c>
      <c r="C143" s="65" t="s">
        <v>1007</v>
      </c>
      <c r="D143" s="15" t="s">
        <v>117</v>
      </c>
      <c r="E143" s="169"/>
      <c r="F143" s="168">
        <v>45004.800000000003</v>
      </c>
      <c r="G143" s="159">
        <f t="shared" si="1"/>
        <v>-581336.81000000029</v>
      </c>
      <c r="H143" s="51">
        <v>19.2</v>
      </c>
      <c r="I143" s="10" t="s">
        <v>92</v>
      </c>
      <c r="J143" s="110"/>
    </row>
    <row r="144" spans="1:13" ht="13.95" customHeight="1" x14ac:dyDescent="0.3">
      <c r="A144" s="60">
        <v>46126</v>
      </c>
      <c r="B144" s="99" t="s">
        <v>57</v>
      </c>
      <c r="C144" s="65" t="s">
        <v>1008</v>
      </c>
      <c r="D144" s="15" t="s">
        <v>5</v>
      </c>
      <c r="E144" s="169"/>
      <c r="F144" s="168">
        <v>59999.37</v>
      </c>
      <c r="G144" s="159">
        <f t="shared" si="1"/>
        <v>-641336.18000000028</v>
      </c>
      <c r="H144" s="51">
        <v>25.597000000000001</v>
      </c>
      <c r="I144" s="10" t="s">
        <v>92</v>
      </c>
      <c r="J144" s="110"/>
    </row>
    <row r="145" spans="1:10" ht="13.95" customHeight="1" x14ac:dyDescent="0.3">
      <c r="A145" s="60">
        <v>46127</v>
      </c>
      <c r="B145" s="99" t="s">
        <v>57</v>
      </c>
      <c r="C145" s="65" t="s">
        <v>1009</v>
      </c>
      <c r="D145" s="15" t="s">
        <v>3</v>
      </c>
      <c r="E145" s="169"/>
      <c r="F145" s="168">
        <v>59999.37</v>
      </c>
      <c r="G145" s="159">
        <f t="shared" si="1"/>
        <v>-701335.55000000028</v>
      </c>
      <c r="H145" s="51">
        <v>25.597000000000001</v>
      </c>
      <c r="I145" s="10" t="s">
        <v>92</v>
      </c>
      <c r="J145" s="110"/>
    </row>
    <row r="146" spans="1:10" ht="13.95" customHeight="1" x14ac:dyDescent="0.3">
      <c r="A146" s="60">
        <v>46127</v>
      </c>
      <c r="B146" s="99" t="s">
        <v>57</v>
      </c>
      <c r="C146" s="65" t="s">
        <v>1010</v>
      </c>
      <c r="D146" s="15" t="s">
        <v>62</v>
      </c>
      <c r="E146" s="169"/>
      <c r="F146" s="168">
        <v>45000.11</v>
      </c>
      <c r="G146" s="159">
        <f t="shared" si="1"/>
        <v>-746335.66000000027</v>
      </c>
      <c r="H146" s="51">
        <v>19.198</v>
      </c>
      <c r="I146" s="10" t="s">
        <v>92</v>
      </c>
      <c r="J146" s="110"/>
    </row>
    <row r="147" spans="1:10" ht="13.95" customHeight="1" x14ac:dyDescent="0.3">
      <c r="A147" s="60">
        <v>46127</v>
      </c>
      <c r="B147" s="99" t="s">
        <v>57</v>
      </c>
      <c r="C147" s="65" t="s">
        <v>1011</v>
      </c>
      <c r="D147" s="15" t="s">
        <v>5</v>
      </c>
      <c r="E147" s="169"/>
      <c r="F147" s="168">
        <v>45000.11</v>
      </c>
      <c r="G147" s="159">
        <f t="shared" si="1"/>
        <v>-791335.77000000025</v>
      </c>
      <c r="H147" s="51">
        <v>19.198</v>
      </c>
      <c r="I147" s="10" t="s">
        <v>92</v>
      </c>
      <c r="J147" s="110"/>
    </row>
    <row r="148" spans="1:10" ht="13.95" customHeight="1" x14ac:dyDescent="0.3">
      <c r="A148" s="158">
        <v>46127</v>
      </c>
      <c r="B148" s="99" t="s">
        <v>57</v>
      </c>
      <c r="C148" s="65" t="s">
        <v>1014</v>
      </c>
      <c r="D148" s="15" t="s">
        <v>917</v>
      </c>
      <c r="E148" s="169"/>
      <c r="F148" s="168">
        <v>59999.37</v>
      </c>
      <c r="G148" s="159">
        <f t="shared" si="1"/>
        <v>-851335.14000000025</v>
      </c>
      <c r="H148" s="51">
        <v>25.597000000000001</v>
      </c>
      <c r="I148" s="10" t="s">
        <v>92</v>
      </c>
      <c r="J148" s="110"/>
    </row>
    <row r="149" spans="1:10" ht="13.95" customHeight="1" x14ac:dyDescent="0.3">
      <c r="A149" s="125">
        <v>46127</v>
      </c>
      <c r="B149" s="99" t="s">
        <v>57</v>
      </c>
      <c r="C149" s="65" t="s">
        <v>1015</v>
      </c>
      <c r="D149" s="15" t="s">
        <v>26</v>
      </c>
      <c r="E149" s="169"/>
      <c r="F149" s="168">
        <v>184029</v>
      </c>
      <c r="G149" s="159">
        <f t="shared" si="1"/>
        <v>-1035364.1400000002</v>
      </c>
      <c r="H149" s="51">
        <v>78.5107</v>
      </c>
      <c r="I149" s="10" t="s">
        <v>92</v>
      </c>
      <c r="J149" s="110"/>
    </row>
    <row r="150" spans="1:10" ht="13.95" customHeight="1" x14ac:dyDescent="0.3">
      <c r="A150" s="60">
        <v>46127</v>
      </c>
      <c r="B150" s="99" t="s">
        <v>57</v>
      </c>
      <c r="C150" s="65" t="s">
        <v>1016</v>
      </c>
      <c r="D150" s="15" t="s">
        <v>9</v>
      </c>
      <c r="E150" s="169"/>
      <c r="F150" s="168">
        <v>64000.05</v>
      </c>
      <c r="G150" s="159">
        <f t="shared" si="1"/>
        <v>-1099364.1900000002</v>
      </c>
      <c r="H150" s="51">
        <v>28.777000000000001</v>
      </c>
      <c r="I150" s="10" t="s">
        <v>92</v>
      </c>
      <c r="J150" s="110"/>
    </row>
    <row r="151" spans="1:10" ht="13.95" customHeight="1" x14ac:dyDescent="0.3">
      <c r="A151" s="202">
        <v>46127</v>
      </c>
      <c r="B151" s="306" t="s">
        <v>60</v>
      </c>
      <c r="C151" s="203" t="s">
        <v>1017</v>
      </c>
      <c r="D151" s="308" t="s">
        <v>1218</v>
      </c>
      <c r="E151" s="200">
        <v>2000000</v>
      </c>
      <c r="F151" s="315"/>
      <c r="G151" s="310">
        <f t="shared" si="1"/>
        <v>900635.80999999982</v>
      </c>
      <c r="H151" s="311"/>
      <c r="I151" s="199" t="s">
        <v>1222</v>
      </c>
      <c r="J151" s="110"/>
    </row>
    <row r="152" spans="1:10" ht="13.95" customHeight="1" x14ac:dyDescent="0.3">
      <c r="A152" s="60">
        <v>46128</v>
      </c>
      <c r="B152" s="99" t="s">
        <v>57</v>
      </c>
      <c r="C152" s="65" t="s">
        <v>1018</v>
      </c>
      <c r="D152" s="15" t="s">
        <v>24</v>
      </c>
      <c r="E152" s="169"/>
      <c r="F152" s="168">
        <v>45000.11</v>
      </c>
      <c r="G152" s="160">
        <f t="shared" si="1"/>
        <v>855635.69999999984</v>
      </c>
      <c r="H152" s="51">
        <v>19.198</v>
      </c>
      <c r="I152" s="10" t="s">
        <v>92</v>
      </c>
      <c r="J152" s="110"/>
    </row>
    <row r="153" spans="1:10" ht="13.95" customHeight="1" x14ac:dyDescent="0.3">
      <c r="A153" s="60">
        <v>46128</v>
      </c>
      <c r="B153" s="99" t="s">
        <v>57</v>
      </c>
      <c r="C153" s="65" t="s">
        <v>1019</v>
      </c>
      <c r="D153" s="15" t="s">
        <v>8</v>
      </c>
      <c r="E153" s="169"/>
      <c r="F153" s="168">
        <v>59999.37</v>
      </c>
      <c r="G153" s="160">
        <f t="shared" si="1"/>
        <v>795636.32999999984</v>
      </c>
      <c r="H153" s="51">
        <v>25.597000000000001</v>
      </c>
      <c r="I153" s="10" t="s">
        <v>92</v>
      </c>
      <c r="J153" s="110"/>
    </row>
    <row r="154" spans="1:10" ht="13.95" customHeight="1" x14ac:dyDescent="0.3">
      <c r="A154" s="60">
        <v>46128</v>
      </c>
      <c r="B154" s="99" t="s">
        <v>57</v>
      </c>
      <c r="C154" s="65" t="s">
        <v>1020</v>
      </c>
      <c r="D154" s="15" t="s">
        <v>62</v>
      </c>
      <c r="E154" s="169"/>
      <c r="F154" s="168">
        <v>45000.11</v>
      </c>
      <c r="G154" s="160">
        <f t="shared" si="1"/>
        <v>750636.21999999986</v>
      </c>
      <c r="H154" s="51">
        <v>19.198</v>
      </c>
      <c r="I154" s="10" t="s">
        <v>92</v>
      </c>
      <c r="J154" s="110"/>
    </row>
    <row r="155" spans="1:10" ht="13.95" customHeight="1" x14ac:dyDescent="0.3">
      <c r="A155" s="60">
        <v>46128</v>
      </c>
      <c r="B155" s="99" t="s">
        <v>57</v>
      </c>
      <c r="C155" s="65" t="s">
        <v>1021</v>
      </c>
      <c r="D155" s="15" t="s">
        <v>9</v>
      </c>
      <c r="E155" s="169"/>
      <c r="F155" s="168">
        <v>293661.40999999997</v>
      </c>
      <c r="G155" s="160">
        <f t="shared" si="1"/>
        <v>456974.80999999988</v>
      </c>
      <c r="H155" s="51">
        <v>132.042</v>
      </c>
      <c r="I155" s="10" t="s">
        <v>92</v>
      </c>
      <c r="J155" s="110"/>
    </row>
    <row r="156" spans="1:10" ht="13.95" customHeight="1" x14ac:dyDescent="0.3">
      <c r="A156" s="60">
        <v>46128</v>
      </c>
      <c r="B156" s="99" t="s">
        <v>57</v>
      </c>
      <c r="C156" s="65" t="s">
        <v>1022</v>
      </c>
      <c r="D156" s="15" t="s">
        <v>117</v>
      </c>
      <c r="E156" s="169"/>
      <c r="F156" s="168">
        <v>44491.12</v>
      </c>
      <c r="G156" s="160">
        <f t="shared" si="1"/>
        <v>412483.68999999989</v>
      </c>
      <c r="H156" s="51">
        <v>20.004999999999999</v>
      </c>
      <c r="I156" s="10" t="s">
        <v>92</v>
      </c>
      <c r="J156" s="110"/>
    </row>
    <row r="157" spans="1:10" ht="13.95" customHeight="1" x14ac:dyDescent="0.3">
      <c r="A157" s="60">
        <v>46128</v>
      </c>
      <c r="B157" s="99" t="s">
        <v>57</v>
      </c>
      <c r="C157" s="65" t="s">
        <v>1023</v>
      </c>
      <c r="D157" s="15" t="s">
        <v>3</v>
      </c>
      <c r="E157" s="169"/>
      <c r="F157" s="168">
        <v>59999.37</v>
      </c>
      <c r="G157" s="160">
        <f t="shared" si="1"/>
        <v>352484.31999999989</v>
      </c>
      <c r="H157" s="51">
        <v>25.597000000000001</v>
      </c>
      <c r="I157" s="10" t="s">
        <v>92</v>
      </c>
      <c r="J157" s="110"/>
    </row>
    <row r="158" spans="1:10" ht="13.95" customHeight="1" x14ac:dyDescent="0.3">
      <c r="A158" s="60">
        <v>46128</v>
      </c>
      <c r="B158" s="99" t="s">
        <v>57</v>
      </c>
      <c r="C158" s="65" t="s">
        <v>1024</v>
      </c>
      <c r="D158" s="15" t="s">
        <v>30</v>
      </c>
      <c r="E158" s="169"/>
      <c r="F158" s="168">
        <v>468800</v>
      </c>
      <c r="G158" s="159">
        <f t="shared" si="1"/>
        <v>-116315.68000000011</v>
      </c>
      <c r="H158" s="9">
        <v>200</v>
      </c>
      <c r="I158" s="10" t="s">
        <v>92</v>
      </c>
      <c r="J158" s="110"/>
    </row>
    <row r="159" spans="1:10" ht="13.95" customHeight="1" x14ac:dyDescent="0.3">
      <c r="A159" s="60">
        <v>46128</v>
      </c>
      <c r="B159" s="99" t="s">
        <v>57</v>
      </c>
      <c r="C159" s="65" t="s">
        <v>1025</v>
      </c>
      <c r="D159" s="15" t="s">
        <v>917</v>
      </c>
      <c r="E159" s="169"/>
      <c r="F159" s="168">
        <v>59999.37</v>
      </c>
      <c r="G159" s="159">
        <f t="shared" si="1"/>
        <v>-176315.0500000001</v>
      </c>
      <c r="H159" s="51">
        <v>25.597000000000001</v>
      </c>
      <c r="I159" s="10" t="s">
        <v>92</v>
      </c>
      <c r="J159" s="110"/>
    </row>
    <row r="160" spans="1:10" ht="13.95" customHeight="1" x14ac:dyDescent="0.3">
      <c r="A160" s="60">
        <v>46129</v>
      </c>
      <c r="B160" s="99" t="s">
        <v>57</v>
      </c>
      <c r="C160" s="65" t="s">
        <v>1026</v>
      </c>
      <c r="D160" s="15" t="s">
        <v>26</v>
      </c>
      <c r="E160" s="169"/>
      <c r="F160" s="168">
        <v>150027.72</v>
      </c>
      <c r="G160" s="159">
        <f t="shared" si="1"/>
        <v>-326342.77000000014</v>
      </c>
      <c r="H160" s="51">
        <v>64.004999999999995</v>
      </c>
      <c r="I160" s="10" t="s">
        <v>92</v>
      </c>
      <c r="J160" s="110"/>
    </row>
    <row r="161" spans="1:13" ht="13.95" customHeight="1" x14ac:dyDescent="0.3">
      <c r="A161" s="60">
        <v>46129</v>
      </c>
      <c r="B161" s="99" t="s">
        <v>57</v>
      </c>
      <c r="C161" s="65" t="s">
        <v>1027</v>
      </c>
      <c r="D161" s="15" t="s">
        <v>8</v>
      </c>
      <c r="E161" s="169"/>
      <c r="F161" s="168">
        <v>59999.37</v>
      </c>
      <c r="G161" s="159">
        <f t="shared" si="1"/>
        <v>-386342.14000000013</v>
      </c>
      <c r="H161" s="51">
        <v>25.597000000000001</v>
      </c>
      <c r="I161" s="10" t="s">
        <v>92</v>
      </c>
      <c r="J161" s="110"/>
    </row>
    <row r="162" spans="1:13" ht="13.95" customHeight="1" x14ac:dyDescent="0.3">
      <c r="A162" s="60">
        <v>46129</v>
      </c>
      <c r="B162" s="99" t="s">
        <v>57</v>
      </c>
      <c r="C162" s="65" t="s">
        <v>1028</v>
      </c>
      <c r="D162" s="15" t="s">
        <v>61</v>
      </c>
      <c r="E162" s="169"/>
      <c r="F162" s="168">
        <v>441468.96</v>
      </c>
      <c r="G162" s="159">
        <f t="shared" si="1"/>
        <v>-827811.10000000009</v>
      </c>
      <c r="H162" s="51">
        <v>188.34</v>
      </c>
      <c r="I162" s="10" t="s">
        <v>92</v>
      </c>
      <c r="J162" s="110"/>
    </row>
    <row r="163" spans="1:13" ht="13.95" customHeight="1" x14ac:dyDescent="0.3">
      <c r="A163" s="60">
        <v>46129</v>
      </c>
      <c r="B163" s="99" t="s">
        <v>57</v>
      </c>
      <c r="C163" s="65" t="s">
        <v>1029</v>
      </c>
      <c r="D163" s="15" t="s">
        <v>917</v>
      </c>
      <c r="E163" s="169"/>
      <c r="F163" s="168">
        <v>59999.37</v>
      </c>
      <c r="G163" s="159">
        <f t="shared" si="1"/>
        <v>-887810.47000000009</v>
      </c>
      <c r="H163" s="51">
        <v>25.597000000000001</v>
      </c>
      <c r="I163" s="10" t="s">
        <v>92</v>
      </c>
      <c r="J163" s="110"/>
    </row>
    <row r="164" spans="1:13" ht="13.95" customHeight="1" x14ac:dyDescent="0.3">
      <c r="A164" s="60">
        <v>46129</v>
      </c>
      <c r="B164" s="99" t="s">
        <v>57</v>
      </c>
      <c r="C164" s="65" t="s">
        <v>1030</v>
      </c>
      <c r="D164" s="15" t="s">
        <v>117</v>
      </c>
      <c r="E164" s="169"/>
      <c r="F164" s="168">
        <v>88085.97</v>
      </c>
      <c r="G164" s="159">
        <f t="shared" si="1"/>
        <v>-975896.44000000006</v>
      </c>
      <c r="H164" s="51">
        <v>39.606999999999999</v>
      </c>
      <c r="I164" s="10" t="s">
        <v>92</v>
      </c>
      <c r="J164" s="110"/>
    </row>
    <row r="165" spans="1:13" ht="13.95" customHeight="1" x14ac:dyDescent="0.3">
      <c r="A165" s="60">
        <v>46129</v>
      </c>
      <c r="B165" s="99" t="s">
        <v>57</v>
      </c>
      <c r="C165" s="65" t="s">
        <v>1031</v>
      </c>
      <c r="D165" s="15" t="s">
        <v>361</v>
      </c>
      <c r="E165" s="169"/>
      <c r="F165" s="168">
        <v>17989.740000000002</v>
      </c>
      <c r="G165" s="159">
        <f t="shared" si="1"/>
        <v>-993886.18</v>
      </c>
      <c r="H165" s="51">
        <v>8.2070000000000007</v>
      </c>
      <c r="I165" s="10" t="s">
        <v>92</v>
      </c>
      <c r="J165" s="110"/>
    </row>
    <row r="166" spans="1:13" ht="13.95" customHeight="1" x14ac:dyDescent="0.3">
      <c r="A166" s="202">
        <v>46129</v>
      </c>
      <c r="B166" s="306" t="s">
        <v>60</v>
      </c>
      <c r="C166" s="203" t="s">
        <v>1032</v>
      </c>
      <c r="D166" s="308" t="s">
        <v>1218</v>
      </c>
      <c r="E166" s="200">
        <v>2000000</v>
      </c>
      <c r="F166" s="315"/>
      <c r="G166" s="310">
        <f t="shared" si="1"/>
        <v>1006113.82</v>
      </c>
      <c r="H166" s="311"/>
      <c r="I166" s="199" t="s">
        <v>1222</v>
      </c>
      <c r="J166" s="110"/>
    </row>
    <row r="167" spans="1:13" ht="13.95" customHeight="1" x14ac:dyDescent="0.3">
      <c r="A167" s="60">
        <v>46129</v>
      </c>
      <c r="B167" s="99" t="s">
        <v>57</v>
      </c>
      <c r="C167" s="65" t="s">
        <v>1033</v>
      </c>
      <c r="D167" s="15" t="s">
        <v>3</v>
      </c>
      <c r="E167" s="169"/>
      <c r="F167" s="168">
        <v>59999.37</v>
      </c>
      <c r="G167" s="160">
        <f t="shared" si="1"/>
        <v>946114.45</v>
      </c>
      <c r="H167" s="51">
        <v>25.597000000000001</v>
      </c>
      <c r="I167" s="10" t="s">
        <v>92</v>
      </c>
      <c r="J167" s="110"/>
    </row>
    <row r="168" spans="1:13" ht="13.95" customHeight="1" x14ac:dyDescent="0.3">
      <c r="A168" s="60">
        <v>46129</v>
      </c>
      <c r="B168" s="99" t="s">
        <v>57</v>
      </c>
      <c r="C168" s="65" t="s">
        <v>1034</v>
      </c>
      <c r="D168" s="15" t="s">
        <v>917</v>
      </c>
      <c r="E168" s="169"/>
      <c r="F168" s="168">
        <v>59999.37</v>
      </c>
      <c r="G168" s="160">
        <f t="shared" si="1"/>
        <v>886115.08</v>
      </c>
      <c r="H168" s="51">
        <v>25.597000000000001</v>
      </c>
      <c r="I168" s="10" t="s">
        <v>92</v>
      </c>
      <c r="J168" s="110"/>
    </row>
    <row r="169" spans="1:13" ht="13.95" customHeight="1" x14ac:dyDescent="0.3">
      <c r="A169" s="60">
        <v>46129</v>
      </c>
      <c r="B169" s="99" t="s">
        <v>57</v>
      </c>
      <c r="C169" s="65" t="s">
        <v>1035</v>
      </c>
      <c r="D169" s="15" t="s">
        <v>5</v>
      </c>
      <c r="E169" s="169"/>
      <c r="F169" s="168">
        <v>59999.37</v>
      </c>
      <c r="G169" s="160">
        <f t="shared" si="1"/>
        <v>826115.71</v>
      </c>
      <c r="H169" s="51">
        <v>25.597000000000001</v>
      </c>
      <c r="I169" s="10" t="s">
        <v>92</v>
      </c>
      <c r="J169" s="110"/>
    </row>
    <row r="170" spans="1:13" ht="13.95" customHeight="1" x14ac:dyDescent="0.3">
      <c r="A170" s="60">
        <v>46129</v>
      </c>
      <c r="B170" s="99" t="s">
        <v>57</v>
      </c>
      <c r="C170" s="65" t="s">
        <v>1036</v>
      </c>
      <c r="D170" s="15" t="s">
        <v>62</v>
      </c>
      <c r="E170" s="169"/>
      <c r="F170" s="168">
        <v>59999.37</v>
      </c>
      <c r="G170" s="160">
        <f t="shared" si="1"/>
        <v>766116.34</v>
      </c>
      <c r="H170" s="51">
        <v>25.597000000000001</v>
      </c>
      <c r="I170" s="10" t="s">
        <v>92</v>
      </c>
      <c r="J170" s="110"/>
    </row>
    <row r="171" spans="1:13" ht="13.95" customHeight="1" x14ac:dyDescent="0.3">
      <c r="A171" s="60">
        <v>46130</v>
      </c>
      <c r="B171" s="99" t="s">
        <v>57</v>
      </c>
      <c r="C171" s="65" t="s">
        <v>1037</v>
      </c>
      <c r="D171" s="15" t="s">
        <v>8</v>
      </c>
      <c r="E171" s="169"/>
      <c r="F171" s="168">
        <v>59999.37</v>
      </c>
      <c r="G171" s="160">
        <f t="shared" si="1"/>
        <v>706116.97</v>
      </c>
      <c r="H171" s="51">
        <v>25.597000000000001</v>
      </c>
      <c r="I171" s="10" t="s">
        <v>92</v>
      </c>
      <c r="J171" s="110"/>
    </row>
    <row r="172" spans="1:13" x14ac:dyDescent="0.3">
      <c r="A172" s="60">
        <v>46130</v>
      </c>
      <c r="B172" s="99" t="s">
        <v>57</v>
      </c>
      <c r="C172" s="65" t="s">
        <v>1038</v>
      </c>
      <c r="D172" s="15" t="s">
        <v>24</v>
      </c>
      <c r="E172" s="169"/>
      <c r="F172" s="164">
        <v>59999.37</v>
      </c>
      <c r="G172" s="160">
        <f t="shared" si="1"/>
        <v>646117.6</v>
      </c>
      <c r="H172" s="51">
        <v>25.597000000000001</v>
      </c>
      <c r="I172" s="10" t="s">
        <v>92</v>
      </c>
      <c r="J172" s="110"/>
    </row>
    <row r="173" spans="1:13" x14ac:dyDescent="0.3">
      <c r="A173" s="60">
        <v>46130</v>
      </c>
      <c r="B173" s="99" t="s">
        <v>57</v>
      </c>
      <c r="C173" s="65" t="s">
        <v>1039</v>
      </c>
      <c r="D173" s="15" t="s">
        <v>3</v>
      </c>
      <c r="E173" s="169"/>
      <c r="F173" s="164">
        <v>59999.37</v>
      </c>
      <c r="G173" s="160">
        <f t="shared" si="1"/>
        <v>586118.23</v>
      </c>
      <c r="H173" s="51">
        <v>25.597000000000001</v>
      </c>
      <c r="I173" s="10" t="s">
        <v>92</v>
      </c>
      <c r="J173" s="110"/>
    </row>
    <row r="174" spans="1:13" x14ac:dyDescent="0.3">
      <c r="A174" s="60">
        <v>46130</v>
      </c>
      <c r="B174" s="99" t="s">
        <v>57</v>
      </c>
      <c r="C174" s="65" t="s">
        <v>1040</v>
      </c>
      <c r="D174" s="15" t="s">
        <v>5</v>
      </c>
      <c r="E174" s="169"/>
      <c r="F174" s="164">
        <v>59999.37</v>
      </c>
      <c r="G174" s="160">
        <f t="shared" si="1"/>
        <v>526118.86</v>
      </c>
      <c r="H174" s="51">
        <v>25.597000000000001</v>
      </c>
      <c r="I174" s="10" t="s">
        <v>92</v>
      </c>
      <c r="J174" s="110"/>
    </row>
    <row r="175" spans="1:13" x14ac:dyDescent="0.3">
      <c r="A175" s="534" t="s">
        <v>694</v>
      </c>
      <c r="B175" s="534"/>
      <c r="C175" s="534"/>
      <c r="D175" s="534"/>
      <c r="E175" s="534"/>
      <c r="F175" s="534"/>
      <c r="G175" s="534"/>
      <c r="H175" s="540">
        <f>SUM(H121:H174)</f>
        <v>2173.7547000000009</v>
      </c>
      <c r="I175" s="541"/>
      <c r="J175" s="110"/>
    </row>
    <row r="176" spans="1:13" ht="15.6" x14ac:dyDescent="0.3">
      <c r="A176" s="546" t="s">
        <v>1043</v>
      </c>
      <c r="B176" s="547"/>
      <c r="C176" s="547"/>
      <c r="D176" s="547"/>
      <c r="E176" s="547"/>
      <c r="F176" s="547"/>
      <c r="G176" s="547"/>
      <c r="H176" s="547"/>
      <c r="I176" s="548"/>
      <c r="J176" s="110"/>
      <c r="K176" s="526" t="s">
        <v>1045</v>
      </c>
      <c r="L176" s="526"/>
      <c r="M176" s="526"/>
    </row>
    <row r="177" spans="1:13" x14ac:dyDescent="0.3">
      <c r="A177" s="60">
        <v>46132</v>
      </c>
      <c r="B177" s="99" t="s">
        <v>57</v>
      </c>
      <c r="C177" s="65" t="s">
        <v>1041</v>
      </c>
      <c r="D177" s="15" t="s">
        <v>8</v>
      </c>
      <c r="E177" s="22"/>
      <c r="F177" s="164">
        <v>59999.37</v>
      </c>
      <c r="G177" s="160">
        <f>+G174+E177-F177</f>
        <v>466119.49</v>
      </c>
      <c r="H177" s="51">
        <v>25.597000000000001</v>
      </c>
      <c r="I177" s="10" t="s">
        <v>92</v>
      </c>
      <c r="J177" s="110"/>
      <c r="K177" s="545" t="s">
        <v>34</v>
      </c>
      <c r="L177" s="545"/>
      <c r="M177" s="545"/>
    </row>
    <row r="178" spans="1:13" x14ac:dyDescent="0.3">
      <c r="A178" s="60">
        <v>46132</v>
      </c>
      <c r="B178" s="99" t="s">
        <v>57</v>
      </c>
      <c r="C178" s="65" t="s">
        <v>1042</v>
      </c>
      <c r="D178" s="15" t="s">
        <v>117</v>
      </c>
      <c r="E178" s="22"/>
      <c r="F178" s="164">
        <v>40036.449999999997</v>
      </c>
      <c r="G178" s="160">
        <f t="shared" si="1"/>
        <v>426083.04</v>
      </c>
      <c r="H178" s="76">
        <v>18.001999999999999</v>
      </c>
      <c r="I178" s="10" t="s">
        <v>92</v>
      </c>
      <c r="J178" s="110"/>
      <c r="K178" s="71" t="s">
        <v>32</v>
      </c>
      <c r="L178" s="43" t="s">
        <v>35</v>
      </c>
      <c r="M178" s="43" t="s">
        <v>33</v>
      </c>
    </row>
    <row r="179" spans="1:13" x14ac:dyDescent="0.3">
      <c r="A179" s="60">
        <v>46132</v>
      </c>
      <c r="B179" s="99" t="s">
        <v>57</v>
      </c>
      <c r="C179" s="65" t="s">
        <v>1046</v>
      </c>
      <c r="D179" s="15" t="s">
        <v>3</v>
      </c>
      <c r="E179" s="22"/>
      <c r="F179" s="164">
        <v>59999.37</v>
      </c>
      <c r="G179" s="160">
        <f t="shared" si="1"/>
        <v>366083.67</v>
      </c>
      <c r="H179" s="76">
        <v>25.597000000000001</v>
      </c>
      <c r="I179" s="10" t="s">
        <v>92</v>
      </c>
      <c r="J179" s="110"/>
      <c r="K179" s="39" t="s">
        <v>0</v>
      </c>
      <c r="L179" s="73" t="s">
        <v>92</v>
      </c>
      <c r="M179" s="26">
        <v>0</v>
      </c>
    </row>
    <row r="180" spans="1:13" x14ac:dyDescent="0.3">
      <c r="A180" s="60">
        <v>46132</v>
      </c>
      <c r="B180" s="99" t="s">
        <v>57</v>
      </c>
      <c r="C180" s="65" t="s">
        <v>1047</v>
      </c>
      <c r="D180" s="15" t="s">
        <v>117</v>
      </c>
      <c r="E180" s="22"/>
      <c r="F180" s="164">
        <v>44618.04</v>
      </c>
      <c r="G180" s="160">
        <f t="shared" si="1"/>
        <v>321465.63</v>
      </c>
      <c r="H180" s="76">
        <v>19.035</v>
      </c>
      <c r="I180" s="10" t="s">
        <v>92</v>
      </c>
      <c r="J180" s="110"/>
      <c r="K180" s="69" t="s">
        <v>1</v>
      </c>
      <c r="L180" s="73" t="s">
        <v>92</v>
      </c>
      <c r="M180" s="42">
        <v>0</v>
      </c>
    </row>
    <row r="181" spans="1:13" x14ac:dyDescent="0.3">
      <c r="A181" s="60">
        <v>46132</v>
      </c>
      <c r="B181" s="99" t="s">
        <v>57</v>
      </c>
      <c r="C181" s="65" t="s">
        <v>1048</v>
      </c>
      <c r="D181" s="15" t="s">
        <v>117</v>
      </c>
      <c r="E181" s="22"/>
      <c r="F181" s="164">
        <v>87185.08</v>
      </c>
      <c r="G181" s="160">
        <f t="shared" si="1"/>
        <v>234280.55</v>
      </c>
      <c r="H181" s="76">
        <v>37.195</v>
      </c>
      <c r="I181" s="10" t="s">
        <v>92</v>
      </c>
      <c r="J181" s="110"/>
      <c r="K181" s="24" t="s">
        <v>27</v>
      </c>
      <c r="L181" s="73" t="s">
        <v>92</v>
      </c>
      <c r="M181" s="26">
        <v>0</v>
      </c>
    </row>
    <row r="182" spans="1:13" x14ac:dyDescent="0.3">
      <c r="A182" s="60">
        <v>46132</v>
      </c>
      <c r="B182" s="99" t="s">
        <v>57</v>
      </c>
      <c r="C182" s="65" t="s">
        <v>1049</v>
      </c>
      <c r="D182" s="15" t="s">
        <v>62</v>
      </c>
      <c r="E182" s="22"/>
      <c r="F182" s="164">
        <v>59999.37</v>
      </c>
      <c r="G182" s="160">
        <f t="shared" si="1"/>
        <v>174281.18</v>
      </c>
      <c r="H182" s="76">
        <v>25.597000000000001</v>
      </c>
      <c r="I182" s="10" t="s">
        <v>92</v>
      </c>
      <c r="J182" s="110"/>
      <c r="K182" s="76" t="s">
        <v>429</v>
      </c>
      <c r="L182" s="73" t="s">
        <v>92</v>
      </c>
      <c r="M182" s="80">
        <f>SUM(H183+H194+H206)</f>
        <v>76.790999999999997</v>
      </c>
    </row>
    <row r="183" spans="1:13" x14ac:dyDescent="0.3">
      <c r="A183" s="60">
        <v>46133</v>
      </c>
      <c r="B183" s="99" t="s">
        <v>57</v>
      </c>
      <c r="C183" s="65" t="s">
        <v>1050</v>
      </c>
      <c r="D183" s="15" t="s">
        <v>917</v>
      </c>
      <c r="E183" s="22"/>
      <c r="F183" s="164">
        <v>59999.37</v>
      </c>
      <c r="G183" s="160">
        <f t="shared" si="1"/>
        <v>114281.81</v>
      </c>
      <c r="H183" s="76">
        <v>25.597000000000001</v>
      </c>
      <c r="I183" s="10" t="s">
        <v>92</v>
      </c>
      <c r="J183" s="110"/>
      <c r="K183" s="76" t="s">
        <v>62</v>
      </c>
      <c r="L183" s="73" t="s">
        <v>92</v>
      </c>
      <c r="M183" s="80">
        <f>SUM(H182+H198+H210)</f>
        <v>76.790999999999997</v>
      </c>
    </row>
    <row r="184" spans="1:13" x14ac:dyDescent="0.3">
      <c r="A184" s="60">
        <v>46133</v>
      </c>
      <c r="B184" s="99" t="s">
        <v>57</v>
      </c>
      <c r="C184" s="65" t="s">
        <v>1051</v>
      </c>
      <c r="D184" s="15" t="s">
        <v>8</v>
      </c>
      <c r="E184" s="22"/>
      <c r="F184" s="164">
        <v>59999.37</v>
      </c>
      <c r="G184" s="160">
        <f t="shared" si="1"/>
        <v>54282.439999999995</v>
      </c>
      <c r="H184" s="76">
        <v>25.597000000000001</v>
      </c>
      <c r="I184" s="10" t="s">
        <v>92</v>
      </c>
      <c r="J184" s="110"/>
      <c r="K184" s="76" t="s">
        <v>541</v>
      </c>
      <c r="L184" s="73" t="s">
        <v>92</v>
      </c>
      <c r="M184" s="80">
        <v>0</v>
      </c>
    </row>
    <row r="185" spans="1:13" x14ac:dyDescent="0.3">
      <c r="A185" s="60">
        <v>46133</v>
      </c>
      <c r="B185" s="99" t="s">
        <v>57</v>
      </c>
      <c r="C185" s="65" t="s">
        <v>1052</v>
      </c>
      <c r="D185" s="15" t="s">
        <v>5</v>
      </c>
      <c r="E185" s="22"/>
      <c r="F185" s="164">
        <v>59999.37</v>
      </c>
      <c r="G185" s="159">
        <f t="shared" si="1"/>
        <v>-5716.9300000000076</v>
      </c>
      <c r="H185" s="76">
        <v>25.597000000000001</v>
      </c>
      <c r="I185" s="10" t="s">
        <v>92</v>
      </c>
      <c r="J185" s="110"/>
      <c r="K185" s="76" t="s">
        <v>361</v>
      </c>
      <c r="L185" s="73" t="s">
        <v>92</v>
      </c>
      <c r="M185" s="80">
        <v>0</v>
      </c>
    </row>
    <row r="186" spans="1:13" x14ac:dyDescent="0.3">
      <c r="A186" s="60">
        <v>46133</v>
      </c>
      <c r="B186" s="99" t="s">
        <v>57</v>
      </c>
      <c r="C186" s="65" t="s">
        <v>1053</v>
      </c>
      <c r="D186" s="15" t="s">
        <v>24</v>
      </c>
      <c r="E186" s="22"/>
      <c r="F186" s="164">
        <v>59999.37</v>
      </c>
      <c r="G186" s="159">
        <f t="shared" si="1"/>
        <v>-65716.300000000017</v>
      </c>
      <c r="H186" s="76">
        <v>25.597000000000001</v>
      </c>
      <c r="I186" s="10" t="s">
        <v>92</v>
      </c>
      <c r="J186" s="110"/>
      <c r="K186" s="69" t="s">
        <v>24</v>
      </c>
      <c r="L186" s="73" t="s">
        <v>92</v>
      </c>
      <c r="M186" s="26">
        <f>SUM(H186+H207)</f>
        <v>44.795000000000002</v>
      </c>
    </row>
    <row r="187" spans="1:13" x14ac:dyDescent="0.3">
      <c r="A187" s="60">
        <v>46133</v>
      </c>
      <c r="B187" s="99" t="s">
        <v>57</v>
      </c>
      <c r="C187" s="65" t="s">
        <v>1054</v>
      </c>
      <c r="D187" s="15" t="s">
        <v>6</v>
      </c>
      <c r="E187" s="22"/>
      <c r="F187" s="164">
        <v>59999.37</v>
      </c>
      <c r="G187" s="159">
        <f t="shared" si="1"/>
        <v>-125715.67000000001</v>
      </c>
      <c r="H187" s="76">
        <v>25.597000000000001</v>
      </c>
      <c r="I187" s="10" t="s">
        <v>92</v>
      </c>
      <c r="J187" s="110"/>
      <c r="K187" s="69" t="s">
        <v>29</v>
      </c>
      <c r="L187" s="73" t="s">
        <v>92</v>
      </c>
      <c r="M187" s="26">
        <f>SUM(H202)</f>
        <v>85.326999999999998</v>
      </c>
    </row>
    <row r="188" spans="1:13" x14ac:dyDescent="0.3">
      <c r="A188" s="60">
        <v>46133</v>
      </c>
      <c r="B188" s="99" t="s">
        <v>57</v>
      </c>
      <c r="C188" s="65" t="s">
        <v>1055</v>
      </c>
      <c r="D188" s="15" t="s">
        <v>117</v>
      </c>
      <c r="E188" s="22"/>
      <c r="F188" s="164">
        <v>111237.81</v>
      </c>
      <c r="G188" s="159">
        <f t="shared" si="1"/>
        <v>-236953.48</v>
      </c>
      <c r="H188" s="76">
        <v>50.017000000000003</v>
      </c>
      <c r="I188" s="10" t="s">
        <v>92</v>
      </c>
      <c r="J188" s="110"/>
      <c r="K188" s="69" t="s">
        <v>3</v>
      </c>
      <c r="L188" s="73" t="s">
        <v>92</v>
      </c>
      <c r="M188" s="26">
        <f>SUM(H179)</f>
        <v>25.597000000000001</v>
      </c>
    </row>
    <row r="189" spans="1:13" x14ac:dyDescent="0.3">
      <c r="A189" s="202">
        <v>46133</v>
      </c>
      <c r="B189" s="306" t="s">
        <v>60</v>
      </c>
      <c r="C189" s="203" t="s">
        <v>1056</v>
      </c>
      <c r="D189" s="308" t="s">
        <v>1218</v>
      </c>
      <c r="E189" s="200">
        <v>1000000</v>
      </c>
      <c r="F189" s="313"/>
      <c r="G189" s="310">
        <f t="shared" si="1"/>
        <v>763046.52</v>
      </c>
      <c r="H189" s="311"/>
      <c r="I189" s="199" t="s">
        <v>1222</v>
      </c>
      <c r="J189" s="110"/>
      <c r="K189" s="69" t="s">
        <v>5</v>
      </c>
      <c r="L189" s="73" t="s">
        <v>92</v>
      </c>
      <c r="M189" s="26">
        <f>SUM(H185+H190+H209)</f>
        <v>76.790999999999997</v>
      </c>
    </row>
    <row r="190" spans="1:13" x14ac:dyDescent="0.3">
      <c r="A190" s="60">
        <v>46134</v>
      </c>
      <c r="B190" s="99" t="s">
        <v>57</v>
      </c>
      <c r="C190" s="65" t="s">
        <v>1057</v>
      </c>
      <c r="D190" s="15" t="s">
        <v>5</v>
      </c>
      <c r="E190" s="22"/>
      <c r="F190" s="164">
        <v>59999.37</v>
      </c>
      <c r="G190" s="160">
        <f t="shared" si="1"/>
        <v>703047.15</v>
      </c>
      <c r="H190" s="76">
        <v>25.597000000000001</v>
      </c>
      <c r="I190" s="10" t="s">
        <v>92</v>
      </c>
      <c r="J190" s="110"/>
      <c r="K190" s="69" t="s">
        <v>61</v>
      </c>
      <c r="L190" s="73" t="s">
        <v>92</v>
      </c>
      <c r="M190" s="26">
        <f>SUM(H193)</f>
        <v>164.61699999999999</v>
      </c>
    </row>
    <row r="191" spans="1:13" x14ac:dyDescent="0.3">
      <c r="A191" s="60">
        <v>46134</v>
      </c>
      <c r="B191" s="99" t="s">
        <v>57</v>
      </c>
      <c r="C191" s="65" t="s">
        <v>1058</v>
      </c>
      <c r="D191" s="15" t="s">
        <v>117</v>
      </c>
      <c r="E191" s="22"/>
      <c r="F191" s="164">
        <v>86257.84</v>
      </c>
      <c r="G191" s="160">
        <f t="shared" si="1"/>
        <v>616789.31000000006</v>
      </c>
      <c r="H191" s="76">
        <v>38.784999999999997</v>
      </c>
      <c r="I191" s="10" t="s">
        <v>92</v>
      </c>
      <c r="J191" s="110"/>
      <c r="K191" s="69" t="s">
        <v>22</v>
      </c>
      <c r="L191" s="73" t="s">
        <v>92</v>
      </c>
      <c r="M191" s="26">
        <f>SUM(H199)</f>
        <v>691.36</v>
      </c>
    </row>
    <row r="192" spans="1:13" x14ac:dyDescent="0.3">
      <c r="A192" s="60">
        <v>46134</v>
      </c>
      <c r="B192" s="99" t="s">
        <v>57</v>
      </c>
      <c r="C192" s="65" t="s">
        <v>1060</v>
      </c>
      <c r="D192" s="15" t="s">
        <v>117</v>
      </c>
      <c r="E192" s="22"/>
      <c r="F192" s="16">
        <v>93002.89</v>
      </c>
      <c r="G192" s="160">
        <f t="shared" si="1"/>
        <v>523786.42000000004</v>
      </c>
      <c r="H192" s="76">
        <v>39.677</v>
      </c>
      <c r="I192" s="10" t="s">
        <v>92</v>
      </c>
      <c r="J192" s="110"/>
      <c r="K192" s="69" t="s">
        <v>6</v>
      </c>
      <c r="L192" s="73" t="s">
        <v>92</v>
      </c>
      <c r="M192" s="26">
        <f>SUM(H187+H195+H205)</f>
        <v>76.790999999999997</v>
      </c>
    </row>
    <row r="193" spans="1:13" x14ac:dyDescent="0.3">
      <c r="A193" s="60">
        <v>46134</v>
      </c>
      <c r="B193" s="99" t="s">
        <v>57</v>
      </c>
      <c r="C193" s="65" t="s">
        <v>1061</v>
      </c>
      <c r="D193" s="15" t="s">
        <v>61</v>
      </c>
      <c r="E193" s="22"/>
      <c r="F193" s="16">
        <v>385862.25</v>
      </c>
      <c r="G193" s="160">
        <f t="shared" si="1"/>
        <v>137924.17000000004</v>
      </c>
      <c r="H193" s="76">
        <v>164.61699999999999</v>
      </c>
      <c r="I193" s="10" t="s">
        <v>92</v>
      </c>
      <c r="J193" s="110"/>
      <c r="K193" s="69" t="s">
        <v>8</v>
      </c>
      <c r="L193" s="73" t="s">
        <v>92</v>
      </c>
      <c r="M193" s="26">
        <f>SUM(H177+H184)</f>
        <v>51.194000000000003</v>
      </c>
    </row>
    <row r="194" spans="1:13" x14ac:dyDescent="0.3">
      <c r="A194" s="60">
        <v>46134</v>
      </c>
      <c r="B194" s="99" t="s">
        <v>57</v>
      </c>
      <c r="C194" s="65" t="s">
        <v>1062</v>
      </c>
      <c r="D194" s="15" t="s">
        <v>917</v>
      </c>
      <c r="E194" s="22"/>
      <c r="F194" s="16">
        <v>59999.37</v>
      </c>
      <c r="G194" s="160">
        <f t="shared" si="1"/>
        <v>77924.800000000047</v>
      </c>
      <c r="H194" s="76">
        <v>25.597000000000001</v>
      </c>
      <c r="I194" s="10" t="s">
        <v>92</v>
      </c>
      <c r="J194" s="110"/>
      <c r="K194" s="69" t="s">
        <v>9</v>
      </c>
      <c r="L194" s="73" t="s">
        <v>92</v>
      </c>
      <c r="M194" s="26">
        <f>SUM(H197)</f>
        <v>169.035</v>
      </c>
    </row>
    <row r="195" spans="1:13" x14ac:dyDescent="0.3">
      <c r="A195" s="60">
        <v>46135</v>
      </c>
      <c r="B195" s="99" t="s">
        <v>57</v>
      </c>
      <c r="C195" s="65" t="s">
        <v>1063</v>
      </c>
      <c r="D195" s="15" t="s">
        <v>6</v>
      </c>
      <c r="E195" s="22"/>
      <c r="F195" s="16">
        <v>59999.37</v>
      </c>
      <c r="G195" s="160">
        <f t="shared" si="1"/>
        <v>17925.430000000044</v>
      </c>
      <c r="H195" s="76">
        <v>25.597000000000001</v>
      </c>
      <c r="I195" s="10" t="s">
        <v>92</v>
      </c>
      <c r="J195" s="110"/>
      <c r="K195" s="69" t="s">
        <v>30</v>
      </c>
      <c r="L195" s="73" t="s">
        <v>92</v>
      </c>
      <c r="M195" s="26">
        <f>SUM(H201)</f>
        <v>32.295000000000002</v>
      </c>
    </row>
    <row r="196" spans="1:13" x14ac:dyDescent="0.3">
      <c r="A196" s="202">
        <v>46135</v>
      </c>
      <c r="B196" s="306" t="s">
        <v>60</v>
      </c>
      <c r="C196" s="203" t="s">
        <v>1064</v>
      </c>
      <c r="D196" s="308" t="s">
        <v>1218</v>
      </c>
      <c r="E196" s="370">
        <v>2000000</v>
      </c>
      <c r="F196" s="339"/>
      <c r="G196" s="310">
        <f t="shared" si="1"/>
        <v>2017925.43</v>
      </c>
      <c r="H196" s="311"/>
      <c r="I196" s="199" t="s">
        <v>1222</v>
      </c>
      <c r="J196" s="110"/>
      <c r="K196" s="69" t="s">
        <v>10</v>
      </c>
      <c r="L196" s="73" t="s">
        <v>92</v>
      </c>
      <c r="M196" s="26">
        <f>SUM(H200)</f>
        <v>377.85500000000002</v>
      </c>
    </row>
    <row r="197" spans="1:13" x14ac:dyDescent="0.3">
      <c r="A197" s="60">
        <v>46135</v>
      </c>
      <c r="B197" s="99" t="s">
        <v>57</v>
      </c>
      <c r="C197" s="65" t="s">
        <v>1065</v>
      </c>
      <c r="D197" s="15" t="s">
        <v>9</v>
      </c>
      <c r="E197" s="22"/>
      <c r="F197" s="16">
        <v>375933.84</v>
      </c>
      <c r="G197" s="160">
        <f t="shared" si="1"/>
        <v>1641991.5899999999</v>
      </c>
      <c r="H197" s="76">
        <v>169.035</v>
      </c>
      <c r="I197" s="10" t="s">
        <v>92</v>
      </c>
      <c r="J197" s="110"/>
      <c r="K197" s="69" t="s">
        <v>11</v>
      </c>
      <c r="L197" s="73" t="s">
        <v>92</v>
      </c>
      <c r="M197" s="26">
        <f>SUM(H178+H180+H181+H188+H191+H192+H204+H208)</f>
        <v>285.37200000000001</v>
      </c>
    </row>
    <row r="198" spans="1:13" x14ac:dyDescent="0.3">
      <c r="A198" s="60">
        <v>46135</v>
      </c>
      <c r="B198" s="99" t="s">
        <v>57</v>
      </c>
      <c r="C198" s="65" t="s">
        <v>1066</v>
      </c>
      <c r="D198" s="15" t="s">
        <v>62</v>
      </c>
      <c r="E198" s="22"/>
      <c r="F198" s="16">
        <v>59999.37</v>
      </c>
      <c r="G198" s="160">
        <f t="shared" si="1"/>
        <v>1581992.2199999997</v>
      </c>
      <c r="H198" s="76">
        <v>25.597000000000001</v>
      </c>
      <c r="I198" s="10" t="s">
        <v>92</v>
      </c>
      <c r="J198" s="110"/>
      <c r="K198" s="540" t="s">
        <v>695</v>
      </c>
      <c r="L198" s="541"/>
      <c r="M198" s="148">
        <f>SUM(M180:M197)</f>
        <v>2234.6109999999999</v>
      </c>
    </row>
    <row r="199" spans="1:13" x14ac:dyDescent="0.3">
      <c r="A199" s="60">
        <v>46135</v>
      </c>
      <c r="B199" s="99" t="s">
        <v>57</v>
      </c>
      <c r="C199" s="65" t="s">
        <v>1067</v>
      </c>
      <c r="D199" s="15" t="s">
        <v>22</v>
      </c>
      <c r="E199" s="22"/>
      <c r="F199" s="16">
        <v>1620547.84</v>
      </c>
      <c r="G199" s="159">
        <f t="shared" si="1"/>
        <v>-38555.620000000345</v>
      </c>
      <c r="H199" s="9">
        <v>691.36</v>
      </c>
      <c r="I199" s="10" t="s">
        <v>92</v>
      </c>
      <c r="J199" s="110"/>
    </row>
    <row r="200" spans="1:13" x14ac:dyDescent="0.3">
      <c r="A200" s="60">
        <v>46135</v>
      </c>
      <c r="B200" s="99" t="s">
        <v>57</v>
      </c>
      <c r="C200" s="65" t="s">
        <v>1068</v>
      </c>
      <c r="D200" s="15" t="s">
        <v>10</v>
      </c>
      <c r="E200" s="22"/>
      <c r="F200" s="16">
        <v>885692.12</v>
      </c>
      <c r="G200" s="159">
        <f t="shared" si="1"/>
        <v>-924247.74000000034</v>
      </c>
      <c r="H200" s="9">
        <v>377.85500000000002</v>
      </c>
      <c r="I200" s="10" t="s">
        <v>92</v>
      </c>
      <c r="J200" s="110"/>
    </row>
    <row r="201" spans="1:13" x14ac:dyDescent="0.3">
      <c r="A201" s="60">
        <v>46136</v>
      </c>
      <c r="B201" s="99" t="s">
        <v>57</v>
      </c>
      <c r="C201" s="65" t="s">
        <v>1069</v>
      </c>
      <c r="D201" s="15" t="s">
        <v>30</v>
      </c>
      <c r="E201" s="22"/>
      <c r="F201" s="16">
        <v>75699.48</v>
      </c>
      <c r="G201" s="159">
        <f t="shared" si="1"/>
        <v>-999947.22000000032</v>
      </c>
      <c r="H201" s="76">
        <v>32.295000000000002</v>
      </c>
      <c r="I201" s="10" t="s">
        <v>92</v>
      </c>
      <c r="J201" s="110"/>
    </row>
    <row r="202" spans="1:13" x14ac:dyDescent="0.3">
      <c r="A202" s="60">
        <v>46136</v>
      </c>
      <c r="B202" s="99" t="s">
        <v>57</v>
      </c>
      <c r="C202" s="65" t="s">
        <v>1070</v>
      </c>
      <c r="D202" s="15" t="s">
        <v>26</v>
      </c>
      <c r="E202" s="22"/>
      <c r="F202" s="16">
        <v>200006.49</v>
      </c>
      <c r="G202" s="159">
        <f t="shared" si="1"/>
        <v>-1199953.7100000004</v>
      </c>
      <c r="H202" s="76">
        <v>85.326999999999998</v>
      </c>
      <c r="I202" s="10" t="s">
        <v>92</v>
      </c>
      <c r="J202" s="110"/>
    </row>
    <row r="203" spans="1:13" x14ac:dyDescent="0.3">
      <c r="A203" s="202">
        <v>46136</v>
      </c>
      <c r="B203" s="306" t="s">
        <v>60</v>
      </c>
      <c r="C203" s="203" t="s">
        <v>1071</v>
      </c>
      <c r="D203" s="308" t="s">
        <v>1218</v>
      </c>
      <c r="E203" s="370">
        <v>2500000</v>
      </c>
      <c r="F203" s="339"/>
      <c r="G203" s="310">
        <f t="shared" si="1"/>
        <v>1300046.2899999996</v>
      </c>
      <c r="H203" s="311"/>
      <c r="I203" s="199" t="s">
        <v>1222</v>
      </c>
      <c r="J203" s="110"/>
    </row>
    <row r="204" spans="1:13" x14ac:dyDescent="0.3">
      <c r="A204" s="60">
        <v>46136</v>
      </c>
      <c r="B204" s="99" t="s">
        <v>57</v>
      </c>
      <c r="C204" s="65" t="s">
        <v>1072</v>
      </c>
      <c r="D204" s="15" t="s">
        <v>117</v>
      </c>
      <c r="E204" s="22"/>
      <c r="F204" s="16">
        <v>70271.73</v>
      </c>
      <c r="G204" s="160">
        <f t="shared" si="1"/>
        <v>1229774.5599999996</v>
      </c>
      <c r="H204" s="76">
        <v>31.597000000000001</v>
      </c>
      <c r="I204" s="10" t="s">
        <v>92</v>
      </c>
      <c r="J204" s="110"/>
    </row>
    <row r="205" spans="1:13" x14ac:dyDescent="0.3">
      <c r="A205" s="60">
        <v>46136</v>
      </c>
      <c r="B205" s="99" t="s">
        <v>57</v>
      </c>
      <c r="C205" s="65" t="s">
        <v>1073</v>
      </c>
      <c r="D205" s="15" t="s">
        <v>6</v>
      </c>
      <c r="E205" s="22"/>
      <c r="F205" s="16">
        <v>59999.37</v>
      </c>
      <c r="G205" s="160">
        <f t="shared" si="1"/>
        <v>1169775.1899999995</v>
      </c>
      <c r="H205" s="76">
        <v>25.597000000000001</v>
      </c>
      <c r="I205" s="10" t="s">
        <v>92</v>
      </c>
      <c r="J205" s="110"/>
    </row>
    <row r="206" spans="1:13" x14ac:dyDescent="0.3">
      <c r="A206" s="60">
        <v>46136</v>
      </c>
      <c r="B206" s="99" t="s">
        <v>57</v>
      </c>
      <c r="C206" s="65" t="s">
        <v>1074</v>
      </c>
      <c r="D206" s="15" t="s">
        <v>917</v>
      </c>
      <c r="E206" s="22"/>
      <c r="F206" s="16">
        <v>59999.37</v>
      </c>
      <c r="G206" s="160">
        <f t="shared" si="1"/>
        <v>1109775.8199999994</v>
      </c>
      <c r="H206" s="76">
        <v>25.597000000000001</v>
      </c>
      <c r="I206" s="10" t="s">
        <v>92</v>
      </c>
      <c r="J206" s="110"/>
      <c r="K206" s="513" t="s">
        <v>1101</v>
      </c>
      <c r="L206" s="514"/>
      <c r="M206" s="515"/>
    </row>
    <row r="207" spans="1:13" x14ac:dyDescent="0.3">
      <c r="A207" s="60">
        <v>46137</v>
      </c>
      <c r="B207" s="99" t="s">
        <v>57</v>
      </c>
      <c r="C207" s="65" t="s">
        <v>1075</v>
      </c>
      <c r="D207" s="15" t="s">
        <v>24</v>
      </c>
      <c r="E207" s="22"/>
      <c r="F207" s="16">
        <v>45000.11</v>
      </c>
      <c r="G207" s="160">
        <f t="shared" si="1"/>
        <v>1064775.7099999993</v>
      </c>
      <c r="H207" s="76">
        <v>19.198</v>
      </c>
      <c r="I207" s="10" t="s">
        <v>92</v>
      </c>
      <c r="J207" s="110"/>
      <c r="K207" s="564" t="s">
        <v>34</v>
      </c>
      <c r="L207" s="565"/>
      <c r="M207" s="566"/>
    </row>
    <row r="208" spans="1:13" x14ac:dyDescent="0.3">
      <c r="A208" s="60">
        <v>46137</v>
      </c>
      <c r="B208" s="99" t="s">
        <v>57</v>
      </c>
      <c r="C208" s="65" t="s">
        <v>1076</v>
      </c>
      <c r="D208" s="15" t="s">
        <v>117</v>
      </c>
      <c r="E208" s="22"/>
      <c r="F208" s="16">
        <v>111811.67</v>
      </c>
      <c r="G208" s="160">
        <f t="shared" si="1"/>
        <v>952964.03999999922</v>
      </c>
      <c r="H208" s="9">
        <v>51.064</v>
      </c>
      <c r="I208" s="10" t="s">
        <v>92</v>
      </c>
      <c r="J208" s="110"/>
      <c r="K208" s="71" t="s">
        <v>32</v>
      </c>
      <c r="L208" s="43" t="s">
        <v>35</v>
      </c>
      <c r="M208" s="43" t="s">
        <v>33</v>
      </c>
    </row>
    <row r="209" spans="1:13" x14ac:dyDescent="0.3">
      <c r="A209" s="60">
        <v>46137</v>
      </c>
      <c r="B209" s="99" t="s">
        <v>57</v>
      </c>
      <c r="C209" s="65" t="s">
        <v>1077</v>
      </c>
      <c r="D209" s="15" t="s">
        <v>5</v>
      </c>
      <c r="E209" s="22"/>
      <c r="F209" s="16">
        <v>59999.37</v>
      </c>
      <c r="G209" s="160">
        <f t="shared" si="1"/>
        <v>892964.66999999923</v>
      </c>
      <c r="H209" s="76">
        <v>25.597000000000001</v>
      </c>
      <c r="I209" s="10" t="s">
        <v>92</v>
      </c>
      <c r="J209" s="110"/>
      <c r="K209" s="39" t="s">
        <v>0</v>
      </c>
      <c r="L209" s="73" t="s">
        <v>92</v>
      </c>
      <c r="M209" s="26">
        <v>0</v>
      </c>
    </row>
    <row r="210" spans="1:13" x14ac:dyDescent="0.3">
      <c r="A210" s="60">
        <v>46137</v>
      </c>
      <c r="B210" s="99" t="s">
        <v>57</v>
      </c>
      <c r="C210" s="65" t="s">
        <v>1078</v>
      </c>
      <c r="D210" s="15" t="s">
        <v>62</v>
      </c>
      <c r="E210" s="22"/>
      <c r="F210" s="16">
        <v>59999.37</v>
      </c>
      <c r="G210" s="160">
        <f t="shared" si="1"/>
        <v>832965.29999999923</v>
      </c>
      <c r="H210" s="76">
        <v>25.597000000000001</v>
      </c>
      <c r="I210" s="10" t="s">
        <v>92</v>
      </c>
      <c r="J210" s="110"/>
      <c r="K210" s="69" t="s">
        <v>1</v>
      </c>
      <c r="L210" s="73" t="s">
        <v>92</v>
      </c>
      <c r="M210" s="42">
        <f>SUM(H228+H240)</f>
        <v>146.65199999999999</v>
      </c>
    </row>
    <row r="211" spans="1:13" x14ac:dyDescent="0.3">
      <c r="A211" s="534" t="s">
        <v>694</v>
      </c>
      <c r="B211" s="534"/>
      <c r="C211" s="534"/>
      <c r="D211" s="534"/>
      <c r="E211" s="534"/>
      <c r="F211" s="534"/>
      <c r="G211" s="534"/>
      <c r="H211" s="540">
        <f>SUM(H177:H210)</f>
        <v>2234.6110000000008</v>
      </c>
      <c r="I211" s="541"/>
      <c r="J211" s="110"/>
      <c r="K211" s="24" t="s">
        <v>27</v>
      </c>
      <c r="L211" s="73" t="s">
        <v>92</v>
      </c>
      <c r="M211" s="26">
        <v>0</v>
      </c>
    </row>
    <row r="212" spans="1:13" ht="15.6" x14ac:dyDescent="0.3">
      <c r="A212" s="546" t="s">
        <v>1045</v>
      </c>
      <c r="B212" s="547"/>
      <c r="C212" s="547"/>
      <c r="D212" s="547"/>
      <c r="E212" s="547"/>
      <c r="F212" s="547"/>
      <c r="G212" s="547"/>
      <c r="H212" s="547"/>
      <c r="I212" s="548"/>
      <c r="J212" s="110"/>
      <c r="K212" s="76" t="s">
        <v>429</v>
      </c>
      <c r="L212" s="73" t="s">
        <v>92</v>
      </c>
      <c r="M212" s="80">
        <f>SUM(H223+H230+H235+H242)</f>
        <v>102.663</v>
      </c>
    </row>
    <row r="213" spans="1:13" x14ac:dyDescent="0.3">
      <c r="A213" s="60">
        <v>46138</v>
      </c>
      <c r="B213" s="99" t="s">
        <v>57</v>
      </c>
      <c r="C213" s="65" t="s">
        <v>1079</v>
      </c>
      <c r="D213" s="15" t="s">
        <v>3</v>
      </c>
      <c r="E213" s="22"/>
      <c r="F213" s="16">
        <v>59999.37</v>
      </c>
      <c r="G213" s="160">
        <f>+G210+E213-F213</f>
        <v>772965.92999999924</v>
      </c>
      <c r="H213" s="76">
        <v>25.597000000000001</v>
      </c>
      <c r="I213" s="10" t="s">
        <v>92</v>
      </c>
      <c r="J213" s="110"/>
      <c r="K213" s="76" t="s">
        <v>62</v>
      </c>
      <c r="L213" s="73" t="s">
        <v>92</v>
      </c>
      <c r="M213" s="80">
        <f>SUM(H215+H237+H241)</f>
        <v>61.526000000000003</v>
      </c>
    </row>
    <row r="214" spans="1:13" x14ac:dyDescent="0.3">
      <c r="A214" s="60">
        <v>46138</v>
      </c>
      <c r="B214" s="99" t="s">
        <v>57</v>
      </c>
      <c r="C214" s="65" t="s">
        <v>1080</v>
      </c>
      <c r="D214" s="15" t="s">
        <v>8</v>
      </c>
      <c r="E214" s="22"/>
      <c r="F214" s="16">
        <v>59999.37</v>
      </c>
      <c r="G214" s="160">
        <f t="shared" si="1"/>
        <v>712966.55999999924</v>
      </c>
      <c r="H214" s="76">
        <v>25.597000000000001</v>
      </c>
      <c r="I214" s="10" t="s">
        <v>92</v>
      </c>
      <c r="J214" s="110"/>
      <c r="K214" s="76" t="s">
        <v>541</v>
      </c>
      <c r="L214" s="73" t="s">
        <v>92</v>
      </c>
      <c r="M214" s="80">
        <v>0</v>
      </c>
    </row>
    <row r="215" spans="1:13" x14ac:dyDescent="0.3">
      <c r="A215" s="60">
        <v>46138</v>
      </c>
      <c r="B215" s="99" t="s">
        <v>57</v>
      </c>
      <c r="C215" s="65" t="s">
        <v>1081</v>
      </c>
      <c r="D215" s="15" t="s">
        <v>62</v>
      </c>
      <c r="E215" s="22"/>
      <c r="F215" s="16">
        <v>59999.37</v>
      </c>
      <c r="G215" s="160">
        <f t="shared" si="1"/>
        <v>652967.18999999925</v>
      </c>
      <c r="H215" s="76">
        <v>25.597000000000001</v>
      </c>
      <c r="I215" s="10" t="s">
        <v>92</v>
      </c>
      <c r="J215" s="110"/>
      <c r="K215" s="76" t="s">
        <v>361</v>
      </c>
      <c r="L215" s="73" t="s">
        <v>92</v>
      </c>
      <c r="M215" s="80">
        <f>SUM(H244)</f>
        <v>12.037000000000001</v>
      </c>
    </row>
    <row r="216" spans="1:13" x14ac:dyDescent="0.3">
      <c r="A216" s="60">
        <v>46138</v>
      </c>
      <c r="B216" s="99" t="s">
        <v>57</v>
      </c>
      <c r="C216" s="65" t="s">
        <v>1082</v>
      </c>
      <c r="D216" s="15" t="s">
        <v>22</v>
      </c>
      <c r="E216" s="22"/>
      <c r="F216" s="16">
        <v>703200</v>
      </c>
      <c r="G216" s="159">
        <f t="shared" si="1"/>
        <v>-50232.810000000754</v>
      </c>
      <c r="H216" s="76">
        <v>300</v>
      </c>
      <c r="I216" s="10" t="s">
        <v>92</v>
      </c>
      <c r="J216" s="110"/>
      <c r="K216" s="69" t="s">
        <v>24</v>
      </c>
      <c r="L216" s="73" t="s">
        <v>92</v>
      </c>
      <c r="M216" s="26">
        <f>SUM(H221+H231)</f>
        <v>53.382000000000005</v>
      </c>
    </row>
    <row r="217" spans="1:13" x14ac:dyDescent="0.3">
      <c r="A217" s="60">
        <v>46139</v>
      </c>
      <c r="B217" s="99" t="s">
        <v>57</v>
      </c>
      <c r="C217" s="65" t="s">
        <v>1083</v>
      </c>
      <c r="D217" s="15" t="s">
        <v>61</v>
      </c>
      <c r="E217" s="22"/>
      <c r="F217" s="16">
        <v>287648.65000000002</v>
      </c>
      <c r="G217" s="159">
        <f>+G216+E217-F217</f>
        <v>-337881.46000000078</v>
      </c>
      <c r="H217" s="76">
        <v>122.717</v>
      </c>
      <c r="I217" s="10" t="s">
        <v>92</v>
      </c>
      <c r="J217" s="110"/>
      <c r="K217" s="69" t="s">
        <v>29</v>
      </c>
      <c r="L217" s="73" t="s">
        <v>92</v>
      </c>
      <c r="M217" s="26">
        <f>SUM(H232)</f>
        <v>84.486999999999995</v>
      </c>
    </row>
    <row r="218" spans="1:13" x14ac:dyDescent="0.3">
      <c r="A218" s="60">
        <v>46139</v>
      </c>
      <c r="B218" s="99" t="s">
        <v>57</v>
      </c>
      <c r="C218" s="65" t="s">
        <v>1084</v>
      </c>
      <c r="D218" s="15" t="s">
        <v>117</v>
      </c>
      <c r="E218" s="22"/>
      <c r="F218" s="16">
        <v>122396.65</v>
      </c>
      <c r="G218" s="159">
        <f t="shared" si="1"/>
        <v>-460278.1100000008</v>
      </c>
      <c r="H218" s="76">
        <v>52.216999999999999</v>
      </c>
      <c r="I218" s="10" t="s">
        <v>92</v>
      </c>
      <c r="J218" s="110"/>
      <c r="K218" s="69" t="s">
        <v>3</v>
      </c>
      <c r="L218" s="73" t="s">
        <v>92</v>
      </c>
      <c r="M218" s="26">
        <f>SUM(H213)</f>
        <v>25.597000000000001</v>
      </c>
    </row>
    <row r="219" spans="1:13" x14ac:dyDescent="0.3">
      <c r="A219" s="60">
        <v>46139</v>
      </c>
      <c r="B219" s="99" t="s">
        <v>57</v>
      </c>
      <c r="C219" s="65" t="s">
        <v>1085</v>
      </c>
      <c r="D219" s="15" t="s">
        <v>5</v>
      </c>
      <c r="E219" s="22"/>
      <c r="F219" s="16">
        <v>59999.37</v>
      </c>
      <c r="G219" s="159">
        <f t="shared" si="1"/>
        <v>-520277.4800000008</v>
      </c>
      <c r="H219" s="76">
        <v>25.597000000000001</v>
      </c>
      <c r="I219" s="10" t="s">
        <v>92</v>
      </c>
      <c r="J219" s="110"/>
      <c r="K219" s="69" t="s">
        <v>5</v>
      </c>
      <c r="L219" s="73" t="s">
        <v>92</v>
      </c>
      <c r="M219" s="26">
        <f>SUM(H219+H225+H233+H238)</f>
        <v>102.608</v>
      </c>
    </row>
    <row r="220" spans="1:13" x14ac:dyDescent="0.3">
      <c r="A220" s="202">
        <v>46139</v>
      </c>
      <c r="B220" s="306" t="s">
        <v>60</v>
      </c>
      <c r="C220" s="203" t="s">
        <v>1086</v>
      </c>
      <c r="D220" s="308" t="s">
        <v>1218</v>
      </c>
      <c r="E220" s="370">
        <v>2000000</v>
      </c>
      <c r="F220" s="339"/>
      <c r="G220" s="310">
        <f t="shared" si="1"/>
        <v>1479722.5199999991</v>
      </c>
      <c r="H220" s="311"/>
      <c r="I220" s="199" t="s">
        <v>1222</v>
      </c>
      <c r="J220" s="110"/>
      <c r="K220" s="69" t="s">
        <v>61</v>
      </c>
      <c r="L220" s="73" t="s">
        <v>92</v>
      </c>
      <c r="M220" s="26">
        <f>SUM(H217+H234+H247)</f>
        <v>344.63400000000001</v>
      </c>
    </row>
    <row r="221" spans="1:13" x14ac:dyDescent="0.3">
      <c r="A221" s="60">
        <v>46139</v>
      </c>
      <c r="B221" s="99" t="s">
        <v>57</v>
      </c>
      <c r="C221" s="65" t="s">
        <v>1087</v>
      </c>
      <c r="D221" s="15" t="s">
        <v>24</v>
      </c>
      <c r="E221" s="22"/>
      <c r="F221" s="16">
        <v>64999.12</v>
      </c>
      <c r="G221" s="160">
        <f t="shared" si="1"/>
        <v>1414723.399999999</v>
      </c>
      <c r="H221" s="76">
        <v>27.73</v>
      </c>
      <c r="I221" s="10" t="s">
        <v>92</v>
      </c>
      <c r="J221" s="110"/>
      <c r="K221" s="69" t="s">
        <v>22</v>
      </c>
      <c r="L221" s="73" t="s">
        <v>92</v>
      </c>
      <c r="M221" s="26">
        <f>SUM(H216)</f>
        <v>300</v>
      </c>
    </row>
    <row r="222" spans="1:13" x14ac:dyDescent="0.3">
      <c r="A222" s="60">
        <v>46139</v>
      </c>
      <c r="B222" s="99" t="s">
        <v>57</v>
      </c>
      <c r="C222" s="65" t="s">
        <v>1088</v>
      </c>
      <c r="D222" s="15" t="s">
        <v>8</v>
      </c>
      <c r="E222" s="22"/>
      <c r="F222" s="16">
        <v>59999.37</v>
      </c>
      <c r="G222" s="160">
        <f t="shared" si="1"/>
        <v>1354724.0299999989</v>
      </c>
      <c r="H222" s="76">
        <v>25.597000000000001</v>
      </c>
      <c r="I222" s="10" t="s">
        <v>92</v>
      </c>
      <c r="J222" s="110"/>
      <c r="K222" s="69" t="s">
        <v>6</v>
      </c>
      <c r="L222" s="73" t="s">
        <v>92</v>
      </c>
      <c r="M222" s="26">
        <f>SUM(H226+H245)</f>
        <v>51.304000000000002</v>
      </c>
    </row>
    <row r="223" spans="1:13" x14ac:dyDescent="0.3">
      <c r="A223" s="60">
        <v>46140</v>
      </c>
      <c r="B223" s="99" t="s">
        <v>57</v>
      </c>
      <c r="C223" s="65" t="s">
        <v>1089</v>
      </c>
      <c r="D223" s="15" t="s">
        <v>917</v>
      </c>
      <c r="E223" s="22"/>
      <c r="F223" s="16">
        <v>60000.03</v>
      </c>
      <c r="G223" s="160">
        <f t="shared" si="1"/>
        <v>1294723.9999999988</v>
      </c>
      <c r="H223" s="76">
        <v>25.652000000000001</v>
      </c>
      <c r="I223" s="10" t="s">
        <v>92</v>
      </c>
      <c r="J223" s="110"/>
      <c r="K223" s="69" t="s">
        <v>8</v>
      </c>
      <c r="L223" s="73" t="s">
        <v>92</v>
      </c>
      <c r="M223" s="26">
        <f>SUM(H214+H222+H239)</f>
        <v>76.846000000000004</v>
      </c>
    </row>
    <row r="224" spans="1:13" x14ac:dyDescent="0.3">
      <c r="A224" s="60">
        <v>46140</v>
      </c>
      <c r="B224" s="99" t="s">
        <v>57</v>
      </c>
      <c r="C224" s="65" t="s">
        <v>1090</v>
      </c>
      <c r="D224" s="15" t="s">
        <v>10</v>
      </c>
      <c r="E224" s="22"/>
      <c r="F224" s="16">
        <v>467800</v>
      </c>
      <c r="G224" s="160">
        <f t="shared" si="1"/>
        <v>826923.99999999884</v>
      </c>
      <c r="H224" s="76">
        <v>200</v>
      </c>
      <c r="I224" s="10" t="s">
        <v>92</v>
      </c>
      <c r="J224" s="110"/>
      <c r="K224" s="69" t="s">
        <v>9</v>
      </c>
      <c r="L224" s="73" t="s">
        <v>92</v>
      </c>
      <c r="M224" s="26">
        <f>SUM(H246)</f>
        <v>57.15</v>
      </c>
    </row>
    <row r="225" spans="1:13" x14ac:dyDescent="0.3">
      <c r="A225" s="60">
        <v>46140</v>
      </c>
      <c r="B225" s="99" t="s">
        <v>57</v>
      </c>
      <c r="C225" s="65" t="s">
        <v>1091</v>
      </c>
      <c r="D225" s="15" t="s">
        <v>5</v>
      </c>
      <c r="E225" s="22"/>
      <c r="F225" s="16">
        <v>60000.03</v>
      </c>
      <c r="G225" s="160">
        <f t="shared" si="1"/>
        <v>766923.96999999881</v>
      </c>
      <c r="H225" s="76">
        <v>25.652000000000001</v>
      </c>
      <c r="I225" s="10" t="s">
        <v>92</v>
      </c>
      <c r="J225" s="110"/>
      <c r="K225" s="69" t="s">
        <v>30</v>
      </c>
      <c r="L225" s="73" t="s">
        <v>92</v>
      </c>
      <c r="M225" s="26">
        <f>SUM(H229)</f>
        <v>264.33999999999997</v>
      </c>
    </row>
    <row r="226" spans="1:13" x14ac:dyDescent="0.3">
      <c r="A226" s="60">
        <v>46140</v>
      </c>
      <c r="B226" s="99" t="s">
        <v>57</v>
      </c>
      <c r="C226" s="65" t="s">
        <v>1092</v>
      </c>
      <c r="D226" s="15" t="s">
        <v>6</v>
      </c>
      <c r="E226" s="22"/>
      <c r="F226" s="16">
        <v>60000.03</v>
      </c>
      <c r="G226" s="160">
        <f t="shared" si="1"/>
        <v>706923.93999999878</v>
      </c>
      <c r="H226" s="76">
        <v>25.652000000000001</v>
      </c>
      <c r="I226" s="10" t="s">
        <v>92</v>
      </c>
      <c r="J226" s="110"/>
      <c r="K226" s="69" t="s">
        <v>10</v>
      </c>
      <c r="L226" s="73" t="s">
        <v>92</v>
      </c>
      <c r="M226" s="26">
        <f>SUM(H224)</f>
        <v>200</v>
      </c>
    </row>
    <row r="227" spans="1:13" x14ac:dyDescent="0.3">
      <c r="A227" s="60">
        <v>46140</v>
      </c>
      <c r="B227" s="99" t="s">
        <v>57</v>
      </c>
      <c r="C227" s="65" t="s">
        <v>1093</v>
      </c>
      <c r="D227" s="15" t="s">
        <v>117</v>
      </c>
      <c r="E227" s="22"/>
      <c r="F227" s="16">
        <v>77088.06</v>
      </c>
      <c r="G227" s="160">
        <f t="shared" si="1"/>
        <v>629835.87999999872</v>
      </c>
      <c r="H227" s="76">
        <v>34.74</v>
      </c>
      <c r="I227" s="10" t="s">
        <v>92</v>
      </c>
      <c r="J227" s="110"/>
      <c r="K227" s="69" t="s">
        <v>11</v>
      </c>
      <c r="L227" s="73" t="s">
        <v>92</v>
      </c>
      <c r="M227" s="26">
        <f>SUM(H218+H227+H243)</f>
        <v>126.15899999999999</v>
      </c>
    </row>
    <row r="228" spans="1:13" x14ac:dyDescent="0.3">
      <c r="A228" s="60">
        <v>46140</v>
      </c>
      <c r="B228" s="99" t="s">
        <v>57</v>
      </c>
      <c r="C228" s="65" t="s">
        <v>1094</v>
      </c>
      <c r="D228" s="15" t="s">
        <v>1</v>
      </c>
      <c r="E228" s="22"/>
      <c r="F228" s="16">
        <v>173015.83</v>
      </c>
      <c r="G228" s="160">
        <f t="shared" si="1"/>
        <v>456820.04999999877</v>
      </c>
      <c r="H228" s="76">
        <v>73.97</v>
      </c>
      <c r="I228" s="10" t="s">
        <v>92</v>
      </c>
      <c r="J228" s="110"/>
      <c r="K228" s="540" t="s">
        <v>695</v>
      </c>
      <c r="L228" s="541"/>
      <c r="M228" s="148">
        <f>SUM(M210:M227)</f>
        <v>2009.3850000000002</v>
      </c>
    </row>
    <row r="229" spans="1:13" x14ac:dyDescent="0.3">
      <c r="A229" s="60">
        <v>46140</v>
      </c>
      <c r="B229" s="99" t="s">
        <v>57</v>
      </c>
      <c r="C229" s="65" t="s">
        <v>1095</v>
      </c>
      <c r="D229" s="15" t="s">
        <v>30</v>
      </c>
      <c r="E229" s="22"/>
      <c r="F229" s="16">
        <v>618291.26</v>
      </c>
      <c r="G229" s="159">
        <f t="shared" si="1"/>
        <v>-161471.21000000124</v>
      </c>
      <c r="H229" s="76">
        <v>264.33999999999997</v>
      </c>
      <c r="I229" s="10" t="s">
        <v>92</v>
      </c>
      <c r="J229" s="110"/>
    </row>
    <row r="230" spans="1:13" x14ac:dyDescent="0.3">
      <c r="A230" s="60">
        <v>46140</v>
      </c>
      <c r="B230" s="99" t="s">
        <v>57</v>
      </c>
      <c r="C230" s="65" t="s">
        <v>1096</v>
      </c>
      <c r="D230" s="15" t="s">
        <v>917</v>
      </c>
      <c r="E230" s="22"/>
      <c r="F230" s="16">
        <v>60000.03</v>
      </c>
      <c r="G230" s="159">
        <f t="shared" si="1"/>
        <v>-221471.24000000124</v>
      </c>
      <c r="H230" s="76">
        <v>25.652000000000001</v>
      </c>
      <c r="I230" s="10" t="s">
        <v>92</v>
      </c>
      <c r="J230" s="110"/>
      <c r="K230" s="530" t="s">
        <v>1232</v>
      </c>
      <c r="L230" s="531"/>
      <c r="M230" s="532"/>
    </row>
    <row r="231" spans="1:13" x14ac:dyDescent="0.3">
      <c r="A231" s="60">
        <v>46140</v>
      </c>
      <c r="B231" s="99" t="s">
        <v>57</v>
      </c>
      <c r="C231" s="65" t="s">
        <v>1097</v>
      </c>
      <c r="D231" s="15" t="s">
        <v>24</v>
      </c>
      <c r="E231" s="22"/>
      <c r="F231" s="16">
        <v>60000.03</v>
      </c>
      <c r="G231" s="159">
        <f t="shared" si="1"/>
        <v>-281471.27000000124</v>
      </c>
      <c r="H231" s="76">
        <v>25.652000000000001</v>
      </c>
      <c r="I231" s="10" t="s">
        <v>92</v>
      </c>
      <c r="J231" s="110"/>
      <c r="K231" s="298" t="s">
        <v>32</v>
      </c>
      <c r="L231" s="299" t="s">
        <v>35</v>
      </c>
      <c r="M231" s="299" t="s">
        <v>33</v>
      </c>
    </row>
    <row r="232" spans="1:13" x14ac:dyDescent="0.3">
      <c r="A232" s="60">
        <v>46140</v>
      </c>
      <c r="B232" s="99" t="s">
        <v>57</v>
      </c>
      <c r="C232" s="65" t="s">
        <v>1098</v>
      </c>
      <c r="D232" s="15" t="s">
        <v>26</v>
      </c>
      <c r="E232" s="22"/>
      <c r="F232" s="16">
        <v>197615.09</v>
      </c>
      <c r="G232" s="159">
        <f t="shared" si="1"/>
        <v>-479086.36000000127</v>
      </c>
      <c r="H232" s="76">
        <v>84.486999999999995</v>
      </c>
      <c r="I232" s="10" t="s">
        <v>92</v>
      </c>
      <c r="J232" s="110"/>
      <c r="K232" s="39" t="s">
        <v>0</v>
      </c>
      <c r="L232" s="73" t="s">
        <v>92</v>
      </c>
      <c r="M232" s="26">
        <f t="shared" ref="M232:M250" si="2">SUM(M40+M74+M123+M179+M209)</f>
        <v>0</v>
      </c>
    </row>
    <row r="233" spans="1:13" x14ac:dyDescent="0.3">
      <c r="A233" s="60">
        <v>46141</v>
      </c>
      <c r="B233" s="99" t="s">
        <v>57</v>
      </c>
      <c r="C233" s="65" t="s">
        <v>1099</v>
      </c>
      <c r="D233" s="15" t="s">
        <v>5</v>
      </c>
      <c r="E233" s="22"/>
      <c r="F233" s="16">
        <v>60000.14</v>
      </c>
      <c r="G233" s="159">
        <f t="shared" si="1"/>
        <v>-539086.50000000128</v>
      </c>
      <c r="H233" s="76">
        <v>25.707000000000001</v>
      </c>
      <c r="I233" s="10" t="s">
        <v>92</v>
      </c>
      <c r="J233" s="110"/>
      <c r="K233" s="69" t="s">
        <v>1</v>
      </c>
      <c r="L233" s="73" t="s">
        <v>92</v>
      </c>
      <c r="M233" s="42">
        <f t="shared" si="2"/>
        <v>146.65199999999999</v>
      </c>
    </row>
    <row r="234" spans="1:13" x14ac:dyDescent="0.3">
      <c r="A234" s="60">
        <v>46141</v>
      </c>
      <c r="B234" s="99" t="s">
        <v>57</v>
      </c>
      <c r="C234" s="65" t="s">
        <v>1100</v>
      </c>
      <c r="D234" s="15" t="s">
        <v>61</v>
      </c>
      <c r="E234" s="22"/>
      <c r="F234" s="16">
        <v>185506.32</v>
      </c>
      <c r="G234" s="159">
        <f t="shared" si="1"/>
        <v>-724592.82000000123</v>
      </c>
      <c r="H234" s="76">
        <v>79.48</v>
      </c>
      <c r="I234" s="10" t="s">
        <v>92</v>
      </c>
      <c r="J234" s="110"/>
      <c r="K234" s="24" t="s">
        <v>27</v>
      </c>
      <c r="L234" s="73" t="s">
        <v>92</v>
      </c>
      <c r="M234" s="26">
        <f t="shared" si="2"/>
        <v>54.61</v>
      </c>
    </row>
    <row r="235" spans="1:13" x14ac:dyDescent="0.3">
      <c r="A235" s="60">
        <v>46141</v>
      </c>
      <c r="B235" s="99" t="s">
        <v>57</v>
      </c>
      <c r="C235" s="65" t="s">
        <v>1102</v>
      </c>
      <c r="D235" s="15" t="s">
        <v>917</v>
      </c>
      <c r="E235" s="22"/>
      <c r="F235" s="16">
        <v>60000.14</v>
      </c>
      <c r="G235" s="159">
        <f t="shared" si="1"/>
        <v>-784592.96000000124</v>
      </c>
      <c r="H235" s="76">
        <v>25.707000000000001</v>
      </c>
      <c r="I235" s="10" t="s">
        <v>92</v>
      </c>
      <c r="J235" s="110"/>
      <c r="K235" s="76" t="s">
        <v>429</v>
      </c>
      <c r="L235" s="73" t="s">
        <v>92</v>
      </c>
      <c r="M235" s="80">
        <f t="shared" si="2"/>
        <v>454.62400000000002</v>
      </c>
    </row>
    <row r="236" spans="1:13" x14ac:dyDescent="0.3">
      <c r="A236" s="202">
        <v>46141</v>
      </c>
      <c r="B236" s="306" t="s">
        <v>60</v>
      </c>
      <c r="C236" s="203" t="s">
        <v>1103</v>
      </c>
      <c r="D236" s="308" t="s">
        <v>1218</v>
      </c>
      <c r="E236" s="370">
        <v>2000000</v>
      </c>
      <c r="F236" s="339"/>
      <c r="G236" s="310">
        <f t="shared" si="1"/>
        <v>1215407.0399999986</v>
      </c>
      <c r="H236" s="311"/>
      <c r="I236" s="199" t="s">
        <v>1222</v>
      </c>
      <c r="J236" s="110"/>
      <c r="K236" s="76" t="s">
        <v>62</v>
      </c>
      <c r="L236" s="73" t="s">
        <v>92</v>
      </c>
      <c r="M236" s="80">
        <f t="shared" si="2"/>
        <v>407.80000000000007</v>
      </c>
    </row>
    <row r="237" spans="1:13" x14ac:dyDescent="0.3">
      <c r="A237" s="60">
        <v>46141</v>
      </c>
      <c r="B237" s="99" t="s">
        <v>57</v>
      </c>
      <c r="C237" s="65" t="s">
        <v>1104</v>
      </c>
      <c r="D237" s="15" t="s">
        <v>62</v>
      </c>
      <c r="E237" s="22"/>
      <c r="F237" s="16">
        <v>60000.14</v>
      </c>
      <c r="G237" s="160">
        <f t="shared" si="1"/>
        <v>1155406.8999999987</v>
      </c>
      <c r="H237" s="76">
        <v>25.707000000000001</v>
      </c>
      <c r="I237" s="10" t="s">
        <v>92</v>
      </c>
      <c r="J237" s="110"/>
      <c r="K237" s="76" t="s">
        <v>541</v>
      </c>
      <c r="L237" s="73" t="s">
        <v>92</v>
      </c>
      <c r="M237" s="80">
        <f t="shared" si="2"/>
        <v>0</v>
      </c>
    </row>
    <row r="238" spans="1:13" x14ac:dyDescent="0.3">
      <c r="A238" s="60">
        <v>46142</v>
      </c>
      <c r="B238" s="99" t="s">
        <v>57</v>
      </c>
      <c r="C238" s="65" t="s">
        <v>1105</v>
      </c>
      <c r="D238" s="15" t="s">
        <v>5</v>
      </c>
      <c r="E238" s="22"/>
      <c r="F238" s="16">
        <v>60000.03</v>
      </c>
      <c r="G238" s="160">
        <f t="shared" si="1"/>
        <v>1095406.8699999987</v>
      </c>
      <c r="H238" s="76">
        <v>25.652000000000001</v>
      </c>
      <c r="I238" s="10" t="s">
        <v>92</v>
      </c>
      <c r="J238" s="110"/>
      <c r="K238" s="145" t="s">
        <v>361</v>
      </c>
      <c r="L238" s="73" t="s">
        <v>92</v>
      </c>
      <c r="M238" s="80">
        <f t="shared" si="2"/>
        <v>39.743000000000002</v>
      </c>
    </row>
    <row r="239" spans="1:13" x14ac:dyDescent="0.3">
      <c r="A239" s="60">
        <v>46142</v>
      </c>
      <c r="B239" s="99" t="s">
        <v>57</v>
      </c>
      <c r="C239" s="65" t="s">
        <v>1106</v>
      </c>
      <c r="D239" s="15" t="s">
        <v>8</v>
      </c>
      <c r="E239" s="22"/>
      <c r="F239" s="16">
        <v>60000.03</v>
      </c>
      <c r="G239" s="160">
        <f t="shared" si="1"/>
        <v>1035406.8399999987</v>
      </c>
      <c r="H239" s="76">
        <v>25.652000000000001</v>
      </c>
      <c r="I239" s="10" t="s">
        <v>92</v>
      </c>
      <c r="J239" s="110"/>
      <c r="K239" s="69" t="s">
        <v>24</v>
      </c>
      <c r="L239" s="73" t="s">
        <v>92</v>
      </c>
      <c r="M239" s="26">
        <f t="shared" si="2"/>
        <v>296.55600000000004</v>
      </c>
    </row>
    <row r="240" spans="1:13" x14ac:dyDescent="0.3">
      <c r="A240" s="60">
        <v>46142</v>
      </c>
      <c r="B240" s="99" t="s">
        <v>57</v>
      </c>
      <c r="C240" s="65" t="s">
        <v>1107</v>
      </c>
      <c r="D240" s="15" t="s">
        <v>1</v>
      </c>
      <c r="E240" s="22"/>
      <c r="F240" s="16">
        <v>170003.20000000001</v>
      </c>
      <c r="G240" s="160">
        <f t="shared" si="1"/>
        <v>865403.63999999873</v>
      </c>
      <c r="H240" s="76">
        <v>72.682000000000002</v>
      </c>
      <c r="I240" s="10" t="s">
        <v>92</v>
      </c>
      <c r="J240" s="110"/>
      <c r="K240" s="69" t="s">
        <v>29</v>
      </c>
      <c r="L240" s="73" t="s">
        <v>92</v>
      </c>
      <c r="M240" s="26">
        <f t="shared" si="2"/>
        <v>615.08569999999997</v>
      </c>
    </row>
    <row r="241" spans="1:13" x14ac:dyDescent="0.3">
      <c r="A241" s="60">
        <v>46142</v>
      </c>
      <c r="B241" s="99" t="s">
        <v>57</v>
      </c>
      <c r="C241" s="65" t="s">
        <v>1108</v>
      </c>
      <c r="D241" s="15" t="s">
        <v>62</v>
      </c>
      <c r="E241" s="22"/>
      <c r="F241" s="16">
        <v>21026.65</v>
      </c>
      <c r="G241" s="160">
        <f t="shared" si="1"/>
        <v>844376.98999999871</v>
      </c>
      <c r="H241" s="76">
        <v>10.222</v>
      </c>
      <c r="I241" s="10" t="s">
        <v>92</v>
      </c>
      <c r="J241" s="110"/>
      <c r="K241" s="69" t="s">
        <v>3</v>
      </c>
      <c r="L241" s="73" t="s">
        <v>92</v>
      </c>
      <c r="M241" s="26">
        <f t="shared" si="2"/>
        <v>345.56200000000001</v>
      </c>
    </row>
    <row r="242" spans="1:13" x14ac:dyDescent="0.3">
      <c r="A242" s="60">
        <v>46142</v>
      </c>
      <c r="B242" s="99" t="s">
        <v>57</v>
      </c>
      <c r="C242" s="65" t="s">
        <v>1109</v>
      </c>
      <c r="D242" s="15" t="s">
        <v>917</v>
      </c>
      <c r="E242" s="22"/>
      <c r="F242" s="16">
        <v>60000.03</v>
      </c>
      <c r="G242" s="160">
        <f t="shared" si="1"/>
        <v>784376.95999999868</v>
      </c>
      <c r="H242" s="76">
        <v>25.652000000000001</v>
      </c>
      <c r="I242" s="10" t="s">
        <v>92</v>
      </c>
      <c r="J242" s="110"/>
      <c r="K242" s="69" t="s">
        <v>5</v>
      </c>
      <c r="L242" s="73" t="s">
        <v>92</v>
      </c>
      <c r="M242" s="26">
        <f t="shared" si="2"/>
        <v>505.76400000000007</v>
      </c>
    </row>
    <row r="243" spans="1:13" x14ac:dyDescent="0.3">
      <c r="A243" s="60">
        <v>46142</v>
      </c>
      <c r="B243" s="99" t="s">
        <v>57</v>
      </c>
      <c r="C243" s="65" t="s">
        <v>1110</v>
      </c>
      <c r="D243" s="15" t="s">
        <v>117</v>
      </c>
      <c r="E243" s="22"/>
      <c r="F243" s="16">
        <v>86989.24</v>
      </c>
      <c r="G243" s="160">
        <f t="shared" si="1"/>
        <v>697387.71999999869</v>
      </c>
      <c r="H243" s="76">
        <v>39.201999999999998</v>
      </c>
      <c r="I243" s="10" t="s">
        <v>92</v>
      </c>
      <c r="J243" s="110"/>
      <c r="K243" s="39" t="s">
        <v>61</v>
      </c>
      <c r="L243" s="73" t="s">
        <v>92</v>
      </c>
      <c r="M243" s="26">
        <f t="shared" si="2"/>
        <v>1307.9769000000001</v>
      </c>
    </row>
    <row r="244" spans="1:13" x14ac:dyDescent="0.3">
      <c r="A244" s="60">
        <v>46142</v>
      </c>
      <c r="B244" s="99" t="s">
        <v>57</v>
      </c>
      <c r="C244" s="65" t="s">
        <v>1111</v>
      </c>
      <c r="D244" s="15" t="s">
        <v>361</v>
      </c>
      <c r="E244" s="22"/>
      <c r="F244" s="16">
        <v>26385.1</v>
      </c>
      <c r="G244" s="160">
        <f t="shared" si="1"/>
        <v>671002.61999999871</v>
      </c>
      <c r="H244" s="76">
        <v>12.037000000000001</v>
      </c>
      <c r="I244" s="10" t="s">
        <v>92</v>
      </c>
      <c r="J244" s="110"/>
      <c r="K244" s="69" t="s">
        <v>22</v>
      </c>
      <c r="L244" s="73" t="s">
        <v>92</v>
      </c>
      <c r="M244" s="26">
        <f t="shared" si="2"/>
        <v>1497.825</v>
      </c>
    </row>
    <row r="245" spans="1:13" x14ac:dyDescent="0.3">
      <c r="A245" s="60">
        <v>46142</v>
      </c>
      <c r="B245" s="99" t="s">
        <v>57</v>
      </c>
      <c r="C245" s="65" t="s">
        <v>1112</v>
      </c>
      <c r="D245" s="15" t="s">
        <v>6</v>
      </c>
      <c r="E245" s="22"/>
      <c r="F245" s="16">
        <v>60000.03</v>
      </c>
      <c r="G245" s="160">
        <f t="shared" si="1"/>
        <v>611002.58999999869</v>
      </c>
      <c r="H245" s="76">
        <v>25.652000000000001</v>
      </c>
      <c r="I245" s="10" t="s">
        <v>92</v>
      </c>
      <c r="J245" s="110"/>
      <c r="K245" s="39" t="s">
        <v>6</v>
      </c>
      <c r="L245" s="73" t="s">
        <v>92</v>
      </c>
      <c r="M245" s="26">
        <f t="shared" si="2"/>
        <v>300.87700000000001</v>
      </c>
    </row>
    <row r="246" spans="1:13" x14ac:dyDescent="0.3">
      <c r="A246" s="60">
        <v>46142</v>
      </c>
      <c r="B246" s="99" t="s">
        <v>57</v>
      </c>
      <c r="C246" s="65" t="s">
        <v>1113</v>
      </c>
      <c r="D246" s="15" t="s">
        <v>9</v>
      </c>
      <c r="E246" s="22"/>
      <c r="F246" s="16">
        <v>126815.85</v>
      </c>
      <c r="G246" s="160">
        <f t="shared" si="1"/>
        <v>484186.73999999871</v>
      </c>
      <c r="H246" s="76">
        <v>57.15</v>
      </c>
      <c r="I246" s="10" t="s">
        <v>92</v>
      </c>
      <c r="J246" s="110"/>
      <c r="K246" s="69" t="s">
        <v>8</v>
      </c>
      <c r="L246" s="73" t="s">
        <v>92</v>
      </c>
      <c r="M246" s="26">
        <f t="shared" si="2"/>
        <v>320.01900000000001</v>
      </c>
    </row>
    <row r="247" spans="1:13" x14ac:dyDescent="0.3">
      <c r="A247" s="60">
        <v>46142</v>
      </c>
      <c r="B247" s="99" t="s">
        <v>57</v>
      </c>
      <c r="C247" s="65" t="s">
        <v>1114</v>
      </c>
      <c r="D247" s="15" t="s">
        <v>61</v>
      </c>
      <c r="E247" s="22"/>
      <c r="F247" s="16">
        <v>335476.08</v>
      </c>
      <c r="G247" s="160">
        <f t="shared" si="1"/>
        <v>148710.65999999869</v>
      </c>
      <c r="H247" s="9">
        <v>142.43700000000001</v>
      </c>
      <c r="I247" s="10" t="s">
        <v>92</v>
      </c>
      <c r="J247" s="110"/>
      <c r="K247" s="69" t="s">
        <v>9</v>
      </c>
      <c r="L247" s="73" t="s">
        <v>92</v>
      </c>
      <c r="M247" s="80">
        <f t="shared" si="2"/>
        <v>796.76549999999997</v>
      </c>
    </row>
    <row r="248" spans="1:13" ht="15" thickBot="1" x14ac:dyDescent="0.35">
      <c r="A248" s="552" t="s">
        <v>694</v>
      </c>
      <c r="B248" s="552"/>
      <c r="C248" s="552"/>
      <c r="D248" s="552"/>
      <c r="E248" s="552"/>
      <c r="F248" s="552"/>
      <c r="G248" s="552"/>
      <c r="H248" s="553">
        <f>SUM(H213:H247)</f>
        <v>2009.3850000000011</v>
      </c>
      <c r="I248" s="554"/>
      <c r="J248" s="110"/>
      <c r="K248" s="69" t="s">
        <v>30</v>
      </c>
      <c r="L248" s="73" t="s">
        <v>92</v>
      </c>
      <c r="M248" s="26">
        <f t="shared" si="2"/>
        <v>496.63499999999999</v>
      </c>
    </row>
    <row r="249" spans="1:13" ht="30" customHeight="1" thickTop="1" thickBot="1" x14ac:dyDescent="0.35">
      <c r="A249" s="567" t="s">
        <v>28</v>
      </c>
      <c r="B249" s="567"/>
      <c r="C249" s="567"/>
      <c r="D249" s="567"/>
      <c r="E249" s="371">
        <f>SUM(E40:E248)</f>
        <v>22000000</v>
      </c>
      <c r="F249" s="300">
        <f>SUM(F40:F248)</f>
        <v>21851289.34</v>
      </c>
      <c r="G249" s="301">
        <f>SUM(E249-F249)</f>
        <v>148710.66000000015</v>
      </c>
      <c r="H249" s="302">
        <f>SUM(H70+H119+H175+H211+H248)</f>
        <v>9192.929100000003</v>
      </c>
      <c r="I249" s="295"/>
      <c r="J249"/>
      <c r="K249" s="69" t="s">
        <v>10</v>
      </c>
      <c r="L249" s="73" t="s">
        <v>92</v>
      </c>
      <c r="M249" s="26">
        <f t="shared" si="2"/>
        <v>727.85500000000002</v>
      </c>
    </row>
    <row r="250" spans="1:13" ht="15" thickTop="1" x14ac:dyDescent="0.3">
      <c r="J250" s="3"/>
      <c r="K250" s="69" t="s">
        <v>11</v>
      </c>
      <c r="L250" s="73" t="s">
        <v>92</v>
      </c>
      <c r="M250" s="26">
        <f t="shared" si="2"/>
        <v>878.57900000000006</v>
      </c>
    </row>
    <row r="251" spans="1:13" ht="15" thickBot="1" x14ac:dyDescent="0.35">
      <c r="J251" s="3"/>
      <c r="K251" s="368" t="s">
        <v>36</v>
      </c>
      <c r="L251" s="140" t="s">
        <v>744</v>
      </c>
      <c r="M251" s="140" t="s">
        <v>760</v>
      </c>
    </row>
    <row r="252" spans="1:13" ht="30" customHeight="1" thickTop="1" thickBot="1" x14ac:dyDescent="0.35">
      <c r="J252" s="3"/>
      <c r="K252" s="533" t="s">
        <v>1225</v>
      </c>
      <c r="L252" s="533"/>
      <c r="M252" s="303">
        <f>SUM(M233:M250)</f>
        <v>9192.9291000000012</v>
      </c>
    </row>
    <row r="253" spans="1:13" ht="17.399999999999999" customHeight="1" thickTop="1" x14ac:dyDescent="0.3">
      <c r="J253" s="3"/>
    </row>
    <row r="254" spans="1:13" x14ac:dyDescent="0.3">
      <c r="J254" s="3"/>
    </row>
    <row r="255" spans="1:13" x14ac:dyDescent="0.3">
      <c r="J255" s="3"/>
    </row>
    <row r="256" spans="1:13" ht="18" customHeight="1" x14ac:dyDescent="0.3">
      <c r="J256" s="3"/>
    </row>
    <row r="257" spans="10:10" x14ac:dyDescent="0.3">
      <c r="J257" s="3"/>
    </row>
    <row r="258" spans="10:10" ht="30" customHeight="1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  <row r="325" spans="10:10" x14ac:dyDescent="0.3">
      <c r="J325" s="3"/>
    </row>
    <row r="326" spans="10:10" x14ac:dyDescent="0.3">
      <c r="J326" s="3"/>
    </row>
    <row r="327" spans="10:10" x14ac:dyDescent="0.3">
      <c r="J327" s="3"/>
    </row>
    <row r="328" spans="10:10" x14ac:dyDescent="0.3">
      <c r="J328" s="3"/>
    </row>
    <row r="329" spans="10:10" x14ac:dyDescent="0.3">
      <c r="J329" s="3"/>
    </row>
    <row r="330" spans="10:10" x14ac:dyDescent="0.3">
      <c r="J330" s="3"/>
    </row>
    <row r="331" spans="10:10" x14ac:dyDescent="0.3">
      <c r="J331" s="3"/>
    </row>
    <row r="332" spans="10:10" x14ac:dyDescent="0.3">
      <c r="J332" s="3"/>
    </row>
    <row r="333" spans="10:10" x14ac:dyDescent="0.3">
      <c r="J333" s="3"/>
    </row>
    <row r="334" spans="10:10" x14ac:dyDescent="0.3">
      <c r="J334" s="3"/>
    </row>
    <row r="335" spans="10:10" x14ac:dyDescent="0.3">
      <c r="J335" s="3"/>
    </row>
    <row r="336" spans="10:10" x14ac:dyDescent="0.3">
      <c r="J336" s="3"/>
    </row>
    <row r="337" spans="10:10" x14ac:dyDescent="0.3">
      <c r="J337" s="3"/>
    </row>
    <row r="338" spans="10:10" x14ac:dyDescent="0.3">
      <c r="J338" s="3"/>
    </row>
    <row r="339" spans="10:10" x14ac:dyDescent="0.3">
      <c r="J339" s="3"/>
    </row>
    <row r="340" spans="10:10" x14ac:dyDescent="0.3">
      <c r="J340" s="3"/>
    </row>
    <row r="341" spans="10:10" x14ac:dyDescent="0.3">
      <c r="J341" s="3"/>
    </row>
    <row r="342" spans="10:10" x14ac:dyDescent="0.3">
      <c r="J342" s="3"/>
    </row>
    <row r="343" spans="10:10" x14ac:dyDescent="0.3">
      <c r="J343" s="3"/>
    </row>
    <row r="344" spans="10:10" x14ac:dyDescent="0.3">
      <c r="J344" s="3"/>
    </row>
    <row r="345" spans="10:10" x14ac:dyDescent="0.3">
      <c r="J345" s="3"/>
    </row>
    <row r="346" spans="10:10" x14ac:dyDescent="0.3">
      <c r="J346" s="3"/>
    </row>
    <row r="347" spans="10:10" x14ac:dyDescent="0.3">
      <c r="J347" s="3"/>
    </row>
    <row r="348" spans="10:10" x14ac:dyDescent="0.3">
      <c r="J348" s="3"/>
    </row>
    <row r="349" spans="10:10" x14ac:dyDescent="0.3">
      <c r="J349" s="3"/>
    </row>
    <row r="350" spans="10:10" x14ac:dyDescent="0.3">
      <c r="J350" s="3"/>
    </row>
    <row r="351" spans="10:10" x14ac:dyDescent="0.3">
      <c r="J351" s="3"/>
    </row>
    <row r="352" spans="10:10" x14ac:dyDescent="0.3">
      <c r="J352" s="3"/>
    </row>
    <row r="353" spans="10:10" x14ac:dyDescent="0.3">
      <c r="J353" s="3"/>
    </row>
    <row r="354" spans="10:10" x14ac:dyDescent="0.3">
      <c r="J354" s="3"/>
    </row>
    <row r="355" spans="10:10" x14ac:dyDescent="0.3">
      <c r="J355" s="3"/>
    </row>
    <row r="356" spans="10:10" x14ac:dyDescent="0.3">
      <c r="J356" s="3"/>
    </row>
    <row r="357" spans="10:10" x14ac:dyDescent="0.3">
      <c r="J357" s="3"/>
    </row>
    <row r="358" spans="10:10" x14ac:dyDescent="0.3">
      <c r="J358" s="3"/>
    </row>
    <row r="359" spans="10:10" x14ac:dyDescent="0.3">
      <c r="J359" s="3"/>
    </row>
    <row r="360" spans="10:10" x14ac:dyDescent="0.3">
      <c r="J360" s="3"/>
    </row>
    <row r="361" spans="10:10" x14ac:dyDescent="0.3">
      <c r="J361" s="3"/>
    </row>
    <row r="362" spans="10:10" x14ac:dyDescent="0.3">
      <c r="J362" s="3"/>
    </row>
    <row r="363" spans="10:10" x14ac:dyDescent="0.3">
      <c r="J363" s="3"/>
    </row>
    <row r="364" spans="10:10" x14ac:dyDescent="0.3">
      <c r="J364" s="3"/>
    </row>
    <row r="365" spans="10:10" x14ac:dyDescent="0.3">
      <c r="J365" s="3"/>
    </row>
    <row r="366" spans="10:10" x14ac:dyDescent="0.3">
      <c r="J366" s="3"/>
    </row>
    <row r="367" spans="10:10" x14ac:dyDescent="0.3">
      <c r="J367" s="3"/>
    </row>
    <row r="368" spans="10:10" x14ac:dyDescent="0.3">
      <c r="J368" s="3"/>
    </row>
    <row r="369" spans="10:10" x14ac:dyDescent="0.3">
      <c r="J369" s="3"/>
    </row>
    <row r="370" spans="10:10" x14ac:dyDescent="0.3">
      <c r="J370" s="3"/>
    </row>
    <row r="371" spans="10:10" x14ac:dyDescent="0.3">
      <c r="J371" s="3"/>
    </row>
    <row r="372" spans="10:10" x14ac:dyDescent="0.3">
      <c r="J372" s="3"/>
    </row>
    <row r="373" spans="10:10" x14ac:dyDescent="0.3">
      <c r="J373" s="3"/>
    </row>
    <row r="374" spans="10:10" x14ac:dyDescent="0.3">
      <c r="J374" s="3"/>
    </row>
    <row r="375" spans="10:10" x14ac:dyDescent="0.3">
      <c r="J375" s="3"/>
    </row>
    <row r="376" spans="10:10" x14ac:dyDescent="0.3">
      <c r="J376" s="3"/>
    </row>
    <row r="377" spans="10:10" x14ac:dyDescent="0.3">
      <c r="J377" s="3"/>
    </row>
    <row r="378" spans="10:10" x14ac:dyDescent="0.3">
      <c r="J378" s="3"/>
    </row>
    <row r="379" spans="10:10" x14ac:dyDescent="0.3">
      <c r="J379" s="3"/>
    </row>
    <row r="380" spans="10:10" x14ac:dyDescent="0.3">
      <c r="J380" s="3"/>
    </row>
    <row r="381" spans="10:10" x14ac:dyDescent="0.3">
      <c r="J381" s="3"/>
    </row>
    <row r="382" spans="10:10" x14ac:dyDescent="0.3">
      <c r="J382" s="3"/>
    </row>
    <row r="383" spans="10:10" x14ac:dyDescent="0.3">
      <c r="J383" s="3"/>
    </row>
    <row r="384" spans="10:10" x14ac:dyDescent="0.3">
      <c r="J384" s="3"/>
    </row>
    <row r="385" spans="10:10" x14ac:dyDescent="0.3">
      <c r="J385" s="3"/>
    </row>
    <row r="386" spans="10:10" x14ac:dyDescent="0.3">
      <c r="J386" s="3"/>
    </row>
    <row r="387" spans="10:10" x14ac:dyDescent="0.3">
      <c r="J387" s="3"/>
    </row>
    <row r="388" spans="10:10" x14ac:dyDescent="0.3">
      <c r="J388" s="3"/>
    </row>
    <row r="389" spans="10:10" x14ac:dyDescent="0.3">
      <c r="J389" s="3"/>
    </row>
    <row r="390" spans="10:10" x14ac:dyDescent="0.3">
      <c r="J390" s="3"/>
    </row>
    <row r="391" spans="10:10" x14ac:dyDescent="0.3">
      <c r="J391" s="3"/>
    </row>
    <row r="392" spans="10:10" x14ac:dyDescent="0.3">
      <c r="J392" s="3"/>
    </row>
    <row r="393" spans="10:10" x14ac:dyDescent="0.3">
      <c r="J393" s="3"/>
    </row>
    <row r="394" spans="10:10" x14ac:dyDescent="0.3">
      <c r="J394" s="3"/>
    </row>
    <row r="395" spans="10:10" x14ac:dyDescent="0.3">
      <c r="J395" s="3"/>
    </row>
    <row r="396" spans="10:10" x14ac:dyDescent="0.3">
      <c r="J396" s="3"/>
    </row>
    <row r="397" spans="10:10" x14ac:dyDescent="0.3">
      <c r="J397" s="3"/>
    </row>
    <row r="398" spans="10:10" x14ac:dyDescent="0.3">
      <c r="J398" s="3"/>
    </row>
    <row r="399" spans="10:10" x14ac:dyDescent="0.3">
      <c r="J399" s="3"/>
    </row>
    <row r="400" spans="10:10" x14ac:dyDescent="0.3">
      <c r="J400" s="3"/>
    </row>
    <row r="401" spans="10:10" x14ac:dyDescent="0.3">
      <c r="J401" s="3"/>
    </row>
    <row r="402" spans="10:10" x14ac:dyDescent="0.3">
      <c r="J402" s="3"/>
    </row>
    <row r="403" spans="10:10" x14ac:dyDescent="0.3">
      <c r="J403" s="3"/>
    </row>
    <row r="404" spans="10:10" x14ac:dyDescent="0.3">
      <c r="J404" s="3"/>
    </row>
    <row r="405" spans="10:10" x14ac:dyDescent="0.3">
      <c r="J405" s="3"/>
    </row>
    <row r="406" spans="10:10" x14ac:dyDescent="0.3">
      <c r="J406" s="3"/>
    </row>
    <row r="407" spans="10:10" x14ac:dyDescent="0.3">
      <c r="J407" s="3"/>
    </row>
    <row r="408" spans="10:10" x14ac:dyDescent="0.3">
      <c r="J408" s="3"/>
    </row>
    <row r="409" spans="10:10" x14ac:dyDescent="0.3">
      <c r="J409" s="3"/>
    </row>
    <row r="410" spans="10:10" x14ac:dyDescent="0.3">
      <c r="J410" s="3"/>
    </row>
    <row r="411" spans="10:10" x14ac:dyDescent="0.3">
      <c r="J411" s="3"/>
    </row>
    <row r="412" spans="10:10" x14ac:dyDescent="0.3">
      <c r="J412" s="3"/>
    </row>
    <row r="413" spans="10:10" x14ac:dyDescent="0.3">
      <c r="J413" s="3"/>
    </row>
    <row r="414" spans="10:10" x14ac:dyDescent="0.3">
      <c r="J414" s="3"/>
    </row>
    <row r="415" spans="10:10" x14ac:dyDescent="0.3">
      <c r="J415" s="3"/>
    </row>
    <row r="416" spans="10:10" x14ac:dyDescent="0.3">
      <c r="J416" s="3"/>
    </row>
    <row r="417" spans="10:10" x14ac:dyDescent="0.3">
      <c r="J417" s="3"/>
    </row>
    <row r="418" spans="10:10" x14ac:dyDescent="0.3">
      <c r="J418" s="3"/>
    </row>
    <row r="419" spans="10:10" x14ac:dyDescent="0.3">
      <c r="J419" s="3"/>
    </row>
    <row r="420" spans="10:10" x14ac:dyDescent="0.3">
      <c r="J420" s="3"/>
    </row>
    <row r="421" spans="10:10" x14ac:dyDescent="0.3">
      <c r="J421" s="3"/>
    </row>
    <row r="422" spans="10:10" x14ac:dyDescent="0.3">
      <c r="J422" s="3"/>
    </row>
    <row r="423" spans="10:10" x14ac:dyDescent="0.3">
      <c r="J423" s="3"/>
    </row>
    <row r="424" spans="10:10" x14ac:dyDescent="0.3">
      <c r="J424" s="3"/>
    </row>
    <row r="425" spans="10:10" x14ac:dyDescent="0.3">
      <c r="J425" s="3"/>
    </row>
    <row r="426" spans="10:10" x14ac:dyDescent="0.3">
      <c r="J426" s="3"/>
    </row>
    <row r="427" spans="10:10" x14ac:dyDescent="0.3">
      <c r="J427" s="3"/>
    </row>
    <row r="428" spans="10:10" x14ac:dyDescent="0.3">
      <c r="J428" s="3"/>
    </row>
    <row r="429" spans="10:10" x14ac:dyDescent="0.3">
      <c r="J429" s="3"/>
    </row>
    <row r="430" spans="10:10" x14ac:dyDescent="0.3">
      <c r="J430" s="3"/>
    </row>
    <row r="431" spans="10:10" x14ac:dyDescent="0.3">
      <c r="J431" s="3"/>
    </row>
    <row r="432" spans="10:10" x14ac:dyDescent="0.3">
      <c r="J432" s="3"/>
    </row>
    <row r="433" spans="10:10" x14ac:dyDescent="0.3">
      <c r="J433" s="3"/>
    </row>
    <row r="434" spans="10:10" x14ac:dyDescent="0.3">
      <c r="J434" s="3"/>
    </row>
    <row r="435" spans="10:10" x14ac:dyDescent="0.3">
      <c r="J435" s="3"/>
    </row>
    <row r="436" spans="10:10" x14ac:dyDescent="0.3">
      <c r="J436" s="3"/>
    </row>
    <row r="437" spans="10:10" x14ac:dyDescent="0.3">
      <c r="J437" s="3"/>
    </row>
    <row r="438" spans="10:10" x14ac:dyDescent="0.3">
      <c r="J438" s="3"/>
    </row>
    <row r="439" spans="10:10" x14ac:dyDescent="0.3">
      <c r="J439" s="3"/>
    </row>
    <row r="440" spans="10:10" x14ac:dyDescent="0.3">
      <c r="J440" s="3"/>
    </row>
    <row r="441" spans="10:10" x14ac:dyDescent="0.3">
      <c r="J441" s="3"/>
    </row>
    <row r="442" spans="10:10" x14ac:dyDescent="0.3">
      <c r="J442" s="3"/>
    </row>
    <row r="443" spans="10:10" x14ac:dyDescent="0.3">
      <c r="J443" s="3"/>
    </row>
    <row r="444" spans="10:10" x14ac:dyDescent="0.3">
      <c r="J444" s="3"/>
    </row>
    <row r="445" spans="10:10" x14ac:dyDescent="0.3">
      <c r="J445" s="3"/>
    </row>
    <row r="446" spans="10:10" x14ac:dyDescent="0.3">
      <c r="J446" s="3"/>
    </row>
    <row r="447" spans="10:10" x14ac:dyDescent="0.3">
      <c r="J447" s="3"/>
    </row>
    <row r="448" spans="10:10" x14ac:dyDescent="0.3">
      <c r="J448" s="3"/>
    </row>
    <row r="449" spans="10:10" x14ac:dyDescent="0.3">
      <c r="J449" s="3"/>
    </row>
    <row r="450" spans="10:10" x14ac:dyDescent="0.3">
      <c r="J450" s="3"/>
    </row>
    <row r="451" spans="10:10" x14ac:dyDescent="0.3">
      <c r="J451" s="3"/>
    </row>
    <row r="452" spans="10:10" x14ac:dyDescent="0.3">
      <c r="J452" s="3"/>
    </row>
    <row r="453" spans="10:10" x14ac:dyDescent="0.3">
      <c r="J453" s="3"/>
    </row>
    <row r="454" spans="10:10" x14ac:dyDescent="0.3">
      <c r="J454" s="3"/>
    </row>
    <row r="455" spans="10:10" x14ac:dyDescent="0.3">
      <c r="J455" s="3"/>
    </row>
  </sheetData>
  <mergeCells count="35">
    <mergeCell ref="K252:L252"/>
    <mergeCell ref="K94:L94"/>
    <mergeCell ref="K177:M177"/>
    <mergeCell ref="K120:M120"/>
    <mergeCell ref="K121:M121"/>
    <mergeCell ref="K207:M207"/>
    <mergeCell ref="K198:L198"/>
    <mergeCell ref="K142:L142"/>
    <mergeCell ref="K206:M206"/>
    <mergeCell ref="A1:I4"/>
    <mergeCell ref="K5:M5"/>
    <mergeCell ref="A5:I5"/>
    <mergeCell ref="K6:M6"/>
    <mergeCell ref="K71:M71"/>
    <mergeCell ref="K72:M72"/>
    <mergeCell ref="K176:M176"/>
    <mergeCell ref="K59:L59"/>
    <mergeCell ref="A249:D249"/>
    <mergeCell ref="A6:I6"/>
    <mergeCell ref="A70:G70"/>
    <mergeCell ref="H70:I70"/>
    <mergeCell ref="A71:I71"/>
    <mergeCell ref="A119:G119"/>
    <mergeCell ref="H119:I119"/>
    <mergeCell ref="A120:I120"/>
    <mergeCell ref="A175:G175"/>
    <mergeCell ref="H175:I175"/>
    <mergeCell ref="A176:I176"/>
    <mergeCell ref="A211:G211"/>
    <mergeCell ref="H211:I211"/>
    <mergeCell ref="A212:I212"/>
    <mergeCell ref="A248:G248"/>
    <mergeCell ref="H248:I248"/>
    <mergeCell ref="K228:L228"/>
    <mergeCell ref="K230:M230"/>
  </mergeCells>
  <pageMargins left="0.39370078740157483" right="0.39370078740157483" top="0.19685039370078741" bottom="0.19685039370078741" header="0.31496062992125984" footer="0.31496062992125984"/>
  <pageSetup paperSize="9" scale="50" fitToHeight="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O411"/>
  <sheetViews>
    <sheetView topLeftCell="A2" workbookViewId="0">
      <selection activeCell="C172" sqref="C172"/>
    </sheetView>
  </sheetViews>
  <sheetFormatPr baseColWidth="10" defaultRowHeight="14.4" x14ac:dyDescent="0.3"/>
  <cols>
    <col min="1" max="1" width="10.5546875" style="64" customWidth="1"/>
    <col min="2" max="2" width="8.33203125" style="64" customWidth="1"/>
    <col min="3" max="3" width="16.6640625" style="74" customWidth="1"/>
    <col min="4" max="4" width="15" customWidth="1"/>
    <col min="5" max="5" width="20.6640625" customWidth="1"/>
    <col min="6" max="6" width="16.6640625" bestFit="1" customWidth="1"/>
    <col min="7" max="7" width="15.6640625" customWidth="1"/>
    <col min="8" max="8" width="9" bestFit="1" customWidth="1"/>
    <col min="9" max="9" width="24.109375" style="3" customWidth="1"/>
    <col min="10" max="10" width="6.33203125" style="72" customWidth="1"/>
    <col min="11" max="11" width="17.44140625" customWidth="1"/>
    <col min="12" max="12" width="16.33203125" customWidth="1"/>
    <col min="13" max="13" width="10.33203125" customWidth="1"/>
  </cols>
  <sheetData>
    <row r="1" spans="1:15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5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5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5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5" ht="23.4" x14ac:dyDescent="0.45">
      <c r="A5" s="519" t="s">
        <v>1219</v>
      </c>
      <c r="B5" s="519"/>
      <c r="C5" s="519"/>
      <c r="D5" s="519"/>
      <c r="E5" s="519"/>
      <c r="F5" s="519"/>
      <c r="G5" s="519"/>
      <c r="H5" s="519"/>
      <c r="I5" s="519"/>
      <c r="J5" s="113"/>
      <c r="K5" s="526" t="s">
        <v>1176</v>
      </c>
      <c r="L5" s="526"/>
      <c r="M5" s="526"/>
    </row>
    <row r="6" spans="1:15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45" t="s">
        <v>34</v>
      </c>
      <c r="L6" s="545"/>
      <c r="M6" s="545"/>
      <c r="N6" s="146"/>
      <c r="O6" s="146"/>
    </row>
    <row r="7" spans="1:15" x14ac:dyDescent="0.3">
      <c r="A7" s="377" t="s">
        <v>13</v>
      </c>
      <c r="B7" s="377" t="s">
        <v>284</v>
      </c>
      <c r="C7" s="377" t="s">
        <v>25</v>
      </c>
      <c r="D7" s="378" t="s">
        <v>18</v>
      </c>
      <c r="E7" s="379" t="s">
        <v>16</v>
      </c>
      <c r="F7" s="379" t="s">
        <v>17</v>
      </c>
      <c r="G7" s="380" t="s">
        <v>14</v>
      </c>
      <c r="H7" s="381" t="s">
        <v>15</v>
      </c>
      <c r="I7" s="382" t="s">
        <v>20</v>
      </c>
      <c r="J7" s="109"/>
      <c r="K7" s="71" t="s">
        <v>32</v>
      </c>
      <c r="L7" s="43" t="s">
        <v>35</v>
      </c>
      <c r="M7" s="43" t="s">
        <v>33</v>
      </c>
      <c r="N7" s="146"/>
      <c r="O7" s="146"/>
    </row>
    <row r="8" spans="1:15" ht="20.399999999999999" customHeight="1" x14ac:dyDescent="0.3">
      <c r="A8" s="54">
        <v>46142</v>
      </c>
      <c r="B8" s="54"/>
      <c r="C8" s="13" t="s">
        <v>21</v>
      </c>
      <c r="D8" s="13"/>
      <c r="E8" s="163">
        <v>148710.66</v>
      </c>
      <c r="F8" s="67"/>
      <c r="G8" s="163">
        <f>+E8-F8</f>
        <v>148710.66</v>
      </c>
      <c r="H8" s="36"/>
      <c r="I8" s="105"/>
      <c r="J8" s="5"/>
      <c r="K8" s="39" t="s">
        <v>0</v>
      </c>
      <c r="L8" s="73" t="s">
        <v>92</v>
      </c>
      <c r="M8" s="26">
        <v>0</v>
      </c>
      <c r="N8" s="146"/>
      <c r="O8" s="146"/>
    </row>
    <row r="9" spans="1:15" s="6" customFormat="1" ht="16.2" customHeight="1" x14ac:dyDescent="0.3">
      <c r="A9" s="82">
        <v>46143</v>
      </c>
      <c r="B9" s="50" t="s">
        <v>57</v>
      </c>
      <c r="C9" s="49" t="s">
        <v>1115</v>
      </c>
      <c r="D9" s="15" t="s">
        <v>24</v>
      </c>
      <c r="E9" s="11"/>
      <c r="F9" s="16">
        <v>60000.03</v>
      </c>
      <c r="G9" s="160">
        <f>+G8+E9-F9</f>
        <v>88710.63</v>
      </c>
      <c r="H9" s="76">
        <v>25.652000000000001</v>
      </c>
      <c r="I9" s="10" t="s">
        <v>92</v>
      </c>
      <c r="J9" s="110"/>
      <c r="K9" s="69" t="s">
        <v>1</v>
      </c>
      <c r="L9" s="73" t="s">
        <v>92</v>
      </c>
      <c r="M9" s="42">
        <v>0</v>
      </c>
      <c r="N9" s="146"/>
      <c r="O9" s="146"/>
    </row>
    <row r="10" spans="1:15" x14ac:dyDescent="0.3">
      <c r="A10" s="82">
        <v>46143</v>
      </c>
      <c r="B10" s="82" t="s">
        <v>57</v>
      </c>
      <c r="C10" s="49" t="s">
        <v>1116</v>
      </c>
      <c r="D10" s="7" t="s">
        <v>5</v>
      </c>
      <c r="E10" s="22"/>
      <c r="F10" s="16">
        <v>60000.03</v>
      </c>
      <c r="G10" s="160">
        <f t="shared" ref="G10:G41" si="0">+G9+E10-F10</f>
        <v>28710.600000000006</v>
      </c>
      <c r="H10" s="76">
        <v>25.652000000000001</v>
      </c>
      <c r="I10" s="10" t="s">
        <v>92</v>
      </c>
      <c r="J10" s="110"/>
      <c r="K10" s="24" t="s">
        <v>27</v>
      </c>
      <c r="L10" s="73" t="s">
        <v>92</v>
      </c>
      <c r="M10" s="26">
        <v>0</v>
      </c>
      <c r="N10" s="146"/>
      <c r="O10" s="146"/>
    </row>
    <row r="11" spans="1:15" x14ac:dyDescent="0.3">
      <c r="A11" s="82">
        <v>46143</v>
      </c>
      <c r="B11" s="82" t="s">
        <v>57</v>
      </c>
      <c r="C11" s="49" t="s">
        <v>1117</v>
      </c>
      <c r="D11" s="7" t="s">
        <v>26</v>
      </c>
      <c r="E11" s="22"/>
      <c r="F11" s="16">
        <v>152725.01</v>
      </c>
      <c r="G11" s="159">
        <f t="shared" si="0"/>
        <v>-124014.41</v>
      </c>
      <c r="H11" s="76">
        <v>65.295000000000002</v>
      </c>
      <c r="I11" s="10" t="s">
        <v>92</v>
      </c>
      <c r="J11" s="110"/>
      <c r="K11" s="126" t="s">
        <v>429</v>
      </c>
      <c r="L11" s="73" t="s">
        <v>92</v>
      </c>
      <c r="M11" s="80">
        <f>SUM(H12+H18+H20+H31+H49+H50+H55)</f>
        <v>196.28299999999999</v>
      </c>
      <c r="N11" s="146"/>
      <c r="O11" s="146"/>
    </row>
    <row r="12" spans="1:15" x14ac:dyDescent="0.3">
      <c r="A12" s="82">
        <v>46143</v>
      </c>
      <c r="B12" s="82" t="s">
        <v>57</v>
      </c>
      <c r="C12" s="49" t="s">
        <v>1118</v>
      </c>
      <c r="D12" s="15" t="s">
        <v>429</v>
      </c>
      <c r="E12" s="22"/>
      <c r="F12" s="16">
        <v>60000.03</v>
      </c>
      <c r="G12" s="159">
        <f t="shared" si="0"/>
        <v>-184014.44</v>
      </c>
      <c r="H12" s="76">
        <v>25.652000000000001</v>
      </c>
      <c r="I12" s="10" t="s">
        <v>92</v>
      </c>
      <c r="J12" s="110"/>
      <c r="K12" s="126" t="s">
        <v>62</v>
      </c>
      <c r="L12" s="73" t="s">
        <v>92</v>
      </c>
      <c r="M12" s="80">
        <v>0</v>
      </c>
      <c r="N12" s="146"/>
      <c r="O12" s="146"/>
    </row>
    <row r="13" spans="1:15" x14ac:dyDescent="0.3">
      <c r="A13" s="82">
        <v>46143</v>
      </c>
      <c r="B13" s="82" t="s">
        <v>57</v>
      </c>
      <c r="C13" s="49" t="s">
        <v>1119</v>
      </c>
      <c r="D13" s="85" t="s">
        <v>117</v>
      </c>
      <c r="E13" s="22"/>
      <c r="F13" s="16">
        <v>90004.72</v>
      </c>
      <c r="G13" s="159">
        <f t="shared" si="0"/>
        <v>-274019.16000000003</v>
      </c>
      <c r="H13" s="76">
        <v>38.479999999999997</v>
      </c>
      <c r="I13" s="10" t="s">
        <v>92</v>
      </c>
      <c r="J13" s="110"/>
      <c r="K13" s="126" t="s">
        <v>361</v>
      </c>
      <c r="L13" s="73" t="s">
        <v>92</v>
      </c>
      <c r="M13" s="80">
        <v>0</v>
      </c>
      <c r="N13" s="146"/>
      <c r="O13" s="146"/>
    </row>
    <row r="14" spans="1:15" x14ac:dyDescent="0.3">
      <c r="A14" s="82">
        <v>46143</v>
      </c>
      <c r="B14" s="82" t="s">
        <v>57</v>
      </c>
      <c r="C14" s="49" t="s">
        <v>1120</v>
      </c>
      <c r="D14" s="15" t="s">
        <v>3</v>
      </c>
      <c r="E14" s="22"/>
      <c r="F14" s="16">
        <v>60000.03</v>
      </c>
      <c r="G14" s="159">
        <f t="shared" si="0"/>
        <v>-334019.19000000006</v>
      </c>
      <c r="H14" s="76">
        <v>25.652000000000001</v>
      </c>
      <c r="I14" s="10" t="s">
        <v>92</v>
      </c>
      <c r="J14" s="110"/>
      <c r="K14" s="126" t="s">
        <v>541</v>
      </c>
      <c r="L14" s="73" t="s">
        <v>92</v>
      </c>
      <c r="M14" s="80">
        <f>SUM(H24)</f>
        <v>11.677</v>
      </c>
    </row>
    <row r="15" spans="1:15" x14ac:dyDescent="0.3">
      <c r="A15" s="82">
        <v>46143</v>
      </c>
      <c r="B15" s="82" t="s">
        <v>57</v>
      </c>
      <c r="C15" s="49" t="s">
        <v>1121</v>
      </c>
      <c r="D15" s="15" t="s">
        <v>6</v>
      </c>
      <c r="E15" s="22"/>
      <c r="F15" s="16">
        <v>60000.03</v>
      </c>
      <c r="G15" s="159">
        <f t="shared" si="0"/>
        <v>-394019.22000000009</v>
      </c>
      <c r="H15" s="76">
        <v>25.652000000000001</v>
      </c>
      <c r="I15" s="10" t="s">
        <v>92</v>
      </c>
      <c r="J15" s="110"/>
      <c r="K15" s="69" t="s">
        <v>24</v>
      </c>
      <c r="L15" s="73" t="s">
        <v>92</v>
      </c>
      <c r="M15" s="26">
        <f>SUM(H9+H21+H29+H44+H54+H60)</f>
        <v>163.92399999999998</v>
      </c>
      <c r="N15" s="146"/>
      <c r="O15" s="146"/>
    </row>
    <row r="16" spans="1:15" x14ac:dyDescent="0.3">
      <c r="A16" s="82">
        <v>46144</v>
      </c>
      <c r="B16" s="82" t="s">
        <v>57</v>
      </c>
      <c r="C16" s="49" t="s">
        <v>1122</v>
      </c>
      <c r="D16" s="15" t="s">
        <v>22</v>
      </c>
      <c r="E16" s="22"/>
      <c r="F16" s="16">
        <v>805362.52</v>
      </c>
      <c r="G16" s="159">
        <f t="shared" si="0"/>
        <v>-1199381.7400000002</v>
      </c>
      <c r="H16" s="76">
        <v>343.423</v>
      </c>
      <c r="I16" s="10" t="s">
        <v>92</v>
      </c>
      <c r="J16" s="110"/>
      <c r="K16" s="69" t="s">
        <v>29</v>
      </c>
      <c r="L16" s="73" t="s">
        <v>92</v>
      </c>
      <c r="M16" s="26">
        <f>SUM(H11)</f>
        <v>65.295000000000002</v>
      </c>
      <c r="N16" s="146"/>
      <c r="O16" s="146"/>
    </row>
    <row r="17" spans="1:15" x14ac:dyDescent="0.3">
      <c r="A17" s="82">
        <v>46145</v>
      </c>
      <c r="B17" s="82" t="s">
        <v>57</v>
      </c>
      <c r="C17" s="49" t="s">
        <v>1123</v>
      </c>
      <c r="D17" s="15" t="s">
        <v>8</v>
      </c>
      <c r="E17" s="22"/>
      <c r="F17" s="16">
        <v>59999.37</v>
      </c>
      <c r="G17" s="159">
        <f t="shared" si="0"/>
        <v>-1259381.1100000003</v>
      </c>
      <c r="H17" s="76">
        <v>25.597000000000001</v>
      </c>
      <c r="I17" s="10" t="s">
        <v>92</v>
      </c>
      <c r="J17" s="110"/>
      <c r="K17" s="69" t="s">
        <v>3</v>
      </c>
      <c r="L17" s="73" t="s">
        <v>92</v>
      </c>
      <c r="M17" s="26">
        <f>SUM(H14+H26+H45)</f>
        <v>76.846999999999994</v>
      </c>
      <c r="N17" s="146"/>
      <c r="O17" s="146"/>
    </row>
    <row r="18" spans="1:15" x14ac:dyDescent="0.3">
      <c r="A18" s="82">
        <v>46145</v>
      </c>
      <c r="B18" s="82" t="s">
        <v>57</v>
      </c>
      <c r="C18" s="49" t="s">
        <v>1124</v>
      </c>
      <c r="D18" s="15" t="s">
        <v>429</v>
      </c>
      <c r="E18" s="22"/>
      <c r="F18" s="16">
        <v>40000.36</v>
      </c>
      <c r="G18" s="159">
        <f t="shared" si="0"/>
        <v>-1299381.4700000004</v>
      </c>
      <c r="H18" s="76">
        <v>17.065000000000001</v>
      </c>
      <c r="I18" s="10" t="s">
        <v>92</v>
      </c>
      <c r="J18" s="110"/>
      <c r="K18" s="69" t="s">
        <v>5</v>
      </c>
      <c r="L18" s="73" t="s">
        <v>92</v>
      </c>
      <c r="M18" s="26">
        <f>SUM(H10+H25+H30+H37+H47+H57+H67)</f>
        <v>179.13899999999998</v>
      </c>
      <c r="N18" s="146"/>
      <c r="O18" s="146"/>
    </row>
    <row r="19" spans="1:15" x14ac:dyDescent="0.3">
      <c r="A19" s="327">
        <v>46146</v>
      </c>
      <c r="B19" s="327" t="s">
        <v>60</v>
      </c>
      <c r="C19" s="328" t="s">
        <v>1125</v>
      </c>
      <c r="D19" s="308" t="s">
        <v>1218</v>
      </c>
      <c r="E19" s="370">
        <v>1000000</v>
      </c>
      <c r="F19" s="339"/>
      <c r="G19" s="317">
        <f t="shared" si="0"/>
        <v>-299381.47000000044</v>
      </c>
      <c r="H19" s="311"/>
      <c r="I19" s="199" t="s">
        <v>1220</v>
      </c>
      <c r="J19" s="110"/>
      <c r="K19" s="69" t="s">
        <v>61</v>
      </c>
      <c r="L19" s="73" t="s">
        <v>92</v>
      </c>
      <c r="M19" s="26">
        <f>SUM(H33+H59)</f>
        <v>260.322</v>
      </c>
      <c r="N19" s="146"/>
      <c r="O19" s="146"/>
    </row>
    <row r="20" spans="1:15" x14ac:dyDescent="0.3">
      <c r="A20" s="82">
        <v>46146</v>
      </c>
      <c r="B20" s="82" t="s">
        <v>57</v>
      </c>
      <c r="C20" s="49" t="s">
        <v>1126</v>
      </c>
      <c r="D20" s="15" t="s">
        <v>429</v>
      </c>
      <c r="E20" s="22"/>
      <c r="F20" s="16">
        <v>99999.9</v>
      </c>
      <c r="G20" s="159">
        <f t="shared" si="0"/>
        <v>-399381.37000000046</v>
      </c>
      <c r="H20" s="76">
        <v>42.734999999999999</v>
      </c>
      <c r="I20" s="10" t="s">
        <v>92</v>
      </c>
      <c r="J20" s="110"/>
      <c r="K20" s="69" t="s">
        <v>22</v>
      </c>
      <c r="L20" s="73" t="s">
        <v>92</v>
      </c>
      <c r="M20" s="26">
        <f>SUM(H16+H42)</f>
        <v>471.62800000000004</v>
      </c>
      <c r="N20" s="146"/>
      <c r="O20" s="146"/>
    </row>
    <row r="21" spans="1:15" x14ac:dyDescent="0.3">
      <c r="A21" s="82">
        <v>46146</v>
      </c>
      <c r="B21" s="82" t="s">
        <v>57</v>
      </c>
      <c r="C21" s="49" t="s">
        <v>1127</v>
      </c>
      <c r="D21" s="50" t="s">
        <v>24</v>
      </c>
      <c r="E21" s="22"/>
      <c r="F21" s="16">
        <v>60000</v>
      </c>
      <c r="G21" s="159">
        <f t="shared" si="0"/>
        <v>-459381.37000000046</v>
      </c>
      <c r="H21" s="76">
        <v>25.640999999999998</v>
      </c>
      <c r="I21" s="10" t="s">
        <v>92</v>
      </c>
      <c r="J21" s="110"/>
      <c r="K21" s="69" t="s">
        <v>6</v>
      </c>
      <c r="L21" s="73" t="s">
        <v>92</v>
      </c>
      <c r="M21" s="26">
        <f>SUM(H15+H32+H34+H56+H64)</f>
        <v>127.944</v>
      </c>
      <c r="N21" s="146"/>
      <c r="O21" s="146"/>
    </row>
    <row r="22" spans="1:15" x14ac:dyDescent="0.3">
      <c r="A22" s="327">
        <v>46146</v>
      </c>
      <c r="B22" s="327" t="s">
        <v>60</v>
      </c>
      <c r="C22" s="328" t="s">
        <v>1128</v>
      </c>
      <c r="D22" s="329" t="s">
        <v>1218</v>
      </c>
      <c r="E22" s="370">
        <v>1500000</v>
      </c>
      <c r="F22" s="339"/>
      <c r="G22" s="316">
        <f t="shared" si="0"/>
        <v>1040618.6299999995</v>
      </c>
      <c r="H22" s="311"/>
      <c r="I22" s="199" t="s">
        <v>1222</v>
      </c>
      <c r="J22" s="110"/>
      <c r="K22" s="69" t="s">
        <v>8</v>
      </c>
      <c r="L22" s="73" t="s">
        <v>92</v>
      </c>
      <c r="M22" s="26">
        <f>SUM(H17+H28+H35+H66)</f>
        <v>102.33499999999999</v>
      </c>
      <c r="N22" s="146"/>
      <c r="O22" s="146"/>
    </row>
    <row r="23" spans="1:15" x14ac:dyDescent="0.3">
      <c r="A23" s="82">
        <v>46146</v>
      </c>
      <c r="B23" s="82" t="s">
        <v>57</v>
      </c>
      <c r="C23" s="49" t="s">
        <v>1129</v>
      </c>
      <c r="D23" s="50" t="s">
        <v>117</v>
      </c>
      <c r="E23" s="22"/>
      <c r="F23" s="16">
        <v>140400</v>
      </c>
      <c r="G23" s="161">
        <f t="shared" si="0"/>
        <v>900218.62999999954</v>
      </c>
      <c r="H23" s="76">
        <v>60</v>
      </c>
      <c r="I23" s="10" t="s">
        <v>92</v>
      </c>
      <c r="J23" s="110"/>
      <c r="K23" s="69" t="s">
        <v>9</v>
      </c>
      <c r="L23" s="73" t="s">
        <v>92</v>
      </c>
      <c r="M23" s="26">
        <f>SUM(H61)</f>
        <v>130.065</v>
      </c>
      <c r="N23" s="146"/>
      <c r="O23" s="146"/>
    </row>
    <row r="24" spans="1:15" x14ac:dyDescent="0.3">
      <c r="A24" s="82">
        <v>46146</v>
      </c>
      <c r="B24" s="82" t="s">
        <v>57</v>
      </c>
      <c r="C24" s="49" t="s">
        <v>1130</v>
      </c>
      <c r="D24" s="50" t="s">
        <v>541</v>
      </c>
      <c r="E24" s="22"/>
      <c r="F24" s="16">
        <v>25595.98</v>
      </c>
      <c r="G24" s="161">
        <f t="shared" si="0"/>
        <v>874622.64999999956</v>
      </c>
      <c r="H24" s="76">
        <v>11.677</v>
      </c>
      <c r="I24" s="10" t="s">
        <v>92</v>
      </c>
      <c r="J24" s="110"/>
      <c r="K24" s="69" t="s">
        <v>30</v>
      </c>
      <c r="L24" s="73" t="s">
        <v>92</v>
      </c>
      <c r="M24" s="26">
        <f>SUM(H40)</f>
        <v>186.49</v>
      </c>
      <c r="N24" s="146"/>
      <c r="O24" s="146"/>
    </row>
    <row r="25" spans="1:15" x14ac:dyDescent="0.3">
      <c r="A25" s="82">
        <v>46146</v>
      </c>
      <c r="B25" s="82" t="s">
        <v>57</v>
      </c>
      <c r="C25" s="49" t="s">
        <v>1131</v>
      </c>
      <c r="D25" s="15" t="s">
        <v>5</v>
      </c>
      <c r="E25" s="11"/>
      <c r="F25" s="16">
        <v>59999.94</v>
      </c>
      <c r="G25" s="161">
        <f t="shared" si="0"/>
        <v>814622.7099999995</v>
      </c>
      <c r="H25" s="76">
        <v>25.640999999999998</v>
      </c>
      <c r="I25" s="10" t="s">
        <v>92</v>
      </c>
      <c r="J25"/>
      <c r="K25" s="69" t="s">
        <v>10</v>
      </c>
      <c r="L25" s="73" t="s">
        <v>92</v>
      </c>
      <c r="M25" s="26">
        <f>SUM(H27+H46+H62)</f>
        <v>467.72899999999998</v>
      </c>
      <c r="N25" s="146"/>
      <c r="O25" s="146"/>
    </row>
    <row r="26" spans="1:15" x14ac:dyDescent="0.3">
      <c r="A26" s="99">
        <v>46146</v>
      </c>
      <c r="B26" s="82" t="s">
        <v>57</v>
      </c>
      <c r="C26" s="39" t="s">
        <v>1132</v>
      </c>
      <c r="D26" s="15" t="s">
        <v>3</v>
      </c>
      <c r="E26" s="27"/>
      <c r="F26" s="16">
        <v>59999.94</v>
      </c>
      <c r="G26" s="161">
        <f t="shared" si="0"/>
        <v>754622.76999999955</v>
      </c>
      <c r="H26" s="76">
        <v>25.640999999999998</v>
      </c>
      <c r="I26" s="10" t="s">
        <v>92</v>
      </c>
      <c r="J26"/>
      <c r="K26" s="69" t="s">
        <v>11</v>
      </c>
      <c r="L26" s="73" t="s">
        <v>92</v>
      </c>
      <c r="M26" s="26">
        <f>SUM(H13+H23+H36+H41+H43+H48+H52+H58+H65)</f>
        <v>275.22799999999995</v>
      </c>
      <c r="N26" s="146"/>
      <c r="O26" s="146"/>
    </row>
    <row r="27" spans="1:15" x14ac:dyDescent="0.3">
      <c r="A27" s="99">
        <v>46147</v>
      </c>
      <c r="B27" s="82" t="s">
        <v>57</v>
      </c>
      <c r="C27" s="39" t="s">
        <v>1133</v>
      </c>
      <c r="D27" s="15" t="s">
        <v>10</v>
      </c>
      <c r="E27" s="11"/>
      <c r="F27" s="16">
        <v>299998.98</v>
      </c>
      <c r="G27" s="161">
        <f t="shared" si="0"/>
        <v>454623.78999999957</v>
      </c>
      <c r="H27" s="76">
        <v>134.83099999999999</v>
      </c>
      <c r="I27" s="10" t="s">
        <v>92</v>
      </c>
      <c r="J27" s="112"/>
      <c r="K27" s="540" t="s">
        <v>695</v>
      </c>
      <c r="L27" s="541"/>
      <c r="M27" s="148">
        <f>SUM(M8:M26)</f>
        <v>2714.9059999999999</v>
      </c>
      <c r="N27" s="146"/>
      <c r="O27" s="146"/>
    </row>
    <row r="28" spans="1:15" ht="14.4" customHeight="1" x14ac:dyDescent="0.3">
      <c r="A28" s="99">
        <v>46147</v>
      </c>
      <c r="B28" s="82" t="s">
        <v>57</v>
      </c>
      <c r="C28" s="39" t="s">
        <v>1134</v>
      </c>
      <c r="D28" s="15" t="s">
        <v>8</v>
      </c>
      <c r="E28" s="11"/>
      <c r="F28" s="16">
        <v>59999.94</v>
      </c>
      <c r="G28" s="161">
        <f t="shared" si="0"/>
        <v>394623.84999999957</v>
      </c>
      <c r="H28" s="76">
        <v>25.640999999999998</v>
      </c>
      <c r="I28" s="10" t="s">
        <v>92</v>
      </c>
      <c r="J28" s="25"/>
      <c r="K28" s="146"/>
      <c r="L28" s="146"/>
      <c r="M28" s="146"/>
      <c r="N28" s="146"/>
      <c r="O28" s="146"/>
    </row>
    <row r="29" spans="1:15" x14ac:dyDescent="0.3">
      <c r="A29" s="99">
        <v>46147</v>
      </c>
      <c r="B29" s="82" t="s">
        <v>57</v>
      </c>
      <c r="C29" s="28" t="s">
        <v>1135</v>
      </c>
      <c r="D29" s="99" t="s">
        <v>24</v>
      </c>
      <c r="E29" s="47"/>
      <c r="F29" s="16">
        <v>59999.94</v>
      </c>
      <c r="G29" s="161">
        <f t="shared" si="0"/>
        <v>334623.90999999957</v>
      </c>
      <c r="H29" s="76">
        <v>25.640999999999998</v>
      </c>
      <c r="I29" s="10" t="s">
        <v>92</v>
      </c>
      <c r="J29" s="110"/>
      <c r="K29" s="146"/>
      <c r="L29" s="146"/>
      <c r="M29" s="146"/>
      <c r="N29" s="146"/>
      <c r="O29" s="146"/>
    </row>
    <row r="30" spans="1:15" x14ac:dyDescent="0.3">
      <c r="A30" s="99">
        <v>46147</v>
      </c>
      <c r="B30" s="82" t="s">
        <v>57</v>
      </c>
      <c r="C30" s="28" t="s">
        <v>1136</v>
      </c>
      <c r="D30" s="99" t="s">
        <v>5</v>
      </c>
      <c r="E30" s="47"/>
      <c r="F30" s="16">
        <v>59999.94</v>
      </c>
      <c r="G30" s="161">
        <f t="shared" si="0"/>
        <v>274623.96999999956</v>
      </c>
      <c r="H30" s="76">
        <v>25.640999999999998</v>
      </c>
      <c r="I30" s="10" t="s">
        <v>92</v>
      </c>
      <c r="J30" s="110"/>
      <c r="K30" s="146"/>
      <c r="L30" s="146"/>
      <c r="M30" s="146"/>
      <c r="N30" s="146"/>
      <c r="O30" s="146"/>
    </row>
    <row r="31" spans="1:15" x14ac:dyDescent="0.3">
      <c r="A31" s="99">
        <v>46147</v>
      </c>
      <c r="B31" s="82" t="s">
        <v>57</v>
      </c>
      <c r="C31" s="28" t="s">
        <v>1137</v>
      </c>
      <c r="D31" s="99" t="s">
        <v>429</v>
      </c>
      <c r="E31" s="47"/>
      <c r="F31" s="16">
        <v>59999.94</v>
      </c>
      <c r="G31" s="161">
        <f t="shared" si="0"/>
        <v>214624.02999999956</v>
      </c>
      <c r="H31" s="76">
        <v>25.640999999999998</v>
      </c>
      <c r="I31" s="10" t="s">
        <v>92</v>
      </c>
      <c r="J31" s="110"/>
      <c r="K31" s="146"/>
      <c r="L31" s="146"/>
      <c r="M31" s="146"/>
      <c r="N31" s="146"/>
      <c r="O31" s="146"/>
    </row>
    <row r="32" spans="1:15" x14ac:dyDescent="0.3">
      <c r="A32" s="99">
        <v>46147</v>
      </c>
      <c r="B32" s="82" t="s">
        <v>57</v>
      </c>
      <c r="C32" s="28" t="s">
        <v>1138</v>
      </c>
      <c r="D32" s="99" t="s">
        <v>6</v>
      </c>
      <c r="E32" s="47"/>
      <c r="F32" s="16">
        <v>59999.94</v>
      </c>
      <c r="G32" s="161">
        <f t="shared" si="0"/>
        <v>154624.08999999956</v>
      </c>
      <c r="H32" s="76">
        <v>25.640999999999998</v>
      </c>
      <c r="I32" s="10" t="s">
        <v>92</v>
      </c>
      <c r="J32" s="110"/>
      <c r="K32" s="146"/>
      <c r="L32" s="146"/>
      <c r="M32" s="146"/>
      <c r="N32" s="146"/>
      <c r="O32" s="146"/>
    </row>
    <row r="33" spans="1:15" x14ac:dyDescent="0.3">
      <c r="A33" s="99">
        <v>46147</v>
      </c>
      <c r="B33" s="82" t="s">
        <v>57</v>
      </c>
      <c r="C33" s="28" t="s">
        <v>1139</v>
      </c>
      <c r="D33" s="99" t="s">
        <v>61</v>
      </c>
      <c r="E33" s="47"/>
      <c r="F33" s="16">
        <v>299999.7</v>
      </c>
      <c r="G33" s="159">
        <f t="shared" si="0"/>
        <v>-145375.61000000045</v>
      </c>
      <c r="H33" s="76">
        <v>128.20500000000001</v>
      </c>
      <c r="I33" s="10" t="s">
        <v>92</v>
      </c>
      <c r="J33" s="110"/>
      <c r="K33" s="146"/>
      <c r="L33" s="146"/>
      <c r="M33" s="146"/>
      <c r="N33" s="146"/>
      <c r="O33" s="146"/>
    </row>
    <row r="34" spans="1:15" x14ac:dyDescent="0.3">
      <c r="A34" s="99">
        <v>46148</v>
      </c>
      <c r="B34" s="82" t="s">
        <v>57</v>
      </c>
      <c r="C34" s="28" t="s">
        <v>1140</v>
      </c>
      <c r="D34" s="99" t="s">
        <v>6</v>
      </c>
      <c r="E34" s="47"/>
      <c r="F34" s="16">
        <v>59999.94</v>
      </c>
      <c r="G34" s="159">
        <f t="shared" si="0"/>
        <v>-205375.55000000045</v>
      </c>
      <c r="H34" s="76">
        <v>25.640999999999998</v>
      </c>
      <c r="I34" s="10" t="s">
        <v>92</v>
      </c>
      <c r="J34" s="110"/>
      <c r="K34" s="146"/>
      <c r="L34" s="146"/>
      <c r="M34" s="146"/>
      <c r="N34" s="146"/>
      <c r="O34" s="146"/>
    </row>
    <row r="35" spans="1:15" x14ac:dyDescent="0.3">
      <c r="A35" s="99">
        <v>46148</v>
      </c>
      <c r="B35" s="82" t="s">
        <v>57</v>
      </c>
      <c r="C35" s="28" t="s">
        <v>1141</v>
      </c>
      <c r="D35" s="99" t="s">
        <v>8</v>
      </c>
      <c r="E35" s="47"/>
      <c r="F35" s="152">
        <v>59999.94</v>
      </c>
      <c r="G35" s="159">
        <f t="shared" si="0"/>
        <v>-265375.49000000046</v>
      </c>
      <c r="H35" s="76">
        <v>25.640999999999998</v>
      </c>
      <c r="I35" s="10" t="s">
        <v>92</v>
      </c>
      <c r="J35" s="110"/>
      <c r="K35" s="146"/>
      <c r="L35" s="146"/>
      <c r="M35" s="146"/>
      <c r="N35" s="146"/>
      <c r="O35" s="146"/>
    </row>
    <row r="36" spans="1:15" x14ac:dyDescent="0.3">
      <c r="A36" s="99">
        <v>46148</v>
      </c>
      <c r="B36" s="82" t="s">
        <v>57</v>
      </c>
      <c r="C36" s="28" t="s">
        <v>1142</v>
      </c>
      <c r="D36" s="99" t="s">
        <v>117</v>
      </c>
      <c r="E36" s="192"/>
      <c r="F36" s="152">
        <v>40001.83</v>
      </c>
      <c r="G36" s="159">
        <f t="shared" si="0"/>
        <v>-305377.32000000047</v>
      </c>
      <c r="H36" s="76">
        <v>17.93</v>
      </c>
      <c r="I36" s="10" t="s">
        <v>92</v>
      </c>
      <c r="J36" s="110"/>
      <c r="K36" s="146"/>
      <c r="L36" s="146"/>
      <c r="M36" s="146"/>
      <c r="N36" s="146"/>
      <c r="O36" s="146"/>
    </row>
    <row r="37" spans="1:15" x14ac:dyDescent="0.3">
      <c r="A37" s="99">
        <v>46148</v>
      </c>
      <c r="B37" s="82" t="s">
        <v>57</v>
      </c>
      <c r="C37" s="28" t="s">
        <v>1143</v>
      </c>
      <c r="D37" s="99" t="s">
        <v>5</v>
      </c>
      <c r="E37" s="192"/>
      <c r="F37" s="152">
        <v>59999.94</v>
      </c>
      <c r="G37" s="159">
        <f t="shared" si="0"/>
        <v>-365377.26000000047</v>
      </c>
      <c r="H37" s="76">
        <v>25.640999999999998</v>
      </c>
      <c r="I37" s="10" t="s">
        <v>92</v>
      </c>
      <c r="J37" s="110"/>
      <c r="K37" s="146"/>
      <c r="L37" s="146"/>
      <c r="M37" s="146"/>
      <c r="N37" s="146"/>
      <c r="O37" s="146"/>
    </row>
    <row r="38" spans="1:15" x14ac:dyDescent="0.3">
      <c r="A38" s="306">
        <v>46148</v>
      </c>
      <c r="B38" s="327" t="s">
        <v>60</v>
      </c>
      <c r="C38" s="330" t="s">
        <v>1144</v>
      </c>
      <c r="D38" s="306" t="s">
        <v>1337</v>
      </c>
      <c r="E38" s="373">
        <v>600000</v>
      </c>
      <c r="F38" s="360"/>
      <c r="G38" s="316">
        <f t="shared" si="0"/>
        <v>234622.73999999953</v>
      </c>
      <c r="H38" s="288"/>
      <c r="I38" s="199" t="s">
        <v>1222</v>
      </c>
      <c r="J38" s="110"/>
      <c r="K38" s="146"/>
      <c r="L38" s="146"/>
      <c r="M38" s="146"/>
      <c r="N38" s="146"/>
      <c r="O38" s="146"/>
    </row>
    <row r="39" spans="1:15" x14ac:dyDescent="0.3">
      <c r="A39" s="306">
        <v>46148</v>
      </c>
      <c r="B39" s="327" t="s">
        <v>60</v>
      </c>
      <c r="C39" s="330" t="s">
        <v>1144</v>
      </c>
      <c r="D39" s="306" t="s">
        <v>1338</v>
      </c>
      <c r="E39" s="373">
        <v>400000</v>
      </c>
      <c r="F39" s="360"/>
      <c r="G39" s="316">
        <f>+G38+E39-F39</f>
        <v>634622.73999999953</v>
      </c>
      <c r="H39" s="311"/>
      <c r="I39" s="199" t="s">
        <v>1222</v>
      </c>
      <c r="J39" s="110"/>
      <c r="K39" s="146"/>
      <c r="L39" s="146"/>
      <c r="M39" s="146"/>
      <c r="N39" s="146"/>
      <c r="O39" s="146"/>
    </row>
    <row r="40" spans="1:15" x14ac:dyDescent="0.3">
      <c r="A40" s="99">
        <v>46148</v>
      </c>
      <c r="B40" s="82" t="s">
        <v>57</v>
      </c>
      <c r="C40" s="28" t="s">
        <v>1145</v>
      </c>
      <c r="D40" s="99" t="s">
        <v>1146</v>
      </c>
      <c r="E40" s="390"/>
      <c r="F40" s="152">
        <v>416059.19</v>
      </c>
      <c r="G40" s="161">
        <f>G39-F40</f>
        <v>218563.54999999952</v>
      </c>
      <c r="H40" s="76">
        <v>186.49</v>
      </c>
      <c r="I40" s="10" t="s">
        <v>92</v>
      </c>
      <c r="J40" s="110"/>
      <c r="K40" s="146"/>
      <c r="L40" s="146"/>
      <c r="M40" s="146"/>
      <c r="N40" s="146"/>
      <c r="O40" s="146"/>
    </row>
    <row r="41" spans="1:15" x14ac:dyDescent="0.3">
      <c r="A41" s="99">
        <v>46148</v>
      </c>
      <c r="B41" s="82" t="s">
        <v>57</v>
      </c>
      <c r="C41" s="28" t="s">
        <v>1147</v>
      </c>
      <c r="D41" s="99" t="s">
        <v>117</v>
      </c>
      <c r="E41" s="192"/>
      <c r="F41" s="152">
        <v>40068.76</v>
      </c>
      <c r="G41" s="161">
        <f t="shared" si="0"/>
        <v>178494.78999999951</v>
      </c>
      <c r="H41" s="76">
        <v>17.96</v>
      </c>
      <c r="I41" s="10" t="s">
        <v>92</v>
      </c>
      <c r="J41" s="110"/>
      <c r="K41" s="146"/>
      <c r="L41" s="146"/>
      <c r="M41" s="146"/>
      <c r="N41" s="146"/>
      <c r="O41" s="146"/>
    </row>
    <row r="42" spans="1:15" x14ac:dyDescent="0.3">
      <c r="A42" s="99">
        <v>46148</v>
      </c>
      <c r="B42" s="82" t="s">
        <v>57</v>
      </c>
      <c r="C42" s="28" t="s">
        <v>1148</v>
      </c>
      <c r="D42" s="99" t="s">
        <v>22</v>
      </c>
      <c r="E42" s="192"/>
      <c r="F42" s="152">
        <v>299999.7</v>
      </c>
      <c r="G42" s="159">
        <f t="shared" ref="G42:G203" si="1">+G41+E42-F42</f>
        <v>-121504.9100000005</v>
      </c>
      <c r="H42" s="76">
        <v>128.20500000000001</v>
      </c>
      <c r="I42" s="10" t="s">
        <v>92</v>
      </c>
      <c r="J42" s="110"/>
      <c r="K42" s="146"/>
      <c r="L42" s="146"/>
      <c r="M42" s="146"/>
      <c r="N42" s="146"/>
      <c r="O42" s="146"/>
    </row>
    <row r="43" spans="1:15" x14ac:dyDescent="0.3">
      <c r="A43" s="99">
        <v>46148</v>
      </c>
      <c r="B43" s="82" t="s">
        <v>57</v>
      </c>
      <c r="C43" s="28" t="s">
        <v>1149</v>
      </c>
      <c r="D43" s="99" t="s">
        <v>117</v>
      </c>
      <c r="E43" s="192"/>
      <c r="F43" s="152">
        <v>85028.58</v>
      </c>
      <c r="G43" s="159">
        <f t="shared" si="1"/>
        <v>-206533.49000000051</v>
      </c>
      <c r="H43" s="76">
        <v>36.337000000000003</v>
      </c>
      <c r="I43" s="10" t="s">
        <v>92</v>
      </c>
      <c r="J43" s="110"/>
    </row>
    <row r="44" spans="1:15" x14ac:dyDescent="0.3">
      <c r="A44" s="99">
        <v>46148</v>
      </c>
      <c r="B44" s="82" t="s">
        <v>57</v>
      </c>
      <c r="C44" s="28" t="s">
        <v>1150</v>
      </c>
      <c r="D44" s="99" t="s">
        <v>24</v>
      </c>
      <c r="E44" s="192"/>
      <c r="F44" s="152">
        <v>45000.54</v>
      </c>
      <c r="G44" s="159">
        <f t="shared" si="1"/>
        <v>-251534.03000000052</v>
      </c>
      <c r="H44" s="76">
        <v>19.231000000000002</v>
      </c>
      <c r="I44" s="10" t="s">
        <v>92</v>
      </c>
      <c r="J44" s="110"/>
    </row>
    <row r="45" spans="1:15" x14ac:dyDescent="0.3">
      <c r="A45" s="99">
        <v>46149</v>
      </c>
      <c r="B45" s="82" t="s">
        <v>57</v>
      </c>
      <c r="C45" s="28" t="s">
        <v>1151</v>
      </c>
      <c r="D45" s="99" t="s">
        <v>3</v>
      </c>
      <c r="E45" s="192"/>
      <c r="F45" s="152">
        <v>60000.79</v>
      </c>
      <c r="G45" s="159">
        <f t="shared" si="1"/>
        <v>-311534.82000000053</v>
      </c>
      <c r="H45" s="76">
        <v>25.553999999999998</v>
      </c>
      <c r="I45" s="10" t="s">
        <v>92</v>
      </c>
      <c r="J45" s="110"/>
    </row>
    <row r="46" spans="1:15" x14ac:dyDescent="0.3">
      <c r="A46" s="99">
        <v>46149</v>
      </c>
      <c r="B46" s="82" t="s">
        <v>57</v>
      </c>
      <c r="C46" s="28" t="s">
        <v>1152</v>
      </c>
      <c r="D46" s="99" t="s">
        <v>10</v>
      </c>
      <c r="E46" s="192"/>
      <c r="F46" s="152">
        <v>295735.90999999997</v>
      </c>
      <c r="G46" s="159">
        <f t="shared" si="1"/>
        <v>-607270.73000000045</v>
      </c>
      <c r="H46" s="76">
        <v>132.61699999999999</v>
      </c>
      <c r="I46" s="10" t="s">
        <v>92</v>
      </c>
      <c r="J46" s="110"/>
    </row>
    <row r="47" spans="1:15" x14ac:dyDescent="0.3">
      <c r="A47" s="99">
        <v>46149</v>
      </c>
      <c r="B47" s="82" t="s">
        <v>57</v>
      </c>
      <c r="C47" s="28" t="s">
        <v>1153</v>
      </c>
      <c r="D47" s="99" t="s">
        <v>5</v>
      </c>
      <c r="E47" s="192"/>
      <c r="F47" s="152">
        <v>60000.79</v>
      </c>
      <c r="G47" s="159">
        <f t="shared" si="1"/>
        <v>-667271.52000000048</v>
      </c>
      <c r="H47" s="76">
        <v>25.553999999999998</v>
      </c>
      <c r="I47" s="10" t="s">
        <v>92</v>
      </c>
      <c r="J47" s="110"/>
    </row>
    <row r="48" spans="1:15" x14ac:dyDescent="0.3">
      <c r="A48" s="99">
        <v>46149</v>
      </c>
      <c r="B48" s="82" t="s">
        <v>57</v>
      </c>
      <c r="C48" s="28" t="s">
        <v>1154</v>
      </c>
      <c r="D48" s="99" t="s">
        <v>117</v>
      </c>
      <c r="E48" s="192"/>
      <c r="F48" s="152">
        <v>45050.46</v>
      </c>
      <c r="G48" s="159">
        <f t="shared" si="1"/>
        <v>-712321.98000000045</v>
      </c>
      <c r="H48" s="76">
        <v>20.202000000000002</v>
      </c>
      <c r="I48" s="10" t="s">
        <v>92</v>
      </c>
      <c r="J48" s="110"/>
    </row>
    <row r="49" spans="1:10" x14ac:dyDescent="0.3">
      <c r="A49" s="99">
        <v>46149</v>
      </c>
      <c r="B49" s="82" t="s">
        <v>57</v>
      </c>
      <c r="C49" s="28" t="s">
        <v>1155</v>
      </c>
      <c r="D49" s="99" t="s">
        <v>429</v>
      </c>
      <c r="E49" s="192"/>
      <c r="F49" s="152">
        <v>60000.79</v>
      </c>
      <c r="G49" s="159">
        <f t="shared" si="1"/>
        <v>-772322.77000000048</v>
      </c>
      <c r="H49" s="76">
        <v>25.553999999999998</v>
      </c>
      <c r="I49" s="10" t="s">
        <v>92</v>
      </c>
      <c r="J49" s="110"/>
    </row>
    <row r="50" spans="1:10" x14ac:dyDescent="0.3">
      <c r="A50" s="99">
        <v>46149</v>
      </c>
      <c r="B50" s="82" t="s">
        <v>57</v>
      </c>
      <c r="C50" s="28" t="s">
        <v>1156</v>
      </c>
      <c r="D50" s="99" t="s">
        <v>429</v>
      </c>
      <c r="E50" s="192"/>
      <c r="F50" s="152">
        <v>60000.79</v>
      </c>
      <c r="G50" s="159">
        <f t="shared" si="1"/>
        <v>-832323.56000000052</v>
      </c>
      <c r="H50" s="76">
        <v>25.553999999999998</v>
      </c>
      <c r="I50" s="10" t="s">
        <v>92</v>
      </c>
      <c r="J50" s="110"/>
    </row>
    <row r="51" spans="1:10" x14ac:dyDescent="0.3">
      <c r="A51" s="306">
        <v>46149</v>
      </c>
      <c r="B51" s="327" t="s">
        <v>60</v>
      </c>
      <c r="C51" s="330" t="s">
        <v>1157</v>
      </c>
      <c r="D51" s="306" t="s">
        <v>1217</v>
      </c>
      <c r="E51" s="373"/>
      <c r="F51" s="360">
        <v>18271</v>
      </c>
      <c r="G51" s="317">
        <f t="shared" si="1"/>
        <v>-850594.56000000052</v>
      </c>
      <c r="H51" s="311"/>
      <c r="I51" s="199" t="s">
        <v>537</v>
      </c>
      <c r="J51" s="110"/>
    </row>
    <row r="52" spans="1:10" x14ac:dyDescent="0.3">
      <c r="A52" s="99">
        <v>46149</v>
      </c>
      <c r="B52" s="82" t="s">
        <v>57</v>
      </c>
      <c r="C52" s="28" t="s">
        <v>1158</v>
      </c>
      <c r="D52" s="99" t="s">
        <v>117</v>
      </c>
      <c r="E52" s="192"/>
      <c r="F52" s="152">
        <v>42269.65</v>
      </c>
      <c r="G52" s="159">
        <f t="shared" si="1"/>
        <v>-892864.21000000054</v>
      </c>
      <c r="H52" s="76">
        <v>18.954999999999998</v>
      </c>
      <c r="I52" s="10" t="s">
        <v>92</v>
      </c>
      <c r="J52" s="110"/>
    </row>
    <row r="53" spans="1:10" x14ac:dyDescent="0.3">
      <c r="A53" s="306">
        <v>46149</v>
      </c>
      <c r="B53" s="327" t="s">
        <v>60</v>
      </c>
      <c r="C53" s="330" t="s">
        <v>1159</v>
      </c>
      <c r="D53" s="306" t="s">
        <v>1233</v>
      </c>
      <c r="E53" s="373">
        <v>1500000</v>
      </c>
      <c r="F53" s="360"/>
      <c r="G53" s="316">
        <f t="shared" si="1"/>
        <v>607135.78999999946</v>
      </c>
      <c r="H53" s="311"/>
      <c r="I53" s="199" t="s">
        <v>1222</v>
      </c>
      <c r="J53" s="110"/>
    </row>
    <row r="54" spans="1:10" x14ac:dyDescent="0.3">
      <c r="A54" s="99">
        <v>46149</v>
      </c>
      <c r="B54" s="82" t="s">
        <v>57</v>
      </c>
      <c r="C54" s="28" t="s">
        <v>1160</v>
      </c>
      <c r="D54" s="99" t="s">
        <v>24</v>
      </c>
      <c r="E54" s="192"/>
      <c r="F54" s="152">
        <v>60000.79</v>
      </c>
      <c r="G54" s="161">
        <f t="shared" si="1"/>
        <v>547134.99999999942</v>
      </c>
      <c r="H54" s="76">
        <v>25.553999999999998</v>
      </c>
      <c r="I54" s="10" t="s">
        <v>92</v>
      </c>
      <c r="J54" s="110"/>
    </row>
    <row r="55" spans="1:10" x14ac:dyDescent="0.3">
      <c r="A55" s="99">
        <v>46149</v>
      </c>
      <c r="B55" s="82" t="s">
        <v>57</v>
      </c>
      <c r="C55" s="28" t="s">
        <v>1161</v>
      </c>
      <c r="D55" s="99" t="s">
        <v>429</v>
      </c>
      <c r="E55" s="192"/>
      <c r="F55" s="152">
        <v>80024.539999999994</v>
      </c>
      <c r="G55" s="161">
        <f t="shared" si="1"/>
        <v>467110.45999999944</v>
      </c>
      <c r="H55" s="76">
        <v>34.082000000000001</v>
      </c>
      <c r="I55" s="10" t="s">
        <v>92</v>
      </c>
      <c r="J55" s="110"/>
    </row>
    <row r="56" spans="1:10" x14ac:dyDescent="0.3">
      <c r="A56" s="99">
        <v>46149</v>
      </c>
      <c r="B56" s="82" t="s">
        <v>57</v>
      </c>
      <c r="C56" s="28" t="s">
        <v>1162</v>
      </c>
      <c r="D56" s="99" t="s">
        <v>6</v>
      </c>
      <c r="E56" s="192"/>
      <c r="F56" s="152">
        <v>60000.79</v>
      </c>
      <c r="G56" s="161">
        <f t="shared" si="1"/>
        <v>407109.66999999946</v>
      </c>
      <c r="H56" s="76">
        <v>25.553999999999998</v>
      </c>
      <c r="I56" s="10" t="s">
        <v>92</v>
      </c>
      <c r="J56" s="110"/>
    </row>
    <row r="57" spans="1:10" x14ac:dyDescent="0.3">
      <c r="A57" s="99">
        <v>46150</v>
      </c>
      <c r="B57" s="82" t="s">
        <v>57</v>
      </c>
      <c r="C57" s="28" t="s">
        <v>1163</v>
      </c>
      <c r="D57" s="99" t="s">
        <v>5</v>
      </c>
      <c r="E57" s="192"/>
      <c r="F57" s="152">
        <v>60000.79</v>
      </c>
      <c r="G57" s="161">
        <f t="shared" si="1"/>
        <v>347108.87999999948</v>
      </c>
      <c r="H57" s="76">
        <v>25.553999999999998</v>
      </c>
      <c r="I57" s="10" t="s">
        <v>92</v>
      </c>
      <c r="J57" s="110"/>
    </row>
    <row r="58" spans="1:10" x14ac:dyDescent="0.3">
      <c r="A58" s="99">
        <v>46150</v>
      </c>
      <c r="B58" s="82" t="s">
        <v>57</v>
      </c>
      <c r="C58" s="28" t="s">
        <v>1164</v>
      </c>
      <c r="D58" s="99" t="s">
        <v>117</v>
      </c>
      <c r="E58" s="192"/>
      <c r="F58" s="152">
        <v>40002.03</v>
      </c>
      <c r="G58" s="161">
        <f t="shared" si="1"/>
        <v>307106.84999999951</v>
      </c>
      <c r="H58" s="76">
        <v>17.882000000000001</v>
      </c>
      <c r="I58" s="10" t="s">
        <v>92</v>
      </c>
      <c r="J58" s="110"/>
    </row>
    <row r="59" spans="1:10" x14ac:dyDescent="0.3">
      <c r="A59" s="99">
        <v>46150</v>
      </c>
      <c r="B59" s="82" t="s">
        <v>57</v>
      </c>
      <c r="C59" s="28" t="s">
        <v>1165</v>
      </c>
      <c r="D59" s="99" t="s">
        <v>61</v>
      </c>
      <c r="E59" s="192"/>
      <c r="F59" s="152">
        <v>310210.71999999997</v>
      </c>
      <c r="G59" s="185">
        <f t="shared" si="1"/>
        <v>-3103.870000000461</v>
      </c>
      <c r="H59" s="76">
        <v>132.11699999999999</v>
      </c>
      <c r="I59" s="10" t="s">
        <v>92</v>
      </c>
      <c r="J59" s="110"/>
    </row>
    <row r="60" spans="1:10" x14ac:dyDescent="0.3">
      <c r="A60" s="99">
        <v>46150</v>
      </c>
      <c r="B60" s="82" t="s">
        <v>57</v>
      </c>
      <c r="C60" s="28" t="s">
        <v>1166</v>
      </c>
      <c r="D60" s="99" t="s">
        <v>24</v>
      </c>
      <c r="E60" s="192"/>
      <c r="F60" s="152">
        <v>99097.34</v>
      </c>
      <c r="G60" s="185">
        <f t="shared" si="1"/>
        <v>-102201.21000000046</v>
      </c>
      <c r="H60" s="76">
        <v>42.204999999999998</v>
      </c>
      <c r="I60" s="10" t="s">
        <v>92</v>
      </c>
      <c r="J60" s="110"/>
    </row>
    <row r="61" spans="1:10" x14ac:dyDescent="0.3">
      <c r="A61" s="99">
        <v>46150</v>
      </c>
      <c r="B61" s="82" t="s">
        <v>57</v>
      </c>
      <c r="C61" s="28" t="s">
        <v>1167</v>
      </c>
      <c r="D61" s="99" t="s">
        <v>9</v>
      </c>
      <c r="E61" s="192"/>
      <c r="F61" s="152">
        <v>290955.40999999997</v>
      </c>
      <c r="G61" s="185">
        <f t="shared" si="1"/>
        <v>-393156.62000000046</v>
      </c>
      <c r="H61" s="76">
        <v>130.065</v>
      </c>
      <c r="I61" s="10" t="s">
        <v>92</v>
      </c>
      <c r="J61" s="110"/>
    </row>
    <row r="62" spans="1:10" x14ac:dyDescent="0.3">
      <c r="A62" s="99">
        <v>46150</v>
      </c>
      <c r="B62" s="82" t="s">
        <v>57</v>
      </c>
      <c r="C62" s="28" t="s">
        <v>1168</v>
      </c>
      <c r="D62" s="99" t="s">
        <v>10</v>
      </c>
      <c r="E62" s="192"/>
      <c r="F62" s="152">
        <v>448028.68</v>
      </c>
      <c r="G62" s="185">
        <f t="shared" si="1"/>
        <v>-841185.30000000051</v>
      </c>
      <c r="H62" s="76">
        <v>200.28100000000001</v>
      </c>
      <c r="I62" s="10" t="s">
        <v>92</v>
      </c>
      <c r="J62" s="110"/>
    </row>
    <row r="63" spans="1:10" x14ac:dyDescent="0.3">
      <c r="A63" s="306">
        <v>46151</v>
      </c>
      <c r="B63" s="327" t="s">
        <v>60</v>
      </c>
      <c r="C63" s="330" t="s">
        <v>1169</v>
      </c>
      <c r="D63" s="306" t="s">
        <v>1218</v>
      </c>
      <c r="E63" s="373">
        <v>2000000</v>
      </c>
      <c r="F63" s="360"/>
      <c r="G63" s="316">
        <f t="shared" si="1"/>
        <v>1158814.6999999995</v>
      </c>
      <c r="H63" s="311"/>
      <c r="I63" s="199" t="s">
        <v>1222</v>
      </c>
      <c r="J63" s="110"/>
    </row>
    <row r="64" spans="1:10" x14ac:dyDescent="0.3">
      <c r="A64" s="99">
        <v>46151</v>
      </c>
      <c r="B64" s="82" t="s">
        <v>57</v>
      </c>
      <c r="C64" s="28" t="s">
        <v>1170</v>
      </c>
      <c r="D64" s="99" t="s">
        <v>6</v>
      </c>
      <c r="E64" s="192"/>
      <c r="F64" s="152">
        <v>59999.79</v>
      </c>
      <c r="G64" s="161">
        <f t="shared" si="1"/>
        <v>1098814.9099999995</v>
      </c>
      <c r="H64" s="76">
        <v>25.456</v>
      </c>
      <c r="I64" s="10" t="s">
        <v>92</v>
      </c>
      <c r="J64" s="110"/>
    </row>
    <row r="65" spans="1:13" x14ac:dyDescent="0.3">
      <c r="A65" s="99">
        <v>46151</v>
      </c>
      <c r="B65" s="82" t="s">
        <v>57</v>
      </c>
      <c r="C65" s="28" t="s">
        <v>1171</v>
      </c>
      <c r="D65" s="99" t="s">
        <v>117</v>
      </c>
      <c r="E65" s="192"/>
      <c r="F65" s="152">
        <v>106169.75</v>
      </c>
      <c r="G65" s="161">
        <f t="shared" si="1"/>
        <v>992645.15999999945</v>
      </c>
      <c r="H65" s="76">
        <v>47.481999999999999</v>
      </c>
      <c r="I65" s="10" t="s">
        <v>92</v>
      </c>
      <c r="J65" s="110"/>
    </row>
    <row r="66" spans="1:13" x14ac:dyDescent="0.3">
      <c r="A66" s="99">
        <v>46151</v>
      </c>
      <c r="B66" s="82" t="s">
        <v>57</v>
      </c>
      <c r="C66" s="28" t="s">
        <v>1172</v>
      </c>
      <c r="D66" s="99" t="s">
        <v>8</v>
      </c>
      <c r="E66" s="192"/>
      <c r="F66" s="152">
        <v>59999.79</v>
      </c>
      <c r="G66" s="161">
        <f t="shared" si="1"/>
        <v>932645.36999999941</v>
      </c>
      <c r="H66" s="76">
        <v>25.456</v>
      </c>
      <c r="I66" s="10" t="s">
        <v>92</v>
      </c>
      <c r="J66" s="110"/>
    </row>
    <row r="67" spans="1:13" x14ac:dyDescent="0.3">
      <c r="A67" s="99">
        <v>46151</v>
      </c>
      <c r="B67" s="82" t="s">
        <v>57</v>
      </c>
      <c r="C67" s="28" t="s">
        <v>1173</v>
      </c>
      <c r="D67" s="99" t="s">
        <v>5</v>
      </c>
      <c r="E67" s="192"/>
      <c r="F67" s="152">
        <v>59999.79</v>
      </c>
      <c r="G67" s="161">
        <f t="shared" si="1"/>
        <v>872645.57999999938</v>
      </c>
      <c r="H67" s="76">
        <v>25.456</v>
      </c>
      <c r="I67" s="10" t="s">
        <v>92</v>
      </c>
      <c r="J67" s="110"/>
    </row>
    <row r="68" spans="1:13" x14ac:dyDescent="0.3">
      <c r="A68" s="534" t="s">
        <v>694</v>
      </c>
      <c r="B68" s="534"/>
      <c r="C68" s="534"/>
      <c r="D68" s="534"/>
      <c r="E68" s="534"/>
      <c r="F68" s="534"/>
      <c r="G68" s="534"/>
      <c r="H68" s="540">
        <f>SUM(H9:H67)</f>
        <v>2714.9060000000013</v>
      </c>
      <c r="I68" s="541"/>
      <c r="J68" s="110"/>
    </row>
    <row r="69" spans="1:13" ht="15.6" x14ac:dyDescent="0.3">
      <c r="A69" s="546" t="s">
        <v>1176</v>
      </c>
      <c r="B69" s="547"/>
      <c r="C69" s="547"/>
      <c r="D69" s="547"/>
      <c r="E69" s="547"/>
      <c r="F69" s="547"/>
      <c r="G69" s="547"/>
      <c r="H69" s="547"/>
      <c r="I69" s="548"/>
      <c r="J69" s="110"/>
      <c r="K69" s="526" t="s">
        <v>1242</v>
      </c>
      <c r="L69" s="526"/>
      <c r="M69" s="526"/>
    </row>
    <row r="70" spans="1:13" x14ac:dyDescent="0.3">
      <c r="A70" s="99">
        <v>46152</v>
      </c>
      <c r="B70" s="82" t="s">
        <v>57</v>
      </c>
      <c r="C70" s="28" t="s">
        <v>1174</v>
      </c>
      <c r="D70" s="99" t="s">
        <v>26</v>
      </c>
      <c r="E70" s="192"/>
      <c r="F70" s="152">
        <v>195046.46</v>
      </c>
      <c r="G70" s="161">
        <f>+G67+E70-F70</f>
        <v>677599.11999999941</v>
      </c>
      <c r="H70" s="76">
        <v>82.751999999999995</v>
      </c>
      <c r="I70" s="10" t="s">
        <v>92</v>
      </c>
      <c r="J70" s="110"/>
      <c r="K70" s="545" t="s">
        <v>34</v>
      </c>
      <c r="L70" s="545"/>
      <c r="M70" s="545"/>
    </row>
    <row r="71" spans="1:13" x14ac:dyDescent="0.3">
      <c r="A71" s="99">
        <v>46153</v>
      </c>
      <c r="B71" s="82" t="s">
        <v>57</v>
      </c>
      <c r="C71" s="28" t="s">
        <v>1175</v>
      </c>
      <c r="D71" s="99" t="s">
        <v>24</v>
      </c>
      <c r="E71" s="192"/>
      <c r="F71" s="152">
        <v>59999.39</v>
      </c>
      <c r="G71" s="161">
        <f t="shared" si="1"/>
        <v>617599.7299999994</v>
      </c>
      <c r="H71" s="76">
        <v>25.359000000000002</v>
      </c>
      <c r="I71" s="10" t="s">
        <v>92</v>
      </c>
      <c r="J71" s="110"/>
      <c r="K71" s="71" t="s">
        <v>32</v>
      </c>
      <c r="L71" s="43" t="s">
        <v>35</v>
      </c>
      <c r="M71" s="43" t="s">
        <v>33</v>
      </c>
    </row>
    <row r="72" spans="1:13" x14ac:dyDescent="0.3">
      <c r="A72" s="99">
        <v>46153</v>
      </c>
      <c r="B72" s="82" t="s">
        <v>57</v>
      </c>
      <c r="C72" s="28" t="s">
        <v>1177</v>
      </c>
      <c r="D72" s="99" t="s">
        <v>5</v>
      </c>
      <c r="E72" s="192"/>
      <c r="F72" s="152">
        <v>59999.39</v>
      </c>
      <c r="G72" s="161">
        <f t="shared" si="1"/>
        <v>557600.33999999939</v>
      </c>
      <c r="H72" s="76">
        <v>25.359000000000002</v>
      </c>
      <c r="I72" s="10" t="s">
        <v>92</v>
      </c>
      <c r="J72" s="110"/>
      <c r="K72" s="39" t="s">
        <v>0</v>
      </c>
      <c r="L72" s="73" t="s">
        <v>92</v>
      </c>
      <c r="M72" s="26">
        <v>0</v>
      </c>
    </row>
    <row r="73" spans="1:13" x14ac:dyDescent="0.3">
      <c r="A73" s="99">
        <v>46153</v>
      </c>
      <c r="B73" s="82" t="s">
        <v>57</v>
      </c>
      <c r="C73" s="28" t="s">
        <v>1178</v>
      </c>
      <c r="D73" s="99" t="s">
        <v>117</v>
      </c>
      <c r="E73" s="192"/>
      <c r="F73" s="152">
        <v>84374.93</v>
      </c>
      <c r="G73" s="161">
        <f t="shared" si="1"/>
        <v>473225.40999999939</v>
      </c>
      <c r="H73" s="76">
        <v>37.616999999999997</v>
      </c>
      <c r="I73" s="10" t="s">
        <v>92</v>
      </c>
      <c r="J73" s="110"/>
      <c r="K73" s="69" t="s">
        <v>1</v>
      </c>
      <c r="L73" s="73" t="s">
        <v>92</v>
      </c>
      <c r="M73" s="42">
        <f>SUM(H102)</f>
        <v>74.19</v>
      </c>
    </row>
    <row r="74" spans="1:13" x14ac:dyDescent="0.3">
      <c r="A74" s="99">
        <v>46153</v>
      </c>
      <c r="B74" s="82" t="s">
        <v>57</v>
      </c>
      <c r="C74" s="28" t="s">
        <v>1179</v>
      </c>
      <c r="D74" s="99" t="s">
        <v>429</v>
      </c>
      <c r="E74" s="192"/>
      <c r="F74" s="152">
        <v>59999.39</v>
      </c>
      <c r="G74" s="161">
        <f t="shared" si="1"/>
        <v>413226.01999999938</v>
      </c>
      <c r="H74" s="76">
        <v>25.359000000000002</v>
      </c>
      <c r="I74" s="10" t="s">
        <v>92</v>
      </c>
      <c r="J74" s="110"/>
      <c r="K74" s="24" t="s">
        <v>27</v>
      </c>
      <c r="L74" s="73" t="s">
        <v>92</v>
      </c>
      <c r="M74" s="26">
        <v>0</v>
      </c>
    </row>
    <row r="75" spans="1:13" x14ac:dyDescent="0.3">
      <c r="A75" s="99">
        <v>46153</v>
      </c>
      <c r="B75" s="82" t="s">
        <v>57</v>
      </c>
      <c r="C75" s="28" t="s">
        <v>1180</v>
      </c>
      <c r="D75" s="99" t="s">
        <v>1146</v>
      </c>
      <c r="E75" s="192"/>
      <c r="F75" s="152">
        <v>828348.43</v>
      </c>
      <c r="G75" s="159">
        <f t="shared" si="1"/>
        <v>-415122.41000000067</v>
      </c>
      <c r="H75" s="76">
        <v>350.10500000000002</v>
      </c>
      <c r="I75" s="10" t="s">
        <v>92</v>
      </c>
      <c r="J75" s="110"/>
      <c r="K75" s="126" t="s">
        <v>429</v>
      </c>
      <c r="L75" s="73" t="s">
        <v>92</v>
      </c>
      <c r="M75" s="80">
        <f>SUM(H74+H78+H84+H95+H105+H107)</f>
        <v>151.69799999999998</v>
      </c>
    </row>
    <row r="76" spans="1:13" x14ac:dyDescent="0.3">
      <c r="A76" s="99">
        <v>46153</v>
      </c>
      <c r="B76" s="82" t="s">
        <v>57</v>
      </c>
      <c r="C76" s="28" t="s">
        <v>1181</v>
      </c>
      <c r="D76" s="99" t="s">
        <v>117</v>
      </c>
      <c r="E76" s="192"/>
      <c r="F76" s="152">
        <v>94668.39</v>
      </c>
      <c r="G76" s="159">
        <f t="shared" si="1"/>
        <v>-509790.80000000069</v>
      </c>
      <c r="H76" s="76">
        <v>40.012</v>
      </c>
      <c r="I76" s="10" t="s">
        <v>92</v>
      </c>
      <c r="J76" s="110"/>
      <c r="K76" s="126" t="s">
        <v>62</v>
      </c>
      <c r="L76" s="73" t="s">
        <v>92</v>
      </c>
      <c r="M76" s="80">
        <v>0</v>
      </c>
    </row>
    <row r="77" spans="1:13" x14ac:dyDescent="0.3">
      <c r="A77" s="306">
        <v>46153</v>
      </c>
      <c r="B77" s="327" t="s">
        <v>60</v>
      </c>
      <c r="C77" s="330" t="s">
        <v>1182</v>
      </c>
      <c r="D77" s="306" t="s">
        <v>1218</v>
      </c>
      <c r="E77" s="373">
        <v>2000000</v>
      </c>
      <c r="F77" s="360"/>
      <c r="G77" s="316">
        <f t="shared" si="1"/>
        <v>1490209.1999999993</v>
      </c>
      <c r="H77" s="311"/>
      <c r="I77" s="199" t="s">
        <v>1222</v>
      </c>
      <c r="J77" s="110"/>
      <c r="K77" s="126" t="s">
        <v>361</v>
      </c>
      <c r="L77" s="73" t="s">
        <v>92</v>
      </c>
      <c r="M77" s="80">
        <f>SUM(H97)</f>
        <v>10.192</v>
      </c>
    </row>
    <row r="78" spans="1:13" x14ac:dyDescent="0.3">
      <c r="A78" s="99">
        <v>46153</v>
      </c>
      <c r="B78" s="82" t="s">
        <v>57</v>
      </c>
      <c r="C78" s="28" t="s">
        <v>1183</v>
      </c>
      <c r="D78" s="99" t="s">
        <v>429</v>
      </c>
      <c r="E78" s="192"/>
      <c r="F78" s="152">
        <v>59999.39</v>
      </c>
      <c r="G78" s="161">
        <f t="shared" si="1"/>
        <v>1430209.8099999994</v>
      </c>
      <c r="H78" s="76">
        <v>25.359000000000002</v>
      </c>
      <c r="I78" s="10" t="s">
        <v>92</v>
      </c>
      <c r="J78" s="110"/>
      <c r="K78" s="391" t="s">
        <v>541</v>
      </c>
      <c r="L78" s="73" t="s">
        <v>92</v>
      </c>
      <c r="M78" s="80">
        <v>0</v>
      </c>
    </row>
    <row r="79" spans="1:13" x14ac:dyDescent="0.3">
      <c r="A79" s="99">
        <v>46153</v>
      </c>
      <c r="B79" s="82" t="s">
        <v>57</v>
      </c>
      <c r="C79" s="28" t="s">
        <v>1184</v>
      </c>
      <c r="D79" s="99" t="s">
        <v>22</v>
      </c>
      <c r="E79" s="192"/>
      <c r="F79" s="152">
        <v>1310366.51</v>
      </c>
      <c r="G79" s="161">
        <f t="shared" si="1"/>
        <v>119843.29999999935</v>
      </c>
      <c r="H79" s="9">
        <v>553.83199999999999</v>
      </c>
      <c r="I79" s="10" t="s">
        <v>92</v>
      </c>
      <c r="J79" s="110"/>
      <c r="K79" s="69" t="s">
        <v>24</v>
      </c>
      <c r="L79" s="73" t="s">
        <v>92</v>
      </c>
      <c r="M79" s="26">
        <f>SUM(H71+H81+H100+H110)</f>
        <v>100.938</v>
      </c>
    </row>
    <row r="80" spans="1:13" x14ac:dyDescent="0.3">
      <c r="A80" s="99">
        <v>46154</v>
      </c>
      <c r="B80" s="82" t="s">
        <v>57</v>
      </c>
      <c r="C80" s="28" t="s">
        <v>1185</v>
      </c>
      <c r="D80" s="99" t="s">
        <v>5</v>
      </c>
      <c r="E80" s="192"/>
      <c r="F80" s="152">
        <v>59999.39</v>
      </c>
      <c r="G80" s="161">
        <f t="shared" si="1"/>
        <v>59843.909999999349</v>
      </c>
      <c r="H80" s="76">
        <v>25.359000000000002</v>
      </c>
      <c r="I80" s="10" t="s">
        <v>92</v>
      </c>
      <c r="J80" s="110"/>
      <c r="K80" s="69" t="s">
        <v>29</v>
      </c>
      <c r="L80" s="73" t="s">
        <v>92</v>
      </c>
      <c r="M80" s="26">
        <f>SUM(H70+H90)</f>
        <v>141.85899999999998</v>
      </c>
    </row>
    <row r="81" spans="1:13" x14ac:dyDescent="0.3">
      <c r="A81" s="99">
        <v>46154</v>
      </c>
      <c r="B81" s="82" t="s">
        <v>57</v>
      </c>
      <c r="C81" s="28" t="s">
        <v>1186</v>
      </c>
      <c r="D81" s="99" t="s">
        <v>24</v>
      </c>
      <c r="E81" s="192"/>
      <c r="F81" s="152">
        <v>59999.39</v>
      </c>
      <c r="G81" s="159">
        <f t="shared" si="1"/>
        <v>-155.48000000065076</v>
      </c>
      <c r="H81" s="76">
        <v>25.359000000000002</v>
      </c>
      <c r="I81" s="10" t="s">
        <v>92</v>
      </c>
      <c r="J81" s="110"/>
      <c r="K81" s="69" t="s">
        <v>3</v>
      </c>
      <c r="L81" s="73" t="s">
        <v>92</v>
      </c>
      <c r="M81" s="26">
        <f>SUM(H99)</f>
        <v>25.105</v>
      </c>
    </row>
    <row r="82" spans="1:13" x14ac:dyDescent="0.3">
      <c r="A82" s="99">
        <v>46154</v>
      </c>
      <c r="B82" s="82" t="s">
        <v>57</v>
      </c>
      <c r="C82" s="28" t="s">
        <v>1187</v>
      </c>
      <c r="D82" s="99" t="s">
        <v>1146</v>
      </c>
      <c r="E82" s="192"/>
      <c r="F82" s="152">
        <v>790260.56</v>
      </c>
      <c r="G82" s="159">
        <f t="shared" si="1"/>
        <v>-790416.04000000074</v>
      </c>
      <c r="H82" s="76">
        <v>334.00700000000001</v>
      </c>
      <c r="I82" s="10" t="s">
        <v>92</v>
      </c>
      <c r="J82" s="110"/>
      <c r="K82" s="69" t="s">
        <v>5</v>
      </c>
      <c r="L82" s="73" t="s">
        <v>92</v>
      </c>
      <c r="M82" s="26">
        <f>SUM(H72+H80+H87+H91+H101)</f>
        <v>112.70699999999999</v>
      </c>
    </row>
    <row r="83" spans="1:13" x14ac:dyDescent="0.3">
      <c r="A83" s="99">
        <v>46154</v>
      </c>
      <c r="B83" s="82" t="s">
        <v>57</v>
      </c>
      <c r="C83" s="28" t="s">
        <v>1188</v>
      </c>
      <c r="D83" s="99" t="s">
        <v>6</v>
      </c>
      <c r="E83" s="192"/>
      <c r="F83" s="152">
        <v>59999.39</v>
      </c>
      <c r="G83" s="159">
        <f t="shared" si="1"/>
        <v>-850415.43000000075</v>
      </c>
      <c r="H83" s="76">
        <v>25.359000000000002</v>
      </c>
      <c r="I83" s="10" t="s">
        <v>92</v>
      </c>
      <c r="J83" s="110"/>
      <c r="K83" s="69" t="s">
        <v>61</v>
      </c>
      <c r="L83" s="73" t="s">
        <v>92</v>
      </c>
      <c r="M83" s="26">
        <f>SUM(H106)</f>
        <v>185.69499999999999</v>
      </c>
    </row>
    <row r="84" spans="1:13" x14ac:dyDescent="0.3">
      <c r="A84" s="99">
        <v>46154</v>
      </c>
      <c r="B84" s="82" t="s">
        <v>57</v>
      </c>
      <c r="C84" s="28" t="s">
        <v>1189</v>
      </c>
      <c r="D84" s="99" t="s">
        <v>429</v>
      </c>
      <c r="E84" s="192"/>
      <c r="F84" s="152">
        <v>59999.39</v>
      </c>
      <c r="G84" s="159">
        <f t="shared" si="1"/>
        <v>-910414.82000000076</v>
      </c>
      <c r="H84" s="76">
        <v>25.359000000000002</v>
      </c>
      <c r="I84" s="10" t="s">
        <v>92</v>
      </c>
      <c r="J84" s="110"/>
      <c r="K84" s="69" t="s">
        <v>22</v>
      </c>
      <c r="L84" s="73" t="s">
        <v>92</v>
      </c>
      <c r="M84" s="26">
        <f>SUM(H79+H88+H98)</f>
        <v>1150.0530000000001</v>
      </c>
    </row>
    <row r="85" spans="1:13" x14ac:dyDescent="0.3">
      <c r="A85" s="99">
        <v>46154</v>
      </c>
      <c r="B85" s="82" t="s">
        <v>57</v>
      </c>
      <c r="C85" s="28" t="s">
        <v>1194</v>
      </c>
      <c r="D85" s="99" t="s">
        <v>9</v>
      </c>
      <c r="E85" s="192"/>
      <c r="F85" s="152">
        <v>99999.67</v>
      </c>
      <c r="G85" s="159">
        <f t="shared" si="1"/>
        <v>-1010414.4900000008</v>
      </c>
      <c r="H85" s="76">
        <v>44.582999999999998</v>
      </c>
      <c r="I85" s="10" t="s">
        <v>92</v>
      </c>
      <c r="J85" s="110"/>
      <c r="K85" s="69" t="s">
        <v>6</v>
      </c>
      <c r="L85" s="73" t="s">
        <v>92</v>
      </c>
      <c r="M85" s="26">
        <f>SUM(H83+H108)</f>
        <v>50.474000000000004</v>
      </c>
    </row>
    <row r="86" spans="1:13" x14ac:dyDescent="0.3">
      <c r="A86" s="306">
        <v>46154</v>
      </c>
      <c r="B86" s="327" t="s">
        <v>60</v>
      </c>
      <c r="C86" s="330" t="s">
        <v>1195</v>
      </c>
      <c r="D86" s="306" t="s">
        <v>1218</v>
      </c>
      <c r="E86" s="373">
        <v>900000</v>
      </c>
      <c r="F86" s="360"/>
      <c r="G86" s="317">
        <f t="shared" si="1"/>
        <v>-110414.49000000081</v>
      </c>
      <c r="H86" s="311"/>
      <c r="I86" s="199" t="s">
        <v>1220</v>
      </c>
      <c r="J86" s="110"/>
      <c r="K86" s="69" t="s">
        <v>8</v>
      </c>
      <c r="L86" s="73" t="s">
        <v>92</v>
      </c>
      <c r="M86" s="26">
        <f>SUM(H103)</f>
        <v>25.146999999999998</v>
      </c>
    </row>
    <row r="87" spans="1:13" x14ac:dyDescent="0.3">
      <c r="A87" s="99">
        <v>46154</v>
      </c>
      <c r="B87" s="82" t="s">
        <v>57</v>
      </c>
      <c r="C87" s="28" t="s">
        <v>1196</v>
      </c>
      <c r="D87" s="99" t="s">
        <v>5</v>
      </c>
      <c r="E87" s="192"/>
      <c r="F87" s="152">
        <v>23962.720000000001</v>
      </c>
      <c r="G87" s="159">
        <f t="shared" si="1"/>
        <v>-134377.21000000081</v>
      </c>
      <c r="H87" s="76">
        <v>11.515000000000001</v>
      </c>
      <c r="I87" s="10" t="s">
        <v>92</v>
      </c>
      <c r="J87" s="110"/>
      <c r="K87" s="69" t="s">
        <v>9</v>
      </c>
      <c r="L87" s="73" t="s">
        <v>92</v>
      </c>
      <c r="M87" s="26">
        <f>SUM(H85)</f>
        <v>44.582999999999998</v>
      </c>
    </row>
    <row r="88" spans="1:13" x14ac:dyDescent="0.3">
      <c r="A88" s="99">
        <v>46154</v>
      </c>
      <c r="B88" s="82" t="s">
        <v>57</v>
      </c>
      <c r="C88" s="28" t="s">
        <v>1197</v>
      </c>
      <c r="D88" s="99" t="s">
        <v>22</v>
      </c>
      <c r="E88" s="192"/>
      <c r="F88" s="152">
        <v>299999.34000000003</v>
      </c>
      <c r="G88" s="159">
        <f t="shared" si="1"/>
        <v>-434376.55000000086</v>
      </c>
      <c r="H88" s="76">
        <v>126.79600000000001</v>
      </c>
      <c r="I88" s="10" t="s">
        <v>92</v>
      </c>
      <c r="J88" s="110"/>
      <c r="K88" s="69" t="s">
        <v>30</v>
      </c>
      <c r="L88" s="73" t="s">
        <v>92</v>
      </c>
      <c r="M88" s="26">
        <f>SUM(H75+H82+H92+H94)</f>
        <v>1034.4660000000001</v>
      </c>
    </row>
    <row r="89" spans="1:13" ht="14.4" customHeight="1" x14ac:dyDescent="0.3">
      <c r="A89" s="99">
        <v>46155</v>
      </c>
      <c r="B89" s="82" t="s">
        <v>57</v>
      </c>
      <c r="C89" s="28" t="s">
        <v>1198</v>
      </c>
      <c r="D89" s="99" t="s">
        <v>117</v>
      </c>
      <c r="E89" s="192"/>
      <c r="F89" s="152">
        <v>82681.47</v>
      </c>
      <c r="G89" s="159">
        <f t="shared" si="1"/>
        <v>-517058.02000000083</v>
      </c>
      <c r="H89" s="76">
        <v>36.862000000000002</v>
      </c>
      <c r="I89" s="10" t="s">
        <v>92</v>
      </c>
      <c r="J89" s="110"/>
      <c r="K89" s="69" t="s">
        <v>10</v>
      </c>
      <c r="L89" s="73" t="s">
        <v>92</v>
      </c>
      <c r="M89" s="26">
        <v>0</v>
      </c>
    </row>
    <row r="90" spans="1:13" x14ac:dyDescent="0.3">
      <c r="A90" s="99">
        <v>46155</v>
      </c>
      <c r="B90" s="82" t="s">
        <v>57</v>
      </c>
      <c r="C90" s="28" t="s">
        <v>1199</v>
      </c>
      <c r="D90" s="99" t="s">
        <v>26</v>
      </c>
      <c r="E90" s="192"/>
      <c r="F90" s="152">
        <v>140024.48000000001</v>
      </c>
      <c r="G90" s="159">
        <f t="shared" si="1"/>
        <v>-657082.50000000081</v>
      </c>
      <c r="H90" s="76">
        <v>59.106999999999999</v>
      </c>
      <c r="I90" s="10" t="s">
        <v>92</v>
      </c>
      <c r="J90" s="110"/>
      <c r="K90" s="69" t="s">
        <v>11</v>
      </c>
      <c r="L90" s="73" t="s">
        <v>92</v>
      </c>
      <c r="M90" s="26">
        <f>SUM(H73+H76+H89+H109)</f>
        <v>152.726</v>
      </c>
    </row>
    <row r="91" spans="1:13" x14ac:dyDescent="0.3">
      <c r="A91" s="99">
        <v>46155</v>
      </c>
      <c r="B91" s="82" t="s">
        <v>57</v>
      </c>
      <c r="C91" s="28" t="s">
        <v>1200</v>
      </c>
      <c r="D91" s="99" t="s">
        <v>5</v>
      </c>
      <c r="E91" s="192"/>
      <c r="F91" s="152">
        <v>59999.66</v>
      </c>
      <c r="G91" s="159">
        <f t="shared" si="1"/>
        <v>-717082.16000000085</v>
      </c>
      <c r="H91" s="76">
        <v>25.327000000000002</v>
      </c>
      <c r="I91" s="10" t="s">
        <v>92</v>
      </c>
      <c r="J91" s="110"/>
      <c r="K91" s="540" t="s">
        <v>695</v>
      </c>
      <c r="L91" s="541"/>
      <c r="M91" s="148">
        <f>SUM(M72:M90)</f>
        <v>3259.8330000000001</v>
      </c>
    </row>
    <row r="92" spans="1:13" x14ac:dyDescent="0.3">
      <c r="A92" s="99">
        <v>46155</v>
      </c>
      <c r="B92" s="82" t="s">
        <v>57</v>
      </c>
      <c r="C92" s="28" t="s">
        <v>1201</v>
      </c>
      <c r="D92" s="99" t="s">
        <v>1146</v>
      </c>
      <c r="E92" s="192"/>
      <c r="F92" s="152">
        <v>479999.76</v>
      </c>
      <c r="G92" s="159">
        <f t="shared" si="1"/>
        <v>-1197081.9200000009</v>
      </c>
      <c r="H92" s="76">
        <v>213.999</v>
      </c>
      <c r="I92" s="10" t="s">
        <v>92</v>
      </c>
      <c r="J92" s="110"/>
      <c r="K92" s="106"/>
      <c r="L92" s="107"/>
      <c r="M92" s="25"/>
    </row>
    <row r="93" spans="1:13" ht="13.95" customHeight="1" x14ac:dyDescent="0.3">
      <c r="A93" s="306">
        <v>46155</v>
      </c>
      <c r="B93" s="327" t="s">
        <v>60</v>
      </c>
      <c r="C93" s="330" t="s">
        <v>1202</v>
      </c>
      <c r="D93" s="306" t="s">
        <v>1218</v>
      </c>
      <c r="E93" s="373">
        <v>1500000</v>
      </c>
      <c r="F93" s="360"/>
      <c r="G93" s="316">
        <f t="shared" si="1"/>
        <v>302918.07999999914</v>
      </c>
      <c r="H93" s="311"/>
      <c r="I93" s="199" t="s">
        <v>1222</v>
      </c>
      <c r="J93" s="110"/>
    </row>
    <row r="94" spans="1:13" ht="13.95" customHeight="1" x14ac:dyDescent="0.3">
      <c r="A94" s="99">
        <v>46155</v>
      </c>
      <c r="B94" s="82" t="s">
        <v>57</v>
      </c>
      <c r="C94" s="28" t="s">
        <v>1203</v>
      </c>
      <c r="D94" s="99" t="s">
        <v>1146</v>
      </c>
      <c r="E94" s="192"/>
      <c r="F94" s="152">
        <v>323025</v>
      </c>
      <c r="G94" s="159">
        <f t="shared" si="1"/>
        <v>-20106.920000000857</v>
      </c>
      <c r="H94" s="76">
        <v>136.35499999999999</v>
      </c>
      <c r="I94" s="10" t="s">
        <v>92</v>
      </c>
      <c r="J94" s="110"/>
    </row>
    <row r="95" spans="1:13" ht="13.95" customHeight="1" x14ac:dyDescent="0.3">
      <c r="A95" s="99">
        <v>46155</v>
      </c>
      <c r="B95" s="82" t="s">
        <v>57</v>
      </c>
      <c r="C95" s="28" t="s">
        <v>1204</v>
      </c>
      <c r="D95" s="99" t="s">
        <v>429</v>
      </c>
      <c r="E95" s="192"/>
      <c r="F95" s="152">
        <v>59999.66</v>
      </c>
      <c r="G95" s="159">
        <f t="shared" si="1"/>
        <v>-80106.58000000086</v>
      </c>
      <c r="H95" s="76">
        <v>25.327000000000002</v>
      </c>
      <c r="I95" s="10" t="s">
        <v>92</v>
      </c>
      <c r="J95" s="110"/>
    </row>
    <row r="96" spans="1:13" ht="13.95" customHeight="1" x14ac:dyDescent="0.3">
      <c r="A96" s="306">
        <v>46156</v>
      </c>
      <c r="B96" s="327" t="s">
        <v>60</v>
      </c>
      <c r="C96" s="330" t="s">
        <v>1205</v>
      </c>
      <c r="D96" s="306" t="s">
        <v>1218</v>
      </c>
      <c r="E96" s="373">
        <v>1500000</v>
      </c>
      <c r="F96" s="360"/>
      <c r="G96" s="316">
        <f t="shared" si="1"/>
        <v>1419893.4199999992</v>
      </c>
      <c r="H96" s="311"/>
      <c r="I96" s="199" t="s">
        <v>1222</v>
      </c>
      <c r="J96" s="110"/>
    </row>
    <row r="97" spans="1:13" ht="13.95" customHeight="1" x14ac:dyDescent="0.3">
      <c r="A97" s="60">
        <v>46156</v>
      </c>
      <c r="B97" s="82" t="s">
        <v>57</v>
      </c>
      <c r="C97" s="65" t="s">
        <v>1206</v>
      </c>
      <c r="D97" s="15" t="s">
        <v>361</v>
      </c>
      <c r="E97" s="22"/>
      <c r="F97" s="29">
        <v>22901.42</v>
      </c>
      <c r="G97" s="161">
        <f t="shared" si="1"/>
        <v>1396991.9999999993</v>
      </c>
      <c r="H97" s="76">
        <v>10.192</v>
      </c>
      <c r="I97" s="10" t="s">
        <v>92</v>
      </c>
      <c r="J97" s="110"/>
    </row>
    <row r="98" spans="1:13" ht="13.95" customHeight="1" x14ac:dyDescent="0.3">
      <c r="A98" s="60">
        <v>46126</v>
      </c>
      <c r="B98" s="82" t="s">
        <v>57</v>
      </c>
      <c r="C98" s="65" t="s">
        <v>1207</v>
      </c>
      <c r="D98" s="15" t="s">
        <v>22</v>
      </c>
      <c r="E98" s="22"/>
      <c r="F98" s="29">
        <v>1121925.75</v>
      </c>
      <c r="G98" s="161">
        <f t="shared" si="1"/>
        <v>275066.2499999993</v>
      </c>
      <c r="H98" s="9">
        <v>469.42500000000001</v>
      </c>
      <c r="I98" s="10" t="s">
        <v>92</v>
      </c>
      <c r="J98" s="110"/>
    </row>
    <row r="99" spans="1:13" ht="13.95" customHeight="1" x14ac:dyDescent="0.3">
      <c r="A99" s="60">
        <v>46156</v>
      </c>
      <c r="B99" s="82" t="s">
        <v>57</v>
      </c>
      <c r="C99" s="65" t="s">
        <v>1208</v>
      </c>
      <c r="D99" s="15" t="s">
        <v>3</v>
      </c>
      <c r="E99" s="22"/>
      <c r="F99" s="29">
        <v>60000.95</v>
      </c>
      <c r="G99" s="161">
        <f t="shared" si="1"/>
        <v>215065.29999999929</v>
      </c>
      <c r="H99" s="76">
        <v>25.105</v>
      </c>
      <c r="I99" s="10" t="s">
        <v>92</v>
      </c>
      <c r="J99" s="110"/>
    </row>
    <row r="100" spans="1:13" x14ac:dyDescent="0.3">
      <c r="A100" s="60">
        <v>46156</v>
      </c>
      <c r="B100" s="82" t="s">
        <v>57</v>
      </c>
      <c r="C100" s="65" t="s">
        <v>1209</v>
      </c>
      <c r="D100" s="15" t="s">
        <v>24</v>
      </c>
      <c r="E100" s="22"/>
      <c r="F100" s="17">
        <v>60000.95</v>
      </c>
      <c r="G100" s="161">
        <f t="shared" si="1"/>
        <v>155064.34999999928</v>
      </c>
      <c r="H100" s="76">
        <v>25.105</v>
      </c>
      <c r="I100" s="10" t="s">
        <v>92</v>
      </c>
      <c r="J100" s="110"/>
    </row>
    <row r="101" spans="1:13" x14ac:dyDescent="0.3">
      <c r="A101" s="60">
        <v>46157</v>
      </c>
      <c r="B101" s="82" t="s">
        <v>57</v>
      </c>
      <c r="C101" s="65" t="s">
        <v>1210</v>
      </c>
      <c r="D101" s="15" t="s">
        <v>5</v>
      </c>
      <c r="E101" s="22"/>
      <c r="F101" s="16">
        <v>60000.74</v>
      </c>
      <c r="G101" s="161">
        <f t="shared" si="1"/>
        <v>95063.609999999288</v>
      </c>
      <c r="H101" s="76">
        <v>25.146999999999998</v>
      </c>
      <c r="I101" s="10" t="s">
        <v>92</v>
      </c>
      <c r="J101" s="110"/>
    </row>
    <row r="102" spans="1:13" x14ac:dyDescent="0.3">
      <c r="A102" s="60">
        <v>46157</v>
      </c>
      <c r="B102" s="82" t="s">
        <v>57</v>
      </c>
      <c r="C102" s="65" t="s">
        <v>1211</v>
      </c>
      <c r="D102" s="15" t="s">
        <v>1</v>
      </c>
      <c r="E102" s="22"/>
      <c r="F102" s="16">
        <v>177017.34</v>
      </c>
      <c r="G102" s="159">
        <f t="shared" si="1"/>
        <v>-81953.730000000709</v>
      </c>
      <c r="H102" s="76">
        <v>74.19</v>
      </c>
      <c r="I102" s="10" t="s">
        <v>92</v>
      </c>
      <c r="J102" s="110"/>
    </row>
    <row r="103" spans="1:13" x14ac:dyDescent="0.3">
      <c r="A103" s="119">
        <v>46157</v>
      </c>
      <c r="B103" s="363" t="s">
        <v>57</v>
      </c>
      <c r="C103" s="115" t="s">
        <v>1212</v>
      </c>
      <c r="D103" s="305" t="s">
        <v>8</v>
      </c>
      <c r="E103" s="22"/>
      <c r="F103" s="374">
        <v>60000.74</v>
      </c>
      <c r="G103" s="185">
        <f t="shared" si="1"/>
        <v>-141954.4700000007</v>
      </c>
      <c r="H103" s="76">
        <v>25.146999999999998</v>
      </c>
      <c r="I103" s="10" t="s">
        <v>92</v>
      </c>
      <c r="J103" s="110"/>
    </row>
    <row r="104" spans="1:13" x14ac:dyDescent="0.3">
      <c r="A104" s="202">
        <v>46157</v>
      </c>
      <c r="B104" s="327" t="s">
        <v>60</v>
      </c>
      <c r="C104" s="203" t="s">
        <v>1213</v>
      </c>
      <c r="D104" s="308" t="s">
        <v>1218</v>
      </c>
      <c r="E104" s="370">
        <v>1500000</v>
      </c>
      <c r="F104" s="339"/>
      <c r="G104" s="316">
        <f t="shared" si="1"/>
        <v>1358045.5299999993</v>
      </c>
      <c r="H104" s="311"/>
      <c r="I104" s="199" t="s">
        <v>1222</v>
      </c>
      <c r="J104" s="110"/>
      <c r="K104" s="375"/>
      <c r="L104" s="107"/>
      <c r="M104" s="25"/>
    </row>
    <row r="105" spans="1:13" x14ac:dyDescent="0.3">
      <c r="A105" s="60">
        <v>46157</v>
      </c>
      <c r="B105" s="82" t="s">
        <v>57</v>
      </c>
      <c r="C105" s="65" t="s">
        <v>1234</v>
      </c>
      <c r="D105" s="15" t="s">
        <v>429</v>
      </c>
      <c r="E105" s="22"/>
      <c r="F105" s="16">
        <v>60000.74</v>
      </c>
      <c r="G105" s="161">
        <f t="shared" si="1"/>
        <v>1298044.7899999993</v>
      </c>
      <c r="H105" s="76">
        <v>25.146999999999998</v>
      </c>
      <c r="I105" s="10" t="s">
        <v>92</v>
      </c>
      <c r="J105" s="110"/>
      <c r="K105" s="106"/>
      <c r="L105" s="107"/>
      <c r="M105" s="25"/>
    </row>
    <row r="106" spans="1:13" x14ac:dyDescent="0.3">
      <c r="A106" s="60">
        <v>46157</v>
      </c>
      <c r="B106" s="82" t="s">
        <v>57</v>
      </c>
      <c r="C106" s="65" t="s">
        <v>1235</v>
      </c>
      <c r="D106" s="15" t="s">
        <v>61</v>
      </c>
      <c r="E106" s="22"/>
      <c r="F106" s="16">
        <v>443068.27</v>
      </c>
      <c r="G106" s="161">
        <f t="shared" si="1"/>
        <v>854976.51999999932</v>
      </c>
      <c r="H106" s="76">
        <v>185.69499999999999</v>
      </c>
      <c r="I106" s="10" t="s">
        <v>92</v>
      </c>
      <c r="J106" s="110"/>
      <c r="K106" s="193"/>
      <c r="L106" s="107"/>
      <c r="M106" s="25"/>
    </row>
    <row r="107" spans="1:13" x14ac:dyDescent="0.3">
      <c r="A107" s="60">
        <v>46157</v>
      </c>
      <c r="B107" s="82" t="s">
        <v>57</v>
      </c>
      <c r="C107" s="65" t="s">
        <v>1236</v>
      </c>
      <c r="D107" s="15" t="s">
        <v>429</v>
      </c>
      <c r="E107" s="22"/>
      <c r="F107" s="16">
        <v>60000.74</v>
      </c>
      <c r="G107" s="161">
        <f t="shared" si="1"/>
        <v>794975.77999999933</v>
      </c>
      <c r="H107" s="76">
        <v>25.146999999999998</v>
      </c>
      <c r="I107" s="10" t="s">
        <v>92</v>
      </c>
      <c r="J107" s="110"/>
      <c r="K107" s="124"/>
      <c r="L107" s="107"/>
      <c r="M107" s="5"/>
    </row>
    <row r="108" spans="1:13" x14ac:dyDescent="0.3">
      <c r="A108" s="60">
        <v>46158</v>
      </c>
      <c r="B108" s="82" t="s">
        <v>57</v>
      </c>
      <c r="C108" s="65" t="s">
        <v>1237</v>
      </c>
      <c r="D108" s="15" t="s">
        <v>6</v>
      </c>
      <c r="E108" s="22"/>
      <c r="F108" s="16">
        <v>59999.74</v>
      </c>
      <c r="G108" s="161">
        <f t="shared" si="1"/>
        <v>734976.03999999934</v>
      </c>
      <c r="H108" s="76">
        <v>25.114999999999998</v>
      </c>
      <c r="I108" s="10" t="s">
        <v>92</v>
      </c>
      <c r="J108" s="110"/>
      <c r="K108" s="124"/>
      <c r="L108" s="107"/>
      <c r="M108" s="5"/>
    </row>
    <row r="109" spans="1:13" x14ac:dyDescent="0.3">
      <c r="A109" s="60">
        <v>46158</v>
      </c>
      <c r="B109" s="82" t="s">
        <v>57</v>
      </c>
      <c r="C109" s="65" t="s">
        <v>1238</v>
      </c>
      <c r="D109" s="15" t="s">
        <v>117</v>
      </c>
      <c r="E109" s="22"/>
      <c r="F109" s="16">
        <v>86449.34</v>
      </c>
      <c r="G109" s="161">
        <f t="shared" si="1"/>
        <v>648526.69999999937</v>
      </c>
      <c r="H109" s="76">
        <v>38.234999999999999</v>
      </c>
      <c r="I109" s="10" t="s">
        <v>92</v>
      </c>
      <c r="J109" s="110"/>
      <c r="K109" s="124"/>
      <c r="L109" s="107"/>
      <c r="M109" s="5"/>
    </row>
    <row r="110" spans="1:13" x14ac:dyDescent="0.3">
      <c r="A110" s="60">
        <v>46158</v>
      </c>
      <c r="B110" s="82" t="s">
        <v>57</v>
      </c>
      <c r="C110" s="65" t="s">
        <v>1239</v>
      </c>
      <c r="D110" s="15" t="s">
        <v>24</v>
      </c>
      <c r="E110" s="22"/>
      <c r="F110" s="16">
        <v>59999.74</v>
      </c>
      <c r="G110" s="161">
        <f t="shared" si="1"/>
        <v>588526.95999999938</v>
      </c>
      <c r="H110" s="76">
        <v>25.114999999999998</v>
      </c>
      <c r="I110" s="10" t="s">
        <v>92</v>
      </c>
      <c r="J110" s="110"/>
      <c r="K110" s="124"/>
      <c r="L110" s="107"/>
      <c r="M110" s="5"/>
    </row>
    <row r="111" spans="1:13" x14ac:dyDescent="0.3">
      <c r="A111" s="534" t="s">
        <v>694</v>
      </c>
      <c r="B111" s="534"/>
      <c r="C111" s="534"/>
      <c r="D111" s="534"/>
      <c r="E111" s="534"/>
      <c r="F111" s="534"/>
      <c r="G111" s="534"/>
      <c r="H111" s="540">
        <f>SUM(H70:H110)</f>
        <v>3259.8330000000001</v>
      </c>
      <c r="I111" s="541"/>
      <c r="J111" s="110"/>
      <c r="K111" s="106"/>
      <c r="L111" s="107"/>
      <c r="M111" s="25"/>
    </row>
    <row r="112" spans="1:13" ht="15.6" x14ac:dyDescent="0.3">
      <c r="A112" s="546" t="s">
        <v>1242</v>
      </c>
      <c r="B112" s="547"/>
      <c r="C112" s="547"/>
      <c r="D112" s="547"/>
      <c r="E112" s="547"/>
      <c r="F112" s="547"/>
      <c r="G112" s="547"/>
      <c r="H112" s="547"/>
      <c r="I112" s="548"/>
      <c r="J112" s="110"/>
      <c r="K112" s="526" t="s">
        <v>1275</v>
      </c>
      <c r="L112" s="526"/>
      <c r="M112" s="526"/>
    </row>
    <row r="113" spans="1:13" x14ac:dyDescent="0.3">
      <c r="A113" s="60">
        <v>46159</v>
      </c>
      <c r="B113" s="82" t="s">
        <v>57</v>
      </c>
      <c r="C113" s="65" t="s">
        <v>1240</v>
      </c>
      <c r="D113" s="15" t="s">
        <v>6</v>
      </c>
      <c r="E113" s="22"/>
      <c r="F113" s="16">
        <v>59999.74</v>
      </c>
      <c r="G113" s="161">
        <f>+G110+E113-F113</f>
        <v>528527.21999999939</v>
      </c>
      <c r="H113" s="76">
        <v>25.114999999999998</v>
      </c>
      <c r="I113" s="10" t="s">
        <v>92</v>
      </c>
      <c r="J113" s="110"/>
      <c r="K113" s="545" t="s">
        <v>34</v>
      </c>
      <c r="L113" s="545"/>
      <c r="M113" s="545"/>
    </row>
    <row r="114" spans="1:13" x14ac:dyDescent="0.3">
      <c r="A114" s="60">
        <v>46159</v>
      </c>
      <c r="B114" s="82" t="s">
        <v>57</v>
      </c>
      <c r="C114" s="65" t="s">
        <v>1241</v>
      </c>
      <c r="D114" s="15" t="s">
        <v>62</v>
      </c>
      <c r="E114" s="22"/>
      <c r="F114" s="16">
        <v>59999.74</v>
      </c>
      <c r="G114" s="161">
        <f t="shared" si="1"/>
        <v>468527.4799999994</v>
      </c>
      <c r="H114" s="76">
        <v>25.114999999999998</v>
      </c>
      <c r="I114" s="10" t="s">
        <v>92</v>
      </c>
      <c r="J114" s="110"/>
      <c r="K114" s="71" t="s">
        <v>32</v>
      </c>
      <c r="L114" s="43" t="s">
        <v>35</v>
      </c>
      <c r="M114" s="43" t="s">
        <v>33</v>
      </c>
    </row>
    <row r="115" spans="1:13" x14ac:dyDescent="0.3">
      <c r="A115" s="60">
        <v>46160</v>
      </c>
      <c r="B115" s="82" t="s">
        <v>57</v>
      </c>
      <c r="C115" s="65" t="s">
        <v>1243</v>
      </c>
      <c r="D115" s="15" t="s">
        <v>8</v>
      </c>
      <c r="E115" s="22"/>
      <c r="F115" s="16">
        <v>60000.95</v>
      </c>
      <c r="G115" s="161">
        <f t="shared" si="1"/>
        <v>408526.52999999939</v>
      </c>
      <c r="H115" s="76">
        <v>25.105</v>
      </c>
      <c r="I115" s="10" t="s">
        <v>92</v>
      </c>
      <c r="J115" s="110"/>
      <c r="K115" s="39" t="s">
        <v>0</v>
      </c>
      <c r="L115" s="73" t="s">
        <v>92</v>
      </c>
      <c r="M115" s="26">
        <v>0</v>
      </c>
    </row>
    <row r="116" spans="1:13" x14ac:dyDescent="0.3">
      <c r="A116" s="60">
        <v>46160</v>
      </c>
      <c r="B116" s="82" t="s">
        <v>57</v>
      </c>
      <c r="C116" s="65" t="s">
        <v>1244</v>
      </c>
      <c r="D116" s="15" t="s">
        <v>26</v>
      </c>
      <c r="E116" s="22"/>
      <c r="F116" s="16">
        <v>159006.70000000001</v>
      </c>
      <c r="G116" s="161">
        <f t="shared" si="1"/>
        <v>249519.82999999938</v>
      </c>
      <c r="H116" s="76">
        <v>66.53</v>
      </c>
      <c r="I116" s="10" t="s">
        <v>92</v>
      </c>
      <c r="J116" s="110"/>
      <c r="K116" s="69" t="s">
        <v>1</v>
      </c>
      <c r="L116" s="73" t="s">
        <v>92</v>
      </c>
      <c r="M116" s="42">
        <f>SUM(H128)</f>
        <v>60.255000000000003</v>
      </c>
    </row>
    <row r="117" spans="1:13" x14ac:dyDescent="0.3">
      <c r="A117" s="60">
        <v>46160</v>
      </c>
      <c r="B117" s="82" t="s">
        <v>57</v>
      </c>
      <c r="C117" s="65" t="s">
        <v>1245</v>
      </c>
      <c r="D117" s="15" t="s">
        <v>24</v>
      </c>
      <c r="E117" s="22"/>
      <c r="F117" s="16">
        <v>60000.95</v>
      </c>
      <c r="G117" s="161">
        <f t="shared" si="1"/>
        <v>189518.87999999936</v>
      </c>
      <c r="H117" s="76">
        <v>25.105</v>
      </c>
      <c r="I117" s="10" t="s">
        <v>92</v>
      </c>
      <c r="J117" s="110"/>
      <c r="K117" s="24" t="s">
        <v>27</v>
      </c>
      <c r="L117" s="73" t="s">
        <v>92</v>
      </c>
      <c r="M117" s="26">
        <v>0</v>
      </c>
    </row>
    <row r="118" spans="1:13" x14ac:dyDescent="0.3">
      <c r="A118" s="60">
        <v>46160</v>
      </c>
      <c r="B118" s="82" t="s">
        <v>57</v>
      </c>
      <c r="C118" s="65" t="s">
        <v>1246</v>
      </c>
      <c r="D118" s="15" t="s">
        <v>117</v>
      </c>
      <c r="E118" s="22"/>
      <c r="F118" s="16">
        <v>89064.33</v>
      </c>
      <c r="G118" s="161">
        <f t="shared" si="1"/>
        <v>100454.54999999936</v>
      </c>
      <c r="H118" s="76">
        <v>39.322000000000003</v>
      </c>
      <c r="I118" s="10" t="s">
        <v>92</v>
      </c>
      <c r="J118" s="110"/>
      <c r="K118" s="126" t="s">
        <v>429</v>
      </c>
      <c r="L118" s="73" t="s">
        <v>92</v>
      </c>
      <c r="M118" s="80">
        <f>SUM(H119+H130+H137+H145+H149)</f>
        <v>125.387</v>
      </c>
    </row>
    <row r="119" spans="1:13" x14ac:dyDescent="0.3">
      <c r="A119" s="60">
        <v>46160</v>
      </c>
      <c r="B119" s="82" t="s">
        <v>57</v>
      </c>
      <c r="C119" s="65" t="s">
        <v>1247</v>
      </c>
      <c r="D119" s="15" t="s">
        <v>429</v>
      </c>
      <c r="E119" s="22"/>
      <c r="F119" s="16">
        <v>60000.95</v>
      </c>
      <c r="G119" s="161">
        <f t="shared" si="1"/>
        <v>40453.599999999366</v>
      </c>
      <c r="H119" s="76">
        <v>25.105</v>
      </c>
      <c r="I119" s="10" t="s">
        <v>92</v>
      </c>
      <c r="J119" s="110"/>
      <c r="K119" s="126" t="s">
        <v>62</v>
      </c>
      <c r="L119" s="73" t="s">
        <v>92</v>
      </c>
      <c r="M119" s="80">
        <f>SUM(H114+H121+H134+H142)</f>
        <v>100.41800000000001</v>
      </c>
    </row>
    <row r="120" spans="1:13" x14ac:dyDescent="0.3">
      <c r="A120" s="60">
        <v>46160</v>
      </c>
      <c r="B120" s="82" t="s">
        <v>57</v>
      </c>
      <c r="C120" s="65" t="s">
        <v>1248</v>
      </c>
      <c r="D120" s="15" t="s">
        <v>9</v>
      </c>
      <c r="E120" s="22"/>
      <c r="F120" s="16">
        <v>299965.28000000003</v>
      </c>
      <c r="G120" s="159">
        <f t="shared" si="1"/>
        <v>-259511.68000000066</v>
      </c>
      <c r="H120" s="76">
        <v>132.435</v>
      </c>
      <c r="I120" s="10" t="s">
        <v>92</v>
      </c>
      <c r="J120" s="110"/>
      <c r="K120" s="126" t="s">
        <v>361</v>
      </c>
      <c r="L120" s="73" t="s">
        <v>92</v>
      </c>
      <c r="M120" s="80">
        <v>0</v>
      </c>
    </row>
    <row r="121" spans="1:13" x14ac:dyDescent="0.3">
      <c r="A121" s="60">
        <v>46161</v>
      </c>
      <c r="B121" s="82" t="s">
        <v>57</v>
      </c>
      <c r="C121" s="65" t="s">
        <v>1249</v>
      </c>
      <c r="D121" s="15" t="s">
        <v>62</v>
      </c>
      <c r="E121" s="22"/>
      <c r="F121" s="16">
        <v>59999.45</v>
      </c>
      <c r="G121" s="159">
        <f t="shared" si="1"/>
        <v>-319511.13000000064</v>
      </c>
      <c r="H121" s="76">
        <v>25.157</v>
      </c>
      <c r="I121" s="10" t="s">
        <v>92</v>
      </c>
      <c r="J121" s="110"/>
      <c r="K121" s="391" t="s">
        <v>541</v>
      </c>
      <c r="L121" s="73" t="s">
        <v>92</v>
      </c>
      <c r="M121" s="80">
        <f>SUM(H125)</f>
        <v>11.167</v>
      </c>
    </row>
    <row r="122" spans="1:13" x14ac:dyDescent="0.3">
      <c r="A122" s="60">
        <v>46161</v>
      </c>
      <c r="B122" s="82" t="s">
        <v>57</v>
      </c>
      <c r="C122" s="65" t="s">
        <v>1250</v>
      </c>
      <c r="D122" s="15" t="s">
        <v>117</v>
      </c>
      <c r="E122" s="22"/>
      <c r="F122" s="16">
        <v>88399.9</v>
      </c>
      <c r="G122" s="159">
        <f t="shared" si="1"/>
        <v>-407911.03000000061</v>
      </c>
      <c r="H122" s="76">
        <v>39.115000000000002</v>
      </c>
      <c r="I122" s="10" t="s">
        <v>92</v>
      </c>
      <c r="J122" s="110"/>
      <c r="K122" s="69" t="s">
        <v>24</v>
      </c>
      <c r="L122" s="73" t="s">
        <v>92</v>
      </c>
      <c r="M122" s="26">
        <f>SUM(H117+H132+H138+H148)</f>
        <v>104.46100000000001</v>
      </c>
    </row>
    <row r="123" spans="1:13" x14ac:dyDescent="0.3">
      <c r="A123" s="60">
        <v>46161</v>
      </c>
      <c r="B123" s="82" t="s">
        <v>57</v>
      </c>
      <c r="C123" s="65" t="s">
        <v>1251</v>
      </c>
      <c r="D123" s="15" t="s">
        <v>3</v>
      </c>
      <c r="E123" s="22"/>
      <c r="F123" s="16">
        <v>59999.45</v>
      </c>
      <c r="G123" s="159">
        <f t="shared" si="1"/>
        <v>-467910.48000000062</v>
      </c>
      <c r="H123" s="76">
        <v>25.157</v>
      </c>
      <c r="I123" s="10" t="s">
        <v>92</v>
      </c>
      <c r="J123" s="110"/>
      <c r="K123" s="69" t="s">
        <v>29</v>
      </c>
      <c r="L123" s="73" t="s">
        <v>92</v>
      </c>
      <c r="M123" s="26">
        <f>SUM(H116+H143)</f>
        <v>148.09199999999998</v>
      </c>
    </row>
    <row r="124" spans="1:13" x14ac:dyDescent="0.3">
      <c r="A124" s="60">
        <v>46161</v>
      </c>
      <c r="B124" s="82" t="s">
        <v>57</v>
      </c>
      <c r="C124" s="65" t="s">
        <v>1252</v>
      </c>
      <c r="D124" s="15" t="s">
        <v>8</v>
      </c>
      <c r="E124" s="22"/>
      <c r="F124" s="16">
        <v>60000.74</v>
      </c>
      <c r="G124" s="159">
        <f t="shared" si="1"/>
        <v>-527911.22000000067</v>
      </c>
      <c r="H124" s="76">
        <v>26.548999999999999</v>
      </c>
      <c r="I124" s="10" t="s">
        <v>92</v>
      </c>
      <c r="J124" s="110"/>
      <c r="K124" s="69" t="s">
        <v>3</v>
      </c>
      <c r="L124" s="73" t="s">
        <v>92</v>
      </c>
      <c r="M124" s="26">
        <f>SUM(H123+H131)</f>
        <v>82.478999999999999</v>
      </c>
    </row>
    <row r="125" spans="1:13" x14ac:dyDescent="0.3">
      <c r="A125" s="60">
        <v>46161</v>
      </c>
      <c r="B125" s="82" t="s">
        <v>57</v>
      </c>
      <c r="C125" s="65" t="s">
        <v>1253</v>
      </c>
      <c r="D125" s="15" t="s">
        <v>1254</v>
      </c>
      <c r="E125" s="22"/>
      <c r="F125" s="16">
        <v>25148.080000000002</v>
      </c>
      <c r="G125" s="159">
        <f t="shared" si="1"/>
        <v>-553059.30000000063</v>
      </c>
      <c r="H125" s="76">
        <v>11.167</v>
      </c>
      <c r="I125" s="10" t="s">
        <v>92</v>
      </c>
      <c r="J125" s="110"/>
      <c r="K125" s="69" t="s">
        <v>5</v>
      </c>
      <c r="L125" s="73" t="s">
        <v>92</v>
      </c>
      <c r="M125" s="26">
        <f>SUM(H126+H133+H140)</f>
        <v>77.338999999999999</v>
      </c>
    </row>
    <row r="126" spans="1:13" x14ac:dyDescent="0.3">
      <c r="A126" s="60">
        <v>46162</v>
      </c>
      <c r="B126" s="82" t="s">
        <v>57</v>
      </c>
      <c r="C126" s="65" t="s">
        <v>1255</v>
      </c>
      <c r="D126" s="15" t="s">
        <v>5</v>
      </c>
      <c r="E126" s="22"/>
      <c r="F126" s="16">
        <v>60000.95</v>
      </c>
      <c r="G126" s="159">
        <f t="shared" si="1"/>
        <v>-613060.25000000058</v>
      </c>
      <c r="H126" s="76">
        <v>25.105</v>
      </c>
      <c r="I126" s="10" t="s">
        <v>92</v>
      </c>
      <c r="J126" s="110"/>
      <c r="K126" s="69" t="s">
        <v>61</v>
      </c>
      <c r="L126" s="73" t="s">
        <v>92</v>
      </c>
      <c r="M126" s="26">
        <v>0</v>
      </c>
    </row>
    <row r="127" spans="1:13" x14ac:dyDescent="0.3">
      <c r="A127" s="60">
        <v>46162</v>
      </c>
      <c r="B127" s="82" t="s">
        <v>57</v>
      </c>
      <c r="C127" s="65" t="s">
        <v>1256</v>
      </c>
      <c r="D127" s="15" t="s">
        <v>22</v>
      </c>
      <c r="E127" s="22"/>
      <c r="F127" s="16">
        <v>439999</v>
      </c>
      <c r="G127" s="159">
        <f t="shared" si="1"/>
        <v>-1053059.2500000005</v>
      </c>
      <c r="H127" s="76">
        <v>184.1</v>
      </c>
      <c r="I127" s="10" t="s">
        <v>92</v>
      </c>
      <c r="J127" s="110"/>
      <c r="K127" s="69" t="s">
        <v>22</v>
      </c>
      <c r="L127" s="73" t="s">
        <v>92</v>
      </c>
      <c r="M127" s="26">
        <f>SUM(H127)</f>
        <v>184.1</v>
      </c>
    </row>
    <row r="128" spans="1:13" x14ac:dyDescent="0.3">
      <c r="A128" s="60">
        <v>46162</v>
      </c>
      <c r="B128" s="82" t="s">
        <v>57</v>
      </c>
      <c r="C128" s="65" t="s">
        <v>1257</v>
      </c>
      <c r="D128" s="15" t="s">
        <v>1</v>
      </c>
      <c r="E128" s="22"/>
      <c r="F128" s="16">
        <v>144009.45000000001</v>
      </c>
      <c r="G128" s="159">
        <f t="shared" si="1"/>
        <v>-1197068.7000000004</v>
      </c>
      <c r="H128" s="76">
        <v>60.255000000000003</v>
      </c>
      <c r="I128" s="10" t="s">
        <v>92</v>
      </c>
      <c r="J128" s="110"/>
      <c r="K128" s="69" t="s">
        <v>6</v>
      </c>
      <c r="L128" s="73" t="s">
        <v>92</v>
      </c>
      <c r="M128" s="26">
        <f>SUM(H113+H135+H136+H141+H150)</f>
        <v>121.36500000000001</v>
      </c>
    </row>
    <row r="129" spans="1:13" x14ac:dyDescent="0.3">
      <c r="A129" s="202">
        <v>46162</v>
      </c>
      <c r="B129" s="327" t="s">
        <v>60</v>
      </c>
      <c r="C129" s="203" t="s">
        <v>1258</v>
      </c>
      <c r="D129" s="308" t="s">
        <v>1218</v>
      </c>
      <c r="E129" s="370">
        <v>1500000</v>
      </c>
      <c r="F129" s="339"/>
      <c r="G129" s="316">
        <f t="shared" si="1"/>
        <v>302931.29999999958</v>
      </c>
      <c r="H129" s="311"/>
      <c r="I129" s="199" t="s">
        <v>1222</v>
      </c>
      <c r="J129" s="110"/>
      <c r="K129" s="69" t="s">
        <v>8</v>
      </c>
      <c r="L129" s="73" t="s">
        <v>92</v>
      </c>
      <c r="M129" s="26">
        <f>SUM(H115+H124)</f>
        <v>51.653999999999996</v>
      </c>
    </row>
    <row r="130" spans="1:13" x14ac:dyDescent="0.3">
      <c r="A130" s="60">
        <v>46162</v>
      </c>
      <c r="B130" s="82" t="s">
        <v>57</v>
      </c>
      <c r="C130" s="65" t="s">
        <v>1259</v>
      </c>
      <c r="D130" s="15" t="s">
        <v>429</v>
      </c>
      <c r="E130" s="22"/>
      <c r="F130" s="16">
        <v>60000.95</v>
      </c>
      <c r="G130" s="161">
        <f t="shared" si="1"/>
        <v>242930.34999999957</v>
      </c>
      <c r="H130" s="76">
        <v>25.105</v>
      </c>
      <c r="I130" s="10" t="s">
        <v>92</v>
      </c>
      <c r="J130" s="110"/>
      <c r="K130" s="69" t="s">
        <v>9</v>
      </c>
      <c r="L130" s="73" t="s">
        <v>92</v>
      </c>
      <c r="M130" s="26">
        <f>SUM(H120)</f>
        <v>132.435</v>
      </c>
    </row>
    <row r="131" spans="1:13" x14ac:dyDescent="0.3">
      <c r="A131" s="60">
        <v>46162</v>
      </c>
      <c r="B131" s="82" t="s">
        <v>57</v>
      </c>
      <c r="C131" s="65" t="s">
        <v>1260</v>
      </c>
      <c r="D131" s="15" t="s">
        <v>3</v>
      </c>
      <c r="E131" s="22"/>
      <c r="F131" s="16">
        <v>136999.57999999999</v>
      </c>
      <c r="G131" s="161">
        <f t="shared" si="1"/>
        <v>105930.76999999958</v>
      </c>
      <c r="H131" s="76">
        <v>57.322000000000003</v>
      </c>
      <c r="I131" s="10" t="s">
        <v>92</v>
      </c>
      <c r="J131" s="110"/>
      <c r="K131" s="69" t="s">
        <v>30</v>
      </c>
      <c r="L131" s="73" t="s">
        <v>92</v>
      </c>
      <c r="M131" s="26">
        <v>0</v>
      </c>
    </row>
    <row r="132" spans="1:13" x14ac:dyDescent="0.3">
      <c r="A132" s="60">
        <v>46163</v>
      </c>
      <c r="B132" s="82" t="s">
        <v>57</v>
      </c>
      <c r="C132" s="65" t="s">
        <v>1261</v>
      </c>
      <c r="D132" s="15" t="s">
        <v>24</v>
      </c>
      <c r="E132" s="22"/>
      <c r="F132" s="16">
        <v>65000.3</v>
      </c>
      <c r="G132" s="161">
        <f t="shared" si="1"/>
        <v>40930.469999999579</v>
      </c>
      <c r="H132" s="76">
        <v>27.14</v>
      </c>
      <c r="I132" s="10" t="s">
        <v>92</v>
      </c>
      <c r="J132" s="110"/>
      <c r="K132" s="69" t="s">
        <v>10</v>
      </c>
      <c r="L132" s="73" t="s">
        <v>92</v>
      </c>
      <c r="M132" s="26">
        <v>0</v>
      </c>
    </row>
    <row r="133" spans="1:13" x14ac:dyDescent="0.3">
      <c r="A133" s="60">
        <v>46163</v>
      </c>
      <c r="B133" s="82" t="s">
        <v>57</v>
      </c>
      <c r="C133" s="65" t="s">
        <v>1262</v>
      </c>
      <c r="D133" s="15" t="s">
        <v>5</v>
      </c>
      <c r="E133" s="22"/>
      <c r="F133" s="16">
        <v>65000.3</v>
      </c>
      <c r="G133" s="159">
        <f t="shared" si="1"/>
        <v>-24069.830000000424</v>
      </c>
      <c r="H133" s="76">
        <v>27.14</v>
      </c>
      <c r="I133" s="10" t="s">
        <v>92</v>
      </c>
      <c r="J133" s="110"/>
      <c r="K133" s="69" t="s">
        <v>11</v>
      </c>
      <c r="L133" s="73" t="s">
        <v>92</v>
      </c>
      <c r="M133" s="26">
        <f>SUM(H118+H122+H139+H144+H147)</f>
        <v>164.87200000000001</v>
      </c>
    </row>
    <row r="134" spans="1:13" x14ac:dyDescent="0.3">
      <c r="A134" s="60">
        <v>46163</v>
      </c>
      <c r="B134" s="82" t="s">
        <v>57</v>
      </c>
      <c r="C134" s="65" t="s">
        <v>1263</v>
      </c>
      <c r="D134" s="15" t="s">
        <v>62</v>
      </c>
      <c r="E134" s="22"/>
      <c r="F134" s="16">
        <v>59999.54</v>
      </c>
      <c r="G134" s="159">
        <f t="shared" si="1"/>
        <v>-84069.370000000432</v>
      </c>
      <c r="H134" s="76">
        <v>25.052</v>
      </c>
      <c r="I134" s="10" t="s">
        <v>92</v>
      </c>
      <c r="J134" s="110"/>
      <c r="K134" s="540" t="s">
        <v>695</v>
      </c>
      <c r="L134" s="541"/>
      <c r="M134" s="148">
        <f>SUM(M114:M133)</f>
        <v>1364.0240000000001</v>
      </c>
    </row>
    <row r="135" spans="1:13" x14ac:dyDescent="0.3">
      <c r="A135" s="60">
        <v>46163</v>
      </c>
      <c r="B135" s="82" t="s">
        <v>57</v>
      </c>
      <c r="C135" s="65" t="s">
        <v>1264</v>
      </c>
      <c r="D135" s="15" t="s">
        <v>6</v>
      </c>
      <c r="E135" s="22"/>
      <c r="F135" s="16">
        <v>65000.3</v>
      </c>
      <c r="G135" s="159">
        <f t="shared" si="1"/>
        <v>-149069.67000000045</v>
      </c>
      <c r="H135" s="76">
        <v>27.14</v>
      </c>
      <c r="I135" s="10" t="s">
        <v>92</v>
      </c>
      <c r="J135" s="110"/>
      <c r="K135" s="106"/>
      <c r="L135" s="107"/>
      <c r="M135" s="25"/>
    </row>
    <row r="136" spans="1:13" x14ac:dyDescent="0.3">
      <c r="A136" s="60">
        <v>46163</v>
      </c>
      <c r="B136" s="82" t="s">
        <v>57</v>
      </c>
      <c r="C136" s="65" t="s">
        <v>1265</v>
      </c>
      <c r="D136" s="15" t="s">
        <v>6</v>
      </c>
      <c r="E136" s="22"/>
      <c r="F136" s="16">
        <v>43001.03</v>
      </c>
      <c r="G136" s="159">
        <f t="shared" si="1"/>
        <v>-192070.70000000045</v>
      </c>
      <c r="H136" s="76">
        <v>18.984999999999999</v>
      </c>
      <c r="I136" s="10" t="s">
        <v>92</v>
      </c>
      <c r="J136" s="110"/>
      <c r="K136" s="106"/>
      <c r="L136" s="107"/>
      <c r="M136" s="25"/>
    </row>
    <row r="137" spans="1:13" x14ac:dyDescent="0.3">
      <c r="A137" s="60">
        <v>46163</v>
      </c>
      <c r="B137" s="82" t="s">
        <v>57</v>
      </c>
      <c r="C137" s="65" t="s">
        <v>1266</v>
      </c>
      <c r="D137" s="15" t="s">
        <v>429</v>
      </c>
      <c r="E137" s="22"/>
      <c r="F137" s="16">
        <v>59999.54</v>
      </c>
      <c r="G137" s="159">
        <f t="shared" si="1"/>
        <v>-252070.24000000046</v>
      </c>
      <c r="H137" s="76">
        <v>25.052</v>
      </c>
      <c r="I137" s="10" t="s">
        <v>92</v>
      </c>
      <c r="J137" s="110"/>
      <c r="K137" s="106"/>
      <c r="L137" s="107"/>
      <c r="M137" s="25"/>
    </row>
    <row r="138" spans="1:13" x14ac:dyDescent="0.3">
      <c r="A138" s="60">
        <v>46164</v>
      </c>
      <c r="B138" s="82" t="s">
        <v>57</v>
      </c>
      <c r="C138" s="65" t="s">
        <v>1267</v>
      </c>
      <c r="D138" s="15" t="s">
        <v>24</v>
      </c>
      <c r="E138" s="22"/>
      <c r="F138" s="16">
        <v>64999.34</v>
      </c>
      <c r="G138" s="159">
        <f t="shared" si="1"/>
        <v>-317069.58000000042</v>
      </c>
      <c r="H138" s="76">
        <v>27.184999999999999</v>
      </c>
      <c r="I138" s="10" t="s">
        <v>92</v>
      </c>
      <c r="J138" s="110"/>
      <c r="K138" s="106"/>
      <c r="L138" s="107"/>
      <c r="M138" s="25"/>
    </row>
    <row r="139" spans="1:13" x14ac:dyDescent="0.3">
      <c r="A139" s="60">
        <v>46164</v>
      </c>
      <c r="B139" s="82" t="s">
        <v>57</v>
      </c>
      <c r="C139" s="65" t="s">
        <v>1268</v>
      </c>
      <c r="D139" s="15" t="s">
        <v>117</v>
      </c>
      <c r="E139" s="22"/>
      <c r="F139" s="16">
        <v>40008.400000000001</v>
      </c>
      <c r="G139" s="159">
        <f t="shared" si="1"/>
        <v>-357077.98000000045</v>
      </c>
      <c r="H139" s="76">
        <v>17.695</v>
      </c>
      <c r="I139" s="10" t="s">
        <v>92</v>
      </c>
      <c r="J139" s="110"/>
      <c r="K139" s="106"/>
      <c r="L139" s="107"/>
      <c r="M139" s="25"/>
    </row>
    <row r="140" spans="1:13" x14ac:dyDescent="0.3">
      <c r="A140" s="60">
        <v>46164</v>
      </c>
      <c r="B140" s="82" t="s">
        <v>57</v>
      </c>
      <c r="C140" s="65" t="s">
        <v>1269</v>
      </c>
      <c r="D140" s="15" t="s">
        <v>5</v>
      </c>
      <c r="E140" s="22"/>
      <c r="F140" s="16">
        <v>59999.75</v>
      </c>
      <c r="G140" s="159">
        <f t="shared" si="1"/>
        <v>-417077.73000000045</v>
      </c>
      <c r="H140" s="76">
        <v>25.094000000000001</v>
      </c>
      <c r="I140" s="10" t="s">
        <v>92</v>
      </c>
      <c r="J140" s="110"/>
      <c r="K140" s="106"/>
      <c r="L140" s="107"/>
      <c r="M140" s="25"/>
    </row>
    <row r="141" spans="1:13" x14ac:dyDescent="0.3">
      <c r="A141" s="60">
        <v>46164</v>
      </c>
      <c r="B141" s="82" t="s">
        <v>57</v>
      </c>
      <c r="C141" s="65" t="s">
        <v>1270</v>
      </c>
      <c r="D141" s="15" t="s">
        <v>6</v>
      </c>
      <c r="E141" s="22"/>
      <c r="F141" s="16">
        <v>59999.75</v>
      </c>
      <c r="G141" s="159">
        <f t="shared" si="1"/>
        <v>-477077.48000000045</v>
      </c>
      <c r="H141" s="76">
        <v>25.094000000000001</v>
      </c>
      <c r="I141" s="10" t="s">
        <v>92</v>
      </c>
      <c r="J141" s="110"/>
      <c r="K141" s="106"/>
      <c r="L141" s="107"/>
      <c r="M141" s="25"/>
    </row>
    <row r="142" spans="1:13" x14ac:dyDescent="0.3">
      <c r="A142" s="60">
        <v>46164</v>
      </c>
      <c r="B142" s="82" t="s">
        <v>57</v>
      </c>
      <c r="C142" s="65" t="s">
        <v>1271</v>
      </c>
      <c r="D142" s="15" t="s">
        <v>62</v>
      </c>
      <c r="E142" s="22"/>
      <c r="F142" s="16">
        <v>59999.75</v>
      </c>
      <c r="G142" s="159">
        <f t="shared" si="1"/>
        <v>-537077.23000000045</v>
      </c>
      <c r="H142" s="76">
        <v>25.094000000000001</v>
      </c>
      <c r="I142" s="10" t="s">
        <v>92</v>
      </c>
      <c r="J142" s="110"/>
      <c r="K142" s="106"/>
      <c r="L142" s="107"/>
      <c r="M142" s="25"/>
    </row>
    <row r="143" spans="1:13" x14ac:dyDescent="0.3">
      <c r="A143" s="60">
        <v>46164</v>
      </c>
      <c r="B143" s="82" t="s">
        <v>57</v>
      </c>
      <c r="C143" s="65" t="s">
        <v>1272</v>
      </c>
      <c r="D143" s="15" t="s">
        <v>26</v>
      </c>
      <c r="E143" s="22"/>
      <c r="F143" s="16">
        <v>195014.74</v>
      </c>
      <c r="G143" s="159">
        <f t="shared" si="1"/>
        <v>-732091.97000000044</v>
      </c>
      <c r="H143" s="76">
        <v>81.561999999999998</v>
      </c>
      <c r="I143" s="10" t="s">
        <v>92</v>
      </c>
      <c r="J143" s="110"/>
      <c r="K143" s="106"/>
      <c r="L143" s="107"/>
      <c r="M143" s="25"/>
    </row>
    <row r="144" spans="1:13" x14ac:dyDescent="0.3">
      <c r="A144" s="60">
        <v>46164</v>
      </c>
      <c r="B144" s="82" t="s">
        <v>57</v>
      </c>
      <c r="C144" s="65" t="s">
        <v>1273</v>
      </c>
      <c r="D144" s="15" t="s">
        <v>117</v>
      </c>
      <c r="E144" s="22"/>
      <c r="F144" s="16">
        <v>85035.92</v>
      </c>
      <c r="G144" s="159">
        <f t="shared" si="1"/>
        <v>-817127.89000000048</v>
      </c>
      <c r="H144" s="76">
        <v>35.564999999999998</v>
      </c>
      <c r="I144" s="10" t="s">
        <v>92</v>
      </c>
      <c r="J144" s="110"/>
      <c r="K144" s="106"/>
      <c r="L144" s="107"/>
      <c r="M144" s="25"/>
    </row>
    <row r="145" spans="1:13" x14ac:dyDescent="0.3">
      <c r="A145" s="60">
        <v>46164</v>
      </c>
      <c r="B145" s="82" t="s">
        <v>57</v>
      </c>
      <c r="C145" s="65" t="s">
        <v>1278</v>
      </c>
      <c r="D145" s="15" t="s">
        <v>429</v>
      </c>
      <c r="E145" s="22"/>
      <c r="F145" s="16">
        <v>59999.75</v>
      </c>
      <c r="G145" s="159">
        <f t="shared" si="1"/>
        <v>-877127.64000000048</v>
      </c>
      <c r="H145" s="76">
        <v>25.094000000000001</v>
      </c>
      <c r="I145" s="10" t="s">
        <v>92</v>
      </c>
      <c r="J145" s="110"/>
      <c r="K145" s="106"/>
      <c r="L145" s="107"/>
      <c r="M145" s="25"/>
    </row>
    <row r="146" spans="1:13" x14ac:dyDescent="0.3">
      <c r="A146" s="202">
        <v>46164</v>
      </c>
      <c r="B146" s="327" t="s">
        <v>60</v>
      </c>
      <c r="C146" s="203" t="s">
        <v>1279</v>
      </c>
      <c r="D146" s="308" t="s">
        <v>1218</v>
      </c>
      <c r="E146" s="370">
        <v>2000000</v>
      </c>
      <c r="F146" s="339"/>
      <c r="G146" s="372">
        <f t="shared" si="1"/>
        <v>1122872.3599999994</v>
      </c>
      <c r="H146" s="311"/>
      <c r="I146" s="199" t="s">
        <v>1222</v>
      </c>
      <c r="J146" s="110"/>
      <c r="K146" s="106"/>
      <c r="L146" s="107"/>
      <c r="M146" s="25"/>
    </row>
    <row r="147" spans="1:13" x14ac:dyDescent="0.3">
      <c r="A147" s="60">
        <v>46164</v>
      </c>
      <c r="B147" s="82" t="s">
        <v>57</v>
      </c>
      <c r="C147" s="65" t="s">
        <v>1280</v>
      </c>
      <c r="D147" s="15" t="s">
        <v>117</v>
      </c>
      <c r="E147" s="22"/>
      <c r="F147" s="16">
        <v>75008.679999999993</v>
      </c>
      <c r="G147" s="161">
        <f t="shared" si="1"/>
        <v>1047863.6799999995</v>
      </c>
      <c r="H147" s="76">
        <v>33.174999999999997</v>
      </c>
      <c r="I147" s="10" t="s">
        <v>92</v>
      </c>
      <c r="J147" s="110"/>
      <c r="K147" s="106"/>
      <c r="L147" s="107"/>
      <c r="M147" s="25"/>
    </row>
    <row r="148" spans="1:13" x14ac:dyDescent="0.3">
      <c r="A148" s="60">
        <v>46165</v>
      </c>
      <c r="B148" s="82" t="s">
        <v>57</v>
      </c>
      <c r="C148" s="65" t="s">
        <v>1281</v>
      </c>
      <c r="D148" s="15" t="s">
        <v>24</v>
      </c>
      <c r="E148" s="22"/>
      <c r="F148" s="16">
        <v>59999.31</v>
      </c>
      <c r="G148" s="161">
        <f t="shared" si="1"/>
        <v>987864.36999999941</v>
      </c>
      <c r="H148" s="76">
        <v>25.030999999999999</v>
      </c>
      <c r="I148" s="10" t="s">
        <v>92</v>
      </c>
      <c r="J148" s="110"/>
      <c r="K148" s="106"/>
      <c r="L148" s="107"/>
      <c r="M148" s="25"/>
    </row>
    <row r="149" spans="1:13" x14ac:dyDescent="0.3">
      <c r="A149" s="60">
        <v>46165</v>
      </c>
      <c r="B149" s="82" t="s">
        <v>57</v>
      </c>
      <c r="C149" s="65" t="s">
        <v>1282</v>
      </c>
      <c r="D149" s="15" t="s">
        <v>429</v>
      </c>
      <c r="E149" s="22"/>
      <c r="F149" s="16">
        <v>59999.31</v>
      </c>
      <c r="G149" s="161">
        <f t="shared" si="1"/>
        <v>927865.05999999936</v>
      </c>
      <c r="H149" s="76">
        <v>25.030999999999999</v>
      </c>
      <c r="I149" s="10" t="s">
        <v>92</v>
      </c>
      <c r="J149" s="110"/>
      <c r="K149" s="106"/>
      <c r="L149" s="107"/>
      <c r="M149" s="25"/>
    </row>
    <row r="150" spans="1:13" x14ac:dyDescent="0.3">
      <c r="A150" s="60">
        <v>46165</v>
      </c>
      <c r="B150" s="82" t="s">
        <v>57</v>
      </c>
      <c r="C150" s="65" t="s">
        <v>1283</v>
      </c>
      <c r="D150" s="15" t="s">
        <v>6</v>
      </c>
      <c r="E150" s="22"/>
      <c r="F150" s="16">
        <v>59999.31</v>
      </c>
      <c r="G150" s="161">
        <f t="shared" si="1"/>
        <v>867865.7499999993</v>
      </c>
      <c r="H150" s="76">
        <v>25.030999999999999</v>
      </c>
      <c r="I150" s="10" t="s">
        <v>92</v>
      </c>
      <c r="J150" s="110"/>
      <c r="K150" s="106"/>
      <c r="L150" s="107"/>
      <c r="M150" s="25"/>
    </row>
    <row r="151" spans="1:13" x14ac:dyDescent="0.3">
      <c r="A151" s="534" t="s">
        <v>694</v>
      </c>
      <c r="B151" s="534"/>
      <c r="C151" s="534"/>
      <c r="D151" s="534"/>
      <c r="E151" s="534"/>
      <c r="F151" s="534"/>
      <c r="G151" s="534"/>
      <c r="H151" s="540">
        <f>SUM(H113:H150)</f>
        <v>1364.0239999999999</v>
      </c>
      <c r="I151" s="541"/>
      <c r="J151" s="110"/>
      <c r="K151" s="106"/>
      <c r="L151" s="107"/>
      <c r="M151" s="25"/>
    </row>
    <row r="152" spans="1:13" ht="15.6" x14ac:dyDescent="0.3">
      <c r="A152" s="546" t="s">
        <v>1422</v>
      </c>
      <c r="B152" s="547"/>
      <c r="C152" s="547"/>
      <c r="D152" s="547"/>
      <c r="E152" s="547"/>
      <c r="F152" s="547"/>
      <c r="G152" s="547"/>
      <c r="H152" s="547"/>
      <c r="I152" s="548"/>
      <c r="J152" s="110"/>
      <c r="K152" s="513" t="s">
        <v>1296</v>
      </c>
      <c r="L152" s="514"/>
      <c r="M152" s="515"/>
    </row>
    <row r="153" spans="1:13" x14ac:dyDescent="0.3">
      <c r="A153" s="60">
        <v>46166</v>
      </c>
      <c r="B153" s="82" t="s">
        <v>57</v>
      </c>
      <c r="C153" s="65" t="s">
        <v>1284</v>
      </c>
      <c r="D153" s="15" t="s">
        <v>1146</v>
      </c>
      <c r="E153" s="22"/>
      <c r="F153" s="16">
        <v>299998.93</v>
      </c>
      <c r="G153" s="161">
        <f>+G150+E153-F153</f>
        <v>567866.81999999937</v>
      </c>
      <c r="H153" s="76">
        <v>125.15600000000001</v>
      </c>
      <c r="I153" s="10" t="s">
        <v>92</v>
      </c>
      <c r="J153" s="110"/>
      <c r="K153" s="564" t="s">
        <v>34</v>
      </c>
      <c r="L153" s="565"/>
      <c r="M153" s="566"/>
    </row>
    <row r="154" spans="1:13" x14ac:dyDescent="0.3">
      <c r="A154" s="60">
        <v>46166</v>
      </c>
      <c r="B154" s="82" t="s">
        <v>57</v>
      </c>
      <c r="C154" s="65" t="s">
        <v>1285</v>
      </c>
      <c r="D154" s="15" t="s">
        <v>24</v>
      </c>
      <c r="E154" s="22"/>
      <c r="F154" s="16">
        <v>59999.31</v>
      </c>
      <c r="G154" s="161">
        <f t="shared" si="1"/>
        <v>507867.50999999937</v>
      </c>
      <c r="H154" s="76">
        <v>25.030999999999999</v>
      </c>
      <c r="I154" s="10" t="s">
        <v>92</v>
      </c>
      <c r="J154" s="110"/>
      <c r="K154" s="71" t="s">
        <v>32</v>
      </c>
      <c r="L154" s="43" t="s">
        <v>35</v>
      </c>
      <c r="M154" s="43" t="s">
        <v>33</v>
      </c>
    </row>
    <row r="155" spans="1:13" x14ac:dyDescent="0.3">
      <c r="A155" s="60">
        <v>46166</v>
      </c>
      <c r="B155" s="82" t="s">
        <v>57</v>
      </c>
      <c r="C155" s="65" t="s">
        <v>1286</v>
      </c>
      <c r="D155" s="15" t="s">
        <v>61</v>
      </c>
      <c r="E155" s="22"/>
      <c r="F155" s="16">
        <v>436649.51</v>
      </c>
      <c r="G155" s="161">
        <f t="shared" si="1"/>
        <v>71217.99999999936</v>
      </c>
      <c r="H155" s="76">
        <v>182.16499999999999</v>
      </c>
      <c r="I155" s="10" t="s">
        <v>92</v>
      </c>
      <c r="J155" s="110"/>
      <c r="K155" s="39" t="s">
        <v>0</v>
      </c>
      <c r="L155" s="73" t="s">
        <v>92</v>
      </c>
      <c r="M155" s="26">
        <v>0</v>
      </c>
    </row>
    <row r="156" spans="1:13" x14ac:dyDescent="0.3">
      <c r="A156" s="60">
        <v>46167</v>
      </c>
      <c r="B156" s="82" t="s">
        <v>57</v>
      </c>
      <c r="C156" s="65" t="s">
        <v>1287</v>
      </c>
      <c r="D156" s="15" t="s">
        <v>24</v>
      </c>
      <c r="E156" s="22"/>
      <c r="F156" s="16">
        <v>65000.19</v>
      </c>
      <c r="G156" s="161">
        <f t="shared" si="1"/>
        <v>6217.8099999993574</v>
      </c>
      <c r="H156" s="76">
        <v>27.106000000000002</v>
      </c>
      <c r="I156" s="10" t="s">
        <v>92</v>
      </c>
      <c r="J156" s="110"/>
      <c r="K156" s="69" t="s">
        <v>1</v>
      </c>
      <c r="L156" s="73" t="s">
        <v>92</v>
      </c>
      <c r="M156" s="42">
        <v>0</v>
      </c>
    </row>
    <row r="157" spans="1:13" x14ac:dyDescent="0.3">
      <c r="A157" s="60">
        <v>46167</v>
      </c>
      <c r="B157" s="82" t="s">
        <v>57</v>
      </c>
      <c r="C157" s="65" t="s">
        <v>1288</v>
      </c>
      <c r="D157" s="15" t="s">
        <v>5</v>
      </c>
      <c r="E157" s="22"/>
      <c r="F157" s="16">
        <v>60000.36</v>
      </c>
      <c r="G157" s="159">
        <f t="shared" si="1"/>
        <v>-53782.550000000643</v>
      </c>
      <c r="H157" s="76">
        <v>25.021000000000001</v>
      </c>
      <c r="I157" s="10" t="s">
        <v>92</v>
      </c>
      <c r="J157" s="110"/>
      <c r="K157" s="24" t="s">
        <v>27</v>
      </c>
      <c r="L157" s="73" t="s">
        <v>92</v>
      </c>
      <c r="M157" s="26">
        <v>0</v>
      </c>
    </row>
    <row r="158" spans="1:13" x14ac:dyDescent="0.3">
      <c r="A158" s="60">
        <v>46167</v>
      </c>
      <c r="B158" s="82" t="s">
        <v>57</v>
      </c>
      <c r="C158" s="65" t="s">
        <v>1289</v>
      </c>
      <c r="D158" s="15" t="s">
        <v>117</v>
      </c>
      <c r="E158" s="22"/>
      <c r="F158" s="16">
        <v>39999.9</v>
      </c>
      <c r="G158" s="159">
        <f t="shared" si="1"/>
        <v>-93782.450000000652</v>
      </c>
      <c r="H158" s="76">
        <v>17.66</v>
      </c>
      <c r="I158" s="10" t="s">
        <v>92</v>
      </c>
      <c r="J158" s="110"/>
      <c r="K158" s="126" t="s">
        <v>429</v>
      </c>
      <c r="L158" s="73" t="s">
        <v>92</v>
      </c>
      <c r="M158" s="80">
        <f>SUM(H159+H165+H170+H183+H184+H196)</f>
        <v>150.607</v>
      </c>
    </row>
    <row r="159" spans="1:13" x14ac:dyDescent="0.3">
      <c r="A159" s="60">
        <v>46167</v>
      </c>
      <c r="B159" s="82" t="s">
        <v>57</v>
      </c>
      <c r="C159" s="65" t="s">
        <v>1290</v>
      </c>
      <c r="D159" s="15" t="s">
        <v>429</v>
      </c>
      <c r="E159" s="22"/>
      <c r="F159" s="16">
        <v>60000.36</v>
      </c>
      <c r="G159" s="159">
        <f t="shared" si="1"/>
        <v>-153782.81000000064</v>
      </c>
      <c r="H159" s="76">
        <v>25.021000000000001</v>
      </c>
      <c r="I159" s="10" t="s">
        <v>92</v>
      </c>
      <c r="J159" s="110"/>
      <c r="K159" s="126" t="s">
        <v>62</v>
      </c>
      <c r="L159" s="73" t="s">
        <v>92</v>
      </c>
      <c r="M159" s="80">
        <f>SUM(H163+H180+H188+H200)</f>
        <v>100.419</v>
      </c>
    </row>
    <row r="160" spans="1:13" x14ac:dyDescent="0.3">
      <c r="A160" s="60">
        <v>46167</v>
      </c>
      <c r="B160" s="82" t="s">
        <v>57</v>
      </c>
      <c r="C160" s="65" t="s">
        <v>1291</v>
      </c>
      <c r="D160" s="15" t="s">
        <v>26</v>
      </c>
      <c r="E160" s="22"/>
      <c r="F160" s="16">
        <v>185454.13</v>
      </c>
      <c r="G160" s="159">
        <f t="shared" si="1"/>
        <v>-339236.94000000064</v>
      </c>
      <c r="H160" s="76">
        <v>77.337000000000003</v>
      </c>
      <c r="I160" s="10" t="s">
        <v>92</v>
      </c>
      <c r="J160" s="110"/>
      <c r="K160" s="126" t="s">
        <v>361</v>
      </c>
      <c r="L160" s="73" t="s">
        <v>92</v>
      </c>
      <c r="M160" s="80">
        <v>0</v>
      </c>
    </row>
    <row r="161" spans="1:13" x14ac:dyDescent="0.3">
      <c r="A161" s="60">
        <v>46168</v>
      </c>
      <c r="B161" s="82" t="s">
        <v>57</v>
      </c>
      <c r="C161" s="65" t="s">
        <v>1292</v>
      </c>
      <c r="D161" s="15" t="s">
        <v>6</v>
      </c>
      <c r="E161" s="22"/>
      <c r="F161" s="16">
        <v>65000.83</v>
      </c>
      <c r="G161" s="159">
        <f t="shared" si="1"/>
        <v>-404237.77000000066</v>
      </c>
      <c r="H161" s="76">
        <v>27.196999999999999</v>
      </c>
      <c r="I161" s="10" t="s">
        <v>92</v>
      </c>
      <c r="J161" s="110"/>
      <c r="K161" s="391" t="s">
        <v>541</v>
      </c>
      <c r="L161" s="73" t="s">
        <v>92</v>
      </c>
      <c r="M161" s="80">
        <f>SUM(H193)</f>
        <v>8.7420000000000009</v>
      </c>
    </row>
    <row r="162" spans="1:13" x14ac:dyDescent="0.3">
      <c r="A162" s="60">
        <v>46168</v>
      </c>
      <c r="B162" s="82" t="s">
        <v>57</v>
      </c>
      <c r="C162" s="65" t="s">
        <v>1293</v>
      </c>
      <c r="D162" s="15" t="s">
        <v>22</v>
      </c>
      <c r="E162" s="22"/>
      <c r="F162" s="16">
        <v>299999.96999999997</v>
      </c>
      <c r="G162" s="159">
        <f t="shared" si="1"/>
        <v>-704237.74000000069</v>
      </c>
      <c r="H162" s="76">
        <v>125.523</v>
      </c>
      <c r="I162" s="10" t="s">
        <v>92</v>
      </c>
      <c r="J162" s="110"/>
      <c r="K162" s="69" t="s">
        <v>24</v>
      </c>
      <c r="L162" s="73" t="s">
        <v>92</v>
      </c>
      <c r="M162" s="26">
        <f>SUM(H154+H156+H172+H185+H190)</f>
        <v>127.524</v>
      </c>
    </row>
    <row r="163" spans="1:13" x14ac:dyDescent="0.3">
      <c r="A163" s="60">
        <v>46168</v>
      </c>
      <c r="B163" s="82" t="s">
        <v>57</v>
      </c>
      <c r="C163" s="65" t="s">
        <v>1294</v>
      </c>
      <c r="D163" s="15" t="s">
        <v>62</v>
      </c>
      <c r="E163" s="22"/>
      <c r="F163" s="16">
        <v>60000.95</v>
      </c>
      <c r="G163" s="159">
        <f t="shared" si="1"/>
        <v>-764238.69000000064</v>
      </c>
      <c r="H163" s="76">
        <v>25.105</v>
      </c>
      <c r="I163" s="10" t="s">
        <v>92</v>
      </c>
      <c r="J163" s="110"/>
      <c r="K163" s="69" t="s">
        <v>29</v>
      </c>
      <c r="L163" s="73" t="s">
        <v>92</v>
      </c>
      <c r="M163" s="26">
        <f>SUM(H160+H186+H203)</f>
        <v>222.28399999999999</v>
      </c>
    </row>
    <row r="164" spans="1:13" x14ac:dyDescent="0.3">
      <c r="A164" s="60">
        <v>46168</v>
      </c>
      <c r="B164" s="82" t="s">
        <v>57</v>
      </c>
      <c r="C164" s="65" t="s">
        <v>1295</v>
      </c>
      <c r="D164" s="15" t="s">
        <v>3</v>
      </c>
      <c r="E164" s="22"/>
      <c r="F164" s="16">
        <v>60000.95</v>
      </c>
      <c r="G164" s="159">
        <f t="shared" si="1"/>
        <v>-824239.6400000006</v>
      </c>
      <c r="H164" s="76">
        <v>25.105</v>
      </c>
      <c r="I164" s="10" t="s">
        <v>92</v>
      </c>
      <c r="J164" s="110"/>
      <c r="K164" s="69" t="s">
        <v>3</v>
      </c>
      <c r="L164" s="73" t="s">
        <v>92</v>
      </c>
      <c r="M164" s="26">
        <f>SUM(H164+H181+H195+H202)</f>
        <v>100.419</v>
      </c>
    </row>
    <row r="165" spans="1:13" x14ac:dyDescent="0.3">
      <c r="A165" s="60">
        <v>46168</v>
      </c>
      <c r="B165" s="82" t="s">
        <v>57</v>
      </c>
      <c r="C165" s="65" t="s">
        <v>1297</v>
      </c>
      <c r="D165" s="15" t="s">
        <v>429</v>
      </c>
      <c r="E165" s="22"/>
      <c r="F165" s="16">
        <v>60000.95</v>
      </c>
      <c r="G165" s="159">
        <f t="shared" si="1"/>
        <v>-884240.59000000055</v>
      </c>
      <c r="H165" s="76">
        <v>25.105</v>
      </c>
      <c r="I165" s="10" t="s">
        <v>92</v>
      </c>
      <c r="J165" s="110"/>
      <c r="K165" s="69" t="s">
        <v>5</v>
      </c>
      <c r="L165" s="73" t="s">
        <v>92</v>
      </c>
      <c r="M165" s="26">
        <f>SUM(H157+H171+H192+H197+H198)</f>
        <v>125.53399999999999</v>
      </c>
    </row>
    <row r="166" spans="1:13" x14ac:dyDescent="0.3">
      <c r="A166" s="60">
        <v>46168</v>
      </c>
      <c r="B166" s="82" t="s">
        <v>57</v>
      </c>
      <c r="C166" s="65" t="s">
        <v>1298</v>
      </c>
      <c r="D166" s="15" t="s">
        <v>9</v>
      </c>
      <c r="E166" s="22"/>
      <c r="F166" s="16">
        <v>115000.85</v>
      </c>
      <c r="G166" s="159">
        <f t="shared" si="1"/>
        <v>-999241.44000000053</v>
      </c>
      <c r="H166" s="76">
        <v>50.773000000000003</v>
      </c>
      <c r="I166" s="10" t="s">
        <v>92</v>
      </c>
      <c r="J166" s="110"/>
      <c r="K166" s="69" t="s">
        <v>61</v>
      </c>
      <c r="L166" s="73" t="s">
        <v>92</v>
      </c>
      <c r="M166" s="26">
        <f>SUM(H155+H189)</f>
        <v>348.62699999999995</v>
      </c>
    </row>
    <row r="167" spans="1:13" x14ac:dyDescent="0.3">
      <c r="A167" s="60">
        <v>46168</v>
      </c>
      <c r="B167" s="82" t="s">
        <v>57</v>
      </c>
      <c r="C167" s="65" t="s">
        <v>1299</v>
      </c>
      <c r="D167" s="15" t="s">
        <v>117</v>
      </c>
      <c r="E167" s="22"/>
      <c r="F167" s="16">
        <v>92015.63</v>
      </c>
      <c r="G167" s="159">
        <f t="shared" si="1"/>
        <v>-1091257.0700000005</v>
      </c>
      <c r="H167" s="76">
        <v>40.625</v>
      </c>
      <c r="I167" s="10" t="s">
        <v>92</v>
      </c>
      <c r="J167" s="110"/>
      <c r="K167" s="69" t="s">
        <v>22</v>
      </c>
      <c r="L167" s="73" t="s">
        <v>92</v>
      </c>
      <c r="M167" s="26">
        <f>SUM(H162)</f>
        <v>125.523</v>
      </c>
    </row>
    <row r="168" spans="1:13" x14ac:dyDescent="0.3">
      <c r="A168" s="202">
        <v>46168</v>
      </c>
      <c r="B168" s="327" t="s">
        <v>60</v>
      </c>
      <c r="C168" s="203" t="s">
        <v>1300</v>
      </c>
      <c r="D168" s="308" t="s">
        <v>1218</v>
      </c>
      <c r="E168" s="370">
        <v>400000</v>
      </c>
      <c r="F168" s="339"/>
      <c r="G168" s="317">
        <f t="shared" si="1"/>
        <v>-691257.07000000053</v>
      </c>
      <c r="H168" s="311"/>
      <c r="I168" s="199" t="s">
        <v>1220</v>
      </c>
      <c r="J168" s="110"/>
      <c r="K168" s="69" t="s">
        <v>6</v>
      </c>
      <c r="L168" s="73" t="s">
        <v>92</v>
      </c>
      <c r="M168" s="26">
        <f>SUM(H161+H178+H201)</f>
        <v>77.375</v>
      </c>
    </row>
    <row r="169" spans="1:13" x14ac:dyDescent="0.3">
      <c r="A169" s="202">
        <v>46168</v>
      </c>
      <c r="B169" s="327" t="s">
        <v>60</v>
      </c>
      <c r="C169" s="203" t="s">
        <v>1301</v>
      </c>
      <c r="D169" s="308" t="s">
        <v>1218</v>
      </c>
      <c r="E169" s="370">
        <v>600000</v>
      </c>
      <c r="F169" s="339"/>
      <c r="G169" s="317">
        <f t="shared" si="1"/>
        <v>-91257.070000000531</v>
      </c>
      <c r="H169" s="311"/>
      <c r="I169" s="199" t="s">
        <v>1220</v>
      </c>
      <c r="J169" s="110"/>
      <c r="K169" s="69" t="s">
        <v>8</v>
      </c>
      <c r="L169" s="73" t="s">
        <v>92</v>
      </c>
      <c r="M169" s="26">
        <f>SUM(H173+H187+H199)</f>
        <v>75.376999999999995</v>
      </c>
    </row>
    <row r="170" spans="1:13" x14ac:dyDescent="0.3">
      <c r="A170" s="60">
        <v>46169</v>
      </c>
      <c r="B170" s="82" t="s">
        <v>57</v>
      </c>
      <c r="C170" s="65" t="s">
        <v>1302</v>
      </c>
      <c r="D170" s="15" t="s">
        <v>429</v>
      </c>
      <c r="E170" s="22"/>
      <c r="F170" s="16">
        <v>59999.45</v>
      </c>
      <c r="G170" s="159">
        <f t="shared" si="1"/>
        <v>-151256.52000000054</v>
      </c>
      <c r="H170" s="76">
        <v>25.157</v>
      </c>
      <c r="I170" s="10" t="s">
        <v>92</v>
      </c>
      <c r="J170" s="110"/>
      <c r="K170" s="69" t="s">
        <v>9</v>
      </c>
      <c r="L170" s="73" t="s">
        <v>92</v>
      </c>
      <c r="M170" s="26">
        <f>SUM(H166+H176)</f>
        <v>173.78200000000001</v>
      </c>
    </row>
    <row r="171" spans="1:13" x14ac:dyDescent="0.3">
      <c r="A171" s="60">
        <v>46169</v>
      </c>
      <c r="B171" s="82" t="s">
        <v>57</v>
      </c>
      <c r="C171" s="65" t="s">
        <v>1303</v>
      </c>
      <c r="D171" s="15" t="s">
        <v>5</v>
      </c>
      <c r="E171" s="22"/>
      <c r="F171" s="16">
        <v>59999.45</v>
      </c>
      <c r="G171" s="159">
        <f t="shared" si="1"/>
        <v>-211255.97000000055</v>
      </c>
      <c r="H171" s="76">
        <v>25.157</v>
      </c>
      <c r="I171" s="10" t="s">
        <v>92</v>
      </c>
      <c r="J171" s="110"/>
      <c r="K171" s="69" t="s">
        <v>30</v>
      </c>
      <c r="L171" s="73" t="s">
        <v>92</v>
      </c>
      <c r="M171" s="26">
        <f>SUM(H153+H191)</f>
        <v>334.62400000000002</v>
      </c>
    </row>
    <row r="172" spans="1:13" x14ac:dyDescent="0.3">
      <c r="A172" s="60">
        <v>46169</v>
      </c>
      <c r="B172" s="82" t="s">
        <v>57</v>
      </c>
      <c r="C172" s="65" t="s">
        <v>1304</v>
      </c>
      <c r="D172" s="15" t="s">
        <v>24</v>
      </c>
      <c r="E172" s="22"/>
      <c r="F172" s="16">
        <v>59999.45</v>
      </c>
      <c r="G172" s="159">
        <f t="shared" si="1"/>
        <v>-271255.42000000057</v>
      </c>
      <c r="H172" s="76">
        <v>25.157</v>
      </c>
      <c r="I172" s="10" t="s">
        <v>92</v>
      </c>
      <c r="J172" s="110"/>
      <c r="K172" s="69" t="s">
        <v>10</v>
      </c>
      <c r="L172" s="73" t="s">
        <v>92</v>
      </c>
      <c r="M172" s="26">
        <f>SUM(H175)</f>
        <v>221.24199999999999</v>
      </c>
    </row>
    <row r="173" spans="1:13" x14ac:dyDescent="0.3">
      <c r="A173" s="60">
        <v>46169</v>
      </c>
      <c r="B173" s="82" t="s">
        <v>57</v>
      </c>
      <c r="C173" s="65" t="s">
        <v>1305</v>
      </c>
      <c r="D173" s="15" t="s">
        <v>8</v>
      </c>
      <c r="E173" s="22"/>
      <c r="F173" s="16">
        <v>59999.45</v>
      </c>
      <c r="G173" s="159">
        <f t="shared" si="1"/>
        <v>-331254.87000000058</v>
      </c>
      <c r="H173" s="76">
        <v>25.157</v>
      </c>
      <c r="I173" s="10" t="s">
        <v>92</v>
      </c>
      <c r="J173" s="110"/>
      <c r="K173" s="69" t="s">
        <v>11</v>
      </c>
      <c r="L173" s="73" t="s">
        <v>92</v>
      </c>
      <c r="M173" s="26">
        <f>SUM(H158+H167+H174+H179+H182)</f>
        <v>169.91200000000001</v>
      </c>
    </row>
    <row r="174" spans="1:13" x14ac:dyDescent="0.3">
      <c r="A174" s="60">
        <v>46169</v>
      </c>
      <c r="B174" s="82" t="s">
        <v>57</v>
      </c>
      <c r="C174" s="65" t="s">
        <v>1306</v>
      </c>
      <c r="D174" s="15" t="s">
        <v>117</v>
      </c>
      <c r="E174" s="22"/>
      <c r="F174" s="16">
        <v>89846.3</v>
      </c>
      <c r="G174" s="159">
        <f t="shared" si="1"/>
        <v>-421101.17000000057</v>
      </c>
      <c r="H174" s="76">
        <v>39.755000000000003</v>
      </c>
      <c r="I174" s="10" t="s">
        <v>92</v>
      </c>
      <c r="J174" s="110"/>
      <c r="K174" s="540" t="s">
        <v>695</v>
      </c>
      <c r="L174" s="541"/>
      <c r="M174" s="148">
        <f>SUM(M154:M173)</f>
        <v>2361.9909999999995</v>
      </c>
    </row>
    <row r="175" spans="1:13" x14ac:dyDescent="0.3">
      <c r="A175" s="60">
        <v>46169</v>
      </c>
      <c r="B175" s="82" t="s">
        <v>57</v>
      </c>
      <c r="C175" s="65" t="s">
        <v>1307</v>
      </c>
      <c r="D175" s="15" t="s">
        <v>10</v>
      </c>
      <c r="E175" s="22"/>
      <c r="F175" s="16">
        <v>500006.92</v>
      </c>
      <c r="G175" s="159">
        <f t="shared" si="1"/>
        <v>-921108.09000000055</v>
      </c>
      <c r="H175" s="76">
        <v>221.24199999999999</v>
      </c>
      <c r="I175" s="10" t="s">
        <v>92</v>
      </c>
      <c r="J175" s="110"/>
      <c r="K175" s="106"/>
      <c r="L175" s="107"/>
      <c r="M175" s="25"/>
    </row>
    <row r="176" spans="1:13" x14ac:dyDescent="0.3">
      <c r="A176" s="60">
        <v>46169</v>
      </c>
      <c r="B176" s="82" t="s">
        <v>57</v>
      </c>
      <c r="C176" s="65" t="s">
        <v>1308</v>
      </c>
      <c r="D176" s="15" t="s">
        <v>9</v>
      </c>
      <c r="E176" s="22"/>
      <c r="F176" s="16">
        <v>278000.34000000003</v>
      </c>
      <c r="G176" s="159">
        <f t="shared" si="1"/>
        <v>-1199108.4300000006</v>
      </c>
      <c r="H176" s="76">
        <v>123.009</v>
      </c>
      <c r="I176" s="10" t="s">
        <v>92</v>
      </c>
      <c r="J176" s="110"/>
    </row>
    <row r="177" spans="1:13" x14ac:dyDescent="0.3">
      <c r="A177" s="202">
        <v>46169</v>
      </c>
      <c r="B177" s="327" t="s">
        <v>60</v>
      </c>
      <c r="C177" s="203" t="s">
        <v>1309</v>
      </c>
      <c r="D177" s="308" t="s">
        <v>1218</v>
      </c>
      <c r="E177" s="370">
        <v>2500000</v>
      </c>
      <c r="F177" s="339"/>
      <c r="G177" s="372">
        <f t="shared" si="1"/>
        <v>1300891.5699999994</v>
      </c>
      <c r="H177" s="311"/>
      <c r="I177" s="199" t="s">
        <v>1222</v>
      </c>
      <c r="J177" s="110"/>
    </row>
    <row r="178" spans="1:13" x14ac:dyDescent="0.3">
      <c r="A178" s="60">
        <v>46170</v>
      </c>
      <c r="B178" s="82" t="s">
        <v>57</v>
      </c>
      <c r="C178" s="65" t="s">
        <v>1310</v>
      </c>
      <c r="D178" s="15" t="s">
        <v>6</v>
      </c>
      <c r="E178" s="22"/>
      <c r="F178" s="16">
        <v>59999.75</v>
      </c>
      <c r="G178" s="161">
        <f t="shared" si="1"/>
        <v>1240891.8199999994</v>
      </c>
      <c r="H178" s="76">
        <v>25.094000000000001</v>
      </c>
      <c r="I178" s="10" t="s">
        <v>92</v>
      </c>
      <c r="J178" s="110"/>
    </row>
    <row r="179" spans="1:13" x14ac:dyDescent="0.3">
      <c r="A179" s="60">
        <v>46170</v>
      </c>
      <c r="B179" s="82" t="s">
        <v>57</v>
      </c>
      <c r="C179" s="65" t="s">
        <v>1311</v>
      </c>
      <c r="D179" s="15" t="s">
        <v>117</v>
      </c>
      <c r="E179" s="22"/>
      <c r="F179" s="16">
        <v>82426.720000000001</v>
      </c>
      <c r="G179" s="161">
        <f t="shared" si="1"/>
        <v>1158465.0999999994</v>
      </c>
      <c r="H179" s="76">
        <v>36.472000000000001</v>
      </c>
      <c r="I179" s="10" t="s">
        <v>92</v>
      </c>
      <c r="J179" s="110"/>
    </row>
    <row r="180" spans="1:13" x14ac:dyDescent="0.3">
      <c r="A180" s="60">
        <v>46170</v>
      </c>
      <c r="B180" s="82" t="s">
        <v>57</v>
      </c>
      <c r="C180" s="65" t="s">
        <v>1312</v>
      </c>
      <c r="D180" s="15" t="s">
        <v>62</v>
      </c>
      <c r="E180" s="22"/>
      <c r="F180" s="16">
        <v>59999.75</v>
      </c>
      <c r="G180" s="161">
        <f t="shared" si="1"/>
        <v>1098465.3499999994</v>
      </c>
      <c r="H180" s="76">
        <v>25.094000000000001</v>
      </c>
      <c r="I180" s="10" t="s">
        <v>92</v>
      </c>
      <c r="J180" s="110"/>
    </row>
    <row r="181" spans="1:13" x14ac:dyDescent="0.3">
      <c r="A181" s="60">
        <v>46170</v>
      </c>
      <c r="B181" s="82" t="s">
        <v>57</v>
      </c>
      <c r="C181" s="65" t="s">
        <v>1313</v>
      </c>
      <c r="D181" s="15" t="s">
        <v>3</v>
      </c>
      <c r="E181" s="22"/>
      <c r="F181" s="16">
        <v>59999.75</v>
      </c>
      <c r="G181" s="161">
        <f t="shared" si="1"/>
        <v>1038465.5999999994</v>
      </c>
      <c r="H181" s="76">
        <v>25.094000000000001</v>
      </c>
      <c r="I181" s="10" t="s">
        <v>92</v>
      </c>
      <c r="J181" s="110"/>
    </row>
    <row r="182" spans="1:13" x14ac:dyDescent="0.3">
      <c r="A182" s="60">
        <v>46170</v>
      </c>
      <c r="B182" s="82" t="s">
        <v>57</v>
      </c>
      <c r="C182" s="65" t="s">
        <v>1314</v>
      </c>
      <c r="D182" s="15" t="s">
        <v>117</v>
      </c>
      <c r="E182" s="22"/>
      <c r="F182" s="16">
        <v>80004</v>
      </c>
      <c r="G182" s="161">
        <f t="shared" si="1"/>
        <v>958461.59999999939</v>
      </c>
      <c r="H182" s="76">
        <v>35.4</v>
      </c>
      <c r="I182" s="10" t="s">
        <v>92</v>
      </c>
      <c r="J182" s="110"/>
    </row>
    <row r="183" spans="1:13" x14ac:dyDescent="0.3">
      <c r="A183" s="60">
        <v>46170</v>
      </c>
      <c r="B183" s="82" t="s">
        <v>57</v>
      </c>
      <c r="C183" s="65" t="s">
        <v>1315</v>
      </c>
      <c r="D183" s="15" t="s">
        <v>429</v>
      </c>
      <c r="E183" s="22"/>
      <c r="F183" s="16">
        <v>59999.75</v>
      </c>
      <c r="G183" s="161">
        <f t="shared" si="1"/>
        <v>898461.84999999939</v>
      </c>
      <c r="H183" s="76">
        <v>25.094000000000001</v>
      </c>
      <c r="I183" s="10" t="s">
        <v>92</v>
      </c>
      <c r="J183" s="110"/>
    </row>
    <row r="184" spans="1:13" x14ac:dyDescent="0.3">
      <c r="A184" s="60">
        <v>46170</v>
      </c>
      <c r="B184" s="82" t="s">
        <v>57</v>
      </c>
      <c r="C184" s="65" t="s">
        <v>1316</v>
      </c>
      <c r="D184" s="15" t="s">
        <v>429</v>
      </c>
      <c r="E184" s="22"/>
      <c r="F184" s="16">
        <v>59999.75</v>
      </c>
      <c r="G184" s="161">
        <f t="shared" si="1"/>
        <v>838462.09999999939</v>
      </c>
      <c r="H184" s="76">
        <v>25.094000000000001</v>
      </c>
      <c r="I184" s="10" t="s">
        <v>92</v>
      </c>
      <c r="J184" s="110"/>
      <c r="K184" s="569" t="s">
        <v>1324</v>
      </c>
      <c r="L184" s="570"/>
      <c r="M184" s="571"/>
    </row>
    <row r="185" spans="1:13" x14ac:dyDescent="0.3">
      <c r="A185" s="60">
        <v>46170</v>
      </c>
      <c r="B185" s="82" t="s">
        <v>57</v>
      </c>
      <c r="C185" s="65" t="s">
        <v>1317</v>
      </c>
      <c r="D185" s="15" t="s">
        <v>24</v>
      </c>
      <c r="E185" s="22"/>
      <c r="F185" s="16">
        <v>59999.75</v>
      </c>
      <c r="G185" s="161">
        <f t="shared" si="1"/>
        <v>778462.34999999939</v>
      </c>
      <c r="H185" s="76">
        <v>25.094000000000001</v>
      </c>
      <c r="I185" s="10" t="s">
        <v>92</v>
      </c>
      <c r="J185" s="110"/>
      <c r="K185" s="298" t="s">
        <v>32</v>
      </c>
      <c r="L185" s="299" t="s">
        <v>35</v>
      </c>
      <c r="M185" s="299" t="s">
        <v>33</v>
      </c>
    </row>
    <row r="186" spans="1:13" x14ac:dyDescent="0.3">
      <c r="A186" s="60">
        <v>46171</v>
      </c>
      <c r="B186" s="82" t="s">
        <v>57</v>
      </c>
      <c r="C186" s="65" t="s">
        <v>1318</v>
      </c>
      <c r="D186" s="15" t="s">
        <v>26</v>
      </c>
      <c r="E186" s="22"/>
      <c r="F186" s="16">
        <v>164858.16</v>
      </c>
      <c r="G186" s="161">
        <f t="shared" si="1"/>
        <v>613604.18999999936</v>
      </c>
      <c r="H186" s="76">
        <v>69.064999999999998</v>
      </c>
      <c r="I186" s="10" t="s">
        <v>92</v>
      </c>
      <c r="J186" s="110"/>
      <c r="K186" s="39" t="s">
        <v>0</v>
      </c>
      <c r="L186" s="73" t="s">
        <v>92</v>
      </c>
      <c r="M186" s="26">
        <f t="shared" ref="M186:M192" si="2">SUM(M8+M72+M115+M155)</f>
        <v>0</v>
      </c>
    </row>
    <row r="187" spans="1:13" x14ac:dyDescent="0.3">
      <c r="A187" s="60">
        <v>46171</v>
      </c>
      <c r="B187" s="82" t="s">
        <v>57</v>
      </c>
      <c r="C187" s="65" t="s">
        <v>1319</v>
      </c>
      <c r="D187" s="15" t="s">
        <v>8</v>
      </c>
      <c r="E187" s="22"/>
      <c r="F187" s="16">
        <v>59999.63</v>
      </c>
      <c r="G187" s="161">
        <f t="shared" si="1"/>
        <v>553604.55999999936</v>
      </c>
      <c r="H187" s="76">
        <v>25.135999999999999</v>
      </c>
      <c r="I187" s="10" t="s">
        <v>92</v>
      </c>
      <c r="J187" s="110"/>
      <c r="K187" s="69" t="s">
        <v>1</v>
      </c>
      <c r="L187" s="73" t="s">
        <v>92</v>
      </c>
      <c r="M187" s="42">
        <f t="shared" si="2"/>
        <v>134.44499999999999</v>
      </c>
    </row>
    <row r="188" spans="1:13" x14ac:dyDescent="0.3">
      <c r="A188" s="60">
        <v>46171</v>
      </c>
      <c r="B188" s="82" t="s">
        <v>57</v>
      </c>
      <c r="C188" s="65" t="s">
        <v>1320</v>
      </c>
      <c r="D188" s="15" t="s">
        <v>62</v>
      </c>
      <c r="E188" s="22"/>
      <c r="F188" s="16">
        <v>59999.63</v>
      </c>
      <c r="G188" s="161">
        <f t="shared" si="1"/>
        <v>493604.92999999935</v>
      </c>
      <c r="H188" s="76">
        <v>25.135999999999999</v>
      </c>
      <c r="I188" s="10" t="s">
        <v>92</v>
      </c>
      <c r="J188" s="110"/>
      <c r="K188" s="24" t="s">
        <v>27</v>
      </c>
      <c r="L188" s="73" t="s">
        <v>92</v>
      </c>
      <c r="M188" s="26">
        <f t="shared" si="2"/>
        <v>0</v>
      </c>
    </row>
    <row r="189" spans="1:13" x14ac:dyDescent="0.3">
      <c r="A189" s="60">
        <v>46171</v>
      </c>
      <c r="B189" s="82" t="s">
        <v>57</v>
      </c>
      <c r="C189" s="65" t="s">
        <v>1321</v>
      </c>
      <c r="D189" s="15" t="s">
        <v>61</v>
      </c>
      <c r="E189" s="22"/>
      <c r="F189" s="16">
        <v>397344.79</v>
      </c>
      <c r="G189" s="161">
        <f t="shared" si="1"/>
        <v>96260.139999999374</v>
      </c>
      <c r="H189" s="76">
        <v>166.46199999999999</v>
      </c>
      <c r="I189" s="10" t="s">
        <v>92</v>
      </c>
      <c r="J189" s="110"/>
      <c r="K189" s="126" t="s">
        <v>429</v>
      </c>
      <c r="L189" s="73" t="s">
        <v>92</v>
      </c>
      <c r="M189" s="80">
        <f t="shared" si="2"/>
        <v>623.97500000000002</v>
      </c>
    </row>
    <row r="190" spans="1:13" x14ac:dyDescent="0.3">
      <c r="A190" s="60">
        <v>46171</v>
      </c>
      <c r="B190" s="82" t="s">
        <v>57</v>
      </c>
      <c r="C190" s="65" t="s">
        <v>1322</v>
      </c>
      <c r="D190" s="15" t="s">
        <v>24</v>
      </c>
      <c r="E190" s="22"/>
      <c r="F190" s="16">
        <v>59999.63</v>
      </c>
      <c r="G190" s="161">
        <f t="shared" si="1"/>
        <v>36260.509999999376</v>
      </c>
      <c r="H190" s="368">
        <v>25.135999999999999</v>
      </c>
      <c r="I190" s="10" t="s">
        <v>92</v>
      </c>
      <c r="J190" s="110"/>
      <c r="K190" s="126" t="s">
        <v>62</v>
      </c>
      <c r="L190" s="73" t="s">
        <v>92</v>
      </c>
      <c r="M190" s="80">
        <f t="shared" si="2"/>
        <v>200.83699999999999</v>
      </c>
    </row>
    <row r="191" spans="1:13" x14ac:dyDescent="0.3">
      <c r="A191" s="60">
        <v>46171</v>
      </c>
      <c r="B191" s="82" t="s">
        <v>57</v>
      </c>
      <c r="C191" s="65" t="s">
        <v>1323</v>
      </c>
      <c r="D191" s="15" t="s">
        <v>30</v>
      </c>
      <c r="E191" s="22"/>
      <c r="F191" s="16">
        <v>500000.12</v>
      </c>
      <c r="G191" s="388">
        <f t="shared" si="1"/>
        <v>-463739.61000000063</v>
      </c>
      <c r="H191" s="76">
        <v>209.46799999999999</v>
      </c>
      <c r="I191" s="386" t="s">
        <v>92</v>
      </c>
      <c r="J191" s="110"/>
      <c r="K191" s="126" t="s">
        <v>361</v>
      </c>
      <c r="L191" s="73" t="s">
        <v>92</v>
      </c>
      <c r="M191" s="80">
        <f t="shared" si="2"/>
        <v>10.192</v>
      </c>
    </row>
    <row r="192" spans="1:13" x14ac:dyDescent="0.3">
      <c r="A192" s="60">
        <v>46171</v>
      </c>
      <c r="B192" s="82" t="s">
        <v>57</v>
      </c>
      <c r="C192" s="65" t="s">
        <v>1325</v>
      </c>
      <c r="D192" s="15" t="s">
        <v>5</v>
      </c>
      <c r="E192" s="22"/>
      <c r="F192" s="16">
        <v>59999.63</v>
      </c>
      <c r="G192" s="388">
        <f t="shared" si="1"/>
        <v>-523739.24000000063</v>
      </c>
      <c r="H192" s="76">
        <v>25.135999999999999</v>
      </c>
      <c r="I192" s="386" t="s">
        <v>92</v>
      </c>
      <c r="J192" s="110"/>
      <c r="K192" s="391" t="s">
        <v>541</v>
      </c>
      <c r="L192" s="73" t="s">
        <v>92</v>
      </c>
      <c r="M192" s="80">
        <f t="shared" si="2"/>
        <v>31.586000000000002</v>
      </c>
    </row>
    <row r="193" spans="1:14" x14ac:dyDescent="0.3">
      <c r="A193" s="60">
        <v>46171</v>
      </c>
      <c r="B193" s="82" t="s">
        <v>57</v>
      </c>
      <c r="C193" s="65" t="s">
        <v>1326</v>
      </c>
      <c r="D193" s="15" t="s">
        <v>541</v>
      </c>
      <c r="E193" s="22"/>
      <c r="F193" s="16">
        <v>19748.18</v>
      </c>
      <c r="G193" s="388">
        <f t="shared" si="1"/>
        <v>-543487.42000000062</v>
      </c>
      <c r="H193" s="76">
        <v>8.7420000000000009</v>
      </c>
      <c r="I193" s="386" t="s">
        <v>92</v>
      </c>
      <c r="J193" s="110"/>
      <c r="K193" s="69" t="s">
        <v>24</v>
      </c>
      <c r="L193" s="73" t="s">
        <v>92</v>
      </c>
      <c r="M193" s="26">
        <f t="shared" ref="M193:M204" si="3">SUM(M15+M79+M122+M162)</f>
        <v>496.84699999999998</v>
      </c>
    </row>
    <row r="194" spans="1:14" x14ac:dyDescent="0.3">
      <c r="A194" s="202">
        <v>46171</v>
      </c>
      <c r="B194" s="327" t="s">
        <v>60</v>
      </c>
      <c r="C194" s="203" t="s">
        <v>1327</v>
      </c>
      <c r="D194" s="308" t="s">
        <v>1218</v>
      </c>
      <c r="E194" s="370">
        <v>1500000</v>
      </c>
      <c r="F194" s="339"/>
      <c r="G194" s="389">
        <f t="shared" si="1"/>
        <v>956512.57999999938</v>
      </c>
      <c r="H194" s="311"/>
      <c r="I194" s="199" t="s">
        <v>1222</v>
      </c>
      <c r="J194" s="110"/>
      <c r="K194" s="69" t="s">
        <v>29</v>
      </c>
      <c r="L194" s="73" t="s">
        <v>92</v>
      </c>
      <c r="M194" s="26">
        <f t="shared" si="3"/>
        <v>577.53</v>
      </c>
    </row>
    <row r="195" spans="1:14" x14ac:dyDescent="0.3">
      <c r="A195" s="60">
        <v>46171</v>
      </c>
      <c r="B195" s="82" t="s">
        <v>57</v>
      </c>
      <c r="C195" s="65" t="s">
        <v>1328</v>
      </c>
      <c r="D195" s="15" t="s">
        <v>3</v>
      </c>
      <c r="E195" s="22"/>
      <c r="F195" s="16">
        <v>59999.63</v>
      </c>
      <c r="G195" s="387">
        <f t="shared" si="1"/>
        <v>896512.94999999937</v>
      </c>
      <c r="H195" s="76">
        <v>25.135999999999999</v>
      </c>
      <c r="I195" s="386" t="s">
        <v>92</v>
      </c>
      <c r="J195" s="110"/>
      <c r="K195" s="69" t="s">
        <v>3</v>
      </c>
      <c r="L195" s="73" t="s">
        <v>92</v>
      </c>
      <c r="M195" s="26">
        <f t="shared" si="3"/>
        <v>284.84999999999997</v>
      </c>
    </row>
    <row r="196" spans="1:14" x14ac:dyDescent="0.3">
      <c r="A196" s="60">
        <v>46171</v>
      </c>
      <c r="B196" s="82" t="s">
        <v>57</v>
      </c>
      <c r="C196" s="65" t="s">
        <v>1329</v>
      </c>
      <c r="D196" s="15" t="s">
        <v>429</v>
      </c>
      <c r="E196" s="22"/>
      <c r="F196" s="16">
        <v>59999.63</v>
      </c>
      <c r="G196" s="387">
        <f t="shared" si="1"/>
        <v>836513.31999999937</v>
      </c>
      <c r="H196" s="76">
        <v>25.135999999999999</v>
      </c>
      <c r="I196" s="386" t="s">
        <v>92</v>
      </c>
      <c r="J196" s="110"/>
      <c r="K196" s="69" t="s">
        <v>5</v>
      </c>
      <c r="L196" s="73" t="s">
        <v>92</v>
      </c>
      <c r="M196" s="26">
        <f t="shared" si="3"/>
        <v>494.71899999999999</v>
      </c>
    </row>
    <row r="197" spans="1:14" x14ac:dyDescent="0.3">
      <c r="A197" s="60">
        <v>46171</v>
      </c>
      <c r="B197" s="82" t="s">
        <v>57</v>
      </c>
      <c r="C197" s="65" t="s">
        <v>1330</v>
      </c>
      <c r="D197" s="15" t="s">
        <v>5</v>
      </c>
      <c r="E197" s="22"/>
      <c r="F197" s="16">
        <v>59999.63</v>
      </c>
      <c r="G197" s="387">
        <f t="shared" si="1"/>
        <v>776513.68999999936</v>
      </c>
      <c r="H197" s="76">
        <v>25.135999999999999</v>
      </c>
      <c r="I197" s="386" t="s">
        <v>92</v>
      </c>
      <c r="J197" s="110"/>
      <c r="K197" s="69" t="s">
        <v>61</v>
      </c>
      <c r="L197" s="73" t="s">
        <v>92</v>
      </c>
      <c r="M197" s="26">
        <f t="shared" si="3"/>
        <v>794.64400000000001</v>
      </c>
    </row>
    <row r="198" spans="1:14" x14ac:dyDescent="0.3">
      <c r="A198" s="60">
        <v>46172</v>
      </c>
      <c r="B198" s="82" t="s">
        <v>57</v>
      </c>
      <c r="C198" s="65" t="s">
        <v>1331</v>
      </c>
      <c r="D198" s="15" t="s">
        <v>5</v>
      </c>
      <c r="E198" s="22"/>
      <c r="F198" s="16">
        <v>60000.93</v>
      </c>
      <c r="G198" s="387">
        <f t="shared" si="1"/>
        <v>716512.75999999931</v>
      </c>
      <c r="H198" s="76">
        <v>25.084</v>
      </c>
      <c r="I198" s="386" t="s">
        <v>92</v>
      </c>
      <c r="J198" s="110"/>
      <c r="K198" s="69" t="s">
        <v>22</v>
      </c>
      <c r="L198" s="73" t="s">
        <v>92</v>
      </c>
      <c r="M198" s="26">
        <f t="shared" si="3"/>
        <v>1931.3039999999999</v>
      </c>
    </row>
    <row r="199" spans="1:14" x14ac:dyDescent="0.3">
      <c r="A199" s="60">
        <v>46172</v>
      </c>
      <c r="B199" s="82" t="s">
        <v>57</v>
      </c>
      <c r="C199" s="65" t="s">
        <v>1332</v>
      </c>
      <c r="D199" s="15" t="s">
        <v>8</v>
      </c>
      <c r="E199" s="22"/>
      <c r="F199" s="16">
        <v>60000.93</v>
      </c>
      <c r="G199" s="387">
        <f t="shared" si="1"/>
        <v>656511.82999999926</v>
      </c>
      <c r="H199" s="76">
        <v>25.084</v>
      </c>
      <c r="I199" s="386" t="s">
        <v>92</v>
      </c>
      <c r="J199" s="110"/>
      <c r="K199" s="69" t="s">
        <v>6</v>
      </c>
      <c r="L199" s="73" t="s">
        <v>92</v>
      </c>
      <c r="M199" s="26">
        <f t="shared" si="3"/>
        <v>377.15800000000002</v>
      </c>
    </row>
    <row r="200" spans="1:14" x14ac:dyDescent="0.3">
      <c r="A200" s="60">
        <v>46172</v>
      </c>
      <c r="B200" s="82" t="s">
        <v>57</v>
      </c>
      <c r="C200" s="65" t="s">
        <v>1333</v>
      </c>
      <c r="D200" s="15" t="s">
        <v>62</v>
      </c>
      <c r="E200" s="22"/>
      <c r="F200" s="16">
        <v>60000.93</v>
      </c>
      <c r="G200" s="387">
        <f t="shared" si="1"/>
        <v>596510.89999999921</v>
      </c>
      <c r="H200" s="76">
        <v>25.084</v>
      </c>
      <c r="I200" s="386" t="s">
        <v>92</v>
      </c>
      <c r="J200" s="110"/>
      <c r="K200" s="69" t="s">
        <v>8</v>
      </c>
      <c r="L200" s="73" t="s">
        <v>92</v>
      </c>
      <c r="M200" s="26">
        <f t="shared" si="3"/>
        <v>254.51299999999998</v>
      </c>
    </row>
    <row r="201" spans="1:14" x14ac:dyDescent="0.3">
      <c r="A201" s="60">
        <v>46172</v>
      </c>
      <c r="B201" s="82" t="s">
        <v>57</v>
      </c>
      <c r="C201" s="65" t="s">
        <v>1334</v>
      </c>
      <c r="D201" s="15" t="s">
        <v>6</v>
      </c>
      <c r="E201" s="22"/>
      <c r="F201" s="16">
        <v>60000.93</v>
      </c>
      <c r="G201" s="387">
        <f t="shared" si="1"/>
        <v>536509.96999999916</v>
      </c>
      <c r="H201" s="76">
        <v>25.084</v>
      </c>
      <c r="I201" s="386" t="s">
        <v>92</v>
      </c>
      <c r="J201" s="110"/>
      <c r="K201" s="69" t="s">
        <v>9</v>
      </c>
      <c r="L201" s="73" t="s">
        <v>92</v>
      </c>
      <c r="M201" s="26">
        <f t="shared" si="3"/>
        <v>480.86500000000001</v>
      </c>
    </row>
    <row r="202" spans="1:14" x14ac:dyDescent="0.3">
      <c r="A202" s="60">
        <v>46173</v>
      </c>
      <c r="B202" s="82" t="s">
        <v>57</v>
      </c>
      <c r="C202" s="65" t="s">
        <v>1335</v>
      </c>
      <c r="D202" s="15" t="s">
        <v>3</v>
      </c>
      <c r="E202" s="22"/>
      <c r="F202" s="16">
        <v>60000.93</v>
      </c>
      <c r="G202" s="387">
        <f t="shared" si="1"/>
        <v>476509.03999999916</v>
      </c>
      <c r="H202" s="76">
        <v>25.084</v>
      </c>
      <c r="I202" s="386" t="s">
        <v>92</v>
      </c>
      <c r="J202" s="110"/>
      <c r="K202" s="69" t="s">
        <v>30</v>
      </c>
      <c r="L202" s="73" t="s">
        <v>92</v>
      </c>
      <c r="M202" s="26">
        <f t="shared" si="3"/>
        <v>1555.5800000000002</v>
      </c>
    </row>
    <row r="203" spans="1:14" x14ac:dyDescent="0.3">
      <c r="A203" s="60">
        <v>46173</v>
      </c>
      <c r="B203" s="82" t="s">
        <v>57</v>
      </c>
      <c r="C203" s="65" t="s">
        <v>1336</v>
      </c>
      <c r="D203" s="15" t="s">
        <v>26</v>
      </c>
      <c r="E203" s="22"/>
      <c r="F203" s="16">
        <v>181509.74</v>
      </c>
      <c r="G203" s="387">
        <f t="shared" si="1"/>
        <v>294999.29999999917</v>
      </c>
      <c r="H203" s="76">
        <v>75.882000000000005</v>
      </c>
      <c r="I203" s="386" t="s">
        <v>92</v>
      </c>
      <c r="J203" s="110"/>
      <c r="K203" s="69" t="s">
        <v>10</v>
      </c>
      <c r="L203" s="73" t="s">
        <v>92</v>
      </c>
      <c r="M203" s="26">
        <f t="shared" si="3"/>
        <v>688.971</v>
      </c>
    </row>
    <row r="204" spans="1:14" ht="15" thickBot="1" x14ac:dyDescent="0.35">
      <c r="A204" s="552" t="s">
        <v>694</v>
      </c>
      <c r="B204" s="552"/>
      <c r="C204" s="552"/>
      <c r="D204" s="552"/>
      <c r="E204" s="552"/>
      <c r="F204" s="552"/>
      <c r="G204" s="552"/>
      <c r="H204" s="573">
        <f>SUM(H153:H203)</f>
        <v>2361.991</v>
      </c>
      <c r="I204" s="554"/>
      <c r="J204" s="110"/>
      <c r="K204" s="133" t="s">
        <v>11</v>
      </c>
      <c r="L204" s="134" t="s">
        <v>92</v>
      </c>
      <c r="M204" s="30">
        <f t="shared" si="3"/>
        <v>762.73800000000006</v>
      </c>
    </row>
    <row r="205" spans="1:14" ht="30" customHeight="1" thickTop="1" thickBot="1" x14ac:dyDescent="0.35">
      <c r="A205" s="572" t="s">
        <v>28</v>
      </c>
      <c r="B205" s="572"/>
      <c r="C205" s="572"/>
      <c r="D205" s="572"/>
      <c r="E205" s="83">
        <f>SUM(E8:E204)</f>
        <v>23048710.66</v>
      </c>
      <c r="F205" s="84">
        <f>SUM(F8:F204)</f>
        <v>22753711.359999973</v>
      </c>
      <c r="G205" s="32">
        <f>E205-F205</f>
        <v>294999.30000002682</v>
      </c>
      <c r="H205" s="75">
        <f>SUM(H68+H111+H151+H204)</f>
        <v>9700.7540000000008</v>
      </c>
      <c r="I205" s="36"/>
      <c r="J205"/>
      <c r="K205" s="533" t="s">
        <v>1225</v>
      </c>
      <c r="L205" s="533"/>
      <c r="M205" s="303">
        <f>SUM(M186:M204)</f>
        <v>9700.753999999999</v>
      </c>
      <c r="N205" s="385"/>
    </row>
    <row r="206" spans="1:14" ht="15" thickTop="1" x14ac:dyDescent="0.3">
      <c r="J206" s="3"/>
      <c r="K206" s="383"/>
      <c r="L206" s="384"/>
      <c r="M206" s="25"/>
    </row>
    <row r="207" spans="1:14" x14ac:dyDescent="0.3">
      <c r="J207" s="3"/>
      <c r="K207" s="106"/>
      <c r="L207" s="107"/>
      <c r="M207" s="25"/>
    </row>
    <row r="208" spans="1:14" x14ac:dyDescent="0.3">
      <c r="J208" s="3"/>
      <c r="K208" s="106"/>
      <c r="L208" s="107"/>
      <c r="M208" s="25"/>
    </row>
    <row r="209" spans="10:13" x14ac:dyDescent="0.3">
      <c r="J209" s="3"/>
      <c r="K209" s="106"/>
      <c r="L209" s="107"/>
      <c r="M209" s="25"/>
    </row>
    <row r="210" spans="10:13" x14ac:dyDescent="0.3">
      <c r="J210" s="3"/>
      <c r="K210" s="106"/>
      <c r="L210" s="107"/>
      <c r="M210" s="25"/>
    </row>
    <row r="211" spans="10:13" x14ac:dyDescent="0.3">
      <c r="J211" s="3"/>
      <c r="K211" s="568"/>
      <c r="L211" s="568"/>
      <c r="M211" s="74"/>
    </row>
    <row r="212" spans="10:13" x14ac:dyDescent="0.3">
      <c r="J212" s="3"/>
    </row>
    <row r="213" spans="10:13" x14ac:dyDescent="0.3">
      <c r="J213" s="3"/>
    </row>
    <row r="214" spans="10:13" x14ac:dyDescent="0.3">
      <c r="J214" s="3"/>
    </row>
    <row r="215" spans="10:13" x14ac:dyDescent="0.3">
      <c r="J215" s="3"/>
    </row>
    <row r="216" spans="10:13" x14ac:dyDescent="0.3">
      <c r="J216" s="3"/>
    </row>
    <row r="217" spans="10:13" x14ac:dyDescent="0.3">
      <c r="J217" s="3"/>
    </row>
    <row r="218" spans="10:13" x14ac:dyDescent="0.3">
      <c r="J218" s="3"/>
    </row>
    <row r="219" spans="10:13" x14ac:dyDescent="0.3">
      <c r="J219" s="3"/>
    </row>
    <row r="220" spans="10:13" x14ac:dyDescent="0.3">
      <c r="J220" s="3"/>
    </row>
    <row r="221" spans="10:13" x14ac:dyDescent="0.3">
      <c r="J221" s="3"/>
    </row>
    <row r="222" spans="10:13" x14ac:dyDescent="0.3">
      <c r="J222" s="3"/>
    </row>
    <row r="223" spans="10:13" x14ac:dyDescent="0.3">
      <c r="J223" s="3"/>
    </row>
    <row r="224" spans="10:13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  <row r="325" spans="10:10" x14ac:dyDescent="0.3">
      <c r="J325" s="3"/>
    </row>
    <row r="326" spans="10:10" x14ac:dyDescent="0.3">
      <c r="J326" s="3"/>
    </row>
    <row r="327" spans="10:10" x14ac:dyDescent="0.3">
      <c r="J327" s="3"/>
    </row>
    <row r="328" spans="10:10" x14ac:dyDescent="0.3">
      <c r="J328" s="3"/>
    </row>
    <row r="329" spans="10:10" x14ac:dyDescent="0.3">
      <c r="J329" s="3"/>
    </row>
    <row r="330" spans="10:10" x14ac:dyDescent="0.3">
      <c r="J330" s="3"/>
    </row>
    <row r="331" spans="10:10" x14ac:dyDescent="0.3">
      <c r="J331" s="3"/>
    </row>
    <row r="332" spans="10:10" x14ac:dyDescent="0.3">
      <c r="J332" s="3"/>
    </row>
    <row r="333" spans="10:10" x14ac:dyDescent="0.3">
      <c r="J333" s="3"/>
    </row>
    <row r="334" spans="10:10" x14ac:dyDescent="0.3">
      <c r="J334" s="3"/>
    </row>
    <row r="335" spans="10:10" x14ac:dyDescent="0.3">
      <c r="J335" s="3"/>
    </row>
    <row r="336" spans="10:10" x14ac:dyDescent="0.3">
      <c r="J336" s="3"/>
    </row>
    <row r="337" spans="10:10" x14ac:dyDescent="0.3">
      <c r="J337" s="3"/>
    </row>
    <row r="338" spans="10:10" x14ac:dyDescent="0.3">
      <c r="J338" s="3"/>
    </row>
    <row r="339" spans="10:10" x14ac:dyDescent="0.3">
      <c r="J339" s="3"/>
    </row>
    <row r="340" spans="10:10" x14ac:dyDescent="0.3">
      <c r="J340" s="3"/>
    </row>
    <row r="341" spans="10:10" x14ac:dyDescent="0.3">
      <c r="J341" s="3"/>
    </row>
    <row r="342" spans="10:10" x14ac:dyDescent="0.3">
      <c r="J342" s="3"/>
    </row>
    <row r="343" spans="10:10" x14ac:dyDescent="0.3">
      <c r="J343" s="3"/>
    </row>
    <row r="344" spans="10:10" x14ac:dyDescent="0.3">
      <c r="J344" s="3"/>
    </row>
    <row r="345" spans="10:10" x14ac:dyDescent="0.3">
      <c r="J345" s="3"/>
    </row>
    <row r="346" spans="10:10" x14ac:dyDescent="0.3">
      <c r="J346" s="3"/>
    </row>
    <row r="347" spans="10:10" x14ac:dyDescent="0.3">
      <c r="J347" s="3"/>
    </row>
    <row r="348" spans="10:10" x14ac:dyDescent="0.3">
      <c r="J348" s="3"/>
    </row>
    <row r="349" spans="10:10" x14ac:dyDescent="0.3">
      <c r="J349" s="3"/>
    </row>
    <row r="350" spans="10:10" x14ac:dyDescent="0.3">
      <c r="J350" s="3"/>
    </row>
    <row r="351" spans="10:10" x14ac:dyDescent="0.3">
      <c r="J351" s="3"/>
    </row>
    <row r="352" spans="10:10" x14ac:dyDescent="0.3">
      <c r="J352" s="3"/>
    </row>
    <row r="353" spans="10:10" x14ac:dyDescent="0.3">
      <c r="J353" s="3"/>
    </row>
    <row r="354" spans="10:10" x14ac:dyDescent="0.3">
      <c r="J354" s="3"/>
    </row>
    <row r="355" spans="10:10" x14ac:dyDescent="0.3">
      <c r="J355" s="3"/>
    </row>
    <row r="356" spans="10:10" x14ac:dyDescent="0.3">
      <c r="J356" s="3"/>
    </row>
    <row r="357" spans="10:10" x14ac:dyDescent="0.3">
      <c r="J357" s="3"/>
    </row>
    <row r="358" spans="10:10" x14ac:dyDescent="0.3">
      <c r="J358" s="3"/>
    </row>
    <row r="359" spans="10:10" x14ac:dyDescent="0.3">
      <c r="J359" s="3"/>
    </row>
    <row r="360" spans="10:10" x14ac:dyDescent="0.3">
      <c r="J360" s="3"/>
    </row>
    <row r="361" spans="10:10" x14ac:dyDescent="0.3">
      <c r="J361" s="3"/>
    </row>
    <row r="362" spans="10:10" x14ac:dyDescent="0.3">
      <c r="J362" s="3"/>
    </row>
    <row r="363" spans="10:10" x14ac:dyDescent="0.3">
      <c r="J363" s="3"/>
    </row>
    <row r="364" spans="10:10" x14ac:dyDescent="0.3">
      <c r="J364" s="3"/>
    </row>
    <row r="365" spans="10:10" x14ac:dyDescent="0.3">
      <c r="J365" s="3"/>
    </row>
    <row r="366" spans="10:10" x14ac:dyDescent="0.3">
      <c r="J366" s="3"/>
    </row>
    <row r="367" spans="10:10" x14ac:dyDescent="0.3">
      <c r="J367" s="3"/>
    </row>
    <row r="368" spans="10:10" x14ac:dyDescent="0.3">
      <c r="J368" s="3"/>
    </row>
    <row r="369" spans="10:10" x14ac:dyDescent="0.3">
      <c r="J369" s="3"/>
    </row>
    <row r="370" spans="10:10" x14ac:dyDescent="0.3">
      <c r="J370" s="3"/>
    </row>
    <row r="371" spans="10:10" x14ac:dyDescent="0.3">
      <c r="J371" s="3"/>
    </row>
    <row r="372" spans="10:10" x14ac:dyDescent="0.3">
      <c r="J372" s="3"/>
    </row>
    <row r="373" spans="10:10" x14ac:dyDescent="0.3">
      <c r="J373" s="3"/>
    </row>
    <row r="374" spans="10:10" x14ac:dyDescent="0.3">
      <c r="J374" s="3"/>
    </row>
    <row r="375" spans="10:10" x14ac:dyDescent="0.3">
      <c r="J375" s="3"/>
    </row>
    <row r="376" spans="10:10" x14ac:dyDescent="0.3">
      <c r="J376" s="3"/>
    </row>
    <row r="377" spans="10:10" x14ac:dyDescent="0.3">
      <c r="J377" s="3"/>
    </row>
    <row r="378" spans="10:10" x14ac:dyDescent="0.3">
      <c r="J378" s="3"/>
    </row>
    <row r="379" spans="10:10" x14ac:dyDescent="0.3">
      <c r="J379" s="3"/>
    </row>
    <row r="380" spans="10:10" x14ac:dyDescent="0.3">
      <c r="J380" s="3"/>
    </row>
    <row r="381" spans="10:10" x14ac:dyDescent="0.3">
      <c r="J381" s="3"/>
    </row>
    <row r="382" spans="10:10" x14ac:dyDescent="0.3">
      <c r="J382" s="3"/>
    </row>
    <row r="383" spans="10:10" x14ac:dyDescent="0.3">
      <c r="J383" s="3"/>
    </row>
    <row r="384" spans="10:10" x14ac:dyDescent="0.3">
      <c r="J384" s="3"/>
    </row>
    <row r="385" spans="10:10" x14ac:dyDescent="0.3">
      <c r="J385" s="3"/>
    </row>
    <row r="386" spans="10:10" x14ac:dyDescent="0.3">
      <c r="J386" s="3"/>
    </row>
    <row r="387" spans="10:10" x14ac:dyDescent="0.3">
      <c r="J387" s="3"/>
    </row>
    <row r="388" spans="10:10" x14ac:dyDescent="0.3">
      <c r="J388" s="3"/>
    </row>
    <row r="389" spans="10:10" x14ac:dyDescent="0.3">
      <c r="J389" s="3"/>
    </row>
    <row r="390" spans="10:10" x14ac:dyDescent="0.3">
      <c r="J390" s="3"/>
    </row>
    <row r="391" spans="10:10" x14ac:dyDescent="0.3">
      <c r="J391" s="3"/>
    </row>
    <row r="392" spans="10:10" x14ac:dyDescent="0.3">
      <c r="J392" s="3"/>
    </row>
    <row r="393" spans="10:10" x14ac:dyDescent="0.3">
      <c r="J393" s="3"/>
    </row>
    <row r="394" spans="10:10" x14ac:dyDescent="0.3">
      <c r="J394" s="3"/>
    </row>
    <row r="395" spans="10:10" x14ac:dyDescent="0.3">
      <c r="J395" s="3"/>
    </row>
    <row r="396" spans="10:10" x14ac:dyDescent="0.3">
      <c r="J396" s="3"/>
    </row>
    <row r="397" spans="10:10" x14ac:dyDescent="0.3">
      <c r="J397" s="3"/>
    </row>
    <row r="398" spans="10:10" x14ac:dyDescent="0.3">
      <c r="J398" s="3"/>
    </row>
    <row r="399" spans="10:10" x14ac:dyDescent="0.3">
      <c r="J399" s="3"/>
    </row>
    <row r="400" spans="10:10" x14ac:dyDescent="0.3">
      <c r="J400" s="3"/>
    </row>
    <row r="401" spans="10:10" x14ac:dyDescent="0.3">
      <c r="J401" s="3"/>
    </row>
    <row r="402" spans="10:10" x14ac:dyDescent="0.3">
      <c r="J402" s="3"/>
    </row>
    <row r="403" spans="10:10" x14ac:dyDescent="0.3">
      <c r="J403" s="3"/>
    </row>
    <row r="404" spans="10:10" x14ac:dyDescent="0.3">
      <c r="J404" s="3"/>
    </row>
    <row r="405" spans="10:10" x14ac:dyDescent="0.3">
      <c r="J405" s="3"/>
    </row>
    <row r="406" spans="10:10" x14ac:dyDescent="0.3">
      <c r="J406" s="3"/>
    </row>
    <row r="407" spans="10:10" x14ac:dyDescent="0.3">
      <c r="J407" s="3"/>
    </row>
    <row r="408" spans="10:10" x14ac:dyDescent="0.3">
      <c r="J408" s="3"/>
    </row>
    <row r="409" spans="10:10" x14ac:dyDescent="0.3">
      <c r="J409" s="3"/>
    </row>
    <row r="410" spans="10:10" x14ac:dyDescent="0.3">
      <c r="J410" s="3"/>
    </row>
    <row r="411" spans="10:10" x14ac:dyDescent="0.3">
      <c r="J411" s="3"/>
    </row>
  </sheetData>
  <mergeCells count="29">
    <mergeCell ref="K211:L211"/>
    <mergeCell ref="A151:G151"/>
    <mergeCell ref="H151:I151"/>
    <mergeCell ref="A152:I152"/>
    <mergeCell ref="K152:M152"/>
    <mergeCell ref="K153:M153"/>
    <mergeCell ref="K184:M184"/>
    <mergeCell ref="A205:D205"/>
    <mergeCell ref="A204:G204"/>
    <mergeCell ref="H204:I204"/>
    <mergeCell ref="K205:L205"/>
    <mergeCell ref="K174:L174"/>
    <mergeCell ref="A5:I5"/>
    <mergeCell ref="K5:M5"/>
    <mergeCell ref="A6:I6"/>
    <mergeCell ref="K6:M6"/>
    <mergeCell ref="A68:G68"/>
    <mergeCell ref="H68:I68"/>
    <mergeCell ref="K27:L27"/>
    <mergeCell ref="K134:L134"/>
    <mergeCell ref="A69:I69"/>
    <mergeCell ref="K69:M69"/>
    <mergeCell ref="K70:M70"/>
    <mergeCell ref="A111:G111"/>
    <mergeCell ref="H111:I111"/>
    <mergeCell ref="K91:L91"/>
    <mergeCell ref="A112:I112"/>
    <mergeCell ref="K112:M112"/>
    <mergeCell ref="K113:M113"/>
  </mergeCells>
  <printOptions verticalCentered="1"/>
  <pageMargins left="0.27559055118110237" right="0.27559055118110237" top="0.19685039370078741" bottom="0.19685039370078741" header="0" footer="0"/>
  <pageSetup paperSize="9" scale="50" orientation="portrait" r:id="rId1"/>
  <ignoredErrors>
    <ignoredError sqref="G205 G40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A8DC-06A0-4B6E-8894-283E92B0BBDA}">
  <dimension ref="A1:O324"/>
  <sheetViews>
    <sheetView topLeftCell="A91" workbookViewId="0">
      <selection activeCell="A6" sqref="A6:I6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" customWidth="1"/>
    <col min="5" max="5" width="20.6640625" customWidth="1"/>
    <col min="6" max="6" width="15.44140625" bestFit="1" customWidth="1"/>
    <col min="7" max="7" width="15.6640625" customWidth="1"/>
    <col min="8" max="8" width="10" bestFit="1" customWidth="1"/>
    <col min="9" max="9" width="24.109375" style="3" customWidth="1"/>
    <col min="10" max="10" width="6.33203125" style="72" customWidth="1"/>
    <col min="11" max="11" width="17.44140625" customWidth="1"/>
    <col min="12" max="12" width="16.33203125" customWidth="1"/>
    <col min="13" max="13" width="14.88671875" customWidth="1"/>
  </cols>
  <sheetData>
    <row r="1" spans="1:15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5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5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5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5" ht="23.4" x14ac:dyDescent="0.45">
      <c r="A5" s="519" t="s">
        <v>1274</v>
      </c>
      <c r="B5" s="519"/>
      <c r="C5" s="519"/>
      <c r="D5" s="519"/>
      <c r="E5" s="519"/>
      <c r="F5" s="519"/>
      <c r="G5" s="519"/>
      <c r="H5" s="519"/>
      <c r="I5" s="519"/>
      <c r="J5" s="113"/>
      <c r="K5" s="526" t="s">
        <v>1348</v>
      </c>
      <c r="L5" s="526"/>
      <c r="M5" s="526"/>
    </row>
    <row r="6" spans="1:15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45" t="s">
        <v>34</v>
      </c>
      <c r="L6" s="545"/>
      <c r="M6" s="545"/>
      <c r="N6" s="146"/>
      <c r="O6" s="146"/>
    </row>
    <row r="7" spans="1:15" x14ac:dyDescent="0.3">
      <c r="A7" s="33" t="s">
        <v>13</v>
      </c>
      <c r="B7" s="33" t="s">
        <v>1340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  <c r="N7" s="146"/>
      <c r="O7" s="146"/>
    </row>
    <row r="8" spans="1:15" ht="20.399999999999999" customHeight="1" x14ac:dyDescent="0.3">
      <c r="A8" s="54">
        <v>46173</v>
      </c>
      <c r="B8" s="54"/>
      <c r="C8" s="13" t="s">
        <v>21</v>
      </c>
      <c r="D8" s="13"/>
      <c r="E8" s="58">
        <v>294999.3</v>
      </c>
      <c r="F8" s="67"/>
      <c r="G8" s="163">
        <f>+E8-F8</f>
        <v>294999.3</v>
      </c>
      <c r="H8" s="36"/>
      <c r="I8" s="105"/>
      <c r="J8" s="5"/>
      <c r="K8" s="39" t="s">
        <v>0</v>
      </c>
      <c r="L8" s="73" t="s">
        <v>92</v>
      </c>
      <c r="M8" s="26">
        <v>0</v>
      </c>
      <c r="N8" s="146"/>
      <c r="O8" s="146"/>
    </row>
    <row r="9" spans="1:15" s="6" customFormat="1" ht="16.2" customHeight="1" x14ac:dyDescent="0.3">
      <c r="A9" s="82">
        <v>46174</v>
      </c>
      <c r="B9" s="50" t="s">
        <v>57</v>
      </c>
      <c r="C9" s="49" t="s">
        <v>1341</v>
      </c>
      <c r="D9" s="15" t="s">
        <v>10</v>
      </c>
      <c r="E9" s="11"/>
      <c r="F9" s="16">
        <v>542358.78</v>
      </c>
      <c r="G9" s="159">
        <f>+G8+E9-F9</f>
        <v>-247359.48000000004</v>
      </c>
      <c r="H9" s="76">
        <v>239.452</v>
      </c>
      <c r="I9" s="10" t="s">
        <v>92</v>
      </c>
      <c r="J9" s="110"/>
      <c r="K9" s="69" t="s">
        <v>1</v>
      </c>
      <c r="L9" s="73" t="s">
        <v>92</v>
      </c>
      <c r="M9" s="42">
        <f>SUM(H28)</f>
        <v>72.331999999999994</v>
      </c>
      <c r="N9" s="146"/>
      <c r="O9" s="146"/>
    </row>
    <row r="10" spans="1:15" x14ac:dyDescent="0.3">
      <c r="A10" s="82">
        <v>46174</v>
      </c>
      <c r="B10" s="82" t="s">
        <v>57</v>
      </c>
      <c r="C10" s="49" t="s">
        <v>1342</v>
      </c>
      <c r="D10" s="7" t="s">
        <v>24</v>
      </c>
      <c r="E10" s="22"/>
      <c r="F10" s="16">
        <v>60000.95</v>
      </c>
      <c r="G10" s="159">
        <f t="shared" ref="G10:G116" si="0">+G9+E10-F10</f>
        <v>-307360.43000000005</v>
      </c>
      <c r="H10" s="76">
        <v>25.105</v>
      </c>
      <c r="I10" s="10" t="s">
        <v>92</v>
      </c>
      <c r="J10" s="110"/>
      <c r="K10" s="24" t="s">
        <v>27</v>
      </c>
      <c r="L10" s="73" t="s">
        <v>92</v>
      </c>
      <c r="M10" s="26">
        <v>0</v>
      </c>
      <c r="N10" s="146"/>
      <c r="O10" s="146"/>
    </row>
    <row r="11" spans="1:15" x14ac:dyDescent="0.3">
      <c r="A11" s="82">
        <v>46174</v>
      </c>
      <c r="B11" s="82" t="s">
        <v>57</v>
      </c>
      <c r="C11" s="49" t="s">
        <v>1343</v>
      </c>
      <c r="D11" s="7" t="s">
        <v>3</v>
      </c>
      <c r="E11" s="22"/>
      <c r="F11" s="16">
        <v>60000.95</v>
      </c>
      <c r="G11" s="159">
        <f t="shared" si="0"/>
        <v>-367361.38000000006</v>
      </c>
      <c r="H11" s="76">
        <v>25.105</v>
      </c>
      <c r="I11" s="10" t="s">
        <v>92</v>
      </c>
      <c r="J11" s="110"/>
      <c r="K11" s="126" t="s">
        <v>429</v>
      </c>
      <c r="L11" s="73" t="s">
        <v>92</v>
      </c>
      <c r="M11" s="80">
        <f>SUM(H16+H19+H29+H43)</f>
        <v>100.283</v>
      </c>
      <c r="N11" s="146"/>
      <c r="O11" s="146"/>
    </row>
    <row r="12" spans="1:15" x14ac:dyDescent="0.3">
      <c r="A12" s="82">
        <v>46174</v>
      </c>
      <c r="B12" s="82" t="s">
        <v>57</v>
      </c>
      <c r="C12" s="49" t="s">
        <v>1344</v>
      </c>
      <c r="D12" s="15" t="s">
        <v>6</v>
      </c>
      <c r="E12" s="22"/>
      <c r="F12" s="16">
        <v>60000.95</v>
      </c>
      <c r="G12" s="159">
        <f t="shared" si="0"/>
        <v>-427362.33000000007</v>
      </c>
      <c r="H12" s="76">
        <v>25.105</v>
      </c>
      <c r="I12" s="10" t="s">
        <v>92</v>
      </c>
      <c r="J12" s="110"/>
      <c r="K12" s="126" t="s">
        <v>62</v>
      </c>
      <c r="L12" s="73" t="s">
        <v>92</v>
      </c>
      <c r="M12" s="80">
        <f>SUM(H14+H24+H32+H46)</f>
        <v>100.22000000000001</v>
      </c>
      <c r="N12" s="146"/>
      <c r="O12" s="146"/>
    </row>
    <row r="13" spans="1:15" x14ac:dyDescent="0.3">
      <c r="A13" s="82">
        <v>46174</v>
      </c>
      <c r="B13" s="82" t="s">
        <v>57</v>
      </c>
      <c r="C13" s="49" t="s">
        <v>1345</v>
      </c>
      <c r="D13" s="85" t="s">
        <v>117</v>
      </c>
      <c r="E13" s="22"/>
      <c r="F13" s="16">
        <v>42842.48</v>
      </c>
      <c r="G13" s="159">
        <f t="shared" si="0"/>
        <v>-470204.81000000006</v>
      </c>
      <c r="H13" s="76">
        <v>18.914999999999999</v>
      </c>
      <c r="I13" s="10" t="s">
        <v>92</v>
      </c>
      <c r="J13" s="110"/>
      <c r="K13" s="126" t="s">
        <v>361</v>
      </c>
      <c r="L13" s="73" t="s">
        <v>92</v>
      </c>
      <c r="M13" s="80">
        <v>0</v>
      </c>
      <c r="N13" s="146"/>
      <c r="O13" s="146"/>
    </row>
    <row r="14" spans="1:15" x14ac:dyDescent="0.3">
      <c r="A14" s="82">
        <v>46174</v>
      </c>
      <c r="B14" s="82" t="s">
        <v>57</v>
      </c>
      <c r="C14" s="49" t="s">
        <v>1346</v>
      </c>
      <c r="D14" s="15" t="s">
        <v>62</v>
      </c>
      <c r="E14" s="22"/>
      <c r="F14" s="16">
        <v>60000.95</v>
      </c>
      <c r="G14" s="159">
        <f t="shared" si="0"/>
        <v>-530205.76</v>
      </c>
      <c r="H14" s="76">
        <v>25.105</v>
      </c>
      <c r="I14" s="10" t="s">
        <v>92</v>
      </c>
      <c r="J14" s="110"/>
      <c r="K14" s="391" t="s">
        <v>541</v>
      </c>
      <c r="L14" s="73" t="s">
        <v>92</v>
      </c>
      <c r="M14" s="80">
        <v>0</v>
      </c>
      <c r="N14" s="146"/>
      <c r="O14" s="146"/>
    </row>
    <row r="15" spans="1:15" x14ac:dyDescent="0.3">
      <c r="A15" s="82">
        <v>46174</v>
      </c>
      <c r="B15" s="82" t="s">
        <v>57</v>
      </c>
      <c r="C15" s="49" t="s">
        <v>1347</v>
      </c>
      <c r="D15" s="15" t="s">
        <v>8</v>
      </c>
      <c r="E15" s="22"/>
      <c r="F15" s="16">
        <v>60000.95</v>
      </c>
      <c r="G15" s="159">
        <f t="shared" si="0"/>
        <v>-590206.71</v>
      </c>
      <c r="H15" s="76">
        <v>25.105</v>
      </c>
      <c r="I15" s="10" t="s">
        <v>92</v>
      </c>
      <c r="J15" s="110"/>
      <c r="K15" s="69" t="s">
        <v>24</v>
      </c>
      <c r="L15" s="73" t="s">
        <v>92</v>
      </c>
      <c r="M15" s="80">
        <f>SUM(H10+H22+H33)</f>
        <v>75.210000000000008</v>
      </c>
      <c r="N15" s="146"/>
      <c r="O15" s="146"/>
    </row>
    <row r="16" spans="1:15" x14ac:dyDescent="0.3">
      <c r="A16" s="82">
        <v>46174</v>
      </c>
      <c r="B16" s="82" t="s">
        <v>57</v>
      </c>
      <c r="C16" s="49" t="s">
        <v>1349</v>
      </c>
      <c r="D16" s="15" t="s">
        <v>429</v>
      </c>
      <c r="E16" s="22"/>
      <c r="F16" s="16">
        <v>60000.95</v>
      </c>
      <c r="G16" s="159">
        <f t="shared" si="0"/>
        <v>-650207.65999999992</v>
      </c>
      <c r="H16" s="76">
        <v>25.105</v>
      </c>
      <c r="I16" s="10" t="s">
        <v>92</v>
      </c>
      <c r="J16" s="110"/>
      <c r="K16" s="69" t="s">
        <v>29</v>
      </c>
      <c r="L16" s="73" t="s">
        <v>92</v>
      </c>
      <c r="M16" s="80">
        <v>0</v>
      </c>
      <c r="N16" s="146"/>
      <c r="O16" s="146"/>
    </row>
    <row r="17" spans="1:15" x14ac:dyDescent="0.3">
      <c r="A17" s="82">
        <v>46174</v>
      </c>
      <c r="B17" s="82" t="s">
        <v>57</v>
      </c>
      <c r="C17" s="49" t="s">
        <v>1350</v>
      </c>
      <c r="D17" s="15" t="s">
        <v>5</v>
      </c>
      <c r="E17" s="22"/>
      <c r="F17" s="16">
        <v>64111.75</v>
      </c>
      <c r="G17" s="159">
        <f t="shared" si="0"/>
        <v>-714319.40999999992</v>
      </c>
      <c r="H17" s="76">
        <v>26.824999999999999</v>
      </c>
      <c r="I17" s="10" t="s">
        <v>92</v>
      </c>
      <c r="J17" s="110"/>
      <c r="K17" s="69" t="s">
        <v>3</v>
      </c>
      <c r="L17" s="73" t="s">
        <v>92</v>
      </c>
      <c r="M17" s="80">
        <f>SUM(H11)</f>
        <v>25.105</v>
      </c>
      <c r="N17" s="146"/>
      <c r="O17" s="146"/>
    </row>
    <row r="18" spans="1:15" x14ac:dyDescent="0.3">
      <c r="A18" s="327">
        <v>46175</v>
      </c>
      <c r="B18" s="327" t="s">
        <v>60</v>
      </c>
      <c r="C18" s="328" t="s">
        <v>1351</v>
      </c>
      <c r="D18" s="308" t="s">
        <v>1218</v>
      </c>
      <c r="E18" s="370">
        <v>1000000</v>
      </c>
      <c r="F18" s="339"/>
      <c r="G18" s="316">
        <f t="shared" si="0"/>
        <v>285680.59000000008</v>
      </c>
      <c r="H18" s="396"/>
      <c r="I18" s="199" t="s">
        <v>1222</v>
      </c>
      <c r="J18" s="110"/>
      <c r="K18" s="69" t="s">
        <v>5</v>
      </c>
      <c r="L18" s="73" t="s">
        <v>92</v>
      </c>
      <c r="M18" s="80">
        <f>SUM(H17+H35+H41+H44)</f>
        <v>95.653000000000006</v>
      </c>
      <c r="N18" s="146"/>
      <c r="O18" s="146"/>
    </row>
    <row r="19" spans="1:15" x14ac:dyDescent="0.3">
      <c r="A19" s="82">
        <v>46175</v>
      </c>
      <c r="B19" s="82" t="s">
        <v>57</v>
      </c>
      <c r="C19" s="49" t="s">
        <v>1352</v>
      </c>
      <c r="D19" s="15" t="s">
        <v>429</v>
      </c>
      <c r="E19" s="22"/>
      <c r="F19" s="16">
        <v>59999.31</v>
      </c>
      <c r="G19" s="161">
        <f t="shared" si="0"/>
        <v>225681.28000000009</v>
      </c>
      <c r="H19" s="76">
        <v>25.030999999999999</v>
      </c>
      <c r="I19" s="10" t="s">
        <v>92</v>
      </c>
      <c r="J19" s="110"/>
      <c r="K19" s="69" t="s">
        <v>61</v>
      </c>
      <c r="L19" s="73" t="s">
        <v>92</v>
      </c>
      <c r="M19" s="80">
        <f>SUM(H21+H38)</f>
        <v>271.02199999999999</v>
      </c>
      <c r="N19" s="146"/>
      <c r="O19" s="146"/>
    </row>
    <row r="20" spans="1:15" x14ac:dyDescent="0.3">
      <c r="A20" s="82">
        <v>46175</v>
      </c>
      <c r="B20" s="82" t="s">
        <v>57</v>
      </c>
      <c r="C20" s="49" t="s">
        <v>1353</v>
      </c>
      <c r="D20" s="15" t="s">
        <v>117</v>
      </c>
      <c r="E20" s="22"/>
      <c r="F20" s="16">
        <v>77713.759999999995</v>
      </c>
      <c r="G20" s="161">
        <f t="shared" si="0"/>
        <v>147967.52000000008</v>
      </c>
      <c r="H20" s="76">
        <v>34.204999999999998</v>
      </c>
      <c r="I20" s="10" t="s">
        <v>92</v>
      </c>
      <c r="J20" s="110"/>
      <c r="K20" s="69" t="s">
        <v>22</v>
      </c>
      <c r="L20" s="73" t="s">
        <v>92</v>
      </c>
      <c r="M20" s="80">
        <f>SUM(H26)</f>
        <v>131.27099999999999</v>
      </c>
      <c r="N20" s="146"/>
      <c r="O20" s="146"/>
    </row>
    <row r="21" spans="1:15" x14ac:dyDescent="0.3">
      <c r="A21" s="82">
        <v>46175</v>
      </c>
      <c r="B21" s="82" t="s">
        <v>57</v>
      </c>
      <c r="C21" s="49" t="s">
        <v>1354</v>
      </c>
      <c r="D21" s="50" t="s">
        <v>61</v>
      </c>
      <c r="E21" s="22"/>
      <c r="F21" s="16">
        <v>308781.53999999998</v>
      </c>
      <c r="G21" s="159">
        <f t="shared" si="0"/>
        <v>-160814.0199999999</v>
      </c>
      <c r="H21" s="76">
        <v>128.82</v>
      </c>
      <c r="I21" s="10" t="s">
        <v>92</v>
      </c>
      <c r="J21" s="110"/>
      <c r="K21" s="69" t="s">
        <v>6</v>
      </c>
      <c r="L21" s="73" t="s">
        <v>92</v>
      </c>
      <c r="M21" s="80">
        <f>SUM(H12+H30+H39)</f>
        <v>75.251999999999995</v>
      </c>
      <c r="N21" s="146"/>
      <c r="O21" s="146"/>
    </row>
    <row r="22" spans="1:15" x14ac:dyDescent="0.3">
      <c r="A22" s="82">
        <v>46176</v>
      </c>
      <c r="B22" s="82" t="s">
        <v>57</v>
      </c>
      <c r="C22" s="49" t="s">
        <v>1355</v>
      </c>
      <c r="D22" s="50" t="s">
        <v>24</v>
      </c>
      <c r="E22" s="22"/>
      <c r="F22" s="16">
        <v>60000.93</v>
      </c>
      <c r="G22" s="159">
        <f t="shared" si="0"/>
        <v>-220814.9499999999</v>
      </c>
      <c r="H22" s="76">
        <v>25.084</v>
      </c>
      <c r="I22" s="10" t="s">
        <v>92</v>
      </c>
      <c r="J22" s="110"/>
      <c r="K22" s="69" t="s">
        <v>8</v>
      </c>
      <c r="L22" s="73" t="s">
        <v>92</v>
      </c>
      <c r="M22" s="80">
        <f>SUM(H15+H37+H45)</f>
        <v>75.13600000000001</v>
      </c>
      <c r="N22" s="146"/>
      <c r="O22" s="146"/>
    </row>
    <row r="23" spans="1:15" x14ac:dyDescent="0.3">
      <c r="A23" s="82">
        <v>46176</v>
      </c>
      <c r="B23" s="82" t="s">
        <v>57</v>
      </c>
      <c r="C23" s="49" t="s">
        <v>1356</v>
      </c>
      <c r="D23" s="50" t="s">
        <v>117</v>
      </c>
      <c r="E23" s="22"/>
      <c r="F23" s="16">
        <v>42876.54</v>
      </c>
      <c r="G23" s="159">
        <f t="shared" si="0"/>
        <v>-263691.48999999987</v>
      </c>
      <c r="H23" s="76">
        <v>18.905000000000001</v>
      </c>
      <c r="I23" s="10" t="s">
        <v>92</v>
      </c>
      <c r="J23" s="110"/>
      <c r="K23" s="69" t="s">
        <v>9</v>
      </c>
      <c r="L23" s="73" t="s">
        <v>92</v>
      </c>
      <c r="M23" s="80">
        <f>SUM(H25)</f>
        <v>159.45699999999999</v>
      </c>
      <c r="N23" s="146"/>
      <c r="O23" s="146"/>
    </row>
    <row r="24" spans="1:15" x14ac:dyDescent="0.3">
      <c r="A24" s="82">
        <v>46176</v>
      </c>
      <c r="B24" s="82" t="s">
        <v>57</v>
      </c>
      <c r="C24" s="49" t="s">
        <v>1357</v>
      </c>
      <c r="D24" s="50" t="s">
        <v>62</v>
      </c>
      <c r="E24" s="22"/>
      <c r="F24" s="16">
        <v>60000.93</v>
      </c>
      <c r="G24" s="159">
        <f t="shared" si="0"/>
        <v>-323692.41999999987</v>
      </c>
      <c r="H24" s="76">
        <v>25.084</v>
      </c>
      <c r="I24" s="10" t="s">
        <v>92</v>
      </c>
      <c r="J24" s="110"/>
      <c r="K24" s="69" t="s">
        <v>30</v>
      </c>
      <c r="L24" s="73" t="s">
        <v>92</v>
      </c>
      <c r="M24" s="80">
        <f>SUM(H31)</f>
        <v>208.50700000000001</v>
      </c>
      <c r="N24" s="146"/>
      <c r="O24" s="146"/>
    </row>
    <row r="25" spans="1:15" x14ac:dyDescent="0.3">
      <c r="A25" s="82">
        <v>46176</v>
      </c>
      <c r="B25" s="82" t="s">
        <v>57</v>
      </c>
      <c r="C25" s="49" t="s">
        <v>1358</v>
      </c>
      <c r="D25" s="15" t="s">
        <v>9</v>
      </c>
      <c r="E25" s="11"/>
      <c r="F25" s="16">
        <v>361648.48</v>
      </c>
      <c r="G25" s="159">
        <f t="shared" si="0"/>
        <v>-685340.89999999991</v>
      </c>
      <c r="H25" s="76">
        <v>159.45699999999999</v>
      </c>
      <c r="I25" s="10" t="s">
        <v>92</v>
      </c>
      <c r="J25"/>
      <c r="K25" s="69" t="s">
        <v>10</v>
      </c>
      <c r="L25" s="73" t="s">
        <v>92</v>
      </c>
      <c r="M25" s="80">
        <f>SUM(H9)</f>
        <v>239.452</v>
      </c>
      <c r="N25" s="146"/>
      <c r="O25" s="146"/>
    </row>
    <row r="26" spans="1:15" x14ac:dyDescent="0.3">
      <c r="A26" s="82">
        <v>46176</v>
      </c>
      <c r="B26" s="82" t="s">
        <v>57</v>
      </c>
      <c r="C26" s="49" t="s">
        <v>1393</v>
      </c>
      <c r="D26" s="15" t="s">
        <v>22</v>
      </c>
      <c r="E26" s="11"/>
      <c r="F26" s="16">
        <v>314000.23</v>
      </c>
      <c r="G26" s="159">
        <f t="shared" si="0"/>
        <v>-999341.12999999989</v>
      </c>
      <c r="H26" s="76">
        <v>131.27099999999999</v>
      </c>
      <c r="I26" s="10" t="s">
        <v>92</v>
      </c>
      <c r="J26"/>
      <c r="K26" s="69" t="s">
        <v>11</v>
      </c>
      <c r="L26" s="73" t="s">
        <v>92</v>
      </c>
      <c r="M26" s="80">
        <f>SUM(H13+H20+H23+H34+H36+H40)</f>
        <v>166.304</v>
      </c>
      <c r="N26" s="146"/>
      <c r="O26" s="146"/>
    </row>
    <row r="27" spans="1:15" x14ac:dyDescent="0.3">
      <c r="A27" s="327">
        <v>46176</v>
      </c>
      <c r="B27" s="327" t="s">
        <v>60</v>
      </c>
      <c r="C27" s="328" t="s">
        <v>1394</v>
      </c>
      <c r="D27" s="308" t="s">
        <v>1218</v>
      </c>
      <c r="E27" s="397">
        <v>1500000</v>
      </c>
      <c r="F27" s="339"/>
      <c r="G27" s="310">
        <f t="shared" si="0"/>
        <v>500658.87000000011</v>
      </c>
      <c r="H27" s="201"/>
      <c r="I27" s="199" t="s">
        <v>1222</v>
      </c>
      <c r="J27"/>
      <c r="K27" s="540" t="s">
        <v>695</v>
      </c>
      <c r="L27" s="541"/>
      <c r="M27" s="148">
        <f>SUM(M8:M26)</f>
        <v>1795.204</v>
      </c>
      <c r="N27" s="146"/>
      <c r="O27" s="146"/>
    </row>
    <row r="28" spans="1:15" x14ac:dyDescent="0.3">
      <c r="A28" s="82">
        <v>46176</v>
      </c>
      <c r="B28" s="82" t="s">
        <v>57</v>
      </c>
      <c r="C28" s="49" t="s">
        <v>1395</v>
      </c>
      <c r="D28" s="15" t="s">
        <v>1</v>
      </c>
      <c r="E28" s="11"/>
      <c r="F28" s="16">
        <v>173018.14</v>
      </c>
      <c r="G28" s="160">
        <f t="shared" si="0"/>
        <v>327640.7300000001</v>
      </c>
      <c r="H28" s="76">
        <v>72.331999999999994</v>
      </c>
      <c r="I28" s="77" t="s">
        <v>92</v>
      </c>
      <c r="J28"/>
      <c r="K28" s="124"/>
      <c r="L28" s="124"/>
      <c r="M28" s="74"/>
      <c r="N28" s="146"/>
      <c r="O28" s="146"/>
    </row>
    <row r="29" spans="1:15" x14ac:dyDescent="0.3">
      <c r="A29" s="82">
        <v>46176</v>
      </c>
      <c r="B29" s="82" t="s">
        <v>57</v>
      </c>
      <c r="C29" s="49" t="s">
        <v>1396</v>
      </c>
      <c r="D29" s="15" t="s">
        <v>429</v>
      </c>
      <c r="E29" s="11"/>
      <c r="F29" s="16">
        <v>60000.93</v>
      </c>
      <c r="G29" s="160">
        <f t="shared" si="0"/>
        <v>267639.8000000001</v>
      </c>
      <c r="H29" s="76">
        <v>25.084</v>
      </c>
      <c r="I29" s="77" t="s">
        <v>92</v>
      </c>
      <c r="J29"/>
      <c r="K29" s="124"/>
      <c r="L29" s="124"/>
      <c r="M29" s="74"/>
      <c r="N29" s="146"/>
      <c r="O29" s="146"/>
    </row>
    <row r="30" spans="1:15" x14ac:dyDescent="0.3">
      <c r="A30" s="82">
        <v>46176</v>
      </c>
      <c r="B30" s="82" t="s">
        <v>57</v>
      </c>
      <c r="C30" s="49" t="s">
        <v>1397</v>
      </c>
      <c r="D30" s="15" t="s">
        <v>6</v>
      </c>
      <c r="E30" s="11"/>
      <c r="F30" s="16">
        <v>60000.93</v>
      </c>
      <c r="G30" s="160">
        <f t="shared" si="0"/>
        <v>207638.87000000011</v>
      </c>
      <c r="H30" s="76">
        <v>25.084</v>
      </c>
      <c r="I30" s="77" t="s">
        <v>92</v>
      </c>
      <c r="J30"/>
      <c r="N30" s="146"/>
      <c r="O30" s="146"/>
    </row>
    <row r="31" spans="1:15" x14ac:dyDescent="0.3">
      <c r="A31" s="82">
        <v>46177</v>
      </c>
      <c r="B31" s="82" t="s">
        <v>57</v>
      </c>
      <c r="C31" s="49" t="s">
        <v>1359</v>
      </c>
      <c r="D31" s="149" t="s">
        <v>30</v>
      </c>
      <c r="E31" s="394"/>
      <c r="F31" s="392">
        <v>499999.79</v>
      </c>
      <c r="G31" s="159">
        <f t="shared" si="0"/>
        <v>-292360.91999999987</v>
      </c>
      <c r="H31" s="76">
        <v>208.50700000000001</v>
      </c>
      <c r="I31" s="77" t="s">
        <v>92</v>
      </c>
      <c r="J31"/>
      <c r="N31" s="146"/>
      <c r="O31" s="146"/>
    </row>
    <row r="32" spans="1:15" x14ac:dyDescent="0.3">
      <c r="A32" s="82">
        <v>46177</v>
      </c>
      <c r="B32" s="82" t="s">
        <v>57</v>
      </c>
      <c r="C32" s="49" t="s">
        <v>75</v>
      </c>
      <c r="D32" s="149" t="s">
        <v>62</v>
      </c>
      <c r="E32" s="394"/>
      <c r="F32" s="392">
        <v>60000.36</v>
      </c>
      <c r="G32" s="159">
        <f t="shared" si="0"/>
        <v>-352361.27999999985</v>
      </c>
      <c r="H32" s="76">
        <v>25.021000000000001</v>
      </c>
      <c r="I32" s="77" t="s">
        <v>92</v>
      </c>
      <c r="J32" s="112"/>
      <c r="N32" s="146"/>
      <c r="O32" s="146"/>
    </row>
    <row r="33" spans="1:15" ht="14.4" customHeight="1" x14ac:dyDescent="0.3">
      <c r="A33" s="82">
        <v>46177</v>
      </c>
      <c r="B33" s="82" t="s">
        <v>57</v>
      </c>
      <c r="C33" s="49" t="s">
        <v>1360</v>
      </c>
      <c r="D33" s="149" t="s">
        <v>24</v>
      </c>
      <c r="E33" s="394"/>
      <c r="F33" s="392">
        <v>60000.36</v>
      </c>
      <c r="G33" s="159">
        <f t="shared" si="0"/>
        <v>-412361.63999999984</v>
      </c>
      <c r="H33" s="76">
        <v>25.021000000000001</v>
      </c>
      <c r="I33" s="77" t="s">
        <v>92</v>
      </c>
      <c r="J33" s="25"/>
      <c r="K33" s="146"/>
      <c r="L33" s="146"/>
      <c r="M33" s="146"/>
      <c r="N33" s="146"/>
      <c r="O33" s="146"/>
    </row>
    <row r="34" spans="1:15" x14ac:dyDescent="0.3">
      <c r="A34" s="82">
        <v>46177</v>
      </c>
      <c r="B34" s="82" t="s">
        <v>57</v>
      </c>
      <c r="C34" s="53" t="s">
        <v>1361</v>
      </c>
      <c r="D34" s="82" t="s">
        <v>117</v>
      </c>
      <c r="E34" s="192"/>
      <c r="F34" s="392">
        <v>85292.68</v>
      </c>
      <c r="G34" s="159">
        <f t="shared" si="0"/>
        <v>-497654.31999999983</v>
      </c>
      <c r="H34" s="76">
        <v>37.606999999999999</v>
      </c>
      <c r="I34" s="77" t="s">
        <v>92</v>
      </c>
      <c r="J34" s="110"/>
      <c r="K34" s="146"/>
      <c r="L34" s="146"/>
      <c r="M34" s="146"/>
      <c r="N34" s="146"/>
      <c r="O34" s="146"/>
    </row>
    <row r="35" spans="1:15" x14ac:dyDescent="0.3">
      <c r="A35" s="82">
        <v>46177</v>
      </c>
      <c r="B35" s="82" t="s">
        <v>57</v>
      </c>
      <c r="C35" s="53" t="s">
        <v>1362</v>
      </c>
      <c r="D35" s="82" t="s">
        <v>5</v>
      </c>
      <c r="E35" s="192"/>
      <c r="F35" s="392">
        <v>60000.36</v>
      </c>
      <c r="G35" s="159">
        <f t="shared" si="0"/>
        <v>-557654.67999999982</v>
      </c>
      <c r="H35" s="76">
        <v>25.021000000000001</v>
      </c>
      <c r="I35" s="77" t="s">
        <v>92</v>
      </c>
      <c r="J35" s="110"/>
      <c r="K35" s="146"/>
      <c r="L35" s="146"/>
      <c r="M35" s="146"/>
      <c r="N35" s="146"/>
      <c r="O35" s="146"/>
    </row>
    <row r="36" spans="1:15" x14ac:dyDescent="0.3">
      <c r="A36" s="82">
        <v>46177</v>
      </c>
      <c r="B36" s="82" t="s">
        <v>57</v>
      </c>
      <c r="C36" s="53" t="s">
        <v>1363</v>
      </c>
      <c r="D36" s="82" t="s">
        <v>117</v>
      </c>
      <c r="E36" s="192"/>
      <c r="F36" s="392">
        <v>40352.26</v>
      </c>
      <c r="G36" s="159">
        <f t="shared" si="0"/>
        <v>-598006.93999999983</v>
      </c>
      <c r="H36" s="76">
        <v>17.792000000000002</v>
      </c>
      <c r="I36" s="77" t="s">
        <v>92</v>
      </c>
      <c r="J36" s="110"/>
      <c r="K36" s="146"/>
      <c r="L36" s="146"/>
      <c r="M36" s="146"/>
      <c r="N36" s="146"/>
      <c r="O36" s="146"/>
    </row>
    <row r="37" spans="1:15" x14ac:dyDescent="0.3">
      <c r="A37" s="82">
        <v>46177</v>
      </c>
      <c r="B37" s="82" t="s">
        <v>57</v>
      </c>
      <c r="C37" s="53" t="s">
        <v>1364</v>
      </c>
      <c r="D37" s="82" t="s">
        <v>8</v>
      </c>
      <c r="E37" s="192"/>
      <c r="F37" s="392">
        <v>60000.36</v>
      </c>
      <c r="G37" s="159">
        <f t="shared" si="0"/>
        <v>-658007.29999999981</v>
      </c>
      <c r="H37" s="76">
        <v>25.021000000000001</v>
      </c>
      <c r="I37" s="77" t="s">
        <v>92</v>
      </c>
      <c r="J37" s="110"/>
      <c r="K37" s="146"/>
      <c r="L37" s="146"/>
      <c r="M37" s="146"/>
      <c r="N37" s="146"/>
      <c r="O37" s="146"/>
    </row>
    <row r="38" spans="1:15" x14ac:dyDescent="0.3">
      <c r="A38" s="82">
        <v>46177</v>
      </c>
      <c r="B38" s="82" t="s">
        <v>57</v>
      </c>
      <c r="C38" s="53" t="s">
        <v>1365</v>
      </c>
      <c r="D38" s="82" t="s">
        <v>61</v>
      </c>
      <c r="E38" s="192"/>
      <c r="F38" s="392">
        <v>341000.4</v>
      </c>
      <c r="G38" s="159">
        <f t="shared" si="0"/>
        <v>-999007.69999999984</v>
      </c>
      <c r="H38" s="76">
        <v>142.202</v>
      </c>
      <c r="I38" s="77" t="s">
        <v>92</v>
      </c>
      <c r="J38" s="110"/>
      <c r="K38" s="146"/>
      <c r="L38" s="146"/>
      <c r="M38" s="146"/>
      <c r="N38" s="146"/>
      <c r="O38" s="146"/>
    </row>
    <row r="39" spans="1:15" x14ac:dyDescent="0.3">
      <c r="A39" s="82">
        <v>46178</v>
      </c>
      <c r="B39" s="82" t="s">
        <v>57</v>
      </c>
      <c r="C39" s="53" t="s">
        <v>1366</v>
      </c>
      <c r="D39" s="82" t="s">
        <v>6</v>
      </c>
      <c r="E39" s="192"/>
      <c r="F39" s="392">
        <v>60000.82</v>
      </c>
      <c r="G39" s="159">
        <f t="shared" si="0"/>
        <v>-1059008.5199999998</v>
      </c>
      <c r="H39" s="76">
        <v>25.062999999999999</v>
      </c>
      <c r="I39" s="77" t="s">
        <v>92</v>
      </c>
      <c r="J39" s="110"/>
      <c r="K39" s="146"/>
      <c r="L39" s="146"/>
      <c r="M39" s="146"/>
      <c r="N39" s="146"/>
      <c r="O39" s="146"/>
    </row>
    <row r="40" spans="1:15" x14ac:dyDescent="0.3">
      <c r="A40" s="82">
        <v>46178</v>
      </c>
      <c r="B40" s="82" t="s">
        <v>57</v>
      </c>
      <c r="C40" s="53" t="s">
        <v>1367</v>
      </c>
      <c r="D40" s="82" t="s">
        <v>117</v>
      </c>
      <c r="E40" s="192"/>
      <c r="F40" s="152">
        <v>88024.320000000007</v>
      </c>
      <c r="G40" s="159">
        <f t="shared" si="0"/>
        <v>-1147032.8399999999</v>
      </c>
      <c r="H40" s="76">
        <v>38.880000000000003</v>
      </c>
      <c r="I40" s="77" t="s">
        <v>92</v>
      </c>
      <c r="J40" s="110"/>
      <c r="K40" s="146"/>
      <c r="L40" s="146"/>
      <c r="M40" s="146"/>
      <c r="N40" s="146"/>
      <c r="O40" s="146"/>
    </row>
    <row r="41" spans="1:15" x14ac:dyDescent="0.3">
      <c r="A41" s="82">
        <v>46178</v>
      </c>
      <c r="B41" s="82" t="s">
        <v>57</v>
      </c>
      <c r="C41" s="53" t="s">
        <v>1368</v>
      </c>
      <c r="D41" s="82" t="s">
        <v>5</v>
      </c>
      <c r="E41" s="192"/>
      <c r="F41" s="152">
        <v>45000.02</v>
      </c>
      <c r="G41" s="159">
        <f t="shared" si="0"/>
        <v>-1192032.8599999999</v>
      </c>
      <c r="H41" s="76">
        <v>18.797000000000001</v>
      </c>
      <c r="I41" s="77" t="s">
        <v>92</v>
      </c>
      <c r="J41" s="110"/>
      <c r="K41" s="146"/>
      <c r="L41" s="146"/>
      <c r="M41" s="146"/>
      <c r="N41" s="146"/>
      <c r="O41" s="146"/>
    </row>
    <row r="42" spans="1:15" x14ac:dyDescent="0.3">
      <c r="A42" s="327">
        <v>46178</v>
      </c>
      <c r="B42" s="327" t="s">
        <v>60</v>
      </c>
      <c r="C42" s="356" t="s">
        <v>1369</v>
      </c>
      <c r="D42" s="327" t="s">
        <v>1218</v>
      </c>
      <c r="E42" s="373">
        <v>2000000</v>
      </c>
      <c r="F42" s="360"/>
      <c r="G42" s="310">
        <f t="shared" si="0"/>
        <v>807967.14000000013</v>
      </c>
      <c r="H42" s="311"/>
      <c r="I42" s="199" t="s">
        <v>1222</v>
      </c>
      <c r="J42" s="110"/>
      <c r="K42" s="146"/>
      <c r="L42" s="146"/>
      <c r="M42" s="146"/>
      <c r="N42" s="146"/>
      <c r="O42" s="146"/>
    </row>
    <row r="43" spans="1:15" x14ac:dyDescent="0.3">
      <c r="A43" s="82">
        <v>46178</v>
      </c>
      <c r="B43" s="82" t="s">
        <v>57</v>
      </c>
      <c r="C43" s="53" t="s">
        <v>1370</v>
      </c>
      <c r="D43" s="82" t="s">
        <v>429</v>
      </c>
      <c r="E43" s="192"/>
      <c r="F43" s="152">
        <v>60000.82</v>
      </c>
      <c r="G43" s="160">
        <f t="shared" si="0"/>
        <v>747966.32000000018</v>
      </c>
      <c r="H43" s="76">
        <v>25.062999999999999</v>
      </c>
      <c r="I43" s="10" t="s">
        <v>92</v>
      </c>
      <c r="J43" s="110"/>
      <c r="K43" s="146"/>
      <c r="L43" s="146"/>
      <c r="M43" s="146"/>
      <c r="N43" s="146"/>
      <c r="O43" s="146"/>
    </row>
    <row r="44" spans="1:15" x14ac:dyDescent="0.3">
      <c r="A44" s="82">
        <v>46179</v>
      </c>
      <c r="B44" s="82" t="s">
        <v>57</v>
      </c>
      <c r="C44" s="53" t="s">
        <v>1371</v>
      </c>
      <c r="D44" s="82" t="s">
        <v>5</v>
      </c>
      <c r="E44" s="192"/>
      <c r="F44" s="152">
        <v>59998.99</v>
      </c>
      <c r="G44" s="160">
        <f t="shared" si="0"/>
        <v>687967.33000000019</v>
      </c>
      <c r="H44" s="76">
        <v>25.01</v>
      </c>
      <c r="I44" s="10" t="s">
        <v>92</v>
      </c>
      <c r="J44" s="110"/>
      <c r="K44" s="146"/>
      <c r="L44" s="146"/>
      <c r="M44" s="146"/>
      <c r="N44" s="146"/>
      <c r="O44" s="146"/>
    </row>
    <row r="45" spans="1:15" x14ac:dyDescent="0.3">
      <c r="A45" s="82">
        <v>46179</v>
      </c>
      <c r="B45" s="82" t="s">
        <v>57</v>
      </c>
      <c r="C45" s="53" t="s">
        <v>1372</v>
      </c>
      <c r="D45" s="82" t="s">
        <v>8</v>
      </c>
      <c r="E45" s="192"/>
      <c r="F45" s="152">
        <v>59998.99</v>
      </c>
      <c r="G45" s="160">
        <f t="shared" si="0"/>
        <v>627968.3400000002</v>
      </c>
      <c r="H45" s="76">
        <v>25.01</v>
      </c>
      <c r="I45" s="10" t="s">
        <v>92</v>
      </c>
      <c r="J45" s="110"/>
      <c r="K45" s="146"/>
      <c r="L45" s="146"/>
      <c r="M45" s="146"/>
      <c r="N45" s="146"/>
      <c r="O45" s="146"/>
    </row>
    <row r="46" spans="1:15" x14ac:dyDescent="0.3">
      <c r="A46" s="82">
        <v>46179</v>
      </c>
      <c r="B46" s="82" t="s">
        <v>57</v>
      </c>
      <c r="C46" s="53" t="s">
        <v>1373</v>
      </c>
      <c r="D46" s="82" t="s">
        <v>62</v>
      </c>
      <c r="E46" s="192"/>
      <c r="F46" s="152">
        <v>59998.99</v>
      </c>
      <c r="G46" s="160">
        <f t="shared" si="0"/>
        <v>567969.35000000021</v>
      </c>
      <c r="H46" s="76">
        <v>25.01</v>
      </c>
      <c r="I46" s="10" t="s">
        <v>92</v>
      </c>
      <c r="J46" s="110"/>
      <c r="K46" s="146"/>
      <c r="L46" s="146"/>
      <c r="M46" s="146"/>
      <c r="N46" s="146"/>
      <c r="O46" s="146"/>
    </row>
    <row r="47" spans="1:15" x14ac:dyDescent="0.3">
      <c r="A47" s="534" t="s">
        <v>694</v>
      </c>
      <c r="B47" s="534"/>
      <c r="C47" s="534"/>
      <c r="D47" s="534"/>
      <c r="E47" s="534"/>
      <c r="F47" s="534"/>
      <c r="G47" s="534"/>
      <c r="H47" s="540">
        <f>SUM(H9:H46)</f>
        <v>1795.2040000000002</v>
      </c>
      <c r="I47" s="541"/>
      <c r="J47" s="110"/>
      <c r="K47" s="146"/>
      <c r="L47" s="146"/>
      <c r="M47" s="146"/>
      <c r="N47" s="146"/>
      <c r="O47" s="146"/>
    </row>
    <row r="48" spans="1:15" ht="15.6" x14ac:dyDescent="0.3">
      <c r="A48" s="546" t="s">
        <v>1348</v>
      </c>
      <c r="B48" s="547"/>
      <c r="C48" s="547"/>
      <c r="D48" s="547"/>
      <c r="E48" s="547"/>
      <c r="F48" s="547"/>
      <c r="G48" s="547"/>
      <c r="H48" s="547"/>
      <c r="I48" s="548"/>
      <c r="J48" s="110"/>
      <c r="K48" s="526" t="s">
        <v>1407</v>
      </c>
      <c r="L48" s="526"/>
      <c r="M48" s="526"/>
      <c r="N48" s="146"/>
      <c r="O48" s="146"/>
    </row>
    <row r="49" spans="1:13" x14ac:dyDescent="0.3">
      <c r="A49" s="82">
        <v>46181</v>
      </c>
      <c r="B49" s="82" t="s">
        <v>57</v>
      </c>
      <c r="C49" s="53" t="s">
        <v>1374</v>
      </c>
      <c r="D49" s="82" t="s">
        <v>27</v>
      </c>
      <c r="E49" s="192"/>
      <c r="F49" s="152">
        <v>100007.27</v>
      </c>
      <c r="G49" s="160">
        <f>+G46+E49-F49</f>
        <v>467962.08000000019</v>
      </c>
      <c r="H49" s="76">
        <v>41.634999999999998</v>
      </c>
      <c r="I49" s="10" t="s">
        <v>92</v>
      </c>
      <c r="J49" s="110"/>
      <c r="K49" s="545" t="s">
        <v>34</v>
      </c>
      <c r="L49" s="545"/>
      <c r="M49" s="545"/>
    </row>
    <row r="50" spans="1:13" x14ac:dyDescent="0.3">
      <c r="A50" s="82">
        <v>46181</v>
      </c>
      <c r="B50" s="82" t="s">
        <v>57</v>
      </c>
      <c r="C50" s="53" t="s">
        <v>1375</v>
      </c>
      <c r="D50" s="82" t="s">
        <v>6</v>
      </c>
      <c r="E50" s="192"/>
      <c r="F50" s="152">
        <v>59999.56</v>
      </c>
      <c r="G50" s="160">
        <f t="shared" si="0"/>
        <v>407962.52000000019</v>
      </c>
      <c r="H50" s="76">
        <v>24.978999999999999</v>
      </c>
      <c r="I50" s="10" t="s">
        <v>92</v>
      </c>
      <c r="J50" s="110"/>
      <c r="K50" s="71" t="s">
        <v>32</v>
      </c>
      <c r="L50" s="43" t="s">
        <v>35</v>
      </c>
      <c r="M50" s="43" t="s">
        <v>33</v>
      </c>
    </row>
    <row r="51" spans="1:13" x14ac:dyDescent="0.3">
      <c r="A51" s="82">
        <v>46181</v>
      </c>
      <c r="B51" s="82" t="s">
        <v>57</v>
      </c>
      <c r="C51" s="53" t="s">
        <v>1376</v>
      </c>
      <c r="D51" s="82" t="s">
        <v>429</v>
      </c>
      <c r="E51" s="192"/>
      <c r="F51" s="152">
        <v>59999.56</v>
      </c>
      <c r="G51" s="160">
        <f t="shared" si="0"/>
        <v>347962.9600000002</v>
      </c>
      <c r="H51" s="76">
        <v>24.978999999999999</v>
      </c>
      <c r="I51" s="10" t="s">
        <v>92</v>
      </c>
      <c r="J51" s="110"/>
      <c r="K51" s="39" t="s">
        <v>0</v>
      </c>
      <c r="L51" s="73" t="s">
        <v>92</v>
      </c>
      <c r="M51" s="26">
        <v>0</v>
      </c>
    </row>
    <row r="52" spans="1:13" x14ac:dyDescent="0.3">
      <c r="A52" s="82">
        <v>46181</v>
      </c>
      <c r="B52" s="82" t="s">
        <v>57</v>
      </c>
      <c r="C52" s="53" t="s">
        <v>103</v>
      </c>
      <c r="D52" s="82" t="s">
        <v>1</v>
      </c>
      <c r="E52" s="192"/>
      <c r="F52" s="152">
        <v>173513.27</v>
      </c>
      <c r="G52" s="160">
        <f t="shared" si="0"/>
        <v>174449.69000000021</v>
      </c>
      <c r="H52" s="76">
        <v>72.236999999999995</v>
      </c>
      <c r="I52" s="10" t="s">
        <v>92</v>
      </c>
      <c r="J52" s="110"/>
      <c r="K52" s="69" t="s">
        <v>1</v>
      </c>
      <c r="L52" s="73" t="s">
        <v>92</v>
      </c>
      <c r="M52" s="42">
        <f>SUM(H52+H70)</f>
        <v>117.72199999999999</v>
      </c>
    </row>
    <row r="53" spans="1:13" x14ac:dyDescent="0.3">
      <c r="A53" s="82">
        <v>46182</v>
      </c>
      <c r="B53" s="82" t="s">
        <v>57</v>
      </c>
      <c r="C53" s="53" t="s">
        <v>1377</v>
      </c>
      <c r="D53" s="82" t="s">
        <v>5</v>
      </c>
      <c r="E53" s="192"/>
      <c r="F53" s="152">
        <v>60000.36</v>
      </c>
      <c r="G53" s="160">
        <f t="shared" si="0"/>
        <v>114449.33000000021</v>
      </c>
      <c r="H53" s="76">
        <v>25.021000000000001</v>
      </c>
      <c r="I53" s="10" t="s">
        <v>92</v>
      </c>
      <c r="J53" s="110"/>
      <c r="K53" s="24" t="s">
        <v>27</v>
      </c>
      <c r="L53" s="73" t="s">
        <v>92</v>
      </c>
      <c r="M53" s="26">
        <f>SUM(H49+H74)</f>
        <v>81.637</v>
      </c>
    </row>
    <row r="54" spans="1:13" x14ac:dyDescent="0.3">
      <c r="A54" s="82">
        <v>46182</v>
      </c>
      <c r="B54" s="82" t="s">
        <v>57</v>
      </c>
      <c r="C54" s="53" t="s">
        <v>1378</v>
      </c>
      <c r="D54" s="82" t="s">
        <v>24</v>
      </c>
      <c r="E54" s="192"/>
      <c r="F54" s="152">
        <v>60000.36</v>
      </c>
      <c r="G54" s="160">
        <f t="shared" si="0"/>
        <v>54448.970000000205</v>
      </c>
      <c r="H54" s="76">
        <v>25.021000000000001</v>
      </c>
      <c r="I54" s="10" t="s">
        <v>92</v>
      </c>
      <c r="J54" s="110"/>
      <c r="K54" s="126" t="s">
        <v>429</v>
      </c>
      <c r="L54" s="73" t="s">
        <v>92</v>
      </c>
      <c r="M54" s="80">
        <f>SUM(H51+H57+H60+H68)</f>
        <v>99.97999999999999</v>
      </c>
    </row>
    <row r="55" spans="1:13" x14ac:dyDescent="0.3">
      <c r="A55" s="82">
        <v>46182</v>
      </c>
      <c r="B55" s="82" t="s">
        <v>57</v>
      </c>
      <c r="C55" s="53" t="s">
        <v>1379</v>
      </c>
      <c r="D55" s="82" t="s">
        <v>117</v>
      </c>
      <c r="E55" s="192"/>
      <c r="F55" s="152">
        <v>39415.53</v>
      </c>
      <c r="G55" s="160">
        <f t="shared" si="0"/>
        <v>15033.440000000206</v>
      </c>
      <c r="H55" s="76">
        <v>17.402000000000001</v>
      </c>
      <c r="I55" s="10" t="s">
        <v>92</v>
      </c>
      <c r="J55" s="110"/>
      <c r="K55" s="126" t="s">
        <v>62</v>
      </c>
      <c r="L55" s="73" t="s">
        <v>92</v>
      </c>
      <c r="M55" s="80">
        <v>0</v>
      </c>
    </row>
    <row r="56" spans="1:13" x14ac:dyDescent="0.3">
      <c r="A56" s="82">
        <v>46182</v>
      </c>
      <c r="B56" s="82" t="s">
        <v>57</v>
      </c>
      <c r="C56" s="53" t="s">
        <v>1380</v>
      </c>
      <c r="D56" s="82" t="s">
        <v>3</v>
      </c>
      <c r="E56" s="192"/>
      <c r="F56" s="152">
        <v>60000.36</v>
      </c>
      <c r="G56" s="159">
        <f t="shared" si="0"/>
        <v>-44966.919999999795</v>
      </c>
      <c r="H56" s="76">
        <v>25.021000000000001</v>
      </c>
      <c r="I56" s="10" t="s">
        <v>92</v>
      </c>
      <c r="J56" s="110"/>
      <c r="K56" s="126" t="s">
        <v>361</v>
      </c>
      <c r="L56" s="73" t="s">
        <v>92</v>
      </c>
      <c r="M56" s="80">
        <v>0</v>
      </c>
    </row>
    <row r="57" spans="1:13" x14ac:dyDescent="0.3">
      <c r="A57" s="82">
        <v>46182</v>
      </c>
      <c r="B57" s="82" t="s">
        <v>57</v>
      </c>
      <c r="C57" s="53" t="s">
        <v>1381</v>
      </c>
      <c r="D57" s="82" t="s">
        <v>429</v>
      </c>
      <c r="E57" s="192"/>
      <c r="F57" s="152">
        <v>60000.36</v>
      </c>
      <c r="G57" s="159">
        <f t="shared" si="0"/>
        <v>-104967.2799999998</v>
      </c>
      <c r="H57" s="76">
        <v>25.021000000000001</v>
      </c>
      <c r="I57" s="10" t="s">
        <v>92</v>
      </c>
      <c r="J57" s="110"/>
      <c r="K57" s="126" t="s">
        <v>541</v>
      </c>
      <c r="L57" s="73" t="s">
        <v>92</v>
      </c>
      <c r="M57" s="80">
        <v>0</v>
      </c>
    </row>
    <row r="58" spans="1:13" x14ac:dyDescent="0.3">
      <c r="A58" s="82">
        <v>46182</v>
      </c>
      <c r="B58" s="82" t="s">
        <v>57</v>
      </c>
      <c r="C58" s="53" t="s">
        <v>1382</v>
      </c>
      <c r="D58" s="82" t="s">
        <v>6</v>
      </c>
      <c r="E58" s="192"/>
      <c r="F58" s="152">
        <v>60000.36</v>
      </c>
      <c r="G58" s="159">
        <f t="shared" si="0"/>
        <v>-164967.63999999978</v>
      </c>
      <c r="H58" s="76">
        <v>25.021000000000001</v>
      </c>
      <c r="I58" s="10" t="s">
        <v>92</v>
      </c>
      <c r="J58" s="110"/>
      <c r="K58" s="69" t="s">
        <v>24</v>
      </c>
      <c r="L58" s="73" t="s">
        <v>92</v>
      </c>
      <c r="M58" s="80">
        <f>SUM(H54+H62)</f>
        <v>50.010999999999996</v>
      </c>
    </row>
    <row r="59" spans="1:13" x14ac:dyDescent="0.3">
      <c r="A59" s="82">
        <v>46183</v>
      </c>
      <c r="B59" s="82" t="s">
        <v>57</v>
      </c>
      <c r="C59" s="53" t="s">
        <v>1383</v>
      </c>
      <c r="D59" s="82" t="s">
        <v>117</v>
      </c>
      <c r="E59" s="192"/>
      <c r="F59" s="152">
        <v>88017.9</v>
      </c>
      <c r="G59" s="159">
        <f t="shared" si="0"/>
        <v>-252985.53999999978</v>
      </c>
      <c r="H59" s="76">
        <v>38.86</v>
      </c>
      <c r="I59" s="10" t="s">
        <v>92</v>
      </c>
      <c r="J59" s="110"/>
      <c r="K59" s="69" t="s">
        <v>29</v>
      </c>
      <c r="L59" s="73" t="s">
        <v>92</v>
      </c>
      <c r="M59" s="80">
        <v>0</v>
      </c>
    </row>
    <row r="60" spans="1:13" x14ac:dyDescent="0.3">
      <c r="A60" s="82">
        <v>46183</v>
      </c>
      <c r="B60" s="82" t="s">
        <v>57</v>
      </c>
      <c r="C60" s="53" t="s">
        <v>1384</v>
      </c>
      <c r="D60" s="82" t="s">
        <v>429</v>
      </c>
      <c r="E60" s="192"/>
      <c r="F60" s="152">
        <v>60000.99</v>
      </c>
      <c r="G60" s="159">
        <f t="shared" si="0"/>
        <v>-312986.5299999998</v>
      </c>
      <c r="H60" s="76">
        <v>24.99</v>
      </c>
      <c r="I60" s="10" t="s">
        <v>92</v>
      </c>
      <c r="J60" s="110"/>
      <c r="K60" s="69" t="s">
        <v>3</v>
      </c>
      <c r="L60" s="73" t="s">
        <v>92</v>
      </c>
      <c r="M60" s="80">
        <f>SUM(H56)</f>
        <v>25.021000000000001</v>
      </c>
    </row>
    <row r="61" spans="1:13" x14ac:dyDescent="0.3">
      <c r="A61" s="82">
        <v>46183</v>
      </c>
      <c r="B61" s="82" t="s">
        <v>57</v>
      </c>
      <c r="C61" s="53" t="s">
        <v>1385</v>
      </c>
      <c r="D61" s="82" t="s">
        <v>5</v>
      </c>
      <c r="E61" s="192"/>
      <c r="F61" s="152">
        <v>60000.99</v>
      </c>
      <c r="G61" s="159">
        <f t="shared" si="0"/>
        <v>-372987.51999999979</v>
      </c>
      <c r="H61" s="76">
        <v>24.99</v>
      </c>
      <c r="I61" s="10" t="s">
        <v>92</v>
      </c>
      <c r="J61" s="110"/>
      <c r="K61" s="69" t="s">
        <v>5</v>
      </c>
      <c r="L61" s="73" t="s">
        <v>92</v>
      </c>
      <c r="M61" s="80">
        <f>SUM(H53+H61+H71+H75)</f>
        <v>100.042</v>
      </c>
    </row>
    <row r="62" spans="1:13" x14ac:dyDescent="0.3">
      <c r="A62" s="82">
        <v>46183</v>
      </c>
      <c r="B62" s="82" t="s">
        <v>57</v>
      </c>
      <c r="C62" s="53" t="s">
        <v>113</v>
      </c>
      <c r="D62" s="82" t="s">
        <v>24</v>
      </c>
      <c r="E62" s="192"/>
      <c r="F62" s="152">
        <v>60000.99</v>
      </c>
      <c r="G62" s="159">
        <f t="shared" si="0"/>
        <v>-432988.50999999978</v>
      </c>
      <c r="H62" s="76">
        <v>24.99</v>
      </c>
      <c r="I62" s="10" t="s">
        <v>92</v>
      </c>
      <c r="J62" s="110"/>
      <c r="K62" s="69" t="s">
        <v>61</v>
      </c>
      <c r="L62" s="73" t="s">
        <v>92</v>
      </c>
      <c r="M62" s="80">
        <f>SUM(H67)</f>
        <v>158.37700000000001</v>
      </c>
    </row>
    <row r="63" spans="1:13" x14ac:dyDescent="0.3">
      <c r="A63" s="82">
        <v>46184</v>
      </c>
      <c r="B63" s="82" t="s">
        <v>57</v>
      </c>
      <c r="C63" s="53" t="s">
        <v>1386</v>
      </c>
      <c r="D63" s="82" t="s">
        <v>117</v>
      </c>
      <c r="E63" s="192"/>
      <c r="F63" s="152">
        <v>48328.3</v>
      </c>
      <c r="G63" s="159">
        <f t="shared" si="0"/>
        <v>-481316.80999999976</v>
      </c>
      <c r="H63" s="76">
        <v>21.29</v>
      </c>
      <c r="I63" s="10" t="s">
        <v>92</v>
      </c>
      <c r="J63" s="110"/>
      <c r="K63" s="69" t="s">
        <v>22</v>
      </c>
      <c r="L63" s="73" t="s">
        <v>92</v>
      </c>
      <c r="M63" s="80">
        <v>0</v>
      </c>
    </row>
    <row r="64" spans="1:13" x14ac:dyDescent="0.3">
      <c r="A64" s="327">
        <v>46184</v>
      </c>
      <c r="B64" s="327" t="s">
        <v>60</v>
      </c>
      <c r="C64" s="356" t="s">
        <v>1387</v>
      </c>
      <c r="D64" s="327" t="s">
        <v>1218</v>
      </c>
      <c r="E64" s="373">
        <v>1500000</v>
      </c>
      <c r="F64" s="360"/>
      <c r="G64" s="310">
        <f t="shared" si="0"/>
        <v>1018683.1900000002</v>
      </c>
      <c r="H64" s="311"/>
      <c r="I64" s="199" t="s">
        <v>1222</v>
      </c>
      <c r="J64" s="110"/>
      <c r="K64" s="69" t="s">
        <v>6</v>
      </c>
      <c r="L64" s="73" t="s">
        <v>92</v>
      </c>
      <c r="M64" s="80">
        <f>SUM(H50+H58+H65)</f>
        <v>74.989999999999995</v>
      </c>
    </row>
    <row r="65" spans="1:13" x14ac:dyDescent="0.3">
      <c r="A65" s="82">
        <v>46184</v>
      </c>
      <c r="B65" s="82" t="s">
        <v>57</v>
      </c>
      <c r="C65" s="53" t="s">
        <v>1388</v>
      </c>
      <c r="D65" s="82" t="s">
        <v>6</v>
      </c>
      <c r="E65" s="192"/>
      <c r="F65" s="152">
        <v>60000.99</v>
      </c>
      <c r="G65" s="160">
        <f t="shared" si="0"/>
        <v>958682.20000000019</v>
      </c>
      <c r="H65" s="76">
        <v>24.99</v>
      </c>
      <c r="I65" s="10" t="s">
        <v>92</v>
      </c>
      <c r="J65" s="110"/>
      <c r="K65" s="69" t="s">
        <v>8</v>
      </c>
      <c r="L65" s="73" t="s">
        <v>92</v>
      </c>
      <c r="M65" s="80">
        <v>0</v>
      </c>
    </row>
    <row r="66" spans="1:13" x14ac:dyDescent="0.3">
      <c r="A66" s="82">
        <v>46184</v>
      </c>
      <c r="B66" s="82" t="s">
        <v>57</v>
      </c>
      <c r="C66" s="53" t="s">
        <v>1389</v>
      </c>
      <c r="D66" s="82" t="s">
        <v>117</v>
      </c>
      <c r="E66" s="192"/>
      <c r="F66" s="152">
        <v>46006.09</v>
      </c>
      <c r="G66" s="160">
        <f t="shared" si="0"/>
        <v>912676.11000000022</v>
      </c>
      <c r="H66" s="76">
        <v>20.266999999999999</v>
      </c>
      <c r="I66" s="10" t="s">
        <v>92</v>
      </c>
      <c r="J66" s="110"/>
      <c r="K66" s="69" t="s">
        <v>9</v>
      </c>
      <c r="L66" s="73" t="s">
        <v>92</v>
      </c>
      <c r="M66" s="80">
        <v>0</v>
      </c>
    </row>
    <row r="67" spans="1:13" x14ac:dyDescent="0.3">
      <c r="A67" s="82">
        <v>46185</v>
      </c>
      <c r="B67" s="82" t="s">
        <v>57</v>
      </c>
      <c r="C67" s="53" t="s">
        <v>1390</v>
      </c>
      <c r="D67" s="82" t="s">
        <v>61</v>
      </c>
      <c r="E67" s="192"/>
      <c r="F67" s="152">
        <v>380263.18</v>
      </c>
      <c r="G67" s="160">
        <f t="shared" si="0"/>
        <v>532412.93000000017</v>
      </c>
      <c r="H67" s="76">
        <v>158.37700000000001</v>
      </c>
      <c r="I67" s="10" t="s">
        <v>92</v>
      </c>
      <c r="J67" s="110"/>
      <c r="K67" s="69" t="s">
        <v>30</v>
      </c>
      <c r="L67" s="73" t="s">
        <v>92</v>
      </c>
      <c r="M67" s="80">
        <v>0</v>
      </c>
    </row>
    <row r="68" spans="1:13" x14ac:dyDescent="0.3">
      <c r="A68" s="82">
        <v>46185</v>
      </c>
      <c r="B68" s="82" t="s">
        <v>57</v>
      </c>
      <c r="C68" s="53" t="s">
        <v>1391</v>
      </c>
      <c r="D68" s="82" t="s">
        <v>429</v>
      </c>
      <c r="E68" s="192"/>
      <c r="F68" s="152">
        <v>60000.99</v>
      </c>
      <c r="G68" s="160">
        <f t="shared" si="0"/>
        <v>472411.94000000018</v>
      </c>
      <c r="H68" s="76">
        <v>24.99</v>
      </c>
      <c r="I68" s="10" t="s">
        <v>92</v>
      </c>
      <c r="J68" s="110"/>
      <c r="K68" s="69" t="s">
        <v>10</v>
      </c>
      <c r="L68" s="73" t="s">
        <v>92</v>
      </c>
      <c r="M68" s="80">
        <v>0</v>
      </c>
    </row>
    <row r="69" spans="1:13" x14ac:dyDescent="0.3">
      <c r="A69" s="327">
        <v>46185</v>
      </c>
      <c r="B69" s="327" t="s">
        <v>60</v>
      </c>
      <c r="C69" s="356" t="s">
        <v>1392</v>
      </c>
      <c r="D69" s="327" t="s">
        <v>1218</v>
      </c>
      <c r="E69" s="373">
        <v>1000000</v>
      </c>
      <c r="F69" s="360"/>
      <c r="G69" s="310">
        <f t="shared" si="0"/>
        <v>1472411.9400000002</v>
      </c>
      <c r="H69" s="311"/>
      <c r="I69" s="199" t="s">
        <v>1222</v>
      </c>
      <c r="J69" s="110"/>
      <c r="K69" s="69" t="s">
        <v>11</v>
      </c>
      <c r="L69" s="73" t="s">
        <v>92</v>
      </c>
      <c r="M69" s="80">
        <f>SUM(H55+H59+H63+H66+H72+H73)</f>
        <v>137.82299999999998</v>
      </c>
    </row>
    <row r="70" spans="1:13" x14ac:dyDescent="0.3">
      <c r="A70" s="82">
        <v>46185</v>
      </c>
      <c r="B70" s="82" t="s">
        <v>57</v>
      </c>
      <c r="C70" s="53" t="s">
        <v>1398</v>
      </c>
      <c r="D70" s="82" t="s">
        <v>1</v>
      </c>
      <c r="E70" s="192"/>
      <c r="F70" s="152">
        <v>109027.55</v>
      </c>
      <c r="G70" s="160">
        <f t="shared" si="0"/>
        <v>1363384.3900000001</v>
      </c>
      <c r="H70" s="76">
        <v>45.484999999999999</v>
      </c>
      <c r="I70" s="10" t="s">
        <v>92</v>
      </c>
      <c r="J70" s="110"/>
      <c r="K70" s="512" t="s">
        <v>695</v>
      </c>
      <c r="L70" s="512"/>
      <c r="M70" s="148">
        <f>SUM(M51:M69)</f>
        <v>845.60299999999995</v>
      </c>
    </row>
    <row r="71" spans="1:13" x14ac:dyDescent="0.3">
      <c r="A71" s="82">
        <v>46185</v>
      </c>
      <c r="B71" s="82" t="s">
        <v>57</v>
      </c>
      <c r="C71" s="53" t="s">
        <v>1399</v>
      </c>
      <c r="D71" s="82" t="s">
        <v>5</v>
      </c>
      <c r="E71" s="192"/>
      <c r="F71" s="152">
        <v>59999.31</v>
      </c>
      <c r="G71" s="160">
        <f t="shared" si="0"/>
        <v>1303385.08</v>
      </c>
      <c r="H71" s="76">
        <v>25.030999999999999</v>
      </c>
      <c r="I71" s="10" t="s">
        <v>92</v>
      </c>
      <c r="J71" s="110"/>
    </row>
    <row r="72" spans="1:13" x14ac:dyDescent="0.3">
      <c r="A72" s="82">
        <v>46186</v>
      </c>
      <c r="B72" s="82" t="s">
        <v>57</v>
      </c>
      <c r="C72" s="53" t="s">
        <v>1400</v>
      </c>
      <c r="D72" s="82" t="s">
        <v>117</v>
      </c>
      <c r="E72" s="192"/>
      <c r="F72" s="152">
        <v>45324.53</v>
      </c>
      <c r="G72" s="160">
        <f t="shared" si="0"/>
        <v>1258060.55</v>
      </c>
      <c r="H72" s="76">
        <v>20.001999999999999</v>
      </c>
      <c r="I72" s="10" t="s">
        <v>92</v>
      </c>
      <c r="J72" s="110"/>
    </row>
    <row r="73" spans="1:13" x14ac:dyDescent="0.3">
      <c r="A73" s="82">
        <v>46186</v>
      </c>
      <c r="B73" s="82" t="s">
        <v>57</v>
      </c>
      <c r="C73" s="53" t="s">
        <v>1401</v>
      </c>
      <c r="D73" s="82" t="s">
        <v>117</v>
      </c>
      <c r="E73" s="192"/>
      <c r="F73" s="152">
        <v>45324.53</v>
      </c>
      <c r="G73" s="160">
        <f t="shared" si="0"/>
        <v>1212736.02</v>
      </c>
      <c r="H73" s="76">
        <v>20.001999999999999</v>
      </c>
      <c r="I73" s="10" t="s">
        <v>92</v>
      </c>
      <c r="J73" s="110"/>
    </row>
    <row r="74" spans="1:13" x14ac:dyDescent="0.3">
      <c r="A74" s="82">
        <v>46186</v>
      </c>
      <c r="B74" s="82" t="s">
        <v>57</v>
      </c>
      <c r="C74" s="53" t="s">
        <v>1402</v>
      </c>
      <c r="D74" s="82" t="s">
        <v>27</v>
      </c>
      <c r="E74" s="192"/>
      <c r="F74" s="152">
        <v>96004.800000000003</v>
      </c>
      <c r="G74" s="160">
        <f t="shared" si="0"/>
        <v>1116731.22</v>
      </c>
      <c r="H74" s="76">
        <v>40.002000000000002</v>
      </c>
      <c r="I74" s="10" t="s">
        <v>92</v>
      </c>
      <c r="J74" s="110"/>
    </row>
    <row r="75" spans="1:13" x14ac:dyDescent="0.3">
      <c r="A75" s="82">
        <v>46186</v>
      </c>
      <c r="B75" s="82" t="s">
        <v>57</v>
      </c>
      <c r="C75" s="53" t="s">
        <v>1403</v>
      </c>
      <c r="D75" s="82" t="s">
        <v>5</v>
      </c>
      <c r="E75" s="192"/>
      <c r="F75" s="152">
        <v>60000</v>
      </c>
      <c r="G75" s="160">
        <f t="shared" si="0"/>
        <v>1056731.22</v>
      </c>
      <c r="H75" s="76">
        <v>25</v>
      </c>
      <c r="I75" s="10" t="s">
        <v>92</v>
      </c>
      <c r="J75" s="110"/>
    </row>
    <row r="76" spans="1:13" x14ac:dyDescent="0.3">
      <c r="A76" s="534" t="s">
        <v>694</v>
      </c>
      <c r="B76" s="534"/>
      <c r="C76" s="534"/>
      <c r="D76" s="534"/>
      <c r="E76" s="534"/>
      <c r="F76" s="534"/>
      <c r="G76" s="534"/>
      <c r="H76" s="540">
        <f>SUM(H49:H75)</f>
        <v>845.60299999999995</v>
      </c>
      <c r="I76" s="541"/>
      <c r="J76" s="110"/>
    </row>
    <row r="77" spans="1:13" ht="15.6" x14ac:dyDescent="0.3">
      <c r="A77" s="546" t="s">
        <v>1407</v>
      </c>
      <c r="B77" s="547"/>
      <c r="C77" s="547"/>
      <c r="D77" s="547"/>
      <c r="E77" s="547"/>
      <c r="F77" s="547"/>
      <c r="G77" s="547"/>
      <c r="H77" s="547"/>
      <c r="I77" s="548"/>
      <c r="J77" s="110"/>
      <c r="K77" s="526" t="s">
        <v>1423</v>
      </c>
      <c r="L77" s="526"/>
      <c r="M77" s="526"/>
    </row>
    <row r="78" spans="1:13" x14ac:dyDescent="0.3">
      <c r="A78" s="82">
        <v>46187</v>
      </c>
      <c r="B78" s="82" t="s">
        <v>57</v>
      </c>
      <c r="C78" s="53" t="s">
        <v>1404</v>
      </c>
      <c r="D78" s="82" t="s">
        <v>6</v>
      </c>
      <c r="E78" s="192"/>
      <c r="F78" s="152">
        <v>60000</v>
      </c>
      <c r="G78" s="160">
        <f>+G75+E78-F78</f>
        <v>996731.22</v>
      </c>
      <c r="H78" s="76">
        <v>25</v>
      </c>
      <c r="I78" s="10" t="s">
        <v>92</v>
      </c>
      <c r="J78" s="110"/>
      <c r="K78" s="545" t="s">
        <v>34</v>
      </c>
      <c r="L78" s="545"/>
      <c r="M78" s="545"/>
    </row>
    <row r="79" spans="1:13" x14ac:dyDescent="0.3">
      <c r="A79" s="82">
        <v>46189</v>
      </c>
      <c r="B79" s="82" t="s">
        <v>57</v>
      </c>
      <c r="C79" s="53" t="s">
        <v>1405</v>
      </c>
      <c r="D79" s="82" t="s">
        <v>6</v>
      </c>
      <c r="E79" s="192"/>
      <c r="F79" s="152">
        <v>59999.31</v>
      </c>
      <c r="G79" s="160">
        <f t="shared" si="0"/>
        <v>936731.90999999992</v>
      </c>
      <c r="H79" s="76">
        <v>25.030999999999999</v>
      </c>
      <c r="I79" s="10" t="s">
        <v>92</v>
      </c>
      <c r="J79" s="110"/>
      <c r="K79" s="71" t="s">
        <v>32</v>
      </c>
      <c r="L79" s="43" t="s">
        <v>35</v>
      </c>
      <c r="M79" s="43" t="s">
        <v>33</v>
      </c>
    </row>
    <row r="80" spans="1:13" x14ac:dyDescent="0.3">
      <c r="A80" s="82">
        <v>46189</v>
      </c>
      <c r="B80" s="82" t="s">
        <v>57</v>
      </c>
      <c r="C80" s="53" t="s">
        <v>1406</v>
      </c>
      <c r="D80" s="82" t="s">
        <v>61</v>
      </c>
      <c r="E80" s="192"/>
      <c r="F80" s="152">
        <v>407849.55</v>
      </c>
      <c r="G80" s="160">
        <f t="shared" si="0"/>
        <v>528882.35999999987</v>
      </c>
      <c r="H80" s="76">
        <v>170.15</v>
      </c>
      <c r="I80" s="10" t="s">
        <v>92</v>
      </c>
      <c r="J80" s="110"/>
      <c r="K80" s="39" t="s">
        <v>0</v>
      </c>
      <c r="L80" s="73" t="s">
        <v>92</v>
      </c>
      <c r="M80" s="26">
        <v>0</v>
      </c>
    </row>
    <row r="81" spans="1:13" x14ac:dyDescent="0.3">
      <c r="A81" s="82">
        <v>46189</v>
      </c>
      <c r="B81" s="82" t="s">
        <v>57</v>
      </c>
      <c r="C81" s="53" t="s">
        <v>1409</v>
      </c>
      <c r="D81" s="82" t="s">
        <v>429</v>
      </c>
      <c r="E81" s="192"/>
      <c r="F81" s="152">
        <v>27007.43</v>
      </c>
      <c r="G81" s="160">
        <f t="shared" si="0"/>
        <v>501874.92999999988</v>
      </c>
      <c r="H81" s="76">
        <v>11.981999999999999</v>
      </c>
      <c r="I81" s="10" t="s">
        <v>92</v>
      </c>
      <c r="J81" s="110"/>
      <c r="K81" s="69" t="s">
        <v>1</v>
      </c>
      <c r="L81" s="73" t="s">
        <v>92</v>
      </c>
      <c r="M81" s="42">
        <f>SUM(H83)</f>
        <v>59.34</v>
      </c>
    </row>
    <row r="82" spans="1:13" x14ac:dyDescent="0.3">
      <c r="A82" s="82">
        <v>46189</v>
      </c>
      <c r="B82" s="82" t="s">
        <v>57</v>
      </c>
      <c r="C82" s="53" t="s">
        <v>1410</v>
      </c>
      <c r="D82" s="82" t="s">
        <v>117</v>
      </c>
      <c r="E82" s="192"/>
      <c r="F82" s="152">
        <v>86158.07</v>
      </c>
      <c r="G82" s="160">
        <f t="shared" si="0"/>
        <v>415716.85999999987</v>
      </c>
      <c r="H82" s="76">
        <v>37.905000000000001</v>
      </c>
      <c r="I82" s="10" t="s">
        <v>92</v>
      </c>
      <c r="J82" s="110"/>
      <c r="K82" s="24" t="s">
        <v>27</v>
      </c>
      <c r="L82" s="73" t="s">
        <v>92</v>
      </c>
      <c r="M82" s="26">
        <f>SUM(H89)</f>
        <v>38.384999999999998</v>
      </c>
    </row>
    <row r="83" spans="1:13" x14ac:dyDescent="0.3">
      <c r="A83" s="82">
        <v>46189</v>
      </c>
      <c r="B83" s="82" t="s">
        <v>57</v>
      </c>
      <c r="C83" s="53" t="s">
        <v>1411</v>
      </c>
      <c r="D83" s="82" t="s">
        <v>1</v>
      </c>
      <c r="E83" s="192"/>
      <c r="F83" s="152">
        <v>142237.98000000001</v>
      </c>
      <c r="G83" s="160">
        <f t="shared" si="0"/>
        <v>273478.87999999989</v>
      </c>
      <c r="H83" s="76">
        <v>59.34</v>
      </c>
      <c r="I83" s="10" t="s">
        <v>92</v>
      </c>
      <c r="J83" s="110"/>
      <c r="K83" s="126" t="s">
        <v>429</v>
      </c>
      <c r="L83" s="73" t="s">
        <v>92</v>
      </c>
      <c r="M83" s="80">
        <f>SUM(H81)</f>
        <v>11.981999999999999</v>
      </c>
    </row>
    <row r="84" spans="1:13" x14ac:dyDescent="0.3">
      <c r="A84" s="82">
        <v>46189</v>
      </c>
      <c r="B84" s="82" t="s">
        <v>57</v>
      </c>
      <c r="C84" s="53" t="s">
        <v>1412</v>
      </c>
      <c r="D84" s="82" t="s">
        <v>3</v>
      </c>
      <c r="E84" s="192"/>
      <c r="F84" s="152">
        <v>59999.31</v>
      </c>
      <c r="G84" s="160">
        <f t="shared" si="0"/>
        <v>213479.56999999989</v>
      </c>
      <c r="H84" s="76">
        <v>25.030999999999999</v>
      </c>
      <c r="I84" s="10" t="s">
        <v>92</v>
      </c>
      <c r="J84" s="110"/>
      <c r="K84" s="126" t="s">
        <v>361</v>
      </c>
      <c r="L84" s="73" t="s">
        <v>92</v>
      </c>
      <c r="M84" s="80">
        <v>0</v>
      </c>
    </row>
    <row r="85" spans="1:13" x14ac:dyDescent="0.3">
      <c r="A85" s="82">
        <v>46190</v>
      </c>
      <c r="B85" s="82" t="s">
        <v>57</v>
      </c>
      <c r="C85" s="53" t="s">
        <v>1413</v>
      </c>
      <c r="D85" s="82" t="s">
        <v>5</v>
      </c>
      <c r="E85" s="192"/>
      <c r="F85" s="152">
        <v>59999.31</v>
      </c>
      <c r="G85" s="160">
        <f t="shared" si="0"/>
        <v>153480.25999999989</v>
      </c>
      <c r="H85" s="76">
        <v>25.030999999999999</v>
      </c>
      <c r="I85" s="10" t="s">
        <v>92</v>
      </c>
      <c r="J85" s="110"/>
      <c r="K85" s="391" t="s">
        <v>541</v>
      </c>
      <c r="L85" s="73" t="s">
        <v>92</v>
      </c>
      <c r="M85" s="80">
        <f>SUM(H87)</f>
        <v>9.9550000000000001</v>
      </c>
    </row>
    <row r="86" spans="1:13" x14ac:dyDescent="0.3">
      <c r="A86" s="82">
        <v>46190</v>
      </c>
      <c r="B86" s="82" t="s">
        <v>57</v>
      </c>
      <c r="C86" s="53" t="s">
        <v>1414</v>
      </c>
      <c r="D86" s="82" t="s">
        <v>8</v>
      </c>
      <c r="E86" s="192"/>
      <c r="F86" s="152">
        <v>59999.31</v>
      </c>
      <c r="G86" s="160">
        <f t="shared" si="0"/>
        <v>93480.949999999895</v>
      </c>
      <c r="H86" s="76">
        <v>25.030999999999999</v>
      </c>
      <c r="I86" s="10" t="s">
        <v>92</v>
      </c>
      <c r="J86" s="110"/>
      <c r="K86" s="69" t="s">
        <v>3</v>
      </c>
      <c r="L86" s="73" t="s">
        <v>92</v>
      </c>
      <c r="M86" s="80">
        <f>SUM(H84+H90)</f>
        <v>50.061999999999998</v>
      </c>
    </row>
    <row r="87" spans="1:13" x14ac:dyDescent="0.3">
      <c r="A87" s="82">
        <v>46191</v>
      </c>
      <c r="B87" s="82" t="s">
        <v>57</v>
      </c>
      <c r="C87" s="53" t="s">
        <v>1415</v>
      </c>
      <c r="D87" s="82" t="s">
        <v>541</v>
      </c>
      <c r="E87" s="192"/>
      <c r="F87" s="152">
        <v>22388.799999999999</v>
      </c>
      <c r="G87" s="160">
        <f t="shared" si="0"/>
        <v>71092.149999999892</v>
      </c>
      <c r="H87" s="76">
        <v>9.9550000000000001</v>
      </c>
      <c r="I87" s="10" t="s">
        <v>92</v>
      </c>
      <c r="J87" s="110"/>
      <c r="K87" s="69" t="s">
        <v>5</v>
      </c>
      <c r="L87" s="73" t="s">
        <v>92</v>
      </c>
      <c r="M87" s="80">
        <f>SUM(H85+H88+H91+H93)</f>
        <v>100.05199999999999</v>
      </c>
    </row>
    <row r="88" spans="1:13" x14ac:dyDescent="0.3">
      <c r="A88" s="82">
        <v>46191</v>
      </c>
      <c r="B88" s="82" t="s">
        <v>57</v>
      </c>
      <c r="C88" s="53" t="s">
        <v>1416</v>
      </c>
      <c r="D88" s="82" t="s">
        <v>5</v>
      </c>
      <c r="E88" s="192"/>
      <c r="F88" s="152">
        <v>60000.99</v>
      </c>
      <c r="G88" s="160">
        <f t="shared" si="0"/>
        <v>11091.159999999894</v>
      </c>
      <c r="H88" s="76">
        <v>24.99</v>
      </c>
      <c r="I88" s="10" t="s">
        <v>92</v>
      </c>
      <c r="J88" s="110"/>
      <c r="K88" s="69" t="s">
        <v>61</v>
      </c>
      <c r="L88" s="73" t="s">
        <v>92</v>
      </c>
      <c r="M88" s="80">
        <f>SUM(H80)</f>
        <v>170.15</v>
      </c>
    </row>
    <row r="89" spans="1:13" x14ac:dyDescent="0.3">
      <c r="A89" s="82">
        <v>46192</v>
      </c>
      <c r="B89" s="82" t="s">
        <v>57</v>
      </c>
      <c r="C89" s="53" t="s">
        <v>1417</v>
      </c>
      <c r="D89" s="82" t="s">
        <v>27</v>
      </c>
      <c r="E89" s="192"/>
      <c r="F89" s="152">
        <v>92008.85</v>
      </c>
      <c r="G89" s="159">
        <f t="shared" si="0"/>
        <v>-80917.690000000119</v>
      </c>
      <c r="H89" s="76">
        <v>38.384999999999998</v>
      </c>
      <c r="I89" s="10" t="s">
        <v>92</v>
      </c>
      <c r="J89" s="110"/>
      <c r="K89" s="69" t="s">
        <v>22</v>
      </c>
      <c r="L89" s="73" t="s">
        <v>92</v>
      </c>
      <c r="M89" s="80">
        <v>0</v>
      </c>
    </row>
    <row r="90" spans="1:13" x14ac:dyDescent="0.3">
      <c r="A90" s="82">
        <v>46192</v>
      </c>
      <c r="B90" s="82" t="s">
        <v>57</v>
      </c>
      <c r="C90" s="53" t="s">
        <v>1418</v>
      </c>
      <c r="D90" s="82" t="s">
        <v>3</v>
      </c>
      <c r="E90" s="192"/>
      <c r="F90" s="152">
        <v>59999.31</v>
      </c>
      <c r="G90" s="159">
        <f t="shared" si="0"/>
        <v>-140917.00000000012</v>
      </c>
      <c r="H90" s="76">
        <v>25.030999999999999</v>
      </c>
      <c r="I90" s="10" t="s">
        <v>92</v>
      </c>
      <c r="J90" s="110"/>
      <c r="K90" s="69" t="s">
        <v>6</v>
      </c>
      <c r="L90" s="73" t="s">
        <v>92</v>
      </c>
      <c r="M90" s="80">
        <f>SUM(H78+H79)</f>
        <v>50.030999999999999</v>
      </c>
    </row>
    <row r="91" spans="1:13" x14ac:dyDescent="0.3">
      <c r="A91" s="82">
        <v>46192</v>
      </c>
      <c r="B91" s="82" t="s">
        <v>57</v>
      </c>
      <c r="C91" s="53" t="s">
        <v>1419</v>
      </c>
      <c r="D91" s="82" t="s">
        <v>5</v>
      </c>
      <c r="E91" s="192"/>
      <c r="F91" s="152">
        <v>59999.31</v>
      </c>
      <c r="G91" s="159">
        <f t="shared" si="0"/>
        <v>-200916.31000000011</v>
      </c>
      <c r="H91" s="76">
        <v>25.030999999999999</v>
      </c>
      <c r="I91" s="10" t="s">
        <v>92</v>
      </c>
      <c r="J91" s="110"/>
      <c r="K91" s="69" t="s">
        <v>8</v>
      </c>
      <c r="L91" s="73" t="s">
        <v>92</v>
      </c>
      <c r="M91" s="80">
        <f>SUM(H86)</f>
        <v>25.030999999999999</v>
      </c>
    </row>
    <row r="92" spans="1:13" x14ac:dyDescent="0.3">
      <c r="A92" s="327">
        <v>46193</v>
      </c>
      <c r="B92" s="327" t="s">
        <v>60</v>
      </c>
      <c r="C92" s="356" t="s">
        <v>1420</v>
      </c>
      <c r="D92" s="327" t="s">
        <v>1218</v>
      </c>
      <c r="E92" s="373">
        <v>1000000</v>
      </c>
      <c r="F92" s="360"/>
      <c r="G92" s="310">
        <f t="shared" si="0"/>
        <v>799083.69</v>
      </c>
      <c r="H92" s="311"/>
      <c r="I92" s="199" t="s">
        <v>1222</v>
      </c>
      <c r="J92" s="110"/>
      <c r="K92" s="69" t="s">
        <v>9</v>
      </c>
      <c r="L92" s="73" t="s">
        <v>92</v>
      </c>
      <c r="M92" s="80">
        <v>0</v>
      </c>
    </row>
    <row r="93" spans="1:13" x14ac:dyDescent="0.3">
      <c r="A93" s="82">
        <v>46193</v>
      </c>
      <c r="B93" s="82" t="s">
        <v>57</v>
      </c>
      <c r="C93" s="53" t="s">
        <v>1421</v>
      </c>
      <c r="D93" s="82" t="s">
        <v>5</v>
      </c>
      <c r="E93" s="192"/>
      <c r="F93" s="152">
        <v>60000</v>
      </c>
      <c r="G93" s="160">
        <f t="shared" si="0"/>
        <v>739083.69</v>
      </c>
      <c r="H93" s="76">
        <v>25</v>
      </c>
      <c r="I93" s="10" t="s">
        <v>92</v>
      </c>
      <c r="J93" s="110"/>
      <c r="K93" s="69" t="s">
        <v>11</v>
      </c>
      <c r="L93" s="73" t="s">
        <v>92</v>
      </c>
      <c r="M93" s="80">
        <f>SUM(H82)</f>
        <v>37.905000000000001</v>
      </c>
    </row>
    <row r="94" spans="1:13" x14ac:dyDescent="0.3">
      <c r="A94" s="534" t="s">
        <v>694</v>
      </c>
      <c r="B94" s="534"/>
      <c r="C94" s="534"/>
      <c r="D94" s="534"/>
      <c r="E94" s="534"/>
      <c r="F94" s="534"/>
      <c r="G94" s="534"/>
      <c r="H94" s="540">
        <f>SUM(H78:H93)</f>
        <v>552.89300000000003</v>
      </c>
      <c r="I94" s="541"/>
      <c r="J94" s="110"/>
      <c r="K94" s="540" t="s">
        <v>695</v>
      </c>
      <c r="L94" s="541"/>
      <c r="M94" s="148">
        <f>SUM(M80:M93)</f>
        <v>552.89299999999992</v>
      </c>
    </row>
    <row r="95" spans="1:13" ht="15.6" x14ac:dyDescent="0.3">
      <c r="A95" s="546" t="s">
        <v>1423</v>
      </c>
      <c r="B95" s="547"/>
      <c r="C95" s="547"/>
      <c r="D95" s="547"/>
      <c r="E95" s="547"/>
      <c r="F95" s="547"/>
      <c r="G95" s="547"/>
      <c r="H95" s="547"/>
      <c r="I95" s="548"/>
      <c r="J95" s="110"/>
    </row>
    <row r="96" spans="1:13" x14ac:dyDescent="0.3">
      <c r="A96" s="82">
        <v>46195</v>
      </c>
      <c r="B96" s="82" t="s">
        <v>57</v>
      </c>
      <c r="C96" s="53" t="s">
        <v>1424</v>
      </c>
      <c r="D96" s="82" t="s">
        <v>117</v>
      </c>
      <c r="E96" s="192"/>
      <c r="F96" s="152">
        <v>82475.81</v>
      </c>
      <c r="G96" s="160">
        <f>+G93+E96-F96</f>
        <v>656607.87999999989</v>
      </c>
      <c r="H96" s="76">
        <v>36.284999999999997</v>
      </c>
      <c r="I96" s="10" t="s">
        <v>92</v>
      </c>
      <c r="J96" s="110"/>
      <c r="K96" s="526" t="s">
        <v>1436</v>
      </c>
      <c r="L96" s="526"/>
      <c r="M96" s="526"/>
    </row>
    <row r="97" spans="1:13" ht="13.95" customHeight="1" x14ac:dyDescent="0.3">
      <c r="A97" s="62">
        <v>46196</v>
      </c>
      <c r="B97" s="82" t="s">
        <v>57</v>
      </c>
      <c r="C97" s="53" t="s">
        <v>1425</v>
      </c>
      <c r="D97" s="82" t="s">
        <v>117</v>
      </c>
      <c r="E97" s="192"/>
      <c r="F97" s="152">
        <v>81021</v>
      </c>
      <c r="G97" s="160">
        <f t="shared" si="0"/>
        <v>575586.87999999989</v>
      </c>
      <c r="H97" s="76">
        <v>35.645000000000003</v>
      </c>
      <c r="I97" s="10" t="s">
        <v>92</v>
      </c>
      <c r="J97" s="110"/>
      <c r="K97" s="545" t="s">
        <v>34</v>
      </c>
      <c r="L97" s="545"/>
      <c r="M97" s="545"/>
    </row>
    <row r="98" spans="1:13" ht="13.95" customHeight="1" x14ac:dyDescent="0.3">
      <c r="A98" s="82">
        <v>46196</v>
      </c>
      <c r="B98" s="82" t="s">
        <v>57</v>
      </c>
      <c r="C98" s="53" t="s">
        <v>1426</v>
      </c>
      <c r="D98" s="82" t="s">
        <v>117</v>
      </c>
      <c r="E98" s="192"/>
      <c r="F98" s="152">
        <v>40000</v>
      </c>
      <c r="G98" s="160">
        <f t="shared" si="0"/>
        <v>535586.87999999989</v>
      </c>
      <c r="H98" s="76">
        <v>17.597899999999999</v>
      </c>
      <c r="I98" s="10" t="s">
        <v>92</v>
      </c>
      <c r="J98" s="110"/>
      <c r="K98" s="71" t="s">
        <v>32</v>
      </c>
      <c r="L98" s="43" t="s">
        <v>35</v>
      </c>
      <c r="M98" s="43" t="s">
        <v>33</v>
      </c>
    </row>
    <row r="99" spans="1:13" ht="13.95" customHeight="1" x14ac:dyDescent="0.3">
      <c r="A99" s="82">
        <v>46197</v>
      </c>
      <c r="B99" s="82" t="s">
        <v>57</v>
      </c>
      <c r="C99" s="53" t="s">
        <v>1427</v>
      </c>
      <c r="D99" s="82" t="s">
        <v>117</v>
      </c>
      <c r="E99" s="192"/>
      <c r="F99" s="152">
        <v>112853.25</v>
      </c>
      <c r="G99" s="160">
        <f t="shared" si="0"/>
        <v>422733.62999999989</v>
      </c>
      <c r="H99" s="76">
        <v>49.737000000000002</v>
      </c>
      <c r="I99" s="10" t="s">
        <v>92</v>
      </c>
      <c r="J99" s="110"/>
      <c r="K99" s="39" t="s">
        <v>0</v>
      </c>
      <c r="L99" s="73" t="s">
        <v>92</v>
      </c>
      <c r="M99" s="26">
        <v>0</v>
      </c>
    </row>
    <row r="100" spans="1:13" ht="13.95" customHeight="1" x14ac:dyDescent="0.3">
      <c r="A100" s="82">
        <v>46197</v>
      </c>
      <c r="B100" s="82" t="s">
        <v>57</v>
      </c>
      <c r="C100" s="53" t="s">
        <v>1428</v>
      </c>
      <c r="D100" s="82" t="s">
        <v>5</v>
      </c>
      <c r="E100" s="192"/>
      <c r="F100" s="152">
        <v>59999.31</v>
      </c>
      <c r="G100" s="160">
        <f t="shared" si="0"/>
        <v>362734.31999999989</v>
      </c>
      <c r="H100" s="76">
        <v>25.030999999999999</v>
      </c>
      <c r="I100" s="10" t="s">
        <v>92</v>
      </c>
      <c r="J100" s="110"/>
      <c r="K100" s="69" t="s">
        <v>1</v>
      </c>
      <c r="L100" s="73" t="s">
        <v>92</v>
      </c>
      <c r="M100" s="42">
        <f>SUM(H105+H111)</f>
        <v>127.22200000000001</v>
      </c>
    </row>
    <row r="101" spans="1:13" ht="13.95" customHeight="1" x14ac:dyDescent="0.3">
      <c r="A101" s="61">
        <v>46197</v>
      </c>
      <c r="B101" s="61" t="s">
        <v>57</v>
      </c>
      <c r="C101" s="66" t="s">
        <v>1429</v>
      </c>
      <c r="D101" s="149" t="s">
        <v>22</v>
      </c>
      <c r="E101" s="395"/>
      <c r="F101" s="393">
        <v>299998.93</v>
      </c>
      <c r="G101" s="160">
        <f t="shared" si="0"/>
        <v>62735.389999999898</v>
      </c>
      <c r="H101" s="76">
        <v>125.15600000000001</v>
      </c>
      <c r="I101" s="10" t="s">
        <v>92</v>
      </c>
      <c r="J101" s="110"/>
      <c r="K101" s="24" t="s">
        <v>27</v>
      </c>
      <c r="L101" s="73" t="s">
        <v>92</v>
      </c>
      <c r="M101" s="26">
        <f>SUM(H102)</f>
        <v>45.9</v>
      </c>
    </row>
    <row r="102" spans="1:13" ht="13.95" customHeight="1" x14ac:dyDescent="0.3">
      <c r="A102" s="61">
        <v>46197</v>
      </c>
      <c r="B102" s="61" t="s">
        <v>57</v>
      </c>
      <c r="C102" s="66" t="s">
        <v>1430</v>
      </c>
      <c r="D102" s="149" t="s">
        <v>27</v>
      </c>
      <c r="E102" s="395"/>
      <c r="F102" s="393">
        <v>110022.3</v>
      </c>
      <c r="G102" s="159">
        <f t="shared" si="0"/>
        <v>-47286.910000000105</v>
      </c>
      <c r="H102" s="76">
        <v>45.9</v>
      </c>
      <c r="I102" s="10" t="s">
        <v>92</v>
      </c>
      <c r="J102" s="110"/>
      <c r="K102" s="126" t="s">
        <v>361</v>
      </c>
      <c r="L102" s="73" t="s">
        <v>92</v>
      </c>
      <c r="M102" s="80">
        <v>0</v>
      </c>
    </row>
    <row r="103" spans="1:13" ht="13.95" customHeight="1" x14ac:dyDescent="0.3">
      <c r="A103" s="61">
        <v>46197</v>
      </c>
      <c r="B103" s="61" t="s">
        <v>57</v>
      </c>
      <c r="C103" s="66" t="s">
        <v>1431</v>
      </c>
      <c r="D103" s="149" t="s">
        <v>9</v>
      </c>
      <c r="E103" s="395"/>
      <c r="F103" s="393">
        <v>273618.71000000002</v>
      </c>
      <c r="G103" s="159">
        <f t="shared" si="0"/>
        <v>-320905.62000000011</v>
      </c>
      <c r="H103" s="76">
        <v>120.59</v>
      </c>
      <c r="I103" s="10" t="s">
        <v>92</v>
      </c>
      <c r="J103" s="110"/>
      <c r="K103" s="126" t="s">
        <v>541</v>
      </c>
      <c r="L103" s="73" t="s">
        <v>92</v>
      </c>
      <c r="M103" s="80">
        <f>SUM(H115)</f>
        <v>13.31</v>
      </c>
    </row>
    <row r="104" spans="1:13" ht="13.95" customHeight="1" x14ac:dyDescent="0.3">
      <c r="A104" s="61">
        <v>46197</v>
      </c>
      <c r="B104" s="61" t="s">
        <v>57</v>
      </c>
      <c r="C104" s="66" t="s">
        <v>1432</v>
      </c>
      <c r="D104" s="149" t="s">
        <v>3</v>
      </c>
      <c r="E104" s="395"/>
      <c r="F104" s="393">
        <v>59999.31</v>
      </c>
      <c r="G104" s="159">
        <f t="shared" si="0"/>
        <v>-380904.93000000011</v>
      </c>
      <c r="H104" s="76">
        <v>25.030999999999999</v>
      </c>
      <c r="I104" s="10" t="s">
        <v>92</v>
      </c>
      <c r="J104" s="110"/>
      <c r="K104" s="69" t="s">
        <v>3</v>
      </c>
      <c r="L104" s="73" t="s">
        <v>92</v>
      </c>
      <c r="M104" s="80">
        <f>SUM(H104+H107+H108+H112+H116)</f>
        <v>124.89700000000001</v>
      </c>
    </row>
    <row r="105" spans="1:13" ht="13.95" customHeight="1" x14ac:dyDescent="0.3">
      <c r="A105" s="61">
        <v>46197</v>
      </c>
      <c r="B105" s="61" t="s">
        <v>57</v>
      </c>
      <c r="C105" s="66" t="s">
        <v>1433</v>
      </c>
      <c r="D105" s="149" t="s">
        <v>1</v>
      </c>
      <c r="E105" s="395"/>
      <c r="F105" s="393">
        <v>162013.23000000001</v>
      </c>
      <c r="G105" s="159">
        <f t="shared" si="0"/>
        <v>-542918.16000000015</v>
      </c>
      <c r="H105" s="76">
        <v>67.59</v>
      </c>
      <c r="I105" s="10" t="s">
        <v>92</v>
      </c>
      <c r="J105" s="110"/>
      <c r="K105" s="69" t="s">
        <v>5</v>
      </c>
      <c r="L105" s="73" t="s">
        <v>92</v>
      </c>
      <c r="M105" s="80">
        <f>SUM(H100)</f>
        <v>25.030999999999999</v>
      </c>
    </row>
    <row r="106" spans="1:13" ht="13.95" customHeight="1" x14ac:dyDescent="0.3">
      <c r="A106" s="61">
        <v>46197</v>
      </c>
      <c r="B106" s="61" t="s">
        <v>57</v>
      </c>
      <c r="C106" s="66" t="s">
        <v>1434</v>
      </c>
      <c r="D106" s="149" t="s">
        <v>8</v>
      </c>
      <c r="E106" s="395"/>
      <c r="F106" s="393">
        <v>59999.31</v>
      </c>
      <c r="G106" s="159">
        <f t="shared" si="0"/>
        <v>-602917.4700000002</v>
      </c>
      <c r="H106" s="76">
        <v>25.030999999999999</v>
      </c>
      <c r="I106" s="10" t="s">
        <v>92</v>
      </c>
      <c r="J106" s="110"/>
      <c r="K106" s="69" t="s">
        <v>61</v>
      </c>
      <c r="L106" s="73" t="s">
        <v>92</v>
      </c>
      <c r="M106" s="80">
        <v>0</v>
      </c>
    </row>
    <row r="107" spans="1:13" ht="13.95" customHeight="1" x14ac:dyDescent="0.3">
      <c r="A107" s="61">
        <v>46198</v>
      </c>
      <c r="B107" s="61" t="s">
        <v>57</v>
      </c>
      <c r="C107" s="66" t="s">
        <v>1435</v>
      </c>
      <c r="D107" s="149" t="s">
        <v>3</v>
      </c>
      <c r="E107" s="395"/>
      <c r="F107" s="393">
        <v>60000.99</v>
      </c>
      <c r="G107" s="159">
        <f t="shared" si="0"/>
        <v>-662918.4600000002</v>
      </c>
      <c r="H107" s="51">
        <v>24.99</v>
      </c>
      <c r="I107" s="10" t="s">
        <v>92</v>
      </c>
      <c r="J107" s="110"/>
      <c r="K107" s="69" t="s">
        <v>22</v>
      </c>
      <c r="L107" s="73" t="s">
        <v>92</v>
      </c>
      <c r="M107" s="80">
        <f>SUM(H101)</f>
        <v>125.15600000000001</v>
      </c>
    </row>
    <row r="108" spans="1:13" ht="13.95" customHeight="1" x14ac:dyDescent="0.3">
      <c r="A108" s="61">
        <v>46199</v>
      </c>
      <c r="B108" s="61" t="s">
        <v>57</v>
      </c>
      <c r="C108" s="66" t="s">
        <v>1438</v>
      </c>
      <c r="D108" s="149" t="s">
        <v>3</v>
      </c>
      <c r="E108" s="395"/>
      <c r="F108" s="393">
        <v>60000.36</v>
      </c>
      <c r="G108" s="159">
        <f t="shared" si="0"/>
        <v>-722918.82000000018</v>
      </c>
      <c r="H108" s="51">
        <v>25.021000000000001</v>
      </c>
      <c r="I108" s="10" t="s">
        <v>92</v>
      </c>
      <c r="J108" s="110"/>
      <c r="K108" s="69" t="s">
        <v>6</v>
      </c>
      <c r="L108" s="73" t="s">
        <v>92</v>
      </c>
      <c r="M108" s="80">
        <f>SUM(H113)</f>
        <v>24.907</v>
      </c>
    </row>
    <row r="109" spans="1:13" ht="13.95" customHeight="1" x14ac:dyDescent="0.3">
      <c r="A109" s="239">
        <v>46199</v>
      </c>
      <c r="B109" s="239" t="s">
        <v>60</v>
      </c>
      <c r="C109" s="362" t="s">
        <v>1439</v>
      </c>
      <c r="D109" s="353" t="s">
        <v>1218</v>
      </c>
      <c r="E109" s="398">
        <v>1000000</v>
      </c>
      <c r="F109" s="399"/>
      <c r="G109" s="310">
        <f t="shared" si="0"/>
        <v>277081.17999999982</v>
      </c>
      <c r="H109" s="352"/>
      <c r="I109" s="199" t="s">
        <v>1222</v>
      </c>
      <c r="J109" s="110"/>
      <c r="K109" s="69" t="s">
        <v>8</v>
      </c>
      <c r="L109" s="73" t="s">
        <v>92</v>
      </c>
      <c r="M109" s="80">
        <f>SUM(H106+H110)</f>
        <v>49.978999999999999</v>
      </c>
    </row>
    <row r="110" spans="1:13" ht="13.95" customHeight="1" x14ac:dyDescent="0.3">
      <c r="A110" s="61">
        <v>46202</v>
      </c>
      <c r="B110" s="61" t="s">
        <v>57</v>
      </c>
      <c r="C110" s="66" t="s">
        <v>1440</v>
      </c>
      <c r="D110" s="149" t="s">
        <v>8</v>
      </c>
      <c r="E110" s="395"/>
      <c r="F110" s="393">
        <v>59999.94</v>
      </c>
      <c r="G110" s="160">
        <f t="shared" si="0"/>
        <v>217081.23999999982</v>
      </c>
      <c r="H110" s="51">
        <v>24.948</v>
      </c>
      <c r="I110" s="10" t="s">
        <v>92</v>
      </c>
      <c r="J110" s="110"/>
      <c r="K110" s="69" t="s">
        <v>9</v>
      </c>
      <c r="L110" s="73" t="s">
        <v>92</v>
      </c>
      <c r="M110" s="80">
        <f>SUM(H103)</f>
        <v>120.59</v>
      </c>
    </row>
    <row r="111" spans="1:13" ht="13.95" customHeight="1" x14ac:dyDescent="0.3">
      <c r="A111" s="61">
        <v>46202</v>
      </c>
      <c r="B111" s="61" t="s">
        <v>57</v>
      </c>
      <c r="C111" s="66" t="s">
        <v>1441</v>
      </c>
      <c r="D111" s="149" t="s">
        <v>1</v>
      </c>
      <c r="E111" s="395"/>
      <c r="F111" s="393">
        <v>143414.96</v>
      </c>
      <c r="G111" s="160">
        <f t="shared" si="0"/>
        <v>73666.279999999824</v>
      </c>
      <c r="H111" s="51">
        <v>59.631999999999998</v>
      </c>
      <c r="I111" s="10" t="s">
        <v>92</v>
      </c>
      <c r="J111" s="110"/>
      <c r="K111" s="69" t="s">
        <v>11</v>
      </c>
      <c r="L111" s="73" t="s">
        <v>92</v>
      </c>
      <c r="M111" s="80">
        <f>SUM(H96+H97+H98+H99+H114)</f>
        <v>159.26690000000002</v>
      </c>
    </row>
    <row r="112" spans="1:13" ht="13.95" customHeight="1" x14ac:dyDescent="0.3">
      <c r="A112" s="61">
        <v>46202</v>
      </c>
      <c r="B112" s="61" t="s">
        <v>57</v>
      </c>
      <c r="C112" s="66" t="s">
        <v>1442</v>
      </c>
      <c r="D112" s="149" t="s">
        <v>3</v>
      </c>
      <c r="E112" s="395"/>
      <c r="F112" s="393">
        <v>59999.94</v>
      </c>
      <c r="G112" s="160">
        <f t="shared" si="0"/>
        <v>13666.339999999822</v>
      </c>
      <c r="H112" s="51">
        <v>24.948</v>
      </c>
      <c r="I112" s="10" t="s">
        <v>92</v>
      </c>
      <c r="J112" s="110"/>
      <c r="K112" s="147" t="s">
        <v>695</v>
      </c>
      <c r="L112" s="147"/>
      <c r="M112" s="148">
        <f>SUM(M99:M111)</f>
        <v>816.25890000000004</v>
      </c>
    </row>
    <row r="113" spans="1:13" ht="13.95" customHeight="1" x14ac:dyDescent="0.3">
      <c r="A113" s="61">
        <v>46203</v>
      </c>
      <c r="B113" s="61" t="s">
        <v>57</v>
      </c>
      <c r="C113" s="66" t="s">
        <v>1443</v>
      </c>
      <c r="D113" s="149" t="s">
        <v>6</v>
      </c>
      <c r="E113" s="395"/>
      <c r="F113" s="393">
        <v>60000.959999999999</v>
      </c>
      <c r="G113" s="159">
        <f t="shared" si="0"/>
        <v>-46334.620000000177</v>
      </c>
      <c r="H113" s="51">
        <v>24.907</v>
      </c>
      <c r="I113" s="10" t="s">
        <v>92</v>
      </c>
      <c r="J113" s="110"/>
    </row>
    <row r="114" spans="1:13" ht="13.95" customHeight="1" x14ac:dyDescent="0.3">
      <c r="A114" s="61">
        <v>46203</v>
      </c>
      <c r="B114" s="61" t="s">
        <v>57</v>
      </c>
      <c r="C114" s="66" t="s">
        <v>1444</v>
      </c>
      <c r="D114" s="149" t="s">
        <v>117</v>
      </c>
      <c r="E114" s="395"/>
      <c r="F114" s="393">
        <v>45344.53</v>
      </c>
      <c r="G114" s="159">
        <f t="shared" si="0"/>
        <v>-91679.150000000169</v>
      </c>
      <c r="H114" s="51">
        <v>20.001999999999999</v>
      </c>
      <c r="I114" s="10" t="s">
        <v>92</v>
      </c>
      <c r="J114" s="110"/>
      <c r="K114" s="569" t="s">
        <v>1447</v>
      </c>
      <c r="L114" s="570"/>
      <c r="M114" s="571"/>
    </row>
    <row r="115" spans="1:13" ht="13.95" customHeight="1" x14ac:dyDescent="0.3">
      <c r="A115" s="61">
        <v>46203</v>
      </c>
      <c r="B115" s="61" t="s">
        <v>57</v>
      </c>
      <c r="C115" s="66" t="s">
        <v>1445</v>
      </c>
      <c r="D115" s="149" t="s">
        <v>541</v>
      </c>
      <c r="E115" s="395"/>
      <c r="F115" s="393">
        <v>30000.74</v>
      </c>
      <c r="G115" s="159">
        <f t="shared" si="0"/>
        <v>-121679.89000000017</v>
      </c>
      <c r="H115" s="51">
        <v>13.31</v>
      </c>
      <c r="I115" s="10" t="s">
        <v>92</v>
      </c>
      <c r="J115" s="110"/>
      <c r="K115" s="298" t="s">
        <v>32</v>
      </c>
      <c r="L115" s="299" t="s">
        <v>35</v>
      </c>
      <c r="M115" s="299" t="s">
        <v>33</v>
      </c>
    </row>
    <row r="116" spans="1:13" ht="13.95" customHeight="1" x14ac:dyDescent="0.3">
      <c r="A116" s="61">
        <v>46203</v>
      </c>
      <c r="B116" s="61" t="s">
        <v>57</v>
      </c>
      <c r="C116" s="66" t="s">
        <v>1446</v>
      </c>
      <c r="D116" s="149" t="s">
        <v>3</v>
      </c>
      <c r="E116" s="395"/>
      <c r="F116" s="393">
        <v>60000.959999999999</v>
      </c>
      <c r="G116" s="159">
        <f t="shared" si="0"/>
        <v>-181680.85000000018</v>
      </c>
      <c r="H116" s="51">
        <v>24.907</v>
      </c>
      <c r="I116" s="10" t="s">
        <v>92</v>
      </c>
      <c r="J116" s="110"/>
      <c r="K116" s="39" t="s">
        <v>0</v>
      </c>
      <c r="L116" s="73" t="s">
        <v>92</v>
      </c>
      <c r="M116" s="26">
        <f>SUM(M8+M51+M80+M99)</f>
        <v>0</v>
      </c>
    </row>
    <row r="117" spans="1:13" ht="13.95" customHeight="1" x14ac:dyDescent="0.3">
      <c r="A117" s="552" t="s">
        <v>694</v>
      </c>
      <c r="B117" s="552"/>
      <c r="C117" s="552"/>
      <c r="D117" s="552"/>
      <c r="E117" s="552"/>
      <c r="F117" s="552"/>
      <c r="G117" s="552"/>
      <c r="H117" s="573">
        <f>SUM(H96:H116)</f>
        <v>816.25889999999981</v>
      </c>
      <c r="I117" s="554"/>
      <c r="J117" s="110"/>
      <c r="K117" s="69" t="s">
        <v>1</v>
      </c>
      <c r="L117" s="73" t="s">
        <v>92</v>
      </c>
      <c r="M117" s="42">
        <f>SUM(M9+M52+M81+M100)</f>
        <v>376.61599999999999</v>
      </c>
    </row>
    <row r="118" spans="1:13" ht="27" customHeight="1" x14ac:dyDescent="0.3">
      <c r="A118" s="572" t="s">
        <v>28</v>
      </c>
      <c r="B118" s="572"/>
      <c r="C118" s="572"/>
      <c r="D118" s="572"/>
      <c r="E118" s="83">
        <f>SUM(E8:E116)</f>
        <v>9294999.3000000007</v>
      </c>
      <c r="F118" s="84">
        <f>SUM(F8:F116)</f>
        <v>9476680.1499999985</v>
      </c>
      <c r="G118" s="400">
        <f>SUM(E118-F118)</f>
        <v>-181680.84999999776</v>
      </c>
      <c r="H118" s="75">
        <f>SUM(H47+H76+H94+H117)</f>
        <v>4009.9589000000001</v>
      </c>
      <c r="I118" s="36"/>
      <c r="J118"/>
      <c r="K118" s="24" t="s">
        <v>27</v>
      </c>
      <c r="L118" s="73" t="s">
        <v>92</v>
      </c>
      <c r="M118" s="26">
        <f>SUM(M10+M53+M82+M101)</f>
        <v>165.922</v>
      </c>
    </row>
    <row r="119" spans="1:13" x14ac:dyDescent="0.3">
      <c r="J119" s="3"/>
      <c r="K119" s="126" t="s">
        <v>429</v>
      </c>
      <c r="L119" s="73" t="s">
        <v>92</v>
      </c>
      <c r="M119" s="80">
        <f>SUM(M11+M54+M83)</f>
        <v>212.24499999999998</v>
      </c>
    </row>
    <row r="120" spans="1:13" x14ac:dyDescent="0.3">
      <c r="J120" s="3"/>
      <c r="K120" s="126" t="s">
        <v>62</v>
      </c>
      <c r="L120" s="73" t="s">
        <v>92</v>
      </c>
      <c r="M120" s="80">
        <f>SUM(M12+M55)</f>
        <v>100.22000000000001</v>
      </c>
    </row>
    <row r="121" spans="1:13" x14ac:dyDescent="0.3">
      <c r="J121" s="3"/>
      <c r="K121" s="126" t="s">
        <v>361</v>
      </c>
      <c r="L121" s="73" t="s">
        <v>92</v>
      </c>
      <c r="M121" s="80">
        <f>SUM(M13+M56+M84+M102)</f>
        <v>0</v>
      </c>
    </row>
    <row r="122" spans="1:13" x14ac:dyDescent="0.3">
      <c r="J122" s="3"/>
      <c r="K122" s="391" t="s">
        <v>541</v>
      </c>
      <c r="L122" s="73" t="s">
        <v>92</v>
      </c>
      <c r="M122" s="80">
        <f>SUM(M14+M57+M85+M103)</f>
        <v>23.265000000000001</v>
      </c>
    </row>
    <row r="123" spans="1:13" x14ac:dyDescent="0.3">
      <c r="J123" s="3"/>
      <c r="K123" s="69" t="s">
        <v>24</v>
      </c>
      <c r="L123" s="73" t="s">
        <v>92</v>
      </c>
      <c r="M123" s="26">
        <f>SUM(M15+M58)</f>
        <v>125.221</v>
      </c>
    </row>
    <row r="124" spans="1:13" x14ac:dyDescent="0.3">
      <c r="J124" s="3"/>
      <c r="K124" s="69" t="s">
        <v>29</v>
      </c>
      <c r="L124" s="73" t="s">
        <v>92</v>
      </c>
      <c r="M124" s="26">
        <f>SUM(M16+M59)</f>
        <v>0</v>
      </c>
    </row>
    <row r="125" spans="1:13" x14ac:dyDescent="0.3">
      <c r="J125" s="3"/>
      <c r="K125" s="69" t="s">
        <v>3</v>
      </c>
      <c r="L125" s="73" t="s">
        <v>92</v>
      </c>
      <c r="M125" s="26">
        <f t="shared" ref="M125:M131" si="1">SUM(M17+M60+M86+M104)</f>
        <v>225.08500000000001</v>
      </c>
    </row>
    <row r="126" spans="1:13" x14ac:dyDescent="0.3">
      <c r="J126" s="3"/>
      <c r="K126" s="69" t="s">
        <v>5</v>
      </c>
      <c r="L126" s="73" t="s">
        <v>92</v>
      </c>
      <c r="M126" s="26">
        <f t="shared" si="1"/>
        <v>320.77799999999996</v>
      </c>
    </row>
    <row r="127" spans="1:13" x14ac:dyDescent="0.3">
      <c r="J127" s="3"/>
      <c r="K127" s="69" t="s">
        <v>61</v>
      </c>
      <c r="L127" s="73" t="s">
        <v>92</v>
      </c>
      <c r="M127" s="26">
        <f t="shared" si="1"/>
        <v>599.54899999999998</v>
      </c>
    </row>
    <row r="128" spans="1:13" x14ac:dyDescent="0.3">
      <c r="J128" s="3"/>
      <c r="K128" s="69" t="s">
        <v>22</v>
      </c>
      <c r="L128" s="73" t="s">
        <v>92</v>
      </c>
      <c r="M128" s="26">
        <f t="shared" si="1"/>
        <v>256.42700000000002</v>
      </c>
    </row>
    <row r="129" spans="10:13" x14ac:dyDescent="0.3">
      <c r="J129" s="3"/>
      <c r="K129" s="69" t="s">
        <v>6</v>
      </c>
      <c r="L129" s="73" t="s">
        <v>92</v>
      </c>
      <c r="M129" s="26">
        <f t="shared" si="1"/>
        <v>225.18</v>
      </c>
    </row>
    <row r="130" spans="10:13" x14ac:dyDescent="0.3">
      <c r="J130" s="3"/>
      <c r="K130" s="69" t="s">
        <v>8</v>
      </c>
      <c r="L130" s="73" t="s">
        <v>92</v>
      </c>
      <c r="M130" s="26">
        <f t="shared" si="1"/>
        <v>150.14600000000002</v>
      </c>
    </row>
    <row r="131" spans="10:13" x14ac:dyDescent="0.3">
      <c r="J131" s="3"/>
      <c r="K131" s="69" t="s">
        <v>9</v>
      </c>
      <c r="L131" s="73" t="s">
        <v>92</v>
      </c>
      <c r="M131" s="26">
        <f t="shared" si="1"/>
        <v>280.04700000000003</v>
      </c>
    </row>
    <row r="132" spans="10:13" x14ac:dyDescent="0.3">
      <c r="J132" s="3"/>
      <c r="K132" s="69" t="s">
        <v>30</v>
      </c>
      <c r="L132" s="73" t="s">
        <v>92</v>
      </c>
      <c r="M132" s="26">
        <f>SUM(M24+M67)</f>
        <v>208.50700000000001</v>
      </c>
    </row>
    <row r="133" spans="10:13" x14ac:dyDescent="0.3">
      <c r="J133" s="3"/>
      <c r="K133" s="69" t="s">
        <v>10</v>
      </c>
      <c r="L133" s="73" t="s">
        <v>92</v>
      </c>
      <c r="M133" s="26">
        <f>SUM(M25+M68)</f>
        <v>239.452</v>
      </c>
    </row>
    <row r="134" spans="10:13" ht="15" thickBot="1" x14ac:dyDescent="0.35">
      <c r="J134" s="3"/>
      <c r="K134" s="133" t="s">
        <v>11</v>
      </c>
      <c r="L134" s="134" t="s">
        <v>92</v>
      </c>
      <c r="M134" s="30">
        <f>SUM(M26+M69+M93+M111)</f>
        <v>501.29889999999995</v>
      </c>
    </row>
    <row r="135" spans="10:13" ht="15.6" thickTop="1" thickBot="1" x14ac:dyDescent="0.35">
      <c r="J135" s="3"/>
      <c r="K135" s="533" t="s">
        <v>1225</v>
      </c>
      <c r="L135" s="533"/>
      <c r="M135" s="303">
        <f>SUM(M116:M134)</f>
        <v>4009.9588999999996</v>
      </c>
    </row>
    <row r="136" spans="10:13" ht="15" thickTop="1" x14ac:dyDescent="0.3">
      <c r="J136" s="3"/>
    </row>
    <row r="137" spans="10:13" x14ac:dyDescent="0.3">
      <c r="J137" s="3"/>
    </row>
    <row r="138" spans="10:13" x14ac:dyDescent="0.3">
      <c r="J138" s="3"/>
    </row>
    <row r="139" spans="10:13" x14ac:dyDescent="0.3">
      <c r="J139" s="3"/>
    </row>
    <row r="140" spans="10:13" x14ac:dyDescent="0.3">
      <c r="J140" s="3"/>
    </row>
    <row r="141" spans="10:13" x14ac:dyDescent="0.3">
      <c r="J141" s="3"/>
    </row>
    <row r="142" spans="10:13" x14ac:dyDescent="0.3">
      <c r="J142" s="3"/>
    </row>
    <row r="143" spans="10:13" x14ac:dyDescent="0.3">
      <c r="J143" s="3"/>
    </row>
    <row r="144" spans="10:13" x14ac:dyDescent="0.3">
      <c r="J144" s="3"/>
    </row>
    <row r="145" spans="10:10" x14ac:dyDescent="0.3">
      <c r="J145" s="3"/>
    </row>
    <row r="146" spans="10:10" x14ac:dyDescent="0.3">
      <c r="J146" s="3"/>
    </row>
    <row r="147" spans="10:10" x14ac:dyDescent="0.3">
      <c r="J147" s="3"/>
    </row>
    <row r="148" spans="10:10" x14ac:dyDescent="0.3">
      <c r="J148" s="3"/>
    </row>
    <row r="149" spans="10:10" x14ac:dyDescent="0.3">
      <c r="J149" s="3"/>
    </row>
    <row r="150" spans="10:10" x14ac:dyDescent="0.3">
      <c r="J150" s="3"/>
    </row>
    <row r="151" spans="10:10" x14ac:dyDescent="0.3">
      <c r="J151" s="3"/>
    </row>
    <row r="152" spans="10:10" x14ac:dyDescent="0.3">
      <c r="J152" s="3"/>
    </row>
    <row r="153" spans="10:10" x14ac:dyDescent="0.3">
      <c r="J153" s="3"/>
    </row>
    <row r="154" spans="10:10" x14ac:dyDescent="0.3">
      <c r="J154" s="3"/>
    </row>
    <row r="155" spans="10:10" x14ac:dyDescent="0.3">
      <c r="J155" s="3"/>
    </row>
    <row r="156" spans="10:10" x14ac:dyDescent="0.3">
      <c r="J156" s="3"/>
    </row>
    <row r="157" spans="10:10" x14ac:dyDescent="0.3">
      <c r="J157" s="3"/>
    </row>
    <row r="158" spans="10:10" x14ac:dyDescent="0.3">
      <c r="J158" s="3"/>
    </row>
    <row r="159" spans="10:10" x14ac:dyDescent="0.3">
      <c r="J159" s="3"/>
    </row>
    <row r="160" spans="10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</sheetData>
  <mergeCells count="27">
    <mergeCell ref="K135:L135"/>
    <mergeCell ref="A118:D118"/>
    <mergeCell ref="A77:I77"/>
    <mergeCell ref="K97:M97"/>
    <mergeCell ref="A117:G117"/>
    <mergeCell ref="H117:I117"/>
    <mergeCell ref="K114:M114"/>
    <mergeCell ref="K96:M96"/>
    <mergeCell ref="K94:L94"/>
    <mergeCell ref="A94:G94"/>
    <mergeCell ref="H94:I94"/>
    <mergeCell ref="A95:I95"/>
    <mergeCell ref="A5:I5"/>
    <mergeCell ref="K5:M5"/>
    <mergeCell ref="A6:I6"/>
    <mergeCell ref="K6:M6"/>
    <mergeCell ref="K27:L27"/>
    <mergeCell ref="A47:G47"/>
    <mergeCell ref="H47:I47"/>
    <mergeCell ref="A76:G76"/>
    <mergeCell ref="H76:I76"/>
    <mergeCell ref="A48:I48"/>
    <mergeCell ref="K70:L70"/>
    <mergeCell ref="K77:M77"/>
    <mergeCell ref="K78:M78"/>
    <mergeCell ref="K49:M49"/>
    <mergeCell ref="K48:M48"/>
  </mergeCells>
  <pageMargins left="0.27559055118110237" right="0.27559055118110237" top="0.39370078740157483" bottom="0.39370078740157483" header="0" footer="0"/>
  <pageSetup paperSize="9" scale="50" fitToHeight="0" orientation="portrait" r:id="rId1"/>
  <ignoredErrors>
    <ignoredError sqref="G118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O329"/>
  <sheetViews>
    <sheetView topLeftCell="A136" zoomScale="98" zoomScaleNormal="98" workbookViewId="0">
      <selection activeCell="A140" sqref="A140:I151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.44140625" bestFit="1" customWidth="1"/>
    <col min="5" max="5" width="20.6640625" customWidth="1"/>
    <col min="6" max="6" width="17.109375" bestFit="1" customWidth="1"/>
    <col min="7" max="7" width="15.6640625" customWidth="1"/>
    <col min="8" max="8" width="10.21875" bestFit="1" customWidth="1"/>
    <col min="9" max="9" width="34.109375" style="3" customWidth="1"/>
    <col min="10" max="10" width="6.33203125" style="72" customWidth="1"/>
    <col min="11" max="11" width="17.44140625" customWidth="1"/>
    <col min="12" max="12" width="16.33203125" customWidth="1"/>
    <col min="13" max="13" width="14.88671875" customWidth="1"/>
    <col min="15" max="15" width="14.88671875" bestFit="1" customWidth="1"/>
    <col min="16" max="16" width="14.33203125" bestFit="1" customWidth="1"/>
  </cols>
  <sheetData>
    <row r="1" spans="1:15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5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5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5" ht="15.6" customHeight="1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5" ht="24" customHeight="1" x14ac:dyDescent="0.45">
      <c r="A5" s="519" t="s">
        <v>1277</v>
      </c>
      <c r="B5" s="519"/>
      <c r="C5" s="519"/>
      <c r="D5" s="519"/>
      <c r="E5" s="519"/>
      <c r="F5" s="519"/>
      <c r="G5" s="519"/>
      <c r="H5" s="519"/>
      <c r="I5" s="519"/>
      <c r="J5" s="113"/>
      <c r="K5" s="588" t="s">
        <v>1437</v>
      </c>
      <c r="L5" s="588"/>
      <c r="M5" s="588"/>
    </row>
    <row r="6" spans="1:15" ht="21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89" t="s">
        <v>34</v>
      </c>
      <c r="L6" s="589"/>
      <c r="M6" s="589"/>
      <c r="N6" s="146"/>
      <c r="O6" s="146"/>
    </row>
    <row r="7" spans="1:15" ht="15.6" x14ac:dyDescent="0.3">
      <c r="A7" s="470" t="s">
        <v>13</v>
      </c>
      <c r="B7" s="470" t="s">
        <v>1340</v>
      </c>
      <c r="C7" s="470" t="s">
        <v>25</v>
      </c>
      <c r="D7" s="471" t="s">
        <v>18</v>
      </c>
      <c r="E7" s="472" t="s">
        <v>16</v>
      </c>
      <c r="F7" s="472" t="s">
        <v>17</v>
      </c>
      <c r="G7" s="473" t="s">
        <v>14</v>
      </c>
      <c r="H7" s="474" t="s">
        <v>15</v>
      </c>
      <c r="I7" s="475" t="s">
        <v>20</v>
      </c>
      <c r="J7" s="109"/>
      <c r="K7" s="476" t="s">
        <v>32</v>
      </c>
      <c r="L7" s="477" t="s">
        <v>35</v>
      </c>
      <c r="M7" s="477" t="s">
        <v>33</v>
      </c>
      <c r="N7" s="146"/>
      <c r="O7" s="146"/>
    </row>
    <row r="8" spans="1:15" ht="18.600000000000001" customHeight="1" x14ac:dyDescent="0.3">
      <c r="A8" s="261">
        <v>46203</v>
      </c>
      <c r="B8" s="261"/>
      <c r="C8" s="257" t="s">
        <v>21</v>
      </c>
      <c r="D8" s="257"/>
      <c r="E8" s="427"/>
      <c r="F8" s="440">
        <v>181680.85</v>
      </c>
      <c r="G8" s="440">
        <f>+E8-F8</f>
        <v>-181680.85</v>
      </c>
      <c r="H8" s="36"/>
      <c r="I8" s="105"/>
      <c r="J8" s="5"/>
      <c r="K8" s="57" t="s">
        <v>0</v>
      </c>
      <c r="L8" s="73" t="s">
        <v>92</v>
      </c>
      <c r="M8" s="26">
        <v>0</v>
      </c>
      <c r="N8" s="146"/>
      <c r="O8" s="146"/>
    </row>
    <row r="9" spans="1:15" s="6" customFormat="1" ht="16.2" customHeight="1" x14ac:dyDescent="0.3">
      <c r="A9" s="206">
        <v>46204</v>
      </c>
      <c r="B9" s="42" t="s">
        <v>57</v>
      </c>
      <c r="C9" s="41" t="s">
        <v>1448</v>
      </c>
      <c r="D9" s="127" t="s">
        <v>61</v>
      </c>
      <c r="E9" s="22"/>
      <c r="F9" s="168">
        <v>441269.4</v>
      </c>
      <c r="G9" s="435">
        <f>+G8+E9-F9</f>
        <v>-622950.25</v>
      </c>
      <c r="H9" s="76">
        <v>183.48</v>
      </c>
      <c r="I9" s="10" t="s">
        <v>92</v>
      </c>
      <c r="J9" s="110"/>
      <c r="K9" s="431" t="s">
        <v>1</v>
      </c>
      <c r="L9" s="73" t="s">
        <v>92</v>
      </c>
      <c r="M9" s="42">
        <v>0</v>
      </c>
      <c r="N9" s="146"/>
      <c r="O9" s="146"/>
    </row>
    <row r="10" spans="1:15" x14ac:dyDescent="0.3">
      <c r="A10" s="206">
        <v>46204</v>
      </c>
      <c r="B10" s="206" t="s">
        <v>57</v>
      </c>
      <c r="C10" s="41" t="s">
        <v>1449</v>
      </c>
      <c r="D10" s="10" t="s">
        <v>117</v>
      </c>
      <c r="E10" s="22"/>
      <c r="F10" s="168">
        <v>86948.99</v>
      </c>
      <c r="G10" s="435">
        <f t="shared" ref="G10:G36" si="0">+G9+E10-F10</f>
        <v>-709899.24</v>
      </c>
      <c r="H10" s="76">
        <v>38.421999999999997</v>
      </c>
      <c r="I10" s="10" t="s">
        <v>92</v>
      </c>
      <c r="J10" s="110"/>
      <c r="K10" s="65" t="s">
        <v>27</v>
      </c>
      <c r="L10" s="73" t="s">
        <v>92</v>
      </c>
      <c r="M10" s="26">
        <f>SUM(H11)</f>
        <v>38.256999999999998</v>
      </c>
      <c r="N10" s="146"/>
      <c r="O10" s="146"/>
    </row>
    <row r="11" spans="1:15" x14ac:dyDescent="0.3">
      <c r="A11" s="206">
        <v>46204</v>
      </c>
      <c r="B11" s="206" t="s">
        <v>57</v>
      </c>
      <c r="C11" s="41" t="s">
        <v>1450</v>
      </c>
      <c r="D11" s="10" t="s">
        <v>27</v>
      </c>
      <c r="E11" s="22"/>
      <c r="F11" s="168">
        <v>92008.09</v>
      </c>
      <c r="G11" s="435">
        <f t="shared" si="0"/>
        <v>-801907.33</v>
      </c>
      <c r="H11" s="76">
        <v>38.256999999999998</v>
      </c>
      <c r="I11" s="10" t="s">
        <v>92</v>
      </c>
      <c r="J11" s="110"/>
      <c r="K11" s="76" t="s">
        <v>361</v>
      </c>
      <c r="L11" s="73" t="s">
        <v>92</v>
      </c>
      <c r="M11" s="80">
        <v>0</v>
      </c>
      <c r="N11" s="146"/>
      <c r="O11" s="146"/>
    </row>
    <row r="12" spans="1:15" x14ac:dyDescent="0.3">
      <c r="A12" s="209">
        <v>46204</v>
      </c>
      <c r="B12" s="209" t="s">
        <v>60</v>
      </c>
      <c r="C12" s="201" t="s">
        <v>1451</v>
      </c>
      <c r="D12" s="227" t="s">
        <v>1218</v>
      </c>
      <c r="E12" s="370">
        <v>1000000</v>
      </c>
      <c r="F12" s="315"/>
      <c r="G12" s="441">
        <f t="shared" si="0"/>
        <v>198092.67000000004</v>
      </c>
      <c r="H12" s="212"/>
      <c r="I12" s="199" t="s">
        <v>1222</v>
      </c>
      <c r="J12" s="110"/>
      <c r="K12" s="145" t="s">
        <v>541</v>
      </c>
      <c r="L12" s="73" t="s">
        <v>92</v>
      </c>
      <c r="M12" s="80">
        <v>0</v>
      </c>
      <c r="N12" s="146"/>
      <c r="O12" s="146"/>
    </row>
    <row r="13" spans="1:15" x14ac:dyDescent="0.3">
      <c r="A13" s="206">
        <v>46204</v>
      </c>
      <c r="B13" s="206" t="s">
        <v>57</v>
      </c>
      <c r="C13" s="41" t="s">
        <v>1452</v>
      </c>
      <c r="D13" s="198" t="s">
        <v>3</v>
      </c>
      <c r="E13" s="22"/>
      <c r="F13" s="168">
        <v>59999.94</v>
      </c>
      <c r="G13" s="442">
        <f t="shared" si="0"/>
        <v>138092.73000000004</v>
      </c>
      <c r="H13" s="76">
        <v>24.948</v>
      </c>
      <c r="I13" s="10" t="s">
        <v>92</v>
      </c>
      <c r="J13" s="110"/>
      <c r="K13" s="431" t="s">
        <v>3</v>
      </c>
      <c r="L13" s="73" t="s">
        <v>92</v>
      </c>
      <c r="M13" s="80">
        <f>SUM(H13+H16)</f>
        <v>49.875</v>
      </c>
      <c r="N13" s="146"/>
      <c r="O13" s="146"/>
    </row>
    <row r="14" spans="1:15" x14ac:dyDescent="0.3">
      <c r="A14" s="206">
        <v>46205</v>
      </c>
      <c r="B14" s="206" t="s">
        <v>57</v>
      </c>
      <c r="C14" s="41" t="s">
        <v>1453</v>
      </c>
      <c r="D14" s="127" t="s">
        <v>8</v>
      </c>
      <c r="E14" s="22"/>
      <c r="F14" s="168">
        <v>59999.360000000001</v>
      </c>
      <c r="G14" s="442">
        <f t="shared" si="0"/>
        <v>78093.370000000039</v>
      </c>
      <c r="H14" s="76">
        <v>24.896000000000001</v>
      </c>
      <c r="I14" s="10" t="s">
        <v>92</v>
      </c>
      <c r="J14" s="110"/>
      <c r="K14" s="431" t="s">
        <v>5</v>
      </c>
      <c r="L14" s="73" t="s">
        <v>92</v>
      </c>
      <c r="M14" s="80">
        <f>SUM(H18)</f>
        <v>24.927</v>
      </c>
      <c r="N14" s="146"/>
      <c r="O14" s="146"/>
    </row>
    <row r="15" spans="1:15" x14ac:dyDescent="0.3">
      <c r="A15" s="206">
        <v>46206</v>
      </c>
      <c r="B15" s="206" t="s">
        <v>57</v>
      </c>
      <c r="C15" s="41" t="s">
        <v>1454</v>
      </c>
      <c r="D15" s="127" t="s">
        <v>3</v>
      </c>
      <c r="E15" s="22"/>
      <c r="F15" s="168">
        <v>59999.29</v>
      </c>
      <c r="G15" s="442">
        <f t="shared" si="0"/>
        <v>18094.080000000038</v>
      </c>
      <c r="H15" s="76">
        <v>24.927</v>
      </c>
      <c r="I15" s="10" t="s">
        <v>92</v>
      </c>
      <c r="J15" s="110"/>
      <c r="K15" s="431" t="s">
        <v>61</v>
      </c>
      <c r="L15" s="73" t="s">
        <v>92</v>
      </c>
      <c r="M15" s="80">
        <f>SUM(H9)</f>
        <v>183.48</v>
      </c>
      <c r="N15" s="146"/>
      <c r="O15" s="146"/>
    </row>
    <row r="16" spans="1:15" x14ac:dyDescent="0.3">
      <c r="A16" s="206">
        <v>46206</v>
      </c>
      <c r="B16" s="206" t="s">
        <v>57</v>
      </c>
      <c r="C16" s="41" t="s">
        <v>1455</v>
      </c>
      <c r="D16" s="127" t="s">
        <v>6</v>
      </c>
      <c r="E16" s="22"/>
      <c r="F16" s="168">
        <v>59999.29</v>
      </c>
      <c r="G16" s="435">
        <f t="shared" si="0"/>
        <v>-41905.209999999963</v>
      </c>
      <c r="H16" s="76">
        <v>24.927</v>
      </c>
      <c r="I16" s="10" t="s">
        <v>92</v>
      </c>
      <c r="J16" s="110"/>
      <c r="K16" s="431" t="s">
        <v>22</v>
      </c>
      <c r="L16" s="73" t="s">
        <v>92</v>
      </c>
      <c r="M16" s="80">
        <v>0</v>
      </c>
      <c r="N16" s="146"/>
      <c r="O16" s="146"/>
    </row>
    <row r="17" spans="1:15" x14ac:dyDescent="0.3">
      <c r="A17" s="206">
        <v>46206</v>
      </c>
      <c r="B17" s="206" t="s">
        <v>57</v>
      </c>
      <c r="C17" s="41" t="s">
        <v>1456</v>
      </c>
      <c r="D17" s="127" t="s">
        <v>9</v>
      </c>
      <c r="E17" s="22"/>
      <c r="F17" s="168">
        <v>288843.82</v>
      </c>
      <c r="G17" s="435">
        <f t="shared" si="0"/>
        <v>-330749.02999999997</v>
      </c>
      <c r="H17" s="76">
        <v>127.807</v>
      </c>
      <c r="I17" s="10" t="s">
        <v>92</v>
      </c>
      <c r="J17" s="110"/>
      <c r="K17" s="431" t="s">
        <v>6</v>
      </c>
      <c r="L17" s="73" t="s">
        <v>92</v>
      </c>
      <c r="M17" s="80">
        <f>SUM(H16)</f>
        <v>24.927</v>
      </c>
      <c r="N17" s="146"/>
      <c r="O17" s="146"/>
    </row>
    <row r="18" spans="1:15" x14ac:dyDescent="0.3">
      <c r="A18" s="206">
        <v>46206</v>
      </c>
      <c r="B18" s="206" t="s">
        <v>57</v>
      </c>
      <c r="C18" s="41" t="s">
        <v>1457</v>
      </c>
      <c r="D18" s="127" t="s">
        <v>5</v>
      </c>
      <c r="E18" s="22"/>
      <c r="F18" s="168">
        <v>59999.29</v>
      </c>
      <c r="G18" s="435">
        <f t="shared" si="0"/>
        <v>-390748.31999999995</v>
      </c>
      <c r="H18" s="76">
        <v>24.927</v>
      </c>
      <c r="I18" s="10" t="s">
        <v>92</v>
      </c>
      <c r="J18" s="110"/>
      <c r="K18" s="431" t="s">
        <v>8</v>
      </c>
      <c r="L18" s="73" t="s">
        <v>92</v>
      </c>
      <c r="M18" s="80">
        <f>SUM(H14)</f>
        <v>24.896000000000001</v>
      </c>
      <c r="N18" s="146"/>
      <c r="O18" s="146"/>
    </row>
    <row r="19" spans="1:15" x14ac:dyDescent="0.3">
      <c r="A19" s="510" t="s">
        <v>694</v>
      </c>
      <c r="B19" s="510"/>
      <c r="C19" s="510"/>
      <c r="D19" s="510"/>
      <c r="E19" s="510"/>
      <c r="F19" s="510"/>
      <c r="G19" s="510"/>
      <c r="H19" s="540">
        <f>SUM(H9:H18)</f>
        <v>512.59100000000001</v>
      </c>
      <c r="I19" s="541"/>
      <c r="J19" s="110"/>
      <c r="K19" s="431" t="s">
        <v>9</v>
      </c>
      <c r="L19" s="73" t="s">
        <v>92</v>
      </c>
      <c r="M19" s="80">
        <f>SUM(H17)</f>
        <v>127.807</v>
      </c>
      <c r="N19" s="146"/>
      <c r="O19" s="146"/>
    </row>
    <row r="20" spans="1:15" ht="15.6" x14ac:dyDescent="0.3">
      <c r="A20" s="546" t="s">
        <v>1437</v>
      </c>
      <c r="B20" s="547"/>
      <c r="C20" s="547"/>
      <c r="D20" s="547"/>
      <c r="E20" s="547"/>
      <c r="F20" s="547"/>
      <c r="G20" s="547"/>
      <c r="H20" s="547"/>
      <c r="I20" s="548"/>
      <c r="J20" s="110"/>
      <c r="K20" s="431" t="s">
        <v>11</v>
      </c>
      <c r="L20" s="73" t="s">
        <v>92</v>
      </c>
      <c r="M20" s="80">
        <f>SUM(H10)</f>
        <v>38.421999999999997</v>
      </c>
      <c r="N20" s="146"/>
      <c r="O20" s="146"/>
    </row>
    <row r="21" spans="1:15" x14ac:dyDescent="0.3">
      <c r="A21" s="206">
        <v>46208</v>
      </c>
      <c r="B21" s="206" t="s">
        <v>57</v>
      </c>
      <c r="C21" s="41" t="s">
        <v>1458</v>
      </c>
      <c r="D21" s="127" t="s">
        <v>5</v>
      </c>
      <c r="E21" s="22"/>
      <c r="F21" s="168">
        <v>60000.91</v>
      </c>
      <c r="G21" s="435">
        <f>+G18+E21-F21</f>
        <v>-450749.23</v>
      </c>
      <c r="H21" s="76">
        <v>24.876000000000001</v>
      </c>
      <c r="I21" s="10" t="s">
        <v>92</v>
      </c>
      <c r="J21" s="110"/>
      <c r="K21" s="540" t="s">
        <v>695</v>
      </c>
      <c r="L21" s="541"/>
      <c r="M21" s="148">
        <f>SUM(M8:M20)</f>
        <v>512.59100000000001</v>
      </c>
      <c r="N21" s="146"/>
      <c r="O21" s="146"/>
    </row>
    <row r="22" spans="1:15" x14ac:dyDescent="0.3">
      <c r="A22" s="206">
        <v>46209</v>
      </c>
      <c r="B22" s="206" t="s">
        <v>57</v>
      </c>
      <c r="C22" s="41" t="s">
        <v>1459</v>
      </c>
      <c r="D22" s="127" t="s">
        <v>8</v>
      </c>
      <c r="E22" s="22"/>
      <c r="F22" s="168">
        <v>59999.360000000001</v>
      </c>
      <c r="G22" s="435">
        <f t="shared" si="0"/>
        <v>-510748.58999999997</v>
      </c>
      <c r="H22" s="76">
        <v>24.896000000000001</v>
      </c>
      <c r="I22" s="10" t="s">
        <v>92</v>
      </c>
      <c r="J22" s="110"/>
      <c r="N22" s="146"/>
      <c r="O22" s="146"/>
    </row>
    <row r="23" spans="1:15" x14ac:dyDescent="0.3">
      <c r="A23" s="158">
        <v>46209</v>
      </c>
      <c r="B23" s="158" t="s">
        <v>57</v>
      </c>
      <c r="C23" s="57" t="s">
        <v>1460</v>
      </c>
      <c r="D23" s="10" t="s">
        <v>6</v>
      </c>
      <c r="E23" s="22"/>
      <c r="F23" s="168">
        <v>59999.360000000001</v>
      </c>
      <c r="G23" s="435">
        <f t="shared" si="0"/>
        <v>-570747.94999999995</v>
      </c>
      <c r="H23" s="76">
        <v>24.896000000000001</v>
      </c>
      <c r="I23" s="10" t="s">
        <v>92</v>
      </c>
      <c r="J23" s="110"/>
      <c r="K23" s="513" t="s">
        <v>1474</v>
      </c>
      <c r="L23" s="514"/>
      <c r="M23" s="515"/>
      <c r="N23" s="146"/>
      <c r="O23" s="146"/>
    </row>
    <row r="24" spans="1:15" x14ac:dyDescent="0.3">
      <c r="A24" s="219">
        <v>46209</v>
      </c>
      <c r="B24" s="219" t="s">
        <v>60</v>
      </c>
      <c r="C24" s="355" t="s">
        <v>1461</v>
      </c>
      <c r="D24" s="199" t="s">
        <v>1218</v>
      </c>
      <c r="E24" s="370">
        <v>1000000</v>
      </c>
      <c r="F24" s="315"/>
      <c r="G24" s="436">
        <f t="shared" si="0"/>
        <v>429252.05000000005</v>
      </c>
      <c r="H24" s="212"/>
      <c r="I24" s="199" t="s">
        <v>1222</v>
      </c>
      <c r="J24" s="110"/>
      <c r="K24" s="564" t="s">
        <v>34</v>
      </c>
      <c r="L24" s="565"/>
      <c r="M24" s="566"/>
      <c r="N24" s="146"/>
      <c r="O24" s="146"/>
    </row>
    <row r="25" spans="1:15" x14ac:dyDescent="0.3">
      <c r="A25" s="158">
        <v>46209</v>
      </c>
      <c r="B25" s="158" t="s">
        <v>57</v>
      </c>
      <c r="C25" s="57" t="s">
        <v>1462</v>
      </c>
      <c r="D25" s="10" t="s">
        <v>53</v>
      </c>
      <c r="E25" s="22"/>
      <c r="F25" s="168">
        <v>133000.67000000001</v>
      </c>
      <c r="G25" s="437">
        <f t="shared" si="0"/>
        <v>296251.38</v>
      </c>
      <c r="H25" s="76">
        <v>55.186999999999998</v>
      </c>
      <c r="I25" s="10" t="s">
        <v>92</v>
      </c>
      <c r="J25" s="110"/>
      <c r="K25" s="71" t="s">
        <v>32</v>
      </c>
      <c r="L25" s="43" t="s">
        <v>35</v>
      </c>
      <c r="M25" s="43" t="s">
        <v>33</v>
      </c>
      <c r="N25" s="146"/>
      <c r="O25" s="146"/>
    </row>
    <row r="26" spans="1:15" x14ac:dyDescent="0.3">
      <c r="A26" s="158">
        <v>46209</v>
      </c>
      <c r="B26" s="158" t="s">
        <v>57</v>
      </c>
      <c r="C26" s="57" t="s">
        <v>1463</v>
      </c>
      <c r="D26" s="10" t="s">
        <v>5</v>
      </c>
      <c r="E26" s="22"/>
      <c r="F26" s="168">
        <v>59999.360000000001</v>
      </c>
      <c r="G26" s="437">
        <f t="shared" si="0"/>
        <v>236252.02000000002</v>
      </c>
      <c r="H26" s="76">
        <v>24.896000000000001</v>
      </c>
      <c r="I26" s="10" t="s">
        <v>92</v>
      </c>
      <c r="J26" s="110"/>
      <c r="K26" s="39" t="s">
        <v>0</v>
      </c>
      <c r="L26" s="73" t="s">
        <v>92</v>
      </c>
      <c r="M26" s="26">
        <v>0</v>
      </c>
      <c r="N26" s="146"/>
      <c r="O26" s="146"/>
    </row>
    <row r="27" spans="1:15" x14ac:dyDescent="0.3">
      <c r="A27" s="158">
        <v>46211</v>
      </c>
      <c r="B27" s="158" t="s">
        <v>57</v>
      </c>
      <c r="C27" s="57" t="s">
        <v>1464</v>
      </c>
      <c r="D27" s="127" t="s">
        <v>117</v>
      </c>
      <c r="E27" s="22"/>
      <c r="F27" s="168">
        <v>50000.27</v>
      </c>
      <c r="G27" s="437">
        <f t="shared" si="0"/>
        <v>186251.75000000003</v>
      </c>
      <c r="H27" s="76">
        <v>20.747</v>
      </c>
      <c r="I27" s="10" t="s">
        <v>92</v>
      </c>
      <c r="J27"/>
      <c r="K27" s="39" t="s">
        <v>53</v>
      </c>
      <c r="L27" s="73" t="s">
        <v>92</v>
      </c>
      <c r="M27" s="80">
        <f>SUM(H25)</f>
        <v>55.186999999999998</v>
      </c>
      <c r="N27" s="146"/>
      <c r="O27" s="146"/>
    </row>
    <row r="28" spans="1:15" x14ac:dyDescent="0.3">
      <c r="A28" s="158">
        <v>46211</v>
      </c>
      <c r="B28" s="158" t="s">
        <v>57</v>
      </c>
      <c r="C28" s="57" t="s">
        <v>1465</v>
      </c>
      <c r="D28" s="127" t="s">
        <v>117</v>
      </c>
      <c r="E28" s="425"/>
      <c r="F28" s="168">
        <v>89670.02</v>
      </c>
      <c r="G28" s="437">
        <f t="shared" si="0"/>
        <v>96581.730000000025</v>
      </c>
      <c r="H28" s="76">
        <v>39.677</v>
      </c>
      <c r="I28" s="10" t="s">
        <v>92</v>
      </c>
      <c r="J28"/>
      <c r="K28" s="69" t="s">
        <v>1</v>
      </c>
      <c r="L28" s="73" t="s">
        <v>92</v>
      </c>
      <c r="M28" s="42">
        <f>SUM(H30)</f>
        <v>73.03</v>
      </c>
      <c r="N28" s="146"/>
      <c r="O28" s="146"/>
    </row>
    <row r="29" spans="1:15" x14ac:dyDescent="0.3">
      <c r="A29" s="158">
        <v>46211</v>
      </c>
      <c r="B29" s="158" t="s">
        <v>57</v>
      </c>
      <c r="C29" s="57" t="s">
        <v>1466</v>
      </c>
      <c r="D29" s="127" t="s">
        <v>5</v>
      </c>
      <c r="E29" s="22"/>
      <c r="F29" s="168">
        <v>59999.360000000001</v>
      </c>
      <c r="G29" s="437">
        <f t="shared" si="0"/>
        <v>36582.370000000024</v>
      </c>
      <c r="H29" s="76">
        <v>24.896000000000001</v>
      </c>
      <c r="I29" s="10" t="s">
        <v>92</v>
      </c>
      <c r="J29" s="112"/>
      <c r="K29" s="24" t="s">
        <v>27</v>
      </c>
      <c r="L29" s="73" t="s">
        <v>92</v>
      </c>
      <c r="M29" s="26">
        <f>SUM(H31)</f>
        <v>51.76</v>
      </c>
      <c r="N29" s="146"/>
      <c r="O29" s="146"/>
    </row>
    <row r="30" spans="1:15" ht="14.4" customHeight="1" x14ac:dyDescent="0.3">
      <c r="A30" s="158">
        <v>46211</v>
      </c>
      <c r="B30" s="158" t="s">
        <v>57</v>
      </c>
      <c r="C30" s="57" t="s">
        <v>1467</v>
      </c>
      <c r="D30" s="127" t="s">
        <v>1</v>
      </c>
      <c r="E30" s="22"/>
      <c r="F30" s="168">
        <v>176002.3</v>
      </c>
      <c r="G30" s="435">
        <f t="shared" si="0"/>
        <v>-139419.92999999996</v>
      </c>
      <c r="H30" s="76">
        <v>73.03</v>
      </c>
      <c r="I30" s="10" t="s">
        <v>92</v>
      </c>
      <c r="J30" s="25"/>
      <c r="K30" s="126" t="s">
        <v>361</v>
      </c>
      <c r="L30" s="73" t="s">
        <v>92</v>
      </c>
      <c r="M30" s="80">
        <v>0</v>
      </c>
      <c r="N30" s="146"/>
      <c r="O30" s="146"/>
    </row>
    <row r="31" spans="1:15" x14ac:dyDescent="0.3">
      <c r="A31" s="158">
        <v>46212</v>
      </c>
      <c r="B31" s="158" t="s">
        <v>57</v>
      </c>
      <c r="C31" s="215" t="s">
        <v>1468</v>
      </c>
      <c r="D31" s="158" t="s">
        <v>27</v>
      </c>
      <c r="E31" s="426"/>
      <c r="F31" s="168">
        <v>125000.4</v>
      </c>
      <c r="G31" s="435">
        <f t="shared" si="0"/>
        <v>-264420.32999999996</v>
      </c>
      <c r="H31" s="76">
        <v>51.76</v>
      </c>
      <c r="I31" s="10" t="s">
        <v>92</v>
      </c>
      <c r="J31" s="110"/>
      <c r="K31" s="391" t="s">
        <v>541</v>
      </c>
      <c r="L31" s="73" t="s">
        <v>92</v>
      </c>
      <c r="M31" s="80">
        <v>0</v>
      </c>
      <c r="N31" s="146"/>
      <c r="O31" s="146"/>
    </row>
    <row r="32" spans="1:15" x14ac:dyDescent="0.3">
      <c r="A32" s="158">
        <v>46212</v>
      </c>
      <c r="B32" s="158" t="s">
        <v>57</v>
      </c>
      <c r="C32" s="215" t="s">
        <v>1469</v>
      </c>
      <c r="D32" s="158" t="s">
        <v>5</v>
      </c>
      <c r="E32" s="426"/>
      <c r="F32" s="168">
        <v>60000.68</v>
      </c>
      <c r="G32" s="435">
        <f t="shared" si="0"/>
        <v>-324421.00999999995</v>
      </c>
      <c r="H32" s="76">
        <v>24.844999999999999</v>
      </c>
      <c r="I32" s="10" t="s">
        <v>92</v>
      </c>
      <c r="J32" s="110"/>
      <c r="K32" s="69" t="s">
        <v>3</v>
      </c>
      <c r="L32" s="73" t="s">
        <v>92</v>
      </c>
      <c r="M32" s="80">
        <f>SUM(H35)</f>
        <v>24.876000000000001</v>
      </c>
      <c r="N32" s="146"/>
      <c r="O32" s="146"/>
    </row>
    <row r="33" spans="1:15" x14ac:dyDescent="0.3">
      <c r="A33" s="158">
        <v>46213</v>
      </c>
      <c r="B33" s="158" t="s">
        <v>57</v>
      </c>
      <c r="C33" s="215" t="s">
        <v>1470</v>
      </c>
      <c r="D33" s="158" t="s">
        <v>8</v>
      </c>
      <c r="E33" s="426"/>
      <c r="F33" s="168">
        <v>60000.91</v>
      </c>
      <c r="G33" s="435">
        <f t="shared" si="0"/>
        <v>-384421.91999999993</v>
      </c>
      <c r="H33" s="76">
        <v>24.876000000000001</v>
      </c>
      <c r="I33" s="10" t="s">
        <v>92</v>
      </c>
      <c r="J33" s="110"/>
      <c r="K33" s="69" t="s">
        <v>5</v>
      </c>
      <c r="L33" s="73" t="s">
        <v>92</v>
      </c>
      <c r="M33" s="80">
        <f>SUM(H21+H26+H29+H32+H36)</f>
        <v>124.38900000000001</v>
      </c>
      <c r="N33" s="146"/>
      <c r="O33" s="146"/>
    </row>
    <row r="34" spans="1:15" x14ac:dyDescent="0.3">
      <c r="A34" s="158">
        <v>46213</v>
      </c>
      <c r="B34" s="158" t="s">
        <v>57</v>
      </c>
      <c r="C34" s="215" t="s">
        <v>1471</v>
      </c>
      <c r="D34" s="158" t="s">
        <v>6</v>
      </c>
      <c r="E34" s="426"/>
      <c r="F34" s="168">
        <v>65000.99</v>
      </c>
      <c r="G34" s="435">
        <f t="shared" si="0"/>
        <v>-449422.90999999992</v>
      </c>
      <c r="H34" s="76">
        <v>26.949000000000002</v>
      </c>
      <c r="I34" s="10" t="s">
        <v>92</v>
      </c>
      <c r="J34" s="110"/>
      <c r="K34" s="69" t="s">
        <v>61</v>
      </c>
      <c r="L34" s="73" t="s">
        <v>92</v>
      </c>
      <c r="M34" s="80">
        <v>0</v>
      </c>
      <c r="N34" s="146"/>
      <c r="O34" s="146"/>
    </row>
    <row r="35" spans="1:15" x14ac:dyDescent="0.3">
      <c r="A35" s="158">
        <v>46213</v>
      </c>
      <c r="B35" s="158" t="s">
        <v>57</v>
      </c>
      <c r="C35" s="215" t="s">
        <v>1472</v>
      </c>
      <c r="D35" s="158" t="s">
        <v>3</v>
      </c>
      <c r="E35" s="426"/>
      <c r="F35" s="168">
        <v>60000.91</v>
      </c>
      <c r="G35" s="435">
        <f t="shared" si="0"/>
        <v>-509423.81999999995</v>
      </c>
      <c r="H35" s="76">
        <v>24.876000000000001</v>
      </c>
      <c r="I35" s="10" t="s">
        <v>92</v>
      </c>
      <c r="J35" s="110"/>
      <c r="K35" s="69" t="s">
        <v>22</v>
      </c>
      <c r="L35" s="73" t="s">
        <v>92</v>
      </c>
      <c r="M35" s="80">
        <v>0</v>
      </c>
      <c r="N35" s="146"/>
      <c r="O35" s="146"/>
    </row>
    <row r="36" spans="1:15" x14ac:dyDescent="0.3">
      <c r="A36" s="158">
        <v>46213</v>
      </c>
      <c r="B36" s="158" t="s">
        <v>57</v>
      </c>
      <c r="C36" s="215" t="s">
        <v>1473</v>
      </c>
      <c r="D36" s="158" t="s">
        <v>5</v>
      </c>
      <c r="E36" s="426"/>
      <c r="F36" s="168">
        <v>60000.91</v>
      </c>
      <c r="G36" s="435">
        <f t="shared" si="0"/>
        <v>-569424.73</v>
      </c>
      <c r="H36" s="76">
        <v>24.876000000000001</v>
      </c>
      <c r="I36" s="10" t="s">
        <v>92</v>
      </c>
      <c r="J36" s="110"/>
      <c r="K36" s="69" t="s">
        <v>6</v>
      </c>
      <c r="L36" s="73" t="s">
        <v>92</v>
      </c>
      <c r="M36" s="80">
        <f>SUM(H23+H34)</f>
        <v>51.844999999999999</v>
      </c>
      <c r="N36" s="146"/>
      <c r="O36" s="146"/>
    </row>
    <row r="37" spans="1:15" x14ac:dyDescent="0.3">
      <c r="A37" s="510" t="s">
        <v>694</v>
      </c>
      <c r="B37" s="510"/>
      <c r="C37" s="510"/>
      <c r="D37" s="510"/>
      <c r="E37" s="510"/>
      <c r="F37" s="510"/>
      <c r="G37" s="510"/>
      <c r="H37" s="540">
        <f>SUM(H21:H36)</f>
        <v>491.28299999999996</v>
      </c>
      <c r="I37" s="541"/>
      <c r="J37" s="110"/>
      <c r="K37" s="69" t="s">
        <v>8</v>
      </c>
      <c r="L37" s="73" t="s">
        <v>92</v>
      </c>
      <c r="M37" s="80">
        <f>SUM(H22+H33)</f>
        <v>49.772000000000006</v>
      </c>
      <c r="N37" s="146"/>
      <c r="O37" s="146"/>
    </row>
    <row r="38" spans="1:15" ht="15.6" x14ac:dyDescent="0.3">
      <c r="A38" s="546" t="s">
        <v>1474</v>
      </c>
      <c r="B38" s="547"/>
      <c r="C38" s="547"/>
      <c r="D38" s="547"/>
      <c r="E38" s="547"/>
      <c r="F38" s="547"/>
      <c r="G38" s="547"/>
      <c r="H38" s="547"/>
      <c r="I38" s="548"/>
      <c r="J38" s="110"/>
      <c r="K38" s="69" t="s">
        <v>9</v>
      </c>
      <c r="L38" s="73" t="s">
        <v>92</v>
      </c>
      <c r="M38" s="80">
        <v>0</v>
      </c>
      <c r="N38" s="146"/>
      <c r="O38" s="146"/>
    </row>
    <row r="39" spans="1:15" x14ac:dyDescent="0.3">
      <c r="A39" s="158">
        <v>46216</v>
      </c>
      <c r="B39" s="158" t="s">
        <v>57</v>
      </c>
      <c r="C39" s="215" t="s">
        <v>1475</v>
      </c>
      <c r="D39" s="158" t="s">
        <v>5</v>
      </c>
      <c r="E39" s="418"/>
      <c r="F39" s="443">
        <v>59999.360000000001</v>
      </c>
      <c r="G39" s="435">
        <f>+G36+E39-F39</f>
        <v>-629424.09</v>
      </c>
      <c r="H39" s="76">
        <v>24.896000000000001</v>
      </c>
      <c r="I39" s="10" t="s">
        <v>92</v>
      </c>
      <c r="J39" s="110"/>
      <c r="K39" s="69" t="s">
        <v>11</v>
      </c>
      <c r="L39" s="73" t="s">
        <v>92</v>
      </c>
      <c r="M39" s="80">
        <f>SUM(H27+H28)</f>
        <v>60.423999999999999</v>
      </c>
      <c r="N39" s="146"/>
      <c r="O39" s="146"/>
    </row>
    <row r="40" spans="1:15" x14ac:dyDescent="0.3">
      <c r="A40" s="158">
        <v>46217</v>
      </c>
      <c r="B40" s="10" t="s">
        <v>57</v>
      </c>
      <c r="C40" s="57" t="s">
        <v>1476</v>
      </c>
      <c r="D40" s="10" t="s">
        <v>22</v>
      </c>
      <c r="E40" s="418"/>
      <c r="F40" s="443">
        <v>499999.75</v>
      </c>
      <c r="G40" s="435">
        <f t="shared" ref="G40:G63" si="1">+G39+E40-F40</f>
        <v>-1129423.8399999999</v>
      </c>
      <c r="H40" s="76">
        <v>207.125</v>
      </c>
      <c r="I40" s="10" t="s">
        <v>92</v>
      </c>
      <c r="J40" s="110"/>
      <c r="K40" s="540" t="s">
        <v>695</v>
      </c>
      <c r="L40" s="541"/>
      <c r="M40" s="148">
        <f>SUM(M26:M39)</f>
        <v>491.28299999999996</v>
      </c>
      <c r="N40" s="146"/>
      <c r="O40" s="146"/>
    </row>
    <row r="41" spans="1:15" x14ac:dyDescent="0.3">
      <c r="A41" s="219">
        <v>46217</v>
      </c>
      <c r="B41" s="199" t="s">
        <v>60</v>
      </c>
      <c r="C41" s="355" t="s">
        <v>1477</v>
      </c>
      <c r="D41" s="199" t="s">
        <v>1218</v>
      </c>
      <c r="E41" s="421">
        <v>1000000</v>
      </c>
      <c r="F41" s="444"/>
      <c r="G41" s="439">
        <f t="shared" si="1"/>
        <v>-129423.83999999985</v>
      </c>
      <c r="H41" s="212"/>
      <c r="I41" s="199" t="s">
        <v>1220</v>
      </c>
      <c r="J41" s="110"/>
      <c r="N41" s="146"/>
      <c r="O41" s="146"/>
    </row>
    <row r="42" spans="1:15" x14ac:dyDescent="0.3">
      <c r="A42" s="158">
        <v>46217</v>
      </c>
      <c r="B42" s="10" t="s">
        <v>57</v>
      </c>
      <c r="C42" s="57" t="s">
        <v>1478</v>
      </c>
      <c r="D42" s="10" t="s">
        <v>6</v>
      </c>
      <c r="E42" s="418"/>
      <c r="F42" s="443">
        <v>59999.97</v>
      </c>
      <c r="G42" s="435">
        <f t="shared" si="1"/>
        <v>-189423.80999999985</v>
      </c>
      <c r="H42" s="76">
        <v>24.855</v>
      </c>
      <c r="I42" s="10" t="s">
        <v>92</v>
      </c>
      <c r="J42" s="110"/>
      <c r="K42" s="582" t="s">
        <v>1538</v>
      </c>
      <c r="L42" s="583"/>
      <c r="M42" s="584"/>
      <c r="N42" s="146"/>
      <c r="O42" s="146"/>
    </row>
    <row r="43" spans="1:15" x14ac:dyDescent="0.3">
      <c r="A43" s="158">
        <v>46217</v>
      </c>
      <c r="B43" s="10" t="s">
        <v>57</v>
      </c>
      <c r="C43" s="57" t="s">
        <v>1479</v>
      </c>
      <c r="D43" s="10" t="s">
        <v>8</v>
      </c>
      <c r="E43" s="418"/>
      <c r="F43" s="443">
        <v>59999.97</v>
      </c>
      <c r="G43" s="435">
        <f t="shared" si="1"/>
        <v>-249423.77999999985</v>
      </c>
      <c r="H43" s="76">
        <v>24.855</v>
      </c>
      <c r="I43" s="10" t="s">
        <v>92</v>
      </c>
      <c r="J43" s="110"/>
      <c r="K43" s="585" t="s">
        <v>34</v>
      </c>
      <c r="L43" s="586"/>
      <c r="M43" s="587"/>
      <c r="N43" s="146"/>
      <c r="O43" s="146"/>
    </row>
    <row r="44" spans="1:15" x14ac:dyDescent="0.3">
      <c r="A44" s="158">
        <v>46217</v>
      </c>
      <c r="B44" s="10" t="s">
        <v>57</v>
      </c>
      <c r="C44" s="57" t="s">
        <v>1480</v>
      </c>
      <c r="D44" s="10" t="s">
        <v>541</v>
      </c>
      <c r="E44" s="418"/>
      <c r="F44" s="443">
        <v>29513.84</v>
      </c>
      <c r="G44" s="435">
        <f t="shared" si="1"/>
        <v>-278937.61999999988</v>
      </c>
      <c r="H44" s="76">
        <v>13.065</v>
      </c>
      <c r="I44" s="10" t="s">
        <v>92</v>
      </c>
      <c r="J44" s="110"/>
      <c r="K44" s="430" t="s">
        <v>32</v>
      </c>
      <c r="L44" s="43" t="s">
        <v>35</v>
      </c>
      <c r="M44" s="43" t="s">
        <v>33</v>
      </c>
      <c r="N44" s="146"/>
      <c r="O44" s="146"/>
    </row>
    <row r="45" spans="1:15" x14ac:dyDescent="0.3">
      <c r="A45" s="158">
        <v>46219</v>
      </c>
      <c r="B45" s="10" t="s">
        <v>57</v>
      </c>
      <c r="C45" s="57" t="s">
        <v>1481</v>
      </c>
      <c r="D45" s="10" t="s">
        <v>5</v>
      </c>
      <c r="E45" s="418"/>
      <c r="F45" s="443">
        <v>60017.58</v>
      </c>
      <c r="G45" s="435">
        <f t="shared" si="1"/>
        <v>-338955.1999999999</v>
      </c>
      <c r="H45" s="76">
        <v>24.852</v>
      </c>
      <c r="I45" s="10" t="s">
        <v>92</v>
      </c>
      <c r="J45" s="110"/>
      <c r="K45" s="57" t="s">
        <v>0</v>
      </c>
      <c r="L45" s="73" t="s">
        <v>92</v>
      </c>
      <c r="M45" s="26">
        <f>SUM(H47+H58)</f>
        <v>109.837</v>
      </c>
      <c r="N45" s="146"/>
      <c r="O45" s="146"/>
    </row>
    <row r="46" spans="1:15" x14ac:dyDescent="0.3">
      <c r="A46" s="219">
        <v>46219</v>
      </c>
      <c r="B46" s="199" t="s">
        <v>60</v>
      </c>
      <c r="C46" s="355" t="s">
        <v>1482</v>
      </c>
      <c r="D46" s="199" t="s">
        <v>1218</v>
      </c>
      <c r="E46" s="421">
        <v>1500000</v>
      </c>
      <c r="F46" s="444"/>
      <c r="G46" s="436">
        <f t="shared" si="1"/>
        <v>1161044.8</v>
      </c>
      <c r="H46" s="212"/>
      <c r="I46" s="199" t="s">
        <v>1222</v>
      </c>
      <c r="J46" s="110"/>
      <c r="K46" s="57" t="s">
        <v>53</v>
      </c>
      <c r="L46" s="73" t="s">
        <v>92</v>
      </c>
      <c r="M46" s="80">
        <v>0</v>
      </c>
    </row>
    <row r="47" spans="1:15" x14ac:dyDescent="0.3">
      <c r="A47" s="158">
        <v>46219</v>
      </c>
      <c r="B47" s="10" t="s">
        <v>57</v>
      </c>
      <c r="C47" s="57" t="s">
        <v>1483</v>
      </c>
      <c r="D47" s="10" t="s">
        <v>0</v>
      </c>
      <c r="E47" s="418"/>
      <c r="F47" s="443">
        <v>135010.57999999999</v>
      </c>
      <c r="G47" s="437">
        <f t="shared" si="1"/>
        <v>1026034.2200000001</v>
      </c>
      <c r="H47" s="76">
        <v>55.905000000000001</v>
      </c>
      <c r="I47" s="10" t="s">
        <v>92</v>
      </c>
      <c r="J47" s="110"/>
      <c r="K47" s="57" t="s">
        <v>1</v>
      </c>
      <c r="L47" s="73" t="s">
        <v>92</v>
      </c>
      <c r="M47" s="42">
        <f>SUM(H48)</f>
        <v>74.825000000000003</v>
      </c>
    </row>
    <row r="48" spans="1:15" x14ac:dyDescent="0.3">
      <c r="A48" s="158">
        <v>46219</v>
      </c>
      <c r="B48" s="10" t="s">
        <v>57</v>
      </c>
      <c r="C48" s="57" t="s">
        <v>1484</v>
      </c>
      <c r="D48" s="10" t="s">
        <v>1</v>
      </c>
      <c r="E48" s="418"/>
      <c r="F48" s="443">
        <v>180702.38</v>
      </c>
      <c r="G48" s="437">
        <f t="shared" si="1"/>
        <v>845331.84000000008</v>
      </c>
      <c r="H48" s="76">
        <v>74.825000000000003</v>
      </c>
      <c r="I48" s="10" t="s">
        <v>92</v>
      </c>
      <c r="J48" s="110"/>
      <c r="K48" s="65" t="s">
        <v>27</v>
      </c>
      <c r="L48" s="73" t="s">
        <v>92</v>
      </c>
      <c r="M48" s="26">
        <f>SUM(H61)</f>
        <v>45.6053</v>
      </c>
    </row>
    <row r="49" spans="1:13" x14ac:dyDescent="0.3">
      <c r="A49" s="158">
        <v>46219</v>
      </c>
      <c r="B49" s="10" t="s">
        <v>57</v>
      </c>
      <c r="C49" s="57" t="s">
        <v>1485</v>
      </c>
      <c r="D49" s="10" t="s">
        <v>117</v>
      </c>
      <c r="E49" s="418"/>
      <c r="F49" s="443">
        <v>83902.5</v>
      </c>
      <c r="G49" s="437">
        <f t="shared" si="1"/>
        <v>761429.34000000008</v>
      </c>
      <c r="H49" s="76">
        <v>37.125</v>
      </c>
      <c r="I49" s="10" t="s">
        <v>92</v>
      </c>
      <c r="J49" s="110"/>
      <c r="K49" s="51" t="s">
        <v>361</v>
      </c>
      <c r="L49" s="73" t="s">
        <v>92</v>
      </c>
      <c r="M49" s="80">
        <v>0</v>
      </c>
    </row>
    <row r="50" spans="1:13" x14ac:dyDescent="0.3">
      <c r="A50" s="158">
        <v>46219</v>
      </c>
      <c r="B50" s="10" t="s">
        <v>57</v>
      </c>
      <c r="C50" s="57" t="s">
        <v>1486</v>
      </c>
      <c r="D50" s="10" t="s">
        <v>61</v>
      </c>
      <c r="E50" s="418"/>
      <c r="F50" s="443">
        <v>543828.51</v>
      </c>
      <c r="G50" s="437">
        <f t="shared" si="1"/>
        <v>217600.83000000007</v>
      </c>
      <c r="H50" s="208">
        <v>230.70699999999999</v>
      </c>
      <c r="I50" s="10" t="s">
        <v>92</v>
      </c>
      <c r="J50" s="110"/>
      <c r="K50" s="433" t="s">
        <v>541</v>
      </c>
      <c r="L50" s="73" t="s">
        <v>92</v>
      </c>
      <c r="M50" s="80">
        <f>SUM(H44)</f>
        <v>13.065</v>
      </c>
    </row>
    <row r="51" spans="1:13" x14ac:dyDescent="0.3">
      <c r="A51" s="219">
        <v>46220</v>
      </c>
      <c r="B51" s="199" t="s">
        <v>60</v>
      </c>
      <c r="C51" s="355" t="s">
        <v>1487</v>
      </c>
      <c r="D51" s="199" t="s">
        <v>1218</v>
      </c>
      <c r="E51" s="421">
        <v>1000000</v>
      </c>
      <c r="F51" s="444"/>
      <c r="G51" s="436">
        <f t="shared" si="1"/>
        <v>1217600.83</v>
      </c>
      <c r="H51" s="212"/>
      <c r="I51" s="199" t="s">
        <v>1222</v>
      </c>
      <c r="J51" s="110"/>
      <c r="K51" s="57" t="s">
        <v>3</v>
      </c>
      <c r="L51" s="73" t="s">
        <v>92</v>
      </c>
      <c r="M51" s="80">
        <f>SUM(H54)</f>
        <v>24.876000000000001</v>
      </c>
    </row>
    <row r="52" spans="1:13" x14ac:dyDescent="0.3">
      <c r="A52" s="158">
        <v>46220</v>
      </c>
      <c r="B52" s="10" t="s">
        <v>57</v>
      </c>
      <c r="C52" s="57" t="s">
        <v>1488</v>
      </c>
      <c r="D52" s="10" t="s">
        <v>6</v>
      </c>
      <c r="E52" s="418"/>
      <c r="F52" s="443">
        <v>60000.91</v>
      </c>
      <c r="G52" s="437">
        <f t="shared" si="1"/>
        <v>1157599.9200000002</v>
      </c>
      <c r="H52" s="76">
        <v>24.876000000000001</v>
      </c>
      <c r="I52" s="10" t="s">
        <v>92</v>
      </c>
      <c r="J52" s="110"/>
      <c r="K52" s="57" t="s">
        <v>5</v>
      </c>
      <c r="L52" s="73" t="s">
        <v>92</v>
      </c>
      <c r="M52" s="80">
        <f>SUM(H39+H45+H53+H63)</f>
        <v>99.500000000000014</v>
      </c>
    </row>
    <row r="53" spans="1:13" x14ac:dyDescent="0.3">
      <c r="A53" s="158">
        <v>46220</v>
      </c>
      <c r="B53" s="10" t="s">
        <v>57</v>
      </c>
      <c r="C53" s="57" t="s">
        <v>1489</v>
      </c>
      <c r="D53" s="10" t="s">
        <v>5</v>
      </c>
      <c r="E53" s="418"/>
      <c r="F53" s="443">
        <v>60000.91</v>
      </c>
      <c r="G53" s="437">
        <f t="shared" si="1"/>
        <v>1097599.0100000002</v>
      </c>
      <c r="H53" s="76">
        <v>24.876000000000001</v>
      </c>
      <c r="I53" s="10" t="s">
        <v>92</v>
      </c>
      <c r="J53" s="110"/>
      <c r="K53" s="51" t="s">
        <v>26</v>
      </c>
      <c r="L53" s="73" t="s">
        <v>92</v>
      </c>
      <c r="M53" s="80">
        <f>SUM(H56)</f>
        <v>78.307000000000002</v>
      </c>
    </row>
    <row r="54" spans="1:13" x14ac:dyDescent="0.3">
      <c r="A54" s="158">
        <v>46220</v>
      </c>
      <c r="B54" s="10" t="s">
        <v>57</v>
      </c>
      <c r="C54" s="57" t="s">
        <v>1490</v>
      </c>
      <c r="D54" s="10" t="s">
        <v>3</v>
      </c>
      <c r="E54" s="418"/>
      <c r="F54" s="443">
        <v>60000.91</v>
      </c>
      <c r="G54" s="437">
        <f t="shared" si="1"/>
        <v>1037598.1000000002</v>
      </c>
      <c r="H54" s="76">
        <v>24.876000000000001</v>
      </c>
      <c r="I54" s="10" t="s">
        <v>92</v>
      </c>
      <c r="J54" s="110"/>
      <c r="K54" s="57" t="s">
        <v>61</v>
      </c>
      <c r="L54" s="73" t="s">
        <v>92</v>
      </c>
      <c r="M54" s="80">
        <f>SUM(H50)</f>
        <v>230.70699999999999</v>
      </c>
    </row>
    <row r="55" spans="1:13" x14ac:dyDescent="0.3">
      <c r="A55" s="158">
        <v>46220</v>
      </c>
      <c r="B55" s="10" t="s">
        <v>57</v>
      </c>
      <c r="C55" s="57" t="s">
        <v>1491</v>
      </c>
      <c r="D55" s="10" t="s">
        <v>30</v>
      </c>
      <c r="E55" s="418"/>
      <c r="F55" s="443">
        <v>876163.82</v>
      </c>
      <c r="G55" s="437">
        <f t="shared" si="1"/>
        <v>161434.28000000026</v>
      </c>
      <c r="H55" s="76">
        <v>363.25200000000001</v>
      </c>
      <c r="I55" s="10" t="s">
        <v>92</v>
      </c>
      <c r="J55" s="110"/>
      <c r="K55" s="57" t="s">
        <v>22</v>
      </c>
      <c r="L55" s="73" t="s">
        <v>92</v>
      </c>
      <c r="M55" s="80">
        <f>SUM(H40+H59)</f>
        <v>712.27</v>
      </c>
    </row>
    <row r="56" spans="1:13" x14ac:dyDescent="0.3">
      <c r="A56" s="158">
        <v>46220</v>
      </c>
      <c r="B56" s="10" t="s">
        <v>57</v>
      </c>
      <c r="C56" s="57" t="s">
        <v>1492</v>
      </c>
      <c r="D56" s="10" t="s">
        <v>26</v>
      </c>
      <c r="E56" s="418"/>
      <c r="F56" s="443">
        <v>188876.48</v>
      </c>
      <c r="G56" s="435">
        <f t="shared" si="1"/>
        <v>-27442.19999999975</v>
      </c>
      <c r="H56" s="76">
        <v>78.307000000000002</v>
      </c>
      <c r="I56" s="10" t="s">
        <v>92</v>
      </c>
      <c r="J56" s="110"/>
      <c r="K56" s="57" t="s">
        <v>6</v>
      </c>
      <c r="L56" s="73" t="s">
        <v>92</v>
      </c>
      <c r="M56" s="80">
        <f>SUM(H42+H52)</f>
        <v>49.731000000000002</v>
      </c>
    </row>
    <row r="57" spans="1:13" x14ac:dyDescent="0.3">
      <c r="A57" s="219">
        <v>46220</v>
      </c>
      <c r="B57" s="199" t="s">
        <v>60</v>
      </c>
      <c r="C57" s="355" t="s">
        <v>1493</v>
      </c>
      <c r="D57" s="199" t="s">
        <v>1218</v>
      </c>
      <c r="E57" s="421">
        <v>1000000</v>
      </c>
      <c r="F57" s="444"/>
      <c r="G57" s="436">
        <f t="shared" si="1"/>
        <v>972557.80000000028</v>
      </c>
      <c r="H57" s="212"/>
      <c r="I57" s="199" t="s">
        <v>1222</v>
      </c>
      <c r="J57" s="110"/>
      <c r="K57" s="57" t="s">
        <v>8</v>
      </c>
      <c r="L57" s="73" t="s">
        <v>92</v>
      </c>
      <c r="M57" s="80">
        <f>SUM(H43)</f>
        <v>24.855</v>
      </c>
    </row>
    <row r="58" spans="1:13" x14ac:dyDescent="0.3">
      <c r="A58" s="158">
        <v>46220</v>
      </c>
      <c r="B58" s="10" t="s">
        <v>57</v>
      </c>
      <c r="C58" s="57" t="s">
        <v>1494</v>
      </c>
      <c r="D58" s="10" t="s">
        <v>0</v>
      </c>
      <c r="E58" s="418"/>
      <c r="F58" s="443">
        <v>130083.98</v>
      </c>
      <c r="G58" s="437">
        <f t="shared" si="1"/>
        <v>842473.8200000003</v>
      </c>
      <c r="H58" s="76">
        <v>53.932000000000002</v>
      </c>
      <c r="I58" s="10" t="s">
        <v>92</v>
      </c>
      <c r="J58" s="110"/>
      <c r="K58" s="434" t="s">
        <v>30</v>
      </c>
      <c r="L58" s="73" t="s">
        <v>92</v>
      </c>
      <c r="M58" s="80">
        <f>SUM(H55)</f>
        <v>363.25200000000001</v>
      </c>
    </row>
    <row r="59" spans="1:13" x14ac:dyDescent="0.3">
      <c r="A59" s="158">
        <v>46220</v>
      </c>
      <c r="B59" s="10" t="s">
        <v>57</v>
      </c>
      <c r="C59" s="57" t="s">
        <v>1495</v>
      </c>
      <c r="D59" s="10" t="s">
        <v>22</v>
      </c>
      <c r="E59" s="418"/>
      <c r="F59" s="443">
        <v>1218409.74</v>
      </c>
      <c r="G59" s="435">
        <f t="shared" si="1"/>
        <v>-375935.91999999969</v>
      </c>
      <c r="H59" s="208">
        <v>505.14499999999998</v>
      </c>
      <c r="I59" s="10" t="s">
        <v>92</v>
      </c>
      <c r="J59" s="110"/>
      <c r="K59" s="57" t="s">
        <v>9</v>
      </c>
      <c r="L59" s="73" t="s">
        <v>92</v>
      </c>
      <c r="M59" s="80">
        <v>0</v>
      </c>
    </row>
    <row r="60" spans="1:13" x14ac:dyDescent="0.3">
      <c r="A60" s="422">
        <v>46221</v>
      </c>
      <c r="B60" s="402" t="s">
        <v>57</v>
      </c>
      <c r="C60" s="423" t="s">
        <v>1496</v>
      </c>
      <c r="D60" s="402" t="s">
        <v>27</v>
      </c>
      <c r="E60" s="424"/>
      <c r="F60" s="445">
        <v>109999.26</v>
      </c>
      <c r="G60" s="438">
        <f t="shared" si="1"/>
        <v>-485935.1799999997</v>
      </c>
      <c r="H60" s="420"/>
      <c r="I60" s="402"/>
      <c r="J60" s="110"/>
      <c r="K60" s="57" t="s">
        <v>11</v>
      </c>
      <c r="L60" s="73" t="s">
        <v>92</v>
      </c>
      <c r="M60" s="80">
        <f>SUM(H49)</f>
        <v>37.125</v>
      </c>
    </row>
    <row r="61" spans="1:13" x14ac:dyDescent="0.3">
      <c r="A61" s="158">
        <v>46221</v>
      </c>
      <c r="B61" s="10" t="s">
        <v>57</v>
      </c>
      <c r="C61" s="57" t="s">
        <v>1497</v>
      </c>
      <c r="D61" s="10" t="s">
        <v>27</v>
      </c>
      <c r="E61" s="418"/>
      <c r="F61" s="443">
        <v>109999.98</v>
      </c>
      <c r="G61" s="435">
        <f t="shared" si="1"/>
        <v>-595935.15999999968</v>
      </c>
      <c r="H61" s="76">
        <v>45.6053</v>
      </c>
      <c r="I61" s="10" t="s">
        <v>92</v>
      </c>
      <c r="J61" s="110"/>
      <c r="K61" s="540" t="s">
        <v>695</v>
      </c>
      <c r="L61" s="541"/>
      <c r="M61" s="148">
        <f>SUM(M45:M60)</f>
        <v>1863.9552999999999</v>
      </c>
    </row>
    <row r="62" spans="1:13" ht="27.6" customHeight="1" x14ac:dyDescent="0.3">
      <c r="A62" s="422">
        <v>46221</v>
      </c>
      <c r="B62" s="402" t="s">
        <v>1498</v>
      </c>
      <c r="C62" s="423" t="s">
        <v>1499</v>
      </c>
      <c r="D62" s="402" t="s">
        <v>1540</v>
      </c>
      <c r="E62" s="424">
        <v>109999.26</v>
      </c>
      <c r="F62" s="445"/>
      <c r="G62" s="438">
        <f t="shared" si="1"/>
        <v>-485935.89999999967</v>
      </c>
      <c r="H62" s="420"/>
      <c r="I62" s="401" t="s">
        <v>1551</v>
      </c>
      <c r="J62" s="110"/>
    </row>
    <row r="63" spans="1:13" ht="13.95" customHeight="1" x14ac:dyDescent="0.3">
      <c r="A63" s="158">
        <v>46221</v>
      </c>
      <c r="B63" s="10" t="s">
        <v>57</v>
      </c>
      <c r="C63" s="57" t="s">
        <v>1500</v>
      </c>
      <c r="D63" s="10" t="s">
        <v>5</v>
      </c>
      <c r="E63" s="418"/>
      <c r="F63" s="443">
        <v>60000.91</v>
      </c>
      <c r="G63" s="435">
        <f t="shared" si="1"/>
        <v>-545936.80999999971</v>
      </c>
      <c r="H63" s="76">
        <v>24.876000000000001</v>
      </c>
      <c r="I63" s="10" t="s">
        <v>92</v>
      </c>
      <c r="J63" s="110"/>
    </row>
    <row r="64" spans="1:13" ht="13.95" customHeight="1" x14ac:dyDescent="0.3">
      <c r="A64" s="510" t="s">
        <v>694</v>
      </c>
      <c r="B64" s="510"/>
      <c r="C64" s="510"/>
      <c r="D64" s="510"/>
      <c r="E64" s="510"/>
      <c r="F64" s="510"/>
      <c r="G64" s="510"/>
      <c r="H64" s="540">
        <f>SUM(H39:H63)</f>
        <v>1863.9552999999999</v>
      </c>
      <c r="I64" s="541"/>
      <c r="J64" s="110"/>
    </row>
    <row r="65" spans="1:13" ht="13.95" customHeight="1" x14ac:dyDescent="0.3">
      <c r="A65" s="546" t="s">
        <v>1538</v>
      </c>
      <c r="B65" s="547"/>
      <c r="C65" s="547"/>
      <c r="D65" s="547"/>
      <c r="E65" s="547"/>
      <c r="F65" s="547"/>
      <c r="G65" s="547"/>
      <c r="H65" s="547"/>
      <c r="I65" s="548"/>
      <c r="J65" s="110"/>
      <c r="K65" s="582" t="s">
        <v>1539</v>
      </c>
      <c r="L65" s="583"/>
      <c r="M65" s="584"/>
    </row>
    <row r="66" spans="1:13" ht="13.95" customHeight="1" x14ac:dyDescent="0.3">
      <c r="A66" s="158">
        <v>46222</v>
      </c>
      <c r="B66" s="10" t="s">
        <v>57</v>
      </c>
      <c r="C66" s="57" t="s">
        <v>1501</v>
      </c>
      <c r="D66" s="10" t="s">
        <v>22</v>
      </c>
      <c r="E66" s="418"/>
      <c r="F66" s="419">
        <v>299999.55</v>
      </c>
      <c r="G66" s="435">
        <f>+G63+E66-F66</f>
        <v>-845936.35999999964</v>
      </c>
      <c r="H66" s="76">
        <v>124.172</v>
      </c>
      <c r="I66" s="10" t="s">
        <v>92</v>
      </c>
      <c r="J66" s="110"/>
      <c r="K66" s="585" t="s">
        <v>34</v>
      </c>
      <c r="L66" s="586"/>
      <c r="M66" s="587"/>
    </row>
    <row r="67" spans="1:13" ht="13.95" customHeight="1" x14ac:dyDescent="0.3">
      <c r="A67" s="158">
        <v>46223</v>
      </c>
      <c r="B67" s="10" t="s">
        <v>57</v>
      </c>
      <c r="C67" s="57" t="s">
        <v>1502</v>
      </c>
      <c r="D67" s="10" t="s">
        <v>8</v>
      </c>
      <c r="E67" s="418"/>
      <c r="F67" s="419">
        <v>60000.53</v>
      </c>
      <c r="G67" s="435">
        <f>+G66+E67-F67</f>
        <v>-905936.88999999966</v>
      </c>
      <c r="H67" s="76">
        <v>26.501999999999999</v>
      </c>
      <c r="I67" s="10" t="s">
        <v>92</v>
      </c>
      <c r="J67" s="110"/>
      <c r="K67" s="430" t="s">
        <v>32</v>
      </c>
      <c r="L67" s="43" t="s">
        <v>35</v>
      </c>
      <c r="M67" s="43" t="s">
        <v>33</v>
      </c>
    </row>
    <row r="68" spans="1:13" ht="13.95" customHeight="1" x14ac:dyDescent="0.3">
      <c r="A68" s="158">
        <v>46223</v>
      </c>
      <c r="B68" s="10" t="s">
        <v>57</v>
      </c>
      <c r="C68" s="57" t="s">
        <v>1503</v>
      </c>
      <c r="D68" s="10" t="s">
        <v>117</v>
      </c>
      <c r="E68" s="418"/>
      <c r="F68" s="419">
        <v>76606.97</v>
      </c>
      <c r="G68" s="435">
        <f>+G67+E68-F68</f>
        <v>-982543.85999999964</v>
      </c>
      <c r="H68" s="76">
        <v>33.837000000000003</v>
      </c>
      <c r="I68" s="10" t="s">
        <v>92</v>
      </c>
      <c r="J68" s="110"/>
      <c r="K68" s="57" t="s">
        <v>0</v>
      </c>
      <c r="L68" s="73" t="s">
        <v>92</v>
      </c>
      <c r="M68" s="26">
        <v>0</v>
      </c>
    </row>
    <row r="69" spans="1:13" ht="13.95" customHeight="1" x14ac:dyDescent="0.3">
      <c r="A69" s="60">
        <v>46223</v>
      </c>
      <c r="B69" s="127" t="s">
        <v>57</v>
      </c>
      <c r="C69" s="65" t="s">
        <v>1504</v>
      </c>
      <c r="D69" s="127" t="s">
        <v>53</v>
      </c>
      <c r="E69" s="22"/>
      <c r="F69" s="446">
        <v>138611.15</v>
      </c>
      <c r="G69" s="435">
        <f>+G68+E69-F69</f>
        <v>-1121155.0099999995</v>
      </c>
      <c r="H69" s="76">
        <v>57.515000000000001</v>
      </c>
      <c r="I69" s="10" t="s">
        <v>92</v>
      </c>
      <c r="J69" s="110"/>
      <c r="K69" s="57" t="s">
        <v>53</v>
      </c>
      <c r="L69" s="73" t="s">
        <v>92</v>
      </c>
      <c r="M69" s="26">
        <f>SUM(H69+H74)</f>
        <v>82.37</v>
      </c>
    </row>
    <row r="70" spans="1:13" ht="13.95" customHeight="1" x14ac:dyDescent="0.3">
      <c r="A70" s="202">
        <v>46223</v>
      </c>
      <c r="B70" s="227" t="s">
        <v>60</v>
      </c>
      <c r="C70" s="203" t="s">
        <v>1505</v>
      </c>
      <c r="D70" s="227" t="s">
        <v>1218</v>
      </c>
      <c r="E70" s="370">
        <v>2000000</v>
      </c>
      <c r="F70" s="447"/>
      <c r="G70" s="436">
        <f>+G69+E70-F70</f>
        <v>878844.99000000046</v>
      </c>
      <c r="H70" s="212"/>
      <c r="I70" s="199" t="s">
        <v>1222</v>
      </c>
      <c r="J70" s="110"/>
      <c r="K70" s="57" t="s">
        <v>1</v>
      </c>
      <c r="L70" s="73" t="s">
        <v>92</v>
      </c>
      <c r="M70" s="42">
        <v>0</v>
      </c>
    </row>
    <row r="71" spans="1:13" ht="13.95" customHeight="1" x14ac:dyDescent="0.3">
      <c r="A71" s="60">
        <v>46223</v>
      </c>
      <c r="B71" s="127" t="s">
        <v>57</v>
      </c>
      <c r="C71" s="65" t="s">
        <v>1506</v>
      </c>
      <c r="D71" s="127" t="s">
        <v>22</v>
      </c>
      <c r="E71" s="22"/>
      <c r="F71" s="446">
        <v>838788.45</v>
      </c>
      <c r="G71" s="437">
        <f>+G70+E71-F71</f>
        <v>40056.540000000503</v>
      </c>
      <c r="H71" s="208">
        <v>348.04500000000002</v>
      </c>
      <c r="I71" s="10" t="s">
        <v>92</v>
      </c>
      <c r="J71" s="110"/>
      <c r="K71" s="65" t="s">
        <v>27</v>
      </c>
      <c r="L71" s="73" t="s">
        <v>92</v>
      </c>
      <c r="M71" s="26">
        <v>0</v>
      </c>
    </row>
    <row r="72" spans="1:13" ht="13.95" customHeight="1" x14ac:dyDescent="0.3">
      <c r="A72" s="60">
        <v>46224</v>
      </c>
      <c r="B72" s="127" t="s">
        <v>57</v>
      </c>
      <c r="C72" s="65" t="s">
        <v>1507</v>
      </c>
      <c r="D72" s="127" t="s">
        <v>3</v>
      </c>
      <c r="E72" s="22"/>
      <c r="F72" s="446">
        <v>59999.97</v>
      </c>
      <c r="G72" s="435">
        <f t="shared" ref="G72:G108" si="2">+G71+E72-F72</f>
        <v>-19943.429999999498</v>
      </c>
      <c r="H72" s="76">
        <v>24.855</v>
      </c>
      <c r="I72" s="10" t="s">
        <v>92</v>
      </c>
      <c r="J72" s="110"/>
      <c r="K72" s="51" t="s">
        <v>361</v>
      </c>
      <c r="L72" s="73" t="s">
        <v>92</v>
      </c>
      <c r="M72" s="26">
        <v>0</v>
      </c>
    </row>
    <row r="73" spans="1:13" ht="13.95" customHeight="1" x14ac:dyDescent="0.3">
      <c r="A73" s="60">
        <v>46224</v>
      </c>
      <c r="B73" s="127" t="s">
        <v>57</v>
      </c>
      <c r="C73" s="65" t="s">
        <v>1508</v>
      </c>
      <c r="D73" s="127" t="s">
        <v>5</v>
      </c>
      <c r="E73" s="22"/>
      <c r="F73" s="446">
        <v>59999.97</v>
      </c>
      <c r="G73" s="435">
        <f t="shared" si="2"/>
        <v>-79943.399999999499</v>
      </c>
      <c r="H73" s="76">
        <v>24.855</v>
      </c>
      <c r="I73" s="10" t="s">
        <v>92</v>
      </c>
      <c r="J73" s="110"/>
      <c r="K73" s="433" t="s">
        <v>541</v>
      </c>
      <c r="L73" s="73" t="s">
        <v>92</v>
      </c>
      <c r="M73" s="26">
        <v>0</v>
      </c>
    </row>
    <row r="74" spans="1:13" ht="13.95" customHeight="1" x14ac:dyDescent="0.3">
      <c r="A74" s="60">
        <v>46224</v>
      </c>
      <c r="B74" s="127" t="s">
        <v>57</v>
      </c>
      <c r="C74" s="65" t="s">
        <v>1509</v>
      </c>
      <c r="D74" s="127" t="s">
        <v>1510</v>
      </c>
      <c r="E74" s="22"/>
      <c r="F74" s="446">
        <v>59999.97</v>
      </c>
      <c r="G74" s="435">
        <f t="shared" si="2"/>
        <v>-139943.3699999995</v>
      </c>
      <c r="H74" s="76">
        <v>24.855</v>
      </c>
      <c r="I74" s="10" t="s">
        <v>92</v>
      </c>
      <c r="J74" s="110"/>
      <c r="K74" s="57" t="s">
        <v>3</v>
      </c>
      <c r="L74" s="73" t="s">
        <v>92</v>
      </c>
      <c r="M74" s="26">
        <f>SUM(H72+H81+H86)</f>
        <v>74.636899999999997</v>
      </c>
    </row>
    <row r="75" spans="1:13" ht="13.95" customHeight="1" x14ac:dyDescent="0.3">
      <c r="A75" s="60">
        <v>46224</v>
      </c>
      <c r="B75" s="127" t="s">
        <v>57</v>
      </c>
      <c r="C75" s="65" t="s">
        <v>1511</v>
      </c>
      <c r="D75" s="127" t="s">
        <v>61</v>
      </c>
      <c r="E75" s="22"/>
      <c r="F75" s="446">
        <v>450119.03</v>
      </c>
      <c r="G75" s="435">
        <f t="shared" si="2"/>
        <v>-590062.39999999956</v>
      </c>
      <c r="H75" s="76">
        <v>186.46190000000001</v>
      </c>
      <c r="I75" s="10" t="s">
        <v>92</v>
      </c>
      <c r="J75" s="110"/>
      <c r="K75" s="57" t="s">
        <v>5</v>
      </c>
      <c r="L75" s="73" t="s">
        <v>92</v>
      </c>
      <c r="M75" s="26">
        <f>SUM(H73+H83+H84+H90)</f>
        <v>84.632999999999996</v>
      </c>
    </row>
    <row r="76" spans="1:13" ht="13.95" customHeight="1" x14ac:dyDescent="0.3">
      <c r="A76" s="403">
        <v>46224</v>
      </c>
      <c r="B76" s="401" t="s">
        <v>57</v>
      </c>
      <c r="C76" s="404" t="s">
        <v>1512</v>
      </c>
      <c r="D76" s="401" t="s">
        <v>61</v>
      </c>
      <c r="E76" s="405"/>
      <c r="F76" s="448">
        <v>450119.27</v>
      </c>
      <c r="G76" s="438">
        <f t="shared" si="2"/>
        <v>-1040181.6699999996</v>
      </c>
      <c r="H76" s="420"/>
      <c r="I76" s="402"/>
      <c r="J76" s="110"/>
      <c r="K76" s="51" t="s">
        <v>26</v>
      </c>
      <c r="L76" s="73" t="s">
        <v>92</v>
      </c>
      <c r="M76" s="26">
        <v>0</v>
      </c>
    </row>
    <row r="77" spans="1:13" ht="13.95" customHeight="1" x14ac:dyDescent="0.3">
      <c r="A77" s="60">
        <v>46225</v>
      </c>
      <c r="B77" s="127" t="s">
        <v>57</v>
      </c>
      <c r="C77" s="65" t="s">
        <v>1513</v>
      </c>
      <c r="D77" s="127" t="s">
        <v>117</v>
      </c>
      <c r="E77" s="22"/>
      <c r="F77" s="446">
        <v>47046.42</v>
      </c>
      <c r="G77" s="435">
        <f t="shared" si="2"/>
        <v>-1087228.0899999996</v>
      </c>
      <c r="H77" s="76">
        <v>20.817</v>
      </c>
      <c r="I77" s="10" t="s">
        <v>92</v>
      </c>
      <c r="J77" s="110"/>
      <c r="K77" s="57" t="s">
        <v>61</v>
      </c>
      <c r="L77" s="73" t="s">
        <v>92</v>
      </c>
      <c r="M77" s="26">
        <f>SUM(H75+H93)</f>
        <v>310.89190000000002</v>
      </c>
    </row>
    <row r="78" spans="1:13" ht="27.6" customHeight="1" x14ac:dyDescent="0.3">
      <c r="A78" s="403">
        <v>46225</v>
      </c>
      <c r="B78" s="401" t="s">
        <v>1498</v>
      </c>
      <c r="C78" s="404" t="s">
        <v>1514</v>
      </c>
      <c r="D78" s="402" t="s">
        <v>1540</v>
      </c>
      <c r="E78" s="405">
        <v>450119.28</v>
      </c>
      <c r="F78" s="448"/>
      <c r="G78" s="438">
        <f t="shared" si="2"/>
        <v>-637108.80999999959</v>
      </c>
      <c r="H78" s="420"/>
      <c r="I78" s="401" t="s">
        <v>1550</v>
      </c>
      <c r="J78" s="110"/>
      <c r="K78" s="57" t="s">
        <v>22</v>
      </c>
      <c r="L78" s="73" t="s">
        <v>92</v>
      </c>
      <c r="M78" s="26">
        <f>SUM(H66+H71+H94+H95)</f>
        <v>941.6</v>
      </c>
    </row>
    <row r="79" spans="1:13" ht="13.95" customHeight="1" x14ac:dyDescent="0.3">
      <c r="A79" s="202">
        <v>46225</v>
      </c>
      <c r="B79" s="227" t="s">
        <v>60</v>
      </c>
      <c r="C79" s="203" t="s">
        <v>1515</v>
      </c>
      <c r="D79" s="227" t="s">
        <v>1218</v>
      </c>
      <c r="E79" s="370">
        <v>2000000</v>
      </c>
      <c r="F79" s="447"/>
      <c r="G79" s="436">
        <f t="shared" si="2"/>
        <v>1362891.1900000004</v>
      </c>
      <c r="H79" s="212"/>
      <c r="I79" s="199" t="s">
        <v>1222</v>
      </c>
      <c r="J79" s="110"/>
      <c r="K79" s="57" t="s">
        <v>6</v>
      </c>
      <c r="L79" s="73" t="s">
        <v>92</v>
      </c>
      <c r="M79" s="26">
        <f>SUM(H89+H97)</f>
        <v>49.771999999999998</v>
      </c>
    </row>
    <row r="80" spans="1:13" ht="13.95" customHeight="1" x14ac:dyDescent="0.3">
      <c r="A80" s="60">
        <v>46225</v>
      </c>
      <c r="B80" s="127" t="s">
        <v>57</v>
      </c>
      <c r="C80" s="65" t="s">
        <v>1516</v>
      </c>
      <c r="D80" s="127" t="s">
        <v>30</v>
      </c>
      <c r="E80" s="22"/>
      <c r="F80" s="446">
        <v>942567.87</v>
      </c>
      <c r="G80" s="437">
        <f t="shared" si="2"/>
        <v>420323.32000000041</v>
      </c>
      <c r="H80" s="76">
        <v>391.10700000000003</v>
      </c>
      <c r="I80" s="10" t="s">
        <v>92</v>
      </c>
      <c r="J80" s="110"/>
      <c r="K80" s="57" t="s">
        <v>8</v>
      </c>
      <c r="L80" s="73" t="s">
        <v>92</v>
      </c>
      <c r="M80" s="26">
        <f>SUM(H67+H82+H87)</f>
        <v>76.242899999999992</v>
      </c>
    </row>
    <row r="81" spans="1:13" ht="13.95" customHeight="1" x14ac:dyDescent="0.3">
      <c r="A81" s="60">
        <v>46225</v>
      </c>
      <c r="B81" s="127" t="s">
        <v>57</v>
      </c>
      <c r="C81" s="65" t="s">
        <v>1517</v>
      </c>
      <c r="D81" s="127" t="s">
        <v>3</v>
      </c>
      <c r="E81" s="22"/>
      <c r="F81" s="446">
        <v>59999.360000000001</v>
      </c>
      <c r="G81" s="437">
        <f t="shared" si="2"/>
        <v>360323.96000000043</v>
      </c>
      <c r="H81" s="76">
        <v>24.896000000000001</v>
      </c>
      <c r="I81" s="10" t="s">
        <v>92</v>
      </c>
      <c r="J81" s="110"/>
      <c r="K81" s="434" t="s">
        <v>30</v>
      </c>
      <c r="L81" s="73" t="s">
        <v>92</v>
      </c>
      <c r="M81" s="26">
        <f>SUM(H80)</f>
        <v>391.10700000000003</v>
      </c>
    </row>
    <row r="82" spans="1:13" ht="13.95" customHeight="1" x14ac:dyDescent="0.3">
      <c r="A82" s="60">
        <v>46226</v>
      </c>
      <c r="B82" s="127" t="s">
        <v>57</v>
      </c>
      <c r="C82" s="65" t="s">
        <v>1518</v>
      </c>
      <c r="D82" s="127" t="s">
        <v>8</v>
      </c>
      <c r="E82" s="22"/>
      <c r="F82" s="446">
        <v>59999.97</v>
      </c>
      <c r="G82" s="437">
        <f t="shared" si="2"/>
        <v>300323.99000000046</v>
      </c>
      <c r="H82" s="76">
        <v>24.855</v>
      </c>
      <c r="I82" s="10" t="s">
        <v>92</v>
      </c>
      <c r="J82" s="110"/>
      <c r="K82" s="57" t="s">
        <v>9</v>
      </c>
      <c r="L82" s="73" t="s">
        <v>92</v>
      </c>
      <c r="M82" s="26">
        <f>SUM(H96)</f>
        <v>135.34</v>
      </c>
    </row>
    <row r="83" spans="1:13" ht="13.95" customHeight="1" x14ac:dyDescent="0.3">
      <c r="A83" s="60">
        <v>46226</v>
      </c>
      <c r="B83" s="127" t="s">
        <v>57</v>
      </c>
      <c r="C83" s="65" t="s">
        <v>1519</v>
      </c>
      <c r="D83" s="127" t="s">
        <v>5</v>
      </c>
      <c r="E83" s="22"/>
      <c r="F83" s="446">
        <v>21017.48</v>
      </c>
      <c r="G83" s="437">
        <f t="shared" si="2"/>
        <v>279306.51000000047</v>
      </c>
      <c r="H83" s="76">
        <v>10.037000000000001</v>
      </c>
      <c r="I83" s="10" t="s">
        <v>92</v>
      </c>
      <c r="J83" s="110"/>
      <c r="K83" s="57" t="s">
        <v>11</v>
      </c>
      <c r="L83" s="73" t="s">
        <v>92</v>
      </c>
      <c r="M83" s="26">
        <f>SUM(H68+H77+H85+H88+H91)</f>
        <v>111.54599999999999</v>
      </c>
    </row>
    <row r="84" spans="1:13" ht="13.95" customHeight="1" x14ac:dyDescent="0.3">
      <c r="A84" s="60">
        <v>46226</v>
      </c>
      <c r="B84" s="127" t="s">
        <v>57</v>
      </c>
      <c r="C84" s="65" t="s">
        <v>1520</v>
      </c>
      <c r="D84" s="127" t="s">
        <v>5</v>
      </c>
      <c r="E84" s="22"/>
      <c r="F84" s="446">
        <v>59999.97</v>
      </c>
      <c r="G84" s="437">
        <f t="shared" si="2"/>
        <v>219306.54000000047</v>
      </c>
      <c r="H84" s="76">
        <v>24.855</v>
      </c>
      <c r="I84" s="10" t="s">
        <v>92</v>
      </c>
      <c r="J84" s="110"/>
      <c r="K84" s="540" t="s">
        <v>695</v>
      </c>
      <c r="L84" s="541"/>
      <c r="M84" s="148">
        <f>SUM(M68:M83)</f>
        <v>2258.1396999999997</v>
      </c>
    </row>
    <row r="85" spans="1:13" ht="13.95" customHeight="1" x14ac:dyDescent="0.3">
      <c r="A85" s="60">
        <v>46226</v>
      </c>
      <c r="B85" s="127" t="s">
        <v>57</v>
      </c>
      <c r="C85" s="65" t="s">
        <v>1521</v>
      </c>
      <c r="D85" s="127" t="s">
        <v>117</v>
      </c>
      <c r="E85" s="22"/>
      <c r="F85" s="446">
        <v>42397.599999999999</v>
      </c>
      <c r="G85" s="437">
        <f t="shared" si="2"/>
        <v>176908.94000000047</v>
      </c>
      <c r="H85" s="76">
        <v>18.760000000000002</v>
      </c>
      <c r="I85" s="10" t="s">
        <v>92</v>
      </c>
      <c r="J85" s="110"/>
    </row>
    <row r="86" spans="1:13" ht="13.95" customHeight="1" x14ac:dyDescent="0.3">
      <c r="A86" s="60">
        <v>46227</v>
      </c>
      <c r="B86" s="127" t="s">
        <v>57</v>
      </c>
      <c r="C86" s="65" t="s">
        <v>1522</v>
      </c>
      <c r="D86" s="127" t="s">
        <v>3</v>
      </c>
      <c r="E86" s="22"/>
      <c r="F86" s="446">
        <v>59999.9</v>
      </c>
      <c r="G86" s="437">
        <f t="shared" si="2"/>
        <v>116909.04000000047</v>
      </c>
      <c r="H86" s="76">
        <v>24.885899999999999</v>
      </c>
      <c r="I86" s="10" t="s">
        <v>92</v>
      </c>
      <c r="J86" s="110"/>
    </row>
    <row r="87" spans="1:13" ht="13.95" customHeight="1" x14ac:dyDescent="0.3">
      <c r="A87" s="60">
        <v>46227</v>
      </c>
      <c r="B87" s="127" t="s">
        <v>57</v>
      </c>
      <c r="C87" s="65" t="s">
        <v>1523</v>
      </c>
      <c r="D87" s="127" t="s">
        <v>8</v>
      </c>
      <c r="E87" s="22"/>
      <c r="F87" s="446">
        <v>59999.9</v>
      </c>
      <c r="G87" s="437">
        <f t="shared" si="2"/>
        <v>56909.140000000472</v>
      </c>
      <c r="H87" s="76">
        <v>24.885899999999999</v>
      </c>
      <c r="I87" s="10" t="s">
        <v>92</v>
      </c>
      <c r="J87" s="110"/>
    </row>
    <row r="88" spans="1:13" ht="13.95" customHeight="1" x14ac:dyDescent="0.3">
      <c r="A88" s="60">
        <v>46227</v>
      </c>
      <c r="B88" s="127" t="s">
        <v>57</v>
      </c>
      <c r="C88" s="65" t="s">
        <v>1524</v>
      </c>
      <c r="D88" s="127" t="s">
        <v>117</v>
      </c>
      <c r="E88" s="22"/>
      <c r="F88" s="446">
        <v>42007.28</v>
      </c>
      <c r="G88" s="437">
        <f t="shared" si="2"/>
        <v>14901.860000000474</v>
      </c>
      <c r="H88" s="76">
        <v>18.611999999999998</v>
      </c>
      <c r="I88" s="10" t="s">
        <v>92</v>
      </c>
      <c r="J88" s="110"/>
    </row>
    <row r="89" spans="1:13" ht="13.95" customHeight="1" x14ac:dyDescent="0.3">
      <c r="A89" s="60">
        <v>46227</v>
      </c>
      <c r="B89" s="127" t="s">
        <v>57</v>
      </c>
      <c r="C89" s="65" t="s">
        <v>1525</v>
      </c>
      <c r="D89" s="127" t="s">
        <v>6</v>
      </c>
      <c r="E89" s="22"/>
      <c r="F89" s="446">
        <v>60000.15</v>
      </c>
      <c r="G89" s="435">
        <f t="shared" si="2"/>
        <v>-45098.289999999528</v>
      </c>
      <c r="H89" s="76">
        <v>24.885999999999999</v>
      </c>
      <c r="I89" s="10" t="s">
        <v>92</v>
      </c>
      <c r="J89" s="110"/>
    </row>
    <row r="90" spans="1:13" ht="13.95" customHeight="1" x14ac:dyDescent="0.3">
      <c r="A90" s="60">
        <v>46227</v>
      </c>
      <c r="B90" s="127" t="s">
        <v>57</v>
      </c>
      <c r="C90" s="65" t="s">
        <v>1526</v>
      </c>
      <c r="D90" s="127" t="s">
        <v>5</v>
      </c>
      <c r="E90" s="22"/>
      <c r="F90" s="446">
        <v>60000.15</v>
      </c>
      <c r="G90" s="435">
        <f t="shared" si="2"/>
        <v>-105098.43999999954</v>
      </c>
      <c r="H90" s="76">
        <v>24.885999999999999</v>
      </c>
      <c r="I90" s="10" t="s">
        <v>92</v>
      </c>
      <c r="J90" s="110"/>
    </row>
    <row r="91" spans="1:13" ht="13.95" customHeight="1" x14ac:dyDescent="0.3">
      <c r="A91" s="60">
        <v>46198</v>
      </c>
      <c r="B91" s="127" t="s">
        <v>57</v>
      </c>
      <c r="C91" s="65" t="s">
        <v>1527</v>
      </c>
      <c r="D91" s="127" t="s">
        <v>117</v>
      </c>
      <c r="E91" s="22"/>
      <c r="F91" s="446">
        <v>44212.800000000003</v>
      </c>
      <c r="G91" s="435">
        <f t="shared" si="2"/>
        <v>-149311.23999999953</v>
      </c>
      <c r="H91" s="76">
        <v>19.52</v>
      </c>
      <c r="I91" s="10" t="s">
        <v>92</v>
      </c>
      <c r="J91" s="110"/>
    </row>
    <row r="92" spans="1:13" ht="13.95" customHeight="1" x14ac:dyDescent="0.3">
      <c r="A92" s="202">
        <v>46228</v>
      </c>
      <c r="B92" s="227" t="s">
        <v>60</v>
      </c>
      <c r="C92" s="203" t="s">
        <v>1528</v>
      </c>
      <c r="D92" s="227"/>
      <c r="E92" s="370">
        <v>2000000</v>
      </c>
      <c r="F92" s="447"/>
      <c r="G92" s="436">
        <f t="shared" si="2"/>
        <v>1850688.7600000005</v>
      </c>
      <c r="H92" s="212"/>
      <c r="I92" s="199" t="s">
        <v>1222</v>
      </c>
      <c r="J92" s="110"/>
    </row>
    <row r="93" spans="1:13" ht="13.95" customHeight="1" x14ac:dyDescent="0.3">
      <c r="A93" s="60">
        <v>46228</v>
      </c>
      <c r="B93" s="127" t="s">
        <v>57</v>
      </c>
      <c r="C93" s="65" t="s">
        <v>1529</v>
      </c>
      <c r="D93" s="127" t="s">
        <v>61</v>
      </c>
      <c r="E93" s="22"/>
      <c r="F93" s="446">
        <v>300000.73</v>
      </c>
      <c r="G93" s="437">
        <f t="shared" si="2"/>
        <v>1550688.0300000005</v>
      </c>
      <c r="H93" s="76">
        <v>124.43</v>
      </c>
      <c r="I93" s="10" t="s">
        <v>92</v>
      </c>
      <c r="J93" s="110"/>
    </row>
    <row r="94" spans="1:13" ht="13.95" customHeight="1" x14ac:dyDescent="0.3">
      <c r="A94" s="60">
        <v>46228</v>
      </c>
      <c r="B94" s="127" t="s">
        <v>57</v>
      </c>
      <c r="C94" s="65" t="s">
        <v>1530</v>
      </c>
      <c r="D94" s="127" t="s">
        <v>22</v>
      </c>
      <c r="E94" s="22"/>
      <c r="F94" s="446">
        <v>631682</v>
      </c>
      <c r="G94" s="437">
        <f t="shared" si="2"/>
        <v>919006.03000000049</v>
      </c>
      <c r="H94" s="76">
        <v>262</v>
      </c>
      <c r="I94" s="10" t="s">
        <v>92</v>
      </c>
      <c r="J94" s="110"/>
    </row>
    <row r="95" spans="1:13" ht="13.95" customHeight="1" x14ac:dyDescent="0.3">
      <c r="A95" s="60">
        <v>46228</v>
      </c>
      <c r="B95" s="127" t="s">
        <v>57</v>
      </c>
      <c r="C95" s="65" t="s">
        <v>1531</v>
      </c>
      <c r="D95" s="127" t="s">
        <v>22</v>
      </c>
      <c r="E95" s="22"/>
      <c r="F95" s="446">
        <v>500000.41</v>
      </c>
      <c r="G95" s="437">
        <f t="shared" si="2"/>
        <v>419005.62000000052</v>
      </c>
      <c r="H95" s="76">
        <v>207.38300000000001</v>
      </c>
      <c r="I95" s="10" t="s">
        <v>92</v>
      </c>
      <c r="J95" s="110"/>
    </row>
    <row r="96" spans="1:13" ht="13.95" customHeight="1" x14ac:dyDescent="0.3">
      <c r="A96" s="60">
        <v>46228</v>
      </c>
      <c r="B96" s="127" t="s">
        <v>57</v>
      </c>
      <c r="C96" s="65" t="s">
        <v>1532</v>
      </c>
      <c r="D96" s="127" t="s">
        <v>9</v>
      </c>
      <c r="E96" s="22"/>
      <c r="F96" s="446">
        <v>306545.09999999998</v>
      </c>
      <c r="G96" s="437">
        <f t="shared" si="2"/>
        <v>112460.52000000054</v>
      </c>
      <c r="H96" s="76">
        <v>135.34</v>
      </c>
      <c r="I96" s="10" t="s">
        <v>92</v>
      </c>
      <c r="J96" s="110"/>
    </row>
    <row r="97" spans="1:13" ht="13.95" customHeight="1" x14ac:dyDescent="0.3">
      <c r="A97" s="60">
        <v>46228</v>
      </c>
      <c r="B97" s="127" t="s">
        <v>57</v>
      </c>
      <c r="C97" s="65" t="s">
        <v>1533</v>
      </c>
      <c r="D97" s="127" t="s">
        <v>6</v>
      </c>
      <c r="E97" s="22"/>
      <c r="F97" s="446">
        <v>60000.15</v>
      </c>
      <c r="G97" s="437">
        <f t="shared" si="2"/>
        <v>52460.370000000541</v>
      </c>
      <c r="H97" s="76">
        <v>24.885999999999999</v>
      </c>
      <c r="I97" s="10" t="s">
        <v>92</v>
      </c>
      <c r="J97" s="110"/>
    </row>
    <row r="98" spans="1:13" ht="13.95" customHeight="1" x14ac:dyDescent="0.3">
      <c r="A98" s="510" t="s">
        <v>694</v>
      </c>
      <c r="B98" s="510"/>
      <c r="C98" s="510"/>
      <c r="D98" s="510"/>
      <c r="E98" s="510"/>
      <c r="F98" s="510"/>
      <c r="G98" s="510"/>
      <c r="H98" s="540">
        <f>SUM(H66:H97)</f>
        <v>2258.1397000000002</v>
      </c>
      <c r="I98" s="541"/>
      <c r="J98" s="110"/>
    </row>
    <row r="99" spans="1:13" ht="13.95" customHeight="1" x14ac:dyDescent="0.3">
      <c r="A99" s="546" t="s">
        <v>1539</v>
      </c>
      <c r="B99" s="547"/>
      <c r="C99" s="547"/>
      <c r="D99" s="547"/>
      <c r="E99" s="547"/>
      <c r="F99" s="547"/>
      <c r="G99" s="547"/>
      <c r="H99" s="547"/>
      <c r="I99" s="548"/>
      <c r="J99" s="110"/>
      <c r="K99" s="582" t="s">
        <v>1541</v>
      </c>
      <c r="L99" s="583"/>
      <c r="M99" s="584"/>
    </row>
    <row r="100" spans="1:13" ht="13.95" customHeight="1" x14ac:dyDescent="0.3">
      <c r="A100" s="60">
        <v>46229</v>
      </c>
      <c r="B100" s="127" t="s">
        <v>57</v>
      </c>
      <c r="C100" s="65" t="s">
        <v>1534</v>
      </c>
      <c r="D100" s="127" t="s">
        <v>5</v>
      </c>
      <c r="E100" s="22"/>
      <c r="F100" s="168">
        <v>60000.68</v>
      </c>
      <c r="G100" s="435">
        <f>+G97+E100-F100</f>
        <v>-7540.3099999994593</v>
      </c>
      <c r="H100" s="76">
        <v>24.844999999999999</v>
      </c>
      <c r="I100" s="10" t="s">
        <v>92</v>
      </c>
      <c r="J100" s="110"/>
      <c r="K100" s="585" t="s">
        <v>34</v>
      </c>
      <c r="L100" s="586"/>
      <c r="M100" s="587"/>
    </row>
    <row r="101" spans="1:13" ht="13.95" customHeight="1" x14ac:dyDescent="0.3">
      <c r="A101" s="60">
        <v>46229</v>
      </c>
      <c r="B101" s="127" t="s">
        <v>57</v>
      </c>
      <c r="C101" s="65" t="s">
        <v>1535</v>
      </c>
      <c r="D101" s="127" t="s">
        <v>117</v>
      </c>
      <c r="E101" s="22"/>
      <c r="F101" s="168">
        <v>45267.8</v>
      </c>
      <c r="G101" s="435">
        <f t="shared" si="2"/>
        <v>-52808.109999999462</v>
      </c>
      <c r="H101" s="76">
        <v>20.03</v>
      </c>
      <c r="I101" s="10" t="s">
        <v>92</v>
      </c>
      <c r="J101" s="110"/>
      <c r="K101" s="430" t="s">
        <v>32</v>
      </c>
      <c r="L101" s="43" t="s">
        <v>35</v>
      </c>
      <c r="M101" s="43" t="s">
        <v>33</v>
      </c>
    </row>
    <row r="102" spans="1:13" ht="13.95" customHeight="1" x14ac:dyDescent="0.3">
      <c r="A102" s="60">
        <v>46229</v>
      </c>
      <c r="B102" s="127" t="s">
        <v>57</v>
      </c>
      <c r="C102" s="65" t="s">
        <v>1536</v>
      </c>
      <c r="D102" s="127" t="s">
        <v>1</v>
      </c>
      <c r="E102" s="22"/>
      <c r="F102" s="168">
        <v>165004.88</v>
      </c>
      <c r="G102" s="435">
        <f t="shared" si="2"/>
        <v>-217812.98999999947</v>
      </c>
      <c r="H102" s="76">
        <v>68.325000000000003</v>
      </c>
      <c r="I102" s="10" t="s">
        <v>92</v>
      </c>
      <c r="J102" s="110"/>
      <c r="K102" s="57" t="s">
        <v>0</v>
      </c>
      <c r="L102" s="73" t="s">
        <v>92</v>
      </c>
      <c r="M102" s="26">
        <v>0</v>
      </c>
    </row>
    <row r="103" spans="1:13" ht="13.95" customHeight="1" x14ac:dyDescent="0.3">
      <c r="A103" s="60">
        <v>46230</v>
      </c>
      <c r="B103" s="127" t="s">
        <v>57</v>
      </c>
      <c r="C103" s="65" t="s">
        <v>1537</v>
      </c>
      <c r="D103" s="127" t="s">
        <v>30</v>
      </c>
      <c r="E103" s="22"/>
      <c r="F103" s="168">
        <v>777169.57</v>
      </c>
      <c r="G103" s="435">
        <f t="shared" si="2"/>
        <v>-994982.55999999936</v>
      </c>
      <c r="H103" s="76">
        <v>322.47699999999998</v>
      </c>
      <c r="I103" s="10" t="s">
        <v>92</v>
      </c>
      <c r="J103" s="110"/>
      <c r="K103" s="57" t="s">
        <v>53</v>
      </c>
      <c r="L103" s="73" t="s">
        <v>92</v>
      </c>
      <c r="M103" s="26">
        <v>0</v>
      </c>
    </row>
    <row r="104" spans="1:13" x14ac:dyDescent="0.3">
      <c r="A104" s="60">
        <v>46230</v>
      </c>
      <c r="B104" s="127" t="s">
        <v>57</v>
      </c>
      <c r="C104" s="65" t="s">
        <v>1542</v>
      </c>
      <c r="D104" s="127" t="s">
        <v>9</v>
      </c>
      <c r="E104" s="22"/>
      <c r="F104" s="168">
        <v>100028.05</v>
      </c>
      <c r="G104" s="435">
        <f t="shared" si="2"/>
        <v>-1095010.6099999994</v>
      </c>
      <c r="H104" s="51">
        <v>44.182000000000002</v>
      </c>
      <c r="I104" s="10" t="s">
        <v>92</v>
      </c>
      <c r="J104" s="110"/>
      <c r="K104" s="431" t="s">
        <v>1</v>
      </c>
      <c r="L104" s="73" t="s">
        <v>92</v>
      </c>
      <c r="M104" s="42">
        <f>SUM(H102+H126)</f>
        <v>113.265</v>
      </c>
    </row>
    <row r="105" spans="1:13" x14ac:dyDescent="0.3">
      <c r="A105" s="202">
        <v>46230</v>
      </c>
      <c r="B105" s="227" t="s">
        <v>60</v>
      </c>
      <c r="C105" s="203" t="s">
        <v>1543</v>
      </c>
      <c r="D105" s="227" t="s">
        <v>1218</v>
      </c>
      <c r="E105" s="370">
        <v>2000000</v>
      </c>
      <c r="F105" s="315"/>
      <c r="G105" s="436">
        <f t="shared" si="2"/>
        <v>904989.3900000006</v>
      </c>
      <c r="H105" s="212"/>
      <c r="I105" s="199" t="s">
        <v>1222</v>
      </c>
      <c r="J105" s="110"/>
      <c r="K105" s="65" t="s">
        <v>27</v>
      </c>
      <c r="L105" s="73" t="s">
        <v>92</v>
      </c>
      <c r="M105" s="26">
        <f>SUM(H114)</f>
        <v>58.847000000000001</v>
      </c>
    </row>
    <row r="106" spans="1:13" x14ac:dyDescent="0.3">
      <c r="A106" s="60">
        <v>46230</v>
      </c>
      <c r="B106" s="127" t="s">
        <v>57</v>
      </c>
      <c r="C106" s="65" t="s">
        <v>1544</v>
      </c>
      <c r="D106" s="127" t="s">
        <v>3</v>
      </c>
      <c r="E106" s="22"/>
      <c r="F106" s="168">
        <v>59999.360000000001</v>
      </c>
      <c r="G106" s="437">
        <f t="shared" si="2"/>
        <v>844990.03000000061</v>
      </c>
      <c r="H106" s="51">
        <v>24.896000000000001</v>
      </c>
      <c r="I106" s="10" t="s">
        <v>92</v>
      </c>
      <c r="J106" s="110"/>
      <c r="K106" s="76" t="s">
        <v>361</v>
      </c>
      <c r="L106" s="73" t="s">
        <v>92</v>
      </c>
      <c r="M106" s="80">
        <v>0</v>
      </c>
    </row>
    <row r="107" spans="1:13" x14ac:dyDescent="0.3">
      <c r="A107" s="60">
        <v>46230</v>
      </c>
      <c r="B107" s="127" t="s">
        <v>57</v>
      </c>
      <c r="C107" s="65" t="s">
        <v>1545</v>
      </c>
      <c r="D107" s="127" t="s">
        <v>5</v>
      </c>
      <c r="E107" s="22"/>
      <c r="F107" s="168">
        <v>59999.360000000001</v>
      </c>
      <c r="G107" s="437">
        <f t="shared" si="2"/>
        <v>784990.67000000062</v>
      </c>
      <c r="H107" s="51">
        <v>24.896000000000001</v>
      </c>
      <c r="I107" s="10" t="s">
        <v>92</v>
      </c>
      <c r="J107" s="110"/>
      <c r="K107" s="145" t="s">
        <v>541</v>
      </c>
      <c r="L107" s="73" t="s">
        <v>92</v>
      </c>
      <c r="M107" s="80">
        <f>SUM(H122)</f>
        <v>11.481999999999999</v>
      </c>
    </row>
    <row r="108" spans="1:13" x14ac:dyDescent="0.3">
      <c r="A108" s="60">
        <v>46230</v>
      </c>
      <c r="B108" s="127" t="s">
        <v>57</v>
      </c>
      <c r="C108" s="65" t="s">
        <v>1546</v>
      </c>
      <c r="D108" s="127" t="s">
        <v>22</v>
      </c>
      <c r="E108" s="22"/>
      <c r="F108" s="168">
        <v>482000</v>
      </c>
      <c r="G108" s="437">
        <f t="shared" si="2"/>
        <v>302990.67000000062</v>
      </c>
      <c r="H108" s="51">
        <v>200</v>
      </c>
      <c r="I108" s="10" t="s">
        <v>92</v>
      </c>
      <c r="J108" s="110"/>
      <c r="K108" s="431" t="s">
        <v>3</v>
      </c>
      <c r="L108" s="73" t="s">
        <v>92</v>
      </c>
      <c r="M108" s="80">
        <f>SUM(H106+H118+H120)</f>
        <v>74.688000000000002</v>
      </c>
    </row>
    <row r="109" spans="1:13" x14ac:dyDescent="0.3">
      <c r="A109" s="60">
        <v>46231</v>
      </c>
      <c r="B109" s="127" t="s">
        <v>57</v>
      </c>
      <c r="C109" s="65" t="s">
        <v>1547</v>
      </c>
      <c r="D109" s="127" t="s">
        <v>30</v>
      </c>
      <c r="E109" s="22"/>
      <c r="F109" s="168">
        <v>759280.01</v>
      </c>
      <c r="G109" s="435">
        <f t="shared" ref="G109:G126" si="3">+G108+E109-F109</f>
        <v>-456289.33999999939</v>
      </c>
      <c r="H109" s="51">
        <v>314.53190000000001</v>
      </c>
      <c r="I109" s="10" t="s">
        <v>92</v>
      </c>
      <c r="J109" s="110"/>
      <c r="K109" s="431" t="s">
        <v>5</v>
      </c>
      <c r="L109" s="73" t="s">
        <v>92</v>
      </c>
      <c r="M109" s="80">
        <f>SUM(H100+H107+H113+H124+H128)</f>
        <v>124.702</v>
      </c>
    </row>
    <row r="110" spans="1:13" x14ac:dyDescent="0.3">
      <c r="A110" s="60">
        <v>46231</v>
      </c>
      <c r="B110" s="127" t="s">
        <v>57</v>
      </c>
      <c r="C110" s="65" t="s">
        <v>1548</v>
      </c>
      <c r="D110" s="127" t="s">
        <v>117</v>
      </c>
      <c r="E110" s="22"/>
      <c r="F110" s="168">
        <v>49639.11</v>
      </c>
      <c r="G110" s="435">
        <f t="shared" si="3"/>
        <v>-505928.44999999937</v>
      </c>
      <c r="H110" s="51">
        <v>21.9254</v>
      </c>
      <c r="I110" s="10" t="s">
        <v>92</v>
      </c>
      <c r="J110" s="110"/>
      <c r="K110" s="76" t="s">
        <v>26</v>
      </c>
      <c r="L110" s="73" t="s">
        <v>92</v>
      </c>
      <c r="M110" s="80">
        <v>0</v>
      </c>
    </row>
    <row r="111" spans="1:13" x14ac:dyDescent="0.3">
      <c r="A111" s="60">
        <v>46231</v>
      </c>
      <c r="B111" s="127" t="s">
        <v>57</v>
      </c>
      <c r="C111" s="65" t="s">
        <v>1549</v>
      </c>
      <c r="D111" s="127" t="s">
        <v>117</v>
      </c>
      <c r="E111" s="22"/>
      <c r="F111" s="168">
        <v>100005.08</v>
      </c>
      <c r="G111" s="435">
        <f t="shared" si="3"/>
        <v>-605933.52999999933</v>
      </c>
      <c r="H111" s="208">
        <v>42.525100000000002</v>
      </c>
      <c r="I111" s="10" t="s">
        <v>92</v>
      </c>
      <c r="J111" s="110"/>
      <c r="K111" s="431" t="s">
        <v>61</v>
      </c>
      <c r="L111" s="73" t="s">
        <v>92</v>
      </c>
      <c r="M111" s="80">
        <f>SUM(H121)</f>
        <v>148.89699999999999</v>
      </c>
    </row>
    <row r="112" spans="1:13" x14ac:dyDescent="0.3">
      <c r="A112" s="202">
        <v>46231</v>
      </c>
      <c r="B112" s="227" t="s">
        <v>60</v>
      </c>
      <c r="C112" s="203" t="s">
        <v>1555</v>
      </c>
      <c r="D112" s="227" t="s">
        <v>1218</v>
      </c>
      <c r="E112" s="370">
        <v>750000</v>
      </c>
      <c r="F112" s="315"/>
      <c r="G112" s="436">
        <f t="shared" si="3"/>
        <v>144066.47000000067</v>
      </c>
      <c r="H112" s="212"/>
      <c r="I112" s="199" t="s">
        <v>1222</v>
      </c>
      <c r="J112" s="110"/>
      <c r="K112" s="431" t="s">
        <v>22</v>
      </c>
      <c r="L112" s="73" t="s">
        <v>92</v>
      </c>
      <c r="M112" s="80">
        <f>SUM(H108)</f>
        <v>200</v>
      </c>
    </row>
    <row r="113" spans="1:13" x14ac:dyDescent="0.3">
      <c r="A113" s="60">
        <v>46231</v>
      </c>
      <c r="B113" s="127" t="s">
        <v>57</v>
      </c>
      <c r="C113" s="65" t="s">
        <v>1556</v>
      </c>
      <c r="D113" s="127" t="s">
        <v>5</v>
      </c>
      <c r="E113" s="22"/>
      <c r="F113" s="168">
        <v>59999.97</v>
      </c>
      <c r="G113" s="437">
        <f t="shared" si="3"/>
        <v>84066.500000000669</v>
      </c>
      <c r="H113" s="51">
        <v>24.855</v>
      </c>
      <c r="I113" s="10" t="s">
        <v>92</v>
      </c>
      <c r="J113" s="110"/>
      <c r="K113" s="431" t="s">
        <v>6</v>
      </c>
      <c r="L113" s="73" t="s">
        <v>92</v>
      </c>
      <c r="M113" s="80">
        <f>SUM(H117+H127)</f>
        <v>49.781999999999996</v>
      </c>
    </row>
    <row r="114" spans="1:13" x14ac:dyDescent="0.3">
      <c r="A114" s="60">
        <v>46232</v>
      </c>
      <c r="B114" s="127" t="s">
        <v>57</v>
      </c>
      <c r="C114" s="65" t="s">
        <v>1557</v>
      </c>
      <c r="D114" s="127" t="s">
        <v>27</v>
      </c>
      <c r="E114" s="22"/>
      <c r="F114" s="168">
        <v>141821.26999999999</v>
      </c>
      <c r="G114" s="435">
        <f t="shared" si="3"/>
        <v>-57754.76999999932</v>
      </c>
      <c r="H114" s="51">
        <v>58.847000000000001</v>
      </c>
      <c r="I114" s="10" t="s">
        <v>92</v>
      </c>
      <c r="J114" s="110"/>
      <c r="K114" s="431" t="s">
        <v>8</v>
      </c>
      <c r="L114" s="73" t="s">
        <v>92</v>
      </c>
      <c r="M114" s="80">
        <f>SUM(H115+H125)</f>
        <v>51.480000000000004</v>
      </c>
    </row>
    <row r="115" spans="1:13" x14ac:dyDescent="0.3">
      <c r="A115" s="60">
        <v>46232</v>
      </c>
      <c r="B115" s="127" t="s">
        <v>57</v>
      </c>
      <c r="C115" s="65" t="s">
        <v>1558</v>
      </c>
      <c r="D115" s="127" t="s">
        <v>8</v>
      </c>
      <c r="E115" s="22"/>
      <c r="F115" s="168">
        <v>59999.360000000001</v>
      </c>
      <c r="G115" s="435">
        <f t="shared" si="3"/>
        <v>-117754.12999999932</v>
      </c>
      <c r="H115" s="51">
        <v>24.896000000000001</v>
      </c>
      <c r="I115" s="10" t="s">
        <v>92</v>
      </c>
      <c r="J115" s="110"/>
      <c r="K115" s="432" t="s">
        <v>30</v>
      </c>
      <c r="L115" s="73" t="s">
        <v>92</v>
      </c>
      <c r="M115" s="80">
        <f>SUM(H103+H109)</f>
        <v>637.00890000000004</v>
      </c>
    </row>
    <row r="116" spans="1:13" x14ac:dyDescent="0.3">
      <c r="A116" s="60">
        <v>46232</v>
      </c>
      <c r="B116" s="127" t="s">
        <v>57</v>
      </c>
      <c r="C116" s="65" t="s">
        <v>1559</v>
      </c>
      <c r="D116" s="127" t="s">
        <v>117</v>
      </c>
      <c r="E116" s="22"/>
      <c r="F116" s="168">
        <v>42040.52</v>
      </c>
      <c r="G116" s="435">
        <f t="shared" si="3"/>
        <v>-159794.64999999932</v>
      </c>
      <c r="H116" s="51">
        <v>18.602</v>
      </c>
      <c r="I116" s="10" t="s">
        <v>92</v>
      </c>
      <c r="J116" s="110"/>
      <c r="K116" s="431" t="s">
        <v>9</v>
      </c>
      <c r="L116" s="73" t="s">
        <v>92</v>
      </c>
      <c r="M116" s="80">
        <f>SUM(H104)</f>
        <v>44.182000000000002</v>
      </c>
    </row>
    <row r="117" spans="1:13" x14ac:dyDescent="0.3">
      <c r="A117" s="60">
        <v>46232</v>
      </c>
      <c r="B117" s="127" t="s">
        <v>57</v>
      </c>
      <c r="C117" s="65" t="s">
        <v>1560</v>
      </c>
      <c r="D117" s="127" t="s">
        <v>6</v>
      </c>
      <c r="E117" s="22"/>
      <c r="F117" s="168">
        <v>59999.360000000001</v>
      </c>
      <c r="G117" s="435">
        <f t="shared" si="3"/>
        <v>-219794.00999999931</v>
      </c>
      <c r="H117" s="51">
        <v>24.896000000000001</v>
      </c>
      <c r="I117" s="10" t="s">
        <v>92</v>
      </c>
      <c r="J117" s="110"/>
      <c r="K117" s="431" t="s">
        <v>11</v>
      </c>
      <c r="L117" s="73" t="s">
        <v>92</v>
      </c>
      <c r="M117" s="80">
        <f>SUM(H101+H110+H111+H116+H119)</f>
        <v>123.08250000000001</v>
      </c>
    </row>
    <row r="118" spans="1:13" x14ac:dyDescent="0.3">
      <c r="A118" s="60">
        <v>46232</v>
      </c>
      <c r="B118" s="127" t="s">
        <v>57</v>
      </c>
      <c r="C118" s="57" t="s">
        <v>1561</v>
      </c>
      <c r="D118" s="127" t="s">
        <v>3</v>
      </c>
      <c r="E118" s="22"/>
      <c r="F118" s="168">
        <v>59999.360000000001</v>
      </c>
      <c r="G118" s="435">
        <f t="shared" si="3"/>
        <v>-279793.3699999993</v>
      </c>
      <c r="H118" s="51">
        <v>24.896000000000001</v>
      </c>
      <c r="I118" s="10" t="s">
        <v>92</v>
      </c>
      <c r="J118" s="110"/>
      <c r="K118" s="540" t="s">
        <v>695</v>
      </c>
      <c r="L118" s="541"/>
      <c r="M118" s="148">
        <f>SUM(M102:M117)</f>
        <v>1637.4164000000001</v>
      </c>
    </row>
    <row r="119" spans="1:13" ht="14.4" customHeight="1" x14ac:dyDescent="0.3">
      <c r="A119" s="60">
        <v>46232</v>
      </c>
      <c r="B119" s="127" t="s">
        <v>57</v>
      </c>
      <c r="C119" s="57" t="s">
        <v>1562</v>
      </c>
      <c r="D119" s="127" t="s">
        <v>117</v>
      </c>
      <c r="E119" s="22"/>
      <c r="F119" s="168">
        <v>45200</v>
      </c>
      <c r="G119" s="435">
        <f t="shared" si="3"/>
        <v>-324993.3699999993</v>
      </c>
      <c r="H119" s="51">
        <v>20</v>
      </c>
      <c r="I119" s="10" t="s">
        <v>92</v>
      </c>
      <c r="J119" s="110"/>
      <c r="K119" s="124"/>
      <c r="L119" s="124"/>
      <c r="M119" s="74"/>
    </row>
    <row r="120" spans="1:13" ht="14.4" customHeight="1" x14ac:dyDescent="0.3">
      <c r="A120" s="60">
        <v>46232</v>
      </c>
      <c r="B120" s="127" t="s">
        <v>57</v>
      </c>
      <c r="C120" s="57" t="s">
        <v>1563</v>
      </c>
      <c r="D120" s="127" t="s">
        <v>3</v>
      </c>
      <c r="E120" s="22"/>
      <c r="F120" s="168">
        <v>59999.360000000001</v>
      </c>
      <c r="G120" s="435">
        <f t="shared" si="3"/>
        <v>-384992.72999999928</v>
      </c>
      <c r="H120" s="51">
        <v>24.896000000000001</v>
      </c>
      <c r="I120" s="10" t="s">
        <v>92</v>
      </c>
      <c r="J120" s="110"/>
      <c r="K120" s="591" t="s">
        <v>1552</v>
      </c>
      <c r="L120" s="592"/>
      <c r="M120" s="593"/>
    </row>
    <row r="121" spans="1:13" ht="14.4" customHeight="1" x14ac:dyDescent="0.3">
      <c r="A121" s="60">
        <v>46232</v>
      </c>
      <c r="B121" s="127" t="s">
        <v>57</v>
      </c>
      <c r="C121" s="57" t="s">
        <v>1564</v>
      </c>
      <c r="D121" s="127" t="s">
        <v>61</v>
      </c>
      <c r="E121" s="22"/>
      <c r="F121" s="168">
        <v>358841.77</v>
      </c>
      <c r="G121" s="435">
        <f t="shared" si="3"/>
        <v>-743834.4999999993</v>
      </c>
      <c r="H121" s="51">
        <v>148.89699999999999</v>
      </c>
      <c r="I121" s="10" t="s">
        <v>92</v>
      </c>
      <c r="J121" s="110"/>
      <c r="K121" s="428" t="s">
        <v>32</v>
      </c>
      <c r="L121" s="299" t="s">
        <v>35</v>
      </c>
      <c r="M121" s="299" t="s">
        <v>33</v>
      </c>
    </row>
    <row r="122" spans="1:13" ht="14.4" customHeight="1" x14ac:dyDescent="0.3">
      <c r="A122" s="60">
        <v>46233</v>
      </c>
      <c r="B122" s="127" t="s">
        <v>57</v>
      </c>
      <c r="C122" s="57" t="s">
        <v>1565</v>
      </c>
      <c r="D122" s="127" t="s">
        <v>541</v>
      </c>
      <c r="E122" s="22"/>
      <c r="F122" s="168">
        <v>26018.21</v>
      </c>
      <c r="G122" s="435">
        <f t="shared" si="3"/>
        <v>-769852.70999999926</v>
      </c>
      <c r="H122" s="51">
        <v>11.481999999999999</v>
      </c>
      <c r="I122" s="10" t="s">
        <v>92</v>
      </c>
      <c r="J122" s="110"/>
      <c r="K122" s="57" t="s">
        <v>0</v>
      </c>
      <c r="L122" s="73" t="s">
        <v>92</v>
      </c>
      <c r="M122" s="26">
        <f>SUM(M8+M26+M45+M68+M102)</f>
        <v>109.837</v>
      </c>
    </row>
    <row r="123" spans="1:13" x14ac:dyDescent="0.3">
      <c r="A123" s="202">
        <v>46233</v>
      </c>
      <c r="B123" s="227" t="s">
        <v>60</v>
      </c>
      <c r="C123" s="355" t="s">
        <v>1566</v>
      </c>
      <c r="D123" s="227" t="s">
        <v>1218</v>
      </c>
      <c r="E123" s="370">
        <v>2000000</v>
      </c>
      <c r="F123" s="315"/>
      <c r="G123" s="436">
        <f t="shared" si="3"/>
        <v>1230147.2900000007</v>
      </c>
      <c r="H123" s="212"/>
      <c r="I123" s="199" t="s">
        <v>1222</v>
      </c>
      <c r="J123" s="110"/>
      <c r="K123" s="57" t="s">
        <v>53</v>
      </c>
      <c r="L123" s="73" t="s">
        <v>92</v>
      </c>
      <c r="M123" s="26">
        <f>SUM(M27+M46+M69+M103)</f>
        <v>137.55700000000002</v>
      </c>
    </row>
    <row r="124" spans="1:13" x14ac:dyDescent="0.3">
      <c r="A124" s="60">
        <v>46233</v>
      </c>
      <c r="B124" s="127" t="s">
        <v>57</v>
      </c>
      <c r="C124" s="57" t="s">
        <v>1567</v>
      </c>
      <c r="D124" s="127" t="s">
        <v>5</v>
      </c>
      <c r="E124" s="22"/>
      <c r="F124" s="168">
        <v>60881.08</v>
      </c>
      <c r="G124" s="437">
        <f t="shared" si="3"/>
        <v>1169266.2100000007</v>
      </c>
      <c r="H124" s="51">
        <v>25.22</v>
      </c>
      <c r="I124" s="10" t="s">
        <v>92</v>
      </c>
      <c r="J124" s="110"/>
      <c r="K124" s="57" t="s">
        <v>1</v>
      </c>
      <c r="L124" s="73" t="s">
        <v>92</v>
      </c>
      <c r="M124" s="42">
        <f>SUM(M9+M28+M47+M70+M104)</f>
        <v>261.12</v>
      </c>
    </row>
    <row r="125" spans="1:13" x14ac:dyDescent="0.3">
      <c r="A125" s="60">
        <v>46234</v>
      </c>
      <c r="B125" s="127" t="s">
        <v>57</v>
      </c>
      <c r="C125" s="57" t="s">
        <v>1568</v>
      </c>
      <c r="D125" s="127" t="s">
        <v>8</v>
      </c>
      <c r="E125" s="22"/>
      <c r="F125" s="168">
        <v>60000.09</v>
      </c>
      <c r="G125" s="437">
        <f t="shared" si="3"/>
        <v>1109266.1200000006</v>
      </c>
      <c r="H125" s="51">
        <v>26.584</v>
      </c>
      <c r="I125" s="10" t="s">
        <v>92</v>
      </c>
      <c r="J125" s="110"/>
      <c r="K125" s="65" t="s">
        <v>27</v>
      </c>
      <c r="L125" s="73" t="s">
        <v>92</v>
      </c>
      <c r="M125" s="26">
        <f>SUM(M10+M29+M48+M71+M105)</f>
        <v>194.4693</v>
      </c>
    </row>
    <row r="126" spans="1:13" x14ac:dyDescent="0.3">
      <c r="A126" s="60">
        <v>46234</v>
      </c>
      <c r="B126" s="127" t="s">
        <v>57</v>
      </c>
      <c r="C126" s="57" t="s">
        <v>1569</v>
      </c>
      <c r="D126" s="127" t="s">
        <v>1</v>
      </c>
      <c r="E126" s="22"/>
      <c r="F126" s="168">
        <v>108350.34</v>
      </c>
      <c r="G126" s="437">
        <f t="shared" si="3"/>
        <v>1000915.7800000006</v>
      </c>
      <c r="H126" s="51">
        <v>44.94</v>
      </c>
      <c r="I126" s="10" t="s">
        <v>92</v>
      </c>
      <c r="J126" s="110"/>
      <c r="K126" s="51" t="s">
        <v>361</v>
      </c>
      <c r="L126" s="73" t="s">
        <v>92</v>
      </c>
      <c r="M126" s="80">
        <f>SUM(M11+M30+M49+M72+M106)</f>
        <v>0</v>
      </c>
    </row>
    <row r="127" spans="1:13" x14ac:dyDescent="0.3">
      <c r="A127" s="60">
        <v>46234</v>
      </c>
      <c r="B127" s="127" t="s">
        <v>57</v>
      </c>
      <c r="C127" s="57" t="s">
        <v>1570</v>
      </c>
      <c r="D127" s="127" t="s">
        <v>6</v>
      </c>
      <c r="E127" s="22"/>
      <c r="F127" s="168">
        <v>60000.15</v>
      </c>
      <c r="G127" s="437">
        <f>+G126+E127-F127</f>
        <v>940915.63000000059</v>
      </c>
      <c r="H127" s="51">
        <v>24.885999999999999</v>
      </c>
      <c r="I127" s="10" t="s">
        <v>92</v>
      </c>
      <c r="J127" s="110"/>
      <c r="K127" s="51" t="s">
        <v>541</v>
      </c>
      <c r="L127" s="73" t="s">
        <v>92</v>
      </c>
      <c r="M127" s="80">
        <f>SUM(M12+M31+M50+M73+M107)</f>
        <v>24.546999999999997</v>
      </c>
    </row>
    <row r="128" spans="1:13" x14ac:dyDescent="0.3">
      <c r="A128" s="60">
        <v>46234</v>
      </c>
      <c r="B128" s="127" t="s">
        <v>57</v>
      </c>
      <c r="C128" s="57" t="s">
        <v>1571</v>
      </c>
      <c r="D128" s="127" t="s">
        <v>5</v>
      </c>
      <c r="E128" s="22"/>
      <c r="F128" s="168">
        <v>60000.15</v>
      </c>
      <c r="G128" s="437">
        <f>+G127+E128-F128</f>
        <v>880915.48000000056</v>
      </c>
      <c r="H128" s="51">
        <v>24.885999999999999</v>
      </c>
      <c r="I128" s="10" t="s">
        <v>92</v>
      </c>
      <c r="J128" s="110"/>
      <c r="K128" s="57" t="s">
        <v>29</v>
      </c>
      <c r="L128" s="73" t="s">
        <v>92</v>
      </c>
      <c r="M128" s="26">
        <f>SUM(M53+M76+M110)</f>
        <v>78.307000000000002</v>
      </c>
    </row>
    <row r="129" spans="1:13" x14ac:dyDescent="0.3">
      <c r="A129" s="510" t="s">
        <v>694</v>
      </c>
      <c r="B129" s="510"/>
      <c r="C129" s="510"/>
      <c r="D129" s="510"/>
      <c r="E129" s="510"/>
      <c r="F129" s="510"/>
      <c r="G129" s="510"/>
      <c r="H129" s="540">
        <f>SUM(H100:H128)</f>
        <v>1637.4164000000001</v>
      </c>
      <c r="I129" s="541"/>
      <c r="J129" s="110"/>
      <c r="K129" s="57" t="s">
        <v>3</v>
      </c>
      <c r="L129" s="73" t="s">
        <v>92</v>
      </c>
      <c r="M129" s="26">
        <f>SUM(M13+M32+M51+M74+M108)</f>
        <v>248.95190000000002</v>
      </c>
    </row>
    <row r="130" spans="1:13" ht="27" customHeight="1" x14ac:dyDescent="0.3">
      <c r="A130" s="572" t="s">
        <v>28</v>
      </c>
      <c r="B130" s="572"/>
      <c r="C130" s="572"/>
      <c r="D130" s="572"/>
      <c r="E130" s="83">
        <f>SUM(E8:E128)</f>
        <v>17810118.539999999</v>
      </c>
      <c r="F130" s="84">
        <f>SUM(F8:F128)</f>
        <v>16929203.060000002</v>
      </c>
      <c r="G130" s="32">
        <f>E130-F130</f>
        <v>880915.47999999672</v>
      </c>
      <c r="H130" s="75">
        <f>SUM(H19+H37+H64+H98+H129)</f>
        <v>6763.3854000000001</v>
      </c>
      <c r="I130" s="36"/>
      <c r="J130"/>
      <c r="K130" s="57" t="s">
        <v>5</v>
      </c>
      <c r="L130" s="73" t="s">
        <v>92</v>
      </c>
      <c r="M130" s="26">
        <f>SUM(M14+M33+M52+M75+M109)</f>
        <v>458.15100000000001</v>
      </c>
    </row>
    <row r="131" spans="1:13" x14ac:dyDescent="0.3">
      <c r="J131" s="3"/>
      <c r="K131" s="57" t="s">
        <v>61</v>
      </c>
      <c r="L131" s="73" t="s">
        <v>92</v>
      </c>
      <c r="M131" s="26">
        <f>SUM(M15+M34+M54+M77+M111)</f>
        <v>873.97589999999991</v>
      </c>
    </row>
    <row r="132" spans="1:13" x14ac:dyDescent="0.3">
      <c r="J132" s="3"/>
      <c r="K132" s="57" t="s">
        <v>22</v>
      </c>
      <c r="L132" s="73" t="s">
        <v>92</v>
      </c>
      <c r="M132" s="26">
        <f>SUM(M16+M35+M55+M78+M112)</f>
        <v>1853.87</v>
      </c>
    </row>
    <row r="133" spans="1:13" x14ac:dyDescent="0.3">
      <c r="J133" s="3"/>
      <c r="K133" s="57" t="s">
        <v>6</v>
      </c>
      <c r="L133" s="73" t="s">
        <v>92</v>
      </c>
      <c r="M133" s="26">
        <f>SUM(M17+M36+M56+M79+M113)</f>
        <v>226.05699999999996</v>
      </c>
    </row>
    <row r="134" spans="1:13" x14ac:dyDescent="0.3">
      <c r="J134" s="3"/>
      <c r="K134" s="57" t="s">
        <v>8</v>
      </c>
      <c r="L134" s="73" t="s">
        <v>92</v>
      </c>
      <c r="M134" s="26">
        <f>SUM(M18+M37+M57+M80+M114)</f>
        <v>227.24590000000001</v>
      </c>
    </row>
    <row r="135" spans="1:13" x14ac:dyDescent="0.3">
      <c r="J135" s="3"/>
      <c r="K135" s="57" t="s">
        <v>9</v>
      </c>
      <c r="L135" s="73" t="s">
        <v>92</v>
      </c>
      <c r="M135" s="26">
        <f>SUM(M19+M38+M59+M82+M116)</f>
        <v>307.32900000000001</v>
      </c>
    </row>
    <row r="136" spans="1:13" x14ac:dyDescent="0.3">
      <c r="J136" s="3"/>
      <c r="K136" s="57" t="s">
        <v>30</v>
      </c>
      <c r="L136" s="73" t="s">
        <v>92</v>
      </c>
      <c r="M136" s="26">
        <f>SUM(M58+M81+M115)</f>
        <v>1391.3679000000002</v>
      </c>
    </row>
    <row r="137" spans="1:13" ht="15" thickBot="1" x14ac:dyDescent="0.35">
      <c r="J137" s="3"/>
      <c r="K137" s="429" t="s">
        <v>11</v>
      </c>
      <c r="L137" s="134" t="s">
        <v>92</v>
      </c>
      <c r="M137" s="30">
        <f>SUM(M20+M39+M60+M83+M117)</f>
        <v>370.59950000000003</v>
      </c>
    </row>
    <row r="138" spans="1:13" ht="15.6" thickTop="1" thickBot="1" x14ac:dyDescent="0.35">
      <c r="J138" s="3"/>
      <c r="K138" s="590" t="s">
        <v>1225</v>
      </c>
      <c r="L138" s="590"/>
      <c r="M138" s="303">
        <f>SUM(M122:M137)</f>
        <v>6763.3854000000001</v>
      </c>
    </row>
    <row r="139" spans="1:13" ht="15" thickTop="1" x14ac:dyDescent="0.3">
      <c r="J139" s="3"/>
    </row>
    <row r="140" spans="1:13" ht="24" customHeight="1" x14ac:dyDescent="0.45">
      <c r="A140" s="578" t="s">
        <v>1572</v>
      </c>
      <c r="B140" s="578"/>
      <c r="C140" s="578"/>
      <c r="D140" s="578"/>
      <c r="E140" s="578"/>
      <c r="F140" s="578"/>
      <c r="G140" s="578"/>
      <c r="H140" s="578"/>
      <c r="I140" s="578"/>
      <c r="J140" s="113"/>
      <c r="K140" s="579" t="s">
        <v>1574</v>
      </c>
      <c r="L140" s="579"/>
      <c r="M140" s="579"/>
    </row>
    <row r="141" spans="1:13" ht="21" customHeight="1" x14ac:dyDescent="0.35">
      <c r="A141" s="580" t="s">
        <v>1575</v>
      </c>
      <c r="B141" s="580"/>
      <c r="C141" s="580"/>
      <c r="D141" s="580"/>
      <c r="E141" s="580"/>
      <c r="F141" s="580"/>
      <c r="G141" s="580"/>
      <c r="H141" s="580"/>
      <c r="I141" s="580"/>
      <c r="J141" s="108"/>
      <c r="K141" s="581" t="s">
        <v>34</v>
      </c>
      <c r="L141" s="581"/>
      <c r="M141" s="581"/>
    </row>
    <row r="142" spans="1:13" ht="28.8" customHeight="1" x14ac:dyDescent="0.3">
      <c r="A142" s="465" t="s">
        <v>13</v>
      </c>
      <c r="B142" s="465" t="s">
        <v>1340</v>
      </c>
      <c r="C142" s="465" t="s">
        <v>25</v>
      </c>
      <c r="D142" s="466" t="s">
        <v>18</v>
      </c>
      <c r="E142" s="467" t="s">
        <v>1573</v>
      </c>
      <c r="F142" s="468" t="s">
        <v>16</v>
      </c>
      <c r="G142" s="468" t="s">
        <v>17</v>
      </c>
      <c r="H142" s="469" t="s">
        <v>15</v>
      </c>
      <c r="I142" s="479" t="s">
        <v>1576</v>
      </c>
      <c r="J142" s="109"/>
      <c r="K142" s="465" t="s">
        <v>32</v>
      </c>
      <c r="L142" s="466" t="s">
        <v>35</v>
      </c>
      <c r="M142" s="466" t="s">
        <v>33</v>
      </c>
    </row>
    <row r="143" spans="1:13" ht="28.8" x14ac:dyDescent="0.3">
      <c r="A143" s="62">
        <v>46223</v>
      </c>
      <c r="B143" s="63" t="s">
        <v>57</v>
      </c>
      <c r="C143" s="51" t="s">
        <v>1582</v>
      </c>
      <c r="D143" s="26" t="s">
        <v>53</v>
      </c>
      <c r="E143" s="26" t="s">
        <v>1583</v>
      </c>
      <c r="F143" s="26" t="s">
        <v>1579</v>
      </c>
      <c r="G143" s="480">
        <v>49999.96</v>
      </c>
      <c r="H143" s="26">
        <v>20.2593</v>
      </c>
      <c r="I143" s="481" t="s">
        <v>1584</v>
      </c>
      <c r="J143" s="3"/>
      <c r="K143" s="26" t="s">
        <v>53</v>
      </c>
      <c r="L143" s="26" t="s">
        <v>92</v>
      </c>
      <c r="M143" s="26">
        <f>SUM(H143)</f>
        <v>20.2593</v>
      </c>
    </row>
    <row r="144" spans="1:13" ht="28.8" x14ac:dyDescent="0.3">
      <c r="A144" s="62">
        <v>46225</v>
      </c>
      <c r="B144" s="63" t="s">
        <v>57</v>
      </c>
      <c r="C144" s="51" t="s">
        <v>1585</v>
      </c>
      <c r="D144" s="26" t="s">
        <v>27</v>
      </c>
      <c r="E144" s="26" t="s">
        <v>1586</v>
      </c>
      <c r="F144" s="26" t="s">
        <v>1587</v>
      </c>
      <c r="G144" s="480">
        <v>110000.04</v>
      </c>
      <c r="H144" s="26">
        <v>44.661000000000001</v>
      </c>
      <c r="I144" s="481" t="s">
        <v>1588</v>
      </c>
      <c r="J144" s="3"/>
      <c r="K144" s="26" t="s">
        <v>27</v>
      </c>
      <c r="L144" s="26" t="s">
        <v>92</v>
      </c>
      <c r="M144" s="26">
        <f>SUM(H144+H149)</f>
        <v>87.177800000000005</v>
      </c>
    </row>
    <row r="145" spans="1:13" ht="28.8" x14ac:dyDescent="0.3">
      <c r="A145" s="62">
        <v>46227</v>
      </c>
      <c r="B145" s="63" t="s">
        <v>57</v>
      </c>
      <c r="C145" s="51" t="s">
        <v>1589</v>
      </c>
      <c r="D145" s="26" t="s">
        <v>26</v>
      </c>
      <c r="E145" s="26" t="s">
        <v>1586</v>
      </c>
      <c r="F145" s="26" t="s">
        <v>1587</v>
      </c>
      <c r="G145" s="480">
        <v>110000.04</v>
      </c>
      <c r="H145" s="26">
        <v>44.661000000000001</v>
      </c>
      <c r="I145" s="481" t="s">
        <v>1588</v>
      </c>
      <c r="J145" s="3"/>
      <c r="K145" s="26" t="s">
        <v>26</v>
      </c>
      <c r="L145" s="26" t="s">
        <v>92</v>
      </c>
      <c r="M145" s="26">
        <f>SUM(H145+H150)</f>
        <v>98.381</v>
      </c>
    </row>
    <row r="146" spans="1:13" ht="28.8" x14ac:dyDescent="0.3">
      <c r="A146" s="62">
        <v>46230</v>
      </c>
      <c r="B146" s="63" t="s">
        <v>57</v>
      </c>
      <c r="C146" s="51" t="s">
        <v>1580</v>
      </c>
      <c r="D146" s="26" t="s">
        <v>30</v>
      </c>
      <c r="E146" s="26" t="s">
        <v>1578</v>
      </c>
      <c r="F146" s="26" t="s">
        <v>1579</v>
      </c>
      <c r="G146" s="480">
        <v>99998.92</v>
      </c>
      <c r="H146" s="26">
        <v>38.182099999999998</v>
      </c>
      <c r="I146" s="481" t="s">
        <v>1581</v>
      </c>
      <c r="J146" s="3"/>
      <c r="K146" s="26" t="s">
        <v>30</v>
      </c>
      <c r="L146" s="26" t="s">
        <v>92</v>
      </c>
      <c r="M146" s="26">
        <f>SUM(H146+H147)</f>
        <v>76.364199999999997</v>
      </c>
    </row>
    <row r="147" spans="1:13" ht="29.4" thickBot="1" x14ac:dyDescent="0.35">
      <c r="A147" s="62">
        <v>46230</v>
      </c>
      <c r="B147" s="63" t="s">
        <v>57</v>
      </c>
      <c r="C147" s="51" t="s">
        <v>1577</v>
      </c>
      <c r="D147" s="26" t="s">
        <v>30</v>
      </c>
      <c r="E147" s="26" t="s">
        <v>1578</v>
      </c>
      <c r="F147" s="26" t="s">
        <v>1579</v>
      </c>
      <c r="G147" s="480">
        <v>99998.92</v>
      </c>
      <c r="H147" s="26">
        <v>38.182099999999998</v>
      </c>
      <c r="I147" s="481" t="s">
        <v>1581</v>
      </c>
      <c r="J147" s="3"/>
      <c r="K147" s="26" t="s">
        <v>11</v>
      </c>
      <c r="L147" s="26" t="s">
        <v>92</v>
      </c>
      <c r="M147" s="26"/>
    </row>
    <row r="148" spans="1:13" ht="24" customHeight="1" thickTop="1" thickBot="1" x14ac:dyDescent="0.35">
      <c r="A148" s="62">
        <v>46230</v>
      </c>
      <c r="B148" s="63"/>
      <c r="C148" s="51"/>
      <c r="D148" s="26" t="s">
        <v>117</v>
      </c>
      <c r="E148" s="26" t="s">
        <v>1591</v>
      </c>
      <c r="F148" s="26" t="s">
        <v>1587</v>
      </c>
      <c r="G148" s="480">
        <v>30000</v>
      </c>
      <c r="H148" s="26"/>
      <c r="I148" s="481" t="s">
        <v>1592</v>
      </c>
      <c r="J148" s="3"/>
      <c r="K148" s="574" t="s">
        <v>1225</v>
      </c>
      <c r="L148" s="574"/>
      <c r="M148" s="478">
        <f>SUM(M143:M147)</f>
        <v>282.1823</v>
      </c>
    </row>
    <row r="149" spans="1:13" ht="29.4" thickTop="1" x14ac:dyDescent="0.3">
      <c r="A149" s="62">
        <v>46231</v>
      </c>
      <c r="B149" s="63" t="s">
        <v>57</v>
      </c>
      <c r="C149" s="51" t="s">
        <v>1590</v>
      </c>
      <c r="D149" s="26" t="s">
        <v>27</v>
      </c>
      <c r="E149" s="26" t="s">
        <v>1586</v>
      </c>
      <c r="F149" s="26" t="s">
        <v>1579</v>
      </c>
      <c r="G149" s="480">
        <v>104718.88</v>
      </c>
      <c r="H149" s="26">
        <v>42.516800000000003</v>
      </c>
      <c r="I149" s="481" t="s">
        <v>1588</v>
      </c>
      <c r="J149" s="3"/>
    </row>
    <row r="150" spans="1:13" ht="28.8" x14ac:dyDescent="0.3">
      <c r="A150" s="62">
        <v>46231</v>
      </c>
      <c r="B150" s="63" t="s">
        <v>57</v>
      </c>
      <c r="C150" s="51" t="s">
        <v>1594</v>
      </c>
      <c r="D150" s="26" t="s">
        <v>26</v>
      </c>
      <c r="E150" s="26" t="s">
        <v>1586</v>
      </c>
      <c r="F150" s="26" t="s">
        <v>1579</v>
      </c>
      <c r="G150" s="480">
        <v>145000</v>
      </c>
      <c r="H150" s="26">
        <v>53.72</v>
      </c>
      <c r="I150" s="482" t="s">
        <v>1593</v>
      </c>
      <c r="J150" s="3"/>
    </row>
    <row r="151" spans="1:13" ht="26.4" customHeight="1" x14ac:dyDescent="0.3">
      <c r="A151" s="575" t="s">
        <v>28</v>
      </c>
      <c r="B151" s="576"/>
      <c r="C151" s="576"/>
      <c r="D151" s="576"/>
      <c r="E151" s="576"/>
      <c r="F151" s="577"/>
      <c r="G151" s="32">
        <f>SUM(G143:G150)</f>
        <v>749716.76</v>
      </c>
      <c r="H151" s="483">
        <f>SUM(H143:H150)</f>
        <v>282.18229999999994</v>
      </c>
      <c r="I151" s="36"/>
      <c r="J151" s="3"/>
    </row>
    <row r="152" spans="1:13" x14ac:dyDescent="0.3">
      <c r="I152"/>
      <c r="J152" s="3"/>
    </row>
    <row r="153" spans="1:13" x14ac:dyDescent="0.3">
      <c r="I153"/>
      <c r="J153" s="3"/>
    </row>
    <row r="154" spans="1:13" x14ac:dyDescent="0.3">
      <c r="I154"/>
      <c r="J154" s="3"/>
    </row>
    <row r="155" spans="1:13" x14ac:dyDescent="0.3">
      <c r="I155"/>
      <c r="J155" s="3"/>
    </row>
    <row r="156" spans="1:13" x14ac:dyDescent="0.3">
      <c r="I156"/>
      <c r="J156" s="3"/>
    </row>
    <row r="157" spans="1:13" x14ac:dyDescent="0.3">
      <c r="I157"/>
      <c r="J157" s="3"/>
    </row>
    <row r="158" spans="1:13" x14ac:dyDescent="0.3">
      <c r="I158"/>
      <c r="J158" s="3"/>
    </row>
    <row r="159" spans="1:13" x14ac:dyDescent="0.3">
      <c r="I159"/>
      <c r="J159" s="3"/>
    </row>
    <row r="160" spans="1:13" x14ac:dyDescent="0.3">
      <c r="I160"/>
      <c r="J160" s="3"/>
    </row>
    <row r="161" spans="9:10" x14ac:dyDescent="0.3">
      <c r="I161"/>
      <c r="J161" s="3"/>
    </row>
    <row r="162" spans="9:10" x14ac:dyDescent="0.3">
      <c r="I162"/>
      <c r="J162" s="3"/>
    </row>
    <row r="163" spans="9:10" x14ac:dyDescent="0.3">
      <c r="I163"/>
      <c r="J163" s="3"/>
    </row>
    <row r="164" spans="9:10" x14ac:dyDescent="0.3">
      <c r="I164"/>
      <c r="J164" s="3"/>
    </row>
    <row r="165" spans="9:10" x14ac:dyDescent="0.3">
      <c r="I165"/>
      <c r="J165" s="3"/>
    </row>
    <row r="166" spans="9:10" x14ac:dyDescent="0.3">
      <c r="I166"/>
      <c r="J166" s="3"/>
    </row>
    <row r="167" spans="9:10" x14ac:dyDescent="0.3">
      <c r="I167"/>
      <c r="J167" s="3"/>
    </row>
    <row r="168" spans="9:10" x14ac:dyDescent="0.3">
      <c r="I168"/>
      <c r="J168" s="3"/>
    </row>
    <row r="169" spans="9:10" x14ac:dyDescent="0.3">
      <c r="I169"/>
      <c r="J169" s="3"/>
    </row>
    <row r="170" spans="9:10" x14ac:dyDescent="0.3">
      <c r="I170"/>
      <c r="J170" s="3"/>
    </row>
    <row r="171" spans="9:10" x14ac:dyDescent="0.3">
      <c r="I171"/>
      <c r="J171" s="3"/>
    </row>
    <row r="172" spans="9:10" x14ac:dyDescent="0.3">
      <c r="I172"/>
      <c r="J172" s="3"/>
    </row>
    <row r="173" spans="9:10" x14ac:dyDescent="0.3">
      <c r="I173"/>
      <c r="J173" s="3"/>
    </row>
    <row r="174" spans="9:10" x14ac:dyDescent="0.3">
      <c r="I174"/>
      <c r="J174" s="3"/>
    </row>
    <row r="175" spans="9:10" x14ac:dyDescent="0.3">
      <c r="I175"/>
      <c r="J175" s="3"/>
    </row>
    <row r="176" spans="9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  <row r="325" spans="10:10" x14ac:dyDescent="0.3">
      <c r="J325" s="3"/>
    </row>
    <row r="326" spans="10:10" x14ac:dyDescent="0.3">
      <c r="J326" s="3"/>
    </row>
    <row r="327" spans="10:10" x14ac:dyDescent="0.3">
      <c r="J327" s="3"/>
    </row>
    <row r="328" spans="10:10" x14ac:dyDescent="0.3">
      <c r="J328" s="3"/>
    </row>
    <row r="329" spans="10:10" x14ac:dyDescent="0.3">
      <c r="J329" s="3"/>
    </row>
  </sheetData>
  <mergeCells count="40">
    <mergeCell ref="K138:L138"/>
    <mergeCell ref="H64:I64"/>
    <mergeCell ref="A98:G98"/>
    <mergeCell ref="K120:M120"/>
    <mergeCell ref="H98:I98"/>
    <mergeCell ref="A99:I99"/>
    <mergeCell ref="A130:D130"/>
    <mergeCell ref="K66:M66"/>
    <mergeCell ref="K99:M99"/>
    <mergeCell ref="K100:M100"/>
    <mergeCell ref="K65:M65"/>
    <mergeCell ref="K118:L118"/>
    <mergeCell ref="K84:L84"/>
    <mergeCell ref="A129:G129"/>
    <mergeCell ref="H129:I129"/>
    <mergeCell ref="A5:I5"/>
    <mergeCell ref="K5:M5"/>
    <mergeCell ref="A6:I6"/>
    <mergeCell ref="K6:M6"/>
    <mergeCell ref="K21:L21"/>
    <mergeCell ref="A19:G19"/>
    <mergeCell ref="H19:I19"/>
    <mergeCell ref="A20:I20"/>
    <mergeCell ref="A37:G37"/>
    <mergeCell ref="H37:I37"/>
    <mergeCell ref="A38:I38"/>
    <mergeCell ref="A64:G64"/>
    <mergeCell ref="A65:I65"/>
    <mergeCell ref="K61:L61"/>
    <mergeCell ref="K40:L40"/>
    <mergeCell ref="K23:M23"/>
    <mergeCell ref="K24:M24"/>
    <mergeCell ref="K42:M42"/>
    <mergeCell ref="K43:M43"/>
    <mergeCell ref="K148:L148"/>
    <mergeCell ref="A151:F151"/>
    <mergeCell ref="A140:I140"/>
    <mergeCell ref="K140:M140"/>
    <mergeCell ref="A141:I141"/>
    <mergeCell ref="K141:M141"/>
  </mergeCells>
  <printOptions horizontalCentered="1"/>
  <pageMargins left="0.51874015748031499" right="7.874015748031496E-2" top="0.19685039370078741" bottom="0.19685039370078741" header="0.31496062992125984" footer="0.31496062992125984"/>
  <pageSetup scale="45" orientation="portrait" r:id="rId1"/>
  <ignoredErrors>
    <ignoredError sqref="M52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90E8-93EC-4F6C-BB53-D44F22E3569B}">
  <dimension ref="A1:M344"/>
  <sheetViews>
    <sheetView topLeftCell="A116" workbookViewId="0">
      <selection activeCell="A148" sqref="A148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.44140625" bestFit="1" customWidth="1"/>
    <col min="5" max="5" width="19.21875" customWidth="1"/>
    <col min="6" max="6" width="16.6640625" bestFit="1" customWidth="1"/>
    <col min="7" max="7" width="15.6640625" customWidth="1"/>
    <col min="8" max="8" width="10" bestFit="1" customWidth="1"/>
    <col min="9" max="9" width="30.5546875" style="3" customWidth="1"/>
    <col min="10" max="10" width="6.33203125" style="72" customWidth="1"/>
    <col min="11" max="11" width="17.5546875" customWidth="1"/>
    <col min="12" max="12" width="16.44140625" customWidth="1"/>
    <col min="13" max="13" width="14.44140625" customWidth="1"/>
  </cols>
  <sheetData>
    <row r="1" spans="1:13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3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3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3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3" ht="23.4" x14ac:dyDescent="0.45">
      <c r="A5" s="519" t="s">
        <v>1627</v>
      </c>
      <c r="B5" s="519"/>
      <c r="C5" s="519"/>
      <c r="D5" s="519"/>
      <c r="E5" s="519"/>
      <c r="F5" s="519"/>
      <c r="G5" s="519"/>
      <c r="H5" s="519"/>
      <c r="I5" s="519"/>
      <c r="J5" s="113"/>
      <c r="K5" s="513" t="s">
        <v>1595</v>
      </c>
      <c r="L5" s="514"/>
      <c r="M5" s="515"/>
    </row>
    <row r="6" spans="1:13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64" t="s">
        <v>34</v>
      </c>
      <c r="L6" s="565"/>
      <c r="M6" s="566"/>
    </row>
    <row r="7" spans="1:13" x14ac:dyDescent="0.3">
      <c r="A7" s="33" t="s">
        <v>13</v>
      </c>
      <c r="B7" s="33" t="s">
        <v>1340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8.600000000000001" customHeight="1" x14ac:dyDescent="0.3">
      <c r="A8" s="54">
        <v>46233</v>
      </c>
      <c r="B8" s="54"/>
      <c r="C8" s="13" t="s">
        <v>21</v>
      </c>
      <c r="D8" s="13"/>
      <c r="E8" s="58">
        <v>880915.48</v>
      </c>
      <c r="F8" s="67"/>
      <c r="G8" s="58">
        <f>+E8-F8</f>
        <v>880915.48</v>
      </c>
      <c r="H8" s="36"/>
      <c r="I8" s="105"/>
      <c r="J8" s="5"/>
      <c r="K8" s="39" t="s">
        <v>0</v>
      </c>
      <c r="L8" s="73" t="s">
        <v>92</v>
      </c>
      <c r="M8" s="26">
        <f>SUM(H13)</f>
        <v>48.965000000000003</v>
      </c>
    </row>
    <row r="9" spans="1:13" s="6" customFormat="1" ht="16.2" customHeight="1" x14ac:dyDescent="0.3">
      <c r="A9" s="82">
        <v>46237</v>
      </c>
      <c r="B9" s="50" t="s">
        <v>57</v>
      </c>
      <c r="C9" s="49" t="s">
        <v>1596</v>
      </c>
      <c r="D9" s="15" t="s">
        <v>6</v>
      </c>
      <c r="E9" s="11"/>
      <c r="F9" s="374">
        <v>59999.360000000001</v>
      </c>
      <c r="G9" s="437">
        <f>+G8+E9-F9</f>
        <v>820916.12</v>
      </c>
      <c r="H9" s="51">
        <v>24.896000000000001</v>
      </c>
      <c r="I9" s="367" t="s">
        <v>92</v>
      </c>
      <c r="J9" s="110"/>
      <c r="K9" s="69" t="s">
        <v>1</v>
      </c>
      <c r="L9" s="73" t="s">
        <v>92</v>
      </c>
      <c r="M9" s="42">
        <f>SUM(H26)</f>
        <v>70.965000000000003</v>
      </c>
    </row>
    <row r="10" spans="1:13" x14ac:dyDescent="0.3">
      <c r="A10" s="363">
        <v>46237</v>
      </c>
      <c r="B10" s="363" t="s">
        <v>57</v>
      </c>
      <c r="C10" s="406" t="s">
        <v>1597</v>
      </c>
      <c r="D10" s="407" t="s">
        <v>8</v>
      </c>
      <c r="E10" s="22"/>
      <c r="F10" s="374">
        <v>59999.360000000001</v>
      </c>
      <c r="G10" s="437">
        <f t="shared" ref="G10:G77" si="0">+G9+E10-F10</f>
        <v>760916.76</v>
      </c>
      <c r="H10" s="51">
        <v>24.896000000000001</v>
      </c>
      <c r="I10" s="367" t="s">
        <v>92</v>
      </c>
      <c r="J10" s="110"/>
      <c r="K10" s="24" t="s">
        <v>27</v>
      </c>
      <c r="L10" s="73" t="s">
        <v>92</v>
      </c>
      <c r="M10" s="26">
        <v>0</v>
      </c>
    </row>
    <row r="11" spans="1:13" x14ac:dyDescent="0.3">
      <c r="A11" s="363">
        <v>46237</v>
      </c>
      <c r="B11" s="363" t="s">
        <v>57</v>
      </c>
      <c r="C11" s="406" t="s">
        <v>1598</v>
      </c>
      <c r="D11" s="407" t="s">
        <v>117</v>
      </c>
      <c r="E11" s="22"/>
      <c r="F11" s="374">
        <v>42986.57</v>
      </c>
      <c r="G11" s="437">
        <f t="shared" si="0"/>
        <v>717930.19000000006</v>
      </c>
      <c r="H11" s="51">
        <v>18.986999999999998</v>
      </c>
      <c r="I11" s="367" t="s">
        <v>92</v>
      </c>
      <c r="J11" s="110"/>
      <c r="K11" s="126" t="s">
        <v>361</v>
      </c>
      <c r="L11" s="73" t="s">
        <v>92</v>
      </c>
      <c r="M11" s="80">
        <v>0</v>
      </c>
    </row>
    <row r="12" spans="1:13" x14ac:dyDescent="0.3">
      <c r="A12" s="363">
        <v>46237</v>
      </c>
      <c r="B12" s="363" t="s">
        <v>57</v>
      </c>
      <c r="C12" s="406" t="s">
        <v>1599</v>
      </c>
      <c r="D12" s="305" t="s">
        <v>5</v>
      </c>
      <c r="E12" s="22"/>
      <c r="F12" s="374">
        <v>59999.360000000001</v>
      </c>
      <c r="G12" s="437">
        <f t="shared" si="0"/>
        <v>657930.83000000007</v>
      </c>
      <c r="H12" s="51">
        <v>24.896000000000001</v>
      </c>
      <c r="I12" s="367" t="s">
        <v>92</v>
      </c>
      <c r="J12" s="110"/>
      <c r="K12" s="391" t="s">
        <v>541</v>
      </c>
      <c r="L12" s="73" t="s">
        <v>92</v>
      </c>
      <c r="M12" s="80">
        <v>0</v>
      </c>
    </row>
    <row r="13" spans="1:13" x14ac:dyDescent="0.3">
      <c r="A13" s="363">
        <v>46238</v>
      </c>
      <c r="B13" s="363" t="s">
        <v>57</v>
      </c>
      <c r="C13" s="406" t="s">
        <v>1600</v>
      </c>
      <c r="D13" s="408" t="s">
        <v>0</v>
      </c>
      <c r="E13" s="22"/>
      <c r="F13" s="374">
        <v>118005.89</v>
      </c>
      <c r="G13" s="437">
        <f t="shared" si="0"/>
        <v>539924.94000000006</v>
      </c>
      <c r="H13" s="51">
        <v>48.965000000000003</v>
      </c>
      <c r="I13" s="367" t="s">
        <v>92</v>
      </c>
      <c r="J13" s="110"/>
      <c r="K13" s="69" t="s">
        <v>29</v>
      </c>
      <c r="L13" s="73" t="s">
        <v>92</v>
      </c>
      <c r="M13" s="26">
        <f>SUM(H23)</f>
        <v>57.097000000000001</v>
      </c>
    </row>
    <row r="14" spans="1:13" x14ac:dyDescent="0.3">
      <c r="A14" s="484">
        <v>46238</v>
      </c>
      <c r="B14" s="484" t="s">
        <v>57</v>
      </c>
      <c r="C14" s="485" t="s">
        <v>1601</v>
      </c>
      <c r="D14" s="486" t="s">
        <v>0</v>
      </c>
      <c r="E14" s="405"/>
      <c r="F14" s="487">
        <v>118005.65</v>
      </c>
      <c r="G14" s="488">
        <f t="shared" si="0"/>
        <v>421919.29000000004</v>
      </c>
      <c r="H14" s="491"/>
      <c r="I14" s="402"/>
      <c r="J14" s="110"/>
      <c r="K14" s="39" t="s">
        <v>3</v>
      </c>
      <c r="L14" s="73" t="s">
        <v>92</v>
      </c>
      <c r="M14" s="26">
        <v>0</v>
      </c>
    </row>
    <row r="15" spans="1:13" ht="28.8" x14ac:dyDescent="0.3">
      <c r="A15" s="484">
        <v>46238</v>
      </c>
      <c r="B15" s="484" t="s">
        <v>1498</v>
      </c>
      <c r="C15" s="485" t="s">
        <v>1602</v>
      </c>
      <c r="D15" s="486" t="s">
        <v>1540</v>
      </c>
      <c r="E15" s="405">
        <v>118005.66</v>
      </c>
      <c r="F15" s="487"/>
      <c r="G15" s="488">
        <f t="shared" si="0"/>
        <v>539924.95000000007</v>
      </c>
      <c r="H15" s="491"/>
      <c r="I15" s="401" t="s">
        <v>1603</v>
      </c>
      <c r="J15" s="110"/>
      <c r="K15" s="39" t="s">
        <v>5</v>
      </c>
      <c r="L15" s="73" t="s">
        <v>92</v>
      </c>
      <c r="M15" s="26">
        <f>SUM(H12+H17+H30)</f>
        <v>74.483000000000004</v>
      </c>
    </row>
    <row r="16" spans="1:13" x14ac:dyDescent="0.3">
      <c r="A16" s="363">
        <v>46238</v>
      </c>
      <c r="B16" s="363" t="s">
        <v>57</v>
      </c>
      <c r="C16" s="406" t="s">
        <v>1604</v>
      </c>
      <c r="D16" s="305" t="s">
        <v>6</v>
      </c>
      <c r="E16" s="22"/>
      <c r="F16" s="374">
        <v>59999.360000000001</v>
      </c>
      <c r="G16" s="437">
        <f t="shared" si="0"/>
        <v>479925.59000000008</v>
      </c>
      <c r="H16" s="51">
        <v>24.896000000000001</v>
      </c>
      <c r="I16" s="367" t="s">
        <v>92</v>
      </c>
      <c r="J16" s="110"/>
      <c r="K16" s="69" t="s">
        <v>61</v>
      </c>
      <c r="L16" s="73" t="s">
        <v>92</v>
      </c>
      <c r="M16" s="26">
        <v>0</v>
      </c>
    </row>
    <row r="17" spans="1:13" x14ac:dyDescent="0.3">
      <c r="A17" s="363">
        <v>46239</v>
      </c>
      <c r="B17" s="363" t="s">
        <v>57</v>
      </c>
      <c r="C17" s="406" t="s">
        <v>1605</v>
      </c>
      <c r="D17" s="305" t="s">
        <v>5</v>
      </c>
      <c r="E17" s="22"/>
      <c r="F17" s="374">
        <v>59999.360000000001</v>
      </c>
      <c r="G17" s="437">
        <f t="shared" si="0"/>
        <v>419926.2300000001</v>
      </c>
      <c r="H17" s="51">
        <v>24.896000000000001</v>
      </c>
      <c r="I17" s="367" t="s">
        <v>92</v>
      </c>
      <c r="J17" s="110"/>
      <c r="K17" s="69" t="s">
        <v>22</v>
      </c>
      <c r="L17" s="73" t="s">
        <v>92</v>
      </c>
      <c r="M17" s="26">
        <f>SUM(H25)</f>
        <v>781.10299999999995</v>
      </c>
    </row>
    <row r="18" spans="1:13" x14ac:dyDescent="0.3">
      <c r="A18" s="363">
        <v>46239</v>
      </c>
      <c r="B18" s="363" t="s">
        <v>57</v>
      </c>
      <c r="C18" s="406" t="s">
        <v>1606</v>
      </c>
      <c r="D18" s="305" t="s">
        <v>6</v>
      </c>
      <c r="E18" s="22"/>
      <c r="F18" s="374">
        <v>59999.360000000001</v>
      </c>
      <c r="G18" s="437">
        <f t="shared" si="0"/>
        <v>359926.87000000011</v>
      </c>
      <c r="H18" s="51">
        <v>24.896000000000001</v>
      </c>
      <c r="I18" s="367" t="s">
        <v>92</v>
      </c>
      <c r="J18" s="110"/>
      <c r="K18" s="69" t="s">
        <v>6</v>
      </c>
      <c r="L18" s="73" t="s">
        <v>92</v>
      </c>
      <c r="M18" s="26">
        <f>SUM(H9+H16+H18+H21+H27+H31)</f>
        <v>149.02699999999999</v>
      </c>
    </row>
    <row r="19" spans="1:13" x14ac:dyDescent="0.3">
      <c r="A19" s="363">
        <v>46240</v>
      </c>
      <c r="B19" s="363" t="s">
        <v>57</v>
      </c>
      <c r="C19" s="406" t="s">
        <v>1607</v>
      </c>
      <c r="D19" s="305" t="s">
        <v>117</v>
      </c>
      <c r="E19" s="22"/>
      <c r="F19" s="374">
        <v>136155.88</v>
      </c>
      <c r="G19" s="437">
        <f t="shared" si="0"/>
        <v>223770.99000000011</v>
      </c>
      <c r="H19" s="51">
        <v>60.006999999999998</v>
      </c>
      <c r="I19" s="367" t="s">
        <v>92</v>
      </c>
      <c r="J19" s="110"/>
      <c r="K19" s="69" t="s">
        <v>8</v>
      </c>
      <c r="L19" s="73" t="s">
        <v>92</v>
      </c>
      <c r="M19" s="26">
        <f>SUM(H10+H20+H29)</f>
        <v>74.543999999999997</v>
      </c>
    </row>
    <row r="20" spans="1:13" x14ac:dyDescent="0.3">
      <c r="A20" s="363">
        <v>46240</v>
      </c>
      <c r="B20" s="363" t="s">
        <v>57</v>
      </c>
      <c r="C20" s="406" t="s">
        <v>1608</v>
      </c>
      <c r="D20" s="305" t="s">
        <v>8</v>
      </c>
      <c r="E20" s="22"/>
      <c r="F20" s="374">
        <v>59999.61</v>
      </c>
      <c r="G20" s="437">
        <f t="shared" si="0"/>
        <v>163771.38000000012</v>
      </c>
      <c r="H20" s="51">
        <v>24.824000000000002</v>
      </c>
      <c r="I20" s="367" t="s">
        <v>92</v>
      </c>
      <c r="J20" s="110"/>
      <c r="K20" s="69" t="s">
        <v>9</v>
      </c>
      <c r="L20" s="73" t="s">
        <v>92</v>
      </c>
      <c r="M20" s="26">
        <f>SUM(H28)</f>
        <v>43.917000000000002</v>
      </c>
    </row>
    <row r="21" spans="1:13" x14ac:dyDescent="0.3">
      <c r="A21" s="409">
        <v>46240</v>
      </c>
      <c r="B21" s="409" t="s">
        <v>57</v>
      </c>
      <c r="C21" s="410" t="s">
        <v>378</v>
      </c>
      <c r="D21" s="407" t="s">
        <v>6</v>
      </c>
      <c r="E21" s="22"/>
      <c r="F21" s="374">
        <v>59999.61</v>
      </c>
      <c r="G21" s="437">
        <f t="shared" si="0"/>
        <v>103771.77000000012</v>
      </c>
      <c r="H21" s="51">
        <v>24.824000000000002</v>
      </c>
      <c r="I21" s="367" t="s">
        <v>92</v>
      </c>
      <c r="J21" s="110"/>
      <c r="K21" s="69" t="s">
        <v>30</v>
      </c>
      <c r="L21" s="73" t="s">
        <v>92</v>
      </c>
      <c r="M21" s="26">
        <f>SUM(H24)</f>
        <v>340.66</v>
      </c>
    </row>
    <row r="22" spans="1:13" x14ac:dyDescent="0.3">
      <c r="A22" s="306">
        <v>46240</v>
      </c>
      <c r="B22" s="306" t="s">
        <v>60</v>
      </c>
      <c r="C22" s="489" t="s">
        <v>1609</v>
      </c>
      <c r="D22" s="307" t="s">
        <v>1218</v>
      </c>
      <c r="E22" s="370">
        <v>2000000</v>
      </c>
      <c r="F22" s="339"/>
      <c r="G22" s="436">
        <f t="shared" si="0"/>
        <v>2103771.77</v>
      </c>
      <c r="H22" s="311"/>
      <c r="I22" s="199" t="s">
        <v>1222</v>
      </c>
      <c r="J22" s="110"/>
      <c r="K22" s="69" t="s">
        <v>11</v>
      </c>
      <c r="L22" s="73" t="s">
        <v>92</v>
      </c>
      <c r="M22" s="26">
        <f>SUM(H11+H19)</f>
        <v>78.994</v>
      </c>
    </row>
    <row r="23" spans="1:13" x14ac:dyDescent="0.3">
      <c r="A23" s="409">
        <v>46240</v>
      </c>
      <c r="B23" s="409" t="s">
        <v>57</v>
      </c>
      <c r="C23" s="410" t="s">
        <v>1610</v>
      </c>
      <c r="D23" s="407" t="s">
        <v>26</v>
      </c>
      <c r="E23" s="22"/>
      <c r="F23" s="374">
        <v>138003.45000000001</v>
      </c>
      <c r="G23" s="437">
        <f t="shared" si="0"/>
        <v>1965768.32</v>
      </c>
      <c r="H23" s="51">
        <v>57.097000000000001</v>
      </c>
      <c r="I23" s="367" t="s">
        <v>92</v>
      </c>
      <c r="J23" s="110"/>
      <c r="K23" s="540" t="s">
        <v>695</v>
      </c>
      <c r="L23" s="541"/>
      <c r="M23" s="148">
        <f>SUM(M8:M22)</f>
        <v>1719.7550000000001</v>
      </c>
    </row>
    <row r="24" spans="1:13" x14ac:dyDescent="0.3">
      <c r="A24" s="409">
        <v>46240</v>
      </c>
      <c r="B24" s="409" t="s">
        <v>57</v>
      </c>
      <c r="C24" s="410" t="s">
        <v>1611</v>
      </c>
      <c r="D24" s="407" t="s">
        <v>30</v>
      </c>
      <c r="E24" s="22"/>
      <c r="F24" s="374">
        <v>823375.22</v>
      </c>
      <c r="G24" s="437">
        <f t="shared" si="0"/>
        <v>1142393.1000000001</v>
      </c>
      <c r="H24" s="51">
        <v>340.66</v>
      </c>
      <c r="I24" s="367" t="s">
        <v>92</v>
      </c>
      <c r="J24" s="110"/>
    </row>
    <row r="25" spans="1:13" x14ac:dyDescent="0.3">
      <c r="A25" s="409">
        <v>46240</v>
      </c>
      <c r="B25" s="409" t="s">
        <v>57</v>
      </c>
      <c r="C25" s="410" t="s">
        <v>1612</v>
      </c>
      <c r="D25" s="305" t="s">
        <v>22</v>
      </c>
      <c r="E25" s="11"/>
      <c r="F25" s="374">
        <v>1887925.95</v>
      </c>
      <c r="G25" s="435">
        <f t="shared" si="0"/>
        <v>-745532.84999999986</v>
      </c>
      <c r="H25" s="51">
        <v>781.10299999999995</v>
      </c>
      <c r="I25" s="367" t="s">
        <v>92</v>
      </c>
      <c r="J25"/>
    </row>
    <row r="26" spans="1:13" x14ac:dyDescent="0.3">
      <c r="A26" s="409">
        <v>46240</v>
      </c>
      <c r="B26" s="409" t="s">
        <v>57</v>
      </c>
      <c r="C26" s="410" t="s">
        <v>1613</v>
      </c>
      <c r="D26" s="305" t="s">
        <v>1</v>
      </c>
      <c r="E26" s="27"/>
      <c r="F26" s="374">
        <v>171522.41</v>
      </c>
      <c r="G26" s="435">
        <f t="shared" si="0"/>
        <v>-917055.25999999989</v>
      </c>
      <c r="H26" s="51">
        <v>70.965000000000003</v>
      </c>
      <c r="I26" s="367" t="s">
        <v>92</v>
      </c>
      <c r="J26"/>
    </row>
    <row r="27" spans="1:13" x14ac:dyDescent="0.3">
      <c r="A27" s="409">
        <v>46241</v>
      </c>
      <c r="B27" s="409" t="s">
        <v>57</v>
      </c>
      <c r="C27" s="410" t="s">
        <v>1614</v>
      </c>
      <c r="D27" s="305" t="s">
        <v>6</v>
      </c>
      <c r="E27" s="11"/>
      <c r="F27" s="374">
        <v>59999.61</v>
      </c>
      <c r="G27" s="435">
        <f t="shared" si="0"/>
        <v>-977054.86999999988</v>
      </c>
      <c r="H27" s="51">
        <v>24.824000000000002</v>
      </c>
      <c r="I27" s="367" t="s">
        <v>92</v>
      </c>
      <c r="J27" s="112"/>
    </row>
    <row r="28" spans="1:13" ht="14.4" customHeight="1" x14ac:dyDescent="0.3">
      <c r="A28" s="409">
        <v>46241</v>
      </c>
      <c r="B28" s="409" t="s">
        <v>57</v>
      </c>
      <c r="C28" s="410" t="s">
        <v>1615</v>
      </c>
      <c r="D28" s="305" t="s">
        <v>9</v>
      </c>
      <c r="E28" s="11"/>
      <c r="F28" s="374">
        <v>99999.01</v>
      </c>
      <c r="G28" s="435">
        <f t="shared" si="0"/>
        <v>-1077053.8799999999</v>
      </c>
      <c r="H28" s="51">
        <v>43.917000000000002</v>
      </c>
      <c r="I28" s="367" t="s">
        <v>92</v>
      </c>
      <c r="J28" s="25"/>
      <c r="K28" s="146"/>
      <c r="L28" s="146"/>
    </row>
    <row r="29" spans="1:13" x14ac:dyDescent="0.3">
      <c r="A29" s="409">
        <v>46241</v>
      </c>
      <c r="B29" s="409" t="s">
        <v>57</v>
      </c>
      <c r="C29" s="411" t="s">
        <v>1616</v>
      </c>
      <c r="D29" s="409" t="s">
        <v>8</v>
      </c>
      <c r="E29" s="192"/>
      <c r="F29" s="374">
        <v>59999.61</v>
      </c>
      <c r="G29" s="435">
        <f t="shared" si="0"/>
        <v>-1137053.49</v>
      </c>
      <c r="H29" s="51">
        <v>24.824000000000002</v>
      </c>
      <c r="I29" s="367" t="s">
        <v>92</v>
      </c>
      <c r="J29" s="110"/>
      <c r="K29" s="146"/>
      <c r="L29" s="146"/>
    </row>
    <row r="30" spans="1:13" x14ac:dyDescent="0.3">
      <c r="A30" s="409">
        <v>46242</v>
      </c>
      <c r="B30" s="409" t="s">
        <v>57</v>
      </c>
      <c r="C30" s="411" t="s">
        <v>1617</v>
      </c>
      <c r="D30" s="409" t="s">
        <v>5</v>
      </c>
      <c r="E30" s="496"/>
      <c r="F30" s="374">
        <v>59999.13</v>
      </c>
      <c r="G30" s="507">
        <f>+G29+E30-F30</f>
        <v>-1197052.6199999999</v>
      </c>
      <c r="H30" s="51">
        <v>24.690999999999999</v>
      </c>
      <c r="I30" s="367" t="s">
        <v>92</v>
      </c>
      <c r="J30" s="110"/>
      <c r="K30" s="146"/>
      <c r="L30" s="146"/>
    </row>
    <row r="31" spans="1:13" x14ac:dyDescent="0.3">
      <c r="A31" s="409">
        <v>46242</v>
      </c>
      <c r="B31" s="409" t="s">
        <v>57</v>
      </c>
      <c r="C31" s="411" t="s">
        <v>1619</v>
      </c>
      <c r="D31" s="409" t="s">
        <v>6</v>
      </c>
      <c r="E31" s="496"/>
      <c r="F31" s="374">
        <v>59999.13</v>
      </c>
      <c r="G31" s="507">
        <f>+G30+E31-F31</f>
        <v>-1257051.7499999998</v>
      </c>
      <c r="H31" s="51">
        <v>24.690999999999999</v>
      </c>
      <c r="I31" s="367" t="s">
        <v>92</v>
      </c>
      <c r="J31" s="110"/>
    </row>
    <row r="32" spans="1:13" x14ac:dyDescent="0.3">
      <c r="A32" s="306">
        <v>46242</v>
      </c>
      <c r="B32" s="306" t="s">
        <v>60</v>
      </c>
      <c r="C32" s="330" t="s">
        <v>1620</v>
      </c>
      <c r="D32" s="306" t="s">
        <v>1218</v>
      </c>
      <c r="E32" s="498">
        <v>3000000</v>
      </c>
      <c r="F32" s="339"/>
      <c r="G32" s="499">
        <f>+G31+E32-F32</f>
        <v>1742948.2500000002</v>
      </c>
      <c r="H32" s="201"/>
      <c r="I32" s="199" t="s">
        <v>1222</v>
      </c>
      <c r="J32" s="110"/>
    </row>
    <row r="33" spans="1:13" x14ac:dyDescent="0.3">
      <c r="A33" s="510" t="s">
        <v>694</v>
      </c>
      <c r="B33" s="510"/>
      <c r="C33" s="510"/>
      <c r="D33" s="510"/>
      <c r="E33" s="510"/>
      <c r="F33" s="510"/>
      <c r="G33" s="510"/>
      <c r="H33" s="540">
        <f>SUM(H9:H32)</f>
        <v>1719.7549999999999</v>
      </c>
      <c r="I33" s="541"/>
      <c r="J33" s="110"/>
    </row>
    <row r="34" spans="1:13" ht="15.6" x14ac:dyDescent="0.3">
      <c r="A34" s="546" t="s">
        <v>1595</v>
      </c>
      <c r="B34" s="547"/>
      <c r="C34" s="547"/>
      <c r="D34" s="547"/>
      <c r="E34" s="547"/>
      <c r="F34" s="547"/>
      <c r="G34" s="547"/>
      <c r="H34" s="547"/>
      <c r="I34" s="548"/>
      <c r="J34" s="110"/>
      <c r="K34" s="513" t="s">
        <v>1626</v>
      </c>
      <c r="L34" s="514"/>
      <c r="M34" s="515"/>
    </row>
    <row r="35" spans="1:13" x14ac:dyDescent="0.3">
      <c r="A35" s="409">
        <v>46243</v>
      </c>
      <c r="B35" s="409" t="s">
        <v>57</v>
      </c>
      <c r="C35" s="411" t="s">
        <v>1618</v>
      </c>
      <c r="D35" s="409" t="s">
        <v>6</v>
      </c>
      <c r="E35" s="500"/>
      <c r="F35" s="374">
        <v>59999.13</v>
      </c>
      <c r="G35" s="497">
        <f>+G32+E35-F35</f>
        <v>1682949.1200000003</v>
      </c>
      <c r="H35" s="51">
        <v>24.690999999999999</v>
      </c>
      <c r="I35" s="367" t="s">
        <v>92</v>
      </c>
      <c r="J35" s="110"/>
      <c r="K35" s="564" t="s">
        <v>34</v>
      </c>
      <c r="L35" s="565"/>
      <c r="M35" s="566"/>
    </row>
    <row r="36" spans="1:13" x14ac:dyDescent="0.3">
      <c r="A36" s="409">
        <v>46243</v>
      </c>
      <c r="B36" s="409" t="s">
        <v>57</v>
      </c>
      <c r="C36" s="411" t="s">
        <v>1621</v>
      </c>
      <c r="D36" s="409" t="s">
        <v>117</v>
      </c>
      <c r="E36" s="500"/>
      <c r="F36" s="374">
        <v>45664.57</v>
      </c>
      <c r="G36" s="497">
        <f t="shared" si="0"/>
        <v>1637284.5500000003</v>
      </c>
      <c r="H36" s="51">
        <v>20.001999999999999</v>
      </c>
      <c r="I36" s="367" t="s">
        <v>92</v>
      </c>
      <c r="J36" s="110"/>
      <c r="K36" s="71" t="s">
        <v>32</v>
      </c>
      <c r="L36" s="43" t="s">
        <v>35</v>
      </c>
      <c r="M36" s="43" t="s">
        <v>33</v>
      </c>
    </row>
    <row r="37" spans="1:13" x14ac:dyDescent="0.3">
      <c r="A37" s="409">
        <v>46243</v>
      </c>
      <c r="B37" s="409" t="s">
        <v>57</v>
      </c>
      <c r="C37" s="411" t="s">
        <v>1622</v>
      </c>
      <c r="D37" s="409" t="s">
        <v>8</v>
      </c>
      <c r="E37" s="500"/>
      <c r="F37" s="501">
        <v>65000.07</v>
      </c>
      <c r="G37" s="497">
        <f t="shared" si="0"/>
        <v>1572284.4800000002</v>
      </c>
      <c r="H37" s="51">
        <v>26.748999999999999</v>
      </c>
      <c r="I37" s="367" t="s">
        <v>92</v>
      </c>
      <c r="J37" s="110"/>
      <c r="K37" s="39" t="s">
        <v>0</v>
      </c>
      <c r="L37" s="73" t="s">
        <v>92</v>
      </c>
      <c r="M37" s="26">
        <v>0</v>
      </c>
    </row>
    <row r="38" spans="1:13" x14ac:dyDescent="0.3">
      <c r="A38" s="409">
        <v>46244</v>
      </c>
      <c r="B38" s="407" t="s">
        <v>57</v>
      </c>
      <c r="C38" s="410" t="s">
        <v>1623</v>
      </c>
      <c r="D38" s="407" t="s">
        <v>9</v>
      </c>
      <c r="E38" s="500"/>
      <c r="F38" s="501">
        <v>223065.08</v>
      </c>
      <c r="G38" s="497">
        <f t="shared" si="0"/>
        <v>1349219.4000000001</v>
      </c>
      <c r="H38" s="51">
        <v>97.706999999999994</v>
      </c>
      <c r="I38" s="367" t="s">
        <v>92</v>
      </c>
      <c r="J38" s="110"/>
      <c r="K38" s="69" t="s">
        <v>1</v>
      </c>
      <c r="L38" s="73" t="s">
        <v>92</v>
      </c>
      <c r="M38" s="42">
        <v>0</v>
      </c>
    </row>
    <row r="39" spans="1:13" x14ac:dyDescent="0.3">
      <c r="A39" s="409">
        <v>46244</v>
      </c>
      <c r="B39" s="407" t="s">
        <v>57</v>
      </c>
      <c r="C39" s="410" t="s">
        <v>1624</v>
      </c>
      <c r="D39" s="407" t="s">
        <v>61</v>
      </c>
      <c r="E39" s="500"/>
      <c r="F39" s="501">
        <v>367531.6</v>
      </c>
      <c r="G39" s="497">
        <f t="shared" si="0"/>
        <v>981687.80000000016</v>
      </c>
      <c r="H39" s="51">
        <v>150.93700000000001</v>
      </c>
      <c r="I39" s="367" t="s">
        <v>92</v>
      </c>
      <c r="J39" s="110"/>
      <c r="K39" s="24" t="s">
        <v>27</v>
      </c>
      <c r="L39" s="73" t="s">
        <v>92</v>
      </c>
      <c r="M39" s="26">
        <f>SUM(H40+H64)</f>
        <v>81.711999999999989</v>
      </c>
    </row>
    <row r="40" spans="1:13" x14ac:dyDescent="0.3">
      <c r="A40" s="409">
        <v>46244</v>
      </c>
      <c r="B40" s="407" t="s">
        <v>57</v>
      </c>
      <c r="C40" s="410" t="s">
        <v>1625</v>
      </c>
      <c r="D40" s="407" t="s">
        <v>27</v>
      </c>
      <c r="E40" s="500"/>
      <c r="F40" s="501">
        <v>98999.8</v>
      </c>
      <c r="G40" s="497">
        <f t="shared" si="0"/>
        <v>882688.00000000012</v>
      </c>
      <c r="H40" s="51">
        <v>40.656999999999996</v>
      </c>
      <c r="I40" s="367" t="s">
        <v>92</v>
      </c>
      <c r="J40" s="110"/>
      <c r="K40" s="126" t="s">
        <v>361</v>
      </c>
      <c r="L40" s="73" t="s">
        <v>92</v>
      </c>
      <c r="M40" s="80">
        <v>0</v>
      </c>
    </row>
    <row r="41" spans="1:13" x14ac:dyDescent="0.3">
      <c r="A41" s="409">
        <v>46244</v>
      </c>
      <c r="B41" s="407" t="s">
        <v>57</v>
      </c>
      <c r="C41" s="410" t="s">
        <v>1628</v>
      </c>
      <c r="D41" s="407" t="s">
        <v>3</v>
      </c>
      <c r="E41" s="500"/>
      <c r="F41" s="501">
        <v>60000.84</v>
      </c>
      <c r="G41" s="497">
        <f t="shared" si="0"/>
        <v>822687.16000000015</v>
      </c>
      <c r="H41" s="51">
        <v>24.640999999999998</v>
      </c>
      <c r="I41" s="367" t="s">
        <v>92</v>
      </c>
      <c r="J41" s="110"/>
      <c r="K41" s="391" t="s">
        <v>541</v>
      </c>
      <c r="L41" s="73" t="s">
        <v>92</v>
      </c>
      <c r="M41" s="80">
        <v>0</v>
      </c>
    </row>
    <row r="42" spans="1:13" x14ac:dyDescent="0.3">
      <c r="A42" s="409">
        <v>46244</v>
      </c>
      <c r="B42" s="407" t="s">
        <v>57</v>
      </c>
      <c r="C42" s="410" t="s">
        <v>1629</v>
      </c>
      <c r="D42" s="407" t="s">
        <v>30</v>
      </c>
      <c r="E42" s="500"/>
      <c r="F42" s="501">
        <v>724120.3</v>
      </c>
      <c r="G42" s="497">
        <f t="shared" si="0"/>
        <v>98566.860000000102</v>
      </c>
      <c r="H42" s="51">
        <v>297.38</v>
      </c>
      <c r="I42" s="367" t="s">
        <v>92</v>
      </c>
      <c r="J42" s="110"/>
      <c r="K42" s="69" t="s">
        <v>29</v>
      </c>
      <c r="L42" s="73" t="s">
        <v>92</v>
      </c>
      <c r="M42" s="26">
        <v>0</v>
      </c>
    </row>
    <row r="43" spans="1:13" x14ac:dyDescent="0.3">
      <c r="A43" s="409">
        <v>46244</v>
      </c>
      <c r="B43" s="407" t="s">
        <v>57</v>
      </c>
      <c r="C43" s="410" t="s">
        <v>1630</v>
      </c>
      <c r="D43" s="407" t="s">
        <v>117</v>
      </c>
      <c r="E43" s="500"/>
      <c r="F43" s="501">
        <v>90000.43</v>
      </c>
      <c r="G43" s="497">
        <f t="shared" si="0"/>
        <v>8566.4300000001094</v>
      </c>
      <c r="H43" s="51">
        <v>39.421999999999997</v>
      </c>
      <c r="I43" s="367" t="s">
        <v>92</v>
      </c>
      <c r="J43" s="110"/>
      <c r="K43" s="39" t="s">
        <v>3</v>
      </c>
      <c r="L43" s="73" t="s">
        <v>92</v>
      </c>
      <c r="M43" s="26">
        <f>SUM(H41+H51+H56+H59+H68)</f>
        <v>123.113</v>
      </c>
    </row>
    <row r="44" spans="1:13" x14ac:dyDescent="0.3">
      <c r="A44" s="409">
        <v>46245</v>
      </c>
      <c r="B44" s="407" t="s">
        <v>57</v>
      </c>
      <c r="C44" s="410" t="s">
        <v>1631</v>
      </c>
      <c r="D44" s="407" t="s">
        <v>6</v>
      </c>
      <c r="E44" s="500"/>
      <c r="F44" s="501">
        <v>64999.35</v>
      </c>
      <c r="G44" s="507">
        <f t="shared" si="0"/>
        <v>-56432.919999999889</v>
      </c>
      <c r="H44" s="51">
        <v>26.65</v>
      </c>
      <c r="I44" s="367" t="s">
        <v>92</v>
      </c>
      <c r="J44" s="110"/>
      <c r="K44" s="51" t="s">
        <v>24</v>
      </c>
      <c r="L44" s="73" t="s">
        <v>92</v>
      </c>
      <c r="M44" s="26">
        <f>SUM(H55+H66+H70)</f>
        <v>73.902999999999992</v>
      </c>
    </row>
    <row r="45" spans="1:13" x14ac:dyDescent="0.3">
      <c r="A45" s="409">
        <v>46245</v>
      </c>
      <c r="B45" s="407" t="s">
        <v>57</v>
      </c>
      <c r="C45" s="410" t="s">
        <v>1632</v>
      </c>
      <c r="D45" s="407" t="s">
        <v>8</v>
      </c>
      <c r="E45" s="500"/>
      <c r="F45" s="501">
        <v>59999.89</v>
      </c>
      <c r="G45" s="507">
        <f t="shared" si="0"/>
        <v>-116432.80999999988</v>
      </c>
      <c r="H45" s="51">
        <v>24.600200000000001</v>
      </c>
      <c r="I45" s="367" t="s">
        <v>92</v>
      </c>
      <c r="J45" s="110"/>
      <c r="K45" s="39" t="s">
        <v>5</v>
      </c>
      <c r="L45" s="73" t="s">
        <v>92</v>
      </c>
      <c r="M45" s="26">
        <f>SUM(H52+H61)</f>
        <v>49.2</v>
      </c>
    </row>
    <row r="46" spans="1:13" x14ac:dyDescent="0.3">
      <c r="A46" s="409">
        <v>46245</v>
      </c>
      <c r="B46" s="407" t="s">
        <v>57</v>
      </c>
      <c r="C46" s="410" t="s">
        <v>1633</v>
      </c>
      <c r="D46" s="407" t="s">
        <v>117</v>
      </c>
      <c r="E46" s="500"/>
      <c r="F46" s="501">
        <v>39999.99</v>
      </c>
      <c r="G46" s="507">
        <f t="shared" si="0"/>
        <v>-156432.79999999987</v>
      </c>
      <c r="H46" s="51">
        <v>17.520800000000001</v>
      </c>
      <c r="I46" s="367" t="s">
        <v>92</v>
      </c>
      <c r="J46" s="110"/>
      <c r="K46" s="69" t="s">
        <v>61</v>
      </c>
      <c r="L46" s="73" t="s">
        <v>92</v>
      </c>
      <c r="M46" s="26">
        <f>SUM(H39+H63)</f>
        <v>327.149</v>
      </c>
    </row>
    <row r="47" spans="1:13" x14ac:dyDescent="0.3">
      <c r="A47" s="492">
        <v>46245</v>
      </c>
      <c r="B47" s="493" t="s">
        <v>57</v>
      </c>
      <c r="C47" s="494" t="s">
        <v>1634</v>
      </c>
      <c r="D47" s="493" t="s">
        <v>8</v>
      </c>
      <c r="E47" s="502"/>
      <c r="F47" s="503">
        <v>59999.4</v>
      </c>
      <c r="G47" s="508">
        <f t="shared" si="0"/>
        <v>-216432.19999999987</v>
      </c>
      <c r="H47" s="491"/>
      <c r="I47" s="402"/>
      <c r="J47" s="110"/>
      <c r="K47" s="69" t="s">
        <v>22</v>
      </c>
      <c r="L47" s="73" t="s">
        <v>92</v>
      </c>
      <c r="M47" s="26">
        <v>0</v>
      </c>
    </row>
    <row r="48" spans="1:13" x14ac:dyDescent="0.3">
      <c r="A48" s="492">
        <v>46245</v>
      </c>
      <c r="B48" s="493" t="s">
        <v>57</v>
      </c>
      <c r="C48" s="494" t="s">
        <v>1635</v>
      </c>
      <c r="D48" s="493" t="s">
        <v>117</v>
      </c>
      <c r="E48" s="502"/>
      <c r="F48" s="503">
        <v>40000.44</v>
      </c>
      <c r="G48" s="508">
        <f t="shared" si="0"/>
        <v>-256432.63999999987</v>
      </c>
      <c r="H48" s="495"/>
      <c r="I48" s="402"/>
      <c r="J48" s="110"/>
      <c r="K48" s="69" t="s">
        <v>6</v>
      </c>
      <c r="L48" s="73" t="s">
        <v>92</v>
      </c>
      <c r="M48" s="26">
        <f>SUM(H35+H44+H54+H65)</f>
        <v>100.61269999999999</v>
      </c>
    </row>
    <row r="49" spans="1:13" ht="28.8" x14ac:dyDescent="0.3">
      <c r="A49" s="492">
        <v>46245</v>
      </c>
      <c r="B49" s="493" t="s">
        <v>1498</v>
      </c>
      <c r="C49" s="494" t="s">
        <v>1636</v>
      </c>
      <c r="D49" s="486" t="s">
        <v>1540</v>
      </c>
      <c r="E49" s="502">
        <v>40000.44</v>
      </c>
      <c r="F49" s="503"/>
      <c r="G49" s="508">
        <f t="shared" si="0"/>
        <v>-216432.19999999987</v>
      </c>
      <c r="H49" s="495"/>
      <c r="I49" s="401" t="s">
        <v>1638</v>
      </c>
      <c r="J49" s="110"/>
      <c r="K49" s="39" t="s">
        <v>8</v>
      </c>
      <c r="L49" s="73" t="s">
        <v>92</v>
      </c>
      <c r="M49" s="26">
        <f>SUM(H37+H45+H57+H58+H67)</f>
        <v>118.13219999999998</v>
      </c>
    </row>
    <row r="50" spans="1:13" ht="28.8" x14ac:dyDescent="0.3">
      <c r="A50" s="492">
        <v>46245</v>
      </c>
      <c r="B50" s="493" t="s">
        <v>1498</v>
      </c>
      <c r="C50" s="494" t="s">
        <v>1637</v>
      </c>
      <c r="D50" s="486" t="s">
        <v>1540</v>
      </c>
      <c r="E50" s="502">
        <v>59999.4</v>
      </c>
      <c r="F50" s="503"/>
      <c r="G50" s="508">
        <f t="shared" si="0"/>
        <v>-156432.79999999987</v>
      </c>
      <c r="H50" s="491"/>
      <c r="I50" s="401" t="s">
        <v>1639</v>
      </c>
      <c r="J50" s="110"/>
      <c r="K50" s="39" t="s">
        <v>9</v>
      </c>
      <c r="L50" s="73" t="s">
        <v>92</v>
      </c>
      <c r="M50" s="26">
        <f>SUM(H38+H53)</f>
        <v>116.792</v>
      </c>
    </row>
    <row r="51" spans="1:13" x14ac:dyDescent="0.3">
      <c r="A51" s="409">
        <v>46245</v>
      </c>
      <c r="B51" s="407" t="s">
        <v>57</v>
      </c>
      <c r="C51" s="410" t="s">
        <v>1640</v>
      </c>
      <c r="D51" s="407" t="s">
        <v>3</v>
      </c>
      <c r="E51" s="500"/>
      <c r="F51" s="501">
        <v>59999.4</v>
      </c>
      <c r="G51" s="507">
        <f t="shared" si="0"/>
        <v>-216432.19999999987</v>
      </c>
      <c r="H51" s="51">
        <v>24.6</v>
      </c>
      <c r="I51" s="367" t="s">
        <v>92</v>
      </c>
      <c r="J51" s="110"/>
      <c r="K51" s="69" t="s">
        <v>30</v>
      </c>
      <c r="L51" s="73" t="s">
        <v>92</v>
      </c>
      <c r="M51" s="26">
        <f>SUM(H42)</f>
        <v>297.38</v>
      </c>
    </row>
    <row r="52" spans="1:13" x14ac:dyDescent="0.3">
      <c r="A52" s="409">
        <v>46245</v>
      </c>
      <c r="B52" s="407" t="s">
        <v>57</v>
      </c>
      <c r="C52" s="410" t="s">
        <v>1641</v>
      </c>
      <c r="D52" s="407" t="s">
        <v>5</v>
      </c>
      <c r="E52" s="500"/>
      <c r="F52" s="501">
        <v>59999.4</v>
      </c>
      <c r="G52" s="507">
        <f t="shared" si="0"/>
        <v>-276431.59999999986</v>
      </c>
      <c r="H52" s="51">
        <v>24.6</v>
      </c>
      <c r="I52" s="367" t="s">
        <v>92</v>
      </c>
      <c r="J52" s="110"/>
      <c r="K52" s="39" t="s">
        <v>11</v>
      </c>
      <c r="L52" s="73" t="s">
        <v>92</v>
      </c>
      <c r="M52" s="26">
        <f>SUM(H36+H43+H46+H60+H69)</f>
        <v>145.40879999999999</v>
      </c>
    </row>
    <row r="53" spans="1:13" x14ac:dyDescent="0.3">
      <c r="A53" s="409">
        <v>46246</v>
      </c>
      <c r="B53" s="407" t="s">
        <v>57</v>
      </c>
      <c r="C53" s="410" t="s">
        <v>1642</v>
      </c>
      <c r="D53" s="407" t="s">
        <v>9</v>
      </c>
      <c r="E53" s="500"/>
      <c r="F53" s="501">
        <v>43494.720000000001</v>
      </c>
      <c r="G53" s="507">
        <f t="shared" si="0"/>
        <v>-319926.31999999983</v>
      </c>
      <c r="H53" s="51">
        <v>19.085000000000001</v>
      </c>
      <c r="I53" s="367" t="s">
        <v>92</v>
      </c>
      <c r="J53" s="110"/>
      <c r="K53" s="540" t="s">
        <v>695</v>
      </c>
      <c r="L53" s="541"/>
      <c r="M53" s="148">
        <f>SUM(M37:M52)</f>
        <v>1433.4026999999999</v>
      </c>
    </row>
    <row r="54" spans="1:13" x14ac:dyDescent="0.3">
      <c r="A54" s="409">
        <v>46246</v>
      </c>
      <c r="B54" s="407" t="s">
        <v>57</v>
      </c>
      <c r="C54" s="410" t="s">
        <v>1643</v>
      </c>
      <c r="D54" s="407" t="s">
        <v>6</v>
      </c>
      <c r="E54" s="500"/>
      <c r="F54" s="501">
        <v>60000.1</v>
      </c>
      <c r="G54" s="507">
        <f t="shared" si="0"/>
        <v>-379926.41999999981</v>
      </c>
      <c r="H54" s="51">
        <v>24.640699999999999</v>
      </c>
      <c r="I54" s="367" t="s">
        <v>92</v>
      </c>
      <c r="J54" s="110"/>
    </row>
    <row r="55" spans="1:13" x14ac:dyDescent="0.3">
      <c r="A55" s="409">
        <v>46246</v>
      </c>
      <c r="B55" s="407" t="s">
        <v>57</v>
      </c>
      <c r="C55" s="410" t="s">
        <v>1644</v>
      </c>
      <c r="D55" s="407" t="s">
        <v>24</v>
      </c>
      <c r="E55" s="500"/>
      <c r="F55" s="501">
        <v>60000.84</v>
      </c>
      <c r="G55" s="507">
        <f t="shared" si="0"/>
        <v>-439927.25999999978</v>
      </c>
      <c r="H55" s="51">
        <v>24.640999999999998</v>
      </c>
      <c r="I55" s="367" t="s">
        <v>92</v>
      </c>
      <c r="J55" s="110"/>
    </row>
    <row r="56" spans="1:13" x14ac:dyDescent="0.3">
      <c r="A56" s="409">
        <v>46246</v>
      </c>
      <c r="B56" s="407" t="s">
        <v>57</v>
      </c>
      <c r="C56" s="410" t="s">
        <v>1645</v>
      </c>
      <c r="D56" s="407" t="s">
        <v>3</v>
      </c>
      <c r="E56" s="500"/>
      <c r="F56" s="501">
        <v>60000.84</v>
      </c>
      <c r="G56" s="507">
        <f t="shared" si="0"/>
        <v>-499928.09999999974</v>
      </c>
      <c r="H56" s="51">
        <v>24.640999999999998</v>
      </c>
      <c r="I56" s="367" t="s">
        <v>92</v>
      </c>
      <c r="J56" s="110"/>
    </row>
    <row r="57" spans="1:13" x14ac:dyDescent="0.3">
      <c r="A57" s="409">
        <v>46247</v>
      </c>
      <c r="B57" s="407" t="s">
        <v>57</v>
      </c>
      <c r="C57" s="410" t="s">
        <v>1646</v>
      </c>
      <c r="D57" s="407" t="s">
        <v>8</v>
      </c>
      <c r="E57" s="500"/>
      <c r="F57" s="501">
        <v>59999.4</v>
      </c>
      <c r="G57" s="507">
        <f t="shared" si="0"/>
        <v>-559927.49999999977</v>
      </c>
      <c r="H57" s="51">
        <v>24.6</v>
      </c>
      <c r="I57" s="367" t="s">
        <v>92</v>
      </c>
      <c r="J57" s="110"/>
    </row>
    <row r="58" spans="1:13" x14ac:dyDescent="0.3">
      <c r="A58" s="409">
        <v>46247</v>
      </c>
      <c r="B58" s="407" t="s">
        <v>57</v>
      </c>
      <c r="C58" s="410" t="s">
        <v>1647</v>
      </c>
      <c r="D58" s="407" t="s">
        <v>8</v>
      </c>
      <c r="E58" s="500"/>
      <c r="F58" s="501">
        <v>40001.01</v>
      </c>
      <c r="G58" s="507">
        <f t="shared" si="0"/>
        <v>-599928.50999999978</v>
      </c>
      <c r="H58" s="51">
        <v>17.552</v>
      </c>
      <c r="I58" s="367" t="s">
        <v>92</v>
      </c>
      <c r="J58" s="110"/>
    </row>
    <row r="59" spans="1:13" x14ac:dyDescent="0.3">
      <c r="A59" s="409">
        <v>46247</v>
      </c>
      <c r="B59" s="407" t="s">
        <v>57</v>
      </c>
      <c r="C59" s="410" t="s">
        <v>1648</v>
      </c>
      <c r="D59" s="407" t="s">
        <v>3</v>
      </c>
      <c r="E59" s="490"/>
      <c r="F59" s="416">
        <v>59999.4</v>
      </c>
      <c r="G59" s="435">
        <f t="shared" si="0"/>
        <v>-659927.9099999998</v>
      </c>
      <c r="H59" s="51">
        <v>24.6</v>
      </c>
      <c r="I59" s="367" t="s">
        <v>92</v>
      </c>
      <c r="J59" s="110"/>
    </row>
    <row r="60" spans="1:13" ht="14.4" customHeight="1" x14ac:dyDescent="0.3">
      <c r="A60" s="409">
        <v>46247</v>
      </c>
      <c r="B60" s="407" t="s">
        <v>57</v>
      </c>
      <c r="C60" s="410" t="s">
        <v>1649</v>
      </c>
      <c r="D60" s="407" t="s">
        <v>117</v>
      </c>
      <c r="E60" s="490"/>
      <c r="F60" s="416">
        <v>79929.09</v>
      </c>
      <c r="G60" s="435">
        <f t="shared" si="0"/>
        <v>-739856.99999999977</v>
      </c>
      <c r="H60" s="51">
        <v>35.072000000000003</v>
      </c>
      <c r="I60" s="367" t="s">
        <v>92</v>
      </c>
      <c r="J60" s="110"/>
    </row>
    <row r="61" spans="1:13" ht="13.95" customHeight="1" x14ac:dyDescent="0.3">
      <c r="A61" s="409">
        <v>46247</v>
      </c>
      <c r="B61" s="407" t="s">
        <v>57</v>
      </c>
      <c r="C61" s="410" t="s">
        <v>1650</v>
      </c>
      <c r="D61" s="407" t="s">
        <v>5</v>
      </c>
      <c r="E61" s="490"/>
      <c r="F61" s="416">
        <v>59999.4</v>
      </c>
      <c r="G61" s="435">
        <f t="shared" si="0"/>
        <v>-799856.39999999979</v>
      </c>
      <c r="H61" s="51">
        <v>24.6</v>
      </c>
      <c r="I61" s="367" t="s">
        <v>92</v>
      </c>
      <c r="J61" s="110"/>
    </row>
    <row r="62" spans="1:13" ht="13.95" customHeight="1" x14ac:dyDescent="0.3">
      <c r="A62" s="306">
        <v>46248</v>
      </c>
      <c r="B62" s="307" t="s">
        <v>60</v>
      </c>
      <c r="C62" s="489" t="s">
        <v>1651</v>
      </c>
      <c r="D62" s="307" t="s">
        <v>1218</v>
      </c>
      <c r="E62" s="506">
        <v>2000000</v>
      </c>
      <c r="F62" s="337"/>
      <c r="G62" s="436">
        <f t="shared" si="0"/>
        <v>1200143.6000000001</v>
      </c>
      <c r="H62" s="201"/>
      <c r="I62" s="199" t="s">
        <v>1222</v>
      </c>
      <c r="J62" s="110"/>
    </row>
    <row r="63" spans="1:13" ht="13.95" customHeight="1" x14ac:dyDescent="0.3">
      <c r="A63" s="409">
        <v>46248</v>
      </c>
      <c r="B63" s="407" t="s">
        <v>57</v>
      </c>
      <c r="C63" s="410" t="s">
        <v>1652</v>
      </c>
      <c r="D63" s="407" t="s">
        <v>61</v>
      </c>
      <c r="E63" s="490"/>
      <c r="F63" s="416">
        <v>429252.43</v>
      </c>
      <c r="G63" s="437">
        <f t="shared" si="0"/>
        <v>770891.17000000016</v>
      </c>
      <c r="H63" s="51">
        <v>176.21199999999999</v>
      </c>
      <c r="I63" s="367" t="s">
        <v>92</v>
      </c>
      <c r="J63" s="110"/>
    </row>
    <row r="64" spans="1:13" ht="13.95" customHeight="1" x14ac:dyDescent="0.3">
      <c r="A64" s="409">
        <v>46248</v>
      </c>
      <c r="B64" s="407" t="s">
        <v>57</v>
      </c>
      <c r="C64" s="410" t="s">
        <v>1653</v>
      </c>
      <c r="D64" s="407" t="s">
        <v>27</v>
      </c>
      <c r="E64" s="490"/>
      <c r="F64" s="416">
        <v>100009.98</v>
      </c>
      <c r="G64" s="437">
        <f t="shared" si="0"/>
        <v>670881.19000000018</v>
      </c>
      <c r="H64" s="51">
        <v>41.055</v>
      </c>
      <c r="I64" s="367" t="s">
        <v>92</v>
      </c>
      <c r="J64" s="110"/>
    </row>
    <row r="65" spans="1:13" ht="13.95" customHeight="1" x14ac:dyDescent="0.3">
      <c r="A65" s="119">
        <v>46248</v>
      </c>
      <c r="B65" s="233" t="s">
        <v>57</v>
      </c>
      <c r="C65" s="115" t="s">
        <v>1654</v>
      </c>
      <c r="D65" s="305" t="s">
        <v>6</v>
      </c>
      <c r="E65" s="22"/>
      <c r="F65" s="417">
        <v>60001.120000000003</v>
      </c>
      <c r="G65" s="437">
        <f t="shared" si="0"/>
        <v>610880.07000000018</v>
      </c>
      <c r="H65" s="51">
        <v>24.631</v>
      </c>
      <c r="I65" s="367" t="s">
        <v>92</v>
      </c>
      <c r="J65" s="110"/>
    </row>
    <row r="66" spans="1:13" ht="13.95" customHeight="1" x14ac:dyDescent="0.3">
      <c r="A66" s="119">
        <v>46248</v>
      </c>
      <c r="B66" s="233" t="s">
        <v>57</v>
      </c>
      <c r="C66" s="115" t="s">
        <v>1655</v>
      </c>
      <c r="D66" s="305" t="s">
        <v>24</v>
      </c>
      <c r="E66" s="22"/>
      <c r="F66" s="417">
        <v>60001.120000000003</v>
      </c>
      <c r="G66" s="437">
        <f t="shared" si="0"/>
        <v>550878.95000000019</v>
      </c>
      <c r="H66" s="51">
        <v>24.631</v>
      </c>
      <c r="I66" s="367" t="s">
        <v>92</v>
      </c>
      <c r="J66" s="110"/>
    </row>
    <row r="67" spans="1:13" ht="13.95" customHeight="1" x14ac:dyDescent="0.3">
      <c r="A67" s="119">
        <v>46249</v>
      </c>
      <c r="B67" s="233" t="s">
        <v>57</v>
      </c>
      <c r="C67" s="115" t="s">
        <v>1656</v>
      </c>
      <c r="D67" s="305" t="s">
        <v>8</v>
      </c>
      <c r="E67" s="22"/>
      <c r="F67" s="417">
        <v>60001.120000000003</v>
      </c>
      <c r="G67" s="437">
        <f t="shared" si="0"/>
        <v>490877.83000000019</v>
      </c>
      <c r="H67" s="51">
        <v>24.631</v>
      </c>
      <c r="I67" s="367" t="s">
        <v>92</v>
      </c>
      <c r="J67" s="110"/>
    </row>
    <row r="68" spans="1:13" ht="13.95" customHeight="1" x14ac:dyDescent="0.3">
      <c r="A68" s="119">
        <v>46249</v>
      </c>
      <c r="B68" s="233" t="s">
        <v>57</v>
      </c>
      <c r="C68" s="115" t="s">
        <v>1657</v>
      </c>
      <c r="D68" s="305" t="s">
        <v>3</v>
      </c>
      <c r="E68" s="22"/>
      <c r="F68" s="417">
        <v>60001.120000000003</v>
      </c>
      <c r="G68" s="437">
        <f t="shared" si="0"/>
        <v>430876.7100000002</v>
      </c>
      <c r="H68" s="51">
        <v>24.631</v>
      </c>
      <c r="I68" s="367" t="s">
        <v>92</v>
      </c>
      <c r="J68" s="110"/>
    </row>
    <row r="69" spans="1:13" ht="13.95" customHeight="1" x14ac:dyDescent="0.3">
      <c r="A69" s="119">
        <v>46249</v>
      </c>
      <c r="B69" s="233" t="s">
        <v>57</v>
      </c>
      <c r="C69" s="115" t="s">
        <v>1658</v>
      </c>
      <c r="D69" s="305" t="s">
        <v>117</v>
      </c>
      <c r="E69" s="22"/>
      <c r="F69" s="417">
        <v>76233.94</v>
      </c>
      <c r="G69" s="437">
        <f t="shared" si="0"/>
        <v>354642.77000000019</v>
      </c>
      <c r="H69" s="51">
        <v>33.392000000000003</v>
      </c>
      <c r="I69" s="367" t="s">
        <v>92</v>
      </c>
      <c r="J69" s="110"/>
    </row>
    <row r="70" spans="1:13" ht="13.95" customHeight="1" x14ac:dyDescent="0.3">
      <c r="A70" s="119">
        <v>46249</v>
      </c>
      <c r="B70" s="233" t="s">
        <v>57</v>
      </c>
      <c r="C70" s="115" t="s">
        <v>1659</v>
      </c>
      <c r="D70" s="305" t="s">
        <v>24</v>
      </c>
      <c r="E70" s="22"/>
      <c r="F70" s="417">
        <v>60001.120000000003</v>
      </c>
      <c r="G70" s="437">
        <f t="shared" si="0"/>
        <v>294641.6500000002</v>
      </c>
      <c r="H70" s="51">
        <v>24.631</v>
      </c>
      <c r="I70" s="367" t="s">
        <v>92</v>
      </c>
      <c r="J70" s="110"/>
    </row>
    <row r="71" spans="1:13" ht="13.95" customHeight="1" x14ac:dyDescent="0.3">
      <c r="A71" s="510" t="s">
        <v>694</v>
      </c>
      <c r="B71" s="510"/>
      <c r="C71" s="510"/>
      <c r="D71" s="510"/>
      <c r="E71" s="510"/>
      <c r="F71" s="510"/>
      <c r="G71" s="510"/>
      <c r="H71" s="540">
        <f>SUM(H35:H70)</f>
        <v>1433.4027000000006</v>
      </c>
      <c r="I71" s="541"/>
      <c r="J71" s="110"/>
    </row>
    <row r="72" spans="1:13" ht="13.95" customHeight="1" x14ac:dyDescent="0.3">
      <c r="A72" s="546" t="s">
        <v>1626</v>
      </c>
      <c r="B72" s="547"/>
      <c r="C72" s="547"/>
      <c r="D72" s="547"/>
      <c r="E72" s="547"/>
      <c r="F72" s="547"/>
      <c r="G72" s="547"/>
      <c r="H72" s="547"/>
      <c r="I72" s="548"/>
      <c r="J72" s="110"/>
      <c r="K72" s="513" t="s">
        <v>1667</v>
      </c>
      <c r="L72" s="514"/>
      <c r="M72" s="515"/>
    </row>
    <row r="73" spans="1:13" ht="13.95" customHeight="1" x14ac:dyDescent="0.3">
      <c r="A73" s="119">
        <v>46250</v>
      </c>
      <c r="B73" s="233" t="s">
        <v>57</v>
      </c>
      <c r="C73" s="115" t="s">
        <v>1660</v>
      </c>
      <c r="D73" s="305" t="s">
        <v>6</v>
      </c>
      <c r="E73" s="22"/>
      <c r="F73" s="417">
        <v>59999.4</v>
      </c>
      <c r="G73" s="437">
        <f>+G70+E73-F73</f>
        <v>234642.2500000002</v>
      </c>
      <c r="H73" s="51">
        <v>24.6</v>
      </c>
      <c r="I73" s="367" t="s">
        <v>92</v>
      </c>
      <c r="J73" s="110"/>
      <c r="K73" s="564" t="s">
        <v>34</v>
      </c>
      <c r="L73" s="565"/>
      <c r="M73" s="566"/>
    </row>
    <row r="74" spans="1:13" ht="13.95" customHeight="1" x14ac:dyDescent="0.3">
      <c r="A74" s="119">
        <v>46250</v>
      </c>
      <c r="B74" s="233" t="s">
        <v>57</v>
      </c>
      <c r="C74" s="115" t="s">
        <v>1661</v>
      </c>
      <c r="D74" s="305" t="s">
        <v>3</v>
      </c>
      <c r="E74" s="22"/>
      <c r="F74" s="417">
        <v>59999.4</v>
      </c>
      <c r="G74" s="437">
        <f t="shared" si="0"/>
        <v>174642.85000000021</v>
      </c>
      <c r="H74" s="51">
        <v>24.6</v>
      </c>
      <c r="I74" s="367" t="s">
        <v>92</v>
      </c>
      <c r="J74" s="110"/>
      <c r="K74" s="71" t="s">
        <v>32</v>
      </c>
      <c r="L74" s="43" t="s">
        <v>35</v>
      </c>
      <c r="M74" s="43" t="s">
        <v>33</v>
      </c>
    </row>
    <row r="75" spans="1:13" ht="13.95" customHeight="1" x14ac:dyDescent="0.3">
      <c r="A75" s="119">
        <v>46250</v>
      </c>
      <c r="B75" s="233" t="s">
        <v>57</v>
      </c>
      <c r="C75" s="115" t="s">
        <v>1662</v>
      </c>
      <c r="D75" s="305" t="s">
        <v>9</v>
      </c>
      <c r="E75" s="22"/>
      <c r="F75" s="417">
        <v>250379.54</v>
      </c>
      <c r="G75" s="435">
        <f t="shared" si="0"/>
        <v>-75736.689999999799</v>
      </c>
      <c r="H75" s="51">
        <v>109.91200000000001</v>
      </c>
      <c r="I75" s="367" t="s">
        <v>92</v>
      </c>
      <c r="J75" s="110"/>
      <c r="K75" s="39" t="s">
        <v>0</v>
      </c>
      <c r="L75" s="73" t="s">
        <v>92</v>
      </c>
      <c r="M75" s="26">
        <v>0</v>
      </c>
    </row>
    <row r="76" spans="1:13" ht="14.4" customHeight="1" x14ac:dyDescent="0.3">
      <c r="A76" s="119">
        <v>46251</v>
      </c>
      <c r="B76" s="233" t="s">
        <v>57</v>
      </c>
      <c r="C76" s="115" t="s">
        <v>1663</v>
      </c>
      <c r="D76" s="407" t="s">
        <v>117</v>
      </c>
      <c r="E76" s="22"/>
      <c r="F76" s="417">
        <v>41411.449999999997</v>
      </c>
      <c r="G76" s="435">
        <f t="shared" si="0"/>
        <v>-117148.1399999998</v>
      </c>
      <c r="H76" s="51">
        <v>18.146999999999998</v>
      </c>
      <c r="I76" s="367" t="s">
        <v>92</v>
      </c>
      <c r="J76" s="110"/>
      <c r="K76" s="69" t="s">
        <v>1</v>
      </c>
      <c r="L76" s="73" t="s">
        <v>92</v>
      </c>
      <c r="M76" s="42">
        <f>SUM(H97)</f>
        <v>73.510000000000005</v>
      </c>
    </row>
    <row r="77" spans="1:13" ht="13.95" customHeight="1" x14ac:dyDescent="0.3">
      <c r="A77" s="119">
        <v>46251</v>
      </c>
      <c r="B77" s="233" t="s">
        <v>57</v>
      </c>
      <c r="C77" s="115" t="s">
        <v>1664</v>
      </c>
      <c r="D77" s="305" t="s">
        <v>8</v>
      </c>
      <c r="E77" s="22"/>
      <c r="F77" s="417">
        <v>60000.05</v>
      </c>
      <c r="G77" s="435">
        <f t="shared" si="0"/>
        <v>-177148.1899999998</v>
      </c>
      <c r="H77" s="51">
        <v>24.6508</v>
      </c>
      <c r="I77" s="367" t="s">
        <v>92</v>
      </c>
      <c r="J77" s="110"/>
      <c r="K77" s="24" t="s">
        <v>27</v>
      </c>
      <c r="L77" s="73" t="s">
        <v>92</v>
      </c>
      <c r="M77" s="26">
        <f>SUM(H93)</f>
        <v>50.12</v>
      </c>
    </row>
    <row r="78" spans="1:13" ht="13.95" customHeight="1" x14ac:dyDescent="0.3">
      <c r="A78" s="119">
        <v>46251</v>
      </c>
      <c r="B78" s="233" t="s">
        <v>57</v>
      </c>
      <c r="C78" s="115" t="s">
        <v>1665</v>
      </c>
      <c r="D78" s="305" t="s">
        <v>3</v>
      </c>
      <c r="E78" s="22"/>
      <c r="F78" s="417">
        <v>60000.53</v>
      </c>
      <c r="G78" s="435">
        <f t="shared" ref="G78:G140" si="1">+G77+E78-F78</f>
        <v>-237148.7199999998</v>
      </c>
      <c r="H78" s="51">
        <v>24.651</v>
      </c>
      <c r="I78" s="367" t="s">
        <v>92</v>
      </c>
      <c r="J78" s="110"/>
      <c r="K78" s="126" t="s">
        <v>361</v>
      </c>
      <c r="L78" s="73" t="s">
        <v>92</v>
      </c>
      <c r="M78" s="80">
        <v>0</v>
      </c>
    </row>
    <row r="79" spans="1:13" ht="13.95" customHeight="1" x14ac:dyDescent="0.3">
      <c r="A79" s="119">
        <v>46251</v>
      </c>
      <c r="B79" s="233" t="s">
        <v>57</v>
      </c>
      <c r="C79" s="115" t="s">
        <v>1666</v>
      </c>
      <c r="D79" s="305" t="s">
        <v>30</v>
      </c>
      <c r="E79" s="22"/>
      <c r="F79" s="417">
        <v>990000.29</v>
      </c>
      <c r="G79" s="435">
        <f t="shared" si="1"/>
        <v>-1227149.0099999998</v>
      </c>
      <c r="H79" s="51">
        <v>406.738</v>
      </c>
      <c r="I79" s="367" t="s">
        <v>92</v>
      </c>
      <c r="J79" s="110"/>
      <c r="K79" s="391" t="s">
        <v>541</v>
      </c>
      <c r="L79" s="73" t="s">
        <v>92</v>
      </c>
      <c r="M79" s="80">
        <v>0</v>
      </c>
    </row>
    <row r="80" spans="1:13" ht="13.95" customHeight="1" x14ac:dyDescent="0.3">
      <c r="A80" s="119">
        <v>46252</v>
      </c>
      <c r="B80" s="233" t="s">
        <v>57</v>
      </c>
      <c r="C80" s="115" t="s">
        <v>1668</v>
      </c>
      <c r="D80" s="305" t="s">
        <v>3</v>
      </c>
      <c r="E80" s="22"/>
      <c r="F80" s="417">
        <v>60000.84</v>
      </c>
      <c r="G80" s="435">
        <f t="shared" si="1"/>
        <v>-1287149.8499999999</v>
      </c>
      <c r="H80" s="51">
        <v>24.640999999999998</v>
      </c>
      <c r="I80" s="367" t="s">
        <v>92</v>
      </c>
      <c r="J80" s="110"/>
      <c r="K80" s="69" t="s">
        <v>29</v>
      </c>
      <c r="L80" s="73" t="s">
        <v>92</v>
      </c>
      <c r="M80" s="26">
        <f>SUM(H89)</f>
        <v>71.191999999999993</v>
      </c>
    </row>
    <row r="81" spans="1:13" ht="13.95" customHeight="1" x14ac:dyDescent="0.3">
      <c r="A81" s="119">
        <v>46252</v>
      </c>
      <c r="B81" s="233" t="s">
        <v>57</v>
      </c>
      <c r="C81" s="115" t="s">
        <v>1669</v>
      </c>
      <c r="D81" s="305" t="s">
        <v>5</v>
      </c>
      <c r="E81" s="22"/>
      <c r="F81" s="417">
        <v>60000.84</v>
      </c>
      <c r="G81" s="435">
        <f t="shared" si="1"/>
        <v>-1347150.69</v>
      </c>
      <c r="H81" s="51">
        <v>24.640999999999998</v>
      </c>
      <c r="I81" s="367" t="s">
        <v>92</v>
      </c>
      <c r="J81" s="110"/>
      <c r="K81" s="39" t="s">
        <v>3</v>
      </c>
      <c r="L81" s="73" t="s">
        <v>92</v>
      </c>
      <c r="M81" s="26">
        <f>SUM(H74+H78+H80+H94+H99)</f>
        <v>123.12319999999998</v>
      </c>
    </row>
    <row r="82" spans="1:13" ht="13.95" customHeight="1" x14ac:dyDescent="0.3">
      <c r="A82" s="202">
        <v>46252</v>
      </c>
      <c r="B82" s="227" t="s">
        <v>60</v>
      </c>
      <c r="C82" s="203" t="s">
        <v>1670</v>
      </c>
      <c r="D82" s="308" t="s">
        <v>1218</v>
      </c>
      <c r="E82" s="370">
        <v>1500000</v>
      </c>
      <c r="F82" s="338"/>
      <c r="G82" s="436">
        <f t="shared" si="1"/>
        <v>152849.31000000006</v>
      </c>
      <c r="H82" s="201"/>
      <c r="I82" s="199" t="s">
        <v>1222</v>
      </c>
      <c r="J82" s="110"/>
      <c r="K82" s="51" t="s">
        <v>24</v>
      </c>
      <c r="L82" s="73" t="s">
        <v>92</v>
      </c>
      <c r="M82" s="26">
        <f>SUM(H83)</f>
        <v>73.111999999999995</v>
      </c>
    </row>
    <row r="83" spans="1:13" ht="13.95" customHeight="1" x14ac:dyDescent="0.3">
      <c r="A83" s="119">
        <v>46252</v>
      </c>
      <c r="B83" s="233" t="s">
        <v>57</v>
      </c>
      <c r="C83" s="115" t="s">
        <v>1671</v>
      </c>
      <c r="D83" s="305" t="s">
        <v>24</v>
      </c>
      <c r="E83" s="22"/>
      <c r="F83" s="417">
        <v>178027.72</v>
      </c>
      <c r="G83" s="435">
        <f t="shared" si="1"/>
        <v>-25178.409999999945</v>
      </c>
      <c r="H83" s="51">
        <v>73.111999999999995</v>
      </c>
      <c r="I83" s="367" t="s">
        <v>92</v>
      </c>
      <c r="J83" s="110"/>
      <c r="K83" s="39" t="s">
        <v>5</v>
      </c>
      <c r="L83" s="73" t="s">
        <v>92</v>
      </c>
      <c r="M83" s="26">
        <f>SUM(H81+H92)</f>
        <v>49.281999999999996</v>
      </c>
    </row>
    <row r="84" spans="1:13" ht="13.95" customHeight="1" x14ac:dyDescent="0.3">
      <c r="A84" s="119">
        <v>46252</v>
      </c>
      <c r="B84" s="233" t="s">
        <v>57</v>
      </c>
      <c r="C84" s="115" t="s">
        <v>1672</v>
      </c>
      <c r="D84" s="305" t="s">
        <v>22</v>
      </c>
      <c r="E84" s="22"/>
      <c r="F84" s="417">
        <v>990000.39</v>
      </c>
      <c r="G84" s="435">
        <f t="shared" si="1"/>
        <v>-1015178.7999999999</v>
      </c>
      <c r="H84" s="51">
        <v>406.57100000000003</v>
      </c>
      <c r="I84" s="367" t="s">
        <v>92</v>
      </c>
      <c r="J84" s="110"/>
      <c r="K84" s="69" t="s">
        <v>61</v>
      </c>
      <c r="L84" s="73" t="s">
        <v>92</v>
      </c>
      <c r="M84" s="26">
        <f>SUM(H87+H101)</f>
        <v>164.102</v>
      </c>
    </row>
    <row r="85" spans="1:13" ht="13.95" customHeight="1" x14ac:dyDescent="0.3">
      <c r="A85" s="119">
        <v>46253</v>
      </c>
      <c r="B85" s="233" t="s">
        <v>57</v>
      </c>
      <c r="C85" s="115" t="s">
        <v>1673</v>
      </c>
      <c r="D85" s="305" t="s">
        <v>8</v>
      </c>
      <c r="E85" s="22"/>
      <c r="F85" s="417">
        <v>59999.4</v>
      </c>
      <c r="G85" s="435">
        <f t="shared" si="1"/>
        <v>-1075178.2</v>
      </c>
      <c r="H85" s="51">
        <v>24.6</v>
      </c>
      <c r="I85" s="367" t="s">
        <v>92</v>
      </c>
      <c r="J85" s="110"/>
      <c r="K85" s="69" t="s">
        <v>22</v>
      </c>
      <c r="L85" s="73" t="s">
        <v>92</v>
      </c>
      <c r="M85" s="26">
        <f>SUM(H84+H96)</f>
        <v>529.52200000000005</v>
      </c>
    </row>
    <row r="86" spans="1:13" ht="13.95" customHeight="1" x14ac:dyDescent="0.3">
      <c r="A86" s="202">
        <v>46253</v>
      </c>
      <c r="B86" s="227" t="s">
        <v>60</v>
      </c>
      <c r="C86" s="203" t="s">
        <v>1674</v>
      </c>
      <c r="D86" s="308" t="s">
        <v>1218</v>
      </c>
      <c r="E86" s="370">
        <v>2000000</v>
      </c>
      <c r="F86" s="338"/>
      <c r="G86" s="436">
        <f t="shared" si="1"/>
        <v>924821.8</v>
      </c>
      <c r="H86" s="201"/>
      <c r="I86" s="199" t="s">
        <v>1222</v>
      </c>
      <c r="J86" s="110"/>
      <c r="K86" s="69" t="s">
        <v>6</v>
      </c>
      <c r="L86" s="73" t="s">
        <v>92</v>
      </c>
      <c r="M86" s="26">
        <f>SUM(H73+H88)</f>
        <v>49.241</v>
      </c>
    </row>
    <row r="87" spans="1:13" ht="13.95" customHeight="1" x14ac:dyDescent="0.3">
      <c r="A87" s="119">
        <v>46253</v>
      </c>
      <c r="B87" s="233" t="s">
        <v>57</v>
      </c>
      <c r="C87" s="115" t="s">
        <v>1675</v>
      </c>
      <c r="D87" s="305" t="s">
        <v>61</v>
      </c>
      <c r="E87" s="22"/>
      <c r="F87" s="417">
        <v>99999</v>
      </c>
      <c r="G87" s="437">
        <f t="shared" si="1"/>
        <v>824822.8</v>
      </c>
      <c r="H87" s="51">
        <v>41</v>
      </c>
      <c r="I87" s="367" t="s">
        <v>92</v>
      </c>
      <c r="J87" s="110"/>
      <c r="K87" s="69" t="s">
        <v>8</v>
      </c>
      <c r="L87" s="73" t="s">
        <v>92</v>
      </c>
      <c r="M87" s="26">
        <f>SUM(H77+H85+H91)</f>
        <v>71.840800000000002</v>
      </c>
    </row>
    <row r="88" spans="1:13" ht="13.95" customHeight="1" x14ac:dyDescent="0.3">
      <c r="A88" s="119">
        <v>46254</v>
      </c>
      <c r="B88" s="233" t="s">
        <v>57</v>
      </c>
      <c r="C88" s="115" t="s">
        <v>1676</v>
      </c>
      <c r="D88" s="305" t="s">
        <v>6</v>
      </c>
      <c r="E88" s="22"/>
      <c r="F88" s="417">
        <v>60000.84</v>
      </c>
      <c r="G88" s="437">
        <f t="shared" si="1"/>
        <v>764821.96000000008</v>
      </c>
      <c r="H88" s="51">
        <v>24.640999999999998</v>
      </c>
      <c r="I88" s="367" t="s">
        <v>92</v>
      </c>
      <c r="J88" s="110"/>
      <c r="K88" s="69" t="s">
        <v>9</v>
      </c>
      <c r="L88" s="73" t="s">
        <v>92</v>
      </c>
      <c r="M88" s="26">
        <f>SUM(H75)</f>
        <v>109.91200000000001</v>
      </c>
    </row>
    <row r="89" spans="1:13" ht="13.95" customHeight="1" x14ac:dyDescent="0.3">
      <c r="A89" s="119">
        <v>46254</v>
      </c>
      <c r="B89" s="233" t="s">
        <v>57</v>
      </c>
      <c r="C89" s="115" t="s">
        <v>1677</v>
      </c>
      <c r="D89" s="305" t="s">
        <v>26</v>
      </c>
      <c r="E89" s="22"/>
      <c r="F89" s="417">
        <v>173352.52</v>
      </c>
      <c r="G89" s="437">
        <f t="shared" si="1"/>
        <v>591469.44000000006</v>
      </c>
      <c r="H89" s="51">
        <v>71.191999999999993</v>
      </c>
      <c r="I89" s="367" t="s">
        <v>92</v>
      </c>
      <c r="J89" s="110"/>
      <c r="K89" s="69" t="s">
        <v>30</v>
      </c>
      <c r="L89" s="73" t="s">
        <v>92</v>
      </c>
      <c r="M89" s="26">
        <f>SUM(H79)</f>
        <v>406.738</v>
      </c>
    </row>
    <row r="90" spans="1:13" ht="13.95" customHeight="1" x14ac:dyDescent="0.3">
      <c r="A90" s="119">
        <v>46254</v>
      </c>
      <c r="B90" s="233" t="s">
        <v>57</v>
      </c>
      <c r="C90" s="115" t="s">
        <v>1678</v>
      </c>
      <c r="D90" s="305" t="s">
        <v>117</v>
      </c>
      <c r="E90" s="22"/>
      <c r="F90" s="417">
        <v>41245.199999999997</v>
      </c>
      <c r="G90" s="437">
        <f t="shared" si="1"/>
        <v>550224.24000000011</v>
      </c>
      <c r="H90" s="51">
        <v>18.09</v>
      </c>
      <c r="I90" s="367" t="s">
        <v>92</v>
      </c>
      <c r="J90" s="110"/>
      <c r="K90" s="39" t="s">
        <v>11</v>
      </c>
      <c r="L90" s="73" t="s">
        <v>92</v>
      </c>
      <c r="M90" s="26">
        <f>SUM(H76+H90+H95+H100)</f>
        <v>71.213999999999999</v>
      </c>
    </row>
    <row r="91" spans="1:13" ht="13.95" customHeight="1" x14ac:dyDescent="0.3">
      <c r="A91" s="119">
        <v>46254</v>
      </c>
      <c r="B91" s="233" t="s">
        <v>57</v>
      </c>
      <c r="C91" s="115" t="s">
        <v>1679</v>
      </c>
      <c r="D91" s="305" t="s">
        <v>8</v>
      </c>
      <c r="E91" s="22"/>
      <c r="F91" s="417">
        <v>55006.65</v>
      </c>
      <c r="G91" s="437">
        <f t="shared" si="1"/>
        <v>495217.59000000008</v>
      </c>
      <c r="H91" s="51">
        <v>22.59</v>
      </c>
      <c r="I91" s="367" t="s">
        <v>92</v>
      </c>
      <c r="J91" s="110"/>
      <c r="K91" s="540" t="s">
        <v>695</v>
      </c>
      <c r="L91" s="541"/>
      <c r="M91" s="148">
        <f>SUM(M75:M90)</f>
        <v>1842.9090000000001</v>
      </c>
    </row>
    <row r="92" spans="1:13" ht="13.95" customHeight="1" x14ac:dyDescent="0.3">
      <c r="A92" s="119">
        <v>46254</v>
      </c>
      <c r="B92" s="233" t="s">
        <v>57</v>
      </c>
      <c r="C92" s="115" t="s">
        <v>1680</v>
      </c>
      <c r="D92" s="305" t="s">
        <v>5</v>
      </c>
      <c r="E92" s="22"/>
      <c r="F92" s="417">
        <v>60000.84</v>
      </c>
      <c r="G92" s="437">
        <f t="shared" si="1"/>
        <v>435216.75000000012</v>
      </c>
      <c r="H92" s="51">
        <v>24.640999999999998</v>
      </c>
      <c r="I92" s="367" t="s">
        <v>92</v>
      </c>
      <c r="J92" s="110"/>
    </row>
    <row r="93" spans="1:13" ht="13.95" customHeight="1" x14ac:dyDescent="0.3">
      <c r="A93" s="119">
        <v>46254</v>
      </c>
      <c r="B93" s="233" t="s">
        <v>57</v>
      </c>
      <c r="C93" s="115" t="s">
        <v>1681</v>
      </c>
      <c r="D93" s="305" t="s">
        <v>27</v>
      </c>
      <c r="E93" s="22"/>
      <c r="F93" s="417">
        <v>122042.2</v>
      </c>
      <c r="G93" s="437">
        <f t="shared" si="1"/>
        <v>313174.5500000001</v>
      </c>
      <c r="H93" s="51">
        <v>50.12</v>
      </c>
      <c r="I93" s="367" t="s">
        <v>92</v>
      </c>
      <c r="J93" s="110"/>
    </row>
    <row r="94" spans="1:13" ht="13.95" customHeight="1" x14ac:dyDescent="0.3">
      <c r="A94" s="119">
        <v>46254</v>
      </c>
      <c r="B94" s="233" t="s">
        <v>57</v>
      </c>
      <c r="C94" s="115" t="s">
        <v>1682</v>
      </c>
      <c r="D94" s="305" t="s">
        <v>3</v>
      </c>
      <c r="E94" s="22"/>
      <c r="F94" s="417">
        <v>60000.84</v>
      </c>
      <c r="G94" s="437">
        <f t="shared" si="1"/>
        <v>253173.71000000011</v>
      </c>
      <c r="H94" s="51">
        <v>24.640999999999998</v>
      </c>
      <c r="I94" s="367" t="s">
        <v>92</v>
      </c>
      <c r="J94" s="110"/>
    </row>
    <row r="95" spans="1:13" ht="13.95" customHeight="1" x14ac:dyDescent="0.3">
      <c r="A95" s="119">
        <v>46255</v>
      </c>
      <c r="B95" s="233" t="s">
        <v>57</v>
      </c>
      <c r="C95" s="115" t="s">
        <v>1683</v>
      </c>
      <c r="D95" s="305" t="s">
        <v>117</v>
      </c>
      <c r="E95" s="22"/>
      <c r="F95" s="417">
        <v>36423</v>
      </c>
      <c r="G95" s="437">
        <f t="shared" si="1"/>
        <v>216750.71000000011</v>
      </c>
      <c r="H95" s="51">
        <v>15.975</v>
      </c>
      <c r="I95" s="367" t="s">
        <v>92</v>
      </c>
      <c r="J95" s="110"/>
    </row>
    <row r="96" spans="1:13" ht="13.95" customHeight="1" x14ac:dyDescent="0.3">
      <c r="A96" s="119">
        <v>46255</v>
      </c>
      <c r="B96" s="233" t="s">
        <v>57</v>
      </c>
      <c r="C96" s="115" t="s">
        <v>1684</v>
      </c>
      <c r="D96" s="305" t="s">
        <v>22</v>
      </c>
      <c r="E96" s="22"/>
      <c r="F96" s="417">
        <v>300000.44</v>
      </c>
      <c r="G96" s="435">
        <f t="shared" si="1"/>
        <v>-83249.729999999894</v>
      </c>
      <c r="H96" s="51">
        <v>122.95099999999999</v>
      </c>
      <c r="I96" s="367" t="s">
        <v>92</v>
      </c>
      <c r="J96" s="110"/>
    </row>
    <row r="97" spans="1:13" ht="13.95" customHeight="1" x14ac:dyDescent="0.3">
      <c r="A97" s="119">
        <v>46255</v>
      </c>
      <c r="B97" s="233" t="s">
        <v>57</v>
      </c>
      <c r="C97" s="115" t="s">
        <v>433</v>
      </c>
      <c r="D97" s="305" t="s">
        <v>1</v>
      </c>
      <c r="E97" s="22"/>
      <c r="F97" s="417">
        <v>179364.4</v>
      </c>
      <c r="G97" s="435">
        <f t="shared" si="1"/>
        <v>-262614.12999999989</v>
      </c>
      <c r="H97" s="51">
        <v>73.510000000000005</v>
      </c>
      <c r="I97" s="367" t="s">
        <v>92</v>
      </c>
      <c r="J97" s="110"/>
    </row>
    <row r="98" spans="1:13" ht="13.95" customHeight="1" x14ac:dyDescent="0.3">
      <c r="A98" s="202">
        <v>46255</v>
      </c>
      <c r="B98" s="227" t="s">
        <v>60</v>
      </c>
      <c r="C98" s="203" t="s">
        <v>1685</v>
      </c>
      <c r="D98" s="308" t="s">
        <v>1218</v>
      </c>
      <c r="E98" s="370">
        <v>1000000</v>
      </c>
      <c r="F98" s="338"/>
      <c r="G98" s="436">
        <f t="shared" si="1"/>
        <v>737385.87000000011</v>
      </c>
      <c r="H98" s="201"/>
      <c r="I98" s="199" t="s">
        <v>1222</v>
      </c>
      <c r="J98" s="110"/>
    </row>
    <row r="99" spans="1:13" ht="13.95" customHeight="1" x14ac:dyDescent="0.3">
      <c r="A99" s="119">
        <v>46255</v>
      </c>
      <c r="B99" s="233" t="s">
        <v>57</v>
      </c>
      <c r="C99" s="115" t="s">
        <v>1686</v>
      </c>
      <c r="D99" s="305" t="s">
        <v>3</v>
      </c>
      <c r="E99" s="22"/>
      <c r="F99" s="417">
        <v>60000.09</v>
      </c>
      <c r="G99" s="437">
        <f t="shared" si="1"/>
        <v>677385.78000000014</v>
      </c>
      <c r="H99" s="51">
        <v>24.590199999999999</v>
      </c>
      <c r="I99" s="367" t="s">
        <v>92</v>
      </c>
      <c r="J99" s="110"/>
    </row>
    <row r="100" spans="1:13" x14ac:dyDescent="0.3">
      <c r="A100" s="119">
        <v>46256</v>
      </c>
      <c r="B100" s="233" t="s">
        <v>57</v>
      </c>
      <c r="C100" s="115" t="s">
        <v>1687</v>
      </c>
      <c r="D100" s="305" t="s">
        <v>117</v>
      </c>
      <c r="E100" s="22"/>
      <c r="F100" s="374">
        <v>43267.55</v>
      </c>
      <c r="G100" s="437">
        <f t="shared" si="1"/>
        <v>634118.2300000001</v>
      </c>
      <c r="H100" s="51">
        <v>19.001999999999999</v>
      </c>
      <c r="I100" s="367" t="s">
        <v>92</v>
      </c>
      <c r="J100" s="110"/>
    </row>
    <row r="101" spans="1:13" x14ac:dyDescent="0.3">
      <c r="A101" s="119">
        <v>46256</v>
      </c>
      <c r="B101" s="233" t="s">
        <v>57</v>
      </c>
      <c r="C101" s="115" t="s">
        <v>1688</v>
      </c>
      <c r="D101" s="305" t="s">
        <v>61</v>
      </c>
      <c r="E101" s="22"/>
      <c r="F101" s="374">
        <v>299999.57</v>
      </c>
      <c r="G101" s="437">
        <f t="shared" si="1"/>
        <v>334118.66000000009</v>
      </c>
      <c r="H101" s="51">
        <v>123.102</v>
      </c>
      <c r="I101" s="367" t="s">
        <v>92</v>
      </c>
      <c r="J101" s="110"/>
    </row>
    <row r="102" spans="1:13" x14ac:dyDescent="0.3">
      <c r="A102" s="510" t="s">
        <v>694</v>
      </c>
      <c r="B102" s="510"/>
      <c r="C102" s="510"/>
      <c r="D102" s="510"/>
      <c r="E102" s="510"/>
      <c r="F102" s="510"/>
      <c r="G102" s="510"/>
      <c r="H102" s="540">
        <f>SUM(H73:H101)</f>
        <v>1842.9089999999999</v>
      </c>
      <c r="I102" s="541"/>
      <c r="J102" s="110"/>
    </row>
    <row r="103" spans="1:13" ht="15.6" x14ac:dyDescent="0.3">
      <c r="A103" s="546" t="s">
        <v>1667</v>
      </c>
      <c r="B103" s="547"/>
      <c r="C103" s="547"/>
      <c r="D103" s="547"/>
      <c r="E103" s="547"/>
      <c r="F103" s="547"/>
      <c r="G103" s="547"/>
      <c r="H103" s="547"/>
      <c r="I103" s="548"/>
      <c r="J103" s="110"/>
      <c r="K103" s="513" t="s">
        <v>1700</v>
      </c>
      <c r="L103" s="514"/>
      <c r="M103" s="515"/>
    </row>
    <row r="104" spans="1:13" x14ac:dyDescent="0.3">
      <c r="A104" s="119">
        <v>46257</v>
      </c>
      <c r="B104" s="233" t="s">
        <v>57</v>
      </c>
      <c r="C104" s="115" t="s">
        <v>1689</v>
      </c>
      <c r="D104" s="305" t="s">
        <v>6</v>
      </c>
      <c r="E104" s="22"/>
      <c r="F104" s="374">
        <v>59998.94</v>
      </c>
      <c r="G104" s="437">
        <f>+G101+E104-F104</f>
        <v>274119.72000000009</v>
      </c>
      <c r="H104" s="51">
        <v>24.62</v>
      </c>
      <c r="I104" s="367" t="s">
        <v>92</v>
      </c>
      <c r="J104" s="110"/>
      <c r="K104" s="564" t="s">
        <v>34</v>
      </c>
      <c r="L104" s="565"/>
      <c r="M104" s="566"/>
    </row>
    <row r="105" spans="1:13" x14ac:dyDescent="0.3">
      <c r="A105" s="119">
        <v>46257</v>
      </c>
      <c r="B105" s="233" t="s">
        <v>57</v>
      </c>
      <c r="C105" s="115" t="s">
        <v>1690</v>
      </c>
      <c r="D105" s="305" t="s">
        <v>5</v>
      </c>
      <c r="E105" s="22"/>
      <c r="F105" s="374">
        <v>59998.94</v>
      </c>
      <c r="G105" s="437">
        <f t="shared" si="1"/>
        <v>214120.78000000009</v>
      </c>
      <c r="H105" s="51">
        <v>24.62</v>
      </c>
      <c r="I105" s="367" t="s">
        <v>92</v>
      </c>
      <c r="J105" s="110"/>
      <c r="K105" s="71" t="s">
        <v>32</v>
      </c>
      <c r="L105" s="43" t="s">
        <v>35</v>
      </c>
      <c r="M105" s="43" t="s">
        <v>33</v>
      </c>
    </row>
    <row r="106" spans="1:13" x14ac:dyDescent="0.3">
      <c r="A106" s="119">
        <v>46257</v>
      </c>
      <c r="B106" s="233" t="s">
        <v>57</v>
      </c>
      <c r="C106" s="115" t="s">
        <v>1691</v>
      </c>
      <c r="D106" s="305" t="s">
        <v>117</v>
      </c>
      <c r="E106" s="22"/>
      <c r="F106" s="374">
        <v>47036.58</v>
      </c>
      <c r="G106" s="437">
        <f t="shared" si="1"/>
        <v>167084.20000000007</v>
      </c>
      <c r="H106" s="51">
        <v>20.611999999999998</v>
      </c>
      <c r="I106" s="367" t="s">
        <v>92</v>
      </c>
      <c r="J106" s="110"/>
      <c r="K106" s="39" t="s">
        <v>0</v>
      </c>
      <c r="L106" s="73" t="s">
        <v>92</v>
      </c>
      <c r="M106" s="26">
        <v>0</v>
      </c>
    </row>
    <row r="107" spans="1:13" x14ac:dyDescent="0.3">
      <c r="A107" s="119">
        <v>46257</v>
      </c>
      <c r="B107" s="233" t="s">
        <v>57</v>
      </c>
      <c r="C107" s="115" t="s">
        <v>1692</v>
      </c>
      <c r="D107" s="305" t="s">
        <v>8</v>
      </c>
      <c r="E107" s="22"/>
      <c r="F107" s="374">
        <v>59998.94</v>
      </c>
      <c r="G107" s="437">
        <f t="shared" si="1"/>
        <v>107085.26000000007</v>
      </c>
      <c r="H107" s="51">
        <v>24.62</v>
      </c>
      <c r="I107" s="367" t="s">
        <v>92</v>
      </c>
      <c r="J107" s="110"/>
      <c r="K107" s="69" t="s">
        <v>1</v>
      </c>
      <c r="L107" s="73" t="s">
        <v>92</v>
      </c>
      <c r="M107" s="42">
        <f>SUM(H130)</f>
        <v>65.662000000000006</v>
      </c>
    </row>
    <row r="108" spans="1:13" x14ac:dyDescent="0.3">
      <c r="A108" s="119">
        <v>46257</v>
      </c>
      <c r="B108" s="233" t="s">
        <v>57</v>
      </c>
      <c r="C108" s="115" t="s">
        <v>1693</v>
      </c>
      <c r="D108" s="305" t="s">
        <v>9</v>
      </c>
      <c r="E108" s="22"/>
      <c r="F108" s="374">
        <v>314493.83</v>
      </c>
      <c r="G108" s="435">
        <f t="shared" si="1"/>
        <v>-207408.56999999995</v>
      </c>
      <c r="H108" s="51">
        <v>137.815</v>
      </c>
      <c r="I108" s="367" t="s">
        <v>92</v>
      </c>
      <c r="J108" s="110"/>
      <c r="K108" s="24" t="s">
        <v>27</v>
      </c>
      <c r="L108" s="73" t="s">
        <v>92</v>
      </c>
      <c r="M108" s="26">
        <f>SUM(H116)</f>
        <v>20.5</v>
      </c>
    </row>
    <row r="109" spans="1:13" x14ac:dyDescent="0.3">
      <c r="A109" s="119">
        <v>46258</v>
      </c>
      <c r="B109" s="233" t="s">
        <v>57</v>
      </c>
      <c r="C109" s="115" t="s">
        <v>1694</v>
      </c>
      <c r="D109" s="305" t="s">
        <v>117</v>
      </c>
      <c r="E109" s="22"/>
      <c r="F109" s="374">
        <v>80327.360000000001</v>
      </c>
      <c r="G109" s="435">
        <f t="shared" si="1"/>
        <v>-287735.92999999993</v>
      </c>
      <c r="H109" s="51">
        <v>35.185000000000002</v>
      </c>
      <c r="I109" s="367" t="s">
        <v>92</v>
      </c>
      <c r="J109" s="110"/>
      <c r="K109" s="126" t="s">
        <v>361</v>
      </c>
      <c r="L109" s="73" t="s">
        <v>92</v>
      </c>
      <c r="M109" s="80">
        <v>0</v>
      </c>
    </row>
    <row r="110" spans="1:13" x14ac:dyDescent="0.3">
      <c r="A110" s="119">
        <v>46259</v>
      </c>
      <c r="B110" s="233" t="s">
        <v>57</v>
      </c>
      <c r="C110" s="115" t="s">
        <v>1695</v>
      </c>
      <c r="D110" s="305" t="s">
        <v>22</v>
      </c>
      <c r="E110" s="22"/>
      <c r="F110" s="374">
        <v>469202.63</v>
      </c>
      <c r="G110" s="435">
        <f t="shared" si="1"/>
        <v>-756938.55999999994</v>
      </c>
      <c r="H110" s="51">
        <v>192.375</v>
      </c>
      <c r="I110" s="367" t="s">
        <v>92</v>
      </c>
      <c r="J110" s="110"/>
      <c r="K110" s="391" t="s">
        <v>541</v>
      </c>
      <c r="L110" s="73" t="s">
        <v>92</v>
      </c>
      <c r="M110" s="80">
        <v>0</v>
      </c>
    </row>
    <row r="111" spans="1:13" x14ac:dyDescent="0.3">
      <c r="A111" s="119">
        <v>46259</v>
      </c>
      <c r="B111" s="233" t="s">
        <v>57</v>
      </c>
      <c r="C111" s="115" t="s">
        <v>1696</v>
      </c>
      <c r="D111" s="305" t="s">
        <v>26</v>
      </c>
      <c r="E111" s="22"/>
      <c r="F111" s="374">
        <v>149010.71</v>
      </c>
      <c r="G111" s="435">
        <f t="shared" si="1"/>
        <v>-905949.2699999999</v>
      </c>
      <c r="H111" s="51">
        <v>61.094999999999999</v>
      </c>
      <c r="I111" s="367" t="s">
        <v>92</v>
      </c>
      <c r="J111" s="110"/>
      <c r="K111" s="69" t="s">
        <v>29</v>
      </c>
      <c r="L111" s="73" t="s">
        <v>92</v>
      </c>
      <c r="M111" s="26">
        <f>SUM(H111)</f>
        <v>61.094999999999999</v>
      </c>
    </row>
    <row r="112" spans="1:13" x14ac:dyDescent="0.3">
      <c r="A112" s="119">
        <v>46259</v>
      </c>
      <c r="B112" s="233" t="s">
        <v>57</v>
      </c>
      <c r="C112" s="115" t="s">
        <v>1697</v>
      </c>
      <c r="D112" s="305" t="s">
        <v>117</v>
      </c>
      <c r="E112" s="22"/>
      <c r="F112" s="374">
        <v>45011.75</v>
      </c>
      <c r="G112" s="435">
        <f t="shared" si="1"/>
        <v>-950961.0199999999</v>
      </c>
      <c r="H112" s="51">
        <v>18.454999999999998</v>
      </c>
      <c r="I112" s="367" t="s">
        <v>92</v>
      </c>
      <c r="J112" s="110"/>
      <c r="K112" s="39" t="s">
        <v>3</v>
      </c>
      <c r="L112" s="73" t="s">
        <v>92</v>
      </c>
      <c r="M112" s="26">
        <f>SUM(H115+H119+H125+H128+H134)</f>
        <v>123.00000000000001</v>
      </c>
    </row>
    <row r="113" spans="1:13" x14ac:dyDescent="0.3">
      <c r="A113" s="119">
        <v>46259</v>
      </c>
      <c r="B113" s="233" t="s">
        <v>57</v>
      </c>
      <c r="C113" s="115" t="s">
        <v>1698</v>
      </c>
      <c r="D113" s="305" t="s">
        <v>8</v>
      </c>
      <c r="E113" s="22"/>
      <c r="F113" s="374">
        <v>59999.4</v>
      </c>
      <c r="G113" s="435">
        <f t="shared" si="1"/>
        <v>-1010960.4199999999</v>
      </c>
      <c r="H113" s="76">
        <v>24.6</v>
      </c>
      <c r="I113" s="367" t="s">
        <v>92</v>
      </c>
      <c r="J113" s="110"/>
      <c r="K113" s="51" t="s">
        <v>24</v>
      </c>
      <c r="L113" s="73" t="s">
        <v>92</v>
      </c>
      <c r="M113" s="26">
        <f>SUM(H120+H126)</f>
        <v>49.190200000000004</v>
      </c>
    </row>
    <row r="114" spans="1:13" x14ac:dyDescent="0.3">
      <c r="A114" s="119">
        <v>46259</v>
      </c>
      <c r="B114" s="233" t="s">
        <v>57</v>
      </c>
      <c r="C114" s="115" t="s">
        <v>1699</v>
      </c>
      <c r="D114" s="305" t="s">
        <v>6</v>
      </c>
      <c r="E114" s="22"/>
      <c r="F114" s="374">
        <v>59999.4</v>
      </c>
      <c r="G114" s="435">
        <f t="shared" si="1"/>
        <v>-1070959.8199999998</v>
      </c>
      <c r="H114" s="76">
        <v>24.6</v>
      </c>
      <c r="I114" s="367" t="s">
        <v>92</v>
      </c>
      <c r="J114" s="110"/>
      <c r="K114" s="39" t="s">
        <v>5</v>
      </c>
      <c r="L114" s="73" t="s">
        <v>92</v>
      </c>
      <c r="M114" s="26">
        <f>SUM(H105+H118+H135)</f>
        <v>73.84</v>
      </c>
    </row>
    <row r="115" spans="1:13" x14ac:dyDescent="0.3">
      <c r="A115" s="119">
        <v>46259</v>
      </c>
      <c r="B115" s="233" t="s">
        <v>57</v>
      </c>
      <c r="C115" s="115" t="s">
        <v>1701</v>
      </c>
      <c r="D115" s="305" t="s">
        <v>3</v>
      </c>
      <c r="E115" s="22"/>
      <c r="F115" s="374">
        <v>59999.4</v>
      </c>
      <c r="G115" s="435">
        <f t="shared" si="1"/>
        <v>-1130959.2199999997</v>
      </c>
      <c r="H115" s="76">
        <v>24.6</v>
      </c>
      <c r="I115" s="367" t="s">
        <v>92</v>
      </c>
      <c r="J115" s="110"/>
      <c r="K115" s="69" t="s">
        <v>61</v>
      </c>
      <c r="L115" s="73" t="s">
        <v>92</v>
      </c>
      <c r="M115" s="26">
        <f>SUM(H123+H136)</f>
        <v>323.08699999999999</v>
      </c>
    </row>
    <row r="116" spans="1:13" x14ac:dyDescent="0.3">
      <c r="A116" s="125">
        <v>46259</v>
      </c>
      <c r="B116" s="233" t="s">
        <v>57</v>
      </c>
      <c r="C116" s="115" t="s">
        <v>1702</v>
      </c>
      <c r="D116" s="305" t="s">
        <v>27</v>
      </c>
      <c r="E116" s="22"/>
      <c r="F116" s="374">
        <v>49999.5</v>
      </c>
      <c r="G116" s="435">
        <f t="shared" si="1"/>
        <v>-1180958.7199999997</v>
      </c>
      <c r="H116" s="76">
        <v>20.5</v>
      </c>
      <c r="I116" s="367" t="s">
        <v>92</v>
      </c>
      <c r="J116" s="110"/>
      <c r="K116" s="69" t="s">
        <v>22</v>
      </c>
      <c r="L116" s="73" t="s">
        <v>92</v>
      </c>
      <c r="M116" s="26">
        <f>SUM(H110)</f>
        <v>192.375</v>
      </c>
    </row>
    <row r="117" spans="1:13" x14ac:dyDescent="0.3">
      <c r="A117" s="202">
        <v>46259</v>
      </c>
      <c r="B117" s="227" t="s">
        <v>60</v>
      </c>
      <c r="C117" s="203" t="s">
        <v>1703</v>
      </c>
      <c r="D117" s="308" t="s">
        <v>1218</v>
      </c>
      <c r="E117" s="370">
        <v>2000000</v>
      </c>
      <c r="F117" s="339"/>
      <c r="G117" s="436">
        <f t="shared" si="1"/>
        <v>819041.28000000026</v>
      </c>
      <c r="H117" s="311"/>
      <c r="I117" s="199" t="s">
        <v>1222</v>
      </c>
      <c r="J117" s="110"/>
      <c r="K117" s="69" t="s">
        <v>6</v>
      </c>
      <c r="L117" s="73" t="s">
        <v>92</v>
      </c>
      <c r="M117" s="26">
        <f>SUM(H104+H114+H121+H127+H138)</f>
        <v>125.145</v>
      </c>
    </row>
    <row r="118" spans="1:13" x14ac:dyDescent="0.3">
      <c r="A118" s="119">
        <v>46259</v>
      </c>
      <c r="B118" s="233" t="s">
        <v>57</v>
      </c>
      <c r="C118" s="115" t="s">
        <v>1704</v>
      </c>
      <c r="D118" s="305" t="s">
        <v>5</v>
      </c>
      <c r="E118" s="22"/>
      <c r="F118" s="374">
        <v>59999.4</v>
      </c>
      <c r="G118" s="437">
        <f t="shared" si="1"/>
        <v>759041.88000000024</v>
      </c>
      <c r="H118" s="76">
        <v>24.6</v>
      </c>
      <c r="I118" s="367" t="s">
        <v>92</v>
      </c>
      <c r="J118" s="110"/>
      <c r="K118" s="69" t="s">
        <v>8</v>
      </c>
      <c r="L118" s="73" t="s">
        <v>92</v>
      </c>
      <c r="M118" s="26">
        <f>SUM(H107+H113+H124+H129+H132+H139)</f>
        <v>149.79499999999999</v>
      </c>
    </row>
    <row r="119" spans="1:13" x14ac:dyDescent="0.3">
      <c r="A119" s="119">
        <v>46259</v>
      </c>
      <c r="B119" s="233" t="s">
        <v>57</v>
      </c>
      <c r="C119" s="115" t="s">
        <v>1705</v>
      </c>
      <c r="D119" s="305" t="s">
        <v>3</v>
      </c>
      <c r="E119" s="22"/>
      <c r="F119" s="374">
        <v>59999.4</v>
      </c>
      <c r="G119" s="437">
        <f t="shared" si="1"/>
        <v>699042.48000000021</v>
      </c>
      <c r="H119" s="76">
        <v>24.6</v>
      </c>
      <c r="I119" s="367" t="s">
        <v>92</v>
      </c>
      <c r="J119" s="110"/>
      <c r="K119" s="69" t="s">
        <v>9</v>
      </c>
      <c r="L119" s="73" t="s">
        <v>92</v>
      </c>
      <c r="M119" s="26">
        <f>SUM(H108)</f>
        <v>137.815</v>
      </c>
    </row>
    <row r="120" spans="1:13" x14ac:dyDescent="0.3">
      <c r="A120" s="119">
        <v>46259</v>
      </c>
      <c r="B120" s="233" t="s">
        <v>57</v>
      </c>
      <c r="C120" s="115" t="s">
        <v>1706</v>
      </c>
      <c r="D120" s="305" t="s">
        <v>24</v>
      </c>
      <c r="E120" s="22"/>
      <c r="F120" s="374">
        <v>59999.89</v>
      </c>
      <c r="G120" s="437">
        <f t="shared" si="1"/>
        <v>639042.5900000002</v>
      </c>
      <c r="H120" s="76">
        <v>24.600200000000001</v>
      </c>
      <c r="I120" s="367" t="s">
        <v>92</v>
      </c>
      <c r="J120" s="110"/>
      <c r="K120" s="69" t="s">
        <v>30</v>
      </c>
      <c r="L120" s="73" t="s">
        <v>92</v>
      </c>
      <c r="M120" s="26">
        <v>0</v>
      </c>
    </row>
    <row r="121" spans="1:13" x14ac:dyDescent="0.3">
      <c r="A121" s="119">
        <v>46260</v>
      </c>
      <c r="B121" s="233" t="s">
        <v>57</v>
      </c>
      <c r="C121" s="115" t="s">
        <v>1707</v>
      </c>
      <c r="D121" s="305" t="s">
        <v>6</v>
      </c>
      <c r="E121" s="22"/>
      <c r="F121" s="374">
        <v>60000.84</v>
      </c>
      <c r="G121" s="437">
        <f t="shared" si="1"/>
        <v>579041.75000000023</v>
      </c>
      <c r="H121" s="76">
        <v>24.640999999999998</v>
      </c>
      <c r="I121" s="367" t="s">
        <v>92</v>
      </c>
      <c r="J121" s="110"/>
      <c r="K121" s="39" t="s">
        <v>11</v>
      </c>
      <c r="L121" s="73" t="s">
        <v>92</v>
      </c>
      <c r="M121" s="26">
        <f>SUM(H106+H109+H112+H122+H131+H133+H140)</f>
        <v>170.37899999999999</v>
      </c>
    </row>
    <row r="122" spans="1:13" x14ac:dyDescent="0.3">
      <c r="A122" s="119">
        <v>46260</v>
      </c>
      <c r="B122" s="233" t="s">
        <v>57</v>
      </c>
      <c r="C122" s="115" t="s">
        <v>1708</v>
      </c>
      <c r="D122" s="305" t="s">
        <v>117</v>
      </c>
      <c r="E122" s="22"/>
      <c r="F122" s="374">
        <v>48712.18</v>
      </c>
      <c r="G122" s="437">
        <f t="shared" si="1"/>
        <v>530329.57000000018</v>
      </c>
      <c r="H122" s="76">
        <v>20.004999999999999</v>
      </c>
      <c r="I122" s="367" t="s">
        <v>92</v>
      </c>
      <c r="J122" s="110"/>
      <c r="K122" s="540" t="s">
        <v>695</v>
      </c>
      <c r="L122" s="541"/>
      <c r="M122" s="148">
        <f>SUM(M106:M121)</f>
        <v>1491.8832</v>
      </c>
    </row>
    <row r="123" spans="1:13" x14ac:dyDescent="0.3">
      <c r="A123" s="119">
        <v>46260</v>
      </c>
      <c r="B123" s="233" t="s">
        <v>57</v>
      </c>
      <c r="C123" s="115" t="s">
        <v>1709</v>
      </c>
      <c r="D123" s="305" t="s">
        <v>61</v>
      </c>
      <c r="E123" s="22"/>
      <c r="F123" s="374">
        <v>376029.75</v>
      </c>
      <c r="G123" s="437">
        <f t="shared" si="1"/>
        <v>154299.82000000018</v>
      </c>
      <c r="H123" s="76">
        <v>154.42699999999999</v>
      </c>
      <c r="I123" s="367" t="s">
        <v>92</v>
      </c>
      <c r="J123" s="110"/>
    </row>
    <row r="124" spans="1:13" x14ac:dyDescent="0.3">
      <c r="A124" s="119">
        <v>46260</v>
      </c>
      <c r="B124" s="233" t="s">
        <v>57</v>
      </c>
      <c r="C124" s="115" t="s">
        <v>1710</v>
      </c>
      <c r="D124" s="305" t="s">
        <v>8</v>
      </c>
      <c r="E124" s="22"/>
      <c r="F124" s="374">
        <v>60000.84</v>
      </c>
      <c r="G124" s="437">
        <f t="shared" si="1"/>
        <v>94298.980000000185</v>
      </c>
      <c r="H124" s="76">
        <v>24.640999999999998</v>
      </c>
      <c r="I124" s="367" t="s">
        <v>92</v>
      </c>
      <c r="J124" s="110"/>
      <c r="K124" s="591" t="s">
        <v>1727</v>
      </c>
      <c r="L124" s="592"/>
      <c r="M124" s="593"/>
    </row>
    <row r="125" spans="1:13" x14ac:dyDescent="0.3">
      <c r="A125" s="119">
        <v>46261</v>
      </c>
      <c r="B125" s="233" t="s">
        <v>57</v>
      </c>
      <c r="C125" s="115" t="s">
        <v>1711</v>
      </c>
      <c r="D125" s="305" t="s">
        <v>3</v>
      </c>
      <c r="E125" s="22"/>
      <c r="F125" s="374">
        <v>59999.6</v>
      </c>
      <c r="G125" s="437">
        <f t="shared" si="1"/>
        <v>34299.380000000187</v>
      </c>
      <c r="H125" s="76">
        <v>24.59</v>
      </c>
      <c r="I125" s="367" t="s">
        <v>92</v>
      </c>
      <c r="J125" s="110"/>
      <c r="K125" s="428" t="s">
        <v>32</v>
      </c>
      <c r="L125" s="299" t="s">
        <v>35</v>
      </c>
      <c r="M125" s="299" t="s">
        <v>33</v>
      </c>
    </row>
    <row r="126" spans="1:13" x14ac:dyDescent="0.3">
      <c r="A126" s="119">
        <v>46261</v>
      </c>
      <c r="B126" s="233" t="s">
        <v>57</v>
      </c>
      <c r="C126" s="115" t="s">
        <v>1712</v>
      </c>
      <c r="D126" s="305" t="s">
        <v>24</v>
      </c>
      <c r="E126" s="22"/>
      <c r="F126" s="374">
        <v>59999.6</v>
      </c>
      <c r="G126" s="435">
        <f t="shared" si="1"/>
        <v>-25700.219999999812</v>
      </c>
      <c r="H126" s="76">
        <v>24.59</v>
      </c>
      <c r="I126" s="367" t="s">
        <v>92</v>
      </c>
      <c r="J126" s="110"/>
      <c r="K126" s="57" t="s">
        <v>0</v>
      </c>
      <c r="L126" s="73" t="s">
        <v>92</v>
      </c>
      <c r="M126" s="26">
        <f>SUM(M8+M37+M75+M106)</f>
        <v>48.965000000000003</v>
      </c>
    </row>
    <row r="127" spans="1:13" x14ac:dyDescent="0.3">
      <c r="A127" s="119">
        <v>46261</v>
      </c>
      <c r="B127" s="233" t="s">
        <v>57</v>
      </c>
      <c r="C127" s="115" t="s">
        <v>1713</v>
      </c>
      <c r="D127" s="305" t="s">
        <v>6</v>
      </c>
      <c r="E127" s="22"/>
      <c r="F127" s="374">
        <v>59999.6</v>
      </c>
      <c r="G127" s="435">
        <f t="shared" si="1"/>
        <v>-85699.819999999803</v>
      </c>
      <c r="H127" s="76">
        <v>24.59</v>
      </c>
      <c r="I127" s="367" t="s">
        <v>92</v>
      </c>
      <c r="J127" s="110"/>
      <c r="K127" s="57" t="s">
        <v>1</v>
      </c>
      <c r="L127" s="73" t="s">
        <v>92</v>
      </c>
      <c r="M127" s="42">
        <f>SUM(M9+M38+M76+M107)</f>
        <v>210.13700000000003</v>
      </c>
    </row>
    <row r="128" spans="1:13" x14ac:dyDescent="0.3">
      <c r="A128" s="119">
        <v>46261</v>
      </c>
      <c r="B128" s="233" t="s">
        <v>57</v>
      </c>
      <c r="C128" s="115" t="s">
        <v>1714</v>
      </c>
      <c r="D128" s="305" t="s">
        <v>3</v>
      </c>
      <c r="E128" s="22"/>
      <c r="F128" s="374">
        <v>59999.6</v>
      </c>
      <c r="G128" s="435">
        <f t="shared" si="1"/>
        <v>-145699.41999999981</v>
      </c>
      <c r="H128" s="76">
        <v>24.59</v>
      </c>
      <c r="I128" s="367" t="s">
        <v>92</v>
      </c>
      <c r="J128" s="110"/>
      <c r="K128" s="65" t="s">
        <v>27</v>
      </c>
      <c r="L128" s="73" t="s">
        <v>92</v>
      </c>
      <c r="M128" s="26">
        <f>SUM(M10+M39+M77+M108)</f>
        <v>152.33199999999999</v>
      </c>
    </row>
    <row r="129" spans="1:13" x14ac:dyDescent="0.3">
      <c r="A129" s="119">
        <v>46262</v>
      </c>
      <c r="B129" s="233" t="s">
        <v>57</v>
      </c>
      <c r="C129" s="115" t="s">
        <v>1715</v>
      </c>
      <c r="D129" s="305" t="s">
        <v>8</v>
      </c>
      <c r="E129" s="22"/>
      <c r="F129" s="374">
        <v>59998.94</v>
      </c>
      <c r="G129" s="435">
        <f t="shared" si="1"/>
        <v>-205698.35999999981</v>
      </c>
      <c r="H129" s="76">
        <v>24.62</v>
      </c>
      <c r="I129" s="367" t="s">
        <v>92</v>
      </c>
      <c r="J129" s="110"/>
      <c r="K129" s="51" t="s">
        <v>361</v>
      </c>
      <c r="L129" s="73" t="s">
        <v>92</v>
      </c>
      <c r="M129" s="80">
        <f>SUM(M11+M40+M78+M109)</f>
        <v>0</v>
      </c>
    </row>
    <row r="130" spans="1:13" x14ac:dyDescent="0.3">
      <c r="A130" s="119">
        <v>46262</v>
      </c>
      <c r="B130" s="233" t="s">
        <v>57</v>
      </c>
      <c r="C130" s="115" t="s">
        <v>1716</v>
      </c>
      <c r="D130" s="305" t="s">
        <v>1</v>
      </c>
      <c r="E130" s="22"/>
      <c r="F130" s="374">
        <v>160018.29</v>
      </c>
      <c r="G130" s="435">
        <f t="shared" si="1"/>
        <v>-365716.64999999979</v>
      </c>
      <c r="H130" s="76">
        <v>65.662000000000006</v>
      </c>
      <c r="I130" s="367" t="s">
        <v>92</v>
      </c>
      <c r="J130" s="110"/>
      <c r="K130" s="51" t="s">
        <v>541</v>
      </c>
      <c r="L130" s="73" t="s">
        <v>92</v>
      </c>
      <c r="M130" s="80">
        <f>SUM(M12+M41+M79+M110)</f>
        <v>0</v>
      </c>
    </row>
    <row r="131" spans="1:13" x14ac:dyDescent="0.3">
      <c r="A131" s="119">
        <v>46262</v>
      </c>
      <c r="B131" s="233" t="s">
        <v>57</v>
      </c>
      <c r="C131" s="115" t="s">
        <v>1717</v>
      </c>
      <c r="D131" s="305" t="s">
        <v>117</v>
      </c>
      <c r="E131" s="22"/>
      <c r="F131" s="374">
        <v>45540</v>
      </c>
      <c r="G131" s="435">
        <f t="shared" si="1"/>
        <v>-411256.64999999979</v>
      </c>
      <c r="H131" s="76">
        <v>20</v>
      </c>
      <c r="I131" s="367" t="s">
        <v>92</v>
      </c>
      <c r="J131" s="110"/>
      <c r="K131" s="57" t="s">
        <v>29</v>
      </c>
      <c r="L131" s="73" t="s">
        <v>92</v>
      </c>
      <c r="M131" s="26">
        <f>SUM(M13+M42+M80+M111)</f>
        <v>189.38399999999999</v>
      </c>
    </row>
    <row r="132" spans="1:13" x14ac:dyDescent="0.3">
      <c r="A132" s="119">
        <v>46263</v>
      </c>
      <c r="B132" s="233" t="s">
        <v>57</v>
      </c>
      <c r="C132" s="115" t="s">
        <v>1718</v>
      </c>
      <c r="D132" s="305" t="s">
        <v>8</v>
      </c>
      <c r="E132" s="22"/>
      <c r="F132" s="374">
        <v>59998.94</v>
      </c>
      <c r="G132" s="435">
        <f t="shared" si="1"/>
        <v>-471255.58999999979</v>
      </c>
      <c r="H132" s="76">
        <v>24.62</v>
      </c>
      <c r="I132" s="367" t="s">
        <v>92</v>
      </c>
      <c r="J132" s="110"/>
      <c r="K132" s="57" t="s">
        <v>3</v>
      </c>
      <c r="L132" s="73" t="s">
        <v>92</v>
      </c>
      <c r="M132" s="26">
        <f>SUM(M14+M43+M81+M112)</f>
        <v>369.2362</v>
      </c>
    </row>
    <row r="133" spans="1:13" x14ac:dyDescent="0.3">
      <c r="A133" s="119">
        <v>46263</v>
      </c>
      <c r="B133" s="233" t="s">
        <v>57</v>
      </c>
      <c r="C133" s="115" t="s">
        <v>1719</v>
      </c>
      <c r="D133" s="305" t="s">
        <v>117</v>
      </c>
      <c r="E133" s="22"/>
      <c r="F133" s="374">
        <v>42282.239999999998</v>
      </c>
      <c r="G133" s="435">
        <f t="shared" si="1"/>
        <v>-513537.82999999978</v>
      </c>
      <c r="H133" s="76">
        <v>18.48</v>
      </c>
      <c r="I133" s="367" t="s">
        <v>92</v>
      </c>
      <c r="J133" s="110"/>
      <c r="K133" s="51" t="s">
        <v>24</v>
      </c>
      <c r="L133" s="73" t="s">
        <v>92</v>
      </c>
      <c r="M133" s="26">
        <f>SUM(M44+M82+M113)</f>
        <v>196.20519999999999</v>
      </c>
    </row>
    <row r="134" spans="1:13" x14ac:dyDescent="0.3">
      <c r="A134" s="119">
        <v>46263</v>
      </c>
      <c r="B134" s="233" t="s">
        <v>57</v>
      </c>
      <c r="C134" s="115" t="s">
        <v>1720</v>
      </c>
      <c r="D134" s="305" t="s">
        <v>3</v>
      </c>
      <c r="E134" s="22"/>
      <c r="F134" s="374">
        <v>59998.94</v>
      </c>
      <c r="G134" s="435">
        <f t="shared" si="1"/>
        <v>-573536.76999999979</v>
      </c>
      <c r="H134" s="76">
        <v>24.62</v>
      </c>
      <c r="I134" s="367" t="s">
        <v>92</v>
      </c>
      <c r="J134" s="110"/>
      <c r="K134" s="57" t="s">
        <v>5</v>
      </c>
      <c r="L134" s="73" t="s">
        <v>92</v>
      </c>
      <c r="M134" s="26">
        <f>SUM(M15+M45+M83+M114)</f>
        <v>246.80500000000001</v>
      </c>
    </row>
    <row r="135" spans="1:13" x14ac:dyDescent="0.3">
      <c r="A135" s="119">
        <v>46263</v>
      </c>
      <c r="B135" s="233" t="s">
        <v>57</v>
      </c>
      <c r="C135" s="115" t="s">
        <v>1721</v>
      </c>
      <c r="D135" s="305" t="s">
        <v>5</v>
      </c>
      <c r="E135" s="22"/>
      <c r="F135" s="374">
        <v>59998.94</v>
      </c>
      <c r="G135" s="435">
        <f t="shared" si="1"/>
        <v>-633535.70999999973</v>
      </c>
      <c r="H135" s="76">
        <v>24.62</v>
      </c>
      <c r="I135" s="367" t="s">
        <v>92</v>
      </c>
      <c r="J135" s="110"/>
      <c r="K135" s="57" t="s">
        <v>61</v>
      </c>
      <c r="L135" s="73" t="s">
        <v>92</v>
      </c>
      <c r="M135" s="26">
        <f>SUM(M16+M46+M84+M115)</f>
        <v>814.33799999999997</v>
      </c>
    </row>
    <row r="136" spans="1:13" x14ac:dyDescent="0.3">
      <c r="A136" s="119">
        <v>46264</v>
      </c>
      <c r="B136" s="233" t="s">
        <v>57</v>
      </c>
      <c r="C136" s="115" t="s">
        <v>1722</v>
      </c>
      <c r="D136" s="305" t="s">
        <v>61</v>
      </c>
      <c r="E136" s="22"/>
      <c r="F136" s="374">
        <v>411530.4</v>
      </c>
      <c r="G136" s="435">
        <f t="shared" si="1"/>
        <v>-1045066.1099999998</v>
      </c>
      <c r="H136" s="76">
        <v>168.66</v>
      </c>
      <c r="I136" s="367" t="s">
        <v>92</v>
      </c>
      <c r="J136" s="110"/>
      <c r="K136" s="57" t="s">
        <v>22</v>
      </c>
      <c r="L136" s="73" t="s">
        <v>92</v>
      </c>
      <c r="M136" s="26">
        <f>SUM(M17+M47+M85+M116)</f>
        <v>1503</v>
      </c>
    </row>
    <row r="137" spans="1:13" x14ac:dyDescent="0.3">
      <c r="A137" s="202">
        <v>46265</v>
      </c>
      <c r="B137" s="227" t="s">
        <v>60</v>
      </c>
      <c r="C137" s="203" t="s">
        <v>1723</v>
      </c>
      <c r="D137" s="308" t="s">
        <v>1218</v>
      </c>
      <c r="E137" s="370">
        <v>1000000</v>
      </c>
      <c r="F137" s="339"/>
      <c r="G137" s="439">
        <f t="shared" si="1"/>
        <v>-45066.109999999753</v>
      </c>
      <c r="H137" s="311"/>
      <c r="I137" s="199" t="s">
        <v>1220</v>
      </c>
      <c r="J137" s="110"/>
      <c r="K137" s="57" t="s">
        <v>6</v>
      </c>
      <c r="L137" s="73" t="s">
        <v>92</v>
      </c>
      <c r="M137" s="26">
        <f>SUM(M18+M48+M86+M117)</f>
        <v>424.02569999999997</v>
      </c>
    </row>
    <row r="138" spans="1:13" x14ac:dyDescent="0.3">
      <c r="A138" s="119">
        <v>46265</v>
      </c>
      <c r="B138" s="233" t="s">
        <v>57</v>
      </c>
      <c r="C138" s="236" t="s">
        <v>1724</v>
      </c>
      <c r="D138" s="305" t="s">
        <v>6</v>
      </c>
      <c r="E138" s="22"/>
      <c r="F138" s="374">
        <v>64999.89</v>
      </c>
      <c r="G138" s="435">
        <f t="shared" si="1"/>
        <v>-110065.99999999975</v>
      </c>
      <c r="H138" s="76">
        <v>26.693999999999999</v>
      </c>
      <c r="I138" s="367" t="s">
        <v>92</v>
      </c>
      <c r="J138" s="110"/>
      <c r="K138" s="57" t="s">
        <v>8</v>
      </c>
      <c r="L138" s="73" t="s">
        <v>92</v>
      </c>
      <c r="M138" s="26">
        <f>SUM(M19+M49+M87+M118)</f>
        <v>414.31200000000001</v>
      </c>
    </row>
    <row r="139" spans="1:13" x14ac:dyDescent="0.3">
      <c r="A139" s="119">
        <v>46265</v>
      </c>
      <c r="B139" s="233" t="s">
        <v>57</v>
      </c>
      <c r="C139" s="236" t="s">
        <v>1725</v>
      </c>
      <c r="D139" s="305" t="s">
        <v>8</v>
      </c>
      <c r="E139" s="22"/>
      <c r="F139" s="374">
        <v>64999.89</v>
      </c>
      <c r="G139" s="435">
        <f t="shared" si="1"/>
        <v>-175065.88999999975</v>
      </c>
      <c r="H139" s="76">
        <v>26.693999999999999</v>
      </c>
      <c r="I139" s="367" t="s">
        <v>92</v>
      </c>
      <c r="J139" s="110"/>
      <c r="K139" s="57" t="s">
        <v>9</v>
      </c>
      <c r="L139" s="73" t="s">
        <v>92</v>
      </c>
      <c r="M139" s="26">
        <f>SUM(M20+M50+M88+M119)</f>
        <v>408.43599999999998</v>
      </c>
    </row>
    <row r="140" spans="1:13" x14ac:dyDescent="0.3">
      <c r="A140" s="119">
        <v>46265</v>
      </c>
      <c r="B140" s="233" t="s">
        <v>57</v>
      </c>
      <c r="C140" s="236" t="s">
        <v>1726</v>
      </c>
      <c r="D140" s="305" t="s">
        <v>117</v>
      </c>
      <c r="E140" s="22"/>
      <c r="F140" s="374">
        <v>85936.69</v>
      </c>
      <c r="G140" s="435">
        <f t="shared" si="1"/>
        <v>-261002.57999999975</v>
      </c>
      <c r="H140" s="76">
        <v>37.642000000000003</v>
      </c>
      <c r="I140" s="367" t="s">
        <v>92</v>
      </c>
      <c r="J140" s="110"/>
      <c r="K140" s="57" t="s">
        <v>30</v>
      </c>
      <c r="L140" s="73" t="s">
        <v>92</v>
      </c>
      <c r="M140" s="26">
        <f>SUM(M21+M51+M89+M120)</f>
        <v>1044.778</v>
      </c>
    </row>
    <row r="141" spans="1:13" ht="15" thickBot="1" x14ac:dyDescent="0.35">
      <c r="A141" s="510" t="s">
        <v>694</v>
      </c>
      <c r="B141" s="510"/>
      <c r="C141" s="510"/>
      <c r="D141" s="510"/>
      <c r="E141" s="510"/>
      <c r="F141" s="510"/>
      <c r="G141" s="510"/>
      <c r="H141" s="540">
        <f>SUM(H104:H140)</f>
        <v>1491.8831999999998</v>
      </c>
      <c r="I141" s="541"/>
      <c r="J141" s="110"/>
      <c r="K141" s="429" t="s">
        <v>11</v>
      </c>
      <c r="L141" s="134" t="s">
        <v>92</v>
      </c>
      <c r="M141" s="30">
        <f>SUM(M22+M52+M90+M121)</f>
        <v>465.99580000000003</v>
      </c>
    </row>
    <row r="142" spans="1:13" ht="27" customHeight="1" thickTop="1" thickBot="1" x14ac:dyDescent="0.35">
      <c r="A142" s="572" t="s">
        <v>28</v>
      </c>
      <c r="B142" s="572"/>
      <c r="C142" s="572"/>
      <c r="D142" s="572"/>
      <c r="E142" s="83">
        <f>SUM(E8:E141)</f>
        <v>15598920.98</v>
      </c>
      <c r="F142" s="84">
        <f>SUM(F8:F141)</f>
        <v>15859923.560000001</v>
      </c>
      <c r="G142" s="32">
        <f>E142-F142</f>
        <v>-261002.58000000007</v>
      </c>
      <c r="H142" s="75">
        <f>SUM(H33+H71+H102+H141)</f>
        <v>6487.9498999999996</v>
      </c>
      <c r="I142" s="36"/>
      <c r="J142"/>
      <c r="K142" s="555" t="s">
        <v>1225</v>
      </c>
      <c r="L142" s="556"/>
      <c r="M142" s="303">
        <f>SUM(M126:M141)</f>
        <v>6487.9498999999996</v>
      </c>
    </row>
    <row r="143" spans="1:13" ht="15" thickTop="1" x14ac:dyDescent="0.3">
      <c r="J143" s="3"/>
    </row>
    <row r="144" spans="1:13" x14ac:dyDescent="0.3">
      <c r="J144" s="3"/>
    </row>
    <row r="145" spans="1:10" ht="23.4" x14ac:dyDescent="0.45">
      <c r="A145" s="578" t="s">
        <v>1728</v>
      </c>
      <c r="B145" s="578"/>
      <c r="C145" s="578"/>
      <c r="D145" s="578"/>
      <c r="E145" s="578"/>
      <c r="F145" s="578"/>
      <c r="G145" s="578"/>
      <c r="H145" s="578"/>
      <c r="I145" s="578"/>
      <c r="J145" s="3"/>
    </row>
    <row r="146" spans="1:10" ht="18" x14ac:dyDescent="0.35">
      <c r="A146" s="580" t="s">
        <v>1575</v>
      </c>
      <c r="B146" s="580"/>
      <c r="C146" s="580"/>
      <c r="D146" s="580"/>
      <c r="E146" s="580"/>
      <c r="F146" s="580"/>
      <c r="G146" s="580"/>
      <c r="H146" s="580"/>
      <c r="I146" s="580"/>
      <c r="J146" s="3"/>
    </row>
    <row r="147" spans="1:10" ht="31.2" x14ac:dyDescent="0.3">
      <c r="A147" s="465" t="s">
        <v>13</v>
      </c>
      <c r="B147" s="465" t="s">
        <v>1340</v>
      </c>
      <c r="C147" s="465" t="s">
        <v>25</v>
      </c>
      <c r="D147" s="466" t="s">
        <v>18</v>
      </c>
      <c r="E147" s="467" t="s">
        <v>1573</v>
      </c>
      <c r="F147" s="468" t="s">
        <v>16</v>
      </c>
      <c r="G147" s="468" t="s">
        <v>17</v>
      </c>
      <c r="H147" s="469" t="s">
        <v>15</v>
      </c>
      <c r="I147" s="509" t="s">
        <v>1576</v>
      </c>
      <c r="J147" s="3"/>
    </row>
    <row r="148" spans="1:10" x14ac:dyDescent="0.3">
      <c r="A148" s="62"/>
      <c r="B148" s="63"/>
      <c r="C148" s="51"/>
      <c r="D148" s="26"/>
      <c r="E148" s="26"/>
      <c r="F148" s="26"/>
      <c r="G148" s="480"/>
      <c r="H148" s="26"/>
      <c r="I148" s="481"/>
      <c r="J148" s="3"/>
    </row>
    <row r="149" spans="1:10" x14ac:dyDescent="0.3">
      <c r="A149" s="62"/>
      <c r="B149" s="63"/>
      <c r="C149" s="51"/>
      <c r="D149" s="26"/>
      <c r="E149" s="26"/>
      <c r="F149" s="26"/>
      <c r="G149" s="480"/>
      <c r="H149" s="26"/>
      <c r="I149" s="481"/>
      <c r="J149" s="3"/>
    </row>
    <row r="150" spans="1:10" x14ac:dyDescent="0.3">
      <c r="A150" s="62"/>
      <c r="B150" s="63"/>
      <c r="C150" s="51"/>
      <c r="D150" s="26"/>
      <c r="E150" s="26"/>
      <c r="F150" s="26"/>
      <c r="G150" s="480"/>
      <c r="H150" s="26"/>
      <c r="I150" s="481"/>
      <c r="J150" s="3"/>
    </row>
    <row r="151" spans="1:10" x14ac:dyDescent="0.3">
      <c r="A151" s="62"/>
      <c r="B151" s="63"/>
      <c r="C151" s="51"/>
      <c r="D151" s="26"/>
      <c r="E151" s="26"/>
      <c r="F151" s="26"/>
      <c r="G151" s="480"/>
      <c r="H151" s="26"/>
      <c r="I151" s="481"/>
      <c r="J151" s="3"/>
    </row>
    <row r="152" spans="1:10" x14ac:dyDescent="0.3">
      <c r="A152" s="62"/>
      <c r="B152" s="63"/>
      <c r="C152" s="51"/>
      <c r="D152" s="26"/>
      <c r="E152" s="26"/>
      <c r="F152" s="26"/>
      <c r="G152" s="480"/>
      <c r="H152" s="26"/>
      <c r="I152" s="481"/>
      <c r="J152" s="3"/>
    </row>
    <row r="153" spans="1:10" x14ac:dyDescent="0.3">
      <c r="A153" s="62"/>
      <c r="B153" s="63"/>
      <c r="C153" s="51"/>
      <c r="D153" s="26"/>
      <c r="E153" s="26"/>
      <c r="F153" s="26"/>
      <c r="G153" s="480"/>
      <c r="H153" s="26"/>
      <c r="I153" s="481"/>
      <c r="J153" s="3"/>
    </row>
    <row r="154" spans="1:10" x14ac:dyDescent="0.3">
      <c r="A154" s="62"/>
      <c r="B154" s="63"/>
      <c r="C154" s="51"/>
      <c r="D154" s="26"/>
      <c r="E154" s="26"/>
      <c r="F154" s="26"/>
      <c r="G154" s="480"/>
      <c r="H154" s="26"/>
      <c r="I154" s="481"/>
      <c r="J154" s="3"/>
    </row>
    <row r="155" spans="1:10" x14ac:dyDescent="0.3">
      <c r="A155" s="62"/>
      <c r="B155" s="63"/>
      <c r="C155" s="51"/>
      <c r="D155" s="26"/>
      <c r="E155" s="26"/>
      <c r="F155" s="26"/>
      <c r="G155" s="480"/>
      <c r="H155" s="26"/>
      <c r="I155" s="482"/>
      <c r="J155" s="3"/>
    </row>
    <row r="156" spans="1:10" ht="15.6" x14ac:dyDescent="0.3">
      <c r="A156" s="575" t="s">
        <v>28</v>
      </c>
      <c r="B156" s="576"/>
      <c r="C156" s="576"/>
      <c r="D156" s="576"/>
      <c r="E156" s="576"/>
      <c r="F156" s="577"/>
      <c r="G156" s="32">
        <f>SUM(G148:G155)</f>
        <v>0</v>
      </c>
      <c r="H156" s="483">
        <f>SUM(H148:H155)</f>
        <v>0</v>
      </c>
      <c r="I156" s="36"/>
      <c r="J156" s="3"/>
    </row>
    <row r="157" spans="1:10" x14ac:dyDescent="0.3">
      <c r="J157" s="3"/>
    </row>
    <row r="158" spans="1:10" x14ac:dyDescent="0.3">
      <c r="J158" s="3"/>
    </row>
    <row r="159" spans="1:10" x14ac:dyDescent="0.3">
      <c r="J159" s="3"/>
    </row>
    <row r="160" spans="1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  <row r="315" spans="10:10" x14ac:dyDescent="0.3">
      <c r="J315" s="3"/>
    </row>
    <row r="316" spans="10:10" x14ac:dyDescent="0.3">
      <c r="J316" s="3"/>
    </row>
    <row r="317" spans="10:10" x14ac:dyDescent="0.3">
      <c r="J317" s="3"/>
    </row>
    <row r="318" spans="10:10" x14ac:dyDescent="0.3">
      <c r="J318" s="3"/>
    </row>
    <row r="319" spans="10:10" x14ac:dyDescent="0.3">
      <c r="J319" s="3"/>
    </row>
    <row r="320" spans="10:10" x14ac:dyDescent="0.3">
      <c r="J320" s="3"/>
    </row>
    <row r="321" spans="10:10" x14ac:dyDescent="0.3">
      <c r="J321" s="3"/>
    </row>
    <row r="322" spans="10:10" x14ac:dyDescent="0.3">
      <c r="J322" s="3"/>
    </row>
    <row r="323" spans="10:10" x14ac:dyDescent="0.3">
      <c r="J323" s="3"/>
    </row>
    <row r="324" spans="10:10" x14ac:dyDescent="0.3">
      <c r="J324" s="3"/>
    </row>
    <row r="325" spans="10:10" x14ac:dyDescent="0.3">
      <c r="J325" s="3"/>
    </row>
    <row r="326" spans="10:10" x14ac:dyDescent="0.3">
      <c r="J326" s="3"/>
    </row>
    <row r="327" spans="10:10" x14ac:dyDescent="0.3">
      <c r="J327" s="3"/>
    </row>
    <row r="328" spans="10:10" x14ac:dyDescent="0.3">
      <c r="J328" s="3"/>
    </row>
    <row r="329" spans="10:10" x14ac:dyDescent="0.3">
      <c r="J329" s="3"/>
    </row>
    <row r="330" spans="10:10" x14ac:dyDescent="0.3">
      <c r="J330" s="3"/>
    </row>
    <row r="331" spans="10:10" x14ac:dyDescent="0.3">
      <c r="J331" s="3"/>
    </row>
    <row r="332" spans="10:10" x14ac:dyDescent="0.3">
      <c r="J332" s="3"/>
    </row>
    <row r="333" spans="10:10" x14ac:dyDescent="0.3">
      <c r="J333" s="3"/>
    </row>
    <row r="334" spans="10:10" x14ac:dyDescent="0.3">
      <c r="J334" s="3"/>
    </row>
    <row r="335" spans="10:10" x14ac:dyDescent="0.3">
      <c r="J335" s="3"/>
    </row>
    <row r="336" spans="10:10" x14ac:dyDescent="0.3">
      <c r="J336" s="3"/>
    </row>
    <row r="337" spans="10:10" x14ac:dyDescent="0.3">
      <c r="J337" s="3"/>
    </row>
    <row r="338" spans="10:10" x14ac:dyDescent="0.3">
      <c r="J338" s="3"/>
    </row>
    <row r="339" spans="10:10" x14ac:dyDescent="0.3">
      <c r="J339" s="3"/>
    </row>
    <row r="340" spans="10:10" x14ac:dyDescent="0.3">
      <c r="J340" s="3"/>
    </row>
    <row r="341" spans="10:10" x14ac:dyDescent="0.3">
      <c r="J341" s="3"/>
    </row>
    <row r="342" spans="10:10" x14ac:dyDescent="0.3">
      <c r="J342" s="3"/>
    </row>
    <row r="343" spans="10:10" x14ac:dyDescent="0.3">
      <c r="J343" s="3"/>
    </row>
    <row r="344" spans="10:10" x14ac:dyDescent="0.3">
      <c r="J344" s="3"/>
    </row>
  </sheetData>
  <mergeCells count="31">
    <mergeCell ref="K104:M104"/>
    <mergeCell ref="K122:L122"/>
    <mergeCell ref="K124:M124"/>
    <mergeCell ref="K142:L142"/>
    <mergeCell ref="K72:M72"/>
    <mergeCell ref="K73:M73"/>
    <mergeCell ref="K53:L53"/>
    <mergeCell ref="K91:L91"/>
    <mergeCell ref="K103:M103"/>
    <mergeCell ref="K35:M35"/>
    <mergeCell ref="A71:G71"/>
    <mergeCell ref="H71:I71"/>
    <mergeCell ref="K34:M34"/>
    <mergeCell ref="K5:M5"/>
    <mergeCell ref="K6:M6"/>
    <mergeCell ref="K23:L23"/>
    <mergeCell ref="A5:I5"/>
    <mergeCell ref="A6:I6"/>
    <mergeCell ref="A145:I145"/>
    <mergeCell ref="A146:I146"/>
    <mergeCell ref="A156:F156"/>
    <mergeCell ref="A33:G33"/>
    <mergeCell ref="H33:I33"/>
    <mergeCell ref="A34:I34"/>
    <mergeCell ref="A142:D142"/>
    <mergeCell ref="A72:I72"/>
    <mergeCell ref="A102:G102"/>
    <mergeCell ref="H102:I102"/>
    <mergeCell ref="A103:I103"/>
    <mergeCell ref="A141:G141"/>
    <mergeCell ref="H141:I14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EADD-1F05-47A1-9B44-E7D34A8FE24A}">
  <dimension ref="A1:M314"/>
  <sheetViews>
    <sheetView topLeftCell="A89" workbookViewId="0">
      <selection activeCell="H113" sqref="H113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.44140625" bestFit="1" customWidth="1"/>
    <col min="5" max="5" width="20.6640625" customWidth="1"/>
    <col min="6" max="6" width="16.6640625" bestFit="1" customWidth="1"/>
    <col min="7" max="7" width="15.6640625" customWidth="1"/>
    <col min="8" max="8" width="9" bestFit="1" customWidth="1"/>
    <col min="9" max="9" width="30.5546875" style="3" customWidth="1"/>
    <col min="10" max="10" width="6.33203125" style="72" customWidth="1"/>
    <col min="11" max="11" width="17.5546875" customWidth="1"/>
    <col min="12" max="12" width="16.44140625" customWidth="1"/>
    <col min="13" max="13" width="14.44140625" customWidth="1"/>
  </cols>
  <sheetData>
    <row r="1" spans="1:13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3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3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3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3" ht="23.4" x14ac:dyDescent="0.45">
      <c r="A5" s="519" t="s">
        <v>1554</v>
      </c>
      <c r="B5" s="519"/>
      <c r="C5" s="519"/>
      <c r="D5" s="519"/>
      <c r="E5" s="519"/>
      <c r="F5" s="519"/>
      <c r="G5" s="519"/>
      <c r="H5" s="519"/>
      <c r="I5" s="519"/>
      <c r="J5" s="113"/>
      <c r="K5" s="513" t="s">
        <v>1553</v>
      </c>
      <c r="L5" s="514"/>
      <c r="M5" s="515"/>
    </row>
    <row r="6" spans="1:13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64" t="s">
        <v>34</v>
      </c>
      <c r="L6" s="565"/>
      <c r="M6" s="566"/>
    </row>
    <row r="7" spans="1:13" x14ac:dyDescent="0.3">
      <c r="A7" s="33" t="s">
        <v>13</v>
      </c>
      <c r="B7" s="33" t="s">
        <v>1340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8.600000000000001" customHeight="1" x14ac:dyDescent="0.3">
      <c r="A8" s="54">
        <v>46203</v>
      </c>
      <c r="B8" s="54"/>
      <c r="C8" s="13" t="s">
        <v>21</v>
      </c>
      <c r="D8" s="13"/>
      <c r="E8" s="67"/>
      <c r="F8" s="67"/>
      <c r="G8" s="67">
        <f>+E8-F8</f>
        <v>0</v>
      </c>
      <c r="H8" s="36"/>
      <c r="I8" s="105"/>
      <c r="J8" s="5"/>
      <c r="K8" s="39" t="s">
        <v>0</v>
      </c>
      <c r="L8" s="73" t="s">
        <v>92</v>
      </c>
      <c r="M8" s="26">
        <v>0</v>
      </c>
    </row>
    <row r="9" spans="1:13" s="6" customFormat="1" ht="16.2" customHeight="1" x14ac:dyDescent="0.3">
      <c r="A9" s="82"/>
      <c r="B9" s="50"/>
      <c r="C9" s="49"/>
      <c r="D9" s="15"/>
      <c r="E9" s="11"/>
      <c r="F9" s="374"/>
      <c r="G9" s="412"/>
      <c r="H9" s="76"/>
      <c r="I9" s="367"/>
      <c r="J9" s="110"/>
      <c r="K9" s="69" t="s">
        <v>1</v>
      </c>
      <c r="L9" s="73" t="s">
        <v>92</v>
      </c>
      <c r="M9" s="42">
        <v>0</v>
      </c>
    </row>
    <row r="10" spans="1:13" x14ac:dyDescent="0.3">
      <c r="A10" s="363"/>
      <c r="B10" s="363"/>
      <c r="C10" s="406"/>
      <c r="D10" s="407"/>
      <c r="E10" s="22"/>
      <c r="F10" s="374"/>
      <c r="G10" s="412"/>
      <c r="H10" s="76"/>
      <c r="I10" s="367"/>
      <c r="J10" s="110"/>
      <c r="K10" s="24" t="s">
        <v>27</v>
      </c>
      <c r="L10" s="73" t="s">
        <v>92</v>
      </c>
      <c r="M10" s="26">
        <v>0</v>
      </c>
    </row>
    <row r="11" spans="1:13" x14ac:dyDescent="0.3">
      <c r="A11" s="363"/>
      <c r="B11" s="363"/>
      <c r="C11" s="406"/>
      <c r="D11" s="407"/>
      <c r="E11" s="22"/>
      <c r="F11" s="374"/>
      <c r="G11" s="412"/>
      <c r="H11" s="76"/>
      <c r="I11" s="367"/>
      <c r="J11" s="110"/>
      <c r="K11" s="126" t="s">
        <v>429</v>
      </c>
      <c r="L11" s="73" t="s">
        <v>92</v>
      </c>
      <c r="M11" s="80">
        <f>SUM(H12+H18+H23+H36+H37+H49)</f>
        <v>0</v>
      </c>
    </row>
    <row r="12" spans="1:13" x14ac:dyDescent="0.3">
      <c r="A12" s="363"/>
      <c r="B12" s="363"/>
      <c r="C12" s="406"/>
      <c r="D12" s="305"/>
      <c r="E12" s="22"/>
      <c r="F12" s="374"/>
      <c r="G12" s="413"/>
      <c r="H12" s="414"/>
      <c r="I12" s="367"/>
      <c r="J12" s="110"/>
      <c r="K12" s="126" t="s">
        <v>62</v>
      </c>
      <c r="L12" s="73" t="s">
        <v>92</v>
      </c>
      <c r="M12" s="80">
        <f>SUM(H16+H33+H41+H53)</f>
        <v>0</v>
      </c>
    </row>
    <row r="13" spans="1:13" x14ac:dyDescent="0.3">
      <c r="A13" s="363"/>
      <c r="B13" s="363"/>
      <c r="C13" s="406"/>
      <c r="D13" s="408"/>
      <c r="E13" s="22"/>
      <c r="F13" s="374"/>
      <c r="G13" s="413"/>
      <c r="H13" s="76"/>
      <c r="I13" s="367"/>
      <c r="J13" s="110"/>
      <c r="K13" s="126" t="s">
        <v>361</v>
      </c>
      <c r="L13" s="73" t="s">
        <v>92</v>
      </c>
      <c r="M13" s="80">
        <v>0</v>
      </c>
    </row>
    <row r="14" spans="1:13" x14ac:dyDescent="0.3">
      <c r="A14" s="363"/>
      <c r="B14" s="363"/>
      <c r="C14" s="406"/>
      <c r="D14" s="305"/>
      <c r="E14" s="22"/>
      <c r="F14" s="374"/>
      <c r="G14" s="413"/>
      <c r="H14" s="76"/>
      <c r="I14" s="367"/>
      <c r="J14" s="110"/>
      <c r="K14" s="391" t="s">
        <v>541</v>
      </c>
      <c r="L14" s="73" t="s">
        <v>92</v>
      </c>
      <c r="M14" s="80">
        <f>SUM(H46)</f>
        <v>0</v>
      </c>
    </row>
    <row r="15" spans="1:13" x14ac:dyDescent="0.3">
      <c r="A15" s="363"/>
      <c r="B15" s="363"/>
      <c r="C15" s="406"/>
      <c r="D15" s="305"/>
      <c r="E15" s="22"/>
      <c r="F15" s="374"/>
      <c r="G15" s="413"/>
      <c r="H15" s="76"/>
      <c r="I15" s="367"/>
      <c r="J15" s="110"/>
      <c r="K15" s="69" t="s">
        <v>24</v>
      </c>
      <c r="L15" s="73" t="s">
        <v>92</v>
      </c>
      <c r="M15" s="26">
        <v>0</v>
      </c>
    </row>
    <row r="16" spans="1:13" x14ac:dyDescent="0.3">
      <c r="A16" s="363"/>
      <c r="B16" s="363"/>
      <c r="C16" s="406"/>
      <c r="D16" s="305"/>
      <c r="E16" s="22"/>
      <c r="F16" s="374"/>
      <c r="G16" s="412"/>
      <c r="H16" s="76"/>
      <c r="I16" s="367"/>
      <c r="J16" s="110"/>
      <c r="K16" s="69" t="s">
        <v>29</v>
      </c>
      <c r="L16" s="73" t="s">
        <v>92</v>
      </c>
      <c r="M16" s="26">
        <f>SUM(H13+H39+H56)</f>
        <v>0</v>
      </c>
    </row>
    <row r="17" spans="1:13" x14ac:dyDescent="0.3">
      <c r="A17" s="363"/>
      <c r="B17" s="363"/>
      <c r="C17" s="406"/>
      <c r="D17" s="305"/>
      <c r="E17" s="22"/>
      <c r="F17" s="374"/>
      <c r="G17" s="412"/>
      <c r="H17" s="76"/>
      <c r="I17" s="367"/>
      <c r="J17" s="110"/>
      <c r="K17" s="69" t="s">
        <v>3</v>
      </c>
      <c r="L17" s="73" t="s">
        <v>92</v>
      </c>
      <c r="M17" s="26">
        <f>SUM(H17+H34+H48+H55)</f>
        <v>0</v>
      </c>
    </row>
    <row r="18" spans="1:13" x14ac:dyDescent="0.3">
      <c r="A18" s="363"/>
      <c r="B18" s="363"/>
      <c r="C18" s="406"/>
      <c r="D18" s="305"/>
      <c r="E18" s="22"/>
      <c r="F18" s="374"/>
      <c r="G18" s="412"/>
      <c r="H18" s="76"/>
      <c r="I18" s="367"/>
      <c r="J18" s="110"/>
      <c r="K18" s="69" t="s">
        <v>5</v>
      </c>
      <c r="L18" s="73" t="s">
        <v>92</v>
      </c>
      <c r="M18" s="26">
        <f>SUM(H10+H24+H45+H50+H51)</f>
        <v>0</v>
      </c>
    </row>
    <row r="19" spans="1:13" x14ac:dyDescent="0.3">
      <c r="A19" s="363"/>
      <c r="B19" s="363"/>
      <c r="C19" s="406"/>
      <c r="D19" s="305"/>
      <c r="E19" s="22"/>
      <c r="F19" s="374"/>
      <c r="G19" s="412"/>
      <c r="H19" s="76"/>
      <c r="I19" s="367"/>
      <c r="J19" s="110"/>
      <c r="K19" s="69" t="s">
        <v>61</v>
      </c>
      <c r="L19" s="73" t="s">
        <v>92</v>
      </c>
      <c r="M19" s="26">
        <f>SUM(H8+H42)</f>
        <v>0</v>
      </c>
    </row>
    <row r="20" spans="1:13" x14ac:dyDescent="0.3">
      <c r="A20" s="363"/>
      <c r="B20" s="363"/>
      <c r="C20" s="406"/>
      <c r="D20" s="305"/>
      <c r="E20" s="22"/>
      <c r="F20" s="374"/>
      <c r="G20" s="412"/>
      <c r="H20" s="76"/>
      <c r="I20" s="367"/>
      <c r="J20" s="110"/>
      <c r="K20" s="69" t="s">
        <v>22</v>
      </c>
      <c r="L20" s="73" t="s">
        <v>92</v>
      </c>
      <c r="M20" s="26">
        <f>SUM(H15)</f>
        <v>0</v>
      </c>
    </row>
    <row r="21" spans="1:13" x14ac:dyDescent="0.3">
      <c r="A21" s="409"/>
      <c r="B21" s="409"/>
      <c r="C21" s="410"/>
      <c r="D21" s="407"/>
      <c r="E21" s="22"/>
      <c r="F21" s="374"/>
      <c r="G21" s="412"/>
      <c r="H21" s="76"/>
      <c r="I21" s="367"/>
      <c r="J21" s="110"/>
      <c r="K21" s="69" t="s">
        <v>6</v>
      </c>
      <c r="L21" s="73" t="s">
        <v>92</v>
      </c>
      <c r="M21" s="26">
        <f>SUM(H14+H31+H54)</f>
        <v>0</v>
      </c>
    </row>
    <row r="22" spans="1:13" x14ac:dyDescent="0.3">
      <c r="A22" s="409"/>
      <c r="B22" s="409"/>
      <c r="C22" s="410"/>
      <c r="D22" s="407"/>
      <c r="E22" s="22"/>
      <c r="F22" s="374"/>
      <c r="G22" s="415"/>
      <c r="H22" s="414"/>
      <c r="I22" s="367"/>
      <c r="J22" s="110"/>
      <c r="K22" s="69" t="s">
        <v>8</v>
      </c>
      <c r="L22" s="73" t="s">
        <v>92</v>
      </c>
      <c r="M22" s="26">
        <f>SUM(H26+H40+H52)</f>
        <v>0</v>
      </c>
    </row>
    <row r="23" spans="1:13" x14ac:dyDescent="0.3">
      <c r="A23" s="409"/>
      <c r="B23" s="409"/>
      <c r="C23" s="410"/>
      <c r="D23" s="407"/>
      <c r="E23" s="22"/>
      <c r="F23" s="374"/>
      <c r="G23" s="415"/>
      <c r="H23" s="76"/>
      <c r="I23" s="367"/>
      <c r="J23" s="110"/>
      <c r="K23" s="69" t="s">
        <v>9</v>
      </c>
      <c r="L23" s="73" t="s">
        <v>92</v>
      </c>
      <c r="M23" s="26">
        <f>SUM(H19+H29)</f>
        <v>0</v>
      </c>
    </row>
    <row r="24" spans="1:13" x14ac:dyDescent="0.3">
      <c r="A24" s="409"/>
      <c r="B24" s="409"/>
      <c r="C24" s="410"/>
      <c r="D24" s="407"/>
      <c r="E24" s="22"/>
      <c r="F24" s="374"/>
      <c r="G24" s="415"/>
      <c r="H24" s="76"/>
      <c r="I24" s="367"/>
      <c r="J24" s="110"/>
      <c r="K24" s="69" t="s">
        <v>30</v>
      </c>
      <c r="L24" s="73" t="s">
        <v>92</v>
      </c>
      <c r="M24" s="26">
        <f>SUM(H6+H44)</f>
        <v>0</v>
      </c>
    </row>
    <row r="25" spans="1:13" x14ac:dyDescent="0.3">
      <c r="A25" s="409"/>
      <c r="B25" s="409"/>
      <c r="C25" s="410"/>
      <c r="D25" s="305"/>
      <c r="E25" s="11"/>
      <c r="F25" s="374"/>
      <c r="G25" s="415"/>
      <c r="H25" s="76"/>
      <c r="I25" s="367"/>
      <c r="J25"/>
      <c r="K25" s="69" t="s">
        <v>10</v>
      </c>
      <c r="L25" s="73" t="s">
        <v>92</v>
      </c>
      <c r="M25" s="26">
        <f>SUM(H28)</f>
        <v>0</v>
      </c>
    </row>
    <row r="26" spans="1:13" x14ac:dyDescent="0.3">
      <c r="A26" s="409"/>
      <c r="B26" s="409"/>
      <c r="C26" s="410"/>
      <c r="D26" s="305"/>
      <c r="E26" s="27"/>
      <c r="F26" s="374"/>
      <c r="G26" s="415"/>
      <c r="H26" s="76"/>
      <c r="I26" s="367"/>
      <c r="J26"/>
      <c r="K26" s="69" t="s">
        <v>11</v>
      </c>
      <c r="L26" s="73" t="s">
        <v>92</v>
      </c>
      <c r="M26" s="26">
        <f>SUM(H11+H20+H27+H32+H35)</f>
        <v>0</v>
      </c>
    </row>
    <row r="27" spans="1:13" x14ac:dyDescent="0.3">
      <c r="A27" s="409"/>
      <c r="B27" s="409"/>
      <c r="C27" s="410"/>
      <c r="D27" s="305"/>
      <c r="E27" s="11"/>
      <c r="F27" s="374"/>
      <c r="G27" s="415"/>
      <c r="H27" s="76"/>
      <c r="I27" s="367"/>
      <c r="J27" s="112"/>
      <c r="K27" s="540" t="s">
        <v>695</v>
      </c>
      <c r="L27" s="541"/>
      <c r="M27" s="148">
        <f>SUM(M7:M26)</f>
        <v>0</v>
      </c>
    </row>
    <row r="28" spans="1:13" ht="14.4" customHeight="1" x14ac:dyDescent="0.3">
      <c r="A28" s="409"/>
      <c r="B28" s="409"/>
      <c r="C28" s="410"/>
      <c r="D28" s="305"/>
      <c r="E28" s="11"/>
      <c r="F28" s="374"/>
      <c r="G28" s="412"/>
      <c r="H28" s="76"/>
      <c r="I28" s="367"/>
      <c r="J28" s="25"/>
      <c r="K28" s="146"/>
      <c r="L28" s="146"/>
    </row>
    <row r="29" spans="1:13" x14ac:dyDescent="0.3">
      <c r="A29" s="409"/>
      <c r="B29" s="409"/>
      <c r="C29" s="411"/>
      <c r="D29" s="409"/>
      <c r="E29" s="47"/>
      <c r="F29" s="374"/>
      <c r="G29" s="412"/>
      <c r="H29" s="76"/>
      <c r="I29" s="367"/>
      <c r="J29" s="110"/>
      <c r="K29" s="146"/>
      <c r="L29" s="146"/>
    </row>
    <row r="30" spans="1:13" x14ac:dyDescent="0.3">
      <c r="A30" s="409"/>
      <c r="B30" s="409"/>
      <c r="C30" s="411"/>
      <c r="D30" s="409"/>
      <c r="E30" s="47"/>
      <c r="F30" s="374"/>
      <c r="G30" s="412"/>
      <c r="H30" s="76"/>
      <c r="I30" s="367"/>
      <c r="J30" s="110"/>
      <c r="K30" s="146"/>
      <c r="L30" s="146"/>
    </row>
    <row r="31" spans="1:13" x14ac:dyDescent="0.3">
      <c r="A31" s="409"/>
      <c r="B31" s="409"/>
      <c r="C31" s="411"/>
      <c r="D31" s="409"/>
      <c r="E31" s="47"/>
      <c r="F31" s="374"/>
      <c r="G31" s="412"/>
      <c r="H31" s="76"/>
      <c r="I31" s="367"/>
      <c r="J31" s="110"/>
      <c r="K31" s="146"/>
      <c r="L31" s="146"/>
    </row>
    <row r="32" spans="1:13" x14ac:dyDescent="0.3">
      <c r="A32" s="409"/>
      <c r="B32" s="409"/>
      <c r="C32" s="411"/>
      <c r="D32" s="409"/>
      <c r="E32" s="47"/>
      <c r="F32" s="374"/>
      <c r="G32" s="412"/>
      <c r="H32" s="76"/>
      <c r="I32" s="367"/>
      <c r="J32" s="110"/>
      <c r="K32" s="146"/>
      <c r="L32" s="146"/>
    </row>
    <row r="33" spans="1:12" x14ac:dyDescent="0.3">
      <c r="A33" s="409"/>
      <c r="B33" s="409"/>
      <c r="C33" s="411"/>
      <c r="D33" s="409"/>
      <c r="E33" s="47"/>
      <c r="F33" s="374"/>
      <c r="G33" s="412"/>
      <c r="H33" s="76"/>
      <c r="I33" s="367"/>
      <c r="J33" s="110"/>
      <c r="K33" s="146"/>
      <c r="L33" s="146"/>
    </row>
    <row r="34" spans="1:12" x14ac:dyDescent="0.3">
      <c r="A34" s="409"/>
      <c r="B34" s="409"/>
      <c r="C34" s="411"/>
      <c r="D34" s="409"/>
      <c r="E34" s="47"/>
      <c r="F34" s="374"/>
      <c r="G34" s="412"/>
      <c r="H34" s="76"/>
      <c r="I34" s="367"/>
      <c r="J34" s="110"/>
      <c r="K34" s="146"/>
      <c r="L34" s="146"/>
    </row>
    <row r="35" spans="1:12" x14ac:dyDescent="0.3">
      <c r="A35" s="409"/>
      <c r="B35" s="409"/>
      <c r="C35" s="411"/>
      <c r="D35" s="409"/>
      <c r="E35" s="192"/>
      <c r="F35" s="416"/>
      <c r="G35" s="412"/>
      <c r="H35" s="76"/>
      <c r="I35" s="367"/>
      <c r="J35" s="110"/>
      <c r="K35" s="146"/>
      <c r="L35" s="146"/>
    </row>
    <row r="36" spans="1:12" x14ac:dyDescent="0.3">
      <c r="A36" s="409"/>
      <c r="B36" s="407"/>
      <c r="C36" s="410"/>
      <c r="D36" s="407"/>
      <c r="E36" s="192"/>
      <c r="F36" s="416"/>
      <c r="G36" s="412"/>
      <c r="H36" s="76"/>
      <c r="I36" s="367"/>
      <c r="J36" s="110"/>
      <c r="K36" s="146"/>
      <c r="L36" s="146"/>
    </row>
    <row r="37" spans="1:12" x14ac:dyDescent="0.3">
      <c r="A37" s="409"/>
      <c r="B37" s="407"/>
      <c r="C37" s="410"/>
      <c r="D37" s="407"/>
      <c r="E37" s="192"/>
      <c r="F37" s="416"/>
      <c r="G37" s="412"/>
      <c r="H37" s="414"/>
      <c r="I37" s="367"/>
      <c r="J37" s="110"/>
      <c r="K37" s="146"/>
      <c r="L37" s="146"/>
    </row>
    <row r="38" spans="1:12" x14ac:dyDescent="0.3">
      <c r="A38" s="409"/>
      <c r="B38" s="407"/>
      <c r="C38" s="410"/>
      <c r="D38" s="407"/>
      <c r="E38" s="192"/>
      <c r="F38" s="416"/>
      <c r="G38" s="412"/>
      <c r="H38" s="76"/>
      <c r="I38" s="367"/>
      <c r="J38" s="110"/>
      <c r="K38" s="146"/>
      <c r="L38" s="146"/>
    </row>
    <row r="39" spans="1:12" x14ac:dyDescent="0.3">
      <c r="A39" s="409"/>
      <c r="B39" s="407"/>
      <c r="C39" s="410"/>
      <c r="D39" s="407"/>
      <c r="E39" s="192"/>
      <c r="F39" s="416"/>
      <c r="G39" s="412"/>
      <c r="H39" s="76"/>
      <c r="I39" s="367"/>
      <c r="J39" s="110"/>
      <c r="K39" s="146"/>
      <c r="L39" s="146"/>
    </row>
    <row r="40" spans="1:12" x14ac:dyDescent="0.3">
      <c r="A40" s="409"/>
      <c r="B40" s="407"/>
      <c r="C40" s="410"/>
      <c r="D40" s="407"/>
      <c r="E40" s="192"/>
      <c r="F40" s="416"/>
      <c r="G40" s="412"/>
      <c r="H40" s="76"/>
      <c r="I40" s="367"/>
      <c r="J40" s="110"/>
      <c r="K40" s="146"/>
      <c r="L40" s="146"/>
    </row>
    <row r="41" spans="1:12" x14ac:dyDescent="0.3">
      <c r="A41" s="409"/>
      <c r="B41" s="407"/>
      <c r="C41" s="410"/>
      <c r="D41" s="407"/>
      <c r="E41" s="192"/>
      <c r="F41" s="416"/>
      <c r="G41" s="412"/>
      <c r="H41" s="76"/>
      <c r="I41" s="367"/>
      <c r="J41" s="110"/>
      <c r="K41" s="146"/>
      <c r="L41" s="146"/>
    </row>
    <row r="42" spans="1:12" x14ac:dyDescent="0.3">
      <c r="A42" s="409"/>
      <c r="B42" s="407"/>
      <c r="C42" s="410"/>
      <c r="D42" s="407"/>
      <c r="E42" s="192"/>
      <c r="F42" s="416"/>
      <c r="G42" s="415"/>
      <c r="H42" s="414"/>
      <c r="I42" s="367"/>
      <c r="J42" s="110"/>
    </row>
    <row r="43" spans="1:12" x14ac:dyDescent="0.3">
      <c r="A43" s="409"/>
      <c r="B43" s="407"/>
      <c r="C43" s="410"/>
      <c r="D43" s="407"/>
      <c r="E43" s="192"/>
      <c r="F43" s="416"/>
      <c r="G43" s="415"/>
      <c r="H43" s="76"/>
      <c r="I43" s="367"/>
      <c r="J43" s="110"/>
    </row>
    <row r="44" spans="1:12" x14ac:dyDescent="0.3">
      <c r="A44" s="409"/>
      <c r="B44" s="407"/>
      <c r="C44" s="410"/>
      <c r="D44" s="407"/>
      <c r="E44" s="192"/>
      <c r="F44" s="416"/>
      <c r="G44" s="415"/>
      <c r="H44" s="76"/>
      <c r="I44" s="367"/>
      <c r="J44" s="110"/>
    </row>
    <row r="45" spans="1:12" x14ac:dyDescent="0.3">
      <c r="A45" s="409"/>
      <c r="B45" s="407"/>
      <c r="C45" s="410"/>
      <c r="D45" s="407"/>
      <c r="E45" s="192"/>
      <c r="F45" s="416"/>
      <c r="G45" s="415"/>
      <c r="H45" s="76"/>
      <c r="I45" s="367"/>
      <c r="J45" s="110"/>
    </row>
    <row r="46" spans="1:12" x14ac:dyDescent="0.3">
      <c r="A46" s="409"/>
      <c r="B46" s="407"/>
      <c r="C46" s="410"/>
      <c r="D46" s="407"/>
      <c r="E46" s="192"/>
      <c r="F46" s="416"/>
      <c r="G46" s="415"/>
      <c r="H46" s="414"/>
      <c r="I46" s="367"/>
      <c r="J46" s="110"/>
    </row>
    <row r="47" spans="1:12" x14ac:dyDescent="0.3">
      <c r="A47" s="409"/>
      <c r="B47" s="407"/>
      <c r="C47" s="410"/>
      <c r="D47" s="407"/>
      <c r="E47" s="192"/>
      <c r="F47" s="416"/>
      <c r="G47" s="415"/>
      <c r="H47" s="414"/>
      <c r="I47" s="367"/>
      <c r="J47" s="110"/>
    </row>
    <row r="48" spans="1:12" x14ac:dyDescent="0.3">
      <c r="A48" s="409"/>
      <c r="B48" s="407"/>
      <c r="C48" s="410"/>
      <c r="D48" s="407"/>
      <c r="E48" s="192"/>
      <c r="F48" s="416"/>
      <c r="G48" s="415"/>
      <c r="H48" s="76"/>
      <c r="I48" s="367"/>
      <c r="J48" s="110"/>
    </row>
    <row r="49" spans="1:10" x14ac:dyDescent="0.3">
      <c r="A49" s="409"/>
      <c r="B49" s="407"/>
      <c r="C49" s="410"/>
      <c r="D49" s="407"/>
      <c r="E49" s="192"/>
      <c r="F49" s="416"/>
      <c r="G49" s="415"/>
      <c r="H49" s="76"/>
      <c r="I49" s="367"/>
      <c r="J49" s="110"/>
    </row>
    <row r="50" spans="1:10" x14ac:dyDescent="0.3">
      <c r="A50" s="409"/>
      <c r="B50" s="407"/>
      <c r="C50" s="410"/>
      <c r="D50" s="407"/>
      <c r="E50" s="192"/>
      <c r="F50" s="416"/>
      <c r="G50" s="415"/>
      <c r="H50" s="76"/>
      <c r="I50" s="367"/>
      <c r="J50" s="110"/>
    </row>
    <row r="51" spans="1:10" x14ac:dyDescent="0.3">
      <c r="A51" s="409"/>
      <c r="B51" s="407"/>
      <c r="C51" s="410"/>
      <c r="D51" s="407"/>
      <c r="E51" s="192"/>
      <c r="F51" s="416"/>
      <c r="G51" s="415"/>
      <c r="H51" s="76"/>
      <c r="I51" s="367"/>
      <c r="J51" s="110"/>
    </row>
    <row r="52" spans="1:10" x14ac:dyDescent="0.3">
      <c r="A52" s="409"/>
      <c r="B52" s="407"/>
      <c r="C52" s="410"/>
      <c r="D52" s="407"/>
      <c r="E52" s="192"/>
      <c r="F52" s="416"/>
      <c r="G52" s="412"/>
      <c r="H52" s="76"/>
      <c r="I52" s="367"/>
      <c r="J52" s="110"/>
    </row>
    <row r="53" spans="1:10" x14ac:dyDescent="0.3">
      <c r="A53" s="409"/>
      <c r="B53" s="407"/>
      <c r="C53" s="410"/>
      <c r="D53" s="407"/>
      <c r="E53" s="192"/>
      <c r="F53" s="416"/>
      <c r="G53" s="415"/>
      <c r="H53" s="414"/>
      <c r="I53" s="367"/>
      <c r="J53" s="110"/>
    </row>
    <row r="54" spans="1:10" x14ac:dyDescent="0.3">
      <c r="A54" s="409"/>
      <c r="B54" s="407"/>
      <c r="C54" s="410"/>
      <c r="D54" s="407"/>
      <c r="E54" s="192"/>
      <c r="F54" s="416"/>
      <c r="G54" s="415"/>
      <c r="H54" s="76"/>
      <c r="I54" s="367"/>
      <c r="J54" s="110"/>
    </row>
    <row r="55" spans="1:10" x14ac:dyDescent="0.3">
      <c r="A55" s="409"/>
      <c r="B55" s="407"/>
      <c r="C55" s="410"/>
      <c r="D55" s="407"/>
      <c r="E55" s="192"/>
      <c r="F55" s="416"/>
      <c r="G55" s="412"/>
      <c r="H55" s="414"/>
      <c r="I55" s="367"/>
      <c r="J55" s="110"/>
    </row>
    <row r="56" spans="1:10" x14ac:dyDescent="0.3">
      <c r="A56" s="409"/>
      <c r="B56" s="407"/>
      <c r="C56" s="410"/>
      <c r="D56" s="407"/>
      <c r="E56" s="192"/>
      <c r="F56" s="416"/>
      <c r="G56" s="412"/>
      <c r="H56" s="414"/>
      <c r="I56" s="367"/>
      <c r="J56" s="110"/>
    </row>
    <row r="57" spans="1:10" x14ac:dyDescent="0.3">
      <c r="A57" s="409"/>
      <c r="B57" s="407"/>
      <c r="C57" s="410"/>
      <c r="D57" s="407"/>
      <c r="E57" s="192"/>
      <c r="F57" s="416"/>
      <c r="G57" s="412"/>
      <c r="H57" s="76"/>
      <c r="I57" s="367"/>
      <c r="J57" s="110"/>
    </row>
    <row r="58" spans="1:10" ht="14.4" customHeight="1" x14ac:dyDescent="0.3">
      <c r="A58" s="409"/>
      <c r="B58" s="407"/>
      <c r="C58" s="410"/>
      <c r="D58" s="407"/>
      <c r="E58" s="192"/>
      <c r="F58" s="416"/>
      <c r="G58" s="412"/>
      <c r="H58" s="414"/>
      <c r="I58" s="233"/>
      <c r="J58" s="110"/>
    </row>
    <row r="59" spans="1:10" ht="13.95" customHeight="1" x14ac:dyDescent="0.3">
      <c r="A59" s="409"/>
      <c r="B59" s="407"/>
      <c r="C59" s="410"/>
      <c r="D59" s="407"/>
      <c r="E59" s="192"/>
      <c r="F59" s="416"/>
      <c r="G59" s="412"/>
      <c r="H59" s="76"/>
      <c r="I59" s="367"/>
      <c r="J59" s="110"/>
    </row>
    <row r="60" spans="1:10" ht="13.95" customHeight="1" x14ac:dyDescent="0.3">
      <c r="A60" s="409"/>
      <c r="B60" s="407"/>
      <c r="C60" s="410"/>
      <c r="D60" s="407"/>
      <c r="E60" s="192"/>
      <c r="F60" s="416"/>
      <c r="G60" s="412"/>
      <c r="H60" s="76"/>
      <c r="I60" s="367"/>
      <c r="J60" s="110"/>
    </row>
    <row r="61" spans="1:10" ht="13.95" customHeight="1" x14ac:dyDescent="0.3">
      <c r="A61" s="409"/>
      <c r="B61" s="407"/>
      <c r="C61" s="410"/>
      <c r="D61" s="407"/>
      <c r="E61" s="192"/>
      <c r="F61" s="416"/>
      <c r="G61" s="412"/>
      <c r="H61" s="76"/>
      <c r="I61" s="367"/>
      <c r="J61" s="110"/>
    </row>
    <row r="62" spans="1:10" ht="13.95" customHeight="1" x14ac:dyDescent="0.3">
      <c r="A62" s="409"/>
      <c r="B62" s="407"/>
      <c r="C62" s="410"/>
      <c r="D62" s="407"/>
      <c r="E62" s="192"/>
      <c r="F62" s="416"/>
      <c r="G62" s="412"/>
      <c r="H62" s="76"/>
      <c r="I62" s="367"/>
      <c r="J62" s="110"/>
    </row>
    <row r="63" spans="1:10" ht="13.95" customHeight="1" x14ac:dyDescent="0.3">
      <c r="A63" s="119"/>
      <c r="B63" s="233"/>
      <c r="C63" s="115"/>
      <c r="D63" s="305"/>
      <c r="E63" s="22"/>
      <c r="F63" s="417"/>
      <c r="G63" s="412"/>
      <c r="H63" s="76"/>
      <c r="I63" s="367"/>
      <c r="J63" s="110"/>
    </row>
    <row r="64" spans="1:10" ht="13.95" customHeight="1" x14ac:dyDescent="0.3">
      <c r="A64" s="119"/>
      <c r="B64" s="233"/>
      <c r="C64" s="115"/>
      <c r="D64" s="305"/>
      <c r="E64" s="22"/>
      <c r="F64" s="417"/>
      <c r="G64" s="415"/>
      <c r="H64" s="414"/>
      <c r="I64" s="367"/>
      <c r="J64" s="110"/>
    </row>
    <row r="65" spans="1:10" ht="13.95" customHeight="1" x14ac:dyDescent="0.3">
      <c r="A65" s="119"/>
      <c r="B65" s="233"/>
      <c r="C65" s="115"/>
      <c r="D65" s="305"/>
      <c r="E65" s="22"/>
      <c r="F65" s="417"/>
      <c r="G65" s="415"/>
      <c r="H65" s="414"/>
      <c r="I65" s="367"/>
      <c r="J65" s="110"/>
    </row>
    <row r="66" spans="1:10" ht="13.95" customHeight="1" x14ac:dyDescent="0.3">
      <c r="A66" s="119"/>
      <c r="B66" s="233"/>
      <c r="C66" s="115"/>
      <c r="D66" s="305"/>
      <c r="E66" s="22"/>
      <c r="F66" s="417"/>
      <c r="G66" s="412"/>
      <c r="H66" s="76"/>
      <c r="I66" s="367"/>
      <c r="J66" s="110"/>
    </row>
    <row r="67" spans="1:10" ht="13.95" customHeight="1" x14ac:dyDescent="0.3">
      <c r="A67" s="119"/>
      <c r="B67" s="233"/>
      <c r="C67" s="115"/>
      <c r="D67" s="305"/>
      <c r="E67" s="22"/>
      <c r="F67" s="417"/>
      <c r="G67" s="412"/>
      <c r="H67" s="76"/>
      <c r="I67" s="367"/>
      <c r="J67" s="110"/>
    </row>
    <row r="68" spans="1:10" ht="13.95" customHeight="1" x14ac:dyDescent="0.3">
      <c r="A68" s="119"/>
      <c r="B68" s="233"/>
      <c r="C68" s="115"/>
      <c r="D68" s="305"/>
      <c r="E68" s="22"/>
      <c r="F68" s="417"/>
      <c r="G68" s="412"/>
      <c r="H68" s="76"/>
      <c r="I68" s="367"/>
      <c r="J68" s="110"/>
    </row>
    <row r="69" spans="1:10" ht="13.95" customHeight="1" x14ac:dyDescent="0.3">
      <c r="A69" s="119"/>
      <c r="B69" s="233"/>
      <c r="C69" s="115"/>
      <c r="D69" s="305"/>
      <c r="E69" s="22"/>
      <c r="F69" s="417"/>
      <c r="G69" s="412"/>
      <c r="H69" s="76"/>
      <c r="I69" s="367"/>
      <c r="J69" s="110"/>
    </row>
    <row r="70" spans="1:10" ht="13.95" customHeight="1" x14ac:dyDescent="0.3">
      <c r="A70" s="119"/>
      <c r="B70" s="233"/>
      <c r="C70" s="115"/>
      <c r="D70" s="305"/>
      <c r="E70" s="22"/>
      <c r="F70" s="417"/>
      <c r="G70" s="412"/>
      <c r="H70" s="414"/>
      <c r="I70" s="367"/>
      <c r="J70" s="110"/>
    </row>
    <row r="71" spans="1:10" ht="13.95" customHeight="1" x14ac:dyDescent="0.3">
      <c r="A71" s="119"/>
      <c r="B71" s="233"/>
      <c r="C71" s="115"/>
      <c r="D71" s="305"/>
      <c r="E71" s="22"/>
      <c r="F71" s="417"/>
      <c r="G71" s="412"/>
      <c r="H71" s="76"/>
      <c r="I71" s="367"/>
      <c r="J71" s="110"/>
    </row>
    <row r="72" spans="1:10" ht="14.4" customHeight="1" x14ac:dyDescent="0.3">
      <c r="A72" s="119"/>
      <c r="B72" s="233"/>
      <c r="C72" s="115"/>
      <c r="D72" s="407"/>
      <c r="E72" s="22"/>
      <c r="F72" s="417"/>
      <c r="G72" s="412"/>
      <c r="H72" s="414"/>
      <c r="I72" s="233"/>
      <c r="J72" s="110"/>
    </row>
    <row r="73" spans="1:10" ht="13.95" customHeight="1" x14ac:dyDescent="0.3">
      <c r="A73" s="119"/>
      <c r="B73" s="233"/>
      <c r="C73" s="115"/>
      <c r="D73" s="305"/>
      <c r="E73" s="22"/>
      <c r="F73" s="417"/>
      <c r="G73" s="415"/>
      <c r="H73" s="414"/>
      <c r="I73" s="367"/>
      <c r="J73" s="110"/>
    </row>
    <row r="74" spans="1:10" ht="13.95" customHeight="1" x14ac:dyDescent="0.3">
      <c r="A74" s="119"/>
      <c r="B74" s="233"/>
      <c r="C74" s="115"/>
      <c r="D74" s="305"/>
      <c r="E74" s="22"/>
      <c r="F74" s="417"/>
      <c r="G74" s="415"/>
      <c r="H74" s="76"/>
      <c r="I74" s="367"/>
      <c r="J74" s="110"/>
    </row>
    <row r="75" spans="1:10" ht="13.95" customHeight="1" x14ac:dyDescent="0.3">
      <c r="A75" s="119"/>
      <c r="B75" s="233"/>
      <c r="C75" s="115"/>
      <c r="D75" s="305"/>
      <c r="E75" s="22"/>
      <c r="F75" s="417"/>
      <c r="G75" s="415"/>
      <c r="H75" s="76"/>
      <c r="I75" s="367"/>
      <c r="J75" s="110"/>
    </row>
    <row r="76" spans="1:10" ht="13.95" customHeight="1" x14ac:dyDescent="0.3">
      <c r="A76" s="119"/>
      <c r="B76" s="233"/>
      <c r="C76" s="115"/>
      <c r="D76" s="305"/>
      <c r="E76" s="22"/>
      <c r="F76" s="417"/>
      <c r="G76" s="415"/>
      <c r="H76" s="76"/>
      <c r="I76" s="367"/>
      <c r="J76" s="110"/>
    </row>
    <row r="77" spans="1:10" ht="13.95" customHeight="1" x14ac:dyDescent="0.3">
      <c r="A77" s="119"/>
      <c r="B77" s="233"/>
      <c r="C77" s="115"/>
      <c r="D77" s="305"/>
      <c r="E77" s="22"/>
      <c r="F77" s="417"/>
      <c r="G77" s="415"/>
      <c r="H77" s="76"/>
      <c r="I77" s="367"/>
      <c r="J77" s="110"/>
    </row>
    <row r="78" spans="1:10" ht="13.95" customHeight="1" x14ac:dyDescent="0.3">
      <c r="A78" s="119"/>
      <c r="B78" s="233"/>
      <c r="C78" s="115"/>
      <c r="D78" s="305"/>
      <c r="E78" s="22"/>
      <c r="F78" s="417"/>
      <c r="G78" s="415"/>
      <c r="H78" s="76"/>
      <c r="I78" s="367"/>
      <c r="J78" s="110"/>
    </row>
    <row r="79" spans="1:10" ht="13.95" customHeight="1" x14ac:dyDescent="0.3">
      <c r="A79" s="119"/>
      <c r="B79" s="233"/>
      <c r="C79" s="115"/>
      <c r="D79" s="305"/>
      <c r="E79" s="22"/>
      <c r="F79" s="417"/>
      <c r="G79" s="415"/>
      <c r="H79" s="76"/>
      <c r="I79" s="367"/>
      <c r="J79" s="110"/>
    </row>
    <row r="80" spans="1:10" ht="13.95" customHeight="1" x14ac:dyDescent="0.3">
      <c r="A80" s="119"/>
      <c r="B80" s="233"/>
      <c r="C80" s="115"/>
      <c r="D80" s="305"/>
      <c r="E80" s="22"/>
      <c r="F80" s="417"/>
      <c r="G80" s="415"/>
      <c r="H80" s="76"/>
      <c r="I80" s="367"/>
      <c r="J80" s="110"/>
    </row>
    <row r="81" spans="1:10" ht="13.95" customHeight="1" x14ac:dyDescent="0.3">
      <c r="A81" s="119"/>
      <c r="B81" s="233"/>
      <c r="C81" s="115"/>
      <c r="D81" s="305"/>
      <c r="E81" s="22"/>
      <c r="F81" s="417"/>
      <c r="G81" s="415"/>
      <c r="H81" s="76"/>
      <c r="I81" s="367"/>
      <c r="J81" s="110"/>
    </row>
    <row r="82" spans="1:10" ht="13.95" customHeight="1" x14ac:dyDescent="0.3">
      <c r="A82" s="119"/>
      <c r="B82" s="233"/>
      <c r="C82" s="115"/>
      <c r="D82" s="305"/>
      <c r="E82" s="22"/>
      <c r="F82" s="417"/>
      <c r="G82" s="415"/>
      <c r="H82" s="76"/>
      <c r="I82" s="367"/>
      <c r="J82" s="110"/>
    </row>
    <row r="83" spans="1:10" ht="13.95" customHeight="1" x14ac:dyDescent="0.3">
      <c r="A83" s="119"/>
      <c r="B83" s="233"/>
      <c r="C83" s="115"/>
      <c r="D83" s="305"/>
      <c r="E83" s="22"/>
      <c r="F83" s="417"/>
      <c r="G83" s="412"/>
      <c r="H83" s="76"/>
      <c r="I83" s="367"/>
      <c r="J83" s="110"/>
    </row>
    <row r="84" spans="1:10" ht="13.95" customHeight="1" x14ac:dyDescent="0.3">
      <c r="A84" s="119"/>
      <c r="B84" s="233"/>
      <c r="C84" s="115"/>
      <c r="D84" s="305"/>
      <c r="E84" s="22"/>
      <c r="F84" s="417"/>
      <c r="G84" s="412"/>
      <c r="H84" s="76"/>
      <c r="I84" s="367"/>
      <c r="J84" s="110"/>
    </row>
    <row r="85" spans="1:10" ht="13.95" customHeight="1" x14ac:dyDescent="0.3">
      <c r="A85" s="119"/>
      <c r="B85" s="233"/>
      <c r="C85" s="115"/>
      <c r="D85" s="305"/>
      <c r="E85" s="22"/>
      <c r="F85" s="417"/>
      <c r="G85" s="412"/>
      <c r="H85" s="76"/>
      <c r="I85" s="367"/>
      <c r="J85" s="110"/>
    </row>
    <row r="86" spans="1:10" ht="13.95" customHeight="1" x14ac:dyDescent="0.3">
      <c r="A86" s="119"/>
      <c r="B86" s="233"/>
      <c r="C86" s="115"/>
      <c r="D86" s="305"/>
      <c r="E86" s="22"/>
      <c r="F86" s="417"/>
      <c r="G86" s="415"/>
      <c r="H86" s="414"/>
      <c r="I86" s="367"/>
      <c r="J86" s="110"/>
    </row>
    <row r="87" spans="1:10" ht="13.95" customHeight="1" x14ac:dyDescent="0.3">
      <c r="A87" s="119"/>
      <c r="B87" s="233"/>
      <c r="C87" s="115"/>
      <c r="D87" s="305"/>
      <c r="E87" s="22"/>
      <c r="F87" s="417"/>
      <c r="G87" s="415"/>
      <c r="H87" s="76"/>
      <c r="I87" s="367"/>
      <c r="J87" s="110"/>
    </row>
    <row r="88" spans="1:10" ht="13.95" customHeight="1" x14ac:dyDescent="0.3">
      <c r="A88" s="119"/>
      <c r="B88" s="233"/>
      <c r="C88" s="115"/>
      <c r="D88" s="305"/>
      <c r="E88" s="22"/>
      <c r="F88" s="417"/>
      <c r="G88" s="415"/>
      <c r="H88" s="76"/>
      <c r="I88" s="367"/>
      <c r="J88" s="110"/>
    </row>
    <row r="89" spans="1:10" ht="13.95" customHeight="1" x14ac:dyDescent="0.3">
      <c r="A89" s="119"/>
      <c r="B89" s="233"/>
      <c r="C89" s="115"/>
      <c r="D89" s="305"/>
      <c r="E89" s="22"/>
      <c r="F89" s="417"/>
      <c r="G89" s="415"/>
      <c r="H89" s="76"/>
      <c r="I89" s="367"/>
      <c r="J89" s="110"/>
    </row>
    <row r="90" spans="1:10" ht="13.95" customHeight="1" x14ac:dyDescent="0.3">
      <c r="A90" s="119"/>
      <c r="B90" s="233"/>
      <c r="C90" s="115"/>
      <c r="D90" s="305"/>
      <c r="E90" s="22"/>
      <c r="F90" s="417"/>
      <c r="G90" s="415"/>
      <c r="H90" s="76"/>
      <c r="I90" s="367"/>
      <c r="J90" s="110"/>
    </row>
    <row r="91" spans="1:10" ht="13.95" customHeight="1" x14ac:dyDescent="0.3">
      <c r="A91" s="119"/>
      <c r="B91" s="233"/>
      <c r="C91" s="115"/>
      <c r="D91" s="305"/>
      <c r="E91" s="22"/>
      <c r="F91" s="417"/>
      <c r="G91" s="415"/>
      <c r="H91" s="76"/>
      <c r="I91" s="367"/>
      <c r="J91" s="110"/>
    </row>
    <row r="92" spans="1:10" ht="13.95" customHeight="1" x14ac:dyDescent="0.3">
      <c r="A92" s="119"/>
      <c r="B92" s="233"/>
      <c r="C92" s="115"/>
      <c r="D92" s="305"/>
      <c r="E92" s="22"/>
      <c r="F92" s="417"/>
      <c r="G92" s="412"/>
      <c r="H92" s="76"/>
      <c r="I92" s="367"/>
      <c r="J92" s="110"/>
    </row>
    <row r="93" spans="1:10" ht="13.95" customHeight="1" x14ac:dyDescent="0.3">
      <c r="A93" s="119"/>
      <c r="B93" s="233"/>
      <c r="C93" s="115"/>
      <c r="D93" s="305"/>
      <c r="E93" s="22"/>
      <c r="F93" s="417"/>
      <c r="G93" s="412"/>
      <c r="H93" s="76"/>
      <c r="I93" s="367"/>
      <c r="J93" s="110"/>
    </row>
    <row r="94" spans="1:10" ht="13.95" customHeight="1" x14ac:dyDescent="0.3">
      <c r="A94" s="119"/>
      <c r="B94" s="233"/>
      <c r="C94" s="115"/>
      <c r="D94" s="305"/>
      <c r="E94" s="22"/>
      <c r="F94" s="417"/>
      <c r="G94" s="412"/>
      <c r="H94" s="76"/>
      <c r="I94" s="367"/>
      <c r="J94" s="110"/>
    </row>
    <row r="95" spans="1:10" ht="13.95" customHeight="1" x14ac:dyDescent="0.3">
      <c r="A95" s="119"/>
      <c r="B95" s="233"/>
      <c r="C95" s="115"/>
      <c r="D95" s="305"/>
      <c r="E95" s="22"/>
      <c r="F95" s="417"/>
      <c r="G95" s="412"/>
      <c r="H95" s="76"/>
      <c r="I95" s="367"/>
      <c r="J95" s="110"/>
    </row>
    <row r="96" spans="1:10" x14ac:dyDescent="0.3">
      <c r="A96" s="119"/>
      <c r="B96" s="233"/>
      <c r="C96" s="115"/>
      <c r="D96" s="305"/>
      <c r="E96" s="22"/>
      <c r="F96" s="374"/>
      <c r="G96" s="412"/>
      <c r="H96" s="414"/>
      <c r="I96" s="367"/>
      <c r="J96" s="110"/>
    </row>
    <row r="97" spans="1:10" x14ac:dyDescent="0.3">
      <c r="A97" s="119"/>
      <c r="B97" s="233"/>
      <c r="C97" s="115"/>
      <c r="D97" s="305"/>
      <c r="E97" s="22"/>
      <c r="F97" s="374"/>
      <c r="G97" s="415"/>
      <c r="H97" s="414"/>
      <c r="I97" s="367"/>
      <c r="J97" s="110"/>
    </row>
    <row r="98" spans="1:10" x14ac:dyDescent="0.3">
      <c r="A98" s="119"/>
      <c r="B98" s="233"/>
      <c r="C98" s="115"/>
      <c r="D98" s="305"/>
      <c r="E98" s="22"/>
      <c r="F98" s="374"/>
      <c r="G98" s="415"/>
      <c r="H98" s="414"/>
      <c r="I98" s="367"/>
      <c r="J98" s="110"/>
    </row>
    <row r="99" spans="1:10" x14ac:dyDescent="0.3">
      <c r="A99" s="119"/>
      <c r="B99" s="233"/>
      <c r="C99" s="115"/>
      <c r="D99" s="305"/>
      <c r="E99" s="22"/>
      <c r="F99" s="374"/>
      <c r="G99" s="415"/>
      <c r="H99" s="414"/>
      <c r="I99" s="367"/>
      <c r="J99" s="110"/>
    </row>
    <row r="100" spans="1:10" x14ac:dyDescent="0.3">
      <c r="A100" s="119"/>
      <c r="B100" s="233"/>
      <c r="C100" s="115"/>
      <c r="D100" s="305"/>
      <c r="E100" s="22"/>
      <c r="F100" s="374"/>
      <c r="G100" s="415"/>
      <c r="H100" s="414"/>
      <c r="I100" s="367"/>
      <c r="J100" s="110"/>
    </row>
    <row r="101" spans="1:10" x14ac:dyDescent="0.3">
      <c r="A101" s="119"/>
      <c r="B101" s="233"/>
      <c r="C101" s="115"/>
      <c r="D101" s="305"/>
      <c r="E101" s="22"/>
      <c r="F101" s="374"/>
      <c r="G101" s="412"/>
      <c r="H101" s="414"/>
      <c r="I101" s="367"/>
      <c r="J101" s="110"/>
    </row>
    <row r="102" spans="1:10" x14ac:dyDescent="0.3">
      <c r="A102" s="119"/>
      <c r="B102" s="233"/>
      <c r="C102" s="115"/>
      <c r="D102" s="305"/>
      <c r="E102" s="22"/>
      <c r="F102" s="374"/>
      <c r="G102" s="412"/>
      <c r="H102" s="414"/>
      <c r="I102" s="367"/>
      <c r="J102" s="110"/>
    </row>
    <row r="103" spans="1:10" x14ac:dyDescent="0.3">
      <c r="A103" s="119"/>
      <c r="B103" s="233"/>
      <c r="C103" s="115"/>
      <c r="D103" s="305"/>
      <c r="E103" s="22"/>
      <c r="F103" s="374"/>
      <c r="G103" s="412"/>
      <c r="H103" s="414"/>
      <c r="I103" s="367"/>
      <c r="J103" s="110"/>
    </row>
    <row r="104" spans="1:10" x14ac:dyDescent="0.3">
      <c r="A104" s="119"/>
      <c r="B104" s="233"/>
      <c r="C104" s="115"/>
      <c r="D104" s="305"/>
      <c r="E104" s="22"/>
      <c r="F104" s="374"/>
      <c r="G104" s="415"/>
      <c r="H104" s="414"/>
      <c r="I104" s="367"/>
      <c r="J104" s="110"/>
    </row>
    <row r="105" spans="1:10" x14ac:dyDescent="0.3">
      <c r="A105" s="119"/>
      <c r="B105" s="233"/>
      <c r="C105" s="115"/>
      <c r="D105" s="305"/>
      <c r="E105" s="22"/>
      <c r="F105" s="374"/>
      <c r="G105" s="415"/>
      <c r="H105" s="414"/>
      <c r="I105" s="367"/>
      <c r="J105" s="110"/>
    </row>
    <row r="106" spans="1:10" x14ac:dyDescent="0.3">
      <c r="A106" s="119"/>
      <c r="B106" s="233"/>
      <c r="C106" s="115"/>
      <c r="D106" s="305"/>
      <c r="E106" s="22"/>
      <c r="F106" s="374"/>
      <c r="G106" s="415"/>
      <c r="H106" s="414"/>
      <c r="I106" s="367"/>
      <c r="J106" s="110"/>
    </row>
    <row r="107" spans="1:10" x14ac:dyDescent="0.3">
      <c r="A107" s="119"/>
      <c r="B107" s="233"/>
      <c r="C107" s="115"/>
      <c r="D107" s="305"/>
      <c r="E107" s="22"/>
      <c r="F107" s="374"/>
      <c r="G107" s="415"/>
      <c r="H107" s="414"/>
      <c r="I107" s="367"/>
      <c r="J107" s="110"/>
    </row>
    <row r="108" spans="1:10" x14ac:dyDescent="0.3">
      <c r="A108" s="119"/>
      <c r="B108" s="233"/>
      <c r="C108" s="115"/>
      <c r="D108" s="305"/>
      <c r="E108" s="22"/>
      <c r="F108" s="374"/>
      <c r="G108" s="415"/>
      <c r="H108" s="414"/>
      <c r="I108" s="367"/>
      <c r="J108" s="110"/>
    </row>
    <row r="109" spans="1:10" x14ac:dyDescent="0.3">
      <c r="A109" s="119"/>
      <c r="B109" s="233"/>
      <c r="C109" s="115"/>
      <c r="D109" s="305"/>
      <c r="E109" s="22"/>
      <c r="F109" s="374"/>
      <c r="G109" s="415"/>
      <c r="H109" s="414"/>
      <c r="I109" s="367"/>
      <c r="J109" s="110"/>
    </row>
    <row r="110" spans="1:10" x14ac:dyDescent="0.3">
      <c r="A110" s="119"/>
      <c r="B110" s="233"/>
      <c r="C110" s="236"/>
      <c r="D110" s="305"/>
      <c r="E110" s="22"/>
      <c r="F110" s="374"/>
      <c r="G110" s="415"/>
      <c r="H110" s="414"/>
      <c r="I110" s="367"/>
      <c r="J110" s="110"/>
    </row>
    <row r="111" spans="1:10" x14ac:dyDescent="0.3">
      <c r="A111" s="119"/>
      <c r="B111" s="233"/>
      <c r="C111" s="236"/>
      <c r="D111" s="305"/>
      <c r="E111" s="22"/>
      <c r="F111" s="374"/>
      <c r="G111" s="415"/>
      <c r="H111" s="414"/>
      <c r="I111" s="367"/>
      <c r="J111" s="110"/>
    </row>
    <row r="112" spans="1:10" ht="27" customHeight="1" x14ac:dyDescent="0.3">
      <c r="A112" s="572" t="s">
        <v>28</v>
      </c>
      <c r="B112" s="572"/>
      <c r="C112" s="572"/>
      <c r="D112" s="572"/>
      <c r="E112" s="83">
        <f>SUM(E8:E111)</f>
        <v>0</v>
      </c>
      <c r="F112" s="84">
        <f>SUM(F8:F111)</f>
        <v>0</v>
      </c>
      <c r="G112" s="32">
        <f>+G111</f>
        <v>0</v>
      </c>
      <c r="H112" s="75">
        <f>SUM(H9:H111)</f>
        <v>0</v>
      </c>
      <c r="I112" s="36"/>
      <c r="J112"/>
    </row>
    <row r="113" spans="10:10" x14ac:dyDescent="0.3">
      <c r="J113" s="3"/>
    </row>
    <row r="114" spans="10:10" x14ac:dyDescent="0.3">
      <c r="J114" s="3"/>
    </row>
    <row r="115" spans="10:10" x14ac:dyDescent="0.3">
      <c r="J115" s="3"/>
    </row>
    <row r="116" spans="10:10" x14ac:dyDescent="0.3">
      <c r="J116" s="3"/>
    </row>
    <row r="117" spans="10:10" x14ac:dyDescent="0.3">
      <c r="J117" s="3"/>
    </row>
    <row r="118" spans="10:10" x14ac:dyDescent="0.3">
      <c r="J118" s="3"/>
    </row>
    <row r="119" spans="10:10" x14ac:dyDescent="0.3">
      <c r="J119" s="3"/>
    </row>
    <row r="120" spans="10:10" x14ac:dyDescent="0.3">
      <c r="J120" s="3"/>
    </row>
    <row r="121" spans="10:10" x14ac:dyDescent="0.3">
      <c r="J121" s="3"/>
    </row>
    <row r="122" spans="10:10" x14ac:dyDescent="0.3">
      <c r="J122" s="3"/>
    </row>
    <row r="123" spans="10:10" x14ac:dyDescent="0.3">
      <c r="J123" s="3"/>
    </row>
    <row r="124" spans="10:10" x14ac:dyDescent="0.3">
      <c r="J124" s="3"/>
    </row>
    <row r="125" spans="10:10" x14ac:dyDescent="0.3">
      <c r="J125" s="3"/>
    </row>
    <row r="126" spans="10:10" x14ac:dyDescent="0.3">
      <c r="J126" s="3"/>
    </row>
    <row r="127" spans="10:10" x14ac:dyDescent="0.3">
      <c r="J127" s="3"/>
    </row>
    <row r="128" spans="10:10" x14ac:dyDescent="0.3">
      <c r="J128" s="3"/>
    </row>
    <row r="129" spans="10:10" x14ac:dyDescent="0.3">
      <c r="J129" s="3"/>
    </row>
    <row r="130" spans="10:10" x14ac:dyDescent="0.3">
      <c r="J130" s="3"/>
    </row>
    <row r="131" spans="10:10" x14ac:dyDescent="0.3">
      <c r="J131" s="3"/>
    </row>
    <row r="132" spans="10:10" x14ac:dyDescent="0.3">
      <c r="J132" s="3"/>
    </row>
    <row r="133" spans="10:10" x14ac:dyDescent="0.3">
      <c r="J133" s="3"/>
    </row>
    <row r="134" spans="10:10" x14ac:dyDescent="0.3">
      <c r="J134" s="3"/>
    </row>
    <row r="135" spans="10:10" x14ac:dyDescent="0.3">
      <c r="J135" s="3"/>
    </row>
    <row r="136" spans="10:10" x14ac:dyDescent="0.3">
      <c r="J136" s="3"/>
    </row>
    <row r="137" spans="10:10" x14ac:dyDescent="0.3">
      <c r="J137" s="3"/>
    </row>
    <row r="138" spans="10:10" x14ac:dyDescent="0.3">
      <c r="J138" s="3"/>
    </row>
    <row r="139" spans="10:10" x14ac:dyDescent="0.3">
      <c r="J139" s="3"/>
    </row>
    <row r="140" spans="10:10" x14ac:dyDescent="0.3">
      <c r="J140" s="3"/>
    </row>
    <row r="141" spans="10:10" x14ac:dyDescent="0.3">
      <c r="J141" s="3"/>
    </row>
    <row r="142" spans="10:10" x14ac:dyDescent="0.3">
      <c r="J142" s="3"/>
    </row>
    <row r="143" spans="10:10" x14ac:dyDescent="0.3">
      <c r="J143" s="3"/>
    </row>
    <row r="144" spans="10:10" x14ac:dyDescent="0.3">
      <c r="J144" s="3"/>
    </row>
    <row r="145" spans="10:10" x14ac:dyDescent="0.3">
      <c r="J145" s="3"/>
    </row>
    <row r="146" spans="10:10" x14ac:dyDescent="0.3">
      <c r="J146" s="3"/>
    </row>
    <row r="147" spans="10:10" x14ac:dyDescent="0.3">
      <c r="J147" s="3"/>
    </row>
    <row r="148" spans="10:10" x14ac:dyDescent="0.3">
      <c r="J148" s="3"/>
    </row>
    <row r="149" spans="10:10" x14ac:dyDescent="0.3">
      <c r="J149" s="3"/>
    </row>
    <row r="150" spans="10:10" x14ac:dyDescent="0.3">
      <c r="J150" s="3"/>
    </row>
    <row r="151" spans="10:10" x14ac:dyDescent="0.3">
      <c r="J151" s="3"/>
    </row>
    <row r="152" spans="10:10" x14ac:dyDescent="0.3">
      <c r="J152" s="3"/>
    </row>
    <row r="153" spans="10:10" x14ac:dyDescent="0.3">
      <c r="J153" s="3"/>
    </row>
    <row r="154" spans="10:10" x14ac:dyDescent="0.3">
      <c r="J154" s="3"/>
    </row>
    <row r="155" spans="10:10" x14ac:dyDescent="0.3">
      <c r="J155" s="3"/>
    </row>
    <row r="156" spans="10:10" x14ac:dyDescent="0.3">
      <c r="J156" s="3"/>
    </row>
    <row r="157" spans="10:10" x14ac:dyDescent="0.3">
      <c r="J157" s="3"/>
    </row>
    <row r="158" spans="10:10" x14ac:dyDescent="0.3">
      <c r="J158" s="3"/>
    </row>
    <row r="159" spans="10:10" x14ac:dyDescent="0.3">
      <c r="J159" s="3"/>
    </row>
    <row r="160" spans="10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</sheetData>
  <mergeCells count="6">
    <mergeCell ref="A112:D112"/>
    <mergeCell ref="A5:I5"/>
    <mergeCell ref="K5:M5"/>
    <mergeCell ref="A6:I6"/>
    <mergeCell ref="K6:M6"/>
    <mergeCell ref="K27:L2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77D7-BBC7-4F90-A4F1-A5659506AEB2}">
  <dimension ref="A1:M314"/>
  <sheetViews>
    <sheetView topLeftCell="A91" workbookViewId="0">
      <selection activeCell="H113" sqref="H113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.44140625" bestFit="1" customWidth="1"/>
    <col min="5" max="5" width="20.6640625" customWidth="1"/>
    <col min="6" max="6" width="16.6640625" bestFit="1" customWidth="1"/>
    <col min="7" max="7" width="15.6640625" customWidth="1"/>
    <col min="8" max="8" width="9" bestFit="1" customWidth="1"/>
    <col min="9" max="9" width="30.5546875" style="3" customWidth="1"/>
    <col min="10" max="10" width="6.33203125" style="72" customWidth="1"/>
    <col min="11" max="11" width="17.5546875" customWidth="1"/>
    <col min="12" max="12" width="16.44140625" customWidth="1"/>
    <col min="13" max="13" width="14.44140625" customWidth="1"/>
  </cols>
  <sheetData>
    <row r="1" spans="1:13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3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3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3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3" ht="23.4" x14ac:dyDescent="0.45">
      <c r="A5" s="519" t="s">
        <v>1554</v>
      </c>
      <c r="B5" s="519"/>
      <c r="C5" s="519"/>
      <c r="D5" s="519"/>
      <c r="E5" s="519"/>
      <c r="F5" s="519"/>
      <c r="G5" s="519"/>
      <c r="H5" s="519"/>
      <c r="I5" s="519"/>
      <c r="J5" s="113"/>
      <c r="K5" s="513" t="s">
        <v>1553</v>
      </c>
      <c r="L5" s="514"/>
      <c r="M5" s="515"/>
    </row>
    <row r="6" spans="1:13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64" t="s">
        <v>34</v>
      </c>
      <c r="L6" s="565"/>
      <c r="M6" s="566"/>
    </row>
    <row r="7" spans="1:13" x14ac:dyDescent="0.3">
      <c r="A7" s="33" t="s">
        <v>13</v>
      </c>
      <c r="B7" s="33" t="s">
        <v>1340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8.600000000000001" customHeight="1" x14ac:dyDescent="0.3">
      <c r="A8" s="54">
        <v>46203</v>
      </c>
      <c r="B8" s="54"/>
      <c r="C8" s="13" t="s">
        <v>21</v>
      </c>
      <c r="D8" s="13"/>
      <c r="E8" s="67"/>
      <c r="F8" s="67"/>
      <c r="G8" s="67">
        <f>+E8-F8</f>
        <v>0</v>
      </c>
      <c r="H8" s="36"/>
      <c r="I8" s="105"/>
      <c r="J8" s="5"/>
      <c r="K8" s="39" t="s">
        <v>0</v>
      </c>
      <c r="L8" s="73" t="s">
        <v>92</v>
      </c>
      <c r="M8" s="26">
        <v>0</v>
      </c>
    </row>
    <row r="9" spans="1:13" s="6" customFormat="1" ht="16.2" customHeight="1" x14ac:dyDescent="0.3">
      <c r="A9" s="82"/>
      <c r="B9" s="50"/>
      <c r="C9" s="49"/>
      <c r="D9" s="15"/>
      <c r="E9" s="11"/>
      <c r="F9" s="374"/>
      <c r="G9" s="412"/>
      <c r="H9" s="76"/>
      <c r="I9" s="367"/>
      <c r="J9" s="110"/>
      <c r="K9" s="69" t="s">
        <v>1</v>
      </c>
      <c r="L9" s="73" t="s">
        <v>92</v>
      </c>
      <c r="M9" s="42">
        <v>0</v>
      </c>
    </row>
    <row r="10" spans="1:13" x14ac:dyDescent="0.3">
      <c r="A10" s="363"/>
      <c r="B10" s="363"/>
      <c r="C10" s="406"/>
      <c r="D10" s="407"/>
      <c r="E10" s="22"/>
      <c r="F10" s="374"/>
      <c r="G10" s="412"/>
      <c r="H10" s="76"/>
      <c r="I10" s="367"/>
      <c r="J10" s="110"/>
      <c r="K10" s="24" t="s">
        <v>27</v>
      </c>
      <c r="L10" s="73" t="s">
        <v>92</v>
      </c>
      <c r="M10" s="26">
        <v>0</v>
      </c>
    </row>
    <row r="11" spans="1:13" x14ac:dyDescent="0.3">
      <c r="A11" s="363"/>
      <c r="B11" s="363"/>
      <c r="C11" s="406"/>
      <c r="D11" s="407"/>
      <c r="E11" s="22"/>
      <c r="F11" s="374"/>
      <c r="G11" s="412"/>
      <c r="H11" s="76"/>
      <c r="I11" s="367"/>
      <c r="J11" s="110"/>
      <c r="K11" s="126" t="s">
        <v>429</v>
      </c>
      <c r="L11" s="73" t="s">
        <v>92</v>
      </c>
      <c r="M11" s="80">
        <f>SUM(H12+H18+H23+H36+H37+H49)</f>
        <v>0</v>
      </c>
    </row>
    <row r="12" spans="1:13" x14ac:dyDescent="0.3">
      <c r="A12" s="363"/>
      <c r="B12" s="363"/>
      <c r="C12" s="406"/>
      <c r="D12" s="305"/>
      <c r="E12" s="22"/>
      <c r="F12" s="374"/>
      <c r="G12" s="413"/>
      <c r="H12" s="414"/>
      <c r="I12" s="367"/>
      <c r="J12" s="110"/>
      <c r="K12" s="126" t="s">
        <v>62</v>
      </c>
      <c r="L12" s="73" t="s">
        <v>92</v>
      </c>
      <c r="M12" s="80">
        <f>SUM(H16+H33+H41+H53)</f>
        <v>0</v>
      </c>
    </row>
    <row r="13" spans="1:13" x14ac:dyDescent="0.3">
      <c r="A13" s="363"/>
      <c r="B13" s="363"/>
      <c r="C13" s="406"/>
      <c r="D13" s="408"/>
      <c r="E13" s="22"/>
      <c r="F13" s="374"/>
      <c r="G13" s="413"/>
      <c r="H13" s="76"/>
      <c r="I13" s="367"/>
      <c r="J13" s="110"/>
      <c r="K13" s="126" t="s">
        <v>361</v>
      </c>
      <c r="L13" s="73" t="s">
        <v>92</v>
      </c>
      <c r="M13" s="80">
        <v>0</v>
      </c>
    </row>
    <row r="14" spans="1:13" x14ac:dyDescent="0.3">
      <c r="A14" s="363"/>
      <c r="B14" s="363"/>
      <c r="C14" s="406"/>
      <c r="D14" s="305"/>
      <c r="E14" s="22"/>
      <c r="F14" s="374"/>
      <c r="G14" s="413"/>
      <c r="H14" s="76"/>
      <c r="I14" s="367"/>
      <c r="J14" s="110"/>
      <c r="K14" s="391" t="s">
        <v>541</v>
      </c>
      <c r="L14" s="73" t="s">
        <v>92</v>
      </c>
      <c r="M14" s="80">
        <f>SUM(H46)</f>
        <v>0</v>
      </c>
    </row>
    <row r="15" spans="1:13" x14ac:dyDescent="0.3">
      <c r="A15" s="363"/>
      <c r="B15" s="363"/>
      <c r="C15" s="406"/>
      <c r="D15" s="305"/>
      <c r="E15" s="22"/>
      <c r="F15" s="374"/>
      <c r="G15" s="413"/>
      <c r="H15" s="76"/>
      <c r="I15" s="367"/>
      <c r="J15" s="110"/>
      <c r="K15" s="69" t="s">
        <v>24</v>
      </c>
      <c r="L15" s="73" t="s">
        <v>92</v>
      </c>
      <c r="M15" s="26">
        <v>0</v>
      </c>
    </row>
    <row r="16" spans="1:13" x14ac:dyDescent="0.3">
      <c r="A16" s="363"/>
      <c r="B16" s="363"/>
      <c r="C16" s="406"/>
      <c r="D16" s="305"/>
      <c r="E16" s="22"/>
      <c r="F16" s="374"/>
      <c r="G16" s="412"/>
      <c r="H16" s="76"/>
      <c r="I16" s="367"/>
      <c r="J16" s="110"/>
      <c r="K16" s="69" t="s">
        <v>29</v>
      </c>
      <c r="L16" s="73" t="s">
        <v>92</v>
      </c>
      <c r="M16" s="26">
        <f>SUM(H13+H39+H56)</f>
        <v>0</v>
      </c>
    </row>
    <row r="17" spans="1:13" x14ac:dyDescent="0.3">
      <c r="A17" s="363"/>
      <c r="B17" s="363"/>
      <c r="C17" s="406"/>
      <c r="D17" s="305"/>
      <c r="E17" s="22"/>
      <c r="F17" s="374"/>
      <c r="G17" s="412"/>
      <c r="H17" s="76"/>
      <c r="I17" s="367"/>
      <c r="J17" s="110"/>
      <c r="K17" s="69" t="s">
        <v>3</v>
      </c>
      <c r="L17" s="73" t="s">
        <v>92</v>
      </c>
      <c r="M17" s="26">
        <f>SUM(H17+H34+H48+H55)</f>
        <v>0</v>
      </c>
    </row>
    <row r="18" spans="1:13" x14ac:dyDescent="0.3">
      <c r="A18" s="363"/>
      <c r="B18" s="363"/>
      <c r="C18" s="406"/>
      <c r="D18" s="305"/>
      <c r="E18" s="22"/>
      <c r="F18" s="374"/>
      <c r="G18" s="412"/>
      <c r="H18" s="76"/>
      <c r="I18" s="367"/>
      <c r="J18" s="110"/>
      <c r="K18" s="69" t="s">
        <v>5</v>
      </c>
      <c r="L18" s="73" t="s">
        <v>92</v>
      </c>
      <c r="M18" s="26">
        <f>SUM(H10+H24+H45+H50+H51)</f>
        <v>0</v>
      </c>
    </row>
    <row r="19" spans="1:13" x14ac:dyDescent="0.3">
      <c r="A19" s="363"/>
      <c r="B19" s="363"/>
      <c r="C19" s="406"/>
      <c r="D19" s="305"/>
      <c r="E19" s="22"/>
      <c r="F19" s="374"/>
      <c r="G19" s="412"/>
      <c r="H19" s="76"/>
      <c r="I19" s="367"/>
      <c r="J19" s="110"/>
      <c r="K19" s="69" t="s">
        <v>61</v>
      </c>
      <c r="L19" s="73" t="s">
        <v>92</v>
      </c>
      <c r="M19" s="26">
        <f>SUM(H8+H42)</f>
        <v>0</v>
      </c>
    </row>
    <row r="20" spans="1:13" x14ac:dyDescent="0.3">
      <c r="A20" s="363"/>
      <c r="B20" s="363"/>
      <c r="C20" s="406"/>
      <c r="D20" s="305"/>
      <c r="E20" s="22"/>
      <c r="F20" s="374"/>
      <c r="G20" s="412"/>
      <c r="H20" s="76"/>
      <c r="I20" s="367"/>
      <c r="J20" s="110"/>
      <c r="K20" s="69" t="s">
        <v>22</v>
      </c>
      <c r="L20" s="73" t="s">
        <v>92</v>
      </c>
      <c r="M20" s="26">
        <f>SUM(H15)</f>
        <v>0</v>
      </c>
    </row>
    <row r="21" spans="1:13" x14ac:dyDescent="0.3">
      <c r="A21" s="409"/>
      <c r="B21" s="409"/>
      <c r="C21" s="410"/>
      <c r="D21" s="407"/>
      <c r="E21" s="22"/>
      <c r="F21" s="374"/>
      <c r="G21" s="412"/>
      <c r="H21" s="76"/>
      <c r="I21" s="367"/>
      <c r="J21" s="110"/>
      <c r="K21" s="69" t="s">
        <v>6</v>
      </c>
      <c r="L21" s="73" t="s">
        <v>92</v>
      </c>
      <c r="M21" s="26">
        <f>SUM(H14+H31+H54)</f>
        <v>0</v>
      </c>
    </row>
    <row r="22" spans="1:13" x14ac:dyDescent="0.3">
      <c r="A22" s="409"/>
      <c r="B22" s="409"/>
      <c r="C22" s="410"/>
      <c r="D22" s="407"/>
      <c r="E22" s="22"/>
      <c r="F22" s="374"/>
      <c r="G22" s="415"/>
      <c r="H22" s="414"/>
      <c r="I22" s="367"/>
      <c r="J22" s="110"/>
      <c r="K22" s="69" t="s">
        <v>8</v>
      </c>
      <c r="L22" s="73" t="s">
        <v>92</v>
      </c>
      <c r="M22" s="26">
        <f>SUM(H26+H40+H52)</f>
        <v>0</v>
      </c>
    </row>
    <row r="23" spans="1:13" x14ac:dyDescent="0.3">
      <c r="A23" s="409"/>
      <c r="B23" s="409"/>
      <c r="C23" s="410"/>
      <c r="D23" s="407"/>
      <c r="E23" s="22"/>
      <c r="F23" s="374"/>
      <c r="G23" s="415"/>
      <c r="H23" s="76"/>
      <c r="I23" s="367"/>
      <c r="J23" s="110"/>
      <c r="K23" s="69" t="s">
        <v>9</v>
      </c>
      <c r="L23" s="73" t="s">
        <v>92</v>
      </c>
      <c r="M23" s="26">
        <f>SUM(H19+H29)</f>
        <v>0</v>
      </c>
    </row>
    <row r="24" spans="1:13" x14ac:dyDescent="0.3">
      <c r="A24" s="409"/>
      <c r="B24" s="409"/>
      <c r="C24" s="410"/>
      <c r="D24" s="407"/>
      <c r="E24" s="22"/>
      <c r="F24" s="374"/>
      <c r="G24" s="415"/>
      <c r="H24" s="76"/>
      <c r="I24" s="367"/>
      <c r="J24" s="110"/>
      <c r="K24" s="69" t="s">
        <v>30</v>
      </c>
      <c r="L24" s="73" t="s">
        <v>92</v>
      </c>
      <c r="M24" s="26">
        <f>SUM(H6+H44)</f>
        <v>0</v>
      </c>
    </row>
    <row r="25" spans="1:13" x14ac:dyDescent="0.3">
      <c r="A25" s="409"/>
      <c r="B25" s="409"/>
      <c r="C25" s="410"/>
      <c r="D25" s="305"/>
      <c r="E25" s="11"/>
      <c r="F25" s="374"/>
      <c r="G25" s="415"/>
      <c r="H25" s="76"/>
      <c r="I25" s="367"/>
      <c r="J25"/>
      <c r="K25" s="69" t="s">
        <v>10</v>
      </c>
      <c r="L25" s="73" t="s">
        <v>92</v>
      </c>
      <c r="M25" s="26">
        <f>SUM(H28)</f>
        <v>0</v>
      </c>
    </row>
    <row r="26" spans="1:13" x14ac:dyDescent="0.3">
      <c r="A26" s="409"/>
      <c r="B26" s="409"/>
      <c r="C26" s="410"/>
      <c r="D26" s="305"/>
      <c r="E26" s="27"/>
      <c r="F26" s="374"/>
      <c r="G26" s="415"/>
      <c r="H26" s="76"/>
      <c r="I26" s="367"/>
      <c r="J26"/>
      <c r="K26" s="69" t="s">
        <v>11</v>
      </c>
      <c r="L26" s="73" t="s">
        <v>92</v>
      </c>
      <c r="M26" s="26">
        <f>SUM(H11+H20+H27+H32+H35)</f>
        <v>0</v>
      </c>
    </row>
    <row r="27" spans="1:13" x14ac:dyDescent="0.3">
      <c r="A27" s="409"/>
      <c r="B27" s="409"/>
      <c r="C27" s="410"/>
      <c r="D27" s="305"/>
      <c r="E27" s="11"/>
      <c r="F27" s="374"/>
      <c r="G27" s="415"/>
      <c r="H27" s="76"/>
      <c r="I27" s="367"/>
      <c r="J27" s="112"/>
      <c r="K27" s="540" t="s">
        <v>695</v>
      </c>
      <c r="L27" s="541"/>
      <c r="M27" s="148">
        <f>SUM(M7:M26)</f>
        <v>0</v>
      </c>
    </row>
    <row r="28" spans="1:13" ht="14.4" customHeight="1" x14ac:dyDescent="0.3">
      <c r="A28" s="409"/>
      <c r="B28" s="409"/>
      <c r="C28" s="410"/>
      <c r="D28" s="305"/>
      <c r="E28" s="11"/>
      <c r="F28" s="374"/>
      <c r="G28" s="412"/>
      <c r="H28" s="76"/>
      <c r="I28" s="367"/>
      <c r="J28" s="25"/>
      <c r="K28" s="146"/>
      <c r="L28" s="146"/>
    </row>
    <row r="29" spans="1:13" x14ac:dyDescent="0.3">
      <c r="A29" s="409"/>
      <c r="B29" s="409"/>
      <c r="C29" s="411"/>
      <c r="D29" s="409"/>
      <c r="E29" s="47"/>
      <c r="F29" s="374"/>
      <c r="G29" s="412"/>
      <c r="H29" s="76"/>
      <c r="I29" s="367"/>
      <c r="J29" s="110"/>
      <c r="K29" s="146"/>
      <c r="L29" s="146"/>
    </row>
    <row r="30" spans="1:13" x14ac:dyDescent="0.3">
      <c r="A30" s="409"/>
      <c r="B30" s="409"/>
      <c r="C30" s="411"/>
      <c r="D30" s="409"/>
      <c r="E30" s="47"/>
      <c r="F30" s="374"/>
      <c r="G30" s="412"/>
      <c r="H30" s="76"/>
      <c r="I30" s="367"/>
      <c r="J30" s="110"/>
      <c r="K30" s="146"/>
      <c r="L30" s="146"/>
    </row>
    <row r="31" spans="1:13" x14ac:dyDescent="0.3">
      <c r="A31" s="409"/>
      <c r="B31" s="409"/>
      <c r="C31" s="411"/>
      <c r="D31" s="409"/>
      <c r="E31" s="47"/>
      <c r="F31" s="374"/>
      <c r="G31" s="412"/>
      <c r="H31" s="76"/>
      <c r="I31" s="367"/>
      <c r="J31" s="110"/>
      <c r="K31" s="146"/>
      <c r="L31" s="146"/>
    </row>
    <row r="32" spans="1:13" x14ac:dyDescent="0.3">
      <c r="A32" s="409"/>
      <c r="B32" s="409"/>
      <c r="C32" s="411"/>
      <c r="D32" s="409"/>
      <c r="E32" s="47"/>
      <c r="F32" s="374"/>
      <c r="G32" s="412"/>
      <c r="H32" s="76"/>
      <c r="I32" s="367"/>
      <c r="J32" s="110"/>
      <c r="K32" s="146"/>
      <c r="L32" s="146"/>
    </row>
    <row r="33" spans="1:12" x14ac:dyDescent="0.3">
      <c r="A33" s="409"/>
      <c r="B33" s="409"/>
      <c r="C33" s="411"/>
      <c r="D33" s="409"/>
      <c r="E33" s="47"/>
      <c r="F33" s="374"/>
      <c r="G33" s="412"/>
      <c r="H33" s="76"/>
      <c r="I33" s="367"/>
      <c r="J33" s="110"/>
      <c r="K33" s="146"/>
      <c r="L33" s="146"/>
    </row>
    <row r="34" spans="1:12" x14ac:dyDescent="0.3">
      <c r="A34" s="409"/>
      <c r="B34" s="409"/>
      <c r="C34" s="411"/>
      <c r="D34" s="409"/>
      <c r="E34" s="47"/>
      <c r="F34" s="374"/>
      <c r="G34" s="412"/>
      <c r="H34" s="76"/>
      <c r="I34" s="367"/>
      <c r="J34" s="110"/>
      <c r="K34" s="146"/>
      <c r="L34" s="146"/>
    </row>
    <row r="35" spans="1:12" x14ac:dyDescent="0.3">
      <c r="A35" s="409"/>
      <c r="B35" s="409"/>
      <c r="C35" s="411"/>
      <c r="D35" s="409"/>
      <c r="E35" s="192"/>
      <c r="F35" s="416"/>
      <c r="G35" s="412"/>
      <c r="H35" s="76"/>
      <c r="I35" s="367"/>
      <c r="J35" s="110"/>
      <c r="K35" s="146"/>
      <c r="L35" s="146"/>
    </row>
    <row r="36" spans="1:12" x14ac:dyDescent="0.3">
      <c r="A36" s="409"/>
      <c r="B36" s="407"/>
      <c r="C36" s="410"/>
      <c r="D36" s="407"/>
      <c r="E36" s="192"/>
      <c r="F36" s="416"/>
      <c r="G36" s="412"/>
      <c r="H36" s="76"/>
      <c r="I36" s="367"/>
      <c r="J36" s="110"/>
      <c r="K36" s="146"/>
      <c r="L36" s="146"/>
    </row>
    <row r="37" spans="1:12" x14ac:dyDescent="0.3">
      <c r="A37" s="409"/>
      <c r="B37" s="407"/>
      <c r="C37" s="410"/>
      <c r="D37" s="407"/>
      <c r="E37" s="192"/>
      <c r="F37" s="416"/>
      <c r="G37" s="412"/>
      <c r="H37" s="414"/>
      <c r="I37" s="367"/>
      <c r="J37" s="110"/>
      <c r="K37" s="146"/>
      <c r="L37" s="146"/>
    </row>
    <row r="38" spans="1:12" x14ac:dyDescent="0.3">
      <c r="A38" s="409"/>
      <c r="B38" s="407"/>
      <c r="C38" s="410"/>
      <c r="D38" s="407"/>
      <c r="E38" s="192"/>
      <c r="F38" s="416"/>
      <c r="G38" s="412"/>
      <c r="H38" s="76"/>
      <c r="I38" s="367"/>
      <c r="J38" s="110"/>
      <c r="K38" s="146"/>
      <c r="L38" s="146"/>
    </row>
    <row r="39" spans="1:12" x14ac:dyDescent="0.3">
      <c r="A39" s="409"/>
      <c r="B39" s="407"/>
      <c r="C39" s="410"/>
      <c r="D39" s="407"/>
      <c r="E39" s="192"/>
      <c r="F39" s="416"/>
      <c r="G39" s="412"/>
      <c r="H39" s="76"/>
      <c r="I39" s="367"/>
      <c r="J39" s="110"/>
      <c r="K39" s="146"/>
      <c r="L39" s="146"/>
    </row>
    <row r="40" spans="1:12" x14ac:dyDescent="0.3">
      <c r="A40" s="409"/>
      <c r="B40" s="407"/>
      <c r="C40" s="410"/>
      <c r="D40" s="407"/>
      <c r="E40" s="192"/>
      <c r="F40" s="416"/>
      <c r="G40" s="412"/>
      <c r="H40" s="76"/>
      <c r="I40" s="367"/>
      <c r="J40" s="110"/>
      <c r="K40" s="146"/>
      <c r="L40" s="146"/>
    </row>
    <row r="41" spans="1:12" x14ac:dyDescent="0.3">
      <c r="A41" s="409"/>
      <c r="B41" s="407"/>
      <c r="C41" s="410"/>
      <c r="D41" s="407"/>
      <c r="E41" s="192"/>
      <c r="F41" s="416"/>
      <c r="G41" s="412"/>
      <c r="H41" s="76"/>
      <c r="I41" s="367"/>
      <c r="J41" s="110"/>
      <c r="K41" s="146"/>
      <c r="L41" s="146"/>
    </row>
    <row r="42" spans="1:12" x14ac:dyDescent="0.3">
      <c r="A42" s="409"/>
      <c r="B42" s="407"/>
      <c r="C42" s="410"/>
      <c r="D42" s="407"/>
      <c r="E42" s="192"/>
      <c r="F42" s="416"/>
      <c r="G42" s="415"/>
      <c r="H42" s="414"/>
      <c r="I42" s="367"/>
      <c r="J42" s="110"/>
    </row>
    <row r="43" spans="1:12" x14ac:dyDescent="0.3">
      <c r="A43" s="409"/>
      <c r="B43" s="407"/>
      <c r="C43" s="410"/>
      <c r="D43" s="407"/>
      <c r="E43" s="192"/>
      <c r="F43" s="416"/>
      <c r="G43" s="415"/>
      <c r="H43" s="76"/>
      <c r="I43" s="367"/>
      <c r="J43" s="110"/>
    </row>
    <row r="44" spans="1:12" x14ac:dyDescent="0.3">
      <c r="A44" s="409"/>
      <c r="B44" s="407"/>
      <c r="C44" s="410"/>
      <c r="D44" s="407"/>
      <c r="E44" s="192"/>
      <c r="F44" s="416"/>
      <c r="G44" s="415"/>
      <c r="H44" s="76"/>
      <c r="I44" s="367"/>
      <c r="J44" s="110"/>
    </row>
    <row r="45" spans="1:12" x14ac:dyDescent="0.3">
      <c r="A45" s="409"/>
      <c r="B45" s="407"/>
      <c r="C45" s="410"/>
      <c r="D45" s="407"/>
      <c r="E45" s="192"/>
      <c r="F45" s="416"/>
      <c r="G45" s="415"/>
      <c r="H45" s="76"/>
      <c r="I45" s="367"/>
      <c r="J45" s="110"/>
    </row>
    <row r="46" spans="1:12" x14ac:dyDescent="0.3">
      <c r="A46" s="409"/>
      <c r="B46" s="407"/>
      <c r="C46" s="410"/>
      <c r="D46" s="407"/>
      <c r="E46" s="192"/>
      <c r="F46" s="416"/>
      <c r="G46" s="415"/>
      <c r="H46" s="414"/>
      <c r="I46" s="367"/>
      <c r="J46" s="110"/>
    </row>
    <row r="47" spans="1:12" x14ac:dyDescent="0.3">
      <c r="A47" s="409"/>
      <c r="B47" s="407"/>
      <c r="C47" s="410"/>
      <c r="D47" s="407"/>
      <c r="E47" s="192"/>
      <c r="F47" s="416"/>
      <c r="G47" s="415"/>
      <c r="H47" s="414"/>
      <c r="I47" s="367"/>
      <c r="J47" s="110"/>
    </row>
    <row r="48" spans="1:12" x14ac:dyDescent="0.3">
      <c r="A48" s="409"/>
      <c r="B48" s="407"/>
      <c r="C48" s="410"/>
      <c r="D48" s="407"/>
      <c r="E48" s="192"/>
      <c r="F48" s="416"/>
      <c r="G48" s="415"/>
      <c r="H48" s="76"/>
      <c r="I48" s="367"/>
      <c r="J48" s="110"/>
    </row>
    <row r="49" spans="1:10" x14ac:dyDescent="0.3">
      <c r="A49" s="409"/>
      <c r="B49" s="407"/>
      <c r="C49" s="410"/>
      <c r="D49" s="407"/>
      <c r="E49" s="192"/>
      <c r="F49" s="416"/>
      <c r="G49" s="415"/>
      <c r="H49" s="76"/>
      <c r="I49" s="367"/>
      <c r="J49" s="110"/>
    </row>
    <row r="50" spans="1:10" x14ac:dyDescent="0.3">
      <c r="A50" s="409"/>
      <c r="B50" s="407"/>
      <c r="C50" s="410"/>
      <c r="D50" s="407"/>
      <c r="E50" s="192"/>
      <c r="F50" s="416"/>
      <c r="G50" s="415"/>
      <c r="H50" s="76"/>
      <c r="I50" s="367"/>
      <c r="J50" s="110"/>
    </row>
    <row r="51" spans="1:10" x14ac:dyDescent="0.3">
      <c r="A51" s="409"/>
      <c r="B51" s="407"/>
      <c r="C51" s="410"/>
      <c r="D51" s="407"/>
      <c r="E51" s="192"/>
      <c r="F51" s="416"/>
      <c r="G51" s="415"/>
      <c r="H51" s="76"/>
      <c r="I51" s="367"/>
      <c r="J51" s="110"/>
    </row>
    <row r="52" spans="1:10" x14ac:dyDescent="0.3">
      <c r="A52" s="409"/>
      <c r="B52" s="407"/>
      <c r="C52" s="410"/>
      <c r="D52" s="407"/>
      <c r="E52" s="192"/>
      <c r="F52" s="416"/>
      <c r="G52" s="412"/>
      <c r="H52" s="76"/>
      <c r="I52" s="367"/>
      <c r="J52" s="110"/>
    </row>
    <row r="53" spans="1:10" x14ac:dyDescent="0.3">
      <c r="A53" s="409"/>
      <c r="B53" s="407"/>
      <c r="C53" s="410"/>
      <c r="D53" s="407"/>
      <c r="E53" s="192"/>
      <c r="F53" s="416"/>
      <c r="G53" s="415"/>
      <c r="H53" s="414"/>
      <c r="I53" s="367"/>
      <c r="J53" s="110"/>
    </row>
    <row r="54" spans="1:10" x14ac:dyDescent="0.3">
      <c r="A54" s="409"/>
      <c r="B54" s="407"/>
      <c r="C54" s="410"/>
      <c r="D54" s="407"/>
      <c r="E54" s="192"/>
      <c r="F54" s="416"/>
      <c r="G54" s="415"/>
      <c r="H54" s="76"/>
      <c r="I54" s="367"/>
      <c r="J54" s="110"/>
    </row>
    <row r="55" spans="1:10" x14ac:dyDescent="0.3">
      <c r="A55" s="409"/>
      <c r="B55" s="407"/>
      <c r="C55" s="410"/>
      <c r="D55" s="407"/>
      <c r="E55" s="192"/>
      <c r="F55" s="416"/>
      <c r="G55" s="412"/>
      <c r="H55" s="414"/>
      <c r="I55" s="367"/>
      <c r="J55" s="110"/>
    </row>
    <row r="56" spans="1:10" x14ac:dyDescent="0.3">
      <c r="A56" s="409"/>
      <c r="B56" s="407"/>
      <c r="C56" s="410"/>
      <c r="D56" s="407"/>
      <c r="E56" s="192"/>
      <c r="F56" s="416"/>
      <c r="G56" s="412"/>
      <c r="H56" s="414"/>
      <c r="I56" s="367"/>
      <c r="J56" s="110"/>
    </row>
    <row r="57" spans="1:10" x14ac:dyDescent="0.3">
      <c r="A57" s="409"/>
      <c r="B57" s="407"/>
      <c r="C57" s="410"/>
      <c r="D57" s="407"/>
      <c r="E57" s="192"/>
      <c r="F57" s="416"/>
      <c r="G57" s="412"/>
      <c r="H57" s="76"/>
      <c r="I57" s="367"/>
      <c r="J57" s="110"/>
    </row>
    <row r="58" spans="1:10" ht="14.4" customHeight="1" x14ac:dyDescent="0.3">
      <c r="A58" s="409"/>
      <c r="B58" s="407"/>
      <c r="C58" s="410"/>
      <c r="D58" s="407"/>
      <c r="E58" s="192"/>
      <c r="F58" s="416"/>
      <c r="G58" s="412"/>
      <c r="H58" s="414"/>
      <c r="I58" s="233"/>
      <c r="J58" s="110"/>
    </row>
    <row r="59" spans="1:10" ht="13.95" customHeight="1" x14ac:dyDescent="0.3">
      <c r="A59" s="409"/>
      <c r="B59" s="407"/>
      <c r="C59" s="410"/>
      <c r="D59" s="407"/>
      <c r="E59" s="192"/>
      <c r="F59" s="416"/>
      <c r="G59" s="412"/>
      <c r="H59" s="76"/>
      <c r="I59" s="367"/>
      <c r="J59" s="110"/>
    </row>
    <row r="60" spans="1:10" ht="13.95" customHeight="1" x14ac:dyDescent="0.3">
      <c r="A60" s="409"/>
      <c r="B60" s="407"/>
      <c r="C60" s="410"/>
      <c r="D60" s="407"/>
      <c r="E60" s="192"/>
      <c r="F60" s="416"/>
      <c r="G60" s="412"/>
      <c r="H60" s="76"/>
      <c r="I60" s="367"/>
      <c r="J60" s="110"/>
    </row>
    <row r="61" spans="1:10" ht="13.95" customHeight="1" x14ac:dyDescent="0.3">
      <c r="A61" s="409"/>
      <c r="B61" s="407"/>
      <c r="C61" s="410"/>
      <c r="D61" s="407"/>
      <c r="E61" s="192"/>
      <c r="F61" s="416"/>
      <c r="G61" s="412"/>
      <c r="H61" s="76"/>
      <c r="I61" s="367"/>
      <c r="J61" s="110"/>
    </row>
    <row r="62" spans="1:10" ht="13.95" customHeight="1" x14ac:dyDescent="0.3">
      <c r="A62" s="409"/>
      <c r="B62" s="407"/>
      <c r="C62" s="410"/>
      <c r="D62" s="407"/>
      <c r="E62" s="192"/>
      <c r="F62" s="416"/>
      <c r="G62" s="412"/>
      <c r="H62" s="76"/>
      <c r="I62" s="367"/>
      <c r="J62" s="110"/>
    </row>
    <row r="63" spans="1:10" ht="13.95" customHeight="1" x14ac:dyDescent="0.3">
      <c r="A63" s="119"/>
      <c r="B63" s="233"/>
      <c r="C63" s="115"/>
      <c r="D63" s="305"/>
      <c r="E63" s="22"/>
      <c r="F63" s="417"/>
      <c r="G63" s="412"/>
      <c r="H63" s="76"/>
      <c r="I63" s="367"/>
      <c r="J63" s="110"/>
    </row>
    <row r="64" spans="1:10" ht="13.95" customHeight="1" x14ac:dyDescent="0.3">
      <c r="A64" s="119"/>
      <c r="B64" s="233"/>
      <c r="C64" s="115"/>
      <c r="D64" s="305"/>
      <c r="E64" s="22"/>
      <c r="F64" s="417"/>
      <c r="G64" s="415"/>
      <c r="H64" s="414"/>
      <c r="I64" s="367"/>
      <c r="J64" s="110"/>
    </row>
    <row r="65" spans="1:10" ht="13.95" customHeight="1" x14ac:dyDescent="0.3">
      <c r="A65" s="119"/>
      <c r="B65" s="233"/>
      <c r="C65" s="115"/>
      <c r="D65" s="305"/>
      <c r="E65" s="22"/>
      <c r="F65" s="417"/>
      <c r="G65" s="415"/>
      <c r="H65" s="414"/>
      <c r="I65" s="367"/>
      <c r="J65" s="110"/>
    </row>
    <row r="66" spans="1:10" ht="13.95" customHeight="1" x14ac:dyDescent="0.3">
      <c r="A66" s="119"/>
      <c r="B66" s="233"/>
      <c r="C66" s="115"/>
      <c r="D66" s="305"/>
      <c r="E66" s="22"/>
      <c r="F66" s="417"/>
      <c r="G66" s="412"/>
      <c r="H66" s="76"/>
      <c r="I66" s="367"/>
      <c r="J66" s="110"/>
    </row>
    <row r="67" spans="1:10" ht="13.95" customHeight="1" x14ac:dyDescent="0.3">
      <c r="A67" s="119"/>
      <c r="B67" s="233"/>
      <c r="C67" s="115"/>
      <c r="D67" s="305"/>
      <c r="E67" s="22"/>
      <c r="F67" s="417"/>
      <c r="G67" s="412"/>
      <c r="H67" s="76"/>
      <c r="I67" s="367"/>
      <c r="J67" s="110"/>
    </row>
    <row r="68" spans="1:10" ht="13.95" customHeight="1" x14ac:dyDescent="0.3">
      <c r="A68" s="119"/>
      <c r="B68" s="233"/>
      <c r="C68" s="115"/>
      <c r="D68" s="305"/>
      <c r="E68" s="22"/>
      <c r="F68" s="417"/>
      <c r="G68" s="412"/>
      <c r="H68" s="76"/>
      <c r="I68" s="367"/>
      <c r="J68" s="110"/>
    </row>
    <row r="69" spans="1:10" ht="13.95" customHeight="1" x14ac:dyDescent="0.3">
      <c r="A69" s="119"/>
      <c r="B69" s="233"/>
      <c r="C69" s="115"/>
      <c r="D69" s="305"/>
      <c r="E69" s="22"/>
      <c r="F69" s="417"/>
      <c r="G69" s="412"/>
      <c r="H69" s="76"/>
      <c r="I69" s="367"/>
      <c r="J69" s="110"/>
    </row>
    <row r="70" spans="1:10" ht="13.95" customHeight="1" x14ac:dyDescent="0.3">
      <c r="A70" s="119"/>
      <c r="B70" s="233"/>
      <c r="C70" s="115"/>
      <c r="D70" s="305"/>
      <c r="E70" s="22"/>
      <c r="F70" s="417"/>
      <c r="G70" s="412"/>
      <c r="H70" s="414"/>
      <c r="I70" s="367"/>
      <c r="J70" s="110"/>
    </row>
    <row r="71" spans="1:10" ht="13.95" customHeight="1" x14ac:dyDescent="0.3">
      <c r="A71" s="119"/>
      <c r="B71" s="233"/>
      <c r="C71" s="115"/>
      <c r="D71" s="305"/>
      <c r="E71" s="22"/>
      <c r="F71" s="417"/>
      <c r="G71" s="412"/>
      <c r="H71" s="76"/>
      <c r="I71" s="367"/>
      <c r="J71" s="110"/>
    </row>
    <row r="72" spans="1:10" ht="14.4" customHeight="1" x14ac:dyDescent="0.3">
      <c r="A72" s="119"/>
      <c r="B72" s="233"/>
      <c r="C72" s="115"/>
      <c r="D72" s="407"/>
      <c r="E72" s="22"/>
      <c r="F72" s="417"/>
      <c r="G72" s="412"/>
      <c r="H72" s="414"/>
      <c r="I72" s="233"/>
      <c r="J72" s="110"/>
    </row>
    <row r="73" spans="1:10" ht="13.95" customHeight="1" x14ac:dyDescent="0.3">
      <c r="A73" s="119"/>
      <c r="B73" s="233"/>
      <c r="C73" s="115"/>
      <c r="D73" s="305"/>
      <c r="E73" s="22"/>
      <c r="F73" s="417"/>
      <c r="G73" s="415"/>
      <c r="H73" s="414"/>
      <c r="I73" s="367"/>
      <c r="J73" s="110"/>
    </row>
    <row r="74" spans="1:10" ht="13.95" customHeight="1" x14ac:dyDescent="0.3">
      <c r="A74" s="119"/>
      <c r="B74" s="233"/>
      <c r="C74" s="115"/>
      <c r="D74" s="305"/>
      <c r="E74" s="22"/>
      <c r="F74" s="417"/>
      <c r="G74" s="415"/>
      <c r="H74" s="76"/>
      <c r="I74" s="367"/>
      <c r="J74" s="110"/>
    </row>
    <row r="75" spans="1:10" ht="13.95" customHeight="1" x14ac:dyDescent="0.3">
      <c r="A75" s="119"/>
      <c r="B75" s="233"/>
      <c r="C75" s="115"/>
      <c r="D75" s="305"/>
      <c r="E75" s="22"/>
      <c r="F75" s="417"/>
      <c r="G75" s="415"/>
      <c r="H75" s="76"/>
      <c r="I75" s="367"/>
      <c r="J75" s="110"/>
    </row>
    <row r="76" spans="1:10" ht="13.95" customHeight="1" x14ac:dyDescent="0.3">
      <c r="A76" s="119"/>
      <c r="B76" s="233"/>
      <c r="C76" s="115"/>
      <c r="D76" s="305"/>
      <c r="E76" s="22"/>
      <c r="F76" s="417"/>
      <c r="G76" s="415"/>
      <c r="H76" s="76"/>
      <c r="I76" s="367"/>
      <c r="J76" s="110"/>
    </row>
    <row r="77" spans="1:10" ht="13.95" customHeight="1" x14ac:dyDescent="0.3">
      <c r="A77" s="119"/>
      <c r="B77" s="233"/>
      <c r="C77" s="115"/>
      <c r="D77" s="305"/>
      <c r="E77" s="22"/>
      <c r="F77" s="417"/>
      <c r="G77" s="415"/>
      <c r="H77" s="76"/>
      <c r="I77" s="367"/>
      <c r="J77" s="110"/>
    </row>
    <row r="78" spans="1:10" ht="13.95" customHeight="1" x14ac:dyDescent="0.3">
      <c r="A78" s="119"/>
      <c r="B78" s="233"/>
      <c r="C78" s="115"/>
      <c r="D78" s="305"/>
      <c r="E78" s="22"/>
      <c r="F78" s="417"/>
      <c r="G78" s="415"/>
      <c r="H78" s="76"/>
      <c r="I78" s="367"/>
      <c r="J78" s="110"/>
    </row>
    <row r="79" spans="1:10" ht="13.95" customHeight="1" x14ac:dyDescent="0.3">
      <c r="A79" s="119"/>
      <c r="B79" s="233"/>
      <c r="C79" s="115"/>
      <c r="D79" s="305"/>
      <c r="E79" s="22"/>
      <c r="F79" s="417"/>
      <c r="G79" s="415"/>
      <c r="H79" s="76"/>
      <c r="I79" s="367"/>
      <c r="J79" s="110"/>
    </row>
    <row r="80" spans="1:10" ht="13.95" customHeight="1" x14ac:dyDescent="0.3">
      <c r="A80" s="119"/>
      <c r="B80" s="233"/>
      <c r="C80" s="115"/>
      <c r="D80" s="305"/>
      <c r="E80" s="22"/>
      <c r="F80" s="417"/>
      <c r="G80" s="415"/>
      <c r="H80" s="76"/>
      <c r="I80" s="367"/>
      <c r="J80" s="110"/>
    </row>
    <row r="81" spans="1:10" ht="13.95" customHeight="1" x14ac:dyDescent="0.3">
      <c r="A81" s="119"/>
      <c r="B81" s="233"/>
      <c r="C81" s="115"/>
      <c r="D81" s="305"/>
      <c r="E81" s="22"/>
      <c r="F81" s="417"/>
      <c r="G81" s="415"/>
      <c r="H81" s="76"/>
      <c r="I81" s="367"/>
      <c r="J81" s="110"/>
    </row>
    <row r="82" spans="1:10" ht="13.95" customHeight="1" x14ac:dyDescent="0.3">
      <c r="A82" s="119"/>
      <c r="B82" s="233"/>
      <c r="C82" s="115"/>
      <c r="D82" s="305"/>
      <c r="E82" s="22"/>
      <c r="F82" s="417"/>
      <c r="G82" s="415"/>
      <c r="H82" s="76"/>
      <c r="I82" s="367"/>
      <c r="J82" s="110"/>
    </row>
    <row r="83" spans="1:10" ht="13.95" customHeight="1" x14ac:dyDescent="0.3">
      <c r="A83" s="119"/>
      <c r="B83" s="233"/>
      <c r="C83" s="115"/>
      <c r="D83" s="305"/>
      <c r="E83" s="22"/>
      <c r="F83" s="417"/>
      <c r="G83" s="412"/>
      <c r="H83" s="76"/>
      <c r="I83" s="367"/>
      <c r="J83" s="110"/>
    </row>
    <row r="84" spans="1:10" ht="13.95" customHeight="1" x14ac:dyDescent="0.3">
      <c r="A84" s="119"/>
      <c r="B84" s="233"/>
      <c r="C84" s="115"/>
      <c r="D84" s="305"/>
      <c r="E84" s="22"/>
      <c r="F84" s="417"/>
      <c r="G84" s="412"/>
      <c r="H84" s="76"/>
      <c r="I84" s="367"/>
      <c r="J84" s="110"/>
    </row>
    <row r="85" spans="1:10" ht="13.95" customHeight="1" x14ac:dyDescent="0.3">
      <c r="A85" s="119"/>
      <c r="B85" s="233"/>
      <c r="C85" s="115"/>
      <c r="D85" s="305"/>
      <c r="E85" s="22"/>
      <c r="F85" s="417"/>
      <c r="G85" s="412"/>
      <c r="H85" s="76"/>
      <c r="I85" s="367"/>
      <c r="J85" s="110"/>
    </row>
    <row r="86" spans="1:10" ht="13.95" customHeight="1" x14ac:dyDescent="0.3">
      <c r="A86" s="119"/>
      <c r="B86" s="233"/>
      <c r="C86" s="115"/>
      <c r="D86" s="305"/>
      <c r="E86" s="22"/>
      <c r="F86" s="417"/>
      <c r="G86" s="415"/>
      <c r="H86" s="414"/>
      <c r="I86" s="367"/>
      <c r="J86" s="110"/>
    </row>
    <row r="87" spans="1:10" ht="13.95" customHeight="1" x14ac:dyDescent="0.3">
      <c r="A87" s="119"/>
      <c r="B87" s="233"/>
      <c r="C87" s="115"/>
      <c r="D87" s="305"/>
      <c r="E87" s="22"/>
      <c r="F87" s="417"/>
      <c r="G87" s="415"/>
      <c r="H87" s="76"/>
      <c r="I87" s="367"/>
      <c r="J87" s="110"/>
    </row>
    <row r="88" spans="1:10" ht="13.95" customHeight="1" x14ac:dyDescent="0.3">
      <c r="A88" s="119"/>
      <c r="B88" s="233"/>
      <c r="C88" s="115"/>
      <c r="D88" s="305"/>
      <c r="E88" s="22"/>
      <c r="F88" s="417"/>
      <c r="G88" s="415"/>
      <c r="H88" s="76"/>
      <c r="I88" s="367"/>
      <c r="J88" s="110"/>
    </row>
    <row r="89" spans="1:10" ht="13.95" customHeight="1" x14ac:dyDescent="0.3">
      <c r="A89" s="119"/>
      <c r="B89" s="233"/>
      <c r="C89" s="115"/>
      <c r="D89" s="305"/>
      <c r="E89" s="22"/>
      <c r="F89" s="417"/>
      <c r="G89" s="415"/>
      <c r="H89" s="76"/>
      <c r="I89" s="367"/>
      <c r="J89" s="110"/>
    </row>
    <row r="90" spans="1:10" ht="13.95" customHeight="1" x14ac:dyDescent="0.3">
      <c r="A90" s="119"/>
      <c r="B90" s="233"/>
      <c r="C90" s="115"/>
      <c r="D90" s="305"/>
      <c r="E90" s="22"/>
      <c r="F90" s="417"/>
      <c r="G90" s="415"/>
      <c r="H90" s="76"/>
      <c r="I90" s="367"/>
      <c r="J90" s="110"/>
    </row>
    <row r="91" spans="1:10" ht="13.95" customHeight="1" x14ac:dyDescent="0.3">
      <c r="A91" s="119"/>
      <c r="B91" s="233"/>
      <c r="C91" s="115"/>
      <c r="D91" s="305"/>
      <c r="E91" s="22"/>
      <c r="F91" s="417"/>
      <c r="G91" s="415"/>
      <c r="H91" s="76"/>
      <c r="I91" s="367"/>
      <c r="J91" s="110"/>
    </row>
    <row r="92" spans="1:10" ht="13.95" customHeight="1" x14ac:dyDescent="0.3">
      <c r="A92" s="119"/>
      <c r="B92" s="233"/>
      <c r="C92" s="115"/>
      <c r="D92" s="305"/>
      <c r="E92" s="22"/>
      <c r="F92" s="417"/>
      <c r="G92" s="412"/>
      <c r="H92" s="76"/>
      <c r="I92" s="367"/>
      <c r="J92" s="110"/>
    </row>
    <row r="93" spans="1:10" ht="13.95" customHeight="1" x14ac:dyDescent="0.3">
      <c r="A93" s="119"/>
      <c r="B93" s="233"/>
      <c r="C93" s="115"/>
      <c r="D93" s="305"/>
      <c r="E93" s="22"/>
      <c r="F93" s="417"/>
      <c r="G93" s="412"/>
      <c r="H93" s="76"/>
      <c r="I93" s="367"/>
      <c r="J93" s="110"/>
    </row>
    <row r="94" spans="1:10" ht="13.95" customHeight="1" x14ac:dyDescent="0.3">
      <c r="A94" s="119"/>
      <c r="B94" s="233"/>
      <c r="C94" s="115"/>
      <c r="D94" s="305"/>
      <c r="E94" s="22"/>
      <c r="F94" s="417"/>
      <c r="G94" s="412"/>
      <c r="H94" s="76"/>
      <c r="I94" s="367"/>
      <c r="J94" s="110"/>
    </row>
    <row r="95" spans="1:10" ht="13.95" customHeight="1" x14ac:dyDescent="0.3">
      <c r="A95" s="119"/>
      <c r="B95" s="233"/>
      <c r="C95" s="115"/>
      <c r="D95" s="305"/>
      <c r="E95" s="22"/>
      <c r="F95" s="417"/>
      <c r="G95" s="412"/>
      <c r="H95" s="76"/>
      <c r="I95" s="367"/>
      <c r="J95" s="110"/>
    </row>
    <row r="96" spans="1:10" x14ac:dyDescent="0.3">
      <c r="A96" s="119"/>
      <c r="B96" s="233"/>
      <c r="C96" s="115"/>
      <c r="D96" s="305"/>
      <c r="E96" s="22"/>
      <c r="F96" s="374"/>
      <c r="G96" s="412"/>
      <c r="H96" s="414"/>
      <c r="I96" s="367"/>
      <c r="J96" s="110"/>
    </row>
    <row r="97" spans="1:10" x14ac:dyDescent="0.3">
      <c r="A97" s="119"/>
      <c r="B97" s="233"/>
      <c r="C97" s="115"/>
      <c r="D97" s="305"/>
      <c r="E97" s="22"/>
      <c r="F97" s="374"/>
      <c r="G97" s="415"/>
      <c r="H97" s="414"/>
      <c r="I97" s="367"/>
      <c r="J97" s="110"/>
    </row>
    <row r="98" spans="1:10" x14ac:dyDescent="0.3">
      <c r="A98" s="119"/>
      <c r="B98" s="233"/>
      <c r="C98" s="115"/>
      <c r="D98" s="305"/>
      <c r="E98" s="22"/>
      <c r="F98" s="374"/>
      <c r="G98" s="415"/>
      <c r="H98" s="414"/>
      <c r="I98" s="367"/>
      <c r="J98" s="110"/>
    </row>
    <row r="99" spans="1:10" x14ac:dyDescent="0.3">
      <c r="A99" s="119"/>
      <c r="B99" s="233"/>
      <c r="C99" s="115"/>
      <c r="D99" s="305"/>
      <c r="E99" s="22"/>
      <c r="F99" s="374"/>
      <c r="G99" s="415"/>
      <c r="H99" s="414"/>
      <c r="I99" s="367"/>
      <c r="J99" s="110"/>
    </row>
    <row r="100" spans="1:10" x14ac:dyDescent="0.3">
      <c r="A100" s="119"/>
      <c r="B100" s="233"/>
      <c r="C100" s="115"/>
      <c r="D100" s="305"/>
      <c r="E100" s="22"/>
      <c r="F100" s="374"/>
      <c r="G100" s="415"/>
      <c r="H100" s="414"/>
      <c r="I100" s="367"/>
      <c r="J100" s="110"/>
    </row>
    <row r="101" spans="1:10" x14ac:dyDescent="0.3">
      <c r="A101" s="119"/>
      <c r="B101" s="233"/>
      <c r="C101" s="115"/>
      <c r="D101" s="305"/>
      <c r="E101" s="22"/>
      <c r="F101" s="374"/>
      <c r="G101" s="412"/>
      <c r="H101" s="414"/>
      <c r="I101" s="367"/>
      <c r="J101" s="110"/>
    </row>
    <row r="102" spans="1:10" x14ac:dyDescent="0.3">
      <c r="A102" s="119"/>
      <c r="B102" s="233"/>
      <c r="C102" s="115"/>
      <c r="D102" s="305"/>
      <c r="E102" s="22"/>
      <c r="F102" s="374"/>
      <c r="G102" s="412"/>
      <c r="H102" s="414"/>
      <c r="I102" s="367"/>
      <c r="J102" s="110"/>
    </row>
    <row r="103" spans="1:10" x14ac:dyDescent="0.3">
      <c r="A103" s="119"/>
      <c r="B103" s="233"/>
      <c r="C103" s="115"/>
      <c r="D103" s="305"/>
      <c r="E103" s="22"/>
      <c r="F103" s="374"/>
      <c r="G103" s="412"/>
      <c r="H103" s="414"/>
      <c r="I103" s="367"/>
      <c r="J103" s="110"/>
    </row>
    <row r="104" spans="1:10" x14ac:dyDescent="0.3">
      <c r="A104" s="119"/>
      <c r="B104" s="233"/>
      <c r="C104" s="115"/>
      <c r="D104" s="305"/>
      <c r="E104" s="22"/>
      <c r="F104" s="374"/>
      <c r="G104" s="415"/>
      <c r="H104" s="414"/>
      <c r="I104" s="367"/>
      <c r="J104" s="110"/>
    </row>
    <row r="105" spans="1:10" x14ac:dyDescent="0.3">
      <c r="A105" s="119"/>
      <c r="B105" s="233"/>
      <c r="C105" s="115"/>
      <c r="D105" s="305"/>
      <c r="E105" s="22"/>
      <c r="F105" s="374"/>
      <c r="G105" s="415"/>
      <c r="H105" s="414"/>
      <c r="I105" s="367"/>
      <c r="J105" s="110"/>
    </row>
    <row r="106" spans="1:10" x14ac:dyDescent="0.3">
      <c r="A106" s="119"/>
      <c r="B106" s="233"/>
      <c r="C106" s="115"/>
      <c r="D106" s="305"/>
      <c r="E106" s="22"/>
      <c r="F106" s="374"/>
      <c r="G106" s="415"/>
      <c r="H106" s="414"/>
      <c r="I106" s="367"/>
      <c r="J106" s="110"/>
    </row>
    <row r="107" spans="1:10" x14ac:dyDescent="0.3">
      <c r="A107" s="119"/>
      <c r="B107" s="233"/>
      <c r="C107" s="115"/>
      <c r="D107" s="305"/>
      <c r="E107" s="22"/>
      <c r="F107" s="374"/>
      <c r="G107" s="415"/>
      <c r="H107" s="414"/>
      <c r="I107" s="367"/>
      <c r="J107" s="110"/>
    </row>
    <row r="108" spans="1:10" x14ac:dyDescent="0.3">
      <c r="A108" s="119"/>
      <c r="B108" s="233"/>
      <c r="C108" s="115"/>
      <c r="D108" s="305"/>
      <c r="E108" s="22"/>
      <c r="F108" s="374"/>
      <c r="G108" s="415"/>
      <c r="H108" s="414"/>
      <c r="I108" s="367"/>
      <c r="J108" s="110"/>
    </row>
    <row r="109" spans="1:10" x14ac:dyDescent="0.3">
      <c r="A109" s="119"/>
      <c r="B109" s="233"/>
      <c r="C109" s="115"/>
      <c r="D109" s="305"/>
      <c r="E109" s="22"/>
      <c r="F109" s="374"/>
      <c r="G109" s="415"/>
      <c r="H109" s="414"/>
      <c r="I109" s="367"/>
      <c r="J109" s="110"/>
    </row>
    <row r="110" spans="1:10" x14ac:dyDescent="0.3">
      <c r="A110" s="119"/>
      <c r="B110" s="233"/>
      <c r="C110" s="236"/>
      <c r="D110" s="305"/>
      <c r="E110" s="22"/>
      <c r="F110" s="374"/>
      <c r="G110" s="415"/>
      <c r="H110" s="414"/>
      <c r="I110" s="367"/>
      <c r="J110" s="110"/>
    </row>
    <row r="111" spans="1:10" x14ac:dyDescent="0.3">
      <c r="A111" s="119"/>
      <c r="B111" s="233"/>
      <c r="C111" s="236"/>
      <c r="D111" s="305"/>
      <c r="E111" s="22"/>
      <c r="F111" s="374"/>
      <c r="G111" s="415"/>
      <c r="H111" s="414"/>
      <c r="I111" s="367"/>
      <c r="J111" s="110"/>
    </row>
    <row r="112" spans="1:10" ht="27" customHeight="1" x14ac:dyDescent="0.3">
      <c r="A112" s="572" t="s">
        <v>28</v>
      </c>
      <c r="B112" s="572"/>
      <c r="C112" s="572"/>
      <c r="D112" s="572"/>
      <c r="E112" s="83">
        <f>SUM(E8:E111)</f>
        <v>0</v>
      </c>
      <c r="F112" s="84">
        <f>SUM(F8:F111)</f>
        <v>0</v>
      </c>
      <c r="G112" s="32">
        <f>+G111</f>
        <v>0</v>
      </c>
      <c r="H112" s="75">
        <f>SUM(H9:H111)</f>
        <v>0</v>
      </c>
      <c r="I112" s="36"/>
      <c r="J112"/>
    </row>
    <row r="113" spans="10:10" x14ac:dyDescent="0.3">
      <c r="J113" s="3"/>
    </row>
    <row r="114" spans="10:10" x14ac:dyDescent="0.3">
      <c r="J114" s="3"/>
    </row>
    <row r="115" spans="10:10" x14ac:dyDescent="0.3">
      <c r="J115" s="3"/>
    </row>
    <row r="116" spans="10:10" x14ac:dyDescent="0.3">
      <c r="J116" s="3"/>
    </row>
    <row r="117" spans="10:10" x14ac:dyDescent="0.3">
      <c r="J117" s="3"/>
    </row>
    <row r="118" spans="10:10" x14ac:dyDescent="0.3">
      <c r="J118" s="3"/>
    </row>
    <row r="119" spans="10:10" x14ac:dyDescent="0.3">
      <c r="J119" s="3"/>
    </row>
    <row r="120" spans="10:10" x14ac:dyDescent="0.3">
      <c r="J120" s="3"/>
    </row>
    <row r="121" spans="10:10" x14ac:dyDescent="0.3">
      <c r="J121" s="3"/>
    </row>
    <row r="122" spans="10:10" x14ac:dyDescent="0.3">
      <c r="J122" s="3"/>
    </row>
    <row r="123" spans="10:10" x14ac:dyDescent="0.3">
      <c r="J123" s="3"/>
    </row>
    <row r="124" spans="10:10" x14ac:dyDescent="0.3">
      <c r="J124" s="3"/>
    </row>
    <row r="125" spans="10:10" x14ac:dyDescent="0.3">
      <c r="J125" s="3"/>
    </row>
    <row r="126" spans="10:10" x14ac:dyDescent="0.3">
      <c r="J126" s="3"/>
    </row>
    <row r="127" spans="10:10" x14ac:dyDescent="0.3">
      <c r="J127" s="3"/>
    </row>
    <row r="128" spans="10:10" x14ac:dyDescent="0.3">
      <c r="J128" s="3"/>
    </row>
    <row r="129" spans="10:10" x14ac:dyDescent="0.3">
      <c r="J129" s="3"/>
    </row>
    <row r="130" spans="10:10" x14ac:dyDescent="0.3">
      <c r="J130" s="3"/>
    </row>
    <row r="131" spans="10:10" x14ac:dyDescent="0.3">
      <c r="J131" s="3"/>
    </row>
    <row r="132" spans="10:10" x14ac:dyDescent="0.3">
      <c r="J132" s="3"/>
    </row>
    <row r="133" spans="10:10" x14ac:dyDescent="0.3">
      <c r="J133" s="3"/>
    </row>
    <row r="134" spans="10:10" x14ac:dyDescent="0.3">
      <c r="J134" s="3"/>
    </row>
    <row r="135" spans="10:10" x14ac:dyDescent="0.3">
      <c r="J135" s="3"/>
    </row>
    <row r="136" spans="10:10" x14ac:dyDescent="0.3">
      <c r="J136" s="3"/>
    </row>
    <row r="137" spans="10:10" x14ac:dyDescent="0.3">
      <c r="J137" s="3"/>
    </row>
    <row r="138" spans="10:10" x14ac:dyDescent="0.3">
      <c r="J138" s="3"/>
    </row>
    <row r="139" spans="10:10" x14ac:dyDescent="0.3">
      <c r="J139" s="3"/>
    </row>
    <row r="140" spans="10:10" x14ac:dyDescent="0.3">
      <c r="J140" s="3"/>
    </row>
    <row r="141" spans="10:10" x14ac:dyDescent="0.3">
      <c r="J141" s="3"/>
    </row>
    <row r="142" spans="10:10" x14ac:dyDescent="0.3">
      <c r="J142" s="3"/>
    </row>
    <row r="143" spans="10:10" x14ac:dyDescent="0.3">
      <c r="J143" s="3"/>
    </row>
    <row r="144" spans="10:10" x14ac:dyDescent="0.3">
      <c r="J144" s="3"/>
    </row>
    <row r="145" spans="10:10" x14ac:dyDescent="0.3">
      <c r="J145" s="3"/>
    </row>
    <row r="146" spans="10:10" x14ac:dyDescent="0.3">
      <c r="J146" s="3"/>
    </row>
    <row r="147" spans="10:10" x14ac:dyDescent="0.3">
      <c r="J147" s="3"/>
    </row>
    <row r="148" spans="10:10" x14ac:dyDescent="0.3">
      <c r="J148" s="3"/>
    </row>
    <row r="149" spans="10:10" x14ac:dyDescent="0.3">
      <c r="J149" s="3"/>
    </row>
    <row r="150" spans="10:10" x14ac:dyDescent="0.3">
      <c r="J150" s="3"/>
    </row>
    <row r="151" spans="10:10" x14ac:dyDescent="0.3">
      <c r="J151" s="3"/>
    </row>
    <row r="152" spans="10:10" x14ac:dyDescent="0.3">
      <c r="J152" s="3"/>
    </row>
    <row r="153" spans="10:10" x14ac:dyDescent="0.3">
      <c r="J153" s="3"/>
    </row>
    <row r="154" spans="10:10" x14ac:dyDescent="0.3">
      <c r="J154" s="3"/>
    </row>
    <row r="155" spans="10:10" x14ac:dyDescent="0.3">
      <c r="J155" s="3"/>
    </row>
    <row r="156" spans="10:10" x14ac:dyDescent="0.3">
      <c r="J156" s="3"/>
    </row>
    <row r="157" spans="10:10" x14ac:dyDescent="0.3">
      <c r="J157" s="3"/>
    </row>
    <row r="158" spans="10:10" x14ac:dyDescent="0.3">
      <c r="J158" s="3"/>
    </row>
    <row r="159" spans="10:10" x14ac:dyDescent="0.3">
      <c r="J159" s="3"/>
    </row>
    <row r="160" spans="10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</sheetData>
  <mergeCells count="6">
    <mergeCell ref="A112:D112"/>
    <mergeCell ref="A5:I5"/>
    <mergeCell ref="K5:M5"/>
    <mergeCell ref="A6:I6"/>
    <mergeCell ref="K6:M6"/>
    <mergeCell ref="K27:L27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114D-50E2-47E1-8C54-5BF3FD8F08D6}">
  <dimension ref="A1:M314"/>
  <sheetViews>
    <sheetView workbookViewId="0">
      <selection activeCell="J9" sqref="J9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.44140625" bestFit="1" customWidth="1"/>
    <col min="5" max="5" width="20.6640625" customWidth="1"/>
    <col min="6" max="6" width="16.6640625" bestFit="1" customWidth="1"/>
    <col min="7" max="7" width="15.6640625" customWidth="1"/>
    <col min="8" max="8" width="9" bestFit="1" customWidth="1"/>
    <col min="9" max="9" width="30.5546875" style="3" customWidth="1"/>
    <col min="10" max="10" width="6.33203125" style="72" customWidth="1"/>
    <col min="11" max="11" width="17.5546875" customWidth="1"/>
    <col min="12" max="12" width="16.44140625" customWidth="1"/>
    <col min="13" max="13" width="14.44140625" customWidth="1"/>
  </cols>
  <sheetData>
    <row r="1" spans="1:13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3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3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3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3" ht="23.4" x14ac:dyDescent="0.45">
      <c r="A5" s="519" t="s">
        <v>1554</v>
      </c>
      <c r="B5" s="519"/>
      <c r="C5" s="519"/>
      <c r="D5" s="519"/>
      <c r="E5" s="519"/>
      <c r="F5" s="519"/>
      <c r="G5" s="519"/>
      <c r="H5" s="519"/>
      <c r="I5" s="519"/>
      <c r="J5" s="113"/>
      <c r="K5" s="513" t="s">
        <v>1553</v>
      </c>
      <c r="L5" s="514"/>
      <c r="M5" s="515"/>
    </row>
    <row r="6" spans="1:13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64" t="s">
        <v>34</v>
      </c>
      <c r="L6" s="565"/>
      <c r="M6" s="566"/>
    </row>
    <row r="7" spans="1:13" x14ac:dyDescent="0.3">
      <c r="A7" s="33" t="s">
        <v>13</v>
      </c>
      <c r="B7" s="33" t="s">
        <v>1340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8.600000000000001" customHeight="1" x14ac:dyDescent="0.3">
      <c r="A8" s="54">
        <v>46203</v>
      </c>
      <c r="B8" s="54"/>
      <c r="C8" s="13" t="s">
        <v>21</v>
      </c>
      <c r="D8" s="13"/>
      <c r="E8" s="67"/>
      <c r="F8" s="67"/>
      <c r="G8" s="67">
        <f>+E8-F8</f>
        <v>0</v>
      </c>
      <c r="H8" s="36"/>
      <c r="I8" s="105"/>
      <c r="J8" s="5"/>
      <c r="K8" s="39" t="s">
        <v>0</v>
      </c>
      <c r="L8" s="73" t="s">
        <v>92</v>
      </c>
      <c r="M8" s="26">
        <v>0</v>
      </c>
    </row>
    <row r="9" spans="1:13" s="6" customFormat="1" ht="16.2" customHeight="1" x14ac:dyDescent="0.3">
      <c r="A9" s="82"/>
      <c r="B9" s="50"/>
      <c r="C9" s="49"/>
      <c r="D9" s="15"/>
      <c r="E9" s="11"/>
      <c r="F9" s="374"/>
      <c r="G9" s="412"/>
      <c r="H9" s="76"/>
      <c r="I9" s="367"/>
      <c r="J9" s="110"/>
      <c r="K9" s="69" t="s">
        <v>1</v>
      </c>
      <c r="L9" s="73" t="s">
        <v>92</v>
      </c>
      <c r="M9" s="42">
        <v>0</v>
      </c>
    </row>
    <row r="10" spans="1:13" x14ac:dyDescent="0.3">
      <c r="A10" s="363"/>
      <c r="B10" s="363"/>
      <c r="C10" s="406"/>
      <c r="D10" s="407"/>
      <c r="E10" s="22"/>
      <c r="F10" s="374"/>
      <c r="G10" s="412"/>
      <c r="H10" s="76"/>
      <c r="I10" s="367"/>
      <c r="J10" s="110"/>
      <c r="K10" s="24" t="s">
        <v>27</v>
      </c>
      <c r="L10" s="73" t="s">
        <v>92</v>
      </c>
      <c r="M10" s="26">
        <v>0</v>
      </c>
    </row>
    <row r="11" spans="1:13" x14ac:dyDescent="0.3">
      <c r="A11" s="363"/>
      <c r="B11" s="363"/>
      <c r="C11" s="406"/>
      <c r="D11" s="407"/>
      <c r="E11" s="22"/>
      <c r="F11" s="374"/>
      <c r="G11" s="412"/>
      <c r="H11" s="76"/>
      <c r="I11" s="367"/>
      <c r="J11" s="110"/>
      <c r="K11" s="126" t="s">
        <v>429</v>
      </c>
      <c r="L11" s="73" t="s">
        <v>92</v>
      </c>
      <c r="M11" s="80">
        <f>SUM(H12+H18+H23+H36+H37+H49)</f>
        <v>0</v>
      </c>
    </row>
    <row r="12" spans="1:13" x14ac:dyDescent="0.3">
      <c r="A12" s="363"/>
      <c r="B12" s="363"/>
      <c r="C12" s="406"/>
      <c r="D12" s="305"/>
      <c r="E12" s="22"/>
      <c r="F12" s="374"/>
      <c r="G12" s="413"/>
      <c r="H12" s="414"/>
      <c r="I12" s="367"/>
      <c r="J12" s="110"/>
      <c r="K12" s="126" t="s">
        <v>62</v>
      </c>
      <c r="L12" s="73" t="s">
        <v>92</v>
      </c>
      <c r="M12" s="80">
        <f>SUM(H16+H33+H41+H53)</f>
        <v>0</v>
      </c>
    </row>
    <row r="13" spans="1:13" x14ac:dyDescent="0.3">
      <c r="A13" s="363"/>
      <c r="B13" s="363"/>
      <c r="C13" s="406"/>
      <c r="D13" s="408"/>
      <c r="E13" s="22"/>
      <c r="F13" s="374"/>
      <c r="G13" s="413"/>
      <c r="H13" s="76"/>
      <c r="I13" s="367"/>
      <c r="J13" s="110"/>
      <c r="K13" s="126" t="s">
        <v>361</v>
      </c>
      <c r="L13" s="73" t="s">
        <v>92</v>
      </c>
      <c r="M13" s="80">
        <v>0</v>
      </c>
    </row>
    <row r="14" spans="1:13" x14ac:dyDescent="0.3">
      <c r="A14" s="363"/>
      <c r="B14" s="363"/>
      <c r="C14" s="406"/>
      <c r="D14" s="305"/>
      <c r="E14" s="22"/>
      <c r="F14" s="374"/>
      <c r="G14" s="413"/>
      <c r="H14" s="76"/>
      <c r="I14" s="367"/>
      <c r="J14" s="110"/>
      <c r="K14" s="391" t="s">
        <v>541</v>
      </c>
      <c r="L14" s="73" t="s">
        <v>92</v>
      </c>
      <c r="M14" s="80">
        <f>SUM(H46)</f>
        <v>0</v>
      </c>
    </row>
    <row r="15" spans="1:13" x14ac:dyDescent="0.3">
      <c r="A15" s="363"/>
      <c r="B15" s="363"/>
      <c r="C15" s="406"/>
      <c r="D15" s="305"/>
      <c r="E15" s="22"/>
      <c r="F15" s="374"/>
      <c r="G15" s="413"/>
      <c r="H15" s="76"/>
      <c r="I15" s="367"/>
      <c r="J15" s="110"/>
      <c r="K15" s="69" t="s">
        <v>24</v>
      </c>
      <c r="L15" s="73" t="s">
        <v>92</v>
      </c>
      <c r="M15" s="26">
        <v>0</v>
      </c>
    </row>
    <row r="16" spans="1:13" x14ac:dyDescent="0.3">
      <c r="A16" s="363"/>
      <c r="B16" s="363"/>
      <c r="C16" s="406"/>
      <c r="D16" s="305"/>
      <c r="E16" s="22"/>
      <c r="F16" s="374"/>
      <c r="G16" s="412"/>
      <c r="H16" s="76"/>
      <c r="I16" s="367"/>
      <c r="J16" s="110"/>
      <c r="K16" s="69" t="s">
        <v>29</v>
      </c>
      <c r="L16" s="73" t="s">
        <v>92</v>
      </c>
      <c r="M16" s="26">
        <f>SUM(H13+H39+H56)</f>
        <v>0</v>
      </c>
    </row>
    <row r="17" spans="1:13" x14ac:dyDescent="0.3">
      <c r="A17" s="363"/>
      <c r="B17" s="363"/>
      <c r="C17" s="406"/>
      <c r="D17" s="305"/>
      <c r="E17" s="22"/>
      <c r="F17" s="374"/>
      <c r="G17" s="412"/>
      <c r="H17" s="76"/>
      <c r="I17" s="367"/>
      <c r="J17" s="110"/>
      <c r="K17" s="69" t="s">
        <v>3</v>
      </c>
      <c r="L17" s="73" t="s">
        <v>92</v>
      </c>
      <c r="M17" s="26">
        <f>SUM(H17+H34+H48+H55)</f>
        <v>0</v>
      </c>
    </row>
    <row r="18" spans="1:13" x14ac:dyDescent="0.3">
      <c r="A18" s="363"/>
      <c r="B18" s="363"/>
      <c r="C18" s="406"/>
      <c r="D18" s="305"/>
      <c r="E18" s="22"/>
      <c r="F18" s="374"/>
      <c r="G18" s="412"/>
      <c r="H18" s="76"/>
      <c r="I18" s="367"/>
      <c r="J18" s="110"/>
      <c r="K18" s="69" t="s">
        <v>5</v>
      </c>
      <c r="L18" s="73" t="s">
        <v>92</v>
      </c>
      <c r="M18" s="26">
        <f>SUM(H10+H24+H45+H50+H51)</f>
        <v>0</v>
      </c>
    </row>
    <row r="19" spans="1:13" x14ac:dyDescent="0.3">
      <c r="A19" s="363"/>
      <c r="B19" s="363"/>
      <c r="C19" s="406"/>
      <c r="D19" s="305"/>
      <c r="E19" s="22"/>
      <c r="F19" s="374"/>
      <c r="G19" s="412"/>
      <c r="H19" s="76"/>
      <c r="I19" s="367"/>
      <c r="J19" s="110"/>
      <c r="K19" s="69" t="s">
        <v>61</v>
      </c>
      <c r="L19" s="73" t="s">
        <v>92</v>
      </c>
      <c r="M19" s="26">
        <f>SUM(H8+H42)</f>
        <v>0</v>
      </c>
    </row>
    <row r="20" spans="1:13" x14ac:dyDescent="0.3">
      <c r="A20" s="363"/>
      <c r="B20" s="363"/>
      <c r="C20" s="406"/>
      <c r="D20" s="305"/>
      <c r="E20" s="22"/>
      <c r="F20" s="374"/>
      <c r="G20" s="412"/>
      <c r="H20" s="76"/>
      <c r="I20" s="367"/>
      <c r="J20" s="110"/>
      <c r="K20" s="69" t="s">
        <v>22</v>
      </c>
      <c r="L20" s="73" t="s">
        <v>92</v>
      </c>
      <c r="M20" s="26">
        <f>SUM(H15)</f>
        <v>0</v>
      </c>
    </row>
    <row r="21" spans="1:13" x14ac:dyDescent="0.3">
      <c r="A21" s="409"/>
      <c r="B21" s="409"/>
      <c r="C21" s="410"/>
      <c r="D21" s="407"/>
      <c r="E21" s="22"/>
      <c r="F21" s="374"/>
      <c r="G21" s="412"/>
      <c r="H21" s="76"/>
      <c r="I21" s="367"/>
      <c r="J21" s="110"/>
      <c r="K21" s="69" t="s">
        <v>6</v>
      </c>
      <c r="L21" s="73" t="s">
        <v>92</v>
      </c>
      <c r="M21" s="26">
        <f>SUM(H14+H31+H54)</f>
        <v>0</v>
      </c>
    </row>
    <row r="22" spans="1:13" x14ac:dyDescent="0.3">
      <c r="A22" s="409"/>
      <c r="B22" s="409"/>
      <c r="C22" s="410"/>
      <c r="D22" s="407"/>
      <c r="E22" s="22"/>
      <c r="F22" s="374"/>
      <c r="G22" s="415"/>
      <c r="H22" s="414"/>
      <c r="I22" s="367"/>
      <c r="J22" s="110"/>
      <c r="K22" s="69" t="s">
        <v>8</v>
      </c>
      <c r="L22" s="73" t="s">
        <v>92</v>
      </c>
      <c r="M22" s="26">
        <f>SUM(H26+H40+H52)</f>
        <v>0</v>
      </c>
    </row>
    <row r="23" spans="1:13" x14ac:dyDescent="0.3">
      <c r="A23" s="409"/>
      <c r="B23" s="409"/>
      <c r="C23" s="410"/>
      <c r="D23" s="407"/>
      <c r="E23" s="22"/>
      <c r="F23" s="374"/>
      <c r="G23" s="415"/>
      <c r="H23" s="76"/>
      <c r="I23" s="367"/>
      <c r="J23" s="110"/>
      <c r="K23" s="69" t="s">
        <v>9</v>
      </c>
      <c r="L23" s="73" t="s">
        <v>92</v>
      </c>
      <c r="M23" s="26">
        <f>SUM(H19+H29)</f>
        <v>0</v>
      </c>
    </row>
    <row r="24" spans="1:13" x14ac:dyDescent="0.3">
      <c r="A24" s="409"/>
      <c r="B24" s="409"/>
      <c r="C24" s="410"/>
      <c r="D24" s="407"/>
      <c r="E24" s="22"/>
      <c r="F24" s="374"/>
      <c r="G24" s="415"/>
      <c r="H24" s="76"/>
      <c r="I24" s="367"/>
      <c r="J24" s="110"/>
      <c r="K24" s="69" t="s">
        <v>30</v>
      </c>
      <c r="L24" s="73" t="s">
        <v>92</v>
      </c>
      <c r="M24" s="26">
        <f>SUM(H6+H44)</f>
        <v>0</v>
      </c>
    </row>
    <row r="25" spans="1:13" x14ac:dyDescent="0.3">
      <c r="A25" s="409"/>
      <c r="B25" s="409"/>
      <c r="C25" s="410"/>
      <c r="D25" s="305"/>
      <c r="E25" s="11"/>
      <c r="F25" s="374"/>
      <c r="G25" s="415"/>
      <c r="H25" s="76"/>
      <c r="I25" s="367"/>
      <c r="J25"/>
      <c r="K25" s="69" t="s">
        <v>10</v>
      </c>
      <c r="L25" s="73" t="s">
        <v>92</v>
      </c>
      <c r="M25" s="26">
        <f>SUM(H28)</f>
        <v>0</v>
      </c>
    </row>
    <row r="26" spans="1:13" x14ac:dyDescent="0.3">
      <c r="A26" s="409"/>
      <c r="B26" s="409"/>
      <c r="C26" s="410"/>
      <c r="D26" s="305"/>
      <c r="E26" s="27"/>
      <c r="F26" s="374"/>
      <c r="G26" s="415"/>
      <c r="H26" s="76"/>
      <c r="I26" s="367"/>
      <c r="J26"/>
      <c r="K26" s="69" t="s">
        <v>11</v>
      </c>
      <c r="L26" s="73" t="s">
        <v>92</v>
      </c>
      <c r="M26" s="26">
        <f>SUM(H11+H20+H27+H32+H35)</f>
        <v>0</v>
      </c>
    </row>
    <row r="27" spans="1:13" x14ac:dyDescent="0.3">
      <c r="A27" s="409"/>
      <c r="B27" s="409"/>
      <c r="C27" s="410"/>
      <c r="D27" s="305"/>
      <c r="E27" s="11"/>
      <c r="F27" s="374"/>
      <c r="G27" s="415"/>
      <c r="H27" s="76"/>
      <c r="I27" s="367"/>
      <c r="J27" s="112"/>
      <c r="K27" s="540" t="s">
        <v>695</v>
      </c>
      <c r="L27" s="541"/>
      <c r="M27" s="148">
        <f>SUM(M7:M26)</f>
        <v>0</v>
      </c>
    </row>
    <row r="28" spans="1:13" ht="14.4" customHeight="1" x14ac:dyDescent="0.3">
      <c r="A28" s="409"/>
      <c r="B28" s="409"/>
      <c r="C28" s="410"/>
      <c r="D28" s="305"/>
      <c r="E28" s="11"/>
      <c r="F28" s="374"/>
      <c r="G28" s="412"/>
      <c r="H28" s="76"/>
      <c r="I28" s="367"/>
      <c r="J28" s="25"/>
      <c r="K28" s="146"/>
      <c r="L28" s="146"/>
    </row>
    <row r="29" spans="1:13" x14ac:dyDescent="0.3">
      <c r="A29" s="409"/>
      <c r="B29" s="409"/>
      <c r="C29" s="411"/>
      <c r="D29" s="409"/>
      <c r="E29" s="47"/>
      <c r="F29" s="374"/>
      <c r="G29" s="412"/>
      <c r="H29" s="76"/>
      <c r="I29" s="367"/>
      <c r="J29" s="110"/>
      <c r="K29" s="146"/>
      <c r="L29" s="146"/>
    </row>
    <row r="30" spans="1:13" x14ac:dyDescent="0.3">
      <c r="A30" s="409"/>
      <c r="B30" s="409"/>
      <c r="C30" s="411"/>
      <c r="D30" s="409"/>
      <c r="E30" s="47"/>
      <c r="F30" s="374"/>
      <c r="G30" s="412"/>
      <c r="H30" s="76"/>
      <c r="I30" s="367"/>
      <c r="J30" s="110"/>
      <c r="K30" s="146"/>
      <c r="L30" s="146"/>
    </row>
    <row r="31" spans="1:13" x14ac:dyDescent="0.3">
      <c r="A31" s="409"/>
      <c r="B31" s="409"/>
      <c r="C31" s="411"/>
      <c r="D31" s="409"/>
      <c r="E31" s="47"/>
      <c r="F31" s="374"/>
      <c r="G31" s="412"/>
      <c r="H31" s="76"/>
      <c r="I31" s="367"/>
      <c r="J31" s="110"/>
      <c r="K31" s="146"/>
      <c r="L31" s="146"/>
    </row>
    <row r="32" spans="1:13" x14ac:dyDescent="0.3">
      <c r="A32" s="409"/>
      <c r="B32" s="409"/>
      <c r="C32" s="411"/>
      <c r="D32" s="409"/>
      <c r="E32" s="47"/>
      <c r="F32" s="374"/>
      <c r="G32" s="412"/>
      <c r="H32" s="76"/>
      <c r="I32" s="367"/>
      <c r="J32" s="110"/>
      <c r="K32" s="146"/>
      <c r="L32" s="146"/>
    </row>
    <row r="33" spans="1:12" x14ac:dyDescent="0.3">
      <c r="A33" s="409"/>
      <c r="B33" s="409"/>
      <c r="C33" s="411"/>
      <c r="D33" s="409"/>
      <c r="E33" s="47"/>
      <c r="F33" s="374"/>
      <c r="G33" s="412"/>
      <c r="H33" s="76"/>
      <c r="I33" s="367"/>
      <c r="J33" s="110"/>
      <c r="K33" s="146"/>
      <c r="L33" s="146"/>
    </row>
    <row r="34" spans="1:12" x14ac:dyDescent="0.3">
      <c r="A34" s="409"/>
      <c r="B34" s="409"/>
      <c r="C34" s="411"/>
      <c r="D34" s="409"/>
      <c r="E34" s="47"/>
      <c r="F34" s="374"/>
      <c r="G34" s="412"/>
      <c r="H34" s="76"/>
      <c r="I34" s="367"/>
      <c r="J34" s="110"/>
      <c r="K34" s="146"/>
      <c r="L34" s="146"/>
    </row>
    <row r="35" spans="1:12" x14ac:dyDescent="0.3">
      <c r="A35" s="409"/>
      <c r="B35" s="409"/>
      <c r="C35" s="411"/>
      <c r="D35" s="409"/>
      <c r="E35" s="192"/>
      <c r="F35" s="416"/>
      <c r="G35" s="412"/>
      <c r="H35" s="76"/>
      <c r="I35" s="367"/>
      <c r="J35" s="110"/>
      <c r="K35" s="146"/>
      <c r="L35" s="146"/>
    </row>
    <row r="36" spans="1:12" x14ac:dyDescent="0.3">
      <c r="A36" s="409"/>
      <c r="B36" s="407"/>
      <c r="C36" s="410"/>
      <c r="D36" s="407"/>
      <c r="E36" s="192"/>
      <c r="F36" s="416"/>
      <c r="G36" s="412"/>
      <c r="H36" s="76"/>
      <c r="I36" s="367"/>
      <c r="J36" s="110"/>
      <c r="K36" s="146"/>
      <c r="L36" s="146"/>
    </row>
    <row r="37" spans="1:12" x14ac:dyDescent="0.3">
      <c r="A37" s="409"/>
      <c r="B37" s="407"/>
      <c r="C37" s="410"/>
      <c r="D37" s="407"/>
      <c r="E37" s="192"/>
      <c r="F37" s="416"/>
      <c r="G37" s="412"/>
      <c r="H37" s="414"/>
      <c r="I37" s="367"/>
      <c r="J37" s="110"/>
      <c r="K37" s="146"/>
      <c r="L37" s="146"/>
    </row>
    <row r="38" spans="1:12" x14ac:dyDescent="0.3">
      <c r="A38" s="409"/>
      <c r="B38" s="407"/>
      <c r="C38" s="410"/>
      <c r="D38" s="407"/>
      <c r="E38" s="192"/>
      <c r="F38" s="416"/>
      <c r="G38" s="412"/>
      <c r="H38" s="76"/>
      <c r="I38" s="367"/>
      <c r="J38" s="110"/>
      <c r="K38" s="146"/>
      <c r="L38" s="146"/>
    </row>
    <row r="39" spans="1:12" x14ac:dyDescent="0.3">
      <c r="A39" s="409"/>
      <c r="B39" s="407"/>
      <c r="C39" s="410"/>
      <c r="D39" s="407"/>
      <c r="E39" s="192"/>
      <c r="F39" s="416"/>
      <c r="G39" s="412"/>
      <c r="H39" s="76"/>
      <c r="I39" s="367"/>
      <c r="J39" s="110"/>
      <c r="K39" s="146"/>
      <c r="L39" s="146"/>
    </row>
    <row r="40" spans="1:12" x14ac:dyDescent="0.3">
      <c r="A40" s="409"/>
      <c r="B40" s="407"/>
      <c r="C40" s="410"/>
      <c r="D40" s="407"/>
      <c r="E40" s="192"/>
      <c r="F40" s="416"/>
      <c r="G40" s="412"/>
      <c r="H40" s="76"/>
      <c r="I40" s="367"/>
      <c r="J40" s="110"/>
      <c r="K40" s="146"/>
      <c r="L40" s="146"/>
    </row>
    <row r="41" spans="1:12" x14ac:dyDescent="0.3">
      <c r="A41" s="409"/>
      <c r="B41" s="407"/>
      <c r="C41" s="410"/>
      <c r="D41" s="407"/>
      <c r="E41" s="192"/>
      <c r="F41" s="416"/>
      <c r="G41" s="412"/>
      <c r="H41" s="76"/>
      <c r="I41" s="367"/>
      <c r="J41" s="110"/>
      <c r="K41" s="146"/>
      <c r="L41" s="146"/>
    </row>
    <row r="42" spans="1:12" x14ac:dyDescent="0.3">
      <c r="A42" s="409"/>
      <c r="B42" s="407"/>
      <c r="C42" s="410"/>
      <c r="D42" s="407"/>
      <c r="E42" s="192"/>
      <c r="F42" s="416"/>
      <c r="G42" s="415"/>
      <c r="H42" s="414"/>
      <c r="I42" s="367"/>
      <c r="J42" s="110"/>
    </row>
    <row r="43" spans="1:12" x14ac:dyDescent="0.3">
      <c r="A43" s="409"/>
      <c r="B43" s="407"/>
      <c r="C43" s="410"/>
      <c r="D43" s="407"/>
      <c r="E43" s="192"/>
      <c r="F43" s="416"/>
      <c r="G43" s="415"/>
      <c r="H43" s="76"/>
      <c r="I43" s="367"/>
      <c r="J43" s="110"/>
    </row>
    <row r="44" spans="1:12" x14ac:dyDescent="0.3">
      <c r="A44" s="409"/>
      <c r="B44" s="407"/>
      <c r="C44" s="410"/>
      <c r="D44" s="407"/>
      <c r="E44" s="192"/>
      <c r="F44" s="416"/>
      <c r="G44" s="415"/>
      <c r="H44" s="76"/>
      <c r="I44" s="367"/>
      <c r="J44" s="110"/>
    </row>
    <row r="45" spans="1:12" x14ac:dyDescent="0.3">
      <c r="A45" s="409"/>
      <c r="B45" s="407"/>
      <c r="C45" s="410"/>
      <c r="D45" s="407"/>
      <c r="E45" s="192"/>
      <c r="F45" s="416"/>
      <c r="G45" s="415"/>
      <c r="H45" s="76"/>
      <c r="I45" s="367"/>
      <c r="J45" s="110"/>
    </row>
    <row r="46" spans="1:12" x14ac:dyDescent="0.3">
      <c r="A46" s="409"/>
      <c r="B46" s="407"/>
      <c r="C46" s="410"/>
      <c r="D46" s="407"/>
      <c r="E46" s="192"/>
      <c r="F46" s="416"/>
      <c r="G46" s="415"/>
      <c r="H46" s="414"/>
      <c r="I46" s="367"/>
      <c r="J46" s="110"/>
    </row>
    <row r="47" spans="1:12" x14ac:dyDescent="0.3">
      <c r="A47" s="409"/>
      <c r="B47" s="407"/>
      <c r="C47" s="410"/>
      <c r="D47" s="407"/>
      <c r="E47" s="192"/>
      <c r="F47" s="416"/>
      <c r="G47" s="415"/>
      <c r="H47" s="414"/>
      <c r="I47" s="367"/>
      <c r="J47" s="110"/>
    </row>
    <row r="48" spans="1:12" x14ac:dyDescent="0.3">
      <c r="A48" s="409"/>
      <c r="B48" s="407"/>
      <c r="C48" s="410"/>
      <c r="D48" s="407"/>
      <c r="E48" s="192"/>
      <c r="F48" s="416"/>
      <c r="G48" s="415"/>
      <c r="H48" s="76"/>
      <c r="I48" s="367"/>
      <c r="J48" s="110"/>
    </row>
    <row r="49" spans="1:10" x14ac:dyDescent="0.3">
      <c r="A49" s="409"/>
      <c r="B49" s="407"/>
      <c r="C49" s="410"/>
      <c r="D49" s="407"/>
      <c r="E49" s="192"/>
      <c r="F49" s="416"/>
      <c r="G49" s="415"/>
      <c r="H49" s="76"/>
      <c r="I49" s="367"/>
      <c r="J49" s="110"/>
    </row>
    <row r="50" spans="1:10" x14ac:dyDescent="0.3">
      <c r="A50" s="409"/>
      <c r="B50" s="407"/>
      <c r="C50" s="410"/>
      <c r="D50" s="407"/>
      <c r="E50" s="192"/>
      <c r="F50" s="416"/>
      <c r="G50" s="415"/>
      <c r="H50" s="76"/>
      <c r="I50" s="367"/>
      <c r="J50" s="110"/>
    </row>
    <row r="51" spans="1:10" x14ac:dyDescent="0.3">
      <c r="A51" s="409"/>
      <c r="B51" s="407"/>
      <c r="C51" s="410"/>
      <c r="D51" s="407"/>
      <c r="E51" s="192"/>
      <c r="F51" s="416"/>
      <c r="G51" s="415"/>
      <c r="H51" s="76"/>
      <c r="I51" s="367"/>
      <c r="J51" s="110"/>
    </row>
    <row r="52" spans="1:10" x14ac:dyDescent="0.3">
      <c r="A52" s="409"/>
      <c r="B52" s="407"/>
      <c r="C52" s="410"/>
      <c r="D52" s="407"/>
      <c r="E52" s="192"/>
      <c r="F52" s="416"/>
      <c r="G52" s="412"/>
      <c r="H52" s="76"/>
      <c r="I52" s="367"/>
      <c r="J52" s="110"/>
    </row>
    <row r="53" spans="1:10" x14ac:dyDescent="0.3">
      <c r="A53" s="409"/>
      <c r="B53" s="407"/>
      <c r="C53" s="410"/>
      <c r="D53" s="407"/>
      <c r="E53" s="192"/>
      <c r="F53" s="416"/>
      <c r="G53" s="415"/>
      <c r="H53" s="414"/>
      <c r="I53" s="367"/>
      <c r="J53" s="110"/>
    </row>
    <row r="54" spans="1:10" x14ac:dyDescent="0.3">
      <c r="A54" s="409"/>
      <c r="B54" s="407"/>
      <c r="C54" s="410"/>
      <c r="D54" s="407"/>
      <c r="E54" s="192"/>
      <c r="F54" s="416"/>
      <c r="G54" s="415"/>
      <c r="H54" s="76"/>
      <c r="I54" s="367"/>
      <c r="J54" s="110"/>
    </row>
    <row r="55" spans="1:10" x14ac:dyDescent="0.3">
      <c r="A55" s="409"/>
      <c r="B55" s="407"/>
      <c r="C55" s="410"/>
      <c r="D55" s="407"/>
      <c r="E55" s="192"/>
      <c r="F55" s="416"/>
      <c r="G55" s="412"/>
      <c r="H55" s="414"/>
      <c r="I55" s="367"/>
      <c r="J55" s="110"/>
    </row>
    <row r="56" spans="1:10" x14ac:dyDescent="0.3">
      <c r="A56" s="409"/>
      <c r="B56" s="407"/>
      <c r="C56" s="410"/>
      <c r="D56" s="407"/>
      <c r="E56" s="192"/>
      <c r="F56" s="416"/>
      <c r="G56" s="412"/>
      <c r="H56" s="414"/>
      <c r="I56" s="367"/>
      <c r="J56" s="110"/>
    </row>
    <row r="57" spans="1:10" x14ac:dyDescent="0.3">
      <c r="A57" s="409"/>
      <c r="B57" s="407"/>
      <c r="C57" s="410"/>
      <c r="D57" s="407"/>
      <c r="E57" s="192"/>
      <c r="F57" s="416"/>
      <c r="G57" s="412"/>
      <c r="H57" s="76"/>
      <c r="I57" s="367"/>
      <c r="J57" s="110"/>
    </row>
    <row r="58" spans="1:10" ht="14.4" customHeight="1" x14ac:dyDescent="0.3">
      <c r="A58" s="409"/>
      <c r="B58" s="407"/>
      <c r="C58" s="410"/>
      <c r="D58" s="407"/>
      <c r="E58" s="192"/>
      <c r="F58" s="416"/>
      <c r="G58" s="412"/>
      <c r="H58" s="414"/>
      <c r="I58" s="233"/>
      <c r="J58" s="110"/>
    </row>
    <row r="59" spans="1:10" ht="13.95" customHeight="1" x14ac:dyDescent="0.3">
      <c r="A59" s="409"/>
      <c r="B59" s="407"/>
      <c r="C59" s="410"/>
      <c r="D59" s="407"/>
      <c r="E59" s="192"/>
      <c r="F59" s="416"/>
      <c r="G59" s="412"/>
      <c r="H59" s="76"/>
      <c r="I59" s="367"/>
      <c r="J59" s="110"/>
    </row>
    <row r="60" spans="1:10" ht="13.95" customHeight="1" x14ac:dyDescent="0.3">
      <c r="A60" s="409"/>
      <c r="B60" s="407"/>
      <c r="C60" s="410"/>
      <c r="D60" s="407"/>
      <c r="E60" s="192"/>
      <c r="F60" s="416"/>
      <c r="G60" s="412"/>
      <c r="H60" s="76"/>
      <c r="I60" s="367"/>
      <c r="J60" s="110"/>
    </row>
    <row r="61" spans="1:10" ht="13.95" customHeight="1" x14ac:dyDescent="0.3">
      <c r="A61" s="409"/>
      <c r="B61" s="407"/>
      <c r="C61" s="410"/>
      <c r="D61" s="407"/>
      <c r="E61" s="192"/>
      <c r="F61" s="416"/>
      <c r="G61" s="412"/>
      <c r="H61" s="76"/>
      <c r="I61" s="367"/>
      <c r="J61" s="110"/>
    </row>
    <row r="62" spans="1:10" ht="13.95" customHeight="1" x14ac:dyDescent="0.3">
      <c r="A62" s="409"/>
      <c r="B62" s="407"/>
      <c r="C62" s="410"/>
      <c r="D62" s="407"/>
      <c r="E62" s="192"/>
      <c r="F62" s="416"/>
      <c r="G62" s="412"/>
      <c r="H62" s="76"/>
      <c r="I62" s="367"/>
      <c r="J62" s="110"/>
    </row>
    <row r="63" spans="1:10" ht="13.95" customHeight="1" x14ac:dyDescent="0.3">
      <c r="A63" s="119"/>
      <c r="B63" s="233"/>
      <c r="C63" s="115"/>
      <c r="D63" s="305"/>
      <c r="E63" s="22"/>
      <c r="F63" s="417"/>
      <c r="G63" s="412"/>
      <c r="H63" s="76"/>
      <c r="I63" s="367"/>
      <c r="J63" s="110"/>
    </row>
    <row r="64" spans="1:10" ht="13.95" customHeight="1" x14ac:dyDescent="0.3">
      <c r="A64" s="119"/>
      <c r="B64" s="233"/>
      <c r="C64" s="115"/>
      <c r="D64" s="305"/>
      <c r="E64" s="22"/>
      <c r="F64" s="417"/>
      <c r="G64" s="415"/>
      <c r="H64" s="414"/>
      <c r="I64" s="367"/>
      <c r="J64" s="110"/>
    </row>
    <row r="65" spans="1:10" ht="13.95" customHeight="1" x14ac:dyDescent="0.3">
      <c r="A65" s="119"/>
      <c r="B65" s="233"/>
      <c r="C65" s="115"/>
      <c r="D65" s="305"/>
      <c r="E65" s="22"/>
      <c r="F65" s="417"/>
      <c r="G65" s="415"/>
      <c r="H65" s="414"/>
      <c r="I65" s="367"/>
      <c r="J65" s="110"/>
    </row>
    <row r="66" spans="1:10" ht="13.95" customHeight="1" x14ac:dyDescent="0.3">
      <c r="A66" s="119"/>
      <c r="B66" s="233"/>
      <c r="C66" s="115"/>
      <c r="D66" s="305"/>
      <c r="E66" s="22"/>
      <c r="F66" s="417"/>
      <c r="G66" s="412"/>
      <c r="H66" s="76"/>
      <c r="I66" s="367"/>
      <c r="J66" s="110"/>
    </row>
    <row r="67" spans="1:10" ht="13.95" customHeight="1" x14ac:dyDescent="0.3">
      <c r="A67" s="119"/>
      <c r="B67" s="233"/>
      <c r="C67" s="115"/>
      <c r="D67" s="305"/>
      <c r="E67" s="22"/>
      <c r="F67" s="417"/>
      <c r="G67" s="412"/>
      <c r="H67" s="76"/>
      <c r="I67" s="367"/>
      <c r="J67" s="110"/>
    </row>
    <row r="68" spans="1:10" ht="13.95" customHeight="1" x14ac:dyDescent="0.3">
      <c r="A68" s="119"/>
      <c r="B68" s="233"/>
      <c r="C68" s="115"/>
      <c r="D68" s="305"/>
      <c r="E68" s="22"/>
      <c r="F68" s="417"/>
      <c r="G68" s="412"/>
      <c r="H68" s="76"/>
      <c r="I68" s="367"/>
      <c r="J68" s="110"/>
    </row>
    <row r="69" spans="1:10" ht="13.95" customHeight="1" x14ac:dyDescent="0.3">
      <c r="A69" s="119"/>
      <c r="B69" s="233"/>
      <c r="C69" s="115"/>
      <c r="D69" s="305"/>
      <c r="E69" s="22"/>
      <c r="F69" s="417"/>
      <c r="G69" s="412"/>
      <c r="H69" s="76"/>
      <c r="I69" s="367"/>
      <c r="J69" s="110"/>
    </row>
    <row r="70" spans="1:10" ht="13.95" customHeight="1" x14ac:dyDescent="0.3">
      <c r="A70" s="119"/>
      <c r="B70" s="233"/>
      <c r="C70" s="115"/>
      <c r="D70" s="305"/>
      <c r="E70" s="22"/>
      <c r="F70" s="417"/>
      <c r="G70" s="412"/>
      <c r="H70" s="414"/>
      <c r="I70" s="367"/>
      <c r="J70" s="110"/>
    </row>
    <row r="71" spans="1:10" ht="13.95" customHeight="1" x14ac:dyDescent="0.3">
      <c r="A71" s="119"/>
      <c r="B71" s="233"/>
      <c r="C71" s="115"/>
      <c r="D71" s="305"/>
      <c r="E71" s="22"/>
      <c r="F71" s="417"/>
      <c r="G71" s="412"/>
      <c r="H71" s="76"/>
      <c r="I71" s="367"/>
      <c r="J71" s="110"/>
    </row>
    <row r="72" spans="1:10" ht="14.4" customHeight="1" x14ac:dyDescent="0.3">
      <c r="A72" s="119"/>
      <c r="B72" s="233"/>
      <c r="C72" s="115"/>
      <c r="D72" s="407"/>
      <c r="E72" s="22"/>
      <c r="F72" s="417"/>
      <c r="G72" s="412"/>
      <c r="H72" s="414"/>
      <c r="I72" s="233"/>
      <c r="J72" s="110"/>
    </row>
    <row r="73" spans="1:10" ht="13.95" customHeight="1" x14ac:dyDescent="0.3">
      <c r="A73" s="119"/>
      <c r="B73" s="233"/>
      <c r="C73" s="115"/>
      <c r="D73" s="305"/>
      <c r="E73" s="22"/>
      <c r="F73" s="417"/>
      <c r="G73" s="415"/>
      <c r="H73" s="414"/>
      <c r="I73" s="367"/>
      <c r="J73" s="110"/>
    </row>
    <row r="74" spans="1:10" ht="13.95" customHeight="1" x14ac:dyDescent="0.3">
      <c r="A74" s="119"/>
      <c r="B74" s="233"/>
      <c r="C74" s="115"/>
      <c r="D74" s="305"/>
      <c r="E74" s="22"/>
      <c r="F74" s="417"/>
      <c r="G74" s="415"/>
      <c r="H74" s="76"/>
      <c r="I74" s="367"/>
      <c r="J74" s="110"/>
    </row>
    <row r="75" spans="1:10" ht="13.95" customHeight="1" x14ac:dyDescent="0.3">
      <c r="A75" s="119"/>
      <c r="B75" s="233"/>
      <c r="C75" s="115"/>
      <c r="D75" s="305"/>
      <c r="E75" s="22"/>
      <c r="F75" s="417"/>
      <c r="G75" s="415"/>
      <c r="H75" s="76"/>
      <c r="I75" s="367"/>
      <c r="J75" s="110"/>
    </row>
    <row r="76" spans="1:10" ht="13.95" customHeight="1" x14ac:dyDescent="0.3">
      <c r="A76" s="119"/>
      <c r="B76" s="233"/>
      <c r="C76" s="115"/>
      <c r="D76" s="305"/>
      <c r="E76" s="22"/>
      <c r="F76" s="417"/>
      <c r="G76" s="415"/>
      <c r="H76" s="76"/>
      <c r="I76" s="367"/>
      <c r="J76" s="110"/>
    </row>
    <row r="77" spans="1:10" ht="13.95" customHeight="1" x14ac:dyDescent="0.3">
      <c r="A77" s="119"/>
      <c r="B77" s="233"/>
      <c r="C77" s="115"/>
      <c r="D77" s="305"/>
      <c r="E77" s="22"/>
      <c r="F77" s="417"/>
      <c r="G77" s="415"/>
      <c r="H77" s="76"/>
      <c r="I77" s="367"/>
      <c r="J77" s="110"/>
    </row>
    <row r="78" spans="1:10" ht="13.95" customHeight="1" x14ac:dyDescent="0.3">
      <c r="A78" s="119"/>
      <c r="B78" s="233"/>
      <c r="C78" s="115"/>
      <c r="D78" s="305"/>
      <c r="E78" s="22"/>
      <c r="F78" s="417"/>
      <c r="G78" s="415"/>
      <c r="H78" s="76"/>
      <c r="I78" s="367"/>
      <c r="J78" s="110"/>
    </row>
    <row r="79" spans="1:10" ht="13.95" customHeight="1" x14ac:dyDescent="0.3">
      <c r="A79" s="119"/>
      <c r="B79" s="233"/>
      <c r="C79" s="115"/>
      <c r="D79" s="305"/>
      <c r="E79" s="22"/>
      <c r="F79" s="417"/>
      <c r="G79" s="415"/>
      <c r="H79" s="76"/>
      <c r="I79" s="367"/>
      <c r="J79" s="110"/>
    </row>
    <row r="80" spans="1:10" ht="13.95" customHeight="1" x14ac:dyDescent="0.3">
      <c r="A80" s="119"/>
      <c r="B80" s="233"/>
      <c r="C80" s="115"/>
      <c r="D80" s="305"/>
      <c r="E80" s="22"/>
      <c r="F80" s="417"/>
      <c r="G80" s="415"/>
      <c r="H80" s="76"/>
      <c r="I80" s="367"/>
      <c r="J80" s="110"/>
    </row>
    <row r="81" spans="1:10" ht="13.95" customHeight="1" x14ac:dyDescent="0.3">
      <c r="A81" s="119"/>
      <c r="B81" s="233"/>
      <c r="C81" s="115"/>
      <c r="D81" s="305"/>
      <c r="E81" s="22"/>
      <c r="F81" s="417"/>
      <c r="G81" s="415"/>
      <c r="H81" s="76"/>
      <c r="I81" s="367"/>
      <c r="J81" s="110"/>
    </row>
    <row r="82" spans="1:10" ht="13.95" customHeight="1" x14ac:dyDescent="0.3">
      <c r="A82" s="119"/>
      <c r="B82" s="233"/>
      <c r="C82" s="115"/>
      <c r="D82" s="305"/>
      <c r="E82" s="22"/>
      <c r="F82" s="417"/>
      <c r="G82" s="415"/>
      <c r="H82" s="76"/>
      <c r="I82" s="367"/>
      <c r="J82" s="110"/>
    </row>
    <row r="83" spans="1:10" ht="13.95" customHeight="1" x14ac:dyDescent="0.3">
      <c r="A83" s="119"/>
      <c r="B83" s="233"/>
      <c r="C83" s="115"/>
      <c r="D83" s="305"/>
      <c r="E83" s="22"/>
      <c r="F83" s="417"/>
      <c r="G83" s="412"/>
      <c r="H83" s="76"/>
      <c r="I83" s="367"/>
      <c r="J83" s="110"/>
    </row>
    <row r="84" spans="1:10" ht="13.95" customHeight="1" x14ac:dyDescent="0.3">
      <c r="A84" s="119"/>
      <c r="B84" s="233"/>
      <c r="C84" s="115"/>
      <c r="D84" s="305"/>
      <c r="E84" s="22"/>
      <c r="F84" s="417"/>
      <c r="G84" s="412"/>
      <c r="H84" s="76"/>
      <c r="I84" s="367"/>
      <c r="J84" s="110"/>
    </row>
    <row r="85" spans="1:10" ht="13.95" customHeight="1" x14ac:dyDescent="0.3">
      <c r="A85" s="119"/>
      <c r="B85" s="233"/>
      <c r="C85" s="115"/>
      <c r="D85" s="305"/>
      <c r="E85" s="22"/>
      <c r="F85" s="417"/>
      <c r="G85" s="412"/>
      <c r="H85" s="76"/>
      <c r="I85" s="367"/>
      <c r="J85" s="110"/>
    </row>
    <row r="86" spans="1:10" ht="13.95" customHeight="1" x14ac:dyDescent="0.3">
      <c r="A86" s="119"/>
      <c r="B86" s="233"/>
      <c r="C86" s="115"/>
      <c r="D86" s="305"/>
      <c r="E86" s="22"/>
      <c r="F86" s="417"/>
      <c r="G86" s="415"/>
      <c r="H86" s="414"/>
      <c r="I86" s="367"/>
      <c r="J86" s="110"/>
    </row>
    <row r="87" spans="1:10" ht="13.95" customHeight="1" x14ac:dyDescent="0.3">
      <c r="A87" s="119"/>
      <c r="B87" s="233"/>
      <c r="C87" s="115"/>
      <c r="D87" s="305"/>
      <c r="E87" s="22"/>
      <c r="F87" s="417"/>
      <c r="G87" s="415"/>
      <c r="H87" s="76"/>
      <c r="I87" s="367"/>
      <c r="J87" s="110"/>
    </row>
    <row r="88" spans="1:10" ht="13.95" customHeight="1" x14ac:dyDescent="0.3">
      <c r="A88" s="119"/>
      <c r="B88" s="233"/>
      <c r="C88" s="115"/>
      <c r="D88" s="305"/>
      <c r="E88" s="22"/>
      <c r="F88" s="417"/>
      <c r="G88" s="415"/>
      <c r="H88" s="76"/>
      <c r="I88" s="367"/>
      <c r="J88" s="110"/>
    </row>
    <row r="89" spans="1:10" ht="13.95" customHeight="1" x14ac:dyDescent="0.3">
      <c r="A89" s="119"/>
      <c r="B89" s="233"/>
      <c r="C89" s="115"/>
      <c r="D89" s="305"/>
      <c r="E89" s="22"/>
      <c r="F89" s="417"/>
      <c r="G89" s="415"/>
      <c r="H89" s="76"/>
      <c r="I89" s="367"/>
      <c r="J89" s="110"/>
    </row>
    <row r="90" spans="1:10" ht="13.95" customHeight="1" x14ac:dyDescent="0.3">
      <c r="A90" s="119"/>
      <c r="B90" s="233"/>
      <c r="C90" s="115"/>
      <c r="D90" s="305"/>
      <c r="E90" s="22"/>
      <c r="F90" s="417"/>
      <c r="G90" s="415"/>
      <c r="H90" s="76"/>
      <c r="I90" s="367"/>
      <c r="J90" s="110"/>
    </row>
    <row r="91" spans="1:10" ht="13.95" customHeight="1" x14ac:dyDescent="0.3">
      <c r="A91" s="119"/>
      <c r="B91" s="233"/>
      <c r="C91" s="115"/>
      <c r="D91" s="305"/>
      <c r="E91" s="22"/>
      <c r="F91" s="417"/>
      <c r="G91" s="415"/>
      <c r="H91" s="76"/>
      <c r="I91" s="367"/>
      <c r="J91" s="110"/>
    </row>
    <row r="92" spans="1:10" ht="13.95" customHeight="1" x14ac:dyDescent="0.3">
      <c r="A92" s="119"/>
      <c r="B92" s="233"/>
      <c r="C92" s="115"/>
      <c r="D92" s="305"/>
      <c r="E92" s="22"/>
      <c r="F92" s="417"/>
      <c r="G92" s="412"/>
      <c r="H92" s="76"/>
      <c r="I92" s="367"/>
      <c r="J92" s="110"/>
    </row>
    <row r="93" spans="1:10" ht="13.95" customHeight="1" x14ac:dyDescent="0.3">
      <c r="A93" s="119"/>
      <c r="B93" s="233"/>
      <c r="C93" s="115"/>
      <c r="D93" s="305"/>
      <c r="E93" s="22"/>
      <c r="F93" s="417"/>
      <c r="G93" s="412"/>
      <c r="H93" s="76"/>
      <c r="I93" s="367"/>
      <c r="J93" s="110"/>
    </row>
    <row r="94" spans="1:10" ht="13.95" customHeight="1" x14ac:dyDescent="0.3">
      <c r="A94" s="119"/>
      <c r="B94" s="233"/>
      <c r="C94" s="115"/>
      <c r="D94" s="305"/>
      <c r="E94" s="22"/>
      <c r="F94" s="417"/>
      <c r="G94" s="412"/>
      <c r="H94" s="76"/>
      <c r="I94" s="367"/>
      <c r="J94" s="110"/>
    </row>
    <row r="95" spans="1:10" ht="13.95" customHeight="1" x14ac:dyDescent="0.3">
      <c r="A95" s="119"/>
      <c r="B95" s="233"/>
      <c r="C95" s="115"/>
      <c r="D95" s="305"/>
      <c r="E95" s="22"/>
      <c r="F95" s="417"/>
      <c r="G95" s="412"/>
      <c r="H95" s="76"/>
      <c r="I95" s="367"/>
      <c r="J95" s="110"/>
    </row>
    <row r="96" spans="1:10" x14ac:dyDescent="0.3">
      <c r="A96" s="119"/>
      <c r="B96" s="233"/>
      <c r="C96" s="115"/>
      <c r="D96" s="305"/>
      <c r="E96" s="22"/>
      <c r="F96" s="374"/>
      <c r="G96" s="412"/>
      <c r="H96" s="414"/>
      <c r="I96" s="367"/>
      <c r="J96" s="110"/>
    </row>
    <row r="97" spans="1:10" x14ac:dyDescent="0.3">
      <c r="A97" s="119"/>
      <c r="B97" s="233"/>
      <c r="C97" s="115"/>
      <c r="D97" s="305"/>
      <c r="E97" s="22"/>
      <c r="F97" s="374"/>
      <c r="G97" s="415"/>
      <c r="H97" s="414"/>
      <c r="I97" s="367"/>
      <c r="J97" s="110"/>
    </row>
    <row r="98" spans="1:10" x14ac:dyDescent="0.3">
      <c r="A98" s="119"/>
      <c r="B98" s="233"/>
      <c r="C98" s="115"/>
      <c r="D98" s="305"/>
      <c r="E98" s="22"/>
      <c r="F98" s="374"/>
      <c r="G98" s="415"/>
      <c r="H98" s="414"/>
      <c r="I98" s="367"/>
      <c r="J98" s="110"/>
    </row>
    <row r="99" spans="1:10" x14ac:dyDescent="0.3">
      <c r="A99" s="119"/>
      <c r="B99" s="233"/>
      <c r="C99" s="115"/>
      <c r="D99" s="305"/>
      <c r="E99" s="22"/>
      <c r="F99" s="374"/>
      <c r="G99" s="415"/>
      <c r="H99" s="414"/>
      <c r="I99" s="367"/>
      <c r="J99" s="110"/>
    </row>
    <row r="100" spans="1:10" x14ac:dyDescent="0.3">
      <c r="A100" s="119"/>
      <c r="B100" s="233"/>
      <c r="C100" s="115"/>
      <c r="D100" s="305"/>
      <c r="E100" s="22"/>
      <c r="F100" s="374"/>
      <c r="G100" s="415"/>
      <c r="H100" s="414"/>
      <c r="I100" s="367"/>
      <c r="J100" s="110"/>
    </row>
    <row r="101" spans="1:10" x14ac:dyDescent="0.3">
      <c r="A101" s="119"/>
      <c r="B101" s="233"/>
      <c r="C101" s="115"/>
      <c r="D101" s="305"/>
      <c r="E101" s="22"/>
      <c r="F101" s="374"/>
      <c r="G101" s="412"/>
      <c r="H101" s="414"/>
      <c r="I101" s="367"/>
      <c r="J101" s="110"/>
    </row>
    <row r="102" spans="1:10" x14ac:dyDescent="0.3">
      <c r="A102" s="119"/>
      <c r="B102" s="233"/>
      <c r="C102" s="115"/>
      <c r="D102" s="305"/>
      <c r="E102" s="22"/>
      <c r="F102" s="374"/>
      <c r="G102" s="412"/>
      <c r="H102" s="414"/>
      <c r="I102" s="367"/>
      <c r="J102" s="110"/>
    </row>
    <row r="103" spans="1:10" x14ac:dyDescent="0.3">
      <c r="A103" s="119"/>
      <c r="B103" s="233"/>
      <c r="C103" s="115"/>
      <c r="D103" s="305"/>
      <c r="E103" s="22"/>
      <c r="F103" s="374"/>
      <c r="G103" s="412"/>
      <c r="H103" s="414"/>
      <c r="I103" s="367"/>
      <c r="J103" s="110"/>
    </row>
    <row r="104" spans="1:10" x14ac:dyDescent="0.3">
      <c r="A104" s="119"/>
      <c r="B104" s="233"/>
      <c r="C104" s="115"/>
      <c r="D104" s="305"/>
      <c r="E104" s="22"/>
      <c r="F104" s="374"/>
      <c r="G104" s="415"/>
      <c r="H104" s="414"/>
      <c r="I104" s="367"/>
      <c r="J104" s="110"/>
    </row>
    <row r="105" spans="1:10" x14ac:dyDescent="0.3">
      <c r="A105" s="119"/>
      <c r="B105" s="233"/>
      <c r="C105" s="115"/>
      <c r="D105" s="305"/>
      <c r="E105" s="22"/>
      <c r="F105" s="374"/>
      <c r="G105" s="415"/>
      <c r="H105" s="414"/>
      <c r="I105" s="367"/>
      <c r="J105" s="110"/>
    </row>
    <row r="106" spans="1:10" x14ac:dyDescent="0.3">
      <c r="A106" s="119"/>
      <c r="B106" s="233"/>
      <c r="C106" s="115"/>
      <c r="D106" s="305"/>
      <c r="E106" s="22"/>
      <c r="F106" s="374"/>
      <c r="G106" s="415"/>
      <c r="H106" s="414"/>
      <c r="I106" s="367"/>
      <c r="J106" s="110"/>
    </row>
    <row r="107" spans="1:10" x14ac:dyDescent="0.3">
      <c r="A107" s="119"/>
      <c r="B107" s="233"/>
      <c r="C107" s="115"/>
      <c r="D107" s="305"/>
      <c r="E107" s="22"/>
      <c r="F107" s="374"/>
      <c r="G107" s="415"/>
      <c r="H107" s="414"/>
      <c r="I107" s="367"/>
      <c r="J107" s="110"/>
    </row>
    <row r="108" spans="1:10" x14ac:dyDescent="0.3">
      <c r="A108" s="119"/>
      <c r="B108" s="233"/>
      <c r="C108" s="115"/>
      <c r="D108" s="305"/>
      <c r="E108" s="22"/>
      <c r="F108" s="374"/>
      <c r="G108" s="415"/>
      <c r="H108" s="414"/>
      <c r="I108" s="367"/>
      <c r="J108" s="110"/>
    </row>
    <row r="109" spans="1:10" x14ac:dyDescent="0.3">
      <c r="A109" s="119"/>
      <c r="B109" s="233"/>
      <c r="C109" s="115"/>
      <c r="D109" s="305"/>
      <c r="E109" s="22"/>
      <c r="F109" s="374"/>
      <c r="G109" s="415"/>
      <c r="H109" s="414"/>
      <c r="I109" s="367"/>
      <c r="J109" s="110"/>
    </row>
    <row r="110" spans="1:10" x14ac:dyDescent="0.3">
      <c r="A110" s="119"/>
      <c r="B110" s="233"/>
      <c r="C110" s="236"/>
      <c r="D110" s="305"/>
      <c r="E110" s="22"/>
      <c r="F110" s="374"/>
      <c r="G110" s="415"/>
      <c r="H110" s="414"/>
      <c r="I110" s="367"/>
      <c r="J110" s="110"/>
    </row>
    <row r="111" spans="1:10" x14ac:dyDescent="0.3">
      <c r="A111" s="119"/>
      <c r="B111" s="233"/>
      <c r="C111" s="236"/>
      <c r="D111" s="305"/>
      <c r="E111" s="22"/>
      <c r="F111" s="374"/>
      <c r="G111" s="415"/>
      <c r="H111" s="414"/>
      <c r="I111" s="367"/>
      <c r="J111" s="110"/>
    </row>
    <row r="112" spans="1:10" ht="27" customHeight="1" x14ac:dyDescent="0.3">
      <c r="A112" s="572" t="s">
        <v>28</v>
      </c>
      <c r="B112" s="572"/>
      <c r="C112" s="572"/>
      <c r="D112" s="572"/>
      <c r="E112" s="83">
        <f>SUM(E8:E111)</f>
        <v>0</v>
      </c>
      <c r="F112" s="84">
        <f>SUM(F8:F111)</f>
        <v>0</v>
      </c>
      <c r="G112" s="32">
        <f>+G111</f>
        <v>0</v>
      </c>
      <c r="H112" s="75">
        <f>SUM(H9:H111)</f>
        <v>0</v>
      </c>
      <c r="I112" s="36"/>
      <c r="J112"/>
    </row>
    <row r="113" spans="10:10" x14ac:dyDescent="0.3">
      <c r="J113" s="3"/>
    </row>
    <row r="114" spans="10:10" x14ac:dyDescent="0.3">
      <c r="J114" s="3"/>
    </row>
    <row r="115" spans="10:10" x14ac:dyDescent="0.3">
      <c r="J115" s="3"/>
    </row>
    <row r="116" spans="10:10" x14ac:dyDescent="0.3">
      <c r="J116" s="3"/>
    </row>
    <row r="117" spans="10:10" x14ac:dyDescent="0.3">
      <c r="J117" s="3"/>
    </row>
    <row r="118" spans="10:10" x14ac:dyDescent="0.3">
      <c r="J118" s="3"/>
    </row>
    <row r="119" spans="10:10" x14ac:dyDescent="0.3">
      <c r="J119" s="3"/>
    </row>
    <row r="120" spans="10:10" x14ac:dyDescent="0.3">
      <c r="J120" s="3"/>
    </row>
    <row r="121" spans="10:10" x14ac:dyDescent="0.3">
      <c r="J121" s="3"/>
    </row>
    <row r="122" spans="10:10" x14ac:dyDescent="0.3">
      <c r="J122" s="3"/>
    </row>
    <row r="123" spans="10:10" x14ac:dyDescent="0.3">
      <c r="J123" s="3"/>
    </row>
    <row r="124" spans="10:10" x14ac:dyDescent="0.3">
      <c r="J124" s="3"/>
    </row>
    <row r="125" spans="10:10" x14ac:dyDescent="0.3">
      <c r="J125" s="3"/>
    </row>
    <row r="126" spans="10:10" x14ac:dyDescent="0.3">
      <c r="J126" s="3"/>
    </row>
    <row r="127" spans="10:10" x14ac:dyDescent="0.3">
      <c r="J127" s="3"/>
    </row>
    <row r="128" spans="10:10" x14ac:dyDescent="0.3">
      <c r="J128" s="3"/>
    </row>
    <row r="129" spans="10:10" x14ac:dyDescent="0.3">
      <c r="J129" s="3"/>
    </row>
    <row r="130" spans="10:10" x14ac:dyDescent="0.3">
      <c r="J130" s="3"/>
    </row>
    <row r="131" spans="10:10" x14ac:dyDescent="0.3">
      <c r="J131" s="3"/>
    </row>
    <row r="132" spans="10:10" x14ac:dyDescent="0.3">
      <c r="J132" s="3"/>
    </row>
    <row r="133" spans="10:10" x14ac:dyDescent="0.3">
      <c r="J133" s="3"/>
    </row>
    <row r="134" spans="10:10" x14ac:dyDescent="0.3">
      <c r="J134" s="3"/>
    </row>
    <row r="135" spans="10:10" x14ac:dyDescent="0.3">
      <c r="J135" s="3"/>
    </row>
    <row r="136" spans="10:10" x14ac:dyDescent="0.3">
      <c r="J136" s="3"/>
    </row>
    <row r="137" spans="10:10" x14ac:dyDescent="0.3">
      <c r="J137" s="3"/>
    </row>
    <row r="138" spans="10:10" x14ac:dyDescent="0.3">
      <c r="J138" s="3"/>
    </row>
    <row r="139" spans="10:10" x14ac:dyDescent="0.3">
      <c r="J139" s="3"/>
    </row>
    <row r="140" spans="10:10" x14ac:dyDescent="0.3">
      <c r="J140" s="3"/>
    </row>
    <row r="141" spans="10:10" x14ac:dyDescent="0.3">
      <c r="J141" s="3"/>
    </row>
    <row r="142" spans="10:10" x14ac:dyDescent="0.3">
      <c r="J142" s="3"/>
    </row>
    <row r="143" spans="10:10" x14ac:dyDescent="0.3">
      <c r="J143" s="3"/>
    </row>
    <row r="144" spans="10:10" x14ac:dyDescent="0.3">
      <c r="J144" s="3"/>
    </row>
    <row r="145" spans="10:10" x14ac:dyDescent="0.3">
      <c r="J145" s="3"/>
    </row>
    <row r="146" spans="10:10" x14ac:dyDescent="0.3">
      <c r="J146" s="3"/>
    </row>
    <row r="147" spans="10:10" x14ac:dyDescent="0.3">
      <c r="J147" s="3"/>
    </row>
    <row r="148" spans="10:10" x14ac:dyDescent="0.3">
      <c r="J148" s="3"/>
    </row>
    <row r="149" spans="10:10" x14ac:dyDescent="0.3">
      <c r="J149" s="3"/>
    </row>
    <row r="150" spans="10:10" x14ac:dyDescent="0.3">
      <c r="J150" s="3"/>
    </row>
    <row r="151" spans="10:10" x14ac:dyDescent="0.3">
      <c r="J151" s="3"/>
    </row>
    <row r="152" spans="10:10" x14ac:dyDescent="0.3">
      <c r="J152" s="3"/>
    </row>
    <row r="153" spans="10:10" x14ac:dyDescent="0.3">
      <c r="J153" s="3"/>
    </row>
    <row r="154" spans="10:10" x14ac:dyDescent="0.3">
      <c r="J154" s="3"/>
    </row>
    <row r="155" spans="10:10" x14ac:dyDescent="0.3">
      <c r="J155" s="3"/>
    </row>
    <row r="156" spans="10:10" x14ac:dyDescent="0.3">
      <c r="J156" s="3"/>
    </row>
    <row r="157" spans="10:10" x14ac:dyDescent="0.3">
      <c r="J157" s="3"/>
    </row>
    <row r="158" spans="10:10" x14ac:dyDescent="0.3">
      <c r="J158" s="3"/>
    </row>
    <row r="159" spans="10:10" x14ac:dyDescent="0.3">
      <c r="J159" s="3"/>
    </row>
    <row r="160" spans="10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</sheetData>
  <mergeCells count="6">
    <mergeCell ref="A112:D112"/>
    <mergeCell ref="A5:I5"/>
    <mergeCell ref="K5:M5"/>
    <mergeCell ref="A6:I6"/>
    <mergeCell ref="K6:M6"/>
    <mergeCell ref="K27:L27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06AF-AA02-4193-BDF2-7DCF40293872}">
  <dimension ref="A1:M314"/>
  <sheetViews>
    <sheetView topLeftCell="A23" workbookViewId="0">
      <selection activeCell="I37" sqref="I37"/>
    </sheetView>
  </sheetViews>
  <sheetFormatPr baseColWidth="10" defaultRowHeight="14.4" x14ac:dyDescent="0.3"/>
  <cols>
    <col min="1" max="1" width="12.6640625" style="64" customWidth="1"/>
    <col min="2" max="2" width="7.88671875" style="64" customWidth="1"/>
    <col min="3" max="3" width="18.33203125" style="74" customWidth="1"/>
    <col min="4" max="4" width="15.44140625" bestFit="1" customWidth="1"/>
    <col min="5" max="5" width="20.6640625" customWidth="1"/>
    <col min="6" max="6" width="16.6640625" bestFit="1" customWidth="1"/>
    <col min="7" max="7" width="15.6640625" customWidth="1"/>
    <col min="8" max="8" width="9" bestFit="1" customWidth="1"/>
    <col min="9" max="9" width="30.5546875" style="3" customWidth="1"/>
    <col min="10" max="10" width="6.33203125" style="72" customWidth="1"/>
    <col min="11" max="11" width="17.5546875" customWidth="1"/>
    <col min="12" max="12" width="16.44140625" customWidth="1"/>
    <col min="13" max="13" width="14.44140625" customWidth="1"/>
  </cols>
  <sheetData>
    <row r="1" spans="1:13" x14ac:dyDescent="0.3">
      <c r="A1" s="376"/>
      <c r="B1" s="376"/>
      <c r="C1" s="376"/>
      <c r="D1" s="376"/>
      <c r="E1" s="376"/>
      <c r="F1" s="376"/>
      <c r="G1" s="376"/>
      <c r="H1" s="376"/>
      <c r="I1" s="376"/>
      <c r="J1" s="3"/>
    </row>
    <row r="2" spans="1:13" x14ac:dyDescent="0.3">
      <c r="A2" s="376"/>
      <c r="B2" s="376"/>
      <c r="C2" s="376"/>
      <c r="D2" s="376"/>
      <c r="E2" s="376"/>
      <c r="F2" s="376"/>
      <c r="G2" s="376"/>
      <c r="H2" s="376"/>
      <c r="I2" s="376"/>
      <c r="J2" s="3"/>
    </row>
    <row r="3" spans="1:13" x14ac:dyDescent="0.3">
      <c r="A3" s="376"/>
      <c r="B3" s="376"/>
      <c r="C3" s="376"/>
      <c r="D3" s="376"/>
      <c r="E3" s="376"/>
      <c r="F3" s="376"/>
      <c r="G3" s="376"/>
      <c r="H3" s="376"/>
      <c r="I3" s="376"/>
      <c r="J3" s="3"/>
    </row>
    <row r="4" spans="1:13" x14ac:dyDescent="0.3">
      <c r="A4" s="376"/>
      <c r="B4" s="376"/>
      <c r="C4" s="376"/>
      <c r="D4" s="376"/>
      <c r="E4" s="376"/>
      <c r="F4" s="376"/>
      <c r="G4" s="376"/>
      <c r="H4" s="376"/>
      <c r="I4" s="376"/>
      <c r="J4" s="3"/>
    </row>
    <row r="5" spans="1:13" ht="23.4" x14ac:dyDescent="0.45">
      <c r="A5" s="519" t="s">
        <v>1554</v>
      </c>
      <c r="B5" s="519"/>
      <c r="C5" s="519"/>
      <c r="D5" s="519"/>
      <c r="E5" s="519"/>
      <c r="F5" s="519"/>
      <c r="G5" s="519"/>
      <c r="H5" s="519"/>
      <c r="I5" s="519"/>
      <c r="J5" s="113"/>
      <c r="K5" s="513" t="s">
        <v>1553</v>
      </c>
      <c r="L5" s="514"/>
      <c r="M5" s="515"/>
    </row>
    <row r="6" spans="1:13" ht="18" customHeight="1" x14ac:dyDescent="0.35">
      <c r="A6" s="560" t="s">
        <v>19</v>
      </c>
      <c r="B6" s="560"/>
      <c r="C6" s="560"/>
      <c r="D6" s="560"/>
      <c r="E6" s="560"/>
      <c r="F6" s="560"/>
      <c r="G6" s="560"/>
      <c r="H6" s="560"/>
      <c r="I6" s="560"/>
      <c r="J6" s="108"/>
      <c r="K6" s="564" t="s">
        <v>34</v>
      </c>
      <c r="L6" s="565"/>
      <c r="M6" s="566"/>
    </row>
    <row r="7" spans="1:13" x14ac:dyDescent="0.3">
      <c r="A7" s="33" t="s">
        <v>13</v>
      </c>
      <c r="B7" s="33" t="s">
        <v>1340</v>
      </c>
      <c r="C7" s="33" t="s">
        <v>25</v>
      </c>
      <c r="D7" s="101" t="s">
        <v>18</v>
      </c>
      <c r="E7" s="102" t="s">
        <v>16</v>
      </c>
      <c r="F7" s="102" t="s">
        <v>17</v>
      </c>
      <c r="G7" s="103" t="s">
        <v>14</v>
      </c>
      <c r="H7" s="34" t="s">
        <v>15</v>
      </c>
      <c r="I7" s="35" t="s">
        <v>20</v>
      </c>
      <c r="J7" s="109"/>
      <c r="K7" s="71" t="s">
        <v>32</v>
      </c>
      <c r="L7" s="43" t="s">
        <v>35</v>
      </c>
      <c r="M7" s="43" t="s">
        <v>33</v>
      </c>
    </row>
    <row r="8" spans="1:13" ht="18.600000000000001" customHeight="1" x14ac:dyDescent="0.3">
      <c r="A8" s="54">
        <v>46203</v>
      </c>
      <c r="B8" s="54"/>
      <c r="C8" s="13" t="s">
        <v>21</v>
      </c>
      <c r="D8" s="13"/>
      <c r="E8" s="67"/>
      <c r="F8" s="67"/>
      <c r="G8" s="67">
        <f>+E8-F8</f>
        <v>0</v>
      </c>
      <c r="H8" s="36"/>
      <c r="I8" s="105"/>
      <c r="J8" s="5"/>
      <c r="K8" s="39" t="s">
        <v>0</v>
      </c>
      <c r="L8" s="73" t="s">
        <v>92</v>
      </c>
      <c r="M8" s="26">
        <v>0</v>
      </c>
    </row>
    <row r="9" spans="1:13" s="6" customFormat="1" ht="16.2" customHeight="1" x14ac:dyDescent="0.3">
      <c r="A9" s="82"/>
      <c r="B9" s="50"/>
      <c r="C9" s="49"/>
      <c r="D9" s="15"/>
      <c r="E9" s="11"/>
      <c r="F9" s="374"/>
      <c r="G9" s="412"/>
      <c r="H9" s="76"/>
      <c r="I9" s="367"/>
      <c r="J9" s="110"/>
      <c r="K9" s="69" t="s">
        <v>1</v>
      </c>
      <c r="L9" s="73" t="s">
        <v>92</v>
      </c>
      <c r="M9" s="42">
        <v>0</v>
      </c>
    </row>
    <row r="10" spans="1:13" x14ac:dyDescent="0.3">
      <c r="A10" s="363"/>
      <c r="B10" s="363"/>
      <c r="C10" s="406"/>
      <c r="D10" s="407"/>
      <c r="E10" s="22"/>
      <c r="F10" s="374"/>
      <c r="G10" s="412"/>
      <c r="H10" s="76"/>
      <c r="I10" s="367"/>
      <c r="J10" s="110"/>
      <c r="K10" s="24" t="s">
        <v>27</v>
      </c>
      <c r="L10" s="73" t="s">
        <v>92</v>
      </c>
      <c r="M10" s="26">
        <v>0</v>
      </c>
    </row>
    <row r="11" spans="1:13" x14ac:dyDescent="0.3">
      <c r="A11" s="363"/>
      <c r="B11" s="363"/>
      <c r="C11" s="406"/>
      <c r="D11" s="407"/>
      <c r="E11" s="22"/>
      <c r="F11" s="374"/>
      <c r="G11" s="412"/>
      <c r="H11" s="76"/>
      <c r="I11" s="367"/>
      <c r="J11" s="110"/>
      <c r="K11" s="126" t="s">
        <v>429</v>
      </c>
      <c r="L11" s="73" t="s">
        <v>92</v>
      </c>
      <c r="M11" s="80">
        <f>SUM(H12+H18+H23+H36+H37+H49)</f>
        <v>0</v>
      </c>
    </row>
    <row r="12" spans="1:13" x14ac:dyDescent="0.3">
      <c r="A12" s="363"/>
      <c r="B12" s="363"/>
      <c r="C12" s="406"/>
      <c r="D12" s="305"/>
      <c r="E12" s="22"/>
      <c r="F12" s="374"/>
      <c r="G12" s="413"/>
      <c r="H12" s="414"/>
      <c r="I12" s="367"/>
      <c r="J12" s="110"/>
      <c r="K12" s="126" t="s">
        <v>62</v>
      </c>
      <c r="L12" s="73" t="s">
        <v>92</v>
      </c>
      <c r="M12" s="80">
        <f>SUM(H16+H33+H41+H53)</f>
        <v>0</v>
      </c>
    </row>
    <row r="13" spans="1:13" x14ac:dyDescent="0.3">
      <c r="A13" s="363"/>
      <c r="B13" s="363"/>
      <c r="C13" s="406"/>
      <c r="D13" s="408"/>
      <c r="E13" s="22"/>
      <c r="F13" s="374"/>
      <c r="G13" s="413"/>
      <c r="H13" s="76"/>
      <c r="I13" s="367"/>
      <c r="J13" s="110"/>
      <c r="K13" s="126" t="s">
        <v>361</v>
      </c>
      <c r="L13" s="73" t="s">
        <v>92</v>
      </c>
      <c r="M13" s="80">
        <v>0</v>
      </c>
    </row>
    <row r="14" spans="1:13" x14ac:dyDescent="0.3">
      <c r="A14" s="363"/>
      <c r="B14" s="363"/>
      <c r="C14" s="406"/>
      <c r="D14" s="305"/>
      <c r="E14" s="22"/>
      <c r="F14" s="374"/>
      <c r="G14" s="413"/>
      <c r="H14" s="76"/>
      <c r="I14" s="367"/>
      <c r="J14" s="110"/>
      <c r="K14" s="391" t="s">
        <v>541</v>
      </c>
      <c r="L14" s="73" t="s">
        <v>92</v>
      </c>
      <c r="M14" s="80">
        <f>SUM(H46)</f>
        <v>0</v>
      </c>
    </row>
    <row r="15" spans="1:13" x14ac:dyDescent="0.3">
      <c r="A15" s="363"/>
      <c r="B15" s="363"/>
      <c r="C15" s="406"/>
      <c r="D15" s="305"/>
      <c r="E15" s="22"/>
      <c r="F15" s="374"/>
      <c r="G15" s="413"/>
      <c r="H15" s="76"/>
      <c r="I15" s="367"/>
      <c r="J15" s="110"/>
      <c r="K15" s="69" t="s">
        <v>24</v>
      </c>
      <c r="L15" s="73" t="s">
        <v>92</v>
      </c>
      <c r="M15" s="26">
        <v>0</v>
      </c>
    </row>
    <row r="16" spans="1:13" x14ac:dyDescent="0.3">
      <c r="A16" s="363"/>
      <c r="B16" s="363"/>
      <c r="C16" s="406"/>
      <c r="D16" s="305"/>
      <c r="E16" s="22"/>
      <c r="F16" s="374"/>
      <c r="G16" s="412"/>
      <c r="H16" s="76"/>
      <c r="I16" s="367"/>
      <c r="J16" s="110"/>
      <c r="K16" s="69" t="s">
        <v>29</v>
      </c>
      <c r="L16" s="73" t="s">
        <v>92</v>
      </c>
      <c r="M16" s="26">
        <f>SUM(H13+H39+H56)</f>
        <v>0</v>
      </c>
    </row>
    <row r="17" spans="1:13" x14ac:dyDescent="0.3">
      <c r="A17" s="363"/>
      <c r="B17" s="363"/>
      <c r="C17" s="406"/>
      <c r="D17" s="305"/>
      <c r="E17" s="22"/>
      <c r="F17" s="374"/>
      <c r="G17" s="412"/>
      <c r="H17" s="76"/>
      <c r="I17" s="367"/>
      <c r="J17" s="110"/>
      <c r="K17" s="69" t="s">
        <v>3</v>
      </c>
      <c r="L17" s="73" t="s">
        <v>92</v>
      </c>
      <c r="M17" s="26">
        <f>SUM(H17+H34+H48+H55)</f>
        <v>0</v>
      </c>
    </row>
    <row r="18" spans="1:13" x14ac:dyDescent="0.3">
      <c r="A18" s="363"/>
      <c r="B18" s="363"/>
      <c r="C18" s="406"/>
      <c r="D18" s="305"/>
      <c r="E18" s="22"/>
      <c r="F18" s="374"/>
      <c r="G18" s="412"/>
      <c r="H18" s="76"/>
      <c r="I18" s="367"/>
      <c r="J18" s="110"/>
      <c r="K18" s="69" t="s">
        <v>5</v>
      </c>
      <c r="L18" s="73" t="s">
        <v>92</v>
      </c>
      <c r="M18" s="26">
        <f>SUM(H10+H24+H45+H50+H51)</f>
        <v>0</v>
      </c>
    </row>
    <row r="19" spans="1:13" x14ac:dyDescent="0.3">
      <c r="A19" s="363"/>
      <c r="B19" s="363"/>
      <c r="C19" s="406"/>
      <c r="D19" s="305"/>
      <c r="E19" s="22"/>
      <c r="F19" s="374"/>
      <c r="G19" s="412"/>
      <c r="H19" s="76"/>
      <c r="I19" s="367"/>
      <c r="J19" s="110"/>
      <c r="K19" s="69" t="s">
        <v>61</v>
      </c>
      <c r="L19" s="73" t="s">
        <v>92</v>
      </c>
      <c r="M19" s="26">
        <f>SUM(H8+H42)</f>
        <v>0</v>
      </c>
    </row>
    <row r="20" spans="1:13" x14ac:dyDescent="0.3">
      <c r="A20" s="363"/>
      <c r="B20" s="363"/>
      <c r="C20" s="406"/>
      <c r="D20" s="305"/>
      <c r="E20" s="22"/>
      <c r="F20" s="374"/>
      <c r="G20" s="412"/>
      <c r="H20" s="76"/>
      <c r="I20" s="367"/>
      <c r="J20" s="110"/>
      <c r="K20" s="69" t="s">
        <v>22</v>
      </c>
      <c r="L20" s="73" t="s">
        <v>92</v>
      </c>
      <c r="M20" s="26">
        <f>SUM(H15)</f>
        <v>0</v>
      </c>
    </row>
    <row r="21" spans="1:13" x14ac:dyDescent="0.3">
      <c r="A21" s="409"/>
      <c r="B21" s="409"/>
      <c r="C21" s="410"/>
      <c r="D21" s="407"/>
      <c r="E21" s="22"/>
      <c r="F21" s="374"/>
      <c r="G21" s="412"/>
      <c r="H21" s="76"/>
      <c r="I21" s="367"/>
      <c r="J21" s="110"/>
      <c r="K21" s="69" t="s">
        <v>6</v>
      </c>
      <c r="L21" s="73" t="s">
        <v>92</v>
      </c>
      <c r="M21" s="26">
        <f>SUM(H14+H31+H54)</f>
        <v>0</v>
      </c>
    </row>
    <row r="22" spans="1:13" x14ac:dyDescent="0.3">
      <c r="A22" s="409"/>
      <c r="B22" s="409"/>
      <c r="C22" s="410"/>
      <c r="D22" s="407"/>
      <c r="E22" s="22"/>
      <c r="F22" s="374"/>
      <c r="G22" s="415"/>
      <c r="H22" s="414"/>
      <c r="I22" s="367"/>
      <c r="J22" s="110"/>
      <c r="K22" s="69" t="s">
        <v>8</v>
      </c>
      <c r="L22" s="73" t="s">
        <v>92</v>
      </c>
      <c r="M22" s="26">
        <f>SUM(H26+H40+H52)</f>
        <v>0</v>
      </c>
    </row>
    <row r="23" spans="1:13" x14ac:dyDescent="0.3">
      <c r="A23" s="409"/>
      <c r="B23" s="409"/>
      <c r="C23" s="410"/>
      <c r="D23" s="407"/>
      <c r="E23" s="22"/>
      <c r="F23" s="374"/>
      <c r="G23" s="415"/>
      <c r="H23" s="76"/>
      <c r="I23" s="367"/>
      <c r="J23" s="110"/>
      <c r="K23" s="69" t="s">
        <v>9</v>
      </c>
      <c r="L23" s="73" t="s">
        <v>92</v>
      </c>
      <c r="M23" s="26">
        <f>SUM(H19+H29)</f>
        <v>0</v>
      </c>
    </row>
    <row r="24" spans="1:13" x14ac:dyDescent="0.3">
      <c r="A24" s="409"/>
      <c r="B24" s="409"/>
      <c r="C24" s="410"/>
      <c r="D24" s="407"/>
      <c r="E24" s="22"/>
      <c r="F24" s="374"/>
      <c r="G24" s="415"/>
      <c r="H24" s="76"/>
      <c r="I24" s="367"/>
      <c r="J24" s="110"/>
      <c r="K24" s="69" t="s">
        <v>30</v>
      </c>
      <c r="L24" s="73" t="s">
        <v>92</v>
      </c>
      <c r="M24" s="26">
        <f>SUM(H6+H44)</f>
        <v>0</v>
      </c>
    </row>
    <row r="25" spans="1:13" x14ac:dyDescent="0.3">
      <c r="A25" s="409"/>
      <c r="B25" s="409"/>
      <c r="C25" s="410"/>
      <c r="D25" s="305"/>
      <c r="E25" s="11"/>
      <c r="F25" s="374"/>
      <c r="G25" s="415"/>
      <c r="H25" s="76"/>
      <c r="I25" s="367"/>
      <c r="J25"/>
      <c r="K25" s="69" t="s">
        <v>10</v>
      </c>
      <c r="L25" s="73" t="s">
        <v>92</v>
      </c>
      <c r="M25" s="26">
        <f>SUM(H28)</f>
        <v>0</v>
      </c>
    </row>
    <row r="26" spans="1:13" x14ac:dyDescent="0.3">
      <c r="A26" s="409"/>
      <c r="B26" s="409"/>
      <c r="C26" s="410"/>
      <c r="D26" s="305"/>
      <c r="E26" s="27"/>
      <c r="F26" s="374"/>
      <c r="G26" s="415"/>
      <c r="H26" s="76"/>
      <c r="I26" s="367"/>
      <c r="J26"/>
      <c r="K26" s="69" t="s">
        <v>11</v>
      </c>
      <c r="L26" s="73" t="s">
        <v>92</v>
      </c>
      <c r="M26" s="26">
        <f>SUM(H11+H20+H27+H32+H35)</f>
        <v>0</v>
      </c>
    </row>
    <row r="27" spans="1:13" x14ac:dyDescent="0.3">
      <c r="A27" s="409"/>
      <c r="B27" s="409"/>
      <c r="C27" s="410"/>
      <c r="D27" s="305"/>
      <c r="E27" s="11"/>
      <c r="F27" s="374"/>
      <c r="G27" s="415"/>
      <c r="H27" s="76"/>
      <c r="I27" s="367"/>
      <c r="J27" s="112"/>
      <c r="K27" s="540" t="s">
        <v>695</v>
      </c>
      <c r="L27" s="541"/>
      <c r="M27" s="148">
        <f>SUM(M7:M26)</f>
        <v>0</v>
      </c>
    </row>
    <row r="28" spans="1:13" ht="14.4" customHeight="1" x14ac:dyDescent="0.3">
      <c r="A28" s="409"/>
      <c r="B28" s="409"/>
      <c r="C28" s="410"/>
      <c r="D28" s="305"/>
      <c r="E28" s="11"/>
      <c r="F28" s="374"/>
      <c r="G28" s="412"/>
      <c r="H28" s="76"/>
      <c r="I28" s="367"/>
      <c r="J28" s="25"/>
      <c r="K28" s="146"/>
      <c r="L28" s="146"/>
    </row>
    <row r="29" spans="1:13" x14ac:dyDescent="0.3">
      <c r="A29" s="409"/>
      <c r="B29" s="409"/>
      <c r="C29" s="411"/>
      <c r="D29" s="409"/>
      <c r="E29" s="47"/>
      <c r="F29" s="374"/>
      <c r="G29" s="412"/>
      <c r="H29" s="76"/>
      <c r="I29" s="367"/>
      <c r="J29" s="110"/>
      <c r="K29" s="146"/>
      <c r="L29" s="146"/>
    </row>
    <row r="30" spans="1:13" x14ac:dyDescent="0.3">
      <c r="A30" s="409"/>
      <c r="B30" s="409"/>
      <c r="C30" s="411"/>
      <c r="D30" s="409"/>
      <c r="E30" s="47"/>
      <c r="F30" s="374"/>
      <c r="G30" s="412"/>
      <c r="H30" s="76"/>
      <c r="I30" s="367"/>
      <c r="J30" s="110"/>
      <c r="K30" s="146"/>
      <c r="L30" s="146"/>
    </row>
    <row r="31" spans="1:13" x14ac:dyDescent="0.3">
      <c r="A31" s="409"/>
      <c r="B31" s="409"/>
      <c r="C31" s="411"/>
      <c r="D31" s="409"/>
      <c r="E31" s="47"/>
      <c r="F31" s="374"/>
      <c r="G31" s="412"/>
      <c r="H31" s="76"/>
      <c r="I31" s="367"/>
      <c r="J31" s="110"/>
      <c r="K31" s="146"/>
      <c r="L31" s="146"/>
    </row>
    <row r="32" spans="1:13" x14ac:dyDescent="0.3">
      <c r="A32" s="409"/>
      <c r="B32" s="409"/>
      <c r="C32" s="411"/>
      <c r="D32" s="409"/>
      <c r="E32" s="47"/>
      <c r="F32" s="374"/>
      <c r="G32" s="412"/>
      <c r="H32" s="76"/>
      <c r="I32" s="367"/>
      <c r="J32" s="110"/>
      <c r="K32" s="146"/>
      <c r="L32" s="146"/>
    </row>
    <row r="33" spans="1:12" x14ac:dyDescent="0.3">
      <c r="A33" s="409"/>
      <c r="B33" s="409"/>
      <c r="C33" s="411"/>
      <c r="D33" s="409"/>
      <c r="E33" s="47"/>
      <c r="F33" s="374"/>
      <c r="G33" s="412"/>
      <c r="H33" s="76"/>
      <c r="I33" s="367"/>
      <c r="J33" s="110"/>
      <c r="K33" s="146"/>
      <c r="L33" s="146"/>
    </row>
    <row r="34" spans="1:12" x14ac:dyDescent="0.3">
      <c r="A34" s="409"/>
      <c r="B34" s="409"/>
      <c r="C34" s="411"/>
      <c r="D34" s="409"/>
      <c r="E34" s="47"/>
      <c r="F34" s="374"/>
      <c r="G34" s="412"/>
      <c r="H34" s="76"/>
      <c r="I34" s="367"/>
      <c r="J34" s="110"/>
      <c r="K34" s="146"/>
      <c r="L34" s="146"/>
    </row>
    <row r="35" spans="1:12" x14ac:dyDescent="0.3">
      <c r="A35" s="409"/>
      <c r="B35" s="409"/>
      <c r="C35" s="411"/>
      <c r="D35" s="409"/>
      <c r="E35" s="192"/>
      <c r="F35" s="416"/>
      <c r="G35" s="412"/>
      <c r="H35" s="76"/>
      <c r="I35" s="367"/>
      <c r="J35" s="110"/>
      <c r="K35" s="146"/>
      <c r="L35" s="146"/>
    </row>
    <row r="36" spans="1:12" x14ac:dyDescent="0.3">
      <c r="A36" s="409"/>
      <c r="B36" s="407"/>
      <c r="C36" s="410"/>
      <c r="D36" s="407"/>
      <c r="E36" s="192"/>
      <c r="F36" s="416"/>
      <c r="G36" s="412"/>
      <c r="H36" s="76"/>
      <c r="I36" s="367"/>
      <c r="J36" s="110"/>
      <c r="K36" s="146"/>
      <c r="L36" s="146"/>
    </row>
    <row r="37" spans="1:12" x14ac:dyDescent="0.3">
      <c r="A37" s="409"/>
      <c r="B37" s="407"/>
      <c r="C37" s="410"/>
      <c r="D37" s="407"/>
      <c r="E37" s="192"/>
      <c r="F37" s="416"/>
      <c r="G37" s="412"/>
      <c r="H37" s="414"/>
      <c r="I37" s="367"/>
      <c r="J37" s="110"/>
      <c r="K37" s="146"/>
      <c r="L37" s="146"/>
    </row>
    <row r="38" spans="1:12" x14ac:dyDescent="0.3">
      <c r="A38" s="409"/>
      <c r="B38" s="407"/>
      <c r="C38" s="410"/>
      <c r="D38" s="407"/>
      <c r="E38" s="192"/>
      <c r="F38" s="416"/>
      <c r="G38" s="412"/>
      <c r="H38" s="76"/>
      <c r="I38" s="367"/>
      <c r="J38" s="110"/>
      <c r="K38" s="146"/>
      <c r="L38" s="146"/>
    </row>
    <row r="39" spans="1:12" x14ac:dyDescent="0.3">
      <c r="A39" s="409"/>
      <c r="B39" s="407"/>
      <c r="C39" s="410"/>
      <c r="D39" s="407"/>
      <c r="E39" s="192"/>
      <c r="F39" s="416"/>
      <c r="G39" s="412"/>
      <c r="H39" s="76"/>
      <c r="I39" s="367"/>
      <c r="J39" s="110"/>
      <c r="K39" s="146"/>
      <c r="L39" s="146"/>
    </row>
    <row r="40" spans="1:12" x14ac:dyDescent="0.3">
      <c r="A40" s="409"/>
      <c r="B40" s="407"/>
      <c r="C40" s="410"/>
      <c r="D40" s="407"/>
      <c r="E40" s="192"/>
      <c r="F40" s="416"/>
      <c r="G40" s="412"/>
      <c r="H40" s="76"/>
      <c r="I40" s="367"/>
      <c r="J40" s="110"/>
      <c r="K40" s="146"/>
      <c r="L40" s="146"/>
    </row>
    <row r="41" spans="1:12" x14ac:dyDescent="0.3">
      <c r="A41" s="409"/>
      <c r="B41" s="407"/>
      <c r="C41" s="410"/>
      <c r="D41" s="407"/>
      <c r="E41" s="192"/>
      <c r="F41" s="416"/>
      <c r="G41" s="412"/>
      <c r="H41" s="76"/>
      <c r="I41" s="367"/>
      <c r="J41" s="110"/>
      <c r="K41" s="146"/>
      <c r="L41" s="146"/>
    </row>
    <row r="42" spans="1:12" x14ac:dyDescent="0.3">
      <c r="A42" s="409"/>
      <c r="B42" s="407"/>
      <c r="C42" s="410"/>
      <c r="D42" s="407"/>
      <c r="E42" s="192"/>
      <c r="F42" s="416"/>
      <c r="G42" s="415"/>
      <c r="H42" s="414"/>
      <c r="I42" s="367"/>
      <c r="J42" s="110"/>
    </row>
    <row r="43" spans="1:12" x14ac:dyDescent="0.3">
      <c r="A43" s="409"/>
      <c r="B43" s="407"/>
      <c r="C43" s="410"/>
      <c r="D43" s="407"/>
      <c r="E43" s="192"/>
      <c r="F43" s="416"/>
      <c r="G43" s="415"/>
      <c r="H43" s="76"/>
      <c r="I43" s="367"/>
      <c r="J43" s="110"/>
    </row>
    <row r="44" spans="1:12" x14ac:dyDescent="0.3">
      <c r="A44" s="409"/>
      <c r="B44" s="407"/>
      <c r="C44" s="410"/>
      <c r="D44" s="407"/>
      <c r="E44" s="192"/>
      <c r="F44" s="416"/>
      <c r="G44" s="415"/>
      <c r="H44" s="76"/>
      <c r="I44" s="367"/>
      <c r="J44" s="110"/>
    </row>
    <row r="45" spans="1:12" x14ac:dyDescent="0.3">
      <c r="A45" s="409"/>
      <c r="B45" s="407"/>
      <c r="C45" s="410"/>
      <c r="D45" s="407"/>
      <c r="E45" s="192"/>
      <c r="F45" s="416"/>
      <c r="G45" s="415"/>
      <c r="H45" s="76"/>
      <c r="I45" s="367"/>
      <c r="J45" s="110"/>
    </row>
    <row r="46" spans="1:12" x14ac:dyDescent="0.3">
      <c r="A46" s="409"/>
      <c r="B46" s="407"/>
      <c r="C46" s="410"/>
      <c r="D46" s="407"/>
      <c r="E46" s="192"/>
      <c r="F46" s="416"/>
      <c r="G46" s="415"/>
      <c r="H46" s="414"/>
      <c r="I46" s="367"/>
      <c r="J46" s="110"/>
    </row>
    <row r="47" spans="1:12" x14ac:dyDescent="0.3">
      <c r="A47" s="409"/>
      <c r="B47" s="407"/>
      <c r="C47" s="410"/>
      <c r="D47" s="407"/>
      <c r="E47" s="192"/>
      <c r="F47" s="416"/>
      <c r="G47" s="415"/>
      <c r="H47" s="414"/>
      <c r="I47" s="367"/>
      <c r="J47" s="110"/>
    </row>
    <row r="48" spans="1:12" x14ac:dyDescent="0.3">
      <c r="A48" s="409"/>
      <c r="B48" s="407"/>
      <c r="C48" s="410"/>
      <c r="D48" s="407"/>
      <c r="E48" s="192"/>
      <c r="F48" s="416"/>
      <c r="G48" s="415"/>
      <c r="H48" s="76"/>
      <c r="I48" s="367"/>
      <c r="J48" s="110"/>
    </row>
    <row r="49" spans="1:10" x14ac:dyDescent="0.3">
      <c r="A49" s="409"/>
      <c r="B49" s="407"/>
      <c r="C49" s="410"/>
      <c r="D49" s="407"/>
      <c r="E49" s="192"/>
      <c r="F49" s="416"/>
      <c r="G49" s="415"/>
      <c r="H49" s="76"/>
      <c r="I49" s="367"/>
      <c r="J49" s="110"/>
    </row>
    <row r="50" spans="1:10" x14ac:dyDescent="0.3">
      <c r="A50" s="409"/>
      <c r="B50" s="407"/>
      <c r="C50" s="410"/>
      <c r="D50" s="407"/>
      <c r="E50" s="192"/>
      <c r="F50" s="416"/>
      <c r="G50" s="415"/>
      <c r="H50" s="76"/>
      <c r="I50" s="367"/>
      <c r="J50" s="110"/>
    </row>
    <row r="51" spans="1:10" x14ac:dyDescent="0.3">
      <c r="A51" s="409"/>
      <c r="B51" s="407"/>
      <c r="C51" s="410"/>
      <c r="D51" s="407"/>
      <c r="E51" s="192"/>
      <c r="F51" s="416"/>
      <c r="G51" s="415"/>
      <c r="H51" s="76"/>
      <c r="I51" s="367"/>
      <c r="J51" s="110"/>
    </row>
    <row r="52" spans="1:10" x14ac:dyDescent="0.3">
      <c r="A52" s="409"/>
      <c r="B52" s="407"/>
      <c r="C52" s="410"/>
      <c r="D52" s="407"/>
      <c r="E52" s="192"/>
      <c r="F52" s="416"/>
      <c r="G52" s="412"/>
      <c r="H52" s="76"/>
      <c r="I52" s="367"/>
      <c r="J52" s="110"/>
    </row>
    <row r="53" spans="1:10" x14ac:dyDescent="0.3">
      <c r="A53" s="409"/>
      <c r="B53" s="407"/>
      <c r="C53" s="410"/>
      <c r="D53" s="407"/>
      <c r="E53" s="192"/>
      <c r="F53" s="416"/>
      <c r="G53" s="415"/>
      <c r="H53" s="414"/>
      <c r="I53" s="367"/>
      <c r="J53" s="110"/>
    </row>
    <row r="54" spans="1:10" x14ac:dyDescent="0.3">
      <c r="A54" s="409"/>
      <c r="B54" s="407"/>
      <c r="C54" s="410"/>
      <c r="D54" s="407"/>
      <c r="E54" s="192"/>
      <c r="F54" s="416"/>
      <c r="G54" s="415"/>
      <c r="H54" s="76"/>
      <c r="I54" s="367"/>
      <c r="J54" s="110"/>
    </row>
    <row r="55" spans="1:10" x14ac:dyDescent="0.3">
      <c r="A55" s="409"/>
      <c r="B55" s="407"/>
      <c r="C55" s="410"/>
      <c r="D55" s="407"/>
      <c r="E55" s="192"/>
      <c r="F55" s="416"/>
      <c r="G55" s="412"/>
      <c r="H55" s="414"/>
      <c r="I55" s="367"/>
      <c r="J55" s="110"/>
    </row>
    <row r="56" spans="1:10" x14ac:dyDescent="0.3">
      <c r="A56" s="409"/>
      <c r="B56" s="407"/>
      <c r="C56" s="410"/>
      <c r="D56" s="407"/>
      <c r="E56" s="192"/>
      <c r="F56" s="416"/>
      <c r="G56" s="412"/>
      <c r="H56" s="414"/>
      <c r="I56" s="367"/>
      <c r="J56" s="110"/>
    </row>
    <row r="57" spans="1:10" x14ac:dyDescent="0.3">
      <c r="A57" s="409"/>
      <c r="B57" s="407"/>
      <c r="C57" s="410"/>
      <c r="D57" s="407"/>
      <c r="E57" s="192"/>
      <c r="F57" s="416"/>
      <c r="G57" s="412"/>
      <c r="H57" s="76"/>
      <c r="I57" s="367"/>
      <c r="J57" s="110"/>
    </row>
    <row r="58" spans="1:10" ht="14.4" customHeight="1" x14ac:dyDescent="0.3">
      <c r="A58" s="409"/>
      <c r="B58" s="407"/>
      <c r="C58" s="410"/>
      <c r="D58" s="407"/>
      <c r="E58" s="192"/>
      <c r="F58" s="416"/>
      <c r="G58" s="412"/>
      <c r="H58" s="414"/>
      <c r="I58" s="233"/>
      <c r="J58" s="110"/>
    </row>
    <row r="59" spans="1:10" ht="13.95" customHeight="1" x14ac:dyDescent="0.3">
      <c r="A59" s="409"/>
      <c r="B59" s="407"/>
      <c r="C59" s="410"/>
      <c r="D59" s="407"/>
      <c r="E59" s="192"/>
      <c r="F59" s="416"/>
      <c r="G59" s="412"/>
      <c r="H59" s="76"/>
      <c r="I59" s="367"/>
      <c r="J59" s="110"/>
    </row>
    <row r="60" spans="1:10" ht="13.95" customHeight="1" x14ac:dyDescent="0.3">
      <c r="A60" s="409"/>
      <c r="B60" s="407"/>
      <c r="C60" s="410"/>
      <c r="D60" s="407"/>
      <c r="E60" s="192"/>
      <c r="F60" s="416"/>
      <c r="G60" s="412"/>
      <c r="H60" s="76"/>
      <c r="I60" s="367"/>
      <c r="J60" s="110"/>
    </row>
    <row r="61" spans="1:10" ht="13.95" customHeight="1" x14ac:dyDescent="0.3">
      <c r="A61" s="409"/>
      <c r="B61" s="407"/>
      <c r="C61" s="410"/>
      <c r="D61" s="407"/>
      <c r="E61" s="192"/>
      <c r="F61" s="416"/>
      <c r="G61" s="412"/>
      <c r="H61" s="76"/>
      <c r="I61" s="367"/>
      <c r="J61" s="110"/>
    </row>
    <row r="62" spans="1:10" ht="13.95" customHeight="1" x14ac:dyDescent="0.3">
      <c r="A62" s="409"/>
      <c r="B62" s="407"/>
      <c r="C62" s="410"/>
      <c r="D62" s="407"/>
      <c r="E62" s="192"/>
      <c r="F62" s="416"/>
      <c r="G62" s="412"/>
      <c r="H62" s="76"/>
      <c r="I62" s="367"/>
      <c r="J62" s="110"/>
    </row>
    <row r="63" spans="1:10" ht="13.95" customHeight="1" x14ac:dyDescent="0.3">
      <c r="A63" s="119"/>
      <c r="B63" s="233"/>
      <c r="C63" s="115"/>
      <c r="D63" s="305"/>
      <c r="E63" s="22"/>
      <c r="F63" s="417"/>
      <c r="G63" s="412"/>
      <c r="H63" s="76"/>
      <c r="I63" s="367"/>
      <c r="J63" s="110"/>
    </row>
    <row r="64" spans="1:10" ht="13.95" customHeight="1" x14ac:dyDescent="0.3">
      <c r="A64" s="119"/>
      <c r="B64" s="233"/>
      <c r="C64" s="115"/>
      <c r="D64" s="305"/>
      <c r="E64" s="22"/>
      <c r="F64" s="417"/>
      <c r="G64" s="415"/>
      <c r="H64" s="414"/>
      <c r="I64" s="367"/>
      <c r="J64" s="110"/>
    </row>
    <row r="65" spans="1:10" ht="13.95" customHeight="1" x14ac:dyDescent="0.3">
      <c r="A65" s="119"/>
      <c r="B65" s="233"/>
      <c r="C65" s="115"/>
      <c r="D65" s="305"/>
      <c r="E65" s="22"/>
      <c r="F65" s="417"/>
      <c r="G65" s="415"/>
      <c r="H65" s="414"/>
      <c r="I65" s="367"/>
      <c r="J65" s="110"/>
    </row>
    <row r="66" spans="1:10" ht="13.95" customHeight="1" x14ac:dyDescent="0.3">
      <c r="A66" s="119"/>
      <c r="B66" s="233"/>
      <c r="C66" s="115"/>
      <c r="D66" s="305"/>
      <c r="E66" s="22"/>
      <c r="F66" s="417"/>
      <c r="G66" s="412"/>
      <c r="H66" s="76"/>
      <c r="I66" s="367"/>
      <c r="J66" s="110"/>
    </row>
    <row r="67" spans="1:10" ht="13.95" customHeight="1" x14ac:dyDescent="0.3">
      <c r="A67" s="119"/>
      <c r="B67" s="233"/>
      <c r="C67" s="115"/>
      <c r="D67" s="305"/>
      <c r="E67" s="22"/>
      <c r="F67" s="417"/>
      <c r="G67" s="412"/>
      <c r="H67" s="76"/>
      <c r="I67" s="367"/>
      <c r="J67" s="110"/>
    </row>
    <row r="68" spans="1:10" ht="13.95" customHeight="1" x14ac:dyDescent="0.3">
      <c r="A68" s="119"/>
      <c r="B68" s="233"/>
      <c r="C68" s="115"/>
      <c r="D68" s="305"/>
      <c r="E68" s="22"/>
      <c r="F68" s="417"/>
      <c r="G68" s="412"/>
      <c r="H68" s="76"/>
      <c r="I68" s="367"/>
      <c r="J68" s="110"/>
    </row>
    <row r="69" spans="1:10" ht="13.95" customHeight="1" x14ac:dyDescent="0.3">
      <c r="A69" s="119"/>
      <c r="B69" s="233"/>
      <c r="C69" s="115"/>
      <c r="D69" s="305"/>
      <c r="E69" s="22"/>
      <c r="F69" s="417"/>
      <c r="G69" s="412"/>
      <c r="H69" s="76"/>
      <c r="I69" s="367"/>
      <c r="J69" s="110"/>
    </row>
    <row r="70" spans="1:10" ht="13.95" customHeight="1" x14ac:dyDescent="0.3">
      <c r="A70" s="119"/>
      <c r="B70" s="233"/>
      <c r="C70" s="115"/>
      <c r="D70" s="305"/>
      <c r="E70" s="22"/>
      <c r="F70" s="417"/>
      <c r="G70" s="412"/>
      <c r="H70" s="414"/>
      <c r="I70" s="367"/>
      <c r="J70" s="110"/>
    </row>
    <row r="71" spans="1:10" ht="13.95" customHeight="1" x14ac:dyDescent="0.3">
      <c r="A71" s="119"/>
      <c r="B71" s="233"/>
      <c r="C71" s="115"/>
      <c r="D71" s="305"/>
      <c r="E71" s="22"/>
      <c r="F71" s="417"/>
      <c r="G71" s="412"/>
      <c r="H71" s="76"/>
      <c r="I71" s="367"/>
      <c r="J71" s="110"/>
    </row>
    <row r="72" spans="1:10" ht="14.4" customHeight="1" x14ac:dyDescent="0.3">
      <c r="A72" s="119"/>
      <c r="B72" s="233"/>
      <c r="C72" s="115"/>
      <c r="D72" s="407"/>
      <c r="E72" s="22"/>
      <c r="F72" s="417"/>
      <c r="G72" s="412"/>
      <c r="H72" s="414"/>
      <c r="I72" s="233"/>
      <c r="J72" s="110"/>
    </row>
    <row r="73" spans="1:10" ht="13.95" customHeight="1" x14ac:dyDescent="0.3">
      <c r="A73" s="119"/>
      <c r="B73" s="233"/>
      <c r="C73" s="115"/>
      <c r="D73" s="305"/>
      <c r="E73" s="22"/>
      <c r="F73" s="417"/>
      <c r="G73" s="415"/>
      <c r="H73" s="414"/>
      <c r="I73" s="367"/>
      <c r="J73" s="110"/>
    </row>
    <row r="74" spans="1:10" ht="13.95" customHeight="1" x14ac:dyDescent="0.3">
      <c r="A74" s="119"/>
      <c r="B74" s="233"/>
      <c r="C74" s="115"/>
      <c r="D74" s="305"/>
      <c r="E74" s="22"/>
      <c r="F74" s="417"/>
      <c r="G74" s="415"/>
      <c r="H74" s="76"/>
      <c r="I74" s="367"/>
      <c r="J74" s="110"/>
    </row>
    <row r="75" spans="1:10" ht="13.95" customHeight="1" x14ac:dyDescent="0.3">
      <c r="A75" s="119"/>
      <c r="B75" s="233"/>
      <c r="C75" s="115"/>
      <c r="D75" s="305"/>
      <c r="E75" s="22"/>
      <c r="F75" s="417"/>
      <c r="G75" s="415"/>
      <c r="H75" s="76"/>
      <c r="I75" s="367"/>
      <c r="J75" s="110"/>
    </row>
    <row r="76" spans="1:10" ht="13.95" customHeight="1" x14ac:dyDescent="0.3">
      <c r="A76" s="119"/>
      <c r="B76" s="233"/>
      <c r="C76" s="115"/>
      <c r="D76" s="305"/>
      <c r="E76" s="22"/>
      <c r="F76" s="417"/>
      <c r="G76" s="415"/>
      <c r="H76" s="76"/>
      <c r="I76" s="367"/>
      <c r="J76" s="110"/>
    </row>
    <row r="77" spans="1:10" ht="13.95" customHeight="1" x14ac:dyDescent="0.3">
      <c r="A77" s="119"/>
      <c r="B77" s="233"/>
      <c r="C77" s="115"/>
      <c r="D77" s="305"/>
      <c r="E77" s="22"/>
      <c r="F77" s="417"/>
      <c r="G77" s="415"/>
      <c r="H77" s="76"/>
      <c r="I77" s="367"/>
      <c r="J77" s="110"/>
    </row>
    <row r="78" spans="1:10" ht="13.95" customHeight="1" x14ac:dyDescent="0.3">
      <c r="A78" s="119"/>
      <c r="B78" s="233"/>
      <c r="C78" s="115"/>
      <c r="D78" s="305"/>
      <c r="E78" s="22"/>
      <c r="F78" s="417"/>
      <c r="G78" s="415"/>
      <c r="H78" s="76"/>
      <c r="I78" s="367"/>
      <c r="J78" s="110"/>
    </row>
    <row r="79" spans="1:10" ht="13.95" customHeight="1" x14ac:dyDescent="0.3">
      <c r="A79" s="119"/>
      <c r="B79" s="233"/>
      <c r="C79" s="115"/>
      <c r="D79" s="305"/>
      <c r="E79" s="22"/>
      <c r="F79" s="417"/>
      <c r="G79" s="415"/>
      <c r="H79" s="76"/>
      <c r="I79" s="367"/>
      <c r="J79" s="110"/>
    </row>
    <row r="80" spans="1:10" ht="13.95" customHeight="1" x14ac:dyDescent="0.3">
      <c r="A80" s="119"/>
      <c r="B80" s="233"/>
      <c r="C80" s="115"/>
      <c r="D80" s="305"/>
      <c r="E80" s="22"/>
      <c r="F80" s="417"/>
      <c r="G80" s="415"/>
      <c r="H80" s="76"/>
      <c r="I80" s="367"/>
      <c r="J80" s="110"/>
    </row>
    <row r="81" spans="1:10" ht="13.95" customHeight="1" x14ac:dyDescent="0.3">
      <c r="A81" s="119"/>
      <c r="B81" s="233"/>
      <c r="C81" s="115"/>
      <c r="D81" s="305"/>
      <c r="E81" s="22"/>
      <c r="F81" s="417"/>
      <c r="G81" s="415"/>
      <c r="H81" s="76"/>
      <c r="I81" s="367"/>
      <c r="J81" s="110"/>
    </row>
    <row r="82" spans="1:10" ht="13.95" customHeight="1" x14ac:dyDescent="0.3">
      <c r="A82" s="119"/>
      <c r="B82" s="233"/>
      <c r="C82" s="115"/>
      <c r="D82" s="305"/>
      <c r="E82" s="22"/>
      <c r="F82" s="417"/>
      <c r="G82" s="415"/>
      <c r="H82" s="76"/>
      <c r="I82" s="367"/>
      <c r="J82" s="110"/>
    </row>
    <row r="83" spans="1:10" ht="13.95" customHeight="1" x14ac:dyDescent="0.3">
      <c r="A83" s="119"/>
      <c r="B83" s="233"/>
      <c r="C83" s="115"/>
      <c r="D83" s="305"/>
      <c r="E83" s="22"/>
      <c r="F83" s="417"/>
      <c r="G83" s="412"/>
      <c r="H83" s="76"/>
      <c r="I83" s="367"/>
      <c r="J83" s="110"/>
    </row>
    <row r="84" spans="1:10" ht="13.95" customHeight="1" x14ac:dyDescent="0.3">
      <c r="A84" s="119"/>
      <c r="B84" s="233"/>
      <c r="C84" s="115"/>
      <c r="D84" s="305"/>
      <c r="E84" s="22"/>
      <c r="F84" s="417"/>
      <c r="G84" s="412"/>
      <c r="H84" s="76"/>
      <c r="I84" s="367"/>
      <c r="J84" s="110"/>
    </row>
    <row r="85" spans="1:10" ht="13.95" customHeight="1" x14ac:dyDescent="0.3">
      <c r="A85" s="119"/>
      <c r="B85" s="233"/>
      <c r="C85" s="115"/>
      <c r="D85" s="305"/>
      <c r="E85" s="22"/>
      <c r="F85" s="417"/>
      <c r="G85" s="412"/>
      <c r="H85" s="76"/>
      <c r="I85" s="367"/>
      <c r="J85" s="110"/>
    </row>
    <row r="86" spans="1:10" ht="13.95" customHeight="1" x14ac:dyDescent="0.3">
      <c r="A86" s="119"/>
      <c r="B86" s="233"/>
      <c r="C86" s="115"/>
      <c r="D86" s="305"/>
      <c r="E86" s="22"/>
      <c r="F86" s="417"/>
      <c r="G86" s="415"/>
      <c r="H86" s="414"/>
      <c r="I86" s="367"/>
      <c r="J86" s="110"/>
    </row>
    <row r="87" spans="1:10" ht="13.95" customHeight="1" x14ac:dyDescent="0.3">
      <c r="A87" s="119"/>
      <c r="B87" s="233"/>
      <c r="C87" s="115"/>
      <c r="D87" s="305"/>
      <c r="E87" s="22"/>
      <c r="F87" s="417"/>
      <c r="G87" s="415"/>
      <c r="H87" s="76"/>
      <c r="I87" s="367"/>
      <c r="J87" s="110"/>
    </row>
    <row r="88" spans="1:10" ht="13.95" customHeight="1" x14ac:dyDescent="0.3">
      <c r="A88" s="119"/>
      <c r="B88" s="233"/>
      <c r="C88" s="115"/>
      <c r="D88" s="305"/>
      <c r="E88" s="22"/>
      <c r="F88" s="417"/>
      <c r="G88" s="415"/>
      <c r="H88" s="76"/>
      <c r="I88" s="367"/>
      <c r="J88" s="110"/>
    </row>
    <row r="89" spans="1:10" ht="13.95" customHeight="1" x14ac:dyDescent="0.3">
      <c r="A89" s="119"/>
      <c r="B89" s="233"/>
      <c r="C89" s="115"/>
      <c r="D89" s="305"/>
      <c r="E89" s="22"/>
      <c r="F89" s="417"/>
      <c r="G89" s="415"/>
      <c r="H89" s="76"/>
      <c r="I89" s="367"/>
      <c r="J89" s="110"/>
    </row>
    <row r="90" spans="1:10" ht="13.95" customHeight="1" x14ac:dyDescent="0.3">
      <c r="A90" s="119"/>
      <c r="B90" s="233"/>
      <c r="C90" s="115"/>
      <c r="D90" s="305"/>
      <c r="E90" s="22"/>
      <c r="F90" s="417"/>
      <c r="G90" s="415"/>
      <c r="H90" s="76"/>
      <c r="I90" s="367"/>
      <c r="J90" s="110"/>
    </row>
    <row r="91" spans="1:10" ht="13.95" customHeight="1" x14ac:dyDescent="0.3">
      <c r="A91" s="119"/>
      <c r="B91" s="233"/>
      <c r="C91" s="115"/>
      <c r="D91" s="305"/>
      <c r="E91" s="22"/>
      <c r="F91" s="417"/>
      <c r="G91" s="415"/>
      <c r="H91" s="76"/>
      <c r="I91" s="367"/>
      <c r="J91" s="110"/>
    </row>
    <row r="92" spans="1:10" ht="13.95" customHeight="1" x14ac:dyDescent="0.3">
      <c r="A92" s="119"/>
      <c r="B92" s="233"/>
      <c r="C92" s="115"/>
      <c r="D92" s="305"/>
      <c r="E92" s="22"/>
      <c r="F92" s="417"/>
      <c r="G92" s="412"/>
      <c r="H92" s="76"/>
      <c r="I92" s="367"/>
      <c r="J92" s="110"/>
    </row>
    <row r="93" spans="1:10" ht="13.95" customHeight="1" x14ac:dyDescent="0.3">
      <c r="A93" s="119"/>
      <c r="B93" s="233"/>
      <c r="C93" s="115"/>
      <c r="D93" s="305"/>
      <c r="E93" s="22"/>
      <c r="F93" s="417"/>
      <c r="G93" s="412"/>
      <c r="H93" s="76"/>
      <c r="I93" s="367"/>
      <c r="J93" s="110"/>
    </row>
    <row r="94" spans="1:10" ht="13.95" customHeight="1" x14ac:dyDescent="0.3">
      <c r="A94" s="119"/>
      <c r="B94" s="233"/>
      <c r="C94" s="115"/>
      <c r="D94" s="305"/>
      <c r="E94" s="22"/>
      <c r="F94" s="417"/>
      <c r="G94" s="412"/>
      <c r="H94" s="76"/>
      <c r="I94" s="367"/>
      <c r="J94" s="110"/>
    </row>
    <row r="95" spans="1:10" ht="13.95" customHeight="1" x14ac:dyDescent="0.3">
      <c r="A95" s="119"/>
      <c r="B95" s="233"/>
      <c r="C95" s="115"/>
      <c r="D95" s="305"/>
      <c r="E95" s="22"/>
      <c r="F95" s="417"/>
      <c r="G95" s="412"/>
      <c r="H95" s="76"/>
      <c r="I95" s="367"/>
      <c r="J95" s="110"/>
    </row>
    <row r="96" spans="1:10" x14ac:dyDescent="0.3">
      <c r="A96" s="119"/>
      <c r="B96" s="233"/>
      <c r="C96" s="115"/>
      <c r="D96" s="305"/>
      <c r="E96" s="22"/>
      <c r="F96" s="374"/>
      <c r="G96" s="412"/>
      <c r="H96" s="414"/>
      <c r="I96" s="367"/>
      <c r="J96" s="110"/>
    </row>
    <row r="97" spans="1:10" x14ac:dyDescent="0.3">
      <c r="A97" s="119"/>
      <c r="B97" s="233"/>
      <c r="C97" s="115"/>
      <c r="D97" s="305"/>
      <c r="E97" s="22"/>
      <c r="F97" s="374"/>
      <c r="G97" s="415"/>
      <c r="H97" s="414"/>
      <c r="I97" s="367"/>
      <c r="J97" s="110"/>
    </row>
    <row r="98" spans="1:10" x14ac:dyDescent="0.3">
      <c r="A98" s="119"/>
      <c r="B98" s="233"/>
      <c r="C98" s="115"/>
      <c r="D98" s="305"/>
      <c r="E98" s="22"/>
      <c r="F98" s="374"/>
      <c r="G98" s="415"/>
      <c r="H98" s="414"/>
      <c r="I98" s="367"/>
      <c r="J98" s="110"/>
    </row>
    <row r="99" spans="1:10" x14ac:dyDescent="0.3">
      <c r="A99" s="119"/>
      <c r="B99" s="233"/>
      <c r="C99" s="115"/>
      <c r="D99" s="305"/>
      <c r="E99" s="22"/>
      <c r="F99" s="374"/>
      <c r="G99" s="415"/>
      <c r="H99" s="414"/>
      <c r="I99" s="367"/>
      <c r="J99" s="110"/>
    </row>
    <row r="100" spans="1:10" x14ac:dyDescent="0.3">
      <c r="A100" s="119"/>
      <c r="B100" s="233"/>
      <c r="C100" s="115"/>
      <c r="D100" s="305"/>
      <c r="E100" s="22"/>
      <c r="F100" s="374"/>
      <c r="G100" s="415"/>
      <c r="H100" s="414"/>
      <c r="I100" s="367"/>
      <c r="J100" s="110"/>
    </row>
    <row r="101" spans="1:10" x14ac:dyDescent="0.3">
      <c r="A101" s="119"/>
      <c r="B101" s="233"/>
      <c r="C101" s="115"/>
      <c r="D101" s="305"/>
      <c r="E101" s="22"/>
      <c r="F101" s="374"/>
      <c r="G101" s="412"/>
      <c r="H101" s="414"/>
      <c r="I101" s="367"/>
      <c r="J101" s="110"/>
    </row>
    <row r="102" spans="1:10" x14ac:dyDescent="0.3">
      <c r="A102" s="119"/>
      <c r="B102" s="233"/>
      <c r="C102" s="115"/>
      <c r="D102" s="305"/>
      <c r="E102" s="22"/>
      <c r="F102" s="374"/>
      <c r="G102" s="412"/>
      <c r="H102" s="414"/>
      <c r="I102" s="367"/>
      <c r="J102" s="110"/>
    </row>
    <row r="103" spans="1:10" x14ac:dyDescent="0.3">
      <c r="A103" s="119"/>
      <c r="B103" s="233"/>
      <c r="C103" s="115"/>
      <c r="D103" s="305"/>
      <c r="E103" s="22"/>
      <c r="F103" s="374"/>
      <c r="G103" s="412"/>
      <c r="H103" s="414"/>
      <c r="I103" s="367"/>
      <c r="J103" s="110"/>
    </row>
    <row r="104" spans="1:10" x14ac:dyDescent="0.3">
      <c r="A104" s="119"/>
      <c r="B104" s="233"/>
      <c r="C104" s="115"/>
      <c r="D104" s="305"/>
      <c r="E104" s="22"/>
      <c r="F104" s="374"/>
      <c r="G104" s="415"/>
      <c r="H104" s="414"/>
      <c r="I104" s="367"/>
      <c r="J104" s="110"/>
    </row>
    <row r="105" spans="1:10" x14ac:dyDescent="0.3">
      <c r="A105" s="119"/>
      <c r="B105" s="233"/>
      <c r="C105" s="115"/>
      <c r="D105" s="305"/>
      <c r="E105" s="22"/>
      <c r="F105" s="374"/>
      <c r="G105" s="415"/>
      <c r="H105" s="414"/>
      <c r="I105" s="367"/>
      <c r="J105" s="110"/>
    </row>
    <row r="106" spans="1:10" x14ac:dyDescent="0.3">
      <c r="A106" s="119"/>
      <c r="B106" s="233"/>
      <c r="C106" s="115"/>
      <c r="D106" s="305"/>
      <c r="E106" s="22"/>
      <c r="F106" s="374"/>
      <c r="G106" s="415"/>
      <c r="H106" s="414"/>
      <c r="I106" s="367"/>
      <c r="J106" s="110"/>
    </row>
    <row r="107" spans="1:10" x14ac:dyDescent="0.3">
      <c r="A107" s="119"/>
      <c r="B107" s="233"/>
      <c r="C107" s="115"/>
      <c r="D107" s="305"/>
      <c r="E107" s="22"/>
      <c r="F107" s="374"/>
      <c r="G107" s="415"/>
      <c r="H107" s="414"/>
      <c r="I107" s="367"/>
      <c r="J107" s="110"/>
    </row>
    <row r="108" spans="1:10" x14ac:dyDescent="0.3">
      <c r="A108" s="119"/>
      <c r="B108" s="233"/>
      <c r="C108" s="115"/>
      <c r="D108" s="305"/>
      <c r="E108" s="22"/>
      <c r="F108" s="374"/>
      <c r="G108" s="415"/>
      <c r="H108" s="414"/>
      <c r="I108" s="367"/>
      <c r="J108" s="110"/>
    </row>
    <row r="109" spans="1:10" x14ac:dyDescent="0.3">
      <c r="A109" s="119"/>
      <c r="B109" s="233"/>
      <c r="C109" s="115"/>
      <c r="D109" s="305"/>
      <c r="E109" s="22"/>
      <c r="F109" s="374"/>
      <c r="G109" s="415"/>
      <c r="H109" s="414"/>
      <c r="I109" s="367"/>
      <c r="J109" s="110"/>
    </row>
    <row r="110" spans="1:10" x14ac:dyDescent="0.3">
      <c r="A110" s="119"/>
      <c r="B110" s="233"/>
      <c r="C110" s="236"/>
      <c r="D110" s="305"/>
      <c r="E110" s="22"/>
      <c r="F110" s="374"/>
      <c r="G110" s="415"/>
      <c r="H110" s="414"/>
      <c r="I110" s="367"/>
      <c r="J110" s="110"/>
    </row>
    <row r="111" spans="1:10" x14ac:dyDescent="0.3">
      <c r="A111" s="119"/>
      <c r="B111" s="233"/>
      <c r="C111" s="236"/>
      <c r="D111" s="305"/>
      <c r="E111" s="22"/>
      <c r="F111" s="374"/>
      <c r="G111" s="415"/>
      <c r="H111" s="414"/>
      <c r="I111" s="367"/>
      <c r="J111" s="110"/>
    </row>
    <row r="112" spans="1:10" ht="27" customHeight="1" x14ac:dyDescent="0.3">
      <c r="A112" s="572" t="s">
        <v>28</v>
      </c>
      <c r="B112" s="572"/>
      <c r="C112" s="572"/>
      <c r="D112" s="572"/>
      <c r="E112" s="83">
        <f>SUM(E8:E111)</f>
        <v>0</v>
      </c>
      <c r="F112" s="84">
        <f>SUM(F8:F111)</f>
        <v>0</v>
      </c>
      <c r="G112" s="32">
        <f>+G111</f>
        <v>0</v>
      </c>
      <c r="H112" s="75" t="e">
        <f>SUM(#REF!+#REF!+#REF!+#REF!)</f>
        <v>#REF!</v>
      </c>
      <c r="I112" s="36"/>
      <c r="J112"/>
    </row>
    <row r="113" spans="10:10" x14ac:dyDescent="0.3">
      <c r="J113" s="3"/>
    </row>
    <row r="114" spans="10:10" x14ac:dyDescent="0.3">
      <c r="J114" s="3"/>
    </row>
    <row r="115" spans="10:10" x14ac:dyDescent="0.3">
      <c r="J115" s="3"/>
    </row>
    <row r="116" spans="10:10" x14ac:dyDescent="0.3">
      <c r="J116" s="3"/>
    </row>
    <row r="117" spans="10:10" x14ac:dyDescent="0.3">
      <c r="J117" s="3"/>
    </row>
    <row r="118" spans="10:10" x14ac:dyDescent="0.3">
      <c r="J118" s="3"/>
    </row>
    <row r="119" spans="10:10" x14ac:dyDescent="0.3">
      <c r="J119" s="3"/>
    </row>
    <row r="120" spans="10:10" x14ac:dyDescent="0.3">
      <c r="J120" s="3"/>
    </row>
    <row r="121" spans="10:10" x14ac:dyDescent="0.3">
      <c r="J121" s="3"/>
    </row>
    <row r="122" spans="10:10" x14ac:dyDescent="0.3">
      <c r="J122" s="3"/>
    </row>
    <row r="123" spans="10:10" x14ac:dyDescent="0.3">
      <c r="J123" s="3"/>
    </row>
    <row r="124" spans="10:10" x14ac:dyDescent="0.3">
      <c r="J124" s="3"/>
    </row>
    <row r="125" spans="10:10" x14ac:dyDescent="0.3">
      <c r="J125" s="3"/>
    </row>
    <row r="126" spans="10:10" x14ac:dyDescent="0.3">
      <c r="J126" s="3"/>
    </row>
    <row r="127" spans="10:10" x14ac:dyDescent="0.3">
      <c r="J127" s="3"/>
    </row>
    <row r="128" spans="10:10" x14ac:dyDescent="0.3">
      <c r="J128" s="3"/>
    </row>
    <row r="129" spans="10:10" x14ac:dyDescent="0.3">
      <c r="J129" s="3"/>
    </row>
    <row r="130" spans="10:10" x14ac:dyDescent="0.3">
      <c r="J130" s="3"/>
    </row>
    <row r="131" spans="10:10" x14ac:dyDescent="0.3">
      <c r="J131" s="3"/>
    </row>
    <row r="132" spans="10:10" x14ac:dyDescent="0.3">
      <c r="J132" s="3"/>
    </row>
    <row r="133" spans="10:10" x14ac:dyDescent="0.3">
      <c r="J133" s="3"/>
    </row>
    <row r="134" spans="10:10" x14ac:dyDescent="0.3">
      <c r="J134" s="3"/>
    </row>
    <row r="135" spans="10:10" x14ac:dyDescent="0.3">
      <c r="J135" s="3"/>
    </row>
    <row r="136" spans="10:10" x14ac:dyDescent="0.3">
      <c r="J136" s="3"/>
    </row>
    <row r="137" spans="10:10" x14ac:dyDescent="0.3">
      <c r="J137" s="3"/>
    </row>
    <row r="138" spans="10:10" x14ac:dyDescent="0.3">
      <c r="J138" s="3"/>
    </row>
    <row r="139" spans="10:10" x14ac:dyDescent="0.3">
      <c r="J139" s="3"/>
    </row>
    <row r="140" spans="10:10" x14ac:dyDescent="0.3">
      <c r="J140" s="3"/>
    </row>
    <row r="141" spans="10:10" x14ac:dyDescent="0.3">
      <c r="J141" s="3"/>
    </row>
    <row r="142" spans="10:10" x14ac:dyDescent="0.3">
      <c r="J142" s="3"/>
    </row>
    <row r="143" spans="10:10" x14ac:dyDescent="0.3">
      <c r="J143" s="3"/>
    </row>
    <row r="144" spans="10:10" x14ac:dyDescent="0.3">
      <c r="J144" s="3"/>
    </row>
    <row r="145" spans="10:10" x14ac:dyDescent="0.3">
      <c r="J145" s="3"/>
    </row>
    <row r="146" spans="10:10" x14ac:dyDescent="0.3">
      <c r="J146" s="3"/>
    </row>
    <row r="147" spans="10:10" x14ac:dyDescent="0.3">
      <c r="J147" s="3"/>
    </row>
    <row r="148" spans="10:10" x14ac:dyDescent="0.3">
      <c r="J148" s="3"/>
    </row>
    <row r="149" spans="10:10" x14ac:dyDescent="0.3">
      <c r="J149" s="3"/>
    </row>
    <row r="150" spans="10:10" x14ac:dyDescent="0.3">
      <c r="J150" s="3"/>
    </row>
    <row r="151" spans="10:10" x14ac:dyDescent="0.3">
      <c r="J151" s="3"/>
    </row>
    <row r="152" spans="10:10" x14ac:dyDescent="0.3">
      <c r="J152" s="3"/>
    </row>
    <row r="153" spans="10:10" x14ac:dyDescent="0.3">
      <c r="J153" s="3"/>
    </row>
    <row r="154" spans="10:10" x14ac:dyDescent="0.3">
      <c r="J154" s="3"/>
    </row>
    <row r="155" spans="10:10" x14ac:dyDescent="0.3">
      <c r="J155" s="3"/>
    </row>
    <row r="156" spans="10:10" x14ac:dyDescent="0.3">
      <c r="J156" s="3"/>
    </row>
    <row r="157" spans="10:10" x14ac:dyDescent="0.3">
      <c r="J157" s="3"/>
    </row>
    <row r="158" spans="10:10" x14ac:dyDescent="0.3">
      <c r="J158" s="3"/>
    </row>
    <row r="159" spans="10:10" x14ac:dyDescent="0.3">
      <c r="J159" s="3"/>
    </row>
    <row r="160" spans="10:10" x14ac:dyDescent="0.3">
      <c r="J160" s="3"/>
    </row>
    <row r="161" spans="10:10" x14ac:dyDescent="0.3">
      <c r="J161" s="3"/>
    </row>
    <row r="162" spans="10:10" x14ac:dyDescent="0.3">
      <c r="J162" s="3"/>
    </row>
    <row r="163" spans="10:10" x14ac:dyDescent="0.3">
      <c r="J163" s="3"/>
    </row>
    <row r="164" spans="10:10" x14ac:dyDescent="0.3">
      <c r="J164" s="3"/>
    </row>
    <row r="165" spans="10:10" x14ac:dyDescent="0.3">
      <c r="J165" s="3"/>
    </row>
    <row r="166" spans="10:10" x14ac:dyDescent="0.3">
      <c r="J166" s="3"/>
    </row>
    <row r="167" spans="10:10" x14ac:dyDescent="0.3">
      <c r="J167" s="3"/>
    </row>
    <row r="168" spans="10:10" x14ac:dyDescent="0.3">
      <c r="J168" s="3"/>
    </row>
    <row r="169" spans="10:10" x14ac:dyDescent="0.3">
      <c r="J169" s="3"/>
    </row>
    <row r="170" spans="10:10" x14ac:dyDescent="0.3">
      <c r="J170" s="3"/>
    </row>
    <row r="171" spans="10:10" x14ac:dyDescent="0.3">
      <c r="J171" s="3"/>
    </row>
    <row r="172" spans="10:10" x14ac:dyDescent="0.3">
      <c r="J172" s="3"/>
    </row>
    <row r="173" spans="10:10" x14ac:dyDescent="0.3">
      <c r="J173" s="3"/>
    </row>
    <row r="174" spans="10:10" x14ac:dyDescent="0.3">
      <c r="J174" s="3"/>
    </row>
    <row r="175" spans="10:10" x14ac:dyDescent="0.3">
      <c r="J175" s="3"/>
    </row>
    <row r="176" spans="10:10" x14ac:dyDescent="0.3">
      <c r="J176" s="3"/>
    </row>
    <row r="177" spans="10:10" x14ac:dyDescent="0.3">
      <c r="J177" s="3"/>
    </row>
    <row r="178" spans="10:10" x14ac:dyDescent="0.3">
      <c r="J178" s="3"/>
    </row>
    <row r="179" spans="10:10" x14ac:dyDescent="0.3">
      <c r="J179" s="3"/>
    </row>
    <row r="180" spans="10:10" x14ac:dyDescent="0.3">
      <c r="J180" s="3"/>
    </row>
    <row r="181" spans="10:10" x14ac:dyDescent="0.3">
      <c r="J181" s="3"/>
    </row>
    <row r="182" spans="10:10" x14ac:dyDescent="0.3">
      <c r="J182" s="3"/>
    </row>
    <row r="183" spans="10:10" x14ac:dyDescent="0.3">
      <c r="J183" s="3"/>
    </row>
    <row r="184" spans="10:10" x14ac:dyDescent="0.3">
      <c r="J184" s="3"/>
    </row>
    <row r="185" spans="10:10" x14ac:dyDescent="0.3">
      <c r="J185" s="3"/>
    </row>
    <row r="186" spans="10:10" x14ac:dyDescent="0.3">
      <c r="J186" s="3"/>
    </row>
    <row r="187" spans="10:10" x14ac:dyDescent="0.3">
      <c r="J187" s="3"/>
    </row>
    <row r="188" spans="10:10" x14ac:dyDescent="0.3">
      <c r="J188" s="3"/>
    </row>
    <row r="189" spans="10:10" x14ac:dyDescent="0.3">
      <c r="J189" s="3"/>
    </row>
    <row r="190" spans="10:10" x14ac:dyDescent="0.3">
      <c r="J190" s="3"/>
    </row>
    <row r="191" spans="10:10" x14ac:dyDescent="0.3">
      <c r="J191" s="3"/>
    </row>
    <row r="192" spans="10:10" x14ac:dyDescent="0.3">
      <c r="J192" s="3"/>
    </row>
    <row r="193" spans="10:10" x14ac:dyDescent="0.3">
      <c r="J193" s="3"/>
    </row>
    <row r="194" spans="10:10" x14ac:dyDescent="0.3">
      <c r="J194" s="3"/>
    </row>
    <row r="195" spans="10:10" x14ac:dyDescent="0.3">
      <c r="J195" s="3"/>
    </row>
    <row r="196" spans="10:10" x14ac:dyDescent="0.3">
      <c r="J196" s="3"/>
    </row>
    <row r="197" spans="10:10" x14ac:dyDescent="0.3">
      <c r="J197" s="3"/>
    </row>
    <row r="198" spans="10:10" x14ac:dyDescent="0.3">
      <c r="J198" s="3"/>
    </row>
    <row r="199" spans="10:10" x14ac:dyDescent="0.3">
      <c r="J199" s="3"/>
    </row>
    <row r="200" spans="10:10" x14ac:dyDescent="0.3">
      <c r="J200" s="3"/>
    </row>
    <row r="201" spans="10:10" x14ac:dyDescent="0.3">
      <c r="J201" s="3"/>
    </row>
    <row r="202" spans="10:10" x14ac:dyDescent="0.3">
      <c r="J202" s="3"/>
    </row>
    <row r="203" spans="10:10" x14ac:dyDescent="0.3">
      <c r="J203" s="3"/>
    </row>
    <row r="204" spans="10:10" x14ac:dyDescent="0.3">
      <c r="J204" s="3"/>
    </row>
    <row r="205" spans="10:10" x14ac:dyDescent="0.3">
      <c r="J205" s="3"/>
    </row>
    <row r="206" spans="10:10" x14ac:dyDescent="0.3">
      <c r="J206" s="3"/>
    </row>
    <row r="207" spans="10:10" x14ac:dyDescent="0.3">
      <c r="J207" s="3"/>
    </row>
    <row r="208" spans="10:10" x14ac:dyDescent="0.3">
      <c r="J208" s="3"/>
    </row>
    <row r="209" spans="10:10" x14ac:dyDescent="0.3">
      <c r="J209" s="3"/>
    </row>
    <row r="210" spans="10:10" x14ac:dyDescent="0.3">
      <c r="J210" s="3"/>
    </row>
    <row r="211" spans="10:10" x14ac:dyDescent="0.3">
      <c r="J211" s="3"/>
    </row>
    <row r="212" spans="10:10" x14ac:dyDescent="0.3">
      <c r="J212" s="3"/>
    </row>
    <row r="213" spans="10:10" x14ac:dyDescent="0.3">
      <c r="J213" s="3"/>
    </row>
    <row r="214" spans="10:10" x14ac:dyDescent="0.3">
      <c r="J214" s="3"/>
    </row>
    <row r="215" spans="10:10" x14ac:dyDescent="0.3">
      <c r="J215" s="3"/>
    </row>
    <row r="216" spans="10:10" x14ac:dyDescent="0.3">
      <c r="J216" s="3"/>
    </row>
    <row r="217" spans="10:10" x14ac:dyDescent="0.3">
      <c r="J217" s="3"/>
    </row>
    <row r="218" spans="10:10" x14ac:dyDescent="0.3">
      <c r="J218" s="3"/>
    </row>
    <row r="219" spans="10:10" x14ac:dyDescent="0.3">
      <c r="J219" s="3"/>
    </row>
    <row r="220" spans="10:10" x14ac:dyDescent="0.3">
      <c r="J220" s="3"/>
    </row>
    <row r="221" spans="10:10" x14ac:dyDescent="0.3">
      <c r="J221" s="3"/>
    </row>
    <row r="222" spans="10:10" x14ac:dyDescent="0.3">
      <c r="J222" s="3"/>
    </row>
    <row r="223" spans="10:10" x14ac:dyDescent="0.3">
      <c r="J223" s="3"/>
    </row>
    <row r="224" spans="10:10" x14ac:dyDescent="0.3">
      <c r="J224" s="3"/>
    </row>
    <row r="225" spans="10:10" x14ac:dyDescent="0.3">
      <c r="J225" s="3"/>
    </row>
    <row r="226" spans="10:10" x14ac:dyDescent="0.3">
      <c r="J226" s="3"/>
    </row>
    <row r="227" spans="10:10" x14ac:dyDescent="0.3">
      <c r="J227" s="3"/>
    </row>
    <row r="228" spans="10:10" x14ac:dyDescent="0.3">
      <c r="J228" s="3"/>
    </row>
    <row r="229" spans="10:10" x14ac:dyDescent="0.3">
      <c r="J229" s="3"/>
    </row>
    <row r="230" spans="10:10" x14ac:dyDescent="0.3">
      <c r="J230" s="3"/>
    </row>
    <row r="231" spans="10:10" x14ac:dyDescent="0.3">
      <c r="J231" s="3"/>
    </row>
    <row r="232" spans="10:10" x14ac:dyDescent="0.3">
      <c r="J232" s="3"/>
    </row>
    <row r="233" spans="10:10" x14ac:dyDescent="0.3">
      <c r="J233" s="3"/>
    </row>
    <row r="234" spans="10:10" x14ac:dyDescent="0.3">
      <c r="J234" s="3"/>
    </row>
    <row r="235" spans="10:10" x14ac:dyDescent="0.3">
      <c r="J235" s="3"/>
    </row>
    <row r="236" spans="10:10" x14ac:dyDescent="0.3">
      <c r="J236" s="3"/>
    </row>
    <row r="237" spans="10:10" x14ac:dyDescent="0.3">
      <c r="J237" s="3"/>
    </row>
    <row r="238" spans="10:10" x14ac:dyDescent="0.3">
      <c r="J238" s="3"/>
    </row>
    <row r="239" spans="10:10" x14ac:dyDescent="0.3">
      <c r="J239" s="3"/>
    </row>
    <row r="240" spans="10:10" x14ac:dyDescent="0.3">
      <c r="J240" s="3"/>
    </row>
    <row r="241" spans="10:10" x14ac:dyDescent="0.3">
      <c r="J241" s="3"/>
    </row>
    <row r="242" spans="10:10" x14ac:dyDescent="0.3">
      <c r="J242" s="3"/>
    </row>
    <row r="243" spans="10:10" x14ac:dyDescent="0.3">
      <c r="J243" s="3"/>
    </row>
    <row r="244" spans="10:10" x14ac:dyDescent="0.3">
      <c r="J244" s="3"/>
    </row>
    <row r="245" spans="10:10" x14ac:dyDescent="0.3">
      <c r="J245" s="3"/>
    </row>
    <row r="246" spans="10:10" x14ac:dyDescent="0.3">
      <c r="J246" s="3"/>
    </row>
    <row r="247" spans="10:10" x14ac:dyDescent="0.3">
      <c r="J247" s="3"/>
    </row>
    <row r="248" spans="10:10" x14ac:dyDescent="0.3">
      <c r="J248" s="3"/>
    </row>
    <row r="249" spans="10:10" x14ac:dyDescent="0.3">
      <c r="J249" s="3"/>
    </row>
    <row r="250" spans="10:10" x14ac:dyDescent="0.3">
      <c r="J250" s="3"/>
    </row>
    <row r="251" spans="10:10" x14ac:dyDescent="0.3">
      <c r="J251" s="3"/>
    </row>
    <row r="252" spans="10:10" x14ac:dyDescent="0.3">
      <c r="J252" s="3"/>
    </row>
    <row r="253" spans="10:10" x14ac:dyDescent="0.3">
      <c r="J253" s="3"/>
    </row>
    <row r="254" spans="10:10" x14ac:dyDescent="0.3">
      <c r="J254" s="3"/>
    </row>
    <row r="255" spans="10:10" x14ac:dyDescent="0.3">
      <c r="J255" s="3"/>
    </row>
    <row r="256" spans="10:10" x14ac:dyDescent="0.3">
      <c r="J256" s="3"/>
    </row>
    <row r="257" spans="10:10" x14ac:dyDescent="0.3">
      <c r="J257" s="3"/>
    </row>
    <row r="258" spans="10:10" x14ac:dyDescent="0.3">
      <c r="J258" s="3"/>
    </row>
    <row r="259" spans="10:10" x14ac:dyDescent="0.3">
      <c r="J259" s="3"/>
    </row>
    <row r="260" spans="10:10" x14ac:dyDescent="0.3">
      <c r="J260" s="3"/>
    </row>
    <row r="261" spans="10:10" x14ac:dyDescent="0.3">
      <c r="J261" s="3"/>
    </row>
    <row r="262" spans="10:10" x14ac:dyDescent="0.3">
      <c r="J262" s="3"/>
    </row>
    <row r="263" spans="10:10" x14ac:dyDescent="0.3">
      <c r="J263" s="3"/>
    </row>
    <row r="264" spans="10:10" x14ac:dyDescent="0.3">
      <c r="J264" s="3"/>
    </row>
    <row r="265" spans="10:10" x14ac:dyDescent="0.3">
      <c r="J265" s="3"/>
    </row>
    <row r="266" spans="10:10" x14ac:dyDescent="0.3">
      <c r="J266" s="3"/>
    </row>
    <row r="267" spans="10:10" x14ac:dyDescent="0.3">
      <c r="J267" s="3"/>
    </row>
    <row r="268" spans="10:10" x14ac:dyDescent="0.3">
      <c r="J268" s="3"/>
    </row>
    <row r="269" spans="10:10" x14ac:dyDescent="0.3">
      <c r="J269" s="3"/>
    </row>
    <row r="270" spans="10:10" x14ac:dyDescent="0.3">
      <c r="J270" s="3"/>
    </row>
    <row r="271" spans="10:10" x14ac:dyDescent="0.3">
      <c r="J271" s="3"/>
    </row>
    <row r="272" spans="10:10" x14ac:dyDescent="0.3">
      <c r="J272" s="3"/>
    </row>
    <row r="273" spans="10:10" x14ac:dyDescent="0.3">
      <c r="J273" s="3"/>
    </row>
    <row r="274" spans="10:10" x14ac:dyDescent="0.3">
      <c r="J274" s="3"/>
    </row>
    <row r="275" spans="10:10" x14ac:dyDescent="0.3">
      <c r="J275" s="3"/>
    </row>
    <row r="276" spans="10:10" x14ac:dyDescent="0.3">
      <c r="J276" s="3"/>
    </row>
    <row r="277" spans="10:10" x14ac:dyDescent="0.3">
      <c r="J277" s="3"/>
    </row>
    <row r="278" spans="10:10" x14ac:dyDescent="0.3">
      <c r="J278" s="3"/>
    </row>
    <row r="279" spans="10:10" x14ac:dyDescent="0.3">
      <c r="J279" s="3"/>
    </row>
    <row r="280" spans="10:10" x14ac:dyDescent="0.3">
      <c r="J280" s="3"/>
    </row>
    <row r="281" spans="10:10" x14ac:dyDescent="0.3">
      <c r="J281" s="3"/>
    </row>
    <row r="282" spans="10:10" x14ac:dyDescent="0.3">
      <c r="J282" s="3"/>
    </row>
    <row r="283" spans="10:10" x14ac:dyDescent="0.3">
      <c r="J283" s="3"/>
    </row>
    <row r="284" spans="10:10" x14ac:dyDescent="0.3">
      <c r="J284" s="3"/>
    </row>
    <row r="285" spans="10:10" x14ac:dyDescent="0.3">
      <c r="J285" s="3"/>
    </row>
    <row r="286" spans="10:10" x14ac:dyDescent="0.3">
      <c r="J286" s="3"/>
    </row>
    <row r="287" spans="10:10" x14ac:dyDescent="0.3">
      <c r="J287" s="3"/>
    </row>
    <row r="288" spans="10:10" x14ac:dyDescent="0.3">
      <c r="J288" s="3"/>
    </row>
    <row r="289" spans="10:10" x14ac:dyDescent="0.3">
      <c r="J289" s="3"/>
    </row>
    <row r="290" spans="10:10" x14ac:dyDescent="0.3">
      <c r="J290" s="3"/>
    </row>
    <row r="291" spans="10:10" x14ac:dyDescent="0.3">
      <c r="J291" s="3"/>
    </row>
    <row r="292" spans="10:10" x14ac:dyDescent="0.3">
      <c r="J292" s="3"/>
    </row>
    <row r="293" spans="10:10" x14ac:dyDescent="0.3">
      <c r="J293" s="3"/>
    </row>
    <row r="294" spans="10:10" x14ac:dyDescent="0.3">
      <c r="J294" s="3"/>
    </row>
    <row r="295" spans="10:10" x14ac:dyDescent="0.3">
      <c r="J295" s="3"/>
    </row>
    <row r="296" spans="10:10" x14ac:dyDescent="0.3">
      <c r="J296" s="3"/>
    </row>
    <row r="297" spans="10:10" x14ac:dyDescent="0.3">
      <c r="J297" s="3"/>
    </row>
    <row r="298" spans="10:10" x14ac:dyDescent="0.3">
      <c r="J298" s="3"/>
    </row>
    <row r="299" spans="10:10" x14ac:dyDescent="0.3">
      <c r="J299" s="3"/>
    </row>
    <row r="300" spans="10:10" x14ac:dyDescent="0.3">
      <c r="J300" s="3"/>
    </row>
    <row r="301" spans="10:10" x14ac:dyDescent="0.3">
      <c r="J301" s="3"/>
    </row>
    <row r="302" spans="10:10" x14ac:dyDescent="0.3">
      <c r="J302" s="3"/>
    </row>
    <row r="303" spans="10:10" x14ac:dyDescent="0.3">
      <c r="J303" s="3"/>
    </row>
    <row r="304" spans="10:10" x14ac:dyDescent="0.3">
      <c r="J304" s="3"/>
    </row>
    <row r="305" spans="10:10" x14ac:dyDescent="0.3">
      <c r="J305" s="3"/>
    </row>
    <row r="306" spans="10:10" x14ac:dyDescent="0.3">
      <c r="J306" s="3"/>
    </row>
    <row r="307" spans="10:10" x14ac:dyDescent="0.3">
      <c r="J307" s="3"/>
    </row>
    <row r="308" spans="10:10" x14ac:dyDescent="0.3">
      <c r="J308" s="3"/>
    </row>
    <row r="309" spans="10:10" x14ac:dyDescent="0.3">
      <c r="J309" s="3"/>
    </row>
    <row r="310" spans="10:10" x14ac:dyDescent="0.3">
      <c r="J310" s="3"/>
    </row>
    <row r="311" spans="10:10" x14ac:dyDescent="0.3">
      <c r="J311" s="3"/>
    </row>
    <row r="312" spans="10:10" x14ac:dyDescent="0.3">
      <c r="J312" s="3"/>
    </row>
    <row r="313" spans="10:10" x14ac:dyDescent="0.3">
      <c r="J313" s="3"/>
    </row>
    <row r="314" spans="10:10" x14ac:dyDescent="0.3">
      <c r="J314" s="3"/>
    </row>
  </sheetData>
  <mergeCells count="6">
    <mergeCell ref="A112:D112"/>
    <mergeCell ref="A5:I5"/>
    <mergeCell ref="K5:M5"/>
    <mergeCell ref="A6:I6"/>
    <mergeCell ref="K6:M6"/>
    <mergeCell ref="K27:L27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7"/>
  <sheetViews>
    <sheetView workbookViewId="0">
      <selection activeCell="H7" sqref="H7"/>
    </sheetView>
  </sheetViews>
  <sheetFormatPr baseColWidth="10" defaultRowHeight="14.4" x14ac:dyDescent="0.3"/>
  <cols>
    <col min="1" max="1" width="20.33203125" customWidth="1"/>
    <col min="2" max="2" width="37.109375" bestFit="1" customWidth="1"/>
    <col min="3" max="3" width="27.5546875" customWidth="1"/>
    <col min="4" max="4" width="18.33203125" customWidth="1"/>
    <col min="5" max="5" width="4.44140625" customWidth="1"/>
  </cols>
  <sheetData>
    <row r="1" spans="1:4" ht="46.95" customHeight="1" x14ac:dyDescent="0.3">
      <c r="A1" s="594"/>
      <c r="B1" s="595"/>
      <c r="C1" s="595"/>
      <c r="D1" s="596"/>
    </row>
    <row r="2" spans="1:4" ht="24" customHeight="1" x14ac:dyDescent="0.3">
      <c r="A2" s="597" t="s">
        <v>1192</v>
      </c>
      <c r="B2" s="598"/>
      <c r="C2" s="598"/>
      <c r="D2" s="599"/>
    </row>
    <row r="3" spans="1:4" ht="18" customHeight="1" x14ac:dyDescent="0.4">
      <c r="A3" s="505" t="s">
        <v>670</v>
      </c>
      <c r="B3" s="505" t="s">
        <v>632</v>
      </c>
      <c r="C3" s="505" t="s">
        <v>1190</v>
      </c>
      <c r="D3" s="505" t="s">
        <v>633</v>
      </c>
    </row>
    <row r="4" spans="1:4" ht="18" customHeight="1" x14ac:dyDescent="0.35">
      <c r="A4" s="449" t="s">
        <v>649</v>
      </c>
      <c r="B4" s="450" t="s">
        <v>1276</v>
      </c>
      <c r="C4" s="454">
        <f>SUM(ENERO.2026!E198)</f>
        <v>14275896.49</v>
      </c>
      <c r="D4" s="451">
        <f>C4/$C$16</f>
        <v>9.3163196547876914E-2</v>
      </c>
    </row>
    <row r="5" spans="1:4" ht="18" customHeight="1" x14ac:dyDescent="0.35">
      <c r="A5" s="449" t="s">
        <v>650</v>
      </c>
      <c r="B5" s="450" t="s">
        <v>1276</v>
      </c>
      <c r="C5" s="454">
        <f>SUM(FEBRERO.2026!E247)</f>
        <v>23928880.600000001</v>
      </c>
      <c r="D5" s="451">
        <f>C5/$C$16</f>
        <v>0.15615768915598793</v>
      </c>
    </row>
    <row r="6" spans="1:4" ht="18" customHeight="1" x14ac:dyDescent="0.35">
      <c r="A6" s="449" t="s">
        <v>651</v>
      </c>
      <c r="B6" s="450" t="s">
        <v>1276</v>
      </c>
      <c r="C6" s="454">
        <f>SUM(MARZO.2026!E213)</f>
        <v>27277839.100000001</v>
      </c>
      <c r="D6" s="451">
        <f>C6/$C$16</f>
        <v>0.17801268643652529</v>
      </c>
    </row>
    <row r="7" spans="1:4" ht="18" customHeight="1" x14ac:dyDescent="0.35">
      <c r="A7" s="449" t="s">
        <v>652</v>
      </c>
      <c r="B7" s="450" t="s">
        <v>1276</v>
      </c>
      <c r="C7" s="454">
        <f>SUM(ABRIL.2026!E249)</f>
        <v>22000000</v>
      </c>
      <c r="D7" s="451">
        <f t="shared" ref="D7:D15" si="0">C7/$C$16</f>
        <v>0.14356999054237973</v>
      </c>
    </row>
    <row r="8" spans="1:4" ht="18" customHeight="1" x14ac:dyDescent="0.35">
      <c r="A8" s="449" t="s">
        <v>653</v>
      </c>
      <c r="B8" s="450" t="s">
        <v>1276</v>
      </c>
      <c r="C8" s="454">
        <f>SUM(MAYO.2026!E205)</f>
        <v>23048710.66</v>
      </c>
      <c r="D8" s="451">
        <f t="shared" si="0"/>
        <v>0.15041378052137488</v>
      </c>
    </row>
    <row r="9" spans="1:4" ht="18" customHeight="1" x14ac:dyDescent="0.35">
      <c r="A9" s="449" t="s">
        <v>654</v>
      </c>
      <c r="B9" s="450" t="s">
        <v>1276</v>
      </c>
      <c r="C9" s="454">
        <f>SUM(JUNIO.2026!E118)</f>
        <v>9294999.3000000007</v>
      </c>
      <c r="D9" s="451">
        <f t="shared" si="0"/>
        <v>6.0658316436019384E-2</v>
      </c>
    </row>
    <row r="10" spans="1:4" ht="18" customHeight="1" x14ac:dyDescent="0.35">
      <c r="A10" s="449" t="s">
        <v>655</v>
      </c>
      <c r="B10" s="450" t="s">
        <v>1276</v>
      </c>
      <c r="C10" s="454">
        <f>SUM(JULIO.2026!E130)</f>
        <v>17810118.539999999</v>
      </c>
      <c r="D10" s="451">
        <f t="shared" si="0"/>
        <v>0.11622720683393009</v>
      </c>
    </row>
    <row r="11" spans="1:4" ht="18" customHeight="1" x14ac:dyDescent="0.35">
      <c r="A11" s="449" t="s">
        <v>656</v>
      </c>
      <c r="B11" s="450" t="s">
        <v>1276</v>
      </c>
      <c r="C11" s="454">
        <f>SUM(AGOSTO.2026!E142)</f>
        <v>15598920.98</v>
      </c>
      <c r="D11" s="451">
        <f t="shared" si="0"/>
        <v>0.10179713352590587</v>
      </c>
    </row>
    <row r="12" spans="1:4" ht="18" customHeight="1" x14ac:dyDescent="0.35">
      <c r="A12" s="449" t="s">
        <v>657</v>
      </c>
      <c r="B12" s="450" t="s">
        <v>1276</v>
      </c>
      <c r="C12" s="450"/>
      <c r="D12" s="451">
        <f t="shared" si="0"/>
        <v>0</v>
      </c>
    </row>
    <row r="13" spans="1:4" ht="18" customHeight="1" x14ac:dyDescent="0.35">
      <c r="A13" s="449" t="s">
        <v>658</v>
      </c>
      <c r="B13" s="450" t="s">
        <v>1276</v>
      </c>
      <c r="C13" s="450"/>
      <c r="D13" s="451">
        <f t="shared" si="0"/>
        <v>0</v>
      </c>
    </row>
    <row r="14" spans="1:4" ht="18" customHeight="1" x14ac:dyDescent="0.35">
      <c r="A14" s="449" t="s">
        <v>659</v>
      </c>
      <c r="B14" s="450" t="s">
        <v>1276</v>
      </c>
      <c r="C14" s="450"/>
      <c r="D14" s="451">
        <f t="shared" si="0"/>
        <v>0</v>
      </c>
    </row>
    <row r="15" spans="1:4" ht="18" customHeight="1" x14ac:dyDescent="0.35">
      <c r="A15" s="449" t="s">
        <v>660</v>
      </c>
      <c r="B15" s="450" t="s">
        <v>1276</v>
      </c>
      <c r="C15" s="450"/>
      <c r="D15" s="451">
        <f t="shared" si="0"/>
        <v>0</v>
      </c>
    </row>
    <row r="16" spans="1:4" ht="24" customHeight="1" x14ac:dyDescent="0.4">
      <c r="A16" s="600" t="s">
        <v>647</v>
      </c>
      <c r="B16" s="600"/>
      <c r="C16" s="601">
        <f>SUM(C4:C15)</f>
        <v>153235365.66999999</v>
      </c>
      <c r="D16" s="601"/>
    </row>
    <row r="17" spans="1:3" x14ac:dyDescent="0.3">
      <c r="A17" s="144"/>
      <c r="B17" s="5"/>
      <c r="C17" s="5"/>
    </row>
  </sheetData>
  <mergeCells count="4">
    <mergeCell ref="A1:D1"/>
    <mergeCell ref="A2:D2"/>
    <mergeCell ref="A16:B16"/>
    <mergeCell ref="C16:D1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7"/>
  <sheetViews>
    <sheetView topLeftCell="A8" workbookViewId="0">
      <selection activeCell="C14" sqref="C14"/>
    </sheetView>
  </sheetViews>
  <sheetFormatPr baseColWidth="10" defaultRowHeight="14.4" x14ac:dyDescent="0.3"/>
  <cols>
    <col min="1" max="1" width="20.33203125" customWidth="1"/>
    <col min="2" max="2" width="41.77734375" bestFit="1" customWidth="1"/>
    <col min="3" max="3" width="27.5546875" customWidth="1"/>
    <col min="4" max="4" width="18.33203125" customWidth="1"/>
    <col min="5" max="5" width="4.44140625" customWidth="1"/>
  </cols>
  <sheetData>
    <row r="1" spans="1:4" ht="46.95" customHeight="1" x14ac:dyDescent="0.3">
      <c r="A1" s="594"/>
      <c r="B1" s="595"/>
      <c r="C1" s="595"/>
      <c r="D1" s="596"/>
    </row>
    <row r="2" spans="1:4" ht="24" customHeight="1" x14ac:dyDescent="0.3">
      <c r="A2" s="597" t="s">
        <v>648</v>
      </c>
      <c r="B2" s="598"/>
      <c r="C2" s="598"/>
      <c r="D2" s="599"/>
    </row>
    <row r="3" spans="1:4" ht="18" customHeight="1" x14ac:dyDescent="0.4">
      <c r="A3" s="453" t="s">
        <v>670</v>
      </c>
      <c r="B3" s="453" t="s">
        <v>632</v>
      </c>
      <c r="C3" s="453" t="s">
        <v>1190</v>
      </c>
      <c r="D3" s="453" t="s">
        <v>633</v>
      </c>
    </row>
    <row r="4" spans="1:4" ht="18" customHeight="1" x14ac:dyDescent="0.35">
      <c r="A4" s="449" t="s">
        <v>649</v>
      </c>
      <c r="B4" s="450" t="s">
        <v>1191</v>
      </c>
      <c r="C4" s="454">
        <f>SUM(ENERO.2026!F198)</f>
        <v>14847293.590000005</v>
      </c>
      <c r="D4" s="451">
        <f>C4/$C$16</f>
        <v>9.7622169821953153E-2</v>
      </c>
    </row>
    <row r="5" spans="1:4" ht="18" customHeight="1" x14ac:dyDescent="0.35">
      <c r="A5" s="449" t="s">
        <v>650</v>
      </c>
      <c r="B5" s="450" t="s">
        <v>1191</v>
      </c>
      <c r="C5" s="454">
        <f>SUM(FEBRERO.2026!F247)</f>
        <v>20991041.500000007</v>
      </c>
      <c r="D5" s="451">
        <f>C5/$C$16</f>
        <v>0.13801781487185275</v>
      </c>
    </row>
    <row r="6" spans="1:4" ht="18" customHeight="1" x14ac:dyDescent="0.35">
      <c r="A6" s="449" t="s">
        <v>651</v>
      </c>
      <c r="B6" s="450" t="s">
        <v>1191</v>
      </c>
      <c r="C6" s="454">
        <f>SUM(MARZO.2026!F213)</f>
        <v>27749587.862999991</v>
      </c>
      <c r="D6" s="451">
        <f>C6/$C$16</f>
        <v>0.1824558100390466</v>
      </c>
    </row>
    <row r="7" spans="1:4" ht="18" customHeight="1" x14ac:dyDescent="0.35">
      <c r="A7" s="449" t="s">
        <v>652</v>
      </c>
      <c r="B7" s="450" t="s">
        <v>1191</v>
      </c>
      <c r="C7" s="454">
        <f>SUM(ABRIL.2026!F249)</f>
        <v>21851289.34</v>
      </c>
      <c r="D7" s="451">
        <f t="shared" ref="D7:D15" si="0">C7/$C$16</f>
        <v>0.14367401478575556</v>
      </c>
    </row>
    <row r="8" spans="1:4" ht="18" customHeight="1" x14ac:dyDescent="0.35">
      <c r="A8" s="449" t="s">
        <v>653</v>
      </c>
      <c r="B8" s="450" t="s">
        <v>1191</v>
      </c>
      <c r="C8" s="454">
        <f>SUM(MAYO.2026!F205)</f>
        <v>22753711.359999973</v>
      </c>
      <c r="D8" s="451">
        <f t="shared" si="0"/>
        <v>0.14960751338288994</v>
      </c>
    </row>
    <row r="9" spans="1:4" ht="18" customHeight="1" x14ac:dyDescent="0.35">
      <c r="A9" s="449" t="s">
        <v>654</v>
      </c>
      <c r="B9" s="450" t="s">
        <v>1191</v>
      </c>
      <c r="C9" s="454">
        <f>SUM(JUNIO.2026!F118)</f>
        <v>9476680.1499999985</v>
      </c>
      <c r="D9" s="451">
        <f>C9/$C$16</f>
        <v>6.2309947152572737E-2</v>
      </c>
    </row>
    <row r="10" spans="1:4" ht="18" customHeight="1" x14ac:dyDescent="0.35">
      <c r="A10" s="449" t="s">
        <v>655</v>
      </c>
      <c r="B10" s="450" t="s">
        <v>1191</v>
      </c>
      <c r="C10" s="454">
        <f>SUM(JULIO.2026!E130+JULIO.2026!G151)</f>
        <v>18559835.300000001</v>
      </c>
      <c r="D10" s="451">
        <f>C10/$C$16</f>
        <v>0.12203243524088488</v>
      </c>
    </row>
    <row r="11" spans="1:4" ht="18" customHeight="1" x14ac:dyDescent="0.35">
      <c r="A11" s="449" t="s">
        <v>656</v>
      </c>
      <c r="B11" s="450" t="s">
        <v>1191</v>
      </c>
      <c r="C11" s="504">
        <f>SUM(AGOSTO.2026!F142)</f>
        <v>15859923.560000001</v>
      </c>
      <c r="D11" s="451">
        <f>C11/$C$16</f>
        <v>0.10428029470504431</v>
      </c>
    </row>
    <row r="12" spans="1:4" ht="18" customHeight="1" x14ac:dyDescent="0.35">
      <c r="A12" s="449" t="s">
        <v>657</v>
      </c>
      <c r="B12" s="450" t="s">
        <v>1191</v>
      </c>
      <c r="C12" s="450"/>
      <c r="D12" s="451">
        <f>C12/$C$16</f>
        <v>0</v>
      </c>
    </row>
    <row r="13" spans="1:4" ht="18" customHeight="1" x14ac:dyDescent="0.35">
      <c r="A13" s="449" t="s">
        <v>658</v>
      </c>
      <c r="B13" s="450" t="s">
        <v>1191</v>
      </c>
      <c r="C13" s="450"/>
      <c r="D13" s="451">
        <f t="shared" si="0"/>
        <v>0</v>
      </c>
    </row>
    <row r="14" spans="1:4" ht="18" customHeight="1" x14ac:dyDescent="0.35">
      <c r="A14" s="449" t="s">
        <v>659</v>
      </c>
      <c r="B14" s="450" t="s">
        <v>1191</v>
      </c>
      <c r="C14" s="450"/>
      <c r="D14" s="451">
        <f t="shared" si="0"/>
        <v>0</v>
      </c>
    </row>
    <row r="15" spans="1:4" ht="18" customHeight="1" x14ac:dyDescent="0.35">
      <c r="A15" s="449" t="s">
        <v>660</v>
      </c>
      <c r="B15" s="450" t="s">
        <v>1191</v>
      </c>
      <c r="C15" s="450"/>
      <c r="D15" s="451">
        <f t="shared" si="0"/>
        <v>0</v>
      </c>
    </row>
    <row r="16" spans="1:4" ht="24" customHeight="1" x14ac:dyDescent="0.4">
      <c r="A16" s="600" t="s">
        <v>647</v>
      </c>
      <c r="B16" s="600"/>
      <c r="C16" s="602">
        <f>SUM(C4:C15)</f>
        <v>152089362.66299999</v>
      </c>
      <c r="D16" s="602"/>
    </row>
    <row r="17" spans="1:3" x14ac:dyDescent="0.3">
      <c r="A17" s="144"/>
      <c r="B17" s="5"/>
      <c r="C17" s="5"/>
    </row>
  </sheetData>
  <mergeCells count="4">
    <mergeCell ref="A1:D1"/>
    <mergeCell ref="A2:D2"/>
    <mergeCell ref="A16:B16"/>
    <mergeCell ref="C16:D16"/>
  </mergeCells>
  <pageMargins left="7.874015748031496E-2" right="7.874015748031496E-2" top="0.39370078740157483" bottom="0.19685039370078741" header="0.31496062992125984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19"/>
  <dimension ref="A1:D17"/>
  <sheetViews>
    <sheetView tabSelected="1" workbookViewId="0">
      <selection activeCell="C12" sqref="C12"/>
    </sheetView>
  </sheetViews>
  <sheetFormatPr baseColWidth="10" defaultRowHeight="14.4" x14ac:dyDescent="0.3"/>
  <cols>
    <col min="1" max="1" width="20.33203125" customWidth="1"/>
    <col min="2" max="2" width="32.33203125" bestFit="1" customWidth="1"/>
    <col min="3" max="3" width="34" customWidth="1"/>
    <col min="4" max="4" width="20.88671875" customWidth="1"/>
    <col min="5" max="5" width="4.44140625" customWidth="1"/>
  </cols>
  <sheetData>
    <row r="1" spans="1:4" ht="46.95" customHeight="1" x14ac:dyDescent="0.3">
      <c r="A1" s="594"/>
      <c r="B1" s="595"/>
      <c r="C1" s="595"/>
      <c r="D1" s="596"/>
    </row>
    <row r="2" spans="1:4" ht="24" customHeight="1" x14ac:dyDescent="0.3">
      <c r="A2" s="603" t="s">
        <v>1193</v>
      </c>
      <c r="B2" s="604"/>
      <c r="C2" s="604"/>
      <c r="D2" s="605"/>
    </row>
    <row r="3" spans="1:4" ht="24" customHeight="1" x14ac:dyDescent="0.4">
      <c r="A3" s="453" t="s">
        <v>670</v>
      </c>
      <c r="B3" s="453" t="s">
        <v>632</v>
      </c>
      <c r="C3" s="453" t="s">
        <v>1408</v>
      </c>
      <c r="D3" s="453" t="s">
        <v>633</v>
      </c>
    </row>
    <row r="4" spans="1:4" ht="18" customHeight="1" x14ac:dyDescent="0.35">
      <c r="A4" s="449" t="s">
        <v>649</v>
      </c>
      <c r="B4" s="450" t="s">
        <v>634</v>
      </c>
      <c r="C4" s="452">
        <f>SUM(ENERO.2026!H198)</f>
        <v>7615.8795000000009</v>
      </c>
      <c r="D4" s="451">
        <f>C4/$C$16</f>
        <v>0.11208526511650234</v>
      </c>
    </row>
    <row r="5" spans="1:4" ht="18" customHeight="1" x14ac:dyDescent="0.35">
      <c r="A5" s="449" t="s">
        <v>650</v>
      </c>
      <c r="B5" s="450" t="s">
        <v>634</v>
      </c>
      <c r="C5" s="452">
        <f>SUM(FEBRERO.2026!H247)</f>
        <v>10735.877600000002</v>
      </c>
      <c r="D5" s="451">
        <f>C5/$C$16</f>
        <v>0.15800324664463491</v>
      </c>
    </row>
    <row r="6" spans="1:4" ht="18" customHeight="1" x14ac:dyDescent="0.35">
      <c r="A6" s="449" t="s">
        <v>651</v>
      </c>
      <c r="B6" s="450" t="s">
        <v>634</v>
      </c>
      <c r="C6" s="452">
        <f>SUM(MARZO.2026!H213)</f>
        <v>13158.279500000001</v>
      </c>
      <c r="D6" s="451">
        <f>C6/$C$16</f>
        <v>0.19365448813029904</v>
      </c>
    </row>
    <row r="7" spans="1:4" ht="18" customHeight="1" x14ac:dyDescent="0.35">
      <c r="A7" s="449" t="s">
        <v>652</v>
      </c>
      <c r="B7" s="450" t="s">
        <v>634</v>
      </c>
      <c r="C7" s="452">
        <f>SUM(ABRIL.2026!H249)</f>
        <v>9192.929100000003</v>
      </c>
      <c r="D7" s="451">
        <f t="shared" ref="D7:D15" si="0">C7/$C$16</f>
        <v>0.13529519412310942</v>
      </c>
    </row>
    <row r="8" spans="1:4" ht="18" customHeight="1" x14ac:dyDescent="0.35">
      <c r="A8" s="449" t="s">
        <v>653</v>
      </c>
      <c r="B8" s="450" t="s">
        <v>634</v>
      </c>
      <c r="C8" s="452">
        <f>SUM(MAYO.2026!H205)</f>
        <v>9700.7540000000008</v>
      </c>
      <c r="D8" s="451">
        <f t="shared" si="0"/>
        <v>0.14276901097502534</v>
      </c>
    </row>
    <row r="9" spans="1:4" ht="18" customHeight="1" x14ac:dyDescent="0.35">
      <c r="A9" s="449" t="s">
        <v>654</v>
      </c>
      <c r="B9" s="450" t="s">
        <v>634</v>
      </c>
      <c r="C9" s="452">
        <f>SUM(JUNIO.2026!H118)</f>
        <v>4009.9589000000001</v>
      </c>
      <c r="D9" s="451">
        <f t="shared" si="0"/>
        <v>5.9015811163080779E-2</v>
      </c>
    </row>
    <row r="10" spans="1:4" ht="18" customHeight="1" x14ac:dyDescent="0.35">
      <c r="A10" s="449" t="s">
        <v>655</v>
      </c>
      <c r="B10" s="450" t="s">
        <v>634</v>
      </c>
      <c r="C10" s="452">
        <f>SUM(JULIO.2026!H130+JULIO.2026!H151)</f>
        <v>7045.5676999999996</v>
      </c>
      <c r="D10" s="451">
        <f t="shared" si="0"/>
        <v>0.1036918091404631</v>
      </c>
    </row>
    <row r="11" spans="1:4" ht="18" customHeight="1" x14ac:dyDescent="0.35">
      <c r="A11" s="449" t="s">
        <v>656</v>
      </c>
      <c r="B11" s="450" t="s">
        <v>634</v>
      </c>
      <c r="C11" s="452">
        <f>SUM(AGOSTO.2026!H142)</f>
        <v>6487.9498999999996</v>
      </c>
      <c r="D11" s="451">
        <f t="shared" si="0"/>
        <v>9.5485174706885098E-2</v>
      </c>
    </row>
    <row r="12" spans="1:4" ht="18" customHeight="1" x14ac:dyDescent="0.35">
      <c r="A12" s="449" t="s">
        <v>657</v>
      </c>
      <c r="B12" s="450" t="s">
        <v>634</v>
      </c>
      <c r="C12" s="452"/>
      <c r="D12" s="451">
        <f t="shared" si="0"/>
        <v>0</v>
      </c>
    </row>
    <row r="13" spans="1:4" ht="18" customHeight="1" x14ac:dyDescent="0.35">
      <c r="A13" s="449" t="s">
        <v>658</v>
      </c>
      <c r="B13" s="450" t="s">
        <v>634</v>
      </c>
      <c r="C13" s="452"/>
      <c r="D13" s="451">
        <f t="shared" si="0"/>
        <v>0</v>
      </c>
    </row>
    <row r="14" spans="1:4" ht="18" customHeight="1" x14ac:dyDescent="0.35">
      <c r="A14" s="449" t="s">
        <v>659</v>
      </c>
      <c r="B14" s="450" t="s">
        <v>634</v>
      </c>
      <c r="C14" s="452"/>
      <c r="D14" s="451">
        <f t="shared" si="0"/>
        <v>0</v>
      </c>
    </row>
    <row r="15" spans="1:4" ht="18" customHeight="1" x14ac:dyDescent="0.35">
      <c r="A15" s="449" t="s">
        <v>660</v>
      </c>
      <c r="B15" s="450" t="s">
        <v>634</v>
      </c>
      <c r="C15" s="452"/>
      <c r="D15" s="451">
        <f t="shared" si="0"/>
        <v>0</v>
      </c>
    </row>
    <row r="16" spans="1:4" ht="24" customHeight="1" x14ac:dyDescent="0.4">
      <c r="A16" s="600" t="s">
        <v>1339</v>
      </c>
      <c r="B16" s="600"/>
      <c r="C16" s="600">
        <f>SUM(C4:C15)</f>
        <v>67947.196200000006</v>
      </c>
      <c r="D16" s="600"/>
    </row>
    <row r="17" spans="1:3" x14ac:dyDescent="0.3">
      <c r="A17" s="144"/>
      <c r="B17" s="5"/>
      <c r="C17" s="5"/>
    </row>
  </sheetData>
  <mergeCells count="4">
    <mergeCell ref="A1:D1"/>
    <mergeCell ref="A2:D2"/>
    <mergeCell ref="A16:B16"/>
    <mergeCell ref="C16:D16"/>
  </mergeCells>
  <printOptions horizontalCentered="1"/>
  <pageMargins left="7.874015748031496E-2" right="7.874015748031496E-2" top="0.39370078740157483" bottom="0.19685039370078741" header="0.31496062992125984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1">
    <pageSetUpPr fitToPage="1"/>
  </sheetPr>
  <dimension ref="A1:F25"/>
  <sheetViews>
    <sheetView topLeftCell="A10" workbookViewId="0">
      <selection activeCell="G4" sqref="G4"/>
    </sheetView>
  </sheetViews>
  <sheetFormatPr baseColWidth="10" defaultRowHeight="14.4" x14ac:dyDescent="0.3"/>
  <cols>
    <col min="1" max="1" width="4.6640625" customWidth="1"/>
    <col min="2" max="2" width="29.33203125" customWidth="1"/>
    <col min="3" max="3" width="25.6640625" customWidth="1"/>
    <col min="4" max="4" width="24.6640625" bestFit="1" customWidth="1"/>
    <col min="5" max="5" width="24.44140625" customWidth="1"/>
  </cols>
  <sheetData>
    <row r="1" spans="1:5" x14ac:dyDescent="0.3">
      <c r="A1" s="86"/>
      <c r="B1" s="87"/>
      <c r="C1" s="87"/>
      <c r="D1" s="87"/>
      <c r="E1" s="88"/>
    </row>
    <row r="2" spans="1:5" x14ac:dyDescent="0.3">
      <c r="A2" s="8"/>
      <c r="E2" s="89"/>
    </row>
    <row r="3" spans="1:5" x14ac:dyDescent="0.3">
      <c r="A3" s="8"/>
      <c r="E3" s="89"/>
    </row>
    <row r="4" spans="1:5" ht="31.2" customHeight="1" x14ac:dyDescent="0.4">
      <c r="A4" s="606" t="s">
        <v>518</v>
      </c>
      <c r="B4" s="607"/>
      <c r="C4" s="607"/>
      <c r="D4" s="607"/>
      <c r="E4" s="608"/>
    </row>
    <row r="5" spans="1:5" ht="25.2" customHeight="1" x14ac:dyDescent="0.4">
      <c r="A5" s="90"/>
      <c r="B5" s="81" t="s">
        <v>37</v>
      </c>
      <c r="C5" s="81" t="s">
        <v>38</v>
      </c>
      <c r="D5" s="81" t="s">
        <v>39</v>
      </c>
      <c r="E5" s="91">
        <v>46126</v>
      </c>
    </row>
    <row r="6" spans="1:5" ht="25.2" customHeight="1" x14ac:dyDescent="0.3">
      <c r="A6" s="92">
        <v>1</v>
      </c>
      <c r="B6" s="77" t="s">
        <v>42</v>
      </c>
      <c r="C6" s="78" t="s">
        <v>1</v>
      </c>
      <c r="D6" s="77" t="s">
        <v>40</v>
      </c>
      <c r="E6" s="93" t="s">
        <v>41</v>
      </c>
    </row>
    <row r="7" spans="1:5" ht="25.2" customHeight="1" x14ac:dyDescent="0.3">
      <c r="A7" s="92">
        <v>2</v>
      </c>
      <c r="B7" s="77" t="s">
        <v>42</v>
      </c>
      <c r="C7" s="78" t="s">
        <v>0</v>
      </c>
      <c r="D7" s="77" t="s">
        <v>516</v>
      </c>
      <c r="E7" s="93" t="s">
        <v>41</v>
      </c>
    </row>
    <row r="8" spans="1:5" ht="25.2" customHeight="1" x14ac:dyDescent="0.3">
      <c r="A8" s="92">
        <v>3</v>
      </c>
      <c r="B8" s="77" t="s">
        <v>42</v>
      </c>
      <c r="C8" s="78" t="s">
        <v>53</v>
      </c>
      <c r="D8" s="77" t="s">
        <v>40</v>
      </c>
      <c r="E8" s="93" t="s">
        <v>41</v>
      </c>
    </row>
    <row r="9" spans="1:5" ht="25.2" customHeight="1" x14ac:dyDescent="0.3">
      <c r="A9" s="92">
        <v>4</v>
      </c>
      <c r="B9" s="77" t="s">
        <v>42</v>
      </c>
      <c r="C9" s="136" t="s">
        <v>27</v>
      </c>
      <c r="D9" s="77" t="s">
        <v>517</v>
      </c>
      <c r="E9" s="94" t="s">
        <v>41</v>
      </c>
    </row>
    <row r="10" spans="1:5" ht="25.2" customHeight="1" x14ac:dyDescent="0.3">
      <c r="A10" s="92">
        <v>5</v>
      </c>
      <c r="B10" s="77" t="s">
        <v>42</v>
      </c>
      <c r="C10" s="78" t="s">
        <v>3</v>
      </c>
      <c r="D10" s="77" t="s">
        <v>43</v>
      </c>
      <c r="E10" s="143">
        <v>60000</v>
      </c>
    </row>
    <row r="11" spans="1:5" ht="25.2" customHeight="1" x14ac:dyDescent="0.3">
      <c r="A11" s="92">
        <v>6</v>
      </c>
      <c r="B11" s="77" t="s">
        <v>42</v>
      </c>
      <c r="C11" s="78" t="s">
        <v>62</v>
      </c>
      <c r="D11" s="77" t="s">
        <v>513</v>
      </c>
      <c r="E11" s="143">
        <v>60000</v>
      </c>
    </row>
    <row r="12" spans="1:5" ht="25.2" customHeight="1" x14ac:dyDescent="0.3">
      <c r="A12" s="92">
        <v>7</v>
      </c>
      <c r="B12" s="77" t="s">
        <v>42</v>
      </c>
      <c r="C12" s="78" t="s">
        <v>5</v>
      </c>
      <c r="D12" s="77" t="s">
        <v>515</v>
      </c>
      <c r="E12" s="143">
        <v>60000</v>
      </c>
    </row>
    <row r="13" spans="1:5" ht="25.2" customHeight="1" x14ac:dyDescent="0.3">
      <c r="A13" s="92">
        <v>8</v>
      </c>
      <c r="B13" s="77" t="s">
        <v>42</v>
      </c>
      <c r="C13" s="78" t="s">
        <v>6</v>
      </c>
      <c r="D13" s="77" t="s">
        <v>44</v>
      </c>
      <c r="E13" s="143">
        <v>60000</v>
      </c>
    </row>
    <row r="14" spans="1:5" ht="25.2" customHeight="1" x14ac:dyDescent="0.3">
      <c r="A14" s="92">
        <v>9</v>
      </c>
      <c r="B14" s="77" t="s">
        <v>42</v>
      </c>
      <c r="C14" s="78" t="s">
        <v>24</v>
      </c>
      <c r="D14" s="77" t="s">
        <v>44</v>
      </c>
      <c r="E14" s="143">
        <v>60000</v>
      </c>
    </row>
    <row r="15" spans="1:5" ht="25.2" customHeight="1" x14ac:dyDescent="0.3">
      <c r="A15" s="92">
        <v>10</v>
      </c>
      <c r="B15" s="77" t="s">
        <v>42</v>
      </c>
      <c r="C15" s="78" t="s">
        <v>429</v>
      </c>
      <c r="D15" s="77" t="s">
        <v>514</v>
      </c>
      <c r="E15" s="143">
        <v>60000</v>
      </c>
    </row>
    <row r="16" spans="1:5" ht="25.2" customHeight="1" x14ac:dyDescent="0.3">
      <c r="A16" s="92">
        <v>11</v>
      </c>
      <c r="B16" s="77" t="s">
        <v>42</v>
      </c>
      <c r="C16" s="78" t="s">
        <v>8</v>
      </c>
      <c r="D16" s="77" t="s">
        <v>45</v>
      </c>
      <c r="E16" s="143">
        <v>60000</v>
      </c>
    </row>
    <row r="17" spans="1:6" ht="25.2" customHeight="1" x14ac:dyDescent="0.3">
      <c r="A17" s="92">
        <v>12</v>
      </c>
      <c r="B17" s="77" t="s">
        <v>54</v>
      </c>
      <c r="C17" s="78" t="s">
        <v>55</v>
      </c>
      <c r="D17" s="77" t="s">
        <v>56</v>
      </c>
      <c r="E17" s="94" t="s">
        <v>41</v>
      </c>
    </row>
    <row r="18" spans="1:6" ht="25.2" customHeight="1" x14ac:dyDescent="0.3">
      <c r="A18" s="92">
        <v>13</v>
      </c>
      <c r="B18" s="77" t="s">
        <v>46</v>
      </c>
      <c r="C18" s="78" t="s">
        <v>9</v>
      </c>
      <c r="D18" s="77" t="s">
        <v>47</v>
      </c>
      <c r="E18" s="94" t="s">
        <v>41</v>
      </c>
    </row>
    <row r="19" spans="1:6" ht="25.2" customHeight="1" x14ac:dyDescent="0.3">
      <c r="A19" s="92">
        <v>14</v>
      </c>
      <c r="B19" s="77" t="s">
        <v>46</v>
      </c>
      <c r="C19" s="78" t="s">
        <v>30</v>
      </c>
      <c r="D19" s="77" t="s">
        <v>48</v>
      </c>
      <c r="E19" s="95" t="s">
        <v>41</v>
      </c>
      <c r="F19" s="6"/>
    </row>
    <row r="20" spans="1:6" ht="25.2" customHeight="1" x14ac:dyDescent="0.3">
      <c r="A20" s="92">
        <v>15</v>
      </c>
      <c r="B20" s="77" t="s">
        <v>46</v>
      </c>
      <c r="C20" s="78" t="s">
        <v>10</v>
      </c>
      <c r="D20" s="77" t="s">
        <v>49</v>
      </c>
      <c r="E20" s="94" t="s">
        <v>41</v>
      </c>
    </row>
    <row r="21" spans="1:6" ht="25.2" customHeight="1" x14ac:dyDescent="0.3">
      <c r="A21" s="92">
        <v>16</v>
      </c>
      <c r="B21" s="77" t="s">
        <v>46</v>
      </c>
      <c r="C21" s="78" t="s">
        <v>22</v>
      </c>
      <c r="D21" s="77" t="s">
        <v>50</v>
      </c>
      <c r="E21" s="94" t="s">
        <v>41</v>
      </c>
    </row>
    <row r="22" spans="1:6" ht="25.2" customHeight="1" x14ac:dyDescent="0.3">
      <c r="A22" s="92">
        <v>17</v>
      </c>
      <c r="B22" s="77" t="s">
        <v>59</v>
      </c>
      <c r="C22" s="78" t="s">
        <v>61</v>
      </c>
      <c r="D22" s="77" t="s">
        <v>58</v>
      </c>
      <c r="E22" s="94" t="s">
        <v>41</v>
      </c>
    </row>
    <row r="23" spans="1:6" ht="25.2" customHeight="1" x14ac:dyDescent="0.3">
      <c r="A23" s="92">
        <v>18</v>
      </c>
      <c r="B23" s="77" t="s">
        <v>51</v>
      </c>
      <c r="C23" s="78" t="s">
        <v>29</v>
      </c>
      <c r="D23" s="80" t="s">
        <v>52</v>
      </c>
      <c r="E23" s="94" t="s">
        <v>41</v>
      </c>
    </row>
    <row r="24" spans="1:6" ht="25.2" customHeight="1" x14ac:dyDescent="0.3">
      <c r="A24" s="137">
        <v>19</v>
      </c>
      <c r="B24" s="138" t="s">
        <v>519</v>
      </c>
      <c r="C24" s="139" t="s">
        <v>520</v>
      </c>
      <c r="D24" s="140" t="s">
        <v>521</v>
      </c>
      <c r="E24" s="94" t="s">
        <v>41</v>
      </c>
    </row>
    <row r="25" spans="1:6" ht="25.2" customHeight="1" thickBot="1" x14ac:dyDescent="0.35">
      <c r="A25" s="96">
        <v>20</v>
      </c>
      <c r="B25" s="97" t="s">
        <v>519</v>
      </c>
      <c r="C25" s="98" t="s">
        <v>522</v>
      </c>
      <c r="D25" s="97" t="s">
        <v>523</v>
      </c>
      <c r="E25" s="94" t="s">
        <v>41</v>
      </c>
    </row>
  </sheetData>
  <mergeCells count="1">
    <mergeCell ref="A4:E4"/>
  </mergeCells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DICIEMBRE.2025</vt:lpstr>
      <vt:lpstr>ENERO.2026</vt:lpstr>
      <vt:lpstr>FEBRERO.2026</vt:lpstr>
      <vt:lpstr>MARZO.2026</vt:lpstr>
      <vt:lpstr>ABRIL.2026</vt:lpstr>
      <vt:lpstr>MAYO.2026</vt:lpstr>
      <vt:lpstr>JUNIO.2026</vt:lpstr>
      <vt:lpstr>JULIO.2026</vt:lpstr>
      <vt:lpstr>AGOSTO.2026</vt:lpstr>
      <vt:lpstr>SEPTIMBRE.2026</vt:lpstr>
      <vt:lpstr>OCTUBRE.2026</vt:lpstr>
      <vt:lpstr>NOVIEMBRE.2026</vt:lpstr>
      <vt:lpstr>DICIEMBRE.2026</vt:lpstr>
      <vt:lpstr>TRANSF.EFECT DE COMBUSTIBLE </vt:lpstr>
      <vt:lpstr>CONSUMO DE COMBUSTIBLE EN PESOS</vt:lpstr>
      <vt:lpstr>CONSUMO DE LITROS</vt:lpstr>
      <vt:lpstr>CARGAS AUTORIZADAS</vt:lpstr>
      <vt:lpstr>ABRIL.2026!Área_de_impresión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HP</dc:creator>
  <cp:lastModifiedBy>Santiago Bibiloni</cp:lastModifiedBy>
  <cp:lastPrinted>2026-08-05T14:17:27Z</cp:lastPrinted>
  <dcterms:created xsi:type="dcterms:W3CDTF">2024-06-11T11:47:24Z</dcterms:created>
  <dcterms:modified xsi:type="dcterms:W3CDTF">2026-09-04T21:21:09Z</dcterms:modified>
</cp:coreProperties>
</file>