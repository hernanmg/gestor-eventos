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S ENERO 2026" sheetId="1" r:id="rId4"/>
    <sheet state="visible" name="CONSUMOS FEBRERO 2026" sheetId="2" r:id="rId5"/>
    <sheet state="visible" name="CONSUMOS MARZO 2026" sheetId="3" r:id="rId6"/>
    <sheet state="visible" name="CONSUMOS ABRIL 2026 " sheetId="4" r:id="rId7"/>
    <sheet state="visible" name="CONSUMOS MAYO 2026" sheetId="5" r:id="rId8"/>
    <sheet state="visible" name="CONSUMOS JUNIO 2026 " sheetId="6" r:id="rId9"/>
    <sheet state="visible" name="CONSUMOS JULIO 2026" sheetId="7" r:id="rId10"/>
    <sheet state="visible" name="CONSUMOS AGOSTO 2026" sheetId="8" r:id="rId11"/>
    <sheet state="visible" name="CONSUMOS SEPTIEMBRE 2026" sheetId="9" r:id="rId12"/>
    <sheet state="visible" name="CONSUMOS OCTUBRE 2026" sheetId="10" r:id="rId13"/>
    <sheet state="visible" name="CONSUMOS NOVIEMBRE 2026" sheetId="11" r:id="rId14"/>
    <sheet state="visible" name="CONSUMOS DICIEMBRE 2026" sheetId="12" r:id="rId15"/>
  </sheets>
  <definedNames/>
  <calcPr/>
  <extLst>
    <ext uri="GoogleSheetsCustomDataVersion2">
      <go:sheetsCustomData xmlns:go="http://customooxmlschemas.google.com/" r:id="rId16" roundtripDataChecksum="sYtxu4rRCoN8H7Q1BAehNK1CryFZQ4Cuybp7Ox4N+4E="/>
    </ext>
  </extLst>
</workbook>
</file>

<file path=xl/sharedStrings.xml><?xml version="1.0" encoding="utf-8"?>
<sst xmlns="http://schemas.openxmlformats.org/spreadsheetml/2006/main" count="1316" uniqueCount="488">
  <si>
    <t>MONTOS INDIVIDUALES DE CONSUMOS</t>
  </si>
  <si>
    <t>MES:</t>
  </si>
  <si>
    <t>FEBRERO</t>
  </si>
  <si>
    <t>ENERO</t>
  </si>
  <si>
    <t>AÑO:</t>
  </si>
  <si>
    <t>RESPONSABLES</t>
  </si>
  <si>
    <t>TOTAL INDIVIDUAL</t>
  </si>
  <si>
    <t>TOTAL PERÍODO</t>
  </si>
  <si>
    <t>MARZO</t>
  </si>
  <si>
    <t>MATI $</t>
  </si>
  <si>
    <t>CONTROL DE CONSUMOS MENSUAL - TC GALICIA</t>
  </si>
  <si>
    <t>MATI USD</t>
  </si>
  <si>
    <t>DANI $</t>
  </si>
  <si>
    <t>DANI USD</t>
  </si>
  <si>
    <t>VICKY $</t>
  </si>
  <si>
    <t>VICKY USD</t>
  </si>
  <si>
    <t>MALE</t>
  </si>
  <si>
    <t>RESPONSABLE</t>
  </si>
  <si>
    <t>FECHA</t>
  </si>
  <si>
    <t>MONTO $</t>
  </si>
  <si>
    <t>MONTO USD</t>
  </si>
  <si>
    <t>DETALLE</t>
  </si>
  <si>
    <t>OBSERVACIONES</t>
  </si>
  <si>
    <t xml:space="preserve">MALE </t>
  </si>
  <si>
    <t>EMPRESA</t>
  </si>
  <si>
    <t>MATI</t>
  </si>
  <si>
    <t>MERPAGO*MERCADOLIBRE 03/06</t>
  </si>
  <si>
    <t>CENTRO MOTOR S.A. 03/03</t>
  </si>
  <si>
    <t>LIFE SEGUROS 000128277001 -000-000</t>
  </si>
  <si>
    <t>MERPAGO*MERCADOLIBRE 04/06</t>
  </si>
  <si>
    <t>IT ITALY GAUSS-IT ITALY</t>
  </si>
  <si>
    <t>ESTACION PUNTO</t>
  </si>
  <si>
    <t>FARMACIA CARDEA</t>
  </si>
  <si>
    <t>TECNOBOSS</t>
  </si>
  <si>
    <t>K MERPAGO*STROMBERG</t>
  </si>
  <si>
    <t>SEGURIDAD ELECTR 000000000002052</t>
  </si>
  <si>
    <t>K MERPAGO*LEONARDO8817</t>
  </si>
  <si>
    <t>FIDEICOMISO ALTOS DEL BOU</t>
  </si>
  <si>
    <t>PLAYA 31277 VITALI</t>
  </si>
  <si>
    <t>CLARO DEB AUT 000020462036062</t>
  </si>
  <si>
    <t>MERPAGO*MERCADOLIBRE 02/06</t>
  </si>
  <si>
    <t>TRES56-TRES56 NAVE POINT</t>
  </si>
  <si>
    <t>APPLE.COM/BILL USD 25,00</t>
  </si>
  <si>
    <t>SUBTOTAL GASTOS</t>
  </si>
  <si>
    <t>YPF SAN FRANCISCO</t>
  </si>
  <si>
    <t>K MERPAGO*MERCADOLIBRE</t>
  </si>
  <si>
    <t>ESER S.A SHELL</t>
  </si>
  <si>
    <t>CENTRO MOTOR S.A. 02/03</t>
  </si>
  <si>
    <t>San Pietro Cerro</t>
  </si>
  <si>
    <t>VALLE WINES</t>
  </si>
  <si>
    <t>FARMACIA ALVEAR</t>
  </si>
  <si>
    <t>PETREM</t>
  </si>
  <si>
    <t>ESTACION PUNTO PANORAM</t>
  </si>
  <si>
    <t>DANI</t>
  </si>
  <si>
    <t>SAN CRISTOBAL 1030430000877-004-001</t>
  </si>
  <si>
    <t>MERPAGO*CENTROMOTOR 01/03</t>
  </si>
  <si>
    <t>COMBUSTIBLE SPRINTER</t>
  </si>
  <si>
    <t>ENJOY</t>
  </si>
  <si>
    <t>LA CUARTA SA</t>
  </si>
  <si>
    <t>COMBUSTIBLE RANGER</t>
  </si>
  <si>
    <t>SHELL SITEC</t>
  </si>
  <si>
    <t>ESSO SERV CASEROS</t>
  </si>
  <si>
    <t>MERPAGO*NEGRONI</t>
  </si>
  <si>
    <t>COMBUSTIBLE DOS57</t>
  </si>
  <si>
    <t>FESTIN DE DIOSES</t>
  </si>
  <si>
    <t>K DLO*STARLINK</t>
  </si>
  <si>
    <t>STARLINK ENJOY 1  (ENERO)</t>
  </si>
  <si>
    <t>K MERPAGO*POWERMONKEYS</t>
  </si>
  <si>
    <t>STARLINK ENJOY 1 (REAJUSTE)</t>
  </si>
  <si>
    <t>COMBUSTIBLE RANGER + COMBUSTIBLE SPRINTER</t>
  </si>
  <si>
    <t xml:space="preserve">STARLINK ENJOY 2 </t>
  </si>
  <si>
    <t>STARLINK ENJOY 2 (REAJUSTE)</t>
  </si>
  <si>
    <t>SENA YPF</t>
  </si>
  <si>
    <t>ACA LA FALDA COMB</t>
  </si>
  <si>
    <t>PRESTIGIO S.A.</t>
  </si>
  <si>
    <t>K ESSO SERV CASEROS</t>
  </si>
  <si>
    <t>COMBUSTIBLE GENERADOR</t>
  </si>
  <si>
    <t>COMBUSTIBLE RANGER + SPRINTER</t>
  </si>
  <si>
    <t>SUPERNOVA</t>
  </si>
  <si>
    <t>MAG SRL</t>
  </si>
  <si>
    <t>K MERPAGO*SANTABARBARASA</t>
  </si>
  <si>
    <t>FARMACITY GANDHI</t>
  </si>
  <si>
    <t>YPF SANTA MARIA</t>
  </si>
  <si>
    <t>K Starlink</t>
  </si>
  <si>
    <t xml:space="preserve">STARLINK ENJOY 1  </t>
  </si>
  <si>
    <t>YPF DEL LAGO</t>
  </si>
  <si>
    <t>COMBUSTIBLE SPRINTER + RANGER (CR)</t>
  </si>
  <si>
    <t>COMBUSTIBLE RANGER (CR)</t>
  </si>
  <si>
    <t>K LAC - Ruta 19</t>
  </si>
  <si>
    <t>ACA RAFAELA COMB</t>
  </si>
  <si>
    <t>COMBUSTIBLE SPRINTER  (CR)</t>
  </si>
  <si>
    <t>COMBUSTIBLE SPRINTER ENJOY + SPRINTER DOS57</t>
  </si>
  <si>
    <t>MERPAGO*DUO</t>
  </si>
  <si>
    <r>
      <rPr>
        <rFont val="Calibri"/>
        <color theme="1"/>
        <sz val="11.0"/>
      </rPr>
      <t xml:space="preserve">COMBUSTIBLE RANGER </t>
    </r>
    <r>
      <rPr>
        <rFont val="Calibri"/>
        <color theme="1"/>
        <sz val="11.0"/>
      </rPr>
      <t>(CR)</t>
    </r>
  </si>
  <si>
    <t>K MERPAGO*SHELLBIFUELMA</t>
  </si>
  <si>
    <t>K METGER SA</t>
  </si>
  <si>
    <t>COMBUSTIBLE KANGOO</t>
  </si>
  <si>
    <t>SERVICENTROS DEL OESTE SA</t>
  </si>
  <si>
    <t>STARLINK ENJOY</t>
  </si>
  <si>
    <t>COMBUSTIBLE CAMION DOS57</t>
  </si>
  <si>
    <t>K MERPAGO*AUTOMOVILCLUBARGE</t>
  </si>
  <si>
    <t>COMBUSTIBLE SPRINTER DOS57</t>
  </si>
  <si>
    <t>METGER SA</t>
  </si>
  <si>
    <t>K MERPAGO*SERVICIOSDELLITOR</t>
  </si>
  <si>
    <t>PEAJES</t>
  </si>
  <si>
    <t>CASA GAZQUEZ 03/03</t>
  </si>
  <si>
    <t>CUBIERTAS DANI (ESTO YA SE PAGO A MATIAS)</t>
  </si>
  <si>
    <t>PERSONAL</t>
  </si>
  <si>
    <t>VICKY</t>
  </si>
  <si>
    <t>PETRORAFAELA SRL</t>
  </si>
  <si>
    <t>K SOMOS ENERGIA SRL</t>
  </si>
  <si>
    <t>LION PLACE FUNES PLAYA</t>
  </si>
  <si>
    <t>COMBUSTIBLE VIAJE ENTRE RIOS</t>
  </si>
  <si>
    <t>YPF SANTA BARBARA SA</t>
  </si>
  <si>
    <t>STARLINK ENJOY 1 (DEUDA DICIEMBRE)</t>
  </si>
  <si>
    <t>YPF APIES 1087 TIENDA</t>
  </si>
  <si>
    <t>E QRFY.COM USD 38,07</t>
  </si>
  <si>
    <t>QR OFICIAL USO LUCILA</t>
  </si>
  <si>
    <t>Google One A25113069USD 9,99</t>
  </si>
  <si>
    <t>STARLINK ENJOY 2 (DEUDA DICIEMBRE)</t>
  </si>
  <si>
    <t>DRIVE VICKY (PAGA DE SUELDOS)</t>
  </si>
  <si>
    <t>K MERPAGO*ELBENIMPORT</t>
  </si>
  <si>
    <t>CAJAS DE ALFILERES DE GANCHO</t>
  </si>
  <si>
    <t>Google One A11428510USD 19,99</t>
  </si>
  <si>
    <t>DRIVE DE ENJOY</t>
  </si>
  <si>
    <t>K MERPAGO*TODOPLASTIC</t>
  </si>
  <si>
    <t>ABROCHADORAS</t>
  </si>
  <si>
    <t>K READ - MEETING M USD 19,75</t>
  </si>
  <si>
    <t>READ AI ASISTENTE PARA REUNIONES MEET</t>
  </si>
  <si>
    <t>K MERPAGO*PARTYFOREVER</t>
  </si>
  <si>
    <t>CHALECO REFLECTIVOS DESCARTABLES</t>
  </si>
  <si>
    <t>ABRIL</t>
  </si>
  <si>
    <t>K OPENAI *CHATGPT in1T1FURCUSD 20,00</t>
  </si>
  <si>
    <t>CHAT GPT PRO</t>
  </si>
  <si>
    <t>K Google One A16053851USD 1,99</t>
  </si>
  <si>
    <t xml:space="preserve"> COMBUSTIBLE HERTZ MARCOS DIAZ</t>
  </si>
  <si>
    <t>DRIVE LUCILA</t>
  </si>
  <si>
    <t>BIFUEL MANANTIALES</t>
  </si>
  <si>
    <t>LAC - Ruta 19</t>
  </si>
  <si>
    <t>K MERPAGO*BALIZARSRL</t>
  </si>
  <si>
    <t>COMBUSTIBLE RANGER RAFAELA</t>
  </si>
  <si>
    <t>TÚNEL DE HELIPUERTO</t>
  </si>
  <si>
    <t>YPF 31178 TIENDA</t>
  </si>
  <si>
    <t>BEBIDAS VIAJE RAFAELA</t>
  </si>
  <si>
    <t>K MERPAGO*BEAUTIFULHOME</t>
  </si>
  <si>
    <t>MERPAGO*GRANHOTEL</t>
  </si>
  <si>
    <t>BANDERAS PARA AUTOS (PROVEEDOR 1)</t>
  </si>
  <si>
    <t>HOTEL AVANZADA ENTRE RIOS - PALACIO SAN JOSE</t>
  </si>
  <si>
    <t>K MERPAGO*RAPIARTE</t>
  </si>
  <si>
    <t>BANDERAS PARA AUTOS (PROVEEDOR 2)</t>
  </si>
  <si>
    <t>YPF EST SERV</t>
  </si>
  <si>
    <t>DEVOLUCION COMPRA TUNEL DE HELIPUERTO</t>
  </si>
  <si>
    <t>}</t>
  </si>
  <si>
    <t>YPF 12149 TIENDA</t>
  </si>
  <si>
    <t>ESSO SAN CAYETANO</t>
  </si>
  <si>
    <t>ENERGIZANTE + COMIDA AVANZADA ENTRE RIOS</t>
  </si>
  <si>
    <t>K BIFUEL MANANTIALES</t>
  </si>
  <si>
    <t>YPF-LA CUARTA</t>
  </si>
  <si>
    <t>YPF URCA</t>
  </si>
  <si>
    <t>COMBUSTIBLE GENERADORES</t>
  </si>
  <si>
    <t>K YPF RAFAELA</t>
  </si>
  <si>
    <t>COMBUSTIBLE AVANZADA RAFAELA</t>
  </si>
  <si>
    <t>MERPAGO*PASAJESCDP</t>
  </si>
  <si>
    <t>PASAJE A CONCEPCIÓN DEL URUGUAY DE MORENO GASTON</t>
  </si>
  <si>
    <t>K MERPAGO*PASAJESCDP</t>
  </si>
  <si>
    <t>CASA DE ESTEBAN</t>
  </si>
  <si>
    <t>PASAJE A CONCEPCIÓN DEL URUGUAY DE MORENO GASTON EMILIANO</t>
  </si>
  <si>
    <t>ALMUERZO PRODUCCIÓN RAFAELA</t>
  </si>
  <si>
    <t>CALERA</t>
  </si>
  <si>
    <t>PASAJE ROSARIO - CÓRDOBA DE MORENO GASTON EMILIANO</t>
  </si>
  <si>
    <t>K ESTACION EL MARQUEZ</t>
  </si>
  <si>
    <t xml:space="preserve"> PASAJE IDA 1 MARIELA - RAFAELA</t>
  </si>
  <si>
    <t>K ESTACION PUNTO PANORAM</t>
  </si>
  <si>
    <t>COMBUSTIBLE CAMIONETA DOS57</t>
  </si>
  <si>
    <t>PASAJE IDA 2 CHICOS UF A RAFAELA</t>
  </si>
  <si>
    <t>K SHELL TROPEZON</t>
  </si>
  <si>
    <t>EL PRACTICO P10</t>
  </si>
  <si>
    <t xml:space="preserve"> PASAJE IDA 5 TAGLE - RAFAELA</t>
  </si>
  <si>
    <t>K MERPAGO*DRUGSTORE</t>
  </si>
  <si>
    <t>COMPRA ENERGIZANTES</t>
  </si>
  <si>
    <t>EST SERVICIO ALAMINOS</t>
  </si>
  <si>
    <t>K JPC OIL</t>
  </si>
  <si>
    <t>COMBUSTIBLE HERTZ</t>
  </si>
  <si>
    <t>SHELL TROPEZON</t>
  </si>
  <si>
    <t>K MERPAGO*DUO</t>
  </si>
  <si>
    <t>COMBUSTIBLE KANGOO + REFRIGERANTE</t>
  </si>
  <si>
    <t>K PLATAFORMA 10 SA</t>
  </si>
  <si>
    <t>PARRA HOTEL &amp; SUITES</t>
  </si>
  <si>
    <t>PAGO HOTEL RAFAELA CHINO Y VIRGINIA RIZZOTI</t>
  </si>
  <si>
    <t>HOTELSI S A S</t>
  </si>
  <si>
    <t>REUNION OPERATIVA DE ENJOY</t>
  </si>
  <si>
    <t>K TEMU</t>
  </si>
  <si>
    <t>K Google One A30893506USD 9,99</t>
  </si>
  <si>
    <t>TOTAL GASTOS PERÍODO</t>
  </si>
  <si>
    <t>COMPRA PERSONAL</t>
  </si>
  <si>
    <t>K Google One A40551569USD 19,99</t>
  </si>
  <si>
    <t>K Google One A05528912USD 9,99</t>
  </si>
  <si>
    <t>K OPENAI *CHATGPT in1TBOoJCUSD 20,00</t>
  </si>
  <si>
    <t>Google One A80748489USD 1,99</t>
  </si>
  <si>
    <t>Google One A71899328USD 19,99</t>
  </si>
  <si>
    <t>COMBUSTIBLE GENERADORES LETAPE</t>
  </si>
  <si>
    <t>MERPAGO*MERCADOLIBRE 05/06</t>
  </si>
  <si>
    <t>MERPAGO*CENTROMOTOR 02/03</t>
  </si>
  <si>
    <t>K OPENAI *CHATGPT in1Sq0hCCUSD 20,00</t>
  </si>
  <si>
    <t>E UBER *TRIP HELP.UBER.COM COP 25.047,00</t>
  </si>
  <si>
    <t>E UBER *TRIP HELP.UBER.COM COP 24.812,00</t>
  </si>
  <si>
    <t xml:space="preserve"> PASAJE VUELTA 5 TAGLE - RAFAELA</t>
  </si>
  <si>
    <t>Google One A83314857USD 1,99</t>
  </si>
  <si>
    <t>PASAJE VUELTA 1 SANTIAGO - RAFAELA</t>
  </si>
  <si>
    <t>PAYU*AR*UBER</t>
  </si>
  <si>
    <t>PASAJE IDA DESARME TAGLE - RAFAELA</t>
  </si>
  <si>
    <t>DEVOLUCIÓN PASAJES TAGLE - RAFAELA</t>
  </si>
  <si>
    <t>K MERPAGO*ELECTRONICAFL</t>
  </si>
  <si>
    <t>K MERPAGO*BULONERAHURLI</t>
  </si>
  <si>
    <t>PASAJE VUELTA DESARME TAGLE - RAFAELA</t>
  </si>
  <si>
    <t>JETSMART AI -</t>
  </si>
  <si>
    <t>PASAJE VUELTA MAXI RICHEZE + EQUIPAJE CARRY ON + BICI</t>
  </si>
  <si>
    <t>AEROLINEAS ARGENTINAS S.A</t>
  </si>
  <si>
    <t>PASAJE IDA MAXI RICHEZE + EQUIPAJE CARRY ON + BICI</t>
  </si>
  <si>
    <t>K MERPAGO*MODOELECTRICO</t>
  </si>
  <si>
    <t>COMPANIA DE SEGUROS LA ME</t>
  </si>
  <si>
    <t xml:space="preserve"> SEGUROS - 63.540 QLK FEST - 21.230 EXTENSIÓN DE POLIZA LARGA JORNALEROS DICIEMBRE - 15.007 MONSTER JAM</t>
  </si>
  <si>
    <t>MOCHILA CRISTIAN (COMPRA CANCELADA, SE REINTEGRA EL 7 DE MAYO)</t>
  </si>
  <si>
    <t>ESTACION EL MARQUEZ</t>
  </si>
  <si>
    <t>FOQUITO DE LUZ RANGER</t>
  </si>
  <si>
    <t>K CARREFOUR CBA. JARDIN</t>
  </si>
  <si>
    <t>PERSONAL DANI - SE DESCUENTA COMO ADELANTO DE SUELDO</t>
  </si>
  <si>
    <t>FICHAS POWERCOM PARA PANTALLA + MINI CAJA DE SEGURIDAD PARA LLAVE CABAÑA MATIAS</t>
  </si>
  <si>
    <t>MERPAGO*BOCCOHNOS 01/06</t>
  </si>
  <si>
    <t>CUOTA 1 - GENERADOR TRIFASICO ENJOY</t>
  </si>
  <si>
    <t>COMBUSTIBLE SPRINTER + GENERADOR NUEVO</t>
  </si>
  <si>
    <t>AUTOMOTORES MAIPU</t>
  </si>
  <si>
    <t>ULTIMO SERVICE RANGER</t>
  </si>
  <si>
    <t>MONZZA</t>
  </si>
  <si>
    <t>ALINEADO Y BALANCEADO RANGER</t>
  </si>
  <si>
    <t>K MERPAGO*COMBUSTIBLESBARCE</t>
  </si>
  <si>
    <t>COMBUSTIBLE RANGER LLEGADA SAN JUAN</t>
  </si>
  <si>
    <t>ALMUERZO SAN JUAN</t>
  </si>
  <si>
    <t>COMBUSTIBLE RANGER SALIDA SAN JUAN</t>
  </si>
  <si>
    <t>COMBUSTIBLE FALTANTE CAMIONETA DOS57 VIAJE A SAN JUAN</t>
  </si>
  <si>
    <t>ACEITE PARA NAFTA</t>
  </si>
  <si>
    <t>K Google One A87084695USD 9,99</t>
  </si>
  <si>
    <t>K Google One A15086828USD 19,99</t>
  </si>
  <si>
    <t>K OPENAI *CHATGPT in1TMdbYCUSD 20,00</t>
  </si>
  <si>
    <t>K Google One A67303288USD 1,99</t>
  </si>
  <si>
    <t>MERPAGO*BUSESLEP</t>
  </si>
  <si>
    <t>PASAJE IDA VIR RIZOTTI A CBA - KM</t>
  </si>
  <si>
    <t>MAYO</t>
  </si>
  <si>
    <t>JUNIO</t>
  </si>
  <si>
    <t>MERPAGO*MERCADOLIBRE 06/06</t>
  </si>
  <si>
    <t>MERPAGO*CENTROMOTOR 03/03</t>
  </si>
  <si>
    <t>MERPAGO*MICORREO</t>
  </si>
  <si>
    <t>SAN CRISTOBAL 1030630070946-006-000</t>
  </si>
  <si>
    <t>K MERPAGO*MICORREO</t>
  </si>
  <si>
    <t>MERPAGO*PUESTOSABORES</t>
  </si>
  <si>
    <t>PARRILLA DEL VALLE</t>
  </si>
  <si>
    <t>COPA Y VALLE ESCONDIDO</t>
  </si>
  <si>
    <t>FARMACITY VALLE ESCONDIDO</t>
  </si>
  <si>
    <t>DINO MALL</t>
  </si>
  <si>
    <t>ARMAR SRL</t>
  </si>
  <si>
    <t>MALE $</t>
  </si>
  <si>
    <t>K MERPAGO*DIPRINSA</t>
  </si>
  <si>
    <t>COMISION RENO.ANUAL(12M)</t>
  </si>
  <si>
    <t>JULIO</t>
  </si>
  <si>
    <t>MERPAGO*BOCCOHNOS 02/06</t>
  </si>
  <si>
    <t>CUOTA 2 - GENERADOR TRIFASICO ENJOY</t>
  </si>
  <si>
    <t>COMBUSTIBLE GENERADORES + SPRINTER</t>
  </si>
  <si>
    <t>K DLO*STARLINK ARGENTINA</t>
  </si>
  <si>
    <t>STARLINK MODO ESPERA</t>
  </si>
  <si>
    <t>AGOSTO</t>
  </si>
  <si>
    <t>COMBUSTIBLE GENERADORES TROVATO</t>
  </si>
  <si>
    <t>COMBUSTIBLE GENERADORES TROVATO + MONOFASICOS</t>
  </si>
  <si>
    <t>K PAYU*AR*UBER</t>
  </si>
  <si>
    <t>ACA RIO CUARTO COMB</t>
  </si>
  <si>
    <t>MARRERO CATERING</t>
  </si>
  <si>
    <t>K FRAVEGA SAN JUAN RAWSON</t>
  </si>
  <si>
    <t>TV 75" - SAN JUAN</t>
  </si>
  <si>
    <t>SAN PIETRO PICCOLO</t>
  </si>
  <si>
    <t>MERPAGO*JETSMART</t>
  </si>
  <si>
    <t>MERPAGO*11LRA</t>
  </si>
  <si>
    <t>SAN CRISTOBAL 1030630073516-006-001</t>
  </si>
  <si>
    <t>K DLO*Starlink Argentina</t>
  </si>
  <si>
    <t>SAN CRISTOBAL 1030630073395-006-000</t>
  </si>
  <si>
    <t>K MERPAGO*VISUAR</t>
  </si>
  <si>
    <t>HELADERA ENJOY</t>
  </si>
  <si>
    <t>TEA CONNECTION</t>
  </si>
  <si>
    <t>COMBUSTIBLE RANGER Y SPRINTER</t>
  </si>
  <si>
    <t>K MERPAGO*PROSHOP</t>
  </si>
  <si>
    <t>COMPRA PERSONAL DANI (SE DESCUENTA COMO ADELANTO DE SUELDO)</t>
  </si>
  <si>
    <t>MARIA ANTONIETA UNIVERSO</t>
  </si>
  <si>
    <t>MC DONALD?S W 2 C</t>
  </si>
  <si>
    <t>DEVOLUCION DE SILLA</t>
  </si>
  <si>
    <t>PLAYSTATION USD 13,99</t>
  </si>
  <si>
    <t>COMBUSTIBLE DE RANGER Y SPRINTER</t>
  </si>
  <si>
    <t>ACTIVACIÓN DE STARLINK 1</t>
  </si>
  <si>
    <t>MP *JETSMART CLP 144.014,00</t>
  </si>
  <si>
    <t>ACTIVACIÓN DE STARLINK 2</t>
  </si>
  <si>
    <t>NIC ARGENTINA</t>
  </si>
  <si>
    <t>HIPER CHANGOMAS CBA OE</t>
  </si>
  <si>
    <t>COMPRAS OFICINA ENJOY CABALEN + OFICINA MATI + ELEMENTOS DE LIMPIEZA</t>
  </si>
  <si>
    <t>K MERPAGO*HIPERCHANGOMAS</t>
  </si>
  <si>
    <t>K MERPAGO*SUDINEROSEGUR</t>
  </si>
  <si>
    <t>REINTEGRO DE COMPRA</t>
  </si>
  <si>
    <t>AVENIDA COLON</t>
  </si>
  <si>
    <t>COMBUSTIBLE AMAROK MARCOS DIAZ</t>
  </si>
  <si>
    <t>K CENCOSUD</t>
  </si>
  <si>
    <t>COMPRA DE EASY (CANDADOS, COFRE DE LLAVES Y TACHO DE BASURA OFI DANI)</t>
  </si>
  <si>
    <t>CENTRO MOTOR S.A. 01/03</t>
  </si>
  <si>
    <t>ESTACION LA ROTONDA</t>
  </si>
  <si>
    <t>COMBUSTIBLE VEHICULOS CHICOS CABALEN</t>
  </si>
  <si>
    <t>COMBUSTIBLE GENERADORES MONOFASICOS</t>
  </si>
  <si>
    <t>BIDONES DE COMBUSTIBLE PAÑOL + VEHICULOS CHICOS</t>
  </si>
  <si>
    <t>COMBUSTIBLE RECARGA DE BIDONES</t>
  </si>
  <si>
    <t>NEOZOO</t>
  </si>
  <si>
    <t>SAN CRISTOBAL 1030630074881-006-000</t>
  </si>
  <si>
    <t>K MERPAGO*TIENDASUR</t>
  </si>
  <si>
    <t>SAN CRISTOBAL 1030630074280-006-001</t>
  </si>
  <si>
    <t>K BALUT P10</t>
  </si>
  <si>
    <t>MERPAGO*BOCCOHNOS 03/06</t>
  </si>
  <si>
    <t>CUOTA 3 - GENERADOR TRIFASICO ENJOY</t>
  </si>
  <si>
    <t>SAN CRISTOBAL 1030630074880-006-001</t>
  </si>
  <si>
    <t>E SendinBlue USD 69,00</t>
  </si>
  <si>
    <t>COMBUSTIBLE MOTOS Y CUATRICICLOS</t>
  </si>
  <si>
    <t>BREVO ENVÍO DE MAILING TC</t>
  </si>
  <si>
    <t>DISTRIBUIDORA VERON</t>
  </si>
  <si>
    <t>NAFTA TERMAS</t>
  </si>
  <si>
    <t>COMBUSTIBLE ZAMPING + BIDONES DE COMBUSTIBLE</t>
  </si>
  <si>
    <t>K MERPAGO*CINESDINO</t>
  </si>
  <si>
    <t>PASAJES EN BUS</t>
  </si>
  <si>
    <t>PASAJE ESTEBAN Y LUCAS</t>
  </si>
  <si>
    <t>LUCCA</t>
  </si>
  <si>
    <t>ACA V.OJO DE AGUA COMB</t>
  </si>
  <si>
    <t>K MERPAGO*MELI</t>
  </si>
  <si>
    <t>F AIRBNB * HM59HKMNTP USD 596,60</t>
  </si>
  <si>
    <t>HOTEL BRISTOL</t>
  </si>
  <si>
    <t>HOTEL SANTIAGO DEL ESTERO</t>
  </si>
  <si>
    <t>COMBUSTIBLE VEHÍCULOS ENJOY + GENERADORES + BIDONES (NOCHE DEL SÁBADO)</t>
  </si>
  <si>
    <t>LIFE SEGUROS 000145411001 -000-000</t>
  </si>
  <si>
    <t>SAN CRISTOBAL 1030630076070-006-000</t>
  </si>
  <si>
    <t>K Google One A86417115USD 9,99</t>
  </si>
  <si>
    <t>COMBUSTIBLE VEHÍCULOS ENJOY + GENERADORES + BIDONES</t>
  </si>
  <si>
    <t>K Google One A54420783USD 19,99</t>
  </si>
  <si>
    <t>SAN CRISTOBAL 1030630076451-006-000</t>
  </si>
  <si>
    <t>K ESTACION LA ROTONDA</t>
  </si>
  <si>
    <t>SAN CRISTOBAL 1030630075809-006-001</t>
  </si>
  <si>
    <t>K OPENAI *CHATGPT in1TXVsiCUSD 20,00</t>
  </si>
  <si>
    <t>SAN CRISTOBAL 1030630076304-006-001</t>
  </si>
  <si>
    <t>ALTA DE STARLINK</t>
  </si>
  <si>
    <t>K Google One A30121073USD 1,99</t>
  </si>
  <si>
    <t>K MERPAGO*MCDONALDS</t>
  </si>
  <si>
    <t>SAN CRISTOBAL 1030630076257-006-000</t>
  </si>
  <si>
    <t>COMIDA RIO CUARTO</t>
  </si>
  <si>
    <t>NAFTA TC</t>
  </si>
  <si>
    <t>SAN CRISTOBAL 1031745003994-017-000</t>
  </si>
  <si>
    <t>COMBUSTIBLE RANGER SALIDA RIO CUARTO</t>
  </si>
  <si>
    <t>SAN CRISTOBAL 1030630075551-006-000</t>
  </si>
  <si>
    <t>BORNORONI HNOS</t>
  </si>
  <si>
    <t>K DE PLANO</t>
  </si>
  <si>
    <t>NAFTA TC AUTO HERTZ</t>
  </si>
  <si>
    <t>CAÑOS PARA GUARDAR LONAS</t>
  </si>
  <si>
    <t>MERPAGO*BOCCOHNOS 04/06</t>
  </si>
  <si>
    <t>SAN CRISTOBAL 1030630075549-006-000</t>
  </si>
  <si>
    <t>CUOTA 4 - GENERADOR TRIFASICO ENJOY</t>
  </si>
  <si>
    <t>PAGO MENSUAL DE STARLINK</t>
  </si>
  <si>
    <t>SAN CRISTOBAL 1030132088235-001-001</t>
  </si>
  <si>
    <t>FASENA ENERGIA SA</t>
  </si>
  <si>
    <t>YPF OPESSA CORDOBA 3</t>
  </si>
  <si>
    <t>SAN CRISTOBAL 1030730442671-007-002</t>
  </si>
  <si>
    <t>K MERPAGO*PLANETAZENOK</t>
  </si>
  <si>
    <t>30 AURICULARES DE HANDIES (PÉRDIDA DE CRISTIAN)</t>
  </si>
  <si>
    <t>K UBER *TRIP USD 178,34</t>
  </si>
  <si>
    <t>K MERPAGO*YPF</t>
  </si>
  <si>
    <t>K MERPAGO*PRULAINSUMOS</t>
  </si>
  <si>
    <t>CAJAS PLÁSTICAS PARA AURICULARES (PÉRDIDA DE CRISTIAN)</t>
  </si>
  <si>
    <t>TRIUNFO SEGUROS</t>
  </si>
  <si>
    <t>JFK HUGO BOSS USD 551,36</t>
  </si>
  <si>
    <t>SEGUROS SAN JUAN</t>
  </si>
  <si>
    <t>K MERPAGO*LIESA</t>
  </si>
  <si>
    <t>AXION ENERGY BERNHARDT</t>
  </si>
  <si>
    <t>K MERPAGO*BAIRESIT</t>
  </si>
  <si>
    <t>K MERPAGO*SCRISTOBALSEG</t>
  </si>
  <si>
    <t>TV 50¨</t>
  </si>
  <si>
    <t>SEGUROS COCA COLA</t>
  </si>
  <si>
    <t>ADOLFO SARTORI SA</t>
  </si>
  <si>
    <t>ALTA DEL STARLINK</t>
  </si>
  <si>
    <t>LA RUTA</t>
  </si>
  <si>
    <t>AURICULARES DE BACKUP ENJOY</t>
  </si>
  <si>
    <t>PAGO MENSUAL DEL STARLINK</t>
  </si>
  <si>
    <t>SEGURO COCA COLA LUCAS</t>
  </si>
  <si>
    <t>YPF PELICANO SRL</t>
  </si>
  <si>
    <t>K MERPAGO*JETSMART</t>
  </si>
  <si>
    <t>K YPF LAS FLORES</t>
  </si>
  <si>
    <t>PASAJES PILOTOS</t>
  </si>
  <si>
    <t>COMBUSTIBLE KANGOO + SPRINTER + RANGER DOS57</t>
  </si>
  <si>
    <t>BC VERINO SRL 1</t>
  </si>
  <si>
    <t>K MERPAGO*ITBUYSRL</t>
  </si>
  <si>
    <t>WWW.JETSMART.COM</t>
  </si>
  <si>
    <t>ADAPTADOR DE RED CCT</t>
  </si>
  <si>
    <t>K MERPAGO*GAUSSONLINE</t>
  </si>
  <si>
    <t>MERPAGO*EDUARDOMATEOSSRL</t>
  </si>
  <si>
    <t>EXTENSOR DE RED CCT</t>
  </si>
  <si>
    <t>AMERICA GRILL REINTEGRO PYG 860.000,00</t>
  </si>
  <si>
    <t>K MERPAGO*MAYREASRL</t>
  </si>
  <si>
    <t>COMPRA DE BAGUETA SPRINTER</t>
  </si>
  <si>
    <t>K BENZIN SRL</t>
  </si>
  <si>
    <t>K MERPAGO*ESTACIONAXION</t>
  </si>
  <si>
    <t>K Starlink Argentina</t>
  </si>
  <si>
    <t>K SHELL</t>
  </si>
  <si>
    <t>K MERPAGO*COLCARCBA</t>
  </si>
  <si>
    <t>SERVICE SPRINTER</t>
  </si>
  <si>
    <t>COMPRA DE BAGUETA SPRINTER (DEVOLUCIÓN)</t>
  </si>
  <si>
    <t>MERPAGO*BOCCOHNOS 05/06</t>
  </si>
  <si>
    <t>ASIENTOS DE PILOTOS</t>
  </si>
  <si>
    <t>CUOTA 5 - GENERADOR TRIFASICO ENJOY</t>
  </si>
  <si>
    <t>SEGUROS - PROMOTORAS PLAZA TC</t>
  </si>
  <si>
    <t>K GOURMET</t>
  </si>
  <si>
    <t>CENA SAN JUAN</t>
  </si>
  <si>
    <t>BIFUEL SRL</t>
  </si>
  <si>
    <t>K wondershare.com USD 62,99</t>
  </si>
  <si>
    <t>F AIRBNB * HMYQSQH4ZX USD 324,95</t>
  </si>
  <si>
    <t>PROGRAMA EDICIÓN FILMORA ANUAL</t>
  </si>
  <si>
    <t>AIRBNB ALTA GRACIA - LUCILA</t>
  </si>
  <si>
    <t>PLAZA LAVALLE-PLAZA LAVA</t>
  </si>
  <si>
    <t>Google One A61617442USD 9,99</t>
  </si>
  <si>
    <t>COMBUSTIBLE RANGER SAN JUAN</t>
  </si>
  <si>
    <t>PASAJE DE RIO IV A CORDOBA - VIRGINIA RIZOTTI</t>
  </si>
  <si>
    <t>K Google One A42562892USD 19,99</t>
  </si>
  <si>
    <t>YPF OPESSA ARGUELLO</t>
  </si>
  <si>
    <t>COMBUSTIBLE AUTO PIPA DEVOLUCIÓN</t>
  </si>
  <si>
    <t>COMBUSTIBLES NUEVO CUY</t>
  </si>
  <si>
    <t>K AIRBNB * HMYQSQH4ZX USD 324,95</t>
  </si>
  <si>
    <t>AIRBNB ALTA GRACIA - LUCILA (REINTEGRO)</t>
  </si>
  <si>
    <t>COMBUSTIBLE AUTO HERTZ DEVOLUCIÓN</t>
  </si>
  <si>
    <t>YPF RUBO SA</t>
  </si>
  <si>
    <t>K OPENAI *CHATGPT in1TtcwvCUSD 20,00</t>
  </si>
  <si>
    <t>DONWEB</t>
  </si>
  <si>
    <t>DON WEB - DOMINIO, MAILS DOS57 Y MAILS ENJOY</t>
  </si>
  <si>
    <t>Google One A56893978USD 9,99</t>
  </si>
  <si>
    <t>K Google One A14250122USD 1,99</t>
  </si>
  <si>
    <t>SHELL SA</t>
  </si>
  <si>
    <t>MERPAGO*POSITANORESTO</t>
  </si>
  <si>
    <t>ESSO SERV CASTIñEIRA</t>
  </si>
  <si>
    <t>DÍA DE TRABAJO DE VÍR Y LUCILA</t>
  </si>
  <si>
    <t>COMBUSTIBLE DE PIPA LUZU AQN EN QUALITY</t>
  </si>
  <si>
    <t>K MERPAGO*FACUNDOTORRES</t>
  </si>
  <si>
    <t>BEBIDA MONTAJE (POR ERROR COMO MEDIO DE PAGO SE SELECCIONO LA TARJETA DE CREDITO)</t>
  </si>
  <si>
    <t>K MERPAGO*FERNOLUZ</t>
  </si>
  <si>
    <t>ATORNILLADORA PARA PANTALLA LED</t>
  </si>
  <si>
    <t>YPF LAS FLORES</t>
  </si>
  <si>
    <t>ENERTRAC SA</t>
  </si>
  <si>
    <t>Google One A26730344USD 19,99</t>
  </si>
  <si>
    <t>APIES 31177 PLAYA</t>
  </si>
  <si>
    <t>K OPENAI *CHATGPT in1Tikf6CUSD 20,00</t>
  </si>
  <si>
    <t>Google One A15734424USD 1,99</t>
  </si>
  <si>
    <t xml:space="preserve">COMBUSTIBLE RANGER  </t>
  </si>
  <si>
    <t>GASTO PERSONAL</t>
  </si>
  <si>
    <t>K APIES 31177 PLAYA</t>
  </si>
  <si>
    <t>K Amazon web services USD 4,27</t>
  </si>
  <si>
    <t>AWS DE PÁGINAS WEB</t>
  </si>
  <si>
    <t>K YPF SANTA BARBARA SA</t>
  </si>
  <si>
    <t>MERPAGO*ENJOYNIGHTPRO</t>
  </si>
  <si>
    <t>PRUEBA INSCRIPCIÓN LETAP</t>
  </si>
  <si>
    <t>DEVOLUCIÓN DE PRUEBA DE INSCRIPCIÓN LETAP</t>
  </si>
  <si>
    <t>GOOGLE *Google O P1nvTPed USD 9,99</t>
  </si>
  <si>
    <t>K MERPAGO*POSITANOCHATE</t>
  </si>
  <si>
    <t>REUNION EN POSITANO CRIS, VICKY Y MALE</t>
  </si>
  <si>
    <t>K Amazon web services USD 5,65</t>
  </si>
  <si>
    <t>NELSO SA</t>
  </si>
  <si>
    <t>NAFTA KWID MIGUEL MARTINEZ - CADENA 3</t>
  </si>
  <si>
    <t>SHELL PANAMERICANO</t>
  </si>
  <si>
    <t>REFRIGERIO MIGUEL DÍA DEL NIÑO CADENA 3</t>
  </si>
  <si>
    <t>K GOOGLE *Google O P1nCh8nC USD 19,99</t>
  </si>
  <si>
    <t>K OPENAI *CHATGPT in1U4rivCUSD 20,00</t>
  </si>
  <si>
    <t>K Google One A46469884USD 1,99</t>
  </si>
  <si>
    <t>JPC OIL</t>
  </si>
  <si>
    <t>NAFTA VICKY PERSONAL - DESCUENTO SUELDO</t>
  </si>
  <si>
    <t>K YPF 12149 TIENDA</t>
  </si>
  <si>
    <t>ALMUERZO VIAJE LEONES</t>
  </si>
  <si>
    <t>OMNIBUS ALVELO A SAN JUAN - CENTRAL DE PASAJES</t>
  </si>
  <si>
    <t>K MERPAGO*CLARO</t>
  </si>
  <si>
    <t>CREDITO PARA CELULAR LETAPE - CLARO</t>
  </si>
  <si>
    <t>K MERPAGO*MUNICIPALIDADDECO</t>
  </si>
  <si>
    <t>ESTACIONAMIENTO PERSONAL MALE</t>
  </si>
  <si>
    <t>PASAJES AGUS BUSTAMANTE - PARANA TC</t>
  </si>
  <si>
    <t>OCTUBRE</t>
  </si>
  <si>
    <t>SEPTIEMBRE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</si>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</sst>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-[$$-2C0A]\ * #,##0.00_-;\-[$$-2C0A]\ * #,##0.00_-;_-[$$-2C0A]\ * &quot;-&quot;??_-;_-@"/>
  </numFmts>
  <fonts count="13">
    <font>
      <sz val="11.0"/>
      <color theme="1"/>
      <name val="Calibri"/>
      <scheme val="minor"/>
    </font>
    <font>
      <sz val="14.0"/>
      <color theme="0"/>
      <name val="Calibri"/>
    </font>
    <font/>
    <font>
      <b/>
      <sz val="20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sz val="10.0"/>
      <color theme="1"/>
      <name val="Calibri"/>
    </font>
    <font>
      <sz val="11.0"/>
      <color rgb="FFFF0000"/>
      <name val="Calibri"/>
    </font>
    <font>
      <sz val="12.0"/>
      <color theme="0"/>
      <name val="Federo"/>
    </font>
    <font>
      <u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theme="1"/>
        <bgColor theme="1"/>
      </patternFill>
    </fill>
  </fills>
  <borders count="8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/>
      <top style="medium">
        <color rgb="FF000000"/>
      </top>
      <bottom style="double">
        <color rgb="FF000000"/>
      </bottom>
    </border>
    <border>
      <left/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medium">
        <color rgb="FF000000"/>
      </bottom>
    </border>
    <border>
      <right/>
      <top style="double">
        <color rgb="FF000000"/>
      </top>
      <bottom/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double">
        <color rgb="FF000000"/>
      </top>
      <bottom style="medium">
        <color rgb="FF000000"/>
      </bottom>
    </border>
    <border>
      <right style="double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top/>
    </border>
    <border>
      <top/>
    </border>
    <border>
      <right style="medium">
        <color rgb="FF000000"/>
      </right>
      <top/>
    </border>
    <border>
      <left/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left/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top style="double">
        <color rgb="FF000000"/>
      </top>
    </border>
    <border>
      <top style="double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vertical="center"/>
    </xf>
    <xf borderId="5" fillId="0" fontId="2" numFmtId="0" xfId="0" applyBorder="1" applyFont="1"/>
    <xf borderId="6" fillId="3" fontId="3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4" numFmtId="0" xfId="0" applyFont="1"/>
    <xf borderId="10" fillId="0" fontId="2" numFmtId="0" xfId="0" applyBorder="1" applyFont="1"/>
    <xf borderId="11" fillId="3" fontId="3" numFmtId="0" xfId="0" applyAlignment="1" applyBorder="1" applyFill="1" applyFont="1">
      <alignment horizontal="right" vertical="center"/>
    </xf>
    <xf borderId="12" fillId="0" fontId="2" numFmtId="0" xfId="0" applyBorder="1" applyFont="1"/>
    <xf borderId="13" fillId="3" fontId="3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2" fontId="1" numFmtId="0" xfId="0" applyAlignment="1" applyBorder="1" applyFill="1" applyFont="1">
      <alignment horizontal="center" vertical="center"/>
    </xf>
    <xf borderId="16" fillId="2" fontId="1" numFmtId="0" xfId="0" applyAlignment="1" applyBorder="1" applyFill="1" applyFont="1">
      <alignment horizontal="center" vertical="center"/>
    </xf>
    <xf borderId="17" fillId="2" fontId="1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center" vertical="center"/>
    </xf>
    <xf borderId="19" fillId="3" fontId="3" numFmtId="0" xfId="0" applyAlignment="1" applyBorder="1" applyFill="1" applyFont="1">
      <alignment horizontal="right" vertical="center"/>
    </xf>
    <xf borderId="20" fillId="0" fontId="2" numFmtId="0" xfId="0" applyBorder="1" applyFont="1"/>
    <xf borderId="21" fillId="2" fontId="1" numFmtId="0" xfId="0" applyAlignment="1" applyBorder="1" applyFill="1" applyFont="1">
      <alignment horizontal="center" vertical="center"/>
    </xf>
    <xf borderId="22" fillId="3" fontId="3" numFmtId="164" xfId="0" applyAlignment="1" applyBorder="1" applyFill="1" applyFont="1" applyNumberForma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26" fillId="3" fontId="3" numFmtId="0" xfId="0" applyAlignment="1" applyBorder="1" applyFill="1" applyFont="1">
      <alignment horizontal="right" vertical="center"/>
    </xf>
    <xf borderId="27" fillId="0" fontId="2" numFmtId="0" xfId="0" applyBorder="1" applyFont="1"/>
    <xf borderId="26" fillId="3" fontId="3" numFmtId="164" xfId="0" applyAlignment="1" applyBorder="1" applyFill="1" applyFont="1" applyNumberFormat="1">
      <alignment horizontal="center"/>
    </xf>
    <xf borderId="18" fillId="0" fontId="6" numFmtId="165" xfId="0" applyAlignment="1" applyBorder="1" applyFont="1" applyNumberFormat="1">
      <alignment horizontal="center" vertical="center"/>
    </xf>
    <xf borderId="21" fillId="0" fontId="6" numFmtId="165" xfId="0" applyAlignment="1" applyBorder="1" applyFont="1" applyNumberFormat="1">
      <alignment vertical="center"/>
    </xf>
    <xf borderId="25" fillId="0" fontId="6" numFmtId="165" xfId="0" applyAlignment="1" applyBorder="1" applyFont="1" applyNumberFormat="1">
      <alignment vertical="center"/>
    </xf>
    <xf borderId="1" fillId="4" fontId="3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30" fillId="4" fontId="3" numFmtId="0" xfId="0" applyAlignment="1" applyBorder="1" applyFill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21" fillId="0" fontId="6" numFmtId="165" xfId="0" applyBorder="1" applyFont="1" applyNumberFormat="1"/>
    <xf borderId="25" fillId="0" fontId="6" numFmtId="165" xfId="0" applyBorder="1" applyFont="1" applyNumberFormat="1"/>
    <xf borderId="34" fillId="0" fontId="2" numFmtId="0" xfId="0" applyBorder="1" applyFont="1"/>
    <xf borderId="35" fillId="0" fontId="5" numFmtId="0" xfId="0" applyAlignment="1" applyBorder="1" applyFont="1">
      <alignment horizontal="center" vertical="center"/>
    </xf>
    <xf borderId="36" fillId="0" fontId="2" numFmtId="0" xfId="0" applyBorder="1" applyFont="1"/>
    <xf borderId="37" fillId="0" fontId="2" numFmtId="0" xfId="0" applyBorder="1" applyFont="1"/>
    <xf borderId="38" fillId="5" fontId="6" numFmtId="0" xfId="0" applyAlignment="1" applyBorder="1" applyFill="1" applyFont="1">
      <alignment horizontal="center" vertical="center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18" fillId="3" fontId="5" numFmtId="0" xfId="0" applyAlignment="1" applyBorder="1" applyFill="1" applyFont="1">
      <alignment horizontal="center" vertical="center"/>
    </xf>
    <xf borderId="21" fillId="3" fontId="5" numFmtId="0" xfId="0" applyAlignment="1" applyBorder="1" applyFill="1" applyFont="1">
      <alignment horizontal="center" vertical="center"/>
    </xf>
    <xf borderId="42" fillId="0" fontId="8" numFmtId="0" xfId="0" applyAlignment="1" applyBorder="1" applyFont="1">
      <alignment horizontal="center" vertical="center"/>
    </xf>
    <xf borderId="43" fillId="0" fontId="4" numFmtId="14" xfId="0" applyAlignment="1" applyBorder="1" applyFont="1" applyNumberFormat="1">
      <alignment horizontal="center"/>
    </xf>
    <xf borderId="43" fillId="0" fontId="4" numFmtId="164" xfId="0" applyAlignment="1" applyBorder="1" applyFont="1" applyNumberFormat="1">
      <alignment horizontal="right"/>
    </xf>
    <xf borderId="43" fillId="0" fontId="4" numFmtId="165" xfId="0" applyAlignment="1" applyBorder="1" applyFont="1" applyNumberFormat="1">
      <alignment horizontal="right"/>
    </xf>
    <xf borderId="43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/>
    </xf>
    <xf borderId="42" fillId="0" fontId="2" numFmtId="0" xfId="0" applyBorder="1" applyFont="1"/>
    <xf borderId="18" fillId="0" fontId="4" numFmtId="0" xfId="0" applyAlignment="1" applyBorder="1" applyFont="1">
      <alignment horizontal="center"/>
    </xf>
    <xf borderId="43" fillId="0" fontId="4" numFmtId="165" xfId="0" applyAlignment="1" applyBorder="1" applyFont="1" applyNumberFormat="1">
      <alignment horizontal="center"/>
    </xf>
    <xf borderId="18" fillId="3" fontId="6" numFmtId="0" xfId="0" applyAlignment="1" applyBorder="1" applyFill="1" applyFont="1">
      <alignment horizontal="center" vertical="center"/>
    </xf>
    <xf borderId="21" fillId="3" fontId="6" numFmtId="0" xfId="0" applyAlignment="1" applyBorder="1" applyFill="1" applyFont="1">
      <alignment horizontal="center" vertical="center"/>
    </xf>
    <xf borderId="0" fillId="0" fontId="4" numFmtId="164" xfId="0" applyAlignment="1" applyFont="1" applyNumberFormat="1">
      <alignment horizontal="right"/>
    </xf>
    <xf borderId="18" fillId="0" fontId="4" numFmtId="164" xfId="0" applyAlignment="1" applyBorder="1" applyFont="1" applyNumberFormat="1">
      <alignment horizontal="right"/>
    </xf>
    <xf borderId="45" fillId="0" fontId="2" numFmtId="0" xfId="0" applyBorder="1" applyFont="1"/>
    <xf borderId="46" fillId="0" fontId="8" numFmtId="0" xfId="0" applyAlignment="1" applyBorder="1" applyFont="1">
      <alignment horizontal="right"/>
    </xf>
    <xf borderId="47" fillId="0" fontId="2" numFmtId="0" xfId="0" applyBorder="1" applyFont="1"/>
    <xf borderId="48" fillId="0" fontId="4" numFmtId="164" xfId="0" applyAlignment="1" applyBorder="1" applyFont="1" applyNumberFormat="1">
      <alignment horizontal="right"/>
    </xf>
    <xf borderId="2" fillId="0" fontId="9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46" fillId="2" fontId="8" numFmtId="0" xfId="0" applyAlignment="1" applyBorder="1" applyFill="1" applyFont="1">
      <alignment horizontal="center"/>
    </xf>
    <xf borderId="49" fillId="0" fontId="2" numFmtId="0" xfId="0" applyBorder="1" applyFont="1"/>
    <xf borderId="50" fillId="0" fontId="8" numFmtId="0" xfId="0" applyAlignment="1" applyBorder="1" applyFont="1">
      <alignment horizontal="center" vertical="center"/>
    </xf>
    <xf borderId="18" fillId="0" fontId="4" numFmtId="14" xfId="0" applyAlignment="1" applyBorder="1" applyFont="1" applyNumberFormat="1">
      <alignment horizontal="center"/>
    </xf>
    <xf borderId="51" fillId="0" fontId="4" numFmtId="165" xfId="0" applyAlignment="1" applyBorder="1" applyFont="1" applyNumberFormat="1">
      <alignment horizontal="center"/>
    </xf>
    <xf borderId="2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48" fillId="0" fontId="4" numFmtId="165" xfId="0" applyAlignment="1" applyBorder="1" applyFont="1" applyNumberFormat="1">
      <alignment horizontal="center"/>
    </xf>
    <xf borderId="18" fillId="0" fontId="4" numFmtId="165" xfId="0" applyAlignment="1" applyBorder="1" applyFont="1" applyNumberFormat="1">
      <alignment horizontal="center"/>
    </xf>
    <xf borderId="18" fillId="0" fontId="4" numFmtId="165" xfId="0" applyAlignment="1" applyBorder="1" applyFont="1" applyNumberFormat="1">
      <alignment horizontal="right"/>
    </xf>
    <xf borderId="51" fillId="0" fontId="4" numFmtId="164" xfId="0" applyAlignment="1" applyBorder="1" applyFont="1" applyNumberFormat="1">
      <alignment horizontal="right"/>
    </xf>
    <xf borderId="4" fillId="3" fontId="7" numFmtId="0" xfId="0" applyAlignment="1" applyBorder="1" applyFill="1" applyFont="1">
      <alignment horizontal="right" vertical="center"/>
    </xf>
    <xf borderId="6" fillId="3" fontId="7" numFmtId="0" xfId="0" applyAlignment="1" applyBorder="1" applyFill="1" applyFont="1">
      <alignment horizontal="center" vertical="center"/>
    </xf>
    <xf borderId="11" fillId="3" fontId="7" numFmtId="0" xfId="0" applyAlignment="1" applyBorder="1" applyFill="1" applyFont="1">
      <alignment horizontal="right" vertical="center"/>
    </xf>
    <xf borderId="13" fillId="3" fontId="7" numFmtId="0" xfId="0" applyAlignment="1" applyBorder="1" applyFill="1" applyFont="1">
      <alignment horizontal="center" vertical="center"/>
    </xf>
    <xf borderId="18" fillId="0" fontId="10" numFmtId="165" xfId="0" applyAlignment="1" applyBorder="1" applyFont="1" applyNumberFormat="1">
      <alignment horizontal="center"/>
    </xf>
    <xf borderId="52" fillId="2" fontId="8" numFmtId="0" xfId="0" applyAlignment="1" applyBorder="1" applyFill="1" applyFont="1">
      <alignment horizontal="center"/>
    </xf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56" fillId="0" fontId="8" numFmtId="0" xfId="0" applyAlignment="1" applyBorder="1" applyFont="1">
      <alignment horizontal="center" vertical="center"/>
    </xf>
    <xf borderId="57" fillId="0" fontId="2" numFmtId="0" xfId="0" applyBorder="1" applyFont="1"/>
    <xf borderId="18" fillId="0" fontId="6" numFmtId="165" xfId="0" applyAlignment="1" applyBorder="1" applyFont="1" applyNumberFormat="1">
      <alignment vertical="center"/>
    </xf>
    <xf borderId="56" fillId="0" fontId="4" numFmtId="0" xfId="0" applyAlignment="1" applyBorder="1" applyFont="1">
      <alignment horizontal="center" vertical="center"/>
    </xf>
    <xf borderId="58" fillId="4" fontId="7" numFmtId="0" xfId="0" applyAlignment="1" applyBorder="1" applyFill="1" applyFont="1">
      <alignment horizontal="center" vertical="center"/>
    </xf>
    <xf borderId="59" fillId="0" fontId="2" numFmtId="0" xfId="0" applyBorder="1" applyFont="1"/>
    <xf borderId="60" fillId="0" fontId="4" numFmtId="0" xfId="0" applyAlignment="1" applyBorder="1" applyFont="1">
      <alignment horizontal="center" vertical="center"/>
    </xf>
    <xf borderId="61" fillId="0" fontId="2" numFmtId="0" xfId="0" applyBorder="1" applyFont="1"/>
    <xf borderId="56" fillId="0" fontId="4" numFmtId="14" xfId="0" applyAlignment="1" applyBorder="1" applyFont="1" applyNumberFormat="1">
      <alignment horizontal="center"/>
    </xf>
    <xf borderId="56" fillId="0" fontId="4" numFmtId="164" xfId="0" applyAlignment="1" applyBorder="1" applyFont="1" applyNumberFormat="1">
      <alignment horizontal="right"/>
    </xf>
    <xf borderId="56" fillId="0" fontId="4" numFmtId="165" xfId="0" applyAlignment="1" applyBorder="1" applyFont="1" applyNumberFormat="1">
      <alignment horizontal="center"/>
    </xf>
    <xf borderId="62" fillId="0" fontId="4" numFmtId="0" xfId="0" applyAlignment="1" applyBorder="1" applyFont="1">
      <alignment horizontal="center"/>
    </xf>
    <xf borderId="63" fillId="0" fontId="2" numFmtId="0" xfId="0" applyBorder="1" applyFont="1"/>
    <xf borderId="44" fillId="0" fontId="2" numFmtId="0" xfId="0" applyBorder="1" applyFont="1"/>
    <xf borderId="48" fillId="0" fontId="6" numFmtId="165" xfId="0" applyAlignment="1" applyBorder="1" applyFont="1" applyNumberFormat="1">
      <alignment horizontal="center"/>
    </xf>
    <xf borderId="18" fillId="0" fontId="4" numFmtId="165" xfId="0" applyBorder="1" applyFont="1" applyNumberFormat="1"/>
    <xf borderId="0" fillId="0" fontId="9" numFmtId="0" xfId="0" applyAlignment="1" applyFont="1">
      <alignment horizontal="center"/>
    </xf>
    <xf borderId="21" fillId="0" fontId="4" numFmtId="0" xfId="0" applyAlignment="1" applyBorder="1" applyFont="1">
      <alignment horizontal="center"/>
    </xf>
    <xf borderId="64" fillId="2" fontId="8" numFmtId="0" xfId="0" applyAlignment="1" applyBorder="1" applyFill="1" applyFont="1">
      <alignment horizontal="center"/>
    </xf>
    <xf borderId="65" fillId="0" fontId="2" numFmtId="0" xfId="0" applyBorder="1" applyFont="1"/>
    <xf borderId="66" fillId="0" fontId="2" numFmtId="0" xfId="0" applyBorder="1" applyFont="1"/>
    <xf borderId="0" fillId="0" fontId="8" numFmtId="0" xfId="0" applyAlignment="1" applyFont="1">
      <alignment horizontal="center"/>
    </xf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34" fillId="0" fontId="8" numFmtId="0" xfId="0" applyAlignment="1" applyBorder="1" applyFont="1">
      <alignment horizontal="right"/>
    </xf>
    <xf borderId="70" fillId="0" fontId="4" numFmtId="165" xfId="0" applyAlignment="1" applyBorder="1" applyFont="1" applyNumberFormat="1">
      <alignment horizontal="center"/>
    </xf>
    <xf borderId="57" fillId="0" fontId="8" numFmtId="0" xfId="0" applyAlignment="1" applyBorder="1" applyFont="1">
      <alignment horizontal="center" vertical="center"/>
    </xf>
    <xf borderId="44" fillId="0" fontId="4" numFmtId="0" xfId="0" applyAlignment="1" applyBorder="1" applyFont="1">
      <alignment horizontal="center" vertical="center"/>
    </xf>
    <xf borderId="43" fillId="0" fontId="9" numFmtId="0" xfId="0" applyAlignment="1" applyBorder="1" applyFont="1">
      <alignment horizontal="center"/>
    </xf>
    <xf borderId="71" fillId="0" fontId="2" numFmtId="0" xfId="0" applyBorder="1" applyFont="1"/>
    <xf borderId="43" fillId="0" fontId="2" numFmtId="0" xfId="0" applyBorder="1" applyFont="1"/>
    <xf borderId="18" fillId="0" fontId="4" numFmtId="0" xfId="0" applyAlignment="1" applyBorder="1" applyFont="1">
      <alignment horizontal="center" vertical="center"/>
    </xf>
    <xf borderId="18" fillId="0" fontId="9" numFmtId="0" xfId="0" applyAlignment="1" applyBorder="1" applyFont="1">
      <alignment horizontal="center"/>
    </xf>
    <xf borderId="25" fillId="0" fontId="8" numFmtId="0" xfId="0" applyAlignment="1" applyBorder="1" applyFont="1">
      <alignment horizontal="right"/>
    </xf>
    <xf borderId="72" fillId="0" fontId="2" numFmtId="0" xfId="0" applyBorder="1" applyFont="1"/>
    <xf borderId="18" fillId="0" fontId="6" numFmtId="165" xfId="0" applyAlignment="1" applyBorder="1" applyFont="1" applyNumberFormat="1">
      <alignment horizontal="center"/>
    </xf>
    <xf borderId="25" fillId="2" fontId="8" numFmtId="0" xfId="0" applyAlignment="1" applyBorder="1" applyFill="1" applyFont="1">
      <alignment horizontal="center"/>
    </xf>
    <xf borderId="73" fillId="0" fontId="2" numFmtId="0" xfId="0" applyBorder="1" applyFont="1"/>
    <xf borderId="74" fillId="0" fontId="2" numFmtId="0" xfId="0" applyBorder="1" applyFont="1"/>
    <xf borderId="1" fillId="2" fontId="11" numFmtId="0" xfId="0" applyAlignment="1" applyBorder="1" applyFill="1" applyFont="1">
      <alignment horizontal="center" vertical="center"/>
    </xf>
    <xf borderId="15" fillId="2" fontId="11" numFmtId="0" xfId="0" applyAlignment="1" applyBorder="1" applyFill="1" applyFont="1">
      <alignment horizontal="center" vertical="center"/>
    </xf>
    <xf borderId="18" fillId="2" fontId="11" numFmtId="0" xfId="0" applyAlignment="1" applyBorder="1" applyFill="1" applyFont="1">
      <alignment horizontal="center" vertical="center"/>
    </xf>
    <xf borderId="21" fillId="2" fontId="11" numFmtId="0" xfId="0" applyAlignment="1" applyBorder="1" applyFill="1" applyFont="1">
      <alignment horizontal="center" vertical="center"/>
    </xf>
    <xf borderId="75" fillId="4" fontId="7" numFmtId="0" xfId="0" applyAlignment="1" applyBorder="1" applyFill="1" applyFont="1">
      <alignment horizontal="center" vertical="center"/>
    </xf>
    <xf borderId="76" fillId="0" fontId="6" numFmtId="165" xfId="0" applyAlignment="1" applyBorder="1" applyFont="1" applyNumberFormat="1">
      <alignment horizontal="center" vertical="center"/>
    </xf>
    <xf borderId="60" fillId="0" fontId="6" numFmtId="165" xfId="0" applyAlignment="1" applyBorder="1" applyFont="1" applyNumberFormat="1">
      <alignment vertical="center"/>
    </xf>
    <xf borderId="77" fillId="0" fontId="6" numFmtId="165" xfId="0" applyAlignment="1" applyBorder="1" applyFont="1" applyNumberFormat="1">
      <alignment horizontal="center" vertical="center"/>
    </xf>
    <xf borderId="0" fillId="0" fontId="4" numFmtId="165" xfId="0" applyFont="1" applyNumberFormat="1"/>
    <xf borderId="57" fillId="0" fontId="6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78" fillId="0" fontId="2" numFmtId="0" xfId="0" applyBorder="1" applyFont="1"/>
    <xf borderId="79" fillId="5" fontId="6" numFmtId="0" xfId="0" applyAlignment="1" applyBorder="1" applyFill="1" applyFont="1">
      <alignment horizontal="center" vertical="center"/>
    </xf>
    <xf borderId="80" fillId="0" fontId="2" numFmtId="0" xfId="0" applyBorder="1" applyFont="1"/>
    <xf borderId="81" fillId="0" fontId="2" numFmtId="0" xfId="0" applyBorder="1" applyFont="1"/>
    <xf borderId="82" fillId="3" fontId="5" numFmtId="0" xfId="0" applyAlignment="1" applyBorder="1" applyFill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48" fillId="3" fontId="5" numFmtId="0" xfId="0" applyAlignment="1" applyBorder="1" applyFill="1" applyFont="1">
      <alignment horizontal="center" vertical="center"/>
    </xf>
    <xf borderId="83" fillId="3" fontId="5" numFmtId="0" xfId="0" applyAlignment="1" applyBorder="1" applyFill="1" applyFont="1">
      <alignment horizontal="center" vertical="center"/>
    </xf>
    <xf borderId="84" fillId="3" fontId="5" numFmtId="0" xfId="0" applyAlignment="1" applyBorder="1" applyFill="1" applyFont="1">
      <alignment horizontal="center" vertical="center"/>
    </xf>
    <xf borderId="51" fillId="0" fontId="4" numFmtId="14" xfId="0" applyAlignment="1" applyBorder="1" applyFont="1" applyNumberFormat="1">
      <alignment horizontal="center"/>
    </xf>
    <xf borderId="51" fillId="0" fontId="4" numFmtId="164" xfId="0" applyAlignment="1" applyBorder="1" applyFont="1" applyNumberFormat="1">
      <alignment horizontal="center"/>
    </xf>
    <xf borderId="51" fillId="0" fontId="4" numFmtId="0" xfId="0" applyAlignment="1" applyBorder="1" applyFont="1">
      <alignment horizontal="center"/>
    </xf>
    <xf borderId="85" fillId="0" fontId="4" numFmtId="0" xfId="0" applyAlignment="1" applyBorder="1" applyFont="1">
      <alignment horizontal="center"/>
    </xf>
    <xf borderId="43" fillId="0" fontId="4" numFmtId="164" xfId="0" applyAlignment="1" applyBorder="1" applyFont="1" applyNumberFormat="1">
      <alignment horizontal="center"/>
    </xf>
    <xf borderId="86" fillId="3" fontId="7" numFmtId="165" xfId="0" applyAlignment="1" applyBorder="1" applyFill="1" applyFont="1" applyNumberFormat="1">
      <alignment horizontal="center" vertical="center"/>
    </xf>
    <xf borderId="87" fillId="3" fontId="5" numFmtId="0" xfId="0" applyAlignment="1" applyBorder="1" applyFill="1" applyFont="1">
      <alignment horizontal="center" vertical="center"/>
    </xf>
    <xf borderId="51" fillId="0" fontId="4" numFmtId="16" xfId="0" applyAlignment="1" applyBorder="1" applyFont="1" applyNumberFormat="1">
      <alignment horizontal="center" readingOrder="0"/>
    </xf>
    <xf borderId="51" fillId="0" fontId="4" numFmtId="165" xfId="0" applyAlignment="1" applyBorder="1" applyFont="1" applyNumberFormat="1">
      <alignment horizontal="center" readingOrder="0"/>
    </xf>
    <xf borderId="18" fillId="0" fontId="4" numFmtId="0" xfId="0" applyAlignment="1" applyBorder="1" applyFont="1">
      <alignment horizontal="center" readingOrder="0"/>
    </xf>
    <xf borderId="43" fillId="0" fontId="4" numFmtId="16" xfId="0" applyAlignment="1" applyBorder="1" applyFont="1" applyNumberFormat="1">
      <alignment horizontal="center" readingOrder="0"/>
    </xf>
    <xf borderId="43" fillId="0" fontId="4" numFmtId="165" xfId="0" applyAlignment="1" applyBorder="1" applyFont="1" applyNumberFormat="1">
      <alignment horizontal="center" readingOrder="0"/>
    </xf>
    <xf borderId="18" fillId="0" fontId="4" numFmtId="16" xfId="0" applyAlignment="1" applyBorder="1" applyFont="1" applyNumberFormat="1">
      <alignment horizontal="center"/>
    </xf>
    <xf borderId="18" fillId="0" fontId="4" numFmtId="0" xfId="0" applyBorder="1" applyFont="1"/>
    <xf borderId="21" fillId="0" fontId="4" numFmtId="0" xfId="0" applyBorder="1" applyFont="1"/>
    <xf borderId="43" fillId="0" fontId="9" numFmtId="0" xfId="0" applyAlignment="1" applyBorder="1" applyFont="1">
      <alignment horizontal="center" readingOrder="0"/>
    </xf>
    <xf borderId="18" fillId="0" fontId="4" numFmtId="16" xfId="0" applyAlignment="1" applyBorder="1" applyFont="1" applyNumberFormat="1">
      <alignment horizontal="center" readingOrder="0"/>
    </xf>
    <xf borderId="18" fillId="0" fontId="4" numFmtId="165" xfId="0" applyAlignment="1" applyBorder="1" applyFont="1" applyNumberFormat="1">
      <alignment horizontal="center" readingOrder="0"/>
    </xf>
    <xf borderId="18" fillId="0" fontId="12" numFmtId="0" xfId="0" applyAlignment="1" applyBorder="1" applyFont="1">
      <alignment horizontal="center"/>
    </xf>
    <xf borderId="18" fillId="0" fontId="9" numFmtId="0" xfId="0" applyAlignment="1" applyBorder="1" applyFont="1">
      <alignment horizontal="center" readingOrder="0"/>
    </xf>
    <xf borderId="56" fillId="0" fontId="10" numFmtId="165" xfId="0" applyAlignment="1" applyBorder="1" applyFont="1" applyNumberFormat="1">
      <alignment horizontal="center"/>
    </xf>
    <xf borderId="56" fillId="0" fontId="4" numFmtId="16" xfId="0" applyAlignment="1" applyBorder="1" applyFont="1" applyNumberFormat="1">
      <alignment horizontal="center" readingOrder="0"/>
    </xf>
    <xf borderId="56" fillId="0" fontId="4" numFmtId="165" xfId="0" applyAlignment="1" applyBorder="1" applyFont="1" applyNumberFormat="1">
      <alignment horizontal="center" readingOrder="0"/>
    </xf>
    <xf borderId="51" fillId="0" fontId="4" numFmtId="16" xfId="0" applyAlignment="1" applyBorder="1" applyFont="1" applyNumberFormat="1">
      <alignment horizontal="center"/>
    </xf>
    <xf borderId="43" fillId="0" fontId="4" numFmtId="16" xfId="0" applyAlignment="1" applyBorder="1" applyFont="1" applyNumberFormat="1">
      <alignment horizontal="center"/>
    </xf>
    <xf borderId="56" fillId="0" fontId="4" numFmtId="1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830550" cy="1295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3030200" cy="1314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39600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1152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1730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jetsmart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29"/>
    <col customWidth="1" min="3" max="3" width="18.57"/>
    <col customWidth="1" min="4" max="4" width="15.57"/>
    <col customWidth="1" min="5" max="5" width="40.29"/>
    <col customWidth="1" min="6" max="6" width="110.0"/>
    <col customWidth="1" min="7" max="7" width="11.14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2.0" customHeight="1"/>
    <row r="6" ht="12.0" customHeight="1"/>
    <row r="7" ht="12.0" customHeight="1"/>
    <row r="8" ht="12.0" customHeight="1"/>
    <row r="9">
      <c r="A9" s="1" t="s">
        <v>0</v>
      </c>
      <c r="B9" s="2"/>
      <c r="C9" s="3"/>
      <c r="D9" s="4" t="s">
        <v>1</v>
      </c>
      <c r="E9" s="5"/>
      <c r="F9" s="6" t="s">
        <v>3</v>
      </c>
      <c r="G9" s="7"/>
      <c r="H9" s="10"/>
    </row>
    <row r="10">
      <c r="A10" s="8"/>
      <c r="B10" s="9"/>
      <c r="C10" s="11"/>
      <c r="D10" s="12" t="s">
        <v>4</v>
      </c>
      <c r="E10" s="13"/>
      <c r="F10" s="14">
        <v>2026.0</v>
      </c>
      <c r="G10" s="15"/>
      <c r="H10" s="10"/>
    </row>
    <row r="11">
      <c r="A11" s="16" t="s">
        <v>5</v>
      </c>
      <c r="B11" s="19" t="s">
        <v>6</v>
      </c>
      <c r="C11" s="22" t="s">
        <v>7</v>
      </c>
      <c r="D11" s="20" t="s">
        <v>7</v>
      </c>
      <c r="E11" s="21"/>
      <c r="F11" s="23">
        <v>3526614.93</v>
      </c>
      <c r="G11" s="25"/>
      <c r="H11" s="10"/>
    </row>
    <row r="12" ht="19.5" customHeight="1">
      <c r="A12" s="27" t="s">
        <v>9</v>
      </c>
      <c r="B12" s="31">
        <f>SUM(C34)</f>
        <v>1490423.17</v>
      </c>
      <c r="C12" s="33">
        <f t="shared" ref="C12:C18" si="1">SUM(B12)</f>
        <v>1490423.17</v>
      </c>
      <c r="D12" s="35" t="s">
        <v>10</v>
      </c>
      <c r="E12" s="2"/>
      <c r="F12" s="2"/>
      <c r="G12" s="3"/>
      <c r="H12" s="10"/>
    </row>
    <row r="13" ht="19.5" customHeight="1">
      <c r="A13" s="27" t="s">
        <v>11</v>
      </c>
      <c r="B13" s="31">
        <f>SUM(D34)</f>
        <v>25</v>
      </c>
      <c r="C13" s="33">
        <f t="shared" si="1"/>
        <v>25</v>
      </c>
      <c r="D13" s="36"/>
      <c r="G13" s="37"/>
      <c r="H13" s="10"/>
    </row>
    <row r="14" ht="19.5" customHeight="1">
      <c r="A14" s="27" t="s">
        <v>12</v>
      </c>
      <c r="B14" s="31">
        <f>SUM(C50)</f>
        <v>1224244.52</v>
      </c>
      <c r="C14" s="33">
        <f t="shared" si="1"/>
        <v>1224244.52</v>
      </c>
      <c r="D14" s="36"/>
      <c r="G14" s="37"/>
      <c r="H14" s="10"/>
    </row>
    <row r="15" ht="19.5" customHeight="1">
      <c r="A15" s="27" t="s">
        <v>13</v>
      </c>
      <c r="B15" s="31"/>
      <c r="C15" s="43">
        <f t="shared" si="1"/>
        <v>0</v>
      </c>
      <c r="D15" s="36"/>
      <c r="G15" s="37"/>
      <c r="H15" s="10"/>
    </row>
    <row r="16" ht="19.5" customHeight="1">
      <c r="A16" s="27" t="s">
        <v>14</v>
      </c>
      <c r="B16" s="31">
        <f>SUM(C58)</f>
        <v>191254</v>
      </c>
      <c r="C16" s="33">
        <f t="shared" si="1"/>
        <v>191254</v>
      </c>
      <c r="D16" s="36"/>
      <c r="G16" s="37"/>
      <c r="H16" s="10"/>
    </row>
    <row r="17" ht="19.5" customHeight="1">
      <c r="A17" s="27" t="s">
        <v>15</v>
      </c>
      <c r="B17" s="31">
        <f>SUM(D58)</f>
        <v>71.72</v>
      </c>
      <c r="C17" s="33">
        <f t="shared" si="1"/>
        <v>71.72</v>
      </c>
      <c r="D17" s="36"/>
      <c r="G17" s="37"/>
      <c r="H17" s="10"/>
    </row>
    <row r="18" ht="19.5" customHeight="1">
      <c r="A18" s="27" t="s">
        <v>23</v>
      </c>
      <c r="B18" s="31">
        <f>SUM(C63)</f>
        <v>518042.58</v>
      </c>
      <c r="C18" s="33">
        <f t="shared" si="1"/>
        <v>518042.58</v>
      </c>
      <c r="D18" s="44"/>
      <c r="E18" s="46"/>
      <c r="F18" s="46"/>
      <c r="G18" s="47"/>
      <c r="H18" s="10"/>
    </row>
    <row r="19" ht="4.5" customHeight="1">
      <c r="A19" s="48"/>
      <c r="B19" s="49"/>
      <c r="C19" s="49"/>
      <c r="D19" s="49"/>
      <c r="E19" s="49"/>
      <c r="F19" s="49"/>
      <c r="G19" s="51"/>
      <c r="H19" s="10"/>
    </row>
    <row r="20" ht="24.75" customHeight="1">
      <c r="A20" s="52" t="s">
        <v>17</v>
      </c>
      <c r="B20" s="63" t="s">
        <v>18</v>
      </c>
      <c r="C20" s="63" t="s">
        <v>19</v>
      </c>
      <c r="D20" s="63" t="s">
        <v>20</v>
      </c>
      <c r="E20" s="63" t="s">
        <v>21</v>
      </c>
      <c r="F20" s="63" t="s">
        <v>22</v>
      </c>
      <c r="G20" s="64" t="s">
        <v>24</v>
      </c>
      <c r="H20" s="10"/>
    </row>
    <row r="21" ht="19.5" customHeight="1">
      <c r="A21" s="54" t="s">
        <v>25</v>
      </c>
      <c r="B21" s="55">
        <v>46010.0</v>
      </c>
      <c r="C21" s="62">
        <v>199999.83</v>
      </c>
      <c r="D21" s="62"/>
      <c r="E21" s="58" t="s">
        <v>40</v>
      </c>
      <c r="F21" s="58"/>
      <c r="G21" s="59"/>
      <c r="H21" s="10"/>
    </row>
    <row r="22" ht="19.5" customHeight="1">
      <c r="A22" s="60"/>
      <c r="B22" s="55">
        <v>46017.0</v>
      </c>
      <c r="C22" s="57">
        <v>163566.66</v>
      </c>
      <c r="D22" s="62"/>
      <c r="E22" s="61" t="s">
        <v>47</v>
      </c>
      <c r="F22" s="58"/>
      <c r="G22" s="59"/>
      <c r="H22" s="10"/>
    </row>
    <row r="23" ht="19.5" customHeight="1">
      <c r="A23" s="60"/>
      <c r="B23" s="55">
        <v>46024.0</v>
      </c>
      <c r="C23" s="62">
        <v>228938.5</v>
      </c>
      <c r="D23" s="62"/>
      <c r="E23" s="61" t="s">
        <v>28</v>
      </c>
      <c r="F23" s="58"/>
      <c r="G23" s="59"/>
      <c r="H23" s="10"/>
    </row>
    <row r="24" ht="19.5" customHeight="1">
      <c r="A24" s="60"/>
      <c r="B24" s="55">
        <v>46031.0</v>
      </c>
      <c r="C24" s="62">
        <v>23900.0</v>
      </c>
      <c r="D24" s="62"/>
      <c r="E24" s="61" t="s">
        <v>35</v>
      </c>
      <c r="F24" s="58"/>
      <c r="G24" s="59"/>
      <c r="H24" s="10"/>
    </row>
    <row r="25" ht="19.5" customHeight="1">
      <c r="A25" s="60"/>
      <c r="B25" s="55">
        <v>46033.0</v>
      </c>
      <c r="C25" s="62"/>
      <c r="D25" s="62">
        <v>25.0</v>
      </c>
      <c r="E25" s="61" t="s">
        <v>42</v>
      </c>
      <c r="F25" s="58"/>
      <c r="G25" s="59"/>
      <c r="H25" s="10"/>
    </row>
    <row r="26" ht="19.5" customHeight="1">
      <c r="A26" s="60"/>
      <c r="B26" s="55">
        <v>46040.0</v>
      </c>
      <c r="C26" s="62">
        <v>111700.0</v>
      </c>
      <c r="D26" s="62"/>
      <c r="E26" s="61" t="s">
        <v>62</v>
      </c>
      <c r="F26" s="58"/>
      <c r="G26" s="59"/>
      <c r="H26" s="10"/>
    </row>
    <row r="27" ht="19.5" customHeight="1">
      <c r="A27" s="60"/>
      <c r="B27" s="55">
        <v>46041.0</v>
      </c>
      <c r="C27" s="62">
        <v>35228.59</v>
      </c>
      <c r="D27" s="62"/>
      <c r="E27" s="61" t="s">
        <v>67</v>
      </c>
      <c r="F27" s="58"/>
      <c r="G27" s="59"/>
      <c r="H27" s="10"/>
    </row>
    <row r="28" ht="19.5" customHeight="1">
      <c r="A28" s="60"/>
      <c r="B28" s="55">
        <v>46045.0</v>
      </c>
      <c r="C28" s="62">
        <v>54498.29</v>
      </c>
      <c r="D28" s="62"/>
      <c r="E28" s="58" t="s">
        <v>39</v>
      </c>
      <c r="F28" s="58"/>
      <c r="G28" s="59"/>
      <c r="H28" s="10"/>
    </row>
    <row r="29" ht="19.5" customHeight="1">
      <c r="A29" s="60"/>
      <c r="B29" s="55">
        <v>46046.0</v>
      </c>
      <c r="C29" s="62">
        <v>129370.0</v>
      </c>
      <c r="D29" s="62"/>
      <c r="E29" s="58" t="s">
        <v>49</v>
      </c>
      <c r="F29" s="58"/>
      <c r="G29" s="59"/>
      <c r="H29" s="10"/>
    </row>
    <row r="30" ht="19.5" customHeight="1">
      <c r="A30" s="60"/>
      <c r="B30" s="55">
        <v>46046.0</v>
      </c>
      <c r="C30" s="62">
        <v>123029.0</v>
      </c>
      <c r="D30" s="62"/>
      <c r="E30" s="58" t="s">
        <v>73</v>
      </c>
      <c r="F30" s="58"/>
      <c r="G30" s="59"/>
      <c r="H30" s="10"/>
    </row>
    <row r="31" ht="19.5" customHeight="1">
      <c r="A31" s="60"/>
      <c r="B31" s="55">
        <v>46046.0</v>
      </c>
      <c r="C31" s="62">
        <v>271655.3</v>
      </c>
      <c r="D31" s="62"/>
      <c r="E31" s="58" t="s">
        <v>74</v>
      </c>
      <c r="F31" s="58"/>
      <c r="G31" s="59"/>
      <c r="H31" s="10"/>
    </row>
    <row r="32" ht="19.5" customHeight="1">
      <c r="A32" s="60"/>
      <c r="B32" s="55">
        <v>46046.0</v>
      </c>
      <c r="C32" s="62">
        <v>111372.9</v>
      </c>
      <c r="D32" s="62"/>
      <c r="E32" s="58" t="s">
        <v>78</v>
      </c>
      <c r="F32" s="58"/>
      <c r="G32" s="59"/>
      <c r="H32" s="10"/>
    </row>
    <row r="33" ht="19.5" customHeight="1">
      <c r="A33" s="67"/>
      <c r="B33" s="55">
        <v>46048.0</v>
      </c>
      <c r="C33" s="62">
        <v>37164.1</v>
      </c>
      <c r="D33" s="62"/>
      <c r="E33" s="58" t="s">
        <v>81</v>
      </c>
      <c r="F33" s="58"/>
      <c r="G33" s="59"/>
      <c r="H33" s="10"/>
    </row>
    <row r="34" ht="30.0" customHeight="1">
      <c r="A34" s="68" t="s">
        <v>43</v>
      </c>
      <c r="B34" s="69"/>
      <c r="C34" s="80">
        <f t="shared" ref="C34:D34" si="2">SUM(C21:C33)</f>
        <v>1490423.17</v>
      </c>
      <c r="D34" s="80">
        <f t="shared" si="2"/>
        <v>25</v>
      </c>
      <c r="E34" s="71"/>
      <c r="F34" s="72"/>
      <c r="G34" s="10"/>
      <c r="H34" s="10"/>
    </row>
    <row r="35" ht="4.5" customHeight="1">
      <c r="A35" s="73"/>
      <c r="B35" s="74"/>
      <c r="C35" s="74"/>
      <c r="D35" s="74"/>
      <c r="E35" s="74"/>
      <c r="F35" s="74"/>
      <c r="G35" s="69"/>
      <c r="H35" s="10"/>
    </row>
    <row r="36" ht="19.5" customHeight="1">
      <c r="A36" s="75" t="s">
        <v>53</v>
      </c>
      <c r="B36" s="76">
        <v>45987.0</v>
      </c>
      <c r="C36" s="81">
        <v>107786.66</v>
      </c>
      <c r="D36" s="77"/>
      <c r="E36" s="61" t="s">
        <v>105</v>
      </c>
      <c r="F36" s="61" t="s">
        <v>106</v>
      </c>
      <c r="G36" s="78" t="s">
        <v>107</v>
      </c>
      <c r="H36" s="10"/>
    </row>
    <row r="37" ht="19.5" customHeight="1">
      <c r="A37" s="60"/>
      <c r="B37" s="76">
        <v>46022.0</v>
      </c>
      <c r="C37" s="81">
        <v>37200.0</v>
      </c>
      <c r="D37" s="62"/>
      <c r="E37" s="61" t="s">
        <v>110</v>
      </c>
      <c r="F37" s="61" t="s">
        <v>96</v>
      </c>
      <c r="G37" s="78" t="s">
        <v>57</v>
      </c>
      <c r="H37" s="10"/>
    </row>
    <row r="38" ht="19.5" customHeight="1">
      <c r="A38" s="60"/>
      <c r="B38" s="76">
        <v>46034.0</v>
      </c>
      <c r="C38" s="81">
        <v>79739.27</v>
      </c>
      <c r="D38" s="62"/>
      <c r="E38" s="61" t="s">
        <v>65</v>
      </c>
      <c r="F38" s="61" t="s">
        <v>114</v>
      </c>
      <c r="G38" s="78" t="s">
        <v>57</v>
      </c>
      <c r="H38" s="10"/>
    </row>
    <row r="39" ht="19.5" customHeight="1">
      <c r="A39" s="60"/>
      <c r="B39" s="76">
        <v>46034.0</v>
      </c>
      <c r="C39" s="81">
        <v>87500.0</v>
      </c>
      <c r="D39" s="62"/>
      <c r="E39" s="61" t="s">
        <v>65</v>
      </c>
      <c r="F39" s="61" t="s">
        <v>119</v>
      </c>
      <c r="G39" s="78" t="s">
        <v>57</v>
      </c>
      <c r="H39" s="10"/>
    </row>
    <row r="40" ht="19.5" customHeight="1">
      <c r="A40" s="60"/>
      <c r="B40" s="76">
        <v>46036.0</v>
      </c>
      <c r="C40" s="81">
        <v>115016.5</v>
      </c>
      <c r="D40" s="62"/>
      <c r="E40" s="61" t="s">
        <v>113</v>
      </c>
      <c r="F40" s="61" t="s">
        <v>56</v>
      </c>
      <c r="G40" s="78" t="s">
        <v>57</v>
      </c>
      <c r="H40" s="10"/>
    </row>
    <row r="41" ht="19.5" customHeight="1">
      <c r="A41" s="60"/>
      <c r="B41" s="76">
        <v>46036.0</v>
      </c>
      <c r="C41" s="81">
        <v>98007.0</v>
      </c>
      <c r="D41" s="62"/>
      <c r="E41" s="61" t="s">
        <v>137</v>
      </c>
      <c r="F41" s="61" t="s">
        <v>59</v>
      </c>
      <c r="G41" s="78" t="s">
        <v>57</v>
      </c>
      <c r="H41" s="10"/>
    </row>
    <row r="42" ht="19.5" customHeight="1">
      <c r="A42" s="60"/>
      <c r="B42" s="76">
        <v>46037.0</v>
      </c>
      <c r="C42" s="81">
        <v>84000.0</v>
      </c>
      <c r="D42" s="62"/>
      <c r="E42" s="61" t="s">
        <v>145</v>
      </c>
      <c r="F42" s="61" t="s">
        <v>147</v>
      </c>
      <c r="G42" s="78" t="s">
        <v>57</v>
      </c>
      <c r="H42" s="10"/>
    </row>
    <row r="43" ht="19.5" customHeight="1">
      <c r="A43" s="60"/>
      <c r="B43" s="76">
        <v>46037.0</v>
      </c>
      <c r="C43" s="81">
        <v>100023.09</v>
      </c>
      <c r="D43" s="62"/>
      <c r="E43" s="61" t="s">
        <v>150</v>
      </c>
      <c r="F43" s="61" t="s">
        <v>59</v>
      </c>
      <c r="G43" s="78" t="s">
        <v>57</v>
      </c>
      <c r="H43" s="10"/>
    </row>
    <row r="44" ht="19.5" customHeight="1">
      <c r="A44" s="60"/>
      <c r="B44" s="76">
        <v>46037.0</v>
      </c>
      <c r="C44" s="81">
        <v>27250.0</v>
      </c>
      <c r="D44" s="62"/>
      <c r="E44" s="61" t="s">
        <v>153</v>
      </c>
      <c r="F44" s="61" t="s">
        <v>155</v>
      </c>
      <c r="G44" s="78" t="s">
        <v>57</v>
      </c>
      <c r="H44" s="10"/>
    </row>
    <row r="45" ht="19.5" customHeight="1">
      <c r="A45" s="60"/>
      <c r="B45" s="76">
        <v>46038.0</v>
      </c>
      <c r="C45" s="81">
        <v>117011.0</v>
      </c>
      <c r="D45" s="62"/>
      <c r="E45" s="61" t="s">
        <v>157</v>
      </c>
      <c r="F45" s="61" t="s">
        <v>59</v>
      </c>
      <c r="G45" s="78" t="s">
        <v>57</v>
      </c>
      <c r="H45" s="10"/>
    </row>
    <row r="46" ht="19.5" customHeight="1">
      <c r="A46" s="60"/>
      <c r="B46" s="76">
        <v>46043.0</v>
      </c>
      <c r="C46" s="81">
        <v>116033.0</v>
      </c>
      <c r="D46" s="62"/>
      <c r="E46" s="61" t="s">
        <v>160</v>
      </c>
      <c r="F46" s="61" t="s">
        <v>161</v>
      </c>
      <c r="G46" s="78" t="s">
        <v>57</v>
      </c>
      <c r="H46" s="10"/>
    </row>
    <row r="47" ht="19.5" customHeight="1">
      <c r="A47" s="60"/>
      <c r="B47" s="76">
        <v>46043.0</v>
      </c>
      <c r="C47" s="81">
        <v>87400.0</v>
      </c>
      <c r="D47" s="62"/>
      <c r="E47" s="61" t="s">
        <v>165</v>
      </c>
      <c r="F47" s="61" t="s">
        <v>167</v>
      </c>
      <c r="G47" s="78" t="s">
        <v>57</v>
      </c>
      <c r="H47" s="10"/>
    </row>
    <row r="48" ht="19.5" customHeight="1">
      <c r="A48" s="60"/>
      <c r="B48" s="76">
        <v>46044.0</v>
      </c>
      <c r="C48" s="81">
        <v>105004.0</v>
      </c>
      <c r="D48" s="62"/>
      <c r="E48" s="61" t="s">
        <v>170</v>
      </c>
      <c r="F48" s="61" t="s">
        <v>59</v>
      </c>
      <c r="G48" s="78" t="s">
        <v>57</v>
      </c>
      <c r="H48" s="10"/>
    </row>
    <row r="49" ht="19.5" customHeight="1">
      <c r="A49" s="60"/>
      <c r="B49" s="76">
        <v>46045.0</v>
      </c>
      <c r="C49" s="81">
        <v>62274.0</v>
      </c>
      <c r="D49" s="62"/>
      <c r="E49" s="61" t="s">
        <v>92</v>
      </c>
      <c r="F49" s="61" t="s">
        <v>96</v>
      </c>
      <c r="G49" s="78" t="s">
        <v>57</v>
      </c>
      <c r="H49" s="10"/>
    </row>
    <row r="50" ht="29.25" customHeight="1">
      <c r="A50" s="68" t="s">
        <v>43</v>
      </c>
      <c r="B50" s="69"/>
      <c r="C50" s="107">
        <f t="shared" ref="C50:D50" si="3">SUM(C36:C49)</f>
        <v>1224244.52</v>
      </c>
      <c r="D50" s="107">
        <f t="shared" si="3"/>
        <v>0</v>
      </c>
      <c r="E50" s="71"/>
      <c r="F50" s="72"/>
      <c r="G50" s="10"/>
      <c r="H50" s="10"/>
    </row>
    <row r="51" ht="4.5" customHeight="1">
      <c r="A51" s="73"/>
      <c r="B51" s="74"/>
      <c r="C51" s="74"/>
      <c r="D51" s="74"/>
      <c r="E51" s="74"/>
      <c r="F51" s="74"/>
      <c r="G51" s="69"/>
      <c r="H51" s="10"/>
    </row>
    <row r="52" ht="19.5" customHeight="1">
      <c r="A52" s="75" t="s">
        <v>108</v>
      </c>
      <c r="B52" s="76">
        <v>46022.0</v>
      </c>
      <c r="C52" s="81">
        <v>191254.0</v>
      </c>
      <c r="D52" s="77"/>
      <c r="E52" s="61" t="s">
        <v>191</v>
      </c>
      <c r="F52" s="61" t="s">
        <v>194</v>
      </c>
      <c r="G52" s="78" t="s">
        <v>107</v>
      </c>
      <c r="H52" s="10"/>
    </row>
    <row r="53" ht="19.5" customHeight="1">
      <c r="A53" s="60"/>
      <c r="B53" s="76">
        <v>46033.0</v>
      </c>
      <c r="C53" s="81"/>
      <c r="D53" s="62">
        <v>9.99</v>
      </c>
      <c r="E53" s="61" t="s">
        <v>196</v>
      </c>
      <c r="F53" s="61" t="s">
        <v>120</v>
      </c>
      <c r="G53" s="78" t="s">
        <v>57</v>
      </c>
      <c r="H53" s="10"/>
    </row>
    <row r="54" ht="19.5" customHeight="1">
      <c r="A54" s="60"/>
      <c r="B54" s="76">
        <v>46037.0</v>
      </c>
      <c r="C54" s="81"/>
      <c r="D54" s="62">
        <v>19.99</v>
      </c>
      <c r="E54" s="61" t="s">
        <v>199</v>
      </c>
      <c r="F54" s="61" t="s">
        <v>124</v>
      </c>
      <c r="G54" s="78" t="s">
        <v>57</v>
      </c>
      <c r="H54" s="10"/>
    </row>
    <row r="55" ht="19.5" customHeight="1">
      <c r="A55" s="60"/>
      <c r="B55" s="76">
        <v>46037.0</v>
      </c>
      <c r="C55" s="81"/>
      <c r="D55" s="62">
        <v>19.75</v>
      </c>
      <c r="E55" s="61" t="s">
        <v>127</v>
      </c>
      <c r="F55" s="61" t="s">
        <v>128</v>
      </c>
      <c r="G55" s="78" t="s">
        <v>57</v>
      </c>
      <c r="H55" s="10"/>
    </row>
    <row r="56" ht="19.5" customHeight="1">
      <c r="A56" s="60"/>
      <c r="B56" s="76">
        <v>46038.0</v>
      </c>
      <c r="C56" s="81"/>
      <c r="D56" s="62">
        <v>20.0</v>
      </c>
      <c r="E56" s="61" t="s">
        <v>203</v>
      </c>
      <c r="F56" s="61" t="s">
        <v>133</v>
      </c>
      <c r="G56" s="78" t="s">
        <v>57</v>
      </c>
      <c r="H56" s="10"/>
    </row>
    <row r="57" ht="19.5" customHeight="1">
      <c r="A57" s="60"/>
      <c r="B57" s="76">
        <v>46040.0</v>
      </c>
      <c r="C57" s="81"/>
      <c r="D57" s="62">
        <v>1.99</v>
      </c>
      <c r="E57" s="61" t="s">
        <v>207</v>
      </c>
      <c r="F57" s="61" t="s">
        <v>136</v>
      </c>
      <c r="G57" s="78" t="s">
        <v>57</v>
      </c>
      <c r="H57" s="10"/>
    </row>
    <row r="58" ht="30.0" customHeight="1">
      <c r="A58" s="68" t="s">
        <v>43</v>
      </c>
      <c r="B58" s="69"/>
      <c r="C58" s="80">
        <f t="shared" ref="C58:D58" si="4">SUM(C52:C57)</f>
        <v>191254</v>
      </c>
      <c r="D58" s="80">
        <f t="shared" si="4"/>
        <v>71.72</v>
      </c>
      <c r="E58" s="71"/>
      <c r="F58" s="72"/>
      <c r="G58" s="10"/>
      <c r="H58" s="10"/>
    </row>
    <row r="59" ht="4.5" customHeight="1">
      <c r="A59" s="89"/>
      <c r="B59" s="91"/>
      <c r="C59" s="91"/>
      <c r="D59" s="91"/>
      <c r="E59" s="91"/>
      <c r="F59" s="91"/>
      <c r="G59" s="92"/>
      <c r="H59" s="10"/>
    </row>
    <row r="60" ht="19.5" customHeight="1">
      <c r="A60" s="93" t="s">
        <v>16</v>
      </c>
      <c r="B60" s="76">
        <v>46030.0</v>
      </c>
      <c r="C60" s="81">
        <v>178526.67</v>
      </c>
      <c r="D60" s="81"/>
      <c r="E60" s="61" t="s">
        <v>215</v>
      </c>
      <c r="F60" s="61" t="s">
        <v>216</v>
      </c>
      <c r="G60" s="125" t="s">
        <v>57</v>
      </c>
      <c r="H60" s="10"/>
    </row>
    <row r="61" ht="19.5" customHeight="1">
      <c r="A61" s="94"/>
      <c r="B61" s="76">
        <v>46030.0</v>
      </c>
      <c r="C61" s="81">
        <v>239738.65</v>
      </c>
      <c r="D61" s="81"/>
      <c r="E61" s="61" t="s">
        <v>217</v>
      </c>
      <c r="F61" s="61" t="s">
        <v>218</v>
      </c>
      <c r="G61" s="125" t="s">
        <v>57</v>
      </c>
      <c r="H61" s="10"/>
    </row>
    <row r="62" ht="19.5" customHeight="1">
      <c r="A62" s="94"/>
      <c r="B62" s="76">
        <v>46043.0</v>
      </c>
      <c r="C62" s="81">
        <v>99777.26</v>
      </c>
      <c r="D62" s="81"/>
      <c r="E62" s="61" t="s">
        <v>220</v>
      </c>
      <c r="F62" s="61" t="s">
        <v>221</v>
      </c>
      <c r="G62" s="125" t="s">
        <v>57</v>
      </c>
      <c r="H62" s="10"/>
    </row>
    <row r="63" ht="30.0" customHeight="1">
      <c r="A63" s="127" t="s">
        <v>43</v>
      </c>
      <c r="B63" s="128"/>
      <c r="C63" s="81">
        <f>SUM(C60:C62)</f>
        <v>518042.58</v>
      </c>
      <c r="D63" s="129">
        <f>SUM(D60)</f>
        <v>0</v>
      </c>
      <c r="E63" s="109"/>
      <c r="F63" s="79"/>
      <c r="G63" s="10"/>
      <c r="H63" s="10"/>
    </row>
    <row r="64" ht="4.5" customHeight="1">
      <c r="A64" s="130"/>
      <c r="B64" s="131"/>
      <c r="C64" s="131"/>
      <c r="D64" s="132"/>
      <c r="E64" s="114"/>
      <c r="I64" s="114"/>
      <c r="M64" s="114"/>
      <c r="Q64" s="114"/>
      <c r="U64" s="114"/>
      <c r="Y64" s="114"/>
    </row>
    <row r="65" ht="30.0" customHeight="1">
      <c r="A65" s="118" t="s">
        <v>193</v>
      </c>
      <c r="B65" s="47"/>
      <c r="C65" s="119">
        <f>SUM(C34+C50+C58+C9)</f>
        <v>2905921.69</v>
      </c>
      <c r="D65" s="119">
        <f>SUM(D34+D50+D58+D63)</f>
        <v>96.72</v>
      </c>
      <c r="E65" s="109"/>
      <c r="F65" s="79"/>
      <c r="G65" s="10"/>
      <c r="H65" s="10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8">
    <mergeCell ref="A9:C10"/>
    <mergeCell ref="D9:E9"/>
    <mergeCell ref="F9:G9"/>
    <mergeCell ref="D10:E10"/>
    <mergeCell ref="F10:G10"/>
    <mergeCell ref="D11:E11"/>
    <mergeCell ref="F11:G11"/>
    <mergeCell ref="A36:A49"/>
    <mergeCell ref="A52:A57"/>
    <mergeCell ref="A58:B58"/>
    <mergeCell ref="A60:A62"/>
    <mergeCell ref="A63:B63"/>
    <mergeCell ref="A65:B65"/>
    <mergeCell ref="A59:G59"/>
    <mergeCell ref="A64:D64"/>
    <mergeCell ref="E64:H64"/>
    <mergeCell ref="I64:L64"/>
    <mergeCell ref="M64:P64"/>
    <mergeCell ref="Q64:T64"/>
    <mergeCell ref="U64:X64"/>
    <mergeCell ref="Y64:AA64"/>
    <mergeCell ref="D12:G18"/>
    <mergeCell ref="A19:G19"/>
    <mergeCell ref="A21:A33"/>
    <mergeCell ref="A34:B34"/>
    <mergeCell ref="A35:G35"/>
    <mergeCell ref="A50:B50"/>
    <mergeCell ref="A51:G51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29"/>
    <col customWidth="1" min="3" max="3" width="18.57"/>
    <col customWidth="1" min="4" max="4" width="15.57"/>
    <col customWidth="1" min="5" max="5" width="40.57"/>
    <col customWidth="1" min="6" max="6" width="67.14"/>
    <col customWidth="1" min="7" max="7" width="11.71"/>
    <col customWidth="1" min="8" max="27" width="10.71"/>
  </cols>
  <sheetData>
    <row r="1" ht="14.25" customHeight="1"/>
    <row r="2" ht="12.75" customHeight="1"/>
    <row r="3" ht="13.5" customHeight="1"/>
    <row r="4" ht="11.25" customHeight="1"/>
    <row r="5" ht="13.5" customHeight="1"/>
    <row r="6" ht="13.5" customHeight="1"/>
    <row r="7" ht="13.5" customHeight="1"/>
    <row r="8" ht="13.5" customHeight="1"/>
    <row r="9" ht="14.25" customHeight="1">
      <c r="A9" s="1" t="s">
        <v>0</v>
      </c>
      <c r="B9" s="2"/>
      <c r="C9" s="3"/>
      <c r="D9" s="4" t="s">
        <v>1</v>
      </c>
      <c r="E9" s="5"/>
      <c r="F9" s="6" t="s">
        <v>2</v>
      </c>
      <c r="G9" s="7"/>
    </row>
    <row r="10">
      <c r="A10" s="8"/>
      <c r="B10" s="9"/>
      <c r="C10" s="11"/>
      <c r="D10" s="12" t="s">
        <v>4</v>
      </c>
      <c r="E10" s="13"/>
      <c r="F10" s="14">
        <v>2026.0</v>
      </c>
      <c r="G10" s="15"/>
    </row>
    <row r="11">
      <c r="A11" s="16" t="s">
        <v>5</v>
      </c>
      <c r="B11" s="17" t="s">
        <v>6</v>
      </c>
      <c r="C11" s="18" t="s">
        <v>7</v>
      </c>
      <c r="D11" s="20" t="s">
        <v>7</v>
      </c>
      <c r="E11" s="21"/>
      <c r="F11" s="23">
        <v>4897426.88</v>
      </c>
      <c r="G11" s="25"/>
    </row>
    <row r="12" ht="19.5" customHeight="1">
      <c r="A12" s="26" t="s">
        <v>9</v>
      </c>
      <c r="B12" s="31">
        <f>SUM(C33)</f>
        <v>1109169.21</v>
      </c>
      <c r="C12" s="32">
        <f t="shared" ref="C12:C18" si="1">SUM(B12)</f>
        <v>1109169.21</v>
      </c>
      <c r="D12" s="34" t="s">
        <v>10</v>
      </c>
      <c r="E12" s="2"/>
      <c r="F12" s="2"/>
      <c r="G12" s="3"/>
    </row>
    <row r="13" ht="19.5" customHeight="1">
      <c r="A13" s="26" t="s">
        <v>11</v>
      </c>
      <c r="B13" s="31">
        <f>SUM(D33)</f>
        <v>25</v>
      </c>
      <c r="C13" s="32">
        <f t="shared" si="1"/>
        <v>25</v>
      </c>
      <c r="D13" s="36"/>
      <c r="G13" s="37"/>
    </row>
    <row r="14" ht="19.5" customHeight="1">
      <c r="A14" s="26" t="s">
        <v>12</v>
      </c>
      <c r="B14" s="31">
        <f>SUM(C60)</f>
        <v>2943938.49</v>
      </c>
      <c r="C14" s="32">
        <f t="shared" si="1"/>
        <v>2943938.49</v>
      </c>
      <c r="D14" s="36"/>
      <c r="G14" s="37"/>
    </row>
    <row r="15" ht="19.5" customHeight="1">
      <c r="A15" s="26" t="s">
        <v>13</v>
      </c>
      <c r="B15" s="31"/>
      <c r="C15" s="42">
        <f t="shared" si="1"/>
        <v>0</v>
      </c>
      <c r="D15" s="36"/>
      <c r="G15" s="37"/>
    </row>
    <row r="16" ht="19.5" customHeight="1">
      <c r="A16" s="26" t="s">
        <v>14</v>
      </c>
      <c r="B16" s="31">
        <f>SUM(C72)</f>
        <v>187289.57</v>
      </c>
      <c r="C16" s="32">
        <f t="shared" si="1"/>
        <v>187289.57</v>
      </c>
      <c r="D16" s="36"/>
      <c r="G16" s="37"/>
    </row>
    <row r="17" ht="19.5" customHeight="1">
      <c r="A17" s="26" t="s">
        <v>15</v>
      </c>
      <c r="B17" s="31">
        <f>SUM(D72)</f>
        <v>109.79</v>
      </c>
      <c r="C17" s="32">
        <f t="shared" si="1"/>
        <v>109.79</v>
      </c>
      <c r="D17" s="36"/>
      <c r="G17" s="37"/>
    </row>
    <row r="18" ht="19.5" customHeight="1">
      <c r="A18" s="26" t="s">
        <v>16</v>
      </c>
      <c r="B18" s="31">
        <f>SUM(C81)</f>
        <v>518742.25</v>
      </c>
      <c r="C18" s="32">
        <f t="shared" si="1"/>
        <v>518742.25</v>
      </c>
      <c r="D18" s="44"/>
      <c r="E18" s="46"/>
      <c r="F18" s="46"/>
      <c r="G18" s="47"/>
    </row>
    <row r="19" ht="4.5" customHeight="1">
      <c r="A19" s="48"/>
      <c r="B19" s="49"/>
      <c r="C19" s="49"/>
      <c r="D19" s="49"/>
      <c r="E19" s="49"/>
      <c r="F19" s="49"/>
      <c r="G19" s="51"/>
    </row>
    <row r="20" ht="24.75" customHeight="1">
      <c r="A20" s="52" t="s">
        <v>17</v>
      </c>
      <c r="B20" s="52" t="s">
        <v>18</v>
      </c>
      <c r="C20" s="52" t="s">
        <v>19</v>
      </c>
      <c r="D20" s="52" t="s">
        <v>20</v>
      </c>
      <c r="E20" s="52" t="s">
        <v>21</v>
      </c>
      <c r="F20" s="52" t="s">
        <v>22</v>
      </c>
      <c r="G20" s="53" t="s">
        <v>24</v>
      </c>
    </row>
    <row r="21" ht="19.5" customHeight="1">
      <c r="A21" s="54" t="s">
        <v>25</v>
      </c>
      <c r="B21" s="55">
        <v>46010.0</v>
      </c>
      <c r="C21" s="56">
        <v>199999.83</v>
      </c>
      <c r="D21" s="57"/>
      <c r="E21" s="58" t="s">
        <v>26</v>
      </c>
      <c r="F21" s="58"/>
      <c r="G21" s="59"/>
    </row>
    <row r="22" ht="19.5" customHeight="1">
      <c r="A22" s="60"/>
      <c r="B22" s="55">
        <v>46017.0</v>
      </c>
      <c r="C22" s="56">
        <v>163566.66</v>
      </c>
      <c r="D22" s="57"/>
      <c r="E22" s="61" t="s">
        <v>27</v>
      </c>
      <c r="F22" s="58"/>
      <c r="G22" s="59"/>
    </row>
    <row r="23" ht="19.5" customHeight="1">
      <c r="A23" s="60"/>
      <c r="B23" s="55">
        <v>46052.0</v>
      </c>
      <c r="C23" s="56">
        <v>234634.14</v>
      </c>
      <c r="D23" s="57"/>
      <c r="E23" s="61" t="s">
        <v>28</v>
      </c>
      <c r="F23" s="58"/>
      <c r="G23" s="59"/>
    </row>
    <row r="24" ht="19.5" customHeight="1">
      <c r="A24" s="60"/>
      <c r="B24" s="55">
        <v>46053.0</v>
      </c>
      <c r="C24" s="56">
        <v>68600.0</v>
      </c>
      <c r="D24" s="57"/>
      <c r="E24" s="61" t="s">
        <v>30</v>
      </c>
      <c r="F24" s="58"/>
      <c r="G24" s="59"/>
    </row>
    <row r="25" ht="19.5" customHeight="1">
      <c r="A25" s="60"/>
      <c r="B25" s="55">
        <v>46053.0</v>
      </c>
      <c r="C25" s="56">
        <v>40000.0</v>
      </c>
      <c r="D25" s="57"/>
      <c r="E25" s="61" t="s">
        <v>31</v>
      </c>
      <c r="F25" s="58"/>
      <c r="G25" s="59"/>
    </row>
    <row r="26" ht="19.5" customHeight="1">
      <c r="A26" s="60"/>
      <c r="B26" s="55">
        <v>46055.0</v>
      </c>
      <c r="C26" s="56">
        <v>51992.78</v>
      </c>
      <c r="D26" s="57"/>
      <c r="E26" s="61" t="s">
        <v>32</v>
      </c>
      <c r="F26" s="58"/>
      <c r="G26" s="59"/>
    </row>
    <row r="27" ht="19.5" customHeight="1">
      <c r="A27" s="60"/>
      <c r="B27" s="55">
        <v>46057.0</v>
      </c>
      <c r="C27" s="56">
        <v>106719.0</v>
      </c>
      <c r="D27" s="57"/>
      <c r="E27" s="61" t="s">
        <v>34</v>
      </c>
      <c r="F27" s="58"/>
      <c r="G27" s="59"/>
    </row>
    <row r="28" ht="19.5" customHeight="1">
      <c r="A28" s="60"/>
      <c r="B28" s="55">
        <v>46059.0</v>
      </c>
      <c r="C28" s="56">
        <v>25900.0</v>
      </c>
      <c r="D28" s="57"/>
      <c r="E28" s="58" t="s">
        <v>35</v>
      </c>
      <c r="F28" s="58"/>
      <c r="G28" s="59"/>
    </row>
    <row r="29" ht="19.5" customHeight="1">
      <c r="A29" s="60"/>
      <c r="B29" s="55">
        <v>46060.0</v>
      </c>
      <c r="C29" s="65">
        <v>37999.0</v>
      </c>
      <c r="D29" s="57"/>
      <c r="E29" s="58" t="s">
        <v>36</v>
      </c>
      <c r="F29" s="58"/>
      <c r="G29" s="59"/>
    </row>
    <row r="30" ht="19.5" customHeight="1">
      <c r="A30" s="60"/>
      <c r="B30" s="55">
        <v>46062.0</v>
      </c>
      <c r="C30" s="66">
        <v>123008.93</v>
      </c>
      <c r="D30" s="57"/>
      <c r="E30" s="58" t="s">
        <v>38</v>
      </c>
      <c r="F30" s="58"/>
      <c r="G30" s="59"/>
    </row>
    <row r="31" ht="19.5" customHeight="1">
      <c r="A31" s="60"/>
      <c r="B31" s="55">
        <v>46075.0</v>
      </c>
      <c r="C31" s="56">
        <v>56748.87</v>
      </c>
      <c r="D31" s="57"/>
      <c r="E31" s="58" t="s">
        <v>39</v>
      </c>
      <c r="F31" s="58"/>
      <c r="G31" s="59"/>
    </row>
    <row r="32" ht="19.5" customHeight="1">
      <c r="A32" s="67"/>
      <c r="B32" s="55">
        <v>46075.0</v>
      </c>
      <c r="C32" s="56"/>
      <c r="D32" s="56">
        <v>25.0</v>
      </c>
      <c r="E32" s="58" t="s">
        <v>42</v>
      </c>
      <c r="F32" s="58"/>
      <c r="G32" s="59"/>
    </row>
    <row r="33" ht="30.0" customHeight="1">
      <c r="A33" s="68" t="s">
        <v>43</v>
      </c>
      <c r="B33" s="69"/>
      <c r="C33" s="70">
        <f t="shared" ref="C33:D33" si="2">SUM(C21:C32)</f>
        <v>1109169.21</v>
      </c>
      <c r="D33" s="70">
        <f t="shared" si="2"/>
        <v>25</v>
      </c>
      <c r="E33" s="71"/>
      <c r="F33" s="72"/>
    </row>
    <row r="34" ht="4.5" customHeight="1">
      <c r="A34" s="73"/>
      <c r="B34" s="74"/>
      <c r="C34" s="74"/>
      <c r="D34" s="74"/>
      <c r="E34" s="74"/>
      <c r="F34" s="74"/>
      <c r="G34" s="69"/>
    </row>
    <row r="35" ht="19.5" customHeight="1">
      <c r="A35" s="75" t="s">
        <v>53</v>
      </c>
      <c r="B35" s="76">
        <v>46051.0</v>
      </c>
      <c r="C35" s="66">
        <v>100008.0</v>
      </c>
      <c r="D35" s="77"/>
      <c r="E35" s="61" t="s">
        <v>31</v>
      </c>
      <c r="F35" s="61" t="s">
        <v>56</v>
      </c>
      <c r="G35" s="78" t="s">
        <v>57</v>
      </c>
    </row>
    <row r="36" ht="19.5" customHeight="1">
      <c r="A36" s="60"/>
      <c r="B36" s="76">
        <v>46052.0</v>
      </c>
      <c r="C36" s="66">
        <v>86925.0</v>
      </c>
      <c r="D36" s="62"/>
      <c r="E36" s="61" t="s">
        <v>58</v>
      </c>
      <c r="F36" s="61" t="s">
        <v>59</v>
      </c>
      <c r="G36" s="78" t="s">
        <v>57</v>
      </c>
    </row>
    <row r="37" ht="19.5" customHeight="1">
      <c r="A37" s="60"/>
      <c r="B37" s="76">
        <v>46053.0</v>
      </c>
      <c r="C37" s="66">
        <v>103000.0</v>
      </c>
      <c r="D37" s="62"/>
      <c r="E37" s="61" t="s">
        <v>61</v>
      </c>
      <c r="F37" s="61" t="s">
        <v>63</v>
      </c>
      <c r="G37" s="78" t="s">
        <v>57</v>
      </c>
    </row>
    <row r="38" ht="19.5" customHeight="1">
      <c r="A38" s="60"/>
      <c r="B38" s="76">
        <v>46053.0</v>
      </c>
      <c r="C38" s="66">
        <v>87500.0</v>
      </c>
      <c r="D38" s="62"/>
      <c r="E38" s="61" t="s">
        <v>65</v>
      </c>
      <c r="F38" s="61" t="s">
        <v>66</v>
      </c>
      <c r="G38" s="78" t="s">
        <v>57</v>
      </c>
    </row>
    <row r="39" ht="19.5" customHeight="1">
      <c r="A39" s="60"/>
      <c r="B39" s="76">
        <v>46053.0</v>
      </c>
      <c r="C39" s="66">
        <v>1208.75</v>
      </c>
      <c r="D39" s="62"/>
      <c r="E39" s="61" t="s">
        <v>65</v>
      </c>
      <c r="F39" s="61" t="s">
        <v>68</v>
      </c>
      <c r="G39" s="78" t="s">
        <v>57</v>
      </c>
    </row>
    <row r="40" ht="19.5" customHeight="1">
      <c r="A40" s="60"/>
      <c r="B40" s="76">
        <v>46054.0</v>
      </c>
      <c r="C40" s="66">
        <v>154000.0</v>
      </c>
      <c r="D40" s="62"/>
      <c r="E40" s="61" t="s">
        <v>61</v>
      </c>
      <c r="F40" s="61" t="s">
        <v>69</v>
      </c>
      <c r="G40" s="78" t="s">
        <v>57</v>
      </c>
    </row>
    <row r="41" ht="19.5" customHeight="1">
      <c r="A41" s="60"/>
      <c r="B41" s="76">
        <v>46054.0</v>
      </c>
      <c r="C41" s="66">
        <v>7300.0</v>
      </c>
      <c r="D41" s="62"/>
      <c r="E41" s="61" t="s">
        <v>65</v>
      </c>
      <c r="F41" s="61" t="s">
        <v>70</v>
      </c>
      <c r="G41" s="78" t="s">
        <v>57</v>
      </c>
    </row>
    <row r="42" ht="19.5" customHeight="1">
      <c r="A42" s="60"/>
      <c r="B42" s="76">
        <v>46054.0</v>
      </c>
      <c r="C42" s="66">
        <v>78599.93</v>
      </c>
      <c r="D42" s="62"/>
      <c r="E42" s="61" t="s">
        <v>65</v>
      </c>
      <c r="F42" s="61" t="s">
        <v>71</v>
      </c>
      <c r="G42" s="78" t="s">
        <v>57</v>
      </c>
    </row>
    <row r="43" ht="19.5" customHeight="1">
      <c r="A43" s="60"/>
      <c r="B43" s="76">
        <v>46056.0</v>
      </c>
      <c r="C43" s="66">
        <v>152000.0</v>
      </c>
      <c r="D43" s="62"/>
      <c r="E43" s="61" t="s">
        <v>61</v>
      </c>
      <c r="F43" s="61" t="s">
        <v>56</v>
      </c>
      <c r="G43" s="78" t="s">
        <v>57</v>
      </c>
    </row>
    <row r="44" ht="19.5" customHeight="1">
      <c r="A44" s="60"/>
      <c r="B44" s="76">
        <v>46056.0</v>
      </c>
      <c r="C44" s="66">
        <v>138500.0</v>
      </c>
      <c r="D44" s="62"/>
      <c r="E44" s="61" t="s">
        <v>61</v>
      </c>
      <c r="F44" s="61" t="s">
        <v>59</v>
      </c>
      <c r="G44" s="78" t="s">
        <v>57</v>
      </c>
    </row>
    <row r="45" ht="19.5" customHeight="1">
      <c r="A45" s="60"/>
      <c r="B45" s="76">
        <v>46058.0</v>
      </c>
      <c r="C45" s="66">
        <v>53000.0</v>
      </c>
      <c r="D45" s="62"/>
      <c r="E45" s="61" t="s">
        <v>75</v>
      </c>
      <c r="F45" s="61" t="s">
        <v>76</v>
      </c>
      <c r="G45" s="78" t="s">
        <v>57</v>
      </c>
    </row>
    <row r="46" ht="19.5" customHeight="1">
      <c r="A46" s="60"/>
      <c r="B46" s="76">
        <v>46058.0</v>
      </c>
      <c r="C46" s="66">
        <v>225000.0</v>
      </c>
      <c r="D46" s="62"/>
      <c r="E46" s="61" t="s">
        <v>75</v>
      </c>
      <c r="F46" s="79" t="s">
        <v>77</v>
      </c>
      <c r="G46" s="78" t="s">
        <v>57</v>
      </c>
    </row>
    <row r="47" ht="19.5" customHeight="1">
      <c r="A47" s="60"/>
      <c r="B47" s="76">
        <v>46058.0</v>
      </c>
      <c r="C47" s="66">
        <v>127004.09</v>
      </c>
      <c r="D47" s="62"/>
      <c r="E47" s="61" t="s">
        <v>79</v>
      </c>
      <c r="F47" s="61" t="s">
        <v>63</v>
      </c>
      <c r="G47" s="78" t="s">
        <v>57</v>
      </c>
    </row>
    <row r="48" ht="19.5" customHeight="1">
      <c r="A48" s="60"/>
      <c r="B48" s="76">
        <v>46059.0</v>
      </c>
      <c r="C48" s="66">
        <v>134019.68</v>
      </c>
      <c r="D48" s="62"/>
      <c r="E48" s="61" t="s">
        <v>80</v>
      </c>
      <c r="F48" s="61" t="s">
        <v>56</v>
      </c>
      <c r="G48" s="78" t="s">
        <v>57</v>
      </c>
    </row>
    <row r="49" ht="19.5" customHeight="1">
      <c r="A49" s="60"/>
      <c r="B49" s="76">
        <v>46060.0</v>
      </c>
      <c r="C49" s="66">
        <v>97000.0</v>
      </c>
      <c r="D49" s="62"/>
      <c r="E49" s="61" t="s">
        <v>82</v>
      </c>
      <c r="F49" s="61" t="s">
        <v>59</v>
      </c>
      <c r="G49" s="78" t="s">
        <v>57</v>
      </c>
    </row>
    <row r="50" ht="19.5" customHeight="1">
      <c r="A50" s="60"/>
      <c r="B50" s="76">
        <v>46063.0</v>
      </c>
      <c r="C50" s="66">
        <v>7300.0</v>
      </c>
      <c r="D50" s="62"/>
      <c r="E50" s="61" t="s">
        <v>83</v>
      </c>
      <c r="F50" s="61" t="s">
        <v>68</v>
      </c>
      <c r="G50" s="78" t="s">
        <v>57</v>
      </c>
    </row>
    <row r="51" ht="19.5" customHeight="1">
      <c r="A51" s="60"/>
      <c r="B51" s="76">
        <v>46063.0</v>
      </c>
      <c r="C51" s="66">
        <v>79284.79</v>
      </c>
      <c r="D51" s="62"/>
      <c r="E51" s="61" t="s">
        <v>83</v>
      </c>
      <c r="F51" s="61" t="s">
        <v>84</v>
      </c>
      <c r="G51" s="78" t="s">
        <v>57</v>
      </c>
    </row>
    <row r="52" ht="19.5" customHeight="1">
      <c r="A52" s="60"/>
      <c r="B52" s="76">
        <v>46065.0</v>
      </c>
      <c r="C52" s="66">
        <v>202419.0</v>
      </c>
      <c r="D52" s="62"/>
      <c r="E52" s="61" t="s">
        <v>85</v>
      </c>
      <c r="F52" s="61" t="s">
        <v>86</v>
      </c>
      <c r="G52" s="78" t="s">
        <v>57</v>
      </c>
    </row>
    <row r="53" ht="19.5" customHeight="1">
      <c r="A53" s="60"/>
      <c r="B53" s="76">
        <v>46068.0</v>
      </c>
      <c r="C53" s="66">
        <v>147008.0</v>
      </c>
      <c r="D53" s="62"/>
      <c r="E53" s="61" t="s">
        <v>85</v>
      </c>
      <c r="F53" s="61" t="s">
        <v>87</v>
      </c>
      <c r="G53" s="78" t="s">
        <v>57</v>
      </c>
    </row>
    <row r="54" ht="19.5" customHeight="1">
      <c r="A54" s="60"/>
      <c r="B54" s="76">
        <v>46070.0</v>
      </c>
      <c r="C54" s="66">
        <v>125005.06</v>
      </c>
      <c r="D54" s="62"/>
      <c r="E54" s="61" t="s">
        <v>88</v>
      </c>
      <c r="F54" s="61" t="s">
        <v>90</v>
      </c>
      <c r="G54" s="78" t="s">
        <v>57</v>
      </c>
    </row>
    <row r="55" ht="19.5" customHeight="1">
      <c r="A55" s="60"/>
      <c r="B55" s="76">
        <v>46071.0</v>
      </c>
      <c r="C55" s="66">
        <v>137012.0</v>
      </c>
      <c r="D55" s="62"/>
      <c r="E55" s="61" t="s">
        <v>92</v>
      </c>
      <c r="F55" s="61" t="s">
        <v>93</v>
      </c>
      <c r="G55" s="78" t="s">
        <v>57</v>
      </c>
    </row>
    <row r="56" ht="19.5" customHeight="1">
      <c r="A56" s="60"/>
      <c r="B56" s="76">
        <v>46075.0</v>
      </c>
      <c r="C56" s="66">
        <v>125001.1</v>
      </c>
      <c r="D56" s="62"/>
      <c r="E56" s="61" t="s">
        <v>94</v>
      </c>
      <c r="F56" s="61" t="s">
        <v>59</v>
      </c>
      <c r="G56" s="78" t="s">
        <v>57</v>
      </c>
    </row>
    <row r="57" ht="19.5" customHeight="1">
      <c r="A57" s="60"/>
      <c r="B57" s="76">
        <v>46075.0</v>
      </c>
      <c r="C57" s="66">
        <v>73539.0</v>
      </c>
      <c r="D57" s="62"/>
      <c r="E57" s="61" t="s">
        <v>89</v>
      </c>
      <c r="F57" s="61" t="s">
        <v>96</v>
      </c>
      <c r="G57" s="78" t="s">
        <v>57</v>
      </c>
    </row>
    <row r="58" ht="19.5" customHeight="1">
      <c r="A58" s="60"/>
      <c r="B58" s="76">
        <v>46076.0</v>
      </c>
      <c r="C58" s="66">
        <v>400000.0</v>
      </c>
      <c r="D58" s="62"/>
      <c r="E58" s="61" t="s">
        <v>97</v>
      </c>
      <c r="F58" s="61" t="s">
        <v>99</v>
      </c>
      <c r="G58" s="78" t="s">
        <v>57</v>
      </c>
    </row>
    <row r="59" ht="19.5" customHeight="1">
      <c r="A59" s="60"/>
      <c r="B59" s="76">
        <v>46077.0</v>
      </c>
      <c r="C59" s="66">
        <v>102304.09</v>
      </c>
      <c r="D59" s="62"/>
      <c r="E59" s="61" t="s">
        <v>79</v>
      </c>
      <c r="F59" s="61" t="s">
        <v>101</v>
      </c>
      <c r="G59" s="78" t="s">
        <v>57</v>
      </c>
    </row>
    <row r="60" ht="29.25" customHeight="1">
      <c r="A60" s="68" t="s">
        <v>43</v>
      </c>
      <c r="B60" s="69"/>
      <c r="C60" s="70">
        <f t="shared" ref="C60:D60" si="3">SUM(C35:C59)</f>
        <v>2943938.49</v>
      </c>
      <c r="D60" s="80">
        <f t="shared" si="3"/>
        <v>0</v>
      </c>
      <c r="E60" s="71"/>
      <c r="F60" s="72"/>
    </row>
    <row r="61" ht="4.5" customHeight="1">
      <c r="A61" s="73"/>
      <c r="B61" s="74"/>
      <c r="C61" s="74"/>
      <c r="D61" s="74"/>
      <c r="E61" s="74"/>
      <c r="F61" s="74"/>
      <c r="G61" s="69"/>
    </row>
    <row r="62" ht="19.5" customHeight="1">
      <c r="A62" s="75" t="s">
        <v>108</v>
      </c>
      <c r="B62" s="76">
        <v>46052.0</v>
      </c>
      <c r="C62" s="82">
        <v>130082.96</v>
      </c>
      <c r="D62" s="83"/>
      <c r="E62" s="61" t="s">
        <v>111</v>
      </c>
      <c r="F62" s="61" t="s">
        <v>112</v>
      </c>
      <c r="G62" s="78" t="s">
        <v>57</v>
      </c>
    </row>
    <row r="63" ht="19.5" customHeight="1">
      <c r="A63" s="60"/>
      <c r="B63" s="76">
        <v>46057.0</v>
      </c>
      <c r="C63" s="82">
        <v>9500.0</v>
      </c>
      <c r="D63" s="56"/>
      <c r="E63" s="61" t="s">
        <v>115</v>
      </c>
      <c r="F63" s="61"/>
      <c r="G63" s="78"/>
    </row>
    <row r="64" ht="19.5" customHeight="1">
      <c r="A64" s="60"/>
      <c r="B64" s="76">
        <v>46063.0</v>
      </c>
      <c r="C64" s="82"/>
      <c r="D64" s="56">
        <v>38.07</v>
      </c>
      <c r="E64" s="61" t="s">
        <v>116</v>
      </c>
      <c r="F64" s="61" t="s">
        <v>117</v>
      </c>
      <c r="G64" s="78" t="s">
        <v>57</v>
      </c>
    </row>
    <row r="65" ht="19.5" customHeight="1">
      <c r="A65" s="60"/>
      <c r="B65" s="76">
        <v>46064.0</v>
      </c>
      <c r="C65" s="82"/>
      <c r="D65" s="56">
        <v>9.99</v>
      </c>
      <c r="E65" s="61" t="s">
        <v>118</v>
      </c>
      <c r="F65" s="61" t="s">
        <v>120</v>
      </c>
      <c r="G65" s="78" t="s">
        <v>57</v>
      </c>
    </row>
    <row r="66" ht="19.5" customHeight="1">
      <c r="A66" s="60"/>
      <c r="B66" s="76">
        <v>46068.0</v>
      </c>
      <c r="C66" s="82"/>
      <c r="D66" s="56">
        <v>19.99</v>
      </c>
      <c r="E66" s="61" t="s">
        <v>123</v>
      </c>
      <c r="F66" s="61" t="s">
        <v>124</v>
      </c>
      <c r="G66" s="78" t="s">
        <v>57</v>
      </c>
    </row>
    <row r="67" ht="19.5" customHeight="1">
      <c r="A67" s="60"/>
      <c r="B67" s="76">
        <v>46068.0</v>
      </c>
      <c r="C67" s="82"/>
      <c r="D67" s="56">
        <v>19.75</v>
      </c>
      <c r="E67" s="61" t="s">
        <v>127</v>
      </c>
      <c r="F67" s="61" t="s">
        <v>128</v>
      </c>
      <c r="G67" s="78" t="s">
        <v>57</v>
      </c>
    </row>
    <row r="68" ht="19.5" customHeight="1">
      <c r="A68" s="60"/>
      <c r="B68" s="76">
        <v>46069.0</v>
      </c>
      <c r="C68" s="82"/>
      <c r="D68" s="56">
        <v>20.0</v>
      </c>
      <c r="E68" s="61" t="s">
        <v>132</v>
      </c>
      <c r="F68" s="61" t="s">
        <v>133</v>
      </c>
      <c r="G68" s="78" t="s">
        <v>57</v>
      </c>
    </row>
    <row r="69" ht="19.5" customHeight="1">
      <c r="A69" s="60"/>
      <c r="B69" s="76">
        <v>46071.0</v>
      </c>
      <c r="C69" s="82"/>
      <c r="D69" s="56">
        <v>1.99</v>
      </c>
      <c r="E69" s="61" t="s">
        <v>134</v>
      </c>
      <c r="F69" s="61" t="s">
        <v>136</v>
      </c>
      <c r="G69" s="78" t="s">
        <v>57</v>
      </c>
    </row>
    <row r="70" ht="19.5" customHeight="1">
      <c r="A70" s="60"/>
      <c r="B70" s="76">
        <v>46077.0</v>
      </c>
      <c r="C70" s="56">
        <v>32001.07</v>
      </c>
      <c r="D70" s="56"/>
      <c r="E70" s="61" t="s">
        <v>138</v>
      </c>
      <c r="F70" s="61" t="s">
        <v>140</v>
      </c>
      <c r="G70" s="78" t="s">
        <v>57</v>
      </c>
    </row>
    <row r="71" ht="19.5" customHeight="1">
      <c r="A71" s="60"/>
      <c r="B71" s="76">
        <v>46077.0</v>
      </c>
      <c r="C71" s="56">
        <v>15705.54</v>
      </c>
      <c r="D71" s="56"/>
      <c r="E71" s="61" t="s">
        <v>142</v>
      </c>
      <c r="F71" s="61" t="s">
        <v>143</v>
      </c>
      <c r="G71" s="78" t="s">
        <v>57</v>
      </c>
    </row>
    <row r="72" ht="30.0" customHeight="1">
      <c r="A72" s="68" t="s">
        <v>43</v>
      </c>
      <c r="B72" s="69"/>
      <c r="C72" s="70">
        <f t="shared" ref="C72:D72" si="4">SUM(C62:C71)</f>
        <v>187289.57</v>
      </c>
      <c r="D72" s="70">
        <f t="shared" si="4"/>
        <v>109.79</v>
      </c>
      <c r="E72" s="71"/>
      <c r="F72" s="72"/>
    </row>
    <row r="73" ht="4.5" customHeight="1">
      <c r="A73" s="89" t="s">
        <v>152</v>
      </c>
      <c r="B73" s="91"/>
      <c r="C73" s="91"/>
      <c r="D73" s="91"/>
      <c r="E73" s="91"/>
      <c r="F73" s="91"/>
      <c r="G73" s="92"/>
    </row>
    <row r="74" ht="19.5" customHeight="1">
      <c r="A74" s="93" t="s">
        <v>16</v>
      </c>
      <c r="B74" s="76">
        <v>46053.0</v>
      </c>
      <c r="C74" s="66">
        <v>90017.5</v>
      </c>
      <c r="D74" s="81"/>
      <c r="E74" s="61" t="s">
        <v>162</v>
      </c>
      <c r="F74" s="61" t="s">
        <v>163</v>
      </c>
      <c r="G74" s="78" t="s">
        <v>57</v>
      </c>
    </row>
    <row r="75" ht="19.5" customHeight="1">
      <c r="A75" s="94"/>
      <c r="B75" s="76">
        <v>46053.0</v>
      </c>
      <c r="C75" s="66">
        <v>103994.75</v>
      </c>
      <c r="D75" s="81"/>
      <c r="E75" s="61" t="s">
        <v>164</v>
      </c>
      <c r="F75" s="61" t="s">
        <v>166</v>
      </c>
      <c r="G75" s="78" t="s">
        <v>57</v>
      </c>
    </row>
    <row r="76" ht="19.5" customHeight="1">
      <c r="A76" s="94"/>
      <c r="B76" s="76">
        <v>46057.0</v>
      </c>
      <c r="C76" s="66">
        <v>42827.5</v>
      </c>
      <c r="D76" s="81"/>
      <c r="E76" s="61" t="s">
        <v>164</v>
      </c>
      <c r="F76" s="61" t="s">
        <v>169</v>
      </c>
      <c r="G76" s="78" t="s">
        <v>57</v>
      </c>
    </row>
    <row r="77" ht="19.5" customHeight="1">
      <c r="A77" s="94"/>
      <c r="B77" s="76">
        <v>46078.0</v>
      </c>
      <c r="C77" s="66">
        <v>35392.5</v>
      </c>
      <c r="D77" s="81"/>
      <c r="E77" s="61" t="s">
        <v>164</v>
      </c>
      <c r="F77" s="61" t="s">
        <v>171</v>
      </c>
      <c r="G77" s="78" t="s">
        <v>57</v>
      </c>
    </row>
    <row r="78" ht="19.5" customHeight="1">
      <c r="A78" s="94"/>
      <c r="B78" s="76">
        <v>46078.0</v>
      </c>
      <c r="C78" s="66">
        <v>70785.0</v>
      </c>
      <c r="D78" s="81"/>
      <c r="E78" s="61" t="s">
        <v>162</v>
      </c>
      <c r="F78" s="61" t="s">
        <v>174</v>
      </c>
      <c r="G78" s="78" t="s">
        <v>57</v>
      </c>
    </row>
    <row r="79" ht="19.5" customHeight="1">
      <c r="A79" s="94"/>
      <c r="B79" s="76">
        <v>46078.0</v>
      </c>
      <c r="C79" s="66">
        <v>165000.0</v>
      </c>
      <c r="D79" s="81"/>
      <c r="E79" s="61" t="s">
        <v>176</v>
      </c>
      <c r="F79" s="96" t="s">
        <v>177</v>
      </c>
      <c r="G79" s="99" t="s">
        <v>57</v>
      </c>
    </row>
    <row r="80" ht="19.5" customHeight="1">
      <c r="A80" s="94"/>
      <c r="B80" s="101">
        <v>46078.0</v>
      </c>
      <c r="C80" s="102">
        <v>10725.0</v>
      </c>
      <c r="D80" s="103"/>
      <c r="E80" s="104" t="s">
        <v>186</v>
      </c>
      <c r="F80" s="105"/>
      <c r="G80" s="106"/>
    </row>
    <row r="81" ht="30.0" customHeight="1">
      <c r="A81" s="68" t="s">
        <v>43</v>
      </c>
      <c r="B81" s="69"/>
      <c r="C81" s="70">
        <f>SUM(C74:C80)</f>
        <v>518742.25</v>
      </c>
      <c r="D81" s="80">
        <f>SUM(D74)</f>
        <v>0</v>
      </c>
      <c r="E81" s="109"/>
      <c r="F81" s="79"/>
    </row>
    <row r="82" ht="4.5" customHeight="1">
      <c r="A82" s="111"/>
      <c r="B82" s="112"/>
      <c r="C82" s="112"/>
      <c r="D82" s="113"/>
      <c r="E82" s="114"/>
      <c r="I82" s="114"/>
      <c r="M82" s="114"/>
      <c r="Q82" s="114"/>
      <c r="U82" s="114"/>
      <c r="Y82" s="114"/>
    </row>
    <row r="83" ht="30.0" customHeight="1">
      <c r="A83" s="118" t="s">
        <v>193</v>
      </c>
      <c r="B83" s="47"/>
      <c r="C83" s="119">
        <f>SUM(C33+C60+C72+C9)</f>
        <v>4240397.27</v>
      </c>
      <c r="D83" s="119">
        <f>SUM(D33+D60+D72+D81)</f>
        <v>134.79</v>
      </c>
      <c r="E83" s="109"/>
      <c r="F83" s="79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0">
    <mergeCell ref="A9:C10"/>
    <mergeCell ref="D9:E9"/>
    <mergeCell ref="F9:G9"/>
    <mergeCell ref="D10:E10"/>
    <mergeCell ref="F10:G10"/>
    <mergeCell ref="D11:E11"/>
    <mergeCell ref="F11:G11"/>
    <mergeCell ref="A35:A59"/>
    <mergeCell ref="A62:A71"/>
    <mergeCell ref="A72:B72"/>
    <mergeCell ref="A74:A80"/>
    <mergeCell ref="A81:B81"/>
    <mergeCell ref="A83:B83"/>
    <mergeCell ref="D12:G18"/>
    <mergeCell ref="A19:G19"/>
    <mergeCell ref="A21:A32"/>
    <mergeCell ref="A33:B33"/>
    <mergeCell ref="A34:G34"/>
    <mergeCell ref="A60:B60"/>
    <mergeCell ref="A61:G61"/>
    <mergeCell ref="Q82:T82"/>
    <mergeCell ref="U82:X82"/>
    <mergeCell ref="Y82:AA82"/>
    <mergeCell ref="A73:G73"/>
    <mergeCell ref="F79:F80"/>
    <mergeCell ref="G79:G80"/>
    <mergeCell ref="A82:D82"/>
    <mergeCell ref="E82:H82"/>
    <mergeCell ref="I82:L82"/>
    <mergeCell ref="M82:P82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1.86"/>
    <col customWidth="1" min="2" max="2" width="23.0"/>
    <col customWidth="1" min="3" max="3" width="21.0"/>
    <col customWidth="1" min="4" max="4" width="15.57"/>
    <col customWidth="1" min="5" max="5" width="40.29"/>
    <col customWidth="1" min="6" max="6" width="55.57"/>
    <col customWidth="1" min="7" max="7" width="11.71"/>
    <col customWidth="1" min="8" max="27" width="10.71"/>
  </cols>
  <sheetData>
    <row r="1" ht="14.25" customHeight="1">
      <c r="A1" s="10"/>
    </row>
    <row r="2" ht="12.75" customHeight="1"/>
    <row r="3" ht="13.5" customHeight="1"/>
    <row r="4" ht="11.25" customHeight="1"/>
    <row r="5" ht="13.5" customHeight="1"/>
    <row r="6" ht="13.5" customHeight="1"/>
    <row r="7" ht="13.5" customHeight="1"/>
    <row r="8" ht="13.5" customHeight="1"/>
    <row r="9">
      <c r="A9" s="1" t="s">
        <v>0</v>
      </c>
      <c r="B9" s="2"/>
      <c r="C9" s="3"/>
      <c r="D9" s="4" t="s">
        <v>1</v>
      </c>
      <c r="E9" s="5"/>
      <c r="F9" s="6" t="s">
        <v>8</v>
      </c>
      <c r="G9" s="7"/>
    </row>
    <row r="10">
      <c r="A10" s="8"/>
      <c r="B10" s="9"/>
      <c r="C10" s="11"/>
      <c r="D10" s="20" t="s">
        <v>4</v>
      </c>
      <c r="E10" s="24"/>
      <c r="F10" s="14">
        <v>2026.0</v>
      </c>
      <c r="G10" s="15"/>
    </row>
    <row r="11">
      <c r="A11" s="16" t="s">
        <v>5</v>
      </c>
      <c r="B11" s="17" t="s">
        <v>6</v>
      </c>
      <c r="C11" s="18" t="s">
        <v>7</v>
      </c>
      <c r="D11" s="28" t="s">
        <v>7</v>
      </c>
      <c r="E11" s="29"/>
      <c r="F11" s="30">
        <v>8805354.79</v>
      </c>
      <c r="G11" s="25"/>
    </row>
    <row r="12" ht="19.5" customHeight="1">
      <c r="A12" s="26" t="s">
        <v>9</v>
      </c>
      <c r="B12" s="31">
        <f>SUM(C42)</f>
        <v>4157552.16</v>
      </c>
      <c r="C12" s="32">
        <f t="shared" ref="C12:C18" si="1">SUM(B12)</f>
        <v>4157552.16</v>
      </c>
      <c r="D12" s="38" t="s">
        <v>10</v>
      </c>
      <c r="E12" s="39"/>
      <c r="F12" s="39"/>
      <c r="G12" s="40"/>
    </row>
    <row r="13" ht="19.5" customHeight="1">
      <c r="A13" s="26" t="s">
        <v>11</v>
      </c>
      <c r="B13" s="31">
        <f>SUM(D42)</f>
        <v>0</v>
      </c>
      <c r="C13" s="32">
        <f t="shared" si="1"/>
        <v>0</v>
      </c>
      <c r="D13" s="41"/>
      <c r="G13" s="37"/>
    </row>
    <row r="14" ht="19.5" customHeight="1">
      <c r="A14" s="26" t="s">
        <v>12</v>
      </c>
      <c r="B14" s="31">
        <f>SUM(C79)</f>
        <v>3428303.99</v>
      </c>
      <c r="C14" s="32">
        <f t="shared" si="1"/>
        <v>3428303.99</v>
      </c>
      <c r="D14" s="41"/>
      <c r="G14" s="37"/>
    </row>
    <row r="15" ht="19.5" customHeight="1">
      <c r="A15" s="26" t="s">
        <v>13</v>
      </c>
      <c r="B15" s="31"/>
      <c r="C15" s="42">
        <f t="shared" si="1"/>
        <v>0</v>
      </c>
      <c r="D15" s="41"/>
      <c r="G15" s="37"/>
    </row>
    <row r="16" ht="19.5" customHeight="1">
      <c r="A16" s="26" t="s">
        <v>14</v>
      </c>
      <c r="B16" s="31">
        <f>SUM(C90)</f>
        <v>597420</v>
      </c>
      <c r="C16" s="32">
        <f t="shared" si="1"/>
        <v>597420</v>
      </c>
      <c r="D16" s="41"/>
      <c r="G16" s="37"/>
    </row>
    <row r="17" ht="19.5" customHeight="1">
      <c r="A17" s="45" t="s">
        <v>15</v>
      </c>
      <c r="B17" s="31">
        <f>SUM(D90)</f>
        <v>71.72</v>
      </c>
      <c r="C17" s="32">
        <f t="shared" si="1"/>
        <v>71.72</v>
      </c>
      <c r="D17" s="41"/>
      <c r="G17" s="37"/>
    </row>
    <row r="18" ht="19.5" customHeight="1">
      <c r="A18" s="45" t="s">
        <v>16</v>
      </c>
      <c r="B18" s="31">
        <f>SUM(C101)</f>
        <v>454290.22</v>
      </c>
      <c r="C18" s="32">
        <f t="shared" si="1"/>
        <v>454290.22</v>
      </c>
      <c r="D18" s="50"/>
      <c r="E18" s="46"/>
      <c r="F18" s="46"/>
      <c r="G18" s="47"/>
    </row>
    <row r="19" ht="4.5" customHeight="1">
      <c r="A19" s="48"/>
      <c r="B19" s="49"/>
      <c r="C19" s="49"/>
      <c r="D19" s="49"/>
      <c r="E19" s="49"/>
      <c r="F19" s="49"/>
      <c r="G19" s="51"/>
    </row>
    <row r="20" ht="24.75" customHeight="1">
      <c r="A20" s="52" t="s">
        <v>17</v>
      </c>
      <c r="B20" s="52" t="s">
        <v>18</v>
      </c>
      <c r="C20" s="52" t="s">
        <v>19</v>
      </c>
      <c r="D20" s="52" t="s">
        <v>20</v>
      </c>
      <c r="E20" s="52" t="s">
        <v>21</v>
      </c>
      <c r="F20" s="52" t="s">
        <v>22</v>
      </c>
      <c r="G20" s="53" t="s">
        <v>24</v>
      </c>
    </row>
    <row r="21" ht="19.5" customHeight="1">
      <c r="A21" s="54" t="s">
        <v>25</v>
      </c>
      <c r="B21" s="55">
        <v>46010.0</v>
      </c>
      <c r="C21" s="62">
        <v>199999.83</v>
      </c>
      <c r="D21" s="62"/>
      <c r="E21" s="58" t="s">
        <v>29</v>
      </c>
      <c r="F21" s="58"/>
      <c r="G21" s="59"/>
    </row>
    <row r="22" ht="19.5" customHeight="1">
      <c r="A22" s="60"/>
      <c r="B22" s="55">
        <v>46079.0</v>
      </c>
      <c r="C22" s="62">
        <v>20000.0</v>
      </c>
      <c r="D22" s="62"/>
      <c r="E22" s="61" t="s">
        <v>33</v>
      </c>
      <c r="F22" s="58"/>
      <c r="G22" s="59"/>
    </row>
    <row r="23" ht="19.5" customHeight="1">
      <c r="A23" s="60"/>
      <c r="B23" s="55">
        <v>46079.0</v>
      </c>
      <c r="C23" s="62">
        <v>60000.0</v>
      </c>
      <c r="D23" s="62"/>
      <c r="E23" s="61" t="s">
        <v>33</v>
      </c>
      <c r="F23" s="58"/>
      <c r="G23" s="59"/>
    </row>
    <row r="24" ht="19.5" customHeight="1">
      <c r="A24" s="60"/>
      <c r="B24" s="55">
        <v>46080.0</v>
      </c>
      <c r="C24" s="62">
        <v>311000.77</v>
      </c>
      <c r="D24" s="62"/>
      <c r="E24" s="61" t="s">
        <v>37</v>
      </c>
      <c r="F24" s="58"/>
      <c r="G24" s="59"/>
    </row>
    <row r="25" ht="19.5" customHeight="1">
      <c r="A25" s="60"/>
      <c r="B25" s="55">
        <v>46080.0</v>
      </c>
      <c r="C25" s="62">
        <v>238764.83</v>
      </c>
      <c r="D25" s="62"/>
      <c r="E25" s="61" t="s">
        <v>28</v>
      </c>
      <c r="F25" s="58"/>
      <c r="G25" s="59"/>
    </row>
    <row r="26" ht="19.5" customHeight="1">
      <c r="A26" s="60"/>
      <c r="B26" s="55">
        <v>46081.0</v>
      </c>
      <c r="C26" s="62">
        <v>250000.0</v>
      </c>
      <c r="D26" s="62"/>
      <c r="E26" s="61" t="s">
        <v>41</v>
      </c>
      <c r="F26" s="58"/>
      <c r="G26" s="59"/>
    </row>
    <row r="27" ht="19.5" customHeight="1">
      <c r="A27" s="60"/>
      <c r="B27" s="55">
        <v>46082.0</v>
      </c>
      <c r="C27" s="62">
        <v>103014.03</v>
      </c>
      <c r="D27" s="62"/>
      <c r="E27" s="61" t="s">
        <v>44</v>
      </c>
      <c r="F27" s="58"/>
      <c r="G27" s="59"/>
    </row>
    <row r="28" ht="19.5" customHeight="1">
      <c r="A28" s="60"/>
      <c r="B28" s="55">
        <v>46083.0</v>
      </c>
      <c r="C28" s="62">
        <v>657997.0</v>
      </c>
      <c r="D28" s="62"/>
      <c r="E28" s="61" t="s">
        <v>45</v>
      </c>
      <c r="F28" s="58"/>
      <c r="G28" s="59"/>
    </row>
    <row r="29" ht="19.5" customHeight="1">
      <c r="A29" s="60"/>
      <c r="B29" s="55">
        <v>46085.0</v>
      </c>
      <c r="C29" s="62">
        <v>122000.0</v>
      </c>
      <c r="D29" s="62"/>
      <c r="E29" s="61" t="s">
        <v>46</v>
      </c>
      <c r="F29" s="58"/>
      <c r="G29" s="59"/>
    </row>
    <row r="30" ht="19.5" customHeight="1">
      <c r="A30" s="60"/>
      <c r="B30" s="55">
        <v>46087.0</v>
      </c>
      <c r="C30" s="62">
        <v>25900.0</v>
      </c>
      <c r="D30" s="62"/>
      <c r="E30" s="61" t="s">
        <v>35</v>
      </c>
      <c r="F30" s="58"/>
      <c r="G30" s="59"/>
    </row>
    <row r="31" ht="19.5" customHeight="1">
      <c r="A31" s="60"/>
      <c r="B31" s="55">
        <v>46088.0</v>
      </c>
      <c r="C31" s="62">
        <v>175300.0</v>
      </c>
      <c r="D31" s="62"/>
      <c r="E31" s="61" t="s">
        <v>48</v>
      </c>
      <c r="F31" s="58"/>
      <c r="G31" s="59"/>
    </row>
    <row r="32" ht="19.5" customHeight="1">
      <c r="A32" s="60"/>
      <c r="B32" s="55">
        <v>46089.0</v>
      </c>
      <c r="C32" s="62">
        <v>350972.0</v>
      </c>
      <c r="D32" s="62"/>
      <c r="E32" s="61" t="s">
        <v>49</v>
      </c>
      <c r="F32" s="58"/>
      <c r="G32" s="59"/>
    </row>
    <row r="33" ht="19.5" customHeight="1">
      <c r="A33" s="60"/>
      <c r="B33" s="55">
        <v>46089.0</v>
      </c>
      <c r="C33" s="62">
        <v>39463.89</v>
      </c>
      <c r="D33" s="62"/>
      <c r="E33" s="61" t="s">
        <v>50</v>
      </c>
      <c r="F33" s="58"/>
      <c r="G33" s="59"/>
    </row>
    <row r="34" ht="19.5" customHeight="1">
      <c r="A34" s="60"/>
      <c r="B34" s="55">
        <v>46089.0</v>
      </c>
      <c r="C34" s="62">
        <v>145196.0</v>
      </c>
      <c r="D34" s="62"/>
      <c r="E34" s="61" t="s">
        <v>51</v>
      </c>
      <c r="F34" s="58"/>
      <c r="G34" s="59"/>
    </row>
    <row r="35" ht="19.5" customHeight="1">
      <c r="A35" s="60"/>
      <c r="B35" s="55">
        <v>46094.0</v>
      </c>
      <c r="C35" s="62">
        <v>143000.0</v>
      </c>
      <c r="D35" s="62"/>
      <c r="E35" s="61" t="s">
        <v>52</v>
      </c>
      <c r="F35" s="58"/>
      <c r="G35" s="59"/>
    </row>
    <row r="36" ht="19.5" customHeight="1">
      <c r="A36" s="60"/>
      <c r="B36" s="55">
        <v>46096.0</v>
      </c>
      <c r="C36" s="62">
        <v>707997.0</v>
      </c>
      <c r="D36" s="62"/>
      <c r="E36" s="58" t="s">
        <v>54</v>
      </c>
      <c r="F36" s="58"/>
      <c r="G36" s="59"/>
    </row>
    <row r="37" ht="19.5" customHeight="1">
      <c r="A37" s="60"/>
      <c r="B37" s="55">
        <v>46099.0</v>
      </c>
      <c r="C37" s="62">
        <v>155566.64</v>
      </c>
      <c r="D37" s="62"/>
      <c r="E37" s="58" t="s">
        <v>55</v>
      </c>
      <c r="F37" s="58"/>
      <c r="G37" s="59"/>
    </row>
    <row r="38" ht="19.5" customHeight="1">
      <c r="A38" s="60"/>
      <c r="B38" s="55">
        <v>46100.0</v>
      </c>
      <c r="C38" s="62">
        <v>146008.03</v>
      </c>
      <c r="D38" s="62"/>
      <c r="E38" s="58" t="s">
        <v>60</v>
      </c>
      <c r="F38" s="58"/>
      <c r="G38" s="59"/>
    </row>
    <row r="39" ht="19.5" customHeight="1">
      <c r="A39" s="60"/>
      <c r="B39" s="55">
        <v>46101.0</v>
      </c>
      <c r="C39" s="62">
        <v>94000.0</v>
      </c>
      <c r="D39" s="62"/>
      <c r="E39" s="58" t="s">
        <v>64</v>
      </c>
      <c r="F39" s="58"/>
      <c r="G39" s="59"/>
    </row>
    <row r="40" ht="19.5" customHeight="1">
      <c r="A40" s="60"/>
      <c r="B40" s="55">
        <v>46104.0</v>
      </c>
      <c r="C40" s="62">
        <v>159994.0</v>
      </c>
      <c r="D40" s="62"/>
      <c r="E40" s="58" t="s">
        <v>72</v>
      </c>
      <c r="F40" s="58"/>
      <c r="G40" s="59"/>
    </row>
    <row r="41" ht="19.5" customHeight="1">
      <c r="A41" s="67"/>
      <c r="B41" s="55">
        <v>46105.0</v>
      </c>
      <c r="C41" s="62">
        <v>51378.14</v>
      </c>
      <c r="D41" s="62"/>
      <c r="E41" s="58" t="s">
        <v>39</v>
      </c>
      <c r="F41" s="58"/>
      <c r="G41" s="59"/>
    </row>
    <row r="42" ht="30.0" customHeight="1">
      <c r="A42" s="68" t="s">
        <v>43</v>
      </c>
      <c r="B42" s="69"/>
      <c r="C42" s="80">
        <f t="shared" ref="C42:D42" si="2">SUM(C21:C41)</f>
        <v>4157552.16</v>
      </c>
      <c r="D42" s="80">
        <f t="shared" si="2"/>
        <v>0</v>
      </c>
      <c r="E42" s="71"/>
      <c r="F42" s="72"/>
    </row>
    <row r="43" ht="4.5" customHeight="1">
      <c r="A43" s="73"/>
      <c r="B43" s="74"/>
      <c r="C43" s="74"/>
      <c r="D43" s="74"/>
      <c r="E43" s="74"/>
      <c r="F43" s="74"/>
      <c r="G43" s="69"/>
    </row>
    <row r="44" ht="19.5" customHeight="1">
      <c r="A44" s="75" t="s">
        <v>53</v>
      </c>
      <c r="B44" s="76">
        <v>46079.0</v>
      </c>
      <c r="C44" s="81">
        <v>150003.0</v>
      </c>
      <c r="D44" s="77"/>
      <c r="E44" s="61" t="s">
        <v>89</v>
      </c>
      <c r="F44" s="61" t="s">
        <v>91</v>
      </c>
      <c r="G44" s="78" t="s">
        <v>57</v>
      </c>
    </row>
    <row r="45" ht="19.5" customHeight="1">
      <c r="A45" s="60"/>
      <c r="B45" s="76">
        <v>46079.0</v>
      </c>
      <c r="C45" s="81">
        <v>69800.0</v>
      </c>
      <c r="D45" s="62"/>
      <c r="E45" s="61" t="s">
        <v>89</v>
      </c>
      <c r="F45" s="61" t="s">
        <v>59</v>
      </c>
      <c r="G45" s="78" t="s">
        <v>57</v>
      </c>
    </row>
    <row r="46" ht="19.5" customHeight="1">
      <c r="A46" s="60"/>
      <c r="B46" s="76">
        <v>46080.0</v>
      </c>
      <c r="C46" s="81">
        <v>64000.0</v>
      </c>
      <c r="D46" s="62"/>
      <c r="E46" s="61" t="s">
        <v>95</v>
      </c>
      <c r="F46" s="61" t="s">
        <v>96</v>
      </c>
      <c r="G46" s="78" t="s">
        <v>57</v>
      </c>
    </row>
    <row r="47" ht="19.5" customHeight="1">
      <c r="A47" s="60"/>
      <c r="B47" s="76">
        <v>46082.0</v>
      </c>
      <c r="C47" s="81">
        <v>87500.0</v>
      </c>
      <c r="D47" s="62"/>
      <c r="E47" s="61" t="s">
        <v>65</v>
      </c>
      <c r="F47" s="61" t="s">
        <v>98</v>
      </c>
      <c r="G47" s="78" t="s">
        <v>57</v>
      </c>
    </row>
    <row r="48" ht="19.5" customHeight="1">
      <c r="A48" s="60"/>
      <c r="B48" s="76">
        <v>46083.0</v>
      </c>
      <c r="C48" s="81">
        <v>107723.92</v>
      </c>
      <c r="D48" s="62"/>
      <c r="E48" s="61" t="s">
        <v>100</v>
      </c>
      <c r="F48" s="61" t="s">
        <v>101</v>
      </c>
      <c r="G48" s="78" t="s">
        <v>57</v>
      </c>
    </row>
    <row r="49" ht="19.5" customHeight="1">
      <c r="A49" s="60"/>
      <c r="B49" s="76">
        <v>46083.0</v>
      </c>
      <c r="C49" s="81">
        <v>41500.0</v>
      </c>
      <c r="D49" s="62"/>
      <c r="E49" s="61" t="s">
        <v>102</v>
      </c>
      <c r="F49" s="61" t="s">
        <v>96</v>
      </c>
      <c r="G49" s="78" t="s">
        <v>57</v>
      </c>
    </row>
    <row r="50" ht="19.5" customHeight="1">
      <c r="A50" s="60"/>
      <c r="B50" s="76">
        <v>46084.0</v>
      </c>
      <c r="C50" s="81">
        <v>12000.0</v>
      </c>
      <c r="D50" s="62"/>
      <c r="E50" s="61" t="s">
        <v>103</v>
      </c>
      <c r="F50" s="61" t="s">
        <v>104</v>
      </c>
      <c r="G50" s="78" t="s">
        <v>57</v>
      </c>
    </row>
    <row r="51" ht="19.5" customHeight="1">
      <c r="A51" s="60"/>
      <c r="B51" s="76">
        <v>46084.0</v>
      </c>
      <c r="C51" s="81">
        <v>14300.0</v>
      </c>
      <c r="D51" s="62"/>
      <c r="E51" s="61" t="s">
        <v>103</v>
      </c>
      <c r="F51" s="61" t="s">
        <v>104</v>
      </c>
      <c r="G51" s="78" t="s">
        <v>57</v>
      </c>
    </row>
    <row r="52" ht="19.5" customHeight="1">
      <c r="A52" s="60"/>
      <c r="B52" s="76">
        <v>46084.0</v>
      </c>
      <c r="C52" s="81">
        <v>201000.0</v>
      </c>
      <c r="D52" s="62"/>
      <c r="E52" s="61" t="s">
        <v>100</v>
      </c>
      <c r="F52" s="61" t="s">
        <v>99</v>
      </c>
      <c r="G52" s="78" t="s">
        <v>57</v>
      </c>
    </row>
    <row r="53" ht="19.5" customHeight="1">
      <c r="A53" s="60"/>
      <c r="B53" s="76">
        <v>46084.0</v>
      </c>
      <c r="C53" s="81">
        <v>372905.0</v>
      </c>
      <c r="D53" s="62"/>
      <c r="E53" s="61" t="s">
        <v>109</v>
      </c>
      <c r="F53" s="61" t="s">
        <v>99</v>
      </c>
      <c r="G53" s="78" t="s">
        <v>57</v>
      </c>
    </row>
    <row r="54" ht="19.5" customHeight="1">
      <c r="A54" s="60"/>
      <c r="B54" s="76">
        <v>46085.0</v>
      </c>
      <c r="C54" s="81">
        <v>43000.0</v>
      </c>
      <c r="D54" s="62"/>
      <c r="E54" s="61" t="s">
        <v>95</v>
      </c>
      <c r="F54" s="61" t="s">
        <v>96</v>
      </c>
      <c r="G54" s="78" t="s">
        <v>57</v>
      </c>
    </row>
    <row r="55" ht="19.5" customHeight="1">
      <c r="A55" s="60"/>
      <c r="B55" s="76">
        <v>46090.0</v>
      </c>
      <c r="C55" s="81">
        <v>158003.0</v>
      </c>
      <c r="D55" s="62"/>
      <c r="E55" s="61" t="s">
        <v>113</v>
      </c>
      <c r="F55" s="61" t="s">
        <v>56</v>
      </c>
      <c r="G55" s="78" t="s">
        <v>57</v>
      </c>
    </row>
    <row r="56" ht="19.5" customHeight="1">
      <c r="A56" s="60"/>
      <c r="B56" s="76">
        <v>46091.0</v>
      </c>
      <c r="C56" s="81">
        <v>87500.0</v>
      </c>
      <c r="D56" s="62"/>
      <c r="E56" s="61" t="s">
        <v>83</v>
      </c>
      <c r="F56" s="61" t="s">
        <v>98</v>
      </c>
      <c r="G56" s="78" t="s">
        <v>57</v>
      </c>
    </row>
    <row r="57" ht="19.5" customHeight="1">
      <c r="A57" s="60"/>
      <c r="B57" s="76">
        <v>46092.0</v>
      </c>
      <c r="C57" s="81">
        <v>72190.0</v>
      </c>
      <c r="D57" s="62"/>
      <c r="E57" s="61" t="s">
        <v>92</v>
      </c>
      <c r="F57" s="61" t="s">
        <v>59</v>
      </c>
      <c r="G57" s="78" t="s">
        <v>57</v>
      </c>
    </row>
    <row r="58" ht="19.5" customHeight="1">
      <c r="A58" s="60"/>
      <c r="B58" s="76">
        <v>46096.0</v>
      </c>
      <c r="C58" s="81">
        <v>54984.0</v>
      </c>
      <c r="D58" s="62"/>
      <c r="E58" s="61" t="s">
        <v>121</v>
      </c>
      <c r="F58" s="61" t="s">
        <v>122</v>
      </c>
      <c r="G58" s="78" t="s">
        <v>57</v>
      </c>
    </row>
    <row r="59" ht="19.5" customHeight="1">
      <c r="A59" s="60"/>
      <c r="B59" s="76">
        <v>46096.0</v>
      </c>
      <c r="C59" s="81">
        <v>97104.0</v>
      </c>
      <c r="D59" s="62"/>
      <c r="E59" s="61" t="s">
        <v>125</v>
      </c>
      <c r="F59" s="61" t="s">
        <v>126</v>
      </c>
      <c r="G59" s="78" t="s">
        <v>57</v>
      </c>
    </row>
    <row r="60" ht="19.5" customHeight="1">
      <c r="A60" s="60"/>
      <c r="B60" s="76">
        <v>46096.0</v>
      </c>
      <c r="C60" s="81">
        <v>116249.07</v>
      </c>
      <c r="D60" s="62"/>
      <c r="E60" s="61" t="s">
        <v>129</v>
      </c>
      <c r="F60" s="61" t="s">
        <v>130</v>
      </c>
      <c r="G60" s="78" t="s">
        <v>57</v>
      </c>
    </row>
    <row r="61" ht="19.5" customHeight="1">
      <c r="A61" s="60"/>
      <c r="B61" s="76">
        <v>46097.0</v>
      </c>
      <c r="C61" s="81">
        <v>77998.0</v>
      </c>
      <c r="D61" s="62"/>
      <c r="E61" s="61" t="s">
        <v>92</v>
      </c>
      <c r="F61" s="61" t="s">
        <v>135</v>
      </c>
      <c r="G61" s="78" t="s">
        <v>57</v>
      </c>
    </row>
    <row r="62" ht="19.5" customHeight="1">
      <c r="A62" s="60"/>
      <c r="B62" s="76">
        <v>46098.0</v>
      </c>
      <c r="C62" s="81">
        <v>156000.0</v>
      </c>
      <c r="D62" s="62"/>
      <c r="E62" s="61" t="s">
        <v>139</v>
      </c>
      <c r="F62" s="61" t="s">
        <v>141</v>
      </c>
      <c r="G62" s="78" t="s">
        <v>57</v>
      </c>
    </row>
    <row r="63" ht="19.5" customHeight="1">
      <c r="A63" s="60"/>
      <c r="B63" s="76">
        <v>46098.0</v>
      </c>
      <c r="C63" s="81">
        <v>54990.0</v>
      </c>
      <c r="D63" s="62"/>
      <c r="E63" s="61" t="s">
        <v>144</v>
      </c>
      <c r="F63" s="61" t="s">
        <v>146</v>
      </c>
      <c r="G63" s="78" t="s">
        <v>57</v>
      </c>
    </row>
    <row r="64" ht="19.5" customHeight="1">
      <c r="A64" s="60"/>
      <c r="B64" s="76">
        <v>46098.0</v>
      </c>
      <c r="C64" s="81">
        <v>47500.0</v>
      </c>
      <c r="D64" s="62"/>
      <c r="E64" s="61" t="s">
        <v>148</v>
      </c>
      <c r="F64" s="61" t="s">
        <v>149</v>
      </c>
      <c r="G64" s="78" t="s">
        <v>57</v>
      </c>
    </row>
    <row r="65" ht="19.5" customHeight="1">
      <c r="A65" s="60"/>
      <c r="B65" s="76">
        <v>46098.0</v>
      </c>
      <c r="C65" s="88">
        <v>-156000.0</v>
      </c>
      <c r="D65" s="62"/>
      <c r="E65" s="61" t="s">
        <v>139</v>
      </c>
      <c r="F65" s="61" t="s">
        <v>151</v>
      </c>
      <c r="G65" s="78" t="s">
        <v>57</v>
      </c>
    </row>
    <row r="66" ht="19.5" customHeight="1">
      <c r="A66" s="60"/>
      <c r="B66" s="76">
        <v>46100.0</v>
      </c>
      <c r="C66" s="81">
        <v>68000.0</v>
      </c>
      <c r="D66" s="62"/>
      <c r="E66" s="61" t="s">
        <v>154</v>
      </c>
      <c r="F66" s="61" t="s">
        <v>59</v>
      </c>
      <c r="G66" s="78" t="s">
        <v>57</v>
      </c>
    </row>
    <row r="67" ht="19.5" customHeight="1">
      <c r="A67" s="60"/>
      <c r="B67" s="76">
        <v>46101.0</v>
      </c>
      <c r="C67" s="81">
        <v>50000.0</v>
      </c>
      <c r="D67" s="62"/>
      <c r="E67" s="61" t="s">
        <v>156</v>
      </c>
      <c r="F67" s="61" t="s">
        <v>96</v>
      </c>
      <c r="G67" s="78" t="s">
        <v>57</v>
      </c>
    </row>
    <row r="68" ht="19.5" customHeight="1">
      <c r="A68" s="60"/>
      <c r="B68" s="76">
        <v>46101.0</v>
      </c>
      <c r="C68" s="81">
        <v>196067.0</v>
      </c>
      <c r="D68" s="62"/>
      <c r="E68" s="61" t="s">
        <v>158</v>
      </c>
      <c r="F68" s="61" t="s">
        <v>159</v>
      </c>
      <c r="G68" s="78" t="s">
        <v>57</v>
      </c>
    </row>
    <row r="69" ht="19.5" customHeight="1">
      <c r="A69" s="60"/>
      <c r="B69" s="76">
        <v>46101.0</v>
      </c>
      <c r="C69" s="81">
        <v>149000.93</v>
      </c>
      <c r="D69" s="62"/>
      <c r="E69" s="61" t="s">
        <v>79</v>
      </c>
      <c r="F69" s="61" t="s">
        <v>56</v>
      </c>
      <c r="G69" s="78" t="s">
        <v>57</v>
      </c>
    </row>
    <row r="70" ht="19.5" customHeight="1">
      <c r="A70" s="60"/>
      <c r="B70" s="76">
        <v>46102.0</v>
      </c>
      <c r="C70" s="81">
        <v>93008.0</v>
      </c>
      <c r="D70" s="62"/>
      <c r="E70" s="61" t="s">
        <v>168</v>
      </c>
      <c r="F70" s="61" t="s">
        <v>59</v>
      </c>
      <c r="G70" s="78" t="s">
        <v>57</v>
      </c>
    </row>
    <row r="71" ht="19.5" customHeight="1">
      <c r="A71" s="60"/>
      <c r="B71" s="76">
        <v>46103.0</v>
      </c>
      <c r="C71" s="81">
        <v>60000.0</v>
      </c>
      <c r="D71" s="62"/>
      <c r="E71" s="61" t="s">
        <v>172</v>
      </c>
      <c r="F71" s="61" t="s">
        <v>173</v>
      </c>
      <c r="G71" s="78" t="s">
        <v>57</v>
      </c>
    </row>
    <row r="72" ht="19.5" customHeight="1">
      <c r="A72" s="60"/>
      <c r="B72" s="76">
        <v>46103.0</v>
      </c>
      <c r="C72" s="81">
        <v>207743.07</v>
      </c>
      <c r="D72" s="62"/>
      <c r="E72" s="61" t="s">
        <v>175</v>
      </c>
      <c r="F72" s="61" t="s">
        <v>159</v>
      </c>
      <c r="G72" s="78" t="s">
        <v>57</v>
      </c>
    </row>
    <row r="73" ht="19.5" customHeight="1">
      <c r="A73" s="60"/>
      <c r="B73" s="76">
        <v>46104.0</v>
      </c>
      <c r="C73" s="81">
        <v>15300.0</v>
      </c>
      <c r="D73" s="62"/>
      <c r="E73" s="61" t="s">
        <v>178</v>
      </c>
      <c r="F73" s="61" t="s">
        <v>179</v>
      </c>
      <c r="G73" s="78" t="s">
        <v>57</v>
      </c>
    </row>
    <row r="74" ht="19.5" customHeight="1">
      <c r="A74" s="60"/>
      <c r="B74" s="76">
        <v>46104.0</v>
      </c>
      <c r="C74" s="81">
        <v>71500.0</v>
      </c>
      <c r="D74" s="62"/>
      <c r="E74" s="61" t="s">
        <v>180</v>
      </c>
      <c r="F74" s="61" t="s">
        <v>59</v>
      </c>
      <c r="G74" s="78" t="s">
        <v>57</v>
      </c>
    </row>
    <row r="75" ht="19.5" customHeight="1">
      <c r="A75" s="60"/>
      <c r="B75" s="76">
        <v>46104.0</v>
      </c>
      <c r="C75" s="81">
        <v>130394.0</v>
      </c>
      <c r="D75" s="62"/>
      <c r="E75" s="61" t="s">
        <v>181</v>
      </c>
      <c r="F75" s="61" t="s">
        <v>182</v>
      </c>
      <c r="G75" s="78" t="s">
        <v>57</v>
      </c>
    </row>
    <row r="76" ht="19.5" customHeight="1">
      <c r="A76" s="60"/>
      <c r="B76" s="76">
        <v>46104.0</v>
      </c>
      <c r="C76" s="81">
        <v>180038.0</v>
      </c>
      <c r="D76" s="62"/>
      <c r="E76" s="61" t="s">
        <v>183</v>
      </c>
      <c r="F76" s="61" t="s">
        <v>182</v>
      </c>
      <c r="G76" s="78" t="s">
        <v>57</v>
      </c>
    </row>
    <row r="77" ht="19.5" customHeight="1">
      <c r="A77" s="60"/>
      <c r="B77" s="76">
        <v>46106.0</v>
      </c>
      <c r="C77" s="81">
        <v>73003.0</v>
      </c>
      <c r="D77" s="62"/>
      <c r="E77" s="61" t="s">
        <v>184</v>
      </c>
      <c r="F77" s="61" t="s">
        <v>185</v>
      </c>
      <c r="G77" s="78" t="s">
        <v>57</v>
      </c>
    </row>
    <row r="78" ht="19.5" customHeight="1">
      <c r="A78" s="60"/>
      <c r="B78" s="76">
        <v>46106.0</v>
      </c>
      <c r="C78" s="81">
        <v>204000.0</v>
      </c>
      <c r="D78" s="62"/>
      <c r="E78" s="61" t="s">
        <v>170</v>
      </c>
      <c r="F78" s="61" t="s">
        <v>77</v>
      </c>
      <c r="G78" s="78" t="s">
        <v>57</v>
      </c>
    </row>
    <row r="79" ht="29.25" customHeight="1">
      <c r="A79" s="68" t="s">
        <v>43</v>
      </c>
      <c r="B79" s="69"/>
      <c r="C79" s="80">
        <f t="shared" ref="C79:D79" si="3">SUM(C44:C78)</f>
        <v>3428303.99</v>
      </c>
      <c r="D79" s="80">
        <f t="shared" si="3"/>
        <v>0</v>
      </c>
      <c r="E79" s="71"/>
      <c r="F79" s="72"/>
    </row>
    <row r="80" ht="4.5" customHeight="1">
      <c r="A80" s="73"/>
      <c r="B80" s="74"/>
      <c r="C80" s="74"/>
      <c r="D80" s="74"/>
      <c r="E80" s="74"/>
      <c r="F80" s="74"/>
      <c r="G80" s="69"/>
    </row>
    <row r="81" ht="19.5" customHeight="1">
      <c r="A81" s="75" t="s">
        <v>108</v>
      </c>
      <c r="B81" s="76">
        <v>46082.0</v>
      </c>
      <c r="C81" s="81">
        <v>280000.0</v>
      </c>
      <c r="D81" s="77"/>
      <c r="E81" s="61" t="s">
        <v>187</v>
      </c>
      <c r="F81" s="61" t="s">
        <v>188</v>
      </c>
      <c r="G81" s="110" t="s">
        <v>57</v>
      </c>
    </row>
    <row r="82" ht="19.5" customHeight="1">
      <c r="A82" s="60"/>
      <c r="B82" s="76">
        <v>46084.0</v>
      </c>
      <c r="C82" s="81">
        <v>51400.0</v>
      </c>
      <c r="D82" s="62"/>
      <c r="E82" s="61" t="s">
        <v>189</v>
      </c>
      <c r="F82" s="61" t="s">
        <v>190</v>
      </c>
      <c r="G82" s="110" t="s">
        <v>57</v>
      </c>
    </row>
    <row r="83" ht="19.5" customHeight="1">
      <c r="A83" s="60"/>
      <c r="B83" s="76">
        <v>46085.0</v>
      </c>
      <c r="C83" s="81">
        <v>65002.0</v>
      </c>
      <c r="D83" s="62"/>
      <c r="E83" s="61" t="s">
        <v>85</v>
      </c>
      <c r="F83" s="61" t="s">
        <v>96</v>
      </c>
      <c r="G83" s="110" t="s">
        <v>57</v>
      </c>
    </row>
    <row r="84" ht="19.5" customHeight="1">
      <c r="A84" s="60"/>
      <c r="B84" s="76">
        <v>46092.0</v>
      </c>
      <c r="C84" s="81"/>
      <c r="D84" s="62">
        <v>9.99</v>
      </c>
      <c r="E84" s="61" t="s">
        <v>192</v>
      </c>
      <c r="F84" s="61" t="s">
        <v>120</v>
      </c>
      <c r="G84" s="110" t="s">
        <v>57</v>
      </c>
    </row>
    <row r="85" ht="19.5" customHeight="1">
      <c r="A85" s="60"/>
      <c r="B85" s="76">
        <v>46096.0</v>
      </c>
      <c r="C85" s="81"/>
      <c r="D85" s="62">
        <v>19.99</v>
      </c>
      <c r="E85" s="61" t="s">
        <v>195</v>
      </c>
      <c r="F85" s="61" t="s">
        <v>124</v>
      </c>
      <c r="G85" s="110" t="s">
        <v>57</v>
      </c>
    </row>
    <row r="86" ht="19.5" customHeight="1">
      <c r="A86" s="60"/>
      <c r="B86" s="76">
        <v>46096.0</v>
      </c>
      <c r="C86" s="81"/>
      <c r="D86" s="62">
        <v>19.75</v>
      </c>
      <c r="E86" s="61" t="s">
        <v>127</v>
      </c>
      <c r="F86" s="61" t="s">
        <v>128</v>
      </c>
      <c r="G86" s="110" t="s">
        <v>57</v>
      </c>
    </row>
    <row r="87" ht="19.5" customHeight="1">
      <c r="A87" s="60"/>
      <c r="B87" s="76">
        <v>46097.0</v>
      </c>
      <c r="C87" s="81"/>
      <c r="D87" s="62">
        <v>20.0</v>
      </c>
      <c r="E87" s="61" t="s">
        <v>197</v>
      </c>
      <c r="F87" s="61" t="s">
        <v>133</v>
      </c>
      <c r="G87" s="110" t="s">
        <v>57</v>
      </c>
    </row>
    <row r="88" ht="19.5" customHeight="1">
      <c r="A88" s="60"/>
      <c r="B88" s="76">
        <v>46099.0</v>
      </c>
      <c r="C88" s="81"/>
      <c r="D88" s="62">
        <v>1.99</v>
      </c>
      <c r="E88" s="61" t="s">
        <v>198</v>
      </c>
      <c r="F88" s="61" t="s">
        <v>136</v>
      </c>
      <c r="G88" s="110" t="s">
        <v>57</v>
      </c>
    </row>
    <row r="89" ht="19.5" customHeight="1">
      <c r="A89" s="60"/>
      <c r="B89" s="76">
        <v>46102.0</v>
      </c>
      <c r="C89" s="81">
        <v>201018.0</v>
      </c>
      <c r="D89" s="62"/>
      <c r="E89" s="61" t="s">
        <v>158</v>
      </c>
      <c r="F89" s="61" t="s">
        <v>200</v>
      </c>
      <c r="G89" s="110" t="s">
        <v>57</v>
      </c>
    </row>
    <row r="90" ht="30.0" customHeight="1">
      <c r="A90" s="68" t="s">
        <v>43</v>
      </c>
      <c r="B90" s="69"/>
      <c r="C90" s="80">
        <f t="shared" ref="C90:D90" si="4">SUM(C81:C89)</f>
        <v>597420</v>
      </c>
      <c r="D90" s="80">
        <f t="shared" si="4"/>
        <v>71.72</v>
      </c>
      <c r="E90" s="71"/>
      <c r="F90" s="72"/>
    </row>
    <row r="91" ht="4.5" customHeight="1">
      <c r="A91" s="73"/>
      <c r="B91" s="74"/>
      <c r="C91" s="74"/>
      <c r="D91" s="74"/>
      <c r="E91" s="74"/>
      <c r="F91" s="74"/>
      <c r="G91" s="69"/>
    </row>
    <row r="92" ht="19.5" customHeight="1">
      <c r="A92" s="120" t="s">
        <v>16</v>
      </c>
      <c r="B92" s="55">
        <v>46080.0</v>
      </c>
      <c r="C92" s="62">
        <v>181962.5</v>
      </c>
      <c r="D92" s="62"/>
      <c r="E92" s="58" t="s">
        <v>162</v>
      </c>
      <c r="F92" s="58" t="s">
        <v>206</v>
      </c>
      <c r="G92" s="121" t="s">
        <v>57</v>
      </c>
    </row>
    <row r="93" ht="19.5" customHeight="1">
      <c r="A93" s="94"/>
      <c r="B93" s="76">
        <v>46081.0</v>
      </c>
      <c r="C93" s="81">
        <v>35392.5</v>
      </c>
      <c r="D93" s="81"/>
      <c r="E93" s="61" t="s">
        <v>164</v>
      </c>
      <c r="F93" s="61" t="s">
        <v>208</v>
      </c>
      <c r="G93" s="78" t="s">
        <v>57</v>
      </c>
    </row>
    <row r="94" ht="19.5" customHeight="1">
      <c r="A94" s="94"/>
      <c r="B94" s="76">
        <v>46083.0</v>
      </c>
      <c r="C94" s="81">
        <v>176962.5</v>
      </c>
      <c r="D94" s="81"/>
      <c r="E94" s="61" t="s">
        <v>164</v>
      </c>
      <c r="F94" s="61" t="s">
        <v>210</v>
      </c>
      <c r="G94" s="78" t="s">
        <v>57</v>
      </c>
    </row>
    <row r="95" ht="19.5" customHeight="1">
      <c r="A95" s="94"/>
      <c r="B95" s="76">
        <v>46083.0</v>
      </c>
      <c r="C95" s="88">
        <v>-28050.0</v>
      </c>
      <c r="D95" s="81"/>
      <c r="E95" s="61" t="s">
        <v>164</v>
      </c>
      <c r="F95" s="96" t="s">
        <v>211</v>
      </c>
      <c r="G95" s="99" t="s">
        <v>57</v>
      </c>
    </row>
    <row r="96" ht="19.5" customHeight="1">
      <c r="A96" s="94"/>
      <c r="B96" s="76">
        <v>46083.0</v>
      </c>
      <c r="C96" s="88">
        <v>-28050.0</v>
      </c>
      <c r="D96" s="81"/>
      <c r="E96" s="61" t="s">
        <v>164</v>
      </c>
      <c r="F96" s="94"/>
      <c r="G96" s="123"/>
    </row>
    <row r="97" ht="19.5" customHeight="1">
      <c r="A97" s="94"/>
      <c r="B97" s="76">
        <v>46083.0</v>
      </c>
      <c r="C97" s="88">
        <v>-28050.0</v>
      </c>
      <c r="D97" s="81"/>
      <c r="E97" s="61" t="s">
        <v>164</v>
      </c>
      <c r="F97" s="94"/>
      <c r="G97" s="123"/>
    </row>
    <row r="98" ht="19.5" customHeight="1">
      <c r="A98" s="94"/>
      <c r="B98" s="76">
        <v>46083.0</v>
      </c>
      <c r="C98" s="88">
        <v>-28050.0</v>
      </c>
      <c r="D98" s="81"/>
      <c r="E98" s="61" t="s">
        <v>164</v>
      </c>
      <c r="F98" s="94"/>
      <c r="G98" s="123"/>
    </row>
    <row r="99" ht="19.5" customHeight="1">
      <c r="A99" s="94"/>
      <c r="B99" s="76">
        <v>46083.0</v>
      </c>
      <c r="C99" s="88">
        <v>-28050.0</v>
      </c>
      <c r="D99" s="81"/>
      <c r="E99" s="61" t="s">
        <v>164</v>
      </c>
      <c r="F99" s="124"/>
      <c r="G99" s="106"/>
    </row>
    <row r="100" ht="19.5" customHeight="1">
      <c r="A100" s="94"/>
      <c r="B100" s="101">
        <v>46084.0</v>
      </c>
      <c r="C100" s="103">
        <v>200222.72</v>
      </c>
      <c r="D100" s="103"/>
      <c r="E100" s="104" t="s">
        <v>164</v>
      </c>
      <c r="F100" s="104" t="s">
        <v>214</v>
      </c>
      <c r="G100" s="78" t="s">
        <v>57</v>
      </c>
    </row>
    <row r="101" ht="30.0" customHeight="1">
      <c r="A101" s="68" t="s">
        <v>43</v>
      </c>
      <c r="B101" s="69"/>
      <c r="C101" s="80">
        <f>SUM(C92:C100)</f>
        <v>454290.22</v>
      </c>
      <c r="D101" s="80">
        <f>SUM(D92)</f>
        <v>0</v>
      </c>
      <c r="E101" s="109"/>
      <c r="F101" s="79"/>
    </row>
    <row r="102" ht="4.5" customHeight="1">
      <c r="A102" s="111"/>
      <c r="B102" s="112"/>
      <c r="C102" s="112"/>
      <c r="D102" s="113"/>
      <c r="E102" s="114"/>
      <c r="I102" s="114"/>
      <c r="M102" s="114"/>
      <c r="Q102" s="114"/>
      <c r="U102" s="114"/>
      <c r="Y102" s="114"/>
    </row>
    <row r="103" ht="30.0" customHeight="1">
      <c r="A103" s="118" t="s">
        <v>193</v>
      </c>
      <c r="B103" s="47"/>
      <c r="C103" s="119">
        <f>SUM(C42+C79+C90+C9)</f>
        <v>8183276.15</v>
      </c>
      <c r="D103" s="119">
        <f>SUM(D42+D79+D90+D101)</f>
        <v>71.72</v>
      </c>
      <c r="E103" s="109"/>
      <c r="F103" s="79"/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</sheetData>
  <mergeCells count="31">
    <mergeCell ref="A1:AA5"/>
    <mergeCell ref="A9:C10"/>
    <mergeCell ref="D9:E9"/>
    <mergeCell ref="F9:G9"/>
    <mergeCell ref="D10:E10"/>
    <mergeCell ref="F10:G10"/>
    <mergeCell ref="D11:E11"/>
    <mergeCell ref="F11:G11"/>
    <mergeCell ref="D12:G18"/>
    <mergeCell ref="A19:G19"/>
    <mergeCell ref="A21:A41"/>
    <mergeCell ref="A42:B42"/>
    <mergeCell ref="A43:G43"/>
    <mergeCell ref="A44:A78"/>
    <mergeCell ref="A92:A100"/>
    <mergeCell ref="A101:B101"/>
    <mergeCell ref="A103:B103"/>
    <mergeCell ref="A102:D102"/>
    <mergeCell ref="E102:H102"/>
    <mergeCell ref="I102:L102"/>
    <mergeCell ref="M102:P102"/>
    <mergeCell ref="Q102:T102"/>
    <mergeCell ref="U102:X102"/>
    <mergeCell ref="Y102:AA102"/>
    <mergeCell ref="A79:B79"/>
    <mergeCell ref="A80:G80"/>
    <mergeCell ref="A81:A89"/>
    <mergeCell ref="A90:B90"/>
    <mergeCell ref="A91:G91"/>
    <mergeCell ref="F95:F99"/>
    <mergeCell ref="G95:G99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29"/>
    <col customWidth="1" min="3" max="3" width="18.57"/>
    <col customWidth="1" min="4" max="4" width="15.57"/>
    <col customWidth="1" min="5" max="5" width="40.0"/>
    <col customWidth="1" min="6" max="6" width="82.71"/>
    <col customWidth="1" min="7" max="7" width="11.86"/>
    <col customWidth="1" min="8" max="27" width="10.71"/>
  </cols>
  <sheetData>
    <row r="1" ht="14.25" customHeight="1"/>
    <row r="2" ht="14.25" customHeight="1"/>
    <row r="3" ht="22.5" customHeight="1"/>
    <row r="4" ht="24.0" customHeight="1"/>
    <row r="5" ht="30.0" customHeight="1"/>
    <row r="6" ht="14.25" customHeight="1">
      <c r="A6" s="1" t="s">
        <v>0</v>
      </c>
      <c r="B6" s="2"/>
      <c r="C6" s="3"/>
      <c r="D6" s="84" t="s">
        <v>1</v>
      </c>
      <c r="E6" s="5"/>
      <c r="F6" s="85" t="s">
        <v>131</v>
      </c>
      <c r="G6" s="7"/>
    </row>
    <row r="7" ht="23.2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24.75" customHeight="1">
      <c r="A8" s="16" t="s">
        <v>5</v>
      </c>
      <c r="B8" s="19" t="s">
        <v>6</v>
      </c>
      <c r="C8" s="22" t="s">
        <v>7</v>
      </c>
      <c r="D8" s="86" t="s">
        <v>7</v>
      </c>
      <c r="E8" s="90"/>
      <c r="F8" s="30">
        <v>9428353.57</v>
      </c>
      <c r="G8" s="25"/>
    </row>
    <row r="9" ht="19.5" customHeight="1">
      <c r="A9" s="27" t="s">
        <v>9</v>
      </c>
      <c r="B9" s="31">
        <f>SUM(C30)</f>
        <v>4759463.73</v>
      </c>
      <c r="C9" s="95">
        <f t="shared" ref="C9:C15" si="1">SUM(B9)</f>
        <v>4759463.73</v>
      </c>
      <c r="D9" s="97" t="s">
        <v>10</v>
      </c>
      <c r="E9" s="98"/>
      <c r="F9" s="98"/>
      <c r="G9" s="100"/>
    </row>
    <row r="10" ht="19.5" customHeight="1">
      <c r="A10" s="27" t="s">
        <v>11</v>
      </c>
      <c r="B10" s="31">
        <f>SUM(D30)</f>
        <v>13.7</v>
      </c>
      <c r="C10" s="95">
        <f t="shared" si="1"/>
        <v>13.7</v>
      </c>
      <c r="D10" s="41"/>
      <c r="G10" s="37"/>
    </row>
    <row r="11" ht="19.5" customHeight="1">
      <c r="A11" s="27" t="s">
        <v>12</v>
      </c>
      <c r="B11" s="31">
        <f>SUM(C63)</f>
        <v>4450585.18</v>
      </c>
      <c r="C11" s="95">
        <f t="shared" si="1"/>
        <v>4450585.18</v>
      </c>
      <c r="D11" s="41"/>
      <c r="G11" s="37"/>
    </row>
    <row r="12" ht="19.5" customHeight="1">
      <c r="A12" s="27" t="s">
        <v>13</v>
      </c>
      <c r="B12" s="31"/>
      <c r="C12" s="108">
        <f t="shared" si="1"/>
        <v>0</v>
      </c>
      <c r="D12" s="41"/>
      <c r="G12" s="37"/>
    </row>
    <row r="13" ht="19.5" customHeight="1">
      <c r="A13" s="27" t="s">
        <v>14</v>
      </c>
      <c r="B13" s="31"/>
      <c r="C13" s="95">
        <f t="shared" si="1"/>
        <v>0</v>
      </c>
      <c r="D13" s="41"/>
      <c r="G13" s="37"/>
    </row>
    <row r="14" ht="19.5" customHeight="1">
      <c r="A14" s="27" t="s">
        <v>15</v>
      </c>
      <c r="B14" s="31">
        <f>SUM(D70)</f>
        <v>71.72</v>
      </c>
      <c r="C14" s="95">
        <f t="shared" si="1"/>
        <v>71.72</v>
      </c>
      <c r="D14" s="41"/>
      <c r="G14" s="37"/>
    </row>
    <row r="15" ht="19.5" customHeight="1">
      <c r="A15" s="27" t="s">
        <v>16</v>
      </c>
      <c r="B15" s="31">
        <f>SUM(C73)</f>
        <v>35000</v>
      </c>
      <c r="C15" s="95">
        <f t="shared" si="1"/>
        <v>35000</v>
      </c>
      <c r="D15" s="115"/>
      <c r="E15" s="116"/>
      <c r="F15" s="116"/>
      <c r="G15" s="117"/>
    </row>
    <row r="16" ht="4.5" customHeight="1">
      <c r="A16" s="48"/>
      <c r="B16" s="49"/>
      <c r="C16" s="49"/>
      <c r="D16" s="49"/>
      <c r="E16" s="49"/>
      <c r="F16" s="49"/>
      <c r="G16" s="51"/>
    </row>
    <row r="17" ht="24.75" customHeight="1">
      <c r="A17" s="52" t="s">
        <v>17</v>
      </c>
      <c r="B17" s="52" t="s">
        <v>18</v>
      </c>
      <c r="C17" s="52" t="s">
        <v>19</v>
      </c>
      <c r="D17" s="52" t="s">
        <v>20</v>
      </c>
      <c r="E17" s="52" t="s">
        <v>21</v>
      </c>
      <c r="F17" s="52" t="s">
        <v>22</v>
      </c>
      <c r="G17" s="53" t="s">
        <v>24</v>
      </c>
    </row>
    <row r="18" ht="19.5" customHeight="1">
      <c r="A18" s="54" t="s">
        <v>25</v>
      </c>
      <c r="B18" s="55">
        <v>46010.0</v>
      </c>
      <c r="C18" s="62">
        <v>199999.83</v>
      </c>
      <c r="D18" s="62"/>
      <c r="E18" s="61" t="s">
        <v>201</v>
      </c>
      <c r="F18" s="58"/>
      <c r="G18" s="59"/>
    </row>
    <row r="19" ht="19.5" customHeight="1">
      <c r="A19" s="60"/>
      <c r="B19" s="55">
        <v>46099.0</v>
      </c>
      <c r="C19" s="62">
        <v>155566.64</v>
      </c>
      <c r="D19" s="62"/>
      <c r="E19" s="61" t="s">
        <v>202</v>
      </c>
      <c r="F19" s="58"/>
      <c r="G19" s="59"/>
    </row>
    <row r="20" ht="19.5" customHeight="1">
      <c r="A20" s="60"/>
      <c r="B20" s="55">
        <v>46108.0</v>
      </c>
      <c r="C20" s="62">
        <v>242931.1</v>
      </c>
      <c r="D20" s="62"/>
      <c r="E20" s="61" t="s">
        <v>28</v>
      </c>
      <c r="F20" s="58"/>
      <c r="G20" s="59"/>
    </row>
    <row r="21" ht="19.5" customHeight="1">
      <c r="A21" s="60"/>
      <c r="B21" s="55">
        <v>46119.0</v>
      </c>
      <c r="C21" s="62"/>
      <c r="D21" s="62">
        <v>6.88</v>
      </c>
      <c r="E21" s="61" t="s">
        <v>204</v>
      </c>
      <c r="F21" s="58"/>
      <c r="G21" s="59"/>
    </row>
    <row r="22" ht="19.5" customHeight="1">
      <c r="A22" s="60"/>
      <c r="B22" s="55">
        <v>46119.0</v>
      </c>
      <c r="C22" s="62"/>
      <c r="D22" s="62">
        <v>6.82</v>
      </c>
      <c r="E22" s="61" t="s">
        <v>205</v>
      </c>
      <c r="F22" s="58"/>
      <c r="G22" s="59"/>
    </row>
    <row r="23" ht="19.5" customHeight="1">
      <c r="A23" s="60"/>
      <c r="B23" s="55">
        <v>46122.0</v>
      </c>
      <c r="C23" s="62">
        <v>86350.0</v>
      </c>
      <c r="D23" s="62"/>
      <c r="E23" s="61" t="s">
        <v>35</v>
      </c>
      <c r="F23" s="58"/>
      <c r="G23" s="59"/>
    </row>
    <row r="24" ht="19.5" customHeight="1">
      <c r="A24" s="60"/>
      <c r="B24" s="55">
        <v>46127.0</v>
      </c>
      <c r="C24" s="62">
        <v>667206.0</v>
      </c>
      <c r="D24" s="62"/>
      <c r="E24" s="61" t="s">
        <v>54</v>
      </c>
      <c r="F24" s="58"/>
      <c r="G24" s="59"/>
    </row>
    <row r="25" ht="19.5" customHeight="1">
      <c r="A25" s="60"/>
      <c r="B25" s="55">
        <v>46128.0</v>
      </c>
      <c r="C25" s="62">
        <v>6562.0</v>
      </c>
      <c r="D25" s="62"/>
      <c r="E25" s="122" t="s">
        <v>209</v>
      </c>
      <c r="F25" s="58"/>
      <c r="G25" s="59"/>
    </row>
    <row r="26" ht="19.5" customHeight="1">
      <c r="A26" s="60"/>
      <c r="B26" s="55">
        <v>46136.0</v>
      </c>
      <c r="C26" s="62">
        <v>2487851.57</v>
      </c>
      <c r="D26" s="62"/>
      <c r="E26" s="122" t="s">
        <v>45</v>
      </c>
      <c r="F26" s="58"/>
      <c r="G26" s="59"/>
    </row>
    <row r="27" ht="19.5" customHeight="1">
      <c r="A27" s="60"/>
      <c r="B27" s="55">
        <v>46136.0</v>
      </c>
      <c r="C27" s="62">
        <v>639999.0</v>
      </c>
      <c r="D27" s="62"/>
      <c r="E27" s="122" t="s">
        <v>212</v>
      </c>
      <c r="F27" s="58"/>
      <c r="G27" s="59"/>
    </row>
    <row r="28" ht="19.5" customHeight="1">
      <c r="A28" s="60"/>
      <c r="B28" s="55">
        <v>46136.0</v>
      </c>
      <c r="C28" s="62">
        <v>220500.0</v>
      </c>
      <c r="D28" s="62"/>
      <c r="E28" s="122" t="s">
        <v>213</v>
      </c>
      <c r="F28" s="58"/>
      <c r="G28" s="59"/>
    </row>
    <row r="29" ht="19.5" customHeight="1">
      <c r="A29" s="67"/>
      <c r="B29" s="55">
        <v>46136.0</v>
      </c>
      <c r="C29" s="62">
        <v>52497.59</v>
      </c>
      <c r="D29" s="62"/>
      <c r="E29" s="122" t="s">
        <v>39</v>
      </c>
      <c r="F29" s="58"/>
      <c r="G29" s="59"/>
    </row>
    <row r="30" ht="30.0" customHeight="1">
      <c r="A30" s="68" t="s">
        <v>43</v>
      </c>
      <c r="B30" s="69"/>
      <c r="C30" s="80">
        <f t="shared" ref="C30:D30" si="2">SUM(C18:C29)</f>
        <v>4759463.73</v>
      </c>
      <c r="D30" s="80">
        <f t="shared" si="2"/>
        <v>13.7</v>
      </c>
      <c r="E30" s="71"/>
      <c r="F30" s="72"/>
    </row>
    <row r="31" ht="4.5" customHeight="1">
      <c r="A31" s="73"/>
      <c r="B31" s="74"/>
      <c r="C31" s="74"/>
      <c r="D31" s="74"/>
      <c r="E31" s="74"/>
      <c r="F31" s="74"/>
      <c r="G31" s="69"/>
    </row>
    <row r="32" ht="19.5" customHeight="1">
      <c r="A32" s="75" t="s">
        <v>53</v>
      </c>
      <c r="B32" s="76">
        <v>46107.0</v>
      </c>
      <c r="C32" s="81">
        <v>49721.0</v>
      </c>
      <c r="D32" s="77"/>
      <c r="E32" s="126" t="s">
        <v>219</v>
      </c>
      <c r="F32" s="61" t="s">
        <v>96</v>
      </c>
      <c r="G32" s="110" t="s">
        <v>57</v>
      </c>
    </row>
    <row r="33" ht="19.5" customHeight="1">
      <c r="A33" s="60"/>
      <c r="B33" s="76">
        <v>46110.0</v>
      </c>
      <c r="C33" s="81">
        <v>33700.0</v>
      </c>
      <c r="D33" s="62"/>
      <c r="E33" s="126" t="s">
        <v>175</v>
      </c>
      <c r="F33" s="61" t="s">
        <v>96</v>
      </c>
      <c r="G33" s="110" t="s">
        <v>57</v>
      </c>
    </row>
    <row r="34" ht="19.5" customHeight="1">
      <c r="A34" s="60"/>
      <c r="B34" s="76">
        <v>46112.0</v>
      </c>
      <c r="C34" s="81">
        <v>30000.0</v>
      </c>
      <c r="D34" s="62"/>
      <c r="E34" s="126" t="s">
        <v>181</v>
      </c>
      <c r="F34" s="61" t="s">
        <v>96</v>
      </c>
      <c r="G34" s="110" t="s">
        <v>57</v>
      </c>
    </row>
    <row r="35" ht="19.5" customHeight="1">
      <c r="A35" s="60"/>
      <c r="B35" s="76">
        <v>46113.0</v>
      </c>
      <c r="C35" s="81">
        <v>154000.0</v>
      </c>
      <c r="D35" s="62"/>
      <c r="E35" s="126" t="s">
        <v>45</v>
      </c>
      <c r="F35" s="61" t="s">
        <v>222</v>
      </c>
      <c r="G35" s="110" t="s">
        <v>57</v>
      </c>
    </row>
    <row r="36" ht="19.5" customHeight="1">
      <c r="A36" s="60"/>
      <c r="B36" s="76">
        <v>46113.0</v>
      </c>
      <c r="C36" s="81">
        <v>46999.94</v>
      </c>
      <c r="D36" s="62"/>
      <c r="E36" s="126" t="s">
        <v>156</v>
      </c>
      <c r="F36" s="61" t="s">
        <v>96</v>
      </c>
      <c r="G36" s="110" t="s">
        <v>57</v>
      </c>
    </row>
    <row r="37" ht="19.5" customHeight="1">
      <c r="A37" s="60"/>
      <c r="B37" s="76">
        <v>46113.0</v>
      </c>
      <c r="C37" s="81">
        <v>78007.0</v>
      </c>
      <c r="D37" s="62"/>
      <c r="E37" s="126" t="s">
        <v>223</v>
      </c>
      <c r="F37" s="61" t="s">
        <v>59</v>
      </c>
      <c r="G37" s="110" t="s">
        <v>57</v>
      </c>
    </row>
    <row r="38" ht="19.5" customHeight="1">
      <c r="A38" s="60"/>
      <c r="B38" s="76">
        <v>46113.0</v>
      </c>
      <c r="C38" s="81">
        <v>12025.0</v>
      </c>
      <c r="D38" s="62"/>
      <c r="E38" s="126" t="s">
        <v>223</v>
      </c>
      <c r="F38" s="61" t="s">
        <v>224</v>
      </c>
      <c r="G38" s="110" t="s">
        <v>57</v>
      </c>
    </row>
    <row r="39" ht="19.5" customHeight="1">
      <c r="A39" s="60"/>
      <c r="B39" s="76">
        <v>46113.0</v>
      </c>
      <c r="C39" s="81">
        <v>140000.0</v>
      </c>
      <c r="D39" s="62"/>
      <c r="E39" s="126" t="s">
        <v>83</v>
      </c>
      <c r="F39" s="61" t="s">
        <v>98</v>
      </c>
      <c r="G39" s="110" t="s">
        <v>57</v>
      </c>
    </row>
    <row r="40" ht="19.5" customHeight="1">
      <c r="A40" s="60"/>
      <c r="B40" s="76">
        <v>46116.0</v>
      </c>
      <c r="C40" s="81">
        <v>86676.78</v>
      </c>
      <c r="D40" s="62"/>
      <c r="E40" s="126" t="s">
        <v>225</v>
      </c>
      <c r="F40" s="61" t="s">
        <v>226</v>
      </c>
      <c r="G40" s="110" t="s">
        <v>107</v>
      </c>
    </row>
    <row r="41" ht="19.5" customHeight="1">
      <c r="A41" s="60"/>
      <c r="B41" s="76">
        <v>46116.0</v>
      </c>
      <c r="C41" s="81">
        <v>106599.0</v>
      </c>
      <c r="D41" s="62"/>
      <c r="E41" s="126" t="s">
        <v>45</v>
      </c>
      <c r="F41" s="61" t="s">
        <v>226</v>
      </c>
      <c r="G41" s="110" t="s">
        <v>107</v>
      </c>
    </row>
    <row r="42" ht="19.5" customHeight="1">
      <c r="A42" s="60"/>
      <c r="B42" s="76">
        <v>46119.0</v>
      </c>
      <c r="C42" s="81">
        <v>100000.0</v>
      </c>
      <c r="D42" s="62"/>
      <c r="E42" s="126" t="s">
        <v>184</v>
      </c>
      <c r="F42" s="61" t="s">
        <v>56</v>
      </c>
      <c r="G42" s="110" t="s">
        <v>57</v>
      </c>
    </row>
    <row r="43" ht="19.5" customHeight="1">
      <c r="A43" s="60"/>
      <c r="B43" s="76">
        <v>46119.0</v>
      </c>
      <c r="C43" s="81">
        <v>77874.16</v>
      </c>
      <c r="D43" s="62"/>
      <c r="E43" s="126" t="s">
        <v>45</v>
      </c>
      <c r="F43" s="61" t="s">
        <v>227</v>
      </c>
      <c r="G43" s="110" t="s">
        <v>57</v>
      </c>
    </row>
    <row r="44" ht="19.5" customHeight="1">
      <c r="A44" s="60"/>
      <c r="B44" s="76">
        <v>46122.0</v>
      </c>
      <c r="C44" s="81">
        <v>876000.0</v>
      </c>
      <c r="D44" s="62"/>
      <c r="E44" s="126" t="s">
        <v>228</v>
      </c>
      <c r="F44" s="61" t="s">
        <v>229</v>
      </c>
      <c r="G44" s="110" t="s">
        <v>57</v>
      </c>
    </row>
    <row r="45" ht="19.5" customHeight="1">
      <c r="A45" s="60"/>
      <c r="B45" s="76">
        <v>46122.0</v>
      </c>
      <c r="C45" s="81">
        <v>140000.0</v>
      </c>
      <c r="D45" s="62"/>
      <c r="E45" s="126" t="s">
        <v>65</v>
      </c>
      <c r="F45" s="61" t="s">
        <v>98</v>
      </c>
      <c r="G45" s="110" t="s">
        <v>57</v>
      </c>
    </row>
    <row r="46" ht="19.5" customHeight="1">
      <c r="A46" s="60"/>
      <c r="B46" s="76">
        <v>46123.0</v>
      </c>
      <c r="C46" s="81">
        <v>291001.01</v>
      </c>
      <c r="D46" s="62"/>
      <c r="E46" s="126" t="s">
        <v>137</v>
      </c>
      <c r="F46" s="61" t="s">
        <v>230</v>
      </c>
      <c r="G46" s="110" t="s">
        <v>57</v>
      </c>
    </row>
    <row r="47" ht="19.5" customHeight="1">
      <c r="A47" s="60"/>
      <c r="B47" s="76">
        <v>46125.0</v>
      </c>
      <c r="C47" s="81">
        <v>165991.0</v>
      </c>
      <c r="D47" s="62"/>
      <c r="E47" s="126" t="s">
        <v>92</v>
      </c>
      <c r="F47" s="61" t="s">
        <v>56</v>
      </c>
      <c r="G47" s="110" t="s">
        <v>57</v>
      </c>
    </row>
    <row r="48" ht="19.5" customHeight="1">
      <c r="A48" s="60"/>
      <c r="B48" s="76">
        <v>46129.0</v>
      </c>
      <c r="C48" s="81">
        <v>50000.0</v>
      </c>
      <c r="D48" s="62"/>
      <c r="E48" s="126" t="s">
        <v>156</v>
      </c>
      <c r="F48" s="61" t="s">
        <v>59</v>
      </c>
      <c r="G48" s="110" t="s">
        <v>57</v>
      </c>
    </row>
    <row r="49" ht="19.5" customHeight="1">
      <c r="A49" s="60"/>
      <c r="B49" s="76">
        <v>46129.0</v>
      </c>
      <c r="C49" s="81">
        <v>723494.0</v>
      </c>
      <c r="D49" s="62"/>
      <c r="E49" s="126" t="s">
        <v>231</v>
      </c>
      <c r="F49" s="61" t="s">
        <v>232</v>
      </c>
      <c r="G49" s="110" t="s">
        <v>57</v>
      </c>
    </row>
    <row r="50" ht="19.5" customHeight="1">
      <c r="A50" s="60"/>
      <c r="B50" s="76">
        <v>46133.0</v>
      </c>
      <c r="C50" s="81">
        <v>147805.61</v>
      </c>
      <c r="D50" s="62"/>
      <c r="E50" s="126" t="s">
        <v>113</v>
      </c>
      <c r="F50" s="61" t="s">
        <v>56</v>
      </c>
      <c r="G50" s="110" t="s">
        <v>57</v>
      </c>
    </row>
    <row r="51" ht="19.5" customHeight="1">
      <c r="A51" s="60"/>
      <c r="B51" s="76">
        <v>46133.0</v>
      </c>
      <c r="C51" s="81">
        <v>62000.0</v>
      </c>
      <c r="D51" s="62"/>
      <c r="E51" s="126" t="s">
        <v>233</v>
      </c>
      <c r="F51" s="61" t="s">
        <v>234</v>
      </c>
      <c r="G51" s="110" t="s">
        <v>57</v>
      </c>
    </row>
    <row r="52" ht="19.5" customHeight="1">
      <c r="A52" s="60"/>
      <c r="B52" s="76">
        <v>46134.0</v>
      </c>
      <c r="C52" s="81">
        <v>126203.03</v>
      </c>
      <c r="D52" s="62"/>
      <c r="E52" s="126" t="s">
        <v>235</v>
      </c>
      <c r="F52" s="61" t="s">
        <v>236</v>
      </c>
      <c r="G52" s="110" t="s">
        <v>57</v>
      </c>
    </row>
    <row r="53" ht="19.5" customHeight="1">
      <c r="A53" s="60"/>
      <c r="B53" s="76">
        <v>46134.0</v>
      </c>
      <c r="C53" s="81">
        <v>69700.0</v>
      </c>
      <c r="D53" s="62"/>
      <c r="E53" s="126" t="s">
        <v>235</v>
      </c>
      <c r="F53" s="61" t="s">
        <v>237</v>
      </c>
      <c r="G53" s="110" t="s">
        <v>57</v>
      </c>
    </row>
    <row r="54" ht="19.5" customHeight="1">
      <c r="A54" s="60"/>
      <c r="B54" s="76">
        <v>46134.0</v>
      </c>
      <c r="C54" s="81">
        <v>123999.88</v>
      </c>
      <c r="D54" s="62"/>
      <c r="E54" s="126" t="s">
        <v>137</v>
      </c>
      <c r="F54" s="61" t="s">
        <v>238</v>
      </c>
      <c r="G54" s="110" t="s">
        <v>57</v>
      </c>
    </row>
    <row r="55" ht="19.5" customHeight="1">
      <c r="A55" s="60"/>
      <c r="B55" s="76">
        <v>46136.0</v>
      </c>
      <c r="C55" s="81">
        <v>147015.68</v>
      </c>
      <c r="D55" s="62"/>
      <c r="E55" s="126" t="s">
        <v>113</v>
      </c>
      <c r="F55" s="61" t="s">
        <v>59</v>
      </c>
      <c r="G55" s="110" t="s">
        <v>57</v>
      </c>
    </row>
    <row r="56" ht="19.5" customHeight="1">
      <c r="A56" s="60"/>
      <c r="B56" s="76">
        <v>46138.0</v>
      </c>
      <c r="C56" s="81">
        <v>74008.08</v>
      </c>
      <c r="D56" s="62"/>
      <c r="E56" s="126" t="s">
        <v>158</v>
      </c>
      <c r="F56" s="61" t="s">
        <v>96</v>
      </c>
      <c r="G56" s="110" t="s">
        <v>57</v>
      </c>
    </row>
    <row r="57" ht="19.5" customHeight="1">
      <c r="A57" s="60"/>
      <c r="B57" s="76">
        <v>46138.0</v>
      </c>
      <c r="C57" s="81">
        <v>28001.07</v>
      </c>
      <c r="D57" s="62"/>
      <c r="E57" s="126" t="s">
        <v>158</v>
      </c>
      <c r="F57" s="61" t="s">
        <v>239</v>
      </c>
      <c r="G57" s="110" t="s">
        <v>57</v>
      </c>
    </row>
    <row r="58" ht="19.5" customHeight="1">
      <c r="A58" s="60"/>
      <c r="B58" s="76">
        <v>46140.0</v>
      </c>
      <c r="C58" s="81">
        <v>140829.9</v>
      </c>
      <c r="D58" s="62"/>
      <c r="E58" s="126" t="s">
        <v>158</v>
      </c>
      <c r="F58" s="61" t="s">
        <v>56</v>
      </c>
      <c r="G58" s="110" t="s">
        <v>57</v>
      </c>
    </row>
    <row r="59" ht="19.5" customHeight="1">
      <c r="A59" s="60"/>
      <c r="B59" s="76">
        <v>46140.0</v>
      </c>
      <c r="C59" s="81">
        <v>88688.07</v>
      </c>
      <c r="D59" s="62"/>
      <c r="E59" s="126" t="s">
        <v>158</v>
      </c>
      <c r="F59" s="61" t="s">
        <v>59</v>
      </c>
      <c r="G59" s="110" t="s">
        <v>57</v>
      </c>
    </row>
    <row r="60" ht="19.5" customHeight="1">
      <c r="A60" s="60"/>
      <c r="B60" s="76">
        <v>46140.0</v>
      </c>
      <c r="C60" s="81">
        <v>6270.0</v>
      </c>
      <c r="D60" s="62"/>
      <c r="E60" s="126" t="s">
        <v>158</v>
      </c>
      <c r="F60" s="61" t="s">
        <v>240</v>
      </c>
      <c r="G60" s="110" t="s">
        <v>57</v>
      </c>
    </row>
    <row r="61" ht="19.5" customHeight="1">
      <c r="A61" s="60"/>
      <c r="B61" s="76">
        <v>46141.0</v>
      </c>
      <c r="C61" s="81">
        <v>157038.0</v>
      </c>
      <c r="D61" s="62"/>
      <c r="E61" s="126" t="s">
        <v>223</v>
      </c>
      <c r="F61" s="61" t="s">
        <v>159</v>
      </c>
      <c r="G61" s="110" t="s">
        <v>57</v>
      </c>
    </row>
    <row r="62" ht="19.5" customHeight="1">
      <c r="A62" s="60"/>
      <c r="B62" s="76">
        <v>46141.0</v>
      </c>
      <c r="C62" s="81">
        <v>116936.97</v>
      </c>
      <c r="D62" s="62"/>
      <c r="E62" s="126" t="s">
        <v>158</v>
      </c>
      <c r="F62" s="61" t="s">
        <v>159</v>
      </c>
      <c r="G62" s="110" t="s">
        <v>57</v>
      </c>
    </row>
    <row r="63" ht="29.25" customHeight="1">
      <c r="A63" s="68" t="s">
        <v>43</v>
      </c>
      <c r="B63" s="69"/>
      <c r="C63" s="80">
        <f t="shared" ref="C63:D63" si="3">SUM(C32:C62)</f>
        <v>4450585.18</v>
      </c>
      <c r="D63" s="80">
        <f t="shared" si="3"/>
        <v>0</v>
      </c>
      <c r="E63" s="71"/>
      <c r="F63" s="72"/>
    </row>
    <row r="64" ht="4.5" customHeight="1">
      <c r="A64" s="73"/>
      <c r="B64" s="74"/>
      <c r="C64" s="74"/>
      <c r="D64" s="74"/>
      <c r="E64" s="74"/>
      <c r="F64" s="74"/>
      <c r="G64" s="69"/>
    </row>
    <row r="65" ht="19.5" customHeight="1">
      <c r="A65" s="75" t="s">
        <v>108</v>
      </c>
      <c r="B65" s="76">
        <v>46123.0</v>
      </c>
      <c r="C65" s="81"/>
      <c r="D65" s="77">
        <v>9.99</v>
      </c>
      <c r="E65" s="126" t="s">
        <v>241</v>
      </c>
      <c r="F65" s="61" t="s">
        <v>120</v>
      </c>
      <c r="G65" s="110" t="s">
        <v>57</v>
      </c>
    </row>
    <row r="66" ht="19.5" customHeight="1">
      <c r="A66" s="60"/>
      <c r="B66" s="76">
        <v>46127.0</v>
      </c>
      <c r="C66" s="81"/>
      <c r="D66" s="62">
        <v>19.99</v>
      </c>
      <c r="E66" s="126" t="s">
        <v>242</v>
      </c>
      <c r="F66" s="61" t="s">
        <v>124</v>
      </c>
      <c r="G66" s="110" t="s">
        <v>57</v>
      </c>
    </row>
    <row r="67" ht="19.5" customHeight="1">
      <c r="A67" s="60"/>
      <c r="B67" s="76">
        <v>46127.0</v>
      </c>
      <c r="C67" s="81"/>
      <c r="D67" s="62">
        <v>19.75</v>
      </c>
      <c r="E67" s="126" t="s">
        <v>127</v>
      </c>
      <c r="F67" s="61" t="s">
        <v>128</v>
      </c>
      <c r="G67" s="110" t="s">
        <v>57</v>
      </c>
    </row>
    <row r="68" ht="19.5" customHeight="1">
      <c r="A68" s="60"/>
      <c r="B68" s="76">
        <v>46128.0</v>
      </c>
      <c r="C68" s="81"/>
      <c r="D68" s="62">
        <v>20.0</v>
      </c>
      <c r="E68" s="126" t="s">
        <v>243</v>
      </c>
      <c r="F68" s="61" t="s">
        <v>133</v>
      </c>
      <c r="G68" s="110" t="s">
        <v>57</v>
      </c>
    </row>
    <row r="69" ht="19.5" customHeight="1">
      <c r="A69" s="60"/>
      <c r="B69" s="76">
        <v>46130.0</v>
      </c>
      <c r="C69" s="81"/>
      <c r="D69" s="62">
        <v>1.99</v>
      </c>
      <c r="E69" s="126" t="s">
        <v>244</v>
      </c>
      <c r="F69" s="61" t="s">
        <v>136</v>
      </c>
      <c r="G69" s="110" t="s">
        <v>57</v>
      </c>
    </row>
    <row r="70" ht="30.0" customHeight="1">
      <c r="A70" s="68" t="s">
        <v>43</v>
      </c>
      <c r="B70" s="69"/>
      <c r="C70" s="80">
        <f t="shared" ref="C70:D70" si="4">SUM(C65:C69)</f>
        <v>0</v>
      </c>
      <c r="D70" s="80">
        <f t="shared" si="4"/>
        <v>71.72</v>
      </c>
      <c r="E70" s="71"/>
      <c r="F70" s="72"/>
    </row>
    <row r="71" ht="4.5" customHeight="1">
      <c r="A71" s="89"/>
      <c r="B71" s="91"/>
      <c r="C71" s="91"/>
      <c r="D71" s="91"/>
      <c r="E71" s="91"/>
      <c r="F71" s="91"/>
      <c r="G71" s="92"/>
    </row>
    <row r="72" ht="19.5" customHeight="1">
      <c r="A72" s="93" t="s">
        <v>16</v>
      </c>
      <c r="B72" s="76">
        <v>46139.0</v>
      </c>
      <c r="C72" s="81">
        <v>35000.0</v>
      </c>
      <c r="D72" s="81"/>
      <c r="E72" s="126" t="s">
        <v>245</v>
      </c>
      <c r="F72" s="61" t="s">
        <v>246</v>
      </c>
      <c r="G72" s="110" t="s">
        <v>57</v>
      </c>
    </row>
    <row r="73" ht="30.0" customHeight="1">
      <c r="A73" s="127" t="s">
        <v>43</v>
      </c>
      <c r="B73" s="128"/>
      <c r="C73" s="81">
        <f t="shared" ref="C73:D73" si="5">SUM(C72)</f>
        <v>35000</v>
      </c>
      <c r="D73" s="81">
        <f t="shared" si="5"/>
        <v>0</v>
      </c>
      <c r="E73" s="109"/>
      <c r="F73" s="79"/>
    </row>
    <row r="74" ht="4.5" customHeight="1">
      <c r="A74" s="130"/>
      <c r="B74" s="131"/>
      <c r="C74" s="131"/>
      <c r="D74" s="132"/>
      <c r="E74" s="114"/>
      <c r="I74" s="114"/>
      <c r="M74" s="114"/>
      <c r="Q74" s="114"/>
      <c r="U74" s="114"/>
      <c r="Y74" s="114"/>
    </row>
    <row r="75" ht="30.0" customHeight="1">
      <c r="A75" s="118" t="s">
        <v>193</v>
      </c>
      <c r="B75" s="47"/>
      <c r="C75" s="119">
        <f>SUM(C30+C63+C70+C6)</f>
        <v>9210048.91</v>
      </c>
      <c r="D75" s="119">
        <f>SUM(D30+D63+D70+D73)</f>
        <v>85.42</v>
      </c>
      <c r="E75" s="109"/>
      <c r="F75" s="7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27">
    <mergeCell ref="A6:C7"/>
    <mergeCell ref="D6:E6"/>
    <mergeCell ref="F6:G6"/>
    <mergeCell ref="D7:E7"/>
    <mergeCell ref="F7:G7"/>
    <mergeCell ref="D8:E8"/>
    <mergeCell ref="F8:G8"/>
    <mergeCell ref="A32:A62"/>
    <mergeCell ref="A65:A69"/>
    <mergeCell ref="A70:B70"/>
    <mergeCell ref="A73:B73"/>
    <mergeCell ref="A75:B75"/>
    <mergeCell ref="A71:G71"/>
    <mergeCell ref="A74:D74"/>
    <mergeCell ref="E74:H74"/>
    <mergeCell ref="I74:L74"/>
    <mergeCell ref="M74:P74"/>
    <mergeCell ref="Q74:T74"/>
    <mergeCell ref="U74:X74"/>
    <mergeCell ref="Y74:AA74"/>
    <mergeCell ref="D9:G15"/>
    <mergeCell ref="A16:G16"/>
    <mergeCell ref="A18:A29"/>
    <mergeCell ref="A30:B30"/>
    <mergeCell ref="A31:G31"/>
    <mergeCell ref="A63:B63"/>
    <mergeCell ref="A64:G64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6.29"/>
    <col customWidth="1" min="7" max="7" width="11.86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22.5" customHeight="1">
      <c r="A6" s="133" t="s">
        <v>0</v>
      </c>
      <c r="B6" s="2"/>
      <c r="C6" s="3"/>
      <c r="D6" s="84" t="s">
        <v>1</v>
      </c>
      <c r="E6" s="5"/>
      <c r="F6" s="85" t="s">
        <v>247</v>
      </c>
      <c r="G6" s="7"/>
    </row>
    <row r="7" ht="23.2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25.5" customHeight="1">
      <c r="A8" s="134" t="s">
        <v>5</v>
      </c>
      <c r="B8" s="135" t="s">
        <v>6</v>
      </c>
      <c r="C8" s="136" t="s">
        <v>7</v>
      </c>
      <c r="D8" s="86" t="s">
        <v>7</v>
      </c>
      <c r="E8" s="90"/>
      <c r="F8" s="30">
        <v>9428353.57</v>
      </c>
      <c r="G8" s="25"/>
    </row>
    <row r="9" ht="19.5" customHeight="1">
      <c r="A9" s="27" t="s">
        <v>9</v>
      </c>
      <c r="B9" s="31">
        <f>SUM(C35)</f>
        <v>3093526.74</v>
      </c>
      <c r="C9" s="32">
        <f t="shared" ref="C9:C15" si="1">SUM(B9)</f>
        <v>3093526.74</v>
      </c>
      <c r="D9" s="137" t="s">
        <v>10</v>
      </c>
      <c r="E9" s="98"/>
      <c r="F9" s="98"/>
      <c r="G9" s="100"/>
    </row>
    <row r="10" ht="19.5" customHeight="1">
      <c r="A10" s="27" t="s">
        <v>11</v>
      </c>
      <c r="B10" s="138">
        <f>SUM(D35)</f>
        <v>0</v>
      </c>
      <c r="C10" s="139">
        <f t="shared" si="1"/>
        <v>0</v>
      </c>
      <c r="D10" s="36"/>
      <c r="G10" s="37"/>
    </row>
    <row r="11" ht="19.5" customHeight="1">
      <c r="A11" s="27" t="s">
        <v>12</v>
      </c>
      <c r="B11" s="140">
        <f>SUM(C75)</f>
        <v>7583311.61</v>
      </c>
      <c r="C11" s="95">
        <f t="shared" si="1"/>
        <v>7583311.61</v>
      </c>
      <c r="D11" s="36"/>
      <c r="G11" s="37"/>
    </row>
    <row r="12" ht="19.5" customHeight="1">
      <c r="A12" s="27" t="s">
        <v>13</v>
      </c>
      <c r="B12" s="138"/>
      <c r="C12" s="141">
        <f t="shared" si="1"/>
        <v>0</v>
      </c>
      <c r="D12" s="36"/>
      <c r="G12" s="37"/>
    </row>
    <row r="13" ht="19.5" customHeight="1">
      <c r="A13" s="27" t="s">
        <v>14</v>
      </c>
      <c r="B13" s="140">
        <f>SUM(C90)</f>
        <v>521480.54</v>
      </c>
      <c r="C13" s="95">
        <f t="shared" si="1"/>
        <v>521480.54</v>
      </c>
      <c r="D13" s="36"/>
      <c r="G13" s="37"/>
    </row>
    <row r="14" ht="19.5" customHeight="1">
      <c r="A14" s="27" t="s">
        <v>15</v>
      </c>
      <c r="B14" s="142">
        <f>SUM(D90)</f>
        <v>140.72</v>
      </c>
      <c r="C14" s="95">
        <f t="shared" si="1"/>
        <v>140.72</v>
      </c>
      <c r="D14" s="36"/>
      <c r="G14" s="37"/>
    </row>
    <row r="15" ht="19.5" customHeight="1">
      <c r="A15" s="143" t="s">
        <v>16</v>
      </c>
      <c r="B15" s="138">
        <f>SUM(C101)</f>
        <v>724650.88</v>
      </c>
      <c r="C15" s="95">
        <f t="shared" si="1"/>
        <v>724650.88</v>
      </c>
      <c r="D15" s="144"/>
      <c r="E15" s="116"/>
      <c r="F15" s="116"/>
      <c r="G15" s="117"/>
    </row>
    <row r="16" ht="4.5" customHeight="1">
      <c r="A16" s="145"/>
      <c r="B16" s="146"/>
      <c r="C16" s="146"/>
      <c r="D16" s="146"/>
      <c r="E16" s="146"/>
      <c r="F16" s="146"/>
      <c r="G16" s="147"/>
    </row>
    <row r="17" ht="24.75" customHeight="1">
      <c r="A17" s="148" t="s">
        <v>17</v>
      </c>
      <c r="B17" s="148" t="s">
        <v>18</v>
      </c>
      <c r="C17" s="148" t="s">
        <v>19</v>
      </c>
      <c r="D17" s="148" t="s">
        <v>20</v>
      </c>
      <c r="E17" s="150" t="s">
        <v>21</v>
      </c>
      <c r="F17" s="151" t="s">
        <v>22</v>
      </c>
      <c r="G17" s="152" t="s">
        <v>24</v>
      </c>
    </row>
    <row r="18" ht="19.5" customHeight="1">
      <c r="A18" s="75" t="s">
        <v>25</v>
      </c>
      <c r="B18" s="153">
        <v>46010.0</v>
      </c>
      <c r="C18" s="154">
        <v>199999.83</v>
      </c>
      <c r="D18" s="77"/>
      <c r="E18" s="10" t="s">
        <v>249</v>
      </c>
      <c r="F18" s="155"/>
      <c r="G18" s="156"/>
    </row>
    <row r="19" ht="19.5" customHeight="1">
      <c r="A19" s="60"/>
      <c r="B19" s="55">
        <v>46099.0</v>
      </c>
      <c r="C19" s="157">
        <v>155566.64</v>
      </c>
      <c r="D19" s="62"/>
      <c r="E19" s="61" t="s">
        <v>250</v>
      </c>
      <c r="F19" s="58"/>
      <c r="G19" s="59"/>
    </row>
    <row r="20" ht="19.5" customHeight="1">
      <c r="A20" s="60"/>
      <c r="B20" s="55">
        <v>46142.0</v>
      </c>
      <c r="C20" s="157">
        <v>240109.89</v>
      </c>
      <c r="D20" s="62"/>
      <c r="E20" s="61" t="s">
        <v>28</v>
      </c>
      <c r="F20" s="58"/>
      <c r="G20" s="59"/>
    </row>
    <row r="21" ht="19.5" customHeight="1">
      <c r="A21" s="60"/>
      <c r="B21" s="55">
        <v>46149.0</v>
      </c>
      <c r="C21" s="157">
        <v>25900.0</v>
      </c>
      <c r="D21" s="62"/>
      <c r="E21" s="61" t="s">
        <v>35</v>
      </c>
      <c r="F21" s="58"/>
      <c r="G21" s="59"/>
    </row>
    <row r="22" ht="19.5" customHeight="1">
      <c r="A22" s="60"/>
      <c r="B22" s="55">
        <v>46156.0</v>
      </c>
      <c r="C22" s="157">
        <v>499992.52</v>
      </c>
      <c r="D22" s="62"/>
      <c r="E22" s="61" t="s">
        <v>251</v>
      </c>
      <c r="F22" s="58"/>
      <c r="G22" s="59"/>
    </row>
    <row r="23" ht="19.5" customHeight="1">
      <c r="A23" s="60"/>
      <c r="B23" s="55">
        <v>46157.0</v>
      </c>
      <c r="C23" s="157">
        <v>9003.0</v>
      </c>
      <c r="D23" s="62"/>
      <c r="E23" s="61" t="s">
        <v>252</v>
      </c>
      <c r="F23" s="58"/>
      <c r="G23" s="59"/>
    </row>
    <row r="24" ht="19.5" customHeight="1">
      <c r="A24" s="60"/>
      <c r="B24" s="55">
        <v>46157.0</v>
      </c>
      <c r="C24" s="157">
        <v>667206.0</v>
      </c>
      <c r="D24" s="62"/>
      <c r="E24" s="61" t="s">
        <v>54</v>
      </c>
      <c r="F24" s="58"/>
      <c r="G24" s="59"/>
    </row>
    <row r="25" ht="19.5" customHeight="1">
      <c r="A25" s="60"/>
      <c r="B25" s="55">
        <v>46157.0</v>
      </c>
      <c r="C25" s="157">
        <v>24812.3</v>
      </c>
      <c r="D25" s="62"/>
      <c r="E25" s="61" t="s">
        <v>253</v>
      </c>
      <c r="F25" s="58"/>
      <c r="G25" s="59"/>
    </row>
    <row r="26" ht="19.5" customHeight="1">
      <c r="A26" s="60"/>
      <c r="B26" s="55">
        <v>46164.0</v>
      </c>
      <c r="C26" s="157">
        <v>35190.0</v>
      </c>
      <c r="D26" s="62"/>
      <c r="E26" s="61" t="s">
        <v>254</v>
      </c>
      <c r="F26" s="58"/>
      <c r="G26" s="59"/>
    </row>
    <row r="27" ht="19.5" customHeight="1">
      <c r="A27" s="60"/>
      <c r="B27" s="55">
        <v>46165.0</v>
      </c>
      <c r="C27" s="157">
        <v>727620.0</v>
      </c>
      <c r="D27" s="62"/>
      <c r="E27" s="61" t="s">
        <v>255</v>
      </c>
      <c r="F27" s="58"/>
      <c r="G27" s="59"/>
    </row>
    <row r="28" ht="19.5" customHeight="1">
      <c r="A28" s="60"/>
      <c r="B28" s="55">
        <v>46165.0</v>
      </c>
      <c r="C28" s="157">
        <v>70400.0</v>
      </c>
      <c r="D28" s="62"/>
      <c r="E28" s="61" t="s">
        <v>256</v>
      </c>
      <c r="F28" s="58"/>
      <c r="G28" s="59"/>
    </row>
    <row r="29" ht="19.5" customHeight="1">
      <c r="A29" s="60"/>
      <c r="B29" s="55">
        <v>46165.0</v>
      </c>
      <c r="C29" s="157">
        <v>38364.5</v>
      </c>
      <c r="D29" s="62"/>
      <c r="E29" s="61" t="s">
        <v>257</v>
      </c>
      <c r="F29" s="58"/>
      <c r="G29" s="59"/>
    </row>
    <row r="30" ht="19.5" customHeight="1">
      <c r="A30" s="60"/>
      <c r="B30" s="55">
        <v>46167.0</v>
      </c>
      <c r="C30" s="157">
        <v>55039.06</v>
      </c>
      <c r="D30" s="62"/>
      <c r="E30" s="61" t="s">
        <v>39</v>
      </c>
      <c r="F30" s="58"/>
      <c r="G30" s="59"/>
    </row>
    <row r="31" ht="19.5" customHeight="1">
      <c r="A31" s="60"/>
      <c r="B31" s="55">
        <v>46167.0</v>
      </c>
      <c r="C31" s="157">
        <v>30000.0</v>
      </c>
      <c r="D31" s="62"/>
      <c r="E31" s="61" t="s">
        <v>258</v>
      </c>
      <c r="F31" s="58"/>
      <c r="G31" s="59"/>
    </row>
    <row r="32" ht="19.5" customHeight="1">
      <c r="A32" s="60"/>
      <c r="B32" s="55">
        <v>46167.0</v>
      </c>
      <c r="C32" s="157">
        <v>160000.0</v>
      </c>
      <c r="D32" s="62"/>
      <c r="E32" s="122" t="s">
        <v>259</v>
      </c>
      <c r="F32" s="58"/>
      <c r="G32" s="59"/>
    </row>
    <row r="33" ht="19.5" customHeight="1">
      <c r="A33" s="60"/>
      <c r="B33" s="55">
        <v>46169.0</v>
      </c>
      <c r="C33" s="157">
        <v>139200.0</v>
      </c>
      <c r="D33" s="62"/>
      <c r="E33" s="122" t="s">
        <v>261</v>
      </c>
      <c r="F33" s="58"/>
      <c r="G33" s="59"/>
    </row>
    <row r="34" ht="19.5" customHeight="1">
      <c r="A34" s="67"/>
      <c r="B34" s="55">
        <v>46170.0</v>
      </c>
      <c r="C34" s="157">
        <v>15123.0</v>
      </c>
      <c r="D34" s="62"/>
      <c r="E34" s="122" t="s">
        <v>262</v>
      </c>
      <c r="F34" s="58"/>
      <c r="G34" s="59"/>
    </row>
    <row r="35" ht="30.0" customHeight="1">
      <c r="A35" s="68" t="s">
        <v>43</v>
      </c>
      <c r="B35" s="69"/>
      <c r="C35" s="80">
        <f t="shared" ref="C35:D35" si="2">SUM(C18:C34)</f>
        <v>3093526.74</v>
      </c>
      <c r="D35" s="80">
        <f t="shared" si="2"/>
        <v>0</v>
      </c>
      <c r="E35" s="71"/>
      <c r="F35" s="72"/>
    </row>
    <row r="36" ht="4.5" customHeight="1">
      <c r="A36" s="73"/>
      <c r="B36" s="74"/>
      <c r="C36" s="74"/>
      <c r="D36" s="74"/>
      <c r="E36" s="74"/>
      <c r="F36" s="74"/>
      <c r="G36" s="69"/>
    </row>
    <row r="37" ht="19.5" customHeight="1">
      <c r="A37" s="75" t="s">
        <v>53</v>
      </c>
      <c r="B37" s="76">
        <v>46122.0</v>
      </c>
      <c r="C37" s="81">
        <v>876000.0</v>
      </c>
      <c r="D37" s="77"/>
      <c r="E37" s="126" t="s">
        <v>264</v>
      </c>
      <c r="F37" s="61" t="s">
        <v>265</v>
      </c>
      <c r="G37" s="110"/>
    </row>
    <row r="38" ht="19.5" customHeight="1">
      <c r="A38" s="60"/>
      <c r="B38" s="76">
        <v>46142.0</v>
      </c>
      <c r="C38" s="81">
        <v>272410.98</v>
      </c>
      <c r="D38" s="62"/>
      <c r="E38" s="126" t="s">
        <v>158</v>
      </c>
      <c r="F38" s="61" t="s">
        <v>266</v>
      </c>
      <c r="G38" s="110"/>
    </row>
    <row r="39" ht="19.5" customHeight="1">
      <c r="A39" s="60"/>
      <c r="B39" s="76">
        <v>46143.0</v>
      </c>
      <c r="C39" s="81">
        <v>7300.0</v>
      </c>
      <c r="D39" s="62"/>
      <c r="E39" s="126" t="s">
        <v>267</v>
      </c>
      <c r="F39" s="61" t="s">
        <v>268</v>
      </c>
      <c r="G39" s="110"/>
    </row>
    <row r="40" ht="19.5" customHeight="1">
      <c r="A40" s="60"/>
      <c r="B40" s="76">
        <v>46143.0</v>
      </c>
      <c r="C40" s="81">
        <v>188927.03</v>
      </c>
      <c r="D40" s="62"/>
      <c r="E40" s="126" t="s">
        <v>158</v>
      </c>
      <c r="F40" s="61" t="s">
        <v>270</v>
      </c>
      <c r="G40" s="110"/>
    </row>
    <row r="41" ht="19.5" customHeight="1">
      <c r="A41" s="60"/>
      <c r="B41" s="76">
        <v>46143.0</v>
      </c>
      <c r="C41" s="81">
        <v>183027.05</v>
      </c>
      <c r="D41" s="62"/>
      <c r="E41" s="126" t="s">
        <v>158</v>
      </c>
      <c r="F41" s="61" t="s">
        <v>270</v>
      </c>
      <c r="G41" s="110"/>
    </row>
    <row r="42" ht="19.5" customHeight="1">
      <c r="A42" s="60"/>
      <c r="B42" s="76">
        <v>46143.0</v>
      </c>
      <c r="C42" s="81">
        <v>133005.98</v>
      </c>
      <c r="D42" s="62"/>
      <c r="E42" s="126" t="s">
        <v>79</v>
      </c>
      <c r="F42" s="61" t="s">
        <v>271</v>
      </c>
      <c r="G42" s="110"/>
    </row>
    <row r="43" ht="19.5" customHeight="1">
      <c r="A43" s="60"/>
      <c r="B43" s="76">
        <v>46144.0</v>
      </c>
      <c r="C43" s="81">
        <v>141028.08</v>
      </c>
      <c r="D43" s="62"/>
      <c r="E43" s="126" t="s">
        <v>156</v>
      </c>
      <c r="F43" s="61" t="s">
        <v>56</v>
      </c>
      <c r="G43" s="110"/>
    </row>
    <row r="44" ht="19.5" customHeight="1">
      <c r="A44" s="60"/>
      <c r="B44" s="76">
        <v>46144.0</v>
      </c>
      <c r="C44" s="81">
        <v>137003.99</v>
      </c>
      <c r="D44" s="62"/>
      <c r="E44" s="126" t="s">
        <v>158</v>
      </c>
      <c r="F44" s="61" t="s">
        <v>59</v>
      </c>
      <c r="G44" s="110"/>
    </row>
    <row r="45" ht="19.5" customHeight="1">
      <c r="A45" s="60"/>
      <c r="B45" s="76">
        <v>46145.0</v>
      </c>
      <c r="C45" s="81">
        <v>151347.03</v>
      </c>
      <c r="D45" s="62"/>
      <c r="E45" s="126" t="s">
        <v>235</v>
      </c>
      <c r="F45" s="61" t="s">
        <v>59</v>
      </c>
      <c r="G45" s="110"/>
    </row>
    <row r="46" ht="19.5" customHeight="1">
      <c r="A46" s="60"/>
      <c r="B46" s="76">
        <v>46146.0</v>
      </c>
      <c r="C46" s="81">
        <v>1849999.0</v>
      </c>
      <c r="D46" s="62"/>
      <c r="E46" s="126" t="s">
        <v>275</v>
      </c>
      <c r="F46" s="61" t="s">
        <v>276</v>
      </c>
      <c r="G46" s="110"/>
    </row>
    <row r="47" ht="19.5" customHeight="1">
      <c r="A47" s="60"/>
      <c r="B47" s="76">
        <v>46148.0</v>
      </c>
      <c r="C47" s="81">
        <v>79033.06</v>
      </c>
      <c r="D47" s="62"/>
      <c r="E47" s="126" t="s">
        <v>235</v>
      </c>
      <c r="F47" s="61" t="s">
        <v>59</v>
      </c>
      <c r="G47" s="110"/>
    </row>
    <row r="48" ht="19.5" customHeight="1">
      <c r="A48" s="60"/>
      <c r="B48" s="76">
        <v>46148.0</v>
      </c>
      <c r="C48" s="81">
        <v>146024.05</v>
      </c>
      <c r="D48" s="62"/>
      <c r="E48" s="126" t="s">
        <v>79</v>
      </c>
      <c r="F48" s="61" t="s">
        <v>56</v>
      </c>
      <c r="G48" s="110"/>
    </row>
    <row r="49" ht="19.5" customHeight="1">
      <c r="A49" s="60"/>
      <c r="B49" s="76">
        <v>46151.0</v>
      </c>
      <c r="C49" s="81">
        <v>161769.05</v>
      </c>
      <c r="D49" s="62"/>
      <c r="E49" s="126" t="s">
        <v>235</v>
      </c>
      <c r="F49" s="61" t="s">
        <v>56</v>
      </c>
      <c r="G49" s="110"/>
    </row>
    <row r="50" ht="19.5" customHeight="1">
      <c r="A50" s="60"/>
      <c r="B50" s="76">
        <v>46152.0</v>
      </c>
      <c r="C50" s="81">
        <v>42702.02</v>
      </c>
      <c r="D50" s="62"/>
      <c r="E50" s="126" t="s">
        <v>235</v>
      </c>
      <c r="F50" s="61" t="s">
        <v>59</v>
      </c>
      <c r="G50" s="110"/>
    </row>
    <row r="51" ht="19.5" customHeight="1">
      <c r="A51" s="60"/>
      <c r="B51" s="76">
        <v>46152.0</v>
      </c>
      <c r="C51" s="81">
        <v>113991.1</v>
      </c>
      <c r="D51" s="62"/>
      <c r="E51" s="126" t="s">
        <v>235</v>
      </c>
      <c r="F51" s="61" t="s">
        <v>56</v>
      </c>
      <c r="G51" s="110"/>
    </row>
    <row r="52" ht="19.5" customHeight="1">
      <c r="A52" s="60"/>
      <c r="B52" s="76">
        <v>46152.0</v>
      </c>
      <c r="C52" s="81">
        <v>7300.0</v>
      </c>
      <c r="D52" s="62"/>
      <c r="E52" s="126" t="s">
        <v>281</v>
      </c>
      <c r="F52" s="61" t="s">
        <v>268</v>
      </c>
      <c r="G52" s="110"/>
    </row>
    <row r="53" ht="19.5" customHeight="1">
      <c r="A53" s="60"/>
      <c r="B53" s="76">
        <v>46154.0</v>
      </c>
      <c r="C53" s="81">
        <v>311399.1</v>
      </c>
      <c r="D53" s="62"/>
      <c r="E53" s="126" t="s">
        <v>283</v>
      </c>
      <c r="F53" s="61" t="s">
        <v>284</v>
      </c>
      <c r="G53" s="110"/>
    </row>
    <row r="54" ht="19.5" customHeight="1">
      <c r="A54" s="60"/>
      <c r="B54" s="76">
        <v>46155.0</v>
      </c>
      <c r="C54" s="81">
        <v>172006.0</v>
      </c>
      <c r="D54" s="62"/>
      <c r="E54" s="126" t="s">
        <v>181</v>
      </c>
      <c r="F54" s="61" t="s">
        <v>286</v>
      </c>
      <c r="G54" s="110"/>
    </row>
    <row r="55" ht="19.5" customHeight="1">
      <c r="A55" s="60"/>
      <c r="B55" s="76">
        <v>46156.0</v>
      </c>
      <c r="C55" s="81">
        <v>153567.0</v>
      </c>
      <c r="D55" s="62"/>
      <c r="E55" s="126" t="s">
        <v>287</v>
      </c>
      <c r="F55" s="61" t="s">
        <v>288</v>
      </c>
      <c r="G55" s="110"/>
    </row>
    <row r="56" ht="19.5" customHeight="1">
      <c r="A56" s="60"/>
      <c r="B56" s="76">
        <v>46157.0</v>
      </c>
      <c r="C56" s="81">
        <v>160931.97</v>
      </c>
      <c r="D56" s="62"/>
      <c r="E56" s="126" t="s">
        <v>79</v>
      </c>
      <c r="F56" s="61" t="s">
        <v>56</v>
      </c>
      <c r="G56" s="110"/>
    </row>
    <row r="57" ht="19.5" customHeight="1">
      <c r="A57" s="60"/>
      <c r="B57" s="76">
        <v>46161.0</v>
      </c>
      <c r="C57" s="88">
        <v>-40695.26</v>
      </c>
      <c r="D57" s="62"/>
      <c r="E57" s="126" t="s">
        <v>287</v>
      </c>
      <c r="F57" s="61" t="s">
        <v>291</v>
      </c>
      <c r="G57" s="110"/>
    </row>
    <row r="58" ht="19.5" customHeight="1">
      <c r="A58" s="60"/>
      <c r="B58" s="76">
        <v>46162.0</v>
      </c>
      <c r="C58" s="81">
        <v>231322.0</v>
      </c>
      <c r="D58" s="62"/>
      <c r="E58" s="126" t="s">
        <v>92</v>
      </c>
      <c r="F58" s="61" t="s">
        <v>293</v>
      </c>
      <c r="G58" s="110"/>
    </row>
    <row r="59" ht="19.5" customHeight="1">
      <c r="A59" s="60"/>
      <c r="B59" s="76">
        <v>46163.0</v>
      </c>
      <c r="C59" s="81">
        <v>85434.54</v>
      </c>
      <c r="D59" s="62"/>
      <c r="E59" s="126" t="s">
        <v>281</v>
      </c>
      <c r="F59" s="61" t="s">
        <v>294</v>
      </c>
      <c r="G59" s="110"/>
    </row>
    <row r="60" ht="19.5" customHeight="1">
      <c r="A60" s="60"/>
      <c r="B60" s="76">
        <v>46163.0</v>
      </c>
      <c r="C60" s="81">
        <v>46730.38</v>
      </c>
      <c r="D60" s="62"/>
      <c r="E60" s="126" t="s">
        <v>281</v>
      </c>
      <c r="F60" s="61" t="s">
        <v>296</v>
      </c>
      <c r="G60" s="110"/>
    </row>
    <row r="61" ht="19.5" customHeight="1">
      <c r="A61" s="60"/>
      <c r="B61" s="76">
        <v>46164.0</v>
      </c>
      <c r="C61" s="81">
        <v>86008.0</v>
      </c>
      <c r="D61" s="62"/>
      <c r="E61" s="126" t="s">
        <v>181</v>
      </c>
      <c r="F61" s="61" t="s">
        <v>56</v>
      </c>
      <c r="G61" s="110"/>
    </row>
    <row r="62" ht="19.5" customHeight="1">
      <c r="A62" s="60"/>
      <c r="B62" s="76">
        <v>46164.0</v>
      </c>
      <c r="C62" s="81">
        <v>26338.0</v>
      </c>
      <c r="D62" s="62"/>
      <c r="E62" s="126" t="s">
        <v>298</v>
      </c>
      <c r="F62" s="61" t="s">
        <v>299</v>
      </c>
      <c r="G62" s="110"/>
    </row>
    <row r="63" ht="19.5" customHeight="1">
      <c r="A63" s="60"/>
      <c r="B63" s="76">
        <v>46164.0</v>
      </c>
      <c r="C63" s="81">
        <v>188301.07</v>
      </c>
      <c r="D63" s="62"/>
      <c r="E63" s="126" t="s">
        <v>300</v>
      </c>
      <c r="F63" s="61" t="s">
        <v>299</v>
      </c>
      <c r="G63" s="110"/>
    </row>
    <row r="64" ht="19.5" customHeight="1">
      <c r="A64" s="60"/>
      <c r="B64" s="76">
        <v>46165.0</v>
      </c>
      <c r="C64" s="81">
        <v>158505.0</v>
      </c>
      <c r="D64" s="62"/>
      <c r="E64" s="126" t="s">
        <v>92</v>
      </c>
      <c r="F64" s="61" t="s">
        <v>56</v>
      </c>
      <c r="G64" s="110"/>
    </row>
    <row r="65" ht="19.5" customHeight="1">
      <c r="A65" s="60"/>
      <c r="B65" s="76">
        <v>46165.0</v>
      </c>
      <c r="C65" s="81">
        <v>88086.0</v>
      </c>
      <c r="D65" s="62"/>
      <c r="E65" s="126" t="s">
        <v>301</v>
      </c>
      <c r="F65" s="61" t="s">
        <v>302</v>
      </c>
      <c r="G65" s="110"/>
    </row>
    <row r="66" ht="19.5" customHeight="1">
      <c r="A66" s="60"/>
      <c r="B66" s="76">
        <v>46166.0</v>
      </c>
      <c r="C66" s="81">
        <v>180015.0</v>
      </c>
      <c r="D66" s="62"/>
      <c r="E66" s="126" t="s">
        <v>303</v>
      </c>
      <c r="F66" s="61" t="s">
        <v>304</v>
      </c>
      <c r="G66" s="110"/>
    </row>
    <row r="67" ht="19.5" customHeight="1">
      <c r="A67" s="60"/>
      <c r="B67" s="76">
        <v>46166.0</v>
      </c>
      <c r="C67" s="81">
        <v>243495.39</v>
      </c>
      <c r="D67" s="62"/>
      <c r="E67" s="126" t="s">
        <v>305</v>
      </c>
      <c r="F67" s="61" t="s">
        <v>306</v>
      </c>
      <c r="G67" s="110"/>
    </row>
    <row r="68" ht="19.5" customHeight="1">
      <c r="A68" s="60"/>
      <c r="B68" s="76">
        <v>46166.0</v>
      </c>
      <c r="C68" s="88">
        <v>-88086.0</v>
      </c>
      <c r="D68" s="62"/>
      <c r="E68" s="126" t="s">
        <v>301</v>
      </c>
      <c r="F68" s="61" t="s">
        <v>302</v>
      </c>
      <c r="G68" s="110"/>
    </row>
    <row r="69" ht="19.5" customHeight="1">
      <c r="A69" s="60"/>
      <c r="B69" s="76">
        <v>46167.0</v>
      </c>
      <c r="C69" s="81">
        <v>166180.0</v>
      </c>
      <c r="D69" s="62"/>
      <c r="E69" s="126" t="s">
        <v>92</v>
      </c>
      <c r="F69" s="61" t="s">
        <v>59</v>
      </c>
      <c r="G69" s="110"/>
    </row>
    <row r="70" ht="19.5" customHeight="1">
      <c r="A70" s="60"/>
      <c r="B70" s="76">
        <v>46167.0</v>
      </c>
      <c r="C70" s="81">
        <v>186238.0</v>
      </c>
      <c r="D70" s="62"/>
      <c r="E70" s="126" t="s">
        <v>308</v>
      </c>
      <c r="F70" s="61" t="s">
        <v>309</v>
      </c>
      <c r="G70" s="110"/>
    </row>
    <row r="71" ht="19.5" customHeight="1">
      <c r="A71" s="60"/>
      <c r="B71" s="76">
        <v>46168.0</v>
      </c>
      <c r="C71" s="81">
        <v>199460.0</v>
      </c>
      <c r="D71" s="62"/>
      <c r="E71" s="126" t="s">
        <v>308</v>
      </c>
      <c r="F71" s="61" t="s">
        <v>310</v>
      </c>
      <c r="G71" s="110"/>
    </row>
    <row r="72" ht="19.5" customHeight="1">
      <c r="A72" s="60"/>
      <c r="B72" s="76">
        <v>46168.0</v>
      </c>
      <c r="C72" s="81">
        <v>236211.0</v>
      </c>
      <c r="D72" s="62"/>
      <c r="E72" s="126" t="s">
        <v>308</v>
      </c>
      <c r="F72" s="61" t="s">
        <v>311</v>
      </c>
      <c r="G72" s="110"/>
    </row>
    <row r="73" ht="19.5" customHeight="1">
      <c r="A73" s="60"/>
      <c r="B73" s="76">
        <v>46169.0</v>
      </c>
      <c r="C73" s="81">
        <v>151011.0</v>
      </c>
      <c r="D73" s="62"/>
      <c r="E73" s="126" t="s">
        <v>259</v>
      </c>
      <c r="F73" s="61" t="s">
        <v>56</v>
      </c>
      <c r="G73" s="110"/>
    </row>
    <row r="74" ht="19.5" customHeight="1">
      <c r="A74" s="60"/>
      <c r="B74" s="76">
        <v>46169.0</v>
      </c>
      <c r="C74" s="81">
        <v>149985.0</v>
      </c>
      <c r="D74" s="62"/>
      <c r="E74" s="126" t="s">
        <v>308</v>
      </c>
      <c r="F74" s="61" t="s">
        <v>312</v>
      </c>
      <c r="G74" s="110"/>
    </row>
    <row r="75" ht="29.25" customHeight="1">
      <c r="A75" s="68" t="s">
        <v>43</v>
      </c>
      <c r="B75" s="69"/>
      <c r="C75" s="80">
        <f t="shared" ref="C75:D75" si="3">SUM(C37:C74)</f>
        <v>7583311.61</v>
      </c>
      <c r="D75" s="80">
        <f t="shared" si="3"/>
        <v>0</v>
      </c>
      <c r="E75" s="71"/>
      <c r="F75" s="72"/>
    </row>
    <row r="76" ht="4.5" customHeight="1">
      <c r="A76" s="73"/>
      <c r="B76" s="74"/>
      <c r="C76" s="74"/>
      <c r="D76" s="74"/>
      <c r="E76" s="74"/>
      <c r="F76" s="74"/>
      <c r="G76" s="69"/>
    </row>
    <row r="77" ht="19.5" customHeight="1">
      <c r="A77" s="75" t="s">
        <v>108</v>
      </c>
      <c r="B77" s="76">
        <v>46149.0</v>
      </c>
      <c r="C77" s="81"/>
      <c r="D77" s="77">
        <v>69.0</v>
      </c>
      <c r="E77" s="126" t="s">
        <v>321</v>
      </c>
      <c r="F77" s="61" t="s">
        <v>323</v>
      </c>
      <c r="G77" s="110"/>
    </row>
    <row r="78" ht="19.5" customHeight="1">
      <c r="A78" s="60"/>
      <c r="B78" s="76">
        <v>46151.0</v>
      </c>
      <c r="C78" s="81">
        <v>102007.54</v>
      </c>
      <c r="D78" s="62"/>
      <c r="E78" s="126" t="s">
        <v>113</v>
      </c>
      <c r="F78" s="61" t="s">
        <v>325</v>
      </c>
      <c r="G78" s="110"/>
    </row>
    <row r="79" ht="19.5" customHeight="1">
      <c r="A79" s="60"/>
      <c r="B79" s="76">
        <v>46152.0</v>
      </c>
      <c r="C79" s="81">
        <v>86400.0</v>
      </c>
      <c r="D79" s="62"/>
      <c r="E79" s="126" t="s">
        <v>328</v>
      </c>
      <c r="F79" s="61" t="s">
        <v>329</v>
      </c>
      <c r="G79" s="110"/>
    </row>
    <row r="80" ht="19.5" customHeight="1">
      <c r="A80" s="60"/>
      <c r="B80" s="76">
        <v>46153.0</v>
      </c>
      <c r="C80" s="81">
        <v>60000.0</v>
      </c>
      <c r="D80" s="62"/>
      <c r="E80" s="126" t="s">
        <v>331</v>
      </c>
      <c r="F80" s="61"/>
      <c r="G80" s="110"/>
    </row>
    <row r="81" ht="19.5" customHeight="1">
      <c r="A81" s="60"/>
      <c r="B81" s="76">
        <v>46153.0</v>
      </c>
      <c r="C81" s="81">
        <v>25000.0</v>
      </c>
      <c r="D81" s="62"/>
      <c r="E81" s="126" t="s">
        <v>334</v>
      </c>
      <c r="F81" s="61" t="s">
        <v>335</v>
      </c>
      <c r="G81" s="110"/>
    </row>
    <row r="82" ht="19.5" customHeight="1">
      <c r="A82" s="60"/>
      <c r="B82" s="76">
        <v>46153.0</v>
      </c>
      <c r="C82" s="81"/>
      <c r="D82" s="62">
        <v>9.99</v>
      </c>
      <c r="E82" s="126" t="s">
        <v>339</v>
      </c>
      <c r="F82" s="61" t="s">
        <v>120</v>
      </c>
      <c r="G82" s="110"/>
    </row>
    <row r="83" ht="19.5" customHeight="1">
      <c r="A83" s="60"/>
      <c r="B83" s="76">
        <v>46157.0</v>
      </c>
      <c r="C83" s="81"/>
      <c r="D83" s="62">
        <v>19.99</v>
      </c>
      <c r="E83" s="126" t="s">
        <v>341</v>
      </c>
      <c r="F83" s="61" t="s">
        <v>124</v>
      </c>
      <c r="G83" s="110"/>
    </row>
    <row r="84" ht="19.5" customHeight="1">
      <c r="A84" s="60"/>
      <c r="B84" s="76">
        <v>46157.0</v>
      </c>
      <c r="C84" s="81"/>
      <c r="D84" s="62">
        <v>19.75</v>
      </c>
      <c r="E84" s="126" t="s">
        <v>127</v>
      </c>
      <c r="F84" s="61" t="s">
        <v>128</v>
      </c>
      <c r="G84" s="110"/>
    </row>
    <row r="85" ht="19.5" customHeight="1">
      <c r="A85" s="60"/>
      <c r="B85" s="76">
        <v>46158.0</v>
      </c>
      <c r="C85" s="81"/>
      <c r="D85" s="62">
        <v>20.0</v>
      </c>
      <c r="E85" s="126" t="s">
        <v>345</v>
      </c>
      <c r="F85" s="61" t="s">
        <v>133</v>
      </c>
      <c r="G85" s="110"/>
    </row>
    <row r="86" ht="19.5" customHeight="1">
      <c r="A86" s="60"/>
      <c r="B86" s="76">
        <v>46160.0</v>
      </c>
      <c r="C86" s="81"/>
      <c r="D86" s="62">
        <v>1.99</v>
      </c>
      <c r="E86" s="126" t="s">
        <v>348</v>
      </c>
      <c r="F86" s="61" t="s">
        <v>136</v>
      </c>
      <c r="G86" s="110"/>
    </row>
    <row r="87" ht="19.5" customHeight="1">
      <c r="A87" s="60"/>
      <c r="B87" s="76">
        <v>46163.0</v>
      </c>
      <c r="C87" s="81">
        <v>100061.0</v>
      </c>
      <c r="D87" s="62"/>
      <c r="E87" s="126" t="s">
        <v>31</v>
      </c>
      <c r="F87" s="61" t="s">
        <v>352</v>
      </c>
      <c r="G87" s="110"/>
    </row>
    <row r="88" ht="19.5" customHeight="1">
      <c r="A88" s="60"/>
      <c r="B88" s="76">
        <v>46168.0</v>
      </c>
      <c r="C88" s="81">
        <v>50000.0</v>
      </c>
      <c r="D88" s="62"/>
      <c r="E88" s="126" t="s">
        <v>308</v>
      </c>
      <c r="F88" s="61"/>
      <c r="G88" s="110"/>
    </row>
    <row r="89" ht="19.5" customHeight="1">
      <c r="A89" s="60"/>
      <c r="B89" s="76">
        <v>46169.0</v>
      </c>
      <c r="C89" s="81">
        <v>98012.0</v>
      </c>
      <c r="D89" s="62"/>
      <c r="E89" s="126" t="s">
        <v>356</v>
      </c>
      <c r="F89" s="61" t="s">
        <v>358</v>
      </c>
      <c r="G89" s="110"/>
    </row>
    <row r="90" ht="30.0" customHeight="1">
      <c r="A90" s="68" t="s">
        <v>43</v>
      </c>
      <c r="B90" s="69"/>
      <c r="C90" s="80">
        <f t="shared" ref="C90:D90" si="4">SUM(C77:C89)</f>
        <v>521480.54</v>
      </c>
      <c r="D90" s="80">
        <f t="shared" si="4"/>
        <v>140.72</v>
      </c>
      <c r="E90" s="71"/>
      <c r="F90" s="72"/>
    </row>
    <row r="91" ht="4.5" customHeight="1">
      <c r="A91" s="89"/>
      <c r="B91" s="91"/>
      <c r="C91" s="91"/>
      <c r="D91" s="91"/>
      <c r="E91" s="91"/>
      <c r="F91" s="91"/>
      <c r="G91" s="92"/>
    </row>
    <row r="92" ht="19.5" customHeight="1">
      <c r="A92" s="93" t="s">
        <v>16</v>
      </c>
      <c r="B92" s="76">
        <v>46144.0</v>
      </c>
      <c r="C92" s="81">
        <v>95813.0</v>
      </c>
      <c r="D92" s="81"/>
      <c r="E92" s="126" t="s">
        <v>374</v>
      </c>
      <c r="F92" s="61" t="s">
        <v>376</v>
      </c>
      <c r="G92" s="61"/>
    </row>
    <row r="93" ht="19.5" customHeight="1">
      <c r="A93" s="94"/>
      <c r="B93" s="76">
        <v>46154.0</v>
      </c>
      <c r="C93" s="81">
        <v>32422.0</v>
      </c>
      <c r="D93" s="81"/>
      <c r="E93" s="126" t="s">
        <v>380</v>
      </c>
      <c r="F93" s="61" t="s">
        <v>382</v>
      </c>
      <c r="G93" s="61"/>
    </row>
    <row r="94" ht="19.5" customHeight="1">
      <c r="A94" s="94"/>
      <c r="B94" s="76">
        <v>46156.0</v>
      </c>
      <c r="C94" s="81">
        <v>6484.0</v>
      </c>
      <c r="D94" s="81"/>
      <c r="E94" s="126" t="s">
        <v>380</v>
      </c>
      <c r="F94" s="61" t="s">
        <v>388</v>
      </c>
      <c r="G94" s="61"/>
    </row>
    <row r="95" ht="19.5" customHeight="1">
      <c r="A95" s="94"/>
      <c r="B95" s="76">
        <v>46157.0</v>
      </c>
      <c r="C95" s="81">
        <v>509438.88</v>
      </c>
      <c r="D95" s="81"/>
      <c r="E95" s="126" t="s">
        <v>390</v>
      </c>
      <c r="F95" s="61" t="s">
        <v>392</v>
      </c>
      <c r="G95" s="61"/>
    </row>
    <row r="96" ht="19.5" customHeight="1">
      <c r="A96" s="94"/>
      <c r="B96" s="76">
        <v>46161.0</v>
      </c>
      <c r="C96" s="81">
        <v>35360.0</v>
      </c>
      <c r="D96" s="81"/>
      <c r="E96" s="171" t="s">
        <v>396</v>
      </c>
      <c r="F96" s="61" t="s">
        <v>412</v>
      </c>
      <c r="G96" s="61"/>
    </row>
    <row r="97" ht="19.5" customHeight="1">
      <c r="A97" s="94"/>
      <c r="B97" s="76">
        <v>46164.0</v>
      </c>
      <c r="C97" s="81">
        <v>10133.0</v>
      </c>
      <c r="D97" s="81"/>
      <c r="E97" s="126" t="s">
        <v>380</v>
      </c>
      <c r="F97" s="61" t="s">
        <v>414</v>
      </c>
      <c r="G97" s="61"/>
    </row>
    <row r="98" ht="19.5" customHeight="1">
      <c r="A98" s="94"/>
      <c r="B98" s="76">
        <v>46165.0</v>
      </c>
      <c r="C98" s="81"/>
      <c r="D98" s="81">
        <v>324.95</v>
      </c>
      <c r="E98" s="126" t="s">
        <v>419</v>
      </c>
      <c r="F98" s="61" t="s">
        <v>421</v>
      </c>
      <c r="G98" s="61"/>
    </row>
    <row r="99" ht="19.5" customHeight="1">
      <c r="A99" s="94"/>
      <c r="B99" s="101">
        <v>46166.0</v>
      </c>
      <c r="C99" s="103">
        <v>35000.0</v>
      </c>
      <c r="D99" s="103"/>
      <c r="E99" s="126" t="s">
        <v>245</v>
      </c>
      <c r="F99" s="61" t="s">
        <v>425</v>
      </c>
      <c r="G99" s="61"/>
    </row>
    <row r="100" ht="19.5" customHeight="1">
      <c r="A100" s="94"/>
      <c r="B100" s="101">
        <v>46168.0</v>
      </c>
      <c r="C100" s="103"/>
      <c r="D100" s="173">
        <v>-324.95</v>
      </c>
      <c r="E100" s="126" t="s">
        <v>430</v>
      </c>
      <c r="F100" s="61" t="s">
        <v>431</v>
      </c>
      <c r="G100" s="61"/>
    </row>
    <row r="101" ht="30.0" customHeight="1">
      <c r="A101" s="127" t="s">
        <v>43</v>
      </c>
      <c r="B101" s="128"/>
      <c r="C101" s="81">
        <f t="shared" ref="C101:D101" si="5">SUM(C92:C100)</f>
        <v>724650.88</v>
      </c>
      <c r="D101" s="81">
        <f t="shared" si="5"/>
        <v>0</v>
      </c>
      <c r="E101" s="109"/>
      <c r="F101" s="79"/>
    </row>
    <row r="102" ht="4.5" customHeight="1">
      <c r="A102" s="130"/>
      <c r="B102" s="131"/>
      <c r="C102" s="131"/>
      <c r="D102" s="132"/>
      <c r="E102" s="114"/>
      <c r="I102" s="114"/>
      <c r="M102" s="114"/>
      <c r="Q102" s="114"/>
      <c r="U102" s="114"/>
      <c r="Y102" s="114"/>
    </row>
    <row r="103" ht="30.0" customHeight="1">
      <c r="A103" s="118" t="s">
        <v>193</v>
      </c>
      <c r="B103" s="47"/>
      <c r="C103" s="119">
        <f>SUM(C35+C75+C90+C6)</f>
        <v>11198318.89</v>
      </c>
      <c r="D103" s="119">
        <f>SUM(D92:D100)</f>
        <v>0</v>
      </c>
      <c r="E103" s="109"/>
      <c r="F103" s="79"/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A37:A74"/>
    <mergeCell ref="A77:A89"/>
    <mergeCell ref="A90:B90"/>
    <mergeCell ref="A92:A100"/>
    <mergeCell ref="A101:B101"/>
    <mergeCell ref="A103:B103"/>
    <mergeCell ref="A91:G91"/>
    <mergeCell ref="A102:D102"/>
    <mergeCell ref="E102:H102"/>
    <mergeCell ref="I102:L102"/>
    <mergeCell ref="M102:P102"/>
    <mergeCell ref="Q102:T102"/>
    <mergeCell ref="U102:X102"/>
    <mergeCell ref="Y102:AA102"/>
    <mergeCell ref="D9:G15"/>
    <mergeCell ref="A16:G16"/>
    <mergeCell ref="A18:A34"/>
    <mergeCell ref="A35:B35"/>
    <mergeCell ref="A36:G36"/>
    <mergeCell ref="A75:B75"/>
    <mergeCell ref="A76:G76"/>
  </mergeCells>
  <hyperlinks>
    <hyperlink r:id="rId1" ref="E96"/>
  </hyperlink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29"/>
    <col customWidth="1" min="3" max="3" width="19.14"/>
    <col customWidth="1" min="4" max="4" width="15.57"/>
    <col customWidth="1" min="5" max="5" width="36.14"/>
    <col customWidth="1" min="6" max="6" width="76.29"/>
    <col customWidth="1" min="7" max="7" width="11.86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33" t="s">
        <v>0</v>
      </c>
      <c r="B6" s="2"/>
      <c r="C6" s="3"/>
      <c r="D6" s="84" t="s">
        <v>1</v>
      </c>
      <c r="E6" s="5"/>
      <c r="F6" s="85" t="s">
        <v>248</v>
      </c>
      <c r="G6" s="7"/>
    </row>
    <row r="7" ht="21.7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23.25" customHeight="1">
      <c r="A8" s="134" t="s">
        <v>5</v>
      </c>
      <c r="B8" s="135" t="s">
        <v>6</v>
      </c>
      <c r="C8" s="136" t="s">
        <v>7</v>
      </c>
      <c r="D8" s="86" t="s">
        <v>7</v>
      </c>
      <c r="E8" s="90"/>
      <c r="F8" s="30">
        <v>9428353.57</v>
      </c>
      <c r="G8" s="25"/>
    </row>
    <row r="9" ht="19.5" customHeight="1">
      <c r="A9" s="149" t="s">
        <v>9</v>
      </c>
      <c r="B9" s="31">
        <f>SUM(C49)</f>
        <v>3637001.77</v>
      </c>
      <c r="C9" s="32">
        <f t="shared" ref="C9:C15" si="1">SUM(B9)</f>
        <v>3637001.77</v>
      </c>
      <c r="D9" s="137" t="s">
        <v>10</v>
      </c>
      <c r="E9" s="98"/>
      <c r="F9" s="98"/>
      <c r="G9" s="100"/>
    </row>
    <row r="10" ht="19.5" customHeight="1">
      <c r="A10" s="149" t="s">
        <v>11</v>
      </c>
      <c r="B10" s="138">
        <f>SUM(D49)</f>
        <v>171.98</v>
      </c>
      <c r="C10" s="139">
        <f t="shared" si="1"/>
        <v>171.98</v>
      </c>
      <c r="D10" s="36"/>
      <c r="G10" s="37"/>
    </row>
    <row r="11" ht="19.5" customHeight="1">
      <c r="A11" s="149" t="s">
        <v>12</v>
      </c>
      <c r="B11" s="140">
        <f>SUM(C81)</f>
        <v>6044422.79</v>
      </c>
      <c r="C11" s="95">
        <f t="shared" si="1"/>
        <v>6044422.79</v>
      </c>
      <c r="D11" s="36"/>
      <c r="G11" s="37"/>
    </row>
    <row r="12" ht="19.5" customHeight="1">
      <c r="A12" s="149" t="s">
        <v>13</v>
      </c>
      <c r="B12" s="138"/>
      <c r="C12" s="141">
        <f t="shared" si="1"/>
        <v>0</v>
      </c>
      <c r="D12" s="36"/>
      <c r="G12" s="37"/>
    </row>
    <row r="13" ht="19.5" customHeight="1">
      <c r="A13" s="149" t="s">
        <v>14</v>
      </c>
      <c r="B13" s="140">
        <f>SUM(C99)</f>
        <v>798230.03</v>
      </c>
      <c r="C13" s="95">
        <f t="shared" si="1"/>
        <v>798230.03</v>
      </c>
      <c r="D13" s="36"/>
      <c r="G13" s="37"/>
    </row>
    <row r="14" ht="19.5" customHeight="1">
      <c r="A14" s="149" t="s">
        <v>15</v>
      </c>
      <c r="B14" s="142">
        <f>SUM(D99)</f>
        <v>75.99</v>
      </c>
      <c r="C14" s="95">
        <f t="shared" si="1"/>
        <v>75.99</v>
      </c>
      <c r="D14" s="36"/>
      <c r="G14" s="37"/>
    </row>
    <row r="15" ht="19.5" customHeight="1">
      <c r="A15" s="149" t="s">
        <v>260</v>
      </c>
      <c r="B15" s="138">
        <f>SUM(C104)</f>
        <v>37000</v>
      </c>
      <c r="C15" s="95">
        <f t="shared" si="1"/>
        <v>37000</v>
      </c>
      <c r="D15" s="144"/>
      <c r="E15" s="116"/>
      <c r="F15" s="116"/>
      <c r="G15" s="117"/>
    </row>
    <row r="16" ht="4.5" customHeight="1">
      <c r="A16" s="145"/>
      <c r="B16" s="146"/>
      <c r="C16" s="146"/>
      <c r="D16" s="146"/>
      <c r="E16" s="146"/>
      <c r="F16" s="146"/>
      <c r="G16" s="147"/>
    </row>
    <row r="17" ht="24.75" customHeight="1">
      <c r="A17" s="148" t="s">
        <v>17</v>
      </c>
      <c r="B17" s="148" t="s">
        <v>18</v>
      </c>
      <c r="C17" s="148" t="s">
        <v>19</v>
      </c>
      <c r="D17" s="148" t="s">
        <v>20</v>
      </c>
      <c r="E17" s="150" t="s">
        <v>21</v>
      </c>
      <c r="F17" s="151" t="s">
        <v>22</v>
      </c>
      <c r="G17" s="152" t="s">
        <v>24</v>
      </c>
    </row>
    <row r="18" ht="19.5" customHeight="1">
      <c r="A18" s="75" t="s">
        <v>25</v>
      </c>
      <c r="B18" s="153">
        <v>46170.0</v>
      </c>
      <c r="C18" s="77">
        <v>434000.0</v>
      </c>
      <c r="D18" s="77"/>
      <c r="E18" s="58" t="s">
        <v>255</v>
      </c>
      <c r="F18" s="155"/>
      <c r="G18" s="156"/>
    </row>
    <row r="19" ht="19.5" customHeight="1">
      <c r="A19" s="60"/>
      <c r="B19" s="55">
        <v>46170.0</v>
      </c>
      <c r="C19" s="62">
        <v>252666.82</v>
      </c>
      <c r="D19" s="62"/>
      <c r="E19" s="61" t="s">
        <v>28</v>
      </c>
      <c r="F19" s="58"/>
      <c r="G19" s="59"/>
    </row>
    <row r="20" ht="19.5" customHeight="1">
      <c r="A20" s="60"/>
      <c r="B20" s="55">
        <v>46172.0</v>
      </c>
      <c r="C20" s="62">
        <v>171000.0</v>
      </c>
      <c r="D20" s="62"/>
      <c r="E20" s="61" t="s">
        <v>255</v>
      </c>
      <c r="F20" s="58"/>
      <c r="G20" s="59"/>
    </row>
    <row r="21" ht="19.5" customHeight="1">
      <c r="A21" s="60"/>
      <c r="B21" s="55">
        <v>46172.0</v>
      </c>
      <c r="C21" s="62">
        <v>162007.0</v>
      </c>
      <c r="D21" s="62"/>
      <c r="E21" s="61" t="s">
        <v>52</v>
      </c>
      <c r="F21" s="58"/>
      <c r="G21" s="59"/>
    </row>
    <row r="22" ht="19.5" customHeight="1">
      <c r="A22" s="60"/>
      <c r="B22" s="55">
        <v>46176.0</v>
      </c>
      <c r="C22" s="62">
        <v>68567.5</v>
      </c>
      <c r="D22" s="62"/>
      <c r="E22" s="61" t="s">
        <v>164</v>
      </c>
      <c r="F22" s="58"/>
      <c r="G22" s="59"/>
    </row>
    <row r="23" ht="19.5" customHeight="1">
      <c r="A23" s="60"/>
      <c r="B23" s="55">
        <v>46179.0</v>
      </c>
      <c r="C23" s="62">
        <v>3957.0</v>
      </c>
      <c r="D23" s="62"/>
      <c r="E23" s="61" t="s">
        <v>272</v>
      </c>
      <c r="F23" s="58"/>
      <c r="G23" s="59"/>
    </row>
    <row r="24" ht="19.5" customHeight="1">
      <c r="A24" s="60"/>
      <c r="B24" s="55">
        <v>46181.0</v>
      </c>
      <c r="C24" s="62">
        <v>159518.0</v>
      </c>
      <c r="D24" s="62"/>
      <c r="E24" s="61" t="s">
        <v>273</v>
      </c>
      <c r="F24" s="58"/>
      <c r="G24" s="59"/>
    </row>
    <row r="25" ht="19.5" customHeight="1">
      <c r="A25" s="60"/>
      <c r="B25" s="55">
        <v>46181.0</v>
      </c>
      <c r="C25" s="62">
        <v>157500.0</v>
      </c>
      <c r="D25" s="62"/>
      <c r="E25" s="122" t="s">
        <v>274</v>
      </c>
      <c r="F25" s="58"/>
      <c r="G25" s="59"/>
    </row>
    <row r="26" ht="19.5" customHeight="1">
      <c r="A26" s="60"/>
      <c r="B26" s="55">
        <v>46183.0</v>
      </c>
      <c r="C26" s="62">
        <v>67100.0</v>
      </c>
      <c r="D26" s="62"/>
      <c r="E26" s="122" t="s">
        <v>277</v>
      </c>
      <c r="F26" s="58"/>
      <c r="G26" s="59"/>
    </row>
    <row r="27" ht="19.5" customHeight="1">
      <c r="A27" s="60"/>
      <c r="B27" s="55">
        <v>46184.0</v>
      </c>
      <c r="C27" s="62">
        <v>172987.84</v>
      </c>
      <c r="D27" s="62"/>
      <c r="E27" s="122" t="s">
        <v>278</v>
      </c>
      <c r="F27" s="58"/>
      <c r="G27" s="59"/>
    </row>
    <row r="28" ht="19.5" customHeight="1">
      <c r="A28" s="60"/>
      <c r="B28" s="55">
        <v>46184.0</v>
      </c>
      <c r="C28" s="62">
        <v>55660.0</v>
      </c>
      <c r="D28" s="62"/>
      <c r="E28" s="122" t="s">
        <v>35</v>
      </c>
      <c r="F28" s="58"/>
      <c r="G28" s="59"/>
    </row>
    <row r="29" ht="19.5" customHeight="1">
      <c r="A29" s="60"/>
      <c r="B29" s="55">
        <v>46188.0</v>
      </c>
      <c r="C29" s="62">
        <v>466000.0</v>
      </c>
      <c r="D29" s="62"/>
      <c r="E29" s="122" t="s">
        <v>279</v>
      </c>
      <c r="F29" s="58"/>
      <c r="G29" s="59"/>
    </row>
    <row r="30" ht="19.5" customHeight="1">
      <c r="A30" s="60"/>
      <c r="B30" s="55">
        <v>46188.0</v>
      </c>
      <c r="C30" s="62">
        <v>667206.0</v>
      </c>
      <c r="D30" s="62"/>
      <c r="E30" s="122" t="s">
        <v>54</v>
      </c>
      <c r="F30" s="58"/>
      <c r="G30" s="59"/>
    </row>
    <row r="31" ht="19.5" customHeight="1">
      <c r="A31" s="60"/>
      <c r="B31" s="55">
        <v>46188.0</v>
      </c>
      <c r="C31" s="62">
        <v>36795.0</v>
      </c>
      <c r="D31" s="62"/>
      <c r="E31" s="122" t="s">
        <v>280</v>
      </c>
      <c r="F31" s="58"/>
      <c r="G31" s="59"/>
    </row>
    <row r="32" ht="19.5" customHeight="1">
      <c r="A32" s="60"/>
      <c r="B32" s="55">
        <v>46188.0</v>
      </c>
      <c r="C32" s="62">
        <v>4730.0</v>
      </c>
      <c r="D32" s="62"/>
      <c r="E32" s="122" t="s">
        <v>282</v>
      </c>
      <c r="F32" s="58"/>
      <c r="G32" s="59"/>
    </row>
    <row r="33" ht="19.5" customHeight="1">
      <c r="A33" s="60"/>
      <c r="B33" s="55">
        <v>46188.0</v>
      </c>
      <c r="C33" s="62">
        <v>131000.0</v>
      </c>
      <c r="D33" s="62"/>
      <c r="E33" s="122" t="s">
        <v>285</v>
      </c>
      <c r="F33" s="58"/>
      <c r="G33" s="59"/>
    </row>
    <row r="34" ht="19.5" customHeight="1">
      <c r="A34" s="60"/>
      <c r="B34" s="55">
        <v>46189.0</v>
      </c>
      <c r="C34" s="62">
        <v>22900.47</v>
      </c>
      <c r="D34" s="62"/>
      <c r="E34" s="122" t="s">
        <v>164</v>
      </c>
      <c r="F34" s="58"/>
      <c r="G34" s="59"/>
    </row>
    <row r="35" ht="19.5" customHeight="1">
      <c r="A35" s="60"/>
      <c r="B35" s="55">
        <v>46193.0</v>
      </c>
      <c r="C35" s="62">
        <v>46400.0</v>
      </c>
      <c r="D35" s="62"/>
      <c r="E35" s="122" t="s">
        <v>289</v>
      </c>
      <c r="F35" s="58"/>
      <c r="G35" s="59"/>
    </row>
    <row r="36" ht="19.5" customHeight="1">
      <c r="A36" s="60"/>
      <c r="B36" s="55">
        <v>46193.0</v>
      </c>
      <c r="C36" s="62">
        <v>71100.0</v>
      </c>
      <c r="D36" s="62"/>
      <c r="E36" s="122" t="s">
        <v>290</v>
      </c>
      <c r="F36" s="58"/>
      <c r="G36" s="59"/>
    </row>
    <row r="37" ht="19.5" customHeight="1">
      <c r="A37" s="60"/>
      <c r="B37" s="55">
        <v>46193.0</v>
      </c>
      <c r="C37" s="62">
        <v>73077.0</v>
      </c>
      <c r="D37" s="62"/>
      <c r="E37" s="122" t="s">
        <v>51</v>
      </c>
      <c r="F37" s="58"/>
      <c r="G37" s="59"/>
    </row>
    <row r="38" ht="19.5" customHeight="1">
      <c r="A38" s="60"/>
      <c r="B38" s="55">
        <v>46195.0</v>
      </c>
      <c r="C38" s="62"/>
      <c r="D38" s="62">
        <v>13.99</v>
      </c>
      <c r="E38" s="122" t="s">
        <v>292</v>
      </c>
      <c r="F38" s="58"/>
      <c r="G38" s="59"/>
    </row>
    <row r="39" ht="19.5" customHeight="1">
      <c r="A39" s="60"/>
      <c r="B39" s="55">
        <v>46198.0</v>
      </c>
      <c r="C39" s="62">
        <v>134471.65</v>
      </c>
      <c r="D39" s="62"/>
      <c r="E39" s="122" t="s">
        <v>217</v>
      </c>
      <c r="F39" s="58"/>
      <c r="G39" s="59"/>
    </row>
    <row r="40" ht="19.5" customHeight="1">
      <c r="A40" s="60"/>
      <c r="B40" s="55">
        <v>46198.0</v>
      </c>
      <c r="C40" s="62"/>
      <c r="D40" s="62">
        <v>157.99</v>
      </c>
      <c r="E40" s="122" t="s">
        <v>295</v>
      </c>
      <c r="F40" s="58"/>
      <c r="G40" s="59"/>
    </row>
    <row r="41" ht="19.5" customHeight="1">
      <c r="A41" s="60"/>
      <c r="B41" s="55">
        <v>46199.0</v>
      </c>
      <c r="C41" s="62">
        <v>57990.81</v>
      </c>
      <c r="D41" s="62"/>
      <c r="E41" s="122" t="s">
        <v>39</v>
      </c>
      <c r="F41" s="58"/>
      <c r="G41" s="59"/>
    </row>
    <row r="42" ht="19.5" customHeight="1">
      <c r="A42" s="60"/>
      <c r="B42" s="55">
        <v>46203.0</v>
      </c>
      <c r="C42" s="62">
        <v>8500.0</v>
      </c>
      <c r="D42" s="62"/>
      <c r="E42" s="122" t="s">
        <v>297</v>
      </c>
      <c r="F42" s="58"/>
      <c r="G42" s="59"/>
    </row>
    <row r="43" ht="19.5" customHeight="1">
      <c r="A43" s="60"/>
      <c r="B43" s="55">
        <v>46203.0</v>
      </c>
      <c r="C43" s="62">
        <v>8500.0</v>
      </c>
      <c r="D43" s="62"/>
      <c r="E43" s="122" t="s">
        <v>297</v>
      </c>
      <c r="F43" s="58"/>
      <c r="G43" s="59"/>
    </row>
    <row r="44" ht="19.5" customHeight="1">
      <c r="A44" s="60"/>
      <c r="B44" s="55">
        <v>46203.0</v>
      </c>
      <c r="C44" s="62">
        <v>8500.0</v>
      </c>
      <c r="D44" s="62"/>
      <c r="E44" s="122" t="s">
        <v>297</v>
      </c>
      <c r="F44" s="58"/>
      <c r="G44" s="59"/>
    </row>
    <row r="45" ht="19.5" customHeight="1">
      <c r="A45" s="60"/>
      <c r="B45" s="55">
        <v>46203.0</v>
      </c>
      <c r="C45" s="62">
        <v>8500.0</v>
      </c>
      <c r="D45" s="62"/>
      <c r="E45" s="122" t="s">
        <v>297</v>
      </c>
      <c r="F45" s="58"/>
      <c r="G45" s="59"/>
    </row>
    <row r="46" ht="19.5" customHeight="1">
      <c r="A46" s="60"/>
      <c r="B46" s="55">
        <v>46203.0</v>
      </c>
      <c r="C46" s="62">
        <v>8500.0</v>
      </c>
      <c r="D46" s="62"/>
      <c r="E46" s="122" t="s">
        <v>297</v>
      </c>
      <c r="F46" s="58"/>
      <c r="G46" s="59"/>
    </row>
    <row r="47" ht="19.5" customHeight="1">
      <c r="A47" s="60"/>
      <c r="B47" s="55">
        <v>46203.0</v>
      </c>
      <c r="C47" s="62">
        <v>8500.0</v>
      </c>
      <c r="D47" s="62"/>
      <c r="E47" s="122" t="s">
        <v>297</v>
      </c>
      <c r="F47" s="58"/>
      <c r="G47" s="59"/>
    </row>
    <row r="48" ht="19.5" customHeight="1">
      <c r="A48" s="67"/>
      <c r="B48" s="55">
        <v>46203.0</v>
      </c>
      <c r="C48" s="62">
        <v>169366.68</v>
      </c>
      <c r="D48" s="62"/>
      <c r="E48" s="122" t="s">
        <v>307</v>
      </c>
      <c r="F48" s="58"/>
      <c r="G48" s="59"/>
    </row>
    <row r="49" ht="30.0" customHeight="1">
      <c r="A49" s="68" t="s">
        <v>43</v>
      </c>
      <c r="B49" s="69"/>
      <c r="C49" s="80">
        <f t="shared" ref="C49:D49" si="2">SUM(C18:C48)</f>
        <v>3637001.77</v>
      </c>
      <c r="D49" s="80">
        <f t="shared" si="2"/>
        <v>171.98</v>
      </c>
      <c r="E49" s="71"/>
      <c r="F49" s="72"/>
    </row>
    <row r="50" ht="4.5" customHeight="1">
      <c r="A50" s="73"/>
      <c r="B50" s="74"/>
      <c r="C50" s="74"/>
      <c r="D50" s="74"/>
      <c r="E50" s="74"/>
      <c r="F50" s="74"/>
      <c r="G50" s="69"/>
    </row>
    <row r="51" ht="19.5" customHeight="1">
      <c r="A51" s="75" t="s">
        <v>53</v>
      </c>
      <c r="B51" s="165">
        <v>46122.0</v>
      </c>
      <c r="C51" s="81">
        <v>876000.0</v>
      </c>
      <c r="D51" s="77"/>
      <c r="E51" s="126" t="s">
        <v>318</v>
      </c>
      <c r="F51" s="61" t="s">
        <v>319</v>
      </c>
      <c r="G51" s="110"/>
    </row>
    <row r="52" ht="19.5" customHeight="1">
      <c r="A52" s="60"/>
      <c r="B52" s="165">
        <v>46171.0</v>
      </c>
      <c r="C52" s="81">
        <v>100001.0</v>
      </c>
      <c r="D52" s="62"/>
      <c r="E52" s="126" t="s">
        <v>308</v>
      </c>
      <c r="F52" s="61" t="s">
        <v>322</v>
      </c>
      <c r="G52" s="166"/>
    </row>
    <row r="53" ht="19.5" customHeight="1">
      <c r="A53" s="60"/>
      <c r="B53" s="165">
        <v>46171.0</v>
      </c>
      <c r="C53" s="81">
        <v>135239.0</v>
      </c>
      <c r="D53" s="62"/>
      <c r="E53" s="126" t="s">
        <v>308</v>
      </c>
      <c r="F53" s="61" t="s">
        <v>326</v>
      </c>
      <c r="G53" s="166"/>
    </row>
    <row r="54" ht="19.5" customHeight="1">
      <c r="A54" s="60"/>
      <c r="B54" s="165">
        <v>46171.0</v>
      </c>
      <c r="C54" s="81">
        <v>186099.0</v>
      </c>
      <c r="D54" s="62"/>
      <c r="E54" s="126" t="s">
        <v>308</v>
      </c>
      <c r="F54" s="61" t="s">
        <v>159</v>
      </c>
      <c r="G54" s="166"/>
    </row>
    <row r="55" ht="19.5" customHeight="1">
      <c r="A55" s="60"/>
      <c r="B55" s="165">
        <v>46172.0</v>
      </c>
      <c r="C55" s="81">
        <v>101020.0</v>
      </c>
      <c r="D55" s="62"/>
      <c r="E55" s="126" t="s">
        <v>308</v>
      </c>
      <c r="F55" s="61" t="s">
        <v>270</v>
      </c>
      <c r="G55" s="166"/>
    </row>
    <row r="56" ht="19.5" customHeight="1">
      <c r="A56" s="60"/>
      <c r="B56" s="165">
        <v>46172.0</v>
      </c>
      <c r="C56" s="81">
        <v>317536.0</v>
      </c>
      <c r="D56" s="62"/>
      <c r="E56" s="126" t="s">
        <v>308</v>
      </c>
      <c r="F56" s="61" t="s">
        <v>336</v>
      </c>
      <c r="G56" s="166"/>
    </row>
    <row r="57" ht="19.5" customHeight="1">
      <c r="A57" s="60"/>
      <c r="B57" s="165">
        <v>46172.0</v>
      </c>
      <c r="C57" s="81">
        <v>352044.0</v>
      </c>
      <c r="D57" s="62"/>
      <c r="E57" s="126" t="s">
        <v>308</v>
      </c>
      <c r="F57" s="61" t="s">
        <v>340</v>
      </c>
      <c r="G57" s="166"/>
    </row>
    <row r="58" ht="19.5" customHeight="1">
      <c r="A58" s="60"/>
      <c r="B58" s="165">
        <v>46172.0</v>
      </c>
      <c r="C58" s="81">
        <v>88171.0</v>
      </c>
      <c r="D58" s="62"/>
      <c r="E58" s="126" t="s">
        <v>308</v>
      </c>
      <c r="F58" s="61" t="s">
        <v>56</v>
      </c>
      <c r="G58" s="166"/>
    </row>
    <row r="59" ht="19.5" customHeight="1">
      <c r="A59" s="60"/>
      <c r="B59" s="165">
        <v>46173.0</v>
      </c>
      <c r="C59" s="81">
        <v>40000.0</v>
      </c>
      <c r="D59" s="62"/>
      <c r="E59" s="126" t="s">
        <v>343</v>
      </c>
      <c r="F59" s="61" t="s">
        <v>96</v>
      </c>
      <c r="G59" s="166"/>
    </row>
    <row r="60" ht="19.5" customHeight="1">
      <c r="A60" s="60"/>
      <c r="B60" s="165">
        <v>46174.0</v>
      </c>
      <c r="C60" s="81">
        <v>140000.0</v>
      </c>
      <c r="D60" s="62"/>
      <c r="E60" s="126" t="s">
        <v>281</v>
      </c>
      <c r="F60" s="61" t="s">
        <v>347</v>
      </c>
      <c r="G60" s="166"/>
    </row>
    <row r="61" ht="19.5" customHeight="1">
      <c r="A61" s="60"/>
      <c r="B61" s="165">
        <v>46176.0</v>
      </c>
      <c r="C61" s="81">
        <v>164999.88</v>
      </c>
      <c r="D61" s="62"/>
      <c r="E61" s="126" t="s">
        <v>79</v>
      </c>
      <c r="F61" s="61" t="s">
        <v>56</v>
      </c>
      <c r="G61" s="166"/>
    </row>
    <row r="62" ht="19.5" customHeight="1">
      <c r="A62" s="60"/>
      <c r="B62" s="165">
        <v>46181.0</v>
      </c>
      <c r="C62" s="81">
        <v>111700.0</v>
      </c>
      <c r="D62" s="62"/>
      <c r="E62" s="126" t="s">
        <v>349</v>
      </c>
      <c r="F62" s="61" t="s">
        <v>351</v>
      </c>
      <c r="G62" s="166"/>
    </row>
    <row r="63" ht="19.5" customHeight="1">
      <c r="A63" s="60"/>
      <c r="B63" s="165">
        <v>46181.0</v>
      </c>
      <c r="C63" s="81">
        <v>161066.11</v>
      </c>
      <c r="D63" s="62"/>
      <c r="E63" s="126" t="s">
        <v>80</v>
      </c>
      <c r="F63" s="61" t="s">
        <v>354</v>
      </c>
      <c r="G63" s="166"/>
    </row>
    <row r="64" ht="19.5" customHeight="1">
      <c r="A64" s="60"/>
      <c r="B64" s="165">
        <v>46182.0</v>
      </c>
      <c r="C64" s="81">
        <v>252897.9</v>
      </c>
      <c r="D64" s="62"/>
      <c r="E64" s="126" t="s">
        <v>357</v>
      </c>
      <c r="F64" s="61" t="s">
        <v>359</v>
      </c>
      <c r="G64" s="166"/>
    </row>
    <row r="65" ht="19.5" customHeight="1">
      <c r="A65" s="60"/>
      <c r="B65" s="165">
        <v>46183.0</v>
      </c>
      <c r="C65" s="81">
        <v>140000.0</v>
      </c>
      <c r="D65" s="62"/>
      <c r="E65" s="126" t="s">
        <v>267</v>
      </c>
      <c r="F65" s="61" t="s">
        <v>363</v>
      </c>
      <c r="G65" s="166"/>
    </row>
    <row r="66" ht="19.5" customHeight="1">
      <c r="A66" s="60"/>
      <c r="B66" s="165">
        <v>46184.0</v>
      </c>
      <c r="C66" s="81">
        <v>183013.1</v>
      </c>
      <c r="D66" s="62"/>
      <c r="E66" s="126" t="s">
        <v>366</v>
      </c>
      <c r="F66" s="61" t="s">
        <v>56</v>
      </c>
      <c r="G66" s="166"/>
    </row>
    <row r="67" ht="19.5" customHeight="1">
      <c r="A67" s="60"/>
      <c r="B67" s="165">
        <v>46188.0</v>
      </c>
      <c r="C67" s="81">
        <v>103713.0</v>
      </c>
      <c r="D67" s="62"/>
      <c r="E67" s="126" t="s">
        <v>368</v>
      </c>
      <c r="F67" s="61" t="s">
        <v>369</v>
      </c>
      <c r="G67" s="166"/>
    </row>
    <row r="68" ht="19.5" customHeight="1">
      <c r="A68" s="60"/>
      <c r="B68" s="165">
        <v>46188.0</v>
      </c>
      <c r="C68" s="81">
        <v>50000.0</v>
      </c>
      <c r="D68" s="62"/>
      <c r="E68" s="126" t="s">
        <v>371</v>
      </c>
      <c r="F68" s="61" t="s">
        <v>56</v>
      </c>
      <c r="G68" s="61"/>
    </row>
    <row r="69" ht="19.5" customHeight="1">
      <c r="A69" s="60"/>
      <c r="B69" s="165">
        <v>46191.0</v>
      </c>
      <c r="C69" s="81">
        <v>41601.3</v>
      </c>
      <c r="D69" s="62"/>
      <c r="E69" s="126" t="s">
        <v>372</v>
      </c>
      <c r="F69" s="61" t="s">
        <v>373</v>
      </c>
      <c r="G69" s="110"/>
    </row>
    <row r="70" ht="19.5" customHeight="1">
      <c r="A70" s="60"/>
      <c r="B70" s="165">
        <v>46191.0</v>
      </c>
      <c r="C70" s="81">
        <v>157006.0</v>
      </c>
      <c r="D70" s="62"/>
      <c r="E70" s="126" t="s">
        <v>371</v>
      </c>
      <c r="F70" s="61" t="s">
        <v>56</v>
      </c>
      <c r="G70" s="110"/>
    </row>
    <row r="71" ht="19.5" customHeight="1">
      <c r="A71" s="60"/>
      <c r="B71" s="165">
        <v>46198.0</v>
      </c>
      <c r="C71" s="81">
        <v>658099.0</v>
      </c>
      <c r="D71" s="62"/>
      <c r="E71" s="126" t="s">
        <v>379</v>
      </c>
      <c r="F71" s="61" t="s">
        <v>381</v>
      </c>
      <c r="G71" s="110"/>
    </row>
    <row r="72" ht="19.5" customHeight="1">
      <c r="A72" s="60"/>
      <c r="B72" s="165">
        <v>46198.0</v>
      </c>
      <c r="C72" s="81">
        <v>34571.0</v>
      </c>
      <c r="D72" s="62"/>
      <c r="E72" s="126" t="s">
        <v>368</v>
      </c>
      <c r="F72" s="61" t="s">
        <v>386</v>
      </c>
      <c r="G72" s="110"/>
    </row>
    <row r="73" ht="19.5" customHeight="1">
      <c r="A73" s="60"/>
      <c r="B73" s="165">
        <v>46198.0</v>
      </c>
      <c r="C73" s="81">
        <v>658099.0</v>
      </c>
      <c r="D73" s="62"/>
      <c r="E73" s="126" t="s">
        <v>379</v>
      </c>
      <c r="F73" s="61" t="s">
        <v>381</v>
      </c>
      <c r="G73" s="110"/>
    </row>
    <row r="74" ht="19.5" customHeight="1">
      <c r="A74" s="60"/>
      <c r="B74" s="165">
        <v>46198.0</v>
      </c>
      <c r="C74" s="81">
        <v>658099.0</v>
      </c>
      <c r="D74" s="62"/>
      <c r="E74" s="126" t="s">
        <v>379</v>
      </c>
      <c r="F74" s="61" t="s">
        <v>381</v>
      </c>
      <c r="G74" s="110"/>
    </row>
    <row r="75" ht="19.5" customHeight="1">
      <c r="A75" s="60"/>
      <c r="B75" s="165">
        <v>46198.0</v>
      </c>
      <c r="C75" s="81">
        <v>25337.5</v>
      </c>
      <c r="D75" s="62"/>
      <c r="E75" s="126" t="s">
        <v>395</v>
      </c>
      <c r="F75" s="61" t="s">
        <v>397</v>
      </c>
      <c r="G75" s="110"/>
    </row>
    <row r="76" ht="19.5" customHeight="1">
      <c r="A76" s="60"/>
      <c r="B76" s="165">
        <v>46198.0</v>
      </c>
      <c r="C76" s="81">
        <v>119899.0</v>
      </c>
      <c r="D76" s="62"/>
      <c r="E76" s="126" t="s">
        <v>398</v>
      </c>
      <c r="F76" s="61" t="s">
        <v>400</v>
      </c>
      <c r="G76" s="110"/>
    </row>
    <row r="77" ht="19.5" customHeight="1">
      <c r="A77" s="60"/>
      <c r="B77" s="165">
        <v>46199.0</v>
      </c>
      <c r="C77" s="81">
        <v>52257.6</v>
      </c>
      <c r="D77" s="62"/>
      <c r="E77" s="126" t="s">
        <v>402</v>
      </c>
      <c r="F77" s="61" t="s">
        <v>403</v>
      </c>
      <c r="G77" s="110"/>
    </row>
    <row r="78" ht="19.5" customHeight="1">
      <c r="A78" s="60"/>
      <c r="B78" s="165">
        <v>46203.0</v>
      </c>
      <c r="C78" s="81">
        <v>180911.0</v>
      </c>
      <c r="D78" s="62"/>
      <c r="E78" s="126" t="s">
        <v>175</v>
      </c>
      <c r="F78" s="61" t="s">
        <v>56</v>
      </c>
      <c r="G78" s="110"/>
    </row>
    <row r="79" ht="19.5" customHeight="1">
      <c r="A79" s="60"/>
      <c r="B79" s="165">
        <v>46204.0</v>
      </c>
      <c r="C79" s="81">
        <v>7300.0</v>
      </c>
      <c r="D79" s="62"/>
      <c r="E79" s="126" t="s">
        <v>406</v>
      </c>
      <c r="F79" s="61" t="s">
        <v>268</v>
      </c>
      <c r="G79" s="110"/>
    </row>
    <row r="80" ht="19.5" customHeight="1">
      <c r="A80" s="60"/>
      <c r="B80" s="165">
        <v>46204.0</v>
      </c>
      <c r="C80" s="88">
        <v>-52257.6</v>
      </c>
      <c r="D80" s="62"/>
      <c r="E80" s="126" t="s">
        <v>402</v>
      </c>
      <c r="F80" s="61" t="s">
        <v>410</v>
      </c>
      <c r="G80" s="110"/>
    </row>
    <row r="81" ht="29.25" customHeight="1">
      <c r="A81" s="68" t="s">
        <v>43</v>
      </c>
      <c r="B81" s="69"/>
      <c r="C81" s="80">
        <f t="shared" ref="C81:D81" si="3">SUM(C51:C80)</f>
        <v>6044422.79</v>
      </c>
      <c r="D81" s="80">
        <f t="shared" si="3"/>
        <v>0</v>
      </c>
      <c r="E81" s="71"/>
      <c r="F81" s="72"/>
    </row>
    <row r="82" ht="4.5" customHeight="1">
      <c r="A82" s="73"/>
      <c r="B82" s="74"/>
      <c r="C82" s="74"/>
      <c r="D82" s="74"/>
      <c r="E82" s="74"/>
      <c r="F82" s="74"/>
      <c r="G82" s="69"/>
    </row>
    <row r="83" ht="19.5" customHeight="1">
      <c r="A83" s="75" t="s">
        <v>108</v>
      </c>
      <c r="B83" s="76">
        <v>46171.0</v>
      </c>
      <c r="C83" s="81">
        <v>97504.0</v>
      </c>
      <c r="D83" s="77"/>
      <c r="E83" s="126" t="s">
        <v>417</v>
      </c>
      <c r="F83" s="61" t="s">
        <v>352</v>
      </c>
      <c r="G83" s="110"/>
    </row>
    <row r="84" ht="19.5" customHeight="1">
      <c r="A84" s="60"/>
      <c r="B84" s="76">
        <v>46172.0</v>
      </c>
      <c r="C84" s="81">
        <v>102000.0</v>
      </c>
      <c r="D84" s="62"/>
      <c r="E84" s="126" t="s">
        <v>422</v>
      </c>
      <c r="F84" s="61" t="s">
        <v>352</v>
      </c>
      <c r="G84" s="110"/>
    </row>
    <row r="85" ht="19.5" customHeight="1">
      <c r="A85" s="60"/>
      <c r="B85" s="76">
        <v>46172.0</v>
      </c>
      <c r="C85" s="81">
        <v>102007.0</v>
      </c>
      <c r="D85" s="62"/>
      <c r="E85" s="126" t="s">
        <v>308</v>
      </c>
      <c r="F85" s="61" t="s">
        <v>352</v>
      </c>
      <c r="G85" s="110"/>
    </row>
    <row r="86" ht="19.5" customHeight="1">
      <c r="A86" s="60"/>
      <c r="B86" s="76">
        <v>46174.0</v>
      </c>
      <c r="C86" s="81">
        <v>41067.03</v>
      </c>
      <c r="D86" s="62"/>
      <c r="E86" s="126" t="s">
        <v>427</v>
      </c>
      <c r="F86" s="61" t="s">
        <v>428</v>
      </c>
      <c r="G86" s="110"/>
    </row>
    <row r="87" ht="19.5" customHeight="1">
      <c r="A87" s="60"/>
      <c r="B87" s="76">
        <v>46174.0</v>
      </c>
      <c r="C87" s="81">
        <v>56998.91</v>
      </c>
      <c r="D87" s="62"/>
      <c r="E87" s="126" t="s">
        <v>427</v>
      </c>
      <c r="F87" s="61" t="s">
        <v>432</v>
      </c>
      <c r="G87" s="110"/>
    </row>
    <row r="88" ht="19.5" customHeight="1">
      <c r="A88" s="60"/>
      <c r="B88" s="76">
        <v>46174.0</v>
      </c>
      <c r="C88" s="81">
        <v>40000.09</v>
      </c>
      <c r="D88" s="62"/>
      <c r="E88" s="126" t="s">
        <v>427</v>
      </c>
      <c r="F88" s="61" t="s">
        <v>432</v>
      </c>
      <c r="G88" s="110"/>
    </row>
    <row r="89" ht="19.5" customHeight="1">
      <c r="A89" s="60"/>
      <c r="B89" s="76">
        <v>46184.0</v>
      </c>
      <c r="C89" s="81"/>
      <c r="D89" s="62">
        <v>9.99</v>
      </c>
      <c r="E89" s="126" t="s">
        <v>437</v>
      </c>
      <c r="F89" s="61" t="s">
        <v>120</v>
      </c>
      <c r="G89" s="110"/>
    </row>
    <row r="90" ht="19.5" customHeight="1">
      <c r="A90" s="60"/>
      <c r="B90" s="76">
        <v>46185.0</v>
      </c>
      <c r="C90" s="81">
        <v>30000.0</v>
      </c>
      <c r="D90" s="62"/>
      <c r="E90" s="126" t="s">
        <v>441</v>
      </c>
      <c r="F90" s="61" t="s">
        <v>443</v>
      </c>
      <c r="G90" s="110"/>
    </row>
    <row r="91" ht="19.5" customHeight="1">
      <c r="A91" s="60"/>
      <c r="B91" s="76">
        <v>46185.0</v>
      </c>
      <c r="C91" s="81">
        <v>20000.0</v>
      </c>
      <c r="D91" s="62"/>
      <c r="E91" s="126" t="s">
        <v>441</v>
      </c>
      <c r="F91" s="61" t="s">
        <v>443</v>
      </c>
      <c r="G91" s="110"/>
    </row>
    <row r="92" ht="19.5" customHeight="1">
      <c r="A92" s="60"/>
      <c r="B92" s="76">
        <v>46185.0</v>
      </c>
      <c r="C92" s="81">
        <v>40000.0</v>
      </c>
      <c r="D92" s="62"/>
      <c r="E92" s="126" t="s">
        <v>448</v>
      </c>
      <c r="F92" s="61" t="s">
        <v>443</v>
      </c>
      <c r="G92" s="110"/>
    </row>
    <row r="93" ht="19.5" customHeight="1">
      <c r="A93" s="60"/>
      <c r="B93" s="76">
        <v>46188.0</v>
      </c>
      <c r="C93" s="81"/>
      <c r="D93" s="62">
        <v>19.99</v>
      </c>
      <c r="E93" s="126" t="s">
        <v>450</v>
      </c>
      <c r="F93" s="61" t="s">
        <v>124</v>
      </c>
      <c r="G93" s="110"/>
    </row>
    <row r="94" ht="19.5" customHeight="1">
      <c r="A94" s="60"/>
      <c r="B94" s="76">
        <v>46188.0</v>
      </c>
      <c r="C94" s="81"/>
      <c r="D94" s="62">
        <v>19.75</v>
      </c>
      <c r="E94" s="126" t="s">
        <v>127</v>
      </c>
      <c r="F94" s="61" t="s">
        <v>128</v>
      </c>
      <c r="G94" s="110"/>
    </row>
    <row r="95" ht="19.5" customHeight="1">
      <c r="A95" s="60"/>
      <c r="B95" s="76">
        <v>46189.0</v>
      </c>
      <c r="C95" s="81"/>
      <c r="D95" s="62">
        <v>20.0</v>
      </c>
      <c r="E95" s="126" t="s">
        <v>452</v>
      </c>
      <c r="F95" s="61" t="s">
        <v>133</v>
      </c>
      <c r="G95" s="110"/>
    </row>
    <row r="96" ht="19.5" customHeight="1">
      <c r="A96" s="60"/>
      <c r="B96" s="76">
        <v>46191.0</v>
      </c>
      <c r="C96" s="81"/>
      <c r="D96" s="62">
        <v>1.99</v>
      </c>
      <c r="E96" s="126" t="s">
        <v>453</v>
      </c>
      <c r="F96" s="61" t="s">
        <v>136</v>
      </c>
      <c r="G96" s="110"/>
    </row>
    <row r="97" ht="19.5" customHeight="1">
      <c r="A97" s="60"/>
      <c r="B97" s="76">
        <v>46204.0</v>
      </c>
      <c r="C97" s="81">
        <v>268653.0</v>
      </c>
      <c r="D97" s="62"/>
      <c r="E97" s="126" t="s">
        <v>191</v>
      </c>
      <c r="F97" s="61" t="s">
        <v>455</v>
      </c>
      <c r="G97" s="110"/>
    </row>
    <row r="98" ht="19.5" customHeight="1">
      <c r="A98" s="60"/>
      <c r="B98" s="76">
        <v>46205.0</v>
      </c>
      <c r="C98" s="81"/>
      <c r="D98" s="62">
        <v>4.27</v>
      </c>
      <c r="E98" s="126" t="s">
        <v>457</v>
      </c>
      <c r="F98" s="61" t="s">
        <v>458</v>
      </c>
      <c r="G98" s="110"/>
    </row>
    <row r="99" ht="30.0" customHeight="1">
      <c r="A99" s="68" t="s">
        <v>43</v>
      </c>
      <c r="B99" s="69"/>
      <c r="C99" s="80">
        <f t="shared" ref="C99:D99" si="4">SUM(C83:C98)</f>
        <v>798230.03</v>
      </c>
      <c r="D99" s="80">
        <f t="shared" si="4"/>
        <v>75.99</v>
      </c>
      <c r="E99" s="71"/>
      <c r="F99" s="72"/>
    </row>
    <row r="100" ht="4.5" customHeight="1">
      <c r="A100" s="89"/>
      <c r="B100" s="91"/>
      <c r="C100" s="91"/>
      <c r="D100" s="91"/>
      <c r="E100" s="91"/>
      <c r="F100" s="91"/>
      <c r="G100" s="92"/>
    </row>
    <row r="101" ht="19.5" customHeight="1">
      <c r="A101" s="93" t="s">
        <v>16</v>
      </c>
      <c r="B101" s="76">
        <v>46180.0</v>
      </c>
      <c r="C101" s="81">
        <v>100.0</v>
      </c>
      <c r="D101" s="81"/>
      <c r="E101" s="126" t="s">
        <v>460</v>
      </c>
      <c r="F101" s="61" t="s">
        <v>461</v>
      </c>
      <c r="G101" s="61"/>
    </row>
    <row r="102" ht="19.5" customHeight="1">
      <c r="A102" s="94"/>
      <c r="B102" s="76">
        <v>46181.0</v>
      </c>
      <c r="C102" s="88">
        <v>-100.0</v>
      </c>
      <c r="D102" s="81"/>
      <c r="E102" s="126" t="s">
        <v>460</v>
      </c>
      <c r="F102" s="61" t="s">
        <v>462</v>
      </c>
      <c r="G102" s="61"/>
    </row>
    <row r="103" ht="19.5" customHeight="1">
      <c r="A103" s="94"/>
      <c r="B103" s="76">
        <v>46202.0</v>
      </c>
      <c r="C103" s="81">
        <v>37000.0</v>
      </c>
      <c r="D103" s="81"/>
      <c r="E103" s="126" t="s">
        <v>464</v>
      </c>
      <c r="F103" s="61" t="s">
        <v>465</v>
      </c>
      <c r="G103" s="61"/>
    </row>
    <row r="104" ht="30.0" customHeight="1">
      <c r="A104" s="127" t="s">
        <v>43</v>
      </c>
      <c r="B104" s="128"/>
      <c r="C104" s="81">
        <f>SUM(C101:C103)</f>
        <v>37000</v>
      </c>
      <c r="D104" s="81">
        <f>SUM(D101)</f>
        <v>0</v>
      </c>
      <c r="E104" s="109"/>
      <c r="F104" s="79"/>
    </row>
    <row r="105" ht="4.5" customHeight="1">
      <c r="A105" s="130"/>
      <c r="B105" s="131"/>
      <c r="C105" s="131"/>
      <c r="D105" s="132"/>
      <c r="E105" s="114"/>
      <c r="I105" s="114"/>
      <c r="M105" s="114"/>
      <c r="Q105" s="114"/>
      <c r="U105" s="114"/>
      <c r="Y105" s="114"/>
    </row>
    <row r="106" ht="30.0" customHeight="1">
      <c r="A106" s="118" t="s">
        <v>193</v>
      </c>
      <c r="B106" s="47"/>
      <c r="C106" s="119">
        <f>SUM(C49+C81+C99+C6)</f>
        <v>10479654.59</v>
      </c>
      <c r="D106" s="119">
        <f>SUM(D49+D81+D99+D104)</f>
        <v>247.97</v>
      </c>
      <c r="E106" s="109"/>
      <c r="F106" s="79"/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A51:A80"/>
    <mergeCell ref="A83:A98"/>
    <mergeCell ref="A99:B99"/>
    <mergeCell ref="A101:A103"/>
    <mergeCell ref="A104:B104"/>
    <mergeCell ref="A106:B106"/>
    <mergeCell ref="A100:G100"/>
    <mergeCell ref="A105:D105"/>
    <mergeCell ref="E105:H105"/>
    <mergeCell ref="I105:L105"/>
    <mergeCell ref="M105:P105"/>
    <mergeCell ref="Q105:T105"/>
    <mergeCell ref="U105:X105"/>
    <mergeCell ref="Y105:AA105"/>
    <mergeCell ref="D9:G15"/>
    <mergeCell ref="A16:G16"/>
    <mergeCell ref="A18:A48"/>
    <mergeCell ref="A49:B49"/>
    <mergeCell ref="A50:G50"/>
    <mergeCell ref="A81:B81"/>
    <mergeCell ref="A82:G82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29"/>
    <col customWidth="1" min="3" max="3" width="19.14"/>
    <col customWidth="1" min="4" max="4" width="15.57"/>
    <col customWidth="1" min="5" max="5" width="36.14"/>
    <col customWidth="1" min="6" max="6" width="76.29"/>
    <col customWidth="1" min="7" max="7" width="11.86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33" t="s">
        <v>0</v>
      </c>
      <c r="B6" s="2"/>
      <c r="C6" s="3"/>
      <c r="D6" s="84" t="s">
        <v>1</v>
      </c>
      <c r="E6" s="5"/>
      <c r="F6" s="85" t="s">
        <v>263</v>
      </c>
      <c r="G6" s="7"/>
    </row>
    <row r="7" ht="21.7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27.0" customHeight="1">
      <c r="A8" s="134" t="s">
        <v>5</v>
      </c>
      <c r="B8" s="135" t="s">
        <v>6</v>
      </c>
      <c r="C8" s="136" t="s">
        <v>7</v>
      </c>
      <c r="D8" s="86" t="s">
        <v>7</v>
      </c>
      <c r="E8" s="90"/>
      <c r="F8" s="30">
        <v>6446287.46</v>
      </c>
      <c r="G8" s="25"/>
    </row>
    <row r="9" ht="19.5" customHeight="1">
      <c r="A9" s="149" t="s">
        <v>9</v>
      </c>
      <c r="B9" s="31">
        <f>SUM(C32)</f>
        <v>2381318.16</v>
      </c>
      <c r="C9" s="32">
        <f t="shared" ref="C9:C14" si="1">SUM(B9)</f>
        <v>2381318.16</v>
      </c>
      <c r="D9" s="137" t="s">
        <v>10</v>
      </c>
      <c r="E9" s="98"/>
      <c r="F9" s="98"/>
      <c r="G9" s="100"/>
    </row>
    <row r="10" ht="19.5" customHeight="1">
      <c r="A10" s="149" t="s">
        <v>11</v>
      </c>
      <c r="B10" s="138">
        <f>SUM(D32)</f>
        <v>0</v>
      </c>
      <c r="C10" s="139">
        <f t="shared" si="1"/>
        <v>0</v>
      </c>
      <c r="D10" s="36"/>
      <c r="G10" s="37"/>
    </row>
    <row r="11" ht="19.5" customHeight="1">
      <c r="A11" s="149" t="s">
        <v>12</v>
      </c>
      <c r="B11" s="140">
        <f>SUM(C49)</f>
        <v>3639270.4</v>
      </c>
      <c r="C11" s="95">
        <f t="shared" si="1"/>
        <v>3639270.4</v>
      </c>
      <c r="D11" s="36"/>
      <c r="G11" s="37"/>
    </row>
    <row r="12" ht="19.5" customHeight="1">
      <c r="A12" s="149" t="s">
        <v>13</v>
      </c>
      <c r="B12" s="138"/>
      <c r="C12" s="141">
        <f t="shared" si="1"/>
        <v>0</v>
      </c>
      <c r="D12" s="36"/>
      <c r="G12" s="37"/>
    </row>
    <row r="13" ht="19.5" customHeight="1">
      <c r="A13" s="149" t="s">
        <v>14</v>
      </c>
      <c r="B13" s="140">
        <f>SUM(C59)</f>
        <v>256899</v>
      </c>
      <c r="C13" s="95">
        <f t="shared" si="1"/>
        <v>256899</v>
      </c>
      <c r="D13" s="36"/>
      <c r="G13" s="37"/>
    </row>
    <row r="14" ht="19.5" customHeight="1">
      <c r="A14" s="149" t="s">
        <v>15</v>
      </c>
      <c r="B14" s="138">
        <f>SUM(D59)</f>
        <v>134.71</v>
      </c>
      <c r="C14" s="95">
        <f t="shared" si="1"/>
        <v>134.71</v>
      </c>
      <c r="D14" s="144"/>
      <c r="E14" s="116"/>
      <c r="F14" s="116"/>
      <c r="G14" s="117"/>
    </row>
    <row r="15" ht="4.5" customHeight="1">
      <c r="A15" s="145"/>
      <c r="B15" s="146"/>
      <c r="C15" s="146"/>
      <c r="D15" s="146"/>
      <c r="E15" s="146"/>
      <c r="F15" s="146"/>
      <c r="G15" s="147"/>
    </row>
    <row r="16" ht="24.75" customHeight="1">
      <c r="A16" s="148" t="s">
        <v>17</v>
      </c>
      <c r="B16" s="148" t="s">
        <v>18</v>
      </c>
      <c r="C16" s="148" t="s">
        <v>19</v>
      </c>
      <c r="D16" s="148" t="s">
        <v>20</v>
      </c>
      <c r="E16" s="150" t="s">
        <v>21</v>
      </c>
      <c r="F16" s="152" t="s">
        <v>22</v>
      </c>
      <c r="G16" s="152" t="s">
        <v>24</v>
      </c>
    </row>
    <row r="17" ht="19.5" customHeight="1">
      <c r="A17" s="75" t="s">
        <v>25</v>
      </c>
      <c r="B17" s="153">
        <v>46203.0</v>
      </c>
      <c r="C17" s="77">
        <v>169366.67</v>
      </c>
      <c r="D17" s="77"/>
      <c r="E17" s="58" t="s">
        <v>47</v>
      </c>
      <c r="F17" s="155"/>
      <c r="G17" s="156"/>
    </row>
    <row r="18" ht="19.5" customHeight="1">
      <c r="A18" s="60"/>
      <c r="B18" s="55">
        <v>46205.0</v>
      </c>
      <c r="C18" s="62">
        <v>254216.83</v>
      </c>
      <c r="D18" s="62"/>
      <c r="E18" s="61" t="s">
        <v>28</v>
      </c>
      <c r="F18" s="58"/>
      <c r="G18" s="59"/>
    </row>
    <row r="19" ht="19.5" customHeight="1">
      <c r="A19" s="60"/>
      <c r="B19" s="55">
        <v>46206.0</v>
      </c>
      <c r="C19" s="62">
        <v>114028.0</v>
      </c>
      <c r="D19" s="62"/>
      <c r="E19" s="61" t="s">
        <v>183</v>
      </c>
      <c r="F19" s="58"/>
      <c r="G19" s="59"/>
    </row>
    <row r="20" ht="19.5" customHeight="1">
      <c r="A20" s="60"/>
      <c r="B20" s="55">
        <v>46211.0</v>
      </c>
      <c r="C20" s="62">
        <v>29900.0</v>
      </c>
      <c r="D20" s="62"/>
      <c r="E20" s="61" t="s">
        <v>35</v>
      </c>
      <c r="F20" s="58"/>
      <c r="G20" s="59"/>
    </row>
    <row r="21" ht="19.5" customHeight="1">
      <c r="A21" s="60"/>
      <c r="B21" s="55">
        <v>46214.0</v>
      </c>
      <c r="C21" s="62">
        <v>736900.0</v>
      </c>
      <c r="D21" s="62"/>
      <c r="E21" s="61" t="s">
        <v>313</v>
      </c>
      <c r="F21" s="58"/>
      <c r="G21" s="59"/>
    </row>
    <row r="22" ht="19.5" customHeight="1">
      <c r="A22" s="60"/>
      <c r="B22" s="55">
        <v>46218.0</v>
      </c>
      <c r="C22" s="62">
        <v>18152.0</v>
      </c>
      <c r="D22" s="62"/>
      <c r="E22" s="61" t="s">
        <v>314</v>
      </c>
      <c r="F22" s="58"/>
      <c r="G22" s="59"/>
    </row>
    <row r="23" ht="19.5" customHeight="1">
      <c r="A23" s="60"/>
      <c r="B23" s="55">
        <v>46218.0</v>
      </c>
      <c r="C23" s="62">
        <v>667206.0</v>
      </c>
      <c r="D23" s="62"/>
      <c r="E23" s="61" t="s">
        <v>54</v>
      </c>
      <c r="F23" s="58"/>
      <c r="G23" s="59"/>
    </row>
    <row r="24" ht="19.5" customHeight="1">
      <c r="A24" s="60"/>
      <c r="B24" s="55">
        <v>46218.0</v>
      </c>
      <c r="C24" s="62">
        <v>9837.0</v>
      </c>
      <c r="D24" s="62"/>
      <c r="E24" s="122" t="s">
        <v>316</v>
      </c>
      <c r="F24" s="58"/>
      <c r="G24" s="59"/>
    </row>
    <row r="25" ht="19.5" customHeight="1">
      <c r="A25" s="60"/>
      <c r="B25" s="55">
        <v>46218.0</v>
      </c>
      <c r="C25" s="62">
        <v>24909.0</v>
      </c>
      <c r="D25" s="62"/>
      <c r="E25" s="122" t="s">
        <v>320</v>
      </c>
      <c r="F25" s="58"/>
      <c r="G25" s="59"/>
    </row>
    <row r="26" ht="19.5" customHeight="1">
      <c r="A26" s="60"/>
      <c r="B26" s="55">
        <v>46219.0</v>
      </c>
      <c r="C26" s="62">
        <v>48812.0</v>
      </c>
      <c r="D26" s="62"/>
      <c r="E26" s="122" t="s">
        <v>49</v>
      </c>
      <c r="F26" s="58"/>
      <c r="G26" s="59"/>
    </row>
    <row r="27" ht="19.5" customHeight="1">
      <c r="A27" s="60"/>
      <c r="B27" s="55">
        <v>46219.0</v>
      </c>
      <c r="C27" s="62">
        <v>39980.0</v>
      </c>
      <c r="D27" s="62"/>
      <c r="E27" s="122" t="s">
        <v>324</v>
      </c>
      <c r="F27" s="58"/>
      <c r="G27" s="59"/>
    </row>
    <row r="28" ht="19.5" customHeight="1">
      <c r="A28" s="60"/>
      <c r="B28" s="55">
        <v>46221.0</v>
      </c>
      <c r="C28" s="62">
        <v>35500.0</v>
      </c>
      <c r="D28" s="62"/>
      <c r="E28" s="122" t="s">
        <v>327</v>
      </c>
      <c r="F28" s="58"/>
      <c r="G28" s="59"/>
    </row>
    <row r="29" ht="19.5" customHeight="1">
      <c r="A29" s="60"/>
      <c r="B29" s="55">
        <v>46227.0</v>
      </c>
      <c r="C29" s="62">
        <v>74961.27</v>
      </c>
      <c r="D29" s="62"/>
      <c r="E29" s="122" t="s">
        <v>39</v>
      </c>
      <c r="F29" s="58"/>
      <c r="G29" s="59"/>
    </row>
    <row r="30" ht="19.5" customHeight="1">
      <c r="A30" s="60"/>
      <c r="B30" s="55">
        <v>46229.0</v>
      </c>
      <c r="C30" s="62">
        <v>20990.0</v>
      </c>
      <c r="D30" s="62"/>
      <c r="E30" s="122" t="s">
        <v>332</v>
      </c>
      <c r="F30" s="58"/>
      <c r="G30" s="59"/>
    </row>
    <row r="31" ht="19.5" customHeight="1">
      <c r="A31" s="67"/>
      <c r="B31" s="55">
        <v>46232.0</v>
      </c>
      <c r="C31" s="62">
        <v>136559.39</v>
      </c>
      <c r="D31" s="62"/>
      <c r="E31" s="122" t="s">
        <v>337</v>
      </c>
      <c r="F31" s="58"/>
      <c r="G31" s="59"/>
    </row>
    <row r="32" ht="30.0" customHeight="1">
      <c r="A32" s="68" t="s">
        <v>43</v>
      </c>
      <c r="B32" s="69"/>
      <c r="C32" s="80">
        <f t="shared" ref="C32:D32" si="2">SUM(C17:C31)</f>
        <v>2381318.16</v>
      </c>
      <c r="D32" s="80">
        <f t="shared" si="2"/>
        <v>0</v>
      </c>
      <c r="E32" s="71"/>
      <c r="F32" s="72"/>
    </row>
    <row r="33" ht="4.5" customHeight="1">
      <c r="A33" s="73"/>
      <c r="B33" s="74"/>
      <c r="C33" s="74"/>
      <c r="D33" s="74"/>
      <c r="E33" s="74"/>
      <c r="F33" s="74"/>
      <c r="G33" s="69"/>
    </row>
    <row r="34" ht="19.5" customHeight="1">
      <c r="A34" s="75" t="s">
        <v>53</v>
      </c>
      <c r="B34" s="165">
        <v>46122.0</v>
      </c>
      <c r="C34" s="81">
        <v>876000.0</v>
      </c>
      <c r="D34" s="77"/>
      <c r="E34" s="126" t="s">
        <v>360</v>
      </c>
      <c r="F34" s="61" t="s">
        <v>362</v>
      </c>
      <c r="G34" s="110"/>
    </row>
    <row r="35" ht="19.5" customHeight="1">
      <c r="A35" s="60"/>
      <c r="B35" s="165">
        <v>46206.0</v>
      </c>
      <c r="C35" s="81">
        <v>190486.0</v>
      </c>
      <c r="D35" s="62"/>
      <c r="E35" s="126" t="s">
        <v>365</v>
      </c>
      <c r="F35" s="61" t="s">
        <v>59</v>
      </c>
      <c r="G35" s="167"/>
    </row>
    <row r="36" ht="19.5" customHeight="1">
      <c r="A36" s="60"/>
      <c r="B36" s="165">
        <v>46209.0</v>
      </c>
      <c r="C36" s="81">
        <v>171002.93</v>
      </c>
      <c r="D36" s="62"/>
      <c r="E36" s="126" t="s">
        <v>137</v>
      </c>
      <c r="F36" s="61" t="s">
        <v>56</v>
      </c>
      <c r="G36" s="167"/>
    </row>
    <row r="37" ht="19.5" customHeight="1">
      <c r="A37" s="60"/>
      <c r="B37" s="165">
        <v>46211.0</v>
      </c>
      <c r="C37" s="81">
        <v>40748.01</v>
      </c>
      <c r="D37" s="62"/>
      <c r="E37" s="126" t="s">
        <v>94</v>
      </c>
      <c r="F37" s="61" t="s">
        <v>59</v>
      </c>
      <c r="G37" s="167"/>
    </row>
    <row r="38" ht="19.5" customHeight="1">
      <c r="A38" s="60"/>
      <c r="B38" s="165">
        <v>46212.0</v>
      </c>
      <c r="C38" s="81">
        <v>164473.58</v>
      </c>
      <c r="D38" s="62"/>
      <c r="E38" s="126" t="s">
        <v>113</v>
      </c>
      <c r="F38" s="61" t="s">
        <v>59</v>
      </c>
      <c r="G38" s="167"/>
    </row>
    <row r="39" ht="19.5" customHeight="1">
      <c r="A39" s="60"/>
      <c r="B39" s="165">
        <v>46212.0</v>
      </c>
      <c r="C39" s="81">
        <v>135013.0</v>
      </c>
      <c r="D39" s="62"/>
      <c r="E39" s="126" t="s">
        <v>378</v>
      </c>
      <c r="F39" s="61" t="s">
        <v>59</v>
      </c>
      <c r="G39" s="167"/>
    </row>
    <row r="40" ht="19.5" customHeight="1">
      <c r="A40" s="60"/>
      <c r="B40" s="165">
        <v>46213.0</v>
      </c>
      <c r="C40" s="81">
        <v>140000.0</v>
      </c>
      <c r="D40" s="62"/>
      <c r="E40" s="126" t="s">
        <v>267</v>
      </c>
      <c r="F40" s="61" t="s">
        <v>384</v>
      </c>
      <c r="G40" s="167"/>
    </row>
    <row r="41" ht="19.5" customHeight="1">
      <c r="A41" s="60"/>
      <c r="B41" s="165">
        <v>46214.0</v>
      </c>
      <c r="C41" s="81">
        <v>87574.86</v>
      </c>
      <c r="D41" s="62"/>
      <c r="E41" s="126" t="s">
        <v>267</v>
      </c>
      <c r="F41" s="61" t="s">
        <v>387</v>
      </c>
      <c r="G41" s="167"/>
    </row>
    <row r="42" ht="19.5" customHeight="1">
      <c r="A42" s="60"/>
      <c r="B42" s="165">
        <v>46215.0</v>
      </c>
      <c r="C42" s="81">
        <v>299326.96</v>
      </c>
      <c r="D42" s="62"/>
      <c r="E42" s="126" t="s">
        <v>391</v>
      </c>
      <c r="F42" s="61" t="s">
        <v>393</v>
      </c>
      <c r="G42" s="167"/>
    </row>
    <row r="43" ht="19.5" customHeight="1">
      <c r="A43" s="60"/>
      <c r="B43" s="165">
        <v>46215.0</v>
      </c>
      <c r="C43" s="81">
        <v>189513.11</v>
      </c>
      <c r="D43" s="62"/>
      <c r="E43" s="126" t="s">
        <v>394</v>
      </c>
      <c r="F43" s="61" t="s">
        <v>59</v>
      </c>
      <c r="G43" s="167"/>
    </row>
    <row r="44" ht="19.5" customHeight="1">
      <c r="A44" s="60"/>
      <c r="B44" s="165">
        <v>46216.0</v>
      </c>
      <c r="C44" s="81">
        <v>158001.02</v>
      </c>
      <c r="D44" s="62"/>
      <c r="E44" s="126" t="s">
        <v>399</v>
      </c>
      <c r="F44" s="162" t="s">
        <v>56</v>
      </c>
      <c r="G44" s="167"/>
    </row>
    <row r="45" ht="19.5" customHeight="1">
      <c r="A45" s="60"/>
      <c r="B45" s="165">
        <v>46219.0</v>
      </c>
      <c r="C45" s="81">
        <v>91026.0</v>
      </c>
      <c r="D45" s="62"/>
      <c r="E45" s="126" t="s">
        <v>404</v>
      </c>
      <c r="F45" s="162" t="s">
        <v>96</v>
      </c>
      <c r="G45" s="167"/>
    </row>
    <row r="46" ht="19.5" customHeight="1">
      <c r="A46" s="60"/>
      <c r="B46" s="165">
        <v>46229.0</v>
      </c>
      <c r="C46" s="81">
        <v>100016.93</v>
      </c>
      <c r="D46" s="62"/>
      <c r="E46" s="126" t="s">
        <v>405</v>
      </c>
      <c r="F46" s="61" t="s">
        <v>96</v>
      </c>
      <c r="G46" s="167"/>
    </row>
    <row r="47" ht="19.5" customHeight="1">
      <c r="A47" s="60"/>
      <c r="B47" s="165">
        <v>46229.0</v>
      </c>
      <c r="C47" s="81">
        <v>322601.0</v>
      </c>
      <c r="D47" s="62"/>
      <c r="E47" s="126" t="s">
        <v>407</v>
      </c>
      <c r="F47" s="61" t="s">
        <v>77</v>
      </c>
      <c r="G47" s="167"/>
    </row>
    <row r="48" ht="19.5" customHeight="1">
      <c r="A48" s="60"/>
      <c r="B48" s="165">
        <v>46231.0</v>
      </c>
      <c r="C48" s="81">
        <v>673487.0</v>
      </c>
      <c r="D48" s="62"/>
      <c r="E48" s="126" t="s">
        <v>408</v>
      </c>
      <c r="F48" s="61" t="s">
        <v>409</v>
      </c>
      <c r="G48" s="167"/>
    </row>
    <row r="49" ht="29.25" customHeight="1">
      <c r="A49" s="68" t="s">
        <v>43</v>
      </c>
      <c r="B49" s="69"/>
      <c r="C49" s="80">
        <f t="shared" ref="C49:D49" si="3">SUM(C34:C48)</f>
        <v>3639270.4</v>
      </c>
      <c r="D49" s="80">
        <f t="shared" si="3"/>
        <v>0</v>
      </c>
      <c r="E49" s="71"/>
      <c r="F49" s="72"/>
    </row>
    <row r="50" ht="4.5" customHeight="1">
      <c r="A50" s="73"/>
      <c r="B50" s="74"/>
      <c r="C50" s="74"/>
      <c r="D50" s="74"/>
      <c r="E50" s="74"/>
      <c r="F50" s="74"/>
      <c r="G50" s="69"/>
    </row>
    <row r="51" ht="19.5" customHeight="1">
      <c r="A51" s="75" t="s">
        <v>108</v>
      </c>
      <c r="B51" s="165">
        <v>46211.0</v>
      </c>
      <c r="C51" s="81"/>
      <c r="D51" s="77">
        <v>62.99</v>
      </c>
      <c r="E51" s="126" t="s">
        <v>418</v>
      </c>
      <c r="F51" s="61" t="s">
        <v>420</v>
      </c>
      <c r="G51" s="110"/>
    </row>
    <row r="52" ht="19.5" customHeight="1">
      <c r="A52" s="60"/>
      <c r="B52" s="165">
        <v>46214.0</v>
      </c>
      <c r="C52" s="81"/>
      <c r="D52" s="62">
        <v>9.99</v>
      </c>
      <c r="E52" s="126" t="s">
        <v>423</v>
      </c>
      <c r="F52" s="61" t="s">
        <v>120</v>
      </c>
      <c r="G52" s="110"/>
    </row>
    <row r="53" ht="19.5" customHeight="1">
      <c r="A53" s="60"/>
      <c r="B53" s="165">
        <v>46218.0</v>
      </c>
      <c r="C53" s="81"/>
      <c r="D53" s="62">
        <v>19.99</v>
      </c>
      <c r="E53" s="126" t="s">
        <v>426</v>
      </c>
      <c r="F53" s="61" t="s">
        <v>124</v>
      </c>
      <c r="G53" s="110"/>
    </row>
    <row r="54" ht="19.5" customHeight="1">
      <c r="A54" s="60"/>
      <c r="B54" s="165">
        <v>46218.0</v>
      </c>
      <c r="C54" s="81"/>
      <c r="D54" s="62">
        <v>19.75</v>
      </c>
      <c r="E54" s="126" t="s">
        <v>127</v>
      </c>
      <c r="F54" s="61" t="s">
        <v>128</v>
      </c>
      <c r="G54" s="110"/>
    </row>
    <row r="55" ht="19.5" customHeight="1">
      <c r="A55" s="60"/>
      <c r="B55" s="165">
        <v>46219.0</v>
      </c>
      <c r="C55" s="81"/>
      <c r="D55" s="62">
        <v>20.0</v>
      </c>
      <c r="E55" s="126" t="s">
        <v>434</v>
      </c>
      <c r="F55" s="61" t="s">
        <v>133</v>
      </c>
      <c r="G55" s="110"/>
    </row>
    <row r="56" ht="19.5" customHeight="1">
      <c r="A56" s="60"/>
      <c r="B56" s="165">
        <v>46221.0</v>
      </c>
      <c r="C56" s="81">
        <v>127499.0</v>
      </c>
      <c r="D56" s="62"/>
      <c r="E56" s="126" t="s">
        <v>435</v>
      </c>
      <c r="F56" s="61" t="s">
        <v>436</v>
      </c>
      <c r="G56" s="110"/>
    </row>
    <row r="57" ht="19.5" customHeight="1">
      <c r="A57" s="60"/>
      <c r="B57" s="165">
        <v>46221.0</v>
      </c>
      <c r="C57" s="81"/>
      <c r="D57" s="62">
        <v>1.99</v>
      </c>
      <c r="E57" s="126" t="s">
        <v>438</v>
      </c>
      <c r="F57" s="61" t="s">
        <v>136</v>
      </c>
      <c r="G57" s="110"/>
    </row>
    <row r="58" ht="19.5" customHeight="1">
      <c r="A58" s="60"/>
      <c r="B58" s="165">
        <v>46226.0</v>
      </c>
      <c r="C58" s="81">
        <v>129400.0</v>
      </c>
      <c r="D58" s="62"/>
      <c r="E58" s="126" t="s">
        <v>440</v>
      </c>
      <c r="F58" s="61" t="s">
        <v>442</v>
      </c>
      <c r="G58" s="110"/>
    </row>
    <row r="59" ht="30.0" customHeight="1">
      <c r="A59" s="68" t="s">
        <v>43</v>
      </c>
      <c r="B59" s="69"/>
      <c r="C59" s="80">
        <f t="shared" ref="C59:D59" si="4">SUM(C51:C58)</f>
        <v>256899</v>
      </c>
      <c r="D59" s="80">
        <f t="shared" si="4"/>
        <v>134.71</v>
      </c>
      <c r="E59" s="71"/>
      <c r="F59" s="72"/>
    </row>
    <row r="60" ht="4.5" customHeight="1">
      <c r="A60" s="130"/>
      <c r="B60" s="131"/>
      <c r="C60" s="131"/>
      <c r="D60" s="132"/>
      <c r="E60" s="114"/>
      <c r="I60" s="114"/>
      <c r="M60" s="114"/>
      <c r="Q60" s="114"/>
      <c r="U60" s="114"/>
      <c r="Y60" s="114"/>
    </row>
    <row r="61" ht="30.0" customHeight="1">
      <c r="A61" s="118" t="s">
        <v>193</v>
      </c>
      <c r="B61" s="47"/>
      <c r="C61" s="119">
        <f t="shared" ref="C61:D61" si="5">SUM(C32+C49+C59)</f>
        <v>6277487.56</v>
      </c>
      <c r="D61" s="119">
        <f t="shared" si="5"/>
        <v>134.71</v>
      </c>
      <c r="E61" s="109"/>
      <c r="F61" s="79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mergeCells count="25">
    <mergeCell ref="A6:C7"/>
    <mergeCell ref="D6:E6"/>
    <mergeCell ref="F6:G6"/>
    <mergeCell ref="D7:E7"/>
    <mergeCell ref="F7:G7"/>
    <mergeCell ref="D8:E8"/>
    <mergeCell ref="F8:G8"/>
    <mergeCell ref="D9:G14"/>
    <mergeCell ref="A15:G15"/>
    <mergeCell ref="A17:A31"/>
    <mergeCell ref="A32:B32"/>
    <mergeCell ref="A33:G33"/>
    <mergeCell ref="A49:B49"/>
    <mergeCell ref="A50:G50"/>
    <mergeCell ref="Q60:T60"/>
    <mergeCell ref="U60:X60"/>
    <mergeCell ref="Y60:AA60"/>
    <mergeCell ref="A34:A48"/>
    <mergeCell ref="A51:A58"/>
    <mergeCell ref="A59:B59"/>
    <mergeCell ref="A60:D60"/>
    <mergeCell ref="E60:H60"/>
    <mergeCell ref="I60:L60"/>
    <mergeCell ref="M60:P60"/>
    <mergeCell ref="A61:B61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29"/>
    <col customWidth="1" min="3" max="3" width="19.14"/>
    <col customWidth="1" min="4" max="4" width="15.57"/>
    <col customWidth="1" min="5" max="5" width="36.14"/>
    <col customWidth="1" min="6" max="6" width="83.0"/>
    <col customWidth="1" min="7" max="7" width="11.86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33" t="s">
        <v>0</v>
      </c>
      <c r="B6" s="2"/>
      <c r="C6" s="3"/>
      <c r="D6" s="84" t="s">
        <v>1</v>
      </c>
      <c r="E6" s="5"/>
      <c r="F6" s="85" t="s">
        <v>269</v>
      </c>
      <c r="G6" s="7"/>
    </row>
    <row r="7" ht="19.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19.5" customHeight="1">
      <c r="A8" s="134" t="s">
        <v>5</v>
      </c>
      <c r="B8" s="135" t="s">
        <v>6</v>
      </c>
      <c r="C8" s="136" t="s">
        <v>7</v>
      </c>
      <c r="D8" s="86" t="s">
        <v>7</v>
      </c>
      <c r="E8" s="90"/>
      <c r="F8" s="158"/>
      <c r="G8" s="15"/>
    </row>
    <row r="9" ht="19.5" customHeight="1">
      <c r="A9" s="149" t="s">
        <v>9</v>
      </c>
      <c r="B9" s="31">
        <f>SUM(C50)</f>
        <v>5186268.72</v>
      </c>
      <c r="C9" s="32">
        <f t="shared" ref="C9:C14" si="1">SUM(B9)</f>
        <v>5186268.72</v>
      </c>
      <c r="D9" s="137" t="s">
        <v>10</v>
      </c>
      <c r="E9" s="98"/>
      <c r="F9" s="98"/>
      <c r="G9" s="100"/>
    </row>
    <row r="10" ht="19.5" customHeight="1">
      <c r="A10" s="149" t="s">
        <v>11</v>
      </c>
      <c r="B10" s="138">
        <f>SUM(D50)</f>
        <v>1472.84</v>
      </c>
      <c r="C10" s="139">
        <f t="shared" si="1"/>
        <v>1472.84</v>
      </c>
      <c r="D10" s="36"/>
      <c r="G10" s="37"/>
    </row>
    <row r="11" ht="19.5" customHeight="1">
      <c r="A11" s="149" t="s">
        <v>12</v>
      </c>
      <c r="B11" s="140"/>
      <c r="C11" s="95">
        <f t="shared" si="1"/>
        <v>0</v>
      </c>
      <c r="D11" s="36"/>
      <c r="G11" s="37"/>
    </row>
    <row r="12" ht="19.5" customHeight="1">
      <c r="A12" s="149" t="s">
        <v>13</v>
      </c>
      <c r="B12" s="138"/>
      <c r="C12" s="141">
        <f t="shared" si="1"/>
        <v>0</v>
      </c>
      <c r="D12" s="36"/>
      <c r="G12" s="37"/>
    </row>
    <row r="13" ht="19.5" customHeight="1">
      <c r="A13" s="149" t="s">
        <v>14</v>
      </c>
      <c r="B13" s="140">
        <f>SUM(C74)</f>
        <v>3179920.5</v>
      </c>
      <c r="C13" s="95">
        <f t="shared" si="1"/>
        <v>3179920.5</v>
      </c>
      <c r="D13" s="36"/>
      <c r="G13" s="37"/>
    </row>
    <row r="14" ht="19.5" customHeight="1">
      <c r="A14" s="149" t="s">
        <v>15</v>
      </c>
      <c r="B14" s="138">
        <f>SUM(D74)</f>
        <v>0</v>
      </c>
      <c r="C14" s="95">
        <f t="shared" si="1"/>
        <v>0</v>
      </c>
      <c r="D14" s="144"/>
      <c r="E14" s="116"/>
      <c r="F14" s="116"/>
      <c r="G14" s="117"/>
    </row>
    <row r="15" ht="4.5" customHeight="1">
      <c r="A15" s="145"/>
      <c r="B15" s="146"/>
      <c r="C15" s="146"/>
      <c r="D15" s="146"/>
      <c r="E15" s="146"/>
      <c r="F15" s="146"/>
      <c r="G15" s="147"/>
    </row>
    <row r="16" ht="24.75" customHeight="1">
      <c r="A16" s="148" t="s">
        <v>17</v>
      </c>
      <c r="B16" s="148" t="s">
        <v>18</v>
      </c>
      <c r="C16" s="148" t="s">
        <v>19</v>
      </c>
      <c r="D16" s="148" t="s">
        <v>20</v>
      </c>
      <c r="E16" s="159" t="s">
        <v>21</v>
      </c>
      <c r="F16" s="152" t="s">
        <v>22</v>
      </c>
      <c r="G16" s="152" t="s">
        <v>24</v>
      </c>
    </row>
    <row r="17" ht="19.5" customHeight="1">
      <c r="A17" s="75" t="s">
        <v>25</v>
      </c>
      <c r="B17" s="160">
        <v>46203.0</v>
      </c>
      <c r="C17" s="161">
        <v>169366.67</v>
      </c>
      <c r="D17" s="77"/>
      <c r="E17" s="162" t="s">
        <v>27</v>
      </c>
      <c r="F17" s="155"/>
      <c r="G17" s="156"/>
    </row>
    <row r="18" ht="19.5" customHeight="1">
      <c r="A18" s="60"/>
      <c r="B18" s="163">
        <v>46234.0</v>
      </c>
      <c r="C18" s="164">
        <v>1232000.0</v>
      </c>
      <c r="D18" s="62"/>
      <c r="E18" s="162" t="s">
        <v>315</v>
      </c>
      <c r="F18" s="58"/>
      <c r="G18" s="59"/>
    </row>
    <row r="19" ht="19.5" customHeight="1">
      <c r="A19" s="60"/>
      <c r="B19" s="163">
        <v>46234.0</v>
      </c>
      <c r="C19" s="164">
        <v>282000.0</v>
      </c>
      <c r="D19" s="62"/>
      <c r="E19" s="162" t="s">
        <v>317</v>
      </c>
      <c r="F19" s="58"/>
      <c r="G19" s="59"/>
    </row>
    <row r="20" ht="19.5" customHeight="1">
      <c r="A20" s="60"/>
      <c r="B20" s="163">
        <v>46234.0</v>
      </c>
      <c r="C20" s="164">
        <v>20740.0</v>
      </c>
      <c r="D20" s="62"/>
      <c r="E20" s="162" t="s">
        <v>186</v>
      </c>
      <c r="F20" s="58"/>
      <c r="G20" s="59"/>
    </row>
    <row r="21" ht="19.5" customHeight="1">
      <c r="A21" s="60"/>
      <c r="B21" s="163">
        <v>46234.0</v>
      </c>
      <c r="C21" s="164">
        <v>258376.83</v>
      </c>
      <c r="D21" s="62"/>
      <c r="E21" s="162" t="s">
        <v>28</v>
      </c>
      <c r="F21" s="58"/>
      <c r="G21" s="59"/>
    </row>
    <row r="22" ht="19.5" customHeight="1">
      <c r="A22" s="60"/>
      <c r="B22" s="163">
        <v>46238.0</v>
      </c>
      <c r="C22" s="164">
        <v>141000.0</v>
      </c>
      <c r="D22" s="62"/>
      <c r="E22" s="162" t="s">
        <v>317</v>
      </c>
      <c r="F22" s="58"/>
      <c r="G22" s="59"/>
    </row>
    <row r="23" ht="19.5" customHeight="1">
      <c r="A23" s="60"/>
      <c r="B23" s="163">
        <v>46238.0</v>
      </c>
      <c r="C23" s="164">
        <v>10870.0</v>
      </c>
      <c r="D23" s="62"/>
      <c r="E23" s="162" t="s">
        <v>186</v>
      </c>
      <c r="F23" s="58"/>
      <c r="G23" s="59"/>
    </row>
    <row r="24" ht="19.5" customHeight="1">
      <c r="A24" s="60"/>
      <c r="B24" s="163">
        <v>46243.0</v>
      </c>
      <c r="C24" s="164">
        <v>352050.0</v>
      </c>
      <c r="D24" s="62"/>
      <c r="E24" s="162" t="s">
        <v>330</v>
      </c>
      <c r="F24" s="58"/>
      <c r="G24" s="59"/>
    </row>
    <row r="25" ht="19.5" customHeight="1">
      <c r="A25" s="60"/>
      <c r="B25" s="163">
        <v>46246.0</v>
      </c>
      <c r="C25" s="62"/>
      <c r="D25" s="164">
        <v>596.6</v>
      </c>
      <c r="E25" s="162" t="s">
        <v>333</v>
      </c>
      <c r="F25" s="58"/>
      <c r="G25" s="59"/>
    </row>
    <row r="26" ht="19.5" customHeight="1">
      <c r="A26" s="60"/>
      <c r="B26" s="163">
        <v>46249.0</v>
      </c>
      <c r="C26" s="164">
        <v>6924.0</v>
      </c>
      <c r="D26" s="62"/>
      <c r="E26" s="162" t="s">
        <v>338</v>
      </c>
      <c r="F26" s="58"/>
      <c r="G26" s="59"/>
    </row>
    <row r="27" ht="19.5" customHeight="1">
      <c r="A27" s="60"/>
      <c r="B27" s="163">
        <v>46249.0</v>
      </c>
      <c r="C27" s="164">
        <v>7493.24</v>
      </c>
      <c r="D27" s="62"/>
      <c r="E27" s="162" t="s">
        <v>316</v>
      </c>
      <c r="F27" s="58"/>
      <c r="G27" s="59"/>
    </row>
    <row r="28" ht="19.5" customHeight="1">
      <c r="A28" s="60"/>
      <c r="B28" s="163">
        <v>46249.0</v>
      </c>
      <c r="C28" s="164">
        <v>47575.0</v>
      </c>
      <c r="D28" s="62"/>
      <c r="E28" s="162" t="s">
        <v>342</v>
      </c>
      <c r="F28" s="58"/>
      <c r="G28" s="59"/>
    </row>
    <row r="29" ht="19.5" customHeight="1">
      <c r="A29" s="60"/>
      <c r="B29" s="163">
        <v>46249.0</v>
      </c>
      <c r="C29" s="164">
        <v>11383.0</v>
      </c>
      <c r="D29" s="62"/>
      <c r="E29" s="162" t="s">
        <v>344</v>
      </c>
      <c r="F29" s="58"/>
      <c r="G29" s="59"/>
    </row>
    <row r="30" ht="19.5" customHeight="1">
      <c r="A30" s="60"/>
      <c r="B30" s="163">
        <v>46249.0</v>
      </c>
      <c r="C30" s="164">
        <v>32622.0</v>
      </c>
      <c r="D30" s="62"/>
      <c r="E30" s="162" t="s">
        <v>346</v>
      </c>
      <c r="F30" s="58"/>
      <c r="G30" s="59"/>
    </row>
    <row r="31" ht="19.5" customHeight="1">
      <c r="A31" s="60"/>
      <c r="B31" s="163">
        <v>46249.0</v>
      </c>
      <c r="C31" s="164">
        <v>571.0</v>
      </c>
      <c r="D31" s="62"/>
      <c r="E31" s="162" t="s">
        <v>320</v>
      </c>
      <c r="F31" s="58"/>
      <c r="G31" s="59"/>
    </row>
    <row r="32" ht="19.5" customHeight="1">
      <c r="A32" s="60"/>
      <c r="B32" s="163">
        <v>46249.0</v>
      </c>
      <c r="C32" s="164">
        <v>11327.0</v>
      </c>
      <c r="D32" s="62"/>
      <c r="E32" s="162" t="s">
        <v>350</v>
      </c>
      <c r="F32" s="58"/>
      <c r="G32" s="59"/>
    </row>
    <row r="33" ht="19.5" customHeight="1">
      <c r="A33" s="60"/>
      <c r="B33" s="163">
        <v>46249.0</v>
      </c>
      <c r="C33" s="164">
        <v>8563.0</v>
      </c>
      <c r="D33" s="62"/>
      <c r="E33" s="162" t="s">
        <v>353</v>
      </c>
      <c r="F33" s="58"/>
      <c r="G33" s="59"/>
    </row>
    <row r="34" ht="19.5" customHeight="1">
      <c r="A34" s="60"/>
      <c r="B34" s="163">
        <v>46249.0</v>
      </c>
      <c r="C34" s="164">
        <v>13442.0</v>
      </c>
      <c r="D34" s="62"/>
      <c r="E34" s="162" t="s">
        <v>355</v>
      </c>
      <c r="F34" s="58"/>
      <c r="G34" s="59"/>
    </row>
    <row r="35" ht="19.5" customHeight="1">
      <c r="A35" s="60"/>
      <c r="B35" s="163">
        <v>46249.0</v>
      </c>
      <c r="C35" s="164">
        <v>5274.0</v>
      </c>
      <c r="D35" s="62"/>
      <c r="E35" s="162" t="s">
        <v>361</v>
      </c>
      <c r="F35" s="58"/>
      <c r="G35" s="59"/>
    </row>
    <row r="36" ht="19.5" customHeight="1">
      <c r="A36" s="60"/>
      <c r="B36" s="163">
        <v>46249.0</v>
      </c>
      <c r="C36" s="164">
        <v>479431.0</v>
      </c>
      <c r="D36" s="62"/>
      <c r="E36" s="162" t="s">
        <v>364</v>
      </c>
      <c r="F36" s="58"/>
      <c r="G36" s="59"/>
    </row>
    <row r="37" ht="19.5" customHeight="1">
      <c r="A37" s="60"/>
      <c r="B37" s="163">
        <v>46249.0</v>
      </c>
      <c r="C37" s="164">
        <v>941985.0</v>
      </c>
      <c r="D37" s="62"/>
      <c r="E37" s="162" t="s">
        <v>367</v>
      </c>
      <c r="F37" s="58"/>
      <c r="G37" s="59"/>
    </row>
    <row r="38" ht="19.5" customHeight="1">
      <c r="A38" s="60"/>
      <c r="B38" s="163">
        <v>46251.0</v>
      </c>
      <c r="C38" s="62"/>
      <c r="D38" s="164">
        <v>178.34</v>
      </c>
      <c r="E38" s="168" t="s">
        <v>370</v>
      </c>
      <c r="F38" s="58"/>
      <c r="G38" s="59"/>
    </row>
    <row r="39" ht="19.5" customHeight="1">
      <c r="A39" s="60"/>
      <c r="B39" s="163">
        <v>46257.0</v>
      </c>
      <c r="C39" s="164">
        <v>88381.39</v>
      </c>
      <c r="D39" s="62"/>
      <c r="E39" s="168" t="s">
        <v>39</v>
      </c>
      <c r="F39" s="58"/>
      <c r="G39" s="59"/>
    </row>
    <row r="40" ht="19.5" customHeight="1">
      <c r="A40" s="60"/>
      <c r="B40" s="163">
        <v>46259.0</v>
      </c>
      <c r="C40" s="164">
        <v>20990.0</v>
      </c>
      <c r="D40" s="62"/>
      <c r="E40" s="168" t="s">
        <v>332</v>
      </c>
      <c r="F40" s="58"/>
      <c r="G40" s="59"/>
    </row>
    <row r="41" ht="19.5" customHeight="1">
      <c r="A41" s="60"/>
      <c r="B41" s="163">
        <v>46259.0</v>
      </c>
      <c r="C41" s="62"/>
      <c r="D41" s="164">
        <v>551.36</v>
      </c>
      <c r="E41" s="168" t="s">
        <v>375</v>
      </c>
      <c r="F41" s="58"/>
      <c r="G41" s="59"/>
    </row>
    <row r="42" ht="19.5" customHeight="1">
      <c r="A42" s="60"/>
      <c r="B42" s="163">
        <v>46260.0</v>
      </c>
      <c r="C42" s="164">
        <v>351579.12</v>
      </c>
      <c r="D42" s="62"/>
      <c r="E42" s="168" t="s">
        <v>377</v>
      </c>
      <c r="F42" s="58"/>
      <c r="G42" s="59"/>
    </row>
    <row r="43" ht="19.5" customHeight="1">
      <c r="A43" s="60"/>
      <c r="B43" s="163">
        <v>46260.0</v>
      </c>
      <c r="C43" s="164">
        <v>150030.0</v>
      </c>
      <c r="D43" s="62"/>
      <c r="E43" s="168" t="s">
        <v>383</v>
      </c>
      <c r="F43" s="58"/>
      <c r="G43" s="59"/>
    </row>
    <row r="44" ht="19.5" customHeight="1">
      <c r="A44" s="60"/>
      <c r="B44" s="163">
        <v>46260.0</v>
      </c>
      <c r="C44" s="164">
        <v>123023.0</v>
      </c>
      <c r="D44" s="62"/>
      <c r="E44" s="168" t="s">
        <v>385</v>
      </c>
      <c r="F44" s="58"/>
      <c r="G44" s="59"/>
    </row>
    <row r="45" ht="19.5" customHeight="1">
      <c r="A45" s="60"/>
      <c r="B45" s="163">
        <v>46260.0</v>
      </c>
      <c r="C45" s="164">
        <v>164999.98</v>
      </c>
      <c r="D45" s="62"/>
      <c r="E45" s="168" t="s">
        <v>138</v>
      </c>
      <c r="F45" s="58"/>
      <c r="G45" s="59"/>
    </row>
    <row r="46" ht="19.5" customHeight="1">
      <c r="A46" s="60"/>
      <c r="B46" s="163">
        <v>46260.0</v>
      </c>
      <c r="C46" s="164">
        <v>100000.0</v>
      </c>
      <c r="D46" s="62"/>
      <c r="E46" s="168" t="s">
        <v>389</v>
      </c>
      <c r="F46" s="58"/>
      <c r="G46" s="59"/>
    </row>
    <row r="47" ht="19.5" customHeight="1">
      <c r="A47" s="60"/>
      <c r="B47" s="163">
        <v>46260.0</v>
      </c>
      <c r="C47" s="164">
        <v>99650.0</v>
      </c>
      <c r="D47" s="62"/>
      <c r="E47" s="168" t="s">
        <v>389</v>
      </c>
      <c r="F47" s="58"/>
      <c r="G47" s="59"/>
    </row>
    <row r="48" ht="19.5" customHeight="1">
      <c r="A48" s="60"/>
      <c r="B48" s="163">
        <v>46260.0</v>
      </c>
      <c r="C48" s="164">
        <v>54621.49</v>
      </c>
      <c r="D48" s="62"/>
      <c r="E48" s="168" t="s">
        <v>142</v>
      </c>
      <c r="F48" s="58"/>
      <c r="G48" s="59"/>
    </row>
    <row r="49" ht="19.5" customHeight="1">
      <c r="A49" s="67"/>
      <c r="B49" s="163">
        <v>46260.0</v>
      </c>
      <c r="C49" s="62"/>
      <c r="D49" s="164">
        <v>146.54</v>
      </c>
      <c r="E49" s="168" t="s">
        <v>401</v>
      </c>
      <c r="F49" s="58"/>
      <c r="G49" s="59"/>
    </row>
    <row r="50" ht="30.0" customHeight="1">
      <c r="A50" s="68" t="s">
        <v>43</v>
      </c>
      <c r="B50" s="69"/>
      <c r="C50" s="80">
        <f t="shared" ref="C50:D50" si="2">SUM(C17:C49)</f>
        <v>5186268.72</v>
      </c>
      <c r="D50" s="80">
        <f t="shared" si="2"/>
        <v>1472.84</v>
      </c>
      <c r="E50" s="71"/>
      <c r="F50" s="72"/>
    </row>
    <row r="51" ht="4.5" customHeight="1">
      <c r="A51" s="73"/>
      <c r="B51" s="74"/>
      <c r="C51" s="74"/>
      <c r="D51" s="74"/>
      <c r="E51" s="74"/>
      <c r="F51" s="74"/>
      <c r="G51" s="69"/>
    </row>
    <row r="52" ht="19.5" customHeight="1">
      <c r="A52" s="75" t="s">
        <v>53</v>
      </c>
      <c r="B52" s="169">
        <v>46122.0</v>
      </c>
      <c r="C52" s="170">
        <v>876000.0</v>
      </c>
      <c r="D52" s="77"/>
      <c r="E52" s="172" t="s">
        <v>411</v>
      </c>
      <c r="F52" s="162" t="s">
        <v>413</v>
      </c>
      <c r="G52" s="110"/>
    </row>
    <row r="53" ht="19.5" customHeight="1">
      <c r="A53" s="60"/>
      <c r="B53" s="169">
        <v>46233.0</v>
      </c>
      <c r="C53" s="170">
        <v>83500.0</v>
      </c>
      <c r="D53" s="62"/>
      <c r="E53" s="172" t="s">
        <v>415</v>
      </c>
      <c r="F53" s="162" t="s">
        <v>416</v>
      </c>
      <c r="G53" s="166"/>
    </row>
    <row r="54" ht="19.5" customHeight="1">
      <c r="A54" s="60"/>
      <c r="B54" s="169">
        <v>46233.0</v>
      </c>
      <c r="C54" s="170">
        <v>68000.0</v>
      </c>
      <c r="D54" s="62"/>
      <c r="E54" s="172" t="s">
        <v>223</v>
      </c>
      <c r="F54" s="162" t="s">
        <v>424</v>
      </c>
      <c r="G54" s="166"/>
    </row>
    <row r="55" ht="19.5" customHeight="1">
      <c r="A55" s="60"/>
      <c r="B55" s="169">
        <v>46235.0</v>
      </c>
      <c r="C55" s="170">
        <v>140000.0</v>
      </c>
      <c r="D55" s="62"/>
      <c r="E55" s="172" t="s">
        <v>267</v>
      </c>
      <c r="F55" s="61" t="s">
        <v>384</v>
      </c>
      <c r="G55" s="166"/>
    </row>
    <row r="56" ht="19.5" customHeight="1">
      <c r="A56" s="60"/>
      <c r="B56" s="169">
        <v>46235.0</v>
      </c>
      <c r="C56" s="170">
        <v>176064.93</v>
      </c>
      <c r="D56" s="62"/>
      <c r="E56" s="172" t="s">
        <v>429</v>
      </c>
      <c r="F56" s="162" t="s">
        <v>424</v>
      </c>
      <c r="G56" s="166"/>
    </row>
    <row r="57" ht="19.5" customHeight="1">
      <c r="A57" s="60"/>
      <c r="B57" s="169">
        <v>46237.0</v>
      </c>
      <c r="C57" s="170">
        <v>93028.0</v>
      </c>
      <c r="D57" s="62"/>
      <c r="E57" s="172" t="s">
        <v>433</v>
      </c>
      <c r="F57" s="162" t="s">
        <v>424</v>
      </c>
      <c r="G57" s="166"/>
    </row>
    <row r="58" ht="19.5" customHeight="1">
      <c r="A58" s="60"/>
      <c r="B58" s="169">
        <v>46241.0</v>
      </c>
      <c r="C58" s="170">
        <v>166003.0</v>
      </c>
      <c r="D58" s="62"/>
      <c r="E58" s="172" t="s">
        <v>92</v>
      </c>
      <c r="F58" s="162" t="s">
        <v>56</v>
      </c>
      <c r="G58" s="166"/>
    </row>
    <row r="59" ht="19.5" customHeight="1">
      <c r="A59" s="60"/>
      <c r="B59" s="169">
        <v>46241.0</v>
      </c>
      <c r="C59" s="170">
        <v>29999.44</v>
      </c>
      <c r="D59" s="62"/>
      <c r="E59" s="172" t="s">
        <v>405</v>
      </c>
      <c r="F59" s="162" t="s">
        <v>96</v>
      </c>
      <c r="G59" s="166"/>
    </row>
    <row r="60" ht="19.5" customHeight="1">
      <c r="A60" s="60"/>
      <c r="B60" s="169">
        <v>46242.0</v>
      </c>
      <c r="C60" s="170">
        <v>91000.0</v>
      </c>
      <c r="D60" s="62"/>
      <c r="E60" s="172" t="s">
        <v>439</v>
      </c>
      <c r="F60" s="162" t="s">
        <v>96</v>
      </c>
      <c r="G60" s="166"/>
    </row>
    <row r="61" ht="19.5" customHeight="1">
      <c r="A61" s="60"/>
      <c r="B61" s="169">
        <v>46243.0</v>
      </c>
      <c r="C61" s="170">
        <v>5884.45</v>
      </c>
      <c r="D61" s="62"/>
      <c r="E61" s="172" t="s">
        <v>444</v>
      </c>
      <c r="F61" s="162" t="s">
        <v>445</v>
      </c>
      <c r="G61" s="166"/>
    </row>
    <row r="62" ht="19.5" customHeight="1">
      <c r="A62" s="60"/>
      <c r="B62" s="169">
        <v>46244.0</v>
      </c>
      <c r="C62" s="170">
        <v>92799.0</v>
      </c>
      <c r="D62" s="62"/>
      <c r="E62" s="172" t="s">
        <v>446</v>
      </c>
      <c r="F62" s="162" t="s">
        <v>447</v>
      </c>
      <c r="G62" s="166"/>
    </row>
    <row r="63" ht="19.5" customHeight="1">
      <c r="A63" s="60"/>
      <c r="B63" s="169">
        <v>46244.0</v>
      </c>
      <c r="C63" s="170">
        <v>140000.0</v>
      </c>
      <c r="D63" s="62"/>
      <c r="E63" s="172" t="s">
        <v>406</v>
      </c>
      <c r="F63" s="61" t="s">
        <v>363</v>
      </c>
      <c r="G63" s="166"/>
    </row>
    <row r="64" ht="19.5" customHeight="1">
      <c r="A64" s="60"/>
      <c r="B64" s="169">
        <v>46247.0</v>
      </c>
      <c r="C64" s="170">
        <v>50000.0</v>
      </c>
      <c r="D64" s="62"/>
      <c r="E64" s="172" t="s">
        <v>183</v>
      </c>
      <c r="F64" s="162" t="s">
        <v>96</v>
      </c>
      <c r="G64" s="166"/>
    </row>
    <row r="65" ht="19.5" customHeight="1">
      <c r="A65" s="60"/>
      <c r="B65" s="169">
        <v>46249.0</v>
      </c>
      <c r="C65" s="170">
        <v>92013.0</v>
      </c>
      <c r="D65" s="62"/>
      <c r="E65" s="172" t="s">
        <v>449</v>
      </c>
      <c r="F65" s="162" t="s">
        <v>59</v>
      </c>
      <c r="G65" s="166"/>
    </row>
    <row r="66" ht="19.5" customHeight="1">
      <c r="A66" s="60"/>
      <c r="B66" s="169">
        <v>46249.0</v>
      </c>
      <c r="C66" s="170">
        <v>157000.0</v>
      </c>
      <c r="D66" s="62"/>
      <c r="E66" s="172" t="s">
        <v>451</v>
      </c>
      <c r="F66" s="162" t="s">
        <v>56</v>
      </c>
      <c r="G66" s="166"/>
    </row>
    <row r="67" ht="19.5" customHeight="1">
      <c r="A67" s="60"/>
      <c r="B67" s="169">
        <v>46253.0</v>
      </c>
      <c r="C67" s="170">
        <v>90004.0</v>
      </c>
      <c r="D67" s="62"/>
      <c r="E67" s="172" t="s">
        <v>92</v>
      </c>
      <c r="F67" s="162" t="s">
        <v>96</v>
      </c>
      <c r="G67" s="166"/>
    </row>
    <row r="68" ht="19.5" customHeight="1">
      <c r="A68" s="60"/>
      <c r="B68" s="169">
        <v>46254.0</v>
      </c>
      <c r="C68" s="170">
        <v>155576.0</v>
      </c>
      <c r="D68" s="62"/>
      <c r="E68" s="172" t="s">
        <v>92</v>
      </c>
      <c r="F68" s="162" t="s">
        <v>56</v>
      </c>
      <c r="G68" s="166"/>
    </row>
    <row r="69" ht="19.5" customHeight="1">
      <c r="A69" s="60"/>
      <c r="B69" s="169">
        <v>46254.0</v>
      </c>
      <c r="C69" s="170">
        <v>97009.08</v>
      </c>
      <c r="D69" s="62"/>
      <c r="E69" s="172" t="s">
        <v>79</v>
      </c>
      <c r="F69" s="162" t="s">
        <v>454</v>
      </c>
      <c r="G69" s="61"/>
    </row>
    <row r="70" ht="19.5" customHeight="1">
      <c r="A70" s="60"/>
      <c r="B70" s="169">
        <v>46255.0</v>
      </c>
      <c r="C70" s="170">
        <v>156008.0</v>
      </c>
      <c r="D70" s="62"/>
      <c r="E70" s="172" t="s">
        <v>456</v>
      </c>
      <c r="F70" s="162" t="s">
        <v>56</v>
      </c>
      <c r="G70" s="110"/>
    </row>
    <row r="71" ht="19.5" customHeight="1">
      <c r="A71" s="60"/>
      <c r="B71" s="169">
        <v>46258.0</v>
      </c>
      <c r="C71" s="170">
        <v>168009.22</v>
      </c>
      <c r="D71" s="62"/>
      <c r="E71" s="172" t="s">
        <v>385</v>
      </c>
      <c r="F71" s="162" t="s">
        <v>56</v>
      </c>
      <c r="G71" s="110"/>
    </row>
    <row r="72" ht="19.5" customHeight="1">
      <c r="A72" s="60"/>
      <c r="B72" s="169">
        <v>46260.0</v>
      </c>
      <c r="C72" s="170">
        <v>121019.5</v>
      </c>
      <c r="D72" s="62"/>
      <c r="E72" s="172" t="s">
        <v>459</v>
      </c>
      <c r="F72" s="162" t="s">
        <v>59</v>
      </c>
      <c r="G72" s="110"/>
    </row>
    <row r="73" ht="19.5" customHeight="1">
      <c r="A73" s="60"/>
      <c r="B73" s="169">
        <v>46261.0</v>
      </c>
      <c r="C73" s="170">
        <v>131002.88</v>
      </c>
      <c r="D73" s="62"/>
      <c r="E73" s="172" t="s">
        <v>79</v>
      </c>
      <c r="F73" s="162" t="s">
        <v>56</v>
      </c>
      <c r="G73" s="110"/>
    </row>
    <row r="74" ht="29.25" customHeight="1">
      <c r="A74" s="68" t="s">
        <v>43</v>
      </c>
      <c r="B74" s="69"/>
      <c r="C74" s="80">
        <f t="shared" ref="C74:D74" si="3">SUM(C52:C73)</f>
        <v>3179920.5</v>
      </c>
      <c r="D74" s="80">
        <f t="shared" si="3"/>
        <v>0</v>
      </c>
      <c r="E74" s="71"/>
      <c r="F74" s="72"/>
    </row>
    <row r="75" ht="4.5" customHeight="1">
      <c r="A75" s="73"/>
      <c r="B75" s="74"/>
      <c r="C75" s="74"/>
      <c r="D75" s="74"/>
      <c r="E75" s="74"/>
      <c r="F75" s="74"/>
      <c r="G75" s="69"/>
    </row>
    <row r="76" ht="19.5" customHeight="1">
      <c r="A76" s="75" t="s">
        <v>108</v>
      </c>
      <c r="B76" s="169">
        <v>46245.0</v>
      </c>
      <c r="C76" s="81"/>
      <c r="D76" s="161">
        <v>9.99</v>
      </c>
      <c r="E76" s="172" t="s">
        <v>463</v>
      </c>
      <c r="F76" s="61" t="s">
        <v>120</v>
      </c>
      <c r="G76" s="110"/>
    </row>
    <row r="77" ht="19.5" customHeight="1">
      <c r="A77" s="60"/>
      <c r="B77" s="169">
        <v>46247.0</v>
      </c>
      <c r="C77" s="81"/>
      <c r="D77" s="164">
        <v>5.65</v>
      </c>
      <c r="E77" s="172" t="s">
        <v>466</v>
      </c>
      <c r="F77" s="61" t="s">
        <v>458</v>
      </c>
      <c r="G77" s="110"/>
    </row>
    <row r="78" ht="19.5" customHeight="1">
      <c r="A78" s="60"/>
      <c r="B78" s="169">
        <v>46249.0</v>
      </c>
      <c r="C78" s="170">
        <v>61000.0</v>
      </c>
      <c r="D78" s="62"/>
      <c r="E78" s="172" t="s">
        <v>467</v>
      </c>
      <c r="F78" s="162" t="s">
        <v>468</v>
      </c>
      <c r="G78" s="110"/>
    </row>
    <row r="79" ht="19.5" customHeight="1">
      <c r="A79" s="60"/>
      <c r="B79" s="169">
        <v>46249.0</v>
      </c>
      <c r="C79" s="170">
        <v>4500.0</v>
      </c>
      <c r="D79" s="62"/>
      <c r="E79" s="172" t="s">
        <v>469</v>
      </c>
      <c r="F79" s="162" t="s">
        <v>470</v>
      </c>
      <c r="G79" s="110"/>
    </row>
    <row r="80" ht="19.5" customHeight="1">
      <c r="A80" s="60"/>
      <c r="B80" s="169">
        <v>46249.0</v>
      </c>
      <c r="C80" s="81"/>
      <c r="D80" s="164">
        <v>19.99</v>
      </c>
      <c r="E80" s="172" t="s">
        <v>471</v>
      </c>
      <c r="F80" s="61" t="s">
        <v>124</v>
      </c>
      <c r="G80" s="110"/>
    </row>
    <row r="81" ht="19.5" customHeight="1">
      <c r="A81" s="60"/>
      <c r="B81" s="169">
        <v>46250.0</v>
      </c>
      <c r="C81" s="81"/>
      <c r="D81" s="164">
        <v>20.0</v>
      </c>
      <c r="E81" s="172" t="s">
        <v>472</v>
      </c>
      <c r="F81" s="61" t="s">
        <v>133</v>
      </c>
      <c r="G81" s="110"/>
    </row>
    <row r="82" ht="19.5" customHeight="1">
      <c r="A82" s="60"/>
      <c r="B82" s="169">
        <v>46252.0</v>
      </c>
      <c r="C82" s="81"/>
      <c r="D82" s="164">
        <v>1.99</v>
      </c>
      <c r="E82" s="172" t="s">
        <v>473</v>
      </c>
      <c r="F82" s="61" t="s">
        <v>136</v>
      </c>
      <c r="G82" s="110"/>
    </row>
    <row r="83" ht="19.5" customHeight="1">
      <c r="A83" s="60"/>
      <c r="B83" s="169">
        <v>46254.0</v>
      </c>
      <c r="C83" s="170">
        <v>98019.0</v>
      </c>
      <c r="D83" s="62"/>
      <c r="E83" s="172" t="s">
        <v>474</v>
      </c>
      <c r="F83" s="162" t="s">
        <v>475</v>
      </c>
      <c r="G83" s="110"/>
    </row>
    <row r="84" ht="19.5" customHeight="1">
      <c r="A84" s="60"/>
      <c r="B84" s="169">
        <v>46260.0</v>
      </c>
      <c r="C84" s="170">
        <v>17998.0</v>
      </c>
      <c r="D84" s="62"/>
      <c r="E84" s="172" t="s">
        <v>476</v>
      </c>
      <c r="F84" s="162" t="s">
        <v>477</v>
      </c>
      <c r="G84" s="110"/>
    </row>
    <row r="85" ht="30.0" customHeight="1">
      <c r="A85" s="68" t="s">
        <v>43</v>
      </c>
      <c r="B85" s="69"/>
      <c r="C85" s="80">
        <f t="shared" ref="C85:D85" si="4">SUM(C76:C84)</f>
        <v>181517</v>
      </c>
      <c r="D85" s="80">
        <f t="shared" si="4"/>
        <v>57.62</v>
      </c>
      <c r="E85" s="71"/>
      <c r="F85" s="72"/>
    </row>
    <row r="86" ht="4.5" customHeight="1">
      <c r="A86" s="89"/>
      <c r="B86" s="91"/>
      <c r="C86" s="91"/>
      <c r="D86" s="91"/>
      <c r="E86" s="91"/>
      <c r="F86" s="91"/>
      <c r="G86" s="92"/>
    </row>
    <row r="87" ht="19.5" customHeight="1">
      <c r="A87" s="93" t="s">
        <v>16</v>
      </c>
      <c r="B87" s="169">
        <v>46233.0</v>
      </c>
      <c r="C87" s="170">
        <v>117653.25</v>
      </c>
      <c r="D87" s="81"/>
      <c r="E87" s="172" t="s">
        <v>164</v>
      </c>
      <c r="F87" s="162" t="s">
        <v>478</v>
      </c>
      <c r="G87" s="61"/>
    </row>
    <row r="88" ht="19.5" customHeight="1">
      <c r="A88" s="94"/>
      <c r="B88" s="169">
        <v>46234.0</v>
      </c>
      <c r="C88" s="170">
        <v>8000.0</v>
      </c>
      <c r="D88" s="81"/>
      <c r="E88" s="172" t="s">
        <v>479</v>
      </c>
      <c r="F88" s="162" t="s">
        <v>480</v>
      </c>
      <c r="G88" s="61"/>
    </row>
    <row r="89" ht="19.5" customHeight="1">
      <c r="A89" s="94"/>
      <c r="B89" s="169">
        <v>46237.0</v>
      </c>
      <c r="C89" s="170">
        <v>1348.0</v>
      </c>
      <c r="D89" s="81"/>
      <c r="E89" s="172" t="s">
        <v>481</v>
      </c>
      <c r="F89" s="162" t="s">
        <v>482</v>
      </c>
      <c r="G89" s="61"/>
    </row>
    <row r="90" ht="19.5" customHeight="1">
      <c r="A90" s="94"/>
      <c r="B90" s="174">
        <v>46254.0</v>
      </c>
      <c r="C90" s="175">
        <v>85699.0</v>
      </c>
      <c r="D90" s="103"/>
      <c r="E90" s="172" t="s">
        <v>164</v>
      </c>
      <c r="F90" s="162" t="s">
        <v>483</v>
      </c>
      <c r="G90" s="61"/>
    </row>
    <row r="91" ht="30.0" customHeight="1">
      <c r="A91" s="127" t="s">
        <v>43</v>
      </c>
      <c r="B91" s="128"/>
      <c r="C91" s="81">
        <f>SUM(C87:C90)</f>
        <v>212700.25</v>
      </c>
      <c r="D91" s="81">
        <f>SUM(D87)</f>
        <v>0</v>
      </c>
      <c r="E91" s="109"/>
      <c r="F91" s="79"/>
    </row>
    <row r="92" ht="4.5" customHeight="1">
      <c r="A92" s="130"/>
      <c r="B92" s="131"/>
      <c r="C92" s="131"/>
      <c r="D92" s="132"/>
      <c r="E92" s="114"/>
      <c r="I92" s="114"/>
      <c r="M92" s="114"/>
      <c r="Q92" s="114"/>
      <c r="U92" s="114"/>
      <c r="Y92" s="114"/>
    </row>
    <row r="93" ht="30.0" customHeight="1">
      <c r="A93" s="118" t="s">
        <v>193</v>
      </c>
      <c r="B93" s="47"/>
      <c r="C93" s="119">
        <f>SUM(C50+C74+C85+C6)</f>
        <v>8547706.22</v>
      </c>
      <c r="D93" s="119">
        <f>SUM(D50+D74+D85+D91)</f>
        <v>1530.46</v>
      </c>
      <c r="E93" s="109"/>
      <c r="F93" s="79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A52:A73"/>
    <mergeCell ref="A76:A84"/>
    <mergeCell ref="A85:B85"/>
    <mergeCell ref="A87:A90"/>
    <mergeCell ref="A91:B91"/>
    <mergeCell ref="A93:B93"/>
    <mergeCell ref="A86:G86"/>
    <mergeCell ref="A92:D92"/>
    <mergeCell ref="E92:H92"/>
    <mergeCell ref="I92:L92"/>
    <mergeCell ref="M92:P92"/>
    <mergeCell ref="Q92:T92"/>
    <mergeCell ref="U92:X92"/>
    <mergeCell ref="Y92:AA92"/>
    <mergeCell ref="D9:G14"/>
    <mergeCell ref="A15:G15"/>
    <mergeCell ref="A17:A49"/>
    <mergeCell ref="A50:B50"/>
    <mergeCell ref="A51:G51"/>
    <mergeCell ref="A74:B74"/>
    <mergeCell ref="A75:G75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9.14"/>
    <col customWidth="1" min="4" max="4" width="15.57"/>
    <col customWidth="1" min="5" max="5" width="36.14"/>
    <col customWidth="1" min="6" max="6" width="76.29"/>
    <col customWidth="1" min="7" max="7" width="11.86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33" t="s">
        <v>0</v>
      </c>
      <c r="B6" s="2"/>
      <c r="C6" s="3"/>
      <c r="D6" s="84" t="s">
        <v>1</v>
      </c>
      <c r="E6" s="5"/>
      <c r="F6" s="85" t="s">
        <v>485</v>
      </c>
      <c r="G6" s="7"/>
    </row>
    <row r="7" ht="19.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19.5" customHeight="1">
      <c r="A8" s="134" t="s">
        <v>5</v>
      </c>
      <c r="B8" s="135" t="s">
        <v>6</v>
      </c>
      <c r="C8" s="136" t="s">
        <v>7</v>
      </c>
      <c r="D8" s="86" t="s">
        <v>7</v>
      </c>
      <c r="E8" s="90"/>
      <c r="F8" s="158"/>
      <c r="G8" s="15"/>
    </row>
    <row r="9" ht="19.5" customHeight="1">
      <c r="A9" s="149" t="s">
        <v>9</v>
      </c>
      <c r="B9" s="31">
        <f>SUM(C30)</f>
        <v>0</v>
      </c>
      <c r="C9" s="32">
        <f t="shared" ref="C9:C14" si="1">SUM(B9)</f>
        <v>0</v>
      </c>
      <c r="D9" s="137" t="s">
        <v>10</v>
      </c>
      <c r="E9" s="98"/>
      <c r="F9" s="98"/>
      <c r="G9" s="100"/>
    </row>
    <row r="10" ht="19.5" customHeight="1">
      <c r="A10" s="149" t="s">
        <v>11</v>
      </c>
      <c r="B10" s="138">
        <f>SUM(D30)</f>
        <v>0</v>
      </c>
      <c r="C10" s="139">
        <f t="shared" si="1"/>
        <v>0</v>
      </c>
      <c r="D10" s="36"/>
      <c r="G10" s="37"/>
    </row>
    <row r="11" ht="19.5" customHeight="1">
      <c r="A11" s="149" t="s">
        <v>12</v>
      </c>
      <c r="B11" s="140"/>
      <c r="C11" s="95">
        <f t="shared" si="1"/>
        <v>0</v>
      </c>
      <c r="D11" s="36"/>
      <c r="G11" s="37"/>
    </row>
    <row r="12" ht="19.5" customHeight="1">
      <c r="A12" s="149" t="s">
        <v>13</v>
      </c>
      <c r="B12" s="138"/>
      <c r="C12" s="141">
        <f t="shared" si="1"/>
        <v>0</v>
      </c>
      <c r="D12" s="36"/>
      <c r="G12" s="37"/>
    </row>
    <row r="13" ht="19.5" customHeight="1">
      <c r="A13" s="149" t="s">
        <v>14</v>
      </c>
      <c r="B13" s="140">
        <f>SUM(C58)</f>
        <v>0</v>
      </c>
      <c r="C13" s="95">
        <f t="shared" si="1"/>
        <v>0</v>
      </c>
      <c r="D13" s="36"/>
      <c r="G13" s="37"/>
    </row>
    <row r="14" ht="19.5" customHeight="1">
      <c r="A14" s="149" t="s">
        <v>15</v>
      </c>
      <c r="B14" s="138">
        <f>SUM(D58)</f>
        <v>0</v>
      </c>
      <c r="C14" s="95">
        <f t="shared" si="1"/>
        <v>0</v>
      </c>
      <c r="D14" s="144"/>
      <c r="E14" s="116"/>
      <c r="F14" s="116"/>
      <c r="G14" s="117"/>
    </row>
    <row r="15" ht="4.5" customHeight="1">
      <c r="A15" s="145"/>
      <c r="B15" s="146"/>
      <c r="C15" s="146"/>
      <c r="D15" s="146"/>
      <c r="E15" s="146"/>
      <c r="F15" s="146"/>
      <c r="G15" s="147"/>
    </row>
    <row r="16" ht="24.75" customHeight="1">
      <c r="A16" s="148" t="s">
        <v>17</v>
      </c>
      <c r="B16" s="148" t="s">
        <v>18</v>
      </c>
      <c r="C16" s="148" t="s">
        <v>19</v>
      </c>
      <c r="D16" s="148" t="s">
        <v>20</v>
      </c>
      <c r="E16" s="159" t="s">
        <v>21</v>
      </c>
      <c r="F16" s="152" t="s">
        <v>22</v>
      </c>
      <c r="G16" s="152" t="s">
        <v>24</v>
      </c>
    </row>
    <row r="17" ht="19.5" customHeight="1">
      <c r="A17" s="75" t="s">
        <v>25</v>
      </c>
      <c r="B17" s="176"/>
      <c r="C17" s="77"/>
      <c r="D17" s="77"/>
      <c r="E17" s="61"/>
      <c r="F17" s="155"/>
      <c r="G17" s="156"/>
    </row>
    <row r="18" ht="19.5" customHeight="1">
      <c r="A18" s="60"/>
      <c r="B18" s="177"/>
      <c r="C18" s="62"/>
      <c r="D18" s="62"/>
      <c r="E18" s="61"/>
      <c r="F18" s="58"/>
      <c r="G18" s="59"/>
    </row>
    <row r="19" ht="19.5" customHeight="1">
      <c r="A19" s="60"/>
      <c r="B19" s="177"/>
      <c r="C19" s="62"/>
      <c r="D19" s="62"/>
      <c r="E19" s="61"/>
      <c r="F19" s="58"/>
      <c r="G19" s="59"/>
    </row>
    <row r="20" ht="19.5" customHeight="1">
      <c r="A20" s="60"/>
      <c r="B20" s="177"/>
      <c r="C20" s="62"/>
      <c r="D20" s="62"/>
      <c r="E20" s="61"/>
      <c r="F20" s="58"/>
      <c r="G20" s="59"/>
    </row>
    <row r="21" ht="19.5" customHeight="1">
      <c r="A21" s="60"/>
      <c r="B21" s="177"/>
      <c r="C21" s="62"/>
      <c r="D21" s="62"/>
      <c r="E21" s="61"/>
      <c r="F21" s="58"/>
      <c r="G21" s="59"/>
    </row>
    <row r="22" ht="19.5" customHeight="1">
      <c r="A22" s="60"/>
      <c r="B22" s="177"/>
      <c r="C22" s="62"/>
      <c r="D22" s="62"/>
      <c r="E22" s="61"/>
      <c r="F22" s="58"/>
      <c r="G22" s="59"/>
    </row>
    <row r="23" ht="19.5" customHeight="1">
      <c r="A23" s="60"/>
      <c r="B23" s="177"/>
      <c r="C23" s="62"/>
      <c r="D23" s="62"/>
      <c r="E23" s="61"/>
      <c r="F23" s="58"/>
      <c r="G23" s="59"/>
    </row>
    <row r="24" ht="19.5" customHeight="1">
      <c r="A24" s="60"/>
      <c r="B24" s="177"/>
      <c r="C24" s="62"/>
      <c r="D24" s="62"/>
      <c r="E24" s="122"/>
      <c r="F24" s="58"/>
      <c r="G24" s="59"/>
    </row>
    <row r="25" ht="19.5" customHeight="1">
      <c r="A25" s="60"/>
      <c r="B25" s="177"/>
      <c r="C25" s="62"/>
      <c r="D25" s="62"/>
      <c r="E25" s="122"/>
      <c r="F25" s="58"/>
      <c r="G25" s="59"/>
    </row>
    <row r="26" ht="19.5" customHeight="1">
      <c r="A26" s="60"/>
      <c r="B26" s="177"/>
      <c r="C26" s="62"/>
      <c r="D26" s="62"/>
      <c r="E26" s="122"/>
      <c r="F26" s="58"/>
      <c r="G26" s="59"/>
    </row>
    <row r="27" ht="19.5" customHeight="1">
      <c r="A27" s="60"/>
      <c r="B27" s="177"/>
      <c r="C27" s="62"/>
      <c r="D27" s="62"/>
      <c r="E27" s="122"/>
      <c r="F27" s="58"/>
      <c r="G27" s="59"/>
    </row>
    <row r="28" ht="19.5" customHeight="1">
      <c r="A28" s="60"/>
      <c r="B28" s="177"/>
      <c r="C28" s="62"/>
      <c r="D28" s="62"/>
      <c r="E28" s="122"/>
      <c r="F28" s="58"/>
      <c r="G28" s="59"/>
    </row>
    <row r="29" ht="19.5" customHeight="1">
      <c r="A29" s="67"/>
      <c r="B29" s="177"/>
      <c r="C29" s="62"/>
      <c r="D29" s="62"/>
      <c r="E29" s="122"/>
      <c r="F29" s="58"/>
      <c r="G29" s="59"/>
    </row>
    <row r="30" ht="30.0" customHeight="1">
      <c r="A30" s="68" t="s">
        <v>43</v>
      </c>
      <c r="B30" s="69"/>
      <c r="C30" s="80">
        <f t="shared" ref="C30:D30" si="2">SUM(C17:C29)</f>
        <v>0</v>
      </c>
      <c r="D30" s="80">
        <f t="shared" si="2"/>
        <v>0</v>
      </c>
      <c r="E30" s="71"/>
      <c r="F30" s="72"/>
    </row>
    <row r="31" ht="4.5" customHeight="1">
      <c r="A31" s="73"/>
      <c r="B31" s="74"/>
      <c r="C31" s="74"/>
      <c r="D31" s="74"/>
      <c r="E31" s="74"/>
      <c r="F31" s="74"/>
      <c r="G31" s="69"/>
    </row>
    <row r="32" ht="19.5" customHeight="1">
      <c r="A32" s="75" t="s">
        <v>53</v>
      </c>
      <c r="B32" s="165"/>
      <c r="C32" s="81"/>
      <c r="D32" s="77"/>
      <c r="E32" s="126"/>
      <c r="F32" s="61"/>
      <c r="G32" s="110"/>
    </row>
    <row r="33" ht="19.5" customHeight="1">
      <c r="A33" s="60"/>
      <c r="B33" s="165"/>
      <c r="C33" s="81"/>
      <c r="D33" s="62"/>
      <c r="E33" s="126"/>
      <c r="F33" s="61"/>
      <c r="G33" s="166"/>
    </row>
    <row r="34" ht="19.5" customHeight="1">
      <c r="A34" s="60"/>
      <c r="B34" s="165"/>
      <c r="C34" s="81"/>
      <c r="D34" s="62"/>
      <c r="E34" s="126"/>
      <c r="F34" s="61"/>
      <c r="G34" s="166"/>
    </row>
    <row r="35" ht="19.5" customHeight="1">
      <c r="A35" s="60"/>
      <c r="B35" s="165"/>
      <c r="C35" s="81"/>
      <c r="D35" s="62"/>
      <c r="E35" s="126"/>
      <c r="F35" s="61"/>
      <c r="G35" s="166"/>
    </row>
    <row r="36" ht="19.5" customHeight="1">
      <c r="A36" s="60"/>
      <c r="B36" s="165"/>
      <c r="C36" s="81"/>
      <c r="D36" s="62"/>
      <c r="E36" s="126"/>
      <c r="F36" s="61"/>
      <c r="G36" s="166"/>
    </row>
    <row r="37" ht="19.5" customHeight="1">
      <c r="A37" s="60"/>
      <c r="B37" s="165"/>
      <c r="C37" s="81"/>
      <c r="D37" s="62"/>
      <c r="E37" s="126"/>
      <c r="F37" s="61"/>
      <c r="G37" s="166"/>
    </row>
    <row r="38" ht="19.5" customHeight="1">
      <c r="A38" s="60"/>
      <c r="B38" s="165"/>
      <c r="C38" s="81"/>
      <c r="D38" s="62"/>
      <c r="E38" s="126"/>
      <c r="F38" s="61"/>
      <c r="G38" s="166"/>
    </row>
    <row r="39" ht="19.5" customHeight="1">
      <c r="A39" s="60"/>
      <c r="B39" s="165"/>
      <c r="C39" s="81"/>
      <c r="D39" s="62"/>
      <c r="E39" s="126"/>
      <c r="F39" s="61"/>
      <c r="G39" s="166"/>
    </row>
    <row r="40" ht="19.5" customHeight="1">
      <c r="A40" s="60"/>
      <c r="B40" s="165"/>
      <c r="C40" s="81"/>
      <c r="D40" s="62"/>
      <c r="E40" s="126"/>
      <c r="F40" s="61"/>
      <c r="G40" s="166"/>
    </row>
    <row r="41" ht="19.5" customHeight="1">
      <c r="A41" s="60"/>
      <c r="B41" s="165"/>
      <c r="C41" s="81"/>
      <c r="D41" s="62"/>
      <c r="E41" s="126"/>
      <c r="F41" s="61"/>
      <c r="G41" s="166"/>
    </row>
    <row r="42" ht="19.5" customHeight="1">
      <c r="A42" s="60"/>
      <c r="B42" s="165"/>
      <c r="C42" s="81"/>
      <c r="D42" s="62"/>
      <c r="E42" s="126"/>
      <c r="F42" s="61"/>
      <c r="G42" s="166"/>
    </row>
    <row r="43" ht="19.5" customHeight="1">
      <c r="A43" s="60"/>
      <c r="B43" s="165"/>
      <c r="C43" s="81"/>
      <c r="D43" s="62"/>
      <c r="E43" s="126"/>
      <c r="F43" s="61"/>
      <c r="G43" s="166"/>
    </row>
    <row r="44" ht="19.5" customHeight="1">
      <c r="A44" s="60"/>
      <c r="B44" s="165"/>
      <c r="C44" s="81"/>
      <c r="D44" s="62"/>
      <c r="E44" s="126"/>
      <c r="F44" s="61"/>
      <c r="G44" s="166"/>
    </row>
    <row r="45" ht="19.5" customHeight="1">
      <c r="A45" s="60"/>
      <c r="B45" s="165"/>
      <c r="C45" s="81"/>
      <c r="D45" s="62"/>
      <c r="E45" s="126"/>
      <c r="F45" s="61"/>
      <c r="G45" s="166"/>
    </row>
    <row r="46" ht="19.5" customHeight="1">
      <c r="A46" s="60"/>
      <c r="B46" s="165"/>
      <c r="C46" s="81"/>
      <c r="D46" s="62"/>
      <c r="E46" s="126"/>
      <c r="F46" s="61"/>
      <c r="G46" s="166"/>
    </row>
    <row r="47" ht="19.5" customHeight="1">
      <c r="A47" s="60"/>
      <c r="B47" s="165"/>
      <c r="C47" s="81"/>
      <c r="D47" s="62"/>
      <c r="E47" s="126"/>
      <c r="F47" s="61"/>
      <c r="G47" s="166"/>
    </row>
    <row r="48" ht="19.5" customHeight="1">
      <c r="A48" s="60"/>
      <c r="B48" s="165"/>
      <c r="C48" s="81"/>
      <c r="D48" s="62"/>
      <c r="E48" s="126"/>
      <c r="F48" s="61"/>
      <c r="G48" s="166"/>
    </row>
    <row r="49" ht="19.5" customHeight="1">
      <c r="A49" s="60"/>
      <c r="B49" s="165"/>
      <c r="C49" s="81"/>
      <c r="D49" s="62"/>
      <c r="E49" s="126"/>
      <c r="F49" s="61"/>
      <c r="G49" s="61"/>
    </row>
    <row r="50" ht="19.5" customHeight="1">
      <c r="A50" s="60"/>
      <c r="B50" s="165"/>
      <c r="C50" s="81"/>
      <c r="D50" s="62"/>
      <c r="E50" s="126"/>
      <c r="F50" s="61"/>
      <c r="G50" s="110"/>
    </row>
    <row r="51" ht="19.5" customHeight="1">
      <c r="A51" s="60"/>
      <c r="B51" s="165"/>
      <c r="C51" s="81"/>
      <c r="D51" s="62"/>
      <c r="E51" s="126"/>
      <c r="F51" s="61"/>
      <c r="G51" s="110"/>
    </row>
    <row r="52" ht="19.5" customHeight="1">
      <c r="A52" s="60"/>
      <c r="B52" s="165"/>
      <c r="C52" s="81"/>
      <c r="D52" s="62"/>
      <c r="E52" s="126"/>
      <c r="F52" s="61"/>
      <c r="G52" s="110"/>
    </row>
    <row r="53" ht="19.5" customHeight="1">
      <c r="A53" s="60"/>
      <c r="B53" s="165"/>
      <c r="C53" s="81"/>
      <c r="D53" s="62"/>
      <c r="E53" s="126"/>
      <c r="F53" s="61"/>
      <c r="G53" s="110"/>
    </row>
    <row r="54" ht="19.5" customHeight="1">
      <c r="A54" s="60"/>
      <c r="B54" s="165"/>
      <c r="C54" s="81"/>
      <c r="D54" s="62"/>
      <c r="E54" s="126"/>
      <c r="F54" s="61"/>
      <c r="G54" s="110"/>
    </row>
    <row r="55" ht="19.5" customHeight="1">
      <c r="A55" s="60"/>
      <c r="B55" s="165"/>
      <c r="C55" s="81"/>
      <c r="D55" s="62"/>
      <c r="E55" s="126"/>
      <c r="F55" s="61"/>
      <c r="G55" s="110"/>
    </row>
    <row r="56" ht="19.5" customHeight="1">
      <c r="A56" s="60"/>
      <c r="B56" s="165"/>
      <c r="C56" s="81"/>
      <c r="D56" s="62"/>
      <c r="E56" s="126"/>
      <c r="F56" s="61"/>
      <c r="G56" s="110"/>
    </row>
    <row r="57" ht="19.5" customHeight="1">
      <c r="A57" s="60"/>
      <c r="B57" s="165"/>
      <c r="C57" s="81"/>
      <c r="D57" s="62"/>
      <c r="E57" s="126"/>
      <c r="F57" s="61"/>
      <c r="G57" s="110"/>
    </row>
    <row r="58" ht="29.25" customHeight="1">
      <c r="A58" s="68" t="s">
        <v>43</v>
      </c>
      <c r="B58" s="69"/>
      <c r="C58" s="80">
        <f t="shared" ref="C58:D58" si="3">SUM(C32:C57)</f>
        <v>0</v>
      </c>
      <c r="D58" s="80">
        <f t="shared" si="3"/>
        <v>0</v>
      </c>
      <c r="E58" s="71"/>
      <c r="F58" s="72"/>
    </row>
    <row r="59" ht="4.5" customHeight="1">
      <c r="A59" s="73"/>
      <c r="B59" s="74"/>
      <c r="C59" s="74"/>
      <c r="D59" s="74"/>
      <c r="E59" s="74"/>
      <c r="F59" s="74"/>
      <c r="G59" s="69"/>
    </row>
    <row r="60" ht="19.5" customHeight="1">
      <c r="A60" s="75" t="s">
        <v>108</v>
      </c>
      <c r="B60" s="165"/>
      <c r="C60" s="81"/>
      <c r="D60" s="77"/>
      <c r="E60" s="126"/>
      <c r="F60" s="61"/>
      <c r="G60" s="110"/>
    </row>
    <row r="61" ht="19.5" customHeight="1">
      <c r="A61" s="60"/>
      <c r="B61" s="165"/>
      <c r="C61" s="81"/>
      <c r="D61" s="62"/>
      <c r="E61" s="126"/>
      <c r="F61" s="61"/>
      <c r="G61" s="110"/>
    </row>
    <row r="62" ht="19.5" customHeight="1">
      <c r="A62" s="60"/>
      <c r="B62" s="165"/>
      <c r="C62" s="81"/>
      <c r="D62" s="62"/>
      <c r="E62" s="126"/>
      <c r="F62" s="61"/>
      <c r="G62" s="110"/>
    </row>
    <row r="63" ht="19.5" customHeight="1">
      <c r="A63" s="60"/>
      <c r="B63" s="165"/>
      <c r="C63" s="81"/>
      <c r="D63" s="62"/>
      <c r="E63" s="126"/>
      <c r="F63" s="61"/>
      <c r="G63" s="110"/>
    </row>
    <row r="64" ht="19.5" customHeight="1">
      <c r="A64" s="60"/>
      <c r="B64" s="165"/>
      <c r="C64" s="81"/>
      <c r="D64" s="62"/>
      <c r="E64" s="126"/>
      <c r="F64" s="61"/>
      <c r="G64" s="110"/>
    </row>
    <row r="65" ht="19.5" customHeight="1">
      <c r="A65" s="60"/>
      <c r="B65" s="165"/>
      <c r="C65" s="81"/>
      <c r="D65" s="62"/>
      <c r="E65" s="126"/>
      <c r="F65" s="61"/>
      <c r="G65" s="110"/>
    </row>
    <row r="66" ht="19.5" customHeight="1">
      <c r="A66" s="60"/>
      <c r="B66" s="165"/>
      <c r="C66" s="81"/>
      <c r="D66" s="62"/>
      <c r="E66" s="126"/>
      <c r="F66" s="61"/>
      <c r="G66" s="110"/>
    </row>
    <row r="67" ht="19.5" customHeight="1">
      <c r="A67" s="60"/>
      <c r="B67" s="165"/>
      <c r="C67" s="81"/>
      <c r="D67" s="62"/>
      <c r="E67" s="126"/>
      <c r="F67" s="61"/>
      <c r="G67" s="110"/>
    </row>
    <row r="68" ht="19.5" customHeight="1">
      <c r="A68" s="60"/>
      <c r="B68" s="165"/>
      <c r="C68" s="81"/>
      <c r="D68" s="62"/>
      <c r="E68" s="126"/>
      <c r="F68" s="61"/>
      <c r="G68" s="110"/>
    </row>
    <row r="69" ht="19.5" customHeight="1">
      <c r="A69" s="60"/>
      <c r="B69" s="165"/>
      <c r="C69" s="81"/>
      <c r="D69" s="62"/>
      <c r="E69" s="126"/>
      <c r="F69" s="61"/>
      <c r="G69" s="110"/>
    </row>
    <row r="70" ht="19.5" customHeight="1">
      <c r="A70" s="60"/>
      <c r="B70" s="165"/>
      <c r="C70" s="81"/>
      <c r="D70" s="62"/>
      <c r="E70" s="126"/>
      <c r="F70" s="61"/>
      <c r="G70" s="110"/>
    </row>
    <row r="71" ht="19.5" customHeight="1">
      <c r="A71" s="60"/>
      <c r="B71" s="165"/>
      <c r="C71" s="81"/>
      <c r="D71" s="62"/>
      <c r="E71" s="126"/>
      <c r="F71" s="61"/>
      <c r="G71" s="110"/>
    </row>
    <row r="72" ht="19.5" customHeight="1">
      <c r="A72" s="60"/>
      <c r="B72" s="165"/>
      <c r="C72" s="81"/>
      <c r="D72" s="62"/>
      <c r="E72" s="126"/>
      <c r="F72" s="61"/>
      <c r="G72" s="110"/>
    </row>
    <row r="73" ht="19.5" customHeight="1">
      <c r="A73" s="60"/>
      <c r="B73" s="165"/>
      <c r="C73" s="81"/>
      <c r="D73" s="62"/>
      <c r="E73" s="126"/>
      <c r="F73" s="61"/>
      <c r="G73" s="104"/>
    </row>
    <row r="74" ht="30.0" customHeight="1">
      <c r="A74" s="68" t="s">
        <v>43</v>
      </c>
      <c r="B74" s="69"/>
      <c r="C74" s="80">
        <f t="shared" ref="C74:D74" si="4">SUM(C60:C73)</f>
        <v>0</v>
      </c>
      <c r="D74" s="80">
        <f t="shared" si="4"/>
        <v>0</v>
      </c>
      <c r="E74" s="71"/>
      <c r="F74" s="72"/>
    </row>
    <row r="75" ht="4.5" customHeight="1">
      <c r="A75" s="89"/>
      <c r="B75" s="91"/>
      <c r="C75" s="91"/>
      <c r="D75" s="91"/>
      <c r="E75" s="91"/>
      <c r="F75" s="91"/>
      <c r="G75" s="92"/>
    </row>
    <row r="76" ht="19.5" customHeight="1">
      <c r="A76" s="93" t="s">
        <v>16</v>
      </c>
      <c r="B76" s="165"/>
      <c r="C76" s="81"/>
      <c r="D76" s="81"/>
      <c r="E76" s="126"/>
      <c r="F76" s="61"/>
      <c r="G76" s="61"/>
    </row>
    <row r="77" ht="19.5" customHeight="1">
      <c r="A77" s="94"/>
      <c r="B77" s="165"/>
      <c r="C77" s="81"/>
      <c r="D77" s="81"/>
      <c r="E77" s="126"/>
      <c r="F77" s="61"/>
      <c r="G77" s="61"/>
    </row>
    <row r="78" ht="19.5" customHeight="1">
      <c r="A78" s="94"/>
      <c r="B78" s="165"/>
      <c r="C78" s="81"/>
      <c r="D78" s="81"/>
      <c r="E78" s="126"/>
      <c r="F78" s="61"/>
      <c r="G78" s="61"/>
    </row>
    <row r="79" ht="19.5" customHeight="1">
      <c r="A79" s="94"/>
      <c r="B79" s="178"/>
      <c r="C79" s="103"/>
      <c r="D79" s="103"/>
      <c r="E79" s="126"/>
      <c r="F79" s="61"/>
      <c r="G79" s="61"/>
    </row>
    <row r="80" ht="30.0" customHeight="1">
      <c r="A80" s="127" t="s">
        <v>43</v>
      </c>
      <c r="B80" s="128"/>
      <c r="C80" s="81">
        <f>SUM(C76:C79)</f>
        <v>0</v>
      </c>
      <c r="D80" s="81">
        <f>SUM(D76)</f>
        <v>0</v>
      </c>
      <c r="E80" s="109"/>
      <c r="F80" s="79"/>
    </row>
    <row r="81" ht="4.5" customHeight="1">
      <c r="A81" s="130"/>
      <c r="B81" s="131"/>
      <c r="C81" s="131"/>
      <c r="D81" s="132"/>
      <c r="E81" s="114"/>
      <c r="I81" s="114"/>
      <c r="M81" s="114"/>
      <c r="Q81" s="114"/>
      <c r="U81" s="114"/>
      <c r="Y81" s="114"/>
    </row>
    <row r="82" ht="30.0" customHeight="1">
      <c r="A82" s="118" t="s">
        <v>193</v>
      </c>
      <c r="B82" s="47"/>
      <c r="C82" s="119">
        <f>SUM(C30+C58+C74+C6)</f>
        <v>0</v>
      </c>
      <c r="D82" s="119">
        <f>SUM(D30+D58+D74+D80)</f>
        <v>0</v>
      </c>
      <c r="E82" s="109"/>
      <c r="F82" s="79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A32:A57"/>
    <mergeCell ref="A60:A73"/>
    <mergeCell ref="A74:B74"/>
    <mergeCell ref="A76:A79"/>
    <mergeCell ref="A80:B80"/>
    <mergeCell ref="A82:B82"/>
    <mergeCell ref="A75:G75"/>
    <mergeCell ref="A81:D81"/>
    <mergeCell ref="E81:H81"/>
    <mergeCell ref="I81:L81"/>
    <mergeCell ref="M81:P81"/>
    <mergeCell ref="Q81:T81"/>
    <mergeCell ref="U81:X81"/>
    <mergeCell ref="Y81:AA81"/>
    <mergeCell ref="D9:G14"/>
    <mergeCell ref="A15:G15"/>
    <mergeCell ref="A17:A29"/>
    <mergeCell ref="A30:B30"/>
    <mergeCell ref="A31:G31"/>
    <mergeCell ref="A58:B58"/>
    <mergeCell ref="A59:G59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9.14"/>
    <col customWidth="1" min="4" max="4" width="15.57"/>
    <col customWidth="1" min="5" max="5" width="36.14"/>
    <col customWidth="1" min="6" max="6" width="76.29"/>
    <col customWidth="1" min="7" max="7" width="11.86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33" t="s">
        <v>0</v>
      </c>
      <c r="B6" s="2"/>
      <c r="C6" s="3"/>
      <c r="D6" s="84" t="s">
        <v>1</v>
      </c>
      <c r="E6" s="5"/>
      <c r="F6" s="85" t="s">
        <v>484</v>
      </c>
      <c r="G6" s="7"/>
    </row>
    <row r="7" ht="19.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19.5" customHeight="1">
      <c r="A8" s="134" t="s">
        <v>5</v>
      </c>
      <c r="B8" s="135" t="s">
        <v>6</v>
      </c>
      <c r="C8" s="136" t="s">
        <v>7</v>
      </c>
      <c r="D8" s="86" t="s">
        <v>7</v>
      </c>
      <c r="E8" s="90"/>
      <c r="F8" s="158"/>
      <c r="G8" s="15"/>
    </row>
    <row r="9" ht="19.5" customHeight="1">
      <c r="A9" s="149" t="s">
        <v>9</v>
      </c>
      <c r="B9" s="31">
        <f>SUM(C30)</f>
        <v>0</v>
      </c>
      <c r="C9" s="32">
        <f t="shared" ref="C9:C14" si="1">SUM(B9)</f>
        <v>0</v>
      </c>
      <c r="D9" s="137" t="s">
        <v>10</v>
      </c>
      <c r="E9" s="98"/>
      <c r="F9" s="98"/>
      <c r="G9" s="100"/>
    </row>
    <row r="10" ht="19.5" customHeight="1">
      <c r="A10" s="149" t="s">
        <v>11</v>
      </c>
      <c r="B10" s="138">
        <f>SUM(D30)</f>
        <v>0</v>
      </c>
      <c r="C10" s="139">
        <f t="shared" si="1"/>
        <v>0</v>
      </c>
      <c r="D10" s="36"/>
      <c r="G10" s="37"/>
    </row>
    <row r="11" ht="19.5" customHeight="1">
      <c r="A11" s="149" t="s">
        <v>12</v>
      </c>
      <c r="B11" s="140"/>
      <c r="C11" s="95">
        <f t="shared" si="1"/>
        <v>0</v>
      </c>
      <c r="D11" s="36"/>
      <c r="G11" s="37"/>
    </row>
    <row r="12" ht="19.5" customHeight="1">
      <c r="A12" s="149" t="s">
        <v>13</v>
      </c>
      <c r="B12" s="138"/>
      <c r="C12" s="141">
        <f t="shared" si="1"/>
        <v>0</v>
      </c>
      <c r="D12" s="36"/>
      <c r="G12" s="37"/>
    </row>
    <row r="13" ht="19.5" customHeight="1">
      <c r="A13" s="149" t="s">
        <v>14</v>
      </c>
      <c r="B13" s="140">
        <f>SUM(C58)</f>
        <v>0</v>
      </c>
      <c r="C13" s="95">
        <f t="shared" si="1"/>
        <v>0</v>
      </c>
      <c r="D13" s="36"/>
      <c r="G13" s="37"/>
    </row>
    <row r="14" ht="19.5" customHeight="1">
      <c r="A14" s="149" t="s">
        <v>15</v>
      </c>
      <c r="B14" s="138">
        <f>SUM(D58)</f>
        <v>0</v>
      </c>
      <c r="C14" s="95">
        <f t="shared" si="1"/>
        <v>0</v>
      </c>
      <c r="D14" s="144"/>
      <c r="E14" s="116"/>
      <c r="F14" s="116"/>
      <c r="G14" s="117"/>
    </row>
    <row r="15" ht="4.5" customHeight="1">
      <c r="A15" s="145"/>
      <c r="B15" s="146"/>
      <c r="C15" s="146"/>
      <c r="D15" s="146"/>
      <c r="E15" s="146"/>
      <c r="F15" s="146"/>
      <c r="G15" s="147"/>
    </row>
    <row r="16" ht="24.75" customHeight="1">
      <c r="A16" s="148" t="s">
        <v>17</v>
      </c>
      <c r="B16" s="148" t="s">
        <v>18</v>
      </c>
      <c r="C16" s="148" t="s">
        <v>19</v>
      </c>
      <c r="D16" s="148" t="s">
        <v>20</v>
      </c>
      <c r="E16" s="159" t="s">
        <v>21</v>
      </c>
      <c r="F16" s="152" t="s">
        <v>22</v>
      </c>
      <c r="G16" s="152" t="s">
        <v>24</v>
      </c>
    </row>
    <row r="17" ht="19.5" customHeight="1">
      <c r="A17" s="75" t="s">
        <v>25</v>
      </c>
      <c r="B17" s="176"/>
      <c r="C17" s="77"/>
      <c r="D17" s="77"/>
      <c r="E17" s="61"/>
      <c r="F17" s="155"/>
      <c r="G17" s="156"/>
    </row>
    <row r="18" ht="19.5" customHeight="1">
      <c r="A18" s="60"/>
      <c r="B18" s="177"/>
      <c r="C18" s="62"/>
      <c r="D18" s="62"/>
      <c r="E18" s="61"/>
      <c r="F18" s="58"/>
      <c r="G18" s="59"/>
    </row>
    <row r="19" ht="19.5" customHeight="1">
      <c r="A19" s="60"/>
      <c r="B19" s="177"/>
      <c r="C19" s="62"/>
      <c r="D19" s="62"/>
      <c r="E19" s="61"/>
      <c r="F19" s="58"/>
      <c r="G19" s="59"/>
    </row>
    <row r="20" ht="19.5" customHeight="1">
      <c r="A20" s="60"/>
      <c r="B20" s="177"/>
      <c r="C20" s="62"/>
      <c r="D20" s="62"/>
      <c r="E20" s="61"/>
      <c r="F20" s="58"/>
      <c r="G20" s="59"/>
    </row>
    <row r="21" ht="19.5" customHeight="1">
      <c r="A21" s="60"/>
      <c r="B21" s="177"/>
      <c r="C21" s="62"/>
      <c r="D21" s="62"/>
      <c r="E21" s="61"/>
      <c r="F21" s="58"/>
      <c r="G21" s="59"/>
    </row>
    <row r="22" ht="19.5" customHeight="1">
      <c r="A22" s="60"/>
      <c r="B22" s="177"/>
      <c r="C22" s="62"/>
      <c r="D22" s="62"/>
      <c r="E22" s="61"/>
      <c r="F22" s="58"/>
      <c r="G22" s="59"/>
    </row>
    <row r="23" ht="19.5" customHeight="1">
      <c r="A23" s="60"/>
      <c r="B23" s="177"/>
      <c r="C23" s="62"/>
      <c r="D23" s="62"/>
      <c r="E23" s="61"/>
      <c r="F23" s="58"/>
      <c r="G23" s="59"/>
    </row>
    <row r="24" ht="19.5" customHeight="1">
      <c r="A24" s="60"/>
      <c r="B24" s="177"/>
      <c r="C24" s="62"/>
      <c r="D24" s="62"/>
      <c r="E24" s="122"/>
      <c r="F24" s="58"/>
      <c r="G24" s="59"/>
    </row>
    <row r="25" ht="19.5" customHeight="1">
      <c r="A25" s="60"/>
      <c r="B25" s="177"/>
      <c r="C25" s="62"/>
      <c r="D25" s="62"/>
      <c r="E25" s="122"/>
      <c r="F25" s="58"/>
      <c r="G25" s="59"/>
    </row>
    <row r="26" ht="19.5" customHeight="1">
      <c r="A26" s="60"/>
      <c r="B26" s="177"/>
      <c r="C26" s="62"/>
      <c r="D26" s="62"/>
      <c r="E26" s="122"/>
      <c r="F26" s="58"/>
      <c r="G26" s="59"/>
    </row>
    <row r="27" ht="19.5" customHeight="1">
      <c r="A27" s="60"/>
      <c r="B27" s="177"/>
      <c r="C27" s="62"/>
      <c r="D27" s="62"/>
      <c r="E27" s="122"/>
      <c r="F27" s="58"/>
      <c r="G27" s="59"/>
    </row>
    <row r="28" ht="19.5" customHeight="1">
      <c r="A28" s="60"/>
      <c r="B28" s="177"/>
      <c r="C28" s="62"/>
      <c r="D28" s="62"/>
      <c r="E28" s="122"/>
      <c r="F28" s="58"/>
      <c r="G28" s="59"/>
    </row>
    <row r="29" ht="19.5" customHeight="1">
      <c r="A29" s="67"/>
      <c r="B29" s="177"/>
      <c r="C29" s="62"/>
      <c r="D29" s="62"/>
      <c r="E29" s="122"/>
      <c r="F29" s="58"/>
      <c r="G29" s="59"/>
    </row>
    <row r="30" ht="30.0" customHeight="1">
      <c r="A30" s="68" t="s">
        <v>43</v>
      </c>
      <c r="B30" s="69"/>
      <c r="C30" s="80">
        <f t="shared" ref="C30:D30" si="2">SUM(C17:C29)</f>
        <v>0</v>
      </c>
      <c r="D30" s="80">
        <f t="shared" si="2"/>
        <v>0</v>
      </c>
      <c r="E30" s="71"/>
      <c r="F30" s="72"/>
    </row>
    <row r="31" ht="4.5" customHeight="1">
      <c r="A31" s="73"/>
      <c r="B31" s="74"/>
      <c r="C31" s="74"/>
      <c r="D31" s="74"/>
      <c r="E31" s="74"/>
      <c r="F31" s="74"/>
      <c r="G31" s="69"/>
    </row>
    <row r="32" ht="19.5" customHeight="1">
      <c r="A32" s="75" t="s">
        <v>53</v>
      </c>
      <c r="B32" s="165"/>
      <c r="C32" s="81"/>
      <c r="D32" s="77"/>
      <c r="E32" s="126"/>
      <c r="F32" s="61"/>
      <c r="G32" s="110"/>
    </row>
    <row r="33" ht="19.5" customHeight="1">
      <c r="A33" s="60"/>
      <c r="B33" s="165"/>
      <c r="C33" s="81"/>
      <c r="D33" s="62"/>
      <c r="E33" s="126"/>
      <c r="F33" s="61"/>
      <c r="G33" s="166"/>
    </row>
    <row r="34" ht="19.5" customHeight="1">
      <c r="A34" s="60"/>
      <c r="B34" s="165"/>
      <c r="C34" s="81"/>
      <c r="D34" s="62"/>
      <c r="E34" s="126"/>
      <c r="F34" s="61"/>
      <c r="G34" s="166"/>
    </row>
    <row r="35" ht="19.5" customHeight="1">
      <c r="A35" s="60"/>
      <c r="B35" s="165"/>
      <c r="C35" s="81"/>
      <c r="D35" s="62"/>
      <c r="E35" s="126"/>
      <c r="F35" s="61"/>
      <c r="G35" s="166"/>
    </row>
    <row r="36" ht="19.5" customHeight="1">
      <c r="A36" s="60"/>
      <c r="B36" s="165"/>
      <c r="C36" s="81"/>
      <c r="D36" s="62"/>
      <c r="E36" s="126"/>
      <c r="F36" s="61"/>
      <c r="G36" s="166"/>
    </row>
    <row r="37" ht="19.5" customHeight="1">
      <c r="A37" s="60"/>
      <c r="B37" s="165"/>
      <c r="C37" s="81"/>
      <c r="D37" s="62"/>
      <c r="E37" s="126"/>
      <c r="F37" s="61"/>
      <c r="G37" s="166"/>
    </row>
    <row r="38" ht="19.5" customHeight="1">
      <c r="A38" s="60"/>
      <c r="B38" s="165"/>
      <c r="C38" s="81"/>
      <c r="D38" s="62"/>
      <c r="E38" s="126"/>
      <c r="F38" s="61"/>
      <c r="G38" s="166"/>
    </row>
    <row r="39" ht="19.5" customHeight="1">
      <c r="A39" s="60"/>
      <c r="B39" s="165"/>
      <c r="C39" s="81"/>
      <c r="D39" s="62"/>
      <c r="E39" s="126"/>
      <c r="F39" s="61"/>
      <c r="G39" s="166"/>
    </row>
    <row r="40" ht="19.5" customHeight="1">
      <c r="A40" s="60"/>
      <c r="B40" s="165"/>
      <c r="C40" s="81"/>
      <c r="D40" s="62"/>
      <c r="E40" s="126"/>
      <c r="F40" s="61"/>
      <c r="G40" s="166"/>
    </row>
    <row r="41" ht="19.5" customHeight="1">
      <c r="A41" s="60"/>
      <c r="B41" s="165"/>
      <c r="C41" s="81"/>
      <c r="D41" s="62"/>
      <c r="E41" s="126"/>
      <c r="F41" s="61"/>
      <c r="G41" s="166"/>
    </row>
    <row r="42" ht="19.5" customHeight="1">
      <c r="A42" s="60"/>
      <c r="B42" s="165"/>
      <c r="C42" s="81"/>
      <c r="D42" s="62"/>
      <c r="E42" s="126"/>
      <c r="F42" s="61"/>
      <c r="G42" s="166"/>
    </row>
    <row r="43" ht="19.5" customHeight="1">
      <c r="A43" s="60"/>
      <c r="B43" s="165"/>
      <c r="C43" s="81"/>
      <c r="D43" s="62"/>
      <c r="E43" s="126"/>
      <c r="F43" s="61"/>
      <c r="G43" s="166"/>
    </row>
    <row r="44" ht="19.5" customHeight="1">
      <c r="A44" s="60"/>
      <c r="B44" s="165"/>
      <c r="C44" s="81"/>
      <c r="D44" s="62"/>
      <c r="E44" s="126"/>
      <c r="F44" s="61"/>
      <c r="G44" s="166"/>
    </row>
    <row r="45" ht="19.5" customHeight="1">
      <c r="A45" s="60"/>
      <c r="B45" s="165"/>
      <c r="C45" s="81"/>
      <c r="D45" s="62"/>
      <c r="E45" s="126"/>
      <c r="F45" s="61"/>
      <c r="G45" s="166"/>
    </row>
    <row r="46" ht="19.5" customHeight="1">
      <c r="A46" s="60"/>
      <c r="B46" s="165"/>
      <c r="C46" s="81"/>
      <c r="D46" s="62"/>
      <c r="E46" s="126"/>
      <c r="F46" s="61"/>
      <c r="G46" s="166"/>
    </row>
    <row r="47" ht="19.5" customHeight="1">
      <c r="A47" s="60"/>
      <c r="B47" s="165"/>
      <c r="C47" s="81"/>
      <c r="D47" s="62"/>
      <c r="E47" s="126"/>
      <c r="F47" s="61"/>
      <c r="G47" s="166"/>
    </row>
    <row r="48" ht="19.5" customHeight="1">
      <c r="A48" s="60"/>
      <c r="B48" s="165"/>
      <c r="C48" s="81"/>
      <c r="D48" s="62"/>
      <c r="E48" s="126"/>
      <c r="F48" s="61"/>
      <c r="G48" s="166"/>
    </row>
    <row r="49" ht="19.5" customHeight="1">
      <c r="A49" s="60"/>
      <c r="B49" s="165"/>
      <c r="C49" s="81"/>
      <c r="D49" s="62"/>
      <c r="E49" s="126"/>
      <c r="F49" s="61"/>
      <c r="G49" s="61"/>
    </row>
    <row r="50" ht="19.5" customHeight="1">
      <c r="A50" s="60"/>
      <c r="B50" s="165"/>
      <c r="C50" s="81"/>
      <c r="D50" s="62"/>
      <c r="E50" s="126"/>
      <c r="F50" s="61"/>
      <c r="G50" s="110"/>
    </row>
    <row r="51" ht="19.5" customHeight="1">
      <c r="A51" s="60"/>
      <c r="B51" s="165"/>
      <c r="C51" s="81"/>
      <c r="D51" s="62"/>
      <c r="E51" s="126"/>
      <c r="F51" s="61"/>
      <c r="G51" s="110"/>
    </row>
    <row r="52" ht="19.5" customHeight="1">
      <c r="A52" s="60"/>
      <c r="B52" s="165"/>
      <c r="C52" s="81"/>
      <c r="D52" s="62"/>
      <c r="E52" s="126"/>
      <c r="F52" s="61"/>
      <c r="G52" s="110"/>
    </row>
    <row r="53" ht="19.5" customHeight="1">
      <c r="A53" s="60"/>
      <c r="B53" s="165"/>
      <c r="C53" s="81"/>
      <c r="D53" s="62"/>
      <c r="E53" s="126"/>
      <c r="F53" s="61"/>
      <c r="G53" s="110"/>
    </row>
    <row r="54" ht="19.5" customHeight="1">
      <c r="A54" s="60"/>
      <c r="B54" s="165"/>
      <c r="C54" s="81"/>
      <c r="D54" s="62"/>
      <c r="E54" s="126"/>
      <c r="F54" s="61"/>
      <c r="G54" s="110"/>
    </row>
    <row r="55" ht="19.5" customHeight="1">
      <c r="A55" s="60"/>
      <c r="B55" s="165"/>
      <c r="C55" s="81"/>
      <c r="D55" s="62"/>
      <c r="E55" s="126"/>
      <c r="F55" s="61"/>
      <c r="G55" s="110"/>
    </row>
    <row r="56" ht="19.5" customHeight="1">
      <c r="A56" s="60"/>
      <c r="B56" s="165"/>
      <c r="C56" s="81"/>
      <c r="D56" s="62"/>
      <c r="E56" s="126"/>
      <c r="F56" s="61"/>
      <c r="G56" s="110"/>
    </row>
    <row r="57" ht="19.5" customHeight="1">
      <c r="A57" s="60"/>
      <c r="B57" s="165"/>
      <c r="C57" s="81"/>
      <c r="D57" s="62"/>
      <c r="E57" s="126"/>
      <c r="F57" s="61"/>
      <c r="G57" s="110"/>
    </row>
    <row r="58" ht="29.25" customHeight="1">
      <c r="A58" s="68" t="s">
        <v>43</v>
      </c>
      <c r="B58" s="69"/>
      <c r="C58" s="80">
        <f t="shared" ref="C58:D58" si="3">SUM(C32:C57)</f>
        <v>0</v>
      </c>
      <c r="D58" s="80">
        <f t="shared" si="3"/>
        <v>0</v>
      </c>
      <c r="E58" s="71"/>
      <c r="F58" s="72"/>
    </row>
    <row r="59" ht="4.5" customHeight="1">
      <c r="A59" s="73"/>
      <c r="B59" s="74"/>
      <c r="C59" s="74"/>
      <c r="D59" s="74"/>
      <c r="E59" s="74"/>
      <c r="F59" s="74"/>
      <c r="G59" s="69"/>
    </row>
    <row r="60" ht="19.5" customHeight="1">
      <c r="A60" s="75" t="s">
        <v>108</v>
      </c>
      <c r="B60" s="165"/>
      <c r="C60" s="81"/>
      <c r="D60" s="77"/>
      <c r="E60" s="126"/>
      <c r="F60" s="61"/>
      <c r="G60" s="110"/>
    </row>
    <row r="61" ht="19.5" customHeight="1">
      <c r="A61" s="60"/>
      <c r="B61" s="165"/>
      <c r="C61" s="81"/>
      <c r="D61" s="62"/>
      <c r="E61" s="126"/>
      <c r="F61" s="61"/>
      <c r="G61" s="110"/>
    </row>
    <row r="62" ht="19.5" customHeight="1">
      <c r="A62" s="60"/>
      <c r="B62" s="165"/>
      <c r="C62" s="81"/>
      <c r="D62" s="62"/>
      <c r="E62" s="126"/>
      <c r="F62" s="61"/>
      <c r="G62" s="110"/>
    </row>
    <row r="63" ht="19.5" customHeight="1">
      <c r="A63" s="60"/>
      <c r="B63" s="165"/>
      <c r="C63" s="81"/>
      <c r="D63" s="62"/>
      <c r="E63" s="126"/>
      <c r="F63" s="61"/>
      <c r="G63" s="110"/>
    </row>
    <row r="64" ht="19.5" customHeight="1">
      <c r="A64" s="60"/>
      <c r="B64" s="165"/>
      <c r="C64" s="81"/>
      <c r="D64" s="62"/>
      <c r="E64" s="126"/>
      <c r="F64" s="61"/>
      <c r="G64" s="110"/>
    </row>
    <row r="65" ht="19.5" customHeight="1">
      <c r="A65" s="60"/>
      <c r="B65" s="165"/>
      <c r="C65" s="81"/>
      <c r="D65" s="62"/>
      <c r="E65" s="126"/>
      <c r="F65" s="61"/>
      <c r="G65" s="110"/>
    </row>
    <row r="66" ht="19.5" customHeight="1">
      <c r="A66" s="60"/>
      <c r="B66" s="165"/>
      <c r="C66" s="81"/>
      <c r="D66" s="62"/>
      <c r="E66" s="126"/>
      <c r="F66" s="61"/>
      <c r="G66" s="110"/>
    </row>
    <row r="67" ht="19.5" customHeight="1">
      <c r="A67" s="60"/>
      <c r="B67" s="165"/>
      <c r="C67" s="81"/>
      <c r="D67" s="62"/>
      <c r="E67" s="126"/>
      <c r="F67" s="61"/>
      <c r="G67" s="110"/>
    </row>
    <row r="68" ht="19.5" customHeight="1">
      <c r="A68" s="60"/>
      <c r="B68" s="165"/>
      <c r="C68" s="81"/>
      <c r="D68" s="62"/>
      <c r="E68" s="126"/>
      <c r="F68" s="61"/>
      <c r="G68" s="110"/>
    </row>
    <row r="69" ht="19.5" customHeight="1">
      <c r="A69" s="60"/>
      <c r="B69" s="165"/>
      <c r="C69" s="81"/>
      <c r="D69" s="62"/>
      <c r="E69" s="126"/>
      <c r="F69" s="61"/>
      <c r="G69" s="110"/>
    </row>
    <row r="70" ht="19.5" customHeight="1">
      <c r="A70" s="60"/>
      <c r="B70" s="165"/>
      <c r="C70" s="81"/>
      <c r="D70" s="62"/>
      <c r="E70" s="126"/>
      <c r="F70" s="61"/>
      <c r="G70" s="110"/>
    </row>
    <row r="71" ht="19.5" customHeight="1">
      <c r="A71" s="60"/>
      <c r="B71" s="165"/>
      <c r="C71" s="81"/>
      <c r="D71" s="62"/>
      <c r="E71" s="126"/>
      <c r="F71" s="61"/>
      <c r="G71" s="110"/>
    </row>
    <row r="72" ht="19.5" customHeight="1">
      <c r="A72" s="60"/>
      <c r="B72" s="165"/>
      <c r="C72" s="81"/>
      <c r="D72" s="62"/>
      <c r="E72" s="126"/>
      <c r="F72" s="61"/>
      <c r="G72" s="110"/>
    </row>
    <row r="73" ht="19.5" customHeight="1">
      <c r="A73" s="60"/>
      <c r="B73" s="165"/>
      <c r="C73" s="81"/>
      <c r="D73" s="62"/>
      <c r="E73" s="126"/>
      <c r="F73" s="61"/>
      <c r="G73" s="104"/>
    </row>
    <row r="74" ht="30.0" customHeight="1">
      <c r="A74" s="68" t="s">
        <v>43</v>
      </c>
      <c r="B74" s="69"/>
      <c r="C74" s="80">
        <f t="shared" ref="C74:D74" si="4">SUM(C60:C73)</f>
        <v>0</v>
      </c>
      <c r="D74" s="80">
        <f t="shared" si="4"/>
        <v>0</v>
      </c>
      <c r="E74" s="71"/>
      <c r="F74" s="72"/>
    </row>
    <row r="75" ht="4.5" customHeight="1">
      <c r="A75" s="89"/>
      <c r="B75" s="91"/>
      <c r="C75" s="91"/>
      <c r="D75" s="91"/>
      <c r="E75" s="91"/>
      <c r="F75" s="91"/>
      <c r="G75" s="92"/>
    </row>
    <row r="76" ht="19.5" customHeight="1">
      <c r="A76" s="93" t="s">
        <v>16</v>
      </c>
      <c r="B76" s="165"/>
      <c r="C76" s="81"/>
      <c r="D76" s="81"/>
      <c r="E76" s="126"/>
      <c r="F76" s="61"/>
      <c r="G76" s="61"/>
    </row>
    <row r="77" ht="19.5" customHeight="1">
      <c r="A77" s="94"/>
      <c r="B77" s="165"/>
      <c r="C77" s="81"/>
      <c r="D77" s="81"/>
      <c r="E77" s="126"/>
      <c r="F77" s="61"/>
      <c r="G77" s="61"/>
    </row>
    <row r="78" ht="19.5" customHeight="1">
      <c r="A78" s="94"/>
      <c r="B78" s="165"/>
      <c r="C78" s="81"/>
      <c r="D78" s="81"/>
      <c r="E78" s="126"/>
      <c r="F78" s="61"/>
      <c r="G78" s="61"/>
    </row>
    <row r="79" ht="19.5" customHeight="1">
      <c r="A79" s="94"/>
      <c r="B79" s="178"/>
      <c r="C79" s="103"/>
      <c r="D79" s="103"/>
      <c r="E79" s="126"/>
      <c r="F79" s="61"/>
      <c r="G79" s="61"/>
    </row>
    <row r="80" ht="30.0" customHeight="1">
      <c r="A80" s="127" t="s">
        <v>43</v>
      </c>
      <c r="B80" s="128"/>
      <c r="C80" s="81">
        <f>SUM(C76:C79)</f>
        <v>0</v>
      </c>
      <c r="D80" s="81">
        <f>SUM(D76)</f>
        <v>0</v>
      </c>
      <c r="E80" s="109"/>
      <c r="F80" s="79"/>
    </row>
    <row r="81" ht="4.5" customHeight="1">
      <c r="A81" s="130"/>
      <c r="B81" s="131"/>
      <c r="C81" s="131"/>
      <c r="D81" s="132"/>
      <c r="E81" s="114"/>
      <c r="I81" s="114"/>
      <c r="M81" s="114"/>
      <c r="Q81" s="114"/>
      <c r="U81" s="114"/>
      <c r="Y81" s="114"/>
    </row>
    <row r="82" ht="30.0" customHeight="1">
      <c r="A82" s="118" t="s">
        <v>193</v>
      </c>
      <c r="B82" s="47"/>
      <c r="C82" s="119">
        <f>SUM(C30+C58+C74+C6)</f>
        <v>0</v>
      </c>
      <c r="D82" s="119">
        <f>SUM(D30+D58+D74+D80)</f>
        <v>0</v>
      </c>
      <c r="E82" s="109"/>
      <c r="F82" s="79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A32:A57"/>
    <mergeCell ref="A60:A73"/>
    <mergeCell ref="A74:B74"/>
    <mergeCell ref="A76:A79"/>
    <mergeCell ref="A80:B80"/>
    <mergeCell ref="A82:B82"/>
    <mergeCell ref="A75:G75"/>
    <mergeCell ref="A81:D81"/>
    <mergeCell ref="E81:H81"/>
    <mergeCell ref="I81:L81"/>
    <mergeCell ref="M81:P81"/>
    <mergeCell ref="Q81:T81"/>
    <mergeCell ref="U81:X81"/>
    <mergeCell ref="Y81:AA81"/>
    <mergeCell ref="D9:G14"/>
    <mergeCell ref="A15:G15"/>
    <mergeCell ref="A17:A29"/>
    <mergeCell ref="A30:B30"/>
    <mergeCell ref="A31:G31"/>
    <mergeCell ref="A58:B58"/>
    <mergeCell ref="A59:G59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9.14"/>
    <col customWidth="1" min="4" max="4" width="15.57"/>
    <col customWidth="1" min="5" max="5" width="36.14"/>
    <col customWidth="1" min="6" max="6" width="76.29"/>
    <col customWidth="1" min="7" max="7" width="11.86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33" t="s">
        <v>0</v>
      </c>
      <c r="B6" s="2"/>
      <c r="C6" s="3"/>
      <c r="D6" s="84" t="s">
        <v>1</v>
      </c>
      <c r="E6" s="5"/>
      <c r="F6" s="85" t="s">
        <v>486</v>
      </c>
      <c r="G6" s="7"/>
    </row>
    <row r="7" ht="19.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19.5" customHeight="1">
      <c r="A8" s="134" t="s">
        <v>5</v>
      </c>
      <c r="B8" s="135" t="s">
        <v>6</v>
      </c>
      <c r="C8" s="136" t="s">
        <v>7</v>
      </c>
      <c r="D8" s="86" t="s">
        <v>7</v>
      </c>
      <c r="E8" s="90"/>
      <c r="F8" s="158"/>
      <c r="G8" s="15"/>
    </row>
    <row r="9" ht="19.5" customHeight="1">
      <c r="A9" s="149" t="s">
        <v>9</v>
      </c>
      <c r="B9" s="31">
        <f>SUM(C30)</f>
        <v>0</v>
      </c>
      <c r="C9" s="32">
        <f t="shared" ref="C9:C14" si="1">SUM(B9)</f>
        <v>0</v>
      </c>
      <c r="D9" s="137" t="s">
        <v>10</v>
      </c>
      <c r="E9" s="98"/>
      <c r="F9" s="98"/>
      <c r="G9" s="100"/>
    </row>
    <row r="10" ht="19.5" customHeight="1">
      <c r="A10" s="149" t="s">
        <v>11</v>
      </c>
      <c r="B10" s="138">
        <f>SUM(D30)</f>
        <v>0</v>
      </c>
      <c r="C10" s="139">
        <f t="shared" si="1"/>
        <v>0</v>
      </c>
      <c r="D10" s="36"/>
      <c r="G10" s="37"/>
    </row>
    <row r="11" ht="19.5" customHeight="1">
      <c r="A11" s="149" t="s">
        <v>12</v>
      </c>
      <c r="B11" s="140"/>
      <c r="C11" s="95">
        <f t="shared" si="1"/>
        <v>0</v>
      </c>
      <c r="D11" s="36"/>
      <c r="G11" s="37"/>
    </row>
    <row r="12" ht="19.5" customHeight="1">
      <c r="A12" s="149" t="s">
        <v>13</v>
      </c>
      <c r="B12" s="138"/>
      <c r="C12" s="141">
        <f t="shared" si="1"/>
        <v>0</v>
      </c>
      <c r="D12" s="36"/>
      <c r="G12" s="37"/>
    </row>
    <row r="13" ht="19.5" customHeight="1">
      <c r="A13" s="149" t="s">
        <v>14</v>
      </c>
      <c r="B13" s="140">
        <f>SUM(C58)</f>
        <v>0</v>
      </c>
      <c r="C13" s="95">
        <f t="shared" si="1"/>
        <v>0</v>
      </c>
      <c r="D13" s="36"/>
      <c r="G13" s="37"/>
    </row>
    <row r="14" ht="19.5" customHeight="1">
      <c r="A14" s="149" t="s">
        <v>15</v>
      </c>
      <c r="B14" s="138">
        <f>SUM(D58)</f>
        <v>0</v>
      </c>
      <c r="C14" s="95">
        <f t="shared" si="1"/>
        <v>0</v>
      </c>
      <c r="D14" s="144"/>
      <c r="E14" s="116"/>
      <c r="F14" s="116"/>
      <c r="G14" s="117"/>
    </row>
    <row r="15" ht="4.5" customHeight="1">
      <c r="A15" s="145"/>
      <c r="B15" s="146"/>
      <c r="C15" s="146"/>
      <c r="D15" s="146"/>
      <c r="E15" s="146"/>
      <c r="F15" s="146"/>
      <c r="G15" s="147"/>
    </row>
    <row r="16" ht="24.75" customHeight="1">
      <c r="A16" s="148" t="s">
        <v>17</v>
      </c>
      <c r="B16" s="148" t="s">
        <v>18</v>
      </c>
      <c r="C16" s="148" t="s">
        <v>19</v>
      </c>
      <c r="D16" s="148" t="s">
        <v>20</v>
      </c>
      <c r="E16" s="159" t="s">
        <v>21</v>
      </c>
      <c r="F16" s="152" t="s">
        <v>22</v>
      </c>
      <c r="G16" s="152" t="s">
        <v>24</v>
      </c>
    </row>
    <row r="17" ht="19.5" customHeight="1">
      <c r="A17" s="75" t="s">
        <v>25</v>
      </c>
      <c r="B17" s="176"/>
      <c r="C17" s="77"/>
      <c r="D17" s="77"/>
      <c r="E17" s="61"/>
      <c r="F17" s="155"/>
      <c r="G17" s="156"/>
    </row>
    <row r="18" ht="19.5" customHeight="1">
      <c r="A18" s="60"/>
      <c r="B18" s="177"/>
      <c r="C18" s="62"/>
      <c r="D18" s="62"/>
      <c r="E18" s="61"/>
      <c r="F18" s="58"/>
      <c r="G18" s="59"/>
    </row>
    <row r="19" ht="19.5" customHeight="1">
      <c r="A19" s="60"/>
      <c r="B19" s="177"/>
      <c r="C19" s="62"/>
      <c r="D19" s="62"/>
      <c r="E19" s="61"/>
      <c r="F19" s="58"/>
      <c r="G19" s="59"/>
    </row>
    <row r="20" ht="19.5" customHeight="1">
      <c r="A20" s="60"/>
      <c r="B20" s="177"/>
      <c r="C20" s="62"/>
      <c r="D20" s="62"/>
      <c r="E20" s="61"/>
      <c r="F20" s="58"/>
      <c r="G20" s="59"/>
    </row>
    <row r="21" ht="19.5" customHeight="1">
      <c r="A21" s="60"/>
      <c r="B21" s="177"/>
      <c r="C21" s="62"/>
      <c r="D21" s="62"/>
      <c r="E21" s="61"/>
      <c r="F21" s="58"/>
      <c r="G21" s="59"/>
    </row>
    <row r="22" ht="19.5" customHeight="1">
      <c r="A22" s="60"/>
      <c r="B22" s="177"/>
      <c r="C22" s="62"/>
      <c r="D22" s="62"/>
      <c r="E22" s="61"/>
      <c r="F22" s="58"/>
      <c r="G22" s="59"/>
    </row>
    <row r="23" ht="19.5" customHeight="1">
      <c r="A23" s="60"/>
      <c r="B23" s="177"/>
      <c r="C23" s="62"/>
      <c r="D23" s="62"/>
      <c r="E23" s="61"/>
      <c r="F23" s="58"/>
      <c r="G23" s="59"/>
    </row>
    <row r="24" ht="19.5" customHeight="1">
      <c r="A24" s="60"/>
      <c r="B24" s="177"/>
      <c r="C24" s="62"/>
      <c r="D24" s="62"/>
      <c r="E24" s="122"/>
      <c r="F24" s="58"/>
      <c r="G24" s="59"/>
    </row>
    <row r="25" ht="19.5" customHeight="1">
      <c r="A25" s="60"/>
      <c r="B25" s="177"/>
      <c r="C25" s="62"/>
      <c r="D25" s="62"/>
      <c r="E25" s="122"/>
      <c r="F25" s="58"/>
      <c r="G25" s="59"/>
    </row>
    <row r="26" ht="19.5" customHeight="1">
      <c r="A26" s="60"/>
      <c r="B26" s="177"/>
      <c r="C26" s="62"/>
      <c r="D26" s="62"/>
      <c r="E26" s="122"/>
      <c r="F26" s="58"/>
      <c r="G26" s="59"/>
    </row>
    <row r="27" ht="19.5" customHeight="1">
      <c r="A27" s="60"/>
      <c r="B27" s="177"/>
      <c r="C27" s="62"/>
      <c r="D27" s="62"/>
      <c r="E27" s="122"/>
      <c r="F27" s="58"/>
      <c r="G27" s="59"/>
    </row>
    <row r="28" ht="19.5" customHeight="1">
      <c r="A28" s="60"/>
      <c r="B28" s="177"/>
      <c r="C28" s="62"/>
      <c r="D28" s="62"/>
      <c r="E28" s="122"/>
      <c r="F28" s="58"/>
      <c r="G28" s="59"/>
    </row>
    <row r="29" ht="19.5" customHeight="1">
      <c r="A29" s="67"/>
      <c r="B29" s="177"/>
      <c r="C29" s="62"/>
      <c r="D29" s="62"/>
      <c r="E29" s="122"/>
      <c r="F29" s="58"/>
      <c r="G29" s="59"/>
    </row>
    <row r="30" ht="30.0" customHeight="1">
      <c r="A30" s="68" t="s">
        <v>43</v>
      </c>
      <c r="B30" s="69"/>
      <c r="C30" s="80">
        <f t="shared" ref="C30:D30" si="2">SUM(C17:C29)</f>
        <v>0</v>
      </c>
      <c r="D30" s="80">
        <f t="shared" si="2"/>
        <v>0</v>
      </c>
      <c r="E30" s="71"/>
      <c r="F30" s="72"/>
    </row>
    <row r="31" ht="4.5" customHeight="1">
      <c r="A31" s="73"/>
      <c r="B31" s="74"/>
      <c r="C31" s="74"/>
      <c r="D31" s="74"/>
      <c r="E31" s="74"/>
      <c r="F31" s="74"/>
      <c r="G31" s="69"/>
    </row>
    <row r="32" ht="19.5" customHeight="1">
      <c r="A32" s="75" t="s">
        <v>53</v>
      </c>
      <c r="B32" s="165"/>
      <c r="C32" s="81"/>
      <c r="D32" s="77"/>
      <c r="E32" s="126"/>
      <c r="F32" s="61"/>
      <c r="G32" s="110"/>
    </row>
    <row r="33" ht="19.5" customHeight="1">
      <c r="A33" s="60"/>
      <c r="B33" s="165"/>
      <c r="C33" s="81"/>
      <c r="D33" s="62"/>
      <c r="E33" s="126"/>
      <c r="F33" s="61"/>
      <c r="G33" s="166"/>
    </row>
    <row r="34" ht="19.5" customHeight="1">
      <c r="A34" s="60"/>
      <c r="B34" s="165"/>
      <c r="C34" s="81"/>
      <c r="D34" s="62"/>
      <c r="E34" s="126"/>
      <c r="F34" s="61"/>
      <c r="G34" s="166"/>
    </row>
    <row r="35" ht="19.5" customHeight="1">
      <c r="A35" s="60"/>
      <c r="B35" s="165"/>
      <c r="C35" s="81"/>
      <c r="D35" s="62"/>
      <c r="E35" s="126"/>
      <c r="F35" s="61"/>
      <c r="G35" s="166"/>
    </row>
    <row r="36" ht="19.5" customHeight="1">
      <c r="A36" s="60"/>
      <c r="B36" s="165"/>
      <c r="C36" s="81"/>
      <c r="D36" s="62"/>
      <c r="E36" s="126"/>
      <c r="F36" s="61"/>
      <c r="G36" s="166"/>
    </row>
    <row r="37" ht="19.5" customHeight="1">
      <c r="A37" s="60"/>
      <c r="B37" s="165"/>
      <c r="C37" s="81"/>
      <c r="D37" s="62"/>
      <c r="E37" s="126"/>
      <c r="F37" s="61"/>
      <c r="G37" s="166"/>
    </row>
    <row r="38" ht="19.5" customHeight="1">
      <c r="A38" s="60"/>
      <c r="B38" s="165"/>
      <c r="C38" s="81"/>
      <c r="D38" s="62"/>
      <c r="E38" s="126"/>
      <c r="F38" s="61"/>
      <c r="G38" s="166"/>
    </row>
    <row r="39" ht="19.5" customHeight="1">
      <c r="A39" s="60"/>
      <c r="B39" s="165"/>
      <c r="C39" s="81"/>
      <c r="D39" s="62"/>
      <c r="E39" s="126"/>
      <c r="F39" s="61"/>
      <c r="G39" s="166"/>
    </row>
    <row r="40" ht="19.5" customHeight="1">
      <c r="A40" s="60"/>
      <c r="B40" s="165"/>
      <c r="C40" s="81"/>
      <c r="D40" s="62"/>
      <c r="E40" s="126"/>
      <c r="F40" s="61"/>
      <c r="G40" s="166"/>
    </row>
    <row r="41" ht="19.5" customHeight="1">
      <c r="A41" s="60"/>
      <c r="B41" s="165"/>
      <c r="C41" s="81"/>
      <c r="D41" s="62"/>
      <c r="E41" s="126"/>
      <c r="F41" s="61"/>
      <c r="G41" s="166"/>
    </row>
    <row r="42" ht="19.5" customHeight="1">
      <c r="A42" s="60"/>
      <c r="B42" s="165"/>
      <c r="C42" s="81"/>
      <c r="D42" s="62"/>
      <c r="E42" s="126"/>
      <c r="F42" s="61"/>
      <c r="G42" s="166"/>
    </row>
    <row r="43" ht="19.5" customHeight="1">
      <c r="A43" s="60"/>
      <c r="B43" s="165"/>
      <c r="C43" s="81"/>
      <c r="D43" s="62"/>
      <c r="E43" s="126"/>
      <c r="F43" s="61"/>
      <c r="G43" s="166"/>
    </row>
    <row r="44" ht="19.5" customHeight="1">
      <c r="A44" s="60"/>
      <c r="B44" s="165"/>
      <c r="C44" s="81"/>
      <c r="D44" s="62"/>
      <c r="E44" s="126"/>
      <c r="F44" s="61"/>
      <c r="G44" s="166"/>
    </row>
    <row r="45" ht="19.5" customHeight="1">
      <c r="A45" s="60"/>
      <c r="B45" s="165"/>
      <c r="C45" s="81"/>
      <c r="D45" s="62"/>
      <c r="E45" s="126"/>
      <c r="F45" s="61"/>
      <c r="G45" s="166"/>
    </row>
    <row r="46" ht="19.5" customHeight="1">
      <c r="A46" s="60"/>
      <c r="B46" s="165"/>
      <c r="C46" s="81"/>
      <c r="D46" s="62"/>
      <c r="E46" s="126"/>
      <c r="F46" s="61"/>
      <c r="G46" s="166"/>
    </row>
    <row r="47" ht="19.5" customHeight="1">
      <c r="A47" s="60"/>
      <c r="B47" s="165"/>
      <c r="C47" s="81"/>
      <c r="D47" s="62"/>
      <c r="E47" s="126"/>
      <c r="F47" s="61"/>
      <c r="G47" s="166"/>
    </row>
    <row r="48" ht="19.5" customHeight="1">
      <c r="A48" s="60"/>
      <c r="B48" s="165"/>
      <c r="C48" s="81"/>
      <c r="D48" s="62"/>
      <c r="E48" s="126"/>
      <c r="F48" s="61"/>
      <c r="G48" s="166"/>
    </row>
    <row r="49" ht="19.5" customHeight="1">
      <c r="A49" s="60"/>
      <c r="B49" s="165"/>
      <c r="C49" s="81"/>
      <c r="D49" s="62"/>
      <c r="E49" s="126"/>
      <c r="F49" s="61"/>
      <c r="G49" s="61"/>
    </row>
    <row r="50" ht="19.5" customHeight="1">
      <c r="A50" s="60"/>
      <c r="B50" s="165"/>
      <c r="C50" s="81"/>
      <c r="D50" s="62"/>
      <c r="E50" s="126"/>
      <c r="F50" s="61"/>
      <c r="G50" s="110"/>
    </row>
    <row r="51" ht="19.5" customHeight="1">
      <c r="A51" s="60"/>
      <c r="B51" s="165"/>
      <c r="C51" s="81"/>
      <c r="D51" s="62"/>
      <c r="E51" s="126"/>
      <c r="F51" s="61"/>
      <c r="G51" s="110"/>
    </row>
    <row r="52" ht="19.5" customHeight="1">
      <c r="A52" s="60"/>
      <c r="B52" s="165"/>
      <c r="C52" s="81"/>
      <c r="D52" s="62"/>
      <c r="E52" s="126"/>
      <c r="F52" s="61"/>
      <c r="G52" s="110"/>
    </row>
    <row r="53" ht="19.5" customHeight="1">
      <c r="A53" s="60"/>
      <c r="B53" s="165"/>
      <c r="C53" s="81"/>
      <c r="D53" s="62"/>
      <c r="E53" s="126"/>
      <c r="F53" s="61"/>
      <c r="G53" s="110"/>
    </row>
    <row r="54" ht="19.5" customHeight="1">
      <c r="A54" s="60"/>
      <c r="B54" s="165"/>
      <c r="C54" s="81"/>
      <c r="D54" s="62"/>
      <c r="E54" s="126"/>
      <c r="F54" s="61"/>
      <c r="G54" s="110"/>
    </row>
    <row r="55" ht="19.5" customHeight="1">
      <c r="A55" s="60"/>
      <c r="B55" s="165"/>
      <c r="C55" s="81"/>
      <c r="D55" s="62"/>
      <c r="E55" s="126"/>
      <c r="F55" s="61"/>
      <c r="G55" s="110"/>
    </row>
    <row r="56" ht="19.5" customHeight="1">
      <c r="A56" s="60"/>
      <c r="B56" s="165"/>
      <c r="C56" s="81"/>
      <c r="D56" s="62"/>
      <c r="E56" s="126"/>
      <c r="F56" s="61"/>
      <c r="G56" s="110"/>
    </row>
    <row r="57" ht="19.5" customHeight="1">
      <c r="A57" s="60"/>
      <c r="B57" s="165"/>
      <c r="C57" s="81"/>
      <c r="D57" s="62"/>
      <c r="E57" s="126"/>
      <c r="F57" s="61"/>
      <c r="G57" s="110"/>
    </row>
    <row r="58" ht="29.25" customHeight="1">
      <c r="A58" s="68" t="s">
        <v>43</v>
      </c>
      <c r="B58" s="69"/>
      <c r="C58" s="80">
        <f t="shared" ref="C58:D58" si="3">SUM(C32:C57)</f>
        <v>0</v>
      </c>
      <c r="D58" s="80">
        <f t="shared" si="3"/>
        <v>0</v>
      </c>
      <c r="E58" s="71"/>
      <c r="F58" s="72"/>
    </row>
    <row r="59" ht="4.5" customHeight="1">
      <c r="A59" s="73"/>
      <c r="B59" s="74"/>
      <c r="C59" s="74"/>
      <c r="D59" s="74"/>
      <c r="E59" s="74"/>
      <c r="F59" s="74"/>
      <c r="G59" s="69"/>
    </row>
    <row r="60" ht="19.5" customHeight="1">
      <c r="A60" s="75" t="s">
        <v>108</v>
      </c>
      <c r="B60" s="165"/>
      <c r="C60" s="81"/>
      <c r="D60" s="77"/>
      <c r="E60" s="126"/>
      <c r="F60" s="61"/>
      <c r="G60" s="110"/>
    </row>
    <row r="61" ht="19.5" customHeight="1">
      <c r="A61" s="60"/>
      <c r="B61" s="165"/>
      <c r="C61" s="81"/>
      <c r="D61" s="62"/>
      <c r="E61" s="126"/>
      <c r="F61" s="61"/>
      <c r="G61" s="110"/>
    </row>
    <row r="62" ht="19.5" customHeight="1">
      <c r="A62" s="60"/>
      <c r="B62" s="165"/>
      <c r="C62" s="81"/>
      <c r="D62" s="62"/>
      <c r="E62" s="126"/>
      <c r="F62" s="61"/>
      <c r="G62" s="110"/>
    </row>
    <row r="63" ht="19.5" customHeight="1">
      <c r="A63" s="60"/>
      <c r="B63" s="165"/>
      <c r="C63" s="81"/>
      <c r="D63" s="62"/>
      <c r="E63" s="126"/>
      <c r="F63" s="61"/>
      <c r="G63" s="110"/>
    </row>
    <row r="64" ht="19.5" customHeight="1">
      <c r="A64" s="60"/>
      <c r="B64" s="165"/>
      <c r="C64" s="81"/>
      <c r="D64" s="62"/>
      <c r="E64" s="126"/>
      <c r="F64" s="61"/>
      <c r="G64" s="110"/>
    </row>
    <row r="65" ht="19.5" customHeight="1">
      <c r="A65" s="60"/>
      <c r="B65" s="165"/>
      <c r="C65" s="81"/>
      <c r="D65" s="62"/>
      <c r="E65" s="126"/>
      <c r="F65" s="61"/>
      <c r="G65" s="110"/>
    </row>
    <row r="66" ht="19.5" customHeight="1">
      <c r="A66" s="60"/>
      <c r="B66" s="165"/>
      <c r="C66" s="81"/>
      <c r="D66" s="62"/>
      <c r="E66" s="126"/>
      <c r="F66" s="61"/>
      <c r="G66" s="110"/>
    </row>
    <row r="67" ht="19.5" customHeight="1">
      <c r="A67" s="60"/>
      <c r="B67" s="165"/>
      <c r="C67" s="81"/>
      <c r="D67" s="62"/>
      <c r="E67" s="126"/>
      <c r="F67" s="61"/>
      <c r="G67" s="110"/>
    </row>
    <row r="68" ht="19.5" customHeight="1">
      <c r="A68" s="60"/>
      <c r="B68" s="165"/>
      <c r="C68" s="81"/>
      <c r="D68" s="62"/>
      <c r="E68" s="126"/>
      <c r="F68" s="61"/>
      <c r="G68" s="110"/>
    </row>
    <row r="69" ht="19.5" customHeight="1">
      <c r="A69" s="60"/>
      <c r="B69" s="165"/>
      <c r="C69" s="81"/>
      <c r="D69" s="62"/>
      <c r="E69" s="126"/>
      <c r="F69" s="61"/>
      <c r="G69" s="110"/>
    </row>
    <row r="70" ht="19.5" customHeight="1">
      <c r="A70" s="60"/>
      <c r="B70" s="165"/>
      <c r="C70" s="81"/>
      <c r="D70" s="62"/>
      <c r="E70" s="126"/>
      <c r="F70" s="61"/>
      <c r="G70" s="110"/>
    </row>
    <row r="71" ht="19.5" customHeight="1">
      <c r="A71" s="60"/>
      <c r="B71" s="165"/>
      <c r="C71" s="81"/>
      <c r="D71" s="62"/>
      <c r="E71" s="126"/>
      <c r="F71" s="61"/>
      <c r="G71" s="110"/>
    </row>
    <row r="72" ht="19.5" customHeight="1">
      <c r="A72" s="60"/>
      <c r="B72" s="165"/>
      <c r="C72" s="81"/>
      <c r="D72" s="62"/>
      <c r="E72" s="126"/>
      <c r="F72" s="61"/>
      <c r="G72" s="110"/>
    </row>
    <row r="73" ht="19.5" customHeight="1">
      <c r="A73" s="60"/>
      <c r="B73" s="165"/>
      <c r="C73" s="81"/>
      <c r="D73" s="62"/>
      <c r="E73" s="126"/>
      <c r="F73" s="61"/>
      <c r="G73" s="104"/>
    </row>
    <row r="74" ht="30.0" customHeight="1">
      <c r="A74" s="68" t="s">
        <v>43</v>
      </c>
      <c r="B74" s="69"/>
      <c r="C74" s="80">
        <f t="shared" ref="C74:D74" si="4">SUM(C60:C73)</f>
        <v>0</v>
      </c>
      <c r="D74" s="80">
        <f t="shared" si="4"/>
        <v>0</v>
      </c>
      <c r="E74" s="71"/>
      <c r="F74" s="72"/>
    </row>
    <row r="75" ht="4.5" customHeight="1">
      <c r="A75" s="89"/>
      <c r="B75" s="91"/>
      <c r="C75" s="91"/>
      <c r="D75" s="91"/>
      <c r="E75" s="91"/>
      <c r="F75" s="91"/>
      <c r="G75" s="92"/>
    </row>
    <row r="76" ht="19.5" customHeight="1">
      <c r="A76" s="93" t="s">
        <v>16</v>
      </c>
      <c r="B76" s="165"/>
      <c r="C76" s="81"/>
      <c r="D76" s="81"/>
      <c r="E76" s="126"/>
      <c r="F76" s="61"/>
      <c r="G76" s="61"/>
    </row>
    <row r="77" ht="19.5" customHeight="1">
      <c r="A77" s="94"/>
      <c r="B77" s="165"/>
      <c r="C77" s="81"/>
      <c r="D77" s="81"/>
      <c r="E77" s="126"/>
      <c r="F77" s="61"/>
      <c r="G77" s="61"/>
    </row>
    <row r="78" ht="19.5" customHeight="1">
      <c r="A78" s="94"/>
      <c r="B78" s="165"/>
      <c r="C78" s="81"/>
      <c r="D78" s="81"/>
      <c r="E78" s="126"/>
      <c r="F78" s="61"/>
      <c r="G78" s="61"/>
    </row>
    <row r="79" ht="19.5" customHeight="1">
      <c r="A79" s="94"/>
      <c r="B79" s="178"/>
      <c r="C79" s="103"/>
      <c r="D79" s="103"/>
      <c r="E79" s="126"/>
      <c r="F79" s="61"/>
      <c r="G79" s="61"/>
    </row>
    <row r="80" ht="30.0" customHeight="1">
      <c r="A80" s="127" t="s">
        <v>43</v>
      </c>
      <c r="B80" s="128"/>
      <c r="C80" s="81">
        <f>SUM(C76:C79)</f>
        <v>0</v>
      </c>
      <c r="D80" s="81">
        <f>SUM(D76)</f>
        <v>0</v>
      </c>
      <c r="E80" s="109"/>
      <c r="F80" s="79"/>
    </row>
    <row r="81" ht="4.5" customHeight="1">
      <c r="A81" s="130"/>
      <c r="B81" s="131"/>
      <c r="C81" s="131"/>
      <c r="D81" s="132"/>
      <c r="E81" s="114"/>
      <c r="I81" s="114"/>
      <c r="M81" s="114"/>
      <c r="Q81" s="114"/>
      <c r="U81" s="114"/>
      <c r="Y81" s="114"/>
    </row>
    <row r="82" ht="30.0" customHeight="1">
      <c r="A82" s="118" t="s">
        <v>193</v>
      </c>
      <c r="B82" s="47"/>
      <c r="C82" s="119">
        <f>SUM(C30+C58+C74+C6)</f>
        <v>0</v>
      </c>
      <c r="D82" s="119">
        <f>SUM(D30+D58+D74+D80)</f>
        <v>0</v>
      </c>
      <c r="E82" s="109"/>
      <c r="F82" s="79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A32:A57"/>
    <mergeCell ref="A60:A73"/>
    <mergeCell ref="A74:B74"/>
    <mergeCell ref="A76:A79"/>
    <mergeCell ref="A80:B80"/>
    <mergeCell ref="A82:B82"/>
    <mergeCell ref="A75:G75"/>
    <mergeCell ref="A81:D81"/>
    <mergeCell ref="E81:H81"/>
    <mergeCell ref="I81:L81"/>
    <mergeCell ref="M81:P81"/>
    <mergeCell ref="Q81:T81"/>
    <mergeCell ref="U81:X81"/>
    <mergeCell ref="Y81:AA81"/>
    <mergeCell ref="D9:G14"/>
    <mergeCell ref="A15:G15"/>
    <mergeCell ref="A17:A29"/>
    <mergeCell ref="A30:B30"/>
    <mergeCell ref="A31:G31"/>
    <mergeCell ref="A58:B58"/>
    <mergeCell ref="A59:G59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9.14"/>
    <col customWidth="1" min="4" max="4" width="15.57"/>
    <col customWidth="1" min="5" max="5" width="36.14"/>
    <col customWidth="1" min="6" max="6" width="76.29"/>
    <col customWidth="1" min="7" max="7" width="11.86"/>
    <col customWidth="1" min="8" max="27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33" t="s">
        <v>0</v>
      </c>
      <c r="B6" s="2"/>
      <c r="C6" s="3"/>
      <c r="D6" s="84" t="s">
        <v>1</v>
      </c>
      <c r="E6" s="5"/>
      <c r="F6" s="85" t="s">
        <v>487</v>
      </c>
      <c r="G6" s="7"/>
    </row>
    <row r="7" ht="19.5" customHeight="1">
      <c r="A7" s="8"/>
      <c r="B7" s="9"/>
      <c r="C7" s="11"/>
      <c r="D7" s="86" t="s">
        <v>4</v>
      </c>
      <c r="E7" s="13"/>
      <c r="F7" s="87">
        <v>2026.0</v>
      </c>
      <c r="G7" s="15"/>
    </row>
    <row r="8" ht="19.5" customHeight="1">
      <c r="A8" s="134" t="s">
        <v>5</v>
      </c>
      <c r="B8" s="135" t="s">
        <v>6</v>
      </c>
      <c r="C8" s="136" t="s">
        <v>7</v>
      </c>
      <c r="D8" s="86" t="s">
        <v>7</v>
      </c>
      <c r="E8" s="90"/>
      <c r="F8" s="158"/>
      <c r="G8" s="15"/>
    </row>
    <row r="9" ht="19.5" customHeight="1">
      <c r="A9" s="149" t="s">
        <v>9</v>
      </c>
      <c r="B9" s="31">
        <f>SUM(C30)</f>
        <v>0</v>
      </c>
      <c r="C9" s="32">
        <f t="shared" ref="C9:C14" si="1">SUM(B9)</f>
        <v>0</v>
      </c>
      <c r="D9" s="137" t="s">
        <v>10</v>
      </c>
      <c r="E9" s="98"/>
      <c r="F9" s="98"/>
      <c r="G9" s="100"/>
    </row>
    <row r="10" ht="19.5" customHeight="1">
      <c r="A10" s="149" t="s">
        <v>11</v>
      </c>
      <c r="B10" s="138">
        <f>SUM(D30)</f>
        <v>0</v>
      </c>
      <c r="C10" s="139">
        <f t="shared" si="1"/>
        <v>0</v>
      </c>
      <c r="D10" s="36"/>
      <c r="G10" s="37"/>
    </row>
    <row r="11" ht="19.5" customHeight="1">
      <c r="A11" s="149" t="s">
        <v>12</v>
      </c>
      <c r="B11" s="140"/>
      <c r="C11" s="95">
        <f t="shared" si="1"/>
        <v>0</v>
      </c>
      <c r="D11" s="36"/>
      <c r="G11" s="37"/>
    </row>
    <row r="12" ht="19.5" customHeight="1">
      <c r="A12" s="149" t="s">
        <v>13</v>
      </c>
      <c r="B12" s="138"/>
      <c r="C12" s="141">
        <f t="shared" si="1"/>
        <v>0</v>
      </c>
      <c r="D12" s="36"/>
      <c r="G12" s="37"/>
    </row>
    <row r="13" ht="19.5" customHeight="1">
      <c r="A13" s="149" t="s">
        <v>14</v>
      </c>
      <c r="B13" s="140">
        <f>SUM(C58)</f>
        <v>0</v>
      </c>
      <c r="C13" s="95">
        <f t="shared" si="1"/>
        <v>0</v>
      </c>
      <c r="D13" s="36"/>
      <c r="G13" s="37"/>
    </row>
    <row r="14" ht="19.5" customHeight="1">
      <c r="A14" s="149" t="s">
        <v>15</v>
      </c>
      <c r="B14" s="138">
        <f>SUM(D58)</f>
        <v>0</v>
      </c>
      <c r="C14" s="95">
        <f t="shared" si="1"/>
        <v>0</v>
      </c>
      <c r="D14" s="144"/>
      <c r="E14" s="116"/>
      <c r="F14" s="116"/>
      <c r="G14" s="117"/>
    </row>
    <row r="15" ht="4.5" customHeight="1">
      <c r="A15" s="145"/>
      <c r="B15" s="146"/>
      <c r="C15" s="146"/>
      <c r="D15" s="146"/>
      <c r="E15" s="146"/>
      <c r="F15" s="146"/>
      <c r="G15" s="147"/>
    </row>
    <row r="16" ht="24.75" customHeight="1">
      <c r="A16" s="148" t="s">
        <v>17</v>
      </c>
      <c r="B16" s="148" t="s">
        <v>18</v>
      </c>
      <c r="C16" s="148" t="s">
        <v>19</v>
      </c>
      <c r="D16" s="148" t="s">
        <v>20</v>
      </c>
      <c r="E16" s="159" t="s">
        <v>21</v>
      </c>
      <c r="F16" s="152" t="s">
        <v>22</v>
      </c>
      <c r="G16" s="152" t="s">
        <v>24</v>
      </c>
    </row>
    <row r="17" ht="19.5" customHeight="1">
      <c r="A17" s="75" t="s">
        <v>25</v>
      </c>
      <c r="B17" s="176"/>
      <c r="C17" s="77"/>
      <c r="D17" s="77"/>
      <c r="E17" s="61"/>
      <c r="F17" s="155"/>
      <c r="G17" s="156"/>
    </row>
    <row r="18" ht="19.5" customHeight="1">
      <c r="A18" s="60"/>
      <c r="B18" s="177"/>
      <c r="C18" s="62"/>
      <c r="D18" s="62"/>
      <c r="E18" s="61"/>
      <c r="F18" s="58"/>
      <c r="G18" s="59"/>
    </row>
    <row r="19" ht="19.5" customHeight="1">
      <c r="A19" s="60"/>
      <c r="B19" s="177"/>
      <c r="C19" s="62"/>
      <c r="D19" s="62"/>
      <c r="E19" s="61"/>
      <c r="F19" s="58"/>
      <c r="G19" s="59"/>
    </row>
    <row r="20" ht="19.5" customHeight="1">
      <c r="A20" s="60"/>
      <c r="B20" s="177"/>
      <c r="C20" s="62"/>
      <c r="D20" s="62"/>
      <c r="E20" s="61"/>
      <c r="F20" s="58"/>
      <c r="G20" s="59"/>
    </row>
    <row r="21" ht="19.5" customHeight="1">
      <c r="A21" s="60"/>
      <c r="B21" s="177"/>
      <c r="C21" s="62"/>
      <c r="D21" s="62"/>
      <c r="E21" s="61"/>
      <c r="F21" s="58"/>
      <c r="G21" s="59"/>
    </row>
    <row r="22" ht="19.5" customHeight="1">
      <c r="A22" s="60"/>
      <c r="B22" s="177"/>
      <c r="C22" s="62"/>
      <c r="D22" s="62"/>
      <c r="E22" s="61"/>
      <c r="F22" s="58"/>
      <c r="G22" s="59"/>
    </row>
    <row r="23" ht="19.5" customHeight="1">
      <c r="A23" s="60"/>
      <c r="B23" s="177"/>
      <c r="C23" s="62"/>
      <c r="D23" s="62"/>
      <c r="E23" s="61"/>
      <c r="F23" s="58"/>
      <c r="G23" s="59"/>
    </row>
    <row r="24" ht="19.5" customHeight="1">
      <c r="A24" s="60"/>
      <c r="B24" s="177"/>
      <c r="C24" s="62"/>
      <c r="D24" s="62"/>
      <c r="E24" s="122"/>
      <c r="F24" s="58"/>
      <c r="G24" s="59"/>
    </row>
    <row r="25" ht="19.5" customHeight="1">
      <c r="A25" s="60"/>
      <c r="B25" s="177"/>
      <c r="C25" s="62"/>
      <c r="D25" s="62"/>
      <c r="E25" s="122"/>
      <c r="F25" s="58"/>
      <c r="G25" s="59"/>
    </row>
    <row r="26" ht="19.5" customHeight="1">
      <c r="A26" s="60"/>
      <c r="B26" s="177"/>
      <c r="C26" s="62"/>
      <c r="D26" s="62"/>
      <c r="E26" s="122"/>
      <c r="F26" s="58"/>
      <c r="G26" s="59"/>
    </row>
    <row r="27" ht="19.5" customHeight="1">
      <c r="A27" s="60"/>
      <c r="B27" s="177"/>
      <c r="C27" s="62"/>
      <c r="D27" s="62"/>
      <c r="E27" s="122"/>
      <c r="F27" s="58"/>
      <c r="G27" s="59"/>
    </row>
    <row r="28" ht="19.5" customHeight="1">
      <c r="A28" s="60"/>
      <c r="B28" s="177"/>
      <c r="C28" s="62"/>
      <c r="D28" s="62"/>
      <c r="E28" s="122"/>
      <c r="F28" s="58"/>
      <c r="G28" s="59"/>
    </row>
    <row r="29" ht="19.5" customHeight="1">
      <c r="A29" s="67"/>
      <c r="B29" s="177"/>
      <c r="C29" s="62"/>
      <c r="D29" s="62"/>
      <c r="E29" s="122"/>
      <c r="F29" s="58"/>
      <c r="G29" s="59"/>
    </row>
    <row r="30" ht="30.0" customHeight="1">
      <c r="A30" s="68" t="s">
        <v>43</v>
      </c>
      <c r="B30" s="69"/>
      <c r="C30" s="80">
        <f t="shared" ref="C30:D30" si="2">SUM(C17:C29)</f>
        <v>0</v>
      </c>
      <c r="D30" s="80">
        <f t="shared" si="2"/>
        <v>0</v>
      </c>
      <c r="E30" s="71"/>
      <c r="F30" s="72"/>
    </row>
    <row r="31" ht="4.5" customHeight="1">
      <c r="A31" s="73"/>
      <c r="B31" s="74"/>
      <c r="C31" s="74"/>
      <c r="D31" s="74"/>
      <c r="E31" s="74"/>
      <c r="F31" s="74"/>
      <c r="G31" s="69"/>
    </row>
    <row r="32" ht="19.5" customHeight="1">
      <c r="A32" s="75" t="s">
        <v>53</v>
      </c>
      <c r="B32" s="165"/>
      <c r="C32" s="81"/>
      <c r="D32" s="77"/>
      <c r="E32" s="126"/>
      <c r="F32" s="61"/>
      <c r="G32" s="110"/>
    </row>
    <row r="33" ht="19.5" customHeight="1">
      <c r="A33" s="60"/>
      <c r="B33" s="165"/>
      <c r="C33" s="81"/>
      <c r="D33" s="62"/>
      <c r="E33" s="126"/>
      <c r="F33" s="61"/>
      <c r="G33" s="166"/>
    </row>
    <row r="34" ht="19.5" customHeight="1">
      <c r="A34" s="60"/>
      <c r="B34" s="165"/>
      <c r="C34" s="81"/>
      <c r="D34" s="62"/>
      <c r="E34" s="126"/>
      <c r="F34" s="61"/>
      <c r="G34" s="166"/>
    </row>
    <row r="35" ht="19.5" customHeight="1">
      <c r="A35" s="60"/>
      <c r="B35" s="165"/>
      <c r="C35" s="81"/>
      <c r="D35" s="62"/>
      <c r="E35" s="126"/>
      <c r="F35" s="61"/>
      <c r="G35" s="166"/>
    </row>
    <row r="36" ht="19.5" customHeight="1">
      <c r="A36" s="60"/>
      <c r="B36" s="165"/>
      <c r="C36" s="81"/>
      <c r="D36" s="62"/>
      <c r="E36" s="126"/>
      <c r="F36" s="61"/>
      <c r="G36" s="166"/>
    </row>
    <row r="37" ht="19.5" customHeight="1">
      <c r="A37" s="60"/>
      <c r="B37" s="165"/>
      <c r="C37" s="81"/>
      <c r="D37" s="62"/>
      <c r="E37" s="126"/>
      <c r="F37" s="61"/>
      <c r="G37" s="166"/>
    </row>
    <row r="38" ht="19.5" customHeight="1">
      <c r="A38" s="60"/>
      <c r="B38" s="165"/>
      <c r="C38" s="81"/>
      <c r="D38" s="62"/>
      <c r="E38" s="126"/>
      <c r="F38" s="61"/>
      <c r="G38" s="166"/>
    </row>
    <row r="39" ht="19.5" customHeight="1">
      <c r="A39" s="60"/>
      <c r="B39" s="165"/>
      <c r="C39" s="81"/>
      <c r="D39" s="62"/>
      <c r="E39" s="126"/>
      <c r="F39" s="61"/>
      <c r="G39" s="166"/>
    </row>
    <row r="40" ht="19.5" customHeight="1">
      <c r="A40" s="60"/>
      <c r="B40" s="165"/>
      <c r="C40" s="81"/>
      <c r="D40" s="62"/>
      <c r="E40" s="126"/>
      <c r="F40" s="61"/>
      <c r="G40" s="166"/>
    </row>
    <row r="41" ht="19.5" customHeight="1">
      <c r="A41" s="60"/>
      <c r="B41" s="165"/>
      <c r="C41" s="81"/>
      <c r="D41" s="62"/>
      <c r="E41" s="126"/>
      <c r="F41" s="61"/>
      <c r="G41" s="166"/>
    </row>
    <row r="42" ht="19.5" customHeight="1">
      <c r="A42" s="60"/>
      <c r="B42" s="165"/>
      <c r="C42" s="81"/>
      <c r="D42" s="62"/>
      <c r="E42" s="126"/>
      <c r="F42" s="61"/>
      <c r="G42" s="166"/>
    </row>
    <row r="43" ht="19.5" customHeight="1">
      <c r="A43" s="60"/>
      <c r="B43" s="165"/>
      <c r="C43" s="81"/>
      <c r="D43" s="62"/>
      <c r="E43" s="126"/>
      <c r="F43" s="61"/>
      <c r="G43" s="166"/>
    </row>
    <row r="44" ht="19.5" customHeight="1">
      <c r="A44" s="60"/>
      <c r="B44" s="165"/>
      <c r="C44" s="81"/>
      <c r="D44" s="62"/>
      <c r="E44" s="126"/>
      <c r="F44" s="61"/>
      <c r="G44" s="166"/>
    </row>
    <row r="45" ht="19.5" customHeight="1">
      <c r="A45" s="60"/>
      <c r="B45" s="165"/>
      <c r="C45" s="81"/>
      <c r="D45" s="62"/>
      <c r="E45" s="126"/>
      <c r="F45" s="61"/>
      <c r="G45" s="166"/>
    </row>
    <row r="46" ht="19.5" customHeight="1">
      <c r="A46" s="60"/>
      <c r="B46" s="165"/>
      <c r="C46" s="81"/>
      <c r="D46" s="62"/>
      <c r="E46" s="126"/>
      <c r="F46" s="61"/>
      <c r="G46" s="166"/>
    </row>
    <row r="47" ht="19.5" customHeight="1">
      <c r="A47" s="60"/>
      <c r="B47" s="165"/>
      <c r="C47" s="81"/>
      <c r="D47" s="62"/>
      <c r="E47" s="126"/>
      <c r="F47" s="61"/>
      <c r="G47" s="166"/>
    </row>
    <row r="48" ht="19.5" customHeight="1">
      <c r="A48" s="60"/>
      <c r="B48" s="165"/>
      <c r="C48" s="81"/>
      <c r="D48" s="62"/>
      <c r="E48" s="126"/>
      <c r="F48" s="61"/>
      <c r="G48" s="166"/>
    </row>
    <row r="49" ht="19.5" customHeight="1">
      <c r="A49" s="60"/>
      <c r="B49" s="165"/>
      <c r="C49" s="81"/>
      <c r="D49" s="62"/>
      <c r="E49" s="126"/>
      <c r="F49" s="61"/>
      <c r="G49" s="61"/>
    </row>
    <row r="50" ht="19.5" customHeight="1">
      <c r="A50" s="60"/>
      <c r="B50" s="165"/>
      <c r="C50" s="81"/>
      <c r="D50" s="62"/>
      <c r="E50" s="126"/>
      <c r="F50" s="61"/>
      <c r="G50" s="110"/>
    </row>
    <row r="51" ht="19.5" customHeight="1">
      <c r="A51" s="60"/>
      <c r="B51" s="165"/>
      <c r="C51" s="81"/>
      <c r="D51" s="62"/>
      <c r="E51" s="126"/>
      <c r="F51" s="61"/>
      <c r="G51" s="110"/>
    </row>
    <row r="52" ht="19.5" customHeight="1">
      <c r="A52" s="60"/>
      <c r="B52" s="165"/>
      <c r="C52" s="81"/>
      <c r="D52" s="62"/>
      <c r="E52" s="126"/>
      <c r="F52" s="61"/>
      <c r="G52" s="110"/>
    </row>
    <row r="53" ht="19.5" customHeight="1">
      <c r="A53" s="60"/>
      <c r="B53" s="165"/>
      <c r="C53" s="81"/>
      <c r="D53" s="62"/>
      <c r="E53" s="126"/>
      <c r="F53" s="61"/>
      <c r="G53" s="110"/>
    </row>
    <row r="54" ht="19.5" customHeight="1">
      <c r="A54" s="60"/>
      <c r="B54" s="165"/>
      <c r="C54" s="81"/>
      <c r="D54" s="62"/>
      <c r="E54" s="126"/>
      <c r="F54" s="61"/>
      <c r="G54" s="110"/>
    </row>
    <row r="55" ht="19.5" customHeight="1">
      <c r="A55" s="60"/>
      <c r="B55" s="165"/>
      <c r="C55" s="81"/>
      <c r="D55" s="62"/>
      <c r="E55" s="126"/>
      <c r="F55" s="61"/>
      <c r="G55" s="110"/>
    </row>
    <row r="56" ht="19.5" customHeight="1">
      <c r="A56" s="60"/>
      <c r="B56" s="165"/>
      <c r="C56" s="81"/>
      <c r="D56" s="62"/>
      <c r="E56" s="126"/>
      <c r="F56" s="61"/>
      <c r="G56" s="110"/>
    </row>
    <row r="57" ht="19.5" customHeight="1">
      <c r="A57" s="60"/>
      <c r="B57" s="165"/>
      <c r="C57" s="81"/>
      <c r="D57" s="62"/>
      <c r="E57" s="126"/>
      <c r="F57" s="61"/>
      <c r="G57" s="110"/>
    </row>
    <row r="58" ht="29.25" customHeight="1">
      <c r="A58" s="68" t="s">
        <v>43</v>
      </c>
      <c r="B58" s="69"/>
      <c r="C58" s="80">
        <f t="shared" ref="C58:D58" si="3">SUM(C32:C57)</f>
        <v>0</v>
      </c>
      <c r="D58" s="80">
        <f t="shared" si="3"/>
        <v>0</v>
      </c>
      <c r="E58" s="71"/>
      <c r="F58" s="72"/>
    </row>
    <row r="59" ht="4.5" customHeight="1">
      <c r="A59" s="73"/>
      <c r="B59" s="74"/>
      <c r="C59" s="74"/>
      <c r="D59" s="74"/>
      <c r="E59" s="74"/>
      <c r="F59" s="74"/>
      <c r="G59" s="69"/>
    </row>
    <row r="60" ht="19.5" customHeight="1">
      <c r="A60" s="75" t="s">
        <v>108</v>
      </c>
      <c r="B60" s="165"/>
      <c r="C60" s="81"/>
      <c r="D60" s="77"/>
      <c r="E60" s="126"/>
      <c r="F60" s="61"/>
      <c r="G60" s="110"/>
    </row>
    <row r="61" ht="19.5" customHeight="1">
      <c r="A61" s="60"/>
      <c r="B61" s="165"/>
      <c r="C61" s="81"/>
      <c r="D61" s="62"/>
      <c r="E61" s="126"/>
      <c r="F61" s="61"/>
      <c r="G61" s="110"/>
    </row>
    <row r="62" ht="19.5" customHeight="1">
      <c r="A62" s="60"/>
      <c r="B62" s="165"/>
      <c r="C62" s="81"/>
      <c r="D62" s="62"/>
      <c r="E62" s="126"/>
      <c r="F62" s="61"/>
      <c r="G62" s="110"/>
    </row>
    <row r="63" ht="19.5" customHeight="1">
      <c r="A63" s="60"/>
      <c r="B63" s="165"/>
      <c r="C63" s="81"/>
      <c r="D63" s="62"/>
      <c r="E63" s="126"/>
      <c r="F63" s="61"/>
      <c r="G63" s="110"/>
    </row>
    <row r="64" ht="19.5" customHeight="1">
      <c r="A64" s="60"/>
      <c r="B64" s="165"/>
      <c r="C64" s="81"/>
      <c r="D64" s="62"/>
      <c r="E64" s="126"/>
      <c r="F64" s="61"/>
      <c r="G64" s="110"/>
    </row>
    <row r="65" ht="19.5" customHeight="1">
      <c r="A65" s="60"/>
      <c r="B65" s="165"/>
      <c r="C65" s="81"/>
      <c r="D65" s="62"/>
      <c r="E65" s="126"/>
      <c r="F65" s="61"/>
      <c r="G65" s="110"/>
    </row>
    <row r="66" ht="19.5" customHeight="1">
      <c r="A66" s="60"/>
      <c r="B66" s="165"/>
      <c r="C66" s="81"/>
      <c r="D66" s="62"/>
      <c r="E66" s="126"/>
      <c r="F66" s="61"/>
      <c r="G66" s="110"/>
    </row>
    <row r="67" ht="19.5" customHeight="1">
      <c r="A67" s="60"/>
      <c r="B67" s="165"/>
      <c r="C67" s="81"/>
      <c r="D67" s="62"/>
      <c r="E67" s="126"/>
      <c r="F67" s="61"/>
      <c r="G67" s="110"/>
    </row>
    <row r="68" ht="19.5" customHeight="1">
      <c r="A68" s="60"/>
      <c r="B68" s="165"/>
      <c r="C68" s="81"/>
      <c r="D68" s="62"/>
      <c r="E68" s="126"/>
      <c r="F68" s="61"/>
      <c r="G68" s="110"/>
    </row>
    <row r="69" ht="19.5" customHeight="1">
      <c r="A69" s="60"/>
      <c r="B69" s="165"/>
      <c r="C69" s="81"/>
      <c r="D69" s="62"/>
      <c r="E69" s="126"/>
      <c r="F69" s="61"/>
      <c r="G69" s="110"/>
    </row>
    <row r="70" ht="19.5" customHeight="1">
      <c r="A70" s="60"/>
      <c r="B70" s="165"/>
      <c r="C70" s="81"/>
      <c r="D70" s="62"/>
      <c r="E70" s="126"/>
      <c r="F70" s="61"/>
      <c r="G70" s="110"/>
    </row>
    <row r="71" ht="19.5" customHeight="1">
      <c r="A71" s="60"/>
      <c r="B71" s="165"/>
      <c r="C71" s="81"/>
      <c r="D71" s="62"/>
      <c r="E71" s="126"/>
      <c r="F71" s="61"/>
      <c r="G71" s="110"/>
    </row>
    <row r="72" ht="19.5" customHeight="1">
      <c r="A72" s="60"/>
      <c r="B72" s="165"/>
      <c r="C72" s="81"/>
      <c r="D72" s="62"/>
      <c r="E72" s="126"/>
      <c r="F72" s="61"/>
      <c r="G72" s="110"/>
    </row>
    <row r="73" ht="19.5" customHeight="1">
      <c r="A73" s="60"/>
      <c r="B73" s="165"/>
      <c r="C73" s="81"/>
      <c r="D73" s="62"/>
      <c r="E73" s="126"/>
      <c r="F73" s="61"/>
      <c r="G73" s="104"/>
    </row>
    <row r="74" ht="30.0" customHeight="1">
      <c r="A74" s="68" t="s">
        <v>43</v>
      </c>
      <c r="B74" s="69"/>
      <c r="C74" s="80">
        <f t="shared" ref="C74:D74" si="4">SUM(C60:C73)</f>
        <v>0</v>
      </c>
      <c r="D74" s="80">
        <f t="shared" si="4"/>
        <v>0</v>
      </c>
      <c r="E74" s="71"/>
      <c r="F74" s="72"/>
    </row>
    <row r="75" ht="4.5" customHeight="1">
      <c r="A75" s="89"/>
      <c r="B75" s="91"/>
      <c r="C75" s="91"/>
      <c r="D75" s="91"/>
      <c r="E75" s="91"/>
      <c r="F75" s="91"/>
      <c r="G75" s="92"/>
    </row>
    <row r="76" ht="19.5" customHeight="1">
      <c r="A76" s="93" t="s">
        <v>16</v>
      </c>
      <c r="B76" s="165"/>
      <c r="C76" s="81"/>
      <c r="D76" s="81"/>
      <c r="E76" s="126"/>
      <c r="F76" s="61"/>
      <c r="G76" s="61"/>
    </row>
    <row r="77" ht="19.5" customHeight="1">
      <c r="A77" s="94"/>
      <c r="B77" s="165"/>
      <c r="C77" s="81"/>
      <c r="D77" s="81"/>
      <c r="E77" s="126"/>
      <c r="F77" s="61"/>
      <c r="G77" s="61"/>
    </row>
    <row r="78" ht="19.5" customHeight="1">
      <c r="A78" s="94"/>
      <c r="B78" s="165"/>
      <c r="C78" s="81"/>
      <c r="D78" s="81"/>
      <c r="E78" s="126"/>
      <c r="F78" s="61"/>
      <c r="G78" s="61"/>
    </row>
    <row r="79" ht="19.5" customHeight="1">
      <c r="A79" s="94"/>
      <c r="B79" s="178"/>
      <c r="C79" s="103"/>
      <c r="D79" s="103"/>
      <c r="E79" s="126"/>
      <c r="F79" s="61"/>
      <c r="G79" s="61"/>
    </row>
    <row r="80" ht="30.0" customHeight="1">
      <c r="A80" s="127" t="s">
        <v>43</v>
      </c>
      <c r="B80" s="128"/>
      <c r="C80" s="81">
        <f>SUM(C76:C79)</f>
        <v>0</v>
      </c>
      <c r="D80" s="81">
        <f>SUM(D76)</f>
        <v>0</v>
      </c>
      <c r="E80" s="109"/>
      <c r="F80" s="79"/>
    </row>
    <row r="81" ht="4.5" customHeight="1">
      <c r="A81" s="130"/>
      <c r="B81" s="131"/>
      <c r="C81" s="131"/>
      <c r="D81" s="132"/>
      <c r="E81" s="114"/>
      <c r="I81" s="114"/>
      <c r="M81" s="114"/>
      <c r="Q81" s="114"/>
      <c r="U81" s="114"/>
      <c r="Y81" s="114"/>
    </row>
    <row r="82" ht="30.0" customHeight="1">
      <c r="A82" s="118" t="s">
        <v>193</v>
      </c>
      <c r="B82" s="47"/>
      <c r="C82" s="119">
        <f>SUM(C30+C58+C74+C6)</f>
        <v>0</v>
      </c>
      <c r="D82" s="119">
        <f>SUM(D30+D58+D74+D80)</f>
        <v>0</v>
      </c>
      <c r="E82" s="109"/>
      <c r="F82" s="79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A32:A57"/>
    <mergeCell ref="A60:A73"/>
    <mergeCell ref="A74:B74"/>
    <mergeCell ref="A76:A79"/>
    <mergeCell ref="A80:B80"/>
    <mergeCell ref="A82:B82"/>
    <mergeCell ref="A75:G75"/>
    <mergeCell ref="A81:D81"/>
    <mergeCell ref="E81:H81"/>
    <mergeCell ref="I81:L81"/>
    <mergeCell ref="M81:P81"/>
    <mergeCell ref="Q81:T81"/>
    <mergeCell ref="U81:X81"/>
    <mergeCell ref="Y81:AA81"/>
    <mergeCell ref="D9:G14"/>
    <mergeCell ref="A15:G15"/>
    <mergeCell ref="A17:A29"/>
    <mergeCell ref="A30:B30"/>
    <mergeCell ref="A31:G31"/>
    <mergeCell ref="A58:B58"/>
    <mergeCell ref="A59:G59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2026-02-04T12:53:54Z</dcterms:created>
  <dc:creator>Santiago Bibiloni</dc:creator>
</cp:coreProperties>
</file>