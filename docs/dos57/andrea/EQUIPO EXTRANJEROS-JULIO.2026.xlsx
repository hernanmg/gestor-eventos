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X EXTRANJEROS" sheetId="1" r:id="rId4"/>
    <sheet state="visible" name="MARTIN SILVAREZ" sheetId="2" r:id="rId5"/>
    <sheet state="visible" name="EVER" sheetId="3" r:id="rId6"/>
    <sheet state="visible" name="GUILLERMO" sheetId="4" r:id="rId7"/>
    <sheet state="visible" name="JONAS MOYANO" sheetId="5" r:id="rId8"/>
    <sheet state="visible" name="FABRICIO" sheetId="6" r:id="rId9"/>
    <sheet state="visible" name="CESAR" sheetId="7" r:id="rId10"/>
    <sheet state="visible" name="MATIAS MUT" sheetId="8" r:id="rId11"/>
    <sheet state="visible" name="LUIS MONTAÑO" sheetId="9" r:id="rId12"/>
    <sheet state="visible" name="JOSET" sheetId="10" r:id="rId13"/>
    <sheet state="visible" name="FRANCO SILVA" sheetId="11" r:id="rId14"/>
    <sheet state="visible" name="CATRIEL" sheetId="12" r:id="rId15"/>
  </sheets>
  <definedNames/>
  <calcPr/>
  <extLst>
    <ext uri="GoogleSheetsCustomDataVersion2">
      <go:sheetsCustomData xmlns:go="http://customooxmlschemas.google.com/" r:id="rId16" roundtripDataChecksum="BfAg29JBG0Ja1T/0R2CgDtgJYlwCN50fgYoTFJJNFVY="/>
    </ext>
  </extLst>
</workbook>
</file>

<file path=xl/sharedStrings.xml><?xml version="1.0" encoding="utf-8"?>
<sst xmlns="http://schemas.openxmlformats.org/spreadsheetml/2006/main" count="559" uniqueCount="56">
  <si>
    <t xml:space="preserve"> LIQUIDACION EQUIPO - MIX EXTRANJEROS-JULIO.2026-SANTIAGO.E</t>
  </si>
  <si>
    <t>N°</t>
  </si>
  <si>
    <t>NOMBRE</t>
  </si>
  <si>
    <t>IMPORTE</t>
  </si>
  <si>
    <t>MARTIN SILVAREZ</t>
  </si>
  <si>
    <t>EVER CORTES</t>
  </si>
  <si>
    <t>GUILLERMO VAZQUEZ</t>
  </si>
  <si>
    <t>JONAS MOYANO</t>
  </si>
  <si>
    <t>FABRICIO  ROBERTO</t>
  </si>
  <si>
    <t>CESAR SALINAS</t>
  </si>
  <si>
    <t>MATIAS MUT</t>
  </si>
  <si>
    <t>JOSET GUTIERREZ</t>
  </si>
  <si>
    <t>LUIS MONTAÑO</t>
  </si>
  <si>
    <t>FRANCO SILVA</t>
  </si>
  <si>
    <t>CATRIEL ROSALES</t>
  </si>
  <si>
    <t xml:space="preserve">TOTAL </t>
  </si>
  <si>
    <t xml:space="preserve"> EVENTO: SANTIAGO.E</t>
  </si>
  <si>
    <t>EQUIPO EXTRANJEROS</t>
  </si>
  <si>
    <t>JULIO</t>
  </si>
  <si>
    <t>Nombre:</t>
  </si>
  <si>
    <t>JORNADA</t>
  </si>
  <si>
    <t xml:space="preserve">GUILLERMO VAZQUEZ </t>
  </si>
  <si>
    <t>5 HS</t>
  </si>
  <si>
    <t>Dni:</t>
  </si>
  <si>
    <t>10 HS</t>
  </si>
  <si>
    <t>HRS TRABAJADAS</t>
  </si>
  <si>
    <t xml:space="preserve"> HRS EXTRAS TRABAJADAS</t>
  </si>
  <si>
    <t xml:space="preserve"> VALOR HRS EXTRAS </t>
  </si>
  <si>
    <t>IMPORTE HRS EXTRAS TRABAJADAS</t>
  </si>
  <si>
    <t xml:space="preserve"> TOTAL A COBRAR </t>
  </si>
  <si>
    <t>Convocatoria</t>
  </si>
  <si>
    <t>Dia</t>
  </si>
  <si>
    <t>Fecha</t>
  </si>
  <si>
    <t>Inicio de Actividades</t>
  </si>
  <si>
    <t>Fin de Actividades</t>
  </si>
  <si>
    <t>Hrs
trabajadas</t>
  </si>
  <si>
    <t>Hrs
Extras</t>
  </si>
  <si>
    <t xml:space="preserve"> Total Hrs
trabajadas</t>
  </si>
  <si>
    <t>$ Jornal</t>
  </si>
  <si>
    <t>SANTIAGO.E</t>
  </si>
  <si>
    <t>SABADO</t>
  </si>
  <si>
    <t>DOMINGO</t>
  </si>
  <si>
    <t>LUNES</t>
  </si>
  <si>
    <t>MARTES</t>
  </si>
  <si>
    <t>MIÉRCOLES</t>
  </si>
  <si>
    <t>JUEVES</t>
  </si>
  <si>
    <t>VIERNES</t>
  </si>
  <si>
    <t>SÁBADO</t>
  </si>
  <si>
    <t>Subtotal</t>
  </si>
  <si>
    <t xml:space="preserve">IMPORTE TOTAL </t>
  </si>
  <si>
    <t>DESCUENTOS  VARIOS</t>
  </si>
  <si>
    <t>ADELANTO TRANSF.</t>
  </si>
  <si>
    <t>TOTAL DESCUENTOS</t>
  </si>
  <si>
    <t>FABRICIO ROBERTO</t>
  </si>
  <si>
    <t>6 HS</t>
  </si>
  <si>
    <t>YOSET GUTIERREZ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</si>
</sst>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$&quot;\ * #,##0.00_-;\-&quot;$&quot;\ * #,##0.00_-;_-&quot;$&quot;\ * &quot;-&quot;??_-;_-@"/>
    <numFmt numFmtId="165" formatCode="&quot;$&quot;\ #,##0;[Red]\-&quot;$&quot;\ #,##0"/>
    <numFmt numFmtId="166" formatCode="D/M/YYYY"/>
  </numFmts>
  <fonts count="13">
    <font>
      <sz val="11.0"/>
      <color theme="1"/>
      <name val="Calibri"/>
      <scheme val="minor"/>
    </font>
    <font>
      <b/>
      <sz val="14.0"/>
      <color theme="0"/>
      <name val="Calibri"/>
    </font>
    <font/>
    <font>
      <b/>
      <sz val="11.0"/>
      <color theme="0"/>
      <name val="Calibri"/>
    </font>
    <font>
      <b/>
      <sz val="12.0"/>
      <color theme="0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b/>
      <sz val="10.0"/>
      <color rgb="FFFF0000"/>
      <name val="Calibri"/>
    </font>
    <font>
      <b/>
      <sz val="11.0"/>
      <color rgb="FFFF0000"/>
      <name val="Calibri"/>
    </font>
    <font>
      <sz val="10.0"/>
      <color theme="1"/>
      <name val="Calibri"/>
    </font>
    <font>
      <b/>
      <sz val="14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0070C0"/>
        <bgColor rgb="FF0070C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ADADA"/>
        <bgColor rgb="FFDADADA"/>
      </patternFill>
    </fill>
    <fill>
      <patternFill patternType="solid">
        <fgColor rgb="FFD6DCE4"/>
        <bgColor rgb="FFD6DCE4"/>
      </patternFill>
    </fill>
    <fill>
      <patternFill patternType="solid">
        <fgColor rgb="FF9CC2E5"/>
        <bgColor rgb="FF9CC2E5"/>
      </patternFill>
    </fill>
    <fill>
      <patternFill patternType="solid">
        <fgColor rgb="FFBFBFBF"/>
        <bgColor rgb="FFBFBFBF"/>
      </patternFill>
    </fill>
    <fill>
      <patternFill patternType="solid">
        <fgColor rgb="FF1F3864"/>
        <bgColor rgb="FF1F3864"/>
      </patternFill>
    </fill>
    <fill>
      <patternFill patternType="solid">
        <fgColor rgb="FFDEEAF6"/>
        <bgColor rgb="FFDEEAF6"/>
      </patternFill>
    </fill>
  </fills>
  <borders count="7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/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/>
      <bottom style="medium">
        <color rgb="FF000000"/>
      </bottom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4" fillId="3" fontId="5" numFmtId="0" xfId="0" applyAlignment="1" applyBorder="1" applyFill="1" applyFont="1">
      <alignment horizontal="center" vertical="center"/>
    </xf>
    <xf borderId="1" fillId="3" fontId="6" numFmtId="0" xfId="0" applyAlignment="1" applyBorder="1" applyFont="1">
      <alignment horizontal="center" shrinkToFit="0" vertical="center" wrapText="1"/>
    </xf>
    <xf borderId="4" fillId="3" fontId="6" numFmtId="164" xfId="0" applyAlignment="1" applyBorder="1" applyFont="1" applyNumberFormat="1">
      <alignment horizontal="center" vertical="center"/>
    </xf>
    <xf borderId="5" fillId="3" fontId="6" numFmtId="164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vertical="center"/>
    </xf>
    <xf borderId="4" fillId="2" fontId="1" numFmtId="164" xfId="0" applyAlignment="1" applyBorder="1" applyFont="1" applyNumberFormat="1">
      <alignment horizontal="center" vertical="center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4" fontId="4" numFmtId="0" xfId="0" applyAlignment="1" applyBorder="1" applyFill="1" applyFont="1">
      <alignment horizontal="center" vertical="center"/>
    </xf>
    <xf borderId="12" fillId="0" fontId="2" numFmtId="0" xfId="0" applyBorder="1" applyFont="1"/>
    <xf borderId="13" fillId="4" fontId="4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5" fontId="4" numFmtId="0" xfId="0" applyAlignment="1" applyBorder="1" applyFill="1" applyFont="1">
      <alignment horizontal="center" vertical="center"/>
    </xf>
    <xf borderId="17" fillId="0" fontId="2" numFmtId="0" xfId="0" applyBorder="1" applyFont="1"/>
    <xf borderId="18" fillId="5" fontId="4" numFmtId="0" xfId="0" applyAlignment="1" applyBorder="1" applyFont="1">
      <alignment horizontal="center" vertical="center"/>
    </xf>
    <xf borderId="19" fillId="4" fontId="3" numFmtId="0" xfId="0" applyAlignment="1" applyBorder="1" applyFont="1">
      <alignment horizontal="center" vertical="center"/>
    </xf>
    <xf borderId="20" fillId="0" fontId="2" numFmtId="0" xfId="0" applyBorder="1" applyFont="1"/>
    <xf borderId="19" fillId="4" fontId="4" numFmtId="0" xfId="0" applyAlignment="1" applyBorder="1" applyFont="1">
      <alignment horizontal="center" vertical="center"/>
    </xf>
    <xf borderId="21" fillId="0" fontId="2" numFmtId="0" xfId="0" applyBorder="1" applyFont="1"/>
    <xf borderId="22" fillId="0" fontId="2" numFmtId="0" xfId="0" applyBorder="1" applyFont="1"/>
    <xf borderId="23" fillId="4" fontId="3" numFmtId="0" xfId="0" applyAlignment="1" applyBorder="1" applyFont="1">
      <alignment horizontal="center" shrinkToFit="0" vertical="center" wrapText="1"/>
    </xf>
    <xf borderId="4" fillId="4" fontId="3" numFmtId="164" xfId="0" applyAlignment="1" applyBorder="1" applyFont="1" applyNumberFormat="1">
      <alignment horizontal="center" shrinkToFit="0" vertical="center" wrapText="1"/>
    </xf>
    <xf borderId="24" fillId="4" fontId="3" numFmtId="0" xfId="0" applyAlignment="1" applyBorder="1" applyFont="1">
      <alignment horizontal="center" vertical="center"/>
    </xf>
    <xf borderId="25" fillId="0" fontId="2" numFmtId="0" xfId="0" applyBorder="1" applyFont="1"/>
    <xf borderId="26" fillId="4" fontId="4" numFmtId="3" xfId="0" applyAlignment="1" applyBorder="1" applyFont="1" applyNumberFormat="1">
      <alignment horizontal="center" vertical="center"/>
    </xf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4" fillId="4" fontId="3" numFmtId="164" xfId="0" applyAlignment="1" applyBorder="1" applyFont="1" applyNumberFormat="1">
      <alignment horizontal="left" shrinkToFit="0" vertical="center" wrapText="1"/>
    </xf>
    <xf borderId="1" fillId="4" fontId="4" numFmtId="3" xfId="0" applyAlignment="1" applyBorder="1" applyFont="1" applyNumberFormat="1">
      <alignment horizontal="center" vertical="center"/>
    </xf>
    <xf borderId="24" fillId="6" fontId="8" numFmtId="0" xfId="0" applyAlignment="1" applyBorder="1" applyFill="1" applyFont="1">
      <alignment horizontal="center"/>
    </xf>
    <xf borderId="30" fillId="0" fontId="2" numFmtId="0" xfId="0" applyBorder="1" applyFont="1"/>
    <xf borderId="31" fillId="6" fontId="8" numFmtId="0" xfId="0" applyAlignment="1" applyBorder="1" applyFont="1">
      <alignment horizontal="center"/>
    </xf>
    <xf borderId="32" fillId="0" fontId="2" numFmtId="0" xfId="0" applyBorder="1" applyFont="1"/>
    <xf borderId="1" fillId="6" fontId="8" numFmtId="0" xfId="0" applyAlignment="1" applyBorder="1" applyFont="1">
      <alignment horizontal="center"/>
    </xf>
    <xf borderId="24" fillId="3" fontId="8" numFmtId="2" xfId="0" applyAlignment="1" applyBorder="1" applyFont="1" applyNumberFormat="1">
      <alignment horizontal="center"/>
    </xf>
    <xf borderId="1" fillId="3" fontId="8" numFmtId="2" xfId="0" applyAlignment="1" applyBorder="1" applyFont="1" applyNumberFormat="1">
      <alignment horizontal="center"/>
    </xf>
    <xf borderId="1" fillId="3" fontId="9" numFmtId="2" xfId="0" applyAlignment="1" applyBorder="1" applyFont="1" applyNumberFormat="1">
      <alignment horizontal="center"/>
    </xf>
    <xf borderId="33" fillId="3" fontId="9" numFmtId="164" xfId="0" applyAlignment="1" applyBorder="1" applyFont="1" applyNumberFormat="1">
      <alignment horizontal="center"/>
    </xf>
    <xf borderId="34" fillId="0" fontId="2" numFmtId="0" xfId="0" applyBorder="1" applyFont="1"/>
    <xf borderId="1" fillId="3" fontId="10" numFmtId="165" xfId="0" applyAlignment="1" applyBorder="1" applyFont="1" applyNumberFormat="1">
      <alignment horizontal="center"/>
    </xf>
    <xf borderId="35" fillId="0" fontId="2" numFmtId="0" xfId="0" applyBorder="1" applyFont="1"/>
    <xf borderId="24" fillId="3" fontId="9" numFmtId="164" xfId="0" applyAlignment="1" applyBorder="1" applyFont="1" applyNumberFormat="1">
      <alignment horizontal="center" vertical="center"/>
    </xf>
    <xf borderId="24" fillId="3" fontId="9" numFmtId="164" xfId="0" applyAlignment="1" applyBorder="1" applyFont="1" applyNumberFormat="1">
      <alignment horizontal="center"/>
    </xf>
    <xf borderId="1" fillId="7" fontId="8" numFmtId="0" xfId="0" applyAlignment="1" applyBorder="1" applyFill="1" applyFont="1">
      <alignment horizontal="center"/>
    </xf>
    <xf borderId="36" fillId="3" fontId="11" numFmtId="1" xfId="0" applyAlignment="1" applyBorder="1" applyFont="1" applyNumberFormat="1">
      <alignment horizontal="center"/>
    </xf>
    <xf borderId="19" fillId="6" fontId="8" numFmtId="0" xfId="0" applyAlignment="1" applyBorder="1" applyFont="1">
      <alignment horizontal="center"/>
    </xf>
    <xf borderId="33" fillId="3" fontId="8" numFmtId="2" xfId="0" applyAlignment="1" applyBorder="1" applyFont="1" applyNumberFormat="1">
      <alignment horizontal="center" vertical="center"/>
    </xf>
    <xf borderId="33" fillId="3" fontId="9" numFmtId="0" xfId="0" applyAlignment="1" applyBorder="1" applyFont="1">
      <alignment horizontal="center"/>
    </xf>
    <xf borderId="33" fillId="3" fontId="9" numFmtId="2" xfId="0" applyAlignment="1" applyBorder="1" applyFont="1" applyNumberFormat="1">
      <alignment horizontal="center" vertical="center"/>
    </xf>
    <xf borderId="0" fillId="0" fontId="7" numFmtId="0" xfId="0" applyFont="1"/>
    <xf borderId="33" fillId="3" fontId="8" numFmtId="2" xfId="0" applyAlignment="1" applyBorder="1" applyFont="1" applyNumberFormat="1">
      <alignment horizontal="center"/>
    </xf>
    <xf borderId="33" fillId="3" fontId="6" numFmtId="164" xfId="0" applyAlignment="1" applyBorder="1" applyFont="1" applyNumberFormat="1">
      <alignment horizontal="center" vertical="center"/>
    </xf>
    <xf borderId="37" fillId="8" fontId="5" numFmtId="0" xfId="0" applyAlignment="1" applyBorder="1" applyFill="1" applyFont="1">
      <alignment horizontal="center" shrinkToFit="0" vertical="center" wrapText="1"/>
    </xf>
    <xf borderId="33" fillId="7" fontId="6" numFmtId="164" xfId="0" applyAlignment="1" applyBorder="1" applyFont="1" applyNumberFormat="1">
      <alignment horizontal="center" vertical="center"/>
    </xf>
    <xf borderId="38" fillId="8" fontId="5" numFmtId="0" xfId="0" applyAlignment="1" applyBorder="1" applyFont="1">
      <alignment horizontal="center" shrinkToFit="0" vertical="center" wrapText="1"/>
    </xf>
    <xf borderId="33" fillId="7" fontId="6" numFmtId="164" xfId="0" applyAlignment="1" applyBorder="1" applyFont="1" applyNumberFormat="1">
      <alignment horizontal="center"/>
    </xf>
    <xf borderId="39" fillId="8" fontId="5" numFmtId="0" xfId="0" applyAlignment="1" applyBorder="1" applyFont="1">
      <alignment horizontal="center" shrinkToFit="0" vertical="center" wrapText="1"/>
    </xf>
    <xf borderId="40" fillId="8" fontId="5" numFmtId="0" xfId="0" applyAlignment="1" applyBorder="1" applyFont="1">
      <alignment horizontal="center" shrinkToFit="0" vertical="center" wrapText="1"/>
    </xf>
    <xf borderId="4" fillId="3" fontId="11" numFmtId="18" xfId="0" applyAlignment="1" applyBorder="1" applyFont="1" applyNumberFormat="1">
      <alignment horizontal="center"/>
    </xf>
    <xf borderId="4" fillId="3" fontId="8" numFmtId="166" xfId="0" applyAlignment="1" applyBorder="1" applyFont="1" applyNumberFormat="1">
      <alignment horizontal="center"/>
    </xf>
    <xf borderId="4" fillId="9" fontId="8" numFmtId="166" xfId="0" applyAlignment="1" applyBorder="1" applyFill="1" applyFont="1" applyNumberFormat="1">
      <alignment horizontal="center"/>
    </xf>
    <xf borderId="41" fillId="3" fontId="11" numFmtId="18" xfId="0" applyAlignment="1" applyBorder="1" applyFont="1" applyNumberFormat="1">
      <alignment horizontal="center" vertical="center"/>
    </xf>
    <xf borderId="4" fillId="9" fontId="8" numFmtId="2" xfId="0" applyAlignment="1" applyBorder="1" applyFont="1" applyNumberFormat="1">
      <alignment horizontal="center"/>
    </xf>
    <xf borderId="4" fillId="3" fontId="11" numFmtId="2" xfId="0" applyAlignment="1" applyBorder="1" applyFont="1" applyNumberFormat="1">
      <alignment horizontal="center"/>
    </xf>
    <xf borderId="42" fillId="3" fontId="11" numFmtId="164" xfId="0" applyAlignment="1" applyBorder="1" applyFont="1" applyNumberFormat="1">
      <alignment horizontal="center"/>
    </xf>
    <xf borderId="1" fillId="3" fontId="10" numFmtId="164" xfId="0" applyAlignment="1" applyBorder="1" applyFont="1" applyNumberFormat="1">
      <alignment horizontal="center"/>
    </xf>
    <xf borderId="33" fillId="3" fontId="9" numFmtId="2" xfId="0" applyAlignment="1" applyBorder="1" applyFont="1" applyNumberFormat="1">
      <alignment horizontal="center"/>
    </xf>
    <xf borderId="41" fillId="7" fontId="11" numFmtId="18" xfId="0" applyAlignment="1" applyBorder="1" applyFont="1" applyNumberFormat="1">
      <alignment horizontal="center" vertical="center"/>
    </xf>
    <xf borderId="4" fillId="7" fontId="11" numFmtId="18" xfId="0" applyAlignment="1" applyBorder="1" applyFont="1" applyNumberFormat="1">
      <alignment horizontal="center"/>
    </xf>
    <xf borderId="4" fillId="9" fontId="11" numFmtId="2" xfId="0" applyAlignment="1" applyBorder="1" applyFont="1" applyNumberFormat="1">
      <alignment horizontal="center"/>
    </xf>
    <xf borderId="1" fillId="3" fontId="11" numFmtId="18" xfId="0" applyAlignment="1" applyBorder="1" applyFont="1" applyNumberFormat="1">
      <alignment horizontal="center"/>
    </xf>
    <xf borderId="43" fillId="3" fontId="8" numFmtId="0" xfId="0" applyAlignment="1" applyBorder="1" applyFont="1">
      <alignment horizontal="center"/>
    </xf>
    <xf borderId="44" fillId="0" fontId="2" numFmtId="0" xfId="0" applyBorder="1" applyFont="1"/>
    <xf borderId="4" fillId="6" fontId="5" numFmtId="0" xfId="0" applyBorder="1" applyFont="1"/>
    <xf borderId="45" fillId="0" fontId="2" numFmtId="0" xfId="0" applyBorder="1" applyFont="1"/>
    <xf borderId="46" fillId="6" fontId="5" numFmtId="0" xfId="0" applyBorder="1" applyFont="1"/>
    <xf borderId="47" fillId="6" fontId="8" numFmtId="2" xfId="0" applyAlignment="1" applyBorder="1" applyFont="1" applyNumberFormat="1">
      <alignment horizontal="center"/>
    </xf>
    <xf borderId="48" fillId="3" fontId="8" numFmtId="0" xfId="0" applyAlignment="1" applyBorder="1" applyFont="1">
      <alignment horizontal="center"/>
    </xf>
    <xf borderId="49" fillId="6" fontId="8" numFmtId="164" xfId="0" applyAlignment="1" applyBorder="1" applyFont="1" applyNumberFormat="1">
      <alignment horizontal="right"/>
    </xf>
    <xf borderId="50" fillId="6" fontId="5" numFmtId="0" xfId="0" applyBorder="1" applyFont="1"/>
    <xf borderId="51" fillId="3" fontId="8" numFmtId="0" xfId="0" applyAlignment="1" applyBorder="1" applyFont="1">
      <alignment horizontal="center"/>
    </xf>
    <xf borderId="52" fillId="0" fontId="2" numFmtId="0" xfId="0" applyBorder="1" applyFont="1"/>
    <xf borderId="53" fillId="0" fontId="2" numFmtId="0" xfId="0" applyBorder="1" applyFont="1"/>
    <xf borderId="11" fillId="4" fontId="1" numFmtId="0" xfId="0" applyAlignment="1" applyBorder="1" applyFont="1">
      <alignment horizontal="center" vertical="center"/>
    </xf>
    <xf borderId="54" fillId="3" fontId="8" numFmtId="0" xfId="0" applyAlignment="1" applyBorder="1" applyFont="1">
      <alignment horizontal="center"/>
    </xf>
    <xf borderId="55" fillId="3" fontId="8" numFmtId="0" xfId="0" applyAlignment="1" applyBorder="1" applyFont="1">
      <alignment horizontal="center"/>
    </xf>
    <xf borderId="55" fillId="3" fontId="7" numFmtId="0" xfId="0" applyBorder="1" applyFont="1"/>
    <xf borderId="13" fillId="4" fontId="1" numFmtId="164" xfId="0" applyAlignment="1" applyBorder="1" applyFont="1" applyNumberFormat="1">
      <alignment horizontal="center" vertical="center"/>
    </xf>
    <xf borderId="56" fillId="3" fontId="11" numFmtId="22" xfId="0" applyAlignment="1" applyBorder="1" applyFont="1" applyNumberFormat="1">
      <alignment horizontal="center"/>
    </xf>
    <xf borderId="55" fillId="3" fontId="5" numFmtId="0" xfId="0" applyBorder="1" applyFont="1"/>
    <xf borderId="13" fillId="4" fontId="4" numFmtId="2" xfId="0" applyAlignment="1" applyBorder="1" applyFont="1" applyNumberFormat="1">
      <alignment horizontal="center"/>
    </xf>
    <xf borderId="55" fillId="3" fontId="8" numFmtId="2" xfId="0" applyAlignment="1" applyBorder="1" applyFont="1" applyNumberFormat="1">
      <alignment horizontal="center"/>
    </xf>
    <xf borderId="13" fillId="4" fontId="1" numFmtId="164" xfId="0" applyAlignment="1" applyBorder="1" applyFont="1" applyNumberFormat="1">
      <alignment horizontal="center"/>
    </xf>
    <xf borderId="57" fillId="3" fontId="12" numFmtId="0" xfId="0" applyAlignment="1" applyBorder="1" applyFont="1">
      <alignment horizontal="center" vertical="center"/>
    </xf>
    <xf borderId="58" fillId="3" fontId="8" numFmtId="164" xfId="0" applyAlignment="1" applyBorder="1" applyFont="1" applyNumberFormat="1">
      <alignment horizontal="right"/>
    </xf>
    <xf borderId="57" fillId="3" fontId="12" numFmtId="164" xfId="0" applyAlignment="1" applyBorder="1" applyFont="1" applyNumberFormat="1">
      <alignment horizontal="center"/>
    </xf>
    <xf borderId="56" fillId="3" fontId="6" numFmtId="2" xfId="0" applyAlignment="1" applyBorder="1" applyFont="1" applyNumberFormat="1">
      <alignment horizontal="center"/>
    </xf>
    <xf borderId="16" fillId="4" fontId="1" numFmtId="0" xfId="0" applyAlignment="1" applyBorder="1" applyFont="1">
      <alignment horizontal="center" vertical="center"/>
    </xf>
    <xf borderId="59" fillId="0" fontId="2" numFmtId="0" xfId="0" applyBorder="1" applyFont="1"/>
    <xf borderId="60" fillId="0" fontId="2" numFmtId="0" xfId="0" applyBorder="1" applyFont="1"/>
    <xf borderId="61" fillId="0" fontId="9" numFmtId="166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42" fillId="0" fontId="9" numFmtId="164" xfId="0" applyBorder="1" applyFont="1" applyNumberFormat="1"/>
    <xf borderId="62" fillId="0" fontId="9" numFmtId="166" xfId="0" applyAlignment="1" applyBorder="1" applyFont="1" applyNumberFormat="1">
      <alignment horizontal="center" vertical="center"/>
    </xf>
    <xf borderId="23" fillId="0" fontId="9" numFmtId="0" xfId="0" applyAlignment="1" applyBorder="1" applyFont="1">
      <alignment horizontal="center" vertical="center"/>
    </xf>
    <xf borderId="63" fillId="0" fontId="9" numFmtId="164" xfId="0" applyBorder="1" applyFont="1" applyNumberFormat="1"/>
    <xf borderId="36" fillId="4" fontId="3" numFmtId="0" xfId="0" applyAlignment="1" applyBorder="1" applyFont="1">
      <alignment horizontal="center" vertical="center"/>
    </xf>
    <xf borderId="64" fillId="0" fontId="2" numFmtId="0" xfId="0" applyBorder="1" applyFont="1"/>
    <xf borderId="65" fillId="4" fontId="4" numFmtId="164" xfId="0" applyBorder="1" applyFont="1" applyNumberFormat="1"/>
    <xf borderId="11" fillId="10" fontId="12" numFmtId="0" xfId="0" applyAlignment="1" applyBorder="1" applyFill="1" applyFont="1">
      <alignment horizontal="center" vertical="center"/>
    </xf>
    <xf borderId="13" fillId="10" fontId="12" numFmtId="164" xfId="0" applyAlignment="1" applyBorder="1" applyFont="1" applyNumberFormat="1">
      <alignment horizontal="center"/>
    </xf>
    <xf borderId="13" fillId="10" fontId="6" numFmtId="2" xfId="0" applyAlignment="1" applyBorder="1" applyFont="1" applyNumberFormat="1">
      <alignment horizontal="center"/>
    </xf>
    <xf borderId="56" fillId="3" fontId="11" numFmtId="18" xfId="0" applyAlignment="1" applyBorder="1" applyFont="1" applyNumberFormat="1">
      <alignment horizontal="center"/>
    </xf>
    <xf borderId="56" fillId="3" fontId="8" numFmtId="166" xfId="0" applyAlignment="1" applyBorder="1" applyFont="1" applyNumberFormat="1">
      <alignment horizontal="center"/>
    </xf>
    <xf borderId="26" fillId="4" fontId="3" numFmtId="3" xfId="0" applyAlignment="1" applyBorder="1" applyFont="1" applyNumberFormat="1">
      <alignment horizontal="center" vertical="center"/>
    </xf>
    <xf borderId="1" fillId="7" fontId="8" numFmtId="0" xfId="0" applyAlignment="1" applyBorder="1" applyFont="1">
      <alignment horizontal="center" vertical="center"/>
    </xf>
    <xf borderId="66" fillId="3" fontId="11" numFmtId="1" xfId="0" applyAlignment="1" applyBorder="1" applyFont="1" applyNumberFormat="1">
      <alignment horizontal="center"/>
    </xf>
    <xf borderId="67" fillId="8" fontId="5" numFmtId="0" xfId="0" applyAlignment="1" applyBorder="1" applyFont="1">
      <alignment horizontal="center" shrinkToFit="0" vertical="center" wrapText="1"/>
    </xf>
    <xf borderId="68" fillId="3" fontId="11" numFmtId="1" xfId="0" applyAlignment="1" applyBorder="1" applyFont="1" applyNumberFormat="1">
      <alignment horizontal="center"/>
    </xf>
    <xf borderId="69" fillId="3" fontId="8" numFmtId="2" xfId="0" applyAlignment="1" applyBorder="1" applyFont="1" applyNumberFormat="1">
      <alignment horizontal="center"/>
    </xf>
    <xf borderId="68" fillId="3" fontId="8" numFmtId="2" xfId="0" applyAlignment="1" applyBorder="1" applyFont="1" applyNumberFormat="1">
      <alignment horizontal="center"/>
    </xf>
    <xf borderId="70" fillId="3" fontId="10" numFmtId="165" xfId="0" applyAlignment="1" applyBorder="1" applyFont="1" applyNumberFormat="1">
      <alignment horizontal="center"/>
    </xf>
    <xf borderId="71" fillId="0" fontId="7" numFmtId="0" xfId="0" applyBorder="1" applyFont="1"/>
    <xf borderId="72" fillId="0" fontId="7" numFmtId="0" xfId="0" applyBorder="1" applyFont="1"/>
    <xf borderId="73" fillId="3" fontId="10" numFmtId="165" xfId="0" applyAlignment="1" applyBorder="1" applyFont="1" applyNumberFormat="1">
      <alignment horizontal="center"/>
    </xf>
    <xf borderId="74" fillId="0" fontId="7" numFmtId="0" xfId="0" applyBorder="1" applyFont="1"/>
    <xf borderId="36" fillId="7" fontId="6" numFmtId="164" xfId="0" applyAlignment="1" applyBorder="1" applyFont="1" applyNumberFormat="1">
      <alignment horizontal="center"/>
    </xf>
    <xf borderId="4" fillId="3" fontId="11" numFmtId="164" xfId="0" applyAlignment="1" applyBorder="1" applyFont="1" applyNumberFormat="1">
      <alignment horizontal="center"/>
    </xf>
    <xf borderId="36" fillId="3" fontId="8" numFmtId="0" xfId="0" applyAlignment="1" applyBorder="1" applyFont="1">
      <alignment horizontal="center" vertical="center"/>
    </xf>
    <xf borderId="47" fillId="11" fontId="5" numFmtId="0" xfId="0" applyBorder="1" applyFill="1" applyFont="1"/>
    <xf borderId="47" fillId="11" fontId="8" numFmtId="2" xfId="0" applyAlignment="1" applyBorder="1" applyFont="1" applyNumberFormat="1">
      <alignment horizontal="center"/>
    </xf>
    <xf borderId="49" fillId="11" fontId="8" numFmtId="164" xfId="0" applyAlignment="1" applyBorder="1" applyFont="1" applyNumberFormat="1">
      <alignment horizontal="right"/>
    </xf>
    <xf borderId="56" fillId="3" fontId="8" numFmtId="0" xfId="0" applyAlignment="1" applyBorder="1" applyFont="1">
      <alignment horizontal="center"/>
    </xf>
    <xf borderId="56" fillId="3" fontId="7" numFmtId="0" xfId="0" applyBorder="1" applyFont="1"/>
    <xf borderId="56" fillId="3" fontId="11" numFmtId="18" xfId="0" applyBorder="1" applyFont="1" applyNumberFormat="1"/>
    <xf borderId="56" fillId="3" fontId="5" numFmtId="0" xfId="0" applyBorder="1" applyFont="1"/>
    <xf borderId="56" fillId="3" fontId="8" numFmtId="2" xfId="0" applyAlignment="1" applyBorder="1" applyFont="1" applyNumberFormat="1">
      <alignment horizontal="center"/>
    </xf>
    <xf borderId="56" fillId="3" fontId="8" numFmtId="164" xfId="0" applyAlignment="1" applyBorder="1" applyFont="1" applyNumberFormat="1">
      <alignment horizontal="right"/>
    </xf>
    <xf borderId="13" fillId="4" fontId="6" numFmtId="2" xfId="0" applyAlignment="1" applyBorder="1" applyFont="1" applyNumberFormat="1">
      <alignment horizontal="center"/>
    </xf>
    <xf borderId="19" fillId="12" fontId="3" numFmtId="0" xfId="0" applyAlignment="1" applyBorder="1" applyFill="1" applyFont="1">
      <alignment horizontal="center" vertical="center"/>
    </xf>
    <xf borderId="19" fillId="12" fontId="4" numFmtId="0" xfId="0" applyAlignment="1" applyBorder="1" applyFont="1">
      <alignment horizontal="center" vertical="center"/>
    </xf>
    <xf borderId="23" fillId="12" fontId="3" numFmtId="0" xfId="0" applyAlignment="1" applyBorder="1" applyFont="1">
      <alignment horizontal="center" shrinkToFit="0" vertical="center" wrapText="1"/>
    </xf>
    <xf borderId="4" fillId="12" fontId="3" numFmtId="164" xfId="0" applyAlignment="1" applyBorder="1" applyFont="1" applyNumberFormat="1">
      <alignment horizontal="center" shrinkToFit="0" vertical="center" wrapText="1"/>
    </xf>
    <xf borderId="24" fillId="12" fontId="3" numFmtId="0" xfId="0" applyAlignment="1" applyBorder="1" applyFont="1">
      <alignment horizontal="center" vertical="center"/>
    </xf>
    <xf borderId="26" fillId="12" fontId="4" numFmtId="3" xfId="0" applyAlignment="1" applyBorder="1" applyFont="1" applyNumberFormat="1">
      <alignment horizontal="center" vertical="center"/>
    </xf>
    <xf borderId="4" fillId="12" fontId="3" numFmtId="164" xfId="0" applyAlignment="1" applyBorder="1" applyFont="1" applyNumberFormat="1">
      <alignment horizontal="left" shrinkToFit="0" vertical="center" wrapText="1"/>
    </xf>
    <xf borderId="4" fillId="4" fontId="3" numFmtId="164" xfId="0" applyAlignment="1" applyBorder="1" applyFont="1" applyNumberFormat="1">
      <alignment shrinkToFit="0" vertical="center" wrapText="1"/>
    </xf>
    <xf borderId="4" fillId="13" fontId="11" numFmtId="2" xfId="0" applyAlignment="1" applyBorder="1" applyFill="1" applyFont="1" applyNumberFormat="1">
      <alignment horizontal="center"/>
    </xf>
    <xf borderId="75" fillId="0" fontId="2" numFmtId="0" xfId="0" applyBorder="1" applyFont="1"/>
    <xf borderId="47" fillId="6" fontId="5" numFmtId="0" xfId="0" applyBorder="1" applyFont="1"/>
    <xf borderId="76" fillId="3" fontId="8" numFmtId="0" xfId="0" applyAlignment="1" applyBorder="1" applyFont="1">
      <alignment horizontal="center"/>
    </xf>
    <xf borderId="77" fillId="3" fontId="11" numFmtId="22" xfId="0" applyAlignment="1" applyBorder="1" applyFont="1" applyNumberFormat="1">
      <alignment horizontal="center"/>
    </xf>
    <xf borderId="78" fillId="3" fontId="1" numFmtId="0" xfId="0" applyAlignment="1" applyBorder="1" applyFont="1">
      <alignment horizontal="center" vertical="center"/>
    </xf>
    <xf borderId="57" fillId="3" fontId="1" numFmtId="0" xfId="0" applyAlignment="1" applyBorder="1" applyFont="1">
      <alignment horizontal="center" vertical="center"/>
    </xf>
    <xf borderId="57" fillId="3" fontId="1" numFmtId="164" xfId="0" applyAlignment="1" applyBorder="1" applyFont="1" applyNumberFormat="1">
      <alignment horizontal="center"/>
    </xf>
    <xf borderId="56" fillId="3" fontId="4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067675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9627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6765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39125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96275" cy="514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486650" cy="523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755332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81724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96290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96290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807720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8029575" cy="466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29625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9.71"/>
    <col customWidth="1" min="4" max="4" width="34.57"/>
    <col customWidth="1" min="5" max="26" width="10.71"/>
  </cols>
  <sheetData>
    <row r="1" ht="14.25" customHeight="1"/>
    <row r="2" ht="14.25" customHeight="1"/>
    <row r="3" ht="14.25" customHeight="1"/>
    <row r="4" ht="30.0" customHeight="1">
      <c r="A4" s="1" t="s">
        <v>0</v>
      </c>
      <c r="B4" s="2"/>
      <c r="C4" s="2"/>
      <c r="D4" s="3"/>
    </row>
    <row r="5" ht="21.0" customHeight="1">
      <c r="A5" s="4" t="s">
        <v>1</v>
      </c>
      <c r="B5" s="5" t="s">
        <v>2</v>
      </c>
      <c r="C5" s="3"/>
      <c r="D5" s="6" t="s">
        <v>3</v>
      </c>
    </row>
    <row r="6" ht="24.75" customHeight="1">
      <c r="A6" s="7">
        <v>1.0</v>
      </c>
      <c r="B6" s="8" t="s">
        <v>4</v>
      </c>
      <c r="C6" s="3"/>
      <c r="D6" s="9"/>
    </row>
    <row r="7" ht="24.75" customHeight="1">
      <c r="A7" s="7">
        <v>2.0</v>
      </c>
      <c r="B7" s="8" t="s">
        <v>5</v>
      </c>
      <c r="C7" s="3"/>
      <c r="D7" s="9"/>
    </row>
    <row r="8" ht="24.75" customHeight="1">
      <c r="A8" s="7">
        <v>3.0</v>
      </c>
      <c r="B8" s="8" t="s">
        <v>6</v>
      </c>
      <c r="C8" s="3"/>
      <c r="D8" s="10"/>
    </row>
    <row r="9" ht="24.75" customHeight="1">
      <c r="A9" s="7">
        <v>4.0</v>
      </c>
      <c r="B9" s="8" t="s">
        <v>7</v>
      </c>
      <c r="C9" s="3"/>
      <c r="D9" s="10"/>
    </row>
    <row r="10" ht="24.75" customHeight="1">
      <c r="A10" s="7">
        <v>5.0</v>
      </c>
      <c r="B10" s="8" t="s">
        <v>8</v>
      </c>
      <c r="C10" s="3"/>
      <c r="D10" s="10"/>
    </row>
    <row r="11" ht="24.75" customHeight="1">
      <c r="A11" s="7">
        <v>6.0</v>
      </c>
      <c r="B11" s="8" t="s">
        <v>9</v>
      </c>
      <c r="C11" s="3"/>
      <c r="D11" s="10"/>
    </row>
    <row r="12" ht="24.75" customHeight="1">
      <c r="A12" s="7">
        <v>7.0</v>
      </c>
      <c r="B12" s="8" t="s">
        <v>10</v>
      </c>
      <c r="C12" s="3"/>
      <c r="D12" s="10"/>
    </row>
    <row r="13" ht="24.75" customHeight="1">
      <c r="A13" s="7">
        <v>8.0</v>
      </c>
      <c r="B13" s="8" t="s">
        <v>11</v>
      </c>
      <c r="C13" s="3"/>
      <c r="D13" s="10"/>
    </row>
    <row r="14" ht="24.75" customHeight="1">
      <c r="A14" s="7">
        <v>9.0</v>
      </c>
      <c r="B14" s="8" t="s">
        <v>12</v>
      </c>
      <c r="C14" s="3"/>
      <c r="D14" s="10"/>
    </row>
    <row r="15" ht="24.75" customHeight="1">
      <c r="A15" s="7">
        <v>10.0</v>
      </c>
      <c r="B15" s="8" t="s">
        <v>13</v>
      </c>
      <c r="C15" s="3"/>
      <c r="D15" s="10"/>
    </row>
    <row r="16" ht="24.75" customHeight="1">
      <c r="A16" s="7">
        <v>11.0</v>
      </c>
      <c r="B16" s="8" t="s">
        <v>14</v>
      </c>
      <c r="C16" s="3"/>
      <c r="D16" s="10"/>
    </row>
    <row r="17" ht="29.25" customHeight="1">
      <c r="A17" s="11" t="s">
        <v>15</v>
      </c>
      <c r="B17" s="2"/>
      <c r="C17" s="3"/>
      <c r="D17" s="12">
        <f>SUM(D6:D9)</f>
        <v>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B11:C11"/>
    <mergeCell ref="B12:C12"/>
    <mergeCell ref="B13:C13"/>
    <mergeCell ref="B14:C14"/>
    <mergeCell ref="B15:C15"/>
    <mergeCell ref="B16:C16"/>
    <mergeCell ref="A17:C17"/>
    <mergeCell ref="A4:D4"/>
    <mergeCell ref="B5:C5"/>
    <mergeCell ref="B6:C6"/>
    <mergeCell ref="B7:C7"/>
    <mergeCell ref="B8:C8"/>
    <mergeCell ref="B9:C9"/>
    <mergeCell ref="B10:C10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5.86"/>
    <col customWidth="1" min="3" max="3" width="16.29"/>
    <col customWidth="1" min="4" max="4" width="16.57"/>
    <col customWidth="1" min="5" max="5" width="15.71"/>
    <col customWidth="1" min="6" max="6" width="12.0"/>
    <col customWidth="1" min="7" max="7" width="10.71"/>
    <col customWidth="1" min="8" max="8" width="17.71"/>
    <col customWidth="1" min="9" max="26" width="10.71"/>
  </cols>
  <sheetData>
    <row r="1" ht="14.25" customHeight="1">
      <c r="A1" s="13"/>
      <c r="B1" s="14"/>
      <c r="C1" s="14"/>
      <c r="D1" s="14"/>
      <c r="E1" s="14"/>
      <c r="F1" s="14"/>
      <c r="G1" s="14"/>
      <c r="H1" s="15"/>
    </row>
    <row r="2" ht="14.25" customHeight="1">
      <c r="A2" s="16"/>
      <c r="H2" s="17"/>
    </row>
    <row r="3" ht="14.25" customHeight="1">
      <c r="A3" s="16"/>
      <c r="H3" s="17"/>
    </row>
    <row r="4" ht="29.25" customHeight="1">
      <c r="A4" s="18" t="s">
        <v>16</v>
      </c>
      <c r="B4" s="19"/>
      <c r="C4" s="20" t="s">
        <v>17</v>
      </c>
      <c r="D4" s="21"/>
      <c r="E4" s="22"/>
      <c r="F4" s="23" t="s">
        <v>18</v>
      </c>
      <c r="G4" s="24"/>
      <c r="H4" s="25">
        <v>2026.0</v>
      </c>
    </row>
    <row r="5" ht="17.25" customHeight="1">
      <c r="A5" s="26" t="s">
        <v>19</v>
      </c>
      <c r="B5" s="27"/>
      <c r="C5" s="26" t="s">
        <v>4</v>
      </c>
      <c r="D5" s="29"/>
      <c r="E5" s="30"/>
      <c r="F5" s="31" t="s">
        <v>20</v>
      </c>
      <c r="G5" s="32">
        <v>35000.0</v>
      </c>
      <c r="H5" s="32" t="s">
        <v>22</v>
      </c>
    </row>
    <row r="6" ht="19.5" customHeight="1">
      <c r="A6" s="33" t="s">
        <v>23</v>
      </c>
      <c r="B6" s="34"/>
      <c r="C6" s="35">
        <v>3.5852403E7</v>
      </c>
      <c r="D6" s="36"/>
      <c r="E6" s="37"/>
      <c r="F6" s="38"/>
      <c r="G6" s="39">
        <v>70000.0</v>
      </c>
      <c r="H6" s="32" t="s">
        <v>24</v>
      </c>
    </row>
    <row r="7" ht="15.0" customHeight="1">
      <c r="A7" s="41" t="s">
        <v>25</v>
      </c>
      <c r="B7" s="42"/>
      <c r="C7" s="41" t="s">
        <v>26</v>
      </c>
      <c r="D7" s="42"/>
      <c r="E7" s="41" t="s">
        <v>27</v>
      </c>
      <c r="F7" s="3"/>
      <c r="G7" s="43" t="s">
        <v>28</v>
      </c>
      <c r="H7" s="44"/>
    </row>
    <row r="8" ht="14.25" customHeight="1">
      <c r="A8" s="46">
        <f>+F23</f>
        <v>82.4</v>
      </c>
      <c r="B8" s="3"/>
      <c r="C8" s="48">
        <f>+G23</f>
        <v>-12.5</v>
      </c>
      <c r="D8" s="3"/>
      <c r="E8" s="51">
        <v>7000.0</v>
      </c>
      <c r="F8" s="42"/>
      <c r="G8" s="54">
        <f>+C8*E8+C10*E10</f>
        <v>-87500</v>
      </c>
      <c r="H8" s="42"/>
    </row>
    <row r="9" ht="15.0" customHeight="1">
      <c r="A9" s="41"/>
      <c r="B9" s="3"/>
      <c r="C9" s="45"/>
      <c r="D9" s="3"/>
      <c r="E9" s="41"/>
      <c r="F9" s="3"/>
      <c r="G9" s="55" t="s">
        <v>29</v>
      </c>
      <c r="H9" s="42"/>
    </row>
    <row r="10" ht="14.25" customHeight="1">
      <c r="A10" s="56"/>
      <c r="B10" s="50"/>
      <c r="C10" s="62"/>
      <c r="D10" s="50"/>
      <c r="E10" s="51"/>
      <c r="F10" s="42"/>
      <c r="G10" s="67">
        <f>+H23+G8</f>
        <v>577500</v>
      </c>
      <c r="H10" s="52"/>
    </row>
    <row r="11" ht="14.25" customHeight="1">
      <c r="A11" s="64" t="s">
        <v>30</v>
      </c>
      <c r="B11" s="66" t="s">
        <v>31</v>
      </c>
      <c r="C11" s="66" t="s">
        <v>32</v>
      </c>
      <c r="D11" s="68" t="s">
        <v>33</v>
      </c>
      <c r="E11" s="68" t="s">
        <v>34</v>
      </c>
      <c r="F11" s="68" t="s">
        <v>37</v>
      </c>
      <c r="G11" s="68" t="s">
        <v>36</v>
      </c>
      <c r="H11" s="69" t="s">
        <v>38</v>
      </c>
    </row>
    <row r="12" ht="14.25" customHeight="1">
      <c r="A12" s="70" t="s">
        <v>39</v>
      </c>
      <c r="B12" s="71" t="s">
        <v>40</v>
      </c>
      <c r="C12" s="72">
        <v>46221.0</v>
      </c>
      <c r="D12" s="73">
        <v>0.6326388888888889</v>
      </c>
      <c r="E12" s="70">
        <v>0.8368055555555555</v>
      </c>
      <c r="F12" s="74">
        <f t="shared" ref="F12:F22" si="1">(IF(D12&gt;E12,E12+1-D12,E12-D12))*24</f>
        <v>4.9</v>
      </c>
      <c r="G12" s="75">
        <v>0.0</v>
      </c>
      <c r="H12" s="76">
        <v>35000.0</v>
      </c>
    </row>
    <row r="13" ht="14.25" customHeight="1">
      <c r="A13" s="70" t="s">
        <v>39</v>
      </c>
      <c r="B13" s="71" t="s">
        <v>41</v>
      </c>
      <c r="C13" s="72">
        <v>46222.0</v>
      </c>
      <c r="D13" s="73">
        <v>0.2916666666666667</v>
      </c>
      <c r="E13" s="70">
        <v>0.5833333333333334</v>
      </c>
      <c r="F13" s="74">
        <f t="shared" si="1"/>
        <v>7</v>
      </c>
      <c r="G13" s="75">
        <f t="shared" ref="G13:G21" si="2">+F13-10</f>
        <v>-3</v>
      </c>
      <c r="H13" s="76">
        <v>70000.0</v>
      </c>
    </row>
    <row r="14" ht="14.25" customHeight="1">
      <c r="A14" s="70" t="s">
        <v>39</v>
      </c>
      <c r="B14" s="71" t="s">
        <v>42</v>
      </c>
      <c r="C14" s="72">
        <v>46223.0</v>
      </c>
      <c r="D14" s="73">
        <v>0.2916666666666667</v>
      </c>
      <c r="E14" s="70">
        <v>0.875</v>
      </c>
      <c r="F14" s="74">
        <f t="shared" si="1"/>
        <v>14</v>
      </c>
      <c r="G14" s="75">
        <f t="shared" si="2"/>
        <v>4</v>
      </c>
      <c r="H14" s="76">
        <v>70000.0</v>
      </c>
    </row>
    <row r="15" ht="14.25" customHeight="1">
      <c r="A15" s="70" t="s">
        <v>39</v>
      </c>
      <c r="B15" s="71" t="s">
        <v>43</v>
      </c>
      <c r="C15" s="72">
        <v>46224.0</v>
      </c>
      <c r="D15" s="73">
        <v>0.3333333333333333</v>
      </c>
      <c r="E15" s="70">
        <v>0.875</v>
      </c>
      <c r="F15" s="74">
        <f t="shared" si="1"/>
        <v>13</v>
      </c>
      <c r="G15" s="75">
        <f t="shared" si="2"/>
        <v>3</v>
      </c>
      <c r="H15" s="76">
        <v>70000.0</v>
      </c>
    </row>
    <row r="16" ht="14.25" customHeight="1">
      <c r="A16" s="70" t="s">
        <v>39</v>
      </c>
      <c r="B16" s="71" t="s">
        <v>44</v>
      </c>
      <c r="C16" s="72">
        <v>46225.0</v>
      </c>
      <c r="D16" s="73">
        <v>0.3333333333333333</v>
      </c>
      <c r="E16" s="70">
        <v>0.7916666666666666</v>
      </c>
      <c r="F16" s="74">
        <f t="shared" si="1"/>
        <v>11</v>
      </c>
      <c r="G16" s="75">
        <f t="shared" si="2"/>
        <v>1</v>
      </c>
      <c r="H16" s="76">
        <v>70000.0</v>
      </c>
    </row>
    <row r="17" ht="14.25" customHeight="1">
      <c r="A17" s="70" t="s">
        <v>39</v>
      </c>
      <c r="B17" s="71" t="s">
        <v>45</v>
      </c>
      <c r="C17" s="72">
        <v>46226.0</v>
      </c>
      <c r="D17" s="73">
        <v>0.3333333333333333</v>
      </c>
      <c r="E17" s="70">
        <v>0.7916666666666666</v>
      </c>
      <c r="F17" s="74">
        <f t="shared" si="1"/>
        <v>11</v>
      </c>
      <c r="G17" s="75">
        <f t="shared" si="2"/>
        <v>1</v>
      </c>
      <c r="H17" s="76">
        <v>70000.0</v>
      </c>
    </row>
    <row r="18" ht="14.25" customHeight="1">
      <c r="A18" s="70" t="s">
        <v>39</v>
      </c>
      <c r="B18" s="71" t="s">
        <v>46</v>
      </c>
      <c r="C18" s="72">
        <v>46227.0</v>
      </c>
      <c r="D18" s="79"/>
      <c r="E18" s="80"/>
      <c r="F18" s="74">
        <f t="shared" si="1"/>
        <v>0</v>
      </c>
      <c r="G18" s="75">
        <f t="shared" si="2"/>
        <v>-10</v>
      </c>
      <c r="H18" s="76">
        <v>70000.0</v>
      </c>
    </row>
    <row r="19" ht="14.25" customHeight="1">
      <c r="A19" s="70" t="s">
        <v>39</v>
      </c>
      <c r="B19" s="71" t="s">
        <v>47</v>
      </c>
      <c r="C19" s="72">
        <v>46228.0</v>
      </c>
      <c r="D19" s="73">
        <v>0.6666666666666666</v>
      </c>
      <c r="E19" s="70">
        <v>0.125</v>
      </c>
      <c r="F19" s="74">
        <f t="shared" si="1"/>
        <v>11</v>
      </c>
      <c r="G19" s="75">
        <f t="shared" si="2"/>
        <v>1</v>
      </c>
      <c r="H19" s="76">
        <v>70000.0</v>
      </c>
    </row>
    <row r="20" ht="14.25" customHeight="1">
      <c r="A20" s="70" t="s">
        <v>39</v>
      </c>
      <c r="B20" s="71" t="s">
        <v>41</v>
      </c>
      <c r="C20" s="72">
        <v>46229.0</v>
      </c>
      <c r="D20" s="73">
        <v>0.375</v>
      </c>
      <c r="E20" s="70">
        <v>0.8125</v>
      </c>
      <c r="F20" s="74">
        <f t="shared" si="1"/>
        <v>10.5</v>
      </c>
      <c r="G20" s="75">
        <f t="shared" si="2"/>
        <v>0.5</v>
      </c>
      <c r="H20" s="76">
        <v>70000.0</v>
      </c>
    </row>
    <row r="21" ht="14.25" customHeight="1">
      <c r="A21" s="70" t="s">
        <v>39</v>
      </c>
      <c r="B21" s="71" t="s">
        <v>42</v>
      </c>
      <c r="C21" s="72">
        <v>46230.0</v>
      </c>
      <c r="D21" s="73"/>
      <c r="E21" s="70"/>
      <c r="F21" s="74">
        <f t="shared" si="1"/>
        <v>0</v>
      </c>
      <c r="G21" s="75">
        <f t="shared" si="2"/>
        <v>-10</v>
      </c>
      <c r="H21" s="76">
        <v>70000.0</v>
      </c>
    </row>
    <row r="22" ht="14.25" customHeight="1">
      <c r="A22" s="70" t="s">
        <v>39</v>
      </c>
      <c r="B22" s="71" t="s">
        <v>43</v>
      </c>
      <c r="C22" s="72">
        <v>46231.0</v>
      </c>
      <c r="D22" s="73"/>
      <c r="E22" s="70"/>
      <c r="F22" s="74">
        <f t="shared" si="1"/>
        <v>0</v>
      </c>
      <c r="G22" s="75"/>
      <c r="H22" s="76"/>
    </row>
    <row r="23" ht="18.75" customHeight="1">
      <c r="A23" s="82"/>
      <c r="B23" s="2"/>
      <c r="C23" s="2"/>
      <c r="D23" s="3"/>
      <c r="E23" s="85" t="s">
        <v>48</v>
      </c>
      <c r="F23" s="88">
        <f t="shared" ref="F23:H23" si="3">SUM(F12:F22)</f>
        <v>82.4</v>
      </c>
      <c r="G23" s="88">
        <f t="shared" si="3"/>
        <v>-12.5</v>
      </c>
      <c r="H23" s="90">
        <f t="shared" si="3"/>
        <v>665000</v>
      </c>
    </row>
    <row r="24" ht="14.25" customHeight="1">
      <c r="A24" s="92"/>
      <c r="B24" s="93"/>
      <c r="C24" s="93"/>
      <c r="D24" s="93"/>
      <c r="E24" s="93"/>
      <c r="F24" s="93"/>
      <c r="G24" s="93"/>
      <c r="H24" s="94"/>
    </row>
    <row r="25" ht="27.0" customHeight="1">
      <c r="A25" s="95" t="s">
        <v>49</v>
      </c>
      <c r="B25" s="21"/>
      <c r="C25" s="19"/>
      <c r="D25" s="99">
        <f>+G10</f>
        <v>577500</v>
      </c>
      <c r="E25" s="19"/>
      <c r="F25" s="102"/>
      <c r="G25" s="21"/>
      <c r="H25" s="22"/>
    </row>
    <row r="26" ht="14.25" customHeight="1">
      <c r="A26" s="105"/>
      <c r="B26" s="105"/>
      <c r="C26" s="105"/>
      <c r="D26" s="107"/>
      <c r="E26" s="107"/>
      <c r="F26" s="108"/>
      <c r="G26" s="108"/>
      <c r="H26" s="108"/>
    </row>
    <row r="27" ht="14.25" customHeight="1">
      <c r="A27" s="109" t="s">
        <v>50</v>
      </c>
      <c r="B27" s="110"/>
      <c r="C27" s="110"/>
      <c r="D27" s="110"/>
      <c r="E27" s="111"/>
      <c r="F27" s="108"/>
      <c r="G27" s="108"/>
      <c r="H27" s="108"/>
    </row>
    <row r="28" ht="18.75" customHeight="1">
      <c r="A28" s="112">
        <v>46227.0</v>
      </c>
      <c r="B28" s="113">
        <v>1.0</v>
      </c>
      <c r="C28" s="114" t="s">
        <v>51</v>
      </c>
      <c r="D28" s="3"/>
      <c r="E28" s="115">
        <v>300000.0</v>
      </c>
    </row>
    <row r="29" ht="14.25" customHeight="1">
      <c r="A29" s="116"/>
      <c r="B29" s="117"/>
      <c r="C29" s="114"/>
      <c r="D29" s="3"/>
      <c r="E29" s="118"/>
    </row>
    <row r="30" ht="21.0" customHeight="1">
      <c r="A30" s="119" t="s">
        <v>52</v>
      </c>
      <c r="B30" s="120"/>
      <c r="C30" s="120"/>
      <c r="D30" s="50"/>
      <c r="E30" s="121">
        <f>SUM(E28:E29)</f>
        <v>300000</v>
      </c>
    </row>
    <row r="31" ht="14.25" customHeight="1"/>
    <row r="32" ht="27.75" customHeight="1">
      <c r="A32" s="122" t="s">
        <v>49</v>
      </c>
      <c r="B32" s="21"/>
      <c r="C32" s="19"/>
      <c r="D32" s="123">
        <f>+D25-E30</f>
        <v>277500</v>
      </c>
      <c r="E32" s="19"/>
      <c r="F32" s="124"/>
      <c r="G32" s="21"/>
      <c r="H32" s="22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4:B4"/>
    <mergeCell ref="C4:E4"/>
    <mergeCell ref="F4:G4"/>
    <mergeCell ref="A5:B5"/>
    <mergeCell ref="C5:E5"/>
    <mergeCell ref="F5:F6"/>
    <mergeCell ref="C6:E6"/>
    <mergeCell ref="E8:F8"/>
    <mergeCell ref="G8:H8"/>
    <mergeCell ref="A6:B6"/>
    <mergeCell ref="A7:B7"/>
    <mergeCell ref="C7:D7"/>
    <mergeCell ref="E7:F7"/>
    <mergeCell ref="G7:H7"/>
    <mergeCell ref="A8:B8"/>
    <mergeCell ref="C8:D8"/>
    <mergeCell ref="A9:B9"/>
    <mergeCell ref="C9:D9"/>
    <mergeCell ref="E9:F9"/>
    <mergeCell ref="G9:H9"/>
    <mergeCell ref="A10:B10"/>
    <mergeCell ref="E10:F10"/>
    <mergeCell ref="G10:H10"/>
    <mergeCell ref="C28:D28"/>
    <mergeCell ref="C29:D29"/>
    <mergeCell ref="A30:D30"/>
    <mergeCell ref="A32:C32"/>
    <mergeCell ref="D32:E32"/>
    <mergeCell ref="F32:H32"/>
    <mergeCell ref="C10:D10"/>
    <mergeCell ref="A23:D23"/>
    <mergeCell ref="A24:H24"/>
    <mergeCell ref="A25:C25"/>
    <mergeCell ref="D25:E25"/>
    <mergeCell ref="F25:H25"/>
    <mergeCell ref="A27:E27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5.86"/>
    <col customWidth="1" min="3" max="3" width="16.29"/>
    <col customWidth="1" min="4" max="4" width="16.57"/>
    <col customWidth="1" min="5" max="5" width="15.71"/>
    <col customWidth="1" min="6" max="6" width="12.0"/>
    <col customWidth="1" min="7" max="7" width="10.71"/>
    <col customWidth="1" min="8" max="8" width="17.71"/>
    <col customWidth="1" min="9" max="26" width="10.71"/>
  </cols>
  <sheetData>
    <row r="1" ht="14.25" customHeight="1">
      <c r="A1" s="13"/>
      <c r="B1" s="14"/>
      <c r="C1" s="14"/>
      <c r="D1" s="14"/>
      <c r="E1" s="14"/>
      <c r="F1" s="14"/>
      <c r="G1" s="14"/>
      <c r="H1" s="15"/>
    </row>
    <row r="2" ht="14.25" customHeight="1">
      <c r="A2" s="16"/>
      <c r="H2" s="17"/>
    </row>
    <row r="3" ht="14.25" customHeight="1">
      <c r="A3" s="16"/>
      <c r="H3" s="17"/>
    </row>
    <row r="4" ht="23.25" customHeight="1">
      <c r="A4" s="18" t="s">
        <v>16</v>
      </c>
      <c r="B4" s="19"/>
      <c r="C4" s="20" t="s">
        <v>17</v>
      </c>
      <c r="D4" s="21"/>
      <c r="E4" s="22"/>
      <c r="F4" s="23" t="s">
        <v>18</v>
      </c>
      <c r="G4" s="24"/>
      <c r="H4" s="25">
        <v>2026.0</v>
      </c>
    </row>
    <row r="5" ht="17.25" customHeight="1">
      <c r="A5" s="26" t="s">
        <v>19</v>
      </c>
      <c r="B5" s="27"/>
      <c r="C5" s="28" t="s">
        <v>5</v>
      </c>
      <c r="D5" s="29"/>
      <c r="E5" s="30"/>
      <c r="F5" s="31" t="s">
        <v>20</v>
      </c>
      <c r="G5" s="32">
        <v>35000.0</v>
      </c>
      <c r="H5" s="32" t="s">
        <v>22</v>
      </c>
    </row>
    <row r="6" ht="19.5" customHeight="1">
      <c r="A6" s="33" t="s">
        <v>23</v>
      </c>
      <c r="B6" s="34"/>
      <c r="C6" s="35">
        <v>3.9790776E7</v>
      </c>
      <c r="D6" s="36"/>
      <c r="E6" s="37"/>
      <c r="F6" s="38"/>
      <c r="G6" s="39">
        <v>70000.0</v>
      </c>
      <c r="H6" s="32" t="s">
        <v>24</v>
      </c>
    </row>
    <row r="7" ht="14.25" customHeight="1">
      <c r="A7" s="41" t="s">
        <v>25</v>
      </c>
      <c r="B7" s="42"/>
      <c r="C7" s="41" t="s">
        <v>26</v>
      </c>
      <c r="D7" s="42"/>
      <c r="E7" s="41" t="s">
        <v>27</v>
      </c>
      <c r="F7" s="3"/>
      <c r="G7" s="43" t="s">
        <v>28</v>
      </c>
      <c r="H7" s="44"/>
    </row>
    <row r="8" ht="14.25" customHeight="1">
      <c r="A8" s="46">
        <f>+F23</f>
        <v>82.4</v>
      </c>
      <c r="B8" s="3"/>
      <c r="C8" s="47">
        <f>+G23</f>
        <v>-2.5</v>
      </c>
      <c r="D8" s="3"/>
      <c r="E8" s="49">
        <v>7000.0</v>
      </c>
      <c r="F8" s="50"/>
      <c r="G8" s="53">
        <f>+C8*E8+C10*E10</f>
        <v>-17500</v>
      </c>
      <c r="H8" s="42"/>
    </row>
    <row r="9" ht="15.0" customHeight="1">
      <c r="A9" s="41"/>
      <c r="B9" s="3"/>
      <c r="C9" s="41"/>
      <c r="D9" s="42"/>
      <c r="E9" s="41"/>
      <c r="F9" s="3"/>
      <c r="G9" s="55" t="s">
        <v>29</v>
      </c>
      <c r="H9" s="42"/>
    </row>
    <row r="10" ht="14.25" customHeight="1">
      <c r="A10" s="56"/>
      <c r="B10" s="50"/>
      <c r="C10" s="58"/>
      <c r="D10" s="50"/>
      <c r="E10" s="59"/>
      <c r="F10" s="50"/>
      <c r="G10" s="63">
        <f>+H23+G8</f>
        <v>717500</v>
      </c>
      <c r="H10" s="52"/>
    </row>
    <row r="11" ht="14.25" customHeight="1">
      <c r="A11" s="64" t="s">
        <v>30</v>
      </c>
      <c r="B11" s="66" t="s">
        <v>31</v>
      </c>
      <c r="C11" s="66" t="s">
        <v>32</v>
      </c>
      <c r="D11" s="68" t="s">
        <v>33</v>
      </c>
      <c r="E11" s="68" t="s">
        <v>34</v>
      </c>
      <c r="F11" s="68" t="s">
        <v>35</v>
      </c>
      <c r="G11" s="68" t="s">
        <v>36</v>
      </c>
      <c r="H11" s="69" t="s">
        <v>38</v>
      </c>
    </row>
    <row r="12" ht="15.0" customHeight="1">
      <c r="A12" s="70" t="s">
        <v>39</v>
      </c>
      <c r="B12" s="71" t="s">
        <v>40</v>
      </c>
      <c r="C12" s="72">
        <v>46221.0</v>
      </c>
      <c r="D12" s="73">
        <v>0.6326388888888889</v>
      </c>
      <c r="E12" s="70">
        <v>0.8368055555555555</v>
      </c>
      <c r="F12" s="74">
        <f t="shared" ref="F12:F22" si="1">(IF(D12&gt;E12,E12+1-D12,E12-D12))*24</f>
        <v>4.9</v>
      </c>
      <c r="G12" s="75">
        <v>0.0</v>
      </c>
      <c r="H12" s="76">
        <v>35000.0</v>
      </c>
    </row>
    <row r="13" ht="15.0" customHeight="1">
      <c r="A13" s="70" t="s">
        <v>39</v>
      </c>
      <c r="B13" s="71" t="s">
        <v>41</v>
      </c>
      <c r="C13" s="72">
        <v>46222.0</v>
      </c>
      <c r="D13" s="73">
        <v>0.2916666666666667</v>
      </c>
      <c r="E13" s="70">
        <v>0.5833333333333334</v>
      </c>
      <c r="F13" s="74">
        <f t="shared" si="1"/>
        <v>7</v>
      </c>
      <c r="G13" s="75">
        <f t="shared" ref="G13:G20" si="2">+F13-10</f>
        <v>-3</v>
      </c>
      <c r="H13" s="76">
        <v>70000.0</v>
      </c>
    </row>
    <row r="14" ht="15.0" customHeight="1">
      <c r="A14" s="70" t="s">
        <v>39</v>
      </c>
      <c r="B14" s="71" t="s">
        <v>42</v>
      </c>
      <c r="C14" s="72">
        <v>46223.0</v>
      </c>
      <c r="D14" s="73">
        <v>0.2916666666666667</v>
      </c>
      <c r="E14" s="70">
        <v>0.875</v>
      </c>
      <c r="F14" s="74">
        <f t="shared" si="1"/>
        <v>14</v>
      </c>
      <c r="G14" s="75">
        <f t="shared" si="2"/>
        <v>4</v>
      </c>
      <c r="H14" s="76">
        <v>70000.0</v>
      </c>
    </row>
    <row r="15" ht="15.0" customHeight="1">
      <c r="A15" s="70" t="s">
        <v>39</v>
      </c>
      <c r="B15" s="71" t="s">
        <v>43</v>
      </c>
      <c r="C15" s="72">
        <v>46224.0</v>
      </c>
      <c r="D15" s="73">
        <v>0.3333333333333333</v>
      </c>
      <c r="E15" s="70">
        <v>0.875</v>
      </c>
      <c r="F15" s="74">
        <f t="shared" si="1"/>
        <v>13</v>
      </c>
      <c r="G15" s="75">
        <f t="shared" si="2"/>
        <v>3</v>
      </c>
      <c r="H15" s="76">
        <v>70000.0</v>
      </c>
    </row>
    <row r="16" ht="15.0" customHeight="1">
      <c r="A16" s="70" t="s">
        <v>39</v>
      </c>
      <c r="B16" s="71" t="s">
        <v>44</v>
      </c>
      <c r="C16" s="72">
        <v>46225.0</v>
      </c>
      <c r="D16" s="73">
        <v>0.3333333333333333</v>
      </c>
      <c r="E16" s="70">
        <v>0.7916666666666666</v>
      </c>
      <c r="F16" s="74">
        <f t="shared" si="1"/>
        <v>11</v>
      </c>
      <c r="G16" s="75">
        <f t="shared" si="2"/>
        <v>1</v>
      </c>
      <c r="H16" s="76">
        <v>70000.0</v>
      </c>
    </row>
    <row r="17" ht="15.0" customHeight="1">
      <c r="A17" s="70" t="s">
        <v>39</v>
      </c>
      <c r="B17" s="71" t="s">
        <v>45</v>
      </c>
      <c r="C17" s="72">
        <v>46226.0</v>
      </c>
      <c r="D17" s="73">
        <v>0.3333333333333333</v>
      </c>
      <c r="E17" s="70">
        <v>0.7916666666666666</v>
      </c>
      <c r="F17" s="74">
        <f t="shared" si="1"/>
        <v>11</v>
      </c>
      <c r="G17" s="75">
        <f t="shared" si="2"/>
        <v>1</v>
      </c>
      <c r="H17" s="76">
        <v>70000.0</v>
      </c>
    </row>
    <row r="18" ht="15.0" customHeight="1">
      <c r="A18" s="70" t="s">
        <v>39</v>
      </c>
      <c r="B18" s="71" t="s">
        <v>46</v>
      </c>
      <c r="C18" s="72">
        <v>46227.0</v>
      </c>
      <c r="D18" s="79"/>
      <c r="E18" s="80"/>
      <c r="F18" s="74">
        <f t="shared" si="1"/>
        <v>0</v>
      </c>
      <c r="G18" s="75">
        <f t="shared" si="2"/>
        <v>-10</v>
      </c>
      <c r="H18" s="76">
        <v>70000.0</v>
      </c>
    </row>
    <row r="19" ht="15.0" customHeight="1">
      <c r="A19" s="70" t="s">
        <v>39</v>
      </c>
      <c r="B19" s="71" t="s">
        <v>47</v>
      </c>
      <c r="C19" s="72">
        <v>46228.0</v>
      </c>
      <c r="D19" s="73">
        <v>0.2916666666666667</v>
      </c>
      <c r="E19" s="70">
        <v>0.6666666666666666</v>
      </c>
      <c r="F19" s="74">
        <f t="shared" si="1"/>
        <v>9</v>
      </c>
      <c r="G19" s="75">
        <f t="shared" si="2"/>
        <v>-1</v>
      </c>
      <c r="H19" s="76">
        <v>70000.0</v>
      </c>
    </row>
    <row r="20" ht="15.0" customHeight="1">
      <c r="A20" s="70" t="s">
        <v>39</v>
      </c>
      <c r="B20" s="71" t="s">
        <v>41</v>
      </c>
      <c r="C20" s="72">
        <v>46229.0</v>
      </c>
      <c r="D20" s="73">
        <v>0.2916666666666667</v>
      </c>
      <c r="E20" s="70">
        <v>0.8125</v>
      </c>
      <c r="F20" s="74">
        <f t="shared" si="1"/>
        <v>12.5</v>
      </c>
      <c r="G20" s="75">
        <f t="shared" si="2"/>
        <v>2.5</v>
      </c>
      <c r="H20" s="76">
        <v>70000.0</v>
      </c>
    </row>
    <row r="21" ht="15.0" customHeight="1">
      <c r="A21" s="70" t="s">
        <v>39</v>
      </c>
      <c r="B21" s="71" t="s">
        <v>42</v>
      </c>
      <c r="C21" s="72">
        <v>46230.0</v>
      </c>
      <c r="D21" s="73"/>
      <c r="E21" s="70"/>
      <c r="F21" s="74">
        <f t="shared" si="1"/>
        <v>0</v>
      </c>
      <c r="G21" s="75"/>
      <c r="H21" s="76">
        <v>70000.0</v>
      </c>
    </row>
    <row r="22" ht="15.0" customHeight="1">
      <c r="A22" s="70" t="s">
        <v>39</v>
      </c>
      <c r="B22" s="71" t="s">
        <v>43</v>
      </c>
      <c r="C22" s="72">
        <v>46231.0</v>
      </c>
      <c r="D22" s="73"/>
      <c r="E22" s="70"/>
      <c r="F22" s="81">
        <f t="shared" si="1"/>
        <v>0</v>
      </c>
      <c r="G22" s="75"/>
      <c r="H22" s="76">
        <v>70000.0</v>
      </c>
    </row>
    <row r="23" ht="15.75" customHeight="1">
      <c r="A23" s="83"/>
      <c r="B23" s="84"/>
      <c r="C23" s="84"/>
      <c r="D23" s="86"/>
      <c r="E23" s="87" t="s">
        <v>48</v>
      </c>
      <c r="F23" s="88">
        <f t="shared" ref="F23:H23" si="3">SUM(F12:F22)</f>
        <v>82.4</v>
      </c>
      <c r="G23" s="88">
        <f t="shared" si="3"/>
        <v>-2.5</v>
      </c>
      <c r="H23" s="90">
        <f t="shared" si="3"/>
        <v>735000</v>
      </c>
    </row>
    <row r="24" ht="14.25" customHeight="1">
      <c r="A24" s="92"/>
      <c r="B24" s="93"/>
      <c r="C24" s="93"/>
      <c r="D24" s="93"/>
      <c r="E24" s="93"/>
      <c r="F24" s="93"/>
      <c r="G24" s="93"/>
      <c r="H24" s="94"/>
    </row>
    <row r="25" ht="27.75" customHeight="1">
      <c r="A25" s="95" t="s">
        <v>49</v>
      </c>
      <c r="B25" s="21"/>
      <c r="C25" s="19"/>
      <c r="D25" s="104"/>
      <c r="E25" s="19"/>
      <c r="F25" s="102"/>
      <c r="G25" s="21"/>
      <c r="H25" s="22"/>
    </row>
    <row r="26" ht="13.5" customHeight="1">
      <c r="A26" s="105"/>
      <c r="B26" s="105"/>
      <c r="C26" s="105"/>
      <c r="D26" s="107"/>
      <c r="E26" s="107"/>
      <c r="F26" s="108"/>
      <c r="G26" s="108"/>
      <c r="H26" s="108"/>
    </row>
    <row r="27" ht="14.25" customHeight="1">
      <c r="A27" s="109" t="s">
        <v>50</v>
      </c>
      <c r="B27" s="110"/>
      <c r="C27" s="110"/>
      <c r="D27" s="110"/>
      <c r="E27" s="111"/>
      <c r="F27" s="108"/>
      <c r="G27" s="108"/>
      <c r="H27" s="108"/>
    </row>
    <row r="28" ht="19.5" customHeight="1">
      <c r="A28" s="112">
        <v>46227.0</v>
      </c>
      <c r="B28" s="113">
        <v>1.0</v>
      </c>
      <c r="C28" s="114" t="s">
        <v>51</v>
      </c>
      <c r="D28" s="3"/>
      <c r="E28" s="115">
        <v>300000.0</v>
      </c>
    </row>
    <row r="29" ht="14.25" customHeight="1">
      <c r="A29" s="116"/>
      <c r="B29" s="117"/>
      <c r="C29" s="114"/>
      <c r="D29" s="3"/>
      <c r="E29" s="118"/>
    </row>
    <row r="30" ht="24.0" customHeight="1">
      <c r="A30" s="119" t="s">
        <v>52</v>
      </c>
      <c r="B30" s="120"/>
      <c r="C30" s="120"/>
      <c r="D30" s="50"/>
      <c r="E30" s="121">
        <f>SUM(E28:E29)</f>
        <v>300000</v>
      </c>
    </row>
    <row r="31" ht="14.25" customHeight="1"/>
    <row r="32" ht="27.0" customHeight="1">
      <c r="A32" s="122" t="s">
        <v>49</v>
      </c>
      <c r="B32" s="21"/>
      <c r="C32" s="19"/>
      <c r="D32" s="123">
        <f>+D25-E30</f>
        <v>-300000</v>
      </c>
      <c r="E32" s="19"/>
      <c r="F32" s="124"/>
      <c r="G32" s="21"/>
      <c r="H32" s="22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4:B4"/>
    <mergeCell ref="C4:E4"/>
    <mergeCell ref="F4:G4"/>
    <mergeCell ref="A5:B5"/>
    <mergeCell ref="C5:E5"/>
    <mergeCell ref="F5:F6"/>
    <mergeCell ref="C6:E6"/>
    <mergeCell ref="E8:F8"/>
    <mergeCell ref="G8:H8"/>
    <mergeCell ref="A6:B6"/>
    <mergeCell ref="A7:B7"/>
    <mergeCell ref="C7:D7"/>
    <mergeCell ref="E7:F7"/>
    <mergeCell ref="G7:H7"/>
    <mergeCell ref="A8:B8"/>
    <mergeCell ref="C8:D8"/>
    <mergeCell ref="A9:B9"/>
    <mergeCell ref="C9:D9"/>
    <mergeCell ref="E9:F9"/>
    <mergeCell ref="G9:H9"/>
    <mergeCell ref="A10:B10"/>
    <mergeCell ref="E10:F10"/>
    <mergeCell ref="G10:H10"/>
    <mergeCell ref="C28:D28"/>
    <mergeCell ref="C29:D29"/>
    <mergeCell ref="A30:D30"/>
    <mergeCell ref="A32:C32"/>
    <mergeCell ref="D32:E32"/>
    <mergeCell ref="F32:H32"/>
    <mergeCell ref="C10:D10"/>
    <mergeCell ref="A23:D23"/>
    <mergeCell ref="A24:H24"/>
    <mergeCell ref="A25:C25"/>
    <mergeCell ref="D25:E25"/>
    <mergeCell ref="F25:H25"/>
    <mergeCell ref="A27:E2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4.14"/>
    <col customWidth="1" min="3" max="3" width="14.29"/>
    <col customWidth="1" min="4" max="4" width="13.43"/>
    <col customWidth="1" min="5" max="5" width="14.29"/>
    <col customWidth="1" min="6" max="6" width="12.0"/>
    <col customWidth="1" min="7" max="7" width="11.43"/>
    <col customWidth="1" min="8" max="8" width="17.57"/>
    <col customWidth="1" min="9" max="26" width="10.71"/>
  </cols>
  <sheetData>
    <row r="1" ht="14.25" customHeight="1">
      <c r="A1" s="13"/>
      <c r="B1" s="14"/>
      <c r="C1" s="14"/>
      <c r="D1" s="14"/>
      <c r="E1" s="14"/>
      <c r="F1" s="14"/>
      <c r="G1" s="14"/>
      <c r="H1" s="15"/>
    </row>
    <row r="2" ht="14.25" customHeight="1">
      <c r="A2" s="16"/>
      <c r="H2" s="17"/>
    </row>
    <row r="3" ht="14.25" customHeight="1">
      <c r="A3" s="16"/>
      <c r="H3" s="17"/>
    </row>
    <row r="4" ht="30.0" customHeight="1">
      <c r="A4" s="18" t="s">
        <v>16</v>
      </c>
      <c r="B4" s="19"/>
      <c r="C4" s="20" t="s">
        <v>17</v>
      </c>
      <c r="D4" s="21"/>
      <c r="E4" s="22"/>
      <c r="F4" s="23" t="s">
        <v>18</v>
      </c>
      <c r="G4" s="24"/>
      <c r="H4" s="25">
        <v>2026.0</v>
      </c>
    </row>
    <row r="5" ht="18.75" customHeight="1">
      <c r="A5" s="26" t="s">
        <v>19</v>
      </c>
      <c r="B5" s="27"/>
      <c r="C5" s="26" t="s">
        <v>21</v>
      </c>
      <c r="D5" s="29"/>
      <c r="E5" s="30"/>
      <c r="F5" s="31" t="s">
        <v>20</v>
      </c>
      <c r="G5" s="32">
        <v>35000.0</v>
      </c>
      <c r="H5" s="32" t="s">
        <v>22</v>
      </c>
    </row>
    <row r="6" ht="22.5" customHeight="1">
      <c r="A6" s="33" t="s">
        <v>23</v>
      </c>
      <c r="B6" s="3"/>
      <c r="C6" s="40">
        <v>4.2220918E7</v>
      </c>
      <c r="D6" s="2"/>
      <c r="E6" s="3"/>
      <c r="F6" s="38"/>
      <c r="G6" s="39">
        <v>70000.0</v>
      </c>
      <c r="H6" s="32" t="s">
        <v>24</v>
      </c>
    </row>
    <row r="7" ht="14.25" customHeight="1">
      <c r="A7" s="41" t="s">
        <v>25</v>
      </c>
      <c r="B7" s="42"/>
      <c r="C7" s="41" t="s">
        <v>26</v>
      </c>
      <c r="D7" s="42"/>
      <c r="E7" s="41" t="s">
        <v>27</v>
      </c>
      <c r="F7" s="3"/>
      <c r="G7" s="45" t="s">
        <v>28</v>
      </c>
      <c r="H7" s="42"/>
    </row>
    <row r="8" ht="14.25" customHeight="1">
      <c r="A8" s="46">
        <f>+F24</f>
        <v>82.4</v>
      </c>
      <c r="B8" s="3"/>
      <c r="C8" s="48">
        <f>+G24-C10</f>
        <v>-2.5</v>
      </c>
      <c r="D8" s="3"/>
      <c r="E8" s="49">
        <v>7000.0</v>
      </c>
      <c r="F8" s="52"/>
      <c r="G8" s="53">
        <f>+C8*E8+C10*E10</f>
        <v>-17500</v>
      </c>
      <c r="H8" s="42"/>
    </row>
    <row r="9" ht="14.25" customHeight="1">
      <c r="A9" s="41"/>
      <c r="B9" s="42"/>
      <c r="C9" s="41"/>
      <c r="D9" s="42"/>
      <c r="E9" s="57"/>
      <c r="F9" s="30"/>
      <c r="G9" s="55" t="s">
        <v>29</v>
      </c>
      <c r="H9" s="42"/>
    </row>
    <row r="10" ht="14.25" customHeight="1">
      <c r="A10" s="56"/>
      <c r="B10" s="50"/>
      <c r="C10" s="60"/>
      <c r="D10" s="50"/>
      <c r="E10" s="59"/>
      <c r="F10" s="50"/>
      <c r="G10" s="65">
        <f>+G8+H24</f>
        <v>647500</v>
      </c>
      <c r="H10" s="52"/>
    </row>
    <row r="11" ht="14.25" customHeight="1">
      <c r="A11" s="64" t="s">
        <v>30</v>
      </c>
      <c r="B11" s="66" t="s">
        <v>31</v>
      </c>
      <c r="C11" s="68" t="s">
        <v>32</v>
      </c>
      <c r="D11" s="68" t="s">
        <v>33</v>
      </c>
      <c r="E11" s="68" t="s">
        <v>34</v>
      </c>
      <c r="F11" s="68" t="s">
        <v>37</v>
      </c>
      <c r="G11" s="68" t="s">
        <v>36</v>
      </c>
      <c r="H11" s="69" t="s">
        <v>38</v>
      </c>
    </row>
    <row r="12" ht="14.25" customHeight="1">
      <c r="A12" s="70" t="s">
        <v>39</v>
      </c>
      <c r="B12" s="71" t="s">
        <v>40</v>
      </c>
      <c r="C12" s="72">
        <v>46221.0</v>
      </c>
      <c r="D12" s="73">
        <v>0.6326388888888889</v>
      </c>
      <c r="E12" s="70">
        <v>0.8368055555555555</v>
      </c>
      <c r="F12" s="74">
        <f t="shared" ref="F12:F23" si="1">(IF(D12&gt;E12,E12+1-D12,E12-D12))*24</f>
        <v>4.9</v>
      </c>
      <c r="G12" s="75">
        <v>0.0</v>
      </c>
      <c r="H12" s="76">
        <v>35000.0</v>
      </c>
    </row>
    <row r="13" ht="14.25" customHeight="1">
      <c r="A13" s="70" t="s">
        <v>39</v>
      </c>
      <c r="B13" s="71" t="s">
        <v>41</v>
      </c>
      <c r="C13" s="72">
        <v>46222.0</v>
      </c>
      <c r="D13" s="73">
        <v>0.2916666666666667</v>
      </c>
      <c r="E13" s="70">
        <v>0.5833333333333334</v>
      </c>
      <c r="F13" s="74">
        <f t="shared" si="1"/>
        <v>7</v>
      </c>
      <c r="G13" s="75">
        <f t="shared" ref="G13:G20" si="2">+F13-10</f>
        <v>-3</v>
      </c>
      <c r="H13" s="76">
        <v>70000.0</v>
      </c>
    </row>
    <row r="14" ht="14.25" customHeight="1">
      <c r="A14" s="70" t="s">
        <v>39</v>
      </c>
      <c r="B14" s="71" t="s">
        <v>42</v>
      </c>
      <c r="C14" s="72">
        <v>46223.0</v>
      </c>
      <c r="D14" s="73">
        <v>0.2916666666666667</v>
      </c>
      <c r="E14" s="70">
        <v>0.875</v>
      </c>
      <c r="F14" s="74">
        <f t="shared" si="1"/>
        <v>14</v>
      </c>
      <c r="G14" s="75">
        <f t="shared" si="2"/>
        <v>4</v>
      </c>
      <c r="H14" s="76">
        <v>70000.0</v>
      </c>
    </row>
    <row r="15" ht="14.25" customHeight="1">
      <c r="A15" s="70" t="s">
        <v>39</v>
      </c>
      <c r="B15" s="71" t="s">
        <v>43</v>
      </c>
      <c r="C15" s="72">
        <v>46224.0</v>
      </c>
      <c r="D15" s="73">
        <v>0.3333333333333333</v>
      </c>
      <c r="E15" s="70">
        <v>0.875</v>
      </c>
      <c r="F15" s="74">
        <f t="shared" si="1"/>
        <v>13</v>
      </c>
      <c r="G15" s="75">
        <f t="shared" si="2"/>
        <v>3</v>
      </c>
      <c r="H15" s="76">
        <v>70000.0</v>
      </c>
    </row>
    <row r="16" ht="14.25" customHeight="1">
      <c r="A16" s="70" t="s">
        <v>39</v>
      </c>
      <c r="B16" s="71" t="s">
        <v>44</v>
      </c>
      <c r="C16" s="72">
        <v>46225.0</v>
      </c>
      <c r="D16" s="73">
        <v>0.3333333333333333</v>
      </c>
      <c r="E16" s="70">
        <v>0.7916666666666666</v>
      </c>
      <c r="F16" s="74">
        <f t="shared" si="1"/>
        <v>11</v>
      </c>
      <c r="G16" s="75">
        <f t="shared" si="2"/>
        <v>1</v>
      </c>
      <c r="H16" s="76">
        <v>70000.0</v>
      </c>
    </row>
    <row r="17" ht="14.25" customHeight="1">
      <c r="A17" s="70" t="s">
        <v>39</v>
      </c>
      <c r="B17" s="71" t="s">
        <v>45</v>
      </c>
      <c r="C17" s="72">
        <v>46226.0</v>
      </c>
      <c r="D17" s="73">
        <v>0.3333333333333333</v>
      </c>
      <c r="E17" s="70">
        <v>0.7916666666666666</v>
      </c>
      <c r="F17" s="74">
        <f t="shared" si="1"/>
        <v>11</v>
      </c>
      <c r="G17" s="75">
        <f t="shared" si="2"/>
        <v>1</v>
      </c>
      <c r="H17" s="76">
        <v>70000.0</v>
      </c>
    </row>
    <row r="18" ht="14.25" customHeight="1">
      <c r="A18" s="70" t="s">
        <v>39</v>
      </c>
      <c r="B18" s="71" t="s">
        <v>46</v>
      </c>
      <c r="C18" s="72">
        <v>46227.0</v>
      </c>
      <c r="D18" s="80"/>
      <c r="E18" s="80"/>
      <c r="F18" s="74">
        <f t="shared" si="1"/>
        <v>0</v>
      </c>
      <c r="G18" s="75">
        <f t="shared" si="2"/>
        <v>-10</v>
      </c>
      <c r="H18" s="76">
        <v>70000.0</v>
      </c>
    </row>
    <row r="19" ht="14.25" customHeight="1">
      <c r="A19" s="70" t="s">
        <v>39</v>
      </c>
      <c r="B19" s="71" t="s">
        <v>47</v>
      </c>
      <c r="C19" s="72">
        <v>46228.0</v>
      </c>
      <c r="D19" s="70">
        <v>0.6666666666666666</v>
      </c>
      <c r="E19" s="70">
        <v>0.125</v>
      </c>
      <c r="F19" s="74">
        <f t="shared" si="1"/>
        <v>11</v>
      </c>
      <c r="G19" s="75">
        <f t="shared" si="2"/>
        <v>1</v>
      </c>
      <c r="H19" s="76">
        <v>70000.0</v>
      </c>
    </row>
    <row r="20" ht="14.25" customHeight="1">
      <c r="A20" s="70" t="s">
        <v>39</v>
      </c>
      <c r="B20" s="71" t="s">
        <v>41</v>
      </c>
      <c r="C20" s="72">
        <v>46229.0</v>
      </c>
      <c r="D20" s="70">
        <v>0.375</v>
      </c>
      <c r="E20" s="70">
        <v>0.8125</v>
      </c>
      <c r="F20" s="74">
        <f t="shared" si="1"/>
        <v>10.5</v>
      </c>
      <c r="G20" s="75">
        <f t="shared" si="2"/>
        <v>0.5</v>
      </c>
      <c r="H20" s="76">
        <v>70000.0</v>
      </c>
    </row>
    <row r="21" ht="14.25" customHeight="1">
      <c r="A21" s="70" t="s">
        <v>39</v>
      </c>
      <c r="B21" s="71" t="s">
        <v>42</v>
      </c>
      <c r="C21" s="72">
        <v>46230.0</v>
      </c>
      <c r="D21" s="70"/>
      <c r="E21" s="70"/>
      <c r="F21" s="74">
        <f t="shared" si="1"/>
        <v>0</v>
      </c>
      <c r="G21" s="75"/>
      <c r="H21" s="76">
        <v>70000.0</v>
      </c>
    </row>
    <row r="22" ht="14.25" customHeight="1">
      <c r="A22" s="70" t="s">
        <v>39</v>
      </c>
      <c r="B22" s="71" t="s">
        <v>43</v>
      </c>
      <c r="C22" s="72">
        <v>46231.0</v>
      </c>
      <c r="D22" s="70"/>
      <c r="E22" s="70"/>
      <c r="F22" s="74">
        <f t="shared" si="1"/>
        <v>0</v>
      </c>
      <c r="G22" s="75"/>
      <c r="H22" s="76">
        <v>0.0</v>
      </c>
    </row>
    <row r="23" ht="14.25" customHeight="1">
      <c r="A23" s="70"/>
      <c r="B23" s="71"/>
      <c r="C23" s="72"/>
      <c r="D23" s="70"/>
      <c r="E23" s="70"/>
      <c r="F23" s="74">
        <f t="shared" si="1"/>
        <v>0</v>
      </c>
      <c r="G23" s="75"/>
      <c r="H23" s="76"/>
    </row>
    <row r="24" ht="18.0" customHeight="1">
      <c r="A24" s="89"/>
      <c r="B24" s="36"/>
      <c r="C24" s="36"/>
      <c r="D24" s="37"/>
      <c r="E24" s="91" t="s">
        <v>48</v>
      </c>
      <c r="F24" s="88">
        <f t="shared" ref="F24:H24" si="3">SUM(F12:F23)</f>
        <v>82.4</v>
      </c>
      <c r="G24" s="88">
        <f t="shared" si="3"/>
        <v>-2.5</v>
      </c>
      <c r="H24" s="90">
        <f t="shared" si="3"/>
        <v>665000</v>
      </c>
    </row>
    <row r="25" ht="18.0" customHeight="1">
      <c r="A25" s="96"/>
      <c r="B25" s="97"/>
      <c r="C25" s="98"/>
      <c r="D25" s="100"/>
      <c r="E25" s="101"/>
      <c r="F25" s="103"/>
      <c r="G25" s="103"/>
      <c r="H25" s="106"/>
    </row>
    <row r="26" ht="31.5" customHeight="1">
      <c r="A26" s="95" t="s">
        <v>49</v>
      </c>
      <c r="B26" s="21"/>
      <c r="C26" s="19"/>
      <c r="D26" s="104">
        <f>+G10</f>
        <v>647500</v>
      </c>
      <c r="E26" s="19"/>
      <c r="F26" s="102"/>
      <c r="G26" s="21"/>
      <c r="H26" s="22"/>
    </row>
    <row r="27" ht="14.25" customHeight="1">
      <c r="A27" s="105"/>
      <c r="B27" s="105"/>
      <c r="C27" s="105"/>
      <c r="D27" s="107"/>
      <c r="E27" s="107"/>
      <c r="F27" s="108"/>
      <c r="G27" s="108"/>
      <c r="H27" s="108"/>
    </row>
    <row r="28" ht="14.25" customHeight="1">
      <c r="A28" s="109" t="s">
        <v>50</v>
      </c>
      <c r="B28" s="110"/>
      <c r="C28" s="110"/>
      <c r="D28" s="110"/>
      <c r="E28" s="111"/>
      <c r="F28" s="108"/>
      <c r="G28" s="108"/>
      <c r="H28" s="108"/>
    </row>
    <row r="29" ht="18.75" customHeight="1">
      <c r="A29" s="112">
        <v>46227.0</v>
      </c>
      <c r="B29" s="113">
        <v>1.0</v>
      </c>
      <c r="C29" s="114" t="s">
        <v>51</v>
      </c>
      <c r="D29" s="3"/>
      <c r="E29" s="115">
        <v>300000.0</v>
      </c>
    </row>
    <row r="30" ht="14.25" customHeight="1">
      <c r="A30" s="116"/>
      <c r="B30" s="117"/>
      <c r="C30" s="114"/>
      <c r="D30" s="3"/>
      <c r="E30" s="118"/>
    </row>
    <row r="31" ht="14.25" customHeight="1">
      <c r="A31" s="119" t="s">
        <v>52</v>
      </c>
      <c r="B31" s="120"/>
      <c r="C31" s="120"/>
      <c r="D31" s="50"/>
      <c r="E31" s="121">
        <f>SUM(E29:E30)</f>
        <v>300000</v>
      </c>
    </row>
    <row r="32" ht="14.25" customHeight="1"/>
    <row r="33" ht="33.0" customHeight="1">
      <c r="A33" s="122" t="s">
        <v>49</v>
      </c>
      <c r="B33" s="21"/>
      <c r="C33" s="19"/>
      <c r="D33" s="123">
        <f>+D26-E31</f>
        <v>347500</v>
      </c>
      <c r="E33" s="19"/>
      <c r="F33" s="124"/>
      <c r="G33" s="21"/>
      <c r="H33" s="22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">
    <mergeCell ref="A4:B4"/>
    <mergeCell ref="C4:E4"/>
    <mergeCell ref="F4:G4"/>
    <mergeCell ref="A5:B5"/>
    <mergeCell ref="C5:E5"/>
    <mergeCell ref="F5:F6"/>
    <mergeCell ref="C6:E6"/>
    <mergeCell ref="E8:F8"/>
    <mergeCell ref="G8:H8"/>
    <mergeCell ref="A6:B6"/>
    <mergeCell ref="A7:B7"/>
    <mergeCell ref="C7:D7"/>
    <mergeCell ref="E7:F7"/>
    <mergeCell ref="G7:H7"/>
    <mergeCell ref="A8:B8"/>
    <mergeCell ref="C8:D8"/>
    <mergeCell ref="A9:B9"/>
    <mergeCell ref="C9:D9"/>
    <mergeCell ref="E9:F9"/>
    <mergeCell ref="G9:H9"/>
    <mergeCell ref="A10:B10"/>
    <mergeCell ref="E10:F10"/>
    <mergeCell ref="G10:H10"/>
    <mergeCell ref="C30:D30"/>
    <mergeCell ref="A31:D31"/>
    <mergeCell ref="A33:C33"/>
    <mergeCell ref="D33:E33"/>
    <mergeCell ref="F33:H33"/>
    <mergeCell ref="C10:D10"/>
    <mergeCell ref="A24:D24"/>
    <mergeCell ref="A26:C26"/>
    <mergeCell ref="D26:E26"/>
    <mergeCell ref="F26:H26"/>
    <mergeCell ref="A28:E28"/>
    <mergeCell ref="C29:D29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4.86"/>
    <col customWidth="1" min="3" max="3" width="13.14"/>
    <col customWidth="1" min="4" max="4" width="16.71"/>
    <col customWidth="1" min="5" max="5" width="14.71"/>
    <col customWidth="1" min="6" max="6" width="13.71"/>
    <col customWidth="1" min="7" max="7" width="11.43"/>
    <col customWidth="1" min="8" max="8" width="17.29"/>
    <col customWidth="1" min="9" max="26" width="10.71"/>
  </cols>
  <sheetData>
    <row r="1" ht="14.25" customHeight="1">
      <c r="A1" s="13"/>
      <c r="B1" s="14"/>
      <c r="C1" s="14"/>
      <c r="D1" s="14"/>
      <c r="E1" s="14"/>
      <c r="F1" s="14"/>
      <c r="G1" s="14"/>
      <c r="H1" s="15"/>
    </row>
    <row r="2" ht="14.25" customHeight="1">
      <c r="A2" s="16"/>
      <c r="B2" s="61"/>
      <c r="C2" s="61"/>
      <c r="D2" s="61"/>
      <c r="E2" s="61"/>
      <c r="F2" s="61"/>
      <c r="G2" s="61"/>
      <c r="H2" s="17"/>
    </row>
    <row r="3" ht="14.25" customHeight="1">
      <c r="A3" s="16"/>
      <c r="B3" s="61"/>
      <c r="C3" s="61"/>
      <c r="D3" s="61"/>
      <c r="E3" s="61"/>
      <c r="F3" s="61"/>
      <c r="G3" s="61"/>
      <c r="H3" s="17"/>
    </row>
    <row r="4" ht="30.0" customHeight="1">
      <c r="A4" s="18" t="s">
        <v>16</v>
      </c>
      <c r="B4" s="19"/>
      <c r="C4" s="20" t="s">
        <v>17</v>
      </c>
      <c r="D4" s="21"/>
      <c r="E4" s="22"/>
      <c r="F4" s="23" t="s">
        <v>18</v>
      </c>
      <c r="G4" s="24"/>
      <c r="H4" s="25">
        <v>2026.0</v>
      </c>
    </row>
    <row r="5" ht="19.5" customHeight="1">
      <c r="A5" s="26" t="s">
        <v>19</v>
      </c>
      <c r="B5" s="27"/>
      <c r="C5" s="28" t="s">
        <v>7</v>
      </c>
      <c r="D5" s="29"/>
      <c r="E5" s="30"/>
      <c r="F5" s="31" t="s">
        <v>20</v>
      </c>
      <c r="G5" s="32">
        <v>35000.0</v>
      </c>
      <c r="H5" s="32" t="s">
        <v>22</v>
      </c>
    </row>
    <row r="6" ht="19.5" customHeight="1">
      <c r="A6" s="33" t="s">
        <v>23</v>
      </c>
      <c r="B6" s="34"/>
      <c r="C6" s="35">
        <v>4.6260094E7</v>
      </c>
      <c r="D6" s="36"/>
      <c r="E6" s="37"/>
      <c r="F6" s="38"/>
      <c r="G6" s="39">
        <v>70000.0</v>
      </c>
      <c r="H6" s="32" t="s">
        <v>24</v>
      </c>
    </row>
    <row r="7" ht="15.0" customHeight="1">
      <c r="A7" s="41" t="s">
        <v>25</v>
      </c>
      <c r="B7" s="42"/>
      <c r="C7" s="41" t="s">
        <v>26</v>
      </c>
      <c r="D7" s="42"/>
      <c r="E7" s="41" t="s">
        <v>27</v>
      </c>
      <c r="F7" s="3"/>
      <c r="G7" s="43" t="s">
        <v>28</v>
      </c>
      <c r="H7" s="44"/>
    </row>
    <row r="8" ht="15.0" customHeight="1">
      <c r="A8" s="46">
        <f>+F25</f>
        <v>82.4</v>
      </c>
      <c r="B8" s="3"/>
      <c r="C8" s="48">
        <f>+G25</f>
        <v>-42.5</v>
      </c>
      <c r="D8" s="3"/>
      <c r="E8" s="77">
        <v>7000.0</v>
      </c>
      <c r="F8" s="42"/>
      <c r="G8" s="54">
        <f>+C8*E8</f>
        <v>-297500</v>
      </c>
      <c r="H8" s="42"/>
    </row>
    <row r="9" ht="15.0" customHeight="1">
      <c r="A9" s="41"/>
      <c r="B9" s="3"/>
      <c r="C9" s="45"/>
      <c r="D9" s="3"/>
      <c r="E9" s="41"/>
      <c r="F9" s="3"/>
      <c r="G9" s="55" t="s">
        <v>29</v>
      </c>
      <c r="H9" s="42"/>
    </row>
    <row r="10" ht="15.0" customHeight="1">
      <c r="A10" s="56"/>
      <c r="B10" s="50"/>
      <c r="C10" s="78"/>
      <c r="D10" s="50"/>
      <c r="E10" s="51"/>
      <c r="F10" s="42"/>
      <c r="G10" s="67">
        <f>+H25+G8</f>
        <v>577500</v>
      </c>
      <c r="H10" s="52"/>
    </row>
    <row r="11" ht="14.25" customHeight="1">
      <c r="A11" s="64" t="s">
        <v>30</v>
      </c>
      <c r="B11" s="66" t="s">
        <v>31</v>
      </c>
      <c r="C11" s="66" t="s">
        <v>32</v>
      </c>
      <c r="D11" s="68" t="s">
        <v>33</v>
      </c>
      <c r="E11" s="68" t="s">
        <v>34</v>
      </c>
      <c r="F11" s="68" t="s">
        <v>35</v>
      </c>
      <c r="G11" s="68" t="s">
        <v>36</v>
      </c>
      <c r="H11" s="69" t="s">
        <v>38</v>
      </c>
    </row>
    <row r="12" ht="14.25" customHeight="1">
      <c r="A12" s="70" t="s">
        <v>39</v>
      </c>
      <c r="B12" s="71" t="s">
        <v>40</v>
      </c>
      <c r="C12" s="72">
        <v>46221.0</v>
      </c>
      <c r="D12" s="73">
        <v>0.6326388888888889</v>
      </c>
      <c r="E12" s="70">
        <v>0.8368055555555555</v>
      </c>
      <c r="F12" s="74">
        <f t="shared" ref="F12:F24" si="1">(IF(D12&gt;E12,E12+1-D12,E12-D12))*24</f>
        <v>4.9</v>
      </c>
      <c r="G12" s="75">
        <v>0.0</v>
      </c>
      <c r="H12" s="76">
        <v>35000.0</v>
      </c>
    </row>
    <row r="13" ht="14.25" customHeight="1">
      <c r="A13" s="70" t="s">
        <v>39</v>
      </c>
      <c r="B13" s="71" t="s">
        <v>41</v>
      </c>
      <c r="C13" s="72">
        <v>46222.0</v>
      </c>
      <c r="D13" s="73">
        <v>0.2916666666666667</v>
      </c>
      <c r="E13" s="70">
        <v>0.5833333333333334</v>
      </c>
      <c r="F13" s="74">
        <f t="shared" si="1"/>
        <v>7</v>
      </c>
      <c r="G13" s="75">
        <f t="shared" ref="G13:G24" si="2">+F13-10</f>
        <v>-3</v>
      </c>
      <c r="H13" s="76">
        <v>70000.0</v>
      </c>
    </row>
    <row r="14" ht="14.25" customHeight="1">
      <c r="A14" s="70" t="s">
        <v>39</v>
      </c>
      <c r="B14" s="71" t="s">
        <v>42</v>
      </c>
      <c r="C14" s="72">
        <v>46223.0</v>
      </c>
      <c r="D14" s="73">
        <v>0.2916666666666667</v>
      </c>
      <c r="E14" s="70">
        <v>0.875</v>
      </c>
      <c r="F14" s="74">
        <f t="shared" si="1"/>
        <v>14</v>
      </c>
      <c r="G14" s="75">
        <f t="shared" si="2"/>
        <v>4</v>
      </c>
      <c r="H14" s="76">
        <v>70000.0</v>
      </c>
    </row>
    <row r="15" ht="14.25" customHeight="1">
      <c r="A15" s="70" t="s">
        <v>39</v>
      </c>
      <c r="B15" s="71" t="s">
        <v>43</v>
      </c>
      <c r="C15" s="72">
        <v>46224.0</v>
      </c>
      <c r="D15" s="73">
        <v>0.3333333333333333</v>
      </c>
      <c r="E15" s="70">
        <v>0.875</v>
      </c>
      <c r="F15" s="74">
        <f t="shared" si="1"/>
        <v>13</v>
      </c>
      <c r="G15" s="75">
        <f t="shared" si="2"/>
        <v>3</v>
      </c>
      <c r="H15" s="76">
        <v>70000.0</v>
      </c>
    </row>
    <row r="16" ht="14.25" customHeight="1">
      <c r="A16" s="70" t="s">
        <v>39</v>
      </c>
      <c r="B16" s="71" t="s">
        <v>44</v>
      </c>
      <c r="C16" s="72">
        <v>46225.0</v>
      </c>
      <c r="D16" s="73">
        <v>0.3333333333333333</v>
      </c>
      <c r="E16" s="70">
        <v>0.7916666666666666</v>
      </c>
      <c r="F16" s="74">
        <f t="shared" si="1"/>
        <v>11</v>
      </c>
      <c r="G16" s="75">
        <f t="shared" si="2"/>
        <v>1</v>
      </c>
      <c r="H16" s="76">
        <v>70000.0</v>
      </c>
    </row>
    <row r="17" ht="14.25" customHeight="1">
      <c r="A17" s="70" t="s">
        <v>39</v>
      </c>
      <c r="B17" s="71" t="s">
        <v>45</v>
      </c>
      <c r="C17" s="72">
        <v>46226.0</v>
      </c>
      <c r="D17" s="73">
        <v>0.3333333333333333</v>
      </c>
      <c r="E17" s="70">
        <v>0.7916666666666666</v>
      </c>
      <c r="F17" s="74">
        <f t="shared" si="1"/>
        <v>11</v>
      </c>
      <c r="G17" s="75">
        <f t="shared" si="2"/>
        <v>1</v>
      </c>
      <c r="H17" s="76">
        <v>70000.0</v>
      </c>
    </row>
    <row r="18" ht="14.25" customHeight="1">
      <c r="A18" s="70" t="s">
        <v>39</v>
      </c>
      <c r="B18" s="71" t="s">
        <v>46</v>
      </c>
      <c r="C18" s="72">
        <v>46227.0</v>
      </c>
      <c r="D18" s="79"/>
      <c r="E18" s="80"/>
      <c r="F18" s="74">
        <f t="shared" si="1"/>
        <v>0</v>
      </c>
      <c r="G18" s="75">
        <f t="shared" si="2"/>
        <v>-10</v>
      </c>
      <c r="H18" s="76">
        <v>70000.0</v>
      </c>
    </row>
    <row r="19" ht="14.25" customHeight="1">
      <c r="A19" s="70" t="s">
        <v>39</v>
      </c>
      <c r="B19" s="71" t="s">
        <v>47</v>
      </c>
      <c r="C19" s="72">
        <v>46228.0</v>
      </c>
      <c r="D19" s="73">
        <v>0.2916666666666667</v>
      </c>
      <c r="E19" s="70">
        <v>0.6666666666666666</v>
      </c>
      <c r="F19" s="74">
        <f t="shared" si="1"/>
        <v>9</v>
      </c>
      <c r="G19" s="75">
        <f t="shared" si="2"/>
        <v>-1</v>
      </c>
      <c r="H19" s="76">
        <v>70000.0</v>
      </c>
    </row>
    <row r="20" ht="14.25" customHeight="1">
      <c r="A20" s="70" t="s">
        <v>39</v>
      </c>
      <c r="B20" s="71" t="s">
        <v>41</v>
      </c>
      <c r="C20" s="72">
        <v>46229.0</v>
      </c>
      <c r="D20" s="73">
        <v>0.2916666666666667</v>
      </c>
      <c r="E20" s="70">
        <v>0.8125</v>
      </c>
      <c r="F20" s="74">
        <f t="shared" si="1"/>
        <v>12.5</v>
      </c>
      <c r="G20" s="75">
        <f t="shared" si="2"/>
        <v>2.5</v>
      </c>
      <c r="H20" s="76">
        <v>70000.0</v>
      </c>
    </row>
    <row r="21" ht="14.25" customHeight="1">
      <c r="A21" s="70" t="s">
        <v>39</v>
      </c>
      <c r="B21" s="71" t="s">
        <v>42</v>
      </c>
      <c r="C21" s="72">
        <v>46230.0</v>
      </c>
      <c r="D21" s="73"/>
      <c r="E21" s="70"/>
      <c r="F21" s="74">
        <f t="shared" si="1"/>
        <v>0</v>
      </c>
      <c r="G21" s="75">
        <f t="shared" si="2"/>
        <v>-10</v>
      </c>
      <c r="H21" s="76">
        <v>70000.0</v>
      </c>
    </row>
    <row r="22" ht="13.5" customHeight="1">
      <c r="A22" s="70"/>
      <c r="B22" s="71"/>
      <c r="C22" s="72"/>
      <c r="D22" s="73"/>
      <c r="E22" s="70"/>
      <c r="F22" s="81">
        <f t="shared" si="1"/>
        <v>0</v>
      </c>
      <c r="G22" s="75">
        <f t="shared" si="2"/>
        <v>-10</v>
      </c>
      <c r="H22" s="76">
        <v>70000.0</v>
      </c>
    </row>
    <row r="23" ht="14.25" customHeight="1">
      <c r="A23" s="70"/>
      <c r="B23" s="71"/>
      <c r="C23" s="72"/>
      <c r="D23" s="73"/>
      <c r="E23" s="70"/>
      <c r="F23" s="81">
        <f t="shared" si="1"/>
        <v>0</v>
      </c>
      <c r="G23" s="75">
        <f t="shared" si="2"/>
        <v>-10</v>
      </c>
      <c r="H23" s="76">
        <v>70000.0</v>
      </c>
    </row>
    <row r="24" ht="14.25" customHeight="1">
      <c r="A24" s="70"/>
      <c r="B24" s="71"/>
      <c r="C24" s="72"/>
      <c r="D24" s="73"/>
      <c r="E24" s="70"/>
      <c r="F24" s="81">
        <f t="shared" si="1"/>
        <v>0</v>
      </c>
      <c r="G24" s="75">
        <f t="shared" si="2"/>
        <v>-10</v>
      </c>
      <c r="H24" s="76">
        <v>70000.0</v>
      </c>
    </row>
    <row r="25" ht="19.5" customHeight="1">
      <c r="A25" s="82"/>
      <c r="B25" s="2"/>
      <c r="C25" s="2"/>
      <c r="D25" s="3"/>
      <c r="E25" s="91" t="s">
        <v>48</v>
      </c>
      <c r="F25" s="88">
        <f t="shared" ref="F25:H25" si="3">SUM(F12:F24)</f>
        <v>82.4</v>
      </c>
      <c r="G25" s="88">
        <f t="shared" si="3"/>
        <v>-42.5</v>
      </c>
      <c r="H25" s="90">
        <f t="shared" si="3"/>
        <v>875000</v>
      </c>
    </row>
    <row r="26" ht="14.25" customHeight="1">
      <c r="A26" s="125"/>
      <c r="B26" s="126"/>
      <c r="C26" s="98"/>
      <c r="D26" s="100"/>
      <c r="E26" s="101"/>
      <c r="F26" s="103"/>
      <c r="G26" s="103"/>
      <c r="H26" s="106"/>
    </row>
    <row r="27" ht="29.25" customHeight="1">
      <c r="A27" s="95" t="s">
        <v>49</v>
      </c>
      <c r="B27" s="21"/>
      <c r="C27" s="19"/>
      <c r="D27" s="104"/>
      <c r="E27" s="19"/>
      <c r="F27" s="102"/>
      <c r="G27" s="21"/>
      <c r="H27" s="22"/>
    </row>
    <row r="28" ht="16.5" customHeight="1">
      <c r="A28" s="105"/>
      <c r="B28" s="105"/>
      <c r="C28" s="105"/>
      <c r="D28" s="107"/>
      <c r="E28" s="107"/>
      <c r="F28" s="108"/>
      <c r="G28" s="108"/>
      <c r="H28" s="108"/>
    </row>
    <row r="29" ht="14.25" customHeight="1">
      <c r="A29" s="109" t="s">
        <v>50</v>
      </c>
      <c r="B29" s="110"/>
      <c r="C29" s="110"/>
      <c r="D29" s="110"/>
      <c r="E29" s="111"/>
      <c r="F29" s="108"/>
      <c r="G29" s="108"/>
      <c r="H29" s="108"/>
    </row>
    <row r="30" ht="14.25" customHeight="1">
      <c r="A30" s="112">
        <v>46227.0</v>
      </c>
      <c r="B30" s="113">
        <v>1.0</v>
      </c>
      <c r="C30" s="114" t="s">
        <v>51</v>
      </c>
      <c r="D30" s="3"/>
      <c r="E30" s="115">
        <v>300000.0</v>
      </c>
    </row>
    <row r="31" ht="14.25" customHeight="1">
      <c r="A31" s="116"/>
      <c r="B31" s="117"/>
      <c r="C31" s="114"/>
      <c r="D31" s="3"/>
      <c r="E31" s="118"/>
    </row>
    <row r="32" ht="14.25" customHeight="1">
      <c r="A32" s="119" t="s">
        <v>52</v>
      </c>
      <c r="B32" s="120"/>
      <c r="C32" s="120"/>
      <c r="D32" s="50"/>
      <c r="E32" s="121">
        <f>SUM(E30:E31)</f>
        <v>300000</v>
      </c>
    </row>
    <row r="33" ht="14.25" customHeight="1"/>
    <row r="34" ht="22.5" customHeight="1">
      <c r="A34" s="122" t="s">
        <v>49</v>
      </c>
      <c r="B34" s="21"/>
      <c r="C34" s="19"/>
      <c r="D34" s="123">
        <f>+D27-E32</f>
        <v>-300000</v>
      </c>
      <c r="E34" s="19"/>
      <c r="F34" s="124"/>
      <c r="G34" s="21"/>
      <c r="H34" s="22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">
    <mergeCell ref="A4:B4"/>
    <mergeCell ref="C4:E4"/>
    <mergeCell ref="F4:G4"/>
    <mergeCell ref="A5:B5"/>
    <mergeCell ref="C5:E5"/>
    <mergeCell ref="F5:F6"/>
    <mergeCell ref="C6:E6"/>
    <mergeCell ref="E8:F8"/>
    <mergeCell ref="G8:H8"/>
    <mergeCell ref="A6:B6"/>
    <mergeCell ref="A7:B7"/>
    <mergeCell ref="C7:D7"/>
    <mergeCell ref="E7:F7"/>
    <mergeCell ref="G7:H7"/>
    <mergeCell ref="A8:B8"/>
    <mergeCell ref="C8:D8"/>
    <mergeCell ref="A9:B9"/>
    <mergeCell ref="C9:D9"/>
    <mergeCell ref="E9:F9"/>
    <mergeCell ref="G9:H9"/>
    <mergeCell ref="A10:B10"/>
    <mergeCell ref="E10:F10"/>
    <mergeCell ref="G10:H10"/>
    <mergeCell ref="C31:D31"/>
    <mergeCell ref="A32:D32"/>
    <mergeCell ref="A34:C34"/>
    <mergeCell ref="D34:E34"/>
    <mergeCell ref="F34:H34"/>
    <mergeCell ref="C10:D10"/>
    <mergeCell ref="A25:D25"/>
    <mergeCell ref="A27:C27"/>
    <mergeCell ref="D27:E27"/>
    <mergeCell ref="F27:H27"/>
    <mergeCell ref="A29:E29"/>
    <mergeCell ref="C30:D30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 fitToPage="1"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5.86"/>
    <col customWidth="1" min="3" max="3" width="13.71"/>
    <col customWidth="1" min="4" max="4" width="16.57"/>
    <col customWidth="1" min="5" max="5" width="15.71"/>
    <col customWidth="1" min="6" max="6" width="12.0"/>
    <col customWidth="1" min="7" max="7" width="10.71"/>
    <col customWidth="1" min="8" max="8" width="17.71"/>
    <col customWidth="1" min="9" max="26" width="10.71"/>
  </cols>
  <sheetData>
    <row r="1" ht="14.25" customHeight="1">
      <c r="A1" s="13"/>
      <c r="B1" s="14"/>
      <c r="C1" s="14"/>
      <c r="D1" s="14"/>
      <c r="E1" s="14"/>
      <c r="F1" s="14"/>
      <c r="G1" s="14"/>
      <c r="H1" s="15"/>
    </row>
    <row r="2" ht="14.25" customHeight="1">
      <c r="A2" s="16"/>
      <c r="H2" s="17"/>
    </row>
    <row r="3" ht="14.25" customHeight="1">
      <c r="A3" s="16"/>
      <c r="H3" s="17"/>
    </row>
    <row r="4" ht="23.25" customHeight="1">
      <c r="A4" s="18" t="s">
        <v>16</v>
      </c>
      <c r="B4" s="19"/>
      <c r="C4" s="20" t="s">
        <v>17</v>
      </c>
      <c r="D4" s="21"/>
      <c r="E4" s="22"/>
      <c r="F4" s="23" t="s">
        <v>18</v>
      </c>
      <c r="G4" s="24"/>
      <c r="H4" s="25">
        <v>2026.0</v>
      </c>
    </row>
    <row r="5" ht="17.25" customHeight="1">
      <c r="A5" s="26" t="s">
        <v>19</v>
      </c>
      <c r="B5" s="27"/>
      <c r="C5" s="26" t="s">
        <v>53</v>
      </c>
      <c r="D5" s="29"/>
      <c r="E5" s="30"/>
      <c r="F5" s="31" t="s">
        <v>20</v>
      </c>
      <c r="G5" s="32">
        <v>35000.0</v>
      </c>
      <c r="H5" s="32" t="s">
        <v>54</v>
      </c>
    </row>
    <row r="6" ht="19.5" customHeight="1">
      <c r="A6" s="33" t="s">
        <v>23</v>
      </c>
      <c r="B6" s="34"/>
      <c r="C6" s="127">
        <v>3.8115457E7</v>
      </c>
      <c r="D6" s="36"/>
      <c r="E6" s="37"/>
      <c r="F6" s="38"/>
      <c r="G6" s="32">
        <v>70000.0</v>
      </c>
      <c r="H6" s="32" t="s">
        <v>24</v>
      </c>
    </row>
    <row r="7" ht="14.25" customHeight="1">
      <c r="A7" s="41" t="s">
        <v>25</v>
      </c>
      <c r="B7" s="42"/>
      <c r="C7" s="41" t="s">
        <v>26</v>
      </c>
      <c r="D7" s="42"/>
      <c r="E7" s="41" t="s">
        <v>27</v>
      </c>
      <c r="F7" s="3"/>
      <c r="G7" s="43" t="s">
        <v>28</v>
      </c>
      <c r="H7" s="44"/>
    </row>
    <row r="8" ht="14.25" customHeight="1">
      <c r="A8" s="46">
        <f>+F23</f>
        <v>82.08333333</v>
      </c>
      <c r="B8" s="3"/>
      <c r="C8" s="48">
        <f>+G23</f>
        <v>-2.5</v>
      </c>
      <c r="D8" s="3"/>
      <c r="E8" s="77">
        <v>7000.0</v>
      </c>
      <c r="F8" s="42"/>
      <c r="G8" s="54">
        <f>+C8*E8+C10*E10</f>
        <v>-17500</v>
      </c>
      <c r="H8" s="42"/>
    </row>
    <row r="9" ht="18.0" customHeight="1">
      <c r="A9" s="41"/>
      <c r="B9" s="3"/>
      <c r="C9" s="41"/>
      <c r="D9" s="42"/>
      <c r="E9" s="41"/>
      <c r="F9" s="3"/>
      <c r="G9" s="128" t="s">
        <v>29</v>
      </c>
      <c r="H9" s="42"/>
    </row>
    <row r="10" ht="14.25" customHeight="1">
      <c r="A10" s="56"/>
      <c r="B10" s="50"/>
      <c r="C10" s="78"/>
      <c r="D10" s="50"/>
      <c r="E10" s="51"/>
      <c r="F10" s="42"/>
      <c r="G10" s="67">
        <f>+G8+H23</f>
        <v>647500</v>
      </c>
      <c r="H10" s="52"/>
    </row>
    <row r="11" ht="14.25" customHeight="1">
      <c r="A11" s="130" t="s">
        <v>30</v>
      </c>
      <c r="B11" s="68" t="s">
        <v>31</v>
      </c>
      <c r="C11" s="68" t="s">
        <v>32</v>
      </c>
      <c r="D11" s="68" t="s">
        <v>33</v>
      </c>
      <c r="E11" s="68" t="s">
        <v>34</v>
      </c>
      <c r="F11" s="68" t="s">
        <v>35</v>
      </c>
      <c r="G11" s="68" t="s">
        <v>36</v>
      </c>
      <c r="H11" s="69"/>
    </row>
    <row r="12" ht="14.25" customHeight="1">
      <c r="A12" s="70" t="s">
        <v>39</v>
      </c>
      <c r="B12" s="71" t="s">
        <v>40</v>
      </c>
      <c r="C12" s="72">
        <v>46221.0</v>
      </c>
      <c r="D12" s="73">
        <v>0.6458333333333334</v>
      </c>
      <c r="E12" s="70">
        <v>0.8368055555555555</v>
      </c>
      <c r="F12" s="74">
        <f t="shared" ref="F12:F22" si="1">(IF(D12&gt;E12,E12+1-D12,E12-D12))*24</f>
        <v>4.583333333</v>
      </c>
      <c r="G12" s="75">
        <v>0.0</v>
      </c>
      <c r="H12" s="76">
        <v>35000.0</v>
      </c>
    </row>
    <row r="13" ht="14.25" customHeight="1">
      <c r="A13" s="70" t="s">
        <v>39</v>
      </c>
      <c r="B13" s="71" t="s">
        <v>41</v>
      </c>
      <c r="C13" s="72">
        <v>46222.0</v>
      </c>
      <c r="D13" s="73">
        <v>0.2916666666666667</v>
      </c>
      <c r="E13" s="70">
        <v>0.5833333333333334</v>
      </c>
      <c r="F13" s="74">
        <f t="shared" si="1"/>
        <v>7</v>
      </c>
      <c r="G13" s="75">
        <f t="shared" ref="G13:G20" si="2">+F13-10</f>
        <v>-3</v>
      </c>
      <c r="H13" s="76">
        <v>70000.0</v>
      </c>
    </row>
    <row r="14" ht="14.25" customHeight="1">
      <c r="A14" s="70" t="s">
        <v>39</v>
      </c>
      <c r="B14" s="71" t="s">
        <v>42</v>
      </c>
      <c r="C14" s="72">
        <v>46223.0</v>
      </c>
      <c r="D14" s="73">
        <v>0.2916666666666667</v>
      </c>
      <c r="E14" s="70">
        <v>0.875</v>
      </c>
      <c r="F14" s="74">
        <f t="shared" si="1"/>
        <v>14</v>
      </c>
      <c r="G14" s="75">
        <f t="shared" si="2"/>
        <v>4</v>
      </c>
      <c r="H14" s="76">
        <v>70000.0</v>
      </c>
    </row>
    <row r="15" ht="14.25" customHeight="1">
      <c r="A15" s="70" t="s">
        <v>39</v>
      </c>
      <c r="B15" s="71" t="s">
        <v>43</v>
      </c>
      <c r="C15" s="72">
        <v>46224.0</v>
      </c>
      <c r="D15" s="73">
        <v>0.3333333333333333</v>
      </c>
      <c r="E15" s="70">
        <v>0.875</v>
      </c>
      <c r="F15" s="74">
        <f t="shared" si="1"/>
        <v>13</v>
      </c>
      <c r="G15" s="75">
        <f t="shared" si="2"/>
        <v>3</v>
      </c>
      <c r="H15" s="76">
        <v>70000.0</v>
      </c>
    </row>
    <row r="16" ht="14.25" customHeight="1">
      <c r="A16" s="70" t="s">
        <v>39</v>
      </c>
      <c r="B16" s="71" t="s">
        <v>44</v>
      </c>
      <c r="C16" s="72">
        <v>46225.0</v>
      </c>
      <c r="D16" s="73">
        <v>0.3333333333333333</v>
      </c>
      <c r="E16" s="70">
        <v>0.7916666666666666</v>
      </c>
      <c r="F16" s="74">
        <f t="shared" si="1"/>
        <v>11</v>
      </c>
      <c r="G16" s="75">
        <f t="shared" si="2"/>
        <v>1</v>
      </c>
      <c r="H16" s="76">
        <v>70000.0</v>
      </c>
    </row>
    <row r="17" ht="14.25" customHeight="1">
      <c r="A17" s="70" t="s">
        <v>39</v>
      </c>
      <c r="B17" s="71" t="s">
        <v>45</v>
      </c>
      <c r="C17" s="72">
        <v>46226.0</v>
      </c>
      <c r="D17" s="73">
        <v>0.3333333333333333</v>
      </c>
      <c r="E17" s="70">
        <v>0.7916666666666666</v>
      </c>
      <c r="F17" s="74">
        <f t="shared" si="1"/>
        <v>11</v>
      </c>
      <c r="G17" s="75">
        <f t="shared" si="2"/>
        <v>1</v>
      </c>
      <c r="H17" s="76">
        <v>70000.0</v>
      </c>
    </row>
    <row r="18" ht="14.25" customHeight="1">
      <c r="A18" s="70" t="s">
        <v>39</v>
      </c>
      <c r="B18" s="71" t="s">
        <v>46</v>
      </c>
      <c r="C18" s="72">
        <v>46227.0</v>
      </c>
      <c r="D18" s="79"/>
      <c r="E18" s="80"/>
      <c r="F18" s="74">
        <f t="shared" si="1"/>
        <v>0</v>
      </c>
      <c r="G18" s="75">
        <f t="shared" si="2"/>
        <v>-10</v>
      </c>
      <c r="H18" s="76">
        <v>70000.0</v>
      </c>
    </row>
    <row r="19" ht="14.25" customHeight="1">
      <c r="A19" s="70" t="s">
        <v>39</v>
      </c>
      <c r="B19" s="71" t="s">
        <v>47</v>
      </c>
      <c r="C19" s="72">
        <v>46228.0</v>
      </c>
      <c r="D19" s="73">
        <v>0.6666666666666666</v>
      </c>
      <c r="E19" s="70">
        <v>0.125</v>
      </c>
      <c r="F19" s="74">
        <f t="shared" si="1"/>
        <v>11</v>
      </c>
      <c r="G19" s="75">
        <f t="shared" si="2"/>
        <v>1</v>
      </c>
      <c r="H19" s="76">
        <v>70000.0</v>
      </c>
    </row>
    <row r="20" ht="14.25" customHeight="1">
      <c r="A20" s="70" t="s">
        <v>39</v>
      </c>
      <c r="B20" s="71" t="s">
        <v>41</v>
      </c>
      <c r="C20" s="72">
        <v>46229.0</v>
      </c>
      <c r="D20" s="73">
        <v>0.375</v>
      </c>
      <c r="E20" s="70">
        <v>0.8125</v>
      </c>
      <c r="F20" s="74">
        <f t="shared" si="1"/>
        <v>10.5</v>
      </c>
      <c r="G20" s="75">
        <f t="shared" si="2"/>
        <v>0.5</v>
      </c>
      <c r="H20" s="76">
        <v>70000.0</v>
      </c>
    </row>
    <row r="21" ht="14.25" customHeight="1">
      <c r="A21" s="70" t="s">
        <v>39</v>
      </c>
      <c r="B21" s="71" t="s">
        <v>42</v>
      </c>
      <c r="C21" s="72">
        <v>46230.0</v>
      </c>
      <c r="D21" s="73"/>
      <c r="E21" s="70"/>
      <c r="F21" s="74">
        <f t="shared" si="1"/>
        <v>0</v>
      </c>
      <c r="G21" s="75"/>
      <c r="H21" s="76">
        <v>70000.0</v>
      </c>
    </row>
    <row r="22" ht="14.25" customHeight="1">
      <c r="A22" s="70" t="s">
        <v>39</v>
      </c>
      <c r="B22" s="71" t="s">
        <v>43</v>
      </c>
      <c r="C22" s="72">
        <v>46231.0</v>
      </c>
      <c r="D22" s="73"/>
      <c r="E22" s="70"/>
      <c r="F22" s="74">
        <f t="shared" si="1"/>
        <v>0</v>
      </c>
      <c r="G22" s="75"/>
      <c r="H22" s="140"/>
    </row>
    <row r="23" ht="18.75" customHeight="1">
      <c r="A23" s="141"/>
      <c r="B23" s="120"/>
      <c r="C23" s="120"/>
      <c r="D23" s="50"/>
      <c r="E23" s="142" t="s">
        <v>48</v>
      </c>
      <c r="F23" s="143">
        <f t="shared" ref="F23:H23" si="3">SUM(F12:F22)</f>
        <v>82.08333333</v>
      </c>
      <c r="G23" s="143">
        <f t="shared" si="3"/>
        <v>-2.5</v>
      </c>
      <c r="H23" s="144">
        <f t="shared" si="3"/>
        <v>665000</v>
      </c>
    </row>
    <row r="24" ht="14.25" customHeight="1">
      <c r="A24" s="145"/>
      <c r="B24" s="145"/>
      <c r="C24" s="146"/>
      <c r="D24" s="147"/>
      <c r="E24" s="148"/>
      <c r="F24" s="149"/>
      <c r="G24" s="149"/>
      <c r="H24" s="150"/>
    </row>
    <row r="25" ht="29.25" customHeight="1">
      <c r="A25" s="95" t="s">
        <v>49</v>
      </c>
      <c r="B25" s="21"/>
      <c r="C25" s="19"/>
      <c r="D25" s="104"/>
      <c r="E25" s="19"/>
      <c r="F25" s="102"/>
      <c r="G25" s="21"/>
      <c r="H25" s="22"/>
    </row>
    <row r="26" ht="13.5" customHeight="1">
      <c r="A26" s="105"/>
      <c r="B26" s="105"/>
      <c r="C26" s="105"/>
      <c r="D26" s="107"/>
      <c r="E26" s="107"/>
      <c r="F26" s="108"/>
      <c r="G26" s="108"/>
      <c r="H26" s="108"/>
    </row>
    <row r="27" ht="14.25" customHeight="1">
      <c r="A27" s="109" t="s">
        <v>50</v>
      </c>
      <c r="B27" s="110"/>
      <c r="C27" s="110"/>
      <c r="D27" s="110"/>
      <c r="E27" s="111"/>
      <c r="F27" s="108"/>
      <c r="G27" s="108"/>
      <c r="H27" s="108"/>
    </row>
    <row r="28" ht="18.75" customHeight="1">
      <c r="A28" s="112">
        <v>46227.0</v>
      </c>
      <c r="B28" s="113">
        <v>1.0</v>
      </c>
      <c r="C28" s="114" t="s">
        <v>51</v>
      </c>
      <c r="D28" s="3"/>
      <c r="E28" s="115">
        <v>250000.0</v>
      </c>
    </row>
    <row r="29" ht="14.25" customHeight="1">
      <c r="A29" s="116"/>
      <c r="B29" s="117"/>
      <c r="C29" s="114"/>
      <c r="D29" s="3"/>
      <c r="E29" s="118"/>
    </row>
    <row r="30" ht="14.25" customHeight="1">
      <c r="A30" s="119" t="s">
        <v>52</v>
      </c>
      <c r="B30" s="120"/>
      <c r="C30" s="120"/>
      <c r="D30" s="50"/>
      <c r="E30" s="121">
        <f>SUM(E28:E29)</f>
        <v>250000</v>
      </c>
    </row>
    <row r="31" ht="14.25" customHeight="1"/>
    <row r="32" ht="29.25" customHeight="1">
      <c r="A32" s="122" t="s">
        <v>49</v>
      </c>
      <c r="B32" s="21"/>
      <c r="C32" s="19"/>
      <c r="D32" s="123">
        <f>+D25-E30</f>
        <v>-250000</v>
      </c>
      <c r="E32" s="19"/>
      <c r="F32" s="124"/>
      <c r="G32" s="21"/>
      <c r="H32" s="22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">
    <mergeCell ref="A4:B4"/>
    <mergeCell ref="C4:E4"/>
    <mergeCell ref="F4:G4"/>
    <mergeCell ref="A5:B5"/>
    <mergeCell ref="C5:E5"/>
    <mergeCell ref="F5:F6"/>
    <mergeCell ref="C6:E6"/>
    <mergeCell ref="E8:F8"/>
    <mergeCell ref="G8:H8"/>
    <mergeCell ref="A6:B6"/>
    <mergeCell ref="A7:B7"/>
    <mergeCell ref="C7:D7"/>
    <mergeCell ref="E7:F7"/>
    <mergeCell ref="G7:H7"/>
    <mergeCell ref="A8:B8"/>
    <mergeCell ref="C8:D8"/>
    <mergeCell ref="A9:B9"/>
    <mergeCell ref="C9:D9"/>
    <mergeCell ref="E9:F9"/>
    <mergeCell ref="G9:H9"/>
    <mergeCell ref="A10:B10"/>
    <mergeCell ref="E10:F10"/>
    <mergeCell ref="G10:H10"/>
    <mergeCell ref="C29:D29"/>
    <mergeCell ref="A30:D30"/>
    <mergeCell ref="A32:C32"/>
    <mergeCell ref="D32:E32"/>
    <mergeCell ref="F32:H32"/>
    <mergeCell ref="C10:D10"/>
    <mergeCell ref="A23:D23"/>
    <mergeCell ref="A25:C25"/>
    <mergeCell ref="D25:E25"/>
    <mergeCell ref="F25:H25"/>
    <mergeCell ref="A27:E27"/>
    <mergeCell ref="C28:D28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3.57"/>
    <col customWidth="1" min="3" max="3" width="13.71"/>
    <col customWidth="1" min="4" max="4" width="14.71"/>
    <col customWidth="1" min="5" max="5" width="15.71"/>
    <col customWidth="1" min="6" max="6" width="14.0"/>
    <col customWidth="1" min="7" max="7" width="13.29"/>
    <col customWidth="1" min="8" max="8" width="15.29"/>
    <col customWidth="1" min="9" max="26" width="10.71"/>
  </cols>
  <sheetData>
    <row r="1" ht="14.25" customHeight="1"/>
    <row r="2" ht="14.25" customHeight="1"/>
    <row r="3" ht="14.25" customHeight="1"/>
    <row r="4" ht="23.25" customHeight="1">
      <c r="A4" s="18" t="s">
        <v>16</v>
      </c>
      <c r="B4" s="19"/>
      <c r="C4" s="20" t="s">
        <v>17</v>
      </c>
      <c r="D4" s="21"/>
      <c r="E4" s="22"/>
      <c r="F4" s="23" t="s">
        <v>18</v>
      </c>
      <c r="G4" s="24"/>
      <c r="H4" s="25">
        <v>2026.0</v>
      </c>
    </row>
    <row r="5" ht="21.75" customHeight="1">
      <c r="A5" s="26" t="s">
        <v>19</v>
      </c>
      <c r="B5" s="27"/>
      <c r="C5" s="28" t="s">
        <v>9</v>
      </c>
      <c r="D5" s="29"/>
      <c r="E5" s="30"/>
      <c r="F5" s="31" t="s">
        <v>20</v>
      </c>
      <c r="G5" s="32">
        <v>35000.0</v>
      </c>
      <c r="H5" s="32" t="s">
        <v>54</v>
      </c>
    </row>
    <row r="6" ht="24.0" customHeight="1">
      <c r="A6" s="33" t="s">
        <v>23</v>
      </c>
      <c r="B6" s="34"/>
      <c r="C6" s="35">
        <v>3.80791E7</v>
      </c>
      <c r="D6" s="36"/>
      <c r="E6" s="37"/>
      <c r="F6" s="38"/>
      <c r="G6" s="39">
        <v>70000.0</v>
      </c>
      <c r="H6" s="32" t="s">
        <v>24</v>
      </c>
    </row>
    <row r="7" ht="14.25" customHeight="1">
      <c r="A7" s="41" t="s">
        <v>25</v>
      </c>
      <c r="B7" s="42"/>
      <c r="C7" s="41" t="s">
        <v>26</v>
      </c>
      <c r="D7" s="42"/>
      <c r="E7" s="41" t="s">
        <v>27</v>
      </c>
      <c r="F7" s="3"/>
      <c r="G7" s="43" t="s">
        <v>28</v>
      </c>
      <c r="H7" s="44"/>
    </row>
    <row r="8" ht="14.25" customHeight="1">
      <c r="A8" s="46">
        <f>+F23</f>
        <v>82.4</v>
      </c>
      <c r="B8" s="3"/>
      <c r="C8" s="48">
        <f>+G23</f>
        <v>-12.5</v>
      </c>
      <c r="D8" s="3"/>
      <c r="E8" s="51">
        <v>7000.0</v>
      </c>
      <c r="F8" s="42"/>
      <c r="G8" s="54">
        <f>+C8*E8+C10*E10</f>
        <v>-87500</v>
      </c>
      <c r="H8" s="42"/>
    </row>
    <row r="9" ht="14.25" customHeight="1">
      <c r="A9" s="41"/>
      <c r="B9" s="3"/>
      <c r="C9" s="45"/>
      <c r="D9" s="3"/>
      <c r="E9" s="41"/>
      <c r="F9" s="3"/>
      <c r="G9" s="55" t="s">
        <v>29</v>
      </c>
      <c r="H9" s="42"/>
    </row>
    <row r="10" ht="14.25" customHeight="1">
      <c r="A10" s="129"/>
      <c r="B10" s="131"/>
      <c r="C10" s="132"/>
      <c r="D10" s="133"/>
      <c r="E10" s="134"/>
      <c r="F10" s="137"/>
      <c r="G10" s="139">
        <f>+H23+G8</f>
        <v>577500</v>
      </c>
      <c r="H10" s="52"/>
    </row>
    <row r="11" ht="14.25" customHeight="1">
      <c r="A11" s="64" t="s">
        <v>30</v>
      </c>
      <c r="B11" s="66" t="s">
        <v>31</v>
      </c>
      <c r="C11" s="66" t="s">
        <v>32</v>
      </c>
      <c r="D11" s="68" t="s">
        <v>33</v>
      </c>
      <c r="E11" s="68" t="s">
        <v>34</v>
      </c>
      <c r="F11" s="68" t="s">
        <v>37</v>
      </c>
      <c r="G11" s="68" t="s">
        <v>36</v>
      </c>
      <c r="H11" s="69" t="s">
        <v>38</v>
      </c>
    </row>
    <row r="12" ht="15.0" customHeight="1">
      <c r="A12" s="70" t="s">
        <v>39</v>
      </c>
      <c r="B12" s="71" t="s">
        <v>40</v>
      </c>
      <c r="C12" s="72">
        <v>46221.0</v>
      </c>
      <c r="D12" s="73">
        <v>0.6326388888888889</v>
      </c>
      <c r="E12" s="70">
        <v>0.8368055555555555</v>
      </c>
      <c r="F12" s="74">
        <f t="shared" ref="F12:F22" si="1">(IF(D12&gt;E12,E12+1-D12,E12-D12))*24</f>
        <v>4.9</v>
      </c>
      <c r="G12" s="75">
        <v>0.0</v>
      </c>
      <c r="H12" s="76">
        <v>35000.0</v>
      </c>
    </row>
    <row r="13" ht="15.0" customHeight="1">
      <c r="A13" s="70" t="s">
        <v>39</v>
      </c>
      <c r="B13" s="71" t="s">
        <v>41</v>
      </c>
      <c r="C13" s="72">
        <v>46222.0</v>
      </c>
      <c r="D13" s="73">
        <v>0.2916666666666667</v>
      </c>
      <c r="E13" s="70">
        <v>0.5833333333333334</v>
      </c>
      <c r="F13" s="74">
        <f t="shared" si="1"/>
        <v>7</v>
      </c>
      <c r="G13" s="75">
        <f t="shared" ref="G13:G21" si="2">+F13-10</f>
        <v>-3</v>
      </c>
      <c r="H13" s="76">
        <v>70000.0</v>
      </c>
    </row>
    <row r="14" ht="15.0" customHeight="1">
      <c r="A14" s="70" t="s">
        <v>39</v>
      </c>
      <c r="B14" s="71" t="s">
        <v>42</v>
      </c>
      <c r="C14" s="72">
        <v>46223.0</v>
      </c>
      <c r="D14" s="73">
        <v>0.2916666666666667</v>
      </c>
      <c r="E14" s="70">
        <v>0.875</v>
      </c>
      <c r="F14" s="74">
        <f t="shared" si="1"/>
        <v>14</v>
      </c>
      <c r="G14" s="75">
        <f t="shared" si="2"/>
        <v>4</v>
      </c>
      <c r="H14" s="76">
        <v>70000.0</v>
      </c>
    </row>
    <row r="15" ht="15.0" customHeight="1">
      <c r="A15" s="70" t="s">
        <v>39</v>
      </c>
      <c r="B15" s="71" t="s">
        <v>43</v>
      </c>
      <c r="C15" s="72">
        <v>46224.0</v>
      </c>
      <c r="D15" s="73">
        <v>0.3333333333333333</v>
      </c>
      <c r="E15" s="70">
        <v>0.875</v>
      </c>
      <c r="F15" s="74">
        <f t="shared" si="1"/>
        <v>13</v>
      </c>
      <c r="G15" s="75">
        <f t="shared" si="2"/>
        <v>3</v>
      </c>
      <c r="H15" s="76">
        <v>70000.0</v>
      </c>
    </row>
    <row r="16" ht="15.0" customHeight="1">
      <c r="A16" s="70" t="s">
        <v>39</v>
      </c>
      <c r="B16" s="71" t="s">
        <v>44</v>
      </c>
      <c r="C16" s="72">
        <v>46225.0</v>
      </c>
      <c r="D16" s="73">
        <v>0.3333333333333333</v>
      </c>
      <c r="E16" s="70">
        <v>0.7916666666666666</v>
      </c>
      <c r="F16" s="74">
        <f t="shared" si="1"/>
        <v>11</v>
      </c>
      <c r="G16" s="75">
        <f t="shared" si="2"/>
        <v>1</v>
      </c>
      <c r="H16" s="76">
        <v>70000.0</v>
      </c>
    </row>
    <row r="17" ht="15.0" customHeight="1">
      <c r="A17" s="70" t="s">
        <v>39</v>
      </c>
      <c r="B17" s="71" t="s">
        <v>45</v>
      </c>
      <c r="C17" s="72">
        <v>46226.0</v>
      </c>
      <c r="D17" s="73">
        <v>0.3333333333333333</v>
      </c>
      <c r="E17" s="70">
        <v>0.7916666666666666</v>
      </c>
      <c r="F17" s="74">
        <f t="shared" si="1"/>
        <v>11</v>
      </c>
      <c r="G17" s="75">
        <f t="shared" si="2"/>
        <v>1</v>
      </c>
      <c r="H17" s="76">
        <v>70000.0</v>
      </c>
    </row>
    <row r="18" ht="15.0" customHeight="1">
      <c r="A18" s="70" t="s">
        <v>39</v>
      </c>
      <c r="B18" s="71" t="s">
        <v>46</v>
      </c>
      <c r="C18" s="72">
        <v>46227.0</v>
      </c>
      <c r="D18" s="79"/>
      <c r="E18" s="80"/>
      <c r="F18" s="74">
        <f t="shared" si="1"/>
        <v>0</v>
      </c>
      <c r="G18" s="75">
        <f t="shared" si="2"/>
        <v>-10</v>
      </c>
      <c r="H18" s="76">
        <v>70000.0</v>
      </c>
    </row>
    <row r="19" ht="15.0" customHeight="1">
      <c r="A19" s="70" t="s">
        <v>39</v>
      </c>
      <c r="B19" s="71" t="s">
        <v>47</v>
      </c>
      <c r="C19" s="72">
        <v>46228.0</v>
      </c>
      <c r="D19" s="73">
        <v>0.2916666666666667</v>
      </c>
      <c r="E19" s="70">
        <v>0.6666666666666666</v>
      </c>
      <c r="F19" s="74">
        <f t="shared" si="1"/>
        <v>9</v>
      </c>
      <c r="G19" s="75">
        <f t="shared" si="2"/>
        <v>-1</v>
      </c>
      <c r="H19" s="76">
        <v>70000.0</v>
      </c>
    </row>
    <row r="20" ht="15.0" customHeight="1">
      <c r="A20" s="70" t="s">
        <v>39</v>
      </c>
      <c r="B20" s="71" t="s">
        <v>41</v>
      </c>
      <c r="C20" s="72">
        <v>46229.0</v>
      </c>
      <c r="D20" s="73">
        <v>0.2916666666666667</v>
      </c>
      <c r="E20" s="70">
        <v>0.8125</v>
      </c>
      <c r="F20" s="74">
        <f t="shared" si="1"/>
        <v>12.5</v>
      </c>
      <c r="G20" s="75">
        <f t="shared" si="2"/>
        <v>2.5</v>
      </c>
      <c r="H20" s="76">
        <v>70000.0</v>
      </c>
    </row>
    <row r="21" ht="15.0" customHeight="1">
      <c r="A21" s="70" t="s">
        <v>39</v>
      </c>
      <c r="B21" s="71" t="s">
        <v>42</v>
      </c>
      <c r="C21" s="72">
        <v>46230.0</v>
      </c>
      <c r="D21" s="73"/>
      <c r="E21" s="70"/>
      <c r="F21" s="74">
        <f t="shared" si="1"/>
        <v>0</v>
      </c>
      <c r="G21" s="75">
        <f t="shared" si="2"/>
        <v>-10</v>
      </c>
      <c r="H21" s="76">
        <v>70000.0</v>
      </c>
    </row>
    <row r="22" ht="15.0" customHeight="1">
      <c r="A22" s="70" t="s">
        <v>39</v>
      </c>
      <c r="B22" s="71" t="s">
        <v>43</v>
      </c>
      <c r="C22" s="72">
        <v>46231.0</v>
      </c>
      <c r="D22" s="73"/>
      <c r="E22" s="70"/>
      <c r="F22" s="74">
        <f t="shared" si="1"/>
        <v>0</v>
      </c>
      <c r="G22" s="75"/>
      <c r="H22" s="76"/>
    </row>
    <row r="23" ht="14.25" customHeight="1">
      <c r="A23" s="82"/>
      <c r="B23" s="2"/>
      <c r="C23" s="2"/>
      <c r="D23" s="3"/>
      <c r="E23" s="85" t="s">
        <v>48</v>
      </c>
      <c r="F23" s="88">
        <f t="shared" ref="F23:H23" si="3">SUM(F12:F22)</f>
        <v>82.4</v>
      </c>
      <c r="G23" s="88">
        <f t="shared" si="3"/>
        <v>-12.5</v>
      </c>
      <c r="H23" s="90">
        <f t="shared" si="3"/>
        <v>665000</v>
      </c>
    </row>
    <row r="24" ht="14.25" customHeight="1">
      <c r="A24" s="92"/>
      <c r="B24" s="93"/>
      <c r="C24" s="93"/>
      <c r="D24" s="93"/>
      <c r="E24" s="93"/>
      <c r="F24" s="93"/>
      <c r="G24" s="93"/>
      <c r="H24" s="94"/>
    </row>
    <row r="25" ht="14.25" customHeight="1">
      <c r="A25" s="95" t="s">
        <v>49</v>
      </c>
      <c r="B25" s="21"/>
      <c r="C25" s="19"/>
      <c r="D25" s="104"/>
      <c r="E25" s="19"/>
      <c r="F25" s="151"/>
      <c r="G25" s="21"/>
      <c r="H25" s="22"/>
    </row>
    <row r="26" ht="14.25" customHeight="1">
      <c r="A26" s="105"/>
      <c r="B26" s="105"/>
      <c r="C26" s="105"/>
      <c r="D26" s="107"/>
      <c r="E26" s="107"/>
      <c r="F26" s="108"/>
      <c r="G26" s="108"/>
      <c r="H26" s="108"/>
    </row>
    <row r="27" ht="14.25" customHeight="1">
      <c r="A27" s="109" t="s">
        <v>50</v>
      </c>
      <c r="B27" s="110"/>
      <c r="C27" s="110"/>
      <c r="D27" s="110"/>
      <c r="E27" s="111"/>
      <c r="F27" s="108"/>
      <c r="G27" s="108"/>
      <c r="H27" s="108"/>
    </row>
    <row r="28" ht="14.25" customHeight="1">
      <c r="A28" s="112">
        <v>46227.0</v>
      </c>
      <c r="B28" s="113">
        <v>1.0</v>
      </c>
      <c r="C28" s="114" t="s">
        <v>51</v>
      </c>
      <c r="D28" s="3"/>
      <c r="E28" s="115">
        <v>150000.0</v>
      </c>
    </row>
    <row r="29" ht="14.25" customHeight="1">
      <c r="A29" s="116"/>
      <c r="B29" s="117"/>
      <c r="C29" s="114"/>
      <c r="D29" s="3"/>
      <c r="E29" s="118"/>
    </row>
    <row r="30" ht="14.25" customHeight="1">
      <c r="A30" s="119" t="s">
        <v>52</v>
      </c>
      <c r="B30" s="120"/>
      <c r="C30" s="120"/>
      <c r="D30" s="50"/>
      <c r="E30" s="121">
        <f>SUM(E28:E29)</f>
        <v>150000</v>
      </c>
    </row>
    <row r="31" ht="14.25" customHeight="1"/>
    <row r="32" ht="25.5" customHeight="1">
      <c r="A32" s="122" t="s">
        <v>49</v>
      </c>
      <c r="B32" s="21"/>
      <c r="C32" s="19"/>
      <c r="D32" s="123"/>
      <c r="E32" s="19"/>
      <c r="F32" s="124"/>
      <c r="G32" s="21"/>
      <c r="H32" s="22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3">
    <mergeCell ref="A4:B4"/>
    <mergeCell ref="C4:E4"/>
    <mergeCell ref="F4:G4"/>
    <mergeCell ref="A5:B5"/>
    <mergeCell ref="C5:E5"/>
    <mergeCell ref="F5:F6"/>
    <mergeCell ref="C6:E6"/>
    <mergeCell ref="E8:F8"/>
    <mergeCell ref="G8:H8"/>
    <mergeCell ref="A6:B6"/>
    <mergeCell ref="A7:B7"/>
    <mergeCell ref="C7:D7"/>
    <mergeCell ref="E7:F7"/>
    <mergeCell ref="G7:H7"/>
    <mergeCell ref="A8:B8"/>
    <mergeCell ref="C8:D8"/>
    <mergeCell ref="A9:B9"/>
    <mergeCell ref="C9:D9"/>
    <mergeCell ref="E9:F9"/>
    <mergeCell ref="G9:H9"/>
    <mergeCell ref="G10:H10"/>
    <mergeCell ref="A23:D23"/>
    <mergeCell ref="A24:H24"/>
    <mergeCell ref="A32:C32"/>
    <mergeCell ref="D32:E32"/>
    <mergeCell ref="F32:H32"/>
    <mergeCell ref="A25:C25"/>
    <mergeCell ref="D25:E25"/>
    <mergeCell ref="F25:H25"/>
    <mergeCell ref="A27:E27"/>
    <mergeCell ref="C28:D28"/>
    <mergeCell ref="C29:D29"/>
    <mergeCell ref="A30:D3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4.71"/>
    <col customWidth="1" min="3" max="3" width="10.71"/>
    <col customWidth="1" min="4" max="5" width="15.71"/>
    <col customWidth="1" min="6" max="6" width="10.71"/>
    <col customWidth="1" min="7" max="7" width="12.71"/>
    <col customWidth="1" min="8" max="8" width="17.29"/>
    <col customWidth="1" min="9" max="26" width="10.71"/>
  </cols>
  <sheetData>
    <row r="1" ht="14.25" customHeight="1">
      <c r="A1" s="13"/>
      <c r="B1" s="14"/>
      <c r="C1" s="14"/>
      <c r="D1" s="14"/>
      <c r="E1" s="14"/>
      <c r="F1" s="14"/>
      <c r="G1" s="14"/>
      <c r="H1" s="15"/>
    </row>
    <row r="2" ht="14.25" customHeight="1">
      <c r="A2" s="16"/>
      <c r="H2" s="17"/>
    </row>
    <row r="3" ht="14.25" customHeight="1">
      <c r="A3" s="16"/>
      <c r="H3" s="17"/>
    </row>
    <row r="4" ht="21.0" customHeight="1">
      <c r="A4" s="18" t="s">
        <v>16</v>
      </c>
      <c r="B4" s="19"/>
      <c r="C4" s="20" t="s">
        <v>17</v>
      </c>
      <c r="D4" s="21"/>
      <c r="E4" s="22"/>
      <c r="F4" s="23" t="s">
        <v>18</v>
      </c>
      <c r="G4" s="24"/>
      <c r="H4" s="25">
        <v>2026.0</v>
      </c>
    </row>
    <row r="5" ht="21.75" customHeight="1">
      <c r="A5" s="26" t="s">
        <v>19</v>
      </c>
      <c r="B5" s="27"/>
      <c r="C5" s="26" t="s">
        <v>10</v>
      </c>
      <c r="D5" s="29"/>
      <c r="E5" s="30"/>
      <c r="F5" s="31" t="s">
        <v>20</v>
      </c>
      <c r="G5" s="32">
        <v>35000.0</v>
      </c>
      <c r="H5" s="32" t="s">
        <v>22</v>
      </c>
    </row>
    <row r="6" ht="20.25" customHeight="1">
      <c r="A6" s="33" t="s">
        <v>23</v>
      </c>
      <c r="B6" s="34"/>
      <c r="C6" s="35">
        <v>3.3199211E7</v>
      </c>
      <c r="D6" s="36"/>
      <c r="E6" s="37"/>
      <c r="F6" s="38"/>
      <c r="G6" s="39">
        <v>70000.0</v>
      </c>
      <c r="H6" s="32" t="s">
        <v>24</v>
      </c>
    </row>
    <row r="7" ht="14.25" customHeight="1">
      <c r="A7" s="41" t="s">
        <v>25</v>
      </c>
      <c r="B7" s="42"/>
      <c r="C7" s="41" t="s">
        <v>26</v>
      </c>
      <c r="D7" s="42"/>
      <c r="E7" s="41" t="s">
        <v>27</v>
      </c>
      <c r="F7" s="3"/>
      <c r="G7" s="43" t="s">
        <v>28</v>
      </c>
      <c r="H7" s="44"/>
    </row>
    <row r="8" ht="14.25" customHeight="1">
      <c r="A8" s="46">
        <f>+F23-G23</f>
        <v>74.9</v>
      </c>
      <c r="B8" s="3"/>
      <c r="C8" s="48">
        <f>+G23</f>
        <v>7.5</v>
      </c>
      <c r="D8" s="3"/>
      <c r="E8" s="51">
        <v>7000.0</v>
      </c>
      <c r="F8" s="42"/>
      <c r="G8" s="54">
        <f>+C8*E8+C10*E10</f>
        <v>52500</v>
      </c>
      <c r="H8" s="42"/>
    </row>
    <row r="9" ht="14.25" customHeight="1">
      <c r="A9" s="41"/>
      <c r="B9" s="3"/>
      <c r="C9" s="45"/>
      <c r="D9" s="3"/>
      <c r="E9" s="41"/>
      <c r="F9" s="3"/>
      <c r="G9" s="55" t="s">
        <v>29</v>
      </c>
      <c r="H9" s="42"/>
    </row>
    <row r="10" ht="14.25" customHeight="1">
      <c r="A10" s="56"/>
      <c r="B10" s="50"/>
      <c r="C10" s="62"/>
      <c r="D10" s="50"/>
      <c r="E10" s="51"/>
      <c r="F10" s="42"/>
      <c r="G10" s="67">
        <f>+H23+G8</f>
        <v>787500</v>
      </c>
      <c r="H10" s="52"/>
    </row>
    <row r="11" ht="14.25" customHeight="1">
      <c r="A11" s="64" t="s">
        <v>30</v>
      </c>
      <c r="B11" s="66" t="s">
        <v>31</v>
      </c>
      <c r="C11" s="66" t="s">
        <v>32</v>
      </c>
      <c r="D11" s="68" t="s">
        <v>33</v>
      </c>
      <c r="E11" s="68" t="s">
        <v>34</v>
      </c>
      <c r="F11" s="68" t="s">
        <v>37</v>
      </c>
      <c r="G11" s="68" t="s">
        <v>36</v>
      </c>
      <c r="H11" s="69" t="s">
        <v>38</v>
      </c>
    </row>
    <row r="12" ht="15.0" customHeight="1">
      <c r="A12" s="70" t="s">
        <v>39</v>
      </c>
      <c r="B12" s="71" t="s">
        <v>40</v>
      </c>
      <c r="C12" s="72">
        <v>46221.0</v>
      </c>
      <c r="D12" s="73">
        <v>0.6326388888888889</v>
      </c>
      <c r="E12" s="70">
        <v>0.8368055555555555</v>
      </c>
      <c r="F12" s="74">
        <f t="shared" ref="F12:F22" si="1">(IF(D12&gt;E12,E12+1-D12,E12-D12))*24</f>
        <v>4.9</v>
      </c>
      <c r="G12" s="75">
        <v>0.0</v>
      </c>
      <c r="H12" s="76">
        <v>35000.0</v>
      </c>
    </row>
    <row r="13" ht="15.0" customHeight="1">
      <c r="A13" s="70" t="s">
        <v>39</v>
      </c>
      <c r="B13" s="71" t="s">
        <v>41</v>
      </c>
      <c r="C13" s="72">
        <v>46222.0</v>
      </c>
      <c r="D13" s="73">
        <v>0.2916666666666667</v>
      </c>
      <c r="E13" s="70">
        <v>0.5833333333333334</v>
      </c>
      <c r="F13" s="74">
        <f t="shared" si="1"/>
        <v>7</v>
      </c>
      <c r="G13" s="75">
        <f t="shared" ref="G13:G17" si="2">+F13-10</f>
        <v>-3</v>
      </c>
      <c r="H13" s="76">
        <v>70000.0</v>
      </c>
    </row>
    <row r="14" ht="15.0" customHeight="1">
      <c r="A14" s="70" t="s">
        <v>39</v>
      </c>
      <c r="B14" s="71" t="s">
        <v>42</v>
      </c>
      <c r="C14" s="72">
        <v>46223.0</v>
      </c>
      <c r="D14" s="73">
        <v>0.2916666666666667</v>
      </c>
      <c r="E14" s="70">
        <v>0.875</v>
      </c>
      <c r="F14" s="74">
        <f t="shared" si="1"/>
        <v>14</v>
      </c>
      <c r="G14" s="75">
        <f t="shared" si="2"/>
        <v>4</v>
      </c>
      <c r="H14" s="76">
        <v>70000.0</v>
      </c>
    </row>
    <row r="15" ht="15.0" customHeight="1">
      <c r="A15" s="70" t="s">
        <v>39</v>
      </c>
      <c r="B15" s="71" t="s">
        <v>43</v>
      </c>
      <c r="C15" s="72">
        <v>46224.0</v>
      </c>
      <c r="D15" s="73">
        <v>0.3333333333333333</v>
      </c>
      <c r="E15" s="70">
        <v>0.875</v>
      </c>
      <c r="F15" s="74">
        <f t="shared" si="1"/>
        <v>13</v>
      </c>
      <c r="G15" s="75">
        <f t="shared" si="2"/>
        <v>3</v>
      </c>
      <c r="H15" s="76">
        <v>70000.0</v>
      </c>
    </row>
    <row r="16" ht="15.0" customHeight="1">
      <c r="A16" s="70" t="s">
        <v>39</v>
      </c>
      <c r="B16" s="71" t="s">
        <v>44</v>
      </c>
      <c r="C16" s="72">
        <v>46225.0</v>
      </c>
      <c r="D16" s="73">
        <v>0.3333333333333333</v>
      </c>
      <c r="E16" s="70">
        <v>0.7916666666666666</v>
      </c>
      <c r="F16" s="74">
        <f t="shared" si="1"/>
        <v>11</v>
      </c>
      <c r="G16" s="75">
        <f t="shared" si="2"/>
        <v>1</v>
      </c>
      <c r="H16" s="76">
        <v>70000.0</v>
      </c>
    </row>
    <row r="17" ht="15.0" customHeight="1">
      <c r="A17" s="70" t="s">
        <v>39</v>
      </c>
      <c r="B17" s="71" t="s">
        <v>45</v>
      </c>
      <c r="C17" s="72">
        <v>46226.0</v>
      </c>
      <c r="D17" s="73">
        <v>0.3333333333333333</v>
      </c>
      <c r="E17" s="70">
        <v>0.7916666666666666</v>
      </c>
      <c r="F17" s="74">
        <f t="shared" si="1"/>
        <v>11</v>
      </c>
      <c r="G17" s="75">
        <f t="shared" si="2"/>
        <v>1</v>
      </c>
      <c r="H17" s="76">
        <v>70000.0</v>
      </c>
    </row>
    <row r="18" ht="15.0" customHeight="1">
      <c r="A18" s="70" t="s">
        <v>39</v>
      </c>
      <c r="B18" s="71" t="s">
        <v>46</v>
      </c>
      <c r="C18" s="72">
        <v>46227.0</v>
      </c>
      <c r="D18" s="79"/>
      <c r="E18" s="80"/>
      <c r="F18" s="74">
        <f t="shared" si="1"/>
        <v>0</v>
      </c>
      <c r="G18" s="75"/>
      <c r="H18" s="76">
        <v>70000.0</v>
      </c>
    </row>
    <row r="19" ht="15.0" customHeight="1">
      <c r="A19" s="70" t="s">
        <v>39</v>
      </c>
      <c r="B19" s="71" t="s">
        <v>47</v>
      </c>
      <c r="C19" s="72">
        <v>46228.0</v>
      </c>
      <c r="D19" s="73">
        <v>0.2916666666666667</v>
      </c>
      <c r="E19" s="70">
        <v>0.6666666666666666</v>
      </c>
      <c r="F19" s="74">
        <f t="shared" si="1"/>
        <v>9</v>
      </c>
      <c r="G19" s="75">
        <f t="shared" ref="G19:G20" si="3">+F19-10</f>
        <v>-1</v>
      </c>
      <c r="H19" s="76">
        <v>70000.0</v>
      </c>
    </row>
    <row r="20" ht="15.0" customHeight="1">
      <c r="A20" s="70" t="s">
        <v>39</v>
      </c>
      <c r="B20" s="71" t="s">
        <v>41</v>
      </c>
      <c r="C20" s="72">
        <v>46229.0</v>
      </c>
      <c r="D20" s="73">
        <v>0.2916666666666667</v>
      </c>
      <c r="E20" s="70">
        <v>0.8125</v>
      </c>
      <c r="F20" s="74">
        <f t="shared" si="1"/>
        <v>12.5</v>
      </c>
      <c r="G20" s="75">
        <f t="shared" si="3"/>
        <v>2.5</v>
      </c>
      <c r="H20" s="76">
        <v>70000.0</v>
      </c>
    </row>
    <row r="21" ht="15.0" customHeight="1">
      <c r="A21" s="70" t="s">
        <v>39</v>
      </c>
      <c r="B21" s="71" t="s">
        <v>42</v>
      </c>
      <c r="C21" s="72">
        <v>46230.0</v>
      </c>
      <c r="D21" s="73"/>
      <c r="E21" s="70"/>
      <c r="F21" s="74">
        <f t="shared" si="1"/>
        <v>0</v>
      </c>
      <c r="G21" s="75"/>
      <c r="H21" s="76">
        <v>70000.0</v>
      </c>
    </row>
    <row r="22" ht="15.0" customHeight="1">
      <c r="A22" s="70" t="s">
        <v>39</v>
      </c>
      <c r="B22" s="71" t="s">
        <v>43</v>
      </c>
      <c r="C22" s="72">
        <v>46231.0</v>
      </c>
      <c r="D22" s="73"/>
      <c r="E22" s="70"/>
      <c r="F22" s="74">
        <f t="shared" si="1"/>
        <v>0</v>
      </c>
      <c r="G22" s="75"/>
      <c r="H22" s="76">
        <v>70000.0</v>
      </c>
    </row>
    <row r="23" ht="14.25" customHeight="1">
      <c r="A23" s="82"/>
      <c r="B23" s="2"/>
      <c r="C23" s="2"/>
      <c r="D23" s="3"/>
      <c r="E23" s="85" t="s">
        <v>48</v>
      </c>
      <c r="F23" s="88">
        <f t="shared" ref="F23:H23" si="4">SUM(F12:F22)</f>
        <v>82.4</v>
      </c>
      <c r="G23" s="88">
        <f t="shared" si="4"/>
        <v>7.5</v>
      </c>
      <c r="H23" s="90">
        <f t="shared" si="4"/>
        <v>735000</v>
      </c>
    </row>
    <row r="24" ht="14.25" customHeight="1">
      <c r="A24" s="92"/>
      <c r="B24" s="93"/>
      <c r="C24" s="93"/>
      <c r="D24" s="93"/>
      <c r="E24" s="93"/>
      <c r="F24" s="93"/>
      <c r="G24" s="93"/>
      <c r="H24" s="94"/>
    </row>
    <row r="25" ht="14.25" customHeight="1">
      <c r="A25" s="95" t="s">
        <v>49</v>
      </c>
      <c r="B25" s="21"/>
      <c r="C25" s="19"/>
      <c r="D25" s="104"/>
      <c r="E25" s="19"/>
      <c r="F25" s="151"/>
      <c r="G25" s="21"/>
      <c r="H25" s="22"/>
    </row>
    <row r="26" ht="14.25" customHeight="1">
      <c r="A26" s="105"/>
      <c r="B26" s="105"/>
      <c r="C26" s="105"/>
      <c r="D26" s="107"/>
      <c r="E26" s="107"/>
      <c r="F26" s="108"/>
      <c r="G26" s="108"/>
      <c r="H26" s="108"/>
    </row>
    <row r="27" ht="14.25" customHeight="1">
      <c r="A27" s="109" t="s">
        <v>50</v>
      </c>
      <c r="B27" s="110"/>
      <c r="C27" s="110"/>
      <c r="D27" s="110"/>
      <c r="E27" s="111"/>
      <c r="F27" s="108"/>
      <c r="G27" s="108"/>
      <c r="H27" s="108"/>
    </row>
    <row r="28" ht="14.25" customHeight="1">
      <c r="A28" s="112">
        <v>46227.0</v>
      </c>
      <c r="B28" s="113">
        <v>1.0</v>
      </c>
      <c r="C28" s="114" t="s">
        <v>51</v>
      </c>
      <c r="D28" s="3"/>
      <c r="E28" s="115">
        <v>300000.0</v>
      </c>
    </row>
    <row r="29" ht="14.25" customHeight="1">
      <c r="A29" s="116"/>
      <c r="B29" s="117"/>
      <c r="C29" s="114"/>
      <c r="D29" s="3"/>
      <c r="E29" s="118"/>
    </row>
    <row r="30" ht="14.25" customHeight="1">
      <c r="A30" s="119" t="s">
        <v>52</v>
      </c>
      <c r="B30" s="120"/>
      <c r="C30" s="120"/>
      <c r="D30" s="50"/>
      <c r="E30" s="121">
        <f>SUM(E28:E29)</f>
        <v>300000</v>
      </c>
    </row>
    <row r="31" ht="14.25" customHeight="1"/>
    <row r="32" ht="14.25" customHeight="1">
      <c r="A32" s="122" t="s">
        <v>49</v>
      </c>
      <c r="B32" s="21"/>
      <c r="C32" s="19"/>
      <c r="D32" s="123"/>
      <c r="E32" s="19"/>
      <c r="F32" s="124"/>
      <c r="G32" s="21"/>
      <c r="H32" s="22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4:B4"/>
    <mergeCell ref="C4:E4"/>
    <mergeCell ref="F4:G4"/>
    <mergeCell ref="A5:B5"/>
    <mergeCell ref="C5:E5"/>
    <mergeCell ref="F5:F6"/>
    <mergeCell ref="C6:E6"/>
    <mergeCell ref="E8:F8"/>
    <mergeCell ref="G8:H8"/>
    <mergeCell ref="A6:B6"/>
    <mergeCell ref="A7:B7"/>
    <mergeCell ref="C7:D7"/>
    <mergeCell ref="E7:F7"/>
    <mergeCell ref="G7:H7"/>
    <mergeCell ref="A8:B8"/>
    <mergeCell ref="C8:D8"/>
    <mergeCell ref="A9:B9"/>
    <mergeCell ref="C9:D9"/>
    <mergeCell ref="E9:F9"/>
    <mergeCell ref="G9:H9"/>
    <mergeCell ref="A10:B10"/>
    <mergeCell ref="E10:F10"/>
    <mergeCell ref="G10:H10"/>
    <mergeCell ref="C28:D28"/>
    <mergeCell ref="C29:D29"/>
    <mergeCell ref="A30:D30"/>
    <mergeCell ref="A32:C32"/>
    <mergeCell ref="D32:E32"/>
    <mergeCell ref="F32:H32"/>
    <mergeCell ref="C10:D10"/>
    <mergeCell ref="A23:D23"/>
    <mergeCell ref="A24:H24"/>
    <mergeCell ref="A25:C25"/>
    <mergeCell ref="D25:E25"/>
    <mergeCell ref="F25:H25"/>
    <mergeCell ref="A27:E2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86"/>
    <col customWidth="1" min="3" max="3" width="16.29"/>
    <col customWidth="1" min="4" max="4" width="16.57"/>
    <col customWidth="1" min="5" max="5" width="15.71"/>
    <col customWidth="1" min="6" max="6" width="12.0"/>
    <col customWidth="1" min="7" max="7" width="10.71"/>
    <col customWidth="1" min="8" max="8" width="17.71"/>
    <col customWidth="1" min="9" max="26" width="10.71"/>
  </cols>
  <sheetData>
    <row r="1" ht="14.25" customHeight="1">
      <c r="A1" s="13"/>
      <c r="B1" s="14"/>
      <c r="C1" s="14"/>
      <c r="D1" s="14"/>
      <c r="E1" s="14"/>
      <c r="F1" s="14"/>
      <c r="G1" s="14"/>
      <c r="H1" s="15"/>
    </row>
    <row r="2" ht="14.25" customHeight="1">
      <c r="A2" s="16"/>
      <c r="H2" s="17"/>
    </row>
    <row r="3" ht="14.25" customHeight="1">
      <c r="A3" s="16"/>
      <c r="H3" s="17"/>
    </row>
    <row r="4" ht="14.25" customHeight="1">
      <c r="A4" s="135"/>
      <c r="B4" s="136"/>
      <c r="C4" s="136"/>
      <c r="D4" s="136"/>
      <c r="E4" s="136"/>
      <c r="F4" s="136"/>
      <c r="G4" s="136"/>
      <c r="H4" s="138"/>
    </row>
    <row r="5" ht="26.25" customHeight="1">
      <c r="A5" s="18" t="s">
        <v>16</v>
      </c>
      <c r="B5" s="19"/>
      <c r="C5" s="20" t="s">
        <v>17</v>
      </c>
      <c r="D5" s="21"/>
      <c r="E5" s="22"/>
      <c r="F5" s="23" t="s">
        <v>18</v>
      </c>
      <c r="G5" s="24"/>
      <c r="H5" s="25">
        <v>2026.0</v>
      </c>
    </row>
    <row r="6" ht="14.25" customHeight="1">
      <c r="A6" s="26" t="s">
        <v>19</v>
      </c>
      <c r="B6" s="27"/>
      <c r="C6" s="28" t="s">
        <v>12</v>
      </c>
      <c r="D6" s="29"/>
      <c r="E6" s="30"/>
      <c r="F6" s="31" t="s">
        <v>20</v>
      </c>
      <c r="G6" s="32">
        <v>35000.0</v>
      </c>
      <c r="H6" s="32" t="s">
        <v>22</v>
      </c>
    </row>
    <row r="7" ht="14.25" customHeight="1">
      <c r="A7" s="33" t="s">
        <v>23</v>
      </c>
      <c r="B7" s="34"/>
      <c r="C7" s="35">
        <v>2.9174887E7</v>
      </c>
      <c r="D7" s="36"/>
      <c r="E7" s="37"/>
      <c r="F7" s="38"/>
      <c r="G7" s="39">
        <v>70000.0</v>
      </c>
      <c r="H7" s="32" t="s">
        <v>24</v>
      </c>
    </row>
    <row r="8" ht="14.25" customHeight="1">
      <c r="A8" s="41" t="s">
        <v>25</v>
      </c>
      <c r="B8" s="42"/>
      <c r="C8" s="41" t="s">
        <v>26</v>
      </c>
      <c r="D8" s="42"/>
      <c r="E8" s="41" t="s">
        <v>27</v>
      </c>
      <c r="F8" s="3"/>
      <c r="G8" s="43" t="s">
        <v>28</v>
      </c>
      <c r="H8" s="44"/>
    </row>
    <row r="9" ht="14.25" customHeight="1">
      <c r="A9" s="46">
        <f>+F24</f>
        <v>82.4</v>
      </c>
      <c r="B9" s="3"/>
      <c r="C9" s="47">
        <f>+G24</f>
        <v>6</v>
      </c>
      <c r="D9" s="3"/>
      <c r="E9" s="49">
        <v>7000.0</v>
      </c>
      <c r="F9" s="50"/>
      <c r="G9" s="53">
        <f>+C9*E9+C11*E11</f>
        <v>42000</v>
      </c>
      <c r="H9" s="42"/>
    </row>
    <row r="10" ht="15.0" customHeight="1">
      <c r="A10" s="41"/>
      <c r="B10" s="3"/>
      <c r="C10" s="41"/>
      <c r="D10" s="42"/>
      <c r="E10" s="41"/>
      <c r="F10" s="3"/>
      <c r="G10" s="55" t="s">
        <v>29</v>
      </c>
      <c r="H10" s="42"/>
    </row>
    <row r="11" ht="14.25" customHeight="1">
      <c r="A11" s="56"/>
      <c r="B11" s="50"/>
      <c r="C11" s="58"/>
      <c r="D11" s="50"/>
      <c r="E11" s="59"/>
      <c r="F11" s="50"/>
      <c r="G11" s="65">
        <f>+H24+G9</f>
        <v>777000</v>
      </c>
      <c r="H11" s="52"/>
    </row>
    <row r="12" ht="14.25" customHeight="1">
      <c r="A12" s="64" t="s">
        <v>30</v>
      </c>
      <c r="B12" s="66" t="s">
        <v>31</v>
      </c>
      <c r="C12" s="66" t="s">
        <v>32</v>
      </c>
      <c r="D12" s="68" t="s">
        <v>33</v>
      </c>
      <c r="E12" s="68" t="s">
        <v>34</v>
      </c>
      <c r="F12" s="68" t="s">
        <v>35</v>
      </c>
      <c r="G12" s="68" t="s">
        <v>36</v>
      </c>
      <c r="H12" s="69" t="s">
        <v>38</v>
      </c>
    </row>
    <row r="13" ht="15.0" customHeight="1">
      <c r="A13" s="70" t="s">
        <v>39</v>
      </c>
      <c r="B13" s="71" t="s">
        <v>40</v>
      </c>
      <c r="C13" s="72">
        <v>46221.0</v>
      </c>
      <c r="D13" s="73">
        <v>0.6326388888888889</v>
      </c>
      <c r="E13" s="70">
        <v>0.8368055555555555</v>
      </c>
      <c r="F13" s="74">
        <f t="shared" ref="F13:F23" si="1">(IF(D13&gt;E13,E13+1-D13,E13-D13))*24</f>
        <v>4.9</v>
      </c>
      <c r="G13" s="75">
        <v>0.0</v>
      </c>
      <c r="H13" s="76">
        <v>35000.0</v>
      </c>
    </row>
    <row r="14" ht="15.0" customHeight="1">
      <c r="A14" s="70" t="s">
        <v>39</v>
      </c>
      <c r="B14" s="71" t="s">
        <v>41</v>
      </c>
      <c r="C14" s="72">
        <v>46222.0</v>
      </c>
      <c r="D14" s="73">
        <v>0.2916666666666667</v>
      </c>
      <c r="E14" s="70">
        <v>0.5833333333333334</v>
      </c>
      <c r="F14" s="74">
        <f t="shared" si="1"/>
        <v>7</v>
      </c>
      <c r="G14" s="75">
        <f t="shared" ref="G14:G18" si="2">+F14-10</f>
        <v>-3</v>
      </c>
      <c r="H14" s="76">
        <v>70000.0</v>
      </c>
    </row>
    <row r="15" ht="15.0" customHeight="1">
      <c r="A15" s="70" t="s">
        <v>39</v>
      </c>
      <c r="B15" s="71" t="s">
        <v>42</v>
      </c>
      <c r="C15" s="72">
        <v>46223.0</v>
      </c>
      <c r="D15" s="73">
        <v>0.2916666666666667</v>
      </c>
      <c r="E15" s="70">
        <v>0.875</v>
      </c>
      <c r="F15" s="74">
        <f t="shared" si="1"/>
        <v>14</v>
      </c>
      <c r="G15" s="75">
        <f t="shared" si="2"/>
        <v>4</v>
      </c>
      <c r="H15" s="76">
        <v>70000.0</v>
      </c>
    </row>
    <row r="16" ht="15.0" customHeight="1">
      <c r="A16" s="70" t="s">
        <v>39</v>
      </c>
      <c r="B16" s="71" t="s">
        <v>43</v>
      </c>
      <c r="C16" s="72">
        <v>46224.0</v>
      </c>
      <c r="D16" s="73">
        <v>0.3333333333333333</v>
      </c>
      <c r="E16" s="70">
        <v>0.875</v>
      </c>
      <c r="F16" s="74">
        <f t="shared" si="1"/>
        <v>13</v>
      </c>
      <c r="G16" s="75">
        <f t="shared" si="2"/>
        <v>3</v>
      </c>
      <c r="H16" s="76">
        <v>70000.0</v>
      </c>
    </row>
    <row r="17" ht="15.0" customHeight="1">
      <c r="A17" s="70" t="s">
        <v>39</v>
      </c>
      <c r="B17" s="71" t="s">
        <v>44</v>
      </c>
      <c r="C17" s="72">
        <v>46225.0</v>
      </c>
      <c r="D17" s="73">
        <v>0.3333333333333333</v>
      </c>
      <c r="E17" s="70">
        <v>0.7916666666666666</v>
      </c>
      <c r="F17" s="74">
        <f t="shared" si="1"/>
        <v>11</v>
      </c>
      <c r="G17" s="75">
        <f t="shared" si="2"/>
        <v>1</v>
      </c>
      <c r="H17" s="76">
        <v>70000.0</v>
      </c>
    </row>
    <row r="18" ht="15.0" customHeight="1">
      <c r="A18" s="70" t="s">
        <v>39</v>
      </c>
      <c r="B18" s="71" t="s">
        <v>45</v>
      </c>
      <c r="C18" s="72">
        <v>46226.0</v>
      </c>
      <c r="D18" s="73">
        <v>0.3333333333333333</v>
      </c>
      <c r="E18" s="70">
        <v>0.7916666666666666</v>
      </c>
      <c r="F18" s="74">
        <f t="shared" si="1"/>
        <v>11</v>
      </c>
      <c r="G18" s="75">
        <f t="shared" si="2"/>
        <v>1</v>
      </c>
      <c r="H18" s="76">
        <v>70000.0</v>
      </c>
    </row>
    <row r="19" ht="15.0" customHeight="1">
      <c r="A19" s="70" t="s">
        <v>39</v>
      </c>
      <c r="B19" s="71" t="s">
        <v>46</v>
      </c>
      <c r="C19" s="72">
        <v>46227.0</v>
      </c>
      <c r="D19" s="79"/>
      <c r="E19" s="80"/>
      <c r="F19" s="74">
        <f t="shared" si="1"/>
        <v>0</v>
      </c>
      <c r="G19" s="75"/>
      <c r="H19" s="76">
        <v>70000.0</v>
      </c>
    </row>
    <row r="20" ht="15.0" customHeight="1">
      <c r="A20" s="70" t="s">
        <v>39</v>
      </c>
      <c r="B20" s="71" t="s">
        <v>47</v>
      </c>
      <c r="C20" s="72">
        <v>46228.0</v>
      </c>
      <c r="D20" s="73">
        <v>0.6666666666666666</v>
      </c>
      <c r="E20" s="70">
        <v>0.125</v>
      </c>
      <c r="F20" s="74">
        <f t="shared" si="1"/>
        <v>11</v>
      </c>
      <c r="G20" s="75"/>
      <c r="H20" s="76">
        <v>70000.0</v>
      </c>
    </row>
    <row r="21" ht="15.0" customHeight="1">
      <c r="A21" s="70" t="s">
        <v>39</v>
      </c>
      <c r="B21" s="71" t="s">
        <v>41</v>
      </c>
      <c r="C21" s="72">
        <v>46229.0</v>
      </c>
      <c r="D21" s="73">
        <v>0.375</v>
      </c>
      <c r="E21" s="70">
        <v>0.8125</v>
      </c>
      <c r="F21" s="74">
        <f t="shared" si="1"/>
        <v>10.5</v>
      </c>
      <c r="G21" s="75"/>
      <c r="H21" s="76">
        <v>70000.0</v>
      </c>
    </row>
    <row r="22" ht="15.0" customHeight="1">
      <c r="A22" s="70" t="s">
        <v>39</v>
      </c>
      <c r="B22" s="71" t="s">
        <v>42</v>
      </c>
      <c r="C22" s="72">
        <v>46230.0</v>
      </c>
      <c r="D22" s="73"/>
      <c r="E22" s="70"/>
      <c r="F22" s="74">
        <f t="shared" si="1"/>
        <v>0</v>
      </c>
      <c r="G22" s="75"/>
      <c r="H22" s="76">
        <v>70000.0</v>
      </c>
    </row>
    <row r="23" ht="15.0" customHeight="1">
      <c r="A23" s="70"/>
      <c r="B23" s="71"/>
      <c r="C23" s="72">
        <v>46231.0</v>
      </c>
      <c r="D23" s="73"/>
      <c r="E23" s="70"/>
      <c r="F23" s="74">
        <f t="shared" si="1"/>
        <v>0</v>
      </c>
      <c r="G23" s="75"/>
      <c r="H23" s="76">
        <v>70000.0</v>
      </c>
    </row>
    <row r="24" ht="14.25" customHeight="1">
      <c r="A24" s="83"/>
      <c r="B24" s="84"/>
      <c r="C24" s="84"/>
      <c r="D24" s="86"/>
      <c r="E24" s="87" t="s">
        <v>48</v>
      </c>
      <c r="F24" s="88">
        <f t="shared" ref="F24:H24" si="3">SUM(F13:F23)</f>
        <v>82.4</v>
      </c>
      <c r="G24" s="88">
        <f t="shared" si="3"/>
        <v>6</v>
      </c>
      <c r="H24" s="90">
        <f t="shared" si="3"/>
        <v>735000</v>
      </c>
    </row>
    <row r="25" ht="14.25" customHeight="1">
      <c r="A25" s="92"/>
      <c r="B25" s="93"/>
      <c r="C25" s="93"/>
      <c r="D25" s="93"/>
      <c r="E25" s="93"/>
      <c r="F25" s="93"/>
      <c r="G25" s="93"/>
      <c r="H25" s="94"/>
    </row>
    <row r="26" ht="24.0" customHeight="1">
      <c r="A26" s="95" t="s">
        <v>49</v>
      </c>
      <c r="B26" s="21"/>
      <c r="C26" s="19"/>
      <c r="D26" s="104">
        <f>+G11</f>
        <v>777000</v>
      </c>
      <c r="E26" s="19"/>
      <c r="F26" s="151"/>
      <c r="G26" s="21"/>
      <c r="H26" s="22"/>
    </row>
    <row r="27" ht="14.25" customHeight="1">
      <c r="A27" s="105"/>
      <c r="B27" s="105"/>
      <c r="C27" s="105"/>
      <c r="D27" s="107"/>
      <c r="E27" s="107"/>
      <c r="F27" s="108"/>
      <c r="G27" s="108"/>
      <c r="H27" s="108"/>
    </row>
    <row r="28" ht="14.25" customHeight="1">
      <c r="A28" s="109" t="s">
        <v>50</v>
      </c>
      <c r="B28" s="110"/>
      <c r="C28" s="110"/>
      <c r="D28" s="110"/>
      <c r="E28" s="111"/>
      <c r="F28" s="108"/>
      <c r="G28" s="108"/>
      <c r="H28" s="108"/>
    </row>
    <row r="29" ht="14.25" customHeight="1">
      <c r="A29" s="112">
        <v>46227.0</v>
      </c>
      <c r="B29" s="113">
        <v>1.0</v>
      </c>
      <c r="C29" s="114" t="s">
        <v>51</v>
      </c>
      <c r="D29" s="3"/>
      <c r="E29" s="115">
        <v>200000.0</v>
      </c>
    </row>
    <row r="30" ht="14.25" customHeight="1">
      <c r="A30" s="116"/>
      <c r="B30" s="117"/>
      <c r="C30" s="114"/>
      <c r="D30" s="3"/>
      <c r="E30" s="118"/>
    </row>
    <row r="31" ht="14.25" customHeight="1">
      <c r="A31" s="119" t="s">
        <v>52</v>
      </c>
      <c r="B31" s="120"/>
      <c r="C31" s="120"/>
      <c r="D31" s="50"/>
      <c r="E31" s="121">
        <f>SUM(E29:E30)</f>
        <v>200000</v>
      </c>
    </row>
    <row r="32" ht="14.25" customHeight="1"/>
    <row r="33" ht="29.25" customHeight="1">
      <c r="A33" s="122" t="s">
        <v>49</v>
      </c>
      <c r="B33" s="21"/>
      <c r="C33" s="19"/>
      <c r="D33" s="123">
        <f>+D26-E31</f>
        <v>577000</v>
      </c>
      <c r="E33" s="19"/>
      <c r="F33" s="124"/>
      <c r="G33" s="21"/>
      <c r="H33" s="22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5:B5"/>
    <mergeCell ref="C5:E5"/>
    <mergeCell ref="F5:G5"/>
    <mergeCell ref="A6:B6"/>
    <mergeCell ref="C6:E6"/>
    <mergeCell ref="F6:F7"/>
    <mergeCell ref="C7:E7"/>
    <mergeCell ref="E9:F9"/>
    <mergeCell ref="G9:H9"/>
    <mergeCell ref="A7:B7"/>
    <mergeCell ref="A8:B8"/>
    <mergeCell ref="C8:D8"/>
    <mergeCell ref="E8:F8"/>
    <mergeCell ref="G8:H8"/>
    <mergeCell ref="A9:B9"/>
    <mergeCell ref="C9:D9"/>
    <mergeCell ref="A10:B10"/>
    <mergeCell ref="C10:D10"/>
    <mergeCell ref="E10:F10"/>
    <mergeCell ref="G10:H10"/>
    <mergeCell ref="A11:B11"/>
    <mergeCell ref="E11:F11"/>
    <mergeCell ref="G11:H11"/>
    <mergeCell ref="C29:D29"/>
    <mergeCell ref="C30:D30"/>
    <mergeCell ref="A31:D31"/>
    <mergeCell ref="A33:C33"/>
    <mergeCell ref="D33:E33"/>
    <mergeCell ref="F33:H33"/>
    <mergeCell ref="C11:D11"/>
    <mergeCell ref="A24:D24"/>
    <mergeCell ref="A25:H25"/>
    <mergeCell ref="A26:C26"/>
    <mergeCell ref="D26:E26"/>
    <mergeCell ref="F26:H26"/>
    <mergeCell ref="A28:E2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7.43"/>
    <col customWidth="1" min="3" max="3" width="13.14"/>
    <col customWidth="1" min="4" max="4" width="16.71"/>
    <col customWidth="1" min="5" max="5" width="14.71"/>
    <col customWidth="1" min="6" max="6" width="13.71"/>
    <col customWidth="1" min="7" max="7" width="11.43"/>
    <col customWidth="1" min="8" max="8" width="17.29"/>
    <col customWidth="1" min="9" max="26" width="10.71"/>
  </cols>
  <sheetData>
    <row r="1" ht="14.25" customHeight="1">
      <c r="A1" s="13"/>
      <c r="B1" s="14"/>
      <c r="C1" s="14"/>
      <c r="D1" s="14"/>
      <c r="E1" s="14"/>
      <c r="F1" s="14"/>
      <c r="G1" s="14"/>
      <c r="H1" s="15"/>
    </row>
    <row r="2" ht="14.25" customHeight="1">
      <c r="A2" s="16"/>
      <c r="B2" s="61"/>
      <c r="C2" s="61"/>
      <c r="D2" s="61"/>
      <c r="E2" s="61"/>
      <c r="F2" s="61"/>
      <c r="G2" s="61"/>
      <c r="H2" s="17"/>
    </row>
    <row r="3" ht="14.25" customHeight="1">
      <c r="A3" s="16"/>
      <c r="B3" s="61"/>
      <c r="C3" s="61"/>
      <c r="D3" s="61"/>
      <c r="E3" s="61"/>
      <c r="F3" s="61"/>
      <c r="G3" s="61"/>
      <c r="H3" s="17"/>
    </row>
    <row r="4" ht="14.25" customHeight="1">
      <c r="A4" s="135"/>
      <c r="B4" s="136"/>
      <c r="C4" s="136"/>
      <c r="D4" s="136"/>
      <c r="E4" s="136"/>
      <c r="F4" s="136"/>
      <c r="G4" s="136"/>
      <c r="H4" s="138"/>
    </row>
    <row r="5" ht="24.0" customHeight="1">
      <c r="A5" s="18" t="s">
        <v>16</v>
      </c>
      <c r="B5" s="19"/>
      <c r="C5" s="20" t="s">
        <v>17</v>
      </c>
      <c r="D5" s="21"/>
      <c r="E5" s="22"/>
      <c r="F5" s="23" t="s">
        <v>18</v>
      </c>
      <c r="G5" s="24"/>
      <c r="H5" s="25">
        <v>2026.0</v>
      </c>
    </row>
    <row r="6" ht="21.0" customHeight="1">
      <c r="A6" s="152" t="s">
        <v>19</v>
      </c>
      <c r="B6" s="27"/>
      <c r="C6" s="153" t="s">
        <v>55</v>
      </c>
      <c r="D6" s="29"/>
      <c r="E6" s="30"/>
      <c r="F6" s="154" t="s">
        <v>20</v>
      </c>
      <c r="G6" s="155">
        <v>35000.0</v>
      </c>
      <c r="H6" s="155" t="s">
        <v>22</v>
      </c>
    </row>
    <row r="7" ht="24.0" customHeight="1">
      <c r="A7" s="156" t="s">
        <v>23</v>
      </c>
      <c r="B7" s="34"/>
      <c r="C7" s="157">
        <v>4.5545583E7</v>
      </c>
      <c r="D7" s="36"/>
      <c r="E7" s="37"/>
      <c r="F7" s="38"/>
      <c r="G7" s="158">
        <v>70000.0</v>
      </c>
      <c r="H7" s="155" t="s">
        <v>24</v>
      </c>
    </row>
    <row r="8" ht="19.5" customHeight="1">
      <c r="A8" s="41" t="s">
        <v>25</v>
      </c>
      <c r="B8" s="42"/>
      <c r="C8" s="41" t="s">
        <v>26</v>
      </c>
      <c r="D8" s="42"/>
      <c r="E8" s="41" t="s">
        <v>27</v>
      </c>
      <c r="F8" s="3"/>
      <c r="G8" s="43" t="s">
        <v>28</v>
      </c>
      <c r="H8" s="44"/>
    </row>
    <row r="9" ht="16.5" customHeight="1">
      <c r="A9" s="46">
        <f>+F24</f>
        <v>82.4</v>
      </c>
      <c r="B9" s="3"/>
      <c r="C9" s="47">
        <f>+G24-C11</f>
        <v>-2.5</v>
      </c>
      <c r="D9" s="3"/>
      <c r="E9" s="51">
        <v>7000.0</v>
      </c>
      <c r="F9" s="42"/>
      <c r="G9" s="54">
        <f>+C9*E9+C11*E11</f>
        <v>-17500</v>
      </c>
      <c r="H9" s="42"/>
    </row>
    <row r="10" ht="14.25" customHeight="1">
      <c r="A10" s="41"/>
      <c r="B10" s="3"/>
      <c r="C10" s="45"/>
      <c r="D10" s="3"/>
      <c r="E10" s="41"/>
      <c r="F10" s="3"/>
      <c r="G10" s="55" t="s">
        <v>29</v>
      </c>
      <c r="H10" s="42"/>
    </row>
    <row r="11" ht="14.25" customHeight="1">
      <c r="A11" s="56"/>
      <c r="B11" s="50"/>
      <c r="C11" s="62"/>
      <c r="D11" s="50"/>
      <c r="E11" s="51"/>
      <c r="F11" s="42"/>
      <c r="G11" s="67">
        <f>+G9+H24</f>
        <v>647500</v>
      </c>
      <c r="H11" s="52"/>
    </row>
    <row r="12" ht="14.25" customHeight="1">
      <c r="A12" s="64" t="s">
        <v>30</v>
      </c>
      <c r="B12" s="66" t="s">
        <v>31</v>
      </c>
      <c r="C12" s="66" t="s">
        <v>32</v>
      </c>
      <c r="D12" s="68" t="s">
        <v>33</v>
      </c>
      <c r="E12" s="68" t="s">
        <v>34</v>
      </c>
      <c r="F12" s="68" t="s">
        <v>35</v>
      </c>
      <c r="G12" s="68" t="s">
        <v>36</v>
      </c>
      <c r="H12" s="69" t="s">
        <v>38</v>
      </c>
    </row>
    <row r="13" ht="14.25" customHeight="1">
      <c r="A13" s="70" t="s">
        <v>39</v>
      </c>
      <c r="B13" s="71" t="s">
        <v>40</v>
      </c>
      <c r="C13" s="72">
        <v>46221.0</v>
      </c>
      <c r="D13" s="73">
        <v>0.6326388888888889</v>
      </c>
      <c r="E13" s="70">
        <v>0.8368055555555555</v>
      </c>
      <c r="F13" s="74">
        <f t="shared" ref="F13:F23" si="1">(IF(D13&gt;E13,E13+1-D13,E13-D13))*24</f>
        <v>4.9</v>
      </c>
      <c r="G13" s="75">
        <v>0.0</v>
      </c>
      <c r="H13" s="76">
        <v>35000.0</v>
      </c>
    </row>
    <row r="14" ht="14.25" customHeight="1">
      <c r="A14" s="70" t="s">
        <v>39</v>
      </c>
      <c r="B14" s="71" t="s">
        <v>41</v>
      </c>
      <c r="C14" s="72">
        <v>46222.0</v>
      </c>
      <c r="D14" s="73">
        <v>0.2916666666666667</v>
      </c>
      <c r="E14" s="70">
        <v>0.5833333333333334</v>
      </c>
      <c r="F14" s="74">
        <f t="shared" si="1"/>
        <v>7</v>
      </c>
      <c r="G14" s="75">
        <f t="shared" ref="G14:G21" si="2">+F14-10</f>
        <v>-3</v>
      </c>
      <c r="H14" s="76">
        <v>70000.0</v>
      </c>
    </row>
    <row r="15" ht="14.25" customHeight="1">
      <c r="A15" s="70" t="s">
        <v>39</v>
      </c>
      <c r="B15" s="71" t="s">
        <v>42</v>
      </c>
      <c r="C15" s="72">
        <v>46223.0</v>
      </c>
      <c r="D15" s="73">
        <v>0.2916666666666667</v>
      </c>
      <c r="E15" s="70">
        <v>0.875</v>
      </c>
      <c r="F15" s="74">
        <f t="shared" si="1"/>
        <v>14</v>
      </c>
      <c r="G15" s="75">
        <f t="shared" si="2"/>
        <v>4</v>
      </c>
      <c r="H15" s="76">
        <v>70000.0</v>
      </c>
    </row>
    <row r="16" ht="14.25" customHeight="1">
      <c r="A16" s="70" t="s">
        <v>39</v>
      </c>
      <c r="B16" s="71" t="s">
        <v>43</v>
      </c>
      <c r="C16" s="72">
        <v>46224.0</v>
      </c>
      <c r="D16" s="73">
        <v>0.3333333333333333</v>
      </c>
      <c r="E16" s="70">
        <v>0.875</v>
      </c>
      <c r="F16" s="74">
        <f t="shared" si="1"/>
        <v>13</v>
      </c>
      <c r="G16" s="75">
        <f t="shared" si="2"/>
        <v>3</v>
      </c>
      <c r="H16" s="76">
        <v>70000.0</v>
      </c>
    </row>
    <row r="17" ht="14.25" customHeight="1">
      <c r="A17" s="70" t="s">
        <v>39</v>
      </c>
      <c r="B17" s="71" t="s">
        <v>44</v>
      </c>
      <c r="C17" s="72">
        <v>46225.0</v>
      </c>
      <c r="D17" s="73">
        <v>0.3333333333333333</v>
      </c>
      <c r="E17" s="70">
        <v>0.7916666666666666</v>
      </c>
      <c r="F17" s="74">
        <f t="shared" si="1"/>
        <v>11</v>
      </c>
      <c r="G17" s="75">
        <f t="shared" si="2"/>
        <v>1</v>
      </c>
      <c r="H17" s="76">
        <v>70000.0</v>
      </c>
    </row>
    <row r="18" ht="14.25" customHeight="1">
      <c r="A18" s="70" t="s">
        <v>39</v>
      </c>
      <c r="B18" s="71" t="s">
        <v>45</v>
      </c>
      <c r="C18" s="72">
        <v>46226.0</v>
      </c>
      <c r="D18" s="73">
        <v>0.3333333333333333</v>
      </c>
      <c r="E18" s="70">
        <v>0.7916666666666666</v>
      </c>
      <c r="F18" s="74">
        <f t="shared" si="1"/>
        <v>11</v>
      </c>
      <c r="G18" s="75">
        <f t="shared" si="2"/>
        <v>1</v>
      </c>
      <c r="H18" s="76">
        <v>70000.0</v>
      </c>
    </row>
    <row r="19" ht="14.25" customHeight="1">
      <c r="A19" s="70" t="s">
        <v>39</v>
      </c>
      <c r="B19" s="71" t="s">
        <v>46</v>
      </c>
      <c r="C19" s="72">
        <v>46227.0</v>
      </c>
      <c r="D19" s="79"/>
      <c r="E19" s="80"/>
      <c r="F19" s="74">
        <f t="shared" si="1"/>
        <v>0</v>
      </c>
      <c r="G19" s="75">
        <f t="shared" si="2"/>
        <v>-10</v>
      </c>
      <c r="H19" s="76">
        <v>70000.0</v>
      </c>
    </row>
    <row r="20" ht="14.25" customHeight="1">
      <c r="A20" s="70" t="s">
        <v>39</v>
      </c>
      <c r="B20" s="71" t="s">
        <v>47</v>
      </c>
      <c r="C20" s="72">
        <v>46228.0</v>
      </c>
      <c r="D20" s="73">
        <v>0.2916666666666667</v>
      </c>
      <c r="E20" s="70">
        <v>0.6666666666666666</v>
      </c>
      <c r="F20" s="74">
        <f t="shared" si="1"/>
        <v>9</v>
      </c>
      <c r="G20" s="75">
        <f t="shared" si="2"/>
        <v>-1</v>
      </c>
      <c r="H20" s="76">
        <v>70000.0</v>
      </c>
    </row>
    <row r="21" ht="14.25" customHeight="1">
      <c r="A21" s="70" t="s">
        <v>39</v>
      </c>
      <c r="B21" s="71" t="s">
        <v>41</v>
      </c>
      <c r="C21" s="72">
        <v>46229.0</v>
      </c>
      <c r="D21" s="73">
        <v>0.2916666666666667</v>
      </c>
      <c r="E21" s="70">
        <v>0.8125</v>
      </c>
      <c r="F21" s="74">
        <f t="shared" si="1"/>
        <v>12.5</v>
      </c>
      <c r="G21" s="75">
        <f t="shared" si="2"/>
        <v>2.5</v>
      </c>
      <c r="H21" s="76">
        <v>70000.0</v>
      </c>
    </row>
    <row r="22" ht="14.25" customHeight="1">
      <c r="A22" s="70" t="s">
        <v>39</v>
      </c>
      <c r="B22" s="71" t="s">
        <v>42</v>
      </c>
      <c r="C22" s="72">
        <v>46230.0</v>
      </c>
      <c r="D22" s="73"/>
      <c r="E22" s="70"/>
      <c r="F22" s="74">
        <f t="shared" si="1"/>
        <v>0</v>
      </c>
      <c r="G22" s="75"/>
      <c r="H22" s="76">
        <v>70000.0</v>
      </c>
    </row>
    <row r="23" ht="14.25" customHeight="1">
      <c r="A23" s="70" t="s">
        <v>39</v>
      </c>
      <c r="B23" s="71" t="s">
        <v>43</v>
      </c>
      <c r="C23" s="72">
        <v>46231.0</v>
      </c>
      <c r="D23" s="73"/>
      <c r="E23" s="70"/>
      <c r="F23" s="160">
        <f t="shared" si="1"/>
        <v>0</v>
      </c>
      <c r="G23" s="75"/>
      <c r="H23" s="76"/>
    </row>
    <row r="24" ht="14.25" customHeight="1">
      <c r="A24" s="89"/>
      <c r="B24" s="36"/>
      <c r="C24" s="36"/>
      <c r="D24" s="161"/>
      <c r="E24" s="162" t="s">
        <v>48</v>
      </c>
      <c r="F24" s="88">
        <f t="shared" ref="F24:H24" si="3">SUM(F13:F23)</f>
        <v>82.4</v>
      </c>
      <c r="G24" s="88">
        <f t="shared" si="3"/>
        <v>-2.5</v>
      </c>
      <c r="H24" s="90">
        <f t="shared" si="3"/>
        <v>665000</v>
      </c>
    </row>
    <row r="25" ht="14.25" customHeight="1">
      <c r="A25" s="92"/>
      <c r="B25" s="93"/>
      <c r="C25" s="93"/>
      <c r="D25" s="93"/>
      <c r="E25" s="93"/>
      <c r="F25" s="93"/>
      <c r="G25" s="93"/>
      <c r="H25" s="94"/>
    </row>
    <row r="26" ht="14.25" customHeight="1">
      <c r="A26" s="95" t="s">
        <v>49</v>
      </c>
      <c r="B26" s="21"/>
      <c r="C26" s="19"/>
      <c r="D26" s="104">
        <f>+G11</f>
        <v>647500</v>
      </c>
      <c r="E26" s="19"/>
      <c r="F26" s="151"/>
      <c r="G26" s="21"/>
      <c r="H26" s="22"/>
    </row>
    <row r="27" ht="14.25" customHeight="1">
      <c r="A27" s="105"/>
      <c r="B27" s="105"/>
      <c r="C27" s="105"/>
      <c r="D27" s="107"/>
      <c r="E27" s="107"/>
      <c r="F27" s="108"/>
      <c r="G27" s="108"/>
      <c r="H27" s="108"/>
    </row>
    <row r="28" ht="14.25" customHeight="1">
      <c r="A28" s="109" t="s">
        <v>50</v>
      </c>
      <c r="B28" s="110"/>
      <c r="C28" s="110"/>
      <c r="D28" s="110"/>
      <c r="E28" s="111"/>
      <c r="F28" s="108"/>
      <c r="G28" s="108"/>
      <c r="H28" s="108"/>
    </row>
    <row r="29" ht="14.25" customHeight="1">
      <c r="A29" s="112">
        <v>46227.0</v>
      </c>
      <c r="B29" s="113">
        <v>1.0</v>
      </c>
      <c r="C29" s="114" t="s">
        <v>51</v>
      </c>
      <c r="D29" s="3"/>
      <c r="E29" s="115">
        <v>200000.0</v>
      </c>
    </row>
    <row r="30" ht="14.25" customHeight="1">
      <c r="A30" s="116"/>
      <c r="B30" s="117"/>
      <c r="C30" s="114"/>
      <c r="D30" s="3"/>
      <c r="E30" s="118"/>
    </row>
    <row r="31" ht="14.25" customHeight="1">
      <c r="A31" s="119" t="s">
        <v>52</v>
      </c>
      <c r="B31" s="120"/>
      <c r="C31" s="120"/>
      <c r="D31" s="50"/>
      <c r="E31" s="121">
        <f>SUM(E29:E30)</f>
        <v>200000</v>
      </c>
    </row>
    <row r="32" ht="14.25" customHeight="1"/>
    <row r="33" ht="27.0" customHeight="1">
      <c r="A33" s="122" t="s">
        <v>49</v>
      </c>
      <c r="B33" s="21"/>
      <c r="C33" s="19"/>
      <c r="D33" s="123"/>
      <c r="E33" s="19"/>
      <c r="F33" s="124"/>
      <c r="G33" s="21"/>
      <c r="H33" s="22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5:B5"/>
    <mergeCell ref="C5:E5"/>
    <mergeCell ref="F5:G5"/>
    <mergeCell ref="A6:B6"/>
    <mergeCell ref="C6:E6"/>
    <mergeCell ref="F6:F7"/>
    <mergeCell ref="C7:E7"/>
    <mergeCell ref="E9:F9"/>
    <mergeCell ref="G9:H9"/>
    <mergeCell ref="A7:B7"/>
    <mergeCell ref="A8:B8"/>
    <mergeCell ref="C8:D8"/>
    <mergeCell ref="E8:F8"/>
    <mergeCell ref="G8:H8"/>
    <mergeCell ref="A9:B9"/>
    <mergeCell ref="C9:D9"/>
    <mergeCell ref="A10:B10"/>
    <mergeCell ref="C10:D10"/>
    <mergeCell ref="E10:F10"/>
    <mergeCell ref="G10:H10"/>
    <mergeCell ref="A11:B11"/>
    <mergeCell ref="E11:F11"/>
    <mergeCell ref="G11:H11"/>
    <mergeCell ref="C29:D29"/>
    <mergeCell ref="C30:D30"/>
    <mergeCell ref="A31:D31"/>
    <mergeCell ref="A33:C33"/>
    <mergeCell ref="D33:E33"/>
    <mergeCell ref="F33:H33"/>
    <mergeCell ref="C11:D11"/>
    <mergeCell ref="A24:D24"/>
    <mergeCell ref="A25:H25"/>
    <mergeCell ref="A26:C26"/>
    <mergeCell ref="D26:E26"/>
    <mergeCell ref="F26:H26"/>
    <mergeCell ref="A28:E2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5.0"/>
    <col customWidth="1" min="3" max="3" width="10.71"/>
    <col customWidth="1" min="4" max="5" width="15.71"/>
    <col customWidth="1" min="6" max="6" width="13.71"/>
    <col customWidth="1" min="7" max="7" width="14.57"/>
    <col customWidth="1" min="8" max="8" width="18.29"/>
    <col customWidth="1" min="9" max="26" width="10.71"/>
  </cols>
  <sheetData>
    <row r="1" ht="14.25" customHeight="1">
      <c r="A1" s="13"/>
      <c r="B1" s="14"/>
      <c r="C1" s="14"/>
      <c r="D1" s="14"/>
      <c r="E1" s="14"/>
      <c r="F1" s="14"/>
      <c r="G1" s="14"/>
      <c r="H1" s="15"/>
    </row>
    <row r="2" ht="14.25" customHeight="1">
      <c r="A2" s="16"/>
      <c r="H2" s="17"/>
    </row>
    <row r="3" ht="14.25" customHeight="1">
      <c r="A3" s="16"/>
      <c r="H3" s="17"/>
    </row>
    <row r="4" ht="27.0" customHeight="1">
      <c r="A4" s="18" t="s">
        <v>16</v>
      </c>
      <c r="B4" s="19"/>
      <c r="C4" s="20" t="s">
        <v>17</v>
      </c>
      <c r="D4" s="21"/>
      <c r="E4" s="22"/>
      <c r="F4" s="23" t="s">
        <v>18</v>
      </c>
      <c r="G4" s="24"/>
      <c r="H4" s="25">
        <v>2026.0</v>
      </c>
    </row>
    <row r="5" ht="21.75" customHeight="1">
      <c r="A5" s="26" t="s">
        <v>19</v>
      </c>
      <c r="B5" s="27"/>
      <c r="C5" s="26" t="s">
        <v>13</v>
      </c>
      <c r="D5" s="29"/>
      <c r="E5" s="30"/>
      <c r="F5" s="31" t="s">
        <v>20</v>
      </c>
      <c r="G5" s="32">
        <f>65000/2</f>
        <v>32500</v>
      </c>
      <c r="H5" s="32" t="s">
        <v>54</v>
      </c>
    </row>
    <row r="6" ht="30.0" customHeight="1">
      <c r="A6" s="33" t="s">
        <v>23</v>
      </c>
      <c r="B6" s="34"/>
      <c r="C6" s="127">
        <v>3.9701425E7</v>
      </c>
      <c r="D6" s="36"/>
      <c r="E6" s="37"/>
      <c r="F6" s="38"/>
      <c r="G6" s="159">
        <v>65000.0</v>
      </c>
      <c r="H6" s="32" t="s">
        <v>24</v>
      </c>
    </row>
    <row r="7" ht="14.25" customHeight="1">
      <c r="A7" s="41" t="s">
        <v>25</v>
      </c>
      <c r="B7" s="42"/>
      <c r="C7" s="41" t="s">
        <v>26</v>
      </c>
      <c r="D7" s="42"/>
      <c r="E7" s="41" t="s">
        <v>27</v>
      </c>
      <c r="F7" s="3"/>
      <c r="G7" s="43" t="s">
        <v>28</v>
      </c>
      <c r="H7" s="44"/>
    </row>
    <row r="8" ht="14.25" customHeight="1">
      <c r="A8" s="46">
        <f>+F23</f>
        <v>82.4</v>
      </c>
      <c r="B8" s="3"/>
      <c r="C8" s="48">
        <f>+G23</f>
        <v>-2.5</v>
      </c>
      <c r="D8" s="3"/>
      <c r="E8" s="77">
        <v>6500.0</v>
      </c>
      <c r="F8" s="42"/>
      <c r="G8" s="54">
        <f>+C8*E8+C10*E10</f>
        <v>-16250</v>
      </c>
      <c r="H8" s="42"/>
    </row>
    <row r="9" ht="14.25" customHeight="1">
      <c r="A9" s="41"/>
      <c r="B9" s="3"/>
      <c r="C9" s="41"/>
      <c r="D9" s="42"/>
      <c r="E9" s="41"/>
      <c r="F9" s="3"/>
      <c r="G9" s="128" t="s">
        <v>29</v>
      </c>
      <c r="H9" s="42"/>
    </row>
    <row r="10" ht="14.25" customHeight="1">
      <c r="A10" s="56"/>
      <c r="B10" s="50"/>
      <c r="C10" s="78"/>
      <c r="D10" s="50"/>
      <c r="E10" s="51"/>
      <c r="F10" s="42"/>
      <c r="G10" s="67">
        <f>+G8+H23</f>
        <v>601250</v>
      </c>
      <c r="H10" s="52"/>
    </row>
    <row r="11" ht="14.25" customHeight="1">
      <c r="A11" s="130" t="s">
        <v>30</v>
      </c>
      <c r="B11" s="68" t="s">
        <v>31</v>
      </c>
      <c r="C11" s="68" t="s">
        <v>32</v>
      </c>
      <c r="D11" s="68" t="s">
        <v>33</v>
      </c>
      <c r="E11" s="68" t="s">
        <v>34</v>
      </c>
      <c r="F11" s="68" t="s">
        <v>35</v>
      </c>
      <c r="G11" s="68" t="s">
        <v>36</v>
      </c>
      <c r="H11" s="69"/>
    </row>
    <row r="12" ht="14.25" customHeight="1">
      <c r="A12" s="70" t="s">
        <v>39</v>
      </c>
      <c r="B12" s="71" t="s">
        <v>40</v>
      </c>
      <c r="C12" s="72">
        <v>46221.0</v>
      </c>
      <c r="D12" s="73">
        <v>0.6326388888888889</v>
      </c>
      <c r="E12" s="70">
        <v>0.8368055555555555</v>
      </c>
      <c r="F12" s="74">
        <f t="shared" ref="F12:F22" si="1">(IF(D12&gt;E12,E12+1-D12,E12-D12))*24</f>
        <v>4.9</v>
      </c>
      <c r="G12" s="75">
        <v>0.0</v>
      </c>
      <c r="H12" s="140">
        <f>65000/2</f>
        <v>32500</v>
      </c>
    </row>
    <row r="13" ht="14.25" customHeight="1">
      <c r="A13" s="70" t="s">
        <v>39</v>
      </c>
      <c r="B13" s="71" t="s">
        <v>41</v>
      </c>
      <c r="C13" s="72">
        <v>46222.0</v>
      </c>
      <c r="D13" s="73">
        <v>0.2916666666666667</v>
      </c>
      <c r="E13" s="70">
        <v>0.5833333333333334</v>
      </c>
      <c r="F13" s="74">
        <f t="shared" si="1"/>
        <v>7</v>
      </c>
      <c r="G13" s="75">
        <f t="shared" ref="G13:G20" si="2">+F13-10</f>
        <v>-3</v>
      </c>
      <c r="H13" s="140">
        <v>65000.0</v>
      </c>
    </row>
    <row r="14" ht="14.25" customHeight="1">
      <c r="A14" s="70" t="s">
        <v>39</v>
      </c>
      <c r="B14" s="71" t="s">
        <v>42</v>
      </c>
      <c r="C14" s="72">
        <v>46223.0</v>
      </c>
      <c r="D14" s="73">
        <v>0.2916666666666667</v>
      </c>
      <c r="E14" s="70">
        <v>0.875</v>
      </c>
      <c r="F14" s="74">
        <f t="shared" si="1"/>
        <v>14</v>
      </c>
      <c r="G14" s="75">
        <f t="shared" si="2"/>
        <v>4</v>
      </c>
      <c r="H14" s="140">
        <v>65000.0</v>
      </c>
    </row>
    <row r="15" ht="14.25" customHeight="1">
      <c r="A15" s="70" t="s">
        <v>39</v>
      </c>
      <c r="B15" s="71" t="s">
        <v>43</v>
      </c>
      <c r="C15" s="72">
        <v>46224.0</v>
      </c>
      <c r="D15" s="73">
        <v>0.3333333333333333</v>
      </c>
      <c r="E15" s="70">
        <v>0.875</v>
      </c>
      <c r="F15" s="74">
        <f t="shared" si="1"/>
        <v>13</v>
      </c>
      <c r="G15" s="75">
        <f t="shared" si="2"/>
        <v>3</v>
      </c>
      <c r="H15" s="140">
        <v>65000.0</v>
      </c>
    </row>
    <row r="16" ht="14.25" customHeight="1">
      <c r="A16" s="70" t="s">
        <v>39</v>
      </c>
      <c r="B16" s="71" t="s">
        <v>44</v>
      </c>
      <c r="C16" s="72">
        <v>46225.0</v>
      </c>
      <c r="D16" s="73">
        <v>0.3333333333333333</v>
      </c>
      <c r="E16" s="70">
        <v>0.7916666666666666</v>
      </c>
      <c r="F16" s="74">
        <f t="shared" si="1"/>
        <v>11</v>
      </c>
      <c r="G16" s="75">
        <f t="shared" si="2"/>
        <v>1</v>
      </c>
      <c r="H16" s="140">
        <v>65000.0</v>
      </c>
    </row>
    <row r="17" ht="14.25" customHeight="1">
      <c r="A17" s="70" t="s">
        <v>39</v>
      </c>
      <c r="B17" s="71" t="s">
        <v>45</v>
      </c>
      <c r="C17" s="72">
        <v>46226.0</v>
      </c>
      <c r="D17" s="73">
        <v>0.3333333333333333</v>
      </c>
      <c r="E17" s="70">
        <v>0.7916666666666666</v>
      </c>
      <c r="F17" s="74">
        <f t="shared" si="1"/>
        <v>11</v>
      </c>
      <c r="G17" s="75">
        <f t="shared" si="2"/>
        <v>1</v>
      </c>
      <c r="H17" s="140">
        <v>65000.0</v>
      </c>
    </row>
    <row r="18" ht="14.25" customHeight="1">
      <c r="A18" s="70" t="s">
        <v>39</v>
      </c>
      <c r="B18" s="71" t="s">
        <v>46</v>
      </c>
      <c r="C18" s="72">
        <v>46227.0</v>
      </c>
      <c r="D18" s="79"/>
      <c r="E18" s="80"/>
      <c r="F18" s="74">
        <f t="shared" si="1"/>
        <v>0</v>
      </c>
      <c r="G18" s="75">
        <f t="shared" si="2"/>
        <v>-10</v>
      </c>
      <c r="H18" s="140">
        <v>65000.0</v>
      </c>
    </row>
    <row r="19" ht="14.25" customHeight="1">
      <c r="A19" s="70" t="s">
        <v>39</v>
      </c>
      <c r="B19" s="71" t="s">
        <v>47</v>
      </c>
      <c r="C19" s="72">
        <v>46228.0</v>
      </c>
      <c r="D19" s="73">
        <v>0.6666666666666666</v>
      </c>
      <c r="E19" s="70">
        <v>0.125</v>
      </c>
      <c r="F19" s="74">
        <f t="shared" si="1"/>
        <v>11</v>
      </c>
      <c r="G19" s="75">
        <f t="shared" si="2"/>
        <v>1</v>
      </c>
      <c r="H19" s="140">
        <v>65000.0</v>
      </c>
    </row>
    <row r="20" ht="14.25" customHeight="1">
      <c r="A20" s="70" t="s">
        <v>39</v>
      </c>
      <c r="B20" s="71" t="s">
        <v>41</v>
      </c>
      <c r="C20" s="72">
        <v>46229.0</v>
      </c>
      <c r="D20" s="73">
        <v>0.375</v>
      </c>
      <c r="E20" s="70">
        <v>0.8125</v>
      </c>
      <c r="F20" s="74">
        <f t="shared" si="1"/>
        <v>10.5</v>
      </c>
      <c r="G20" s="75">
        <f t="shared" si="2"/>
        <v>0.5</v>
      </c>
      <c r="H20" s="140">
        <v>65000.0</v>
      </c>
    </row>
    <row r="21" ht="14.25" customHeight="1">
      <c r="A21" s="70" t="s">
        <v>39</v>
      </c>
      <c r="B21" s="71" t="s">
        <v>42</v>
      </c>
      <c r="C21" s="72">
        <v>46230.0</v>
      </c>
      <c r="D21" s="73"/>
      <c r="E21" s="70"/>
      <c r="F21" s="74">
        <f t="shared" si="1"/>
        <v>0</v>
      </c>
      <c r="G21" s="75"/>
      <c r="H21" s="140">
        <v>65000.0</v>
      </c>
    </row>
    <row r="22" ht="14.25" customHeight="1">
      <c r="A22" s="70" t="s">
        <v>39</v>
      </c>
      <c r="B22" s="71" t="s">
        <v>43</v>
      </c>
      <c r="C22" s="72">
        <v>46231.0</v>
      </c>
      <c r="D22" s="73"/>
      <c r="E22" s="70"/>
      <c r="F22" s="74">
        <f t="shared" si="1"/>
        <v>0</v>
      </c>
      <c r="G22" s="75"/>
      <c r="H22" s="140"/>
    </row>
    <row r="23" ht="14.25" customHeight="1">
      <c r="A23" s="163"/>
      <c r="B23" s="94"/>
      <c r="C23" s="136"/>
      <c r="D23" s="164"/>
      <c r="E23" s="142" t="s">
        <v>48</v>
      </c>
      <c r="F23" s="143">
        <f t="shared" ref="F23:H23" si="3">SUM(F12:F22)</f>
        <v>82.4</v>
      </c>
      <c r="G23" s="143">
        <f t="shared" si="3"/>
        <v>-2.5</v>
      </c>
      <c r="H23" s="144">
        <f t="shared" si="3"/>
        <v>617500</v>
      </c>
    </row>
    <row r="24" ht="14.25" customHeight="1">
      <c r="A24" s="145"/>
      <c r="B24" s="145"/>
      <c r="C24" s="146"/>
      <c r="D24" s="147"/>
      <c r="E24" s="148"/>
      <c r="F24" s="149"/>
      <c r="G24" s="149"/>
      <c r="H24" s="150"/>
    </row>
    <row r="25" ht="29.25" customHeight="1">
      <c r="A25" s="95" t="s">
        <v>49</v>
      </c>
      <c r="B25" s="21"/>
      <c r="C25" s="19"/>
      <c r="D25" s="104">
        <f>+G10</f>
        <v>601250</v>
      </c>
      <c r="E25" s="19"/>
      <c r="F25" s="102"/>
      <c r="G25" s="21"/>
      <c r="H25" s="22"/>
    </row>
    <row r="26" ht="14.25" customHeight="1">
      <c r="A26" s="165"/>
      <c r="B26" s="166"/>
      <c r="C26" s="166"/>
      <c r="D26" s="167"/>
      <c r="E26" s="167"/>
      <c r="F26" s="168"/>
      <c r="G26" s="168"/>
      <c r="H26" s="168"/>
    </row>
    <row r="27" ht="14.25" customHeight="1">
      <c r="A27" s="109" t="s">
        <v>50</v>
      </c>
      <c r="B27" s="110"/>
      <c r="C27" s="110"/>
      <c r="D27" s="110"/>
      <c r="E27" s="111"/>
      <c r="F27" s="108"/>
      <c r="G27" s="108"/>
      <c r="H27" s="108"/>
    </row>
    <row r="28" ht="14.25" customHeight="1">
      <c r="A28" s="112">
        <v>46227.0</v>
      </c>
      <c r="B28" s="113">
        <v>1.0</v>
      </c>
      <c r="C28" s="114" t="s">
        <v>51</v>
      </c>
      <c r="D28" s="3"/>
      <c r="E28" s="115">
        <v>300000.0</v>
      </c>
    </row>
    <row r="29" ht="14.25" customHeight="1">
      <c r="A29" s="116"/>
      <c r="B29" s="117"/>
      <c r="C29" s="114"/>
      <c r="D29" s="3"/>
      <c r="E29" s="118"/>
    </row>
    <row r="30" ht="14.25" customHeight="1">
      <c r="A30" s="119" t="s">
        <v>52</v>
      </c>
      <c r="B30" s="120"/>
      <c r="C30" s="120"/>
      <c r="D30" s="50"/>
      <c r="E30" s="121">
        <f>SUM(E28:E29)</f>
        <v>300000</v>
      </c>
    </row>
    <row r="31" ht="14.25" customHeight="1"/>
    <row r="32" ht="30.0" customHeight="1">
      <c r="A32" s="122" t="s">
        <v>49</v>
      </c>
      <c r="B32" s="21"/>
      <c r="C32" s="19"/>
      <c r="D32" s="123">
        <f>+D25-E30</f>
        <v>301250</v>
      </c>
      <c r="E32" s="19"/>
      <c r="F32" s="124"/>
      <c r="G32" s="21"/>
      <c r="H32" s="22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">
    <mergeCell ref="A4:B4"/>
    <mergeCell ref="C4:E4"/>
    <mergeCell ref="F4:G4"/>
    <mergeCell ref="A5:B5"/>
    <mergeCell ref="C5:E5"/>
    <mergeCell ref="F5:F6"/>
    <mergeCell ref="C6:E6"/>
    <mergeCell ref="E8:F8"/>
    <mergeCell ref="G8:H8"/>
    <mergeCell ref="A6:B6"/>
    <mergeCell ref="A7:B7"/>
    <mergeCell ref="C7:D7"/>
    <mergeCell ref="E7:F7"/>
    <mergeCell ref="G7:H7"/>
    <mergeCell ref="A8:B8"/>
    <mergeCell ref="C8:D8"/>
    <mergeCell ref="A9:B9"/>
    <mergeCell ref="C9:D9"/>
    <mergeCell ref="E9:F9"/>
    <mergeCell ref="G9:H9"/>
    <mergeCell ref="C10:D10"/>
    <mergeCell ref="E10:F10"/>
    <mergeCell ref="G10:H10"/>
    <mergeCell ref="C29:D29"/>
    <mergeCell ref="A30:D30"/>
    <mergeCell ref="A32:C32"/>
    <mergeCell ref="D32:E32"/>
    <mergeCell ref="F32:H32"/>
    <mergeCell ref="A10:B10"/>
    <mergeCell ref="A23:B23"/>
    <mergeCell ref="A25:C25"/>
    <mergeCell ref="D25:E25"/>
    <mergeCell ref="F25:H25"/>
    <mergeCell ref="A27:E27"/>
    <mergeCell ref="C28:D2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5.86"/>
    <col customWidth="1" min="3" max="3" width="16.29"/>
    <col customWidth="1" min="4" max="4" width="16.57"/>
    <col customWidth="1" min="5" max="5" width="15.71"/>
    <col customWidth="1" min="6" max="6" width="12.0"/>
    <col customWidth="1" min="7" max="7" width="12.43"/>
    <col customWidth="1" min="8" max="8" width="17.71"/>
    <col customWidth="1" min="9" max="26" width="10.71"/>
  </cols>
  <sheetData>
    <row r="1" ht="14.25" customHeight="1">
      <c r="A1" s="13"/>
      <c r="B1" s="14"/>
      <c r="C1" s="14"/>
      <c r="D1" s="14"/>
      <c r="E1" s="14"/>
      <c r="F1" s="14"/>
      <c r="G1" s="14"/>
      <c r="H1" s="15"/>
    </row>
    <row r="2" ht="14.25" customHeight="1">
      <c r="A2" s="16"/>
      <c r="H2" s="17"/>
    </row>
    <row r="3" ht="14.25" customHeight="1">
      <c r="A3" s="16"/>
      <c r="H3" s="17"/>
    </row>
    <row r="4" ht="23.25" customHeight="1">
      <c r="A4" s="18" t="s">
        <v>16</v>
      </c>
      <c r="B4" s="19"/>
      <c r="C4" s="20" t="s">
        <v>17</v>
      </c>
      <c r="D4" s="21"/>
      <c r="E4" s="22"/>
      <c r="F4" s="23" t="s">
        <v>18</v>
      </c>
      <c r="G4" s="24"/>
      <c r="H4" s="25">
        <v>2026.0</v>
      </c>
    </row>
    <row r="5" ht="23.25" customHeight="1">
      <c r="A5" s="26" t="s">
        <v>19</v>
      </c>
      <c r="B5" s="27"/>
      <c r="C5" s="26" t="s">
        <v>14</v>
      </c>
      <c r="D5" s="29"/>
      <c r="E5" s="30"/>
      <c r="F5" s="31" t="s">
        <v>20</v>
      </c>
      <c r="G5" s="32">
        <v>25000.0</v>
      </c>
      <c r="H5" s="32" t="s">
        <v>22</v>
      </c>
    </row>
    <row r="6" ht="25.5" customHeight="1">
      <c r="A6" s="33" t="s">
        <v>23</v>
      </c>
      <c r="B6" s="34"/>
      <c r="C6" s="127">
        <v>4.4738615E7</v>
      </c>
      <c r="D6" s="36"/>
      <c r="E6" s="37"/>
      <c r="F6" s="38"/>
      <c r="G6" s="32">
        <v>50000.0</v>
      </c>
      <c r="H6" s="32" t="s">
        <v>24</v>
      </c>
    </row>
    <row r="7" ht="15.0" customHeight="1">
      <c r="A7" s="41" t="s">
        <v>25</v>
      </c>
      <c r="B7" s="42"/>
      <c r="C7" s="41" t="s">
        <v>26</v>
      </c>
      <c r="D7" s="42"/>
      <c r="E7" s="41" t="s">
        <v>27</v>
      </c>
      <c r="F7" s="3"/>
      <c r="G7" s="43" t="s">
        <v>28</v>
      </c>
      <c r="H7" s="44"/>
    </row>
    <row r="8" ht="14.25" customHeight="1">
      <c r="A8" s="46">
        <f>+F23</f>
        <v>82.4</v>
      </c>
      <c r="B8" s="3"/>
      <c r="C8" s="47">
        <f>+G23-C10</f>
        <v>6</v>
      </c>
      <c r="D8" s="3"/>
      <c r="E8" s="77">
        <v>5000.0</v>
      </c>
      <c r="F8" s="42"/>
      <c r="G8" s="54">
        <f>+C8*E8+C10*E10</f>
        <v>30000</v>
      </c>
      <c r="H8" s="42"/>
    </row>
    <row r="9" ht="15.0" customHeight="1">
      <c r="A9" s="41"/>
      <c r="B9" s="3"/>
      <c r="C9" s="45"/>
      <c r="D9" s="3"/>
      <c r="E9" s="41"/>
      <c r="F9" s="3"/>
      <c r="G9" s="128" t="s">
        <v>29</v>
      </c>
      <c r="H9" s="42"/>
    </row>
    <row r="10" ht="14.25" customHeight="1">
      <c r="A10" s="56"/>
      <c r="B10" s="50"/>
      <c r="C10" s="62"/>
      <c r="D10" s="50"/>
      <c r="E10" s="51"/>
      <c r="F10" s="42"/>
      <c r="G10" s="67">
        <f>+G8+H23</f>
        <v>555000</v>
      </c>
      <c r="H10" s="52"/>
    </row>
    <row r="11" ht="14.25" customHeight="1">
      <c r="A11" s="130" t="s">
        <v>30</v>
      </c>
      <c r="B11" s="68" t="s">
        <v>31</v>
      </c>
      <c r="C11" s="68" t="s">
        <v>32</v>
      </c>
      <c r="D11" s="68" t="s">
        <v>33</v>
      </c>
      <c r="E11" s="68" t="s">
        <v>34</v>
      </c>
      <c r="F11" s="68" t="s">
        <v>35</v>
      </c>
      <c r="G11" s="68" t="s">
        <v>36</v>
      </c>
      <c r="H11" s="69" t="s">
        <v>38</v>
      </c>
    </row>
    <row r="12" ht="14.25" customHeight="1">
      <c r="A12" s="70" t="s">
        <v>39</v>
      </c>
      <c r="B12" s="71" t="s">
        <v>40</v>
      </c>
      <c r="C12" s="72">
        <v>46221.0</v>
      </c>
      <c r="D12" s="73">
        <v>0.6326388888888889</v>
      </c>
      <c r="E12" s="70">
        <v>0.8368055555555555</v>
      </c>
      <c r="F12" s="74">
        <f t="shared" ref="F12:F22" si="1">(IF(D12&gt;E12,E12+1-D12,E12-D12))*24</f>
        <v>4.9</v>
      </c>
      <c r="G12" s="75">
        <v>0.0</v>
      </c>
      <c r="H12" s="76">
        <v>25000.0</v>
      </c>
    </row>
    <row r="13" ht="14.25" customHeight="1">
      <c r="A13" s="70" t="s">
        <v>39</v>
      </c>
      <c r="B13" s="71" t="s">
        <v>41</v>
      </c>
      <c r="C13" s="72">
        <v>46222.0</v>
      </c>
      <c r="D13" s="73">
        <v>0.2916666666666667</v>
      </c>
      <c r="E13" s="70">
        <v>0.5833333333333334</v>
      </c>
      <c r="F13" s="74">
        <f t="shared" si="1"/>
        <v>7</v>
      </c>
      <c r="G13" s="75">
        <f t="shared" ref="G13:G17" si="2">+F13-10</f>
        <v>-3</v>
      </c>
      <c r="H13" s="76">
        <v>50000.0</v>
      </c>
    </row>
    <row r="14" ht="14.25" customHeight="1">
      <c r="A14" s="70" t="s">
        <v>39</v>
      </c>
      <c r="B14" s="71" t="s">
        <v>42</v>
      </c>
      <c r="C14" s="72">
        <v>46223.0</v>
      </c>
      <c r="D14" s="73">
        <v>0.2916666666666667</v>
      </c>
      <c r="E14" s="70">
        <v>0.875</v>
      </c>
      <c r="F14" s="74">
        <f t="shared" si="1"/>
        <v>14</v>
      </c>
      <c r="G14" s="75">
        <f t="shared" si="2"/>
        <v>4</v>
      </c>
      <c r="H14" s="76">
        <v>50000.0</v>
      </c>
    </row>
    <row r="15" ht="14.25" customHeight="1">
      <c r="A15" s="70" t="s">
        <v>39</v>
      </c>
      <c r="B15" s="71" t="s">
        <v>43</v>
      </c>
      <c r="C15" s="72">
        <v>46224.0</v>
      </c>
      <c r="D15" s="73">
        <v>0.3333333333333333</v>
      </c>
      <c r="E15" s="70">
        <v>0.875</v>
      </c>
      <c r="F15" s="74">
        <f t="shared" si="1"/>
        <v>13</v>
      </c>
      <c r="G15" s="75">
        <f t="shared" si="2"/>
        <v>3</v>
      </c>
      <c r="H15" s="76">
        <v>50000.0</v>
      </c>
    </row>
    <row r="16" ht="14.25" customHeight="1">
      <c r="A16" s="70" t="s">
        <v>39</v>
      </c>
      <c r="B16" s="71" t="s">
        <v>44</v>
      </c>
      <c r="C16" s="72">
        <v>46225.0</v>
      </c>
      <c r="D16" s="73">
        <v>0.3333333333333333</v>
      </c>
      <c r="E16" s="70">
        <v>0.7916666666666666</v>
      </c>
      <c r="F16" s="74">
        <f t="shared" si="1"/>
        <v>11</v>
      </c>
      <c r="G16" s="75">
        <f t="shared" si="2"/>
        <v>1</v>
      </c>
      <c r="H16" s="76">
        <v>50000.0</v>
      </c>
    </row>
    <row r="17" ht="14.25" customHeight="1">
      <c r="A17" s="70" t="s">
        <v>39</v>
      </c>
      <c r="B17" s="71" t="s">
        <v>45</v>
      </c>
      <c r="C17" s="72">
        <v>46226.0</v>
      </c>
      <c r="D17" s="73">
        <v>0.3333333333333333</v>
      </c>
      <c r="E17" s="70">
        <v>0.7916666666666666</v>
      </c>
      <c r="F17" s="74">
        <f t="shared" si="1"/>
        <v>11</v>
      </c>
      <c r="G17" s="75">
        <f t="shared" si="2"/>
        <v>1</v>
      </c>
      <c r="H17" s="76">
        <v>50000.0</v>
      </c>
    </row>
    <row r="18" ht="14.25" customHeight="1">
      <c r="A18" s="70" t="s">
        <v>39</v>
      </c>
      <c r="B18" s="71" t="s">
        <v>46</v>
      </c>
      <c r="C18" s="72">
        <v>46227.0</v>
      </c>
      <c r="D18" s="79"/>
      <c r="E18" s="80"/>
      <c r="F18" s="74">
        <f t="shared" si="1"/>
        <v>0</v>
      </c>
      <c r="G18" s="75"/>
      <c r="H18" s="76">
        <v>50000.0</v>
      </c>
    </row>
    <row r="19" ht="14.25" customHeight="1">
      <c r="A19" s="70" t="s">
        <v>39</v>
      </c>
      <c r="B19" s="71" t="s">
        <v>47</v>
      </c>
      <c r="C19" s="72">
        <v>46228.0</v>
      </c>
      <c r="D19" s="73">
        <v>0.2916666666666667</v>
      </c>
      <c r="E19" s="70">
        <v>0.6666666666666666</v>
      </c>
      <c r="F19" s="74">
        <f t="shared" si="1"/>
        <v>9</v>
      </c>
      <c r="G19" s="75"/>
      <c r="H19" s="76">
        <v>50000.0</v>
      </c>
    </row>
    <row r="20" ht="14.25" customHeight="1">
      <c r="A20" s="70" t="s">
        <v>39</v>
      </c>
      <c r="B20" s="71" t="s">
        <v>41</v>
      </c>
      <c r="C20" s="72">
        <v>46229.0</v>
      </c>
      <c r="D20" s="73">
        <v>0.2916666666666667</v>
      </c>
      <c r="E20" s="70">
        <v>0.8125</v>
      </c>
      <c r="F20" s="74">
        <f t="shared" si="1"/>
        <v>12.5</v>
      </c>
      <c r="G20" s="75"/>
      <c r="H20" s="76">
        <v>50000.0</v>
      </c>
    </row>
    <row r="21" ht="14.25" customHeight="1">
      <c r="A21" s="70" t="s">
        <v>39</v>
      </c>
      <c r="B21" s="71" t="s">
        <v>42</v>
      </c>
      <c r="C21" s="72">
        <v>46230.0</v>
      </c>
      <c r="D21" s="73"/>
      <c r="E21" s="70"/>
      <c r="F21" s="74">
        <f t="shared" si="1"/>
        <v>0</v>
      </c>
      <c r="G21" s="75"/>
      <c r="H21" s="76">
        <v>50000.0</v>
      </c>
    </row>
    <row r="22" ht="14.25" customHeight="1">
      <c r="A22" s="70"/>
      <c r="B22" s="71" t="s">
        <v>43</v>
      </c>
      <c r="C22" s="72">
        <v>46231.0</v>
      </c>
      <c r="D22" s="73"/>
      <c r="E22" s="70"/>
      <c r="F22" s="74">
        <f t="shared" si="1"/>
        <v>0</v>
      </c>
      <c r="G22" s="75"/>
      <c r="H22" s="76">
        <v>50000.0</v>
      </c>
    </row>
    <row r="23" ht="18.0" customHeight="1">
      <c r="A23" s="163"/>
      <c r="B23" s="94"/>
      <c r="C23" s="136"/>
      <c r="D23" s="164"/>
      <c r="E23" s="162" t="s">
        <v>48</v>
      </c>
      <c r="F23" s="88">
        <f t="shared" ref="F23:H23" si="3">SUM(F12:F22)</f>
        <v>82.4</v>
      </c>
      <c r="G23" s="88">
        <f t="shared" si="3"/>
        <v>6</v>
      </c>
      <c r="H23" s="90">
        <f t="shared" si="3"/>
        <v>525000</v>
      </c>
    </row>
    <row r="24" ht="14.25" customHeight="1">
      <c r="A24" s="145"/>
      <c r="B24" s="145"/>
      <c r="C24" s="146"/>
      <c r="D24" s="147"/>
      <c r="E24" s="148"/>
      <c r="F24" s="149"/>
      <c r="G24" s="149"/>
      <c r="H24" s="150"/>
    </row>
    <row r="25" ht="30.0" customHeight="1">
      <c r="A25" s="95" t="s">
        <v>49</v>
      </c>
      <c r="B25" s="21"/>
      <c r="C25" s="19"/>
      <c r="D25" s="104">
        <f>+G10</f>
        <v>555000</v>
      </c>
      <c r="E25" s="19"/>
      <c r="F25" s="151"/>
      <c r="G25" s="21"/>
      <c r="H25" s="22"/>
    </row>
    <row r="26" ht="19.5" customHeight="1">
      <c r="A26" s="105"/>
      <c r="B26" s="105"/>
      <c r="C26" s="105"/>
      <c r="D26" s="107"/>
      <c r="E26" s="107"/>
      <c r="F26" s="108"/>
      <c r="G26" s="108"/>
      <c r="H26" s="108"/>
    </row>
    <row r="27" ht="14.25" customHeight="1">
      <c r="A27" s="109" t="s">
        <v>50</v>
      </c>
      <c r="B27" s="110"/>
      <c r="C27" s="110"/>
      <c r="D27" s="110"/>
      <c r="E27" s="111"/>
      <c r="F27" s="108"/>
      <c r="G27" s="108"/>
      <c r="H27" s="108"/>
    </row>
    <row r="28" ht="14.25" customHeight="1">
      <c r="A28" s="112">
        <v>46227.0</v>
      </c>
      <c r="B28" s="113">
        <v>1.0</v>
      </c>
      <c r="C28" s="114" t="s">
        <v>51</v>
      </c>
      <c r="D28" s="3"/>
      <c r="E28" s="115">
        <v>250000.0</v>
      </c>
    </row>
    <row r="29" ht="14.25" customHeight="1">
      <c r="A29" s="116"/>
      <c r="B29" s="117"/>
      <c r="C29" s="114"/>
      <c r="D29" s="3"/>
      <c r="E29" s="118"/>
    </row>
    <row r="30" ht="14.25" customHeight="1">
      <c r="A30" s="119" t="s">
        <v>52</v>
      </c>
      <c r="B30" s="120"/>
      <c r="C30" s="120"/>
      <c r="D30" s="50"/>
      <c r="E30" s="121">
        <f>SUM(E28:E29)</f>
        <v>250000</v>
      </c>
    </row>
    <row r="31" ht="14.25" customHeight="1"/>
    <row r="32" ht="27.0" customHeight="1">
      <c r="A32" s="122" t="s">
        <v>49</v>
      </c>
      <c r="B32" s="21"/>
      <c r="C32" s="19"/>
      <c r="D32" s="123">
        <f>+D25-E30</f>
        <v>305000</v>
      </c>
      <c r="E32" s="19"/>
      <c r="F32" s="124"/>
      <c r="G32" s="21"/>
      <c r="H32" s="22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">
    <mergeCell ref="A4:B4"/>
    <mergeCell ref="C4:E4"/>
    <mergeCell ref="F4:G4"/>
    <mergeCell ref="A5:B5"/>
    <mergeCell ref="C5:E5"/>
    <mergeCell ref="F5:F6"/>
    <mergeCell ref="C6:E6"/>
    <mergeCell ref="E8:F8"/>
    <mergeCell ref="G8:H8"/>
    <mergeCell ref="A6:B6"/>
    <mergeCell ref="A7:B7"/>
    <mergeCell ref="C7:D7"/>
    <mergeCell ref="E7:F7"/>
    <mergeCell ref="G7:H7"/>
    <mergeCell ref="A8:B8"/>
    <mergeCell ref="C8:D8"/>
    <mergeCell ref="A9:B9"/>
    <mergeCell ref="C9:D9"/>
    <mergeCell ref="E9:F9"/>
    <mergeCell ref="G9:H9"/>
    <mergeCell ref="C10:D10"/>
    <mergeCell ref="E10:F10"/>
    <mergeCell ref="G10:H10"/>
    <mergeCell ref="C29:D29"/>
    <mergeCell ref="A30:D30"/>
    <mergeCell ref="A32:C32"/>
    <mergeCell ref="D32:E32"/>
    <mergeCell ref="F32:H32"/>
    <mergeCell ref="A10:B10"/>
    <mergeCell ref="A23:B23"/>
    <mergeCell ref="A25:C25"/>
    <mergeCell ref="D25:E25"/>
    <mergeCell ref="F25:H25"/>
    <mergeCell ref="A27:E27"/>
    <mergeCell ref="C28:D28"/>
  </mergeCells>
  <printOptions/>
  <pageMargins bottom="0.7480314960629921" footer="0.0" header="0.0" left="0.7086614173228347" right="0.7086614173228347" top="0.7480314960629921"/>
  <pageSetup scale="7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2025-01-06T18:32:48Z</dcterms:created>
  <dc:creator>Notebook HP</dc:creator>
</cp:coreProperties>
</file>