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otebook HP\Desktop\JORNALEROS DOS57-2026\"/>
    </mc:Choice>
  </mc:AlternateContent>
  <bookViews>
    <workbookView xWindow="0" yWindow="0" windowWidth="23040" windowHeight="9072"/>
  </bookViews>
  <sheets>
    <sheet name="FOFIS.2026" sheetId="1" r:id="rId1"/>
    <sheet name="NESTORAS.2026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6" i="1" l="1"/>
  <c r="B105" i="1"/>
  <c r="B104" i="1"/>
  <c r="B100" i="1"/>
  <c r="B99" i="1"/>
  <c r="D93" i="1"/>
  <c r="E93" i="1" s="1"/>
  <c r="I89" i="1"/>
  <c r="H80" i="1" s="1"/>
  <c r="E91" i="1" s="1"/>
  <c r="G88" i="1"/>
  <c r="H88" i="1" s="1"/>
  <c r="H89" i="1" s="1"/>
  <c r="C78" i="1" s="1"/>
  <c r="H78" i="1" s="1"/>
  <c r="G87" i="1"/>
  <c r="G86" i="1"/>
  <c r="G85" i="1"/>
  <c r="G84" i="1"/>
  <c r="G83" i="1"/>
  <c r="G82" i="1"/>
  <c r="G89" i="1" s="1"/>
  <c r="A78" i="1" s="1"/>
  <c r="I71" i="1"/>
  <c r="G70" i="1"/>
  <c r="H70" i="1" s="1"/>
  <c r="G69" i="1"/>
  <c r="H69" i="1" s="1"/>
  <c r="G68" i="1"/>
  <c r="H68" i="1" s="1"/>
  <c r="H67" i="1"/>
  <c r="G67" i="1"/>
  <c r="G66" i="1"/>
  <c r="H66" i="1" s="1"/>
  <c r="J65" i="1"/>
  <c r="B103" i="1" s="1"/>
  <c r="G65" i="1"/>
  <c r="H59" i="1"/>
  <c r="I54" i="1"/>
  <c r="H54" i="1"/>
  <c r="C42" i="1" s="1"/>
  <c r="H42" i="1" s="1"/>
  <c r="H44" i="1" s="1"/>
  <c r="G53" i="1"/>
  <c r="G52" i="1"/>
  <c r="G51" i="1"/>
  <c r="G50" i="1"/>
  <c r="G49" i="1"/>
  <c r="G48" i="1"/>
  <c r="G47" i="1"/>
  <c r="G46" i="1"/>
  <c r="H40" i="1"/>
  <c r="I35" i="1"/>
  <c r="H35" i="1"/>
  <c r="G34" i="1"/>
  <c r="G33" i="1"/>
  <c r="G32" i="1"/>
  <c r="G31" i="1"/>
  <c r="G30" i="1"/>
  <c r="G29" i="1"/>
  <c r="G28" i="1"/>
  <c r="G27" i="1"/>
  <c r="C23" i="1"/>
  <c r="H23" i="1" s="1"/>
  <c r="H25" i="1" s="1"/>
  <c r="H21" i="1"/>
  <c r="I16" i="1"/>
  <c r="H16" i="1"/>
  <c r="G15" i="1"/>
  <c r="G14" i="1"/>
  <c r="G13" i="1"/>
  <c r="G12" i="1"/>
  <c r="C8" i="1"/>
  <c r="H8" i="1" s="1"/>
  <c r="H10" i="1" s="1"/>
  <c r="H6" i="1"/>
  <c r="G54" i="1" l="1"/>
  <c r="A42" i="1" s="1"/>
  <c r="G16" i="1"/>
  <c r="A8" i="1" s="1"/>
  <c r="G35" i="1"/>
  <c r="A23" i="1" s="1"/>
  <c r="G71" i="1"/>
  <c r="A61" i="1" s="1"/>
  <c r="B101" i="1"/>
  <c r="B98" i="1"/>
  <c r="B102" i="1"/>
  <c r="H65" i="1"/>
  <c r="H71" i="1" s="1"/>
  <c r="C61" i="1" s="1"/>
  <c r="H61" i="1" s="1"/>
  <c r="H63" i="1" s="1"/>
  <c r="E92" i="1" s="1"/>
  <c r="E95" i="1" s="1"/>
  <c r="B107" i="1" l="1"/>
  <c r="D70" i="2" l="1"/>
  <c r="E70" i="2" s="1"/>
  <c r="I64" i="2"/>
  <c r="H64" i="2"/>
  <c r="G64" i="2"/>
  <c r="A57" i="2" s="1"/>
  <c r="G63" i="2"/>
  <c r="G62" i="2"/>
  <c r="G61" i="2"/>
  <c r="D57" i="2"/>
  <c r="H57" i="2" s="1"/>
  <c r="H59" i="2" s="1"/>
  <c r="E66" i="2" s="1"/>
  <c r="I50" i="2"/>
  <c r="H50" i="2"/>
  <c r="G49" i="2"/>
  <c r="G48" i="2"/>
  <c r="G47" i="2"/>
  <c r="G46" i="2"/>
  <c r="G50" i="2" s="1"/>
  <c r="A42" i="2" s="1"/>
  <c r="D44" i="2"/>
  <c r="D42" i="2" s="1"/>
  <c r="H42" i="2" s="1"/>
  <c r="I33" i="2"/>
  <c r="H27" i="2" s="1"/>
  <c r="H33" i="2"/>
  <c r="G32" i="2"/>
  <c r="G31" i="2"/>
  <c r="G30" i="2"/>
  <c r="G29" i="2"/>
  <c r="G33" i="2" s="1"/>
  <c r="A25" i="2" s="1"/>
  <c r="D27" i="2"/>
  <c r="D25" i="2" s="1"/>
  <c r="H25" i="2" s="1"/>
  <c r="I17" i="2"/>
  <c r="H11" i="2" s="1"/>
  <c r="H17" i="2"/>
  <c r="G16" i="2"/>
  <c r="G15" i="2"/>
  <c r="G14" i="2"/>
  <c r="G13" i="2"/>
  <c r="G17" i="2" s="1"/>
  <c r="A9" i="2" s="1"/>
  <c r="D11" i="2"/>
  <c r="D9" i="2" s="1"/>
  <c r="H9" i="2" s="1"/>
  <c r="H44" i="2" l="1"/>
  <c r="E68" i="2" s="1"/>
  <c r="E72" i="2" s="1"/>
</calcChain>
</file>

<file path=xl/sharedStrings.xml><?xml version="1.0" encoding="utf-8"?>
<sst xmlns="http://schemas.openxmlformats.org/spreadsheetml/2006/main" count="360" uniqueCount="110">
  <si>
    <t>EQUIPO NESTORAS -EVENTOS VARIOS</t>
  </si>
  <si>
    <t>JULIO</t>
  </si>
  <si>
    <t>EQUIPO:</t>
  </si>
  <si>
    <t>NESTORAS</t>
  </si>
  <si>
    <t>MARTILLERO</t>
  </si>
  <si>
    <t>10 HS</t>
  </si>
  <si>
    <t xml:space="preserve">EVENTOS: </t>
  </si>
  <si>
    <t>RESCOLDO</t>
  </si>
  <si>
    <t>CARGAS</t>
  </si>
  <si>
    <t>DIA</t>
  </si>
  <si>
    <t>LUNES 20/07</t>
  </si>
  <si>
    <t>HRS TRABAJADAS</t>
  </si>
  <si>
    <t xml:space="preserve"> HRS EXTRAS -MARTILLERO</t>
  </si>
  <si>
    <t>IMP.HS.EXTRAS MARTILLEROS</t>
  </si>
  <si>
    <t>IMPORTE HRS EXTRAS TRABAJADAS</t>
  </si>
  <si>
    <t xml:space="preserve"> HRS EXTRAS -CARGAS</t>
  </si>
  <si>
    <t>IMP.HS.EXTRAS CARGAS</t>
  </si>
  <si>
    <t>IMPORTE TOTAL A COBRAR</t>
  </si>
  <si>
    <t>Nombre:</t>
  </si>
  <si>
    <t>Alias</t>
  </si>
  <si>
    <t>Tareas</t>
  </si>
  <si>
    <t>Evento</t>
  </si>
  <si>
    <t>Inicio de Actividades</t>
  </si>
  <si>
    <t>Fin de Actividades</t>
  </si>
  <si>
    <t>Hrs
trabajadas</t>
  </si>
  <si>
    <t>Hrs
Extras</t>
  </si>
  <si>
    <t>$ Jornal</t>
  </si>
  <si>
    <t>GONZALO ARIAS</t>
  </si>
  <si>
    <t>MUMY</t>
  </si>
  <si>
    <t>MARTILLEROS-1</t>
  </si>
  <si>
    <t>Rescoldo</t>
  </si>
  <si>
    <t>CARLOS OLIVA</t>
  </si>
  <si>
    <t>CHARLY</t>
  </si>
  <si>
    <t>MARTILLEROS-2</t>
  </si>
  <si>
    <t>DARIO FLORES</t>
  </si>
  <si>
    <t>MORO</t>
  </si>
  <si>
    <t>CARGA 1</t>
  </si>
  <si>
    <t>GONZALO FERREYRA</t>
  </si>
  <si>
    <t>MALEVO</t>
  </si>
  <si>
    <t>CARGA 2</t>
  </si>
  <si>
    <t>Subtotal</t>
  </si>
  <si>
    <t>Traslado Nestor</t>
  </si>
  <si>
    <t>MARTES 21/07</t>
  </si>
  <si>
    <t>CHATEU PARK</t>
  </si>
  <si>
    <t>MIERCOLES 22/07</t>
  </si>
  <si>
    <t>JEFE EQUIPO</t>
  </si>
  <si>
    <t>NESTOR FLORES</t>
  </si>
  <si>
    <t>JORNADA</t>
  </si>
  <si>
    <t>EVENTOS</t>
  </si>
  <si>
    <t>RESCOLDO/CHATEU PARK</t>
  </si>
  <si>
    <t>5 HS</t>
  </si>
  <si>
    <t xml:space="preserve"> HRS EXTRAS TRABAJADAS</t>
  </si>
  <si>
    <t xml:space="preserve"> VALOR HRS EXTRAS </t>
  </si>
  <si>
    <t>EVENTO</t>
  </si>
  <si>
    <t>Fecha</t>
  </si>
  <si>
    <t>LUNES</t>
  </si>
  <si>
    <t>MARTES</t>
  </si>
  <si>
    <t>MIERCOLES</t>
  </si>
  <si>
    <t>TOTALES</t>
  </si>
  <si>
    <t>NESTOR</t>
  </si>
  <si>
    <t xml:space="preserve">EQUIPO NESTOR </t>
  </si>
  <si>
    <t>TRASLADOS  VEHICULO NESTOR</t>
  </si>
  <si>
    <t>TOTAL</t>
  </si>
  <si>
    <t>LIQUIDACION  TEAM FOFI- EVENTO VARIOS</t>
  </si>
  <si>
    <t>CAMINOS DE LA SIERRA</t>
  </si>
  <si>
    <t xml:space="preserve">10 HS </t>
  </si>
  <si>
    <t>VIERNES 17/07</t>
  </si>
  <si>
    <t>6 hs</t>
  </si>
  <si>
    <t>PAX</t>
  </si>
  <si>
    <t xml:space="preserve"> TOTAL A COBRAR </t>
  </si>
  <si>
    <t>Convocatoria</t>
  </si>
  <si>
    <t>ALIAS</t>
  </si>
  <si>
    <t>Hs Conv</t>
  </si>
  <si>
    <t>FRANCO MORENO</t>
  </si>
  <si>
    <t>MODERNO</t>
  </si>
  <si>
    <t>BENJAMIN OLIVA</t>
  </si>
  <si>
    <t>BENJA</t>
  </si>
  <si>
    <t>KEVIN MARTINEZ</t>
  </si>
  <si>
    <t>TATE</t>
  </si>
  <si>
    <t>TOMAS ROMERO</t>
  </si>
  <si>
    <t>TOMATE</t>
  </si>
  <si>
    <t xml:space="preserve">OBSERVACION:      Se toma horario rastreo vehicular </t>
  </si>
  <si>
    <t>ALEXIS ROJAS</t>
  </si>
  <si>
    <t>NERO</t>
  </si>
  <si>
    <t>MATIAS PAEZ</t>
  </si>
  <si>
    <t>MATIAS</t>
  </si>
  <si>
    <t>NICOLAS ESCUDERO</t>
  </si>
  <si>
    <t>CANILLA</t>
  </si>
  <si>
    <t>ALEXIS JUAREZ</t>
  </si>
  <si>
    <t>PELAYER</t>
  </si>
  <si>
    <t>CHATEU PARK/ POLO</t>
  </si>
  <si>
    <t>FABIAN SANTILLAN</t>
  </si>
  <si>
    <t>FABI</t>
  </si>
  <si>
    <t>NOMBRE</t>
  </si>
  <si>
    <t>ALEXIS SOSA-FOFI</t>
  </si>
  <si>
    <t>KEMPES</t>
  </si>
  <si>
    <t>6 HS</t>
  </si>
  <si>
    <t>CARGO</t>
  </si>
  <si>
    <t>Dia</t>
  </si>
  <si>
    <t>LIBRE</t>
  </si>
  <si>
    <t>JUEVES</t>
  </si>
  <si>
    <t>CAMINO DE LA SIERRA</t>
  </si>
  <si>
    <t>VIERNES</t>
  </si>
  <si>
    <t>SÁBADO</t>
  </si>
  <si>
    <t>DOMINGO</t>
  </si>
  <si>
    <t>MIÉRCOLES</t>
  </si>
  <si>
    <t>FOFI</t>
  </si>
  <si>
    <t>TEAM FOFI</t>
  </si>
  <si>
    <t>EQUIPO SEM. 17/07 AL 22/07</t>
  </si>
  <si>
    <t xml:space="preserve">EQUIPO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</si>
</sst>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\ #,##0;[Red]\-&quot;$&quot;\ #,##0"/>
    <numFmt numFmtId="44" formatCode="_-&quot;$&quot;\ * #,##0.00_-;\-&quot;$&quot;\ * #,##0.00_-;_-&quot;$&quot;\ * &quot;-&quot;??_-;_-@_-"/>
    <numFmt numFmtId="164" formatCode="&quot;$&quot;\ #,##0.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sz val="9"/>
      <name val="Century Gothic"/>
      <family val="2"/>
    </font>
    <font>
      <b/>
      <sz val="9"/>
      <color rgb="FFFF0000"/>
      <name val="Century Gothic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0"/>
      <name val="Calibri"/>
      <family val="2"/>
    </font>
    <font>
      <b/>
      <sz val="9"/>
      <color rgb="FF002060"/>
      <name val="Century Gothic"/>
      <family val="2"/>
    </font>
    <font>
      <b/>
      <sz val="10"/>
      <color rgb="FF002060"/>
      <name val="Calibri"/>
      <family val="2"/>
    </font>
    <font>
      <b/>
      <sz val="10"/>
      <color theme="8" tint="-0.249977111117893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1"/>
      <color rgb="FF00206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b/>
      <sz val="10"/>
      <color theme="8" tint="-0.499984740745262"/>
      <name val="Calibri"/>
      <family val="2"/>
    </font>
    <font>
      <sz val="11"/>
      <color theme="1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rgb="FF92D05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rgb="FF92D05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rgb="FF92D050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92D050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rgb="FF92D050"/>
      </patternFill>
    </fill>
    <fill>
      <patternFill patternType="solid">
        <fgColor theme="0"/>
        <bgColor rgb="FF92D050"/>
      </patternFill>
    </fill>
    <fill>
      <patternFill patternType="solid">
        <fgColor theme="0" tint="-0.14999847407452621"/>
        <bgColor rgb="FF92D05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rgb="FFF4CC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rgb="FF00206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249977111117893"/>
        <bgColor rgb="FF002060"/>
      </patternFill>
    </fill>
    <fill>
      <patternFill patternType="solid">
        <fgColor theme="9" tint="0.79998168889431442"/>
        <bgColor rgb="FFF4CCCC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17" fontId="4" fillId="2" borderId="9" xfId="0" applyNumberFormat="1" applyFont="1" applyFill="1" applyBorder="1" applyAlignment="1">
      <alignment horizontal="center"/>
    </xf>
    <xf numFmtId="17" fontId="4" fillId="2" borderId="10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44" fontId="7" fillId="3" borderId="16" xfId="1" applyFont="1" applyFill="1" applyBorder="1" applyAlignment="1">
      <alignment horizontal="center" vertical="center"/>
    </xf>
    <xf numFmtId="44" fontId="7" fillId="3" borderId="14" xfId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44" fontId="8" fillId="3" borderId="14" xfId="1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2" fontId="7" fillId="3" borderId="14" xfId="1" applyNumberFormat="1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/>
    </xf>
    <xf numFmtId="0" fontId="9" fillId="5" borderId="15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9" fillId="5" borderId="14" xfId="0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2" fontId="9" fillId="0" borderId="12" xfId="0" applyNumberFormat="1" applyFont="1" applyBorder="1" applyAlignment="1">
      <alignment horizontal="center"/>
    </xf>
    <xf numFmtId="2" fontId="9" fillId="0" borderId="15" xfId="0" applyNumberFormat="1" applyFont="1" applyBorder="1" applyAlignment="1">
      <alignment horizontal="center"/>
    </xf>
    <xf numFmtId="2" fontId="9" fillId="0" borderId="13" xfId="0" applyNumberFormat="1" applyFont="1" applyBorder="1" applyAlignment="1">
      <alignment horizontal="center"/>
    </xf>
    <xf numFmtId="2" fontId="10" fillId="0" borderId="14" xfId="0" applyNumberFormat="1" applyFont="1" applyBorder="1" applyAlignment="1">
      <alignment horizontal="center"/>
    </xf>
    <xf numFmtId="2" fontId="10" fillId="0" borderId="13" xfId="0" applyNumberFormat="1" applyFont="1" applyBorder="1" applyAlignment="1">
      <alignment horizontal="center"/>
    </xf>
    <xf numFmtId="44" fontId="10" fillId="0" borderId="14" xfId="0" applyNumberFormat="1" applyFont="1" applyBorder="1" applyAlignment="1">
      <alignment horizontal="center"/>
    </xf>
    <xf numFmtId="44" fontId="10" fillId="0" borderId="13" xfId="0" applyNumberFormat="1" applyFont="1" applyBorder="1" applyAlignment="1">
      <alignment horizontal="center"/>
    </xf>
    <xf numFmtId="44" fontId="10" fillId="0" borderId="14" xfId="1" applyFont="1" applyBorder="1" applyAlignment="1">
      <alignment horizontal="center"/>
    </xf>
    <xf numFmtId="44" fontId="10" fillId="0" borderId="17" xfId="1" applyFont="1" applyBorder="1" applyAlignment="1">
      <alignment horizontal="center"/>
    </xf>
    <xf numFmtId="0" fontId="9" fillId="6" borderId="14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/>
    </xf>
    <xf numFmtId="44" fontId="9" fillId="7" borderId="12" xfId="0" applyNumberFormat="1" applyFont="1" applyFill="1" applyBorder="1" applyAlignment="1">
      <alignment horizontal="center"/>
    </xf>
    <xf numFmtId="44" fontId="9" fillId="7" borderId="15" xfId="0" applyNumberFormat="1" applyFont="1" applyFill="1" applyBorder="1" applyAlignment="1">
      <alignment horizontal="center"/>
    </xf>
    <xf numFmtId="44" fontId="9" fillId="7" borderId="13" xfId="0" applyNumberFormat="1" applyFont="1" applyFill="1" applyBorder="1" applyAlignment="1">
      <alignment horizontal="center"/>
    </xf>
    <xf numFmtId="2" fontId="8" fillId="0" borderId="14" xfId="1" applyNumberFormat="1" applyFont="1" applyBorder="1" applyAlignment="1">
      <alignment horizontal="center" vertical="center"/>
    </xf>
    <xf numFmtId="2" fontId="8" fillId="0" borderId="13" xfId="1" applyNumberFormat="1" applyFont="1" applyBorder="1" applyAlignment="1">
      <alignment horizontal="center" vertical="center"/>
    </xf>
    <xf numFmtId="44" fontId="8" fillId="7" borderId="14" xfId="0" applyNumberFormat="1" applyFont="1" applyFill="1" applyBorder="1" applyAlignment="1">
      <alignment horizontal="center"/>
    </xf>
    <xf numFmtId="44" fontId="8" fillId="7" borderId="13" xfId="0" applyNumberFormat="1" applyFont="1" applyFill="1" applyBorder="1" applyAlignment="1">
      <alignment horizontal="center"/>
    </xf>
    <xf numFmtId="44" fontId="6" fillId="6" borderId="14" xfId="0" applyNumberFormat="1" applyFont="1" applyFill="1" applyBorder="1" applyAlignment="1">
      <alignment horizontal="center"/>
    </xf>
    <xf numFmtId="44" fontId="6" fillId="6" borderId="17" xfId="0" applyNumberFormat="1" applyFont="1" applyFill="1" applyBorder="1" applyAlignment="1">
      <alignment horizontal="center"/>
    </xf>
    <xf numFmtId="0" fontId="11" fillId="8" borderId="18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9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4" fillId="7" borderId="19" xfId="0" applyFont="1" applyFill="1" applyBorder="1" applyAlignment="1">
      <alignment horizontal="center"/>
    </xf>
    <xf numFmtId="14" fontId="15" fillId="9" borderId="19" xfId="0" applyNumberFormat="1" applyFont="1" applyFill="1" applyBorder="1" applyAlignment="1">
      <alignment horizontal="center" vertical="center" wrapText="1"/>
    </xf>
    <xf numFmtId="18" fontId="16" fillId="7" borderId="19" xfId="0" applyNumberFormat="1" applyFont="1" applyFill="1" applyBorder="1" applyAlignment="1">
      <alignment horizontal="center"/>
    </xf>
    <xf numFmtId="2" fontId="17" fillId="9" borderId="19" xfId="0" applyNumberFormat="1" applyFont="1" applyFill="1" applyBorder="1" applyAlignment="1">
      <alignment horizontal="center"/>
    </xf>
    <xf numFmtId="2" fontId="18" fillId="7" borderId="14" xfId="0" applyNumberFormat="1" applyFont="1" applyFill="1" applyBorder="1" applyAlignment="1">
      <alignment horizontal="center"/>
    </xf>
    <xf numFmtId="44" fontId="19" fillId="7" borderId="19" xfId="1" applyFont="1" applyFill="1" applyBorder="1" applyAlignment="1">
      <alignment horizontal="center"/>
    </xf>
    <xf numFmtId="0" fontId="20" fillId="7" borderId="19" xfId="0" applyFont="1" applyFill="1" applyBorder="1" applyAlignment="1">
      <alignment horizontal="center" vertical="center" wrapText="1"/>
    </xf>
    <xf numFmtId="0" fontId="20" fillId="6" borderId="19" xfId="0" applyFont="1" applyFill="1" applyBorder="1" applyAlignment="1">
      <alignment horizontal="center" vertical="center" wrapText="1"/>
    </xf>
    <xf numFmtId="0" fontId="21" fillId="7" borderId="19" xfId="0" applyFont="1" applyFill="1" applyBorder="1" applyAlignment="1">
      <alignment horizontal="center"/>
    </xf>
    <xf numFmtId="44" fontId="22" fillId="7" borderId="19" xfId="1" applyFont="1" applyFill="1" applyBorder="1" applyAlignment="1">
      <alignment horizontal="center"/>
    </xf>
    <xf numFmtId="0" fontId="20" fillId="7" borderId="0" xfId="0" applyFont="1" applyFill="1" applyBorder="1" applyAlignment="1">
      <alignment horizontal="center" vertical="center" wrapText="1"/>
    </xf>
    <xf numFmtId="0" fontId="21" fillId="7" borderId="0" xfId="0" applyFont="1" applyFill="1" applyBorder="1" applyAlignment="1">
      <alignment horizontal="center"/>
    </xf>
    <xf numFmtId="14" fontId="7" fillId="7" borderId="0" xfId="0" applyNumberFormat="1" applyFont="1" applyFill="1" applyBorder="1" applyAlignment="1">
      <alignment horizontal="center" vertical="center" wrapText="1"/>
    </xf>
    <xf numFmtId="18" fontId="16" fillId="7" borderId="0" xfId="0" applyNumberFormat="1" applyFont="1" applyFill="1" applyBorder="1" applyAlignment="1">
      <alignment horizontal="center"/>
    </xf>
    <xf numFmtId="0" fontId="11" fillId="10" borderId="20" xfId="0" applyFont="1" applyFill="1" applyBorder="1" applyAlignment="1">
      <alignment horizontal="right"/>
    </xf>
    <xf numFmtId="2" fontId="14" fillId="11" borderId="21" xfId="0" applyNumberFormat="1" applyFont="1" applyFill="1" applyBorder="1" applyAlignment="1">
      <alignment horizontal="center"/>
    </xf>
    <xf numFmtId="44" fontId="14" fillId="10" borderId="22" xfId="1" applyFont="1" applyFill="1" applyBorder="1" applyAlignment="1">
      <alignment horizontal="right"/>
    </xf>
    <xf numFmtId="18" fontId="23" fillId="7" borderId="0" xfId="0" applyNumberFormat="1" applyFont="1" applyFill="1" applyBorder="1" applyAlignment="1">
      <alignment horizontal="center" vertical="center"/>
    </xf>
    <xf numFmtId="0" fontId="11" fillId="12" borderId="23" xfId="0" applyFont="1" applyFill="1" applyBorder="1" applyAlignment="1">
      <alignment horizontal="center" vertical="center"/>
    </xf>
    <xf numFmtId="0" fontId="11" fillId="12" borderId="24" xfId="0" applyFont="1" applyFill="1" applyBorder="1" applyAlignment="1">
      <alignment horizontal="center"/>
    </xf>
    <xf numFmtId="44" fontId="14" fillId="12" borderId="25" xfId="1" applyFont="1" applyFill="1" applyBorder="1" applyAlignment="1">
      <alignment horizontal="right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Border="1"/>
    <xf numFmtId="18" fontId="23" fillId="13" borderId="0" xfId="0" applyNumberFormat="1" applyFont="1" applyFill="1" applyBorder="1" applyAlignment="1">
      <alignment horizontal="center"/>
    </xf>
    <xf numFmtId="0" fontId="11" fillId="14" borderId="0" xfId="0" applyFont="1" applyFill="1" applyBorder="1"/>
    <xf numFmtId="2" fontId="14" fillId="13" borderId="0" xfId="0" applyNumberFormat="1" applyFont="1" applyFill="1" applyBorder="1" applyAlignment="1">
      <alignment horizontal="center"/>
    </xf>
    <xf numFmtId="44" fontId="14" fillId="14" borderId="0" xfId="1" applyFont="1" applyFill="1" applyBorder="1" applyAlignment="1">
      <alignment horizontal="right"/>
    </xf>
    <xf numFmtId="0" fontId="3" fillId="7" borderId="0" xfId="0" applyFont="1" applyFill="1" applyBorder="1" applyAlignment="1"/>
    <xf numFmtId="44" fontId="24" fillId="7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/>
    <xf numFmtId="0" fontId="2" fillId="15" borderId="12" xfId="0" applyFont="1" applyFill="1" applyBorder="1" applyAlignment="1">
      <alignment horizontal="center" vertical="center"/>
    </xf>
    <xf numFmtId="0" fontId="2" fillId="15" borderId="13" xfId="0" applyFont="1" applyFill="1" applyBorder="1" applyAlignment="1">
      <alignment horizontal="center" vertical="center"/>
    </xf>
    <xf numFmtId="0" fontId="25" fillId="15" borderId="19" xfId="0" applyFont="1" applyFill="1" applyBorder="1" applyAlignment="1">
      <alignment horizontal="center" vertical="center"/>
    </xf>
    <xf numFmtId="44" fontId="9" fillId="16" borderId="26" xfId="1" applyFont="1" applyFill="1" applyBorder="1" applyAlignment="1">
      <alignment horizontal="center" vertical="center"/>
    </xf>
    <xf numFmtId="44" fontId="7" fillId="16" borderId="16" xfId="1" applyFont="1" applyFill="1" applyBorder="1" applyAlignment="1">
      <alignment horizontal="center" vertical="center"/>
    </xf>
    <xf numFmtId="44" fontId="15" fillId="15" borderId="16" xfId="1" applyFont="1" applyFill="1" applyBorder="1" applyAlignment="1">
      <alignment horizontal="center" vertical="center"/>
    </xf>
    <xf numFmtId="0" fontId="2" fillId="15" borderId="19" xfId="0" applyFont="1" applyFill="1" applyBorder="1" applyAlignment="1">
      <alignment horizontal="center" vertical="center"/>
    </xf>
    <xf numFmtId="0" fontId="2" fillId="15" borderId="15" xfId="0" applyFont="1" applyFill="1" applyBorder="1" applyAlignment="1">
      <alignment horizontal="center" vertical="center"/>
    </xf>
    <xf numFmtId="44" fontId="9" fillId="16" borderId="27" xfId="1" applyFont="1" applyFill="1" applyBorder="1" applyAlignment="1">
      <alignment horizontal="center" vertical="center"/>
    </xf>
    <xf numFmtId="44" fontId="9" fillId="16" borderId="14" xfId="1" applyFont="1" applyFill="1" applyBorder="1" applyAlignment="1">
      <alignment horizontal="center" vertical="center"/>
    </xf>
    <xf numFmtId="0" fontId="15" fillId="15" borderId="18" xfId="0" applyFont="1" applyFill="1" applyBorder="1" applyAlignment="1">
      <alignment horizontal="center"/>
    </xf>
    <xf numFmtId="0" fontId="15" fillId="15" borderId="13" xfId="0" applyFont="1" applyFill="1" applyBorder="1" applyAlignment="1">
      <alignment horizontal="center"/>
    </xf>
    <xf numFmtId="0" fontId="15" fillId="15" borderId="19" xfId="0" applyFont="1" applyFill="1" applyBorder="1" applyAlignment="1">
      <alignment horizontal="center"/>
    </xf>
    <xf numFmtId="0" fontId="15" fillId="15" borderId="14" xfId="0" applyFont="1" applyFill="1" applyBorder="1" applyAlignment="1">
      <alignment horizontal="center"/>
    </xf>
    <xf numFmtId="0" fontId="26" fillId="15" borderId="19" xfId="0" applyFont="1" applyFill="1" applyBorder="1" applyAlignment="1">
      <alignment horizontal="center"/>
    </xf>
    <xf numFmtId="0" fontId="26" fillId="15" borderId="16" xfId="0" applyFont="1" applyFill="1" applyBorder="1" applyAlignment="1">
      <alignment horizontal="center"/>
    </xf>
    <xf numFmtId="2" fontId="9" fillId="0" borderId="18" xfId="0" applyNumberFormat="1" applyFont="1" applyBorder="1" applyAlignment="1">
      <alignment horizontal="center"/>
    </xf>
    <xf numFmtId="2" fontId="9" fillId="0" borderId="19" xfId="0" applyNumberFormat="1" applyFont="1" applyBorder="1" applyAlignment="1">
      <alignment horizontal="center"/>
    </xf>
    <xf numFmtId="44" fontId="10" fillId="0" borderId="19" xfId="0" applyNumberFormat="1" applyFont="1" applyBorder="1" applyAlignment="1">
      <alignment horizontal="center"/>
    </xf>
    <xf numFmtId="44" fontId="10" fillId="0" borderId="19" xfId="1" applyFont="1" applyBorder="1" applyAlignment="1">
      <alignment horizontal="center"/>
    </xf>
    <xf numFmtId="44" fontId="10" fillId="0" borderId="16" xfId="1" applyFont="1" applyBorder="1" applyAlignment="1">
      <alignment horizontal="center"/>
    </xf>
    <xf numFmtId="0" fontId="9" fillId="16" borderId="18" xfId="0" applyFont="1" applyFill="1" applyBorder="1" applyAlignment="1">
      <alignment horizontal="center"/>
    </xf>
    <xf numFmtId="0" fontId="9" fillId="16" borderId="13" xfId="0" applyFont="1" applyFill="1" applyBorder="1" applyAlignment="1">
      <alignment horizontal="center"/>
    </xf>
    <xf numFmtId="0" fontId="9" fillId="16" borderId="19" xfId="0" applyFont="1" applyFill="1" applyBorder="1" applyAlignment="1">
      <alignment horizontal="center"/>
    </xf>
    <xf numFmtId="0" fontId="9" fillId="16" borderId="14" xfId="0" applyFont="1" applyFill="1" applyBorder="1" applyAlignment="1">
      <alignment horizontal="center"/>
    </xf>
    <xf numFmtId="0" fontId="9" fillId="6" borderId="19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1" fontId="9" fillId="7" borderId="18" xfId="0" applyNumberFormat="1" applyFont="1" applyFill="1" applyBorder="1" applyAlignment="1">
      <alignment horizontal="center"/>
    </xf>
    <xf numFmtId="1" fontId="9" fillId="7" borderId="13" xfId="0" applyNumberFormat="1" applyFont="1" applyFill="1" applyBorder="1" applyAlignment="1">
      <alignment horizontal="center"/>
    </xf>
    <xf numFmtId="1" fontId="9" fillId="7" borderId="19" xfId="0" applyNumberFormat="1" applyFont="1" applyFill="1" applyBorder="1" applyAlignment="1">
      <alignment horizontal="center"/>
    </xf>
    <xf numFmtId="2" fontId="9" fillId="7" borderId="14" xfId="0" applyNumberFormat="1" applyFont="1" applyFill="1" applyBorder="1" applyAlignment="1">
      <alignment horizontal="center"/>
    </xf>
    <xf numFmtId="2" fontId="9" fillId="7" borderId="13" xfId="0" applyNumberFormat="1" applyFont="1" applyFill="1" applyBorder="1" applyAlignment="1">
      <alignment horizontal="center"/>
    </xf>
    <xf numFmtId="44" fontId="7" fillId="7" borderId="19" xfId="0" applyNumberFormat="1" applyFont="1" applyFill="1" applyBorder="1" applyAlignment="1">
      <alignment horizontal="center"/>
    </xf>
    <xf numFmtId="44" fontId="6" fillId="6" borderId="19" xfId="0" applyNumberFormat="1" applyFont="1" applyFill="1" applyBorder="1" applyAlignment="1">
      <alignment horizontal="center"/>
    </xf>
    <xf numFmtId="44" fontId="6" fillId="6" borderId="26" xfId="0" applyNumberFormat="1" applyFont="1" applyFill="1" applyBorder="1" applyAlignment="1">
      <alignment horizontal="center"/>
    </xf>
    <xf numFmtId="0" fontId="11" fillId="8" borderId="28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27" fillId="17" borderId="29" xfId="0" applyFont="1" applyFill="1" applyBorder="1" applyAlignment="1">
      <alignment horizontal="center" vertical="center" wrapText="1"/>
    </xf>
    <xf numFmtId="0" fontId="28" fillId="18" borderId="30" xfId="0" applyFont="1" applyFill="1" applyBorder="1" applyAlignment="1">
      <alignment horizontal="center" vertical="center" wrapText="1"/>
    </xf>
    <xf numFmtId="0" fontId="28" fillId="18" borderId="31" xfId="0" applyFont="1" applyFill="1" applyBorder="1" applyAlignment="1">
      <alignment horizontal="center" vertical="center" wrapText="1"/>
    </xf>
    <xf numFmtId="14" fontId="15" fillId="15" borderId="19" xfId="0" applyNumberFormat="1" applyFont="1" applyFill="1" applyBorder="1" applyAlignment="1">
      <alignment horizontal="center"/>
    </xf>
    <xf numFmtId="2" fontId="17" fillId="15" borderId="19" xfId="0" applyNumberFormat="1" applyFont="1" applyFill="1" applyBorder="1" applyAlignment="1">
      <alignment horizontal="center"/>
    </xf>
    <xf numFmtId="2" fontId="16" fillId="7" borderId="14" xfId="0" applyNumberFormat="1" applyFont="1" applyFill="1" applyBorder="1" applyAlignment="1">
      <alignment horizontal="center"/>
    </xf>
    <xf numFmtId="44" fontId="28" fillId="18" borderId="16" xfId="1" applyFont="1" applyFill="1" applyBorder="1" applyAlignment="1">
      <alignment horizontal="center" vertical="center"/>
    </xf>
    <xf numFmtId="0" fontId="27" fillId="17" borderId="32" xfId="0" applyFont="1" applyFill="1" applyBorder="1" applyAlignment="1">
      <alignment horizontal="center" vertical="center" wrapText="1"/>
    </xf>
    <xf numFmtId="0" fontId="28" fillId="18" borderId="12" xfId="0" applyFont="1" applyFill="1" applyBorder="1" applyAlignment="1">
      <alignment horizontal="center" vertical="center" wrapText="1"/>
    </xf>
    <xf numFmtId="0" fontId="28" fillId="18" borderId="13" xfId="0" applyFont="1" applyFill="1" applyBorder="1" applyAlignment="1">
      <alignment horizontal="center" vertical="center" wrapText="1"/>
    </xf>
    <xf numFmtId="0" fontId="27" fillId="17" borderId="23" xfId="0" applyFont="1" applyFill="1" applyBorder="1" applyAlignment="1">
      <alignment horizontal="center" vertical="center" wrapText="1"/>
    </xf>
    <xf numFmtId="18" fontId="23" fillId="7" borderId="33" xfId="0" applyNumberFormat="1" applyFont="1" applyFill="1" applyBorder="1" applyAlignment="1">
      <alignment horizontal="center"/>
    </xf>
    <xf numFmtId="18" fontId="23" fillId="7" borderId="15" xfId="0" applyNumberFormat="1" applyFont="1" applyFill="1" applyBorder="1" applyAlignment="1">
      <alignment horizontal="center"/>
    </xf>
    <xf numFmtId="18" fontId="23" fillId="7" borderId="13" xfId="0" applyNumberFormat="1" applyFont="1" applyFill="1" applyBorder="1" applyAlignment="1">
      <alignment horizontal="center"/>
    </xf>
    <xf numFmtId="0" fontId="28" fillId="19" borderId="19" xfId="0" applyFont="1" applyFill="1" applyBorder="1" applyAlignment="1">
      <alignment horizontal="center"/>
    </xf>
    <xf numFmtId="2" fontId="19" fillId="5" borderId="19" xfId="0" applyNumberFormat="1" applyFont="1" applyFill="1" applyBorder="1" applyAlignment="1">
      <alignment horizontal="center"/>
    </xf>
    <xf numFmtId="2" fontId="19" fillId="5" borderId="14" xfId="0" applyNumberFormat="1" applyFont="1" applyFill="1" applyBorder="1" applyAlignment="1">
      <alignment horizontal="center"/>
    </xf>
    <xf numFmtId="44" fontId="19" fillId="19" borderId="16" xfId="1" applyFont="1" applyFill="1" applyBorder="1" applyAlignment="1">
      <alignment horizontal="right"/>
    </xf>
    <xf numFmtId="18" fontId="23" fillId="7" borderId="0" xfId="0" applyNumberFormat="1" applyFont="1" applyFill="1" applyBorder="1" applyAlignment="1">
      <alignment horizontal="center"/>
    </xf>
    <xf numFmtId="0" fontId="11" fillId="18" borderId="0" xfId="0" applyFont="1" applyFill="1" applyBorder="1"/>
    <xf numFmtId="2" fontId="14" fillId="7" borderId="0" xfId="0" applyNumberFormat="1" applyFont="1" applyFill="1" applyBorder="1" applyAlignment="1">
      <alignment horizontal="center"/>
    </xf>
    <xf numFmtId="44" fontId="14" fillId="18" borderId="0" xfId="1" applyFont="1" applyFill="1" applyBorder="1" applyAlignment="1">
      <alignment horizontal="right"/>
    </xf>
    <xf numFmtId="0" fontId="29" fillId="4" borderId="34" xfId="0" applyFont="1" applyFill="1" applyBorder="1" applyAlignment="1">
      <alignment horizontal="center" vertical="center"/>
    </xf>
    <xf numFmtId="0" fontId="29" fillId="4" borderId="24" xfId="0" applyFont="1" applyFill="1" applyBorder="1" applyAlignment="1">
      <alignment horizontal="center" vertical="center"/>
    </xf>
    <xf numFmtId="0" fontId="29" fillId="4" borderId="25" xfId="0" applyFont="1" applyFill="1" applyBorder="1" applyAlignment="1">
      <alignment horizontal="center" vertical="center"/>
    </xf>
    <xf numFmtId="44" fontId="24" fillId="4" borderId="34" xfId="0" applyNumberFormat="1" applyFont="1" applyFill="1" applyBorder="1" applyAlignment="1">
      <alignment horizontal="center" vertical="center" wrapText="1"/>
    </xf>
    <xf numFmtId="44" fontId="24" fillId="4" borderId="25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/>
    <xf numFmtId="44" fontId="24" fillId="0" borderId="0" xfId="0" applyNumberFormat="1" applyFont="1" applyBorder="1" applyAlignment="1">
      <alignment horizontal="center" vertical="center" wrapText="1"/>
    </xf>
    <xf numFmtId="0" fontId="2" fillId="15" borderId="34" xfId="0" applyFont="1" applyFill="1" applyBorder="1" applyAlignment="1">
      <alignment horizontal="center" vertical="center"/>
    </xf>
    <xf numFmtId="0" fontId="2" fillId="15" borderId="24" xfId="0" applyFont="1" applyFill="1" applyBorder="1" applyAlignment="1">
      <alignment horizontal="center" vertical="center"/>
    </xf>
    <xf numFmtId="0" fontId="2" fillId="15" borderId="25" xfId="0" applyFont="1" applyFill="1" applyBorder="1" applyAlignment="1">
      <alignment horizontal="center" vertical="center"/>
    </xf>
    <xf numFmtId="44" fontId="25" fillId="20" borderId="34" xfId="0" applyNumberFormat="1" applyFont="1" applyFill="1" applyBorder="1" applyAlignment="1">
      <alignment horizontal="center" vertical="center"/>
    </xf>
    <xf numFmtId="44" fontId="25" fillId="20" borderId="25" xfId="0" applyNumberFormat="1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44" fontId="24" fillId="0" borderId="0" xfId="0" applyNumberFormat="1" applyFont="1" applyBorder="1" applyAlignment="1">
      <alignment horizontal="center" vertical="center"/>
    </xf>
    <xf numFmtId="0" fontId="3" fillId="21" borderId="34" xfId="0" applyFont="1" applyFill="1" applyBorder="1" applyAlignment="1">
      <alignment horizontal="center" vertical="center"/>
    </xf>
    <xf numFmtId="0" fontId="3" fillId="21" borderId="24" xfId="0" applyFont="1" applyFill="1" applyBorder="1" applyAlignment="1">
      <alignment horizontal="center" vertical="center"/>
    </xf>
    <xf numFmtId="0" fontId="3" fillId="21" borderId="23" xfId="0" applyFont="1" applyFill="1" applyBorder="1" applyAlignment="1">
      <alignment horizontal="center" vertical="center"/>
    </xf>
    <xf numFmtId="44" fontId="6" fillId="21" borderId="34" xfId="0" applyNumberFormat="1" applyFont="1" applyFill="1" applyBorder="1" applyAlignment="1">
      <alignment horizontal="center" vertical="center"/>
    </xf>
    <xf numFmtId="44" fontId="6" fillId="21" borderId="25" xfId="0" applyNumberFormat="1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0" fillId="22" borderId="34" xfId="0" applyFont="1" applyFill="1" applyBorder="1" applyAlignment="1">
      <alignment horizontal="center" vertical="center"/>
    </xf>
    <xf numFmtId="0" fontId="30" fillId="22" borderId="24" xfId="0" applyFont="1" applyFill="1" applyBorder="1" applyAlignment="1">
      <alignment horizontal="center" vertical="center"/>
    </xf>
    <xf numFmtId="0" fontId="30" fillId="22" borderId="25" xfId="0" applyFont="1" applyFill="1" applyBorder="1" applyAlignment="1">
      <alignment horizontal="center" vertical="center"/>
    </xf>
    <xf numFmtId="44" fontId="31" fillId="23" borderId="34" xfId="0" applyNumberFormat="1" applyFont="1" applyFill="1" applyBorder="1" applyAlignment="1">
      <alignment horizontal="center" vertical="center" wrapText="1"/>
    </xf>
    <xf numFmtId="44" fontId="31" fillId="23" borderId="25" xfId="0" applyNumberFormat="1" applyFont="1" applyFill="1" applyBorder="1" applyAlignment="1">
      <alignment horizontal="center" vertical="center" wrapText="1"/>
    </xf>
    <xf numFmtId="44" fontId="31" fillId="7" borderId="0" xfId="0" applyNumberFormat="1" applyFont="1" applyFill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35" xfId="0" applyBorder="1"/>
    <xf numFmtId="0" fontId="0" fillId="7" borderId="35" xfId="0" applyFill="1" applyBorder="1"/>
    <xf numFmtId="0" fontId="25" fillId="15" borderId="20" xfId="0" applyFont="1" applyFill="1" applyBorder="1" applyAlignment="1">
      <alignment horizontal="center" vertical="center"/>
    </xf>
    <xf numFmtId="0" fontId="25" fillId="15" borderId="21" xfId="0" applyFont="1" applyFill="1" applyBorder="1" applyAlignment="1">
      <alignment horizontal="center" vertical="center"/>
    </xf>
    <xf numFmtId="0" fontId="25" fillId="15" borderId="22" xfId="0" applyFont="1" applyFill="1" applyBorder="1" applyAlignment="1">
      <alignment horizontal="center" vertical="center"/>
    </xf>
    <xf numFmtId="17" fontId="25" fillId="15" borderId="34" xfId="0" applyNumberFormat="1" applyFont="1" applyFill="1" applyBorder="1" applyAlignment="1">
      <alignment horizontal="center" vertical="center"/>
    </xf>
    <xf numFmtId="17" fontId="25" fillId="15" borderId="25" xfId="0" applyNumberFormat="1" applyFont="1" applyFill="1" applyBorder="1" applyAlignment="1">
      <alignment horizontal="center" vertical="center"/>
    </xf>
    <xf numFmtId="0" fontId="25" fillId="15" borderId="23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24" fillId="4" borderId="37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 wrapText="1"/>
    </xf>
    <xf numFmtId="44" fontId="5" fillId="4" borderId="37" xfId="1" applyFont="1" applyFill="1" applyBorder="1" applyAlignment="1">
      <alignment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3" fontId="32" fillId="24" borderId="19" xfId="0" applyNumberFormat="1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 wrapText="1"/>
    </xf>
    <xf numFmtId="44" fontId="5" fillId="4" borderId="19" xfId="1" applyFont="1" applyFill="1" applyBorder="1" applyAlignment="1">
      <alignment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/>
    </xf>
    <xf numFmtId="0" fontId="9" fillId="4" borderId="19" xfId="0" applyFont="1" applyFill="1" applyBorder="1" applyAlignment="1">
      <alignment horizontal="center"/>
    </xf>
    <xf numFmtId="0" fontId="33" fillId="4" borderId="14" xfId="0" applyFont="1" applyFill="1" applyBorder="1" applyAlignment="1">
      <alignment horizontal="center" vertical="center" wrapText="1"/>
    </xf>
    <xf numFmtId="0" fontId="33" fillId="4" borderId="17" xfId="0" applyFont="1" applyFill="1" applyBorder="1" applyAlignment="1">
      <alignment horizontal="center" vertical="center" wrapText="1"/>
    </xf>
    <xf numFmtId="2" fontId="9" fillId="7" borderId="18" xfId="0" applyNumberFormat="1" applyFont="1" applyFill="1" applyBorder="1" applyAlignment="1">
      <alignment horizontal="center"/>
    </xf>
    <xf numFmtId="2" fontId="9" fillId="7" borderId="19" xfId="0" applyNumberFormat="1" applyFont="1" applyFill="1" applyBorder="1" applyAlignment="1">
      <alignment horizontal="center"/>
    </xf>
    <xf numFmtId="2" fontId="10" fillId="7" borderId="19" xfId="0" applyNumberFormat="1" applyFont="1" applyFill="1" applyBorder="1" applyAlignment="1">
      <alignment horizontal="center"/>
    </xf>
    <xf numFmtId="6" fontId="34" fillId="7" borderId="19" xfId="0" applyNumberFormat="1" applyFont="1" applyFill="1" applyBorder="1" applyAlignment="1">
      <alignment horizontal="center"/>
    </xf>
    <xf numFmtId="44" fontId="10" fillId="7" borderId="14" xfId="1" applyFont="1" applyFill="1" applyBorder="1" applyAlignment="1">
      <alignment horizontal="center"/>
    </xf>
    <xf numFmtId="44" fontId="10" fillId="7" borderId="17" xfId="1" applyFont="1" applyFill="1" applyBorder="1" applyAlignment="1">
      <alignment horizontal="center"/>
    </xf>
    <xf numFmtId="1" fontId="35" fillId="7" borderId="18" xfId="0" applyNumberFormat="1" applyFont="1" applyFill="1" applyBorder="1" applyAlignment="1">
      <alignment horizontal="center"/>
    </xf>
    <xf numFmtId="1" fontId="35" fillId="7" borderId="19" xfId="0" applyNumberFormat="1" applyFont="1" applyFill="1" applyBorder="1" applyAlignment="1">
      <alignment horizontal="center"/>
    </xf>
    <xf numFmtId="44" fontId="35" fillId="7" borderId="19" xfId="1" applyFont="1" applyFill="1" applyBorder="1" applyAlignment="1">
      <alignment horizontal="center"/>
    </xf>
    <xf numFmtId="0" fontId="7" fillId="25" borderId="19" xfId="0" applyFont="1" applyFill="1" applyBorder="1" applyAlignment="1">
      <alignment horizontal="center" vertical="center"/>
    </xf>
    <xf numFmtId="44" fontId="24" fillId="6" borderId="14" xfId="0" applyNumberFormat="1" applyFont="1" applyFill="1" applyBorder="1" applyAlignment="1">
      <alignment horizontal="center"/>
    </xf>
    <xf numFmtId="44" fontId="24" fillId="6" borderId="17" xfId="0" applyNumberFormat="1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18" fontId="19" fillId="7" borderId="18" xfId="0" applyNumberFormat="1" applyFont="1" applyFill="1" applyBorder="1" applyAlignment="1">
      <alignment horizontal="center"/>
    </xf>
    <xf numFmtId="14" fontId="10" fillId="7" borderId="14" xfId="0" applyNumberFormat="1" applyFont="1" applyFill="1" applyBorder="1" applyAlignment="1">
      <alignment horizontal="center"/>
    </xf>
    <xf numFmtId="14" fontId="7" fillId="4" borderId="29" xfId="0" applyNumberFormat="1" applyFont="1" applyFill="1" applyBorder="1" applyAlignment="1">
      <alignment horizontal="center" vertical="center" wrapText="1"/>
    </xf>
    <xf numFmtId="20" fontId="7" fillId="7" borderId="13" xfId="0" applyNumberFormat="1" applyFont="1" applyFill="1" applyBorder="1" applyAlignment="1">
      <alignment horizontal="center"/>
    </xf>
    <xf numFmtId="2" fontId="19" fillId="4" borderId="19" xfId="0" applyNumberFormat="1" applyFont="1" applyFill="1" applyBorder="1" applyAlignment="1">
      <alignment horizontal="center"/>
    </xf>
    <xf numFmtId="2" fontId="18" fillId="7" borderId="19" xfId="0" applyNumberFormat="1" applyFont="1" applyFill="1" applyBorder="1" applyAlignment="1">
      <alignment horizontal="center"/>
    </xf>
    <xf numFmtId="44" fontId="19" fillId="7" borderId="16" xfId="1" applyFont="1" applyFill="1" applyBorder="1" applyAlignment="1">
      <alignment horizontal="center"/>
    </xf>
    <xf numFmtId="18" fontId="19" fillId="7" borderId="18" xfId="0" applyNumberFormat="1" applyFont="1" applyFill="1" applyBorder="1" applyAlignment="1">
      <alignment horizontal="center" vertical="center"/>
    </xf>
    <xf numFmtId="14" fontId="10" fillId="7" borderId="14" xfId="0" applyNumberFormat="1" applyFont="1" applyFill="1" applyBorder="1" applyAlignment="1">
      <alignment horizontal="center" vertical="center"/>
    </xf>
    <xf numFmtId="14" fontId="7" fillId="4" borderId="39" xfId="0" applyNumberFormat="1" applyFont="1" applyFill="1" applyBorder="1" applyAlignment="1">
      <alignment horizontal="center" vertical="center" wrapText="1"/>
    </xf>
    <xf numFmtId="44" fontId="0" fillId="0" borderId="0" xfId="1" applyFont="1"/>
    <xf numFmtId="14" fontId="7" fillId="4" borderId="32" xfId="0" applyNumberFormat="1" applyFont="1" applyFill="1" applyBorder="1" applyAlignment="1">
      <alignment horizontal="center" vertical="center" wrapText="1"/>
    </xf>
    <xf numFmtId="0" fontId="9" fillId="7" borderId="40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0" fontId="9" fillId="7" borderId="3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right"/>
    </xf>
    <xf numFmtId="2" fontId="14" fillId="5" borderId="1" xfId="0" applyNumberFormat="1" applyFont="1" applyFill="1" applyBorder="1" applyAlignment="1">
      <alignment horizontal="center"/>
    </xf>
    <xf numFmtId="44" fontId="14" fillId="19" borderId="26" xfId="1" applyFont="1" applyFill="1" applyBorder="1" applyAlignment="1">
      <alignment horizontal="right"/>
    </xf>
    <xf numFmtId="0" fontId="9" fillId="26" borderId="19" xfId="0" applyFont="1" applyFill="1" applyBorder="1" applyAlignment="1">
      <alignment horizontal="left" vertical="top" wrapText="1"/>
    </xf>
    <xf numFmtId="0" fontId="5" fillId="27" borderId="0" xfId="0" applyFont="1" applyFill="1" applyBorder="1" applyAlignment="1">
      <alignment horizontal="center"/>
    </xf>
    <xf numFmtId="44" fontId="36" fillId="4" borderId="37" xfId="1" applyFont="1" applyFill="1" applyBorder="1" applyAlignment="1">
      <alignment vertical="center" wrapText="1"/>
    </xf>
    <xf numFmtId="44" fontId="36" fillId="4" borderId="19" xfId="1" applyFont="1" applyFill="1" applyBorder="1" applyAlignment="1">
      <alignment vertical="center" wrapText="1"/>
    </xf>
    <xf numFmtId="2" fontId="37" fillId="7" borderId="19" xfId="0" applyNumberFormat="1" applyFont="1" applyFill="1" applyBorder="1" applyAlignment="1">
      <alignment horizontal="center"/>
    </xf>
    <xf numFmtId="0" fontId="11" fillId="8" borderId="26" xfId="0" applyFont="1" applyFill="1" applyBorder="1" applyAlignment="1">
      <alignment horizontal="center" vertical="center" wrapText="1"/>
    </xf>
    <xf numFmtId="44" fontId="38" fillId="7" borderId="19" xfId="1" applyFont="1" applyFill="1" applyBorder="1" applyAlignment="1">
      <alignment horizontal="center"/>
    </xf>
    <xf numFmtId="0" fontId="9" fillId="7" borderId="14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41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11" fillId="19" borderId="19" xfId="0" applyFont="1" applyFill="1" applyBorder="1" applyAlignment="1">
      <alignment horizontal="right"/>
    </xf>
    <xf numFmtId="2" fontId="14" fillId="5" borderId="19" xfId="0" applyNumberFormat="1" applyFont="1" applyFill="1" applyBorder="1" applyAlignment="1">
      <alignment horizontal="center"/>
    </xf>
    <xf numFmtId="44" fontId="14" fillId="19" borderId="19" xfId="1" applyFont="1" applyFill="1" applyBorder="1" applyAlignment="1">
      <alignment horizontal="right"/>
    </xf>
    <xf numFmtId="18" fontId="19" fillId="7" borderId="0" xfId="0" applyNumberFormat="1" applyFont="1" applyFill="1" applyBorder="1" applyAlignment="1">
      <alignment vertical="center"/>
    </xf>
    <xf numFmtId="14" fontId="7" fillId="7" borderId="0" xfId="0" applyNumberFormat="1" applyFont="1" applyFill="1" applyBorder="1" applyAlignment="1">
      <alignment horizontal="center"/>
    </xf>
    <xf numFmtId="14" fontId="15" fillId="7" borderId="0" xfId="0" applyNumberFormat="1" applyFont="1" applyFill="1" applyBorder="1" applyAlignment="1">
      <alignment horizontal="center"/>
    </xf>
    <xf numFmtId="20" fontId="7" fillId="7" borderId="0" xfId="0" applyNumberFormat="1" applyFont="1" applyFill="1" applyBorder="1" applyAlignment="1">
      <alignment horizontal="center"/>
    </xf>
    <xf numFmtId="2" fontId="17" fillId="7" borderId="0" xfId="0" applyNumberFormat="1" applyFont="1" applyFill="1" applyBorder="1" applyAlignment="1">
      <alignment horizontal="center"/>
    </xf>
    <xf numFmtId="2" fontId="18" fillId="7" borderId="0" xfId="0" applyNumberFormat="1" applyFont="1" applyFill="1" applyBorder="1" applyAlignment="1">
      <alignment horizontal="center"/>
    </xf>
    <xf numFmtId="44" fontId="19" fillId="7" borderId="0" xfId="1" applyFont="1" applyFill="1" applyBorder="1" applyAlignment="1">
      <alignment horizontal="center"/>
    </xf>
    <xf numFmtId="0" fontId="9" fillId="7" borderId="0" xfId="0" applyFont="1" applyFill="1" applyBorder="1" applyAlignment="1">
      <alignment horizontal="left" vertical="top" wrapText="1"/>
    </xf>
    <xf numFmtId="0" fontId="0" fillId="27" borderId="0" xfId="0" applyFill="1"/>
    <xf numFmtId="0" fontId="2" fillId="9" borderId="19" xfId="0" applyFont="1" applyFill="1" applyBorder="1" applyAlignment="1">
      <alignment horizontal="center" vertical="center"/>
    </xf>
    <xf numFmtId="0" fontId="25" fillId="9" borderId="42" xfId="0" applyFont="1" applyFill="1" applyBorder="1" applyAlignment="1">
      <alignment horizontal="center" vertical="center"/>
    </xf>
    <xf numFmtId="0" fontId="25" fillId="9" borderId="10" xfId="0" applyFont="1" applyFill="1" applyBorder="1" applyAlignment="1">
      <alignment horizontal="center" vertical="center"/>
    </xf>
    <xf numFmtId="0" fontId="25" fillId="9" borderId="43" xfId="0" applyFont="1" applyFill="1" applyBorder="1" applyAlignment="1">
      <alignment horizontal="center" vertical="center"/>
    </xf>
    <xf numFmtId="0" fontId="5" fillId="21" borderId="44" xfId="0" applyFont="1" applyFill="1" applyBorder="1" applyAlignment="1">
      <alignment horizontal="center" vertical="center" wrapText="1"/>
    </xf>
    <xf numFmtId="44" fontId="5" fillId="21" borderId="37" xfId="1" applyFont="1" applyFill="1" applyBorder="1" applyAlignment="1">
      <alignment vertical="center" wrapText="1"/>
    </xf>
    <xf numFmtId="0" fontId="2" fillId="9" borderId="38" xfId="0" applyFont="1" applyFill="1" applyBorder="1" applyAlignment="1">
      <alignment horizontal="center" vertical="center" wrapText="1"/>
    </xf>
    <xf numFmtId="3" fontId="32" fillId="28" borderId="14" xfId="0" applyNumberFormat="1" applyFont="1" applyFill="1" applyBorder="1" applyAlignment="1">
      <alignment horizontal="center" vertical="center"/>
    </xf>
    <xf numFmtId="3" fontId="32" fillId="28" borderId="15" xfId="0" applyNumberFormat="1" applyFont="1" applyFill="1" applyBorder="1" applyAlignment="1">
      <alignment horizontal="center" vertical="center"/>
    </xf>
    <xf numFmtId="3" fontId="32" fillId="28" borderId="13" xfId="0" applyNumberFormat="1" applyFont="1" applyFill="1" applyBorder="1" applyAlignment="1">
      <alignment horizontal="center" vertical="center"/>
    </xf>
    <xf numFmtId="0" fontId="5" fillId="21" borderId="45" xfId="0" applyFont="1" applyFill="1" applyBorder="1" applyAlignment="1">
      <alignment horizontal="center" vertical="center" wrapText="1"/>
    </xf>
    <xf numFmtId="44" fontId="5" fillId="21" borderId="19" xfId="1" applyFont="1" applyFill="1" applyBorder="1" applyAlignment="1">
      <alignment vertical="center" wrapText="1"/>
    </xf>
    <xf numFmtId="0" fontId="2" fillId="9" borderId="16" xfId="0" applyFont="1" applyFill="1" applyBorder="1" applyAlignment="1">
      <alignment horizontal="center" vertical="center" wrapText="1"/>
    </xf>
    <xf numFmtId="0" fontId="5" fillId="21" borderId="46" xfId="0" applyFont="1" applyFill="1" applyBorder="1" applyAlignment="1">
      <alignment horizontal="center" vertical="center" wrapText="1"/>
    </xf>
    <xf numFmtId="0" fontId="33" fillId="5" borderId="14" xfId="0" applyFont="1" applyFill="1" applyBorder="1" applyAlignment="1">
      <alignment horizontal="center" vertical="center" wrapText="1"/>
    </xf>
    <xf numFmtId="0" fontId="33" fillId="5" borderId="17" xfId="0" applyFont="1" applyFill="1" applyBorder="1" applyAlignment="1">
      <alignment horizontal="center" vertical="center" wrapText="1"/>
    </xf>
    <xf numFmtId="2" fontId="9" fillId="7" borderId="12" xfId="0" applyNumberFormat="1" applyFont="1" applyFill="1" applyBorder="1" applyAlignment="1">
      <alignment horizontal="center"/>
    </xf>
    <xf numFmtId="2" fontId="9" fillId="7" borderId="15" xfId="0" applyNumberFormat="1" applyFont="1" applyFill="1" applyBorder="1" applyAlignment="1">
      <alignment horizontal="center"/>
    </xf>
    <xf numFmtId="6" fontId="34" fillId="7" borderId="47" xfId="0" applyNumberFormat="1" applyFont="1" applyFill="1" applyBorder="1" applyAlignment="1">
      <alignment horizontal="center"/>
    </xf>
    <xf numFmtId="6" fontId="34" fillId="7" borderId="48" xfId="0" applyNumberFormat="1" applyFont="1" applyFill="1" applyBorder="1" applyAlignment="1">
      <alignment horizontal="center"/>
    </xf>
    <xf numFmtId="164" fontId="35" fillId="7" borderId="49" xfId="1" applyNumberFormat="1" applyFont="1" applyFill="1" applyBorder="1" applyAlignment="1">
      <alignment horizontal="center"/>
    </xf>
    <xf numFmtId="164" fontId="35" fillId="7" borderId="50" xfId="1" applyNumberFormat="1" applyFont="1" applyFill="1" applyBorder="1" applyAlignment="1">
      <alignment horizontal="center"/>
    </xf>
    <xf numFmtId="164" fontId="35" fillId="7" borderId="51" xfId="1" applyNumberFormat="1" applyFont="1" applyFill="1" applyBorder="1" applyAlignment="1">
      <alignment horizontal="center"/>
    </xf>
    <xf numFmtId="164" fontId="35" fillId="7" borderId="52" xfId="1" applyNumberFormat="1" applyFont="1" applyFill="1" applyBorder="1" applyAlignment="1">
      <alignment horizontal="center"/>
    </xf>
    <xf numFmtId="164" fontId="35" fillId="7" borderId="51" xfId="0" applyNumberFormat="1" applyFont="1" applyFill="1" applyBorder="1" applyAlignment="1">
      <alignment horizontal="center"/>
    </xf>
    <xf numFmtId="164" fontId="35" fillId="7" borderId="52" xfId="0" applyNumberFormat="1" applyFont="1" applyFill="1" applyBorder="1" applyAlignment="1">
      <alignment horizontal="center"/>
    </xf>
    <xf numFmtId="0" fontId="11" fillId="8" borderId="53" xfId="0" applyFont="1" applyFill="1" applyBorder="1" applyAlignment="1">
      <alignment horizontal="center" vertical="center" wrapText="1"/>
    </xf>
    <xf numFmtId="0" fontId="11" fillId="8" borderId="44" xfId="0" applyFont="1" applyFill="1" applyBorder="1" applyAlignment="1">
      <alignment horizontal="center" vertical="center" wrapText="1"/>
    </xf>
    <xf numFmtId="0" fontId="11" fillId="8" borderId="45" xfId="0" applyFont="1" applyFill="1" applyBorder="1" applyAlignment="1">
      <alignment horizontal="center" vertical="center" wrapText="1"/>
    </xf>
    <xf numFmtId="18" fontId="19" fillId="4" borderId="1" xfId="0" applyNumberFormat="1" applyFont="1" applyFill="1" applyBorder="1" applyAlignment="1">
      <alignment horizontal="center" vertical="center"/>
    </xf>
    <xf numFmtId="14" fontId="7" fillId="4" borderId="13" xfId="0" applyNumberFormat="1" applyFont="1" applyFill="1" applyBorder="1" applyAlignment="1">
      <alignment horizontal="center"/>
    </xf>
    <xf numFmtId="14" fontId="15" fillId="9" borderId="19" xfId="0" applyNumberFormat="1" applyFont="1" applyFill="1" applyBorder="1" applyAlignment="1">
      <alignment horizontal="center"/>
    </xf>
    <xf numFmtId="20" fontId="7" fillId="4" borderId="19" xfId="0" applyNumberFormat="1" applyFont="1" applyFill="1" applyBorder="1" applyAlignment="1">
      <alignment horizontal="center"/>
    </xf>
    <xf numFmtId="18" fontId="16" fillId="4" borderId="19" xfId="0" applyNumberFormat="1" applyFont="1" applyFill="1" applyBorder="1" applyAlignment="1">
      <alignment horizontal="center"/>
    </xf>
    <xf numFmtId="2" fontId="18" fillId="4" borderId="19" xfId="0" applyNumberFormat="1" applyFont="1" applyFill="1" applyBorder="1" applyAlignment="1">
      <alignment horizontal="center"/>
    </xf>
    <xf numFmtId="44" fontId="19" fillId="4" borderId="16" xfId="1" applyFont="1" applyFill="1" applyBorder="1" applyAlignment="1">
      <alignment horizontal="center"/>
    </xf>
    <xf numFmtId="18" fontId="19" fillId="7" borderId="19" xfId="0" applyNumberFormat="1" applyFont="1" applyFill="1" applyBorder="1" applyAlignment="1">
      <alignment vertical="center"/>
    </xf>
    <xf numFmtId="14" fontId="7" fillId="7" borderId="13" xfId="0" applyNumberFormat="1" applyFont="1" applyFill="1" applyBorder="1" applyAlignment="1">
      <alignment horizontal="center"/>
    </xf>
    <xf numFmtId="20" fontId="7" fillId="7" borderId="19" xfId="0" applyNumberFormat="1" applyFont="1" applyFill="1" applyBorder="1" applyAlignment="1">
      <alignment horizontal="center"/>
    </xf>
    <xf numFmtId="18" fontId="19" fillId="4" borderId="1" xfId="0" applyNumberFormat="1" applyFont="1" applyFill="1" applyBorder="1" applyAlignment="1">
      <alignment horizontal="center" vertical="center"/>
    </xf>
    <xf numFmtId="18" fontId="19" fillId="4" borderId="46" xfId="0" applyNumberFormat="1" applyFont="1" applyFill="1" applyBorder="1" applyAlignment="1">
      <alignment horizontal="center" vertical="center"/>
    </xf>
    <xf numFmtId="18" fontId="19" fillId="7" borderId="1" xfId="0" applyNumberFormat="1" applyFont="1" applyFill="1" applyBorder="1" applyAlignment="1">
      <alignment horizontal="center" vertical="center"/>
    </xf>
    <xf numFmtId="18" fontId="19" fillId="7" borderId="46" xfId="0" applyNumberFormat="1" applyFont="1" applyFill="1" applyBorder="1" applyAlignment="1">
      <alignment horizontal="center" vertical="center"/>
    </xf>
    <xf numFmtId="18" fontId="19" fillId="7" borderId="19" xfId="0" applyNumberFormat="1" applyFont="1" applyFill="1" applyBorder="1" applyAlignment="1">
      <alignment horizontal="center" vertical="center"/>
    </xf>
    <xf numFmtId="18" fontId="39" fillId="7" borderId="6" xfId="0" applyNumberFormat="1" applyFont="1" applyFill="1" applyBorder="1" applyAlignment="1">
      <alignment horizontal="center"/>
    </xf>
    <xf numFmtId="18" fontId="39" fillId="7" borderId="52" xfId="0" applyNumberFormat="1" applyFont="1" applyFill="1" applyBorder="1" applyAlignment="1">
      <alignment horizontal="center"/>
    </xf>
    <xf numFmtId="18" fontId="39" fillId="7" borderId="54" xfId="0" applyNumberFormat="1" applyFont="1" applyFill="1" applyBorder="1" applyAlignment="1">
      <alignment horizontal="center"/>
    </xf>
    <xf numFmtId="0" fontId="11" fillId="19" borderId="55" xfId="0" applyFont="1" applyFill="1" applyBorder="1" applyAlignment="1">
      <alignment horizontal="right"/>
    </xf>
    <xf numFmtId="2" fontId="14" fillId="5" borderId="56" xfId="0" applyNumberFormat="1" applyFont="1" applyFill="1" applyBorder="1" applyAlignment="1">
      <alignment horizontal="center"/>
    </xf>
    <xf numFmtId="2" fontId="40" fillId="5" borderId="56" xfId="0" applyNumberFormat="1" applyFont="1" applyFill="1" applyBorder="1" applyAlignment="1">
      <alignment horizontal="center"/>
    </xf>
    <xf numFmtId="44" fontId="14" fillId="19" borderId="57" xfId="1" applyFont="1" applyFill="1" applyBorder="1" applyAlignment="1">
      <alignment horizontal="right"/>
    </xf>
    <xf numFmtId="18" fontId="39" fillId="7" borderId="0" xfId="0" applyNumberFormat="1" applyFont="1" applyFill="1" applyBorder="1" applyAlignment="1">
      <alignment horizontal="center"/>
    </xf>
    <xf numFmtId="0" fontId="2" fillId="20" borderId="34" xfId="0" applyFont="1" applyFill="1" applyBorder="1" applyAlignment="1">
      <alignment horizontal="center" vertical="center"/>
    </xf>
    <xf numFmtId="0" fontId="2" fillId="20" borderId="24" xfId="0" applyFont="1" applyFill="1" applyBorder="1" applyAlignment="1">
      <alignment horizontal="center" vertical="center"/>
    </xf>
    <xf numFmtId="0" fontId="2" fillId="20" borderId="25" xfId="0" applyFont="1" applyFill="1" applyBorder="1" applyAlignment="1">
      <alignment horizontal="center" vertical="center"/>
    </xf>
    <xf numFmtId="44" fontId="2" fillId="20" borderId="34" xfId="0" applyNumberFormat="1" applyFont="1" applyFill="1" applyBorder="1" applyAlignment="1">
      <alignment horizontal="center"/>
    </xf>
    <xf numFmtId="44" fontId="2" fillId="20" borderId="25" xfId="0" applyNumberFormat="1" applyFont="1" applyFill="1" applyBorder="1" applyAlignment="1">
      <alignment horizontal="center"/>
    </xf>
    <xf numFmtId="2" fontId="14" fillId="7" borderId="0" xfId="0" applyNumberFormat="1" applyFont="1" applyFill="1" applyAlignment="1">
      <alignment horizontal="center"/>
    </xf>
    <xf numFmtId="0" fontId="36" fillId="4" borderId="3" xfId="0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/>
    </xf>
    <xf numFmtId="44" fontId="36" fillId="4" borderId="3" xfId="0" applyNumberFormat="1" applyFont="1" applyFill="1" applyBorder="1" applyAlignment="1">
      <alignment horizontal="center" wrapText="1"/>
    </xf>
    <xf numFmtId="44" fontId="36" fillId="4" borderId="5" xfId="0" applyNumberFormat="1" applyFont="1" applyFill="1" applyBorder="1" applyAlignment="1">
      <alignment horizontal="center" wrapText="1"/>
    </xf>
    <xf numFmtId="0" fontId="2" fillId="20" borderId="23" xfId="0" applyFont="1" applyFill="1" applyBorder="1" applyAlignment="1">
      <alignment horizontal="center" vertical="center"/>
    </xf>
    <xf numFmtId="44" fontId="2" fillId="20" borderId="34" xfId="0" applyNumberFormat="1" applyFont="1" applyFill="1" applyBorder="1" applyAlignment="1">
      <alignment horizontal="center" vertical="center" wrapText="1"/>
    </xf>
    <xf numFmtId="44" fontId="2" fillId="20" borderId="25" xfId="0" applyNumberFormat="1" applyFont="1" applyFill="1" applyBorder="1" applyAlignment="1">
      <alignment horizontal="center" vertical="center" wrapText="1"/>
    </xf>
    <xf numFmtId="44" fontId="0" fillId="0" borderId="0" xfId="0" applyNumberFormat="1"/>
    <xf numFmtId="0" fontId="36" fillId="0" borderId="34" xfId="0" applyFont="1" applyBorder="1" applyAlignment="1">
      <alignment horizontal="center" vertical="center"/>
    </xf>
    <xf numFmtId="0" fontId="36" fillId="0" borderId="24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0" fillId="29" borderId="34" xfId="0" applyFont="1" applyFill="1" applyBorder="1" applyAlignment="1">
      <alignment horizontal="center" vertical="center"/>
    </xf>
    <xf numFmtId="0" fontId="30" fillId="29" borderId="24" xfId="0" applyFont="1" applyFill="1" applyBorder="1" applyAlignment="1">
      <alignment horizontal="center" vertical="center"/>
    </xf>
    <xf numFmtId="44" fontId="31" fillId="21" borderId="34" xfId="0" applyNumberFormat="1" applyFont="1" applyFill="1" applyBorder="1" applyAlignment="1">
      <alignment horizontal="center" vertical="center" wrapText="1"/>
    </xf>
    <xf numFmtId="44" fontId="31" fillId="21" borderId="25" xfId="0" applyNumberFormat="1" applyFont="1" applyFill="1" applyBorder="1" applyAlignment="1">
      <alignment horizontal="center" vertical="center" wrapText="1"/>
    </xf>
    <xf numFmtId="2" fontId="41" fillId="7" borderId="0" xfId="0" applyNumberFormat="1" applyFont="1" applyFill="1" applyAlignment="1">
      <alignment horizontal="center"/>
    </xf>
    <xf numFmtId="0" fontId="3" fillId="21" borderId="19" xfId="0" applyFont="1" applyFill="1" applyBorder="1" applyAlignment="1">
      <alignment horizontal="center" vertical="center"/>
    </xf>
    <xf numFmtId="0" fontId="3" fillId="21" borderId="19" xfId="0" applyFont="1" applyFill="1" applyBorder="1" applyAlignment="1">
      <alignment horizontal="center" vertical="center"/>
    </xf>
    <xf numFmtId="44" fontId="6" fillId="7" borderId="19" xfId="0" applyNumberFormat="1" applyFont="1" applyFill="1" applyBorder="1" applyAlignment="1">
      <alignment horizontal="center"/>
    </xf>
    <xf numFmtId="0" fontId="6" fillId="6" borderId="23" xfId="0" applyFont="1" applyFill="1" applyBorder="1" applyAlignment="1">
      <alignment horizontal="center" vertical="center"/>
    </xf>
    <xf numFmtId="44" fontId="42" fillId="6" borderId="34" xfId="0" applyNumberFormat="1" applyFont="1" applyFill="1" applyBorder="1" applyAlignment="1">
      <alignment horizontal="center" vertical="center"/>
    </xf>
    <xf numFmtId="44" fontId="42" fillId="6" borderId="25" xfId="0" applyNumberFormat="1" applyFont="1" applyFill="1" applyBorder="1" applyAlignment="1">
      <alignment horizontal="center" vertical="center"/>
    </xf>
    <xf numFmtId="44" fontId="3" fillId="0" borderId="0" xfId="0" applyNumberFormat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975360</xdr:colOff>
      <xdr:row>3</xdr:row>
      <xdr:rowOff>45721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FB6491-9033-4FB5-BD7D-7C954428C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8229600" cy="594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0</xdr:rowOff>
    </xdr:from>
    <xdr:to>
      <xdr:col>8</xdr:col>
      <xdr:colOff>944880</xdr:colOff>
      <xdr:row>2</xdr:row>
      <xdr:rowOff>312420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EA85C5-5479-4909-884F-650485E95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0"/>
          <a:ext cx="838962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tabSelected="1" workbookViewId="0">
      <selection activeCell="L14" sqref="L14"/>
    </sheetView>
  </sheetViews>
  <sheetFormatPr baseColWidth="10" defaultRowHeight="14.4" x14ac:dyDescent="0.3"/>
  <cols>
    <col min="1" max="1" width="20.33203125" customWidth="1"/>
    <col min="2" max="2" width="12.77734375" customWidth="1"/>
    <col min="3" max="3" width="15.33203125" customWidth="1"/>
    <col min="4" max="4" width="8.109375" customWidth="1"/>
    <col min="5" max="5" width="13.33203125" customWidth="1"/>
    <col min="6" max="6" width="13.88671875" customWidth="1"/>
    <col min="7" max="7" width="10.44140625" customWidth="1"/>
    <col min="8" max="8" width="11.5546875" customWidth="1"/>
    <col min="9" max="9" width="14.44140625" customWidth="1"/>
    <col min="10" max="10" width="11.77734375" hidden="1" customWidth="1"/>
  </cols>
  <sheetData>
    <row r="1" spans="1:10" x14ac:dyDescent="0.3">
      <c r="A1" s="180"/>
      <c r="B1" s="181"/>
      <c r="C1" s="181"/>
      <c r="D1" s="181"/>
      <c r="E1" s="181"/>
      <c r="F1" s="181"/>
      <c r="G1" s="181"/>
      <c r="H1" s="181"/>
      <c r="I1" s="181"/>
    </row>
    <row r="2" spans="1:10" x14ac:dyDescent="0.3">
      <c r="A2" s="182"/>
    </row>
    <row r="3" spans="1:10" s="84" customFormat="1" ht="21.6" customHeight="1" thickBot="1" x14ac:dyDescent="0.35">
      <c r="A3" s="183"/>
    </row>
    <row r="4" spans="1:10" ht="30.6" customHeight="1" thickBot="1" x14ac:dyDescent="0.35">
      <c r="A4" s="184" t="s">
        <v>63</v>
      </c>
      <c r="B4" s="185"/>
      <c r="C4" s="185"/>
      <c r="D4" s="185"/>
      <c r="E4" s="185"/>
      <c r="F4" s="186"/>
      <c r="G4" s="187" t="s">
        <v>1</v>
      </c>
      <c r="H4" s="188"/>
      <c r="I4" s="189">
        <v>2026</v>
      </c>
    </row>
    <row r="5" spans="1:10" ht="15" customHeight="1" x14ac:dyDescent="0.3">
      <c r="A5" s="190" t="s">
        <v>53</v>
      </c>
      <c r="B5" s="191"/>
      <c r="C5" s="192" t="s">
        <v>64</v>
      </c>
      <c r="D5" s="192"/>
      <c r="E5" s="192"/>
      <c r="F5" s="192"/>
      <c r="G5" s="193" t="s">
        <v>47</v>
      </c>
      <c r="H5" s="194">
        <v>46000</v>
      </c>
      <c r="I5" s="195" t="s">
        <v>65</v>
      </c>
    </row>
    <row r="6" spans="1:10" ht="15" customHeight="1" x14ac:dyDescent="0.3">
      <c r="A6" s="196" t="s">
        <v>9</v>
      </c>
      <c r="B6" s="197"/>
      <c r="C6" s="198" t="s">
        <v>66</v>
      </c>
      <c r="D6" s="198"/>
      <c r="E6" s="198"/>
      <c r="F6" s="198"/>
      <c r="G6" s="199"/>
      <c r="H6" s="200">
        <f>46000/2</f>
        <v>23000</v>
      </c>
      <c r="I6" s="201" t="s">
        <v>67</v>
      </c>
    </row>
    <row r="7" spans="1:10" ht="19.2" customHeight="1" x14ac:dyDescent="0.3">
      <c r="A7" s="202" t="s">
        <v>11</v>
      </c>
      <c r="B7" s="203"/>
      <c r="C7" s="203" t="s">
        <v>51</v>
      </c>
      <c r="D7" s="203"/>
      <c r="E7" s="203"/>
      <c r="F7" s="203" t="s">
        <v>52</v>
      </c>
      <c r="G7" s="203"/>
      <c r="H7" s="204" t="s">
        <v>14</v>
      </c>
      <c r="I7" s="205"/>
    </row>
    <row r="8" spans="1:10" ht="15" customHeight="1" x14ac:dyDescent="0.3">
      <c r="A8" s="206">
        <f>+G16</f>
        <v>20.000000000000004</v>
      </c>
      <c r="B8" s="207"/>
      <c r="C8" s="208">
        <f>+H16</f>
        <v>0</v>
      </c>
      <c r="D8" s="208"/>
      <c r="E8" s="208"/>
      <c r="F8" s="209">
        <v>4600</v>
      </c>
      <c r="G8" s="209"/>
      <c r="H8" s="210">
        <f>+C8*F8</f>
        <v>0</v>
      </c>
      <c r="I8" s="211"/>
    </row>
    <row r="9" spans="1:10" ht="15" customHeight="1" x14ac:dyDescent="0.3">
      <c r="A9" s="202"/>
      <c r="B9" s="203"/>
      <c r="C9" s="203"/>
      <c r="D9" s="203"/>
      <c r="E9" s="203"/>
      <c r="F9" s="203" t="s">
        <v>68</v>
      </c>
      <c r="G9" s="203"/>
      <c r="H9" s="44" t="s">
        <v>69</v>
      </c>
      <c r="I9" s="45"/>
    </row>
    <row r="10" spans="1:10" ht="15" customHeight="1" x14ac:dyDescent="0.3">
      <c r="A10" s="212"/>
      <c r="B10" s="213"/>
      <c r="C10" s="214"/>
      <c r="D10" s="214"/>
      <c r="E10" s="214"/>
      <c r="F10" s="215">
        <v>4</v>
      </c>
      <c r="G10" s="215"/>
      <c r="H10" s="216">
        <f>+H8+I16</f>
        <v>92000</v>
      </c>
      <c r="I10" s="217"/>
    </row>
    <row r="11" spans="1:10" ht="26.4" customHeight="1" thickBot="1" x14ac:dyDescent="0.35">
      <c r="A11" s="55" t="s">
        <v>70</v>
      </c>
      <c r="B11" s="57" t="s">
        <v>71</v>
      </c>
      <c r="C11" s="218" t="s">
        <v>53</v>
      </c>
      <c r="D11" s="57" t="s">
        <v>72</v>
      </c>
      <c r="E11" s="57" t="s">
        <v>22</v>
      </c>
      <c r="F11" s="57" t="s">
        <v>23</v>
      </c>
      <c r="G11" s="57" t="s">
        <v>24</v>
      </c>
      <c r="H11" s="57" t="s">
        <v>25</v>
      </c>
      <c r="I11" s="59" t="s">
        <v>26</v>
      </c>
    </row>
    <row r="12" spans="1:10" ht="15" customHeight="1" x14ac:dyDescent="0.3">
      <c r="A12" s="219" t="s">
        <v>73</v>
      </c>
      <c r="B12" s="220" t="s">
        <v>74</v>
      </c>
      <c r="C12" s="221" t="s">
        <v>64</v>
      </c>
      <c r="D12" s="222">
        <v>0.58333333333333337</v>
      </c>
      <c r="E12" s="64">
        <v>0.66666666666666663</v>
      </c>
      <c r="F12" s="64">
        <v>0.875</v>
      </c>
      <c r="G12" s="223">
        <f>(IF(E12&gt;F12,F12+1-E12,F12-E12))*24</f>
        <v>5.0000000000000009</v>
      </c>
      <c r="H12" s="224"/>
      <c r="I12" s="225">
        <v>23000</v>
      </c>
    </row>
    <row r="13" spans="1:10" ht="14.4" customHeight="1" x14ac:dyDescent="0.3">
      <c r="A13" s="226" t="s">
        <v>75</v>
      </c>
      <c r="B13" s="227" t="s">
        <v>76</v>
      </c>
      <c r="C13" s="228"/>
      <c r="D13" s="222">
        <v>0.58333333333333337</v>
      </c>
      <c r="E13" s="64">
        <v>0.66666666666666663</v>
      </c>
      <c r="F13" s="64">
        <v>0.875</v>
      </c>
      <c r="G13" s="223">
        <f t="shared" ref="G13:G15" si="0">(IF(E13&gt;F13,F13+1-E13,F13-E13))*24</f>
        <v>5.0000000000000009</v>
      </c>
      <c r="H13" s="224"/>
      <c r="I13" s="225">
        <v>23000</v>
      </c>
      <c r="J13" s="229"/>
    </row>
    <row r="14" spans="1:10" ht="14.4" customHeight="1" x14ac:dyDescent="0.3">
      <c r="A14" s="219" t="s">
        <v>77</v>
      </c>
      <c r="B14" s="220" t="s">
        <v>78</v>
      </c>
      <c r="C14" s="228"/>
      <c r="D14" s="222">
        <v>0.58333333333333337</v>
      </c>
      <c r="E14" s="64">
        <v>0.66666666666666663</v>
      </c>
      <c r="F14" s="64">
        <v>0.875</v>
      </c>
      <c r="G14" s="223">
        <f t="shared" si="0"/>
        <v>5.0000000000000009</v>
      </c>
      <c r="H14" s="224"/>
      <c r="I14" s="225">
        <v>23000</v>
      </c>
      <c r="J14" s="229"/>
    </row>
    <row r="15" spans="1:10" ht="14.4" customHeight="1" thickBot="1" x14ac:dyDescent="0.35">
      <c r="A15" s="219" t="s">
        <v>79</v>
      </c>
      <c r="B15" s="220" t="s">
        <v>80</v>
      </c>
      <c r="C15" s="230"/>
      <c r="D15" s="222">
        <v>0.58333333333333337</v>
      </c>
      <c r="E15" s="64">
        <v>0.66666666666666663</v>
      </c>
      <c r="F15" s="64">
        <v>0.875</v>
      </c>
      <c r="G15" s="223">
        <f t="shared" si="0"/>
        <v>5.0000000000000009</v>
      </c>
      <c r="H15" s="224"/>
      <c r="I15" s="225">
        <v>23000</v>
      </c>
      <c r="J15" s="229"/>
    </row>
    <row r="16" spans="1:10" s="84" customFormat="1" ht="15" customHeight="1" x14ac:dyDescent="0.3">
      <c r="A16" s="231"/>
      <c r="B16" s="232"/>
      <c r="C16" s="233"/>
      <c r="D16" s="232"/>
      <c r="E16" s="234"/>
      <c r="F16" s="235" t="s">
        <v>40</v>
      </c>
      <c r="G16" s="236">
        <f>SUM(G12:G15)</f>
        <v>20.000000000000004</v>
      </c>
      <c r="H16" s="236">
        <f>SUM(H12:H15)</f>
        <v>0</v>
      </c>
      <c r="I16" s="237">
        <f>SUM(I12:I15)</f>
        <v>92000</v>
      </c>
    </row>
    <row r="17" spans="1:9" s="84" customFormat="1" ht="15" customHeight="1" x14ac:dyDescent="0.3">
      <c r="A17" s="238" t="s">
        <v>81</v>
      </c>
      <c r="B17" s="238"/>
      <c r="C17" s="238"/>
      <c r="D17" s="238"/>
      <c r="E17" s="238"/>
      <c r="F17" s="238"/>
      <c r="G17" s="238"/>
      <c r="H17" s="238"/>
      <c r="I17" s="238"/>
    </row>
    <row r="18" spans="1:9" s="93" customFormat="1" ht="7.05" customHeight="1" x14ac:dyDescent="0.3">
      <c r="A18" s="85"/>
      <c r="B18" s="85"/>
      <c r="C18" s="85"/>
      <c r="D18" s="85"/>
      <c r="E18" s="85"/>
      <c r="F18" s="85"/>
      <c r="G18" s="85"/>
      <c r="H18" s="85"/>
      <c r="I18" s="85"/>
    </row>
    <row r="19" spans="1:9" s="93" customFormat="1" ht="7.05" customHeight="1" thickBot="1" x14ac:dyDescent="0.35">
      <c r="A19" s="239"/>
      <c r="B19" s="239"/>
      <c r="C19" s="239"/>
      <c r="D19" s="239"/>
      <c r="E19" s="239"/>
      <c r="F19" s="239"/>
      <c r="G19" s="239"/>
      <c r="H19" s="239"/>
      <c r="I19" s="239"/>
    </row>
    <row r="20" spans="1:9" s="93" customFormat="1" ht="15.6" x14ac:dyDescent="0.3">
      <c r="A20" s="190" t="s">
        <v>53</v>
      </c>
      <c r="B20" s="191"/>
      <c r="C20" s="192" t="s">
        <v>7</v>
      </c>
      <c r="D20" s="192"/>
      <c r="E20" s="192"/>
      <c r="F20" s="192"/>
      <c r="G20" s="193" t="s">
        <v>47</v>
      </c>
      <c r="H20" s="240">
        <v>46000</v>
      </c>
      <c r="I20" s="195" t="s">
        <v>65</v>
      </c>
    </row>
    <row r="21" spans="1:9" s="93" customFormat="1" ht="15.6" x14ac:dyDescent="0.3">
      <c r="A21" s="196" t="s">
        <v>9</v>
      </c>
      <c r="B21" s="197"/>
      <c r="C21" s="198" t="s">
        <v>10</v>
      </c>
      <c r="D21" s="198"/>
      <c r="E21" s="198"/>
      <c r="F21" s="198"/>
      <c r="G21" s="199"/>
      <c r="H21" s="241">
        <f>46000/2</f>
        <v>23000</v>
      </c>
      <c r="I21" s="201" t="s">
        <v>67</v>
      </c>
    </row>
    <row r="22" spans="1:9" s="93" customFormat="1" ht="14.4" customHeight="1" x14ac:dyDescent="0.3">
      <c r="A22" s="202" t="s">
        <v>11</v>
      </c>
      <c r="B22" s="203"/>
      <c r="C22" s="203" t="s">
        <v>51</v>
      </c>
      <c r="D22" s="203"/>
      <c r="E22" s="203"/>
      <c r="F22" s="203" t="s">
        <v>52</v>
      </c>
      <c r="G22" s="203"/>
      <c r="H22" s="204" t="s">
        <v>14</v>
      </c>
      <c r="I22" s="205"/>
    </row>
    <row r="23" spans="1:9" s="93" customFormat="1" x14ac:dyDescent="0.3">
      <c r="A23" s="206">
        <f>+G35</f>
        <v>80</v>
      </c>
      <c r="B23" s="207"/>
      <c r="C23" s="242">
        <f>+H35</f>
        <v>0</v>
      </c>
      <c r="D23" s="242"/>
      <c r="E23" s="242"/>
      <c r="F23" s="209">
        <v>4600</v>
      </c>
      <c r="G23" s="209"/>
      <c r="H23" s="210">
        <f>+C23*F23</f>
        <v>0</v>
      </c>
      <c r="I23" s="211"/>
    </row>
    <row r="24" spans="1:9" s="93" customFormat="1" x14ac:dyDescent="0.3">
      <c r="A24" s="202"/>
      <c r="B24" s="203"/>
      <c r="C24" s="203"/>
      <c r="D24" s="203"/>
      <c r="E24" s="203"/>
      <c r="F24" s="203" t="s">
        <v>68</v>
      </c>
      <c r="G24" s="203"/>
      <c r="H24" s="44" t="s">
        <v>69</v>
      </c>
      <c r="I24" s="45"/>
    </row>
    <row r="25" spans="1:9" s="93" customFormat="1" ht="15.6" x14ac:dyDescent="0.3">
      <c r="A25" s="212"/>
      <c r="B25" s="213"/>
      <c r="C25" s="214"/>
      <c r="D25" s="214"/>
      <c r="E25" s="214"/>
      <c r="F25" s="215">
        <v>8</v>
      </c>
      <c r="G25" s="215"/>
      <c r="H25" s="216">
        <f>+H23+I35</f>
        <v>368000</v>
      </c>
      <c r="I25" s="217"/>
    </row>
    <row r="26" spans="1:9" s="93" customFormat="1" ht="29.4" thickBot="1" x14ac:dyDescent="0.35">
      <c r="A26" s="129" t="s">
        <v>70</v>
      </c>
      <c r="B26" s="218" t="s">
        <v>71</v>
      </c>
      <c r="C26" s="218" t="s">
        <v>53</v>
      </c>
      <c r="D26" s="218" t="s">
        <v>72</v>
      </c>
      <c r="E26" s="218" t="s">
        <v>22</v>
      </c>
      <c r="F26" s="218" t="s">
        <v>23</v>
      </c>
      <c r="G26" s="218" t="s">
        <v>24</v>
      </c>
      <c r="H26" s="218" t="s">
        <v>25</v>
      </c>
      <c r="I26" s="243" t="s">
        <v>26</v>
      </c>
    </row>
    <row r="27" spans="1:9" s="93" customFormat="1" ht="13.8" customHeight="1" x14ac:dyDescent="0.3">
      <c r="A27" s="219" t="s">
        <v>82</v>
      </c>
      <c r="B27" s="220" t="s">
        <v>83</v>
      </c>
      <c r="C27" s="221" t="s">
        <v>7</v>
      </c>
      <c r="D27" s="222">
        <v>0.375</v>
      </c>
      <c r="E27" s="64">
        <v>0.375</v>
      </c>
      <c r="F27" s="64">
        <v>0.79166666666666663</v>
      </c>
      <c r="G27" s="223">
        <f t="shared" ref="G27:G34" si="1">(IF(E27&gt;F27,F27+1-E27,F27-E27))*24</f>
        <v>10</v>
      </c>
      <c r="H27" s="224"/>
      <c r="I27" s="244">
        <v>46000</v>
      </c>
    </row>
    <row r="28" spans="1:9" s="93" customFormat="1" x14ac:dyDescent="0.3">
      <c r="A28" s="219" t="s">
        <v>73</v>
      </c>
      <c r="B28" s="220" t="s">
        <v>74</v>
      </c>
      <c r="C28" s="228"/>
      <c r="D28" s="222">
        <v>0.375</v>
      </c>
      <c r="E28" s="64">
        <v>0.375</v>
      </c>
      <c r="F28" s="64">
        <v>0.79166666666666663</v>
      </c>
      <c r="G28" s="223">
        <f t="shared" si="1"/>
        <v>10</v>
      </c>
      <c r="H28" s="224"/>
      <c r="I28" s="244">
        <v>46000</v>
      </c>
    </row>
    <row r="29" spans="1:9" s="93" customFormat="1" x14ac:dyDescent="0.3">
      <c r="A29" s="226" t="s">
        <v>75</v>
      </c>
      <c r="B29" s="227" t="s">
        <v>76</v>
      </c>
      <c r="C29" s="228"/>
      <c r="D29" s="222">
        <v>0.375</v>
      </c>
      <c r="E29" s="64">
        <v>0.375</v>
      </c>
      <c r="F29" s="64">
        <v>0.79166666666666663</v>
      </c>
      <c r="G29" s="223">
        <f t="shared" si="1"/>
        <v>10</v>
      </c>
      <c r="H29" s="224"/>
      <c r="I29" s="244">
        <v>46000</v>
      </c>
    </row>
    <row r="30" spans="1:9" s="93" customFormat="1" x14ac:dyDescent="0.3">
      <c r="A30" s="219" t="s">
        <v>77</v>
      </c>
      <c r="B30" s="220" t="s">
        <v>78</v>
      </c>
      <c r="C30" s="228"/>
      <c r="D30" s="222">
        <v>0.375</v>
      </c>
      <c r="E30" s="64">
        <v>0.375</v>
      </c>
      <c r="F30" s="64">
        <v>0.79166666666666663</v>
      </c>
      <c r="G30" s="223">
        <f t="shared" si="1"/>
        <v>10</v>
      </c>
      <c r="H30" s="224"/>
      <c r="I30" s="244">
        <v>46000</v>
      </c>
    </row>
    <row r="31" spans="1:9" s="93" customFormat="1" x14ac:dyDescent="0.3">
      <c r="A31" s="219" t="s">
        <v>84</v>
      </c>
      <c r="B31" s="220" t="s">
        <v>85</v>
      </c>
      <c r="C31" s="228"/>
      <c r="D31" s="222">
        <v>0.375</v>
      </c>
      <c r="E31" s="64">
        <v>0.375</v>
      </c>
      <c r="F31" s="64">
        <v>0.79166666666666663</v>
      </c>
      <c r="G31" s="223">
        <f t="shared" si="1"/>
        <v>10</v>
      </c>
      <c r="H31" s="224"/>
      <c r="I31" s="244">
        <v>46000</v>
      </c>
    </row>
    <row r="32" spans="1:9" s="93" customFormat="1" x14ac:dyDescent="0.3">
      <c r="A32" s="219" t="s">
        <v>79</v>
      </c>
      <c r="B32" s="220" t="s">
        <v>80</v>
      </c>
      <c r="C32" s="228"/>
      <c r="D32" s="222">
        <v>0.375</v>
      </c>
      <c r="E32" s="64">
        <v>0.375</v>
      </c>
      <c r="F32" s="64">
        <v>0.79166666666666663</v>
      </c>
      <c r="G32" s="223">
        <f t="shared" si="1"/>
        <v>10</v>
      </c>
      <c r="H32" s="224"/>
      <c r="I32" s="244">
        <v>46000</v>
      </c>
    </row>
    <row r="33" spans="1:9" s="93" customFormat="1" x14ac:dyDescent="0.3">
      <c r="A33" s="219" t="s">
        <v>86</v>
      </c>
      <c r="B33" s="220" t="s">
        <v>87</v>
      </c>
      <c r="C33" s="228"/>
      <c r="D33" s="222">
        <v>0.375</v>
      </c>
      <c r="E33" s="64">
        <v>0.375</v>
      </c>
      <c r="F33" s="64">
        <v>0.79166666666666663</v>
      </c>
      <c r="G33" s="223">
        <f t="shared" si="1"/>
        <v>10</v>
      </c>
      <c r="H33" s="224"/>
      <c r="I33" s="244">
        <v>46000</v>
      </c>
    </row>
    <row r="34" spans="1:9" s="93" customFormat="1" ht="15" thickBot="1" x14ac:dyDescent="0.35">
      <c r="A34" s="219" t="s">
        <v>88</v>
      </c>
      <c r="B34" s="220" t="s">
        <v>89</v>
      </c>
      <c r="C34" s="230"/>
      <c r="D34" s="222">
        <v>0.375</v>
      </c>
      <c r="E34" s="64">
        <v>0.375</v>
      </c>
      <c r="F34" s="64">
        <v>0.79166666666666663</v>
      </c>
      <c r="G34" s="223">
        <f t="shared" si="1"/>
        <v>10</v>
      </c>
      <c r="H34" s="224"/>
      <c r="I34" s="244">
        <v>46000</v>
      </c>
    </row>
    <row r="35" spans="1:9" s="93" customFormat="1" ht="15" customHeight="1" x14ac:dyDescent="0.3">
      <c r="A35" s="245"/>
      <c r="B35" s="246"/>
      <c r="C35" s="247"/>
      <c r="D35" s="246"/>
      <c r="E35" s="248"/>
      <c r="F35" s="249" t="s">
        <v>40</v>
      </c>
      <c r="G35" s="250">
        <f>SUM(G27:G34)</f>
        <v>80</v>
      </c>
      <c r="H35" s="250">
        <f>SUM(H27:H34)</f>
        <v>0</v>
      </c>
      <c r="I35" s="251">
        <f>SUM(I27:I34)</f>
        <v>368000</v>
      </c>
    </row>
    <row r="36" spans="1:9" s="93" customFormat="1" ht="15" customHeight="1" x14ac:dyDescent="0.3">
      <c r="A36" s="238" t="s">
        <v>81</v>
      </c>
      <c r="B36" s="238"/>
      <c r="C36" s="238"/>
      <c r="D36" s="238"/>
      <c r="E36" s="238"/>
      <c r="F36" s="238"/>
      <c r="G36" s="238"/>
      <c r="H36" s="238"/>
      <c r="I36" s="238"/>
    </row>
    <row r="37" spans="1:9" s="93" customFormat="1" ht="7.05" customHeight="1" x14ac:dyDescent="0.3">
      <c r="A37" s="252"/>
      <c r="B37" s="253"/>
      <c r="C37" s="254"/>
      <c r="D37" s="255"/>
      <c r="E37" s="75"/>
      <c r="F37" s="75"/>
      <c r="G37" s="256"/>
      <c r="H37" s="257"/>
      <c r="I37" s="258"/>
    </row>
    <row r="38" spans="1:9" s="93" customFormat="1" ht="7.8" customHeight="1" thickBot="1" x14ac:dyDescent="0.35">
      <c r="A38" s="239"/>
      <c r="B38" s="239"/>
      <c r="C38" s="239"/>
      <c r="D38" s="239"/>
      <c r="E38" s="239"/>
      <c r="F38" s="239"/>
      <c r="G38" s="239"/>
      <c r="H38" s="239"/>
      <c r="I38" s="239"/>
    </row>
    <row r="39" spans="1:9" s="93" customFormat="1" ht="15.6" x14ac:dyDescent="0.3">
      <c r="A39" s="190" t="s">
        <v>53</v>
      </c>
      <c r="B39" s="191"/>
      <c r="C39" s="192" t="s">
        <v>90</v>
      </c>
      <c r="D39" s="192"/>
      <c r="E39" s="192"/>
      <c r="F39" s="192"/>
      <c r="G39" s="193" t="s">
        <v>47</v>
      </c>
      <c r="H39" s="240">
        <v>46000</v>
      </c>
      <c r="I39" s="195" t="s">
        <v>65</v>
      </c>
    </row>
    <row r="40" spans="1:9" s="93" customFormat="1" ht="17.399999999999999" customHeight="1" x14ac:dyDescent="0.3">
      <c r="A40" s="196" t="s">
        <v>9</v>
      </c>
      <c r="B40" s="197"/>
      <c r="C40" s="198" t="s">
        <v>42</v>
      </c>
      <c r="D40" s="198"/>
      <c r="E40" s="198"/>
      <c r="F40" s="198"/>
      <c r="G40" s="199"/>
      <c r="H40" s="241">
        <f>46000/2</f>
        <v>23000</v>
      </c>
      <c r="I40" s="201" t="s">
        <v>67</v>
      </c>
    </row>
    <row r="41" spans="1:9" s="93" customFormat="1" ht="19.2" customHeight="1" x14ac:dyDescent="0.3">
      <c r="A41" s="202" t="s">
        <v>11</v>
      </c>
      <c r="B41" s="203"/>
      <c r="C41" s="203" t="s">
        <v>51</v>
      </c>
      <c r="D41" s="203"/>
      <c r="E41" s="203"/>
      <c r="F41" s="203" t="s">
        <v>52</v>
      </c>
      <c r="G41" s="203"/>
      <c r="H41" s="204" t="s">
        <v>14</v>
      </c>
      <c r="I41" s="205"/>
    </row>
    <row r="42" spans="1:9" s="93" customFormat="1" ht="18" customHeight="1" x14ac:dyDescent="0.3">
      <c r="A42" s="206">
        <f>+G54</f>
        <v>79.666666666666657</v>
      </c>
      <c r="B42" s="207"/>
      <c r="C42" s="242">
        <f>+H54</f>
        <v>0</v>
      </c>
      <c r="D42" s="242"/>
      <c r="E42" s="242"/>
      <c r="F42" s="209">
        <v>4600</v>
      </c>
      <c r="G42" s="209"/>
      <c r="H42" s="210">
        <f>+C42*F42</f>
        <v>0</v>
      </c>
      <c r="I42" s="211"/>
    </row>
    <row r="43" spans="1:9" s="93" customFormat="1" x14ac:dyDescent="0.3">
      <c r="A43" s="202"/>
      <c r="B43" s="203"/>
      <c r="C43" s="203"/>
      <c r="D43" s="203"/>
      <c r="E43" s="203"/>
      <c r="F43" s="203" t="s">
        <v>68</v>
      </c>
      <c r="G43" s="203"/>
      <c r="H43" s="44" t="s">
        <v>69</v>
      </c>
      <c r="I43" s="45"/>
    </row>
    <row r="44" spans="1:9" s="93" customFormat="1" ht="15" customHeight="1" x14ac:dyDescent="0.3">
      <c r="A44" s="212"/>
      <c r="B44" s="213"/>
      <c r="C44" s="214"/>
      <c r="D44" s="214"/>
      <c r="E44" s="214"/>
      <c r="F44" s="215">
        <v>8</v>
      </c>
      <c r="G44" s="215"/>
      <c r="H44" s="216">
        <f>+H42+I54</f>
        <v>368000</v>
      </c>
      <c r="I44" s="217"/>
    </row>
    <row r="45" spans="1:9" s="93" customFormat="1" ht="30" customHeight="1" thickBot="1" x14ac:dyDescent="0.35">
      <c r="A45" s="129" t="s">
        <v>70</v>
      </c>
      <c r="B45" s="218" t="s">
        <v>71</v>
      </c>
      <c r="C45" s="218" t="s">
        <v>53</v>
      </c>
      <c r="D45" s="218" t="s">
        <v>72</v>
      </c>
      <c r="E45" s="218" t="s">
        <v>22</v>
      </c>
      <c r="F45" s="218" t="s">
        <v>23</v>
      </c>
      <c r="G45" s="218" t="s">
        <v>24</v>
      </c>
      <c r="H45" s="218" t="s">
        <v>25</v>
      </c>
      <c r="I45" s="243" t="s">
        <v>26</v>
      </c>
    </row>
    <row r="46" spans="1:9" s="93" customFormat="1" ht="15" customHeight="1" x14ac:dyDescent="0.3">
      <c r="A46" s="219" t="s">
        <v>82</v>
      </c>
      <c r="B46" s="220" t="s">
        <v>83</v>
      </c>
      <c r="C46" s="221" t="s">
        <v>7</v>
      </c>
      <c r="D46" s="222">
        <v>0.375</v>
      </c>
      <c r="E46" s="64">
        <v>0.375</v>
      </c>
      <c r="F46" s="64">
        <v>0.79166666666666663</v>
      </c>
      <c r="G46" s="223">
        <f t="shared" ref="G46:G53" si="2">(IF(E46&gt;F46,F46+1-E46,F46-E46))*24</f>
        <v>10</v>
      </c>
      <c r="H46" s="224"/>
      <c r="I46" s="244">
        <v>46000</v>
      </c>
    </row>
    <row r="47" spans="1:9" s="93" customFormat="1" ht="15" customHeight="1" x14ac:dyDescent="0.3">
      <c r="A47" s="219" t="s">
        <v>73</v>
      </c>
      <c r="B47" s="220" t="s">
        <v>74</v>
      </c>
      <c r="C47" s="228"/>
      <c r="D47" s="222">
        <v>0.375</v>
      </c>
      <c r="E47" s="64">
        <v>0.375</v>
      </c>
      <c r="F47" s="64">
        <v>0.78472222222222221</v>
      </c>
      <c r="G47" s="223">
        <f t="shared" si="2"/>
        <v>9.8333333333333321</v>
      </c>
      <c r="H47" s="224"/>
      <c r="I47" s="244">
        <v>46000</v>
      </c>
    </row>
    <row r="48" spans="1:9" s="93" customFormat="1" ht="15" customHeight="1" x14ac:dyDescent="0.3">
      <c r="A48" s="226" t="s">
        <v>75</v>
      </c>
      <c r="B48" s="227" t="s">
        <v>76</v>
      </c>
      <c r="C48" s="228"/>
      <c r="D48" s="222">
        <v>0.375</v>
      </c>
      <c r="E48" s="64">
        <v>0.375</v>
      </c>
      <c r="F48" s="64">
        <v>0.78472222222222221</v>
      </c>
      <c r="G48" s="223">
        <f t="shared" si="2"/>
        <v>9.8333333333333321</v>
      </c>
      <c r="H48" s="224"/>
      <c r="I48" s="244">
        <v>46000</v>
      </c>
    </row>
    <row r="49" spans="1:9" s="93" customFormat="1" ht="15" customHeight="1" x14ac:dyDescent="0.3">
      <c r="A49" s="219" t="s">
        <v>77</v>
      </c>
      <c r="B49" s="220" t="s">
        <v>78</v>
      </c>
      <c r="C49" s="228"/>
      <c r="D49" s="222">
        <v>0.375</v>
      </c>
      <c r="E49" s="64">
        <v>0.375</v>
      </c>
      <c r="F49" s="64">
        <v>0.79166666666666663</v>
      </c>
      <c r="G49" s="223">
        <f t="shared" si="2"/>
        <v>10</v>
      </c>
      <c r="H49" s="224"/>
      <c r="I49" s="244">
        <v>46000</v>
      </c>
    </row>
    <row r="50" spans="1:9" s="93" customFormat="1" ht="15" customHeight="1" x14ac:dyDescent="0.3">
      <c r="A50" s="219" t="s">
        <v>84</v>
      </c>
      <c r="B50" s="220" t="s">
        <v>85</v>
      </c>
      <c r="C50" s="228"/>
      <c r="D50" s="222">
        <v>0.375</v>
      </c>
      <c r="E50" s="64">
        <v>0.375</v>
      </c>
      <c r="F50" s="64">
        <v>0.79166666666666663</v>
      </c>
      <c r="G50" s="223">
        <f t="shared" si="2"/>
        <v>10</v>
      </c>
      <c r="H50" s="224"/>
      <c r="I50" s="244">
        <v>46000</v>
      </c>
    </row>
    <row r="51" spans="1:9" s="93" customFormat="1" ht="15" customHeight="1" x14ac:dyDescent="0.3">
      <c r="A51" s="219" t="s">
        <v>86</v>
      </c>
      <c r="B51" s="220" t="s">
        <v>87</v>
      </c>
      <c r="C51" s="228"/>
      <c r="D51" s="222">
        <v>0.375</v>
      </c>
      <c r="E51" s="64">
        <v>0.375</v>
      </c>
      <c r="F51" s="64">
        <v>0.79166666666666663</v>
      </c>
      <c r="G51" s="223">
        <f t="shared" si="2"/>
        <v>10</v>
      </c>
      <c r="H51" s="224"/>
      <c r="I51" s="244">
        <v>46000</v>
      </c>
    </row>
    <row r="52" spans="1:9" s="93" customFormat="1" ht="15" customHeight="1" x14ac:dyDescent="0.3">
      <c r="A52" s="219" t="s">
        <v>88</v>
      </c>
      <c r="B52" s="220" t="s">
        <v>89</v>
      </c>
      <c r="C52" s="228"/>
      <c r="D52" s="222">
        <v>0.375</v>
      </c>
      <c r="E52" s="64">
        <v>0.375</v>
      </c>
      <c r="F52" s="64">
        <v>0.79166666666666663</v>
      </c>
      <c r="G52" s="223">
        <f t="shared" si="2"/>
        <v>10</v>
      </c>
      <c r="H52" s="224"/>
      <c r="I52" s="244">
        <v>46000</v>
      </c>
    </row>
    <row r="53" spans="1:9" s="93" customFormat="1" ht="15" customHeight="1" thickBot="1" x14ac:dyDescent="0.35">
      <c r="A53" s="219" t="s">
        <v>91</v>
      </c>
      <c r="B53" s="220" t="s">
        <v>92</v>
      </c>
      <c r="C53" s="230"/>
      <c r="D53" s="222">
        <v>0.375</v>
      </c>
      <c r="E53" s="64">
        <v>0.375</v>
      </c>
      <c r="F53" s="64">
        <v>0.79166666666666663</v>
      </c>
      <c r="G53" s="223">
        <f t="shared" si="2"/>
        <v>10</v>
      </c>
      <c r="H53" s="224"/>
      <c r="I53" s="244">
        <v>46000</v>
      </c>
    </row>
    <row r="54" spans="1:9" s="93" customFormat="1" ht="15" customHeight="1" x14ac:dyDescent="0.3">
      <c r="A54" s="245"/>
      <c r="B54" s="246"/>
      <c r="C54" s="247"/>
      <c r="D54" s="246"/>
      <c r="E54" s="248"/>
      <c r="F54" s="249" t="s">
        <v>40</v>
      </c>
      <c r="G54" s="250">
        <f>SUM(G46:G53)</f>
        <v>79.666666666666657</v>
      </c>
      <c r="H54" s="250">
        <f>SUM(H46:H53)</f>
        <v>0</v>
      </c>
      <c r="I54" s="251">
        <f>SUM(I46:I53)</f>
        <v>368000</v>
      </c>
    </row>
    <row r="55" spans="1:9" s="93" customFormat="1" ht="15" customHeight="1" x14ac:dyDescent="0.3">
      <c r="A55" s="238" t="s">
        <v>81</v>
      </c>
      <c r="B55" s="238"/>
      <c r="C55" s="238"/>
      <c r="D55" s="238"/>
      <c r="E55" s="238"/>
      <c r="F55" s="238"/>
      <c r="G55" s="238"/>
      <c r="H55" s="238"/>
      <c r="I55" s="238"/>
    </row>
    <row r="56" spans="1:9" s="85" customFormat="1" ht="7.05" customHeight="1" x14ac:dyDescent="0.3">
      <c r="A56" s="259"/>
      <c r="B56" s="259"/>
      <c r="C56" s="259"/>
      <c r="D56" s="259"/>
      <c r="E56" s="259"/>
      <c r="F56" s="259"/>
      <c r="G56" s="259"/>
      <c r="H56" s="259"/>
      <c r="I56" s="259"/>
    </row>
    <row r="57" spans="1:9" s="85" customFormat="1" ht="7.2" customHeight="1" thickBot="1" x14ac:dyDescent="0.35">
      <c r="A57" s="239"/>
      <c r="B57" s="239"/>
      <c r="C57" s="239"/>
      <c r="D57" s="239"/>
      <c r="E57" s="239"/>
      <c r="F57" s="239"/>
      <c r="G57" s="239"/>
      <c r="H57" s="239"/>
      <c r="I57" s="239"/>
    </row>
    <row r="58" spans="1:9" s="85" customFormat="1" ht="15.6" x14ac:dyDescent="0.3">
      <c r="A58" s="190" t="s">
        <v>53</v>
      </c>
      <c r="B58" s="191"/>
      <c r="C58" s="192" t="s">
        <v>90</v>
      </c>
      <c r="D58" s="192"/>
      <c r="E58" s="192"/>
      <c r="F58" s="192"/>
      <c r="G58" s="193" t="s">
        <v>47</v>
      </c>
      <c r="H58" s="240">
        <v>46000</v>
      </c>
      <c r="I58" s="195" t="s">
        <v>65</v>
      </c>
    </row>
    <row r="59" spans="1:9" s="85" customFormat="1" ht="15.6" x14ac:dyDescent="0.3">
      <c r="A59" s="196" t="s">
        <v>9</v>
      </c>
      <c r="B59" s="197"/>
      <c r="C59" s="198" t="s">
        <v>44</v>
      </c>
      <c r="D59" s="198"/>
      <c r="E59" s="198"/>
      <c r="F59" s="198"/>
      <c r="G59" s="199"/>
      <c r="H59" s="241">
        <f>46000/2</f>
        <v>23000</v>
      </c>
      <c r="I59" s="201" t="s">
        <v>67</v>
      </c>
    </row>
    <row r="60" spans="1:9" s="85" customFormat="1" x14ac:dyDescent="0.3">
      <c r="A60" s="202" t="s">
        <v>11</v>
      </c>
      <c r="B60" s="203"/>
      <c r="C60" s="203" t="s">
        <v>51</v>
      </c>
      <c r="D60" s="203"/>
      <c r="E60" s="203"/>
      <c r="F60" s="203" t="s">
        <v>52</v>
      </c>
      <c r="G60" s="203"/>
      <c r="H60" s="204" t="s">
        <v>14</v>
      </c>
      <c r="I60" s="205"/>
    </row>
    <row r="61" spans="1:9" s="85" customFormat="1" x14ac:dyDescent="0.3">
      <c r="A61" s="206">
        <f>+G71</f>
        <v>64</v>
      </c>
      <c r="B61" s="207"/>
      <c r="C61" s="242">
        <f>+H71</f>
        <v>4</v>
      </c>
      <c r="D61" s="242"/>
      <c r="E61" s="242"/>
      <c r="F61" s="209">
        <v>4600</v>
      </c>
      <c r="G61" s="209"/>
      <c r="H61" s="210">
        <f>+C61*F61</f>
        <v>18400</v>
      </c>
      <c r="I61" s="211"/>
    </row>
    <row r="62" spans="1:9" s="85" customFormat="1" x14ac:dyDescent="0.3">
      <c r="A62" s="202"/>
      <c r="B62" s="203"/>
      <c r="C62" s="203"/>
      <c r="D62" s="203"/>
      <c r="E62" s="203"/>
      <c r="F62" s="203" t="s">
        <v>68</v>
      </c>
      <c r="G62" s="203"/>
      <c r="H62" s="44" t="s">
        <v>69</v>
      </c>
      <c r="I62" s="45"/>
    </row>
    <row r="63" spans="1:9" s="85" customFormat="1" ht="15.6" x14ac:dyDescent="0.3">
      <c r="A63" s="212"/>
      <c r="B63" s="213"/>
      <c r="C63" s="214"/>
      <c r="D63" s="214"/>
      <c r="E63" s="214"/>
      <c r="F63" s="215">
        <v>6</v>
      </c>
      <c r="G63" s="215"/>
      <c r="H63" s="216">
        <f>+H61+I71</f>
        <v>294400</v>
      </c>
      <c r="I63" s="217"/>
    </row>
    <row r="64" spans="1:9" s="85" customFormat="1" ht="29.4" thickBot="1" x14ac:dyDescent="0.35">
      <c r="A64" s="129" t="s">
        <v>70</v>
      </c>
      <c r="B64" s="218" t="s">
        <v>71</v>
      </c>
      <c r="C64" s="218" t="s">
        <v>53</v>
      </c>
      <c r="D64" s="218" t="s">
        <v>72</v>
      </c>
      <c r="E64" s="218" t="s">
        <v>22</v>
      </c>
      <c r="F64" s="218" t="s">
        <v>23</v>
      </c>
      <c r="G64" s="218" t="s">
        <v>24</v>
      </c>
      <c r="H64" s="218" t="s">
        <v>25</v>
      </c>
      <c r="I64" s="243" t="s">
        <v>26</v>
      </c>
    </row>
    <row r="65" spans="1:10" s="85" customFormat="1" x14ac:dyDescent="0.3">
      <c r="A65" s="219" t="s">
        <v>82</v>
      </c>
      <c r="B65" s="220" t="s">
        <v>83</v>
      </c>
      <c r="C65" s="221" t="s">
        <v>7</v>
      </c>
      <c r="D65" s="222">
        <v>0.375</v>
      </c>
      <c r="E65" s="64">
        <v>0.375</v>
      </c>
      <c r="F65" s="64">
        <v>0.83333333333333337</v>
      </c>
      <c r="G65" s="223">
        <f t="shared" ref="G65:G70" si="3">(IF(E65&gt;F65,F65+1-E65,F65-E65))*24</f>
        <v>11</v>
      </c>
      <c r="H65" s="224">
        <f>+G65-10</f>
        <v>1</v>
      </c>
      <c r="I65" s="244">
        <v>46000</v>
      </c>
      <c r="J65" s="85">
        <f>46000+4600</f>
        <v>50600</v>
      </c>
    </row>
    <row r="66" spans="1:10" s="85" customFormat="1" x14ac:dyDescent="0.3">
      <c r="A66" s="219" t="s">
        <v>73</v>
      </c>
      <c r="B66" s="220" t="s">
        <v>74</v>
      </c>
      <c r="C66" s="228"/>
      <c r="D66" s="222">
        <v>0.375</v>
      </c>
      <c r="E66" s="64">
        <v>0.33333333333333331</v>
      </c>
      <c r="F66" s="64">
        <v>0.75</v>
      </c>
      <c r="G66" s="223">
        <f t="shared" si="3"/>
        <v>10</v>
      </c>
      <c r="H66" s="224">
        <f t="shared" ref="H66:H70" si="4">+G66-10</f>
        <v>0</v>
      </c>
      <c r="I66" s="244">
        <v>46000</v>
      </c>
    </row>
    <row r="67" spans="1:10" s="85" customFormat="1" x14ac:dyDescent="0.3">
      <c r="A67" s="226" t="s">
        <v>75</v>
      </c>
      <c r="B67" s="227" t="s">
        <v>76</v>
      </c>
      <c r="C67" s="228"/>
      <c r="D67" s="222">
        <v>0.375</v>
      </c>
      <c r="E67" s="64">
        <v>0.33333333333333331</v>
      </c>
      <c r="F67" s="64">
        <v>0.75</v>
      </c>
      <c r="G67" s="223">
        <f t="shared" si="3"/>
        <v>10</v>
      </c>
      <c r="H67" s="224">
        <f t="shared" si="4"/>
        <v>0</v>
      </c>
      <c r="I67" s="244">
        <v>46000</v>
      </c>
    </row>
    <row r="68" spans="1:10" s="85" customFormat="1" x14ac:dyDescent="0.3">
      <c r="A68" s="219" t="s">
        <v>77</v>
      </c>
      <c r="B68" s="220" t="s">
        <v>78</v>
      </c>
      <c r="C68" s="228"/>
      <c r="D68" s="222">
        <v>0.375</v>
      </c>
      <c r="E68" s="64">
        <v>0.375</v>
      </c>
      <c r="F68" s="64">
        <v>0.83333333333333337</v>
      </c>
      <c r="G68" s="223">
        <f t="shared" si="3"/>
        <v>11</v>
      </c>
      <c r="H68" s="224">
        <f t="shared" si="4"/>
        <v>1</v>
      </c>
      <c r="I68" s="244">
        <v>46000</v>
      </c>
    </row>
    <row r="69" spans="1:10" s="85" customFormat="1" x14ac:dyDescent="0.3">
      <c r="A69" s="219" t="s">
        <v>84</v>
      </c>
      <c r="B69" s="220" t="s">
        <v>85</v>
      </c>
      <c r="C69" s="228"/>
      <c r="D69" s="222">
        <v>0.375</v>
      </c>
      <c r="E69" s="64">
        <v>0.375</v>
      </c>
      <c r="F69" s="64">
        <v>0.83333333333333337</v>
      </c>
      <c r="G69" s="223">
        <f t="shared" si="3"/>
        <v>11</v>
      </c>
      <c r="H69" s="224">
        <f t="shared" si="4"/>
        <v>1</v>
      </c>
      <c r="I69" s="244">
        <v>46000</v>
      </c>
    </row>
    <row r="70" spans="1:10" s="85" customFormat="1" ht="15" thickBot="1" x14ac:dyDescent="0.35">
      <c r="A70" s="219" t="s">
        <v>88</v>
      </c>
      <c r="B70" s="220" t="s">
        <v>89</v>
      </c>
      <c r="C70" s="230"/>
      <c r="D70" s="222">
        <v>0.375</v>
      </c>
      <c r="E70" s="64">
        <v>0.375</v>
      </c>
      <c r="F70" s="64">
        <v>0.83333333333333337</v>
      </c>
      <c r="G70" s="223">
        <f t="shared" si="3"/>
        <v>11</v>
      </c>
      <c r="H70" s="224">
        <f t="shared" si="4"/>
        <v>1</v>
      </c>
      <c r="I70" s="244">
        <v>46000</v>
      </c>
    </row>
    <row r="71" spans="1:10" s="85" customFormat="1" x14ac:dyDescent="0.3">
      <c r="A71" s="245"/>
      <c r="B71" s="246"/>
      <c r="C71" s="247"/>
      <c r="D71" s="246"/>
      <c r="E71" s="248"/>
      <c r="F71" s="249" t="s">
        <v>40</v>
      </c>
      <c r="G71" s="250">
        <f>SUM(G65:G70)</f>
        <v>64</v>
      </c>
      <c r="H71" s="250">
        <f>SUM(H65:H70)</f>
        <v>4</v>
      </c>
      <c r="I71" s="251">
        <f>SUM(I65:I70)</f>
        <v>276000</v>
      </c>
    </row>
    <row r="72" spans="1:10" s="85" customFormat="1" x14ac:dyDescent="0.3">
      <c r="A72" s="259"/>
      <c r="B72" s="259"/>
      <c r="C72" s="259"/>
      <c r="D72" s="259"/>
      <c r="E72" s="259"/>
      <c r="F72" s="259"/>
      <c r="G72" s="259"/>
      <c r="H72" s="259"/>
      <c r="I72" s="259"/>
    </row>
    <row r="73" spans="1:10" ht="7.05" customHeight="1" thickBot="1" x14ac:dyDescent="0.35">
      <c r="A73" s="260"/>
      <c r="B73" s="260"/>
      <c r="C73" s="260"/>
      <c r="D73" s="260"/>
      <c r="E73" s="260"/>
      <c r="F73" s="260"/>
      <c r="G73" s="260"/>
      <c r="H73" s="260"/>
      <c r="I73" s="260"/>
    </row>
    <row r="74" spans="1:10" ht="18" customHeight="1" x14ac:dyDescent="0.3">
      <c r="A74" s="261" t="s">
        <v>93</v>
      </c>
      <c r="B74" s="261"/>
      <c r="C74" s="262" t="s">
        <v>94</v>
      </c>
      <c r="D74" s="263"/>
      <c r="E74" s="263"/>
      <c r="F74" s="264"/>
      <c r="G74" s="265" t="s">
        <v>47</v>
      </c>
      <c r="H74" s="266">
        <v>70000</v>
      </c>
      <c r="I74" s="267" t="s">
        <v>65</v>
      </c>
    </row>
    <row r="75" spans="1:10" ht="15.6" x14ac:dyDescent="0.3">
      <c r="A75" s="261" t="s">
        <v>53</v>
      </c>
      <c r="B75" s="261"/>
      <c r="C75" s="268" t="s">
        <v>95</v>
      </c>
      <c r="D75" s="269"/>
      <c r="E75" s="269"/>
      <c r="F75" s="270"/>
      <c r="G75" s="271"/>
      <c r="H75" s="272">
        <v>35000</v>
      </c>
      <c r="I75" s="273" t="s">
        <v>96</v>
      </c>
    </row>
    <row r="76" spans="1:10" ht="15.6" x14ac:dyDescent="0.3">
      <c r="A76" s="261" t="s">
        <v>97</v>
      </c>
      <c r="B76" s="261"/>
      <c r="C76" s="268" t="s">
        <v>45</v>
      </c>
      <c r="D76" s="269"/>
      <c r="E76" s="269"/>
      <c r="F76" s="270"/>
      <c r="G76" s="274"/>
      <c r="H76" s="272">
        <v>7500</v>
      </c>
      <c r="I76" s="273" t="s">
        <v>68</v>
      </c>
    </row>
    <row r="77" spans="1:10" ht="14.4" customHeight="1" x14ac:dyDescent="0.3">
      <c r="A77" s="30" t="s">
        <v>11</v>
      </c>
      <c r="B77" s="34"/>
      <c r="C77" s="30" t="s">
        <v>51</v>
      </c>
      <c r="D77" s="31"/>
      <c r="E77" s="34"/>
      <c r="F77" s="30" t="s">
        <v>52</v>
      </c>
      <c r="G77" s="31"/>
      <c r="H77" s="275" t="s">
        <v>14</v>
      </c>
      <c r="I77" s="276"/>
    </row>
    <row r="78" spans="1:10" x14ac:dyDescent="0.3">
      <c r="A78" s="277">
        <f>+G89</f>
        <v>0</v>
      </c>
      <c r="B78" s="125"/>
      <c r="C78" s="124">
        <f>+H89</f>
        <v>1</v>
      </c>
      <c r="D78" s="278"/>
      <c r="E78" s="125"/>
      <c r="F78" s="279">
        <v>7000</v>
      </c>
      <c r="G78" s="280"/>
      <c r="H78" s="210">
        <f>+C78*F78</f>
        <v>7000</v>
      </c>
      <c r="I78" s="211"/>
    </row>
    <row r="79" spans="1:10" x14ac:dyDescent="0.3">
      <c r="A79" s="115"/>
      <c r="B79" s="117"/>
      <c r="C79" s="115"/>
      <c r="D79" s="116"/>
      <c r="E79" s="117"/>
      <c r="F79" s="115"/>
      <c r="G79" s="118"/>
      <c r="H79" s="44" t="s">
        <v>69</v>
      </c>
      <c r="I79" s="45"/>
    </row>
    <row r="80" spans="1:10" ht="16.2" thickBot="1" x14ac:dyDescent="0.35">
      <c r="A80" s="281"/>
      <c r="B80" s="282"/>
      <c r="C80" s="283"/>
      <c r="D80" s="284"/>
      <c r="E80" s="282"/>
      <c r="F80" s="285"/>
      <c r="G80" s="286"/>
      <c r="H80" s="216">
        <f>+I89+H78</f>
        <v>252000</v>
      </c>
      <c r="I80" s="217"/>
    </row>
    <row r="81" spans="1:9" ht="28.8" x14ac:dyDescent="0.3">
      <c r="A81" s="287" t="s">
        <v>70</v>
      </c>
      <c r="B81" s="288" t="s">
        <v>98</v>
      </c>
      <c r="C81" s="288" t="s">
        <v>54</v>
      </c>
      <c r="D81" s="288"/>
      <c r="E81" s="288" t="s">
        <v>22</v>
      </c>
      <c r="F81" s="288" t="s">
        <v>23</v>
      </c>
      <c r="G81" s="288" t="s">
        <v>24</v>
      </c>
      <c r="H81" s="289" t="s">
        <v>25</v>
      </c>
      <c r="I81" s="59" t="s">
        <v>26</v>
      </c>
    </row>
    <row r="82" spans="1:9" x14ac:dyDescent="0.3">
      <c r="A82" s="290" t="s">
        <v>99</v>
      </c>
      <c r="B82" s="291" t="s">
        <v>100</v>
      </c>
      <c r="C82" s="292">
        <v>46212</v>
      </c>
      <c r="D82" s="293"/>
      <c r="E82" s="294"/>
      <c r="F82" s="294"/>
      <c r="G82" s="65">
        <f t="shared" ref="G82:G88" si="5">(IF(E82&gt;F82,F82+1-E82,F82-E82))*24</f>
        <v>0</v>
      </c>
      <c r="H82" s="295"/>
      <c r="I82" s="296">
        <v>0</v>
      </c>
    </row>
    <row r="83" spans="1:9" x14ac:dyDescent="0.3">
      <c r="A83" s="297" t="s">
        <v>101</v>
      </c>
      <c r="B83" s="298" t="s">
        <v>102</v>
      </c>
      <c r="C83" s="292">
        <v>46213</v>
      </c>
      <c r="D83" s="299">
        <v>0.58333333333333337</v>
      </c>
      <c r="E83" s="64">
        <v>0.625</v>
      </c>
      <c r="F83" s="64">
        <v>0.875</v>
      </c>
      <c r="G83" s="65">
        <f t="shared" si="5"/>
        <v>6</v>
      </c>
      <c r="H83" s="224">
        <v>0</v>
      </c>
      <c r="I83" s="225">
        <v>35000</v>
      </c>
    </row>
    <row r="84" spans="1:9" x14ac:dyDescent="0.3">
      <c r="A84" s="300" t="s">
        <v>99</v>
      </c>
      <c r="B84" s="291" t="s">
        <v>103</v>
      </c>
      <c r="C84" s="292">
        <v>46214</v>
      </c>
      <c r="D84" s="293"/>
      <c r="E84" s="294"/>
      <c r="F84" s="294"/>
      <c r="G84" s="65">
        <f t="shared" si="5"/>
        <v>0</v>
      </c>
      <c r="H84" s="295"/>
      <c r="I84" s="296">
        <v>0</v>
      </c>
    </row>
    <row r="85" spans="1:9" x14ac:dyDescent="0.3">
      <c r="A85" s="301"/>
      <c r="B85" s="291" t="s">
        <v>104</v>
      </c>
      <c r="C85" s="292">
        <v>46215</v>
      </c>
      <c r="D85" s="293"/>
      <c r="E85" s="294"/>
      <c r="F85" s="294"/>
      <c r="G85" s="65">
        <f t="shared" si="5"/>
        <v>0</v>
      </c>
      <c r="H85" s="295"/>
      <c r="I85" s="296">
        <v>0</v>
      </c>
    </row>
    <row r="86" spans="1:9" x14ac:dyDescent="0.3">
      <c r="A86" s="302" t="s">
        <v>7</v>
      </c>
      <c r="B86" s="298" t="s">
        <v>55</v>
      </c>
      <c r="C86" s="292">
        <v>46216</v>
      </c>
      <c r="D86" s="299">
        <v>0.375</v>
      </c>
      <c r="E86" s="64">
        <v>0.375</v>
      </c>
      <c r="F86" s="64">
        <v>0.79166666666666663</v>
      </c>
      <c r="G86" s="65">
        <f t="shared" si="5"/>
        <v>10</v>
      </c>
      <c r="H86" s="224">
        <v>0</v>
      </c>
      <c r="I86" s="225">
        <v>70000</v>
      </c>
    </row>
    <row r="87" spans="1:9" x14ac:dyDescent="0.3">
      <c r="A87" s="303"/>
      <c r="B87" s="298" t="s">
        <v>56</v>
      </c>
      <c r="C87" s="292">
        <v>46217</v>
      </c>
      <c r="D87" s="299">
        <v>0.375</v>
      </c>
      <c r="E87" s="64">
        <v>0.375</v>
      </c>
      <c r="F87" s="64">
        <v>0.79166666666666663</v>
      </c>
      <c r="G87" s="65">
        <f t="shared" si="5"/>
        <v>10</v>
      </c>
      <c r="H87" s="224">
        <v>0</v>
      </c>
      <c r="I87" s="225">
        <v>70000</v>
      </c>
    </row>
    <row r="88" spans="1:9" x14ac:dyDescent="0.3">
      <c r="A88" s="304" t="s">
        <v>43</v>
      </c>
      <c r="B88" s="298" t="s">
        <v>105</v>
      </c>
      <c r="C88" s="292">
        <v>46218</v>
      </c>
      <c r="D88" s="299">
        <v>0.375</v>
      </c>
      <c r="E88" s="64">
        <v>0.375</v>
      </c>
      <c r="F88" s="64">
        <v>0.83333333333333337</v>
      </c>
      <c r="G88" s="65">
        <f t="shared" si="5"/>
        <v>11</v>
      </c>
      <c r="H88" s="224">
        <f>+G88-10</f>
        <v>1</v>
      </c>
      <c r="I88" s="225">
        <v>70000</v>
      </c>
    </row>
    <row r="89" spans="1:9" ht="15" thickBot="1" x14ac:dyDescent="0.35">
      <c r="A89" s="305"/>
      <c r="B89" s="306"/>
      <c r="C89" s="306"/>
      <c r="D89" s="306"/>
      <c r="E89" s="307"/>
      <c r="F89" s="308" t="s">
        <v>40</v>
      </c>
      <c r="G89" s="309">
        <f>SUM(G82:G82)</f>
        <v>0</v>
      </c>
      <c r="H89" s="310">
        <f>SUM(H82:H88)</f>
        <v>1</v>
      </c>
      <c r="I89" s="311">
        <f>SUM(I82:I88)</f>
        <v>245000</v>
      </c>
    </row>
    <row r="90" spans="1:9" ht="15" thickBot="1" x14ac:dyDescent="0.35">
      <c r="A90" s="312"/>
      <c r="B90" s="312"/>
      <c r="C90" s="312"/>
      <c r="D90" s="312"/>
      <c r="E90" s="312"/>
      <c r="F90" s="151"/>
      <c r="G90" s="152"/>
      <c r="H90" s="152"/>
      <c r="I90" s="153"/>
    </row>
    <row r="91" spans="1:9" ht="22.2" customHeight="1" thickBot="1" x14ac:dyDescent="0.35">
      <c r="A91" s="313" t="s">
        <v>106</v>
      </c>
      <c r="B91" s="314"/>
      <c r="C91" s="314"/>
      <c r="D91" s="315"/>
      <c r="E91" s="316">
        <f>+H80</f>
        <v>252000</v>
      </c>
      <c r="F91" s="317"/>
      <c r="G91" s="318"/>
      <c r="H91" s="318"/>
      <c r="I91" s="153"/>
    </row>
    <row r="92" spans="1:9" ht="19.2" customHeight="1" thickBot="1" x14ac:dyDescent="0.35">
      <c r="A92" s="319" t="s">
        <v>107</v>
      </c>
      <c r="B92" s="320"/>
      <c r="C92" s="320"/>
      <c r="D92" s="321"/>
      <c r="E92" s="322">
        <f>+H63+H44+H25+H10</f>
        <v>1122400</v>
      </c>
      <c r="F92" s="323"/>
      <c r="G92" s="318"/>
      <c r="H92" s="318"/>
      <c r="I92" s="153"/>
    </row>
    <row r="93" spans="1:9" ht="22.2" customHeight="1" thickBot="1" x14ac:dyDescent="0.35">
      <c r="A93" s="313" t="s">
        <v>108</v>
      </c>
      <c r="B93" s="314"/>
      <c r="C93" s="315"/>
      <c r="D93" s="324">
        <f>+F63+F44+F25+F10</f>
        <v>26</v>
      </c>
      <c r="E93" s="325">
        <f>+D93*7500</f>
        <v>195000</v>
      </c>
      <c r="F93" s="326"/>
      <c r="G93" s="327"/>
    </row>
    <row r="94" spans="1:9" ht="15" thickBot="1" x14ac:dyDescent="0.35">
      <c r="A94" s="328"/>
      <c r="B94" s="329"/>
      <c r="C94" s="329"/>
      <c r="D94" s="329"/>
      <c r="E94" s="330"/>
      <c r="F94" s="330"/>
      <c r="G94" s="327"/>
    </row>
    <row r="95" spans="1:9" ht="26.4" customHeight="1" thickBot="1" x14ac:dyDescent="0.35">
      <c r="A95" s="331" t="s">
        <v>62</v>
      </c>
      <c r="B95" s="332"/>
      <c r="C95" s="332"/>
      <c r="D95" s="332"/>
      <c r="E95" s="333">
        <f>+E91+E92+E93</f>
        <v>1569400</v>
      </c>
      <c r="F95" s="334"/>
      <c r="G95" s="85"/>
      <c r="H95" s="85"/>
      <c r="I95" s="85"/>
    </row>
    <row r="96" spans="1:9" ht="10.199999999999999" customHeight="1" x14ac:dyDescent="0.3">
      <c r="G96" s="335"/>
      <c r="H96" s="335"/>
      <c r="I96" s="335"/>
    </row>
    <row r="97" spans="1:6" ht="20.399999999999999" customHeight="1" x14ac:dyDescent="0.3">
      <c r="A97" s="336" t="s">
        <v>109</v>
      </c>
      <c r="B97" s="337" t="s">
        <v>47</v>
      </c>
      <c r="C97" s="337"/>
    </row>
    <row r="98" spans="1:6" ht="15.6" x14ac:dyDescent="0.3">
      <c r="A98" s="219" t="s">
        <v>82</v>
      </c>
      <c r="B98" s="338">
        <f>+I27+I46+J65</f>
        <v>142600</v>
      </c>
      <c r="C98" s="338"/>
    </row>
    <row r="99" spans="1:6" ht="15.6" x14ac:dyDescent="0.3">
      <c r="A99" s="219" t="s">
        <v>73</v>
      </c>
      <c r="B99" s="338">
        <f>+I12+I28+I47+I66</f>
        <v>161000</v>
      </c>
      <c r="C99" s="338"/>
    </row>
    <row r="100" spans="1:6" ht="15.6" x14ac:dyDescent="0.3">
      <c r="A100" s="226" t="s">
        <v>75</v>
      </c>
      <c r="B100" s="338">
        <f>+I13+I29+I48+I67</f>
        <v>161000</v>
      </c>
      <c r="C100" s="338"/>
    </row>
    <row r="101" spans="1:6" ht="15.6" x14ac:dyDescent="0.3">
      <c r="A101" s="219" t="s">
        <v>77</v>
      </c>
      <c r="B101" s="338">
        <f>+I14+I30+I49+J65</f>
        <v>165600</v>
      </c>
      <c r="C101" s="338"/>
    </row>
    <row r="102" spans="1:6" ht="15.6" x14ac:dyDescent="0.3">
      <c r="A102" s="219" t="s">
        <v>84</v>
      </c>
      <c r="B102" s="338">
        <f>+I31+I50+J65</f>
        <v>142600</v>
      </c>
      <c r="C102" s="338"/>
    </row>
    <row r="103" spans="1:6" ht="15.6" x14ac:dyDescent="0.3">
      <c r="A103" s="219" t="s">
        <v>86</v>
      </c>
      <c r="B103" s="338">
        <f>+I33+I51+J65</f>
        <v>142600</v>
      </c>
      <c r="C103" s="338"/>
    </row>
    <row r="104" spans="1:6" ht="15.6" x14ac:dyDescent="0.3">
      <c r="A104" s="219" t="s">
        <v>88</v>
      </c>
      <c r="B104" s="338">
        <f>+I34+I52</f>
        <v>92000</v>
      </c>
      <c r="C104" s="338"/>
    </row>
    <row r="105" spans="1:6" ht="15.6" x14ac:dyDescent="0.3">
      <c r="A105" s="219" t="s">
        <v>91</v>
      </c>
      <c r="B105" s="338">
        <f>+I53</f>
        <v>46000</v>
      </c>
      <c r="C105" s="338"/>
    </row>
    <row r="106" spans="1:6" ht="16.2" thickBot="1" x14ac:dyDescent="0.35">
      <c r="A106" s="219" t="s">
        <v>79</v>
      </c>
      <c r="B106" s="338">
        <f>+I15+I32</f>
        <v>69000</v>
      </c>
      <c r="C106" s="338"/>
    </row>
    <row r="107" spans="1:6" ht="22.8" customHeight="1" thickBot="1" x14ac:dyDescent="0.35">
      <c r="A107" s="339" t="s">
        <v>62</v>
      </c>
      <c r="B107" s="340">
        <f>SUM(B98:B106)</f>
        <v>1122400</v>
      </c>
      <c r="C107" s="341"/>
      <c r="E107" s="342"/>
      <c r="F107" s="93"/>
    </row>
  </sheetData>
  <mergeCells count="143">
    <mergeCell ref="B104:C104"/>
    <mergeCell ref="B105:C105"/>
    <mergeCell ref="B106:C106"/>
    <mergeCell ref="B107:C107"/>
    <mergeCell ref="B98:C98"/>
    <mergeCell ref="B99:C99"/>
    <mergeCell ref="B100:C100"/>
    <mergeCell ref="B101:C101"/>
    <mergeCell ref="B102:C102"/>
    <mergeCell ref="B103:C103"/>
    <mergeCell ref="A93:C93"/>
    <mergeCell ref="E93:F93"/>
    <mergeCell ref="A94:F94"/>
    <mergeCell ref="A95:D95"/>
    <mergeCell ref="E95:F95"/>
    <mergeCell ref="B97:C97"/>
    <mergeCell ref="A84:A85"/>
    <mergeCell ref="A86:A87"/>
    <mergeCell ref="A89:E89"/>
    <mergeCell ref="A91:D91"/>
    <mergeCell ref="E91:F91"/>
    <mergeCell ref="A92:D92"/>
    <mergeCell ref="E92:F92"/>
    <mergeCell ref="A79:B79"/>
    <mergeCell ref="C79:E79"/>
    <mergeCell ref="F79:G79"/>
    <mergeCell ref="H79:I79"/>
    <mergeCell ref="A80:B80"/>
    <mergeCell ref="C80:E80"/>
    <mergeCell ref="F80:G80"/>
    <mergeCell ref="H80:I80"/>
    <mergeCell ref="A77:B77"/>
    <mergeCell ref="C77:E77"/>
    <mergeCell ref="F77:G77"/>
    <mergeCell ref="H77:I77"/>
    <mergeCell ref="A78:B78"/>
    <mergeCell ref="C78:E78"/>
    <mergeCell ref="F78:G78"/>
    <mergeCell ref="H78:I78"/>
    <mergeCell ref="C65:C70"/>
    <mergeCell ref="A71:E71"/>
    <mergeCell ref="A74:B74"/>
    <mergeCell ref="C74:F74"/>
    <mergeCell ref="G74:G76"/>
    <mergeCell ref="A75:B75"/>
    <mergeCell ref="C75:F75"/>
    <mergeCell ref="A76:B76"/>
    <mergeCell ref="C76:F76"/>
    <mergeCell ref="A62:B62"/>
    <mergeCell ref="C62:E62"/>
    <mergeCell ref="F62:G62"/>
    <mergeCell ref="H62:I62"/>
    <mergeCell ref="A63:B63"/>
    <mergeCell ref="C63:E63"/>
    <mergeCell ref="F63:G63"/>
    <mergeCell ref="H63:I63"/>
    <mergeCell ref="A60:B60"/>
    <mergeCell ref="C60:E60"/>
    <mergeCell ref="F60:G60"/>
    <mergeCell ref="H60:I60"/>
    <mergeCell ref="A61:B61"/>
    <mergeCell ref="C61:E61"/>
    <mergeCell ref="F61:G61"/>
    <mergeCell ref="H61:I61"/>
    <mergeCell ref="C46:C53"/>
    <mergeCell ref="A54:E54"/>
    <mergeCell ref="A55:I55"/>
    <mergeCell ref="A58:B58"/>
    <mergeCell ref="C58:F58"/>
    <mergeCell ref="G58:G59"/>
    <mergeCell ref="A59:B59"/>
    <mergeCell ref="C59:F59"/>
    <mergeCell ref="A43:B43"/>
    <mergeCell ref="C43:E43"/>
    <mergeCell ref="F43:G43"/>
    <mergeCell ref="H43:I43"/>
    <mergeCell ref="A44:B44"/>
    <mergeCell ref="C44:E44"/>
    <mergeCell ref="F44:G44"/>
    <mergeCell ref="H44:I44"/>
    <mergeCell ref="A41:B41"/>
    <mergeCell ref="C41:E41"/>
    <mergeCell ref="F41:G41"/>
    <mergeCell ref="H41:I41"/>
    <mergeCell ref="A42:B42"/>
    <mergeCell ref="C42:E42"/>
    <mergeCell ref="F42:G42"/>
    <mergeCell ref="H42:I42"/>
    <mergeCell ref="C27:C34"/>
    <mergeCell ref="A35:E35"/>
    <mergeCell ref="A36:I36"/>
    <mergeCell ref="A39:B39"/>
    <mergeCell ref="C39:F39"/>
    <mergeCell ref="G39:G40"/>
    <mergeCell ref="A40:B40"/>
    <mergeCell ref="C40:F40"/>
    <mergeCell ref="A24:B24"/>
    <mergeCell ref="C24:E24"/>
    <mergeCell ref="F24:G24"/>
    <mergeCell ref="H24:I24"/>
    <mergeCell ref="A25:B25"/>
    <mergeCell ref="C25:E25"/>
    <mergeCell ref="F25:G25"/>
    <mergeCell ref="H25:I25"/>
    <mergeCell ref="A22:B22"/>
    <mergeCell ref="C22:E22"/>
    <mergeCell ref="F22:G22"/>
    <mergeCell ref="H22:I22"/>
    <mergeCell ref="A23:B23"/>
    <mergeCell ref="C23:E23"/>
    <mergeCell ref="F23:G23"/>
    <mergeCell ref="H23:I23"/>
    <mergeCell ref="C12:C15"/>
    <mergeCell ref="A16:E16"/>
    <mergeCell ref="A17:I17"/>
    <mergeCell ref="A20:B20"/>
    <mergeCell ref="C20:F20"/>
    <mergeCell ref="G20:G21"/>
    <mergeCell ref="A21:B21"/>
    <mergeCell ref="C21:F21"/>
    <mergeCell ref="A9:B9"/>
    <mergeCell ref="C9:E9"/>
    <mergeCell ref="F9:G9"/>
    <mergeCell ref="H9:I9"/>
    <mergeCell ref="A10:B10"/>
    <mergeCell ref="C10:E10"/>
    <mergeCell ref="F10:G10"/>
    <mergeCell ref="H10:I10"/>
    <mergeCell ref="A7:B7"/>
    <mergeCell ref="C7:E7"/>
    <mergeCell ref="F7:G7"/>
    <mergeCell ref="H7:I7"/>
    <mergeCell ref="A8:B8"/>
    <mergeCell ref="C8:E8"/>
    <mergeCell ref="F8:G8"/>
    <mergeCell ref="H8:I8"/>
    <mergeCell ref="A4:F4"/>
    <mergeCell ref="G4:H4"/>
    <mergeCell ref="A5:B5"/>
    <mergeCell ref="C5:F5"/>
    <mergeCell ref="G5:G6"/>
    <mergeCell ref="A6:B6"/>
    <mergeCell ref="C6:F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topLeftCell="A50" workbookViewId="0">
      <selection activeCell="I71" sqref="I71"/>
    </sheetView>
  </sheetViews>
  <sheetFormatPr baseColWidth="10" defaultRowHeight="14.4" x14ac:dyDescent="0.3"/>
  <cols>
    <col min="1" max="1" width="20.33203125" style="92" customWidth="1"/>
    <col min="2" max="2" width="9.5546875" style="92" customWidth="1"/>
    <col min="3" max="3" width="13.44140625" customWidth="1"/>
    <col min="4" max="4" width="12.6640625" customWidth="1"/>
    <col min="5" max="5" width="13.88671875" customWidth="1"/>
    <col min="6" max="6" width="13.5546875" customWidth="1"/>
    <col min="7" max="7" width="12.5546875" customWidth="1"/>
    <col min="8" max="8" width="13" customWidth="1"/>
    <col min="9" max="9" width="14.6640625" style="93" customWidth="1"/>
  </cols>
  <sheetData>
    <row r="1" spans="1:9" ht="15" hidden="1" thickBot="1" x14ac:dyDescent="0.35">
      <c r="A1" s="1"/>
      <c r="B1" s="1"/>
      <c r="C1" s="2"/>
      <c r="D1" s="2"/>
      <c r="E1" s="2"/>
      <c r="F1" s="2"/>
      <c r="G1" s="2"/>
      <c r="H1" s="2"/>
      <c r="I1" s="3"/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ht="33.6" customHeight="1" thickBot="1" x14ac:dyDescent="0.35">
      <c r="A3" s="7"/>
      <c r="B3" s="8"/>
      <c r="C3" s="8"/>
      <c r="D3" s="8"/>
      <c r="E3" s="8"/>
      <c r="F3" s="8"/>
      <c r="G3" s="8"/>
      <c r="H3" s="8"/>
      <c r="I3" s="9"/>
    </row>
    <row r="4" spans="1:9" ht="24" customHeight="1" x14ac:dyDescent="0.35">
      <c r="A4" s="10" t="s">
        <v>0</v>
      </c>
      <c r="B4" s="11"/>
      <c r="C4" s="11"/>
      <c r="D4" s="11"/>
      <c r="E4" s="11"/>
      <c r="F4" s="12"/>
      <c r="G4" s="13" t="s">
        <v>1</v>
      </c>
      <c r="H4" s="14"/>
      <c r="I4" s="15">
        <v>2026</v>
      </c>
    </row>
    <row r="5" spans="1:9" ht="17.399999999999999" customHeight="1" x14ac:dyDescent="0.3">
      <c r="A5" s="16" t="s">
        <v>2</v>
      </c>
      <c r="B5" s="17"/>
      <c r="C5" s="18" t="s">
        <v>3</v>
      </c>
      <c r="D5" s="19"/>
      <c r="E5" s="19"/>
      <c r="F5" s="20"/>
      <c r="G5" s="21" t="s">
        <v>4</v>
      </c>
      <c r="H5" s="22">
        <v>75000</v>
      </c>
      <c r="I5" s="21" t="s">
        <v>5</v>
      </c>
    </row>
    <row r="6" spans="1:9" ht="17.399999999999999" customHeight="1" x14ac:dyDescent="0.3">
      <c r="A6" s="23" t="s">
        <v>6</v>
      </c>
      <c r="B6" s="17"/>
      <c r="C6" s="23" t="s">
        <v>7</v>
      </c>
      <c r="D6" s="24"/>
      <c r="E6" s="24"/>
      <c r="F6" s="17"/>
      <c r="G6" s="25" t="s">
        <v>8</v>
      </c>
      <c r="H6" s="25">
        <v>60000</v>
      </c>
      <c r="I6" s="21" t="s">
        <v>5</v>
      </c>
    </row>
    <row r="7" spans="1:9" ht="19.8" customHeight="1" x14ac:dyDescent="0.3">
      <c r="A7" s="23" t="s">
        <v>9</v>
      </c>
      <c r="B7" s="17"/>
      <c r="C7" s="26" t="s">
        <v>10</v>
      </c>
      <c r="D7" s="27"/>
      <c r="E7" s="27"/>
      <c r="F7" s="28"/>
      <c r="G7" s="22"/>
      <c r="H7" s="29"/>
      <c r="I7" s="21"/>
    </row>
    <row r="8" spans="1:9" x14ac:dyDescent="0.3">
      <c r="A8" s="30" t="s">
        <v>11</v>
      </c>
      <c r="B8" s="31"/>
      <c r="C8" s="32"/>
      <c r="D8" s="33" t="s">
        <v>12</v>
      </c>
      <c r="E8" s="32"/>
      <c r="F8" s="33" t="s">
        <v>13</v>
      </c>
      <c r="G8" s="32"/>
      <c r="H8" s="33" t="s">
        <v>14</v>
      </c>
      <c r="I8" s="34"/>
    </row>
    <row r="9" spans="1:9" x14ac:dyDescent="0.3">
      <c r="A9" s="35">
        <f>+G17</f>
        <v>38</v>
      </c>
      <c r="B9" s="36"/>
      <c r="C9" s="37"/>
      <c r="D9" s="38">
        <f>+H17-D11</f>
        <v>0</v>
      </c>
      <c r="E9" s="39"/>
      <c r="F9" s="40">
        <v>7500</v>
      </c>
      <c r="G9" s="41"/>
      <c r="H9" s="42">
        <f>+(D9*F9)+(D11*F11)</f>
        <v>0</v>
      </c>
      <c r="I9" s="43"/>
    </row>
    <row r="10" spans="1:9" x14ac:dyDescent="0.3">
      <c r="A10" s="30"/>
      <c r="B10" s="31"/>
      <c r="C10" s="32"/>
      <c r="D10" s="33" t="s">
        <v>15</v>
      </c>
      <c r="E10" s="32"/>
      <c r="F10" s="33" t="s">
        <v>16</v>
      </c>
      <c r="G10" s="32"/>
      <c r="H10" s="44" t="s">
        <v>17</v>
      </c>
      <c r="I10" s="45"/>
    </row>
    <row r="11" spans="1:9" ht="19.2" customHeight="1" x14ac:dyDescent="0.3">
      <c r="A11" s="46"/>
      <c r="B11" s="47"/>
      <c r="C11" s="48"/>
      <c r="D11" s="49">
        <f>+H16</f>
        <v>0</v>
      </c>
      <c r="E11" s="50"/>
      <c r="F11" s="51">
        <v>6000</v>
      </c>
      <c r="G11" s="52"/>
      <c r="H11" s="53">
        <f>+I17+H9</f>
        <v>270000</v>
      </c>
      <c r="I11" s="54"/>
    </row>
    <row r="12" spans="1:9" ht="28.8" x14ac:dyDescent="0.3">
      <c r="A12" s="55" t="s">
        <v>18</v>
      </c>
      <c r="B12" s="56" t="s">
        <v>19</v>
      </c>
      <c r="C12" s="57" t="s">
        <v>20</v>
      </c>
      <c r="D12" s="57" t="s">
        <v>21</v>
      </c>
      <c r="E12" s="57" t="s">
        <v>22</v>
      </c>
      <c r="F12" s="57" t="s">
        <v>23</v>
      </c>
      <c r="G12" s="57" t="s">
        <v>24</v>
      </c>
      <c r="H12" s="58" t="s">
        <v>25</v>
      </c>
      <c r="I12" s="59" t="s">
        <v>26</v>
      </c>
    </row>
    <row r="13" spans="1:9" ht="15" customHeight="1" x14ac:dyDescent="0.3">
      <c r="A13" s="60" t="s">
        <v>27</v>
      </c>
      <c r="B13" s="61" t="s">
        <v>28</v>
      </c>
      <c r="C13" s="62" t="s">
        <v>29</v>
      </c>
      <c r="D13" s="63" t="s">
        <v>30</v>
      </c>
      <c r="E13" s="64">
        <v>0.375</v>
      </c>
      <c r="F13" s="64">
        <v>0.77083333333333337</v>
      </c>
      <c r="G13" s="65">
        <f t="shared" ref="G13:G16" si="0">(IF(E13&gt;F13,F13+1-E13,F13-E13))*24</f>
        <v>9.5</v>
      </c>
      <c r="H13" s="66"/>
      <c r="I13" s="67">
        <v>75000</v>
      </c>
    </row>
    <row r="14" spans="1:9" ht="15" customHeight="1" x14ac:dyDescent="0.3">
      <c r="A14" s="60" t="s">
        <v>31</v>
      </c>
      <c r="B14" s="61" t="s">
        <v>32</v>
      </c>
      <c r="C14" s="62" t="s">
        <v>33</v>
      </c>
      <c r="D14" s="63"/>
      <c r="E14" s="64">
        <v>0.375</v>
      </c>
      <c r="F14" s="64">
        <v>0.77083333333333337</v>
      </c>
      <c r="G14" s="65">
        <f t="shared" si="0"/>
        <v>9.5</v>
      </c>
      <c r="H14" s="66"/>
      <c r="I14" s="67">
        <v>75000</v>
      </c>
    </row>
    <row r="15" spans="1:9" ht="15" customHeight="1" x14ac:dyDescent="0.3">
      <c r="A15" s="68" t="s">
        <v>34</v>
      </c>
      <c r="B15" s="69" t="s">
        <v>35</v>
      </c>
      <c r="C15" s="70" t="s">
        <v>36</v>
      </c>
      <c r="D15" s="63"/>
      <c r="E15" s="64">
        <v>0.375</v>
      </c>
      <c r="F15" s="64">
        <v>0.77083333333333337</v>
      </c>
      <c r="G15" s="65">
        <f t="shared" si="0"/>
        <v>9.5</v>
      </c>
      <c r="H15" s="66"/>
      <c r="I15" s="71">
        <v>60000</v>
      </c>
    </row>
    <row r="16" spans="1:9" ht="15" customHeight="1" thickBot="1" x14ac:dyDescent="0.35">
      <c r="A16" s="68" t="s">
        <v>37</v>
      </c>
      <c r="B16" s="69" t="s">
        <v>38</v>
      </c>
      <c r="C16" s="70" t="s">
        <v>39</v>
      </c>
      <c r="D16" s="63"/>
      <c r="E16" s="64">
        <v>0.375</v>
      </c>
      <c r="F16" s="64">
        <v>0.77083333333333337</v>
      </c>
      <c r="G16" s="65">
        <f t="shared" si="0"/>
        <v>9.5</v>
      </c>
      <c r="H16" s="66"/>
      <c r="I16" s="71">
        <v>60000</v>
      </c>
    </row>
    <row r="17" spans="1:9" ht="15" customHeight="1" thickBot="1" x14ac:dyDescent="0.35">
      <c r="A17" s="72"/>
      <c r="B17" s="72"/>
      <c r="C17" s="73"/>
      <c r="D17" s="74"/>
      <c r="E17" s="75"/>
      <c r="F17" s="76" t="s">
        <v>40</v>
      </c>
      <c r="G17" s="77">
        <f>SUM(G13:G16)</f>
        <v>38</v>
      </c>
      <c r="H17" s="77">
        <f>SUM(H13:H16)</f>
        <v>0</v>
      </c>
      <c r="I17" s="78">
        <f>SUM(I13:I16)</f>
        <v>270000</v>
      </c>
    </row>
    <row r="18" spans="1:9" ht="15" customHeight="1" thickBot="1" x14ac:dyDescent="0.35">
      <c r="A18" s="79"/>
      <c r="B18" s="79"/>
      <c r="C18" s="79"/>
      <c r="D18" s="79"/>
      <c r="E18" s="79"/>
      <c r="F18" s="80">
        <v>1</v>
      </c>
      <c r="G18" s="81" t="s">
        <v>41</v>
      </c>
      <c r="H18" s="81"/>
      <c r="I18" s="82">
        <v>90000</v>
      </c>
    </row>
    <row r="19" spans="1:9" x14ac:dyDescent="0.3">
      <c r="A19" s="83"/>
      <c r="B19" s="83"/>
      <c r="C19" s="84"/>
      <c r="D19" s="84"/>
      <c r="E19" s="84"/>
      <c r="F19" s="84"/>
      <c r="G19" s="84"/>
      <c r="H19" s="84"/>
      <c r="I19" s="85"/>
    </row>
    <row r="20" spans="1:9" ht="6.6" customHeight="1" x14ac:dyDescent="0.3">
      <c r="A20" s="86"/>
      <c r="B20" s="86"/>
      <c r="C20" s="86"/>
      <c r="D20" s="86"/>
      <c r="E20" s="86"/>
      <c r="F20" s="87"/>
      <c r="G20" s="88"/>
      <c r="H20" s="88"/>
      <c r="I20" s="89"/>
    </row>
    <row r="21" spans="1:9" s="84" customFormat="1" ht="14.4" customHeight="1" x14ac:dyDescent="0.3">
      <c r="A21" s="16" t="s">
        <v>2</v>
      </c>
      <c r="B21" s="17"/>
      <c r="C21" s="18" t="s">
        <v>3</v>
      </c>
      <c r="D21" s="19"/>
      <c r="E21" s="19"/>
      <c r="F21" s="20"/>
      <c r="G21" s="21" t="s">
        <v>4</v>
      </c>
      <c r="H21" s="22">
        <v>75000</v>
      </c>
      <c r="I21" s="21" t="s">
        <v>5</v>
      </c>
    </row>
    <row r="22" spans="1:9" s="84" customFormat="1" x14ac:dyDescent="0.3">
      <c r="A22" s="23" t="s">
        <v>6</v>
      </c>
      <c r="B22" s="17"/>
      <c r="C22" s="23" t="s">
        <v>7</v>
      </c>
      <c r="D22" s="24"/>
      <c r="E22" s="24"/>
      <c r="F22" s="17"/>
      <c r="G22" s="25" t="s">
        <v>8</v>
      </c>
      <c r="H22" s="25">
        <v>60000</v>
      </c>
      <c r="I22" s="21" t="s">
        <v>5</v>
      </c>
    </row>
    <row r="23" spans="1:9" s="84" customFormat="1" ht="19.2" customHeight="1" x14ac:dyDescent="0.3">
      <c r="A23" s="23" t="s">
        <v>9</v>
      </c>
      <c r="B23" s="17"/>
      <c r="C23" s="26" t="s">
        <v>42</v>
      </c>
      <c r="D23" s="27"/>
      <c r="E23" s="27"/>
      <c r="F23" s="28"/>
      <c r="G23" s="22"/>
      <c r="H23" s="29"/>
      <c r="I23" s="21"/>
    </row>
    <row r="24" spans="1:9" s="84" customFormat="1" x14ac:dyDescent="0.3">
      <c r="A24" s="30" t="s">
        <v>11</v>
      </c>
      <c r="B24" s="31"/>
      <c r="C24" s="32"/>
      <c r="D24" s="33" t="s">
        <v>12</v>
      </c>
      <c r="E24" s="32"/>
      <c r="F24" s="33" t="s">
        <v>13</v>
      </c>
      <c r="G24" s="32"/>
      <c r="H24" s="33" t="s">
        <v>14</v>
      </c>
      <c r="I24" s="34"/>
    </row>
    <row r="25" spans="1:9" s="84" customFormat="1" x14ac:dyDescent="0.3">
      <c r="A25" s="35">
        <f>+G33</f>
        <v>36</v>
      </c>
      <c r="B25" s="36"/>
      <c r="C25" s="37"/>
      <c r="D25" s="38">
        <f>+H33-D27</f>
        <v>0</v>
      </c>
      <c r="E25" s="39"/>
      <c r="F25" s="40">
        <v>7500</v>
      </c>
      <c r="G25" s="41"/>
      <c r="H25" s="42">
        <f>+(D25*F25)+(D27*F27)</f>
        <v>0</v>
      </c>
      <c r="I25" s="43"/>
    </row>
    <row r="26" spans="1:9" s="84" customFormat="1" x14ac:dyDescent="0.3">
      <c r="A26" s="30"/>
      <c r="B26" s="31"/>
      <c r="C26" s="32"/>
      <c r="D26" s="33" t="s">
        <v>15</v>
      </c>
      <c r="E26" s="32"/>
      <c r="F26" s="33" t="s">
        <v>16</v>
      </c>
      <c r="G26" s="32"/>
      <c r="H26" s="44" t="s">
        <v>17</v>
      </c>
      <c r="I26" s="45"/>
    </row>
    <row r="27" spans="1:9" s="84" customFormat="1" ht="20.399999999999999" customHeight="1" x14ac:dyDescent="0.3">
      <c r="A27" s="46"/>
      <c r="B27" s="47"/>
      <c r="C27" s="48"/>
      <c r="D27" s="49">
        <f>+H32</f>
        <v>0</v>
      </c>
      <c r="E27" s="50"/>
      <c r="F27" s="51">
        <v>6000</v>
      </c>
      <c r="G27" s="52"/>
      <c r="H27" s="53">
        <f>+I33+H25</f>
        <v>270000</v>
      </c>
      <c r="I27" s="54"/>
    </row>
    <row r="28" spans="1:9" s="84" customFormat="1" ht="28.8" x14ac:dyDescent="0.3">
      <c r="A28" s="55" t="s">
        <v>18</v>
      </c>
      <c r="B28" s="56" t="s">
        <v>19</v>
      </c>
      <c r="C28" s="57" t="s">
        <v>20</v>
      </c>
      <c r="D28" s="57" t="s">
        <v>21</v>
      </c>
      <c r="E28" s="57" t="s">
        <v>22</v>
      </c>
      <c r="F28" s="57" t="s">
        <v>23</v>
      </c>
      <c r="G28" s="57" t="s">
        <v>24</v>
      </c>
      <c r="H28" s="58" t="s">
        <v>25</v>
      </c>
      <c r="I28" s="59" t="s">
        <v>26</v>
      </c>
    </row>
    <row r="29" spans="1:9" s="84" customFormat="1" ht="15" customHeight="1" x14ac:dyDescent="0.3">
      <c r="A29" s="60" t="s">
        <v>27</v>
      </c>
      <c r="B29" s="61" t="s">
        <v>28</v>
      </c>
      <c r="C29" s="62" t="s">
        <v>29</v>
      </c>
      <c r="D29" s="63" t="s">
        <v>30</v>
      </c>
      <c r="E29" s="64">
        <v>0.375</v>
      </c>
      <c r="F29" s="64">
        <v>0.75</v>
      </c>
      <c r="G29" s="65">
        <f t="shared" ref="G29:G32" si="1">(IF(E29&gt;F29,F29+1-E29,F29-E29))*24</f>
        <v>9</v>
      </c>
      <c r="H29" s="66"/>
      <c r="I29" s="67">
        <v>75000</v>
      </c>
    </row>
    <row r="30" spans="1:9" s="84" customFormat="1" ht="15" customHeight="1" x14ac:dyDescent="0.3">
      <c r="A30" s="60" t="s">
        <v>31</v>
      </c>
      <c r="B30" s="61" t="s">
        <v>32</v>
      </c>
      <c r="C30" s="62" t="s">
        <v>33</v>
      </c>
      <c r="D30" s="63"/>
      <c r="E30" s="64">
        <v>0.375</v>
      </c>
      <c r="F30" s="64">
        <v>0.75</v>
      </c>
      <c r="G30" s="65">
        <f t="shared" si="1"/>
        <v>9</v>
      </c>
      <c r="H30" s="66"/>
      <c r="I30" s="67">
        <v>75000</v>
      </c>
    </row>
    <row r="31" spans="1:9" s="84" customFormat="1" ht="15" customHeight="1" x14ac:dyDescent="0.3">
      <c r="A31" s="68" t="s">
        <v>34</v>
      </c>
      <c r="B31" s="69" t="s">
        <v>35</v>
      </c>
      <c r="C31" s="70" t="s">
        <v>36</v>
      </c>
      <c r="D31" s="63"/>
      <c r="E31" s="64">
        <v>0.375</v>
      </c>
      <c r="F31" s="64">
        <v>0.75</v>
      </c>
      <c r="G31" s="65">
        <f t="shared" si="1"/>
        <v>9</v>
      </c>
      <c r="H31" s="66"/>
      <c r="I31" s="71">
        <v>60000</v>
      </c>
    </row>
    <row r="32" spans="1:9" s="84" customFormat="1" ht="15" customHeight="1" thickBot="1" x14ac:dyDescent="0.35">
      <c r="A32" s="68" t="s">
        <v>37</v>
      </c>
      <c r="B32" s="69" t="s">
        <v>38</v>
      </c>
      <c r="C32" s="70" t="s">
        <v>39</v>
      </c>
      <c r="D32" s="63"/>
      <c r="E32" s="64">
        <v>0.375</v>
      </c>
      <c r="F32" s="64">
        <v>0.75</v>
      </c>
      <c r="G32" s="65">
        <f t="shared" si="1"/>
        <v>9</v>
      </c>
      <c r="H32" s="66"/>
      <c r="I32" s="71">
        <v>60000</v>
      </c>
    </row>
    <row r="33" spans="1:10" s="84" customFormat="1" ht="15" thickBot="1" x14ac:dyDescent="0.35">
      <c r="A33" s="72"/>
      <c r="B33" s="72"/>
      <c r="C33" s="73"/>
      <c r="D33" s="74"/>
      <c r="E33" s="75"/>
      <c r="F33" s="76" t="s">
        <v>40</v>
      </c>
      <c r="G33" s="77">
        <f>SUM(G29:G32)</f>
        <v>36</v>
      </c>
      <c r="H33" s="77">
        <f>SUM(H29:H32)</f>
        <v>0</v>
      </c>
      <c r="I33" s="78">
        <f>SUM(I29:I32)</f>
        <v>270000</v>
      </c>
    </row>
    <row r="34" spans="1:10" s="84" customFormat="1" ht="14.4" customHeight="1" thickBot="1" x14ac:dyDescent="0.35">
      <c r="A34" s="79"/>
      <c r="B34" s="79"/>
      <c r="C34" s="79"/>
      <c r="D34" s="79"/>
      <c r="E34" s="79"/>
      <c r="F34" s="80">
        <v>1</v>
      </c>
      <c r="G34" s="81" t="s">
        <v>41</v>
      </c>
      <c r="H34" s="81"/>
      <c r="I34" s="82">
        <v>90000</v>
      </c>
    </row>
    <row r="35" spans="1:10" s="84" customFormat="1" ht="9" customHeight="1" x14ac:dyDescent="0.3">
      <c r="A35" s="90"/>
      <c r="B35" s="90"/>
      <c r="C35" s="90"/>
      <c r="D35" s="90"/>
      <c r="E35" s="91"/>
      <c r="F35" s="91"/>
      <c r="G35" s="85"/>
      <c r="H35" s="85"/>
      <c r="I35" s="85"/>
    </row>
    <row r="36" spans="1:10" ht="13.8" customHeight="1" x14ac:dyDescent="0.3"/>
    <row r="37" spans="1:10" ht="7.05" customHeight="1" x14ac:dyDescent="0.3">
      <c r="A37" s="86"/>
      <c r="B37" s="86"/>
      <c r="C37" s="86"/>
      <c r="D37" s="86"/>
      <c r="E37" s="86"/>
      <c r="F37" s="87"/>
      <c r="G37" s="88"/>
      <c r="H37" s="88"/>
      <c r="I37" s="89"/>
    </row>
    <row r="38" spans="1:10" ht="15.6" x14ac:dyDescent="0.3">
      <c r="A38" s="16" t="s">
        <v>2</v>
      </c>
      <c r="B38" s="17"/>
      <c r="C38" s="18" t="s">
        <v>3</v>
      </c>
      <c r="D38" s="19"/>
      <c r="E38" s="19"/>
      <c r="F38" s="20"/>
      <c r="G38" s="21" t="s">
        <v>4</v>
      </c>
      <c r="H38" s="22">
        <v>75000</v>
      </c>
      <c r="I38" s="21" t="s">
        <v>5</v>
      </c>
      <c r="J38" s="84"/>
    </row>
    <row r="39" spans="1:10" x14ac:dyDescent="0.3">
      <c r="A39" s="23" t="s">
        <v>6</v>
      </c>
      <c r="B39" s="17"/>
      <c r="C39" s="23" t="s">
        <v>43</v>
      </c>
      <c r="D39" s="24"/>
      <c r="E39" s="24"/>
      <c r="F39" s="17"/>
      <c r="G39" s="25" t="s">
        <v>8</v>
      </c>
      <c r="H39" s="25">
        <v>60000</v>
      </c>
      <c r="I39" s="21" t="s">
        <v>5</v>
      </c>
      <c r="J39" s="84"/>
    </row>
    <row r="40" spans="1:10" x14ac:dyDescent="0.3">
      <c r="A40" s="23" t="s">
        <v>9</v>
      </c>
      <c r="B40" s="17"/>
      <c r="C40" s="26" t="s">
        <v>44</v>
      </c>
      <c r="D40" s="27"/>
      <c r="E40" s="27"/>
      <c r="F40" s="28"/>
      <c r="G40" s="22"/>
      <c r="H40" s="29"/>
      <c r="I40" s="21"/>
      <c r="J40" s="84"/>
    </row>
    <row r="41" spans="1:10" x14ac:dyDescent="0.3">
      <c r="A41" s="30" t="s">
        <v>11</v>
      </c>
      <c r="B41" s="31"/>
      <c r="C41" s="32"/>
      <c r="D41" s="33" t="s">
        <v>12</v>
      </c>
      <c r="E41" s="32"/>
      <c r="F41" s="33" t="s">
        <v>13</v>
      </c>
      <c r="G41" s="32"/>
      <c r="H41" s="33" t="s">
        <v>14</v>
      </c>
      <c r="I41" s="34"/>
      <c r="J41" s="84"/>
    </row>
    <row r="42" spans="1:10" x14ac:dyDescent="0.3">
      <c r="A42" s="35">
        <f>+G50</f>
        <v>36</v>
      </c>
      <c r="B42" s="36"/>
      <c r="C42" s="37"/>
      <c r="D42" s="38">
        <f>+H50-D44</f>
        <v>0</v>
      </c>
      <c r="E42" s="39"/>
      <c r="F42" s="40">
        <v>7500</v>
      </c>
      <c r="G42" s="41"/>
      <c r="H42" s="42">
        <f>+(D42*F42)+(D44*F44)</f>
        <v>0</v>
      </c>
      <c r="I42" s="43"/>
      <c r="J42" s="84"/>
    </row>
    <row r="43" spans="1:10" ht="21.6" customHeight="1" x14ac:dyDescent="0.3">
      <c r="A43" s="30"/>
      <c r="B43" s="31"/>
      <c r="C43" s="32"/>
      <c r="D43" s="33" t="s">
        <v>15</v>
      </c>
      <c r="E43" s="32"/>
      <c r="F43" s="33" t="s">
        <v>16</v>
      </c>
      <c r="G43" s="32"/>
      <c r="H43" s="44" t="s">
        <v>17</v>
      </c>
      <c r="I43" s="45"/>
      <c r="J43" s="84"/>
    </row>
    <row r="44" spans="1:10" ht="15.6" x14ac:dyDescent="0.3">
      <c r="A44" s="46"/>
      <c r="B44" s="47"/>
      <c r="C44" s="48"/>
      <c r="D44" s="49">
        <f>+H49</f>
        <v>0</v>
      </c>
      <c r="E44" s="50"/>
      <c r="F44" s="51">
        <v>6000</v>
      </c>
      <c r="G44" s="52"/>
      <c r="H44" s="53">
        <f>+I50+H42</f>
        <v>270000</v>
      </c>
      <c r="I44" s="54"/>
      <c r="J44" s="84"/>
    </row>
    <row r="45" spans="1:10" ht="30" customHeight="1" x14ac:dyDescent="0.3">
      <c r="A45" s="55" t="s">
        <v>18</v>
      </c>
      <c r="B45" s="56" t="s">
        <v>19</v>
      </c>
      <c r="C45" s="57" t="s">
        <v>20</v>
      </c>
      <c r="D45" s="57" t="s">
        <v>21</v>
      </c>
      <c r="E45" s="57" t="s">
        <v>22</v>
      </c>
      <c r="F45" s="57" t="s">
        <v>23</v>
      </c>
      <c r="G45" s="57" t="s">
        <v>24</v>
      </c>
      <c r="H45" s="58" t="s">
        <v>25</v>
      </c>
      <c r="I45" s="59" t="s">
        <v>26</v>
      </c>
      <c r="J45" s="84"/>
    </row>
    <row r="46" spans="1:10" ht="15" customHeight="1" x14ac:dyDescent="0.3">
      <c r="A46" s="60" t="s">
        <v>27</v>
      </c>
      <c r="B46" s="61" t="s">
        <v>28</v>
      </c>
      <c r="C46" s="62" t="s">
        <v>29</v>
      </c>
      <c r="D46" s="63" t="s">
        <v>30</v>
      </c>
      <c r="E46" s="64">
        <v>0.375</v>
      </c>
      <c r="F46" s="64">
        <v>0.75</v>
      </c>
      <c r="G46" s="65">
        <f t="shared" ref="G46:G49" si="2">(IF(E46&gt;F46,F46+1-E46,F46-E46))*24</f>
        <v>9</v>
      </c>
      <c r="H46" s="66"/>
      <c r="I46" s="67">
        <v>75000</v>
      </c>
      <c r="J46" s="84"/>
    </row>
    <row r="47" spans="1:10" ht="15" customHeight="1" x14ac:dyDescent="0.3">
      <c r="A47" s="60" t="s">
        <v>31</v>
      </c>
      <c r="B47" s="61" t="s">
        <v>32</v>
      </c>
      <c r="C47" s="62" t="s">
        <v>33</v>
      </c>
      <c r="D47" s="63"/>
      <c r="E47" s="64">
        <v>0.375</v>
      </c>
      <c r="F47" s="64">
        <v>0.75</v>
      </c>
      <c r="G47" s="65">
        <f t="shared" si="2"/>
        <v>9</v>
      </c>
      <c r="H47" s="66"/>
      <c r="I47" s="67">
        <v>75000</v>
      </c>
      <c r="J47" s="84"/>
    </row>
    <row r="48" spans="1:10" ht="15" customHeight="1" x14ac:dyDescent="0.3">
      <c r="A48" s="68" t="s">
        <v>34</v>
      </c>
      <c r="B48" s="69" t="s">
        <v>35</v>
      </c>
      <c r="C48" s="70" t="s">
        <v>36</v>
      </c>
      <c r="D48" s="63"/>
      <c r="E48" s="64">
        <v>0.375</v>
      </c>
      <c r="F48" s="64">
        <v>0.75</v>
      </c>
      <c r="G48" s="65">
        <f t="shared" si="2"/>
        <v>9</v>
      </c>
      <c r="H48" s="66"/>
      <c r="I48" s="71">
        <v>60000</v>
      </c>
      <c r="J48" s="84"/>
    </row>
    <row r="49" spans="1:10" ht="15" customHeight="1" thickBot="1" x14ac:dyDescent="0.35">
      <c r="A49" s="68" t="s">
        <v>37</v>
      </c>
      <c r="B49" s="69" t="s">
        <v>38</v>
      </c>
      <c r="C49" s="70" t="s">
        <v>39</v>
      </c>
      <c r="D49" s="63"/>
      <c r="E49" s="64">
        <v>0.375</v>
      </c>
      <c r="F49" s="64">
        <v>0.75</v>
      </c>
      <c r="G49" s="65">
        <f t="shared" si="2"/>
        <v>9</v>
      </c>
      <c r="H49" s="66"/>
      <c r="I49" s="71">
        <v>60000</v>
      </c>
      <c r="J49" s="84"/>
    </row>
    <row r="50" spans="1:10" ht="15" customHeight="1" thickBot="1" x14ac:dyDescent="0.35">
      <c r="A50" s="72"/>
      <c r="B50" s="72"/>
      <c r="C50" s="73"/>
      <c r="D50" s="74"/>
      <c r="E50" s="75"/>
      <c r="F50" s="76" t="s">
        <v>40</v>
      </c>
      <c r="G50" s="77">
        <f>SUM(G46:G49)</f>
        <v>36</v>
      </c>
      <c r="H50" s="77">
        <f>SUM(H46:H49)</f>
        <v>0</v>
      </c>
      <c r="I50" s="78">
        <f>SUM(I46:I49)</f>
        <v>270000</v>
      </c>
      <c r="J50" s="84"/>
    </row>
    <row r="51" spans="1:10" ht="15" customHeight="1" thickBot="1" x14ac:dyDescent="0.35">
      <c r="A51" s="79"/>
      <c r="B51" s="79"/>
      <c r="C51" s="79"/>
      <c r="D51" s="79"/>
      <c r="E51" s="79"/>
      <c r="F51" s="80">
        <v>1</v>
      </c>
      <c r="G51" s="81" t="s">
        <v>41</v>
      </c>
      <c r="H51" s="81"/>
      <c r="I51" s="82">
        <v>90000</v>
      </c>
      <c r="J51" s="84"/>
    </row>
    <row r="53" spans="1:10" ht="7.05" customHeight="1" x14ac:dyDescent="0.3">
      <c r="A53" s="86"/>
      <c r="B53" s="86"/>
      <c r="C53" s="86"/>
      <c r="D53" s="86"/>
      <c r="E53" s="86"/>
      <c r="F53" s="87"/>
      <c r="G53" s="88"/>
      <c r="H53" s="88"/>
      <c r="I53" s="89"/>
    </row>
    <row r="54" spans="1:10" ht="15.6" x14ac:dyDescent="0.3">
      <c r="A54" s="94" t="s">
        <v>45</v>
      </c>
      <c r="B54" s="95"/>
      <c r="C54" s="96" t="s">
        <v>46</v>
      </c>
      <c r="D54" s="96"/>
      <c r="E54" s="96"/>
      <c r="F54" s="96"/>
      <c r="G54" s="97" t="s">
        <v>47</v>
      </c>
      <c r="H54" s="98">
        <v>100000</v>
      </c>
      <c r="I54" s="99" t="s">
        <v>5</v>
      </c>
    </row>
    <row r="55" spans="1:10" x14ac:dyDescent="0.3">
      <c r="A55" s="100" t="s">
        <v>48</v>
      </c>
      <c r="B55" s="100"/>
      <c r="C55" s="101" t="s">
        <v>49</v>
      </c>
      <c r="D55" s="101"/>
      <c r="E55" s="101"/>
      <c r="F55" s="95"/>
      <c r="G55" s="102"/>
      <c r="H55" s="103">
        <v>50000</v>
      </c>
      <c r="I55" s="99" t="s">
        <v>50</v>
      </c>
    </row>
    <row r="56" spans="1:10" x14ac:dyDescent="0.3">
      <c r="A56" s="104" t="s">
        <v>11</v>
      </c>
      <c r="B56" s="105"/>
      <c r="C56" s="106"/>
      <c r="D56" s="107" t="s">
        <v>51</v>
      </c>
      <c r="E56" s="105"/>
      <c r="F56" s="106" t="s">
        <v>52</v>
      </c>
      <c r="G56" s="106"/>
      <c r="H56" s="108" t="s">
        <v>14</v>
      </c>
      <c r="I56" s="109"/>
    </row>
    <row r="57" spans="1:10" x14ac:dyDescent="0.3">
      <c r="A57" s="110">
        <f>+G64</f>
        <v>27.5</v>
      </c>
      <c r="B57" s="37"/>
      <c r="C57" s="111"/>
      <c r="D57" s="38">
        <f>+H64</f>
        <v>0</v>
      </c>
      <c r="E57" s="39"/>
      <c r="F57" s="112">
        <v>10000</v>
      </c>
      <c r="G57" s="112"/>
      <c r="H57" s="113">
        <f>+D57*F57+D59*F59</f>
        <v>0</v>
      </c>
      <c r="I57" s="114"/>
    </row>
    <row r="58" spans="1:10" x14ac:dyDescent="0.3">
      <c r="A58" s="115"/>
      <c r="B58" s="116"/>
      <c r="C58" s="117"/>
      <c r="D58" s="118"/>
      <c r="E58" s="116"/>
      <c r="F58" s="117"/>
      <c r="G58" s="117"/>
      <c r="H58" s="119" t="s">
        <v>17</v>
      </c>
      <c r="I58" s="120"/>
    </row>
    <row r="59" spans="1:10" ht="21.6" customHeight="1" x14ac:dyDescent="0.3">
      <c r="A59" s="121"/>
      <c r="B59" s="122"/>
      <c r="C59" s="123"/>
      <c r="D59" s="124"/>
      <c r="E59" s="125"/>
      <c r="F59" s="126"/>
      <c r="G59" s="126"/>
      <c r="H59" s="127">
        <f>+H57+I64+F59</f>
        <v>300000</v>
      </c>
      <c r="I59" s="128"/>
    </row>
    <row r="60" spans="1:10" ht="29.4" thickBot="1" x14ac:dyDescent="0.35">
      <c r="A60" s="129" t="s">
        <v>53</v>
      </c>
      <c r="B60" s="130" t="s">
        <v>9</v>
      </c>
      <c r="C60" s="131"/>
      <c r="D60" s="57" t="s">
        <v>54</v>
      </c>
      <c r="E60" s="57" t="s">
        <v>22</v>
      </c>
      <c r="F60" s="57" t="s">
        <v>23</v>
      </c>
      <c r="G60" s="57" t="s">
        <v>24</v>
      </c>
      <c r="H60" s="58" t="s">
        <v>25</v>
      </c>
      <c r="I60" s="59" t="s">
        <v>26</v>
      </c>
    </row>
    <row r="61" spans="1:10" ht="20.399999999999999" customHeight="1" x14ac:dyDescent="0.3">
      <c r="A61" s="132" t="s">
        <v>7</v>
      </c>
      <c r="B61" s="133" t="s">
        <v>55</v>
      </c>
      <c r="C61" s="134"/>
      <c r="D61" s="135">
        <v>46223</v>
      </c>
      <c r="E61" s="64">
        <v>0.375</v>
      </c>
      <c r="F61" s="64">
        <v>0.77083333333333337</v>
      </c>
      <c r="G61" s="136">
        <f t="shared" ref="G61:G63" si="3">(IF(E61&gt;F61,F61+1-E61,F61-E61))*24</f>
        <v>9.5</v>
      </c>
      <c r="H61" s="137"/>
      <c r="I61" s="138">
        <v>100000</v>
      </c>
    </row>
    <row r="62" spans="1:10" ht="20.399999999999999" customHeight="1" thickBot="1" x14ac:dyDescent="0.35">
      <c r="A62" s="139"/>
      <c r="B62" s="140" t="s">
        <v>56</v>
      </c>
      <c r="C62" s="141"/>
      <c r="D62" s="135">
        <v>46224</v>
      </c>
      <c r="E62" s="64">
        <v>0.375</v>
      </c>
      <c r="F62" s="64">
        <v>0.75</v>
      </c>
      <c r="G62" s="136">
        <f t="shared" si="3"/>
        <v>9</v>
      </c>
      <c r="H62" s="137"/>
      <c r="I62" s="138">
        <v>100000</v>
      </c>
    </row>
    <row r="63" spans="1:10" ht="19.8" customHeight="1" thickBot="1" x14ac:dyDescent="0.35">
      <c r="A63" s="142" t="s">
        <v>43</v>
      </c>
      <c r="B63" s="133" t="s">
        <v>57</v>
      </c>
      <c r="C63" s="134"/>
      <c r="D63" s="135">
        <v>46225</v>
      </c>
      <c r="E63" s="64">
        <v>0.375</v>
      </c>
      <c r="F63" s="64">
        <v>0.75</v>
      </c>
      <c r="G63" s="136">
        <f t="shared" si="3"/>
        <v>9</v>
      </c>
      <c r="H63" s="137"/>
      <c r="I63" s="138">
        <v>100000</v>
      </c>
    </row>
    <row r="64" spans="1:10" ht="16.8" customHeight="1" x14ac:dyDescent="0.3">
      <c r="A64" s="143"/>
      <c r="B64" s="144"/>
      <c r="C64" s="144"/>
      <c r="D64" s="144"/>
      <c r="E64" s="145"/>
      <c r="F64" s="146" t="s">
        <v>58</v>
      </c>
      <c r="G64" s="147">
        <f>SUM(G61:G63)</f>
        <v>27.5</v>
      </c>
      <c r="H64" s="148">
        <f>SUM(H61:H63)</f>
        <v>0</v>
      </c>
      <c r="I64" s="149">
        <f>SUM(I61:I63)</f>
        <v>300000</v>
      </c>
    </row>
    <row r="65" spans="1:9" ht="15" thickBot="1" x14ac:dyDescent="0.35">
      <c r="A65" s="150"/>
      <c r="B65" s="150"/>
      <c r="C65" s="150"/>
      <c r="D65" s="150"/>
      <c r="E65" s="150"/>
      <c r="F65" s="151"/>
      <c r="G65" s="152"/>
      <c r="H65" s="152"/>
      <c r="I65" s="153"/>
    </row>
    <row r="66" spans="1:9" ht="24.6" customHeight="1" thickBot="1" x14ac:dyDescent="0.35">
      <c r="A66" s="154" t="s">
        <v>59</v>
      </c>
      <c r="B66" s="155"/>
      <c r="C66" s="155"/>
      <c r="D66" s="156"/>
      <c r="E66" s="157">
        <f>+H59</f>
        <v>300000</v>
      </c>
      <c r="F66" s="158"/>
    </row>
    <row r="67" spans="1:9" ht="8.4" customHeight="1" thickBot="1" x14ac:dyDescent="0.35">
      <c r="A67" s="159"/>
      <c r="B67" s="159"/>
      <c r="C67" s="159"/>
      <c r="D67" s="159"/>
      <c r="E67" s="160"/>
      <c r="F67" s="160"/>
      <c r="G67" s="93"/>
      <c r="H67" s="93"/>
    </row>
    <row r="68" spans="1:9" ht="27" customHeight="1" thickBot="1" x14ac:dyDescent="0.35">
      <c r="A68" s="161" t="s">
        <v>60</v>
      </c>
      <c r="B68" s="162"/>
      <c r="C68" s="162"/>
      <c r="D68" s="163"/>
      <c r="E68" s="164">
        <f>+H11+H27+H44</f>
        <v>810000</v>
      </c>
      <c r="F68" s="165"/>
      <c r="G68" s="93"/>
      <c r="H68" s="93"/>
    </row>
    <row r="69" spans="1:9" ht="9.6" customHeight="1" thickBot="1" x14ac:dyDescent="0.35">
      <c r="A69" s="166"/>
      <c r="B69" s="166"/>
      <c r="C69" s="166"/>
      <c r="D69" s="166"/>
      <c r="E69" s="167"/>
      <c r="F69" s="167"/>
      <c r="G69" s="93"/>
      <c r="H69" s="93"/>
    </row>
    <row r="70" spans="1:9" ht="22.2" customHeight="1" thickBot="1" x14ac:dyDescent="0.35">
      <c r="A70" s="168" t="s">
        <v>61</v>
      </c>
      <c r="B70" s="169"/>
      <c r="C70" s="169"/>
      <c r="D70" s="170">
        <f>+F51+F34+F18</f>
        <v>3</v>
      </c>
      <c r="E70" s="171">
        <f>+D70*90000</f>
        <v>270000</v>
      </c>
      <c r="F70" s="172"/>
      <c r="G70" s="84"/>
      <c r="H70" s="84"/>
      <c r="I70" s="85"/>
    </row>
    <row r="71" spans="1:9" ht="15" thickBot="1" x14ac:dyDescent="0.35">
      <c r="A71" s="173"/>
      <c r="B71" s="166"/>
      <c r="C71" s="166"/>
      <c r="D71" s="166"/>
      <c r="E71" s="166"/>
      <c r="F71" s="166"/>
      <c r="G71" s="84"/>
      <c r="H71" s="84"/>
      <c r="I71" s="85"/>
    </row>
    <row r="72" spans="1:9" ht="26.4" customHeight="1" thickBot="1" x14ac:dyDescent="0.35">
      <c r="A72" s="174" t="s">
        <v>62</v>
      </c>
      <c r="B72" s="175"/>
      <c r="C72" s="175"/>
      <c r="D72" s="176"/>
      <c r="E72" s="177">
        <f>+E66+E68+E70</f>
        <v>1380000</v>
      </c>
      <c r="F72" s="178"/>
      <c r="G72" s="179"/>
      <c r="H72" s="179"/>
      <c r="I72" s="179"/>
    </row>
  </sheetData>
  <mergeCells count="112">
    <mergeCell ref="A69:D69"/>
    <mergeCell ref="A70:C70"/>
    <mergeCell ref="E70:F70"/>
    <mergeCell ref="A71:F71"/>
    <mergeCell ref="A72:D72"/>
    <mergeCell ref="E72:F72"/>
    <mergeCell ref="B63:C63"/>
    <mergeCell ref="A64:E64"/>
    <mergeCell ref="A66:D66"/>
    <mergeCell ref="E66:F66"/>
    <mergeCell ref="A68:D68"/>
    <mergeCell ref="E68:F68"/>
    <mergeCell ref="A59:C59"/>
    <mergeCell ref="D59:E59"/>
    <mergeCell ref="F59:G59"/>
    <mergeCell ref="H59:I59"/>
    <mergeCell ref="B60:C60"/>
    <mergeCell ref="A61:A62"/>
    <mergeCell ref="B61:C61"/>
    <mergeCell ref="B62:C62"/>
    <mergeCell ref="H56:I56"/>
    <mergeCell ref="A57:C57"/>
    <mergeCell ref="D57:E57"/>
    <mergeCell ref="F57:G57"/>
    <mergeCell ref="H57:I57"/>
    <mergeCell ref="A58:C58"/>
    <mergeCell ref="D58:E58"/>
    <mergeCell ref="F58:G58"/>
    <mergeCell ref="H58:I58"/>
    <mergeCell ref="A54:B54"/>
    <mergeCell ref="C54:F54"/>
    <mergeCell ref="G54:G55"/>
    <mergeCell ref="A55:B55"/>
    <mergeCell ref="C55:F55"/>
    <mergeCell ref="A56:C56"/>
    <mergeCell ref="D56:E56"/>
    <mergeCell ref="F56:G56"/>
    <mergeCell ref="A44:C44"/>
    <mergeCell ref="D44:E44"/>
    <mergeCell ref="F44:G44"/>
    <mergeCell ref="H44:I44"/>
    <mergeCell ref="D46:D49"/>
    <mergeCell ref="G51:H51"/>
    <mergeCell ref="A42:C42"/>
    <mergeCell ref="D42:E42"/>
    <mergeCell ref="F42:G42"/>
    <mergeCell ref="H42:I42"/>
    <mergeCell ref="A43:C43"/>
    <mergeCell ref="D43:E43"/>
    <mergeCell ref="F43:G43"/>
    <mergeCell ref="H43:I43"/>
    <mergeCell ref="A40:B40"/>
    <mergeCell ref="C40:F40"/>
    <mergeCell ref="A41:C41"/>
    <mergeCell ref="D41:E41"/>
    <mergeCell ref="F41:G41"/>
    <mergeCell ref="H41:I41"/>
    <mergeCell ref="D29:D32"/>
    <mergeCell ref="G34:H34"/>
    <mergeCell ref="A38:B38"/>
    <mergeCell ref="C38:F38"/>
    <mergeCell ref="A39:B39"/>
    <mergeCell ref="C39:F39"/>
    <mergeCell ref="A26:C26"/>
    <mergeCell ref="D26:E26"/>
    <mergeCell ref="F26:G26"/>
    <mergeCell ref="H26:I26"/>
    <mergeCell ref="A27:C27"/>
    <mergeCell ref="D27:E27"/>
    <mergeCell ref="F27:G27"/>
    <mergeCell ref="H27:I27"/>
    <mergeCell ref="A24:C24"/>
    <mergeCell ref="D24:E24"/>
    <mergeCell ref="F24:G24"/>
    <mergeCell ref="H24:I24"/>
    <mergeCell ref="A25:C25"/>
    <mergeCell ref="D25:E25"/>
    <mergeCell ref="F25:G25"/>
    <mergeCell ref="H25:I25"/>
    <mergeCell ref="A21:B21"/>
    <mergeCell ref="C21:F21"/>
    <mergeCell ref="A22:B22"/>
    <mergeCell ref="C22:F22"/>
    <mergeCell ref="A23:B23"/>
    <mergeCell ref="C23:F23"/>
    <mergeCell ref="A11:C11"/>
    <mergeCell ref="D11:E11"/>
    <mergeCell ref="F11:G11"/>
    <mergeCell ref="H11:I11"/>
    <mergeCell ref="D13:D16"/>
    <mergeCell ref="G18:H18"/>
    <mergeCell ref="A9:C9"/>
    <mergeCell ref="D9:E9"/>
    <mergeCell ref="F9:G9"/>
    <mergeCell ref="H9:I9"/>
    <mergeCell ref="A10:C10"/>
    <mergeCell ref="D10:E10"/>
    <mergeCell ref="F10:G10"/>
    <mergeCell ref="H10:I10"/>
    <mergeCell ref="A7:B7"/>
    <mergeCell ref="C7:F7"/>
    <mergeCell ref="A8:C8"/>
    <mergeCell ref="D8:E8"/>
    <mergeCell ref="F8:G8"/>
    <mergeCell ref="H8:I8"/>
    <mergeCell ref="A2:I3"/>
    <mergeCell ref="A4:F4"/>
    <mergeCell ref="G4:H4"/>
    <mergeCell ref="A5:B5"/>
    <mergeCell ref="C5:F5"/>
    <mergeCell ref="A6:B6"/>
    <mergeCell ref="C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FOFIS.2026</vt:lpstr>
      <vt:lpstr>NESTORAS.2026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 HP</dc:creator>
  <cp:lastModifiedBy>Notebook HP</cp:lastModifiedBy>
  <dcterms:created xsi:type="dcterms:W3CDTF">2026-07-28T16:19:49Z</dcterms:created>
  <dcterms:modified xsi:type="dcterms:W3CDTF">2026-07-28T16:24:39Z</dcterms:modified>
</cp:coreProperties>
</file>