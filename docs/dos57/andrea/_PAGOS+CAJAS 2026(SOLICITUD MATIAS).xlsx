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IO.26" sheetId="1" r:id="rId5"/>
    <sheet state="visible" name="JUNIO.26" sheetId="2" r:id="rId6"/>
    <sheet state="visible" name="MAYO.26" sheetId="3" r:id="rId7"/>
    <sheet state="visible" name="ABRIL.26" sheetId="4" r:id="rId8"/>
    <sheet state="visible" name="MARZO.26" sheetId="5" r:id="rId9"/>
    <sheet state="visible" name="FEBRERO.26" sheetId="6" r:id="rId10"/>
    <sheet state="visible" name="ENERO.26" sheetId="7" r:id="rId11"/>
  </sheets>
  <definedNames/>
  <calcPr/>
</workbook>
</file>

<file path=xl/sharedStrings.xml><?xml version="1.0" encoding="utf-8"?>
<sst xmlns="http://schemas.openxmlformats.org/spreadsheetml/2006/main" count="864" uniqueCount="527">
  <si>
    <t xml:space="preserve">RESUMEN DE PAGOS  SEMANAL- DOS57 SRL </t>
  </si>
  <si>
    <t>MAYO ( sem. 4  AL 10 ) 2026</t>
  </si>
  <si>
    <t>JUNIO ( sem.  01 AL 07) 2026</t>
  </si>
  <si>
    <t>DETALLE</t>
  </si>
  <si>
    <t>IMPORTE</t>
  </si>
  <si>
    <t xml:space="preserve">OBSERVACION </t>
  </si>
  <si>
    <t>GRUPO FAUSTERAS -6 PAX-(Sem. 30 al 06/05)</t>
  </si>
  <si>
    <t>MARZO-ABRIL (30-3  AL 05-04) 2026</t>
  </si>
  <si>
    <t>GRUPO-DOS57- JORNALEROS 5- PAX- (Sem.30 al 6/05)</t>
  </si>
  <si>
    <t>GRUPO FAUSTERAS -7-PAX-(Sem. 28 /05 al 03/06)</t>
  </si>
  <si>
    <t>GRUPO FAUSTERAS -5 PAX-(Sem. 26 al 01/04)</t>
  </si>
  <si>
    <t>(BENJA/LISANDRO/PABLO/BICHITO)</t>
  </si>
  <si>
    <t>JUNIO-JULIO  ( Sem.29 AL 05) 2026</t>
  </si>
  <si>
    <t>GRUPO FAUSTERAS -6/4-PAX-(Sem.25/06 al 01/07)</t>
  </si>
  <si>
    <t>RODRI/LEONEL/JUAN/LAUT/MARCOS</t>
  </si>
  <si>
    <t>GRUPO-DOS57- JORNALEROS 4- PAX- (Sem.26 al 01/04)</t>
  </si>
  <si>
    <t>BENJA/LISANDRO/PABLO/BICHITO</t>
  </si>
  <si>
    <t>GRUPO-DOS57- FREE-1 PAX-(Sem.26 al 01/04)</t>
  </si>
  <si>
    <t>GRUPO-DOS57- FREE-1 PAX-(Sem.30 al 06/05)</t>
  </si>
  <si>
    <t>PATRICIO</t>
  </si>
  <si>
    <t>EQUIPO FOFI 11-PAX (Sem. 26 AL 01/04)</t>
  </si>
  <si>
    <t>EQUIPO FOFI -10-7-PAX (Sem. 30/04 AL 6/05)</t>
  </si>
  <si>
    <t>LEONEL/JAIR/MAURO/MAXI/URIEL/MAURO/MARCOS</t>
  </si>
  <si>
    <t>RESCOLDO</t>
  </si>
  <si>
    <t>GRUPO-DOS57- JORNALEROS+ FREE- 4 PAX- (Sem.28/05 al 03/06)</t>
  </si>
  <si>
    <t>GRUPO-DOS57- JORNALEROS+ FREE- 4 PAX- (Sem.25/06 al 01/07)</t>
  </si>
  <si>
    <t>EQUIPO FOFI- X 5 PAX (Sem. 25 AL 01/07)</t>
  </si>
  <si>
    <t>BENJA/LEONEL/DAVID/PATRICIO</t>
  </si>
  <si>
    <t>KEMPES</t>
  </si>
  <si>
    <t>CAJA CHICA DAVID</t>
  </si>
  <si>
    <t>SIN SALDO</t>
  </si>
  <si>
    <t>EQUIPO FOFI - Sem. 28/05 AL 03/06</t>
  </si>
  <si>
    <t>CAJA CHICA - AQUA BREN+VIANDAS+GASTOS EXTRAS</t>
  </si>
  <si>
    <t>11//6 PAX</t>
  </si>
  <si>
    <t>EQUIPO NESTOR-SEM. 28/05 AL 03/06</t>
  </si>
  <si>
    <t>5 pax //2 jornales Rescoldo</t>
  </si>
  <si>
    <t>EQUIPO POLO+KEMPES</t>
  </si>
  <si>
    <t>EQUIPO JONAS-8 PAX-( Sem. 30/03 AL 01/04)</t>
  </si>
  <si>
    <t>2 ABONO JULIO $ 100.000+  FURIA-$ 25.000+$ 75.000 GASTOS EXTRAS</t>
  </si>
  <si>
    <t>Reajuste planilla+ planilla actual</t>
  </si>
  <si>
    <t>VIATICO X 3 PAX MORAS+EXTRANJERO-x 7 dias( 02 al 8-04)</t>
  </si>
  <si>
    <t>REPOSICION CAJA RESERVA</t>
  </si>
  <si>
    <t>EQUIPO JONAS-9 PAX- (Sem. 30/04 AL 6/05)</t>
  </si>
  <si>
    <t>EQUIPO 9 PAX -KEMPES</t>
  </si>
  <si>
    <t>EQUIPO NESTOR-(Sem.30/04 al 6/05)</t>
  </si>
  <si>
    <t>EQUIPO 9 PAX -RIO PINTO/KEMPES</t>
  </si>
  <si>
    <t>Jonas/Fabricio/Franco/CATRIEL</t>
  </si>
  <si>
    <t>VIATICO X 9- PAX EQUIPO MIX .EXTRANJEROS-x 7 dias( 07-05 AL  13-05)</t>
  </si>
  <si>
    <t>VIATICOS EQUIPO EXTRANJEROS X 1 DIA-2 PAX//X 2 DIAS- 2 PAX</t>
  </si>
  <si>
    <t>VIATICO X 4 PAX EQUIPO MIX-x 7 dias( 02 al 8-04)</t>
  </si>
  <si>
    <t>Saldo actual $365.000</t>
  </si>
  <si>
    <t>Barroso+3 nvos</t>
  </si>
  <si>
    <t>ADELANTO LUIS CAMIONERO</t>
  </si>
  <si>
    <t>TOTAL CAJA SEMANAL</t>
  </si>
  <si>
    <t>CAJA MARIO- EVENTO-LA PAZ</t>
  </si>
  <si>
    <t>CAJA FLOR-EVENTO KEMPES-RICKY</t>
  </si>
  <si>
    <t>JONAS/CATRIEL//kROSTY/FABRICIO</t>
  </si>
  <si>
    <t>CAJA CHICA -AQUA BREN +VIANDAS.FURIA+LIMP. CASA EXTRANJEROS</t>
  </si>
  <si>
    <t>10 Bidones extras p/ kempes +2 abono mens</t>
  </si>
  <si>
    <t>CAJA CHICA -DAVID (SEM. 30/03 AL 7/04) REPOSICION SEMANAL</t>
  </si>
  <si>
    <t>GUILLERMO</t>
  </si>
  <si>
    <t>CAJA CHICA MIGUEL- VIAJE-SAN JUAN</t>
  </si>
  <si>
    <t>Caja sem.$ 250.000</t>
  </si>
  <si>
    <t>CAJA CHICA -AQUA BREN +VIANDAS.FURIA// MANOLO//LIMPIEZA CASA// GASTO EXTRAS</t>
  </si>
  <si>
    <t>CAJA RESERVA</t>
  </si>
  <si>
    <t>2 Abonos $ 100.000+ viandas $ 50.000+limpieza $ 50.000+$ 50.000  Gastos extra</t>
  </si>
  <si>
    <t>2-MULTA MIGUEL-VOLVO -BS.AS</t>
  </si>
  <si>
    <t>CAJA CHICA -DAVID</t>
  </si>
  <si>
    <t>POLLO ENTREGA PAGO Q. LOCKURA</t>
  </si>
  <si>
    <t>1- MULTA MARIO- ANGOSTURA</t>
  </si>
  <si>
    <t>CAJA CHICA -AQUA BREN +VIANDAS.FURIA+LIMPIEZA CASA</t>
  </si>
  <si>
    <t>SALDO ACTUAL $ 30.000</t>
  </si>
  <si>
    <t>REPOSICION CAJA POLLO</t>
  </si>
  <si>
    <t xml:space="preserve">POLLO ENTREGA PAGO TENTIKLE </t>
  </si>
  <si>
    <t>AQUA 2 ABONOS-$120.800+VIANDA $25.000+LIMPIEZA $21.000</t>
  </si>
  <si>
    <t>PAGO TRANSPORTE DEL SUR -EXPENSAS JUNIO.2026</t>
  </si>
  <si>
    <t>SALDO ACTUAL $ 415.100</t>
  </si>
  <si>
    <t>CAJA FUERTE MATIAS/POLLO</t>
  </si>
  <si>
    <t>PAGO SEMANAL MIGUEL -SEM. 29/04 A 6/05</t>
  </si>
  <si>
    <t>SALDO ACTUAL $ 821.500</t>
  </si>
  <si>
    <r>
      <rPr>
        <rFont val="Calibri"/>
        <b/>
        <color theme="1"/>
        <sz val="10.0"/>
      </rPr>
      <t xml:space="preserve">Pollo  $ 1.782.500+  Caja $ 2.720.000  ( $ 2.920.000-$ </t>
    </r>
    <r>
      <rPr>
        <rFont val="Calibri"/>
        <b/>
        <color rgb="FFFF0000"/>
        <sz val="10.0"/>
      </rPr>
      <t>200.000-ADELANTO FLIA ALE</t>
    </r>
  </si>
  <si>
    <t>SALDO CAJA</t>
  </si>
  <si>
    <t>SALDO A FAVOR CAJA</t>
  </si>
  <si>
    <t>AGREGADO 8/05</t>
  </si>
  <si>
    <t>MAYRA ENTREGO</t>
  </si>
  <si>
    <t>Guarda p/ pagos semana proxima</t>
  </si>
  <si>
    <t>JUNIO ( Sem.08 AL 14) 2026</t>
  </si>
  <si>
    <t>GRUPO FAUSTERAS -7-PAX-(Sem. 04/06 al 10/06)</t>
  </si>
  <si>
    <t>ABRIL (06-4  AL 12-04) 2026</t>
  </si>
  <si>
    <t xml:space="preserve"> VIATICO X 7 dias ( sem. 11 al 17-06)</t>
  </si>
  <si>
    <t>JULIO  ( Sem.06 AL 12) 2026</t>
  </si>
  <si>
    <t>SALDO CAJA SEMANAL</t>
  </si>
  <si>
    <t>GRUPO FAUSTERAS -5 PAX-(Sem. 2 al 8/04)</t>
  </si>
  <si>
    <t>GUILLERMO+ VIANDA DOM.LIBRE</t>
  </si>
  <si>
    <t>CAJA CHICA -AQUA BREN +VIANDAS.FURIA//LIMPIEZA CASA// GASTO EXTRAS</t>
  </si>
  <si>
    <r>
      <rPr>
        <rFont val="Calibri"/>
        <color rgb="FF000000"/>
        <sz val="10.0"/>
      </rPr>
      <t>(RODRI/LEONEL/JUAN/LAUT/MARCOS/THIAGO)</t>
    </r>
    <r>
      <rPr>
        <rFont val="Calibri"/>
        <color rgb="FF0000FF"/>
        <sz val="10.0"/>
      </rPr>
      <t>MODIFICADA</t>
    </r>
  </si>
  <si>
    <t>GRUPO-DOS57- JORNALEROS 5- PAX- (Sem.2 al 8/04)</t>
  </si>
  <si>
    <r>
      <rPr>
        <rFont val="Calibri"/>
        <color rgb="FF000000"/>
        <sz val="10.0"/>
      </rPr>
      <t>(BENJA/LISANDRO/PABLO/BICHITO/MARTIN)-</t>
    </r>
    <r>
      <rPr>
        <rFont val="Calibri"/>
        <color rgb="FF0000FF"/>
        <sz val="10.0"/>
      </rPr>
      <t>MODIFICADA</t>
    </r>
  </si>
  <si>
    <t>GRUPO-DOS57- FREE-1 PAX-(Sem.2 al 8/04)</t>
  </si>
  <si>
    <r>
      <rPr>
        <rFont val="Calibri"/>
        <color rgb="FF000000"/>
        <sz val="10.0"/>
      </rPr>
      <t>PATRICIO-</t>
    </r>
    <r>
      <rPr>
        <rFont val="Calibri"/>
        <color rgb="FF0000FF"/>
        <sz val="10.0"/>
      </rPr>
      <t>MODIFICADA</t>
    </r>
  </si>
  <si>
    <t>EQUIPO FOFI -14/5-PAX (Sem. 2 AL 8/04)</t>
  </si>
  <si>
    <t>(AQUA BREN $27.200+$ 25.000 VIANDA+LIMPIEZA $ 21.000+ $ 100.0000- GASTOS CAJA</t>
  </si>
  <si>
    <t>ADELANTO-ANDREA//FAUSTO(SEM.VACACIONES 15 AL 21/06)</t>
  </si>
  <si>
    <t>ANDREA $ 300.000// FAUSTO $ 200.000</t>
  </si>
  <si>
    <t>REPARACION TOYOTA BLANCA- CHAPISTA -DAVID</t>
  </si>
  <si>
    <t>GRUPO FAUSTERAS-1-PAX-(Sem.2/07 al 08/07)-LEONEL</t>
  </si>
  <si>
    <t>MODIFICADA P/ CARGAS EXTRAS 8/04</t>
  </si>
  <si>
    <t>POLO</t>
  </si>
  <si>
    <t>EQUIPO JONAS-7 PAX-( Sem. 2/04 AL 8/04)</t>
  </si>
  <si>
    <t>GRUPO-DOS57- JORNALEROS+ FREE- 3 PAX- (Sem.2 AL 8/07)</t>
  </si>
  <si>
    <t>transf.dos</t>
  </si>
  <si>
    <t>EQUIPO NESTOR-9/10 PAX (2/04 AL 8/04)</t>
  </si>
  <si>
    <t>BENJA/PATRICIO/BICHITO</t>
  </si>
  <si>
    <t>VIATICO X 12- PAX EQUIPO MIX .EXTRANJEROS-x 7 dias( 09 al 15-04)</t>
  </si>
  <si>
    <t>EQUIPO FOFI- X 5 PAX Sem. 2 AL 8/07</t>
  </si>
  <si>
    <t>CAJA CHICA-SEM. 13 AL 17/07-A RENDIR JAZ O/ LORENA</t>
  </si>
  <si>
    <t>Jona/Catriel/Fabricio/Franco/Ever/Luis/Jesus/axel/Krosty /  Cesar/Rojo/Adan</t>
  </si>
  <si>
    <t>OSCAR ELECTRICISTA 2 REPARACIONES -HLW 156// MB1114</t>
  </si>
  <si>
    <t>REMITO 6247/56248-DAVID</t>
  </si>
  <si>
    <t>MAYO ( sem. 11  AL 15 ) 2026</t>
  </si>
  <si>
    <t>SEM.VACACIONES MAYRA/ANDRE</t>
  </si>
  <si>
    <t xml:space="preserve"> LAVADERO  TELAS-JAZMIN </t>
  </si>
  <si>
    <t>18 TELONES</t>
  </si>
  <si>
    <t>PAGO OBRA INGRESO DEPOSITO (MAY)</t>
  </si>
  <si>
    <t>SALDO $ 198.100</t>
  </si>
  <si>
    <t>( Aqua-$ 259.500+ 25.000 limp+ $ 25.000 furia+ $50.000 caja)</t>
  </si>
  <si>
    <t>CAJA 2- KEMPES- FLORENCIA</t>
  </si>
  <si>
    <t>GRUPO FAUSTERAS -5 PAX-(Sem. 7 /05 al 13/05)</t>
  </si>
  <si>
    <t>PRESTAMO DOS57 A ENJOY (JORNADAS+PREMIO-LETAPE)</t>
  </si>
  <si>
    <t>SALDO $ 731.520</t>
  </si>
  <si>
    <t xml:space="preserve"> DEVOLUCION A  CAJA RESERVA</t>
  </si>
  <si>
    <t>LEONEL/JUAN/MARCOS/MAURO/MAXI/JAIR</t>
  </si>
  <si>
    <t>GRUPO-DOS57- JORNALEROS+ FREE- 4 PAX- (Sem.7/05 al 13/05)</t>
  </si>
  <si>
    <t>(BENJA/LISANDRO/BICHITO/ PATRICIO)</t>
  </si>
  <si>
    <t>EQUIPO FOFI -7/ 2-PAX (Sem. 7/05 AL 13/05)</t>
  </si>
  <si>
    <t>JULIO  ( Sem.13 AL 19) 2026</t>
  </si>
  <si>
    <t>SALDO PAGO Q. LOCKURA-A CTA CAJA</t>
  </si>
  <si>
    <t>EQUIPO+KEMPES+CABALEN</t>
  </si>
  <si>
    <t>Saldo $ 750,00</t>
  </si>
  <si>
    <t xml:space="preserve"> ADELANTO- QUINCENA-FURIA/MANOLO/DAVID</t>
  </si>
  <si>
    <t>GRUPO FAUSTERAS-2-PAX-(Sem.9/07 al 15/07)</t>
  </si>
  <si>
    <t>LEONEL/MAXI ACUÑA</t>
  </si>
  <si>
    <t>GRUPO-DOS57- JORNALEROS+ FREE- 3 PAX- (Sem.9 AL 15/07)</t>
  </si>
  <si>
    <t xml:space="preserve"> ( $ 3.150.000-$ 2.022.000 PAGO-Guille Vazquez)</t>
  </si>
  <si>
    <t>EQUIPO FOFI- X 4 PAX+ FOFI (Sem. 9 AL 15/07)</t>
  </si>
  <si>
    <t>CAMINO SIERRAS/KEMPES</t>
  </si>
  <si>
    <t>1/2 QUINCENAS : FURIA/DAVID+ ADELANTO: ANDREA</t>
  </si>
  <si>
    <t>VIATICO X 8- PAX EQUIPO MIX .EXTRANJEROS-x 7 dias( 14-05 AL 20 -05)</t>
  </si>
  <si>
    <t>EVER/FABRICIO/JONAS/KROSTY/EZE/GUILLE/JESUS/CATRIEL</t>
  </si>
  <si>
    <t>($ 800.000-FURIA/$650.000 DAVID-$ 300.000 ANDREA)</t>
  </si>
  <si>
    <t>CAJA SEMANAL-DAVID (11/05 AL 20/05)</t>
  </si>
  <si>
    <t>CAJA CHICA- MARIO -SANTIAGO ESTERO</t>
  </si>
  <si>
    <t>CAJA CHICA-SEM. 13 AL 20/07-A RENDIR JAZ (SOLICITA JAZ)</t>
  </si>
  <si>
    <t>SALDO ACTUAL CAJA $ 35.460</t>
  </si>
  <si>
    <t>Q.LOCKURA- ENTREGA FURIA-9/04/2026</t>
  </si>
  <si>
    <t>($ 70.000-VIA CARGO/$ 140.000 PAPELERA/$ 70.000 GASTOS VARIOS</t>
  </si>
  <si>
    <t>AQUA CONSUMO SEMANAL-$61000+VIANDA MANOLO/FURIA $ 50.000 + LIMPIEZA $27.000+ $50.000 GASTOS VARIOS</t>
  </si>
  <si>
    <t>JUNIO ( Sem.15 AL 21) 2026</t>
  </si>
  <si>
    <t>RETIRO POLLO</t>
  </si>
  <si>
    <t>SALDO $ 409.000</t>
  </si>
  <si>
    <t xml:space="preserve">SALDO CAJA </t>
  </si>
  <si>
    <t>saldo actual $ 233.900</t>
  </si>
  <si>
    <t>GRUPO-DOS57- JORNALEROS+ FREE- 4 PAX- (Sem.11/05 al 17/06)</t>
  </si>
  <si>
    <t>BENJA/ LISANDRO /DAVID/PATRICIO</t>
  </si>
  <si>
    <t>GRUPO FAUSTERAS -7-PAX-(Sem 11 al 17/06)-LIBRES</t>
  </si>
  <si>
    <t>JULIO  ( Sem.20 AL 26) 2026</t>
  </si>
  <si>
    <t>EQUIPO FOFI- X 6 PAX (Sem. 11 AL 17/06)</t>
  </si>
  <si>
    <t>MAYO ( sem.18  AL 24 ) 2026</t>
  </si>
  <si>
    <t>2-Jornal x 6 pax</t>
  </si>
  <si>
    <t>TRANSF. ANDREA (ENJOY)</t>
  </si>
  <si>
    <t>ADELANTO QUINCENAL-FURIA/MANOLO/DAVID/PABLO</t>
  </si>
  <si>
    <t>GRUPO FAUSTERAS-6-PAX- (SEM.16/07 al 22/07)</t>
  </si>
  <si>
    <t>LEONEL/MAXI /JAIR/MAURO/URIEL/DANIEL</t>
  </si>
  <si>
    <t>GRUPO FAUSTERAS -6 PAX-(Sem. 14 /05 al 20/05)</t>
  </si>
  <si>
    <t>GRUPO-DOS57- JORNALEROS+ FREE- 3 PAX- (SEM. 16 AL 22/07)</t>
  </si>
  <si>
    <t>LEONEL/MARCOS/MAURO/MAXI/JAIR/URIEL</t>
  </si>
  <si>
    <t>MAY  ENTREGA  EFECTIVO 9/04</t>
  </si>
  <si>
    <t>GRUPO-DOS57- JORNALEROS+ FREE- 4 PAX- (Sem.14/05 al 20/05)</t>
  </si>
  <si>
    <t>EQUIPO FOFI- X 4/8 PAX+ FOFI (SEM. 17 AL 22/07)</t>
  </si>
  <si>
    <t>EQUIPO FOFI -3/9-PAX (Sem. 18/05 AL 20/05)</t>
  </si>
  <si>
    <t>EQUIPO NESTOR X 4 PAX+NESTOR ( SEM.20 AL 22/07)</t>
  </si>
  <si>
    <t>(FURIA $ 800.000/MANOLO $600.000/DAVID $ 650.000/PABLO $ 550.000)</t>
  </si>
  <si>
    <t>POLO+KEMPES</t>
  </si>
  <si>
    <t>RESCOLDO/CHATEU PARK</t>
  </si>
  <si>
    <t>ADELANTO VACACIONES- PEPO/GERARDO/ANDREA</t>
  </si>
  <si>
    <t>ADELANTO DOS57</t>
  </si>
  <si>
    <t>(PEPO $ 200.000/GERARDO $ 200.000/ANDRE $ 200.000)</t>
  </si>
  <si>
    <t xml:space="preserve"> VIATICO  GUILLERMO VAZQUEZ X 7 dias ( sem. 18 al 20-06)</t>
  </si>
  <si>
    <t>VIATICO X 8- PAX EQUIPO MIX .EXTRANJEROS-x 7 dias( 21-05 AL 27 -05)</t>
  </si>
  <si>
    <t>ADELANTOS DOS57</t>
  </si>
  <si>
    <t>RESTO INGRESO A CAJA DE RESERVA</t>
  </si>
  <si>
    <t>CAJA CHICA- DAVID-SEMANAL</t>
  </si>
  <si>
    <t>EVER/FABRICIO/JONAS/KROSTY/EZE/JESUS/CATRIEL/GUILLE</t>
  </si>
  <si>
    <t>ABRIL (13-4  AL 19-04) 2026</t>
  </si>
  <si>
    <t>GUILLERMO+ VIANDA DOM+ LUNES.LIBRES</t>
  </si>
  <si>
    <t>REPARACION SPRINTER-CHAPA PINTURA-DAVID</t>
  </si>
  <si>
    <t>CAJA SEMANAL-DAVID (21/05 AL 27/05)</t>
  </si>
  <si>
    <t>Efectivo</t>
  </si>
  <si>
    <t>CAJA SEMANAL DAVID</t>
  </si>
  <si>
    <t>GRUPO FAUSTERAS -7 PAX-(Sem. 9 al 15/04)</t>
  </si>
  <si>
    <t>saldo actual $ 90.000</t>
  </si>
  <si>
    <t>SALDO ACTUAL $ 84.500</t>
  </si>
  <si>
    <t>SALDO $ 40.500</t>
  </si>
  <si>
    <t>CAJA 2-FLORENCIA P/ CABALEN</t>
  </si>
  <si>
    <t>CAJA CHICA -AQUA BREN + 1 JORNAL LIMPIEZA 11/06 -MECHA//  GASTOS EXTRAS</t>
  </si>
  <si>
    <t>(RODRI/LEONEL/JUAN/LAUT/MARCOS/THIAGO/MAURO)</t>
  </si>
  <si>
    <t>CAJA CHICA-SEM. 20 AL 26-07</t>
  </si>
  <si>
    <t>GRUPO-DOS57- JORNALEROS 5- PAX- (Sem.9 al 15/04)</t>
  </si>
  <si>
    <t>(AQUA BREN $ 62.400/MECHA $ 21.000/ CAJA MAY $ 100.000</t>
  </si>
  <si>
    <t>GRUPO-DOS57- FREE-1 PAX-(Sem.9 al 15/04)</t>
  </si>
  <si>
    <t>AQUA CONSUMO SEMANAL-$20.000+VIANDA MANOLO/FURIA $ 50.000 + LIMPIEZA $21.000+ $50.000 GASTOS VARIOS</t>
  </si>
  <si>
    <t>EQUIPO FOFI -14/5-PAX (Sem. 9/04 AL 15/04)</t>
  </si>
  <si>
    <t>AQUA BREN $ 51.600/ VIANDA $ 25.000/GASTOS VARIOS  $ 100.000</t>
  </si>
  <si>
    <t>REPOSICION CAJA RESERVA PRESTAMO ENJOY</t>
  </si>
  <si>
    <t>Pago  MAYRA</t>
  </si>
  <si>
    <t>REP. GASTOS CAJA POLLO</t>
  </si>
  <si>
    <t xml:space="preserve">DEVOLUCION ENJOY PAGOS VARIOS </t>
  </si>
  <si>
    <t>saldo actual $ 1.182.400</t>
  </si>
  <si>
    <t>EQUIPO JONAS-7 PAX-( Sem. 9/04 AL 15/04)</t>
  </si>
  <si>
    <t>PAGOS VARIOS MAY $ 795.000+ $ 450.000 PAGO AGUS GALARA</t>
  </si>
  <si>
    <t>EQUIPO NESTOR-9/10 PAX (9/04 AL 15/04)</t>
  </si>
  <si>
    <t>EQUIPO RUBENS-10/7 PAX (9/04 AL 15/04)</t>
  </si>
  <si>
    <t>VIATICO X 12- PAX EQUIPO MIX .EXTRANJEROS-x 7 dias( 16 al 22-04)</t>
  </si>
  <si>
    <t>MAYO ( sem.25  AL 31 ) 2026</t>
  </si>
  <si>
    <t>GRUPO FAUSTERAS -7-PAX-(Sem. 21 /05 al 27/05)</t>
  </si>
  <si>
    <t>VIATICO X 7- PAX EQUIPO RUBENS-x 7 dias( 16 al 22-04)</t>
  </si>
  <si>
    <t>TRANSFERENCIA JAZ</t>
  </si>
  <si>
    <t>transferencia Fausto</t>
  </si>
  <si>
    <t>GRUPO-DOS57- JORNALEROS+ FREE- 4 PAX- (Sem.21/05 al 27/05)</t>
  </si>
  <si>
    <t>ADELANTO QUINCENAL-FURIA/DAVID/MANOLO</t>
  </si>
  <si>
    <t>CAJA CHICA -DAVID SEMANAL</t>
  </si>
  <si>
    <t>SALDO $ 686.000</t>
  </si>
  <si>
    <t>EQUIPO FOFI - Sem. 21 AL 27/05</t>
  </si>
  <si>
    <t>TRANSFERENCIA FLOR</t>
  </si>
  <si>
    <t>transferencia Mayra/Andrea</t>
  </si>
  <si>
    <t>EQUIPO JONAS-SEM. 25 AL 27/05</t>
  </si>
  <si>
    <t>transferencia Jonas</t>
  </si>
  <si>
    <t>EQUIPO NESTOR-SEM.23 AL 27/05</t>
  </si>
  <si>
    <t>TRANSFERENCIA ANDRE</t>
  </si>
  <si>
    <t>transferencia Nestor</t>
  </si>
  <si>
    <t>SALDO CAJA ANTERIOR .SEM. 13 AL 19/07</t>
  </si>
  <si>
    <t>VIATICO X 6- PAX EQUIPO MIX .EXTRANJEROS-x 7 dias( 28-05 AL 03 -06)</t>
  </si>
  <si>
    <t>JUNIO ( Sem.22 AL 28) 2026</t>
  </si>
  <si>
    <t>CAJA FUERTE</t>
  </si>
  <si>
    <t xml:space="preserve"> CAJA MATIAS</t>
  </si>
  <si>
    <t>PAGO TRANSPORTE DEL SUR -EXPENSAS JULIO.2026</t>
  </si>
  <si>
    <t>GRUPO FAUSTERAS -7-PAX-(Sem 18 al 24/06)</t>
  </si>
  <si>
    <t>GRUPO-DOS57- JORNALEROS+ FREE- 4 PAX- (Sem.18/06 al 24/06)</t>
  </si>
  <si>
    <t>TRANSFERENCIA MAYRA</t>
  </si>
  <si>
    <t>EQUIPO FOFI- X 4 PAX (Sem. 18 AL 24/06)</t>
  </si>
  <si>
    <t>TRANSFERENCIA</t>
  </si>
  <si>
    <t>ADELANTOS EQUIPO DOS57</t>
  </si>
  <si>
    <t>TOTAL ENTREGADO</t>
  </si>
  <si>
    <t>CAJA CHICA - VIANDA SEM- MANOLO/FURIA/ GASTOS RESCOLDO ALM./AQUA BREN</t>
  </si>
  <si>
    <t>Furia $ 25.000//Manolo $25.000//Alm.rescoldo 25y26 x10 pax $150.000+Aqua bren $ 20.000</t>
  </si>
  <si>
    <t>PAGO.Q.LOKURA</t>
  </si>
  <si>
    <t>ABRIL (20-4  AL 26-04) 2026</t>
  </si>
  <si>
    <t>Q.LOCKURA- ENTREGA FURIA-27/05/2026</t>
  </si>
  <si>
    <t>Saldo actual $ 500.000</t>
  </si>
  <si>
    <t>GRUPO FAUSTERAS -7 PAX-(Sem. 16 al 22/04)</t>
  </si>
  <si>
    <t>EFECTIVO</t>
  </si>
  <si>
    <t>(RODRI/LEONEL/JUAN/LAUT/MARCOS/MAURO/JAIR/MAXIMILIANO)</t>
  </si>
  <si>
    <t>GRUPO-DOS57- JORNALEROS 5- PAX- (Sem.16 al 21/04)</t>
  </si>
  <si>
    <t>GRUPO-DOS57- FREE-1 PAX-(Sem.16 al 22/04)</t>
  </si>
  <si>
    <t>PAGO.RESCOLDO</t>
  </si>
  <si>
    <t>EQUIPO FOFI -10-7-PAX (Sem. 16/04 AL 22/04)</t>
  </si>
  <si>
    <t>EQUIPO JONAS-7 PAX-( Sem. 16/04 AL 22/04)</t>
  </si>
  <si>
    <t>EQUIPO NESTOR-1 JORNAL 16/04 +DIF. HS. EXTRAS NESTOR</t>
  </si>
  <si>
    <t>VIATICO X 7- PAX EQUIPO MIX .EXTRANJEROS-x 7 dias( 23 al 29-04)</t>
  </si>
  <si>
    <t>FABRICIO/LUIS/JESUS/EVER/ROJO/LEONARDO/GUILLE</t>
  </si>
  <si>
    <t>CAJA CHICA -AQUA BREN +VIANDAS.FURIA+LIMPIEZA CASA+GASTOS VARIOS</t>
  </si>
  <si>
    <t>CAJA MIGUEL -VIAJE RETIRO MATERIAL -BS.AS</t>
  </si>
  <si>
    <t>PENDIENTE SEM.30/04</t>
  </si>
  <si>
    <t>TRANSFERENCIA FAUSTO</t>
  </si>
  <si>
    <t>JULIO -AGOSTO( Sem.27 AL 02) 2026</t>
  </si>
  <si>
    <t>TRANSFERENCIA NESTOR</t>
  </si>
  <si>
    <t>MAYRA</t>
  </si>
  <si>
    <t>GRUPO FAUSTERAS-6-PAX- (SEM.23/07 al 29/07)</t>
  </si>
  <si>
    <t>TOTAL</t>
  </si>
  <si>
    <t>GRUPO-DOS57- JORNALEROS+ FREE- 4 PAX- (SEM. 23 AL 29/07)</t>
  </si>
  <si>
    <t>BENJA/lLISANDRO/PATRICIO/BICHITO</t>
  </si>
  <si>
    <t>EQUIPO FOFI- X 4/8 PAX+ FOFI (SEM. 23 AL 29/07)</t>
  </si>
  <si>
    <t>TRANSFERENCIA JONA</t>
  </si>
  <si>
    <t>EQUIPO NESTOR X 4 PAX+NESTOR ( SEM.23 AL 29/07)</t>
  </si>
  <si>
    <t>CAJA CHICA- DAVID-SEMANAL (27/07 al 2/08)</t>
  </si>
  <si>
    <t>CAJA CHICA-SEM. 27 07 AL 2/08</t>
  </si>
  <si>
    <t>AQUA BREN $ / VIANDA $ 25.000/GASTOS VARIOS  $ 100.000</t>
  </si>
  <si>
    <t>JAZMIN</t>
  </si>
  <si>
    <t xml:space="preserve">SALDO $ </t>
  </si>
  <si>
    <t>ADELANTOS DOS57-TRANSFERENCIA</t>
  </si>
  <si>
    <t xml:space="preserve">VARIAS </t>
  </si>
  <si>
    <t>MAY-TRANSFERENCIA</t>
  </si>
  <si>
    <t>SALDO CAJA ANTERIOR .SEM. 20 AL 26/07</t>
  </si>
  <si>
    <t>EQUIPO ( PATO/RATA 10/PELAYER/CARDENAL/TOMATE/CANILLA)</t>
  </si>
  <si>
    <t>FOFI</t>
  </si>
  <si>
    <t>TRANSF ANDREA-JORNALEROS+PATRICIO+LEONEL</t>
  </si>
  <si>
    <t>Transferencias varias</t>
  </si>
  <si>
    <t>CAJA Q. LOCKURA</t>
  </si>
  <si>
    <t>EFECTIVO CAJA RESERVA</t>
  </si>
  <si>
    <t xml:space="preserve"> CAJA TOTAL  </t>
  </si>
  <si>
    <t>ABRIL (27-4  AL 03-05) 2026</t>
  </si>
  <si>
    <t>GRUPO FAUSTERAS -6 PAX-(Sem. 23 al 29/04)</t>
  </si>
  <si>
    <t>(RODRI/LEONEL/JUAN//MARCOS/MAURO/JAIR/MAXIMILIANO)</t>
  </si>
  <si>
    <t>GRUPO-DOS57- JORNALEROS 5- PAX- (Sem.23 al 29/04)</t>
  </si>
  <si>
    <t>GRUPO-DOS57- FREE-1 PAX-(Sem.23 al 29/04)</t>
  </si>
  <si>
    <t>EQUIPO FOFI -10-7-PAX (Sem. 27/04 AL 29/04)</t>
  </si>
  <si>
    <t>EQUIPO JONAS-9 PAX- ( Jornada- 29/04)-kempes</t>
  </si>
  <si>
    <t>EQUIPO NESTOR-(SEM.27/04 AL 29/04)</t>
  </si>
  <si>
    <t>EQUIPO 9 PAX -RIO PINTO</t>
  </si>
  <si>
    <t>ADELANTO FLORENCIA</t>
  </si>
  <si>
    <t>ADELANTO MANOLO RODRIGUEZ</t>
  </si>
  <si>
    <t>EXCEPCIONAL</t>
  </si>
  <si>
    <t>VIATICO X 1- PAX EQUIPO MIX .EXTRANJEROS-x 7 dias( 30-04 al 06-05)</t>
  </si>
  <si>
    <t>FABRICIO ROBERTO</t>
  </si>
  <si>
    <t>VIATICO X 5- PAX EQUIPO MIX .EXTRANJEROS-x 3 dias( 30-04 al 2-05)</t>
  </si>
  <si>
    <t>LUIS/JESUS/EVER/ROJO/LEONARDO/GUILLE (VIAJAN SANTIAGO3/05)</t>
  </si>
  <si>
    <t>CAJA CHICA -FLORENCIA -SANTIAGO ESTERO</t>
  </si>
  <si>
    <t>CAJA CHICA- 1-CAMIONETA -SANTIAGO ESTERO</t>
  </si>
  <si>
    <t>CHOFER A DESIGNAR</t>
  </si>
  <si>
    <t>CAJA CHICA-DAVID SEMANAL</t>
  </si>
  <si>
    <t>CAJA SEMANAL $ 250.000</t>
  </si>
  <si>
    <t>AQUA $110.500+VIANDA $25.000+LIMPIEZA $21.000+VARIOS $ 100.000</t>
  </si>
  <si>
    <t>SALDO ACTUAL $ 102.110,00</t>
  </si>
  <si>
    <t>MATIAS $ 11.250.000</t>
  </si>
  <si>
    <t>MARZO (03  AL 8-03) 2026</t>
  </si>
  <si>
    <t>GRUPO FAUSTERAS -3 PAX-(Sem. 26 al 4/03)-BARILOCHE</t>
  </si>
  <si>
    <t>LEONEL/MANU/ RODRIGO</t>
  </si>
  <si>
    <t>GRUPO-DOS57- JORNALEROS 4- PAX- (Sem.26 al 4/03)</t>
  </si>
  <si>
    <t>BENJA/LISANDRO/PABLO/DAVID</t>
  </si>
  <si>
    <t>GRUPO-DOS57- FREE-1 PAX-(Sem.26 al 04/03)</t>
  </si>
  <si>
    <t>EQUIPO FOFI 12-PAX (Sem. 26 al 4/03)</t>
  </si>
  <si>
    <t>FOFI /9 2PAX</t>
  </si>
  <si>
    <t>EQUIPO JONAS-8 PAX-( Sem. 1 al 4-03-26)</t>
  </si>
  <si>
    <t>JONAS/ EQUIPO X 8/6</t>
  </si>
  <si>
    <t>EQUIPO NESTOR 12 PAX - RAFAELA+KEMPES (Sem.26 al  4/03)</t>
  </si>
  <si>
    <t>Nestor+11 pax</t>
  </si>
  <si>
    <t>VIATICOS MORAS-X 1 PAX-( SEM.  AL 26-02 AL 04-03)-X 7 DIAS</t>
  </si>
  <si>
    <t>CESAR SALINA</t>
  </si>
  <si>
    <t>VIATICOS MORAS EXTRAS -X 7PAX-( SEM.  AL 26-02 AL 04-03)-X 7 DIAS</t>
  </si>
  <si>
    <t>VIAJAN HOY- 6 PAX +  AXEL GUAJARDO  SE QUEDA</t>
  </si>
  <si>
    <t>VIATICO BRUJAS X 6 PAX+1  PAX-KROSTY- 1 DIA</t>
  </si>
  <si>
    <t>FEBRERO (02  AL 08) 2026</t>
  </si>
  <si>
    <t>VIAJAN HOY- 6 PAX + JORQUERA</t>
  </si>
  <si>
    <t>CAJA CHICA -AQUA BREN +VIANDAS.FURIA MANOLO+GASTOS VARIOS</t>
  </si>
  <si>
    <t>BIDONES  EXTRAS KEMPES (20)+ABONO X2</t>
  </si>
  <si>
    <t>CAJA CHICA -DAVID (SEM. 05/03 AL 12/03) REPOSICION SEMANAL</t>
  </si>
  <si>
    <t>GRUPO FAUSTERAS -5 PAX-(Sem. 5 al 11/02)</t>
  </si>
  <si>
    <t>SALDO (TOTAL CAJA SEM.$ 250.000)</t>
  </si>
  <si>
    <t>ENERO (5 /01  AL 11-1) 2026</t>
  </si>
  <si>
    <r>
      <rPr>
        <rFont val="Calibri"/>
        <b/>
        <color rgb="FFFF0000"/>
        <sz val="10.0"/>
      </rPr>
      <t xml:space="preserve">CAJA ALEJANDRO -VIAJE </t>
    </r>
    <r>
      <rPr>
        <rFont val="Calibri"/>
        <b/>
        <color rgb="FF1155CC"/>
        <sz val="10.0"/>
        <u/>
      </rPr>
      <t>Bs.As</t>
    </r>
  </si>
  <si>
    <t>LEONEL/MANU/LEON/ANTHONY/RODRIGO</t>
  </si>
  <si>
    <t>GRUPO-DOS57- JORNALEROS 3- PAX- (Sem.5 al 11/02)</t>
  </si>
  <si>
    <t>BENJA/LISANDRO/PABLO</t>
  </si>
  <si>
    <t>GRUPO-DOS57- FREE-2 PAX-(Sem.5 al 11/02)</t>
  </si>
  <si>
    <t>ENZO/PATRICIO</t>
  </si>
  <si>
    <t>GRUPO FAUSTERAS -5 PAX</t>
  </si>
  <si>
    <t>EQUIPO FOFI-4/9-PAX(Sem. 5 al 11/02)</t>
  </si>
  <si>
    <t>GRUPO-DOS57- JORNALEROS +FREE-4 PAX</t>
  </si>
  <si>
    <t>EQUPO NESTOR</t>
  </si>
  <si>
    <t>BENJA/LISANDRO/PATRICIO/ENZO</t>
  </si>
  <si>
    <t>CAJA DAVID-SEM.</t>
  </si>
  <si>
    <t>EQUIPO FOFI-4 a 9 -PAX-SEM- 2 al 7-01-2026</t>
  </si>
  <si>
    <t>VIATICO X 2 PAX EXTRANJERO</t>
  </si>
  <si>
    <t>VIATICOS EQUIPO MORAS  -8 PAX -7/01 AL 13/01 INCLUISIVE</t>
  </si>
  <si>
    <t>FABRICIO/NICOLAS</t>
  </si>
  <si>
    <t>VIATICOS EQUIPO EXTRANJEROS -2 PAX -7/01 AL 13/01 INCLUISIVE</t>
  </si>
  <si>
    <t>VIATICO X 8 PAX MORAS</t>
  </si>
  <si>
    <t>CAJA CHICA - AQUA BREN+VIANDAS.FURIA MANOLO+GASTOS VARIOS</t>
  </si>
  <si>
    <t>SALDO $ 61.000</t>
  </si>
  <si>
    <t>CAJA FLOR GOMEZ-KEMPES</t>
  </si>
  <si>
    <t>GUILLE/MATIAS/JONAS/ EVER/EZE/JOSET/MAURICIO/CESAR</t>
  </si>
  <si>
    <t>VIATICO X 3 PAX KROSTY</t>
  </si>
  <si>
    <t>PAGO MARCOS CARNET-JAZMIN-X 6 PAX</t>
  </si>
  <si>
    <t xml:space="preserve">KROSTY/ JORQUERA/LUIS </t>
  </si>
  <si>
    <t>CAJA CHICA - 2- ABONO-AQUA BREN+VIANDAS.FURIA MANOLO+GASTOS VARIOS</t>
  </si>
  <si>
    <t xml:space="preserve">REPOSICION  CAJA RESERVA </t>
  </si>
  <si>
    <t xml:space="preserve"> DUPLICADO PATENTE POLLO + MULTA HKQ (HNO MANOLO)</t>
  </si>
  <si>
    <t>Entrega Caja Matias</t>
  </si>
  <si>
    <t> $  1,301,530.00 </t>
  </si>
  <si>
    <t>DIFERENCIA</t>
  </si>
  <si>
    <t xml:space="preserve">TOTAL CAJA </t>
  </si>
  <si>
    <t>MARZO (09  AL 15-03) 2026</t>
  </si>
  <si>
    <t>GRUPO FAUSTERAS -3 PAX-(Sem. 05 al 11/03)-BARILOCHE</t>
  </si>
  <si>
    <t>GRUPO-DOS57- JORNALEROS 4- PAX- (Sem.05 al 11/03)</t>
  </si>
  <si>
    <t>GRUPO-DOS57- FREE-1 PAX-(Sem.05 al 11/03)</t>
  </si>
  <si>
    <t>CAJA MAYRA</t>
  </si>
  <si>
    <t>EQUIPO FOFI 12-PAX (Sem. 05 AL 11/03)</t>
  </si>
  <si>
    <t>SALDO CAJA RESERVA</t>
  </si>
  <si>
    <t>FEBRERO (9  AL 15) 2026</t>
  </si>
  <si>
    <t>EQUIPO JONAS-8 PAX-( Sem. 05 AL 11/03)</t>
  </si>
  <si>
    <t>EQUIPO NESTOR 12 PAX - KEMPES (Sem.05 AL 11/03)</t>
  </si>
  <si>
    <t>Nestor+13 pax</t>
  </si>
  <si>
    <t>VIATICOS EXTRANJEROS-X 3 PAX-( SEM.  AL 05- AL 11-03)-X 7 DIAS</t>
  </si>
  <si>
    <t>INGRESO</t>
  </si>
  <si>
    <t>ENERO (12 -01  AL 18-1) 2026</t>
  </si>
  <si>
    <t>FABRICIO/FRANCO/CATRIEL</t>
  </si>
  <si>
    <t>COPIAS LLAVES +GASTOS VARIOS</t>
  </si>
  <si>
    <t>GRUPO FAUSTERAS -5 PAX-(SEM. 8 AL 14-01-25)</t>
  </si>
  <si>
    <t>GRUPO-DOS57- JORNALEROS +FREE-4 PAX- (SEM. 8 AL 14-01-25)</t>
  </si>
  <si>
    <t>BENJA/LISANDRO</t>
  </si>
  <si>
    <t>EQUIPO NESTOR 12 PAX -C.ROCK-(Sem.5 al 11/02)</t>
  </si>
  <si>
    <t>GRUPO-DOS57- FREE-2 PAX- (SEM. 8 AL 14-01-25)</t>
  </si>
  <si>
    <t>VIATICOS EXTRANJERO-X 2 PAX-( SEM. 12 AL 19 -02)-X 7 DIAS</t>
  </si>
  <si>
    <t>EQUIPO FOFI- 5-PAX- (SEM- 8 al 14-01-2026)</t>
  </si>
  <si>
    <t>(CAJA SEMANAL $ 250,000)</t>
  </si>
  <si>
    <t>FABRICIO/NICOLAS/FRANCO</t>
  </si>
  <si>
    <t>VIATICO EXTRANJERO-1 PAX -SEM. 14 AL 20-01 INCLUSIVE</t>
  </si>
  <si>
    <t>REPOSICIION CAJA NICOLAS - LOLLA -BS.AS</t>
  </si>
  <si>
    <t>VIATICOS MORAS-X 8 PAX-( SEM. 12 AL 19-02)-X 7 DIAS</t>
  </si>
  <si>
    <t>A RENDIR GABY P/ALMUERZO EQUIPO</t>
  </si>
  <si>
    <t xml:space="preserve">FABRICIO </t>
  </si>
  <si>
    <t>ADELANTO QUINCENAL-FURIA-MANOLO</t>
  </si>
  <si>
    <t>VIATICOS KROSTY-X 3 PAX-( SEM. 12 AL 19-02)-X 7 DIAS</t>
  </si>
  <si>
    <t>SALDO RESERVA ($ 199.800)</t>
  </si>
  <si>
    <t xml:space="preserve">JORQUERA/LUIS </t>
  </si>
  <si>
    <t>ADELANTO-DAVID</t>
  </si>
  <si>
    <t>ADELANTO-ANDREA</t>
  </si>
  <si>
    <t>ADELANTO MATIAS MUT</t>
  </si>
  <si>
    <t>REPOSICION CAJA JAZMIN-GASTOS CENAT X6 PAX CARNET+CENA+ UBER</t>
  </si>
  <si>
    <t>MARZO (16  AL 22-03) 2026</t>
  </si>
  <si>
    <t>CAJA ALEJANDRO + CAJA LUIS</t>
  </si>
  <si>
    <t>ELECTRICISTA OSCAR-REPARACION TRAILER+TOYOTA KJR</t>
  </si>
  <si>
    <t>$ 100.000-ALE/$ 100.000 LUIS</t>
  </si>
  <si>
    <r>
      <rPr>
        <rFont val="Calibri"/>
        <b/>
        <color rgb="FF000000"/>
        <sz val="10.0"/>
      </rPr>
      <t xml:space="preserve">COMBUSTIBLE REGRESO </t>
    </r>
    <r>
      <rPr>
        <rFont val="Calibri"/>
        <b/>
        <color rgb="FF000000"/>
        <sz val="10.0"/>
        <u/>
      </rPr>
      <t>BS.AS</t>
    </r>
    <r>
      <rPr>
        <rFont val="Calibri"/>
        <b/>
        <color rgb="FF000000"/>
        <sz val="10.0"/>
      </rPr>
      <t xml:space="preserve"> X 1- CAMION  LUIS </t>
    </r>
  </si>
  <si>
    <t>GRUPO FAUSTERAS -3 PAX-(Sem. 12 al 18/03)-BARILOCHE</t>
  </si>
  <si>
    <t>GRUPO-DOS57- JORNALEROS 4- PAX- (Sem.12  al 18/03)</t>
  </si>
  <si>
    <t>TRAILER ($ 154.500)+ KJR ($61.500)</t>
  </si>
  <si>
    <t>GRUPO-DOS57- FREE-1 PAX-(Sem.12 al 18/03)</t>
  </si>
  <si>
    <t>REPOSICION  GASTOS CAJA POLLO</t>
  </si>
  <si>
    <t>EQUIPO FOFI 12-PAX (Sem. 12 AL 18/03)</t>
  </si>
  <si>
    <t>PSICOFISICO ALEJANDRO P/ RENOV. CARNET</t>
  </si>
  <si>
    <t>FOFI /10-PAX</t>
  </si>
  <si>
    <t>EQUIPO JONAS-8 PAX-( Sem. 12 AL 19/03)</t>
  </si>
  <si>
    <t>JONAS/ EQUIPO X 7/10</t>
  </si>
  <si>
    <t>EQUIPO NESTOR 5 PAX - KEMPES ( 18/03-1 jornal)</t>
  </si>
  <si>
    <t>1 JORNAL</t>
  </si>
  <si>
    <t>ADELANTO 1/2 QUINC- FURIA/MANOLO/DAVID</t>
  </si>
  <si>
    <t> $  145,000.00 </t>
  </si>
  <si>
    <t>CAMION WV-NEGRO</t>
  </si>
  <si>
    <t>ENERO (19 -01  AL 25-1) 2026</t>
  </si>
  <si>
    <t>CAJA LUIS 2- VIAJE B.S AS-COMBUSTIBLE+ CAJA CARLOS -BS.AS</t>
  </si>
  <si>
    <t> $  1,460,700.00 </t>
  </si>
  <si>
    <t>VIAJE 18/03+19/03</t>
  </si>
  <si>
    <t>REPOSICION GASTOS POLLO+TRANSF.</t>
  </si>
  <si>
    <t>GRUPO FAUSTERAS -5 PAX-(SEM. 15 AL 21-01-25)</t>
  </si>
  <si>
    <t>GRUPO-DOS57- JORNALEROS 2- PAX- (SEM. 15 AL 21-01-25)</t>
  </si>
  <si>
    <t>TRANSF. MIGUEL +GASTOS $ 25.000</t>
  </si>
  <si>
    <t>GRUPO-DOS57- FREE-2 PAX- (SEM. 15 AL 21-01-25)</t>
  </si>
  <si>
    <t>SALDO RESERVA ( $ 567.500,00)</t>
  </si>
  <si>
    <t>CAJA MATIAS-RANGER</t>
  </si>
  <si>
    <t>SALDO</t>
  </si>
  <si>
    <t>CAJA MATIAS-18/03</t>
  </si>
  <si>
    <t>EQUIPO FOFI- 5-9-PAX- (SEM- 15 al 21-01-2026)</t>
  </si>
  <si>
    <t>FEBRERO (16  AL 22) 2026</t>
  </si>
  <si>
    <t>ADELANTO EQUIPO DOS57</t>
  </si>
  <si>
    <t>PAGO FLOR EVENTO-BUM BUM</t>
  </si>
  <si>
    <t>VIATICOS EXTRANJERO-X 3 PAX-( SEM. 22 AL 29)-X 7 DIAS</t>
  </si>
  <si>
    <t>GRUPO FAUSTERAS -5 PAX-(Sem. 12 al 18/02)</t>
  </si>
  <si>
    <t>GRUPO-DOS57- JORNALEROS 3- PAX- (Sem.12 al 18/02)</t>
  </si>
  <si>
    <t>GRUPO-DOS57- FREE-2 PAX-(Sem.12 al 18/02)</t>
  </si>
  <si>
    <t>FABRICIO/FRANCO/NICOLAS</t>
  </si>
  <si>
    <t>EQUIPO FOFI-4/9-PAX(Sem. 12 al 18/02)</t>
  </si>
  <si>
    <t>VIATICOS MORAS-X 10 PAX-( SEM. 22 AL 29)-X 7 DIAS</t>
  </si>
  <si>
    <t>EQUIPO NESTOR 12 PAX -C.ROCK-(Sem.12 al 18/02)+ 4 EXTRAS</t>
  </si>
  <si>
    <t>VIATICOS EXTRANJERO-X 3 PAX-( SEM. 19 AL 25 -02)-X 7 DIAS</t>
  </si>
  <si>
    <t>GUILLE/MAT/JONAS/ EVER/EZE/JOSET/MAURICIO/CESAR/ 2PAX</t>
  </si>
  <si>
    <t>CAJA FLOR-EVENTO C ROCK.26</t>
  </si>
  <si>
    <t>MARZO (23  AL 29-03) 2026</t>
  </si>
  <si>
    <t>CAJA MARIO-CROCK.26</t>
  </si>
  <si>
    <t>VIATICOS MORAS-X 7 PAX-( SEM. 19 AL 25-02)-X 7 DIAS</t>
  </si>
  <si>
    <t xml:space="preserve">SOLICITA X MARIO </t>
  </si>
  <si>
    <t>CAJA CHICA - AQUA BREN (POLO+CR.26)+VIANDAS.FURIA MANOLO+GASTOS VARIOS</t>
  </si>
  <si>
    <t xml:space="preserve">CAJA CAMIONEROS-ALEJANDRO+LUIS </t>
  </si>
  <si>
    <t>COMBUSTIBLE X 2 CAMIONES REGRESO BS.AS (ALEJANDRO+ LUIS)</t>
  </si>
  <si>
    <t>GRUPO FAUSTERAS -2 PAX-(Sem. 19 al 25/03)</t>
  </si>
  <si>
    <t>TRANSF.ANDREA</t>
  </si>
  <si>
    <t> $  472,000.00 </t>
  </si>
  <si>
    <t>GUILLE/MATIAS/JONAS/ EVER/JOSET/MAURICIO/CESAR</t>
  </si>
  <si>
    <t>VIATICOS KROSTY-X 2 PAX-( SEM. 19 AL 25-02)-X 7 DIAS</t>
  </si>
  <si>
    <t>GRUPO-DOS57- JORNALEROS 4- PAX- (Sem.19  al 25/03)</t>
  </si>
  <si>
    <t>ADELANTO QUINCENAL FURIA/ MANOLO/ DAVID</t>
  </si>
  <si>
    <t>ENERO (26  -01  AL  31-01) 2026</t>
  </si>
  <si>
    <t>GRUPO FAUSTERAS -5 PAX-(SEM. 22 AL 28-01-25)</t>
  </si>
  <si>
    <t xml:space="preserve">ADELANTO FLORENCIA </t>
  </si>
  <si>
    <t>GRUPO-DOS57- FREE-1 PAX-(Sem.19 al 25/03)</t>
  </si>
  <si>
    <t>BIDONES EXTRA COSQUIN + LA ANGOSTURA (20 BIDONES)</t>
  </si>
  <si>
    <t>CAJA CHICA -DAVID-</t>
  </si>
  <si>
    <t>EQUIPO FOFI 12-PAX (Sem. 19 AL 25/03)</t>
  </si>
  <si>
    <t>GRUPO-DOS57- JORNALEROS 2- PAX- (SEM. 22 AL 28-01-25)</t>
  </si>
  <si>
    <t>TRANSF.FOFI</t>
  </si>
  <si>
    <t>GRUPO-DOS57- FREE-2 PAX- (SEM. 22 AL 28-01-25)</t>
  </si>
  <si>
    <t>EQUIPO JONAS-8 PAX-( Sem. 19 AL 25/03)</t>
  </si>
  <si>
    <t>TRANSF. JONA</t>
  </si>
  <si>
    <t>EQUIPO FOFI-5/9-PAX- (SEM- 22 al 28-01-2026)</t>
  </si>
  <si>
    <t>EQUIPO NESTOR 5 PAX - KEMPES/ LETAPE-(Sem.19 al 25/03)</t>
  </si>
  <si>
    <t>CAJA MARIO LA ANGOSTURA</t>
  </si>
  <si>
    <t>TRANSF. NESTOR</t>
  </si>
  <si>
    <t>EQUIPO NESTOR 4 PAX ( SEM-23 AL 24-01-25)</t>
  </si>
  <si>
    <t>CAJA SEMANAL DAVID (-26 AL 31-01-26)</t>
  </si>
  <si>
    <t>VIATICO X 4 PAX MORAS+EXTRANJERO-x 7 dias( 27 al 2-04)</t>
  </si>
  <si>
    <t> $  593,870.00 </t>
  </si>
  <si>
    <t>VIATICOS EXTRANJERO-X 3 PAX-( SEM. 29 AL 4-02)-X 7 DIAS</t>
  </si>
  <si>
    <t>TRANSF. FLOR</t>
  </si>
  <si>
    <t>VIATICOS MORAS-X 8 PAX-( SEM. 29 AL 4-02)-X 7 DIAS</t>
  </si>
  <si>
    <t>FEBRERO (23  AL 28-02) 2026</t>
  </si>
  <si>
    <t>VIATICOS KROSTY-X 3 PAX-( SEM. 29 AL 4-02)-X 7 DIAS</t>
  </si>
  <si>
    <t xml:space="preserve">GRUPO-DOS57- JORNALEROS 4- PAX- </t>
  </si>
  <si>
    <t>ADELANTO FLORENCIA GOMEZ</t>
  </si>
  <si>
    <t>GRUPO-DOS57- FREE-2 PAX-(Sem.19 al 25/02)</t>
  </si>
  <si>
    <t>EQUIPO FOFI 12-PAX (Sem. 26 al 5/03)</t>
  </si>
  <si>
    <t>DEVOLUC. CAJA POLLO</t>
  </si>
  <si>
    <t>OSCAR ELECTRICISTA -REP. 2 GRUPO ELECTROGENOS-DAVID</t>
  </si>
  <si>
    <t>OSCAR ELECTRICSTA-REPARACION TRAILER N°2 (LLEVA DAVID)</t>
  </si>
  <si>
    <t>SALDO- (MONTO TOTAL $ 6.865.000)</t>
  </si>
  <si>
    <t>VIATICOS EXTRANJERO-X 2 PAX-( SEM. 26 AL 04 -03)-X 7 DIAS</t>
  </si>
  <si>
    <t> $  696,000.00 </t>
  </si>
  <si>
    <t>FABRICIO/NICOLAS/FRANCO/CATRIEL</t>
  </si>
  <si>
    <t>VIATICOS MORAS-X 7 PAX-( SEM.  AL 26-02 AL 04-03)-X 7 DIAS</t>
  </si>
  <si>
    <t>CAJA CHICA -DAVID (SEM. 23/03 AL 30/03) REPOSICION SEMANAL</t>
  </si>
  <si>
    <t>VIATICO KROSTY X 2 PÁX (SEM. 26 AL 4-03)</t>
  </si>
  <si>
    <t>VIATICO BRUJAS X 6 PAX ( SEM. 26 AL 4-03)</t>
  </si>
  <si>
    <t>PREMIO LETAP-X 5 PAX- ENJOY</t>
  </si>
  <si>
    <t>CAJA FLORENCIA -BS.AS</t>
  </si>
  <si>
    <t>REPOS. SEMANA 1/04</t>
  </si>
  <si>
    <t>CAJA LUIS COMBUSTIBLE</t>
  </si>
  <si>
    <t>Transferencias</t>
  </si>
  <si>
    <t>-$  8,850,000.00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</si>
</sst>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$&quot;\ * #,##0.00_-;\-&quot;$&quot;\ * #,##0.00_-;_-&quot;$&quot;\ * &quot;-&quot;??_-;_-@"/>
    <numFmt numFmtId="165" formatCode="dddd d/m"/>
  </numFmts>
  <fonts count="59">
    <font>
      <sz val="11.0"/>
      <color theme="1"/>
      <name val="Calibri"/>
      <scheme val="minor"/>
    </font>
    <font>
      <b/>
      <sz val="14.0"/>
      <color rgb="FFFFFFFF"/>
      <name val="Calibri"/>
    </font>
    <font>
      <b/>
      <sz val="15.0"/>
      <color rgb="FFFFFFFF"/>
      <name val="Calibri"/>
    </font>
    <font/>
    <font>
      <b/>
      <sz val="10.0"/>
      <color rgb="FFFFFFFF"/>
      <name val="Calibri"/>
    </font>
    <font>
      <b/>
      <sz val="10.0"/>
      <color rgb="FFFFFFFF"/>
      <name val="Calibri"/>
      <scheme val="minor"/>
    </font>
    <font>
      <b/>
      <sz val="10.0"/>
      <color rgb="FF0000FF"/>
      <name val="Calibri"/>
    </font>
    <font>
      <b/>
      <sz val="11.0"/>
      <color rgb="FF000000"/>
      <name val="Calibri"/>
    </font>
    <font>
      <b/>
      <sz val="9.0"/>
      <color rgb="FFFF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sz val="9.0"/>
      <color rgb="FF000000"/>
      <name val="Calibri"/>
    </font>
    <font>
      <sz val="10.0"/>
      <color rgb="FF000000"/>
      <name val="Calibri"/>
    </font>
    <font>
      <b/>
      <sz val="9.0"/>
      <color rgb="FF000000"/>
      <name val="Calibri"/>
    </font>
    <font>
      <b/>
      <sz val="10.0"/>
      <color rgb="FF1C4587"/>
      <name val="Calibri"/>
    </font>
    <font>
      <b/>
      <sz val="11.0"/>
      <color rgb="FF1C4587"/>
      <name val="Calibri"/>
    </font>
    <font>
      <sz val="9.0"/>
      <color rgb="FF351C75"/>
      <name val="Calibri"/>
    </font>
    <font>
      <b/>
      <sz val="10.0"/>
      <color rgb="FFFF0000"/>
      <name val="Calibri"/>
    </font>
    <font>
      <sz val="11.0"/>
      <color rgb="FF000000"/>
      <name val="Calibri"/>
    </font>
    <font>
      <b/>
      <sz val="11.0"/>
      <color rgb="FFFF0000"/>
      <name val="Calibri"/>
    </font>
    <font>
      <b/>
      <sz val="13.0"/>
      <color rgb="FF000000"/>
      <name val="Calibri"/>
    </font>
    <font>
      <b/>
      <sz val="12.0"/>
      <color theme="1"/>
      <name val="Calibri"/>
    </font>
    <font>
      <b/>
      <sz val="12.0"/>
      <color rgb="FFFFFFFF"/>
      <name val="Calibri"/>
    </font>
    <font>
      <sz val="10.0"/>
      <color rgb="FFFF0000"/>
      <name val="Calibri"/>
    </font>
    <font>
      <b/>
      <sz val="12.0"/>
      <color rgb="FFFF0000"/>
      <name val="Calibri"/>
    </font>
    <font>
      <b/>
      <sz val="13.0"/>
      <color theme="1"/>
      <name val="Calibri"/>
      <scheme val="minor"/>
    </font>
    <font>
      <b/>
      <sz val="13.0"/>
      <color rgb="FFFF0000"/>
      <name val="Calibri"/>
    </font>
    <font>
      <b/>
      <sz val="12.0"/>
      <color theme="1"/>
      <name val="Calibri"/>
      <scheme val="minor"/>
    </font>
    <font>
      <b/>
      <sz val="11.0"/>
      <color rgb="FF0000FF"/>
      <name val="Calibri"/>
    </font>
    <font>
      <color theme="1"/>
      <name val="Calibri"/>
      <scheme val="minor"/>
    </font>
    <font>
      <sz val="11.0"/>
      <color rgb="FFFF0000"/>
      <name val="Calibri"/>
    </font>
    <font>
      <sz val="10.0"/>
      <color theme="1"/>
      <name val="Calibri"/>
    </font>
    <font>
      <b/>
      <sz val="12.0"/>
      <color rgb="FF000000"/>
      <name val="Calibri"/>
    </font>
    <font>
      <b/>
      <sz val="9.0"/>
      <color rgb="FF0000FF"/>
      <name val="Calibri"/>
    </font>
    <font>
      <b/>
      <sz val="13.0"/>
      <color rgb="FFFF0000"/>
      <name val="Calibri"/>
      <scheme val="minor"/>
    </font>
    <font>
      <b/>
      <sz val="10.0"/>
      <color rgb="FF351C75"/>
      <name val="Calibri"/>
    </font>
    <font>
      <b/>
      <sz val="11.0"/>
      <color rgb="FF351C75"/>
      <name val="Calibri"/>
    </font>
    <font>
      <b/>
      <sz val="13.0"/>
      <color rgb="FFFFFFFF"/>
      <name val="Calibri"/>
    </font>
    <font>
      <sz val="10.0"/>
      <color rgb="FF351C75"/>
      <name val="Calibri"/>
    </font>
    <font>
      <sz val="11.0"/>
      <color rgb="FF351C75"/>
      <name val="Calibri"/>
    </font>
    <font>
      <b/>
      <sz val="12.0"/>
      <color rgb="FF000000"/>
      <name val="Calibri"/>
      <scheme val="minor"/>
    </font>
    <font>
      <sz val="12.0"/>
      <color rgb="FF000000"/>
      <name val="Calibri"/>
    </font>
    <font>
      <sz val="9.0"/>
      <color theme="1"/>
      <name val="Calibri"/>
    </font>
    <font>
      <b/>
      <color rgb="FF274E13"/>
      <name val="Calibri"/>
      <scheme val="minor"/>
    </font>
    <font>
      <sz val="9.0"/>
      <color theme="1"/>
      <name val="Calibri"/>
      <scheme val="minor"/>
    </font>
    <font>
      <b/>
      <color theme="1"/>
      <name val="Calibri"/>
      <scheme val="minor"/>
    </font>
    <font>
      <b/>
      <sz val="12.0"/>
      <color rgb="FF274E13"/>
      <name val="Calibri"/>
      <scheme val="minor"/>
    </font>
    <font>
      <sz val="11.0"/>
      <color theme="1"/>
      <name val="Calibri"/>
    </font>
    <font>
      <b/>
      <color rgb="FFFF0000"/>
      <name val="Calibri"/>
      <scheme val="minor"/>
    </font>
    <font>
      <b/>
      <color rgb="FF000000"/>
      <name val="Calibri"/>
      <scheme val="minor"/>
    </font>
    <font>
      <b/>
      <sz val="10.0"/>
      <color rgb="FF38761D"/>
      <name val="Calibri"/>
    </font>
    <font>
      <b/>
      <sz val="11.0"/>
      <color rgb="FF38761D"/>
      <name val="Calibri"/>
    </font>
    <font>
      <b/>
      <sz val="11.0"/>
      <color rgb="FFFFFFFF"/>
      <name val="Calibri"/>
    </font>
    <font>
      <b/>
      <sz val="11.0"/>
      <color rgb="FF2B2B2B"/>
      <name val="Calibri"/>
    </font>
    <font>
      <b/>
      <u/>
      <sz val="10.0"/>
      <color rgb="FFFF0000"/>
      <name val="Calibri"/>
    </font>
    <font>
      <b/>
      <sz val="10.0"/>
      <color rgb="FF000000"/>
      <name val="Calibri"/>
      <scheme val="minor"/>
    </font>
    <font>
      <b/>
      <u/>
      <sz val="10.0"/>
      <color rgb="FF000000"/>
      <name val="Calibri"/>
    </font>
    <font>
      <color rgb="FFFFFFFF"/>
      <name val="Calibri"/>
      <scheme val="minor"/>
    </font>
    <font>
      <b/>
      <sz val="12.0"/>
      <color rgb="FFFFFFFF"/>
      <name val="Calibri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EEAF6"/>
        <bgColor rgb="FFDEEAF6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2" numFmtId="0" xfId="0" applyAlignment="1" applyBorder="1" applyFill="1" applyFont="1">
      <alignment horizontal="center" readingOrder="0" vertical="center"/>
    </xf>
    <xf borderId="3" fillId="3" fontId="3" numFmtId="0" xfId="0" applyBorder="1" applyFill="1" applyFont="1"/>
    <xf borderId="1" fillId="2" fontId="4" numFmtId="0" xfId="0" applyAlignment="1" applyBorder="1" applyFill="1" applyFont="1">
      <alignment horizontal="center" readingOrder="0" vertical="center"/>
    </xf>
    <xf borderId="0" fillId="2" fontId="5" numFmtId="0" xfId="0" applyAlignment="1" applyFill="1" applyFont="1">
      <alignment horizontal="center" readingOrder="0" vertical="center"/>
    </xf>
    <xf borderId="4" fillId="4" fontId="6" numFmtId="0" xfId="0" applyAlignment="1" applyBorder="1" applyFill="1" applyFont="1">
      <alignment readingOrder="0"/>
    </xf>
    <xf borderId="5" fillId="4" fontId="7" numFmtId="164" xfId="0" applyAlignment="1" applyBorder="1" applyFill="1" applyFont="1" applyNumberFormat="1">
      <alignment horizontal="center" readingOrder="0"/>
    </xf>
    <xf borderId="1" fillId="4" fontId="8" numFmtId="164" xfId="0" applyAlignment="1" applyBorder="1" applyFill="1" applyFont="1" applyNumberFormat="1">
      <alignment horizontal="center" readingOrder="0" vertical="center"/>
    </xf>
    <xf borderId="1" fillId="4" fontId="7" numFmtId="164" xfId="0" applyAlignment="1" applyBorder="1" applyFill="1" applyFont="1" applyNumberFormat="1">
      <alignment horizontal="center" readingOrder="0"/>
    </xf>
    <xf borderId="4" fillId="4" fontId="9" numFmtId="0" xfId="0" applyAlignment="1" applyBorder="1" applyFill="1" applyFont="1">
      <alignment readingOrder="0"/>
    </xf>
    <xf borderId="4" fillId="4" fontId="10" numFmtId="0" xfId="0" applyAlignment="1" applyBorder="1" applyFill="1" applyFont="1">
      <alignment readingOrder="0"/>
    </xf>
    <xf borderId="1" fillId="4" fontId="11" numFmtId="164" xfId="0" applyAlignment="1" applyBorder="1" applyFill="1" applyFont="1" applyNumberFormat="1">
      <alignment horizontal="center" readingOrder="0" vertical="center"/>
    </xf>
    <xf borderId="1" fillId="4" fontId="12" numFmtId="164" xfId="0" applyAlignment="1" applyBorder="1" applyFill="1" applyFont="1" applyNumberFormat="1">
      <alignment horizontal="center" readingOrder="0" vertical="center"/>
    </xf>
    <xf borderId="5" fillId="4" fontId="7" numFmtId="164" xfId="0" applyAlignment="1" applyBorder="1" applyFill="1" applyFont="1" applyNumberFormat="1">
      <alignment horizontal="center" readingOrder="0" shrinkToFit="0" wrapText="1"/>
    </xf>
    <xf borderId="4" fillId="4" fontId="9" numFmtId="0" xfId="0" applyAlignment="1" applyBorder="1" applyFill="1" applyFont="1">
      <alignment readingOrder="0" vertical="center"/>
    </xf>
    <xf borderId="1" fillId="4" fontId="13" numFmtId="164" xfId="0" applyAlignment="1" applyBorder="1" applyFill="1" applyFont="1" applyNumberFormat="1">
      <alignment horizontal="center" readingOrder="0" shrinkToFit="0" vertical="center" wrapText="1"/>
    </xf>
    <xf borderId="5" fillId="4" fontId="7" numFmtId="164" xfId="0" applyAlignment="1" applyBorder="1" applyFill="1" applyFont="1" applyNumberFormat="1">
      <alignment horizontal="center" readingOrder="0" shrinkToFit="0" vertical="center" wrapText="1"/>
    </xf>
    <xf borderId="1" fillId="4" fontId="7" numFmtId="164" xfId="0" applyAlignment="1" applyBorder="1" applyFill="1" applyFont="1" applyNumberFormat="1">
      <alignment horizontal="center" readingOrder="0" shrinkToFit="0" vertical="center" wrapText="1"/>
    </xf>
    <xf borderId="1" fillId="4" fontId="7" numFmtId="164" xfId="0" applyAlignment="1" applyBorder="1" applyFill="1" applyFont="1" applyNumberFormat="1">
      <alignment horizontal="center" readingOrder="0" shrinkToFit="0" wrapText="1"/>
    </xf>
    <xf borderId="4" fillId="4" fontId="9" numFmtId="0" xfId="0" applyAlignment="1" applyBorder="1" applyFill="1" applyFont="1">
      <alignment horizontal="left" readingOrder="0" vertical="center"/>
    </xf>
    <xf borderId="1" fillId="4" fontId="13" numFmtId="164" xfId="0" applyAlignment="1" applyBorder="1" applyFill="1" applyFont="1" applyNumberFormat="1">
      <alignment horizontal="center" readingOrder="0" vertical="center"/>
    </xf>
    <xf borderId="4" fillId="4" fontId="14" numFmtId="0" xfId="0" applyAlignment="1" applyBorder="1" applyFill="1" applyFont="1">
      <alignment horizontal="left" readingOrder="0" vertical="center"/>
    </xf>
    <xf borderId="1" fillId="4" fontId="9" numFmtId="0" xfId="0" applyAlignment="1" applyBorder="1" applyFill="1" applyFont="1">
      <alignment horizontal="left" readingOrder="0" vertical="center"/>
    </xf>
    <xf borderId="6" fillId="4" fontId="7" numFmtId="164" xfId="0" applyAlignment="1" applyBorder="1" applyFill="1" applyFont="1" applyNumberFormat="1">
      <alignment horizontal="center" readingOrder="0" shrinkToFit="0" wrapText="1"/>
    </xf>
    <xf borderId="1" fillId="4" fontId="9" numFmtId="164" xfId="0" applyAlignment="1" applyBorder="1" applyFill="1" applyFont="1" applyNumberFormat="1">
      <alignment horizontal="center" readingOrder="0" vertical="center"/>
    </xf>
    <xf borderId="6" fillId="4" fontId="15" numFmtId="164" xfId="0" applyAlignment="1" applyBorder="1" applyFill="1" applyFont="1" applyNumberFormat="1">
      <alignment horizontal="center" readingOrder="0"/>
    </xf>
    <xf borderId="6" fillId="4" fontId="7" numFmtId="164" xfId="0" applyAlignment="1" applyBorder="1" applyFill="1" applyFont="1" applyNumberFormat="1">
      <alignment horizontal="center" readingOrder="0"/>
    </xf>
    <xf borderId="1" fillId="4" fontId="14" numFmtId="164" xfId="0" applyAlignment="1" applyBorder="1" applyFill="1" applyFont="1" applyNumberFormat="1">
      <alignment horizontal="center" readingOrder="0" vertical="center"/>
    </xf>
    <xf borderId="6" fillId="4" fontId="7" numFmtId="164" xfId="0" applyAlignment="1" applyBorder="1" applyFill="1" applyFont="1" applyNumberFormat="1">
      <alignment horizontal="center" readingOrder="0" shrinkToFit="0" vertical="center" wrapText="1"/>
    </xf>
    <xf borderId="1" fillId="4" fontId="16" numFmtId="164" xfId="0" applyAlignment="1" applyBorder="1" applyFill="1" applyFont="1" applyNumberFormat="1">
      <alignment horizontal="center" readingOrder="0" vertical="center"/>
    </xf>
    <xf borderId="1" fillId="4" fontId="17" numFmtId="0" xfId="0" applyAlignment="1" applyBorder="1" applyFill="1" applyFont="1">
      <alignment horizontal="left" readingOrder="0" shrinkToFit="0" vertical="center" wrapText="0"/>
    </xf>
    <xf borderId="1" fillId="4" fontId="9" numFmtId="164" xfId="0" applyAlignment="1" applyBorder="1" applyFill="1" applyFont="1" applyNumberFormat="1">
      <alignment horizontal="center" readingOrder="0" shrinkToFit="0" vertical="center" wrapText="1"/>
    </xf>
    <xf borderId="1" fillId="4" fontId="18" numFmtId="164" xfId="0" applyAlignment="1" applyBorder="1" applyFill="1" applyFont="1" applyNumberFormat="1">
      <alignment horizontal="center" readingOrder="0" shrinkToFit="0" vertical="center" wrapText="1"/>
    </xf>
    <xf borderId="6" fillId="4" fontId="19" numFmtId="164" xfId="0" applyAlignment="1" applyBorder="1" applyFill="1" applyFont="1" applyNumberFormat="1">
      <alignment horizontal="center" readingOrder="0" shrinkToFit="0" vertical="center" wrapText="1"/>
    </xf>
    <xf borderId="1" fillId="4" fontId="17" numFmtId="164" xfId="0" applyAlignment="1" applyBorder="1" applyFill="1" applyFont="1" applyNumberFormat="1">
      <alignment horizontal="center" readingOrder="0" shrinkToFit="0" vertical="center" wrapText="0"/>
    </xf>
    <xf borderId="1" fillId="5" fontId="9" numFmtId="0" xfId="0" applyAlignment="1" applyBorder="1" applyFill="1" applyFont="1">
      <alignment horizontal="right" readingOrder="0" shrinkToFit="0" vertical="center" wrapText="0"/>
    </xf>
    <xf borderId="1" fillId="4" fontId="19" numFmtId="164" xfId="0" applyAlignment="1" applyBorder="1" applyFill="1" applyFont="1" applyNumberFormat="1">
      <alignment horizontal="center" readingOrder="0" shrinkToFit="0" vertical="center" wrapText="1"/>
    </xf>
    <xf borderId="6" fillId="5" fontId="20" numFmtId="164" xfId="0" applyAlignment="1" applyBorder="1" applyFill="1" applyFont="1" applyNumberFormat="1">
      <alignment horizontal="center" readingOrder="0" shrinkToFit="0" vertical="center" wrapText="0"/>
    </xf>
    <xf borderId="1" fillId="4" fontId="11" numFmtId="164" xfId="0" applyAlignment="1" applyBorder="1" applyFill="1" applyFont="1" applyNumberFormat="1">
      <alignment horizontal="center" readingOrder="0" shrinkToFit="0" vertical="center" wrapText="1"/>
    </xf>
    <xf borderId="1" fillId="5" fontId="21" numFmtId="164" xfId="0" applyAlignment="1" applyBorder="1" applyFill="1" applyFont="1" applyNumberFormat="1">
      <alignment horizontal="center" readingOrder="0"/>
    </xf>
    <xf borderId="1" fillId="4" fontId="9" numFmtId="0" xfId="0" applyAlignment="1" applyBorder="1" applyFill="1" applyFont="1">
      <alignment horizontal="left" readingOrder="0" shrinkToFit="0" vertical="center" wrapText="0"/>
    </xf>
    <xf borderId="1" fillId="6" fontId="9" numFmtId="0" xfId="0" applyAlignment="1" applyBorder="1" applyFill="1" applyFont="1">
      <alignment horizontal="center" readingOrder="0" shrinkToFit="0" vertical="center" wrapText="0"/>
    </xf>
    <xf borderId="6" fillId="4" fontId="19" numFmtId="164" xfId="0" applyAlignment="1" applyBorder="1" applyFill="1" applyFont="1" applyNumberFormat="1">
      <alignment horizontal="center" readingOrder="0" shrinkToFit="0" wrapText="0"/>
    </xf>
    <xf borderId="1" fillId="6" fontId="20" numFmtId="164" xfId="0" applyAlignment="1" applyBorder="1" applyFill="1" applyFont="1" applyNumberFormat="1">
      <alignment horizontal="center" readingOrder="0" shrinkToFit="0" vertical="center" wrapText="0"/>
    </xf>
    <xf borderId="1" fillId="4" fontId="21" numFmtId="164" xfId="0" applyAlignment="1" applyBorder="1" applyFill="1" applyFont="1" applyNumberFormat="1">
      <alignment horizontal="center" readingOrder="0"/>
    </xf>
    <xf borderId="1" fillId="6" fontId="22" numFmtId="0" xfId="0" applyAlignment="1" applyBorder="1" applyFill="1" applyFont="1">
      <alignment horizontal="center" readingOrder="0"/>
    </xf>
    <xf borderId="1" fillId="5" fontId="9" numFmtId="0" xfId="0" applyAlignment="1" applyBorder="1" applyFill="1" applyFont="1">
      <alignment horizontal="center" readingOrder="0" shrinkToFit="0" vertical="center" wrapText="0"/>
    </xf>
    <xf borderId="0" fillId="7" fontId="9" numFmtId="0" xfId="0" applyAlignment="1" applyFill="1" applyFont="1">
      <alignment horizontal="center" readingOrder="0" shrinkToFit="0" vertical="center" wrapText="0"/>
    </xf>
    <xf borderId="6" fillId="7" fontId="20" numFmtId="164" xfId="0" applyAlignment="1" applyBorder="1" applyFill="1" applyFont="1" applyNumberFormat="1">
      <alignment horizontal="center" readingOrder="0" shrinkToFit="0" vertical="center" wrapText="0"/>
    </xf>
    <xf borderId="6" fillId="5" fontId="20" numFmtId="164" xfId="0" applyAlignment="1" applyBorder="1" applyFill="1" applyFont="1" applyNumberFormat="1">
      <alignment horizontal="center" readingOrder="0" shrinkToFit="0" wrapText="0"/>
    </xf>
    <xf borderId="1" fillId="4" fontId="23" numFmtId="164" xfId="0" applyAlignment="1" applyBorder="1" applyFill="1" applyFont="1" applyNumberFormat="1">
      <alignment horizontal="center" readingOrder="0"/>
    </xf>
    <xf borderId="1" fillId="8" fontId="9" numFmtId="0" xfId="0" applyAlignment="1" applyBorder="1" applyFill="1" applyFont="1">
      <alignment horizontal="center" readingOrder="0" shrinkToFit="0" vertical="center" wrapText="0"/>
    </xf>
    <xf borderId="6" fillId="4" fontId="19" numFmtId="164" xfId="0" applyAlignment="1" applyBorder="1" applyFill="1" applyFont="1" applyNumberFormat="1">
      <alignment horizontal="center" readingOrder="0" shrinkToFit="0" wrapText="1"/>
    </xf>
    <xf borderId="1" fillId="8" fontId="20" numFmtId="164" xfId="0" applyAlignment="1" applyBorder="1" applyFill="1" applyFont="1" applyNumberFormat="1">
      <alignment horizontal="center" readingOrder="0" shrinkToFit="0" wrapText="0"/>
    </xf>
    <xf borderId="0" fillId="7" fontId="22" numFmtId="0" xfId="0" applyAlignment="1" applyFill="1" applyFont="1">
      <alignment horizontal="center" readingOrder="0"/>
    </xf>
    <xf borderId="1" fillId="8" fontId="10" numFmtId="0" xfId="0" applyAlignment="1" applyBorder="1" applyFill="1" applyFont="1">
      <alignment horizontal="center" readingOrder="0" shrinkToFit="0" vertical="center" wrapText="1"/>
    </xf>
    <xf borderId="6" fillId="4" fontId="7" numFmtId="164" xfId="0" applyAlignment="1" applyBorder="1" applyFill="1" applyFont="1" applyNumberFormat="1">
      <alignment horizontal="center" readingOrder="0" shrinkToFit="0" wrapText="0"/>
    </xf>
    <xf borderId="1" fillId="8" fontId="17" numFmtId="0" xfId="0" applyAlignment="1" applyBorder="1" applyFill="1" applyFont="1">
      <alignment horizontal="right" readingOrder="0" shrinkToFit="0" vertical="center" wrapText="0"/>
    </xf>
    <xf borderId="1" fillId="4" fontId="24" numFmtId="164" xfId="0" applyAlignment="1" applyBorder="1" applyFill="1" applyFont="1" applyNumberFormat="1">
      <alignment horizontal="center" readingOrder="0"/>
    </xf>
    <xf borderId="0" fillId="7" fontId="25" numFmtId="0" xfId="0" applyAlignment="1" applyFill="1" applyFont="1">
      <alignment horizontal="right" readingOrder="0"/>
    </xf>
    <xf borderId="1" fillId="4" fontId="1" numFmtId="0" xfId="0" applyAlignment="1" applyBorder="1" applyFill="1" applyFont="1">
      <alignment horizontal="center" readingOrder="0" vertical="center"/>
    </xf>
    <xf borderId="6" fillId="4" fontId="2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readingOrder="0" vertical="center"/>
    </xf>
    <xf borderId="1" fillId="8" fontId="26" numFmtId="164" xfId="0" applyAlignment="1" applyBorder="1" applyFill="1" applyFont="1" applyNumberFormat="1">
      <alignment horizontal="center" readingOrder="0" shrinkToFit="0" vertical="center" wrapText="0"/>
    </xf>
    <xf borderId="1" fillId="6" fontId="17" numFmtId="0" xfId="0" applyAlignment="1" applyBorder="1" applyFill="1" applyFont="1">
      <alignment horizontal="center" readingOrder="0" shrinkToFit="0" vertical="center" wrapText="0"/>
    </xf>
    <xf borderId="1" fillId="6" fontId="19" numFmtId="164" xfId="0" applyAlignment="1" applyBorder="1" applyFill="1" applyFont="1" applyNumberFormat="1">
      <alignment horizontal="center" readingOrder="0"/>
    </xf>
    <xf borderId="0" fillId="7" fontId="25" numFmtId="164" xfId="0" applyFill="1" applyFont="1" applyNumberFormat="1"/>
    <xf borderId="0" fillId="7" fontId="25" numFmtId="0" xfId="0" applyFill="1" applyFont="1"/>
    <xf borderId="1" fillId="8" fontId="17" numFmtId="0" xfId="0" applyAlignment="1" applyBorder="1" applyFill="1" applyFont="1">
      <alignment horizontal="center" readingOrder="0" vertical="center"/>
    </xf>
    <xf borderId="1" fillId="6" fontId="21" numFmtId="0" xfId="0" applyAlignment="1" applyBorder="1" applyFill="1" applyFont="1">
      <alignment horizontal="center" readingOrder="0"/>
    </xf>
    <xf borderId="1" fillId="0" fontId="27" numFmtId="0" xfId="0" applyAlignment="1" applyBorder="1" applyFont="1">
      <alignment horizontal="right" readingOrder="0"/>
    </xf>
    <xf borderId="4" fillId="4" fontId="6" numFmtId="0" xfId="0" applyAlignment="1" applyBorder="1" applyFill="1" applyFont="1">
      <alignment horizontal="left" readingOrder="0" vertical="center"/>
    </xf>
    <xf borderId="6" fillId="4" fontId="28" numFmtId="164" xfId="0" applyAlignment="1" applyBorder="1" applyFill="1" applyFont="1" applyNumberFormat="1">
      <alignment horizontal="center" readingOrder="0"/>
    </xf>
    <xf borderId="1" fillId="4" fontId="6" numFmtId="164" xfId="0" applyAlignment="1" applyBorder="1" applyFill="1" applyFont="1" applyNumberFormat="1">
      <alignment horizontal="center" readingOrder="0" vertical="center"/>
    </xf>
    <xf borderId="1" fillId="0" fontId="27" numFmtId="164" xfId="0" applyBorder="1" applyFont="1" applyNumberFormat="1"/>
    <xf borderId="1" fillId="4" fontId="17" numFmtId="164" xfId="0" applyAlignment="1" applyBorder="1" applyFill="1" applyFont="1" applyNumberFormat="1">
      <alignment horizontal="center" readingOrder="0" vertical="center"/>
    </xf>
    <xf borderId="1" fillId="0" fontId="29" numFmtId="0" xfId="0" applyBorder="1" applyFont="1"/>
    <xf borderId="4" fillId="4" fontId="9" numFmtId="0" xfId="0" applyAlignment="1" applyBorder="1" applyFill="1" applyFont="1">
      <alignment horizontal="left" readingOrder="0" shrinkToFit="0" vertical="center" wrapText="0"/>
    </xf>
    <xf borderId="1" fillId="4" fontId="12" numFmtId="164" xfId="0" applyAlignment="1" applyBorder="1" applyFill="1" applyFont="1" applyNumberFormat="1">
      <alignment horizontal="center" readingOrder="0" shrinkToFit="0" vertical="center" wrapText="1"/>
    </xf>
    <xf borderId="1" fillId="4" fontId="13" numFmtId="164" xfId="0" applyAlignment="1" applyBorder="1" applyFill="1" applyFont="1" applyNumberFormat="1">
      <alignment horizontal="center" readingOrder="0" shrinkToFit="0" vertical="center" wrapText="0"/>
    </xf>
    <xf borderId="4" fillId="4" fontId="17" numFmtId="0" xfId="0" applyAlignment="1" applyBorder="1" applyFill="1" applyFont="1">
      <alignment horizontal="left" readingOrder="0" vertical="center"/>
    </xf>
    <xf borderId="6" fillId="4" fontId="19" numFmtId="164" xfId="0" applyAlignment="1" applyBorder="1" applyFill="1" applyFont="1" applyNumberFormat="1">
      <alignment horizontal="center" readingOrder="0"/>
    </xf>
    <xf borderId="5" fillId="4" fontId="28" numFmtId="164" xfId="0" applyAlignment="1" applyBorder="1" applyFill="1" applyFont="1" applyNumberFormat="1">
      <alignment horizontal="center" readingOrder="0" shrinkToFit="0" wrapText="1"/>
    </xf>
    <xf borderId="1" fillId="4" fontId="30" numFmtId="164" xfId="0" applyAlignment="1" applyBorder="1" applyFill="1" applyFont="1" applyNumberFormat="1">
      <alignment horizontal="center" readingOrder="0" shrinkToFit="0" vertical="center" wrapText="1"/>
    </xf>
    <xf borderId="1" fillId="4" fontId="28" numFmtId="164" xfId="0" applyAlignment="1" applyBorder="1" applyFill="1" applyFont="1" applyNumberFormat="1">
      <alignment horizontal="center" readingOrder="0" shrinkToFit="0" wrapText="1"/>
    </xf>
    <xf borderId="1" fillId="9" fontId="9" numFmtId="0" xfId="0" applyAlignment="1" applyBorder="1" applyFill="1" applyFont="1">
      <alignment horizontal="center" readingOrder="0" shrinkToFit="0" vertical="center" wrapText="0"/>
    </xf>
    <xf borderId="6" fillId="9" fontId="20" numFmtId="164" xfId="0" applyAlignment="1" applyBorder="1" applyFill="1" applyFont="1" applyNumberFormat="1">
      <alignment horizontal="center" readingOrder="0" shrinkToFit="0" vertical="center" wrapText="1"/>
    </xf>
    <xf borderId="1" fillId="4" fontId="31" numFmtId="164" xfId="0" applyAlignment="1" applyBorder="1" applyFill="1" applyFont="1" applyNumberFormat="1">
      <alignment horizontal="center" readingOrder="0"/>
    </xf>
    <xf borderId="0" fillId="9" fontId="21" numFmtId="0" xfId="0" applyAlignment="1" applyFill="1" applyFont="1">
      <alignment horizontal="center" readingOrder="0" shrinkToFit="0" vertical="center" wrapText="1"/>
    </xf>
    <xf borderId="0" fillId="0" fontId="29" numFmtId="0" xfId="0" applyAlignment="1" applyFont="1">
      <alignment shrinkToFit="0" vertical="center" wrapText="1"/>
    </xf>
    <xf borderId="1" fillId="9" fontId="21" numFmtId="0" xfId="0" applyAlignment="1" applyBorder="1" applyFill="1" applyFont="1">
      <alignment horizontal="center" readingOrder="0" shrinkToFit="0" vertical="center" wrapText="1"/>
    </xf>
    <xf borderId="1" fillId="10" fontId="9" numFmtId="0" xfId="0" applyAlignment="1" applyBorder="1" applyFill="1" applyFont="1">
      <alignment horizontal="center" readingOrder="0" shrinkToFit="0" vertical="center" wrapText="0"/>
    </xf>
    <xf borderId="1" fillId="7" fontId="20" numFmtId="164" xfId="0" applyAlignment="1" applyBorder="1" applyFill="1" applyFont="1" applyNumberFormat="1">
      <alignment horizontal="center" readingOrder="0" shrinkToFit="0" wrapText="0"/>
    </xf>
    <xf borderId="1" fillId="7" fontId="32" numFmtId="0" xfId="0" applyAlignment="1" applyBorder="1" applyFill="1" applyFont="1">
      <alignment horizontal="center" readingOrder="0"/>
    </xf>
    <xf borderId="1" fillId="8" fontId="9" numFmtId="0" xfId="0" applyAlignment="1" applyBorder="1" applyFill="1" applyFont="1">
      <alignment horizontal="center" readingOrder="0" shrinkToFit="0" vertical="center" wrapText="0"/>
    </xf>
    <xf borderId="1" fillId="8" fontId="20" numFmtId="164" xfId="0" applyAlignment="1" applyBorder="1" applyFill="1" applyFont="1" applyNumberFormat="1">
      <alignment horizontal="center" readingOrder="0" shrinkToFit="0" wrapText="0"/>
    </xf>
    <xf borderId="1" fillId="4" fontId="33" numFmtId="164" xfId="0" applyAlignment="1" applyBorder="1" applyFill="1" applyFont="1" applyNumberFormat="1">
      <alignment horizontal="center" readingOrder="0" shrinkToFit="0" vertical="center" wrapText="1"/>
    </xf>
    <xf borderId="1" fillId="8" fontId="21" numFmtId="0" xfId="0" applyAlignment="1" applyBorder="1" applyFill="1" applyFont="1">
      <alignment horizontal="center" readingOrder="0"/>
    </xf>
    <xf borderId="1" fillId="4" fontId="32" numFmtId="0" xfId="0" applyAlignment="1" applyBorder="1" applyFill="1" applyFont="1">
      <alignment horizontal="center" readingOrder="0" shrinkToFit="0" vertical="center" wrapText="0"/>
    </xf>
    <xf borderId="1" fillId="4" fontId="24" numFmtId="164" xfId="0" applyAlignment="1" applyBorder="1" applyFill="1" applyFont="1" applyNumberFormat="1">
      <alignment horizontal="center" readingOrder="0" shrinkToFit="0" wrapText="0"/>
    </xf>
    <xf borderId="1" fillId="4" fontId="21" numFmtId="0" xfId="0" applyAlignment="1" applyBorder="1" applyFill="1" applyFont="1">
      <alignment horizontal="center" readingOrder="0"/>
    </xf>
    <xf borderId="0" fillId="7" fontId="27" numFmtId="0" xfId="0" applyAlignment="1" applyFill="1" applyFont="1">
      <alignment horizontal="right" readingOrder="0"/>
    </xf>
    <xf borderId="0" fillId="11" fontId="29" numFmtId="0" xfId="0" applyFill="1" applyFont="1"/>
    <xf borderId="0" fillId="7" fontId="34" numFmtId="164" xfId="0" applyFill="1" applyFont="1" applyNumberFormat="1"/>
    <xf borderId="0" fillId="7" fontId="29" numFmtId="0" xfId="0" applyAlignment="1" applyFill="1" applyFont="1">
      <alignment readingOrder="0"/>
    </xf>
    <xf borderId="5" fillId="4" fontId="28" numFmtId="164" xfId="0" applyAlignment="1" applyBorder="1" applyFill="1" applyFont="1" applyNumberFormat="1">
      <alignment horizontal="center" readingOrder="0"/>
    </xf>
    <xf borderId="1" fillId="4" fontId="28" numFmtId="164" xfId="0" applyAlignment="1" applyBorder="1" applyFill="1" applyFont="1" applyNumberFormat="1">
      <alignment horizontal="center" readingOrder="0"/>
    </xf>
    <xf borderId="4" fillId="4" fontId="35" numFmtId="0" xfId="0" applyAlignment="1" applyBorder="1" applyFill="1" applyFont="1">
      <alignment horizontal="left" readingOrder="0" vertical="center"/>
    </xf>
    <xf borderId="6" fillId="4" fontId="36" numFmtId="164" xfId="0" applyAlignment="1" applyBorder="1" applyFill="1" applyFont="1" applyNumberFormat="1">
      <alignment horizontal="center" readingOrder="0"/>
    </xf>
    <xf borderId="4" fillId="4" fontId="17" numFmtId="0" xfId="0" applyAlignment="1" applyBorder="1" applyFill="1" applyFont="1">
      <alignment horizontal="left" readingOrder="0" shrinkToFit="0" vertical="center" wrapText="0"/>
    </xf>
    <xf borderId="1" fillId="12" fontId="4" numFmtId="0" xfId="0" applyAlignment="1" applyBorder="1" applyFill="1" applyFont="1">
      <alignment horizontal="center" readingOrder="0" shrinkToFit="0" vertical="center" wrapText="0"/>
    </xf>
    <xf borderId="1" fillId="4" fontId="35" numFmtId="164" xfId="0" applyAlignment="1" applyBorder="1" applyFill="1" applyFont="1" applyNumberFormat="1">
      <alignment horizontal="center" readingOrder="0" vertical="center"/>
    </xf>
    <xf borderId="1" fillId="4" fontId="23" numFmtId="164" xfId="0" applyAlignment="1" applyBorder="1" applyFill="1" applyFont="1" applyNumberFormat="1">
      <alignment horizontal="center" readingOrder="0" shrinkToFit="0" vertical="center" wrapText="1"/>
    </xf>
    <xf borderId="6" fillId="12" fontId="37" numFmtId="164" xfId="0" applyAlignment="1" applyBorder="1" applyFill="1" applyFont="1" applyNumberFormat="1">
      <alignment horizontal="center" readingOrder="0" shrinkToFit="0" vertical="center" wrapText="1"/>
    </xf>
    <xf borderId="1" fillId="4" fontId="38" numFmtId="164" xfId="0" applyAlignment="1" applyBorder="1" applyFill="1" applyFont="1" applyNumberFormat="1">
      <alignment horizontal="center" readingOrder="0" vertical="center"/>
    </xf>
    <xf borderId="0" fillId="12" fontId="4" numFmtId="0" xfId="0" applyAlignment="1" applyFill="1" applyFont="1">
      <alignment horizontal="center" readingOrder="0" shrinkToFit="0" vertical="center" wrapText="1"/>
    </xf>
    <xf borderId="1" fillId="4" fontId="39" numFmtId="164" xfId="0" applyAlignment="1" applyBorder="1" applyFill="1" applyFont="1" applyNumberFormat="1">
      <alignment horizontal="center" readingOrder="0" shrinkToFit="0" vertical="center" wrapText="1"/>
    </xf>
    <xf borderId="1" fillId="7" fontId="40" numFmtId="0" xfId="0" applyAlignment="1" applyBorder="1" applyFill="1" applyFont="1">
      <alignment horizontal="right" readingOrder="0"/>
    </xf>
    <xf borderId="1" fillId="4" fontId="16" numFmtId="164" xfId="0" applyAlignment="1" applyBorder="1" applyFill="1" applyFont="1" applyNumberFormat="1">
      <alignment horizontal="center" readingOrder="0" shrinkToFit="0" vertical="center" wrapText="1"/>
    </xf>
    <xf borderId="5" fillId="4" fontId="19" numFmtId="164" xfId="0" applyAlignment="1" applyBorder="1" applyFill="1" applyFont="1" applyNumberFormat="1">
      <alignment horizontal="center" readingOrder="0" shrinkToFit="0" vertical="center" wrapText="1"/>
    </xf>
    <xf borderId="1" fillId="7" fontId="40" numFmtId="164" xfId="0" applyBorder="1" applyFill="1" applyFont="1" applyNumberFormat="1"/>
    <xf borderId="1" fillId="4" fontId="41" numFmtId="164" xfId="0" applyAlignment="1" applyBorder="1" applyFill="1" applyFont="1" applyNumberFormat="1">
      <alignment horizontal="center" readingOrder="0" shrinkToFit="0" vertical="center" wrapText="1"/>
    </xf>
    <xf borderId="1" fillId="7" fontId="32" numFmtId="0" xfId="0" applyAlignment="1" applyBorder="1" applyFill="1" applyFont="1">
      <alignment horizontal="center" readingOrder="0" shrinkToFit="0" vertical="center" wrapText="1"/>
    </xf>
    <xf borderId="1" fillId="13" fontId="40" numFmtId="0" xfId="0" applyAlignment="1" applyBorder="1" applyFill="1" applyFont="1">
      <alignment horizontal="right" readingOrder="0"/>
    </xf>
    <xf borderId="4" fillId="4" fontId="17" numFmtId="0" xfId="0" applyAlignment="1" applyBorder="1" applyFill="1" applyFont="1">
      <alignment readingOrder="0"/>
    </xf>
    <xf borderId="1" fillId="13" fontId="40" numFmtId="164" xfId="0" applyAlignment="1" applyBorder="1" applyFill="1" applyFont="1" applyNumberFormat="1">
      <alignment readingOrder="0"/>
    </xf>
    <xf borderId="1" fillId="4" fontId="19" numFmtId="164" xfId="0" applyAlignment="1" applyBorder="1" applyFill="1" applyFont="1" applyNumberFormat="1">
      <alignment horizontal="center" readingOrder="0" shrinkToFit="0" wrapText="1"/>
    </xf>
    <xf borderId="1" fillId="13" fontId="32" numFmtId="0" xfId="0" applyAlignment="1" applyBorder="1" applyFill="1" applyFont="1">
      <alignment horizontal="center" readingOrder="0" shrinkToFit="0" vertical="center" wrapText="1"/>
    </xf>
    <xf borderId="1" fillId="13" fontId="40" numFmtId="164" xfId="0" applyBorder="1" applyFill="1" applyFont="1" applyNumberFormat="1"/>
    <xf borderId="1" fillId="6" fontId="42" numFmtId="0" xfId="0" applyAlignment="1" applyBorder="1" applyFill="1" applyFont="1">
      <alignment horizontal="left" readingOrder="0"/>
    </xf>
    <xf borderId="1" fillId="6" fontId="19" numFmtId="164" xfId="0" applyAlignment="1" applyBorder="1" applyFill="1" applyFont="1" applyNumberFormat="1">
      <alignment horizontal="center" readingOrder="0" shrinkToFit="0" wrapText="0"/>
    </xf>
    <xf borderId="1" fillId="7" fontId="9" numFmtId="0" xfId="0" applyAlignment="1" applyBorder="1" applyFill="1" applyFont="1">
      <alignment horizontal="center" readingOrder="0" shrinkToFit="0" vertical="center" wrapText="0"/>
    </xf>
    <xf borderId="0" fillId="5" fontId="43" numFmtId="0" xfId="0" applyAlignment="1" applyFill="1" applyFont="1">
      <alignment horizontal="right" readingOrder="0"/>
    </xf>
    <xf borderId="1" fillId="7" fontId="20" numFmtId="164" xfId="0" applyAlignment="1" applyBorder="1" applyFill="1" applyFont="1" applyNumberFormat="1">
      <alignment horizontal="center" readingOrder="0" shrinkToFit="0" vertical="center" wrapText="0"/>
    </xf>
    <xf borderId="1" fillId="7" fontId="42" numFmtId="0" xfId="0" applyAlignment="1" applyBorder="1" applyFill="1" applyFont="1">
      <alignment horizontal="left" readingOrder="0"/>
    </xf>
    <xf borderId="0" fillId="5" fontId="43" numFmtId="164" xfId="0" applyFill="1" applyFont="1" applyNumberFormat="1"/>
    <xf borderId="1" fillId="14" fontId="9" numFmtId="0" xfId="0" applyAlignment="1" applyBorder="1" applyFill="1" applyFont="1">
      <alignment horizontal="center" readingOrder="0" shrinkToFit="0" vertical="center" wrapText="0"/>
    </xf>
    <xf borderId="6" fillId="4" fontId="19" numFmtId="164" xfId="0" applyAlignment="1" applyBorder="1" applyFill="1" applyFont="1" applyNumberFormat="1">
      <alignment horizontal="center" readingOrder="0" shrinkToFit="0" vertical="center" wrapText="0"/>
    </xf>
    <xf borderId="1" fillId="14" fontId="20" numFmtId="164" xfId="0" applyAlignment="1" applyBorder="1" applyFill="1" applyFont="1" applyNumberFormat="1">
      <alignment horizontal="center" readingOrder="0" shrinkToFit="0" vertical="center" wrapText="0"/>
    </xf>
    <xf borderId="1" fillId="7" fontId="26" numFmtId="164" xfId="0" applyAlignment="1" applyBorder="1" applyFill="1" applyFont="1" applyNumberFormat="1">
      <alignment horizontal="center" readingOrder="0" shrinkToFit="0" wrapText="0"/>
    </xf>
    <xf borderId="1" fillId="14" fontId="11" numFmtId="0" xfId="0" applyAlignment="1" applyBorder="1" applyFill="1" applyFont="1">
      <alignment horizontal="left" readingOrder="0"/>
    </xf>
    <xf borderId="1" fillId="7" fontId="32" numFmtId="0" xfId="0" applyAlignment="1" applyBorder="1" applyFill="1" applyFont="1">
      <alignment horizontal="center" readingOrder="0"/>
    </xf>
    <xf borderId="1" fillId="15" fontId="9" numFmtId="0" xfId="0" applyAlignment="1" applyBorder="1" applyFill="1" applyFont="1">
      <alignment horizontal="center" readingOrder="0" shrinkToFit="0" vertical="center" wrapText="0"/>
    </xf>
    <xf borderId="1" fillId="8" fontId="9" numFmtId="0" xfId="0" applyAlignment="1" applyBorder="1" applyFill="1" applyFont="1">
      <alignment horizontal="right" readingOrder="0" shrinkToFit="0" vertical="center" wrapText="0"/>
    </xf>
    <xf borderId="1" fillId="15" fontId="20" numFmtId="164" xfId="0" applyAlignment="1" applyBorder="1" applyFill="1" applyFont="1" applyNumberFormat="1">
      <alignment horizontal="center" readingOrder="0" shrinkToFit="0" vertical="center" wrapText="0"/>
    </xf>
    <xf borderId="1" fillId="15" fontId="44" numFmtId="0" xfId="0" applyAlignment="1" applyBorder="1" applyFill="1" applyFont="1">
      <alignment readingOrder="0"/>
    </xf>
    <xf borderId="0" fillId="4" fontId="45" numFmtId="0" xfId="0" applyAlignment="1" applyFill="1" applyFont="1">
      <alignment horizontal="right" readingOrder="0"/>
    </xf>
    <xf borderId="0" fillId="4" fontId="45" numFmtId="0" xfId="0" applyFill="1" applyFont="1"/>
    <xf borderId="0" fillId="4" fontId="29" numFmtId="0" xfId="0" applyFill="1" applyFont="1"/>
    <xf borderId="0" fillId="8" fontId="45" numFmtId="0" xfId="0" applyAlignment="1" applyFill="1" applyFont="1">
      <alignment horizontal="right" readingOrder="0"/>
    </xf>
    <xf borderId="1" fillId="4" fontId="46" numFmtId="0" xfId="0" applyAlignment="1" applyBorder="1" applyFill="1" applyFont="1">
      <alignment horizontal="right" readingOrder="0" vertical="center"/>
    </xf>
    <xf borderId="1" fillId="4" fontId="19" numFmtId="164" xfId="0" applyAlignment="1" applyBorder="1" applyFill="1" applyFont="1" applyNumberFormat="1">
      <alignment horizontal="center" readingOrder="0"/>
    </xf>
    <xf borderId="0" fillId="8" fontId="45" numFmtId="164" xfId="0" applyFill="1" applyFont="1" applyNumberFormat="1"/>
    <xf borderId="1" fillId="4" fontId="21" numFmtId="0" xfId="0" applyAlignment="1" applyBorder="1" applyFill="1" applyFont="1">
      <alignment horizontal="center" readingOrder="0"/>
    </xf>
    <xf borderId="0" fillId="7" fontId="45" numFmtId="0" xfId="0" applyAlignment="1" applyFill="1" applyFont="1">
      <alignment horizontal="right" readingOrder="0"/>
    </xf>
    <xf borderId="0" fillId="7" fontId="45" numFmtId="164" xfId="0" applyFill="1" applyFont="1" applyNumberFormat="1"/>
    <xf borderId="1" fillId="4" fontId="47" numFmtId="0" xfId="0" applyAlignment="1" applyBorder="1" applyFill="1" applyFont="1">
      <alignment horizontal="left" readingOrder="0"/>
    </xf>
    <xf borderId="0" fillId="16" fontId="45" numFmtId="0" xfId="0" applyAlignment="1" applyFill="1" applyFont="1">
      <alignment horizontal="right" readingOrder="0"/>
    </xf>
    <xf borderId="1" fillId="4" fontId="48" numFmtId="164" xfId="0" applyBorder="1" applyFill="1" applyFont="1" applyNumberFormat="1"/>
    <xf borderId="0" fillId="16" fontId="45" numFmtId="164" xfId="0" applyFill="1" applyFont="1" applyNumberFormat="1"/>
    <xf borderId="1" fillId="4" fontId="0" numFmtId="0" xfId="0" applyAlignment="1" applyBorder="1" applyFill="1" applyFont="1">
      <alignment readingOrder="0"/>
    </xf>
    <xf borderId="1" fillId="0" fontId="45" numFmtId="0" xfId="0" applyAlignment="1" applyBorder="1" applyFont="1">
      <alignment horizontal="right" readingOrder="0"/>
    </xf>
    <xf borderId="1" fillId="0" fontId="0" numFmtId="0" xfId="0" applyAlignment="1" applyBorder="1" applyFont="1">
      <alignment readingOrder="0"/>
    </xf>
    <xf borderId="1" fillId="6" fontId="26" numFmtId="164" xfId="0" applyAlignment="1" applyBorder="1" applyFill="1" applyFont="1" applyNumberFormat="1">
      <alignment horizontal="center" readingOrder="0" shrinkToFit="0" vertical="center" wrapText="0"/>
    </xf>
    <xf borderId="1" fillId="0" fontId="29" numFmtId="0" xfId="0" applyAlignment="1" applyBorder="1" applyFont="1">
      <alignment readingOrder="0"/>
    </xf>
    <xf borderId="1" fillId="14" fontId="26" numFmtId="164" xfId="0" applyAlignment="1" applyBorder="1" applyFill="1" applyFont="1" applyNumberFormat="1">
      <alignment horizontal="center" readingOrder="0" shrinkToFit="0" vertical="center" wrapText="0"/>
    </xf>
    <xf borderId="0" fillId="0" fontId="45" numFmtId="0" xfId="0" applyAlignment="1" applyFont="1">
      <alignment horizontal="right" readingOrder="0"/>
    </xf>
    <xf borderId="0" fillId="0" fontId="48" numFmtId="164" xfId="0" applyFont="1" applyNumberFormat="1"/>
    <xf borderId="0" fillId="6" fontId="45" numFmtId="0" xfId="0" applyAlignment="1" applyFill="1" applyFont="1">
      <alignment horizontal="right" readingOrder="0"/>
    </xf>
    <xf borderId="6" fillId="5" fontId="26" numFmtId="164" xfId="0" applyAlignment="1" applyBorder="1" applyFill="1" applyFont="1" applyNumberFormat="1">
      <alignment horizontal="center" readingOrder="0" shrinkToFit="0" vertical="center" wrapText="0"/>
    </xf>
    <xf borderId="0" fillId="6" fontId="49" numFmtId="164" xfId="0" applyFill="1" applyFont="1" applyNumberFormat="1"/>
    <xf borderId="0" fillId="6" fontId="49" numFmtId="0" xfId="0" applyAlignment="1" applyFill="1" applyFont="1">
      <alignment horizontal="right" readingOrder="0"/>
    </xf>
    <xf borderId="0" fillId="6" fontId="49" numFmtId="164" xfId="0" applyAlignment="1" applyFill="1" applyFont="1" applyNumberFormat="1">
      <alignment readingOrder="0"/>
    </xf>
    <xf borderId="0" fillId="5" fontId="45" numFmtId="0" xfId="0" applyAlignment="1" applyFill="1" applyFont="1">
      <alignment horizontal="right" readingOrder="0"/>
    </xf>
    <xf borderId="0" fillId="5" fontId="27" numFmtId="164" xfId="0" applyFill="1" applyFont="1" applyNumberFormat="1"/>
    <xf borderId="0" fillId="5" fontId="29" numFmtId="0" xfId="0" applyFill="1" applyFont="1"/>
    <xf borderId="4" fillId="4" fontId="50" numFmtId="0" xfId="0" applyAlignment="1" applyBorder="1" applyFill="1" applyFont="1">
      <alignment horizontal="left" readingOrder="0" vertical="center"/>
    </xf>
    <xf borderId="6" fillId="4" fontId="51" numFmtId="164" xfId="0" applyAlignment="1" applyBorder="1" applyFill="1" applyFont="1" applyNumberFormat="1">
      <alignment horizontal="center" readingOrder="0"/>
    </xf>
    <xf borderId="1" fillId="4" fontId="17" numFmtId="164" xfId="0" applyAlignment="1" applyBorder="1" applyFill="1" applyFont="1" applyNumberFormat="1">
      <alignment horizontal="center" readingOrder="0"/>
    </xf>
    <xf borderId="0" fillId="2" fontId="5" numFmtId="0" xfId="0" applyAlignment="1" applyFill="1" applyFont="1">
      <alignment horizontal="center" readingOrder="0"/>
    </xf>
    <xf borderId="3" fillId="4" fontId="12" numFmtId="164" xfId="0" applyAlignment="1" applyBorder="1" applyFill="1" applyFont="1" applyNumberFormat="1">
      <alignment horizontal="center" readingOrder="0" vertical="center"/>
    </xf>
    <xf borderId="7" fillId="4" fontId="12" numFmtId="164" xfId="0" applyAlignment="1" applyBorder="1" applyFill="1" applyFont="1" applyNumberFormat="1">
      <alignment horizontal="center" readingOrder="0" vertical="center"/>
    </xf>
    <xf borderId="7" fillId="4" fontId="13" numFmtId="164" xfId="0" applyAlignment="1" applyBorder="1" applyFill="1" applyFont="1" applyNumberFormat="1">
      <alignment horizontal="center" readingOrder="0" shrinkToFit="0" vertical="center" wrapText="1"/>
    </xf>
    <xf borderId="7" fillId="4" fontId="12" numFmtId="0" xfId="0" applyAlignment="1" applyBorder="1" applyFill="1" applyFont="1">
      <alignment horizontal="center" readingOrder="0" vertical="center"/>
    </xf>
    <xf borderId="2" fillId="2" fontId="52" numFmtId="0" xfId="0" applyAlignment="1" applyBorder="1" applyFill="1" applyFont="1">
      <alignment horizontal="center" readingOrder="0" vertical="center"/>
    </xf>
    <xf borderId="5" fillId="4" fontId="53" numFmtId="164" xfId="0" applyAlignment="1" applyBorder="1" applyFill="1" applyFont="1" applyNumberFormat="1">
      <alignment horizontal="center" readingOrder="0"/>
    </xf>
    <xf borderId="2" fillId="2" fontId="4" numFmtId="0" xfId="0" applyAlignment="1" applyBorder="1" applyFill="1" applyFont="1">
      <alignment horizontal="center" readingOrder="0" vertical="center"/>
    </xf>
    <xf borderId="7" fillId="4" fontId="9" numFmtId="164" xfId="0" applyAlignment="1" applyBorder="1" applyFill="1" applyFont="1" applyNumberFormat="1">
      <alignment horizontal="center" readingOrder="0" vertical="center"/>
    </xf>
    <xf borderId="7" fillId="4" fontId="17" numFmtId="164" xfId="0" applyAlignment="1" applyBorder="1" applyFill="1" applyFont="1" applyNumberFormat="1">
      <alignment horizontal="center" readingOrder="0" vertical="center"/>
    </xf>
    <xf borderId="1" fillId="4" fontId="54" numFmtId="0" xfId="0" applyAlignment="1" applyBorder="1" applyFill="1" applyFont="1">
      <alignment horizontal="left" readingOrder="0" vertical="center"/>
    </xf>
    <xf borderId="3" fillId="4" fontId="10" numFmtId="164" xfId="0" applyAlignment="1" applyBorder="1" applyFill="1" applyFont="1" applyNumberFormat="1">
      <alignment horizontal="center" readingOrder="0"/>
    </xf>
    <xf borderId="7" fillId="4" fontId="31" numFmtId="164" xfId="0" applyAlignment="1" applyBorder="1" applyFill="1" applyFont="1" applyNumberFormat="1">
      <alignment horizontal="center" readingOrder="0" vertical="center"/>
    </xf>
    <xf borderId="1" fillId="4" fontId="17" numFmtId="0" xfId="0" applyAlignment="1" applyBorder="1" applyFill="1" applyFont="1">
      <alignment horizontal="left" readingOrder="0" vertical="center"/>
    </xf>
    <xf borderId="0" fillId="4" fontId="55" numFmtId="0" xfId="0" applyAlignment="1" applyFill="1" applyFont="1">
      <alignment readingOrder="0"/>
    </xf>
    <xf borderId="3" fillId="4" fontId="31" numFmtId="164" xfId="0" applyAlignment="1" applyBorder="1" applyFill="1" applyFont="1" applyNumberFormat="1">
      <alignment horizontal="center" readingOrder="0"/>
    </xf>
    <xf borderId="7" fillId="4" fontId="9" numFmtId="165" xfId="0" applyAlignment="1" applyBorder="1" applyFill="1" applyFont="1" applyNumberFormat="1">
      <alignment horizontal="center" readingOrder="0" vertical="center"/>
    </xf>
    <xf borderId="4" fillId="4" fontId="9" numFmtId="0" xfId="0" applyAlignment="1" applyBorder="1" applyFill="1" applyFont="1">
      <alignment horizontal="left" readingOrder="0" shrinkToFit="0" vertical="center" wrapText="1"/>
    </xf>
    <xf borderId="6" fillId="5" fontId="32" numFmtId="164" xfId="0" applyAlignment="1" applyBorder="1" applyFill="1" applyFont="1" applyNumberFormat="1">
      <alignment horizontal="center" readingOrder="0" shrinkToFit="0" wrapText="0"/>
    </xf>
    <xf borderId="1" fillId="5" fontId="10" numFmtId="164" xfId="0" applyAlignment="1" applyBorder="1" applyFill="1" applyFont="1" applyNumberFormat="1">
      <alignment horizontal="center" readingOrder="0"/>
    </xf>
    <xf borderId="0" fillId="11" fontId="45" numFmtId="0" xfId="0" applyAlignment="1" applyFill="1" applyFont="1">
      <alignment readingOrder="0"/>
    </xf>
    <xf borderId="4" fillId="4" fontId="17" numFmtId="0" xfId="0" applyAlignment="1" applyBorder="1" applyFill="1" applyFont="1">
      <alignment horizontal="left" readingOrder="0" shrinkToFit="0" vertical="center" wrapText="1"/>
    </xf>
    <xf borderId="0" fillId="17" fontId="9" numFmtId="0" xfId="0" applyAlignment="1" applyFill="1" applyFont="1">
      <alignment horizontal="right" readingOrder="0" shrinkToFit="0" vertical="center" wrapText="0"/>
    </xf>
    <xf borderId="6" fillId="17" fontId="32" numFmtId="164" xfId="0" applyAlignment="1" applyBorder="1" applyFill="1" applyFont="1" applyNumberFormat="1">
      <alignment horizontal="center" readingOrder="0" shrinkToFit="0" wrapText="0"/>
    </xf>
    <xf borderId="0" fillId="18" fontId="10" numFmtId="0" xfId="0" applyAlignment="1" applyFill="1" applyFont="1">
      <alignment horizontal="center" readingOrder="0"/>
    </xf>
    <xf borderId="6" fillId="11" fontId="19" numFmtId="164" xfId="0" applyAlignment="1" applyBorder="1" applyFill="1" applyFont="1" applyNumberFormat="1">
      <alignment horizontal="center" readingOrder="0"/>
    </xf>
    <xf borderId="0" fillId="11" fontId="48" numFmtId="0" xfId="0" applyAlignment="1" applyFill="1" applyFont="1">
      <alignment horizontal="right" readingOrder="0"/>
    </xf>
    <xf borderId="7" fillId="4" fontId="9" numFmtId="0" xfId="0" applyAlignment="1" applyBorder="1" applyFill="1" applyFont="1">
      <alignment horizontal="center" readingOrder="0" vertical="center"/>
    </xf>
    <xf borderId="0" fillId="11" fontId="48" numFmtId="164" xfId="0" applyFill="1" applyFont="1" applyNumberFormat="1"/>
    <xf borderId="7" fillId="11" fontId="9" numFmtId="165" xfId="0" applyAlignment="1" applyBorder="1" applyFill="1" applyFont="1" applyNumberFormat="1">
      <alignment horizontal="center" readingOrder="0" vertical="center"/>
    </xf>
    <xf borderId="0" fillId="11" fontId="10" numFmtId="0" xfId="0" applyAlignment="1" applyFill="1" applyFont="1">
      <alignment horizontal="center" readingOrder="0"/>
    </xf>
    <xf borderId="1" fillId="5" fontId="29" numFmtId="0" xfId="0" applyBorder="1" applyFill="1" applyFont="1"/>
    <xf borderId="6" fillId="5" fontId="32" numFmtId="164" xfId="0" applyAlignment="1" applyBorder="1" applyFill="1" applyFont="1" applyNumberFormat="1">
      <alignment horizontal="center" readingOrder="0"/>
    </xf>
    <xf borderId="0" fillId="0" fontId="48" numFmtId="0" xfId="0" applyAlignment="1" applyFont="1">
      <alignment horizontal="right" readingOrder="0"/>
    </xf>
    <xf borderId="6" fillId="4" fontId="19" numFmtId="164" xfId="0" applyAlignment="1" applyBorder="1" applyFill="1" applyFont="1" applyNumberFormat="1">
      <alignment horizontal="center" readingOrder="0"/>
    </xf>
    <xf borderId="0" fillId="17" fontId="45" numFmtId="0" xfId="0" applyAlignment="1" applyFill="1" applyFont="1">
      <alignment horizontal="right" readingOrder="0"/>
    </xf>
    <xf borderId="0" fillId="17" fontId="45" numFmtId="164" xfId="0" applyFill="1" applyFont="1" applyNumberFormat="1"/>
    <xf borderId="0" fillId="17" fontId="45" numFmtId="0" xfId="0" applyAlignment="1" applyFill="1" applyFont="1">
      <alignment readingOrder="0"/>
    </xf>
    <xf borderId="7" fillId="4" fontId="11" numFmtId="164" xfId="0" applyAlignment="1" applyBorder="1" applyFill="1" applyFont="1" applyNumberFormat="1">
      <alignment horizontal="center" readingOrder="0" shrinkToFit="0" vertical="center" wrapText="1"/>
    </xf>
    <xf borderId="3" fillId="4" fontId="9" numFmtId="164" xfId="0" applyAlignment="1" applyBorder="1" applyFill="1" applyFont="1" applyNumberFormat="1">
      <alignment horizontal="center" readingOrder="0" vertical="center"/>
    </xf>
    <xf borderId="1" fillId="4" fontId="56" numFmtId="0" xfId="0" applyAlignment="1" applyBorder="1" applyFill="1" applyFont="1">
      <alignment horizontal="left" readingOrder="0" vertical="center"/>
    </xf>
    <xf borderId="1" fillId="6" fontId="27" numFmtId="0" xfId="0" applyAlignment="1" applyBorder="1" applyFill="1" applyFont="1">
      <alignment horizontal="right" readingOrder="0"/>
    </xf>
    <xf borderId="1" fillId="4" fontId="27" numFmtId="0" xfId="0" applyAlignment="1" applyBorder="1" applyFill="1" applyFont="1">
      <alignment horizontal="right" readingOrder="0"/>
    </xf>
    <xf borderId="1" fillId="6" fontId="27" numFmtId="164" xfId="0" applyBorder="1" applyFill="1" applyFont="1" applyNumberFormat="1"/>
    <xf borderId="0" fillId="4" fontId="21" numFmtId="0" xfId="0" applyAlignment="1" applyFill="1" applyFont="1">
      <alignment horizontal="center" readingOrder="0"/>
    </xf>
    <xf borderId="7" fillId="4" fontId="10" numFmtId="164" xfId="0" applyAlignment="1" applyBorder="1" applyFill="1" applyFont="1" applyNumberFormat="1">
      <alignment horizontal="center" readingOrder="0" vertical="center"/>
    </xf>
    <xf borderId="0" fillId="0" fontId="57" numFmtId="0" xfId="0" applyFont="1"/>
    <xf borderId="0" fillId="6" fontId="58" numFmtId="0" xfId="0" applyFill="1" applyFont="1"/>
    <xf borderId="0" fillId="6" fontId="22" numFmtId="0" xfId="0" applyAlignment="1" applyFill="1" applyFont="1">
      <alignment horizontal="center" readingOrder="0"/>
    </xf>
    <xf borderId="0" fillId="4" fontId="5" numFmtId="0" xfId="0" applyAlignment="1" applyFill="1" applyFont="1">
      <alignment horizontal="center" readingOrder="0" vertical="center"/>
    </xf>
    <xf borderId="8" fillId="4" fontId="9" numFmtId="164" xfId="0" applyAlignment="1" applyBorder="1" applyFill="1" applyFont="1" applyNumberFormat="1">
      <alignment horizontal="center" readingOrder="0" vertical="center"/>
    </xf>
    <xf borderId="0" fillId="4" fontId="9" numFmtId="0" xfId="0" applyAlignment="1" applyFill="1" applyFont="1">
      <alignment horizontal="center" readingOrder="0" vertical="center"/>
    </xf>
    <xf borderId="9" fillId="18" fontId="3" numFmtId="0" xfId="0" applyBorder="1" applyFill="1" applyFont="1"/>
    <xf borderId="0" fillId="4" fontId="9" numFmtId="164" xfId="0" applyAlignment="1" applyFill="1" applyFont="1" applyNumberFormat="1">
      <alignment horizontal="center" readingOrder="0" vertical="center"/>
    </xf>
    <xf borderId="4" fillId="18" fontId="3" numFmtId="0" xfId="0" applyBorder="1" applyFill="1" applyFont="1"/>
    <xf borderId="7" fillId="4" fontId="14" numFmtId="164" xfId="0" applyAlignment="1" applyBorder="1" applyFill="1" applyFont="1" applyNumberFormat="1">
      <alignment horizontal="center" readingOrder="0" vertical="center"/>
    </xf>
    <xf borderId="0" fillId="4" fontId="14" numFmtId="0" xfId="0" applyAlignment="1" applyFill="1" applyFont="1">
      <alignment horizontal="center" readingOrder="0" vertical="center"/>
    </xf>
    <xf borderId="7" fillId="4" fontId="14" numFmtId="164" xfId="0" applyAlignment="1" applyBorder="1" applyFill="1" applyFont="1" applyNumberFormat="1">
      <alignment horizontal="center" readingOrder="0" shrinkToFit="0" vertical="center" wrapText="1"/>
    </xf>
    <xf borderId="0" fillId="4" fontId="14" numFmtId="0" xfId="0" applyAlignment="1" applyFill="1" applyFont="1">
      <alignment horizontal="center" readingOrder="0" shrinkToFit="0" vertical="center" wrapText="1"/>
    </xf>
    <xf borderId="10" fillId="4" fontId="7" numFmtId="164" xfId="0" applyAlignment="1" applyBorder="1" applyFill="1" applyFont="1" applyNumberFormat="1">
      <alignment horizontal="center" readingOrder="0" shrinkToFit="0" vertical="center" wrapText="1"/>
    </xf>
    <xf borderId="0" fillId="4" fontId="7" numFmtId="164" xfId="0" applyAlignment="1" applyFill="1" applyFont="1" applyNumberFormat="1">
      <alignment horizontal="center" readingOrder="0" shrinkToFit="0" vertical="center" wrapText="1"/>
    </xf>
    <xf borderId="10" fillId="18" fontId="3" numFmtId="0" xfId="0" applyBorder="1" applyFill="1" applyFont="1"/>
    <xf borderId="0" fillId="4" fontId="7" numFmtId="0" xfId="0" applyAlignment="1" applyFill="1" applyFont="1">
      <alignment horizontal="center" readingOrder="0" shrinkToFit="0" vertical="center" wrapText="1"/>
    </xf>
    <xf borderId="6" fillId="18" fontId="3" numFmtId="0" xfId="0" applyBorder="1" applyFill="1" applyFont="1"/>
    <xf borderId="0" fillId="4" fontId="10" numFmtId="0" xfId="0" applyAlignment="1" applyFill="1" applyFont="1">
      <alignment horizontal="center" readingOrder="0"/>
    </xf>
    <xf borderId="0" fillId="4" fontId="31" numFmtId="0" xfId="0" applyAlignment="1" applyFill="1" applyFont="1">
      <alignment horizontal="center" readingOrder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22">
    <tableStyle count="2" pivot="0" name="JUNIO.26-style">
      <tableStyleElement dxfId="1" type="firstRowStripe"/>
      <tableStyleElement dxfId="1" type="secondRowStripe"/>
    </tableStyle>
    <tableStyle count="2" pivot="0" name="MAYO.26-style">
      <tableStyleElement dxfId="1" type="firstRowStripe"/>
      <tableStyleElement dxfId="1" type="secondRowStripe"/>
    </tableStyle>
    <tableStyle count="2" pivot="0" name="ABRIL.26-style">
      <tableStyleElement dxfId="1" type="firstRowStripe"/>
      <tableStyleElement dxfId="1" type="secondRowStripe"/>
    </tableStyle>
    <tableStyle count="2" pivot="0" name="JULIO.26-style">
      <tableStyleElement dxfId="1" type="firstRowStripe"/>
      <tableStyleElement dxfId="1" type="secondRowStripe"/>
    </tableStyle>
    <tableStyle count="2" pivot="0" name="JUNIO.26-style 2">
      <tableStyleElement dxfId="1" type="firstRowStripe"/>
      <tableStyleElement dxfId="1" type="secondRowStripe"/>
    </tableStyle>
    <tableStyle count="2" pivot="0" name="MAYO.26-style 2">
      <tableStyleElement dxfId="1" type="firstRowStripe"/>
      <tableStyleElement dxfId="1" type="secondRowStripe"/>
    </tableStyle>
    <tableStyle count="2" pivot="0" name="ABRIL.26-style 2">
      <tableStyleElement dxfId="1" type="firstRowStripe"/>
      <tableStyleElement dxfId="1" type="secondRowStripe"/>
    </tableStyle>
    <tableStyle count="2" pivot="0" name="JUNIO.26-style 3">
      <tableStyleElement dxfId="1" type="firstRowStripe"/>
      <tableStyleElement dxfId="1" type="secondRowStripe"/>
    </tableStyle>
    <tableStyle count="2" pivot="0" name="MAYO.26-style 3">
      <tableStyleElement dxfId="1" type="firstRowStripe"/>
      <tableStyleElement dxfId="1" type="secondRowStripe"/>
    </tableStyle>
    <tableStyle count="2" pivot="0" name="ABRIL.26-style 3">
      <tableStyleElement dxfId="1" type="firstRowStripe"/>
      <tableStyleElement dxfId="1" type="secondRowStripe"/>
    </tableStyle>
    <tableStyle count="2" pivot="0" name="JULIO.26-style 2">
      <tableStyleElement dxfId="1" type="firstRowStripe"/>
      <tableStyleElement dxfId="1" type="secondRowStripe"/>
    </tableStyle>
    <tableStyle count="2" pivot="0" name="MAYO.26-style 4">
      <tableStyleElement dxfId="1" type="firstRowStripe"/>
      <tableStyleElement dxfId="1" type="secondRowStripe"/>
    </tableStyle>
    <tableStyle count="2" pivot="0" name="ABRIL.26-style 4">
      <tableStyleElement dxfId="1" type="firstRowStripe"/>
      <tableStyleElement dxfId="1" type="secondRowStripe"/>
    </tableStyle>
    <tableStyle count="2" pivot="0" name="JUNIO.26-style 4">
      <tableStyleElement dxfId="1" type="firstRowStripe"/>
      <tableStyleElement dxfId="1" type="secondRowStripe"/>
    </tableStyle>
    <tableStyle count="2" pivot="0" name="JULIO.26-style 3">
      <tableStyleElement dxfId="1" type="firstRowStripe"/>
      <tableStyleElement dxfId="1" type="secondRowStripe"/>
    </tableStyle>
    <tableStyle count="2" pivot="0" name="ABRIL.26-style 5">
      <tableStyleElement dxfId="1" type="firstRowStripe"/>
      <tableStyleElement dxfId="1" type="secondRowStripe"/>
    </tableStyle>
    <tableStyle count="2" pivot="0" name="JULIO.26-style 4">
      <tableStyleElement dxfId="1" type="firstRowStripe"/>
      <tableStyleElement dxfId="1" type="secondRowStripe"/>
    </tableStyle>
    <tableStyle count="2" pivot="0" name="JULIO.26-style 5">
      <tableStyleElement dxfId="1" type="firstRowStripe"/>
      <tableStyleElement dxfId="1" type="secondRowStripe"/>
    </tableStyle>
    <tableStyle count="2" pivot="0" name="MAYO.26-style 5">
      <tableStyleElement dxfId="1" type="firstRowStripe"/>
      <tableStyleElement dxfId="1" type="secondRowStripe"/>
    </tableStyle>
    <tableStyle count="2" pivot="0" name="JULIO.26-style 6">
      <tableStyleElement dxfId="1" type="firstRowStripe"/>
      <tableStyleElement dxfId="1" type="secondRowStripe"/>
    </tableStyle>
    <tableStyle count="2" pivot="0" name="JULIO.26-style 7">
      <tableStyleElement dxfId="1" type="firstRowStripe"/>
      <tableStyleElement dxfId="1" type="secondRowStripe"/>
    </tableStyle>
    <tableStyle count="2" pivot="0" name="MARZO.26-style"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477250" cy="59055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248900" cy="5715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839325" cy="4476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0" cy="5048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58175" cy="5619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372600" cy="571500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448675" cy="552450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:C16" displayName="Table_2" name="Table_2" id="3">
  <tableColumns count="3">
    <tableColumn name="Column1" id="1"/>
    <tableColumn name="Column2" id="2"/>
    <tableColumn name="Column3" id="3"/>
  </tableColumns>
  <tableStyleInfo name="JULIO.26-style" showColumnStripes="0" showFirstColumn="1" showLastColumn="1" showRowStripes="1"/>
</table>
</file>

<file path=xl/tables/table2.xml><?xml version="1.0" encoding="utf-8"?>
<table xmlns="http://schemas.openxmlformats.org/spreadsheetml/2006/main" headerRowCount="0" ref="A20:C26" displayName="Table_8" name="Table_8" id="8">
  <tableColumns count="3">
    <tableColumn name="Column1" id="1"/>
    <tableColumn name="Column2" id="2"/>
    <tableColumn name="Column3" id="3"/>
  </tableColumns>
  <tableStyleInfo name="JULIO.26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9:C37" displayName="Table_15" name="Table_15" id="15">
  <tableColumns count="3">
    <tableColumn name="Column1" id="1"/>
    <tableColumn name="Column2" id="2"/>
    <tableColumn name="Column3" id="3"/>
  </tableColumns>
  <tableStyleInfo name="JULIO.26-style 3" showColumnStripes="0" showFirstColumn="1" showLastColumn="1" showRowStripes="1"/>
</table>
</file>

<file path=xl/tables/table4.xml><?xml version="1.0" encoding="utf-8"?>
<table xmlns="http://schemas.openxmlformats.org/spreadsheetml/2006/main" headerRowCount="0" ref="A41:C54" displayName="Table_17" name="Table_17" id="17">
  <tableColumns count="3">
    <tableColumn name="Column1" id="1"/>
    <tableColumn name="Column2" id="2"/>
    <tableColumn name="Column3" id="3"/>
  </tableColumns>
  <tableStyleInfo name="JULIO.26-style 4" showColumnStripes="0" showFirstColumn="1" showLastColumn="1" showRowStripes="1"/>
</table>
</file>

<file path=xl/tables/table5.xml><?xml version="1.0" encoding="utf-8"?>
<table xmlns="http://schemas.openxmlformats.org/spreadsheetml/2006/main" headerRowCount="0" ref="A56:C56" displayName="Table_18" name="Table_18" id="18">
  <tableColumns count="3">
    <tableColumn name="Column1" id="1"/>
    <tableColumn name="Column2" id="2"/>
    <tableColumn name="Column3" id="3"/>
  </tableColumns>
  <tableStyleInfo name="JULIO.26-style 5" showColumnStripes="0" showFirstColumn="1" showLastColumn="1" showRowStripes="1"/>
</table>
</file>

<file path=xl/tables/table6.xml><?xml version="1.0" encoding="utf-8"?>
<table xmlns="http://schemas.openxmlformats.org/spreadsheetml/2006/main" headerRowCount="0" ref="A60:C71" displayName="Table_20" name="Table_20" id="20">
  <tableColumns count="3">
    <tableColumn name="Column1" id="1"/>
    <tableColumn name="Column2" id="2"/>
    <tableColumn name="Column3" id="3"/>
  </tableColumns>
  <tableStyleInfo name="JULIO.26-style 6" showColumnStripes="0" showFirstColumn="1" showLastColumn="1" showRowStripes="1"/>
</table>
</file>

<file path=xl/tables/table7.xml><?xml version="1.0" encoding="utf-8"?>
<table xmlns="http://schemas.openxmlformats.org/spreadsheetml/2006/main" headerRowCount="0" ref="A72:C72" displayName="Table_21" name="Table_21" id="21">
  <tableColumns count="3">
    <tableColumn name="Column1" id="1"/>
    <tableColumn name="Column2" id="2"/>
    <tableColumn name="Column3" id="3"/>
  </tableColumns>
  <tableStyleInfo name="JULIO.26-style 7" showColumnStripes="0" showFirstColumn="1" showLastColumn="1" showRowStripes="1"/>
</table>
</file>

<file path=xl/tables/table8.xml><?xml version="1.0" encoding="utf-8"?>
<table xmlns="http://schemas.openxmlformats.org/spreadsheetml/2006/main" headerRowCount="0" ref="A4:C15" displayName="Table_1" name="Table_1" id="1">
  <tableColumns count="3">
    <tableColumn name="Column1" id="1"/>
    <tableColumn name="Column2" id="2"/>
    <tableColumn name="Column3" id="3"/>
  </tableColumns>
  <tableStyleInfo name="JUNIO.26-style" showColumnStripes="0" showFirstColumn="1" showLastColumn="1" showRowStripes="1"/>
</table>
</file>

<file path=xl/tables/table9.xml><?xml version="1.0" encoding="utf-8"?>
<table xmlns="http://schemas.openxmlformats.org/spreadsheetml/2006/main" headerRowCount="0" ref="A18:C28" displayName="Table_5" name="Table_5" id="5">
  <tableColumns count="3">
    <tableColumn name="Column1" id="1"/>
    <tableColumn name="Column2" id="2"/>
    <tableColumn name="Column3" id="3"/>
  </tableColumns>
  <tableStyleInfo name="JUNIO.26-style 2" showColumnStripes="0" showFirstColumn="1" showLastColumn="1" showRowStripes="1"/>
</table>
</file>

<file path=xl/tables/table10.xml><?xml version="1.0" encoding="utf-8"?>
<table xmlns="http://schemas.openxmlformats.org/spreadsheetml/2006/main" headerRowCount="0" ref="A32:C47" displayName="Table_9" name="Table_9" id="9">
  <tableColumns count="3">
    <tableColumn name="Column1" id="1"/>
    <tableColumn name="Column2" id="2"/>
    <tableColumn name="Column3" id="3"/>
  </tableColumns>
  <tableStyleInfo name="JUNIO.26-style 3" showColumnStripes="0" showFirstColumn="1" showLastColumn="1" showRowStripes="1"/>
</table>
</file>

<file path=xl/tables/table11.xml><?xml version="1.0" encoding="utf-8"?>
<table xmlns="http://schemas.openxmlformats.org/spreadsheetml/2006/main" headerRowCount="0" ref="A51:C58" displayName="Table_12" name="Table_12" id="12">
  <tableColumns count="3">
    <tableColumn name="Column1" id="1"/>
    <tableColumn name="Column2" id="2"/>
    <tableColumn name="Column3" id="3"/>
  </tableColumns>
  <tableStyleInfo name="JUNIO.26-style 4" showColumnStripes="0" showFirstColumn="1" showLastColumn="1" showRowStripes="1"/>
</table>
</file>

<file path=xl/tables/table12.xml><?xml version="1.0" encoding="utf-8"?>
<table xmlns="http://schemas.openxmlformats.org/spreadsheetml/2006/main" headerRowCount="0" ref="A4:C19" displayName="Table_4" name="Table_4" id="2">
  <tableColumns count="3">
    <tableColumn name="Column1" id="1"/>
    <tableColumn name="Column2" id="2"/>
    <tableColumn name="Column3" id="3"/>
  </tableColumns>
  <tableStyleInfo name="MAYO.26-style" showColumnStripes="0" showFirstColumn="1" showLastColumn="1" showRowStripes="1"/>
</table>
</file>

<file path=xl/tables/table13.xml><?xml version="1.0" encoding="utf-8"?>
<table xmlns="http://schemas.openxmlformats.org/spreadsheetml/2006/main" headerRowCount="0" ref="A23:C33" displayName="Table_7" name="Table_7" id="6">
  <tableColumns count="3">
    <tableColumn name="Column1" id="1"/>
    <tableColumn name="Column2" id="2"/>
    <tableColumn name="Column3" id="3"/>
  </tableColumns>
  <tableStyleInfo name="MAYO.26-style 2" showColumnStripes="0" showFirstColumn="1" showLastColumn="1" showRowStripes="1"/>
</table>
</file>

<file path=xl/tables/table14.xml><?xml version="1.0" encoding="utf-8"?>
<table xmlns="http://schemas.openxmlformats.org/spreadsheetml/2006/main" headerRowCount="0" ref="A37:C48" displayName="Table_10" name="Table_10" id="10">
  <tableColumns count="3">
    <tableColumn name="Column1" id="1"/>
    <tableColumn name="Column2" id="2"/>
    <tableColumn name="Column3" id="3"/>
  </tableColumns>
  <tableStyleInfo name="MAYO.26-style 3" showColumnStripes="0" showFirstColumn="1" showLastColumn="1" showRowStripes="1"/>
</table>
</file>

<file path=xl/tables/table15.xml><?xml version="1.0" encoding="utf-8"?>
<table xmlns="http://schemas.openxmlformats.org/spreadsheetml/2006/main" headerRowCount="0" ref="A52:C64" displayName="Table_13" name="Table_13" id="13">
  <tableColumns count="3">
    <tableColumn name="Column1" id="1"/>
    <tableColumn name="Column2" id="2"/>
    <tableColumn name="Column3" id="3"/>
  </tableColumns>
  <tableStyleInfo name="MAYO.26-style 4" showColumnStripes="0" showFirstColumn="1" showLastColumn="1" showRowStripes="1"/>
</table>
</file>

<file path=xl/tables/table16.xml><?xml version="1.0" encoding="utf-8"?>
<table xmlns="http://schemas.openxmlformats.org/spreadsheetml/2006/main" headerRowCount="0" ref="A71:C81" displayName="Table_19" name="Table_19" id="19">
  <tableColumns count="3">
    <tableColumn name="Column1" id="1"/>
    <tableColumn name="Column2" id="2"/>
    <tableColumn name="Column3" id="3"/>
  </tableColumns>
  <tableStyleInfo name="MAYO.26-style 5" showColumnStripes="0" showFirstColumn="1" showLastColumn="1" showRowStripes="1"/>
</table>
</file>

<file path=xl/tables/table17.xml><?xml version="1.0" encoding="utf-8"?>
<table xmlns="http://schemas.openxmlformats.org/spreadsheetml/2006/main" headerRowCount="0" ref="A5:C20" displayName="Table_3" name="Table_3" id="4">
  <tableColumns count="3">
    <tableColumn name="Column1" id="1"/>
    <tableColumn name="Column2" id="2"/>
    <tableColumn name="Column3" id="3"/>
  </tableColumns>
  <tableStyleInfo name="ABRIL.26-style" showColumnStripes="0" showFirstColumn="1" showLastColumn="1" showRowStripes="1"/>
</table>
</file>

<file path=xl/tables/table18.xml><?xml version="1.0" encoding="utf-8"?>
<table xmlns="http://schemas.openxmlformats.org/spreadsheetml/2006/main" headerRowCount="0" ref="A24:C43" displayName="Table_6" name="Table_6" id="7">
  <tableColumns count="3">
    <tableColumn name="Column1" id="1"/>
    <tableColumn name="Column2" id="2"/>
    <tableColumn name="Column3" id="3"/>
  </tableColumns>
  <tableStyleInfo name="ABRIL.26-style 2" showColumnStripes="0" showFirstColumn="1" showLastColumn="1" showRowStripes="1"/>
</table>
</file>

<file path=xl/tables/table19.xml><?xml version="1.0" encoding="utf-8"?>
<table xmlns="http://schemas.openxmlformats.org/spreadsheetml/2006/main" headerRowCount="0" ref="A48:C64" displayName="Table_11" name="Table_11" id="11">
  <tableColumns count="3">
    <tableColumn name="Column1" id="1"/>
    <tableColumn name="Column2" id="2"/>
    <tableColumn name="Column3" id="3"/>
  </tableColumns>
  <tableStyleInfo name="ABRIL.26-style 3" showColumnStripes="0" showFirstColumn="1" showLastColumn="1" showRowStripes="1"/>
</table>
</file>

<file path=xl/tables/table20.xml><?xml version="1.0" encoding="utf-8"?>
<table xmlns="http://schemas.openxmlformats.org/spreadsheetml/2006/main" headerRowCount="0" ref="A69:C83" displayName="Table_14" name="Table_14" id="14">
  <tableColumns count="3">
    <tableColumn name="Column1" id="1"/>
    <tableColumn name="Column2" id="2"/>
    <tableColumn name="Column3" id="3"/>
  </tableColumns>
  <tableStyleInfo name="ABRIL.26-style 4" showColumnStripes="0" showFirstColumn="1" showLastColumn="1" showRowStripes="1"/>
</table>
</file>

<file path=xl/tables/table21.xml><?xml version="1.0" encoding="utf-8"?>
<table xmlns="http://schemas.openxmlformats.org/spreadsheetml/2006/main" headerRowCount="0" ref="A95:C111" displayName="Table_16" name="Table_16" id="16">
  <tableColumns count="3">
    <tableColumn name="Column1" id="1"/>
    <tableColumn name="Column2" id="2"/>
    <tableColumn name="Column3" id="3"/>
  </tableColumns>
  <tableStyleInfo name="ABRIL.26-style 5" showColumnStripes="0" showFirstColumn="1" showLastColumn="1" showRowStripes="1"/>
</table>
</file>

<file path=xl/tables/table22.xml><?xml version="1.0" encoding="utf-8"?>
<table xmlns="http://schemas.openxmlformats.org/spreadsheetml/2006/main" headerRowCount="0" ref="A39:C56" displayName="Table_22" name="Table_22" id="22">
  <tableColumns count="3">
    <tableColumn name="Column1" id="1"/>
    <tableColumn name="Column2" id="2"/>
    <tableColumn name="Column3" id="3"/>
  </tableColumns>
  <tableStyleInfo name="MARZO.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11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Relationship Id="rId8" Type="http://schemas.openxmlformats.org/officeDocument/2006/relationships/table" Target="../tables/table10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16.xml"/><Relationship Id="rId10" Type="http://schemas.openxmlformats.org/officeDocument/2006/relationships/table" Target="../tables/table15.xml"/><Relationship Id="rId9" Type="http://schemas.openxmlformats.org/officeDocument/2006/relationships/table" Target="../tables/table14.xml"/><Relationship Id="rId7" Type="http://schemas.openxmlformats.org/officeDocument/2006/relationships/table" Target="../tables/table12.xml"/><Relationship Id="rId8" Type="http://schemas.openxmlformats.org/officeDocument/2006/relationships/table" Target="../tables/table1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21.xml"/><Relationship Id="rId10" Type="http://schemas.openxmlformats.org/officeDocument/2006/relationships/table" Target="../tables/table20.xml"/><Relationship Id="rId9" Type="http://schemas.openxmlformats.org/officeDocument/2006/relationships/table" Target="../tables/table19.xml"/><Relationship Id="rId7" Type="http://schemas.openxmlformats.org/officeDocument/2006/relationships/table" Target="../tables/table17.xml"/><Relationship Id="rId8" Type="http://schemas.openxmlformats.org/officeDocument/2006/relationships/table" Target="../tables/table1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bs.as/" TargetMode="External"/><Relationship Id="rId2" Type="http://schemas.openxmlformats.org/officeDocument/2006/relationships/drawing" Target="../drawings/drawing5.xml"/><Relationship Id="rId4" Type="http://schemas.openxmlformats.org/officeDocument/2006/relationships/table" Target="../tables/table2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bs.as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0.14"/>
    <col customWidth="1" min="2" max="2" width="24.0"/>
    <col customWidth="1" min="3" max="3" width="32.86"/>
  </cols>
  <sheetData>
    <row r="4" ht="28.5" customHeight="1">
      <c r="A4" s="1" t="s">
        <v>0</v>
      </c>
      <c r="B4" s="2" t="s">
        <v>12</v>
      </c>
      <c r="C4" s="3"/>
    </row>
    <row r="5" ht="21.0" customHeight="1">
      <c r="A5" s="4" t="s">
        <v>3</v>
      </c>
      <c r="B5" s="4" t="s">
        <v>4</v>
      </c>
      <c r="C5" s="5" t="s">
        <v>5</v>
      </c>
    </row>
    <row r="6" ht="26.25" customHeight="1">
      <c r="A6" s="15" t="s">
        <v>13</v>
      </c>
      <c r="B6" s="17">
        <v>552000.0</v>
      </c>
      <c r="C6" s="16" t="s">
        <v>23</v>
      </c>
    </row>
    <row r="7" ht="21.75" customHeight="1">
      <c r="A7" s="10" t="s">
        <v>25</v>
      </c>
      <c r="B7" s="18">
        <v>332000.0</v>
      </c>
      <c r="C7" s="16" t="s">
        <v>23</v>
      </c>
    </row>
    <row r="8" ht="26.25" customHeight="1">
      <c r="A8" s="20" t="s">
        <v>26</v>
      </c>
      <c r="B8" s="17">
        <v>1420000.0</v>
      </c>
      <c r="C8" s="16" t="s">
        <v>28</v>
      </c>
    </row>
    <row r="9" ht="26.25" customHeight="1">
      <c r="A9" s="20" t="s">
        <v>29</v>
      </c>
      <c r="B9" s="17">
        <v>250000.0</v>
      </c>
      <c r="C9" s="16" t="s">
        <v>30</v>
      </c>
    </row>
    <row r="10" ht="26.25" customHeight="1">
      <c r="A10" s="23" t="s">
        <v>32</v>
      </c>
      <c r="B10" s="29">
        <f>100000+25000+75000</f>
        <v>200000</v>
      </c>
      <c r="C10" s="16" t="s">
        <v>38</v>
      </c>
    </row>
    <row r="11" ht="26.25" customHeight="1">
      <c r="A11" s="31" t="s">
        <v>41</v>
      </c>
      <c r="B11" s="34">
        <f>1000000-365000</f>
        <v>635000</v>
      </c>
      <c r="C11" s="35" t="s">
        <v>50</v>
      </c>
    </row>
    <row r="12" ht="32.25" customHeight="1">
      <c r="A12" s="36" t="s">
        <v>53</v>
      </c>
      <c r="B12" s="38">
        <f>SUM(B6:B11)</f>
        <v>3389000</v>
      </c>
      <c r="C12" s="40"/>
    </row>
    <row r="13" ht="21.0" customHeight="1">
      <c r="A13" s="42" t="s">
        <v>68</v>
      </c>
      <c r="B13" s="44">
        <v>3420000.0</v>
      </c>
      <c r="C13" s="46"/>
    </row>
    <row r="14">
      <c r="A14" s="42" t="s">
        <v>73</v>
      </c>
      <c r="B14" s="44">
        <v>200000.0</v>
      </c>
      <c r="C14" s="46"/>
    </row>
    <row r="15" ht="18.0" customHeight="1">
      <c r="A15" s="48" t="s">
        <v>75</v>
      </c>
      <c r="B15" s="49">
        <v>819620.0</v>
      </c>
      <c r="C15" s="55"/>
    </row>
    <row r="16" ht="22.5" customHeight="1">
      <c r="A16" s="58" t="s">
        <v>82</v>
      </c>
      <c r="B16" s="64">
        <f>B12-B13-B14-B15</f>
        <v>-1050620</v>
      </c>
      <c r="C16" s="69" t="s">
        <v>85</v>
      </c>
    </row>
    <row r="19" ht="27.75" customHeight="1">
      <c r="A19" s="1" t="s">
        <v>0</v>
      </c>
      <c r="B19" s="2" t="s">
        <v>90</v>
      </c>
      <c r="C19" s="3"/>
    </row>
    <row r="20" ht="29.25" customHeight="1">
      <c r="A20" s="4" t="s">
        <v>3</v>
      </c>
      <c r="B20" s="4" t="s">
        <v>4</v>
      </c>
      <c r="C20" s="5" t="s">
        <v>5</v>
      </c>
    </row>
    <row r="21" ht="22.5" customHeight="1">
      <c r="A21" s="15" t="s">
        <v>105</v>
      </c>
      <c r="B21" s="17">
        <v>138000.0</v>
      </c>
      <c r="C21" s="16" t="s">
        <v>107</v>
      </c>
    </row>
    <row r="22" ht="22.5" customHeight="1">
      <c r="A22" s="10" t="s">
        <v>109</v>
      </c>
      <c r="B22" s="18">
        <v>549000.0</v>
      </c>
      <c r="C22" s="16" t="s">
        <v>112</v>
      </c>
    </row>
    <row r="23" ht="27.0" customHeight="1">
      <c r="A23" s="20" t="s">
        <v>114</v>
      </c>
      <c r="B23" s="17">
        <v>522000.0</v>
      </c>
      <c r="C23" s="16" t="s">
        <v>28</v>
      </c>
    </row>
    <row r="24" ht="22.5" customHeight="1">
      <c r="A24" s="78" t="s">
        <v>115</v>
      </c>
      <c r="B24" s="17">
        <v>100000.0</v>
      </c>
      <c r="C24" s="80" t="s">
        <v>120</v>
      </c>
    </row>
    <row r="25" ht="22.5" customHeight="1">
      <c r="A25" s="31" t="s">
        <v>41</v>
      </c>
      <c r="B25" s="34">
        <f>1000000-731520</f>
        <v>268480</v>
      </c>
      <c r="C25" s="35" t="s">
        <v>129</v>
      </c>
    </row>
    <row r="26" ht="30.0" customHeight="1">
      <c r="A26" s="36" t="s">
        <v>53</v>
      </c>
      <c r="B26" s="38">
        <f>SUM(B21:B25)</f>
        <v>1577480</v>
      </c>
      <c r="C26" s="40"/>
    </row>
    <row r="28" ht="32.25" customHeight="1">
      <c r="A28" s="1" t="s">
        <v>0</v>
      </c>
      <c r="B28" s="2" t="s">
        <v>135</v>
      </c>
      <c r="C28" s="3"/>
    </row>
    <row r="29" ht="25.5" customHeight="1">
      <c r="A29" s="4" t="s">
        <v>3</v>
      </c>
      <c r="B29" s="4" t="s">
        <v>4</v>
      </c>
      <c r="C29" s="5" t="s">
        <v>5</v>
      </c>
    </row>
    <row r="30" ht="30.0" customHeight="1">
      <c r="A30" s="15" t="s">
        <v>140</v>
      </c>
      <c r="B30" s="17">
        <v>349600.0</v>
      </c>
      <c r="C30" s="16" t="s">
        <v>141</v>
      </c>
    </row>
    <row r="31" ht="30.0" customHeight="1">
      <c r="A31" s="10" t="s">
        <v>142</v>
      </c>
      <c r="B31" s="18">
        <v>805600.0</v>
      </c>
      <c r="C31" s="16" t="s">
        <v>112</v>
      </c>
    </row>
    <row r="32" ht="30.0" customHeight="1">
      <c r="A32" s="20" t="s">
        <v>144</v>
      </c>
      <c r="B32" s="17">
        <v>284000.0</v>
      </c>
      <c r="C32" s="16" t="s">
        <v>145</v>
      </c>
    </row>
    <row r="33" ht="30.0" customHeight="1">
      <c r="A33" s="78" t="s">
        <v>146</v>
      </c>
      <c r="B33" s="17">
        <f>800000+650000+300000</f>
        <v>1750000</v>
      </c>
      <c r="C33" s="16" t="s">
        <v>149</v>
      </c>
    </row>
    <row r="34" ht="30.0" customHeight="1">
      <c r="A34" s="78" t="s">
        <v>151</v>
      </c>
      <c r="B34" s="17">
        <v>400000.0</v>
      </c>
      <c r="C34" s="80"/>
    </row>
    <row r="35" ht="30.0" customHeight="1">
      <c r="A35" s="78" t="s">
        <v>152</v>
      </c>
      <c r="B35" s="17">
        <f>70000+140000+70000</f>
        <v>280000</v>
      </c>
      <c r="C35" s="16" t="s">
        <v>155</v>
      </c>
    </row>
    <row r="36" ht="30.0" customHeight="1">
      <c r="A36" s="31" t="s">
        <v>41</v>
      </c>
      <c r="B36" s="34">
        <f>1000000-409000</f>
        <v>591000</v>
      </c>
      <c r="C36" s="35" t="s">
        <v>159</v>
      </c>
    </row>
    <row r="37" ht="33.0" customHeight="1">
      <c r="A37" s="36" t="s">
        <v>53</v>
      </c>
      <c r="B37" s="38">
        <f>SUM(B30:B36)</f>
        <v>4460200</v>
      </c>
      <c r="C37" s="40"/>
    </row>
    <row r="40" ht="24.75" customHeight="1">
      <c r="A40" s="1" t="s">
        <v>0</v>
      </c>
      <c r="B40" s="2" t="s">
        <v>165</v>
      </c>
      <c r="C40" s="3"/>
    </row>
    <row r="41" ht="21.0" customHeight="1">
      <c r="A41" s="4" t="s">
        <v>3</v>
      </c>
      <c r="B41" s="4" t="s">
        <v>4</v>
      </c>
      <c r="C41" s="5" t="s">
        <v>5</v>
      </c>
    </row>
    <row r="42" ht="22.5" customHeight="1">
      <c r="A42" s="15" t="s">
        <v>171</v>
      </c>
      <c r="B42" s="17">
        <v>828000.0</v>
      </c>
      <c r="C42" s="16" t="s">
        <v>172</v>
      </c>
    </row>
    <row r="43" ht="22.5" customHeight="1">
      <c r="A43" s="10" t="s">
        <v>174</v>
      </c>
      <c r="B43" s="18">
        <v>1258500.0</v>
      </c>
      <c r="C43" s="16" t="s">
        <v>112</v>
      </c>
    </row>
    <row r="44" ht="22.5" customHeight="1">
      <c r="A44" s="20" t="s">
        <v>178</v>
      </c>
      <c r="B44" s="17">
        <v>1569400.0</v>
      </c>
      <c r="C44" s="16" t="s">
        <v>145</v>
      </c>
    </row>
    <row r="45" ht="22.5" customHeight="1">
      <c r="A45" s="78" t="s">
        <v>180</v>
      </c>
      <c r="B45" s="17">
        <v>1380000.0</v>
      </c>
      <c r="C45" s="16" t="s">
        <v>183</v>
      </c>
      <c r="E45" s="103"/>
    </row>
    <row r="46" ht="22.5" customHeight="1">
      <c r="A46" s="78" t="s">
        <v>189</v>
      </c>
      <c r="B46" s="17">
        <v>4300000.0</v>
      </c>
      <c r="C46" s="16"/>
    </row>
    <row r="47" ht="22.5" customHeight="1">
      <c r="A47" s="78" t="s">
        <v>191</v>
      </c>
      <c r="B47" s="17">
        <f>250000-40500</f>
        <v>209500</v>
      </c>
      <c r="C47" s="35" t="s">
        <v>202</v>
      </c>
    </row>
    <row r="48" ht="22.5" customHeight="1">
      <c r="A48" s="78" t="s">
        <v>206</v>
      </c>
      <c r="B48" s="17">
        <f>51600+25000+100000</f>
        <v>176600</v>
      </c>
      <c r="C48" s="16" t="s">
        <v>212</v>
      </c>
    </row>
    <row r="49" ht="22.5" customHeight="1">
      <c r="A49" s="110" t="s">
        <v>215</v>
      </c>
      <c r="B49" s="120">
        <v>353600.0</v>
      </c>
      <c r="C49" s="35"/>
    </row>
    <row r="50" ht="22.5" customHeight="1">
      <c r="A50" s="31" t="s">
        <v>41</v>
      </c>
      <c r="B50" s="34">
        <f>1000000-686000</f>
        <v>314000</v>
      </c>
      <c r="C50" s="35" t="s">
        <v>231</v>
      </c>
    </row>
    <row r="51" ht="22.5" customHeight="1">
      <c r="A51" s="36" t="s">
        <v>53</v>
      </c>
      <c r="B51" s="38">
        <f>SUM(B42:B50)</f>
        <v>10389600</v>
      </c>
      <c r="C51" s="40"/>
    </row>
    <row r="52" ht="18.75" customHeight="1">
      <c r="A52" s="42" t="s">
        <v>240</v>
      </c>
      <c r="B52" s="44">
        <v>620800.0</v>
      </c>
      <c r="C52" s="130" t="s">
        <v>243</v>
      </c>
    </row>
    <row r="53" ht="18.75" customHeight="1">
      <c r="A53" s="132" t="s">
        <v>245</v>
      </c>
      <c r="B53" s="134">
        <v>869070.0</v>
      </c>
      <c r="C53" s="135" t="s">
        <v>243</v>
      </c>
    </row>
    <row r="54" ht="18.75" customHeight="1">
      <c r="A54" s="137" t="s">
        <v>255</v>
      </c>
      <c r="B54" s="139">
        <v>2500000.0</v>
      </c>
      <c r="C54" s="141" t="s">
        <v>250</v>
      </c>
    </row>
    <row r="55" ht="18.75" customHeight="1">
      <c r="A55" s="143" t="s">
        <v>264</v>
      </c>
      <c r="B55" s="145">
        <v>1619268.0</v>
      </c>
      <c r="C55" s="146" t="s">
        <v>250</v>
      </c>
    </row>
    <row r="56" ht="32.25" customHeight="1">
      <c r="A56" s="36" t="s">
        <v>91</v>
      </c>
      <c r="B56" s="38">
        <f>B51-B52-B53-B54-B55</f>
        <v>4780462</v>
      </c>
      <c r="C56" s="40"/>
    </row>
    <row r="59" ht="29.25" customHeight="1">
      <c r="A59" s="1" t="s">
        <v>0</v>
      </c>
      <c r="B59" s="2" t="s">
        <v>274</v>
      </c>
      <c r="C59" s="3"/>
    </row>
    <row r="60" ht="24.0" customHeight="1">
      <c r="A60" s="4" t="s">
        <v>3</v>
      </c>
      <c r="B60" s="4" t="s">
        <v>4</v>
      </c>
      <c r="C60" s="5" t="s">
        <v>5</v>
      </c>
    </row>
    <row r="61" ht="22.5" customHeight="1">
      <c r="A61" s="15" t="s">
        <v>277</v>
      </c>
      <c r="B61" s="17"/>
      <c r="C61" s="16" t="s">
        <v>172</v>
      </c>
    </row>
    <row r="62" ht="22.5" customHeight="1">
      <c r="A62" s="10" t="s">
        <v>279</v>
      </c>
      <c r="B62" s="18"/>
      <c r="C62" s="16" t="s">
        <v>280</v>
      </c>
    </row>
    <row r="63" ht="22.5" customHeight="1">
      <c r="A63" s="20" t="s">
        <v>281</v>
      </c>
      <c r="B63" s="17"/>
      <c r="C63" s="16" t="s">
        <v>145</v>
      </c>
    </row>
    <row r="64" ht="22.5" customHeight="1">
      <c r="A64" s="78" t="s">
        <v>283</v>
      </c>
      <c r="B64" s="17"/>
      <c r="C64" s="16" t="s">
        <v>183</v>
      </c>
    </row>
    <row r="65" ht="22.5" customHeight="1">
      <c r="A65" s="78" t="s">
        <v>284</v>
      </c>
      <c r="B65" s="17"/>
      <c r="C65" s="35" t="s">
        <v>202</v>
      </c>
    </row>
    <row r="66" ht="22.5" customHeight="1">
      <c r="A66" s="78" t="s">
        <v>285</v>
      </c>
      <c r="B66" s="17"/>
      <c r="C66" s="16" t="s">
        <v>286</v>
      </c>
    </row>
    <row r="67" ht="22.5" customHeight="1">
      <c r="A67" s="110" t="s">
        <v>215</v>
      </c>
      <c r="B67" s="120"/>
      <c r="C67" s="35"/>
    </row>
    <row r="68" ht="22.5" customHeight="1">
      <c r="A68" s="31" t="s">
        <v>41</v>
      </c>
      <c r="B68" s="34"/>
      <c r="C68" s="35" t="s">
        <v>288</v>
      </c>
    </row>
    <row r="69" ht="22.5" customHeight="1">
      <c r="A69" s="36" t="s">
        <v>53</v>
      </c>
      <c r="B69" s="38">
        <f>SUM(B61:B68)</f>
        <v>0</v>
      </c>
      <c r="C69" s="40"/>
    </row>
    <row r="70" ht="22.5" customHeight="1">
      <c r="A70" s="42" t="s">
        <v>292</v>
      </c>
      <c r="B70" s="164">
        <v>378456.0</v>
      </c>
      <c r="C70" s="130" t="s">
        <v>243</v>
      </c>
    </row>
    <row r="71">
      <c r="A71" s="137" t="s">
        <v>255</v>
      </c>
      <c r="B71" s="166">
        <v>3150000.0</v>
      </c>
      <c r="C71" s="141" t="s">
        <v>250</v>
      </c>
    </row>
    <row r="72" ht="24.0" customHeight="1">
      <c r="A72" s="36" t="s">
        <v>91</v>
      </c>
      <c r="B72" s="170">
        <f>B69-B70-B71</f>
        <v>-3528456</v>
      </c>
      <c r="C72" s="40"/>
    </row>
  </sheetData>
  <mergeCells count="5">
    <mergeCell ref="B4:C4"/>
    <mergeCell ref="B19:C19"/>
    <mergeCell ref="B28:C28"/>
    <mergeCell ref="B40:C40"/>
    <mergeCell ref="B59:C5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6.14"/>
    <col customWidth="1" min="2" max="2" width="21.86"/>
    <col customWidth="1" min="3" max="3" width="55.86"/>
  </cols>
  <sheetData>
    <row r="2" ht="32.25" customHeight="1"/>
    <row r="3" ht="24.75" customHeight="1">
      <c r="A3" s="1" t="s">
        <v>0</v>
      </c>
      <c r="B3" s="2" t="s">
        <v>2</v>
      </c>
      <c r="C3" s="3"/>
    </row>
    <row r="4" ht="27.75" customHeight="1">
      <c r="A4" s="4" t="s">
        <v>3</v>
      </c>
      <c r="B4" s="4" t="s">
        <v>4</v>
      </c>
      <c r="C4" s="5" t="s">
        <v>5</v>
      </c>
    </row>
    <row r="5" ht="22.5" customHeight="1">
      <c r="A5" s="10" t="s">
        <v>9</v>
      </c>
      <c r="B5" s="14">
        <v>2033400.0</v>
      </c>
      <c r="C5" s="16" t="s">
        <v>22</v>
      </c>
    </row>
    <row r="6" ht="22.5" customHeight="1">
      <c r="A6" s="10" t="s">
        <v>24</v>
      </c>
      <c r="B6" s="19">
        <v>1838400.0</v>
      </c>
      <c r="C6" s="21" t="s">
        <v>27</v>
      </c>
    </row>
    <row r="7" ht="22.5" customHeight="1">
      <c r="A7" s="20" t="s">
        <v>31</v>
      </c>
      <c r="B7" s="24">
        <v>3286200.0</v>
      </c>
      <c r="C7" s="25" t="s">
        <v>33</v>
      </c>
    </row>
    <row r="8" ht="22.5" customHeight="1">
      <c r="A8" s="20" t="s">
        <v>34</v>
      </c>
      <c r="B8" s="24">
        <v>935000.0</v>
      </c>
      <c r="C8" s="32" t="s">
        <v>35</v>
      </c>
    </row>
    <row r="9" ht="22.5" customHeight="1">
      <c r="A9" s="20" t="s">
        <v>48</v>
      </c>
      <c r="B9" s="24">
        <f>15000+30000</f>
        <v>45000</v>
      </c>
      <c r="C9" s="16" t="s">
        <v>56</v>
      </c>
    </row>
    <row r="10" ht="22.5" customHeight="1">
      <c r="A10" s="20" t="s">
        <v>48</v>
      </c>
      <c r="B10" s="24">
        <f>52500</f>
        <v>52500</v>
      </c>
      <c r="C10" s="16" t="s">
        <v>60</v>
      </c>
    </row>
    <row r="11" ht="22.5" customHeight="1">
      <c r="A11" s="23" t="s">
        <v>63</v>
      </c>
      <c r="B11" s="24">
        <v>250000.0</v>
      </c>
      <c r="C11" s="16" t="s">
        <v>65</v>
      </c>
    </row>
    <row r="12" ht="22.5" customHeight="1">
      <c r="A12" s="41" t="s">
        <v>67</v>
      </c>
      <c r="B12" s="24">
        <f>250000-30000</f>
        <v>220000</v>
      </c>
      <c r="C12" s="21" t="s">
        <v>71</v>
      </c>
    </row>
    <row r="13" ht="22.5" customHeight="1">
      <c r="A13" s="41" t="s">
        <v>72</v>
      </c>
      <c r="B13" s="24">
        <v>135700.0</v>
      </c>
      <c r="C13" s="8"/>
    </row>
    <row r="14" ht="22.5" customHeight="1">
      <c r="A14" s="31" t="s">
        <v>41</v>
      </c>
      <c r="B14" s="53">
        <f>1750000-821500</f>
        <v>928500</v>
      </c>
      <c r="C14" s="8" t="s">
        <v>79</v>
      </c>
    </row>
    <row r="15" ht="30.0" customHeight="1">
      <c r="A15" s="47" t="s">
        <v>53</v>
      </c>
      <c r="B15" s="38">
        <f>SUM(B5:B14)</f>
        <v>9724700</v>
      </c>
      <c r="C15" s="40">
        <v>9700000.0</v>
      </c>
    </row>
    <row r="16" ht="25.5" customHeight="1">
      <c r="A16" s="61"/>
      <c r="B16" s="62"/>
      <c r="C16" s="63"/>
    </row>
    <row r="17" ht="25.5" customHeight="1">
      <c r="A17" s="1" t="s">
        <v>0</v>
      </c>
      <c r="B17" s="2" t="s">
        <v>86</v>
      </c>
      <c r="C17" s="3"/>
    </row>
    <row r="18" ht="24.0" customHeight="1">
      <c r="A18" s="4" t="s">
        <v>3</v>
      </c>
      <c r="B18" s="4" t="s">
        <v>4</v>
      </c>
      <c r="C18" s="5" t="s">
        <v>5</v>
      </c>
    </row>
    <row r="19" ht="26.25" customHeight="1">
      <c r="A19" s="10" t="s">
        <v>24</v>
      </c>
      <c r="B19" s="19">
        <v>1389900.0</v>
      </c>
      <c r="C19" s="21" t="s">
        <v>27</v>
      </c>
    </row>
    <row r="20" ht="26.25" customHeight="1">
      <c r="A20" s="10" t="s">
        <v>87</v>
      </c>
      <c r="B20" s="14">
        <v>1209500.0</v>
      </c>
      <c r="C20" s="16" t="s">
        <v>22</v>
      </c>
    </row>
    <row r="21" ht="26.25" customHeight="1">
      <c r="A21" s="23" t="s">
        <v>89</v>
      </c>
      <c r="B21" s="24">
        <f>52500+6000</f>
        <v>58500</v>
      </c>
      <c r="C21" s="16" t="s">
        <v>93</v>
      </c>
    </row>
    <row r="22" ht="26.25" customHeight="1">
      <c r="A22" s="23" t="s">
        <v>94</v>
      </c>
      <c r="B22" s="24">
        <f>27200+25000+21000+100000</f>
        <v>173200</v>
      </c>
      <c r="C22" s="16" t="s">
        <v>101</v>
      </c>
    </row>
    <row r="23" ht="26.25" customHeight="1">
      <c r="A23" s="41" t="s">
        <v>102</v>
      </c>
      <c r="B23" s="24">
        <v>500000.0</v>
      </c>
      <c r="C23" s="8" t="s">
        <v>103</v>
      </c>
    </row>
    <row r="24" ht="26.25" customHeight="1">
      <c r="A24" s="41" t="s">
        <v>104</v>
      </c>
      <c r="B24" s="29">
        <v>250000.0</v>
      </c>
      <c r="C24" s="76"/>
    </row>
    <row r="25" ht="26.25" customHeight="1">
      <c r="A25" s="31" t="s">
        <v>41</v>
      </c>
      <c r="B25" s="34">
        <f>1750000-198100</f>
        <v>1551900</v>
      </c>
      <c r="C25" s="76" t="s">
        <v>124</v>
      </c>
    </row>
    <row r="26" ht="27.0" customHeight="1">
      <c r="A26" s="47" t="s">
        <v>53</v>
      </c>
      <c r="B26" s="38">
        <f>SUM(B19:B25)</f>
        <v>5133000</v>
      </c>
      <c r="C26" s="40"/>
    </row>
    <row r="27" ht="21.75" customHeight="1">
      <c r="A27" s="86" t="s">
        <v>136</v>
      </c>
      <c r="B27" s="87">
        <v>1128000.0</v>
      </c>
      <c r="C27" s="89" t="s">
        <v>143</v>
      </c>
    </row>
    <row r="28" ht="27.0" customHeight="1">
      <c r="A28" s="71" t="s">
        <v>91</v>
      </c>
      <c r="B28" s="75">
        <f>B26-B27</f>
        <v>4005000</v>
      </c>
      <c r="C28" s="91"/>
    </row>
    <row r="31" ht="28.5" customHeight="1">
      <c r="A31" s="1" t="s">
        <v>0</v>
      </c>
      <c r="B31" s="2" t="s">
        <v>157</v>
      </c>
      <c r="C31" s="3"/>
    </row>
    <row r="32" ht="27.0" customHeight="1">
      <c r="A32" s="4" t="s">
        <v>3</v>
      </c>
      <c r="B32" s="4" t="s">
        <v>4</v>
      </c>
      <c r="C32" s="5" t="s">
        <v>5</v>
      </c>
    </row>
    <row r="33" ht="22.5" customHeight="1">
      <c r="A33" s="10" t="s">
        <v>162</v>
      </c>
      <c r="B33" s="19">
        <v>287000.0</v>
      </c>
      <c r="C33" s="21" t="s">
        <v>163</v>
      </c>
    </row>
    <row r="34" ht="22.5" customHeight="1">
      <c r="A34" s="6" t="s">
        <v>164</v>
      </c>
      <c r="B34" s="83">
        <v>0.0</v>
      </c>
      <c r="C34" s="97" t="s">
        <v>22</v>
      </c>
    </row>
    <row r="35" ht="22.5" customHeight="1">
      <c r="A35" s="20" t="s">
        <v>166</v>
      </c>
      <c r="B35" s="14">
        <v>693400.0</v>
      </c>
      <c r="C35" s="16" t="s">
        <v>168</v>
      </c>
    </row>
    <row r="36" ht="22.5" customHeight="1">
      <c r="A36" s="20" t="s">
        <v>170</v>
      </c>
      <c r="B36" s="14">
        <f>800000+600000+650000+550000</f>
        <v>2600000</v>
      </c>
      <c r="C36" s="16" t="s">
        <v>181</v>
      </c>
    </row>
    <row r="37" ht="22.5" customHeight="1">
      <c r="A37" s="20" t="s">
        <v>184</v>
      </c>
      <c r="B37" s="14">
        <v>600000.0</v>
      </c>
      <c r="C37" s="16" t="s">
        <v>186</v>
      </c>
    </row>
    <row r="38" ht="22.5" customHeight="1">
      <c r="A38" s="23" t="s">
        <v>187</v>
      </c>
      <c r="B38" s="24">
        <f>7500*3+15000</f>
        <v>37500</v>
      </c>
      <c r="C38" s="16" t="s">
        <v>194</v>
      </c>
    </row>
    <row r="39" ht="22.5" customHeight="1">
      <c r="A39" s="23" t="s">
        <v>195</v>
      </c>
      <c r="B39" s="24">
        <v>350000.0</v>
      </c>
      <c r="C39" s="16" t="s">
        <v>197</v>
      </c>
    </row>
    <row r="40" ht="22.5" customHeight="1">
      <c r="A40" s="23" t="s">
        <v>198</v>
      </c>
      <c r="B40" s="24">
        <f>250000-84500</f>
        <v>165500</v>
      </c>
      <c r="C40" s="16" t="s">
        <v>201</v>
      </c>
    </row>
    <row r="41" ht="22.5" customHeight="1">
      <c r="A41" s="23" t="s">
        <v>204</v>
      </c>
      <c r="B41" s="24">
        <f>62400+21000+100000</f>
        <v>183400</v>
      </c>
      <c r="C41" s="16" t="s">
        <v>208</v>
      </c>
    </row>
    <row r="42" ht="22.5" customHeight="1">
      <c r="A42" s="47" t="s">
        <v>53</v>
      </c>
      <c r="B42" s="38">
        <f>SUM(B33:B41)</f>
        <v>4916800</v>
      </c>
      <c r="C42" s="40"/>
    </row>
    <row r="43" ht="19.5" customHeight="1">
      <c r="A43" s="111" t="s">
        <v>216</v>
      </c>
      <c r="B43" s="114">
        <f>795000+450000</f>
        <v>1245000</v>
      </c>
      <c r="C43" s="116" t="s">
        <v>219</v>
      </c>
    </row>
    <row r="44" ht="22.5" customHeight="1">
      <c r="A44" s="118" t="s">
        <v>91</v>
      </c>
      <c r="B44" s="121">
        <f>B42-B43</f>
        <v>3671800</v>
      </c>
      <c r="C44" s="123"/>
    </row>
    <row r="45" ht="24.0" customHeight="1">
      <c r="A45" s="124" t="s">
        <v>226</v>
      </c>
      <c r="B45" s="126">
        <v>2000000.0</v>
      </c>
      <c r="C45" s="128"/>
    </row>
    <row r="46" ht="24.0" customHeight="1">
      <c r="A46" s="124" t="s">
        <v>233</v>
      </c>
      <c r="B46" s="129">
        <v>1671800.0</v>
      </c>
      <c r="C46" s="128"/>
    </row>
    <row r="47" ht="22.5" customHeight="1">
      <c r="A47" s="124" t="s">
        <v>238</v>
      </c>
      <c r="B47" s="129">
        <v>1245000.0</v>
      </c>
      <c r="C47" s="128"/>
    </row>
    <row r="50" ht="32.25" customHeight="1">
      <c r="A50" s="1" t="s">
        <v>0</v>
      </c>
      <c r="B50" s="2" t="s">
        <v>242</v>
      </c>
      <c r="C50" s="3"/>
    </row>
    <row r="51" ht="30.0" customHeight="1">
      <c r="A51" s="4" t="s">
        <v>3</v>
      </c>
      <c r="B51" s="4" t="s">
        <v>4</v>
      </c>
      <c r="C51" s="5" t="s">
        <v>5</v>
      </c>
    </row>
    <row r="52" ht="22.5" customHeight="1">
      <c r="A52" s="10" t="s">
        <v>246</v>
      </c>
      <c r="B52" s="14">
        <v>230000.0</v>
      </c>
      <c r="C52" s="16" t="s">
        <v>22</v>
      </c>
    </row>
    <row r="53" ht="22.5" customHeight="1">
      <c r="A53" s="10" t="s">
        <v>247</v>
      </c>
      <c r="B53" s="19">
        <v>511600.0</v>
      </c>
      <c r="C53" s="21" t="s">
        <v>163</v>
      </c>
    </row>
    <row r="54" ht="22.5" customHeight="1">
      <c r="A54" s="20" t="s">
        <v>249</v>
      </c>
      <c r="B54" s="14">
        <v>852000.0</v>
      </c>
      <c r="C54" s="16" t="s">
        <v>28</v>
      </c>
    </row>
    <row r="55" ht="22.5" customHeight="1">
      <c r="A55" s="20" t="s">
        <v>251</v>
      </c>
      <c r="B55" s="14">
        <v>4350000.0</v>
      </c>
      <c r="C55" s="16"/>
    </row>
    <row r="56" ht="22.5" customHeight="1">
      <c r="A56" s="23" t="s">
        <v>253</v>
      </c>
      <c r="B56" s="24">
        <f>50000+150000+20000</f>
        <v>220000</v>
      </c>
      <c r="C56" s="16" t="s">
        <v>254</v>
      </c>
    </row>
    <row r="57" ht="22.5" customHeight="1">
      <c r="A57" s="31" t="s">
        <v>41</v>
      </c>
      <c r="B57" s="138">
        <v>500000.0</v>
      </c>
      <c r="C57" s="59" t="s">
        <v>258</v>
      </c>
    </row>
    <row r="58" ht="31.5" customHeight="1">
      <c r="A58" s="47" t="s">
        <v>53</v>
      </c>
      <c r="B58" s="38">
        <f>SUM(B52:B57)</f>
        <v>6663600</v>
      </c>
      <c r="C58" s="40"/>
    </row>
  </sheetData>
  <mergeCells count="4">
    <mergeCell ref="B3:C3"/>
    <mergeCell ref="B17:C17"/>
    <mergeCell ref="B31:C31"/>
    <mergeCell ref="B50:C5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3.14"/>
    <col customWidth="1" min="2" max="2" width="24.86"/>
    <col customWidth="1" min="3" max="3" width="50.43"/>
  </cols>
  <sheetData>
    <row r="1" ht="26.25" customHeight="1"/>
    <row r="2" ht="10.5" customHeight="1"/>
    <row r="3" ht="26.25" customHeight="1">
      <c r="A3" s="1" t="s">
        <v>0</v>
      </c>
      <c r="B3" s="2" t="s">
        <v>1</v>
      </c>
      <c r="C3" s="3"/>
    </row>
    <row r="4" ht="26.25" customHeight="1">
      <c r="A4" s="4" t="s">
        <v>3</v>
      </c>
      <c r="B4" s="4" t="s">
        <v>4</v>
      </c>
      <c r="C4" s="5" t="s">
        <v>5</v>
      </c>
    </row>
    <row r="5" ht="26.25" customHeight="1">
      <c r="A5" s="6" t="s">
        <v>6</v>
      </c>
      <c r="B5" s="7">
        <v>1188300.0</v>
      </c>
      <c r="C5" s="8"/>
    </row>
    <row r="6" ht="26.25" customHeight="1">
      <c r="A6" s="6" t="s">
        <v>8</v>
      </c>
      <c r="B6" s="9">
        <v>1266300.0</v>
      </c>
      <c r="C6" s="12" t="s">
        <v>11</v>
      </c>
    </row>
    <row r="7" ht="26.25" customHeight="1">
      <c r="A7" s="6" t="s">
        <v>18</v>
      </c>
      <c r="B7" s="9">
        <v>510000.0</v>
      </c>
      <c r="C7" s="12" t="s">
        <v>19</v>
      </c>
    </row>
    <row r="8" ht="26.25" customHeight="1">
      <c r="A8" s="20" t="s">
        <v>21</v>
      </c>
      <c r="B8" s="27">
        <v>2790100.0</v>
      </c>
      <c r="C8" s="30" t="s">
        <v>36</v>
      </c>
    </row>
    <row r="9" ht="26.25" customHeight="1">
      <c r="A9" s="20" t="s">
        <v>42</v>
      </c>
      <c r="B9" s="27">
        <v>1941500.0</v>
      </c>
      <c r="C9" s="30" t="s">
        <v>43</v>
      </c>
    </row>
    <row r="10" ht="26.25" customHeight="1">
      <c r="A10" s="20" t="s">
        <v>44</v>
      </c>
      <c r="B10" s="27">
        <v>2359500.0</v>
      </c>
      <c r="C10" s="30" t="s">
        <v>45</v>
      </c>
    </row>
    <row r="11" ht="26.25" customHeight="1">
      <c r="A11" s="20" t="s">
        <v>47</v>
      </c>
      <c r="B11" s="27">
        <f>52500*10</f>
        <v>525000</v>
      </c>
      <c r="C11" s="37"/>
    </row>
    <row r="12" ht="26.25" customHeight="1">
      <c r="A12" s="20" t="s">
        <v>61</v>
      </c>
      <c r="B12" s="27">
        <v>150000.0</v>
      </c>
      <c r="C12" s="39"/>
    </row>
    <row r="13" ht="26.25" customHeight="1">
      <c r="A13" s="20" t="s">
        <v>66</v>
      </c>
      <c r="B13" s="27">
        <f>95000*2</f>
        <v>190000</v>
      </c>
      <c r="C13" s="39"/>
    </row>
    <row r="14" ht="26.25" customHeight="1">
      <c r="A14" s="20" t="s">
        <v>69</v>
      </c>
      <c r="B14" s="27">
        <v>124000.0</v>
      </c>
      <c r="C14" s="39"/>
    </row>
    <row r="15" ht="26.25" customHeight="1">
      <c r="A15" s="23" t="s">
        <v>70</v>
      </c>
      <c r="B15" s="27">
        <f>120800+25000+21000</f>
        <v>166800</v>
      </c>
      <c r="C15" s="39" t="s">
        <v>74</v>
      </c>
    </row>
    <row r="16" ht="26.25" customHeight="1">
      <c r="A16" s="31" t="s">
        <v>41</v>
      </c>
      <c r="B16" s="43">
        <f>1750000-415100</f>
        <v>1334900</v>
      </c>
      <c r="C16" s="51" t="s">
        <v>76</v>
      </c>
    </row>
    <row r="17" ht="26.25" customHeight="1">
      <c r="A17" s="41" t="s">
        <v>78</v>
      </c>
      <c r="B17" s="57">
        <v>575000.0</v>
      </c>
      <c r="C17" s="59" t="s">
        <v>83</v>
      </c>
    </row>
    <row r="18" ht="26.25" customHeight="1">
      <c r="A18" s="47" t="s">
        <v>53</v>
      </c>
      <c r="B18" s="38">
        <f>SUM(B5:B17)</f>
        <v>13121400</v>
      </c>
      <c r="C18" s="40"/>
    </row>
    <row r="19" ht="26.25" customHeight="1">
      <c r="A19" s="65" t="s">
        <v>84</v>
      </c>
      <c r="B19" s="66">
        <v>-1.0E7</v>
      </c>
      <c r="C19" s="70"/>
    </row>
    <row r="20" ht="26.25" customHeight="1">
      <c r="A20" s="71" t="s">
        <v>91</v>
      </c>
      <c r="B20" s="75">
        <f>SUM(B18:B19)</f>
        <v>3121400</v>
      </c>
      <c r="C20" s="77"/>
    </row>
    <row r="21" ht="26.25" customHeight="1"/>
    <row r="22" ht="26.25" customHeight="1">
      <c r="A22" s="1" t="s">
        <v>0</v>
      </c>
      <c r="B22" s="2" t="s">
        <v>119</v>
      </c>
      <c r="C22" s="3"/>
    </row>
    <row r="23" ht="22.5" customHeight="1">
      <c r="A23" s="4" t="s">
        <v>3</v>
      </c>
      <c r="B23" s="4" t="s">
        <v>4</v>
      </c>
      <c r="C23" s="5" t="s">
        <v>5</v>
      </c>
    </row>
    <row r="24" ht="26.25" customHeight="1">
      <c r="A24" s="6" t="s">
        <v>127</v>
      </c>
      <c r="B24" s="83">
        <v>472700.0</v>
      </c>
      <c r="C24" s="12" t="s">
        <v>131</v>
      </c>
    </row>
    <row r="25" ht="26.25" customHeight="1">
      <c r="A25" s="6" t="s">
        <v>132</v>
      </c>
      <c r="B25" s="85">
        <v>1303275.0</v>
      </c>
      <c r="C25" s="12" t="s">
        <v>133</v>
      </c>
    </row>
    <row r="26" ht="26.25" customHeight="1">
      <c r="A26" s="20" t="s">
        <v>134</v>
      </c>
      <c r="B26" s="24">
        <v>1786500.0</v>
      </c>
      <c r="C26" s="30" t="s">
        <v>137</v>
      </c>
    </row>
    <row r="27" ht="26.25" customHeight="1">
      <c r="A27" s="20" t="s">
        <v>139</v>
      </c>
      <c r="B27" s="24">
        <f>600000*3</f>
        <v>1800000</v>
      </c>
      <c r="C27" s="79"/>
    </row>
    <row r="28" ht="26.25" customHeight="1">
      <c r="A28" s="20" t="s">
        <v>147</v>
      </c>
      <c r="B28" s="24">
        <f>52500*8</f>
        <v>420000</v>
      </c>
      <c r="C28" s="79" t="s">
        <v>148</v>
      </c>
    </row>
    <row r="29" ht="26.25" customHeight="1">
      <c r="A29" s="20" t="s">
        <v>150</v>
      </c>
      <c r="B29" s="24">
        <f>250000-35460</f>
        <v>214540</v>
      </c>
      <c r="C29" s="39" t="s">
        <v>153</v>
      </c>
    </row>
    <row r="30" ht="26.25" customHeight="1">
      <c r="A30" s="23" t="s">
        <v>63</v>
      </c>
      <c r="B30" s="24">
        <f>61000+25000+27000+50000+50000</f>
        <v>213000</v>
      </c>
      <c r="C30" s="39" t="s">
        <v>156</v>
      </c>
    </row>
    <row r="31" ht="26.25" customHeight="1">
      <c r="A31" s="31" t="s">
        <v>158</v>
      </c>
      <c r="B31" s="53">
        <v>5000000.0</v>
      </c>
      <c r="C31" s="51"/>
    </row>
    <row r="32" ht="26.25" customHeight="1">
      <c r="A32" s="31" t="s">
        <v>41</v>
      </c>
      <c r="B32" s="53">
        <f>1750000-233900</f>
        <v>1516100</v>
      </c>
      <c r="C32" s="79" t="s">
        <v>161</v>
      </c>
    </row>
    <row r="33" ht="30.75" customHeight="1">
      <c r="A33" s="47" t="s">
        <v>53</v>
      </c>
      <c r="B33" s="38">
        <f>SUM(B24:B32)</f>
        <v>12726115</v>
      </c>
      <c r="C33" s="40"/>
    </row>
    <row r="36" ht="25.5" customHeight="1">
      <c r="A36" s="1" t="s">
        <v>0</v>
      </c>
      <c r="B36" s="2" t="s">
        <v>167</v>
      </c>
      <c r="C36" s="3"/>
    </row>
    <row r="37" ht="26.25" customHeight="1">
      <c r="A37" s="4" t="s">
        <v>3</v>
      </c>
      <c r="B37" s="4" t="s">
        <v>4</v>
      </c>
      <c r="C37" s="5" t="s">
        <v>5</v>
      </c>
    </row>
    <row r="38" ht="22.5" customHeight="1">
      <c r="A38" s="6" t="s">
        <v>173</v>
      </c>
      <c r="B38" s="83">
        <v>1033200.0</v>
      </c>
      <c r="C38" s="12" t="s">
        <v>175</v>
      </c>
    </row>
    <row r="39" ht="22.5" customHeight="1">
      <c r="A39" s="6" t="s">
        <v>177</v>
      </c>
      <c r="B39" s="85">
        <v>1323000.0</v>
      </c>
      <c r="C39" s="12" t="s">
        <v>133</v>
      </c>
    </row>
    <row r="40" ht="22.5" customHeight="1">
      <c r="A40" s="20" t="s">
        <v>179</v>
      </c>
      <c r="B40" s="24">
        <v>1120500.0</v>
      </c>
      <c r="C40" s="30" t="s">
        <v>182</v>
      </c>
    </row>
    <row r="41" ht="22.5" customHeight="1">
      <c r="A41" s="20" t="s">
        <v>185</v>
      </c>
      <c r="B41" s="24">
        <v>3950000.0</v>
      </c>
      <c r="C41" s="79"/>
    </row>
    <row r="42" ht="22.5" customHeight="1">
      <c r="A42" s="20" t="s">
        <v>188</v>
      </c>
      <c r="B42" s="24">
        <f>52500*8</f>
        <v>420000</v>
      </c>
      <c r="C42" s="79" t="s">
        <v>192</v>
      </c>
    </row>
    <row r="43" ht="22.5" customHeight="1">
      <c r="A43" s="20" t="s">
        <v>196</v>
      </c>
      <c r="B43" s="24">
        <f>250000-90000</f>
        <v>160000</v>
      </c>
      <c r="C43" s="79" t="s">
        <v>200</v>
      </c>
    </row>
    <row r="44" ht="22.5" customHeight="1">
      <c r="A44" s="23" t="s">
        <v>203</v>
      </c>
      <c r="B44" s="24">
        <v>300000.0</v>
      </c>
      <c r="C44" s="39"/>
    </row>
    <row r="45" ht="22.5" customHeight="1">
      <c r="A45" s="23" t="s">
        <v>63</v>
      </c>
      <c r="B45" s="24">
        <f>20000+50000+21000+50000</f>
        <v>141000</v>
      </c>
      <c r="C45" s="39" t="s">
        <v>210</v>
      </c>
    </row>
    <row r="46" ht="22.5" customHeight="1">
      <c r="A46" s="31" t="s">
        <v>213</v>
      </c>
      <c r="B46" s="53">
        <v>295000.0</v>
      </c>
      <c r="C46" s="79" t="s">
        <v>214</v>
      </c>
    </row>
    <row r="47" ht="22.5" customHeight="1">
      <c r="A47" s="31" t="s">
        <v>41</v>
      </c>
      <c r="B47" s="53">
        <f>1750000-1182400-295000</f>
        <v>272600</v>
      </c>
      <c r="C47" s="113" t="s">
        <v>217</v>
      </c>
    </row>
    <row r="48" ht="29.25" customHeight="1">
      <c r="A48" s="47" t="s">
        <v>53</v>
      </c>
      <c r="B48" s="38">
        <f>SUM(B38:B47)</f>
        <v>9015300</v>
      </c>
      <c r="C48" s="40"/>
    </row>
    <row r="51" ht="22.5" customHeight="1">
      <c r="A51" s="1" t="s">
        <v>0</v>
      </c>
      <c r="B51" s="2" t="s">
        <v>223</v>
      </c>
      <c r="C51" s="3"/>
    </row>
    <row r="52" ht="22.5" customHeight="1">
      <c r="A52" s="4" t="s">
        <v>3</v>
      </c>
      <c r="B52" s="4" t="s">
        <v>4</v>
      </c>
      <c r="C52" s="5" t="s">
        <v>5</v>
      </c>
    </row>
    <row r="53" ht="22.5" customHeight="1">
      <c r="A53" s="10" t="s">
        <v>224</v>
      </c>
      <c r="B53" s="14">
        <v>2468100.0</v>
      </c>
      <c r="C53" s="32" t="s">
        <v>227</v>
      </c>
    </row>
    <row r="54" ht="22.5" customHeight="1">
      <c r="A54" s="125" t="s">
        <v>228</v>
      </c>
      <c r="B54" s="127">
        <v>1959600.0</v>
      </c>
      <c r="C54" s="8" t="s">
        <v>197</v>
      </c>
    </row>
    <row r="55" ht="22.5" customHeight="1">
      <c r="A55" s="20" t="s">
        <v>232</v>
      </c>
      <c r="B55" s="24">
        <v>4406150.0</v>
      </c>
      <c r="C55" s="25" t="s">
        <v>234</v>
      </c>
    </row>
    <row r="56" ht="22.5" customHeight="1">
      <c r="A56" s="20" t="s">
        <v>235</v>
      </c>
      <c r="B56" s="24">
        <v>1534200.0</v>
      </c>
      <c r="C56" s="32" t="s">
        <v>236</v>
      </c>
    </row>
    <row r="57" ht="22.5" customHeight="1">
      <c r="A57" s="20" t="s">
        <v>237</v>
      </c>
      <c r="B57" s="24">
        <v>2778500.0</v>
      </c>
      <c r="C57" s="32" t="s">
        <v>239</v>
      </c>
    </row>
    <row r="58" ht="22.5" customHeight="1">
      <c r="A58" s="81" t="s">
        <v>241</v>
      </c>
      <c r="B58" s="53">
        <f>53000*6</f>
        <v>318000</v>
      </c>
      <c r="C58" s="8" t="s">
        <v>197</v>
      </c>
    </row>
    <row r="59" ht="22.5" customHeight="1">
      <c r="A59" s="23" t="s">
        <v>63</v>
      </c>
      <c r="B59" s="24">
        <f>44200+50000+50000+21000</f>
        <v>165200</v>
      </c>
      <c r="C59" s="21" t="s">
        <v>250</v>
      </c>
    </row>
    <row r="60" ht="22.5" customHeight="1">
      <c r="A60" s="31" t="s">
        <v>213</v>
      </c>
      <c r="B60" s="53">
        <v>500000.0</v>
      </c>
      <c r="C60" s="8" t="s">
        <v>197</v>
      </c>
    </row>
    <row r="61" ht="22.5" customHeight="1">
      <c r="A61" s="31" t="s">
        <v>41</v>
      </c>
      <c r="B61" s="53">
        <f>1750000-860000-500000</f>
        <v>390000</v>
      </c>
      <c r="C61" s="8" t="s">
        <v>197</v>
      </c>
    </row>
    <row r="62" ht="22.5" customHeight="1">
      <c r="A62" s="47" t="s">
        <v>53</v>
      </c>
      <c r="B62" s="38">
        <f>SUM(B53:B61)</f>
        <v>14519750</v>
      </c>
      <c r="C62" s="40"/>
    </row>
    <row r="63" ht="22.5" customHeight="1">
      <c r="A63" s="132" t="s">
        <v>257</v>
      </c>
      <c r="B63" s="140">
        <v>3150000.0</v>
      </c>
      <c r="C63" s="142" t="s">
        <v>260</v>
      </c>
    </row>
    <row r="64" ht="22.5" customHeight="1">
      <c r="A64" s="144" t="s">
        <v>160</v>
      </c>
      <c r="B64" s="96">
        <f>B62-B63</f>
        <v>11369750</v>
      </c>
      <c r="C64" s="98"/>
    </row>
    <row r="65" ht="22.5" customHeight="1">
      <c r="A65" s="147"/>
      <c r="B65" s="148"/>
      <c r="C65" s="149"/>
    </row>
    <row r="66" ht="22.5" customHeight="1">
      <c r="A66" s="150" t="s">
        <v>250</v>
      </c>
      <c r="B66" s="153">
        <f>B53+B55+B56+B57+B59</f>
        <v>11352150</v>
      </c>
    </row>
    <row r="67" ht="22.5" customHeight="1">
      <c r="A67" s="155" t="s">
        <v>260</v>
      </c>
      <c r="B67" s="156">
        <f>B54+B58+B60+B61</f>
        <v>3167600</v>
      </c>
    </row>
    <row r="68" ht="22.5" customHeight="1">
      <c r="A68" s="158" t="s">
        <v>278</v>
      </c>
      <c r="B68" s="160">
        <f>SUM(B66:B67)</f>
        <v>14519750</v>
      </c>
    </row>
    <row r="70" ht="22.5" customHeight="1">
      <c r="A70" s="1" t="s">
        <v>0</v>
      </c>
      <c r="B70" s="2" t="s">
        <v>223</v>
      </c>
      <c r="C70" s="3"/>
    </row>
    <row r="71" ht="22.5" customHeight="1">
      <c r="A71" s="4" t="s">
        <v>3</v>
      </c>
      <c r="B71" s="4" t="s">
        <v>4</v>
      </c>
      <c r="C71" s="5" t="s">
        <v>5</v>
      </c>
    </row>
    <row r="72" ht="22.5" customHeight="1">
      <c r="A72" s="10" t="s">
        <v>224</v>
      </c>
      <c r="B72" s="14">
        <v>2468100.0</v>
      </c>
      <c r="C72" s="32" t="s">
        <v>227</v>
      </c>
    </row>
    <row r="73" ht="22.5" customHeight="1">
      <c r="A73" s="125" t="s">
        <v>228</v>
      </c>
      <c r="B73" s="127">
        <v>1959600.0</v>
      </c>
      <c r="C73" s="8" t="s">
        <v>197</v>
      </c>
    </row>
    <row r="74" ht="22.5" customHeight="1">
      <c r="A74" s="20" t="s">
        <v>232</v>
      </c>
      <c r="B74" s="24">
        <v>4406150.0</v>
      </c>
      <c r="C74" s="25" t="s">
        <v>234</v>
      </c>
    </row>
    <row r="75" ht="22.5" customHeight="1">
      <c r="A75" s="20" t="s">
        <v>235</v>
      </c>
      <c r="B75" s="24">
        <v>1534200.0</v>
      </c>
      <c r="C75" s="32" t="s">
        <v>236</v>
      </c>
    </row>
    <row r="76" ht="22.5" customHeight="1">
      <c r="A76" s="20" t="s">
        <v>237</v>
      </c>
      <c r="B76" s="24">
        <v>2778500.0</v>
      </c>
      <c r="C76" s="32" t="s">
        <v>239</v>
      </c>
    </row>
    <row r="77" ht="22.5" customHeight="1">
      <c r="A77" s="81" t="s">
        <v>241</v>
      </c>
      <c r="B77" s="53">
        <f>53000*6</f>
        <v>318000</v>
      </c>
      <c r="C77" s="8" t="s">
        <v>197</v>
      </c>
    </row>
    <row r="78" ht="22.5" customHeight="1">
      <c r="A78" s="23" t="s">
        <v>63</v>
      </c>
      <c r="B78" s="24">
        <f>44200+50000+50000+21000</f>
        <v>165200</v>
      </c>
      <c r="C78" s="21" t="s">
        <v>250</v>
      </c>
    </row>
    <row r="79" ht="22.5" customHeight="1">
      <c r="A79" s="31" t="s">
        <v>213</v>
      </c>
      <c r="B79" s="53">
        <v>500000.0</v>
      </c>
      <c r="C79" s="8" t="s">
        <v>197</v>
      </c>
    </row>
    <row r="80" ht="22.5" customHeight="1">
      <c r="A80" s="31" t="s">
        <v>41</v>
      </c>
      <c r="B80" s="53">
        <f>1750000-860000-500000</f>
        <v>390000</v>
      </c>
      <c r="C80" s="8" t="s">
        <v>197</v>
      </c>
    </row>
    <row r="81" ht="33.0" customHeight="1">
      <c r="A81" s="47" t="s">
        <v>53</v>
      </c>
      <c r="B81" s="38">
        <f>SUM(B72:B80)</f>
        <v>14519750</v>
      </c>
      <c r="C81" s="40"/>
    </row>
  </sheetData>
  <mergeCells count="5">
    <mergeCell ref="B3:C3"/>
    <mergeCell ref="B22:C22"/>
    <mergeCell ref="B36:C36"/>
    <mergeCell ref="B51:C51"/>
    <mergeCell ref="B70:C7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5"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1.71"/>
    <col customWidth="1" min="2" max="2" width="22.86"/>
    <col customWidth="1" min="3" max="3" width="58.71"/>
  </cols>
  <sheetData>
    <row r="2" ht="21.75" customHeight="1"/>
    <row r="3" ht="1.5" customHeight="1"/>
    <row r="4" ht="24.0" customHeight="1">
      <c r="A4" s="1" t="s">
        <v>0</v>
      </c>
      <c r="B4" s="2" t="s">
        <v>7</v>
      </c>
      <c r="C4" s="3"/>
    </row>
    <row r="5" ht="15.75" customHeight="1">
      <c r="A5" s="4" t="s">
        <v>3</v>
      </c>
      <c r="B5" s="4" t="s">
        <v>4</v>
      </c>
      <c r="C5" s="5" t="s">
        <v>5</v>
      </c>
    </row>
    <row r="6" ht="18.75" customHeight="1">
      <c r="A6" s="11" t="s">
        <v>10</v>
      </c>
      <c r="B6" s="7">
        <v>1746700.0</v>
      </c>
      <c r="C6" s="13" t="s">
        <v>14</v>
      </c>
    </row>
    <row r="7" ht="18.75" customHeight="1">
      <c r="A7" s="11" t="s">
        <v>15</v>
      </c>
      <c r="B7" s="9">
        <v>1212075.0</v>
      </c>
      <c r="C7" s="13" t="s">
        <v>16</v>
      </c>
    </row>
    <row r="8" ht="18.75" customHeight="1">
      <c r="A8" s="11" t="s">
        <v>17</v>
      </c>
      <c r="B8" s="9">
        <v>0.0</v>
      </c>
      <c r="C8" s="13" t="s">
        <v>19</v>
      </c>
    </row>
    <row r="9" ht="18.75" customHeight="1">
      <c r="A9" s="22" t="s">
        <v>20</v>
      </c>
      <c r="B9" s="26">
        <v>3466500.0</v>
      </c>
      <c r="C9" s="28"/>
    </row>
    <row r="10" ht="18.75" customHeight="1">
      <c r="A10" s="22" t="s">
        <v>37</v>
      </c>
      <c r="B10" s="26">
        <v>1303100.0</v>
      </c>
      <c r="C10" s="13" t="s">
        <v>39</v>
      </c>
    </row>
    <row r="11" ht="18.75" customHeight="1">
      <c r="A11" s="20" t="s">
        <v>40</v>
      </c>
      <c r="B11" s="27">
        <f>52500*3</f>
        <v>157500</v>
      </c>
      <c r="C11" s="33" t="s">
        <v>46</v>
      </c>
    </row>
    <row r="12" ht="18.75" customHeight="1">
      <c r="A12" s="20" t="s">
        <v>49</v>
      </c>
      <c r="B12" s="27">
        <f>45000*3+52500</f>
        <v>187500</v>
      </c>
      <c r="C12" s="33" t="s">
        <v>51</v>
      </c>
    </row>
    <row r="13" ht="18.75" customHeight="1">
      <c r="A13" s="20" t="s">
        <v>52</v>
      </c>
      <c r="B13" s="27">
        <v>300000.0</v>
      </c>
      <c r="C13" s="18"/>
    </row>
    <row r="14" ht="18.75" customHeight="1">
      <c r="A14" s="20" t="s">
        <v>54</v>
      </c>
      <c r="B14" s="27">
        <v>200000.0</v>
      </c>
      <c r="C14" s="18"/>
    </row>
    <row r="15" ht="18.75" customHeight="1">
      <c r="A15" s="20" t="s">
        <v>55</v>
      </c>
      <c r="B15" s="27">
        <v>250000.0</v>
      </c>
      <c r="C15" s="18"/>
    </row>
    <row r="16" ht="18.75" customHeight="1">
      <c r="A16" s="23" t="s">
        <v>57</v>
      </c>
      <c r="B16" s="27">
        <v>300000.0</v>
      </c>
      <c r="C16" s="33" t="s">
        <v>58</v>
      </c>
    </row>
    <row r="17" ht="18.75" customHeight="1">
      <c r="A17" s="23" t="s">
        <v>59</v>
      </c>
      <c r="B17" s="27">
        <f>250000-21500</f>
        <v>228500</v>
      </c>
      <c r="C17" s="33" t="s">
        <v>62</v>
      </c>
    </row>
    <row r="18" ht="14.25" customHeight="1">
      <c r="A18" s="31" t="s">
        <v>64</v>
      </c>
      <c r="B18" s="43">
        <f>5000000-4849375</f>
        <v>150625</v>
      </c>
      <c r="C18" s="45"/>
    </row>
    <row r="19" ht="16.5" customHeight="1">
      <c r="A19" s="47" t="s">
        <v>53</v>
      </c>
      <c r="B19" s="50">
        <f>SUM(B6:B18)</f>
        <v>9502500</v>
      </c>
      <c r="C19" s="40"/>
    </row>
    <row r="20" ht="24.75" customHeight="1">
      <c r="A20" s="52" t="s">
        <v>77</v>
      </c>
      <c r="B20" s="54">
        <f>1782500+2720000</f>
        <v>4502500</v>
      </c>
      <c r="C20" s="56" t="s">
        <v>80</v>
      </c>
    </row>
    <row r="21" ht="24.0" customHeight="1">
      <c r="A21" s="60" t="s">
        <v>81</v>
      </c>
      <c r="B21" s="67">
        <f>B19-B20</f>
        <v>5000000</v>
      </c>
      <c r="C21" s="68"/>
    </row>
    <row r="23" ht="21.0" customHeight="1">
      <c r="A23" s="1" t="s">
        <v>0</v>
      </c>
      <c r="B23" s="2" t="s">
        <v>88</v>
      </c>
      <c r="C23" s="3"/>
    </row>
    <row r="24" ht="15.75" customHeight="1">
      <c r="A24" s="4" t="s">
        <v>3</v>
      </c>
      <c r="B24" s="4" t="s">
        <v>4</v>
      </c>
      <c r="C24" s="5" t="s">
        <v>5</v>
      </c>
    </row>
    <row r="25" ht="18.75" customHeight="1">
      <c r="A25" s="11" t="s">
        <v>92</v>
      </c>
      <c r="B25" s="7">
        <v>979100.0</v>
      </c>
      <c r="C25" s="13" t="s">
        <v>95</v>
      </c>
    </row>
    <row r="26" ht="17.25" customHeight="1">
      <c r="A26" s="11" t="s">
        <v>96</v>
      </c>
      <c r="B26" s="9">
        <v>1237400.0</v>
      </c>
      <c r="C26" s="13" t="s">
        <v>97</v>
      </c>
    </row>
    <row r="27" ht="17.25" customHeight="1">
      <c r="A27" s="11" t="s">
        <v>98</v>
      </c>
      <c r="B27" s="9">
        <v>527000.0</v>
      </c>
      <c r="C27" s="13" t="s">
        <v>99</v>
      </c>
    </row>
    <row r="28" ht="18.75" customHeight="1">
      <c r="A28" s="72" t="s">
        <v>100</v>
      </c>
      <c r="B28" s="73">
        <v>3804850.0</v>
      </c>
      <c r="C28" s="74" t="s">
        <v>106</v>
      </c>
    </row>
    <row r="29" ht="18.75" customHeight="1">
      <c r="A29" s="72" t="s">
        <v>108</v>
      </c>
      <c r="B29" s="73">
        <v>2076500.0</v>
      </c>
      <c r="C29" s="13" t="s">
        <v>110</v>
      </c>
    </row>
    <row r="30" ht="18.75" customHeight="1">
      <c r="A30" s="72" t="s">
        <v>111</v>
      </c>
      <c r="B30" s="73">
        <v>2960500.0</v>
      </c>
      <c r="C30" s="33"/>
    </row>
    <row r="31" ht="18.0" customHeight="1">
      <c r="A31" s="20" t="s">
        <v>113</v>
      </c>
      <c r="B31" s="27">
        <f>52500*12</f>
        <v>630000</v>
      </c>
      <c r="C31" s="39" t="s">
        <v>116</v>
      </c>
    </row>
    <row r="32" ht="18.75" customHeight="1">
      <c r="A32" s="20" t="s">
        <v>117</v>
      </c>
      <c r="B32" s="27">
        <f>201600+55400</f>
        <v>257000</v>
      </c>
      <c r="C32" s="79" t="s">
        <v>118</v>
      </c>
    </row>
    <row r="33" ht="18.75" customHeight="1">
      <c r="A33" s="20" t="s">
        <v>121</v>
      </c>
      <c r="B33" s="27">
        <v>180000.0</v>
      </c>
      <c r="C33" s="33" t="s">
        <v>122</v>
      </c>
    </row>
    <row r="34" ht="18.75" customHeight="1">
      <c r="A34" s="20" t="s">
        <v>123</v>
      </c>
      <c r="B34" s="27">
        <v>670000.0</v>
      </c>
      <c r="C34" s="33"/>
    </row>
    <row r="35" ht="18.75" customHeight="1">
      <c r="A35" s="23" t="s">
        <v>57</v>
      </c>
      <c r="B35" s="27">
        <f>259500+25000+25000+50000</f>
        <v>359500</v>
      </c>
      <c r="C35" s="33" t="s">
        <v>125</v>
      </c>
    </row>
    <row r="36" ht="18.75" customHeight="1">
      <c r="A36" s="23" t="s">
        <v>126</v>
      </c>
      <c r="B36" s="27">
        <v>200000.0</v>
      </c>
      <c r="C36" s="33"/>
    </row>
    <row r="37" ht="18.75" customHeight="1">
      <c r="A37" s="81" t="s">
        <v>128</v>
      </c>
      <c r="B37" s="82">
        <v>1090400.0</v>
      </c>
      <c r="C37" s="84" t="s">
        <v>130</v>
      </c>
    </row>
    <row r="38" ht="15.75" customHeight="1">
      <c r="A38" s="31" t="s">
        <v>64</v>
      </c>
      <c r="B38" s="43">
        <f>1750000-B37</f>
        <v>659600</v>
      </c>
      <c r="C38" s="88" t="s">
        <v>138</v>
      </c>
    </row>
    <row r="39" ht="29.25" customHeight="1">
      <c r="A39" s="47" t="s">
        <v>53</v>
      </c>
      <c r="B39" s="50">
        <f>SUM(B25:B38)</f>
        <v>15631850</v>
      </c>
      <c r="C39" s="40"/>
      <c r="D39" s="90"/>
    </row>
    <row r="40" ht="27.75" customHeight="1">
      <c r="A40" s="92" t="s">
        <v>154</v>
      </c>
      <c r="B40" s="93">
        <v>-3600000.0</v>
      </c>
      <c r="C40" s="94"/>
    </row>
    <row r="41" ht="30.75" customHeight="1">
      <c r="A41" s="95" t="s">
        <v>160</v>
      </c>
      <c r="B41" s="96">
        <f>SUM(B39:B40)</f>
        <v>12031850</v>
      </c>
      <c r="C41" s="98"/>
    </row>
    <row r="42" ht="21.75" customHeight="1">
      <c r="A42" s="99" t="s">
        <v>169</v>
      </c>
      <c r="B42" s="100">
        <v>-1090400.0</v>
      </c>
      <c r="C42" s="101"/>
    </row>
    <row r="43" ht="23.25" customHeight="1">
      <c r="A43" s="99" t="s">
        <v>176</v>
      </c>
      <c r="B43" s="100">
        <v>-1.0942E7</v>
      </c>
      <c r="C43" s="101"/>
    </row>
    <row r="44" ht="30.75" customHeight="1">
      <c r="A44" s="102" t="s">
        <v>160</v>
      </c>
      <c r="B44" s="104">
        <f>SUM(B41:B43)</f>
        <v>-550</v>
      </c>
      <c r="C44" s="105" t="s">
        <v>190</v>
      </c>
    </row>
    <row r="47" ht="26.25" customHeight="1">
      <c r="A47" s="1" t="s">
        <v>0</v>
      </c>
      <c r="B47" s="2" t="s">
        <v>193</v>
      </c>
      <c r="C47" s="3"/>
    </row>
    <row r="48" ht="18.75" customHeight="1">
      <c r="A48" s="4" t="s">
        <v>3</v>
      </c>
      <c r="B48" s="4" t="s">
        <v>4</v>
      </c>
      <c r="C48" s="5" t="s">
        <v>5</v>
      </c>
    </row>
    <row r="49" ht="18.75" customHeight="1">
      <c r="A49" s="6" t="s">
        <v>199</v>
      </c>
      <c r="B49" s="106">
        <v>2213700.0</v>
      </c>
      <c r="C49" s="13" t="s">
        <v>205</v>
      </c>
    </row>
    <row r="50" ht="18.75" customHeight="1">
      <c r="A50" s="6" t="s">
        <v>207</v>
      </c>
      <c r="B50" s="107">
        <v>1573400.0</v>
      </c>
      <c r="C50" s="13" t="s">
        <v>11</v>
      </c>
    </row>
    <row r="51" ht="18.75" customHeight="1">
      <c r="A51" s="6" t="s">
        <v>209</v>
      </c>
      <c r="B51" s="107">
        <v>441000.0</v>
      </c>
      <c r="C51" s="13" t="s">
        <v>19</v>
      </c>
    </row>
    <row r="52" ht="18.75" customHeight="1">
      <c r="A52" s="108" t="s">
        <v>211</v>
      </c>
      <c r="B52" s="109">
        <v>3723300.0</v>
      </c>
      <c r="C52" s="112"/>
    </row>
    <row r="53" ht="18.75" customHeight="1">
      <c r="A53" s="108" t="s">
        <v>218</v>
      </c>
      <c r="B53" s="109">
        <v>1201100.0</v>
      </c>
      <c r="C53" s="115"/>
    </row>
    <row r="54" ht="18.75" customHeight="1">
      <c r="A54" s="108" t="s">
        <v>220</v>
      </c>
      <c r="B54" s="109">
        <v>4360000.0</v>
      </c>
      <c r="C54" s="117"/>
    </row>
    <row r="55" ht="18.75" customHeight="1">
      <c r="A55" s="108" t="s">
        <v>221</v>
      </c>
      <c r="B55" s="109">
        <v>4911000.0</v>
      </c>
      <c r="C55" s="119"/>
    </row>
    <row r="56" ht="18.75" customHeight="1">
      <c r="A56" s="20" t="s">
        <v>222</v>
      </c>
      <c r="B56" s="27">
        <f>52500*12</f>
        <v>630000</v>
      </c>
      <c r="C56" s="122" t="s">
        <v>116</v>
      </c>
    </row>
    <row r="57" ht="18.75" customHeight="1">
      <c r="A57" s="20" t="s">
        <v>225</v>
      </c>
      <c r="B57" s="27">
        <f>52500*7</f>
        <v>367500</v>
      </c>
      <c r="C57" s="79"/>
    </row>
    <row r="58" ht="18.75" customHeight="1">
      <c r="A58" s="20" t="s">
        <v>229</v>
      </c>
      <c r="B58" s="27">
        <f>600000*3</f>
        <v>1800000</v>
      </c>
      <c r="C58" s="33"/>
    </row>
    <row r="59" ht="18.75" customHeight="1">
      <c r="A59" s="23" t="s">
        <v>57</v>
      </c>
      <c r="B59" s="27">
        <v>300000.0</v>
      </c>
      <c r="C59" s="33"/>
    </row>
    <row r="60" ht="18.75" customHeight="1">
      <c r="A60" s="23" t="s">
        <v>230</v>
      </c>
      <c r="B60" s="27">
        <v>191500.0</v>
      </c>
      <c r="C60" s="33"/>
    </row>
    <row r="61" ht="18.75" customHeight="1">
      <c r="A61" s="31" t="s">
        <v>41</v>
      </c>
      <c r="B61" s="43">
        <f>1750000-335750</f>
        <v>1414250</v>
      </c>
      <c r="C61" s="88"/>
    </row>
    <row r="62" ht="18.75" customHeight="1">
      <c r="A62" s="47" t="s">
        <v>53</v>
      </c>
      <c r="B62" s="38">
        <f>SUM(B49:B61)</f>
        <v>23126750</v>
      </c>
      <c r="C62" s="40"/>
    </row>
    <row r="63">
      <c r="A63" s="42" t="s">
        <v>244</v>
      </c>
      <c r="B63" s="131">
        <v>-2.2E7</v>
      </c>
      <c r="C63" s="70"/>
    </row>
    <row r="64">
      <c r="A64" s="42" t="s">
        <v>248</v>
      </c>
      <c r="B64" s="131">
        <v>-1126000.0</v>
      </c>
      <c r="C64" s="70"/>
    </row>
    <row r="66" ht="24.0" customHeight="1">
      <c r="A66" s="133" t="s">
        <v>252</v>
      </c>
      <c r="B66" s="136">
        <f>SUM(B63:B65)</f>
        <v>-23126000</v>
      </c>
    </row>
    <row r="68" ht="33.75" customHeight="1">
      <c r="A68" s="1" t="s">
        <v>0</v>
      </c>
      <c r="B68" s="2" t="s">
        <v>256</v>
      </c>
      <c r="C68" s="3"/>
    </row>
    <row r="69" ht="19.5" customHeight="1">
      <c r="A69" s="4" t="s">
        <v>3</v>
      </c>
      <c r="B69" s="4" t="s">
        <v>4</v>
      </c>
      <c r="C69" s="5" t="s">
        <v>5</v>
      </c>
    </row>
    <row r="70" ht="18.75" customHeight="1">
      <c r="A70" s="6" t="s">
        <v>259</v>
      </c>
      <c r="B70" s="106">
        <v>1958450.0</v>
      </c>
      <c r="C70" s="12" t="s">
        <v>261</v>
      </c>
    </row>
    <row r="71" ht="18.75" customHeight="1">
      <c r="A71" s="6" t="s">
        <v>262</v>
      </c>
      <c r="B71" s="107">
        <v>1049000.0</v>
      </c>
      <c r="C71" s="13" t="s">
        <v>11</v>
      </c>
    </row>
    <row r="72" ht="18.75" customHeight="1">
      <c r="A72" s="6" t="s">
        <v>263</v>
      </c>
      <c r="B72" s="107">
        <v>72000.0</v>
      </c>
      <c r="C72" s="13" t="s">
        <v>19</v>
      </c>
    </row>
    <row r="73" ht="18.75" customHeight="1">
      <c r="A73" s="108" t="s">
        <v>265</v>
      </c>
      <c r="B73" s="109">
        <v>3861800.0</v>
      </c>
      <c r="C73" s="112"/>
    </row>
    <row r="74" ht="18.75" customHeight="1">
      <c r="A74" s="108" t="s">
        <v>266</v>
      </c>
      <c r="B74" s="109">
        <v>1038300.0</v>
      </c>
      <c r="C74" s="115"/>
    </row>
    <row r="75" ht="18.75" customHeight="1">
      <c r="A75" s="108" t="s">
        <v>267</v>
      </c>
      <c r="B75" s="109">
        <v>1150000.0</v>
      </c>
      <c r="C75" s="117"/>
    </row>
    <row r="76" ht="18.75" customHeight="1">
      <c r="A76" s="20" t="s">
        <v>268</v>
      </c>
      <c r="B76" s="27">
        <f>53000*7</f>
        <v>371000</v>
      </c>
      <c r="C76" s="79" t="s">
        <v>269</v>
      </c>
    </row>
    <row r="77" ht="18.75" customHeight="1">
      <c r="A77" s="20" t="s">
        <v>189</v>
      </c>
      <c r="B77" s="27">
        <v>3500000.0</v>
      </c>
      <c r="C77" s="33"/>
    </row>
    <row r="78" ht="18.75" customHeight="1">
      <c r="A78" s="23" t="s">
        <v>270</v>
      </c>
      <c r="B78" s="27">
        <v>250000.0</v>
      </c>
      <c r="C78" s="33"/>
    </row>
    <row r="79" ht="18.75" customHeight="1">
      <c r="A79" s="23" t="s">
        <v>271</v>
      </c>
      <c r="B79" s="27">
        <v>100000.0</v>
      </c>
      <c r="C79" s="33"/>
    </row>
    <row r="80" ht="18.75" customHeight="1">
      <c r="A80" s="31" t="s">
        <v>41</v>
      </c>
      <c r="B80" s="43">
        <v>0.0</v>
      </c>
      <c r="C80" s="88" t="s">
        <v>272</v>
      </c>
    </row>
    <row r="81" ht="18.75" customHeight="1">
      <c r="A81" s="47" t="s">
        <v>53</v>
      </c>
      <c r="B81" s="38">
        <f>SUM(B70:B80)</f>
        <v>13350550</v>
      </c>
      <c r="C81" s="40"/>
    </row>
    <row r="82" ht="19.5" customHeight="1">
      <c r="A82" s="151" t="s">
        <v>273</v>
      </c>
      <c r="B82" s="152">
        <v>1636450.0</v>
      </c>
      <c r="C82" s="154"/>
    </row>
    <row r="83">
      <c r="A83" s="151" t="s">
        <v>275</v>
      </c>
      <c r="B83" s="152">
        <f>B75</f>
        <v>1150000</v>
      </c>
      <c r="C83" s="157" t="s">
        <v>276</v>
      </c>
    </row>
    <row r="84">
      <c r="A84" s="151" t="s">
        <v>282</v>
      </c>
      <c r="B84" s="159">
        <f>B74</f>
        <v>1038300</v>
      </c>
      <c r="C84" s="161" t="s">
        <v>287</v>
      </c>
    </row>
    <row r="85">
      <c r="A85" s="162" t="s">
        <v>289</v>
      </c>
      <c r="B85" s="152">
        <v>3500000.0</v>
      </c>
      <c r="C85" s="163" t="s">
        <v>290</v>
      </c>
    </row>
    <row r="86">
      <c r="A86" s="162" t="s">
        <v>291</v>
      </c>
      <c r="B86" s="152">
        <f>234600+170200+57500+216200+278300+23000</f>
        <v>979800</v>
      </c>
      <c r="C86" s="165" t="s">
        <v>293</v>
      </c>
    </row>
    <row r="87">
      <c r="A87" s="162" t="s">
        <v>291</v>
      </c>
      <c r="B87" s="152">
        <f>476000+405000</f>
        <v>881000</v>
      </c>
      <c r="C87" s="165" t="s">
        <v>294</v>
      </c>
    </row>
    <row r="88">
      <c r="A88" s="167" t="s">
        <v>295</v>
      </c>
      <c r="B88" s="168">
        <f>B71+B72+322000</f>
        <v>1443000</v>
      </c>
    </row>
    <row r="89" ht="18.0" customHeight="1">
      <c r="A89" s="169" t="s">
        <v>296</v>
      </c>
      <c r="B89" s="171">
        <f>SUM(B82:B88)</f>
        <v>10628550</v>
      </c>
    </row>
    <row r="90">
      <c r="A90" s="172" t="s">
        <v>297</v>
      </c>
      <c r="B90" s="171">
        <f>2250000</f>
        <v>2250000</v>
      </c>
    </row>
    <row r="91">
      <c r="A91" s="172" t="s">
        <v>298</v>
      </c>
      <c r="B91" s="173">
        <v>472000.0</v>
      </c>
    </row>
    <row r="92" ht="25.5" customHeight="1">
      <c r="A92" s="174" t="s">
        <v>299</v>
      </c>
      <c r="B92" s="175">
        <f>SUM(B89:B91)</f>
        <v>13350550</v>
      </c>
      <c r="C92" s="176"/>
    </row>
    <row r="94" ht="23.25" customHeight="1">
      <c r="A94" s="1" t="s">
        <v>0</v>
      </c>
      <c r="B94" s="2" t="s">
        <v>300</v>
      </c>
      <c r="C94" s="3"/>
    </row>
    <row r="95" ht="29.25" customHeight="1">
      <c r="A95" s="4" t="s">
        <v>3</v>
      </c>
      <c r="B95" s="4" t="s">
        <v>4</v>
      </c>
      <c r="C95" s="5" t="s">
        <v>5</v>
      </c>
    </row>
    <row r="96" ht="22.5" customHeight="1">
      <c r="A96" s="6" t="s">
        <v>301</v>
      </c>
      <c r="B96" s="106">
        <v>2036500.0</v>
      </c>
      <c r="C96" s="12" t="s">
        <v>302</v>
      </c>
    </row>
    <row r="97" ht="22.5" customHeight="1">
      <c r="A97" s="6" t="s">
        <v>303</v>
      </c>
      <c r="B97" s="107">
        <v>1167350.0</v>
      </c>
      <c r="C97" s="12" t="s">
        <v>11</v>
      </c>
    </row>
    <row r="98" ht="22.5" customHeight="1">
      <c r="A98" s="6" t="s">
        <v>304</v>
      </c>
      <c r="B98" s="107">
        <v>363000.0</v>
      </c>
      <c r="C98" s="12" t="s">
        <v>19</v>
      </c>
    </row>
    <row r="99" ht="22.5" customHeight="1">
      <c r="A99" s="177" t="s">
        <v>305</v>
      </c>
      <c r="B99" s="178">
        <v>2078700.0</v>
      </c>
      <c r="C99" s="30" t="s">
        <v>36</v>
      </c>
    </row>
    <row r="100" ht="22.5" customHeight="1">
      <c r="A100" s="177" t="s">
        <v>306</v>
      </c>
      <c r="B100" s="178">
        <v>577300.0</v>
      </c>
      <c r="C100" s="30" t="s">
        <v>43</v>
      </c>
    </row>
    <row r="101" ht="22.5" customHeight="1">
      <c r="A101" s="177" t="s">
        <v>307</v>
      </c>
      <c r="B101" s="178">
        <v>1965000.0</v>
      </c>
      <c r="C101" s="30" t="s">
        <v>308</v>
      </c>
    </row>
    <row r="102" ht="22.5" customHeight="1">
      <c r="A102" s="20" t="s">
        <v>309</v>
      </c>
      <c r="B102" s="27">
        <v>300000.0</v>
      </c>
      <c r="C102" s="39"/>
    </row>
    <row r="103" ht="22.5" customHeight="1">
      <c r="A103" s="20" t="s">
        <v>310</v>
      </c>
      <c r="B103" s="27">
        <v>150000.0</v>
      </c>
      <c r="C103" s="39" t="s">
        <v>311</v>
      </c>
    </row>
    <row r="104" ht="22.5" customHeight="1">
      <c r="A104" s="20" t="s">
        <v>312</v>
      </c>
      <c r="B104" s="27">
        <f>7*7500</f>
        <v>52500</v>
      </c>
      <c r="C104" s="39" t="s">
        <v>313</v>
      </c>
    </row>
    <row r="105" ht="22.5" customHeight="1">
      <c r="A105" s="20" t="s">
        <v>314</v>
      </c>
      <c r="B105" s="27">
        <f>24000*5</f>
        <v>120000</v>
      </c>
      <c r="C105" s="39" t="s">
        <v>315</v>
      </c>
    </row>
    <row r="106" ht="22.5" customHeight="1">
      <c r="A106" s="20" t="s">
        <v>316</v>
      </c>
      <c r="B106" s="27">
        <v>300000.0</v>
      </c>
      <c r="C106" s="39"/>
    </row>
    <row r="107" ht="22.5" customHeight="1">
      <c r="A107" s="20" t="s">
        <v>317</v>
      </c>
      <c r="B107" s="27">
        <v>150000.0</v>
      </c>
      <c r="C107" s="39" t="s">
        <v>318</v>
      </c>
    </row>
    <row r="108" ht="22.5" customHeight="1">
      <c r="A108" s="20" t="s">
        <v>319</v>
      </c>
      <c r="B108" s="27">
        <v>70000.0</v>
      </c>
      <c r="C108" s="39" t="s">
        <v>320</v>
      </c>
    </row>
    <row r="109" ht="22.5" customHeight="1">
      <c r="A109" s="23" t="s">
        <v>270</v>
      </c>
      <c r="B109" s="27">
        <f>110500+25000+21000+100000</f>
        <v>256500</v>
      </c>
      <c r="C109" s="39" t="s">
        <v>321</v>
      </c>
    </row>
    <row r="110" ht="22.5" customHeight="1">
      <c r="A110" s="31" t="s">
        <v>41</v>
      </c>
      <c r="B110" s="43">
        <f>1750000-102110</f>
        <v>1647890</v>
      </c>
      <c r="C110" s="179" t="s">
        <v>322</v>
      </c>
    </row>
    <row r="111" ht="27.0" customHeight="1">
      <c r="A111" s="47" t="s">
        <v>53</v>
      </c>
      <c r="B111" s="38">
        <f>SUM(B96:B110)</f>
        <v>11234740</v>
      </c>
      <c r="C111" s="40" t="s">
        <v>323</v>
      </c>
    </row>
  </sheetData>
  <mergeCells count="5">
    <mergeCell ref="B4:C4"/>
    <mergeCell ref="B23:C23"/>
    <mergeCell ref="B47:C47"/>
    <mergeCell ref="B68:C68"/>
    <mergeCell ref="B94:C94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5">
    <tablePart r:id="rId7"/>
    <tablePart r:id="rId8"/>
    <tablePart r:id="rId9"/>
    <tablePart r:id="rId10"/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0.57"/>
    <col customWidth="1" min="2" max="2" width="21.43"/>
    <col customWidth="1" min="3" max="3" width="42.43"/>
  </cols>
  <sheetData>
    <row r="4" ht="20.25" customHeight="1">
      <c r="A4" s="1" t="s">
        <v>0</v>
      </c>
      <c r="B4" s="2" t="s">
        <v>324</v>
      </c>
      <c r="C4" s="3"/>
    </row>
    <row r="5" ht="24.0" customHeight="1">
      <c r="A5" s="4" t="s">
        <v>3</v>
      </c>
      <c r="B5" s="4" t="s">
        <v>4</v>
      </c>
      <c r="C5" s="180" t="s">
        <v>5</v>
      </c>
    </row>
    <row r="6" ht="18.75" customHeight="1">
      <c r="A6" s="11" t="s">
        <v>325</v>
      </c>
      <c r="B6" s="7">
        <v>855600.0</v>
      </c>
      <c r="C6" s="13" t="s">
        <v>326</v>
      </c>
    </row>
    <row r="7" ht="18.75" customHeight="1">
      <c r="A7" s="11" t="s">
        <v>327</v>
      </c>
      <c r="B7" s="9">
        <v>1506900.0</v>
      </c>
      <c r="C7" s="13" t="s">
        <v>328</v>
      </c>
    </row>
    <row r="8" ht="18.75" customHeight="1">
      <c r="A8" s="11" t="s">
        <v>329</v>
      </c>
      <c r="B8" s="9">
        <v>473100.0</v>
      </c>
      <c r="C8" s="181" t="s">
        <v>19</v>
      </c>
    </row>
    <row r="9" ht="18.75" customHeight="1">
      <c r="A9" s="20" t="s">
        <v>330</v>
      </c>
      <c r="B9" s="27">
        <v>3109000.0</v>
      </c>
      <c r="C9" s="182" t="s">
        <v>331</v>
      </c>
    </row>
    <row r="10" ht="18.75" customHeight="1">
      <c r="A10" s="20" t="s">
        <v>332</v>
      </c>
      <c r="B10" s="27">
        <v>2116000.0</v>
      </c>
      <c r="C10" s="182" t="s">
        <v>333</v>
      </c>
    </row>
    <row r="11" ht="18.75" customHeight="1">
      <c r="A11" s="20" t="s">
        <v>334</v>
      </c>
      <c r="B11" s="27">
        <v>6559000.0</v>
      </c>
      <c r="C11" s="182" t="s">
        <v>335</v>
      </c>
    </row>
    <row r="12" ht="18.75" customHeight="1">
      <c r="A12" s="20" t="s">
        <v>336</v>
      </c>
      <c r="B12" s="27">
        <v>52500.0</v>
      </c>
      <c r="C12" s="183" t="s">
        <v>337</v>
      </c>
    </row>
    <row r="13" ht="18.75" customHeight="1">
      <c r="A13" s="20" t="s">
        <v>338</v>
      </c>
      <c r="B13" s="27">
        <f>52500+45000</f>
        <v>97500</v>
      </c>
      <c r="C13" s="184" t="s">
        <v>339</v>
      </c>
    </row>
    <row r="14" ht="18.75" customHeight="1">
      <c r="A14" s="20" t="s">
        <v>340</v>
      </c>
      <c r="B14" s="27">
        <f>7500*7</f>
        <v>52500</v>
      </c>
      <c r="C14" s="184" t="s">
        <v>342</v>
      </c>
    </row>
    <row r="15" ht="18.75" customHeight="1">
      <c r="A15" s="23" t="s">
        <v>343</v>
      </c>
      <c r="B15" s="27">
        <v>300000.0</v>
      </c>
      <c r="C15" s="184" t="s">
        <v>344</v>
      </c>
    </row>
    <row r="16" ht="18.75" customHeight="1">
      <c r="A16" s="23" t="s">
        <v>345</v>
      </c>
      <c r="B16" s="27">
        <v>150000.0</v>
      </c>
      <c r="C16" s="184" t="s">
        <v>347</v>
      </c>
    </row>
    <row r="17" ht="18.75" customHeight="1">
      <c r="A17" s="190" t="s">
        <v>349</v>
      </c>
      <c r="B17" s="43">
        <v>200000.0</v>
      </c>
      <c r="C17" s="191"/>
    </row>
    <row r="18" ht="18.75" customHeight="1">
      <c r="A18" s="193" t="s">
        <v>41</v>
      </c>
      <c r="B18" s="43">
        <v>1700000.0</v>
      </c>
      <c r="C18" s="195" t="s">
        <v>368</v>
      </c>
    </row>
    <row r="19" ht="27.75" customHeight="1">
      <c r="A19" s="47" t="s">
        <v>53</v>
      </c>
      <c r="B19" s="198">
        <f>SUM(B6:B18)</f>
        <v>17172100</v>
      </c>
      <c r="C19" s="199">
        <v>1.705E7</v>
      </c>
    </row>
    <row r="20">
      <c r="A20" s="202" t="s">
        <v>377</v>
      </c>
      <c r="B20" s="203">
        <v>-1.705E7</v>
      </c>
      <c r="C20" s="204"/>
    </row>
    <row r="21" ht="20.25" customHeight="1">
      <c r="A21" s="206" t="s">
        <v>379</v>
      </c>
      <c r="B21" s="208">
        <f>SUM(B19:B20)</f>
        <v>122100</v>
      </c>
      <c r="C21" s="210"/>
    </row>
    <row r="23" ht="24.75" customHeight="1">
      <c r="A23" s="1" t="s">
        <v>0</v>
      </c>
      <c r="B23" s="2" t="s">
        <v>381</v>
      </c>
      <c r="C23" s="3"/>
    </row>
    <row r="24" ht="19.5" customHeight="1">
      <c r="A24" s="4" t="s">
        <v>3</v>
      </c>
      <c r="B24" s="4" t="s">
        <v>4</v>
      </c>
      <c r="C24" s="180" t="s">
        <v>5</v>
      </c>
    </row>
    <row r="25" ht="22.5" customHeight="1">
      <c r="A25" s="11" t="s">
        <v>382</v>
      </c>
      <c r="B25" s="7">
        <v>989100.0</v>
      </c>
      <c r="C25" s="13" t="s">
        <v>326</v>
      </c>
    </row>
    <row r="26" ht="22.5" customHeight="1">
      <c r="A26" s="11" t="s">
        <v>383</v>
      </c>
      <c r="B26" s="9">
        <v>1654843.0</v>
      </c>
      <c r="C26" s="13" t="s">
        <v>328</v>
      </c>
    </row>
    <row r="27" ht="22.5" customHeight="1">
      <c r="A27" s="11" t="s">
        <v>384</v>
      </c>
      <c r="B27" s="9">
        <v>468000.0</v>
      </c>
      <c r="C27" s="181" t="s">
        <v>19</v>
      </c>
    </row>
    <row r="28" ht="22.5" customHeight="1">
      <c r="A28" s="22" t="s">
        <v>386</v>
      </c>
      <c r="B28" s="26">
        <v>3230600.0</v>
      </c>
      <c r="C28" s="182" t="s">
        <v>331</v>
      </c>
    </row>
    <row r="29" ht="22.5" customHeight="1">
      <c r="A29" s="22" t="s">
        <v>389</v>
      </c>
      <c r="B29" s="26">
        <v>2134250.0</v>
      </c>
      <c r="C29" s="182" t="s">
        <v>333</v>
      </c>
    </row>
    <row r="30" ht="22.5" customHeight="1">
      <c r="A30" s="22" t="s">
        <v>390</v>
      </c>
      <c r="B30" s="26">
        <v>7696250.0</v>
      </c>
      <c r="C30" s="182" t="s">
        <v>391</v>
      </c>
    </row>
    <row r="31" ht="22.5" customHeight="1">
      <c r="A31" s="20" t="s">
        <v>392</v>
      </c>
      <c r="B31" s="27">
        <f>52500*3</f>
        <v>157500</v>
      </c>
      <c r="C31" s="218" t="s">
        <v>395</v>
      </c>
    </row>
    <row r="32" ht="22.5" customHeight="1">
      <c r="A32" s="23" t="s">
        <v>57</v>
      </c>
      <c r="B32" s="27">
        <v>300000.0</v>
      </c>
      <c r="C32" s="184" t="s">
        <v>396</v>
      </c>
    </row>
    <row r="33" ht="22.5" customHeight="1">
      <c r="A33" s="23" t="s">
        <v>345</v>
      </c>
      <c r="B33" s="27">
        <f>250000-161800</f>
        <v>88200</v>
      </c>
      <c r="C33" s="184" t="s">
        <v>404</v>
      </c>
    </row>
    <row r="34" ht="22.5" customHeight="1">
      <c r="A34" s="23" t="s">
        <v>407</v>
      </c>
      <c r="B34" s="57">
        <v>500000.0</v>
      </c>
      <c r="C34" s="195" t="s">
        <v>409</v>
      </c>
    </row>
    <row r="35" ht="22.5" customHeight="1">
      <c r="A35" s="193" t="s">
        <v>41</v>
      </c>
      <c r="B35" s="43">
        <f>1750000-199800</f>
        <v>1550200</v>
      </c>
      <c r="C35" s="195" t="s">
        <v>413</v>
      </c>
    </row>
    <row r="36" ht="29.25" customHeight="1">
      <c r="A36" s="47" t="s">
        <v>53</v>
      </c>
      <c r="B36" s="198">
        <f>SUM(B25:B35)</f>
        <v>18768943</v>
      </c>
      <c r="C36" s="40">
        <v>1.877E7</v>
      </c>
    </row>
    <row r="38" ht="22.5" customHeight="1">
      <c r="A38" s="1" t="s">
        <v>0</v>
      </c>
      <c r="B38" s="2" t="s">
        <v>419</v>
      </c>
      <c r="C38" s="3"/>
    </row>
    <row r="39" ht="17.25" customHeight="1">
      <c r="A39" s="4" t="s">
        <v>3</v>
      </c>
      <c r="B39" s="4" t="s">
        <v>4</v>
      </c>
      <c r="C39" s="5" t="s">
        <v>5</v>
      </c>
    </row>
    <row r="40" ht="22.5" customHeight="1">
      <c r="A40" s="11" t="s">
        <v>424</v>
      </c>
      <c r="B40" s="7">
        <v>736600.0</v>
      </c>
      <c r="C40" s="13" t="s">
        <v>326</v>
      </c>
    </row>
    <row r="41" ht="22.5" customHeight="1">
      <c r="A41" s="11" t="s">
        <v>425</v>
      </c>
      <c r="B41" s="9">
        <v>1471700.0</v>
      </c>
      <c r="C41" s="13" t="s">
        <v>328</v>
      </c>
    </row>
    <row r="42" ht="22.5" customHeight="1">
      <c r="A42" s="11" t="s">
        <v>427</v>
      </c>
      <c r="B42" s="9">
        <v>558000.0</v>
      </c>
      <c r="C42" s="181" t="s">
        <v>19</v>
      </c>
    </row>
    <row r="43" ht="22.5" customHeight="1">
      <c r="A43" s="22" t="s">
        <v>429</v>
      </c>
      <c r="B43" s="26">
        <v>3843400.0</v>
      </c>
      <c r="C43" s="182" t="s">
        <v>431</v>
      </c>
    </row>
    <row r="44" ht="22.5" customHeight="1">
      <c r="A44" s="22" t="s">
        <v>432</v>
      </c>
      <c r="B44" s="26">
        <v>1710050.0</v>
      </c>
      <c r="C44" s="182" t="s">
        <v>433</v>
      </c>
    </row>
    <row r="45" ht="22.5" customHeight="1">
      <c r="A45" s="22" t="s">
        <v>434</v>
      </c>
      <c r="B45" s="26">
        <v>513500.0</v>
      </c>
      <c r="C45" s="218" t="s">
        <v>435</v>
      </c>
    </row>
    <row r="46" ht="22.5" customHeight="1">
      <c r="A46" s="20" t="s">
        <v>436</v>
      </c>
      <c r="B46" s="27">
        <f>600000*3</f>
        <v>1800000</v>
      </c>
      <c r="C46" s="27"/>
    </row>
    <row r="47" ht="22.5" customHeight="1">
      <c r="A47" s="20" t="s">
        <v>185</v>
      </c>
      <c r="B47" s="27">
        <v>4500000.0</v>
      </c>
      <c r="C47" s="27"/>
    </row>
    <row r="48" ht="22.5" customHeight="1">
      <c r="A48" s="23" t="s">
        <v>57</v>
      </c>
      <c r="B48" s="27">
        <v>250000.0</v>
      </c>
      <c r="C48" s="184"/>
    </row>
    <row r="49" ht="22.5" customHeight="1">
      <c r="A49" s="23" t="s">
        <v>345</v>
      </c>
      <c r="B49" s="27">
        <f>250000-148500</f>
        <v>101500</v>
      </c>
      <c r="C49" s="184" t="s">
        <v>404</v>
      </c>
    </row>
    <row r="50" ht="22.5" customHeight="1">
      <c r="A50" s="23" t="s">
        <v>440</v>
      </c>
      <c r="B50" s="57">
        <v>600000.0</v>
      </c>
      <c r="C50" s="195" t="s">
        <v>442</v>
      </c>
    </row>
    <row r="51" ht="22.5" customHeight="1">
      <c r="A51" s="23" t="s">
        <v>443</v>
      </c>
      <c r="B51" s="57">
        <f>75000+25000</f>
        <v>100000</v>
      </c>
      <c r="C51" s="195" t="s">
        <v>446</v>
      </c>
    </row>
    <row r="52" ht="22.5" customHeight="1">
      <c r="A52" s="193" t="s">
        <v>41</v>
      </c>
      <c r="B52" s="43">
        <f>1750000-567500</f>
        <v>1182500</v>
      </c>
      <c r="C52" s="195" t="s">
        <v>448</v>
      </c>
    </row>
    <row r="53" ht="22.5" customHeight="1">
      <c r="A53" s="47" t="s">
        <v>53</v>
      </c>
      <c r="B53" s="198">
        <f>SUM(B40:B52)</f>
        <v>17367250</v>
      </c>
      <c r="C53" s="40"/>
    </row>
    <row r="54" ht="22.5" customHeight="1">
      <c r="A54" s="222" t="s">
        <v>451</v>
      </c>
      <c r="B54" s="59">
        <v>5000000.0</v>
      </c>
      <c r="C54" s="224"/>
    </row>
    <row r="55" ht="22.5" customHeight="1">
      <c r="A55" s="221" t="s">
        <v>450</v>
      </c>
      <c r="B55" s="223">
        <f>B53-B54</f>
        <v>12367250</v>
      </c>
      <c r="C55" s="223">
        <f>3800000+8500000</f>
        <v>12300000</v>
      </c>
    </row>
    <row r="56">
      <c r="A56" s="226"/>
      <c r="B56" s="227"/>
      <c r="C56" s="228"/>
    </row>
    <row r="58" ht="24.0" customHeight="1">
      <c r="A58" s="1" t="s">
        <v>0</v>
      </c>
      <c r="B58" s="2" t="s">
        <v>467</v>
      </c>
      <c r="C58" s="3"/>
    </row>
    <row r="59" ht="23.25" customHeight="1">
      <c r="A59" s="4" t="s">
        <v>3</v>
      </c>
      <c r="B59" s="4" t="s">
        <v>4</v>
      </c>
      <c r="C59" s="5" t="s">
        <v>5</v>
      </c>
      <c r="D59" s="229"/>
    </row>
    <row r="60" ht="18.75" customHeight="1">
      <c r="A60" s="11" t="s">
        <v>474</v>
      </c>
      <c r="B60" s="7">
        <v>386400.0</v>
      </c>
      <c r="C60" s="230" t="s">
        <v>475</v>
      </c>
      <c r="D60" s="231"/>
    </row>
    <row r="61" ht="18.75" customHeight="1">
      <c r="A61" s="11" t="s">
        <v>479</v>
      </c>
      <c r="B61" s="9">
        <v>1527050.0</v>
      </c>
      <c r="C61" s="232"/>
      <c r="D61" s="233">
        <f>B60+B61+B62</f>
        <v>2335950</v>
      </c>
    </row>
    <row r="62" ht="18.75" customHeight="1">
      <c r="A62" s="11" t="s">
        <v>484</v>
      </c>
      <c r="B62" s="9">
        <v>422500.0</v>
      </c>
      <c r="C62" s="234"/>
      <c r="D62" s="231"/>
    </row>
    <row r="63" ht="18.75" customHeight="1">
      <c r="A63" s="22" t="s">
        <v>487</v>
      </c>
      <c r="B63" s="26">
        <v>5229900.0</v>
      </c>
      <c r="C63" s="235" t="s">
        <v>489</v>
      </c>
      <c r="D63" s="236"/>
    </row>
    <row r="64" ht="18.75" customHeight="1">
      <c r="A64" s="22" t="s">
        <v>491</v>
      </c>
      <c r="B64" s="26">
        <v>3783800.0</v>
      </c>
      <c r="C64" s="235" t="s">
        <v>492</v>
      </c>
      <c r="D64" s="236"/>
    </row>
    <row r="65" ht="18.75" customHeight="1">
      <c r="A65" s="22" t="s">
        <v>494</v>
      </c>
      <c r="B65" s="26">
        <v>2840000.0</v>
      </c>
      <c r="C65" s="237" t="s">
        <v>496</v>
      </c>
      <c r="D65" s="238"/>
    </row>
    <row r="66" ht="18.75" customHeight="1">
      <c r="A66" s="20" t="s">
        <v>499</v>
      </c>
      <c r="B66" s="27">
        <f>52500*4</f>
        <v>210000</v>
      </c>
      <c r="C66" s="239" t="s">
        <v>502</v>
      </c>
      <c r="D66" s="240">
        <f>B66+B67+B68+B69+B70</f>
        <v>1023700</v>
      </c>
    </row>
    <row r="67" ht="18.75" customHeight="1">
      <c r="A67" s="20" t="s">
        <v>507</v>
      </c>
      <c r="B67" s="27">
        <v>200000.0</v>
      </c>
      <c r="C67" s="241"/>
      <c r="D67" s="242"/>
    </row>
    <row r="68" ht="18.75" customHeight="1">
      <c r="A68" s="20" t="s">
        <v>511</v>
      </c>
      <c r="B68" s="27">
        <v>160000.0</v>
      </c>
      <c r="C68" s="241"/>
      <c r="D68" s="242"/>
    </row>
    <row r="69" ht="18.75" customHeight="1">
      <c r="A69" s="23" t="s">
        <v>57</v>
      </c>
      <c r="B69" s="27">
        <v>300000.0</v>
      </c>
      <c r="C69" s="241"/>
      <c r="D69" s="242"/>
    </row>
    <row r="70" ht="18.75" customHeight="1">
      <c r="A70" s="23" t="s">
        <v>518</v>
      </c>
      <c r="B70" s="27">
        <f>250000-96300</f>
        <v>153700</v>
      </c>
      <c r="C70" s="243"/>
      <c r="D70" s="242"/>
    </row>
    <row r="71" ht="18.75" customHeight="1">
      <c r="A71" s="23" t="s">
        <v>521</v>
      </c>
      <c r="B71" s="57">
        <v>0.0</v>
      </c>
      <c r="C71" s="195" t="s">
        <v>523</v>
      </c>
      <c r="D71" s="244"/>
    </row>
    <row r="72" ht="18.75" customHeight="1">
      <c r="A72" s="193" t="s">
        <v>41</v>
      </c>
      <c r="B72" s="43">
        <v>0.0</v>
      </c>
      <c r="C72" s="195" t="s">
        <v>523</v>
      </c>
      <c r="D72" s="245"/>
    </row>
    <row r="73" ht="27.75" customHeight="1">
      <c r="A73" s="47" t="s">
        <v>53</v>
      </c>
      <c r="B73" s="50">
        <f>SUM(B60:B72)</f>
        <v>15213350</v>
      </c>
      <c r="C73" s="40" t="s">
        <v>525</v>
      </c>
      <c r="D73" s="224"/>
    </row>
  </sheetData>
  <mergeCells count="6">
    <mergeCell ref="B4:C4"/>
    <mergeCell ref="B23:C23"/>
    <mergeCell ref="B38:C38"/>
    <mergeCell ref="B58:C58"/>
    <mergeCell ref="C60:C62"/>
    <mergeCell ref="C66:C70"/>
  </mergeCells>
  <hyperlinks>
    <hyperlink r:id="rId1" ref="A17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8.0"/>
    <col customWidth="1" min="2" max="2" width="26.0"/>
    <col customWidth="1" min="3" max="3" width="47.29"/>
  </cols>
  <sheetData>
    <row r="4" ht="22.5" customHeight="1">
      <c r="A4" s="1" t="s">
        <v>0</v>
      </c>
      <c r="B4" s="185" t="s">
        <v>341</v>
      </c>
      <c r="C4" s="3"/>
    </row>
    <row r="5" ht="15.75" customHeight="1">
      <c r="A5" s="4" t="s">
        <v>3</v>
      </c>
      <c r="B5" s="4" t="s">
        <v>4</v>
      </c>
      <c r="C5" s="180" t="s">
        <v>5</v>
      </c>
    </row>
    <row r="6" ht="18.75" customHeight="1">
      <c r="A6" s="11" t="s">
        <v>346</v>
      </c>
      <c r="B6" s="186">
        <v>859550.0</v>
      </c>
      <c r="C6" s="13" t="s">
        <v>350</v>
      </c>
    </row>
    <row r="7" ht="18.75" customHeight="1">
      <c r="A7" s="11" t="s">
        <v>351</v>
      </c>
      <c r="B7" s="7">
        <v>667500.0</v>
      </c>
      <c r="C7" s="13" t="s">
        <v>352</v>
      </c>
    </row>
    <row r="8" ht="18.75" customHeight="1">
      <c r="A8" s="11" t="s">
        <v>353</v>
      </c>
      <c r="B8" s="9">
        <v>544600.0</v>
      </c>
      <c r="C8" s="181" t="s">
        <v>354</v>
      </c>
    </row>
    <row r="9" ht="18.75" customHeight="1">
      <c r="A9" s="20" t="s">
        <v>356</v>
      </c>
      <c r="B9" s="27">
        <v>1966200.0</v>
      </c>
      <c r="C9" s="188"/>
    </row>
    <row r="10" ht="18.75" customHeight="1">
      <c r="A10" s="20" t="s">
        <v>358</v>
      </c>
      <c r="B10" s="27">
        <v>3950000.0</v>
      </c>
      <c r="C10" s="189"/>
    </row>
    <row r="11" ht="18.75" customHeight="1">
      <c r="A11" s="20" t="s">
        <v>309</v>
      </c>
      <c r="B11" s="27">
        <v>500000.0</v>
      </c>
      <c r="C11" s="189"/>
    </row>
    <row r="12" ht="18.75" customHeight="1">
      <c r="A12" s="20" t="s">
        <v>360</v>
      </c>
      <c r="B12" s="27">
        <v>100000.0</v>
      </c>
      <c r="C12" s="189"/>
    </row>
    <row r="13" ht="18.75" customHeight="1">
      <c r="A13" s="20" t="s">
        <v>362</v>
      </c>
      <c r="B13" s="27">
        <f>52500*2</f>
        <v>105000</v>
      </c>
      <c r="C13" s="192" t="s">
        <v>364</v>
      </c>
    </row>
    <row r="14" ht="18.75" customHeight="1">
      <c r="A14" s="194" t="s">
        <v>366</v>
      </c>
      <c r="B14" s="27">
        <f>52500*8</f>
        <v>420000</v>
      </c>
      <c r="C14" s="183" t="s">
        <v>370</v>
      </c>
    </row>
    <row r="15" ht="18.75" customHeight="1">
      <c r="A15" s="194" t="s">
        <v>371</v>
      </c>
      <c r="B15" s="27">
        <f>52500*3</f>
        <v>157500</v>
      </c>
      <c r="C15" s="182" t="s">
        <v>373</v>
      </c>
    </row>
    <row r="16" ht="18.75" customHeight="1">
      <c r="A16" s="23" t="s">
        <v>374</v>
      </c>
      <c r="B16" s="27">
        <v>300000.0</v>
      </c>
      <c r="C16" s="184" t="s">
        <v>376</v>
      </c>
    </row>
    <row r="17" ht="18.75" customHeight="1">
      <c r="A17" s="200" t="s">
        <v>41</v>
      </c>
      <c r="B17" s="82" t="s">
        <v>378</v>
      </c>
      <c r="C17" s="207"/>
    </row>
    <row r="18" ht="21.0" customHeight="1">
      <c r="A18" s="211"/>
      <c r="B18" s="198">
        <f>SUM(B6:B17)</f>
        <v>10871880</v>
      </c>
      <c r="C18" s="199"/>
    </row>
    <row r="20" ht="22.5" customHeight="1">
      <c r="A20" s="1" t="s">
        <v>0</v>
      </c>
      <c r="B20" s="2" t="s">
        <v>388</v>
      </c>
      <c r="C20" s="3"/>
    </row>
    <row r="21">
      <c r="A21" s="4" t="s">
        <v>3</v>
      </c>
      <c r="B21" s="4" t="s">
        <v>4</v>
      </c>
      <c r="C21" s="180" t="s">
        <v>5</v>
      </c>
    </row>
    <row r="22" ht="18.75" customHeight="1">
      <c r="A22" s="11" t="s">
        <v>346</v>
      </c>
      <c r="B22" s="7">
        <v>477200.0</v>
      </c>
      <c r="C22" s="13" t="s">
        <v>350</v>
      </c>
    </row>
    <row r="23" ht="18.75" customHeight="1">
      <c r="A23" s="11" t="s">
        <v>351</v>
      </c>
      <c r="B23" s="9">
        <v>774500.0</v>
      </c>
      <c r="C23" s="13" t="s">
        <v>352</v>
      </c>
    </row>
    <row r="24" ht="18.75" customHeight="1">
      <c r="A24" s="11" t="s">
        <v>353</v>
      </c>
      <c r="B24" s="9">
        <v>558800.0</v>
      </c>
      <c r="C24" s="181" t="s">
        <v>354</v>
      </c>
    </row>
    <row r="25" ht="18.75" customHeight="1">
      <c r="A25" s="20" t="s">
        <v>356</v>
      </c>
      <c r="B25" s="27">
        <v>1086600.0</v>
      </c>
      <c r="C25" s="188"/>
    </row>
    <row r="26" ht="18.75" customHeight="1">
      <c r="A26" s="20" t="s">
        <v>400</v>
      </c>
      <c r="B26" s="27">
        <v>5683751.0</v>
      </c>
      <c r="C26" s="189"/>
    </row>
    <row r="27" ht="18.75" customHeight="1">
      <c r="A27" s="20" t="s">
        <v>402</v>
      </c>
      <c r="B27" s="27">
        <f>52500*3</f>
        <v>157500</v>
      </c>
      <c r="C27" s="192" t="s">
        <v>405</v>
      </c>
    </row>
    <row r="28" ht="18.75" customHeight="1">
      <c r="A28" s="20" t="s">
        <v>408</v>
      </c>
      <c r="B28" s="27">
        <f>52500*8</f>
        <v>420000</v>
      </c>
      <c r="C28" s="183" t="s">
        <v>370</v>
      </c>
    </row>
    <row r="29" ht="18.75" customHeight="1">
      <c r="A29" s="20" t="s">
        <v>412</v>
      </c>
      <c r="B29" s="27">
        <f>52500*2</f>
        <v>105000</v>
      </c>
      <c r="C29" s="182" t="s">
        <v>414</v>
      </c>
    </row>
    <row r="30" ht="18.75" customHeight="1">
      <c r="A30" s="23" t="s">
        <v>374</v>
      </c>
      <c r="B30" s="27">
        <v>300000.0</v>
      </c>
      <c r="C30" s="184"/>
    </row>
    <row r="31" ht="18.75" customHeight="1">
      <c r="A31" s="23" t="s">
        <v>417</v>
      </c>
      <c r="B31" s="27">
        <v>150000.0</v>
      </c>
      <c r="C31" s="184"/>
    </row>
    <row r="32" ht="18.75" customHeight="1">
      <c r="A32" s="23" t="s">
        <v>420</v>
      </c>
      <c r="B32" s="27">
        <v>200000.0</v>
      </c>
      <c r="C32" s="184" t="s">
        <v>422</v>
      </c>
    </row>
    <row r="33" ht="18.75" customHeight="1">
      <c r="A33" s="220" t="s">
        <v>423</v>
      </c>
      <c r="B33" s="27">
        <v>350000.0</v>
      </c>
      <c r="C33" s="184" t="s">
        <v>438</v>
      </c>
    </row>
    <row r="34" ht="21.0" customHeight="1">
      <c r="A34" s="193" t="s">
        <v>41</v>
      </c>
      <c r="B34" s="82" t="s">
        <v>441</v>
      </c>
      <c r="C34" s="207"/>
    </row>
    <row r="35" ht="18.0" customHeight="1">
      <c r="A35" s="47" t="s">
        <v>53</v>
      </c>
      <c r="B35" s="198">
        <f>SUM(B22:B34)</f>
        <v>11724051</v>
      </c>
      <c r="C35" s="199"/>
    </row>
    <row r="36" ht="17.25" customHeight="1">
      <c r="A36" s="71" t="s">
        <v>449</v>
      </c>
      <c r="B36" s="152">
        <v>4242500.0</v>
      </c>
      <c r="C36" s="77"/>
    </row>
    <row r="37" ht="18.0" customHeight="1">
      <c r="A37" s="221" t="s">
        <v>450</v>
      </c>
      <c r="B37" s="223">
        <f>B35-B36</f>
        <v>7481551</v>
      </c>
    </row>
    <row r="40">
      <c r="A40" s="1" t="s">
        <v>0</v>
      </c>
      <c r="B40" s="2" t="s">
        <v>453</v>
      </c>
      <c r="C40" s="3"/>
    </row>
    <row r="41">
      <c r="A41" s="4" t="s">
        <v>3</v>
      </c>
      <c r="B41" s="4" t="s">
        <v>4</v>
      </c>
      <c r="C41" s="180" t="s">
        <v>5</v>
      </c>
    </row>
    <row r="42" ht="18.75" customHeight="1">
      <c r="A42" s="11" t="s">
        <v>457</v>
      </c>
      <c r="B42" s="7">
        <v>491600.0</v>
      </c>
      <c r="C42" s="13" t="s">
        <v>350</v>
      </c>
    </row>
    <row r="43" ht="18.75" customHeight="1">
      <c r="A43" s="11" t="s">
        <v>458</v>
      </c>
      <c r="B43" s="9">
        <v>495100.0</v>
      </c>
      <c r="C43" s="13" t="s">
        <v>352</v>
      </c>
    </row>
    <row r="44" ht="18.75" customHeight="1">
      <c r="A44" s="11" t="s">
        <v>459</v>
      </c>
      <c r="B44" s="9">
        <v>314400.0</v>
      </c>
      <c r="C44" s="181" t="s">
        <v>354</v>
      </c>
    </row>
    <row r="45" ht="18.75" customHeight="1">
      <c r="A45" s="20" t="s">
        <v>461</v>
      </c>
      <c r="B45" s="27">
        <v>2664500.0</v>
      </c>
      <c r="C45" s="188"/>
    </row>
    <row r="46" ht="18.75" customHeight="1">
      <c r="A46" s="20" t="s">
        <v>463</v>
      </c>
      <c r="B46" s="27">
        <v>5793000.0</v>
      </c>
      <c r="C46" s="189"/>
    </row>
    <row r="47" ht="18.75" customHeight="1">
      <c r="A47" s="20" t="s">
        <v>464</v>
      </c>
      <c r="B47" s="27">
        <f>52500*3</f>
        <v>157500</v>
      </c>
      <c r="C47" s="192" t="s">
        <v>405</v>
      </c>
    </row>
    <row r="48" ht="18.75" customHeight="1">
      <c r="A48" s="20" t="s">
        <v>469</v>
      </c>
      <c r="B48" s="27">
        <f>52500*7</f>
        <v>367500</v>
      </c>
      <c r="C48" s="183" t="s">
        <v>477</v>
      </c>
    </row>
    <row r="49" ht="18.75" customHeight="1">
      <c r="A49" s="20" t="s">
        <v>478</v>
      </c>
      <c r="B49" s="27">
        <f>52500*2</f>
        <v>105000</v>
      </c>
      <c r="C49" s="182" t="s">
        <v>414</v>
      </c>
    </row>
    <row r="50" ht="18.75" customHeight="1">
      <c r="A50" s="20" t="s">
        <v>480</v>
      </c>
      <c r="B50" s="27">
        <f>600000*3</f>
        <v>1800000</v>
      </c>
      <c r="C50" s="184"/>
    </row>
    <row r="51" ht="18.75" customHeight="1">
      <c r="A51" s="20" t="s">
        <v>189</v>
      </c>
      <c r="B51" s="27">
        <v>4200000.0</v>
      </c>
      <c r="C51" s="184"/>
    </row>
    <row r="52" ht="18.75" customHeight="1">
      <c r="A52" s="23" t="s">
        <v>483</v>
      </c>
      <c r="B52" s="27">
        <v>100000.0</v>
      </c>
      <c r="C52" s="184"/>
    </row>
    <row r="53" ht="18.75" customHeight="1">
      <c r="A53" s="23" t="s">
        <v>343</v>
      </c>
      <c r="B53" s="27">
        <v>300000.0</v>
      </c>
      <c r="C53" s="184" t="s">
        <v>485</v>
      </c>
    </row>
    <row r="54" ht="18.75" customHeight="1">
      <c r="A54" s="23" t="s">
        <v>486</v>
      </c>
      <c r="B54" s="27">
        <f>250000-11620</f>
        <v>238380</v>
      </c>
      <c r="C54" s="184"/>
    </row>
    <row r="55" ht="18.75" customHeight="1">
      <c r="A55" s="23" t="s">
        <v>495</v>
      </c>
      <c r="B55" s="27">
        <v>250000.0</v>
      </c>
      <c r="C55" s="184"/>
    </row>
    <row r="56" ht="18.75" customHeight="1">
      <c r="A56" s="193" t="s">
        <v>41</v>
      </c>
      <c r="B56" s="82" t="s">
        <v>500</v>
      </c>
      <c r="C56" s="207"/>
    </row>
    <row r="57" ht="24.0" customHeight="1">
      <c r="A57" s="47" t="s">
        <v>53</v>
      </c>
      <c r="B57" s="198">
        <f>SUM(B42:B56)</f>
        <v>17870850</v>
      </c>
      <c r="C57" s="199"/>
    </row>
    <row r="59" ht="33.75" customHeight="1">
      <c r="A59" s="1" t="s">
        <v>0</v>
      </c>
      <c r="B59" s="2" t="s">
        <v>504</v>
      </c>
      <c r="C59" s="3"/>
    </row>
    <row r="60" ht="18.75" customHeight="1">
      <c r="A60" s="4" t="s">
        <v>3</v>
      </c>
      <c r="B60" s="4" t="s">
        <v>4</v>
      </c>
      <c r="C60" s="180" t="s">
        <v>5</v>
      </c>
    </row>
    <row r="61" ht="18.75" customHeight="1">
      <c r="A61" s="11" t="s">
        <v>325</v>
      </c>
      <c r="B61" s="7">
        <v>966160.0</v>
      </c>
      <c r="C61" s="13" t="s">
        <v>326</v>
      </c>
    </row>
    <row r="62" ht="18.75" customHeight="1">
      <c r="A62" s="11" t="s">
        <v>506</v>
      </c>
      <c r="B62" s="9">
        <v>760000.0</v>
      </c>
      <c r="C62" s="13" t="s">
        <v>328</v>
      </c>
    </row>
    <row r="63" ht="18.75" customHeight="1">
      <c r="A63" s="11" t="s">
        <v>508</v>
      </c>
      <c r="B63" s="9">
        <v>385000.0</v>
      </c>
      <c r="C63" s="181" t="s">
        <v>19</v>
      </c>
    </row>
    <row r="64" ht="18.75" customHeight="1">
      <c r="A64" s="20" t="s">
        <v>509</v>
      </c>
      <c r="B64" s="27">
        <v>3615500.0</v>
      </c>
      <c r="C64" s="188"/>
    </row>
    <row r="65" ht="18.75" customHeight="1">
      <c r="A65" s="20" t="s">
        <v>334</v>
      </c>
      <c r="B65" s="27">
        <v>180000.0</v>
      </c>
      <c r="C65" s="182" t="s">
        <v>513</v>
      </c>
    </row>
    <row r="66" ht="18.75" customHeight="1">
      <c r="A66" s="20" t="s">
        <v>514</v>
      </c>
      <c r="B66" s="27">
        <v>157500.0</v>
      </c>
      <c r="C66" s="192" t="s">
        <v>516</v>
      </c>
    </row>
    <row r="67" ht="18.75" customHeight="1">
      <c r="A67" s="20" t="s">
        <v>517</v>
      </c>
      <c r="B67" s="27">
        <v>367500.0</v>
      </c>
      <c r="C67" s="183" t="s">
        <v>477</v>
      </c>
    </row>
    <row r="68" ht="18.75" customHeight="1">
      <c r="A68" s="20" t="s">
        <v>519</v>
      </c>
      <c r="B68" s="27">
        <v>105000.0</v>
      </c>
      <c r="C68" s="184"/>
    </row>
    <row r="69" ht="18.75" customHeight="1">
      <c r="A69" s="20" t="s">
        <v>520</v>
      </c>
      <c r="B69" s="27">
        <v>270000.0</v>
      </c>
      <c r="C69" s="184"/>
    </row>
    <row r="70" ht="18.75" customHeight="1">
      <c r="A70" s="23" t="s">
        <v>343</v>
      </c>
      <c r="B70" s="27">
        <v>300000.0</v>
      </c>
      <c r="C70" s="184" t="s">
        <v>344</v>
      </c>
    </row>
    <row r="71" ht="18.75" customHeight="1">
      <c r="A71" s="23" t="s">
        <v>522</v>
      </c>
      <c r="B71" s="27">
        <v>400000.0</v>
      </c>
      <c r="C71" s="184"/>
    </row>
    <row r="72" ht="18.75" customHeight="1">
      <c r="A72" s="23" t="s">
        <v>345</v>
      </c>
      <c r="B72" s="27">
        <v>162500.0</v>
      </c>
      <c r="C72" s="184" t="s">
        <v>347</v>
      </c>
    </row>
    <row r="73" ht="18.75" customHeight="1">
      <c r="A73" s="193" t="s">
        <v>524</v>
      </c>
      <c r="B73" s="43">
        <v>450000.0</v>
      </c>
      <c r="C73" s="191"/>
    </row>
    <row r="74" ht="18.75" customHeight="1">
      <c r="A74" s="193" t="s">
        <v>41</v>
      </c>
      <c r="B74" s="43">
        <v>842370.0</v>
      </c>
      <c r="C74" s="191"/>
    </row>
    <row r="75" ht="27.75" customHeight="1">
      <c r="A75" s="47" t="s">
        <v>53</v>
      </c>
      <c r="B75" s="198">
        <f>SUM(B61:B74)</f>
        <v>8961530</v>
      </c>
      <c r="C75" s="199"/>
    </row>
    <row r="76" ht="21.75" customHeight="1">
      <c r="A76" s="202" t="s">
        <v>377</v>
      </c>
      <c r="B76" s="203" t="s">
        <v>526</v>
      </c>
      <c r="C76" s="210"/>
    </row>
    <row r="77">
      <c r="A77" s="213" t="s">
        <v>379</v>
      </c>
      <c r="B77" s="168">
        <f>SUM(B75:B76)</f>
        <v>111530</v>
      </c>
    </row>
  </sheetData>
  <mergeCells count="4">
    <mergeCell ref="B4:C4"/>
    <mergeCell ref="B20:C20"/>
    <mergeCell ref="B40:C40"/>
    <mergeCell ref="B59:C59"/>
  </mergeCells>
  <hyperlinks>
    <hyperlink r:id="rId1" ref="A33"/>
  </hyperlinks>
  <printOptions gridLines="1" horizontalCentered="1"/>
  <pageMargins bottom="0.75" footer="0.0" header="0.0" left="0.7" right="0.7" top="0.75"/>
  <pageSetup paperSize="9" cellComments="atEnd" orientation="portrait" pageOrder="overThenDown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8.86"/>
    <col customWidth="1" min="2" max="2" width="21.14"/>
    <col customWidth="1" min="3" max="3" width="36.86"/>
  </cols>
  <sheetData>
    <row r="4" ht="21.0" customHeight="1">
      <c r="A4" s="4" t="s">
        <v>0</v>
      </c>
      <c r="B4" s="187" t="s">
        <v>348</v>
      </c>
      <c r="C4" s="3"/>
    </row>
    <row r="5" ht="20.25" customHeight="1">
      <c r="A5" s="4" t="s">
        <v>3</v>
      </c>
      <c r="B5" s="4" t="s">
        <v>4</v>
      </c>
      <c r="C5" s="180" t="s">
        <v>5</v>
      </c>
    </row>
    <row r="6" ht="26.25" customHeight="1">
      <c r="A6" s="11" t="s">
        <v>355</v>
      </c>
      <c r="B6" s="186">
        <v>588650.0</v>
      </c>
      <c r="C6" s="25" t="s">
        <v>350</v>
      </c>
    </row>
    <row r="7" ht="26.25" customHeight="1">
      <c r="A7" s="11" t="s">
        <v>357</v>
      </c>
      <c r="B7" s="7">
        <f>443630+568760</f>
        <v>1012390</v>
      </c>
      <c r="C7" s="25" t="s">
        <v>359</v>
      </c>
    </row>
    <row r="8" ht="26.25" customHeight="1">
      <c r="A8" s="20" t="s">
        <v>361</v>
      </c>
      <c r="B8" s="27">
        <v>1869400.0</v>
      </c>
      <c r="C8" s="188"/>
    </row>
    <row r="9" ht="26.25" customHeight="1">
      <c r="A9" s="20" t="s">
        <v>363</v>
      </c>
      <c r="B9" s="27">
        <f>(7500*8)*7</f>
        <v>420000</v>
      </c>
      <c r="C9" s="189"/>
    </row>
    <row r="10" ht="26.25" customHeight="1">
      <c r="A10" s="20" t="s">
        <v>365</v>
      </c>
      <c r="B10" s="27">
        <f>7500*2*7</f>
        <v>105000</v>
      </c>
      <c r="C10" s="189"/>
    </row>
    <row r="11" ht="26.25" customHeight="1">
      <c r="A11" s="23" t="s">
        <v>367</v>
      </c>
      <c r="B11" s="27">
        <v>300000.0</v>
      </c>
      <c r="C11" s="188"/>
    </row>
    <row r="12" ht="26.25" customHeight="1">
      <c r="A12" s="20" t="s">
        <v>369</v>
      </c>
      <c r="B12" s="27">
        <v>100000.0</v>
      </c>
      <c r="C12" s="196"/>
    </row>
    <row r="13" ht="26.25" customHeight="1">
      <c r="A13" s="197" t="s">
        <v>372</v>
      </c>
      <c r="B13" s="27">
        <v>300000.0</v>
      </c>
      <c r="C13" s="196"/>
    </row>
    <row r="14" ht="26.25" customHeight="1">
      <c r="A14" s="201" t="s">
        <v>375</v>
      </c>
      <c r="B14" s="205">
        <f>1000000-240000</f>
        <v>760000</v>
      </c>
      <c r="C14" s="209"/>
    </row>
    <row r="15" ht="23.25" customHeight="1">
      <c r="A15" s="36" t="s">
        <v>380</v>
      </c>
      <c r="B15" s="212">
        <f>SUM(B6:B14)</f>
        <v>5455440</v>
      </c>
      <c r="C15" s="199"/>
    </row>
    <row r="16" ht="18.75" customHeight="1">
      <c r="A16" s="213" t="s">
        <v>385</v>
      </c>
      <c r="B16" s="214">
        <v>5725000.0</v>
      </c>
    </row>
    <row r="17" ht="24.0" customHeight="1">
      <c r="A17" s="215" t="s">
        <v>387</v>
      </c>
      <c r="B17" s="216">
        <f>B16-B15</f>
        <v>269560</v>
      </c>
      <c r="C17" s="217" t="s">
        <v>393</v>
      </c>
    </row>
    <row r="19" ht="22.5" customHeight="1">
      <c r="A19" s="4" t="s">
        <v>0</v>
      </c>
      <c r="B19" s="187" t="s">
        <v>394</v>
      </c>
      <c r="C19" s="3"/>
    </row>
    <row r="20" ht="22.5" customHeight="1">
      <c r="A20" s="4" t="s">
        <v>3</v>
      </c>
      <c r="B20" s="4" t="s">
        <v>4</v>
      </c>
      <c r="C20" s="180" t="s">
        <v>5</v>
      </c>
    </row>
    <row r="21" ht="18.75" customHeight="1">
      <c r="A21" s="11" t="s">
        <v>397</v>
      </c>
      <c r="B21" s="186">
        <v>795600.0</v>
      </c>
      <c r="C21" s="25" t="s">
        <v>350</v>
      </c>
    </row>
    <row r="22" ht="18.75" customHeight="1">
      <c r="A22" s="11" t="s">
        <v>398</v>
      </c>
      <c r="B22" s="7">
        <v>425900.0</v>
      </c>
      <c r="C22" s="25" t="s">
        <v>399</v>
      </c>
    </row>
    <row r="23" ht="18.75" customHeight="1">
      <c r="A23" s="11" t="s">
        <v>401</v>
      </c>
      <c r="B23" s="9">
        <v>529280.0</v>
      </c>
      <c r="C23" s="219" t="s">
        <v>354</v>
      </c>
    </row>
    <row r="24" ht="18.75" customHeight="1">
      <c r="A24" s="20" t="s">
        <v>403</v>
      </c>
      <c r="B24" s="27">
        <v>1466400.0</v>
      </c>
      <c r="C24" s="188"/>
    </row>
    <row r="25" ht="18.75" customHeight="1">
      <c r="A25" s="20" t="s">
        <v>406</v>
      </c>
      <c r="B25" s="27">
        <f>7500*7*1</f>
        <v>52500</v>
      </c>
      <c r="C25" s="189" t="s">
        <v>410</v>
      </c>
    </row>
    <row r="26" ht="18.75" customHeight="1">
      <c r="A26" s="20" t="s">
        <v>411</v>
      </c>
      <c r="B26" s="27">
        <f>600000*2</f>
        <v>1200000</v>
      </c>
      <c r="C26" s="188"/>
    </row>
    <row r="27" ht="18.75" customHeight="1">
      <c r="A27" s="20" t="s">
        <v>415</v>
      </c>
      <c r="B27" s="27">
        <v>500000.0</v>
      </c>
      <c r="C27" s="188"/>
    </row>
    <row r="28" ht="18.75" customHeight="1">
      <c r="A28" s="20" t="s">
        <v>416</v>
      </c>
      <c r="B28" s="27">
        <v>200000.0</v>
      </c>
      <c r="C28" s="188"/>
    </row>
    <row r="29" ht="18.75" customHeight="1">
      <c r="A29" s="23" t="s">
        <v>367</v>
      </c>
      <c r="B29" s="27">
        <v>300000.0</v>
      </c>
      <c r="C29" s="188"/>
    </row>
    <row r="30" ht="18.75" customHeight="1">
      <c r="A30" s="20" t="s">
        <v>418</v>
      </c>
      <c r="B30" s="27">
        <v>224080.0</v>
      </c>
      <c r="C30" s="196"/>
    </row>
    <row r="31" ht="18.75" customHeight="1">
      <c r="A31" s="197" t="s">
        <v>421</v>
      </c>
      <c r="B31" s="27">
        <f>154500+61500</f>
        <v>216000</v>
      </c>
      <c r="C31" s="207" t="s">
        <v>426</v>
      </c>
    </row>
    <row r="32" ht="18.75" customHeight="1">
      <c r="A32" s="197" t="s">
        <v>428</v>
      </c>
      <c r="B32" s="27">
        <v>382035.0</v>
      </c>
      <c r="C32" s="196"/>
    </row>
    <row r="33" ht="24.75" customHeight="1">
      <c r="A33" s="197" t="s">
        <v>430</v>
      </c>
      <c r="B33" s="27" t="s">
        <v>437</v>
      </c>
      <c r="C33" s="219"/>
    </row>
    <row r="34" ht="27.0" customHeight="1">
      <c r="A34" s="47" t="s">
        <v>380</v>
      </c>
      <c r="B34" s="212">
        <f>SUM(B21:B33)</f>
        <v>6436795</v>
      </c>
      <c r="C34" s="199"/>
    </row>
    <row r="36" ht="17.25" customHeight="1">
      <c r="A36" s="4" t="s">
        <v>0</v>
      </c>
      <c r="B36" s="187" t="s">
        <v>439</v>
      </c>
      <c r="C36" s="3"/>
    </row>
    <row r="37" ht="19.5" customHeight="1">
      <c r="A37" s="4" t="s">
        <v>3</v>
      </c>
      <c r="B37" s="4" t="s">
        <v>4</v>
      </c>
      <c r="C37" s="180" t="s">
        <v>5</v>
      </c>
    </row>
    <row r="38" ht="18.75" customHeight="1">
      <c r="A38" s="11" t="s">
        <v>444</v>
      </c>
      <c r="B38" s="186">
        <v>491500.0</v>
      </c>
      <c r="C38" s="25" t="s">
        <v>350</v>
      </c>
    </row>
    <row r="39" ht="18.75" customHeight="1">
      <c r="A39" s="11" t="s">
        <v>445</v>
      </c>
      <c r="B39" s="7">
        <v>287500.0</v>
      </c>
      <c r="C39" s="25" t="s">
        <v>399</v>
      </c>
    </row>
    <row r="40" ht="18.75" customHeight="1">
      <c r="A40" s="11" t="s">
        <v>447</v>
      </c>
      <c r="B40" s="9">
        <v>239200.0</v>
      </c>
      <c r="C40" s="219" t="s">
        <v>354</v>
      </c>
    </row>
    <row r="41" ht="18.75" customHeight="1">
      <c r="A41" s="20" t="s">
        <v>452</v>
      </c>
      <c r="B41" s="27">
        <v>1081200.0</v>
      </c>
      <c r="C41" s="188"/>
    </row>
    <row r="42" ht="18.75" customHeight="1">
      <c r="A42" s="20" t="s">
        <v>454</v>
      </c>
      <c r="B42" s="27">
        <v>4000000.0</v>
      </c>
      <c r="C42" s="189"/>
    </row>
    <row r="43" ht="18.75" customHeight="1">
      <c r="A43" s="20" t="s">
        <v>455</v>
      </c>
      <c r="B43" s="27">
        <v>500000.0</v>
      </c>
      <c r="C43" s="189"/>
    </row>
    <row r="44" ht="18.75" customHeight="1">
      <c r="A44" s="20" t="s">
        <v>456</v>
      </c>
      <c r="B44" s="27">
        <f>7*3*7500</f>
        <v>157500</v>
      </c>
      <c r="C44" s="225" t="s">
        <v>460</v>
      </c>
    </row>
    <row r="45" ht="21.0" customHeight="1">
      <c r="A45" s="20" t="s">
        <v>462</v>
      </c>
      <c r="B45" s="27">
        <f>52500*10</f>
        <v>525000</v>
      </c>
      <c r="C45" s="183" t="s">
        <v>465</v>
      </c>
    </row>
    <row r="46" ht="18.75" customHeight="1">
      <c r="A46" s="20" t="s">
        <v>466</v>
      </c>
      <c r="B46" s="27">
        <v>200000.0</v>
      </c>
      <c r="C46" s="188"/>
    </row>
    <row r="47" ht="18.75" customHeight="1">
      <c r="A47" s="20" t="s">
        <v>468</v>
      </c>
      <c r="B47" s="27">
        <v>100000.0</v>
      </c>
      <c r="C47" s="207" t="s">
        <v>470</v>
      </c>
    </row>
    <row r="48" ht="18.75" customHeight="1">
      <c r="A48" s="23" t="s">
        <v>471</v>
      </c>
      <c r="B48" s="27">
        <v>300000.0</v>
      </c>
      <c r="C48" s="196"/>
    </row>
    <row r="49" ht="18.75" customHeight="1">
      <c r="A49" s="23" t="s">
        <v>472</v>
      </c>
      <c r="B49" s="27">
        <v>300000.0</v>
      </c>
      <c r="C49" s="207"/>
    </row>
    <row r="50" ht="18.75" customHeight="1">
      <c r="A50" s="23" t="s">
        <v>473</v>
      </c>
      <c r="B50" s="27">
        <v>600000.0</v>
      </c>
      <c r="C50" s="196"/>
    </row>
    <row r="51" ht="18.75" customHeight="1">
      <c r="A51" s="193" t="s">
        <v>41</v>
      </c>
      <c r="B51" s="82" t="s">
        <v>476</v>
      </c>
      <c r="C51" s="196"/>
    </row>
    <row r="52" ht="38.25" customHeight="1">
      <c r="A52" s="47" t="s">
        <v>380</v>
      </c>
      <c r="B52" s="198">
        <f>SUM(B38:B51)</f>
        <v>9253900</v>
      </c>
      <c r="C52" s="199"/>
    </row>
    <row r="53" ht="22.5" customHeight="1"/>
    <row r="54" ht="26.25" customHeight="1">
      <c r="A54" s="4" t="s">
        <v>0</v>
      </c>
      <c r="B54" s="187" t="s">
        <v>481</v>
      </c>
      <c r="C54" s="3"/>
    </row>
    <row r="55" ht="18.75" customHeight="1">
      <c r="A55" s="4" t="s">
        <v>3</v>
      </c>
      <c r="B55" s="4" t="s">
        <v>4</v>
      </c>
      <c r="C55" s="180" t="s">
        <v>5</v>
      </c>
    </row>
    <row r="56" ht="21.0" customHeight="1">
      <c r="A56" s="11" t="s">
        <v>482</v>
      </c>
      <c r="B56" s="186">
        <v>412400.0</v>
      </c>
      <c r="C56" s="13" t="s">
        <v>350</v>
      </c>
    </row>
    <row r="57" ht="18.75" customHeight="1">
      <c r="A57" s="11" t="s">
        <v>488</v>
      </c>
      <c r="B57" s="7">
        <v>543200.0</v>
      </c>
      <c r="C57" s="13" t="s">
        <v>399</v>
      </c>
    </row>
    <row r="58" ht="18.75" customHeight="1">
      <c r="A58" s="11" t="s">
        <v>490</v>
      </c>
      <c r="B58" s="9">
        <v>493400.0</v>
      </c>
      <c r="C58" s="181" t="s">
        <v>354</v>
      </c>
    </row>
    <row r="59" ht="18.75" customHeight="1">
      <c r="A59" s="20" t="s">
        <v>493</v>
      </c>
      <c r="B59" s="27">
        <v>1546510.0</v>
      </c>
      <c r="C59" s="188"/>
    </row>
    <row r="60" ht="18.75" customHeight="1">
      <c r="A60" s="20" t="s">
        <v>497</v>
      </c>
      <c r="B60" s="27">
        <v>505000.0</v>
      </c>
      <c r="C60" s="189"/>
    </row>
    <row r="61" ht="18.75" customHeight="1">
      <c r="A61" s="20" t="s">
        <v>498</v>
      </c>
      <c r="B61" s="27">
        <v>250000.0</v>
      </c>
      <c r="C61" s="189"/>
    </row>
    <row r="62" ht="18.75" customHeight="1">
      <c r="A62" s="20" t="s">
        <v>501</v>
      </c>
      <c r="B62" s="27">
        <f>52500*3</f>
        <v>157500</v>
      </c>
      <c r="C62" s="192" t="s">
        <v>460</v>
      </c>
    </row>
    <row r="63" ht="25.5" customHeight="1">
      <c r="A63" s="20" t="s">
        <v>503</v>
      </c>
      <c r="B63" s="27">
        <f>52500*8</f>
        <v>420000</v>
      </c>
      <c r="C63" s="183" t="s">
        <v>370</v>
      </c>
    </row>
    <row r="64" ht="18.75" customHeight="1">
      <c r="A64" s="20" t="s">
        <v>505</v>
      </c>
      <c r="B64" s="27">
        <f>52500*3</f>
        <v>157500</v>
      </c>
      <c r="C64" s="182" t="s">
        <v>373</v>
      </c>
    </row>
    <row r="65" ht="18.75" customHeight="1">
      <c r="A65" s="20" t="s">
        <v>466</v>
      </c>
      <c r="B65" s="27">
        <v>150000.0</v>
      </c>
      <c r="C65" s="188"/>
    </row>
    <row r="66" ht="18.75" customHeight="1">
      <c r="A66" s="23" t="s">
        <v>471</v>
      </c>
      <c r="B66" s="27">
        <v>300000.0</v>
      </c>
      <c r="C66" s="196"/>
    </row>
    <row r="67" ht="18.75" customHeight="1">
      <c r="A67" s="23" t="s">
        <v>510</v>
      </c>
      <c r="B67" s="27">
        <v>369635.0</v>
      </c>
      <c r="C67" s="207"/>
    </row>
    <row r="68" ht="18.75" customHeight="1">
      <c r="A68" s="23" t="s">
        <v>512</v>
      </c>
      <c r="B68" s="27">
        <v>169200.0</v>
      </c>
      <c r="C68" s="207"/>
    </row>
    <row r="69" ht="18.75" customHeight="1">
      <c r="A69" s="193" t="s">
        <v>41</v>
      </c>
      <c r="B69" s="82" t="s">
        <v>515</v>
      </c>
      <c r="C69" s="196"/>
    </row>
    <row r="70" ht="25.5" customHeight="1">
      <c r="A70" s="47" t="s">
        <v>53</v>
      </c>
      <c r="B70" s="198">
        <f>SUM(B56:B69)</f>
        <v>6170345</v>
      </c>
      <c r="C70" s="199"/>
    </row>
    <row r="73" ht="24.75" customHeight="1">
      <c r="A73" s="4" t="s">
        <v>0</v>
      </c>
      <c r="B73" s="187" t="s">
        <v>481</v>
      </c>
      <c r="C73" s="3"/>
    </row>
    <row r="74" ht="25.5" customHeight="1">
      <c r="A74" s="4" t="s">
        <v>3</v>
      </c>
      <c r="B74" s="4" t="s">
        <v>4</v>
      </c>
      <c r="C74" s="180" t="s">
        <v>5</v>
      </c>
    </row>
    <row r="75" ht="22.5" customHeight="1">
      <c r="A75" s="11" t="s">
        <v>482</v>
      </c>
      <c r="B75" s="186">
        <v>412400.0</v>
      </c>
      <c r="C75" s="13" t="s">
        <v>350</v>
      </c>
    </row>
    <row r="76" ht="22.5" customHeight="1">
      <c r="A76" s="11" t="s">
        <v>488</v>
      </c>
      <c r="B76" s="7">
        <v>543200.0</v>
      </c>
      <c r="C76" s="13" t="s">
        <v>399</v>
      </c>
    </row>
    <row r="77" ht="22.5" customHeight="1">
      <c r="A77" s="11" t="s">
        <v>490</v>
      </c>
      <c r="B77" s="9">
        <v>493400.0</v>
      </c>
      <c r="C77" s="181" t="s">
        <v>354</v>
      </c>
    </row>
    <row r="78" ht="22.5" customHeight="1">
      <c r="A78" s="20" t="s">
        <v>493</v>
      </c>
      <c r="B78" s="27">
        <v>1546510.0</v>
      </c>
      <c r="C78" s="188"/>
    </row>
    <row r="79" ht="22.5" customHeight="1">
      <c r="A79" s="20" t="s">
        <v>497</v>
      </c>
      <c r="B79" s="27">
        <v>505000.0</v>
      </c>
      <c r="C79" s="189"/>
    </row>
    <row r="80" ht="22.5" customHeight="1">
      <c r="A80" s="20" t="s">
        <v>498</v>
      </c>
      <c r="B80" s="27">
        <v>250000.0</v>
      </c>
      <c r="C80" s="189"/>
    </row>
    <row r="81" ht="22.5" customHeight="1">
      <c r="A81" s="20" t="s">
        <v>501</v>
      </c>
      <c r="B81" s="27">
        <f>52500*3</f>
        <v>157500</v>
      </c>
      <c r="C81" s="192" t="s">
        <v>460</v>
      </c>
    </row>
    <row r="82" ht="22.5" customHeight="1">
      <c r="A82" s="20" t="s">
        <v>503</v>
      </c>
      <c r="B82" s="27">
        <f>52500*8</f>
        <v>420000</v>
      </c>
      <c r="C82" s="183" t="s">
        <v>370</v>
      </c>
    </row>
    <row r="83" ht="22.5" customHeight="1">
      <c r="A83" s="20" t="s">
        <v>505</v>
      </c>
      <c r="B83" s="27">
        <f>52500*3</f>
        <v>157500</v>
      </c>
      <c r="C83" s="182" t="s">
        <v>373</v>
      </c>
    </row>
    <row r="84" ht="22.5" customHeight="1">
      <c r="A84" s="20" t="s">
        <v>466</v>
      </c>
      <c r="B84" s="27">
        <v>150000.0</v>
      </c>
      <c r="C84" s="188"/>
    </row>
    <row r="85" ht="22.5" customHeight="1">
      <c r="A85" s="23" t="s">
        <v>471</v>
      </c>
      <c r="B85" s="27">
        <v>300000.0</v>
      </c>
      <c r="C85" s="196"/>
    </row>
    <row r="86" ht="22.5" customHeight="1">
      <c r="A86" s="23" t="s">
        <v>510</v>
      </c>
      <c r="B86" s="27">
        <v>369635.0</v>
      </c>
      <c r="C86" s="207"/>
    </row>
    <row r="87" ht="22.5" customHeight="1">
      <c r="A87" s="23" t="s">
        <v>512</v>
      </c>
      <c r="B87" s="27">
        <v>169200.0</v>
      </c>
      <c r="C87" s="207"/>
    </row>
    <row r="88" ht="22.5" customHeight="1">
      <c r="A88" s="193" t="s">
        <v>41</v>
      </c>
      <c r="B88" s="82" t="s">
        <v>515</v>
      </c>
      <c r="C88" s="196"/>
    </row>
    <row r="89" ht="23.25" customHeight="1">
      <c r="A89" s="47" t="s">
        <v>53</v>
      </c>
      <c r="B89" s="198">
        <f>SUM(B75:B88)</f>
        <v>6170345</v>
      </c>
      <c r="C89" s="199"/>
    </row>
  </sheetData>
  <mergeCells count="5">
    <mergeCell ref="B4:C4"/>
    <mergeCell ref="B19:C19"/>
    <mergeCell ref="B36:C36"/>
    <mergeCell ref="B54:C54"/>
    <mergeCell ref="B73:C7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