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IO" sheetId="1" r:id="rId4"/>
    <sheet state="visible" name="RESERVA" sheetId="2" r:id="rId5"/>
    <sheet state="visible" name="CAJAS GUARDADAS" sheetId="3" r:id="rId6"/>
    <sheet state="visible" name="ADELANTOS-DOS57" sheetId="4" r:id="rId7"/>
    <sheet state="visible" name=" CAJA-POLLO-JULIO" sheetId="5" r:id="rId8"/>
    <sheet state="visible" name=" CAJA-JAZMIN" sheetId="6" r:id="rId9"/>
    <sheet state="visible" name=" CAJA-MIGUEL" sheetId="7" r:id="rId10"/>
    <sheet state="visible" name="CAJA DAVID" sheetId="8" r:id="rId11"/>
    <sheet state="visible" name="FORMATO DE CAJA RENDICION" sheetId="9" r:id="rId12"/>
  </sheets>
  <definedNames/>
  <calcPr/>
  <extLst>
    <ext uri="GoogleSheetsCustomDataVersion2">
      <go:sheetsCustomData xmlns:go="http://customooxmlschemas.google.com/" r:id="rId13" roundtripDataChecksum="1lvdeHlw/VkgOrEEkjmwPQIhBAtKrLs1xs7DQyNEjjY="/>
    </ext>
  </extLst>
</workbook>
</file>

<file path=xl/sharedStrings.xml><?xml version="1.0" encoding="utf-8"?>
<sst xmlns="http://schemas.openxmlformats.org/spreadsheetml/2006/main" count="448" uniqueCount="267">
  <si>
    <t>CAJA  RESERVA JULIO  2026</t>
  </si>
  <si>
    <t>CAJA CHICA - DOS57</t>
  </si>
  <si>
    <t>SEGUIMIENTO DE CAJA SEMANAL</t>
  </si>
  <si>
    <t>MES: JULIO  2026</t>
  </si>
  <si>
    <t xml:space="preserve">FECHA </t>
  </si>
  <si>
    <t>JULIO.26</t>
  </si>
  <si>
    <t>4° SEM. 24/07/2026</t>
  </si>
  <si>
    <t xml:space="preserve">DESCRPCION </t>
  </si>
  <si>
    <t>INGRESO</t>
  </si>
  <si>
    <t>EGRESO</t>
  </si>
  <si>
    <t>TOTAL</t>
  </si>
  <si>
    <t>NOMBRE</t>
  </si>
  <si>
    <t>IMPORTE</t>
  </si>
  <si>
    <t xml:space="preserve">SALDO ANTERIOR </t>
  </si>
  <si>
    <t>OBSERVACION</t>
  </si>
  <si>
    <t>MAYRA</t>
  </si>
  <si>
    <t>SEGUIMIENTO DE CAJA</t>
  </si>
  <si>
    <t>ANDREA</t>
  </si>
  <si>
    <t>BEBIDAS</t>
  </si>
  <si>
    <t>CAJA MATIAS -POLLO (U$ 3.800)</t>
  </si>
  <si>
    <t>LORENA</t>
  </si>
  <si>
    <t xml:space="preserve">CAJAS </t>
  </si>
  <si>
    <t>PROVEEDOR</t>
  </si>
  <si>
    <t>POLLO/ CAJA RESERVA</t>
  </si>
  <si>
    <t>JAZ</t>
  </si>
  <si>
    <t>SUELDOS</t>
  </si>
  <si>
    <t>SALDO</t>
  </si>
  <si>
    <t>REPOSICION CAJA RESERVA</t>
  </si>
  <si>
    <t>CAJA SEMANAL JULIO-13 AL 19</t>
  </si>
  <si>
    <t>FLORENCIA</t>
  </si>
  <si>
    <t>MARIO</t>
  </si>
  <si>
    <t>COMPRA ESTUFA HALOGENA P/HABITACION POLO-MAYRA</t>
  </si>
  <si>
    <t>CAJA (VIATICO) RENDIR -LEANDRO RENDIR-VIAJE MINA CLAVERO</t>
  </si>
  <si>
    <t>FECHA</t>
  </si>
  <si>
    <t>CONCEPTO</t>
  </si>
  <si>
    <t>FURIA</t>
  </si>
  <si>
    <t>COMBUSTIBLE</t>
  </si>
  <si>
    <t>COMIDA</t>
  </si>
  <si>
    <t>CAJA (VIATICO) RENDIR -LUIS CAMIONERO -VIAJE SANTIAGO</t>
  </si>
  <si>
    <t>ADELANTO LEANDRO NAVARRO(PAGO HOTEL) AUT. POLLO</t>
  </si>
  <si>
    <t>GASTOS VARIOS</t>
  </si>
  <si>
    <t>DAVID</t>
  </si>
  <si>
    <t>SERVICIOS</t>
  </si>
  <si>
    <t>DEV.GASTOS</t>
  </si>
  <si>
    <t>VALES</t>
  </si>
  <si>
    <t>PABLO V</t>
  </si>
  <si>
    <t>CAJA (VIATICOS) RENDIR-MIGUEL CAMIONERO-VIAJE SANTIAGO</t>
  </si>
  <si>
    <t>INGRESO PAGOS VARIOS DE CAJA JUNIO GUARDADO</t>
  </si>
  <si>
    <t>POLA</t>
  </si>
  <si>
    <t>CAJA (VIATICOS) RENDIR-GERARDO-VIAJE SANTIAGO</t>
  </si>
  <si>
    <t>GERARDO</t>
  </si>
  <si>
    <t>LIQUIDACION JUNIO MANUEL RODRIGUEZ (MAY)</t>
  </si>
  <si>
    <t>LEANDRO</t>
  </si>
  <si>
    <t>SALDO CAJA GUARDADO PARA SEMANA JULIO -20 AL 26</t>
  </si>
  <si>
    <t>SALDO ANTERIOR</t>
  </si>
  <si>
    <t>ADELANTO EXTRA- PABLO VESSONI-(DESC. SUELDO JUNIO)</t>
  </si>
  <si>
    <t xml:space="preserve">FABRIZIO </t>
  </si>
  <si>
    <t xml:space="preserve">CARLOS </t>
  </si>
  <si>
    <t>CHOLI</t>
  </si>
  <si>
    <t>REPUESTO CAMION AZUL (RESORTE/+ CORREA)-PABLO-LUIS</t>
  </si>
  <si>
    <t>PEPO</t>
  </si>
  <si>
    <t>GONZALO</t>
  </si>
  <si>
    <t>REPARACION CAMION AZUL GERARDO(AUT.POLLO)</t>
  </si>
  <si>
    <t>MILTON</t>
  </si>
  <si>
    <t>SANTIAGO</t>
  </si>
  <si>
    <t>SALDO CAJA SEM. 13 AL 19-07(GUARDADO)</t>
  </si>
  <si>
    <t>FAUSTO</t>
  </si>
  <si>
    <t>LUIS CAMIONERO</t>
  </si>
  <si>
    <t>CAJA PAGO Q. LOCKURA+ TENTIKLE POLLO</t>
  </si>
  <si>
    <t>TONY</t>
  </si>
  <si>
    <t>PAGO TRANSPORTE DEL SUR-EXPENSAS-JULIO.2026</t>
  </si>
  <si>
    <t>2° CAJA POLLO P/ VIAJE TUCUMAN</t>
  </si>
  <si>
    <t xml:space="preserve">TOTAL </t>
  </si>
  <si>
    <t>MAYRA P/ COMPLETAR SUELDO</t>
  </si>
  <si>
    <t>PAGO Q.LOCKURA ( ENTREGA POLLO)</t>
  </si>
  <si>
    <t>DEVOL.A FOFI -1 PAX EXTRA -(AUT.MATIAS)</t>
  </si>
  <si>
    <t xml:space="preserve">EQUIPO EXTRANJEROS </t>
  </si>
  <si>
    <t>PAGO RESCOLDO (TRANSFERENCIA)</t>
  </si>
  <si>
    <t>REPARACION RADIADOR MERCEDES AZUL-FA 2154</t>
  </si>
  <si>
    <t xml:space="preserve">SILVAREZ MARTIN </t>
  </si>
  <si>
    <t>VASQUEZ GUILLERMO</t>
  </si>
  <si>
    <t>ROSALES BARROSO CATRIEL</t>
  </si>
  <si>
    <t>CAJA MATIAS (FEDE) EFECTIVO</t>
  </si>
  <si>
    <t>DEV. POLLO GASTOS VIAJE TUCUMAN</t>
  </si>
  <si>
    <t>ROBERTO CARLOS</t>
  </si>
  <si>
    <t>CAJA GUARDADA EXPENSAS TRANSP. SUR. JUNIO</t>
  </si>
  <si>
    <t>MOYANO JONAS ZAHIR</t>
  </si>
  <si>
    <t>DIF. PAGOS DE HS- BENJAMIN GASCO ( 2 JORNAL-13 Y 14)</t>
  </si>
  <si>
    <t xml:space="preserve"> FAUSTO  X 5 PAX-(TRANSF $ 598.000)+ LEONEL  (EFECTIVO $230.000 )</t>
  </si>
  <si>
    <t>SALINAS CESAR</t>
  </si>
  <si>
    <t>CAJA 2 -LUIS CAMIONERO -SANTIAGO.E</t>
  </si>
  <si>
    <t>TRANSF.GRUPO SILVAREZ</t>
  </si>
  <si>
    <t>EQUIPO JORNALEROS DOS57-(TRANSF) BENJA/PATRICIO/LISANDO /BICHITO</t>
  </si>
  <si>
    <t>CAJA 3 -LUIS CAMIONERO -SANTIAGO.E (DOM.26/07)</t>
  </si>
  <si>
    <t>CORTEZ EVER</t>
  </si>
  <si>
    <t xml:space="preserve">REPOSICION CAJA RESERVA </t>
  </si>
  <si>
    <t>EQUIPO FOFI X 8 PAX (  TRANSF.$1.035.800+$ 533.600 EFECTIVO)</t>
  </si>
  <si>
    <t>CAJA 3 -MIGUEL -SANTIAGO.E (DOM.26/07)</t>
  </si>
  <si>
    <t>MONTAÑO MARIO</t>
  </si>
  <si>
    <t>CAJA 4-RENDIR MIGUEL-SANTIAGO.E</t>
  </si>
  <si>
    <t>GUTIERREZ JOSET</t>
  </si>
  <si>
    <t>MUT MATIAS</t>
  </si>
  <si>
    <t>CAJA GERARDO VIAJE TUCUMAN</t>
  </si>
  <si>
    <t>SILVA FRANCO</t>
  </si>
  <si>
    <t>EQUIPO NESTOR X 5 PAX -TRANSFERENCIA</t>
  </si>
  <si>
    <t>TRANSF.GRUPO CORTES</t>
  </si>
  <si>
    <t xml:space="preserve">GUARDADO CAJA RESERVA </t>
  </si>
  <si>
    <t>ADELANTOS EQUIPO FIJO DOS57</t>
  </si>
  <si>
    <t>CAJA CHICA SEMANAL (20 AL 26) DAVID (EFECTIVO)</t>
  </si>
  <si>
    <t xml:space="preserve">CAJA CHICA SALDO ACTUAL  $ 100.000 +  (AQUA BREN $ 51.600+VIANDA FURIA $ 25.000) </t>
  </si>
  <si>
    <t>EQUIPO FOFI-SEM. 25 AL 1/07</t>
  </si>
  <si>
    <t>DEVOLUCION CAJA A POLLO-(EFECTIVO)</t>
  </si>
  <si>
    <t>REPOSICION CAJA RESERVA-(EFECTIVO)</t>
  </si>
  <si>
    <t xml:space="preserve">SALDO CAJA SEM.20 AL 26 </t>
  </si>
  <si>
    <t>LISANDRO ROMERO</t>
  </si>
  <si>
    <t xml:space="preserve">PAGO MIGUEL VIAJES VARIOS SEM. 16 AL 23-07 </t>
  </si>
  <si>
    <t>DESC. SALDO REND. CAJAS MIGUEL (MENDOZA//SANTIAGO E)</t>
  </si>
  <si>
    <t>DAVID PUCHETA</t>
  </si>
  <si>
    <t xml:space="preserve">LEONEL RODRIGUEZ </t>
  </si>
  <si>
    <t>MARCOS VALDES</t>
  </si>
  <si>
    <t>CAJA POLLO  JULIO 2026</t>
  </si>
  <si>
    <t>COMP.N°</t>
  </si>
  <si>
    <t>JAIR ECHENIQUE</t>
  </si>
  <si>
    <t>SALDO ANTERIOR JUNIO</t>
  </si>
  <si>
    <t>MAXIMILIANO ACUÑA</t>
  </si>
  <si>
    <t>TICK.92828</t>
  </si>
  <si>
    <t>CAJA POLLO-TUCUMAN</t>
  </si>
  <si>
    <t>MAURO MASSIMINO</t>
  </si>
  <si>
    <t>ESTACIONAMIENTO</t>
  </si>
  <si>
    <t>NOMBRE: JAZMIN VALDIVIA</t>
  </si>
  <si>
    <t>SEMANA 13/07 al 20/07</t>
  </si>
  <si>
    <t>FA 4438</t>
  </si>
  <si>
    <t xml:space="preserve">COMBUSTIBLE POLLO </t>
  </si>
  <si>
    <t>URIEL ALBARRACIN</t>
  </si>
  <si>
    <t>TICK</t>
  </si>
  <si>
    <t>REFRIGERIO-VIAJES (CAFÉ/VARIOS)</t>
  </si>
  <si>
    <t>S/C</t>
  </si>
  <si>
    <t>MULTA CAMINERA</t>
  </si>
  <si>
    <t>ALMUERZO</t>
  </si>
  <si>
    <t xml:space="preserve">FA 4447 </t>
  </si>
  <si>
    <t>ESTACIONAM-RETIRO CAJA -FA 7685</t>
  </si>
  <si>
    <t>INGRESO CAJA ANDRE</t>
  </si>
  <si>
    <t>REFRIGERIO-(AGUA)</t>
  </si>
  <si>
    <t>BIDÓN 20 L DE JABON PARA LONAS</t>
  </si>
  <si>
    <t>DEVOLUCION GASTOS TUCUMAN A POLLO</t>
  </si>
  <si>
    <t>COMISIONISTA LAS VARILLAS</t>
  </si>
  <si>
    <t>PAGOUBER A MACHADO POR TRASLADO RADIADOR A POLO EN SU AUTO (AUTORIZADO POR MAYRA)</t>
  </si>
  <si>
    <t>REFRIGERIO POLLO</t>
  </si>
  <si>
    <t>FA 27242</t>
  </si>
  <si>
    <t>PAPEL HIGIENICO INDUSTRIAL X 10 PACK DE 8U</t>
  </si>
  <si>
    <t>CAJA SEMANAL DAVID</t>
  </si>
  <si>
    <t>FA 46809</t>
  </si>
  <si>
    <t xml:space="preserve">RTO -CAMIONETA PFG </t>
  </si>
  <si>
    <t>PASAJE DE SANTIAGO A TUCUMAN (FABRICIO ROBERTO)</t>
  </si>
  <si>
    <t>DEVOLUCION GASTOS  CAJA POLLO</t>
  </si>
  <si>
    <t>NOMBRE:</t>
  </si>
  <si>
    <t>ENCOMIENDA DE PUNTERAS PARA LAYHER</t>
  </si>
  <si>
    <t>REUNION AMBIENTE-POLLO</t>
  </si>
  <si>
    <t>MIGUEL VIAJE MENDOZA// SANTIAGO.E</t>
  </si>
  <si>
    <t>MES: JULIO 2026</t>
  </si>
  <si>
    <t>N°</t>
  </si>
  <si>
    <t>TIPO FACTURA</t>
  </si>
  <si>
    <t>VIANDA MANOLO -29/30</t>
  </si>
  <si>
    <t>N° COMP.</t>
  </si>
  <si>
    <t>MENDOZA</t>
  </si>
  <si>
    <t>EFECTIVO</t>
  </si>
  <si>
    <t>CAJA ANDREA</t>
  </si>
  <si>
    <t>VIANDA SEMANAL FURIA</t>
  </si>
  <si>
    <t>TRANSF</t>
  </si>
  <si>
    <t>CAJA POLLO</t>
  </si>
  <si>
    <t>PEAJE SANIDAD</t>
  </si>
  <si>
    <t>AQUA BREN X 2 ABONO JULIO (EFECT+TRANSFERENCIA)</t>
  </si>
  <si>
    <t>REFRIGERIO</t>
  </si>
  <si>
    <t>RECIBO</t>
  </si>
  <si>
    <t>ESTACIONAM+ ALMACEN.ADM.-FA 5804</t>
  </si>
  <si>
    <t xml:space="preserve">FA </t>
  </si>
  <si>
    <t>ESTACIONAM-TRAMITES MATIAS -FA 14549</t>
  </si>
  <si>
    <t>CENA</t>
  </si>
  <si>
    <t>FB</t>
  </si>
  <si>
    <t>CAJA MATIAS-TRANSFERENCIA</t>
  </si>
  <si>
    <t>SANTIAGO.E</t>
  </si>
  <si>
    <t>1° V</t>
  </si>
  <si>
    <t>REMITO</t>
  </si>
  <si>
    <t>EQUIPO FOFI X 5 PAX-(SEM. 2 AL 8/07)</t>
  </si>
  <si>
    <t>NOMBRE:          DAVID AGUIRRE</t>
  </si>
  <si>
    <t>MES:</t>
  </si>
  <si>
    <t>N° COMPROBANTE</t>
  </si>
  <si>
    <t>BENJA-SEM. 2 AL 8/07</t>
  </si>
  <si>
    <t>SALDO CAJA ANTERIOR RENDIR</t>
  </si>
  <si>
    <t>2°V</t>
  </si>
  <si>
    <t>TICKET</t>
  </si>
  <si>
    <t>PATRICIO-SEM. 2 AL 8/07</t>
  </si>
  <si>
    <t>TAXI-A MECANICO PABLO</t>
  </si>
  <si>
    <t>FARO FORD-HLW 156 (DESC. PEPO)</t>
  </si>
  <si>
    <t>TAXI A POLO</t>
  </si>
  <si>
    <t>DAVID-BICHITO 2 AL 8/07</t>
  </si>
  <si>
    <t>DESAYUNO</t>
  </si>
  <si>
    <t>FC</t>
  </si>
  <si>
    <t>4-MATAFUEGOS -CAMIONETA POLLO/SPRINTER/CAMION PLANCHA / HKQ VW</t>
  </si>
  <si>
    <t>COMBUSTIBLE -SANTIAGO.E</t>
  </si>
  <si>
    <t>LEONEL SEM.2 AL 8/07</t>
  </si>
  <si>
    <t>REFRIGERIO-SANTIAGO.E</t>
  </si>
  <si>
    <t>DESCONTADO SUELDO( SEM.16 AL 23-07)</t>
  </si>
  <si>
    <t>FARO FORD LVX 455</t>
  </si>
  <si>
    <t xml:space="preserve">SALDO CAJA </t>
  </si>
  <si>
    <t>SALDO  CAJA A RENDIR</t>
  </si>
  <si>
    <t>CARLITOS -GAS DE SOLDAR + ACOPLE-FA 12642/FB4095</t>
  </si>
  <si>
    <t>GASTOS ALMACEN-ADM</t>
  </si>
  <si>
    <t>MIGUEL BS.AS-LAYHER</t>
  </si>
  <si>
    <t>MES: MAYO.2026</t>
  </si>
  <si>
    <t>Bs.As</t>
  </si>
  <si>
    <t>CAJA JAZMIN RENDIR</t>
  </si>
  <si>
    <t>TRANSF.</t>
  </si>
  <si>
    <t>MAYRA TRANF.COMB</t>
  </si>
  <si>
    <t>REM-S/C</t>
  </si>
  <si>
    <t>CAJA MATIAS-POLLO (U$3.800)</t>
  </si>
  <si>
    <t>FA</t>
  </si>
  <si>
    <t>EQUIPO FOFI X 5 PAX-(SEM. 9 AL 15/07)</t>
  </si>
  <si>
    <t>DEVOLUCION CAJA MIGUEL</t>
  </si>
  <si>
    <t>BENJA-SEM. 9/07 AL 15/07 (2 jornales)+2 JORNALES CAJA RESERVA</t>
  </si>
  <si>
    <t>PATRICIO-SEM. 9 AL 15/07</t>
  </si>
  <si>
    <t>DAVID-BICHITO 9 AL 15/07</t>
  </si>
  <si>
    <t>LEONEL SEM.9 AL 15/07</t>
  </si>
  <si>
    <t>MAXI ACUÑA 9 AL 15/07</t>
  </si>
  <si>
    <t>ADELANTO FURIA</t>
  </si>
  <si>
    <t>TOTALES</t>
  </si>
  <si>
    <t>ADELANTO DAVID</t>
  </si>
  <si>
    <t>ADELANTO ANDREA</t>
  </si>
  <si>
    <t>CAJA A RENDIR MARIO-SANTIAGO.E</t>
  </si>
  <si>
    <t>COMBUSTIBLE FA-TRAMITES VARIOS-ANDREA</t>
  </si>
  <si>
    <t>SALDO CAJA GUARDADA</t>
  </si>
  <si>
    <t xml:space="preserve">RENDICION CAJAS JAZMIN </t>
  </si>
  <si>
    <t>REFRIGERIO(GASEOSA) ADM</t>
  </si>
  <si>
    <t>EQUIPO FOFI X 5 PAX-(SEM-16 AL 22/07)</t>
  </si>
  <si>
    <t>EQUIPO NESTOR X 5 PAX -SEM-16 AL 22/07</t>
  </si>
  <si>
    <t>BENJA-SEM. 16 AL 22/07-TRANSF</t>
  </si>
  <si>
    <t>LISANDRO-SEM. 16 AL 22/07-TRANSF</t>
  </si>
  <si>
    <t>PATRICIO-SEM. 16 AL 22/07-TRANSF</t>
  </si>
  <si>
    <t>DAVID-BICHITO 16 AL 22/07-TRANSF</t>
  </si>
  <si>
    <t>LEONEL SEM.16 AL 22/07 (FAUSTERA)-TRANSF</t>
  </si>
  <si>
    <t>EQUIPO FAUSTERA X 5 PAX-SEM. 16 AL 22/07-TRANSF</t>
  </si>
  <si>
    <t>ADELANTOS-ANDREA</t>
  </si>
  <si>
    <t>ADELANTOS-LORENA</t>
  </si>
  <si>
    <t>ADELANTOS-JAZ</t>
  </si>
  <si>
    <t>ADELANTOS-FLORENCIA</t>
  </si>
  <si>
    <t>ADELANTOS-PABLO V</t>
  </si>
  <si>
    <t>ANDELANTOS-POLA</t>
  </si>
  <si>
    <t>ADELANTOS-GERARDO</t>
  </si>
  <si>
    <t>ADELANTOS-LEANDRO</t>
  </si>
  <si>
    <t xml:space="preserve">ADELANTOS-CARLOS </t>
  </si>
  <si>
    <t>ADELANTOS- RODRIGO (CHOLI)</t>
  </si>
  <si>
    <t>ADELANTOS- JOSELUIS (PEPO)</t>
  </si>
  <si>
    <t>ADELANTOS-GONZALO</t>
  </si>
  <si>
    <t>ADELANTOS-MILTON</t>
  </si>
  <si>
    <t>ADELANTOS-SANTIAGO</t>
  </si>
  <si>
    <t>ADELANTOS-FAUSTO</t>
  </si>
  <si>
    <t>ADELANTOS-LUIS CAMIONERO</t>
  </si>
  <si>
    <t xml:space="preserve">COMBUSTIBLE FA 79547 </t>
  </si>
  <si>
    <t>REPOSICION CAJA POLLO</t>
  </si>
  <si>
    <t>CAJA DAVID SEMANAL</t>
  </si>
  <si>
    <t>AQUA BREN CONSUMO SEMANAL</t>
  </si>
  <si>
    <t>VIANDA SEMANAL FURIA ( 20 AL 24)</t>
  </si>
  <si>
    <t>PAGO MIGUEL SEM. 16 AL 23/07</t>
  </si>
  <si>
    <t>DIF. CAJAS VARIAS- MIGUEL</t>
  </si>
  <si>
    <t>CAJA MATIAS-TRANSFERENCIA-ADELANTOS EXTRANJEROS</t>
  </si>
  <si>
    <t>CAJA LUIS CAMIONERO A RENDIR</t>
  </si>
  <si>
    <t>GASTOS ALMACEN.ADM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</si>
</sst>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-&quot;$&quot;\ * #,##0.00_-;\-&quot;$&quot;\ * #,##0.00_-;_-&quot;$&quot;\ * &quot;-&quot;??_-;_-@"/>
    <numFmt numFmtId="165" formatCode="D/M/YYYY"/>
    <numFmt numFmtId="166" formatCode="&quot;$&quot;\ #,##0"/>
    <numFmt numFmtId="167" formatCode="&quot;$&quot;\ #,##0.00;[Red]\-&quot;$&quot;\ #,##0.00"/>
    <numFmt numFmtId="168" formatCode="_-&quot;$&quot;* #,##0.00_-;\-&quot;$&quot;* #,##0.00_-;_-&quot;$&quot;* &quot;-&quot;??_-;_-@"/>
  </numFmts>
  <fonts count="39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b/>
      <sz val="12.0"/>
      <color theme="0"/>
      <name val="Calibri"/>
    </font>
    <font>
      <b/>
      <sz val="18.0"/>
      <color theme="0"/>
      <name val="Calibri"/>
    </font>
    <font>
      <b/>
      <sz val="11.0"/>
      <color theme="1"/>
      <name val="Calibri"/>
    </font>
    <font/>
    <font>
      <b/>
      <sz val="11.0"/>
      <color theme="0"/>
      <name val="Calibri"/>
    </font>
    <font>
      <b/>
      <sz val="14.0"/>
      <color theme="0"/>
      <name val="Calibri"/>
    </font>
    <font>
      <b/>
      <sz val="11.0"/>
      <color rgb="FFFF0000"/>
      <name val="Calibri"/>
    </font>
    <font>
      <b/>
      <sz val="9.0"/>
      <color theme="0"/>
      <name val="Calibri"/>
    </font>
    <font>
      <b/>
      <sz val="12.0"/>
      <color theme="1"/>
      <name val="Calibri"/>
    </font>
    <font>
      <b/>
      <sz val="12.0"/>
      <color rgb="FFFF0000"/>
      <name val="Calibri"/>
    </font>
    <font>
      <b/>
      <sz val="11.0"/>
      <color rgb="FF002060"/>
      <name val="Calibri"/>
    </font>
    <font>
      <b/>
      <sz val="10.0"/>
      <color rgb="FFFF0000"/>
      <name val="Calibri"/>
    </font>
    <font>
      <sz val="11.0"/>
      <color rgb="FFFF0000"/>
      <name val="Calibri"/>
    </font>
    <font>
      <sz val="11.0"/>
      <color rgb="FF002060"/>
      <name val="Calibri"/>
    </font>
    <font>
      <b/>
      <sz val="11.0"/>
      <color rgb="FF1F3864"/>
      <name val="Calibri"/>
    </font>
    <font>
      <b/>
      <sz val="11.0"/>
      <color rgb="FF385623"/>
      <name val="Calibri"/>
    </font>
    <font>
      <b/>
      <sz val="18.0"/>
      <color rgb="FF7F7F7F"/>
      <name val="Arial"/>
    </font>
    <font>
      <b/>
      <sz val="18.0"/>
      <color rgb="FF262626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7F7F7F"/>
      <name val="Arial"/>
    </font>
    <font>
      <b/>
      <sz val="10.0"/>
      <color rgb="FF000000"/>
      <name val="Arial"/>
    </font>
    <font>
      <b/>
      <sz val="10.0"/>
      <color rgb="FF262626"/>
      <name val="Arial"/>
    </font>
    <font>
      <sz val="10.0"/>
      <color rgb="FF7F7F7F"/>
      <name val="Arial"/>
    </font>
    <font>
      <sz val="11.0"/>
      <color rgb="FF7030A0"/>
      <name val="Calibri"/>
    </font>
    <font>
      <b/>
      <sz val="11.0"/>
      <color rgb="FF7030A0"/>
      <name val="Calibri"/>
    </font>
    <font>
      <b/>
      <sz val="18.0"/>
      <color rgb="FF7F7F7F"/>
      <name val="Calibri"/>
    </font>
    <font>
      <b/>
      <sz val="10.0"/>
      <color theme="1"/>
      <name val="Calibri"/>
    </font>
    <font>
      <b/>
      <sz val="10.0"/>
      <color rgb="FF262626"/>
      <name val="Calibri"/>
    </font>
    <font>
      <sz val="10.0"/>
      <color theme="1"/>
      <name val="Calibri"/>
    </font>
    <font>
      <sz val="10.0"/>
      <color rgb="FFFF0000"/>
      <name val="Calibri"/>
    </font>
    <font>
      <b/>
      <sz val="10.0"/>
      <color rgb="FF002060"/>
      <name val="Calibri"/>
    </font>
    <font>
      <sz val="10.0"/>
      <color theme="4"/>
      <name val="Calibri"/>
    </font>
    <font>
      <sz val="11.0"/>
      <color rgb="FF1F3864"/>
      <name val="Calibri"/>
    </font>
    <font>
      <b/>
      <sz val="11.0"/>
      <color rgb="FF2F5496"/>
      <name val="Calibri"/>
    </font>
    <font>
      <sz val="11.0"/>
      <color theme="0"/>
      <name val="Calibri"/>
    </font>
  </fonts>
  <fills count="1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2F5496"/>
        <bgColor rgb="FF2F5496"/>
      </patternFill>
    </fill>
    <fill>
      <patternFill patternType="solid">
        <fgColor rgb="FF002060"/>
        <bgColor rgb="FF00206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FFF2CB"/>
        <bgColor rgb="FFFFF2CB"/>
      </patternFill>
    </fill>
    <fill>
      <patternFill patternType="solid">
        <fgColor rgb="FFD6DCE4"/>
        <bgColor rgb="FFD6DCE4"/>
      </patternFill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33CCCC"/>
        <bgColor rgb="FF33CCCC"/>
      </patternFill>
    </fill>
    <fill>
      <patternFill patternType="solid">
        <fgColor rgb="FF1E4E79"/>
        <bgColor rgb="FF1E4E79"/>
      </patternFill>
    </fill>
    <fill>
      <patternFill patternType="solid">
        <fgColor rgb="FF7CAFDE"/>
        <bgColor rgb="FF7CAFDE"/>
      </patternFill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41">
    <border/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/>
      <bottom style="thin">
        <color rgb="FFA5A5A5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 style="thin">
        <color rgb="FFA5A5A5"/>
      </right>
      <top style="thin">
        <color rgb="FFA5A5A5"/>
      </top>
      <bottom style="thin">
        <color rgb="FFA5A5A5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CCCCCC"/>
      </left>
      <right style="medium">
        <color rgb="FF000000"/>
      </right>
      <top/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3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Border="1" applyFont="1"/>
    <xf borderId="2" fillId="2" fontId="2" numFmtId="164" xfId="0" applyAlignment="1" applyBorder="1" applyFont="1" applyNumberFormat="1">
      <alignment horizontal="center" vertical="center"/>
    </xf>
    <xf borderId="3" fillId="3" fontId="3" numFmtId="165" xfId="0" applyAlignment="1" applyBorder="1" applyFill="1" applyFont="1" applyNumberFormat="1">
      <alignment horizontal="center" shrinkToFit="0" vertical="center" wrapText="1"/>
    </xf>
    <xf borderId="3" fillId="3" fontId="4" numFmtId="0" xfId="0" applyAlignment="1" applyBorder="1" applyFont="1">
      <alignment horizontal="center"/>
    </xf>
    <xf borderId="0" fillId="0" fontId="5" numFmtId="0" xfId="0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1" fillId="2" fontId="5" numFmtId="164" xfId="0" applyBorder="1" applyFont="1" applyNumberFormat="1"/>
    <xf borderId="1" fillId="2" fontId="1" numFmtId="164" xfId="0" applyBorder="1" applyFont="1" applyNumberFormat="1"/>
    <xf borderId="8" fillId="3" fontId="7" numFmtId="0" xfId="0" applyAlignment="1" applyBorder="1" applyFont="1">
      <alignment horizontal="center"/>
    </xf>
    <xf borderId="3" fillId="3" fontId="8" numFmtId="0" xfId="0" applyAlignment="1" applyBorder="1" applyFont="1">
      <alignment horizontal="center" vertical="center"/>
    </xf>
    <xf borderId="3" fillId="4" fontId="3" numFmtId="0" xfId="0" applyAlignment="1" applyBorder="1" applyFill="1" applyFont="1">
      <alignment horizontal="center"/>
    </xf>
    <xf borderId="8" fillId="3" fontId="7" numFmtId="164" xfId="0" applyAlignment="1" applyBorder="1" applyFont="1" applyNumberFormat="1">
      <alignment horizontal="center"/>
    </xf>
    <xf borderId="9" fillId="3" fontId="3" numFmtId="166" xfId="0" applyAlignment="1" applyBorder="1" applyFont="1" applyNumberFormat="1">
      <alignment horizontal="center"/>
    </xf>
    <xf borderId="8" fillId="4" fontId="7" numFmtId="0" xfId="0" applyAlignment="1" applyBorder="1" applyFont="1">
      <alignment horizontal="center" vertical="center"/>
    </xf>
    <xf borderId="8" fillId="5" fontId="5" numFmtId="165" xfId="0" applyAlignment="1" applyBorder="1" applyFill="1" applyFont="1" applyNumberFormat="1">
      <alignment horizontal="center" vertical="center"/>
    </xf>
    <xf borderId="10" fillId="0" fontId="6" numFmtId="0" xfId="0" applyBorder="1" applyFont="1"/>
    <xf borderId="8" fillId="5" fontId="5" numFmtId="0" xfId="0" applyAlignment="1" applyBorder="1" applyFont="1">
      <alignment horizontal="center" vertical="center"/>
    </xf>
    <xf borderId="8" fillId="2" fontId="5" numFmtId="0" xfId="0" applyAlignment="1" applyBorder="1" applyFont="1">
      <alignment horizontal="center"/>
    </xf>
    <xf borderId="8" fillId="5" fontId="5" numFmtId="164" xfId="0" applyAlignment="1" applyBorder="1" applyFont="1" applyNumberFormat="1">
      <alignment horizontal="center" vertical="center"/>
    </xf>
    <xf borderId="8" fillId="2" fontId="5" numFmtId="164" xfId="0" applyAlignment="1" applyBorder="1" applyFont="1" applyNumberFormat="1">
      <alignment horizontal="center" vertical="center"/>
    </xf>
    <xf borderId="8" fillId="5" fontId="5" numFmtId="164" xfId="0" applyAlignment="1" applyBorder="1" applyFont="1" applyNumberFormat="1">
      <alignment horizontal="center"/>
    </xf>
    <xf borderId="3" fillId="3" fontId="7" numFmtId="0" xfId="0" applyAlignment="1" applyBorder="1" applyFont="1">
      <alignment horizontal="center"/>
    </xf>
    <xf borderId="8" fillId="2" fontId="9" numFmtId="164" xfId="0" applyBorder="1" applyFont="1" applyNumberFormat="1"/>
    <xf borderId="8" fillId="2" fontId="5" numFmtId="0" xfId="0" applyAlignment="1" applyBorder="1" applyFont="1">
      <alignment horizontal="center" vertical="center"/>
    </xf>
    <xf borderId="8" fillId="3" fontId="10" numFmtId="164" xfId="0" applyAlignment="1" applyBorder="1" applyFont="1" applyNumberFormat="1">
      <alignment horizontal="center" shrinkToFit="0" wrapText="1"/>
    </xf>
    <xf borderId="8" fillId="6" fontId="9" numFmtId="165" xfId="0" applyAlignment="1" applyBorder="1" applyFill="1" applyFont="1" applyNumberFormat="1">
      <alignment horizontal="center" vertical="center"/>
    </xf>
    <xf borderId="8" fillId="6" fontId="9" numFmtId="0" xfId="0" applyAlignment="1" applyBorder="1" applyFont="1">
      <alignment horizontal="center" vertical="center"/>
    </xf>
    <xf borderId="11" fillId="3" fontId="7" numFmtId="0" xfId="0" applyAlignment="1" applyBorder="1" applyFont="1">
      <alignment horizontal="center" vertical="center"/>
    </xf>
    <xf borderId="8" fillId="6" fontId="9" numFmtId="164" xfId="0" applyBorder="1" applyFont="1" applyNumberFormat="1"/>
    <xf borderId="8" fillId="6" fontId="1" numFmtId="164" xfId="0" applyAlignment="1" applyBorder="1" applyFont="1" applyNumberFormat="1">
      <alignment horizontal="center"/>
    </xf>
    <xf borderId="8" fillId="6" fontId="9" numFmtId="164" xfId="0" applyAlignment="1" applyBorder="1" applyFont="1" applyNumberFormat="1">
      <alignment horizontal="center"/>
    </xf>
    <xf borderId="8" fillId="7" fontId="5" numFmtId="164" xfId="0" applyAlignment="1" applyBorder="1" applyFill="1" applyFont="1" applyNumberFormat="1">
      <alignment horizontal="center"/>
    </xf>
    <xf borderId="8" fillId="2" fontId="1" numFmtId="165" xfId="0" applyAlignment="1" applyBorder="1" applyFont="1" applyNumberFormat="1">
      <alignment horizontal="center" vertical="center"/>
    </xf>
    <xf borderId="8" fillId="0" fontId="5" numFmtId="0" xfId="0" applyAlignment="1" applyBorder="1" applyFont="1">
      <alignment horizontal="center"/>
    </xf>
    <xf borderId="8" fillId="2" fontId="1" numFmtId="0" xfId="0" applyAlignment="1" applyBorder="1" applyFont="1">
      <alignment horizontal="center" vertical="center"/>
    </xf>
    <xf borderId="8" fillId="2" fontId="1" numFmtId="164" xfId="0" applyBorder="1" applyFont="1" applyNumberFormat="1"/>
    <xf borderId="8" fillId="3" fontId="7" numFmtId="0" xfId="0" applyAlignment="1" applyBorder="1" applyFont="1">
      <alignment horizontal="center" vertical="center"/>
    </xf>
    <xf borderId="8" fillId="2" fontId="1" numFmtId="164" xfId="0" applyAlignment="1" applyBorder="1" applyFont="1" applyNumberFormat="1">
      <alignment horizontal="center"/>
    </xf>
    <xf borderId="8" fillId="2" fontId="5" numFmtId="164" xfId="0" applyAlignment="1" applyBorder="1" applyFont="1" applyNumberFormat="1">
      <alignment horizontal="center"/>
    </xf>
    <xf borderId="8" fillId="2" fontId="9" numFmtId="0" xfId="0" applyAlignment="1" applyBorder="1" applyFont="1">
      <alignment horizontal="center" vertical="center"/>
    </xf>
    <xf borderId="8" fillId="3" fontId="7" numFmtId="164" xfId="0" applyAlignment="1" applyBorder="1" applyFont="1" applyNumberFormat="1">
      <alignment horizontal="center" shrinkToFit="0" wrapText="1"/>
    </xf>
    <xf borderId="12" fillId="0" fontId="6" numFmtId="0" xfId="0" applyBorder="1" applyFont="1"/>
    <xf borderId="8" fillId="6" fontId="5" numFmtId="165" xfId="0" applyAlignment="1" applyBorder="1" applyFont="1" applyNumberFormat="1">
      <alignment horizontal="center" vertical="center"/>
    </xf>
    <xf borderId="8" fillId="6" fontId="5" numFmtId="0" xfId="0" applyAlignment="1" applyBorder="1" applyFont="1">
      <alignment horizontal="center" vertical="center"/>
    </xf>
    <xf borderId="8" fillId="6" fontId="5" numFmtId="164" xfId="0" applyBorder="1" applyFont="1" applyNumberFormat="1"/>
    <xf borderId="8" fillId="6" fontId="5" numFmtId="164" xfId="0" applyAlignment="1" applyBorder="1" applyFont="1" applyNumberFormat="1">
      <alignment horizontal="center"/>
    </xf>
    <xf borderId="8" fillId="2" fontId="9" numFmtId="0" xfId="0" applyBorder="1" applyFont="1"/>
    <xf borderId="8" fillId="8" fontId="5" numFmtId="165" xfId="0" applyAlignment="1" applyBorder="1" applyFill="1" applyFont="1" applyNumberFormat="1">
      <alignment horizontal="center" vertical="center"/>
    </xf>
    <xf borderId="8" fillId="8" fontId="5" numFmtId="0" xfId="0" applyAlignment="1" applyBorder="1" applyFont="1">
      <alignment horizontal="center" vertical="center"/>
    </xf>
    <xf borderId="8" fillId="8" fontId="5" numFmtId="164" xfId="0" applyBorder="1" applyFont="1" applyNumberFormat="1"/>
    <xf borderId="8" fillId="0" fontId="5" numFmtId="0" xfId="0" applyBorder="1" applyFont="1"/>
    <xf borderId="8" fillId="8" fontId="5" numFmtId="164" xfId="0" applyAlignment="1" applyBorder="1" applyFont="1" applyNumberFormat="1">
      <alignment horizontal="center"/>
    </xf>
    <xf borderId="8" fillId="5" fontId="5" numFmtId="167" xfId="0" applyBorder="1" applyFont="1" applyNumberFormat="1"/>
    <xf borderId="8" fillId="5" fontId="1" numFmtId="164" xfId="0" applyBorder="1" applyFont="1" applyNumberFormat="1"/>
    <xf borderId="8" fillId="5" fontId="5" numFmtId="165" xfId="0" applyAlignment="1" applyBorder="1" applyFont="1" applyNumberFormat="1">
      <alignment horizontal="center" shrinkToFit="0" vertical="center" wrapText="1"/>
    </xf>
    <xf borderId="8" fillId="5" fontId="11" numFmtId="164" xfId="0" applyAlignment="1" applyBorder="1" applyFont="1" applyNumberFormat="1">
      <alignment horizontal="center" vertical="center"/>
    </xf>
    <xf borderId="8" fillId="2" fontId="5" numFmtId="164" xfId="0" applyBorder="1" applyFont="1" applyNumberFormat="1"/>
    <xf borderId="8" fillId="2" fontId="5" numFmtId="0" xfId="0" applyBorder="1" applyFont="1"/>
    <xf borderId="8" fillId="5" fontId="5" numFmtId="164" xfId="0" applyBorder="1" applyFont="1" applyNumberFormat="1"/>
    <xf borderId="8" fillId="5" fontId="12" numFmtId="164" xfId="0" applyAlignment="1" applyBorder="1" applyFont="1" applyNumberFormat="1">
      <alignment horizontal="center" vertical="center"/>
    </xf>
    <xf borderId="8" fillId="6" fontId="5" numFmtId="164" xfId="0" applyAlignment="1" applyBorder="1" applyFont="1" applyNumberFormat="1">
      <alignment horizontal="center" vertical="center"/>
    </xf>
    <xf borderId="8" fillId="7" fontId="13" numFmtId="165" xfId="0" applyAlignment="1" applyBorder="1" applyFont="1" applyNumberFormat="1">
      <alignment horizontal="center" vertical="center"/>
    </xf>
    <xf borderId="8" fillId="7" fontId="13" numFmtId="0" xfId="0" applyBorder="1" applyFont="1"/>
    <xf borderId="8" fillId="2" fontId="14" numFmtId="0" xfId="0" applyAlignment="1" applyBorder="1" applyFont="1">
      <alignment horizontal="center" vertical="center"/>
    </xf>
    <xf borderId="8" fillId="7" fontId="13" numFmtId="164" xfId="0" applyBorder="1" applyFont="1" applyNumberFormat="1"/>
    <xf borderId="8" fillId="8" fontId="9" numFmtId="164" xfId="0" applyAlignment="1" applyBorder="1" applyFont="1" applyNumberFormat="1">
      <alignment horizontal="center"/>
    </xf>
    <xf borderId="8" fillId="4" fontId="3" numFmtId="164" xfId="0" applyAlignment="1" applyBorder="1" applyFont="1" applyNumberFormat="1">
      <alignment horizontal="center" vertical="center"/>
    </xf>
    <xf borderId="8" fillId="7" fontId="1" numFmtId="164" xfId="0" applyBorder="1" applyFont="1" applyNumberFormat="1"/>
    <xf borderId="8" fillId="4" fontId="7" numFmtId="164" xfId="0" applyAlignment="1" applyBorder="1" applyFont="1" applyNumberFormat="1">
      <alignment horizontal="center" vertical="center"/>
    </xf>
    <xf borderId="8" fillId="7" fontId="5" numFmtId="164" xfId="0" applyBorder="1" applyFont="1" applyNumberFormat="1"/>
    <xf borderId="8" fillId="7" fontId="9" numFmtId="164" xfId="0" applyBorder="1" applyFont="1" applyNumberFormat="1"/>
    <xf borderId="8" fillId="5" fontId="1" numFmtId="164" xfId="0" applyAlignment="1" applyBorder="1" applyFont="1" applyNumberFormat="1">
      <alignment horizontal="center"/>
    </xf>
    <xf borderId="3" fillId="6" fontId="5" numFmtId="0" xfId="0" applyAlignment="1" applyBorder="1" applyFont="1">
      <alignment horizontal="center" vertical="center"/>
    </xf>
    <xf borderId="8" fillId="9" fontId="5" numFmtId="165" xfId="0" applyAlignment="1" applyBorder="1" applyFill="1" applyFont="1" applyNumberFormat="1">
      <alignment horizontal="center" vertical="center"/>
    </xf>
    <xf borderId="8" fillId="9" fontId="5" numFmtId="0" xfId="0" applyAlignment="1" applyBorder="1" applyFont="1">
      <alignment horizontal="center" vertical="top"/>
    </xf>
    <xf borderId="8" fillId="9" fontId="5" numFmtId="164" xfId="0" applyBorder="1" applyFont="1" applyNumberFormat="1"/>
    <xf borderId="8" fillId="9" fontId="1" numFmtId="164" xfId="0" applyAlignment="1" applyBorder="1" applyFont="1" applyNumberFormat="1">
      <alignment horizontal="center"/>
    </xf>
    <xf borderId="8" fillId="9" fontId="5" numFmtId="164" xfId="0" applyAlignment="1" applyBorder="1" applyFont="1" applyNumberFormat="1">
      <alignment horizontal="center"/>
    </xf>
    <xf borderId="8" fillId="7" fontId="5" numFmtId="165" xfId="0" applyAlignment="1" applyBorder="1" applyFont="1" applyNumberFormat="1">
      <alignment horizontal="center" vertical="center"/>
    </xf>
    <xf borderId="8" fillId="7" fontId="5" numFmtId="0" xfId="0" applyAlignment="1" applyBorder="1" applyFont="1">
      <alignment horizontal="center" vertical="center"/>
    </xf>
    <xf borderId="8" fillId="2" fontId="5" numFmtId="165" xfId="0" applyAlignment="1" applyBorder="1" applyFont="1" applyNumberFormat="1">
      <alignment horizontal="center" vertical="center"/>
    </xf>
    <xf borderId="8" fillId="7" fontId="9" numFmtId="0" xfId="0" applyAlignment="1" applyBorder="1" applyFont="1">
      <alignment horizontal="center" vertical="center"/>
    </xf>
    <xf borderId="8" fillId="7" fontId="5" numFmtId="164" xfId="0" applyAlignment="1" applyBorder="1" applyFont="1" applyNumberFormat="1">
      <alignment horizontal="center" vertical="center"/>
    </xf>
    <xf borderId="0" fillId="0" fontId="1" numFmtId="164" xfId="0" applyFont="1" applyNumberFormat="1"/>
    <xf borderId="8" fillId="6" fontId="13" numFmtId="165" xfId="0" applyAlignment="1" applyBorder="1" applyFont="1" applyNumberFormat="1">
      <alignment horizontal="center" vertical="center"/>
    </xf>
    <xf borderId="8" fillId="6" fontId="13" numFmtId="0" xfId="0" applyBorder="1" applyFont="1"/>
    <xf borderId="8" fillId="6" fontId="13" numFmtId="164" xfId="0" applyBorder="1" applyFont="1" applyNumberFormat="1"/>
    <xf borderId="8" fillId="6" fontId="1" numFmtId="164" xfId="0" applyBorder="1" applyFont="1" applyNumberFormat="1"/>
    <xf borderId="8" fillId="7" fontId="9" numFmtId="164" xfId="0" applyAlignment="1" applyBorder="1" applyFont="1" applyNumberFormat="1">
      <alignment horizontal="center" vertical="center"/>
    </xf>
    <xf borderId="8" fillId="2" fontId="9" numFmtId="165" xfId="0" applyAlignment="1" applyBorder="1" applyFont="1" applyNumberFormat="1">
      <alignment horizontal="center" vertical="center"/>
    </xf>
    <xf borderId="8" fillId="10" fontId="15" numFmtId="165" xfId="0" applyAlignment="1" applyBorder="1" applyFill="1" applyFont="1" applyNumberFormat="1">
      <alignment horizontal="center" vertical="center"/>
    </xf>
    <xf borderId="8" fillId="2" fontId="16" numFmtId="165" xfId="0" applyAlignment="1" applyBorder="1" applyFont="1" applyNumberFormat="1">
      <alignment horizontal="center" vertical="center"/>
    </xf>
    <xf borderId="13" fillId="2" fontId="17" numFmtId="0" xfId="0" applyBorder="1" applyFont="1"/>
    <xf borderId="8" fillId="10" fontId="9" numFmtId="0" xfId="0" applyAlignment="1" applyBorder="1" applyFont="1">
      <alignment horizontal="center" vertical="center"/>
    </xf>
    <xf borderId="8" fillId="10" fontId="15" numFmtId="164" xfId="0" applyBorder="1" applyFont="1" applyNumberFormat="1"/>
    <xf borderId="8" fillId="10" fontId="15" numFmtId="164" xfId="0" applyAlignment="1" applyBorder="1" applyFont="1" applyNumberFormat="1">
      <alignment horizontal="center"/>
    </xf>
    <xf borderId="8" fillId="10" fontId="9" numFmtId="164" xfId="0" applyAlignment="1" applyBorder="1" applyFont="1" applyNumberFormat="1">
      <alignment horizontal="center"/>
    </xf>
    <xf borderId="8" fillId="2" fontId="13" numFmtId="164" xfId="0" applyBorder="1" applyFont="1" applyNumberFormat="1"/>
    <xf borderId="13" fillId="2" fontId="18" numFmtId="0" xfId="0" applyBorder="1" applyFont="1"/>
    <xf borderId="8" fillId="2" fontId="18" numFmtId="164" xfId="0" applyBorder="1" applyFont="1" applyNumberFormat="1"/>
    <xf borderId="14" fillId="11" fontId="3" numFmtId="0" xfId="0" applyAlignment="1" applyBorder="1" applyFill="1" applyFont="1">
      <alignment horizontal="center"/>
    </xf>
    <xf borderId="15" fillId="0" fontId="6" numFmtId="0" xfId="0" applyBorder="1" applyFont="1"/>
    <xf borderId="16" fillId="0" fontId="6" numFmtId="0" xfId="0" applyBorder="1" applyFont="1"/>
    <xf borderId="17" fillId="11" fontId="7" numFmtId="0" xfId="0" applyAlignment="1" applyBorder="1" applyFont="1">
      <alignment horizontal="center"/>
    </xf>
    <xf borderId="8" fillId="2" fontId="18" numFmtId="0" xfId="0" applyBorder="1" applyFont="1"/>
    <xf borderId="17" fillId="11" fontId="7" numFmtId="164" xfId="0" applyAlignment="1" applyBorder="1" applyFont="1" applyNumberFormat="1">
      <alignment horizontal="center"/>
    </xf>
    <xf borderId="17" fillId="12" fontId="9" numFmtId="165" xfId="0" applyAlignment="1" applyBorder="1" applyFill="1" applyFont="1" applyNumberFormat="1">
      <alignment horizontal="center" vertical="center"/>
    </xf>
    <xf borderId="8" fillId="12" fontId="9" numFmtId="0" xfId="0" applyAlignment="1" applyBorder="1" applyFont="1">
      <alignment horizontal="center" vertical="center"/>
    </xf>
    <xf borderId="8" fillId="12" fontId="9" numFmtId="164" xfId="0" applyAlignment="1" applyBorder="1" applyFont="1" applyNumberFormat="1">
      <alignment horizontal="center"/>
    </xf>
    <xf borderId="8" fillId="12" fontId="1" numFmtId="164" xfId="0" applyAlignment="1" applyBorder="1" applyFont="1" applyNumberFormat="1">
      <alignment horizontal="center"/>
    </xf>
    <xf borderId="17" fillId="12" fontId="9" numFmtId="164" xfId="0" applyAlignment="1" applyBorder="1" applyFont="1" applyNumberFormat="1">
      <alignment horizontal="center"/>
    </xf>
    <xf borderId="17" fillId="6" fontId="5" numFmtId="165" xfId="0" applyAlignment="1" applyBorder="1" applyFont="1" applyNumberFormat="1">
      <alignment horizontal="center" vertical="center"/>
    </xf>
    <xf borderId="17" fillId="6" fontId="5" numFmtId="164" xfId="0" applyAlignment="1" applyBorder="1" applyFont="1" applyNumberFormat="1">
      <alignment horizontal="center"/>
    </xf>
    <xf borderId="3" fillId="0" fontId="19" numFmtId="0" xfId="0" applyAlignment="1" applyBorder="1" applyFont="1">
      <alignment horizontal="center" vertical="center"/>
    </xf>
    <xf borderId="17" fillId="2" fontId="1" numFmtId="165" xfId="0" applyAlignment="1" applyBorder="1" applyFont="1" applyNumberFormat="1">
      <alignment horizontal="center" vertical="center"/>
    </xf>
    <xf borderId="3" fillId="0" fontId="20" numFmtId="0" xfId="0" applyAlignment="1" applyBorder="1" applyFont="1">
      <alignment horizontal="center" vertical="center"/>
    </xf>
    <xf borderId="17" fillId="2" fontId="5" numFmtId="164" xfId="0" applyAlignment="1" applyBorder="1" applyFont="1" applyNumberFormat="1">
      <alignment horizontal="center"/>
    </xf>
    <xf borderId="3" fillId="0" fontId="21" numFmtId="0" xfId="0" applyAlignment="1" applyBorder="1" applyFont="1">
      <alignment horizontal="left" vertical="top"/>
    </xf>
    <xf borderId="3" fillId="0" fontId="21" numFmtId="166" xfId="0" applyAlignment="1" applyBorder="1" applyFont="1" applyNumberFormat="1">
      <alignment horizontal="center" vertical="center"/>
    </xf>
    <xf borderId="8" fillId="0" fontId="22" numFmtId="0" xfId="0" applyAlignment="1" applyBorder="1" applyFont="1">
      <alignment horizontal="center" vertical="center"/>
    </xf>
    <xf borderId="13" fillId="2" fontId="18" numFmtId="0" xfId="0" applyAlignment="1" applyBorder="1" applyFont="1">
      <alignment horizontal="left" vertical="center"/>
    </xf>
    <xf borderId="8" fillId="0" fontId="23" numFmtId="166" xfId="0" applyAlignment="1" applyBorder="1" applyFont="1" applyNumberFormat="1">
      <alignment horizontal="right" vertical="center"/>
    </xf>
    <xf borderId="18" fillId="13" fontId="24" numFmtId="0" xfId="0" applyAlignment="1" applyBorder="1" applyFill="1" applyFont="1">
      <alignment horizontal="center" vertical="center"/>
    </xf>
    <xf borderId="19" fillId="13" fontId="24" numFmtId="0" xfId="0" applyAlignment="1" applyBorder="1" applyFont="1">
      <alignment horizontal="center" vertical="center"/>
    </xf>
    <xf borderId="20" fillId="13" fontId="24" numFmtId="166" xfId="0" applyAlignment="1" applyBorder="1" applyFont="1" applyNumberFormat="1">
      <alignment horizontal="center" vertical="center"/>
    </xf>
    <xf borderId="19" fillId="13" fontId="24" numFmtId="166" xfId="0" applyAlignment="1" applyBorder="1" applyFont="1" applyNumberFormat="1">
      <alignment horizontal="center" vertical="center"/>
    </xf>
    <xf borderId="21" fillId="13" fontId="24" numFmtId="166" xfId="0" applyAlignment="1" applyBorder="1" applyFont="1" applyNumberFormat="1">
      <alignment horizontal="center" shrinkToFit="0" vertical="center" wrapText="1"/>
    </xf>
    <xf borderId="1" fillId="13" fontId="25" numFmtId="0" xfId="0" applyAlignment="1" applyBorder="1" applyFont="1">
      <alignment horizontal="center" vertical="center"/>
    </xf>
    <xf borderId="22" fillId="13" fontId="21" numFmtId="0" xfId="0" applyAlignment="1" applyBorder="1" applyFont="1">
      <alignment shrinkToFit="0" vertical="center" wrapText="1"/>
    </xf>
    <xf borderId="22" fillId="13" fontId="23" numFmtId="168" xfId="0" applyAlignment="1" applyBorder="1" applyFont="1" applyNumberFormat="1">
      <alignment horizontal="right" shrinkToFit="0" vertical="center" wrapText="1"/>
    </xf>
    <xf borderId="22" fillId="13" fontId="26" numFmtId="168" xfId="0" applyAlignment="1" applyBorder="1" applyFont="1" applyNumberFormat="1">
      <alignment horizontal="right" shrinkToFit="0" vertical="center" wrapText="1"/>
    </xf>
    <xf borderId="17" fillId="2" fontId="9" numFmtId="164" xfId="0" applyAlignment="1" applyBorder="1" applyFont="1" applyNumberFormat="1">
      <alignment horizontal="center"/>
    </xf>
    <xf borderId="22" fillId="13" fontId="23" numFmtId="168" xfId="0" applyAlignment="1" applyBorder="1" applyFont="1" applyNumberFormat="1">
      <alignment horizontal="right" vertical="center"/>
    </xf>
    <xf borderId="23" fillId="6" fontId="21" numFmtId="16" xfId="0" applyAlignment="1" applyBorder="1" applyFont="1" applyNumberFormat="1">
      <alignment horizontal="center" vertical="center"/>
    </xf>
    <xf borderId="13" fillId="2" fontId="1" numFmtId="0" xfId="0" applyBorder="1" applyFont="1"/>
    <xf borderId="23" fillId="6" fontId="21" numFmtId="0" xfId="0" applyAlignment="1" applyBorder="1" applyFont="1">
      <alignment horizontal="center" shrinkToFit="0" vertical="center" wrapText="1"/>
    </xf>
    <xf borderId="23" fillId="6" fontId="21" numFmtId="168" xfId="0" applyAlignment="1" applyBorder="1" applyFont="1" applyNumberFormat="1">
      <alignment horizontal="right" shrinkToFit="0" vertical="center" wrapText="1"/>
    </xf>
    <xf borderId="23" fillId="6" fontId="21" numFmtId="168" xfId="0" applyAlignment="1" applyBorder="1" applyFont="1" applyNumberFormat="1">
      <alignment horizontal="right" vertical="center"/>
    </xf>
    <xf borderId="24" fillId="0" fontId="21" numFmtId="16" xfId="0" applyAlignment="1" applyBorder="1" applyFont="1" applyNumberFormat="1">
      <alignment horizontal="center" vertical="center"/>
    </xf>
    <xf borderId="8" fillId="2" fontId="27" numFmtId="164" xfId="0" applyBorder="1" applyFont="1" applyNumberFormat="1"/>
    <xf borderId="24" fillId="0" fontId="22" numFmtId="0" xfId="0" applyAlignment="1" applyBorder="1" applyFont="1">
      <alignment horizontal="center" shrinkToFit="0" vertical="center" wrapText="1"/>
    </xf>
    <xf borderId="8" fillId="2" fontId="28" numFmtId="164" xfId="0" applyBorder="1" applyFont="1" applyNumberFormat="1"/>
    <xf borderId="17" fillId="6" fontId="1" numFmtId="165" xfId="0" applyAlignment="1" applyBorder="1" applyFont="1" applyNumberFormat="1">
      <alignment horizontal="center" vertical="center"/>
    </xf>
    <xf borderId="24" fillId="0" fontId="23" numFmtId="168" xfId="0" applyAlignment="1" applyBorder="1" applyFont="1" applyNumberFormat="1">
      <alignment horizontal="right" shrinkToFit="0" vertical="center" wrapText="1"/>
    </xf>
    <xf borderId="8" fillId="2" fontId="17" numFmtId="164" xfId="0" applyBorder="1" applyFont="1" applyNumberFormat="1"/>
    <xf borderId="17" fillId="6" fontId="9" numFmtId="164" xfId="0" applyAlignment="1" applyBorder="1" applyFont="1" applyNumberFormat="1">
      <alignment horizontal="center"/>
    </xf>
    <xf borderId="9" fillId="3" fontId="4" numFmtId="0" xfId="0" applyAlignment="1" applyBorder="1" applyFont="1">
      <alignment horizontal="center"/>
    </xf>
    <xf borderId="25" fillId="0" fontId="6" numFmtId="0" xfId="0" applyBorder="1" applyFont="1"/>
    <xf borderId="8" fillId="2" fontId="16" numFmtId="164" xfId="0" applyBorder="1" applyFont="1" applyNumberFormat="1"/>
    <xf borderId="26" fillId="0" fontId="29" numFmtId="0" xfId="0" applyAlignment="1" applyBorder="1" applyFont="1">
      <alignment horizontal="center" shrinkToFit="0" wrapText="1"/>
    </xf>
    <xf borderId="14" fillId="0" fontId="29" numFmtId="0" xfId="0" applyAlignment="1" applyBorder="1" applyFont="1">
      <alignment horizontal="center" shrinkToFit="0" vertical="center" wrapText="1"/>
    </xf>
    <xf borderId="27" fillId="7" fontId="21" numFmtId="16" xfId="0" applyAlignment="1" applyBorder="1" applyFont="1" applyNumberFormat="1">
      <alignment horizontal="center" vertical="center"/>
    </xf>
    <xf borderId="27" fillId="7" fontId="22" numFmtId="0" xfId="0" applyAlignment="1" applyBorder="1" applyFont="1">
      <alignment horizontal="center" shrinkToFit="0" vertical="center" wrapText="1"/>
    </xf>
    <xf borderId="8" fillId="14" fontId="7" numFmtId="165" xfId="0" applyAlignment="1" applyBorder="1" applyFill="1" applyFont="1" applyNumberFormat="1">
      <alignment horizontal="center" vertical="center"/>
    </xf>
    <xf borderId="28" fillId="7" fontId="23" numFmtId="168" xfId="0" applyAlignment="1" applyBorder="1" applyFont="1" applyNumberFormat="1">
      <alignment horizontal="right" shrinkToFit="0" vertical="center" wrapText="1"/>
    </xf>
    <xf borderId="8" fillId="14" fontId="7" numFmtId="165" xfId="0" applyAlignment="1" applyBorder="1" applyFont="1" applyNumberFormat="1">
      <alignment horizontal="center" vertical="top"/>
    </xf>
    <xf borderId="14" fillId="0" fontId="5" numFmtId="0" xfId="0" applyAlignment="1" applyBorder="1" applyFont="1">
      <alignment horizontal="center" shrinkToFit="0" wrapText="1"/>
    </xf>
    <xf borderId="22" fillId="7" fontId="26" numFmtId="168" xfId="0" applyAlignment="1" applyBorder="1" applyFont="1" applyNumberFormat="1">
      <alignment horizontal="right" shrinkToFit="0" vertical="center" wrapText="1"/>
    </xf>
    <xf borderId="8" fillId="14" fontId="3" numFmtId="0" xfId="0" applyAlignment="1" applyBorder="1" applyFont="1">
      <alignment horizontal="center" vertical="center"/>
    </xf>
    <xf borderId="23" fillId="7" fontId="21" numFmtId="168" xfId="0" applyAlignment="1" applyBorder="1" applyFont="1" applyNumberFormat="1">
      <alignment horizontal="right" shrinkToFit="0" vertical="center" wrapText="1"/>
    </xf>
    <xf borderId="17" fillId="15" fontId="30" numFmtId="0" xfId="0" applyAlignment="1" applyBorder="1" applyFill="1" applyFont="1">
      <alignment horizontal="center" shrinkToFit="0" vertical="center" wrapText="1"/>
    </xf>
    <xf borderId="0" fillId="0" fontId="22" numFmtId="0" xfId="0" applyAlignment="1" applyFont="1">
      <alignment horizontal="center" vertical="center"/>
    </xf>
    <xf borderId="0" fillId="0" fontId="26" numFmtId="0" xfId="0" applyAlignment="1" applyFont="1">
      <alignment vertical="center"/>
    </xf>
    <xf borderId="17" fillId="15" fontId="31" numFmtId="0" xfId="0" applyAlignment="1" applyBorder="1" applyFont="1">
      <alignment horizontal="center" vertical="center"/>
    </xf>
    <xf borderId="0" fillId="0" fontId="26" numFmtId="166" xfId="0" applyAlignment="1" applyFont="1" applyNumberFormat="1">
      <alignment horizontal="right" shrinkToFit="0" vertical="center" wrapText="1"/>
    </xf>
    <xf borderId="8" fillId="14" fontId="3" numFmtId="164" xfId="0" applyAlignment="1" applyBorder="1" applyFont="1" applyNumberFormat="1">
      <alignment horizontal="center" vertical="center"/>
    </xf>
    <xf borderId="0" fillId="0" fontId="23" numFmtId="166" xfId="0" applyAlignment="1" applyFont="1" applyNumberFormat="1">
      <alignment horizontal="right" vertical="center"/>
    </xf>
    <xf borderId="17" fillId="15" fontId="31" numFmtId="0" xfId="0" applyAlignment="1" applyBorder="1" applyFont="1">
      <alignment horizontal="center" shrinkToFit="0" vertical="center" wrapText="1"/>
    </xf>
    <xf borderId="17" fillId="15" fontId="5" numFmtId="0" xfId="0" applyAlignment="1" applyBorder="1" applyFont="1">
      <alignment horizontal="center" shrinkToFit="0" vertical="center" wrapText="1"/>
    </xf>
    <xf borderId="17" fillId="7" fontId="11" numFmtId="164" xfId="0" applyAlignment="1" applyBorder="1" applyFont="1" applyNumberFormat="1">
      <alignment horizontal="center" vertical="center"/>
    </xf>
    <xf borderId="8" fillId="12" fontId="30" numFmtId="165" xfId="0" applyAlignment="1" applyBorder="1" applyFont="1" applyNumberFormat="1">
      <alignment horizontal="center" shrinkToFit="0" vertical="center" wrapText="1"/>
    </xf>
    <xf borderId="17" fillId="12" fontId="14" numFmtId="0" xfId="0" applyAlignment="1" applyBorder="1" applyFont="1">
      <alignment horizontal="center" shrinkToFit="0" vertical="center" wrapText="1"/>
    </xf>
    <xf borderId="17" fillId="12" fontId="30" numFmtId="165" xfId="0" applyAlignment="1" applyBorder="1" applyFont="1" applyNumberFormat="1">
      <alignment horizontal="center" shrinkToFit="0" vertical="center" wrapText="1"/>
    </xf>
    <xf borderId="17" fillId="12" fontId="30" numFmtId="0" xfId="0" applyAlignment="1" applyBorder="1" applyFont="1">
      <alignment horizontal="center" shrinkToFit="0" vertical="center" wrapText="1"/>
    </xf>
    <xf borderId="17" fillId="12" fontId="30" numFmtId="167" xfId="0" applyAlignment="1" applyBorder="1" applyFont="1" applyNumberFormat="1">
      <alignment horizontal="center" shrinkToFit="0" vertical="center" wrapText="1"/>
    </xf>
    <xf borderId="17" fillId="12" fontId="1" numFmtId="0" xfId="0" applyAlignment="1" applyBorder="1" applyFont="1">
      <alignment shrinkToFit="0" vertical="center" wrapText="1"/>
    </xf>
    <xf borderId="8" fillId="12" fontId="1" numFmtId="164" xfId="0" applyAlignment="1" applyBorder="1" applyFont="1" applyNumberFormat="1">
      <alignment shrinkToFit="0" vertical="center" wrapText="1"/>
    </xf>
    <xf borderId="17" fillId="12" fontId="14" numFmtId="167" xfId="0" applyAlignment="1" applyBorder="1" applyFont="1" applyNumberFormat="1">
      <alignment horizontal="center" shrinkToFit="0" vertical="center" wrapText="1"/>
    </xf>
    <xf borderId="8" fillId="2" fontId="32" numFmtId="165" xfId="0" applyAlignment="1" applyBorder="1" applyFont="1" applyNumberFormat="1">
      <alignment horizontal="center" shrinkToFit="0" vertical="center" wrapText="1"/>
    </xf>
    <xf borderId="17" fillId="2" fontId="32" numFmtId="0" xfId="0" applyAlignment="1" applyBorder="1" applyFont="1">
      <alignment horizontal="center" shrinkToFit="0" vertical="center" wrapText="1"/>
    </xf>
    <xf borderId="17" fillId="2" fontId="32" numFmtId="165" xfId="0" applyAlignment="1" applyBorder="1" applyFont="1" applyNumberFormat="1">
      <alignment horizontal="center" shrinkToFit="0" vertical="center" wrapText="1"/>
    </xf>
    <xf borderId="17" fillId="2" fontId="30" numFmtId="167" xfId="0" applyAlignment="1" applyBorder="1" applyFont="1" applyNumberFormat="1">
      <alignment horizontal="center" shrinkToFit="0" vertical="center" wrapText="1"/>
    </xf>
    <xf borderId="8" fillId="2" fontId="1" numFmtId="164" xfId="0" applyAlignment="1" applyBorder="1" applyFont="1" applyNumberFormat="1">
      <alignment shrinkToFit="0" vertical="center" wrapText="1"/>
    </xf>
    <xf borderId="8" fillId="2" fontId="32" numFmtId="0" xfId="0" applyAlignment="1" applyBorder="1" applyFont="1">
      <alignment horizontal="center" shrinkToFit="0" vertical="center" wrapText="1"/>
    </xf>
    <xf borderId="8" fillId="2" fontId="32" numFmtId="167" xfId="0" applyAlignment="1" applyBorder="1" applyFont="1" applyNumberFormat="1">
      <alignment horizontal="center" shrinkToFit="0" vertical="center" wrapText="1"/>
    </xf>
    <xf borderId="8" fillId="7" fontId="28" numFmtId="164" xfId="0" applyBorder="1" applyFont="1" applyNumberFormat="1"/>
    <xf borderId="8" fillId="7" fontId="17" numFmtId="164" xfId="0" applyBorder="1" applyFont="1" applyNumberFormat="1"/>
    <xf borderId="17" fillId="2" fontId="14" numFmtId="0" xfId="0" applyAlignment="1" applyBorder="1" applyFont="1">
      <alignment horizontal="center" shrinkToFit="0" vertical="center" wrapText="1"/>
    </xf>
    <xf borderId="17" fillId="2" fontId="32" numFmtId="167" xfId="0" applyAlignment="1" applyBorder="1" applyFont="1" applyNumberFormat="1">
      <alignment horizontal="center" shrinkToFit="0" vertical="center" wrapText="1"/>
    </xf>
    <xf borderId="13" fillId="2" fontId="9" numFmtId="0" xfId="0" applyBorder="1" applyFont="1"/>
    <xf borderId="9" fillId="3" fontId="4" numFmtId="0" xfId="0" applyAlignment="1" applyBorder="1" applyFont="1">
      <alignment horizontal="left"/>
    </xf>
    <xf borderId="8" fillId="2" fontId="15" numFmtId="164" xfId="0" applyBorder="1" applyFont="1" applyNumberFormat="1"/>
    <xf borderId="29" fillId="0" fontId="29" numFmtId="0" xfId="0" applyAlignment="1" applyBorder="1" applyFont="1">
      <alignment horizontal="center" shrinkToFit="0" wrapText="1"/>
    </xf>
    <xf borderId="8" fillId="16" fontId="7" numFmtId="0" xfId="0" applyAlignment="1" applyBorder="1" applyFill="1" applyFont="1">
      <alignment horizontal="center" vertical="center"/>
    </xf>
    <xf borderId="30" fillId="0" fontId="29" numFmtId="0" xfId="0" applyAlignment="1" applyBorder="1" applyFont="1">
      <alignment horizontal="center" shrinkToFit="0" vertical="center" wrapText="1"/>
    </xf>
    <xf borderId="31" fillId="0" fontId="6" numFmtId="0" xfId="0" applyBorder="1" applyFont="1"/>
    <xf borderId="32" fillId="0" fontId="6" numFmtId="0" xfId="0" applyBorder="1" applyFont="1"/>
    <xf borderId="8" fillId="16" fontId="10" numFmtId="0" xfId="0" applyAlignment="1" applyBorder="1" applyFont="1">
      <alignment horizontal="center" shrinkToFit="0" vertical="center" wrapText="1"/>
    </xf>
    <xf borderId="14" fillId="0" fontId="5" numFmtId="17" xfId="0" applyAlignment="1" applyBorder="1" applyFont="1" applyNumberFormat="1">
      <alignment horizontal="center" shrinkToFit="0" wrapText="1"/>
    </xf>
    <xf borderId="8" fillId="15" fontId="30" numFmtId="0" xfId="0" applyAlignment="1" applyBorder="1" applyFont="1">
      <alignment horizontal="center" shrinkToFit="0" vertical="center" wrapText="1"/>
    </xf>
    <xf borderId="8" fillId="15" fontId="31" numFmtId="0" xfId="0" applyAlignment="1" applyBorder="1" applyFont="1">
      <alignment horizontal="center" vertical="center"/>
    </xf>
    <xf borderId="8" fillId="6" fontId="1" numFmtId="165" xfId="0" applyBorder="1" applyFont="1" applyNumberFormat="1"/>
    <xf borderId="17" fillId="2" fontId="33" numFmtId="167" xfId="0" applyAlignment="1" applyBorder="1" applyFont="1" applyNumberFormat="1">
      <alignment horizontal="center" shrinkToFit="0" vertical="center" wrapText="1"/>
    </xf>
    <xf borderId="8" fillId="15" fontId="31" numFmtId="0" xfId="0" applyAlignment="1" applyBorder="1" applyFont="1">
      <alignment horizontal="center" shrinkToFit="0" vertical="center" wrapText="1"/>
    </xf>
    <xf borderId="8" fillId="6" fontId="1" numFmtId="0" xfId="0" applyAlignment="1" applyBorder="1" applyFont="1">
      <alignment horizontal="center" vertical="center"/>
    </xf>
    <xf borderId="8" fillId="2" fontId="13" numFmtId="165" xfId="0" applyAlignment="1" applyBorder="1" applyFont="1" applyNumberFormat="1">
      <alignment horizontal="center" vertical="center"/>
    </xf>
    <xf borderId="13" fillId="2" fontId="13" numFmtId="0" xfId="0" applyBorder="1" applyFont="1"/>
    <xf borderId="8" fillId="15" fontId="5" numFmtId="0" xfId="0" applyAlignment="1" applyBorder="1" applyFont="1">
      <alignment horizontal="center" shrinkToFit="0" vertical="center" wrapText="1"/>
    </xf>
    <xf borderId="8" fillId="6" fontId="30" numFmtId="0" xfId="0" applyAlignment="1" applyBorder="1" applyFont="1">
      <alignment horizontal="center" shrinkToFit="0" vertical="center" wrapText="1"/>
    </xf>
    <xf borderId="33" fillId="15" fontId="5" numFmtId="0" xfId="0" applyAlignment="1" applyBorder="1" applyFont="1">
      <alignment horizontal="center" shrinkToFit="0" vertical="center" wrapText="1"/>
    </xf>
    <xf borderId="17" fillId="2" fontId="33" numFmtId="0" xfId="0" applyAlignment="1" applyBorder="1" applyFont="1">
      <alignment horizontal="center" shrinkToFit="0" vertical="center" wrapText="1"/>
    </xf>
    <xf borderId="8" fillId="12" fontId="30" numFmtId="0" xfId="0" applyAlignment="1" applyBorder="1" applyFont="1">
      <alignment horizontal="center" shrinkToFit="0" vertical="center" wrapText="1"/>
    </xf>
    <xf borderId="8" fillId="12" fontId="30" numFmtId="164" xfId="0" applyAlignment="1" applyBorder="1" applyFont="1" applyNumberFormat="1">
      <alignment horizontal="center" shrinkToFit="0" vertical="center" wrapText="1"/>
    </xf>
    <xf borderId="8" fillId="12" fontId="1" numFmtId="0" xfId="0" applyAlignment="1" applyBorder="1" applyFont="1">
      <alignment shrinkToFit="0" vertical="center" wrapText="1"/>
    </xf>
    <xf borderId="8" fillId="2" fontId="1" numFmtId="165" xfId="0" applyBorder="1" applyFont="1" applyNumberFormat="1"/>
    <xf borderId="8" fillId="12" fontId="30" numFmtId="167" xfId="0" applyAlignment="1" applyBorder="1" applyFont="1" applyNumberFormat="1">
      <alignment horizontal="center" shrinkToFit="0" vertical="center" wrapText="1"/>
    </xf>
    <xf borderId="8" fillId="12" fontId="30" numFmtId="0" xfId="0" applyAlignment="1" applyBorder="1" applyFont="1">
      <alignment horizontal="center" shrinkToFit="0" wrapText="1"/>
    </xf>
    <xf borderId="8" fillId="12" fontId="5" numFmtId="164" xfId="0" applyAlignment="1" applyBorder="1" applyFont="1" applyNumberFormat="1">
      <alignment shrinkToFit="0" vertical="center" wrapText="1"/>
    </xf>
    <xf borderId="8" fillId="12" fontId="32" numFmtId="167" xfId="0" applyAlignment="1" applyBorder="1" applyFont="1" applyNumberFormat="1">
      <alignment horizontal="right" shrinkToFit="0" vertical="center" wrapText="1"/>
    </xf>
    <xf borderId="8" fillId="2" fontId="13" numFmtId="0" xfId="0" applyBorder="1" applyFont="1"/>
    <xf borderId="13" fillId="2" fontId="13" numFmtId="0" xfId="0" applyAlignment="1" applyBorder="1" applyFont="1">
      <alignment horizontal="left" vertical="center"/>
    </xf>
    <xf borderId="8" fillId="9" fontId="30" numFmtId="165" xfId="0" applyAlignment="1" applyBorder="1" applyFont="1" applyNumberFormat="1">
      <alignment horizontal="center" shrinkToFit="0" vertical="center" wrapText="1"/>
    </xf>
    <xf borderId="17" fillId="9" fontId="14" numFmtId="0" xfId="0" applyAlignment="1" applyBorder="1" applyFont="1">
      <alignment horizontal="center" shrinkToFit="0" vertical="center" wrapText="1"/>
    </xf>
    <xf borderId="17" fillId="9" fontId="30" numFmtId="165" xfId="0" applyAlignment="1" applyBorder="1" applyFont="1" applyNumberFormat="1">
      <alignment horizontal="center" shrinkToFit="0" vertical="center" wrapText="1"/>
    </xf>
    <xf borderId="3" fillId="9" fontId="14" numFmtId="0" xfId="0" applyAlignment="1" applyBorder="1" applyFont="1">
      <alignment horizontal="center" shrinkToFit="0" vertical="center" wrapText="1"/>
    </xf>
    <xf borderId="17" fillId="9" fontId="30" numFmtId="167" xfId="0" applyAlignment="1" applyBorder="1" applyFont="1" applyNumberFormat="1">
      <alignment horizontal="center" shrinkToFit="0" vertical="center" wrapText="1"/>
    </xf>
    <xf borderId="8" fillId="9" fontId="9" numFmtId="164" xfId="0" applyAlignment="1" applyBorder="1" applyFont="1" applyNumberFormat="1">
      <alignment shrinkToFit="0" vertical="center" wrapText="1"/>
    </xf>
    <xf borderId="8" fillId="6" fontId="5" numFmtId="165" xfId="0" applyBorder="1" applyFont="1" applyNumberFormat="1"/>
    <xf borderId="8" fillId="12" fontId="30" numFmtId="167" xfId="0" applyAlignment="1" applyBorder="1" applyFont="1" applyNumberFormat="1">
      <alignment horizontal="right" shrinkToFit="0" vertical="center" wrapText="1"/>
    </xf>
    <xf borderId="34" fillId="7" fontId="34" numFmtId="0" xfId="0" applyAlignment="1" applyBorder="1" applyFont="1">
      <alignment horizontal="center" shrinkToFit="0" vertical="center" wrapText="1"/>
    </xf>
    <xf borderId="35" fillId="0" fontId="6" numFmtId="0" xfId="0" applyBorder="1" applyFont="1"/>
    <xf borderId="36" fillId="0" fontId="6" numFmtId="0" xfId="0" applyBorder="1" applyFont="1"/>
    <xf borderId="8" fillId="5" fontId="35" numFmtId="168" xfId="0" applyAlignment="1" applyBorder="1" applyFont="1" applyNumberFormat="1">
      <alignment horizontal="right" shrinkToFit="0" vertical="center" wrapText="1"/>
    </xf>
    <xf borderId="8" fillId="5" fontId="35" numFmtId="168" xfId="0" applyAlignment="1" applyBorder="1" applyFont="1" applyNumberFormat="1">
      <alignment horizontal="center" shrinkToFit="0" vertical="center" wrapText="1"/>
    </xf>
    <xf borderId="37" fillId="7" fontId="30" numFmtId="167" xfId="0" applyAlignment="1" applyBorder="1" applyFont="1" applyNumberFormat="1">
      <alignment horizontal="center" shrinkToFit="0" vertical="center" wrapText="1"/>
    </xf>
    <xf borderId="8" fillId="5" fontId="30" numFmtId="0" xfId="0" applyAlignment="1" applyBorder="1" applyFont="1">
      <alignment horizontal="center" shrinkToFit="0" vertical="center" wrapText="1"/>
    </xf>
    <xf borderId="8" fillId="5" fontId="30" numFmtId="164" xfId="0" applyAlignment="1" applyBorder="1" applyFont="1" applyNumberFormat="1">
      <alignment horizontal="right" shrinkToFit="0" vertical="center" wrapText="1"/>
    </xf>
    <xf borderId="8" fillId="2" fontId="32" numFmtId="0" xfId="0" applyAlignment="1" applyBorder="1" applyFont="1">
      <alignment horizontal="center" shrinkToFit="0" wrapText="1"/>
    </xf>
    <xf borderId="38" fillId="0" fontId="1" numFmtId="0" xfId="0" applyAlignment="1" applyBorder="1" applyFont="1">
      <alignment shrinkToFit="0" wrapText="1"/>
    </xf>
    <xf borderId="8" fillId="5" fontId="9" numFmtId="164" xfId="0" applyAlignment="1" applyBorder="1" applyFont="1" applyNumberFormat="1">
      <alignment horizontal="center" vertical="center"/>
    </xf>
    <xf borderId="8" fillId="2" fontId="32" numFmtId="167" xfId="0" applyAlignment="1" applyBorder="1" applyFont="1" applyNumberFormat="1">
      <alignment horizontal="right" shrinkToFit="0" vertical="center" wrapText="1"/>
    </xf>
    <xf borderId="13" fillId="2" fontId="36" numFmtId="0" xfId="0" applyBorder="1" applyFont="1"/>
    <xf borderId="8" fillId="2" fontId="30" numFmtId="0" xfId="0" applyAlignment="1" applyBorder="1" applyFont="1">
      <alignment horizontal="center" shrinkToFit="0" vertical="center" wrapText="1"/>
    </xf>
    <xf borderId="8" fillId="2" fontId="5" numFmtId="164" xfId="0" applyAlignment="1" applyBorder="1" applyFont="1" applyNumberFormat="1">
      <alignment shrinkToFit="0" vertical="center" wrapText="1"/>
    </xf>
    <xf borderId="8" fillId="17" fontId="32" numFmtId="165" xfId="0" applyAlignment="1" applyBorder="1" applyFill="1" applyFont="1" applyNumberFormat="1">
      <alignment horizontal="center" shrinkToFit="0" wrapText="1"/>
    </xf>
    <xf borderId="8" fillId="9" fontId="9" numFmtId="165" xfId="0" applyAlignment="1" applyBorder="1" applyFont="1" applyNumberFormat="1">
      <alignment horizontal="center" vertical="center"/>
    </xf>
    <xf borderId="8" fillId="17" fontId="32" numFmtId="165" xfId="0" applyAlignment="1" applyBorder="1" applyFont="1" applyNumberFormat="1">
      <alignment horizontal="center" shrinkToFit="0" vertical="center" wrapText="1"/>
    </xf>
    <xf borderId="13" fillId="9" fontId="9" numFmtId="0" xfId="0" applyBorder="1" applyFont="1"/>
    <xf borderId="8" fillId="17" fontId="32" numFmtId="0" xfId="0" applyAlignment="1" applyBorder="1" applyFont="1">
      <alignment horizontal="center" shrinkToFit="0" vertical="center" wrapText="1"/>
    </xf>
    <xf borderId="8" fillId="9" fontId="9" numFmtId="164" xfId="0" applyBorder="1" applyFont="1" applyNumberFormat="1"/>
    <xf borderId="8" fillId="17" fontId="32" numFmtId="0" xfId="0" applyAlignment="1" applyBorder="1" applyFont="1">
      <alignment horizontal="center" shrinkToFit="0" wrapText="1"/>
    </xf>
    <xf borderId="8" fillId="17" fontId="1" numFmtId="0" xfId="0" applyAlignment="1" applyBorder="1" applyFont="1">
      <alignment shrinkToFit="0" wrapText="1"/>
    </xf>
    <xf borderId="8" fillId="9" fontId="15" numFmtId="164" xfId="0" applyBorder="1" applyFont="1" applyNumberFormat="1"/>
    <xf borderId="8" fillId="17" fontId="32" numFmtId="167" xfId="0" applyAlignment="1" applyBorder="1" applyFont="1" applyNumberFormat="1">
      <alignment shrinkToFit="0" wrapText="1"/>
    </xf>
    <xf borderId="17" fillId="2" fontId="30" numFmtId="0" xfId="0" applyAlignment="1" applyBorder="1" applyFont="1">
      <alignment horizontal="center" shrinkToFit="0" vertical="center" wrapText="1"/>
    </xf>
    <xf borderId="8" fillId="7" fontId="15" numFmtId="164" xfId="0" applyBorder="1" applyFont="1" applyNumberFormat="1"/>
    <xf borderId="8" fillId="2" fontId="30" numFmtId="167" xfId="0" applyAlignment="1" applyBorder="1" applyFont="1" applyNumberFormat="1">
      <alignment horizontal="center" shrinkToFit="0" vertical="center" wrapText="1"/>
    </xf>
    <xf borderId="8" fillId="6" fontId="5" numFmtId="0" xfId="0" applyBorder="1" applyFont="1"/>
    <xf borderId="8" fillId="17" fontId="1" numFmtId="164" xfId="0" applyAlignment="1" applyBorder="1" applyFont="1" applyNumberFormat="1">
      <alignment shrinkToFit="0" wrapText="1"/>
    </xf>
    <xf borderId="8" fillId="6" fontId="32" numFmtId="165" xfId="0" applyAlignment="1" applyBorder="1" applyFont="1" applyNumberFormat="1">
      <alignment horizontal="center" shrinkToFit="0" vertical="center" wrapText="1"/>
    </xf>
    <xf borderId="17" fillId="6" fontId="33" numFmtId="0" xfId="0" applyAlignment="1" applyBorder="1" applyFont="1">
      <alignment horizontal="center" shrinkToFit="0" vertical="center" wrapText="1"/>
    </xf>
    <xf borderId="3" fillId="6" fontId="14" numFmtId="0" xfId="0" applyAlignment="1" applyBorder="1" applyFont="1">
      <alignment horizontal="center" shrinkToFit="0" vertical="center" wrapText="1"/>
    </xf>
    <xf borderId="8" fillId="6" fontId="33" numFmtId="167" xfId="0" applyAlignment="1" applyBorder="1" applyFont="1" applyNumberFormat="1">
      <alignment horizontal="center" shrinkToFit="0" vertical="center" wrapText="1"/>
    </xf>
    <xf borderId="8" fillId="6" fontId="9" numFmtId="164" xfId="0" applyAlignment="1" applyBorder="1" applyFont="1" applyNumberFormat="1">
      <alignment shrinkToFit="0" vertical="center" wrapText="1"/>
    </xf>
    <xf borderId="17" fillId="6" fontId="14" numFmtId="167" xfId="0" applyAlignment="1" applyBorder="1" applyFont="1" applyNumberFormat="1">
      <alignment horizontal="center" shrinkToFit="0" vertical="center" wrapText="1"/>
    </xf>
    <xf borderId="8" fillId="2" fontId="37" numFmtId="164" xfId="0" applyBorder="1" applyFont="1" applyNumberFormat="1"/>
    <xf borderId="37" fillId="7" fontId="30" numFmtId="167" xfId="0" applyAlignment="1" applyBorder="1" applyFont="1" applyNumberFormat="1">
      <alignment horizontal="right" shrinkToFit="0" vertical="center" wrapText="1"/>
    </xf>
    <xf borderId="8" fillId="6" fontId="30" numFmtId="165" xfId="0" applyAlignment="1" applyBorder="1" applyFont="1" applyNumberFormat="1">
      <alignment shrinkToFit="0" wrapText="1"/>
    </xf>
    <xf borderId="39" fillId="6" fontId="30" numFmtId="165" xfId="0" applyAlignment="1" applyBorder="1" applyFont="1" applyNumberFormat="1">
      <alignment shrinkToFit="0" wrapText="1"/>
    </xf>
    <xf borderId="3" fillId="6" fontId="30" numFmtId="0" xfId="0" applyAlignment="1" applyBorder="1" applyFont="1">
      <alignment horizontal="right" shrinkToFit="0" wrapText="1"/>
    </xf>
    <xf borderId="8" fillId="6" fontId="30" numFmtId="167" xfId="0" applyAlignment="1" applyBorder="1" applyFont="1" applyNumberFormat="1">
      <alignment shrinkToFit="0" wrapText="1"/>
    </xf>
    <xf borderId="34" fillId="7" fontId="34" numFmtId="0" xfId="0" applyAlignment="1" applyBorder="1" applyFont="1">
      <alignment horizontal="right" shrinkToFit="0" vertical="center" wrapText="1"/>
    </xf>
    <xf borderId="37" fillId="7" fontId="14" numFmtId="167" xfId="0" applyAlignment="1" applyBorder="1" applyFont="1" applyNumberFormat="1">
      <alignment horizontal="center" shrinkToFit="0" vertical="center" wrapText="1"/>
    </xf>
    <xf borderId="40" fillId="0" fontId="1" numFmtId="0" xfId="0" applyAlignment="1" applyBorder="1" applyFont="1">
      <alignment shrinkToFit="0" wrapText="1"/>
    </xf>
    <xf borderId="13" fillId="2" fontId="5" numFmtId="0" xfId="0" applyBorder="1" applyFont="1"/>
    <xf borderId="8" fillId="2" fontId="5" numFmtId="0" xfId="0" applyAlignment="1" applyBorder="1" applyFont="1">
      <alignment horizontal="left" vertical="center"/>
    </xf>
    <xf borderId="13" fillId="6" fontId="5" numFmtId="0" xfId="0" applyAlignment="1" applyBorder="1" applyFont="1">
      <alignment horizontal="left" vertical="center"/>
    </xf>
    <xf borderId="13" fillId="9" fontId="9" numFmtId="0" xfId="0" applyAlignment="1" applyBorder="1" applyFont="1">
      <alignment horizontal="left" vertical="center"/>
    </xf>
    <xf borderId="8" fillId="7" fontId="1" numFmtId="165" xfId="0" applyAlignment="1" applyBorder="1" applyFont="1" applyNumberFormat="1">
      <alignment horizontal="center" vertical="center"/>
    </xf>
    <xf borderId="8" fillId="7" fontId="5" numFmtId="0" xfId="0" applyAlignment="1" applyBorder="1" applyFont="1">
      <alignment horizontal="left" vertical="center"/>
    </xf>
    <xf borderId="8" fillId="7" fontId="5" numFmtId="0" xfId="0" applyAlignment="1" applyBorder="1" applyFont="1">
      <alignment horizontal="left" vertical="top"/>
    </xf>
    <xf borderId="8" fillId="2" fontId="9" numFmtId="0" xfId="0" applyAlignment="1" applyBorder="1" applyFont="1">
      <alignment horizontal="left" vertical="top"/>
    </xf>
    <xf borderId="8" fillId="2" fontId="9" numFmtId="164" xfId="0" applyAlignment="1" applyBorder="1" applyFont="1" applyNumberFormat="1">
      <alignment horizontal="center" vertical="center"/>
    </xf>
    <xf borderId="8" fillId="0" fontId="9" numFmtId="0" xfId="0" applyAlignment="1" applyBorder="1" applyFont="1">
      <alignment horizontal="left" vertical="top"/>
    </xf>
    <xf borderId="13" fillId="2" fontId="1" numFmtId="0" xfId="0" applyAlignment="1" applyBorder="1" applyFont="1">
      <alignment horizontal="left" vertical="center"/>
    </xf>
    <xf borderId="13" fillId="2" fontId="9" numFmtId="0" xfId="0" applyAlignment="1" applyBorder="1" applyFont="1">
      <alignment horizontal="left" vertical="center"/>
    </xf>
    <xf borderId="13" fillId="5" fontId="5" numFmtId="0" xfId="0" applyAlignment="1" applyBorder="1" applyFont="1">
      <alignment horizontal="left" vertical="center"/>
    </xf>
    <xf borderId="8" fillId="7" fontId="38" numFmtId="164" xfId="0" applyAlignment="1" applyBorder="1" applyFont="1" applyNumberFormat="1">
      <alignment horizontal="center"/>
    </xf>
    <xf borderId="8" fillId="7" fontId="7" numFmtId="164" xfId="0" applyBorder="1" applyFont="1" applyNumberFormat="1"/>
    <xf borderId="8" fillId="7" fontId="7" numFmtId="164" xfId="0" applyAlignment="1" applyBorder="1" applyFont="1" applyNumberFormat="1">
      <alignment horizontal="center"/>
    </xf>
    <xf borderId="8" fillId="2" fontId="13" numFmtId="0" xfId="0" applyAlignment="1" applyBorder="1" applyFont="1">
      <alignment horizontal="left" vertical="top"/>
    </xf>
    <xf borderId="8" fillId="2" fontId="13" numFmtId="164" xfId="0" applyAlignment="1" applyBorder="1" applyFont="1" applyNumberFormat="1">
      <alignment horizontal="center" vertical="center"/>
    </xf>
    <xf borderId="13" fillId="2" fontId="5" numFmtId="0" xfId="0" applyAlignment="1" applyBorder="1" applyFont="1">
      <alignment horizontal="left" vertical="center"/>
    </xf>
    <xf borderId="8" fillId="12" fontId="5" numFmtId="164" xfId="0" applyBorder="1" applyFont="1" applyNumberFormat="1"/>
    <xf borderId="8" fillId="18" fontId="9" numFmtId="165" xfId="0" applyAlignment="1" applyBorder="1" applyFill="1" applyFont="1" applyNumberFormat="1">
      <alignment horizontal="center" vertical="center"/>
    </xf>
    <xf borderId="8" fillId="18" fontId="5" numFmtId="0" xfId="0" applyBorder="1" applyFont="1"/>
    <xf borderId="8" fillId="18" fontId="5" numFmtId="167" xfId="0" applyBorder="1" applyFont="1" applyNumberFormat="1"/>
    <xf borderId="8" fillId="18" fontId="5" numFmtId="164" xfId="0" applyBorder="1" applyFont="1" applyNumberFormat="1"/>
    <xf borderId="39" fillId="18" fontId="5" numFmtId="164" xfId="0" applyBorder="1" applyFont="1" applyNumberFormat="1"/>
    <xf borderId="13" fillId="18" fontId="5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687050" cy="457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924925" cy="5334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391650" cy="5334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5743575" cy="5334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38100</xdr:rowOff>
    </xdr:from>
    <xdr:ext cx="8429625" cy="5238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610600" cy="5334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28575</xdr:rowOff>
    </xdr:from>
    <xdr:ext cx="9620250" cy="4953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582025" cy="7334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57"/>
    <col customWidth="1" min="2" max="2" width="63.71"/>
    <col customWidth="1" min="3" max="3" width="14.57"/>
    <col customWidth="1" min="4" max="4" width="13.43"/>
    <col customWidth="1" min="5" max="5" width="13.29"/>
    <col customWidth="1" min="6" max="6" width="16.0"/>
    <col customWidth="1" min="7" max="7" width="13.14"/>
    <col customWidth="1" min="8" max="8" width="14.71"/>
    <col customWidth="1" min="9" max="9" width="15.29"/>
    <col customWidth="1" min="10" max="10" width="17.14"/>
    <col customWidth="1" min="11" max="26" width="11.57"/>
  </cols>
  <sheetData>
    <row r="1" ht="39.0" customHeight="1">
      <c r="A1" s="1"/>
      <c r="B1" s="2"/>
      <c r="C1" s="3"/>
      <c r="D1" s="8"/>
      <c r="E1" s="11"/>
      <c r="F1" s="11"/>
      <c r="G1" s="11"/>
      <c r="H1" s="12"/>
      <c r="I1" s="14" t="s">
        <v>5</v>
      </c>
      <c r="J1" s="9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3.25" customHeight="1">
      <c r="A2" s="26" t="s">
        <v>16</v>
      </c>
      <c r="B2" s="9"/>
      <c r="C2" s="16"/>
      <c r="D2" s="16"/>
      <c r="E2" s="16" t="s">
        <v>18</v>
      </c>
      <c r="F2" s="16" t="s">
        <v>21</v>
      </c>
      <c r="G2" s="16" t="s">
        <v>22</v>
      </c>
      <c r="H2" s="29" t="s">
        <v>23</v>
      </c>
      <c r="I2" s="16" t="s">
        <v>25</v>
      </c>
      <c r="J2" s="32" t="s">
        <v>26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0" customHeight="1">
      <c r="A3" s="41" t="s">
        <v>33</v>
      </c>
      <c r="B3" s="13" t="s">
        <v>34</v>
      </c>
      <c r="C3" s="16" t="s">
        <v>8</v>
      </c>
      <c r="D3" s="16" t="s">
        <v>36</v>
      </c>
      <c r="E3" s="16" t="s">
        <v>37</v>
      </c>
      <c r="F3" s="45" t="s">
        <v>40</v>
      </c>
      <c r="G3" s="16" t="s">
        <v>42</v>
      </c>
      <c r="H3" s="16" t="s">
        <v>43</v>
      </c>
      <c r="I3" s="16" t="s">
        <v>44</v>
      </c>
      <c r="J3" s="4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9">
        <v>46203.0</v>
      </c>
      <c r="B4" s="21" t="s">
        <v>54</v>
      </c>
      <c r="C4" s="57">
        <v>0.0</v>
      </c>
      <c r="D4" s="58"/>
      <c r="E4" s="58"/>
      <c r="F4" s="58"/>
      <c r="G4" s="58"/>
      <c r="H4" s="58"/>
      <c r="I4" s="58"/>
      <c r="J4" s="63">
        <f>+C4</f>
        <v>0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66">
        <v>46205.0</v>
      </c>
      <c r="B5" s="67" t="s">
        <v>68</v>
      </c>
      <c r="C5" s="69">
        <f>3420000+200000</f>
        <v>3620000</v>
      </c>
      <c r="D5" s="69"/>
      <c r="E5" s="69"/>
      <c r="F5" s="69"/>
      <c r="G5" s="72"/>
      <c r="H5" s="74"/>
      <c r="I5" s="75"/>
      <c r="J5" s="40">
        <f t="shared" ref="J5:J110" si="1">+J4+C5-D5-E5-F5-G5-I5-H5</f>
        <v>3620000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66">
        <v>46205.0</v>
      </c>
      <c r="B6" s="67" t="s">
        <v>85</v>
      </c>
      <c r="C6" s="69">
        <v>819620.0</v>
      </c>
      <c r="D6" s="69"/>
      <c r="E6" s="69"/>
      <c r="F6" s="69"/>
      <c r="G6" s="72"/>
      <c r="H6" s="74"/>
      <c r="I6" s="75"/>
      <c r="J6" s="40">
        <f t="shared" si="1"/>
        <v>4439620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89">
        <v>46205.0</v>
      </c>
      <c r="B7" s="90" t="s">
        <v>95</v>
      </c>
      <c r="C7" s="91"/>
      <c r="D7" s="91"/>
      <c r="E7" s="91"/>
      <c r="F7" s="91"/>
      <c r="G7" s="92"/>
      <c r="H7" s="49">
        <v>635000.0</v>
      </c>
      <c r="I7" s="33"/>
      <c r="J7" s="40">
        <f t="shared" si="1"/>
        <v>3804620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89">
        <v>46205.0</v>
      </c>
      <c r="B8" s="90" t="s">
        <v>106</v>
      </c>
      <c r="C8" s="91"/>
      <c r="D8" s="91"/>
      <c r="E8" s="91"/>
      <c r="F8" s="91"/>
      <c r="G8" s="92"/>
      <c r="H8" s="49">
        <v>1050620.0</v>
      </c>
      <c r="I8" s="33"/>
      <c r="J8" s="40">
        <f t="shared" si="1"/>
        <v>2754000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94">
        <v>46205.0</v>
      </c>
      <c r="B9" s="51" t="s">
        <v>110</v>
      </c>
      <c r="C9" s="40"/>
      <c r="D9" s="40"/>
      <c r="E9" s="40"/>
      <c r="F9" s="40"/>
      <c r="G9" s="40"/>
      <c r="H9" s="40"/>
      <c r="I9" s="27">
        <v>1420000.0</v>
      </c>
      <c r="J9" s="40">
        <f t="shared" si="1"/>
        <v>1334000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6.5" customHeight="1">
      <c r="A10" s="96">
        <v>46205.0</v>
      </c>
      <c r="B10" s="97" t="s">
        <v>114</v>
      </c>
      <c r="C10" s="61"/>
      <c r="D10" s="61"/>
      <c r="E10" s="61"/>
      <c r="F10" s="61"/>
      <c r="G10" s="61"/>
      <c r="H10" s="61"/>
      <c r="I10" s="102">
        <v>48000.0</v>
      </c>
      <c r="J10" s="40">
        <f t="shared" si="1"/>
        <v>1286000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6.5" customHeight="1">
      <c r="A11" s="96">
        <v>46205.0</v>
      </c>
      <c r="B11" s="97" t="s">
        <v>117</v>
      </c>
      <c r="C11" s="61"/>
      <c r="D11" s="61"/>
      <c r="E11" s="61"/>
      <c r="F11" s="61"/>
      <c r="G11" s="61"/>
      <c r="H11" s="61"/>
      <c r="I11" s="102">
        <v>285000.0</v>
      </c>
      <c r="J11" s="40">
        <f t="shared" si="1"/>
        <v>1001000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6.5" customHeight="1">
      <c r="A12" s="96">
        <v>46205.0</v>
      </c>
      <c r="B12" s="103" t="s">
        <v>118</v>
      </c>
      <c r="C12" s="61"/>
      <c r="D12" s="61"/>
      <c r="E12" s="61"/>
      <c r="F12" s="61"/>
      <c r="G12" s="61"/>
      <c r="H12" s="61"/>
      <c r="I12" s="104">
        <v>140000.0</v>
      </c>
      <c r="J12" s="40">
        <f t="shared" si="1"/>
        <v>861000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6.5" customHeight="1">
      <c r="A13" s="96">
        <v>46205.0</v>
      </c>
      <c r="B13" s="103" t="s">
        <v>119</v>
      </c>
      <c r="C13" s="61"/>
      <c r="D13" s="61"/>
      <c r="E13" s="61"/>
      <c r="F13" s="61"/>
      <c r="G13" s="61"/>
      <c r="H13" s="61"/>
      <c r="I13" s="104">
        <f>92000+46000</f>
        <v>138000</v>
      </c>
      <c r="J13" s="40">
        <f t="shared" si="1"/>
        <v>723000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6.5" customHeight="1">
      <c r="A14" s="96">
        <v>46205.0</v>
      </c>
      <c r="B14" s="109" t="s">
        <v>122</v>
      </c>
      <c r="C14" s="61"/>
      <c r="D14" s="61"/>
      <c r="E14" s="61"/>
      <c r="F14" s="61"/>
      <c r="G14" s="61"/>
      <c r="H14" s="61"/>
      <c r="I14" s="104">
        <v>92000.0</v>
      </c>
      <c r="J14" s="40">
        <f t="shared" si="1"/>
        <v>631000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96">
        <v>46205.0</v>
      </c>
      <c r="B15" s="109" t="s">
        <v>124</v>
      </c>
      <c r="C15" s="27"/>
      <c r="D15" s="27"/>
      <c r="E15" s="27"/>
      <c r="F15" s="27"/>
      <c r="G15" s="27"/>
      <c r="H15" s="27"/>
      <c r="I15" s="104">
        <v>46000.0</v>
      </c>
      <c r="J15" s="40">
        <f t="shared" si="1"/>
        <v>585000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96">
        <v>46205.0</v>
      </c>
      <c r="B16" s="109" t="s">
        <v>127</v>
      </c>
      <c r="C16" s="27"/>
      <c r="D16" s="27"/>
      <c r="E16" s="27"/>
      <c r="F16" s="27"/>
      <c r="G16" s="27"/>
      <c r="H16" s="27"/>
      <c r="I16" s="104">
        <v>92000.0</v>
      </c>
      <c r="J16" s="40">
        <f t="shared" si="1"/>
        <v>493000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96">
        <v>46205.0</v>
      </c>
      <c r="B17" s="125" t="s">
        <v>133</v>
      </c>
      <c r="C17" s="27"/>
      <c r="D17" s="27"/>
      <c r="E17" s="27"/>
      <c r="F17" s="27"/>
      <c r="G17" s="27"/>
      <c r="H17" s="27"/>
      <c r="I17" s="104">
        <v>46000.0</v>
      </c>
      <c r="J17" s="40">
        <f t="shared" si="1"/>
        <v>447000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96">
        <v>46205.0</v>
      </c>
      <c r="B18" s="139" t="s">
        <v>140</v>
      </c>
      <c r="C18" s="27"/>
      <c r="D18" s="27"/>
      <c r="E18" s="40"/>
      <c r="F18" s="40">
        <v>4900.0</v>
      </c>
      <c r="G18" s="144"/>
      <c r="H18" s="146"/>
      <c r="I18" s="149"/>
      <c r="J18" s="40">
        <f t="shared" si="1"/>
        <v>442100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96">
        <v>46205.0</v>
      </c>
      <c r="B19" s="139" t="s">
        <v>150</v>
      </c>
      <c r="C19" s="27"/>
      <c r="D19" s="27"/>
      <c r="E19" s="153"/>
      <c r="F19" s="40">
        <v>250000.0</v>
      </c>
      <c r="G19" s="144"/>
      <c r="H19" s="146"/>
      <c r="I19" s="149"/>
      <c r="J19" s="40">
        <f t="shared" si="1"/>
        <v>192100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96">
        <v>46206.0</v>
      </c>
      <c r="B20" s="139" t="s">
        <v>162</v>
      </c>
      <c r="C20" s="27"/>
      <c r="D20" s="61"/>
      <c r="E20" s="40">
        <v>10000.0</v>
      </c>
      <c r="F20" s="40"/>
      <c r="G20" s="40"/>
      <c r="H20" s="146"/>
      <c r="I20" s="149"/>
      <c r="J20" s="40">
        <f t="shared" si="1"/>
        <v>182100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96">
        <v>46206.0</v>
      </c>
      <c r="B21" s="139" t="s">
        <v>167</v>
      </c>
      <c r="C21" s="27"/>
      <c r="D21" s="61"/>
      <c r="E21" s="40">
        <v>25000.0</v>
      </c>
      <c r="F21" s="40"/>
      <c r="G21" s="40"/>
      <c r="H21" s="146"/>
      <c r="I21" s="149"/>
      <c r="J21" s="40">
        <f t="shared" si="1"/>
        <v>157100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96">
        <v>46206.0</v>
      </c>
      <c r="B22" s="139" t="s">
        <v>171</v>
      </c>
      <c r="C22" s="27"/>
      <c r="D22" s="61"/>
      <c r="E22" s="40"/>
      <c r="F22" s="40"/>
      <c r="G22" s="40">
        <f>55600+50000</f>
        <v>105600</v>
      </c>
      <c r="H22" s="146"/>
      <c r="I22" s="149"/>
      <c r="J22" s="40">
        <f t="shared" si="1"/>
        <v>51500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96">
        <v>46209.0</v>
      </c>
      <c r="B23" s="139" t="s">
        <v>174</v>
      </c>
      <c r="C23" s="27"/>
      <c r="D23" s="61"/>
      <c r="E23" s="40">
        <f>4500+3000</f>
        <v>7500</v>
      </c>
      <c r="F23" s="40"/>
      <c r="G23" s="40"/>
      <c r="H23" s="146"/>
      <c r="I23" s="149"/>
      <c r="J23" s="40">
        <f t="shared" si="1"/>
        <v>44000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96">
        <v>46211.0</v>
      </c>
      <c r="B24" s="139" t="s">
        <v>176</v>
      </c>
      <c r="C24" s="27"/>
      <c r="D24" s="61"/>
      <c r="E24" s="40"/>
      <c r="F24" s="40">
        <v>4000.0</v>
      </c>
      <c r="G24" s="40"/>
      <c r="H24" s="146"/>
      <c r="I24" s="149"/>
      <c r="J24" s="40">
        <f t="shared" si="1"/>
        <v>40000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66">
        <v>46213.0</v>
      </c>
      <c r="B25" s="67" t="s">
        <v>179</v>
      </c>
      <c r="C25" s="69">
        <v>1577480.0</v>
      </c>
      <c r="D25" s="74"/>
      <c r="E25" s="72"/>
      <c r="F25" s="72"/>
      <c r="G25" s="72"/>
      <c r="H25" s="190"/>
      <c r="I25" s="191"/>
      <c r="J25" s="40">
        <f t="shared" si="1"/>
        <v>1617480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89">
        <v>46213.0</v>
      </c>
      <c r="B26" s="90" t="s">
        <v>95</v>
      </c>
      <c r="C26" s="91"/>
      <c r="D26" s="91"/>
      <c r="E26" s="91"/>
      <c r="F26" s="91"/>
      <c r="G26" s="92"/>
      <c r="H26" s="91">
        <v>268840.0</v>
      </c>
      <c r="I26" s="33"/>
      <c r="J26" s="40">
        <f t="shared" si="1"/>
        <v>1348640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94">
        <v>46213.0</v>
      </c>
      <c r="B27" s="194" t="s">
        <v>183</v>
      </c>
      <c r="C27" s="196"/>
      <c r="D27" s="40"/>
      <c r="E27" s="40"/>
      <c r="F27" s="40"/>
      <c r="G27" s="40"/>
      <c r="H27" s="144"/>
      <c r="I27" s="27">
        <v>522000.0</v>
      </c>
      <c r="J27" s="40">
        <f t="shared" si="1"/>
        <v>826640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210">
        <v>46213.0</v>
      </c>
      <c r="B28" s="211" t="s">
        <v>187</v>
      </c>
      <c r="C28" s="196"/>
      <c r="D28" s="40"/>
      <c r="E28" s="40"/>
      <c r="F28" s="40"/>
      <c r="G28" s="40"/>
      <c r="H28" s="144"/>
      <c r="I28" s="102">
        <v>92000.0</v>
      </c>
      <c r="J28" s="40">
        <f t="shared" si="1"/>
        <v>734640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210">
        <v>46213.0</v>
      </c>
      <c r="B29" s="211" t="s">
        <v>191</v>
      </c>
      <c r="C29" s="27"/>
      <c r="D29" s="61"/>
      <c r="E29" s="61"/>
      <c r="F29" s="61"/>
      <c r="G29" s="61"/>
      <c r="H29" s="146"/>
      <c r="I29" s="102">
        <v>123000.0</v>
      </c>
      <c r="J29" s="40">
        <f t="shared" si="1"/>
        <v>611640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210">
        <v>46213.0</v>
      </c>
      <c r="B30" s="224" t="s">
        <v>195</v>
      </c>
      <c r="C30" s="196"/>
      <c r="D30" s="40"/>
      <c r="E30" s="40"/>
      <c r="F30" s="40"/>
      <c r="G30" s="40"/>
      <c r="H30" s="27"/>
      <c r="I30" s="102">
        <v>334000.0</v>
      </c>
      <c r="J30" s="40">
        <f t="shared" si="1"/>
        <v>277640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210">
        <v>46213.0</v>
      </c>
      <c r="B31" s="225" t="s">
        <v>200</v>
      </c>
      <c r="C31" s="61"/>
      <c r="D31" s="61"/>
      <c r="E31" s="61"/>
      <c r="F31" s="61"/>
      <c r="G31" s="61"/>
      <c r="H31" s="144"/>
      <c r="I31" s="149">
        <v>138000.0</v>
      </c>
      <c r="J31" s="40">
        <f t="shared" si="1"/>
        <v>139640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37">
        <v>46213.0</v>
      </c>
      <c r="B32" s="139" t="s">
        <v>206</v>
      </c>
      <c r="C32" s="61"/>
      <c r="D32" s="61"/>
      <c r="E32" s="61"/>
      <c r="F32" s="40">
        <f>50000-5500+140</f>
        <v>44640</v>
      </c>
      <c r="G32" s="61"/>
      <c r="H32" s="144"/>
      <c r="I32" s="149"/>
      <c r="J32" s="40">
        <f t="shared" si="1"/>
        <v>95000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96">
        <v>46213.0</v>
      </c>
      <c r="B33" s="246" t="s">
        <v>207</v>
      </c>
      <c r="C33" s="61"/>
      <c r="D33" s="61"/>
      <c r="E33" s="40">
        <v>4000.0</v>
      </c>
      <c r="F33" s="61"/>
      <c r="G33" s="61"/>
      <c r="H33" s="144"/>
      <c r="I33" s="149"/>
      <c r="J33" s="40">
        <f t="shared" si="1"/>
        <v>91000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250">
        <v>46213.0</v>
      </c>
      <c r="B34" s="252" t="s">
        <v>211</v>
      </c>
      <c r="C34" s="254"/>
      <c r="D34" s="254"/>
      <c r="E34" s="254"/>
      <c r="F34" s="254">
        <v>91000.0</v>
      </c>
      <c r="G34" s="254"/>
      <c r="H34" s="257"/>
      <c r="I34" s="254"/>
      <c r="J34" s="40">
        <f t="shared" si="1"/>
        <v>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83">
        <v>46219.0</v>
      </c>
      <c r="B35" s="67" t="s">
        <v>215</v>
      </c>
      <c r="C35" s="75">
        <v>5681000.0</v>
      </c>
      <c r="D35" s="75"/>
      <c r="E35" s="75"/>
      <c r="F35" s="75"/>
      <c r="G35" s="75"/>
      <c r="H35" s="260"/>
      <c r="I35" s="75"/>
      <c r="J35" s="40">
        <f t="shared" si="1"/>
        <v>5681000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47">
        <v>46219.0</v>
      </c>
      <c r="B36" s="262" t="s">
        <v>95</v>
      </c>
      <c r="C36" s="49"/>
      <c r="D36" s="49"/>
      <c r="E36" s="49"/>
      <c r="F36" s="49"/>
      <c r="G36" s="49"/>
      <c r="H36" s="49">
        <v>591000.0</v>
      </c>
      <c r="I36" s="33"/>
      <c r="J36" s="40">
        <f t="shared" si="1"/>
        <v>5090000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94">
        <v>46219.0</v>
      </c>
      <c r="B37" s="194" t="s">
        <v>217</v>
      </c>
      <c r="C37" s="27"/>
      <c r="D37" s="27"/>
      <c r="E37" s="27"/>
      <c r="F37" s="27"/>
      <c r="G37" s="27"/>
      <c r="H37" s="61"/>
      <c r="I37" s="27">
        <v>284000.0</v>
      </c>
      <c r="J37" s="40">
        <f t="shared" si="1"/>
        <v>4806000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210">
        <v>46219.0</v>
      </c>
      <c r="B38" s="211" t="s">
        <v>219</v>
      </c>
      <c r="C38" s="27"/>
      <c r="D38" s="27"/>
      <c r="E38" s="27"/>
      <c r="F38" s="27"/>
      <c r="G38" s="27"/>
      <c r="H38" s="61"/>
      <c r="I38" s="270">
        <v>106000.0</v>
      </c>
      <c r="J38" s="40">
        <f t="shared" si="1"/>
        <v>4700000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210">
        <v>46219.0</v>
      </c>
      <c r="B39" s="211" t="s">
        <v>220</v>
      </c>
      <c r="C39" s="27"/>
      <c r="D39" s="27"/>
      <c r="E39" s="27"/>
      <c r="F39" s="27"/>
      <c r="G39" s="27"/>
      <c r="H39" s="61"/>
      <c r="I39" s="270">
        <v>392000.0</v>
      </c>
      <c r="J39" s="40">
        <f t="shared" si="1"/>
        <v>4308000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210">
        <v>46219.0</v>
      </c>
      <c r="B40" s="224" t="s">
        <v>221</v>
      </c>
      <c r="C40" s="27"/>
      <c r="D40" s="27"/>
      <c r="E40" s="27"/>
      <c r="F40" s="27"/>
      <c r="G40" s="27"/>
      <c r="H40" s="61"/>
      <c r="I40" s="270">
        <v>308000.0</v>
      </c>
      <c r="J40" s="40">
        <f t="shared" si="1"/>
        <v>4000000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210">
        <v>46219.0</v>
      </c>
      <c r="B41" s="225" t="s">
        <v>222</v>
      </c>
      <c r="C41" s="27"/>
      <c r="D41" s="27"/>
      <c r="E41" s="27"/>
      <c r="F41" s="27"/>
      <c r="G41" s="27"/>
      <c r="H41" s="61"/>
      <c r="I41" s="270">
        <v>184000.0</v>
      </c>
      <c r="J41" s="40">
        <f t="shared" si="1"/>
        <v>3816000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0" customHeight="1">
      <c r="A42" s="210">
        <v>46219.0</v>
      </c>
      <c r="B42" s="211" t="s">
        <v>223</v>
      </c>
      <c r="C42" s="27"/>
      <c r="D42" s="27"/>
      <c r="E42" s="27"/>
      <c r="F42" s="27"/>
      <c r="G42" s="27"/>
      <c r="H42" s="61"/>
      <c r="I42" s="270">
        <v>166000.0</v>
      </c>
      <c r="J42" s="40">
        <f t="shared" si="1"/>
        <v>3650000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0" customHeight="1">
      <c r="A43" s="94">
        <v>46219.0</v>
      </c>
      <c r="B43" s="194" t="s">
        <v>224</v>
      </c>
      <c r="C43" s="27"/>
      <c r="D43" s="27"/>
      <c r="E43" s="27"/>
      <c r="F43" s="27"/>
      <c r="G43" s="27"/>
      <c r="H43" s="61"/>
      <c r="I43" s="27">
        <v>800000.0</v>
      </c>
      <c r="J43" s="40">
        <f t="shared" si="1"/>
        <v>2850000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0" customHeight="1">
      <c r="A44" s="94">
        <v>46219.0</v>
      </c>
      <c r="B44" s="194" t="s">
        <v>226</v>
      </c>
      <c r="C44" s="27"/>
      <c r="D44" s="27"/>
      <c r="E44" s="27"/>
      <c r="F44" s="27"/>
      <c r="G44" s="27"/>
      <c r="H44" s="196"/>
      <c r="I44" s="27">
        <v>650000.0</v>
      </c>
      <c r="J44" s="40">
        <f t="shared" si="1"/>
        <v>2200000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94">
        <v>46219.0</v>
      </c>
      <c r="B45" s="194" t="s">
        <v>227</v>
      </c>
      <c r="C45" s="27"/>
      <c r="D45" s="27"/>
      <c r="E45" s="27"/>
      <c r="F45" s="27"/>
      <c r="G45" s="27"/>
      <c r="H45" s="196"/>
      <c r="I45" s="27">
        <v>300000.0</v>
      </c>
      <c r="J45" s="40">
        <f t="shared" si="1"/>
        <v>1900000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0" customHeight="1">
      <c r="A46" s="37">
        <v>46219.0</v>
      </c>
      <c r="B46" s="279" t="s">
        <v>228</v>
      </c>
      <c r="C46" s="40"/>
      <c r="D46" s="40"/>
      <c r="E46" s="40"/>
      <c r="F46" s="61">
        <v>400000.0</v>
      </c>
      <c r="G46" s="27"/>
      <c r="H46" s="196"/>
      <c r="I46" s="27"/>
      <c r="J46" s="40">
        <f t="shared" si="1"/>
        <v>1500000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0" customHeight="1">
      <c r="A47" s="37">
        <v>46219.0</v>
      </c>
      <c r="B47" s="139" t="s">
        <v>229</v>
      </c>
      <c r="C47" s="40"/>
      <c r="D47" s="40">
        <v>40000.0</v>
      </c>
      <c r="E47" s="27"/>
      <c r="F47" s="27"/>
      <c r="G47" s="27"/>
      <c r="H47" s="196"/>
      <c r="I47" s="27"/>
      <c r="J47" s="40">
        <f t="shared" si="1"/>
        <v>1460000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0" customHeight="1">
      <c r="A48" s="250">
        <v>46219.0</v>
      </c>
      <c r="B48" s="252" t="s">
        <v>211</v>
      </c>
      <c r="C48" s="254"/>
      <c r="D48" s="254"/>
      <c r="E48" s="254"/>
      <c r="F48" s="254">
        <v>250000.0</v>
      </c>
      <c r="G48" s="254"/>
      <c r="H48" s="257"/>
      <c r="I48" s="254"/>
      <c r="J48" s="80">
        <f t="shared" si="1"/>
        <v>1210000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85">
        <v>46219.0</v>
      </c>
      <c r="B49" s="280" t="s">
        <v>32</v>
      </c>
      <c r="C49" s="61"/>
      <c r="D49" s="43"/>
      <c r="E49" s="27"/>
      <c r="F49" s="43">
        <v>50000.0</v>
      </c>
      <c r="G49" s="27"/>
      <c r="H49" s="196"/>
      <c r="I49" s="27"/>
      <c r="J49" s="40">
        <f t="shared" si="1"/>
        <v>1160000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85">
        <v>46219.0</v>
      </c>
      <c r="B50" s="280" t="s">
        <v>38</v>
      </c>
      <c r="C50" s="61"/>
      <c r="D50" s="43"/>
      <c r="E50" s="27"/>
      <c r="F50" s="43">
        <v>200000.0</v>
      </c>
      <c r="G50" s="27"/>
      <c r="H50" s="196"/>
      <c r="I50" s="27"/>
      <c r="J50" s="40">
        <f t="shared" si="1"/>
        <v>960000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0" customHeight="1">
      <c r="A51" s="85">
        <v>46219.0</v>
      </c>
      <c r="B51" s="280" t="s">
        <v>46</v>
      </c>
      <c r="C51" s="61"/>
      <c r="D51" s="43"/>
      <c r="E51" s="27"/>
      <c r="F51" s="43">
        <v>200000.0</v>
      </c>
      <c r="G51" s="27"/>
      <c r="H51" s="196"/>
      <c r="I51" s="27"/>
      <c r="J51" s="40">
        <f t="shared" si="1"/>
        <v>760000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0" customHeight="1">
      <c r="A52" s="85">
        <v>46219.0</v>
      </c>
      <c r="B52" s="280" t="s">
        <v>49</v>
      </c>
      <c r="C52" s="61"/>
      <c r="D52" s="43"/>
      <c r="E52" s="27"/>
      <c r="F52" s="43">
        <v>150000.0</v>
      </c>
      <c r="G52" s="27"/>
      <c r="H52" s="196"/>
      <c r="I52" s="27"/>
      <c r="J52" s="40">
        <f t="shared" si="1"/>
        <v>610000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47">
        <v>46219.0</v>
      </c>
      <c r="B53" s="281" t="s">
        <v>230</v>
      </c>
      <c r="C53" s="92"/>
      <c r="D53" s="34"/>
      <c r="E53" s="33"/>
      <c r="F53" s="50"/>
      <c r="G53" s="33"/>
      <c r="H53" s="49">
        <v>620000.0</v>
      </c>
      <c r="I53" s="33"/>
      <c r="J53" s="40">
        <f t="shared" si="1"/>
        <v>-10000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0" customHeight="1">
      <c r="A54" s="250">
        <v>46225.0</v>
      </c>
      <c r="B54" s="282" t="s">
        <v>231</v>
      </c>
      <c r="C54" s="254">
        <v>24600.0</v>
      </c>
      <c r="D54" s="81"/>
      <c r="E54" s="254"/>
      <c r="F54" s="82"/>
      <c r="G54" s="254"/>
      <c r="H54" s="257"/>
      <c r="I54" s="254"/>
      <c r="J54" s="40">
        <f t="shared" si="1"/>
        <v>14600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37">
        <v>46225.0</v>
      </c>
      <c r="B55" s="139" t="s">
        <v>232</v>
      </c>
      <c r="C55" s="40"/>
      <c r="D55" s="40"/>
      <c r="E55" s="40">
        <v>4500.0</v>
      </c>
      <c r="F55" s="27"/>
      <c r="G55" s="27"/>
      <c r="H55" s="196"/>
      <c r="I55" s="27"/>
      <c r="J55" s="40">
        <f t="shared" si="1"/>
        <v>10100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0" customHeight="1">
      <c r="A56" s="283">
        <v>46226.0</v>
      </c>
      <c r="B56" s="284" t="s">
        <v>65</v>
      </c>
      <c r="C56" s="87">
        <v>620800.0</v>
      </c>
      <c r="D56" s="40"/>
      <c r="E56" s="40"/>
      <c r="F56" s="27"/>
      <c r="G56" s="27"/>
      <c r="H56" s="196"/>
      <c r="I56" s="27"/>
      <c r="J56" s="40">
        <f t="shared" si="1"/>
        <v>630900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0" customHeight="1">
      <c r="A57" s="283">
        <v>46226.0</v>
      </c>
      <c r="B57" s="284" t="s">
        <v>70</v>
      </c>
      <c r="C57" s="74">
        <v>869070.0</v>
      </c>
      <c r="D57" s="40"/>
      <c r="E57" s="40"/>
      <c r="F57" s="27"/>
      <c r="G57" s="27"/>
      <c r="H57" s="196"/>
      <c r="I57" s="27"/>
      <c r="J57" s="40">
        <f t="shared" si="1"/>
        <v>1499970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0" customHeight="1">
      <c r="A58" s="283">
        <v>46226.0</v>
      </c>
      <c r="B58" s="284" t="s">
        <v>74</v>
      </c>
      <c r="C58" s="74">
        <v>2500000.0</v>
      </c>
      <c r="D58" s="40"/>
      <c r="E58" s="40"/>
      <c r="F58" s="27"/>
      <c r="G58" s="27"/>
      <c r="H58" s="196"/>
      <c r="I58" s="27"/>
      <c r="J58" s="40">
        <f t="shared" si="1"/>
        <v>3999970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0" customHeight="1">
      <c r="A59" s="283">
        <v>46226.0</v>
      </c>
      <c r="B59" s="285" t="s">
        <v>77</v>
      </c>
      <c r="C59" s="74">
        <v>1619286.0</v>
      </c>
      <c r="D59" s="40"/>
      <c r="E59" s="40"/>
      <c r="F59" s="27"/>
      <c r="G59" s="27"/>
      <c r="H59" s="196"/>
      <c r="I59" s="27"/>
      <c r="J59" s="40">
        <f t="shared" si="1"/>
        <v>5619256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0" customHeight="1">
      <c r="A60" s="283">
        <v>46226.0</v>
      </c>
      <c r="B60" s="284" t="s">
        <v>82</v>
      </c>
      <c r="C60" s="74">
        <v>5500000.0</v>
      </c>
      <c r="D60" s="40"/>
      <c r="E60" s="40"/>
      <c r="F60" s="27"/>
      <c r="G60" s="27"/>
      <c r="H60" s="196"/>
      <c r="I60" s="27"/>
      <c r="J60" s="40">
        <f t="shared" si="1"/>
        <v>11119256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0" customHeight="1">
      <c r="A61" s="47">
        <v>46226.0</v>
      </c>
      <c r="B61" s="262" t="s">
        <v>95</v>
      </c>
      <c r="C61" s="49"/>
      <c r="D61" s="49"/>
      <c r="E61" s="49"/>
      <c r="F61" s="49"/>
      <c r="G61" s="49"/>
      <c r="H61" s="49">
        <v>314000.0</v>
      </c>
      <c r="I61" s="33"/>
      <c r="J61" s="40">
        <f t="shared" si="1"/>
        <v>10805256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0" customHeight="1">
      <c r="A62" s="94">
        <v>46226.0</v>
      </c>
      <c r="B62" s="194" t="s">
        <v>233</v>
      </c>
      <c r="C62" s="61"/>
      <c r="D62" s="40"/>
      <c r="E62" s="40"/>
      <c r="F62" s="27"/>
      <c r="G62" s="27"/>
      <c r="H62" s="196"/>
      <c r="I62" s="27">
        <v>1569400.0</v>
      </c>
      <c r="J62" s="40">
        <f t="shared" si="1"/>
        <v>9235856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0" customHeight="1">
      <c r="A63" s="94">
        <v>46226.0</v>
      </c>
      <c r="B63" s="194" t="s">
        <v>234</v>
      </c>
      <c r="C63" s="61"/>
      <c r="D63" s="40"/>
      <c r="E63" s="40"/>
      <c r="F63" s="27"/>
      <c r="G63" s="27"/>
      <c r="H63" s="196"/>
      <c r="I63" s="27">
        <v>1380000.0</v>
      </c>
      <c r="J63" s="40">
        <f t="shared" si="1"/>
        <v>7855856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0" customHeight="1">
      <c r="A64" s="210">
        <v>46226.0</v>
      </c>
      <c r="B64" s="211" t="s">
        <v>235</v>
      </c>
      <c r="C64" s="61"/>
      <c r="D64" s="40"/>
      <c r="E64" s="40"/>
      <c r="F64" s="27"/>
      <c r="G64" s="27"/>
      <c r="H64" s="196"/>
      <c r="I64" s="102">
        <v>278400.0</v>
      </c>
      <c r="J64" s="40">
        <f t="shared" si="1"/>
        <v>7577456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0" customHeight="1">
      <c r="A65" s="210">
        <v>46226.0</v>
      </c>
      <c r="B65" s="211" t="s">
        <v>236</v>
      </c>
      <c r="C65" s="61"/>
      <c r="D65" s="40"/>
      <c r="E65" s="40"/>
      <c r="F65" s="27"/>
      <c r="G65" s="27"/>
      <c r="H65" s="196"/>
      <c r="I65" s="102">
        <v>144000.0</v>
      </c>
      <c r="J65" s="40">
        <f t="shared" si="1"/>
        <v>7433456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0" customHeight="1">
      <c r="A66" s="210">
        <v>46226.0</v>
      </c>
      <c r="B66" s="211" t="s">
        <v>237</v>
      </c>
      <c r="C66" s="61"/>
      <c r="D66" s="40"/>
      <c r="E66" s="40"/>
      <c r="F66" s="27"/>
      <c r="G66" s="27"/>
      <c r="H66" s="196"/>
      <c r="I66" s="102">
        <f>254000+150000+96</f>
        <v>404096</v>
      </c>
      <c r="J66" s="40">
        <f t="shared" si="1"/>
        <v>7029360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0" customHeight="1">
      <c r="A67" s="210">
        <v>46226.0</v>
      </c>
      <c r="B67" s="224" t="s">
        <v>238</v>
      </c>
      <c r="C67" s="61"/>
      <c r="D67" s="40"/>
      <c r="E67" s="40"/>
      <c r="F67" s="27"/>
      <c r="G67" s="27"/>
      <c r="H67" s="196"/>
      <c r="I67" s="102">
        <v>426000.0</v>
      </c>
      <c r="J67" s="40">
        <f t="shared" si="1"/>
        <v>6603360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0" customHeight="1">
      <c r="A68" s="210">
        <v>46226.0</v>
      </c>
      <c r="B68" s="225" t="s">
        <v>239</v>
      </c>
      <c r="C68" s="102"/>
      <c r="D68" s="153"/>
      <c r="E68" s="153"/>
      <c r="F68" s="102"/>
      <c r="G68" s="102"/>
      <c r="H68" s="153"/>
      <c r="I68" s="102">
        <v>230000.0</v>
      </c>
      <c r="J68" s="40">
        <f t="shared" si="1"/>
        <v>6373360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0" customHeight="1">
      <c r="A69" s="210">
        <v>46226.0</v>
      </c>
      <c r="B69" s="225" t="s">
        <v>240</v>
      </c>
      <c r="C69" s="102"/>
      <c r="D69" s="153"/>
      <c r="E69" s="153"/>
      <c r="F69" s="102"/>
      <c r="G69" s="102"/>
      <c r="H69" s="153"/>
      <c r="I69" s="102">
        <v>598000.0</v>
      </c>
      <c r="J69" s="40">
        <f t="shared" si="1"/>
        <v>5775360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0" customHeight="1">
      <c r="A70" s="94">
        <v>46226.0</v>
      </c>
      <c r="B70" s="286" t="s">
        <v>241</v>
      </c>
      <c r="C70" s="287"/>
      <c r="D70" s="40"/>
      <c r="E70" s="40"/>
      <c r="F70" s="27"/>
      <c r="G70" s="27"/>
      <c r="H70" s="196"/>
      <c r="I70" s="287">
        <v>400000.0</v>
      </c>
      <c r="J70" s="40">
        <f t="shared" si="1"/>
        <v>5375360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0" customHeight="1">
      <c r="A71" s="94">
        <v>46226.0</v>
      </c>
      <c r="B71" s="286" t="s">
        <v>242</v>
      </c>
      <c r="C71" s="287"/>
      <c r="D71" s="40"/>
      <c r="E71" s="40"/>
      <c r="F71" s="27"/>
      <c r="G71" s="27"/>
      <c r="H71" s="196"/>
      <c r="I71" s="287">
        <v>300000.0</v>
      </c>
      <c r="J71" s="40">
        <f t="shared" si="1"/>
        <v>5075360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0" customHeight="1">
      <c r="A72" s="94">
        <v>46226.0</v>
      </c>
      <c r="B72" s="286" t="s">
        <v>243</v>
      </c>
      <c r="C72" s="287"/>
      <c r="D72" s="40"/>
      <c r="E72" s="40"/>
      <c r="F72" s="27"/>
      <c r="G72" s="27"/>
      <c r="H72" s="196"/>
      <c r="I72" s="287">
        <v>100000.0</v>
      </c>
      <c r="J72" s="40">
        <f t="shared" si="1"/>
        <v>4975360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0" customHeight="1">
      <c r="A73" s="94">
        <v>46226.0</v>
      </c>
      <c r="B73" s="286" t="s">
        <v>244</v>
      </c>
      <c r="C73" s="287"/>
      <c r="D73" s="40"/>
      <c r="E73" s="40"/>
      <c r="F73" s="27"/>
      <c r="G73" s="27"/>
      <c r="H73" s="196"/>
      <c r="I73" s="287">
        <v>300000.0</v>
      </c>
      <c r="J73" s="40">
        <f t="shared" si="1"/>
        <v>4675360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0" customHeight="1">
      <c r="A74" s="94">
        <v>46226.0</v>
      </c>
      <c r="B74" s="288" t="s">
        <v>245</v>
      </c>
      <c r="C74" s="287"/>
      <c r="D74" s="40"/>
      <c r="E74" s="40"/>
      <c r="F74" s="27"/>
      <c r="G74" s="27"/>
      <c r="H74" s="196"/>
      <c r="I74" s="287">
        <v>200000.0</v>
      </c>
      <c r="J74" s="40">
        <f t="shared" si="1"/>
        <v>4475360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0" customHeight="1">
      <c r="A75" s="94">
        <v>46226.0</v>
      </c>
      <c r="B75" s="286" t="s">
        <v>246</v>
      </c>
      <c r="C75" s="287"/>
      <c r="D75" s="40"/>
      <c r="E75" s="40"/>
      <c r="F75" s="27"/>
      <c r="G75" s="27"/>
      <c r="H75" s="196"/>
      <c r="I75" s="287">
        <v>200000.0</v>
      </c>
      <c r="J75" s="40">
        <f t="shared" si="1"/>
        <v>4275360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0" customHeight="1">
      <c r="A76" s="94">
        <v>46226.0</v>
      </c>
      <c r="B76" s="286" t="s">
        <v>247</v>
      </c>
      <c r="C76" s="287"/>
      <c r="D76" s="40"/>
      <c r="E76" s="40"/>
      <c r="F76" s="27"/>
      <c r="G76" s="27"/>
      <c r="H76" s="196"/>
      <c r="I76" s="287">
        <v>400000.0</v>
      </c>
      <c r="J76" s="40">
        <f t="shared" si="1"/>
        <v>3875360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0" customHeight="1">
      <c r="A77" s="94">
        <v>46226.0</v>
      </c>
      <c r="B77" s="288" t="s">
        <v>248</v>
      </c>
      <c r="C77" s="287"/>
      <c r="D77" s="40"/>
      <c r="E77" s="40"/>
      <c r="F77" s="27"/>
      <c r="G77" s="27"/>
      <c r="H77" s="196"/>
      <c r="I77" s="287">
        <v>300000.0</v>
      </c>
      <c r="J77" s="40">
        <f t="shared" si="1"/>
        <v>3575360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0" customHeight="1">
      <c r="A78" s="94">
        <v>46226.0</v>
      </c>
      <c r="B78" s="288" t="s">
        <v>249</v>
      </c>
      <c r="C78" s="287"/>
      <c r="D78" s="40"/>
      <c r="E78" s="40"/>
      <c r="F78" s="27"/>
      <c r="G78" s="27"/>
      <c r="H78" s="196"/>
      <c r="I78" s="287">
        <v>300000.0</v>
      </c>
      <c r="J78" s="40">
        <f t="shared" si="1"/>
        <v>3275360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0" customHeight="1">
      <c r="A79" s="94">
        <v>46226.0</v>
      </c>
      <c r="B79" s="288" t="s">
        <v>250</v>
      </c>
      <c r="C79" s="287"/>
      <c r="D79" s="40"/>
      <c r="E79" s="40"/>
      <c r="F79" s="27"/>
      <c r="G79" s="27"/>
      <c r="H79" s="196"/>
      <c r="I79" s="287">
        <v>400000.0</v>
      </c>
      <c r="J79" s="40">
        <f t="shared" si="1"/>
        <v>2875360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0" customHeight="1">
      <c r="A80" s="94">
        <v>46226.0</v>
      </c>
      <c r="B80" s="288" t="s">
        <v>251</v>
      </c>
      <c r="C80" s="287"/>
      <c r="D80" s="40"/>
      <c r="E80" s="40"/>
      <c r="F80" s="27"/>
      <c r="G80" s="27"/>
      <c r="H80" s="196"/>
      <c r="I80" s="287">
        <v>300000.0</v>
      </c>
      <c r="J80" s="40">
        <f t="shared" si="1"/>
        <v>2575360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0" customHeight="1">
      <c r="A81" s="94">
        <v>46226.0</v>
      </c>
      <c r="B81" s="288" t="s">
        <v>252</v>
      </c>
      <c r="C81" s="287"/>
      <c r="D81" s="40"/>
      <c r="E81" s="40"/>
      <c r="F81" s="27"/>
      <c r="G81" s="27"/>
      <c r="H81" s="196"/>
      <c r="I81" s="287">
        <v>300000.0</v>
      </c>
      <c r="J81" s="40">
        <f t="shared" si="1"/>
        <v>2275360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0" customHeight="1">
      <c r="A82" s="94">
        <v>46226.0</v>
      </c>
      <c r="B82" s="288" t="s">
        <v>253</v>
      </c>
      <c r="C82" s="287"/>
      <c r="D82" s="40"/>
      <c r="E82" s="40"/>
      <c r="F82" s="27"/>
      <c r="G82" s="27"/>
      <c r="H82" s="196"/>
      <c r="I82" s="287">
        <v>100000.0</v>
      </c>
      <c r="J82" s="40">
        <f t="shared" si="1"/>
        <v>2175360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0" customHeight="1">
      <c r="A83" s="94">
        <v>46226.0</v>
      </c>
      <c r="B83" s="288" t="s">
        <v>254</v>
      </c>
      <c r="C83" s="287"/>
      <c r="D83" s="40"/>
      <c r="E83" s="40"/>
      <c r="F83" s="27"/>
      <c r="G83" s="27"/>
      <c r="H83" s="196"/>
      <c r="I83" s="287">
        <v>100000.0</v>
      </c>
      <c r="J83" s="40">
        <f t="shared" si="1"/>
        <v>2075360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0" customHeight="1">
      <c r="A84" s="94">
        <v>46226.0</v>
      </c>
      <c r="B84" s="288" t="s">
        <v>255</v>
      </c>
      <c r="C84" s="287"/>
      <c r="D84" s="40"/>
      <c r="E84" s="40"/>
      <c r="F84" s="27"/>
      <c r="G84" s="27"/>
      <c r="H84" s="196"/>
      <c r="I84" s="287">
        <v>100000.0</v>
      </c>
      <c r="J84" s="40">
        <f t="shared" si="1"/>
        <v>1975360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0" customHeight="1">
      <c r="A85" s="94">
        <v>46226.0</v>
      </c>
      <c r="B85" s="286" t="s">
        <v>256</v>
      </c>
      <c r="C85" s="287"/>
      <c r="D85" s="40"/>
      <c r="E85" s="40"/>
      <c r="F85" s="27"/>
      <c r="G85" s="27"/>
      <c r="H85" s="196"/>
      <c r="I85" s="287">
        <v>500000.0</v>
      </c>
      <c r="J85" s="40">
        <f t="shared" si="1"/>
        <v>1475360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0" customHeight="1">
      <c r="A86" s="37">
        <v>46226.0</v>
      </c>
      <c r="B86" s="289" t="s">
        <v>257</v>
      </c>
      <c r="C86" s="61"/>
      <c r="D86" s="40">
        <v>30000.0</v>
      </c>
      <c r="E86" s="40"/>
      <c r="F86" s="27"/>
      <c r="G86" s="27"/>
      <c r="H86" s="196"/>
      <c r="I86" s="27"/>
      <c r="J86" s="40">
        <f t="shared" si="1"/>
        <v>1445360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0" customHeight="1">
      <c r="A87" s="47">
        <v>46227.0</v>
      </c>
      <c r="B87" s="281" t="s">
        <v>258</v>
      </c>
      <c r="C87" s="49"/>
      <c r="D87" s="49"/>
      <c r="E87" s="49"/>
      <c r="F87" s="49"/>
      <c r="G87" s="49"/>
      <c r="H87" s="49">
        <v>354000.0</v>
      </c>
      <c r="I87" s="49"/>
      <c r="J87" s="40">
        <f t="shared" si="1"/>
        <v>1091360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0" customHeight="1">
      <c r="A88" s="37">
        <v>46227.0</v>
      </c>
      <c r="B88" s="289" t="s">
        <v>259</v>
      </c>
      <c r="C88" s="40"/>
      <c r="D88" s="40"/>
      <c r="E88" s="40"/>
      <c r="F88" s="40">
        <v>209500.0</v>
      </c>
      <c r="G88" s="27"/>
      <c r="H88" s="196"/>
      <c r="I88" s="27"/>
      <c r="J88" s="40">
        <f t="shared" si="1"/>
        <v>881860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0" customHeight="1">
      <c r="A89" s="37">
        <v>46227.0</v>
      </c>
      <c r="B89" s="289" t="s">
        <v>260</v>
      </c>
      <c r="C89" s="40"/>
      <c r="D89" s="40"/>
      <c r="E89" s="40"/>
      <c r="F89" s="40"/>
      <c r="G89" s="40">
        <v>51600.0</v>
      </c>
      <c r="H89" s="196"/>
      <c r="I89" s="27"/>
      <c r="J89" s="40">
        <f t="shared" si="1"/>
        <v>830260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0" customHeight="1">
      <c r="A90" s="37">
        <v>46227.0</v>
      </c>
      <c r="B90" s="289" t="s">
        <v>261</v>
      </c>
      <c r="C90" s="40"/>
      <c r="D90" s="40"/>
      <c r="E90" s="40">
        <v>25000.0</v>
      </c>
      <c r="F90" s="40"/>
      <c r="G90" s="27"/>
      <c r="H90" s="196"/>
      <c r="I90" s="27"/>
      <c r="J90" s="40">
        <f t="shared" si="1"/>
        <v>805260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0" customHeight="1">
      <c r="A91" s="94">
        <v>46227.0</v>
      </c>
      <c r="B91" s="290" t="s">
        <v>262</v>
      </c>
      <c r="C91" s="61"/>
      <c r="D91" s="40"/>
      <c r="E91" s="40"/>
      <c r="F91" s="27"/>
      <c r="G91" s="27"/>
      <c r="H91" s="196"/>
      <c r="I91" s="27">
        <v>408200.0</v>
      </c>
      <c r="J91" s="40">
        <f t="shared" si="1"/>
        <v>397060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0" customHeight="1">
      <c r="A92" s="19">
        <v>46227.0</v>
      </c>
      <c r="B92" s="291" t="s">
        <v>263</v>
      </c>
      <c r="C92" s="63">
        <v>67400.0</v>
      </c>
      <c r="D92" s="40"/>
      <c r="E92" s="40"/>
      <c r="F92" s="27"/>
      <c r="G92" s="27"/>
      <c r="H92" s="196"/>
      <c r="I92" s="27"/>
      <c r="J92" s="40">
        <f t="shared" si="1"/>
        <v>464460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0" customHeight="1">
      <c r="A93" s="47">
        <v>46227.0</v>
      </c>
      <c r="B93" s="281" t="s">
        <v>230</v>
      </c>
      <c r="C93" s="92"/>
      <c r="D93" s="34"/>
      <c r="E93" s="33"/>
      <c r="F93" s="50"/>
      <c r="G93" s="33"/>
      <c r="H93" s="49">
        <v>378460.0</v>
      </c>
      <c r="I93" s="33"/>
      <c r="J93" s="40">
        <f t="shared" si="1"/>
        <v>86000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0" customHeight="1">
      <c r="A94" s="83">
        <v>46227.0</v>
      </c>
      <c r="B94" s="284" t="s">
        <v>264</v>
      </c>
      <c r="C94" s="74">
        <f>1550000+1300000</f>
        <v>2850000</v>
      </c>
      <c r="D94" s="292"/>
      <c r="E94" s="293"/>
      <c r="F94" s="294"/>
      <c r="G94" s="293"/>
      <c r="H94" s="293"/>
      <c r="I94" s="293"/>
      <c r="J94" s="40">
        <f t="shared" si="1"/>
        <v>2936000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0" customHeight="1">
      <c r="A95" s="210">
        <v>46227.0</v>
      </c>
      <c r="B95" s="295" t="s">
        <v>79</v>
      </c>
      <c r="C95" s="24"/>
      <c r="D95" s="42"/>
      <c r="E95" s="61"/>
      <c r="F95" s="43"/>
      <c r="G95" s="61"/>
      <c r="H95" s="61"/>
      <c r="I95" s="296">
        <v>300000.0</v>
      </c>
      <c r="J95" s="40">
        <f t="shared" si="1"/>
        <v>2636000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0" customHeight="1">
      <c r="A96" s="210">
        <v>46227.0</v>
      </c>
      <c r="B96" s="295" t="s">
        <v>80</v>
      </c>
      <c r="C96" s="24"/>
      <c r="D96" s="42"/>
      <c r="E96" s="61"/>
      <c r="F96" s="43"/>
      <c r="G96" s="61"/>
      <c r="H96" s="61"/>
      <c r="I96" s="296">
        <v>300000.0</v>
      </c>
      <c r="J96" s="40">
        <f t="shared" si="1"/>
        <v>2336000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0" customHeight="1">
      <c r="A97" s="210">
        <v>46227.0</v>
      </c>
      <c r="B97" s="295" t="s">
        <v>81</v>
      </c>
      <c r="C97" s="24"/>
      <c r="D97" s="42"/>
      <c r="E97" s="61"/>
      <c r="F97" s="43"/>
      <c r="G97" s="61"/>
      <c r="H97" s="61"/>
      <c r="I97" s="296">
        <v>250000.0</v>
      </c>
      <c r="J97" s="40">
        <f t="shared" si="1"/>
        <v>2086000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0" customHeight="1">
      <c r="A98" s="210">
        <v>46227.0</v>
      </c>
      <c r="B98" s="295" t="s">
        <v>84</v>
      </c>
      <c r="C98" s="24"/>
      <c r="D98" s="42"/>
      <c r="E98" s="61"/>
      <c r="F98" s="43"/>
      <c r="G98" s="61"/>
      <c r="H98" s="61"/>
      <c r="I98" s="296">
        <v>250000.0</v>
      </c>
      <c r="J98" s="40">
        <f t="shared" si="1"/>
        <v>1836000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0" customHeight="1">
      <c r="A99" s="210">
        <v>46227.0</v>
      </c>
      <c r="B99" s="295" t="s">
        <v>86</v>
      </c>
      <c r="C99" s="24"/>
      <c r="D99" s="42"/>
      <c r="E99" s="61"/>
      <c r="F99" s="43"/>
      <c r="G99" s="61"/>
      <c r="H99" s="61"/>
      <c r="I99" s="296">
        <v>300000.0</v>
      </c>
      <c r="J99" s="40">
        <f t="shared" si="1"/>
        <v>1536000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0" customHeight="1">
      <c r="A100" s="210">
        <v>46227.0</v>
      </c>
      <c r="B100" s="295" t="s">
        <v>89</v>
      </c>
      <c r="C100" s="24"/>
      <c r="D100" s="42"/>
      <c r="E100" s="61"/>
      <c r="F100" s="43"/>
      <c r="G100" s="61"/>
      <c r="H100" s="61"/>
      <c r="I100" s="296">
        <v>150000.0</v>
      </c>
      <c r="J100" s="40">
        <f t="shared" si="1"/>
        <v>1386000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0" customHeight="1">
      <c r="A101" s="210">
        <v>46227.0</v>
      </c>
      <c r="B101" s="295" t="s">
        <v>94</v>
      </c>
      <c r="C101" s="24"/>
      <c r="D101" s="42"/>
      <c r="E101" s="61"/>
      <c r="F101" s="43"/>
      <c r="G101" s="61"/>
      <c r="H101" s="61"/>
      <c r="I101" s="296">
        <v>300000.0</v>
      </c>
      <c r="J101" s="40">
        <f t="shared" si="1"/>
        <v>1086000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0" customHeight="1">
      <c r="A102" s="210">
        <v>46227.0</v>
      </c>
      <c r="B102" s="295" t="s">
        <v>98</v>
      </c>
      <c r="C102" s="24"/>
      <c r="D102" s="42"/>
      <c r="E102" s="61"/>
      <c r="F102" s="43"/>
      <c r="G102" s="61"/>
      <c r="H102" s="61"/>
      <c r="I102" s="296">
        <v>200000.0</v>
      </c>
      <c r="J102" s="40">
        <f t="shared" si="1"/>
        <v>886000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0" customHeight="1">
      <c r="A103" s="210">
        <v>46227.0</v>
      </c>
      <c r="B103" s="295" t="s">
        <v>100</v>
      </c>
      <c r="C103" s="24"/>
      <c r="D103" s="42"/>
      <c r="E103" s="61"/>
      <c r="F103" s="43"/>
      <c r="G103" s="61"/>
      <c r="H103" s="61"/>
      <c r="I103" s="296">
        <v>200000.0</v>
      </c>
      <c r="J103" s="40">
        <f t="shared" si="1"/>
        <v>686000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0" customHeight="1">
      <c r="A104" s="210">
        <v>46227.0</v>
      </c>
      <c r="B104" s="295" t="s">
        <v>101</v>
      </c>
      <c r="C104" s="24"/>
      <c r="D104" s="42"/>
      <c r="E104" s="61"/>
      <c r="F104" s="43"/>
      <c r="G104" s="61"/>
      <c r="H104" s="61"/>
      <c r="I104" s="296">
        <v>300000.0</v>
      </c>
      <c r="J104" s="40">
        <f t="shared" si="1"/>
        <v>386000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0" customHeight="1">
      <c r="A105" s="210">
        <v>46227.0</v>
      </c>
      <c r="B105" s="295" t="s">
        <v>103</v>
      </c>
      <c r="C105" s="24"/>
      <c r="D105" s="42"/>
      <c r="E105" s="61"/>
      <c r="F105" s="43"/>
      <c r="G105" s="61"/>
      <c r="H105" s="61"/>
      <c r="I105" s="296">
        <v>300000.0</v>
      </c>
      <c r="J105" s="40">
        <f t="shared" si="1"/>
        <v>86000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0" customHeight="1">
      <c r="A106" s="85">
        <v>46231.0</v>
      </c>
      <c r="B106" s="297" t="s">
        <v>265</v>
      </c>
      <c r="C106" s="61"/>
      <c r="D106" s="61"/>
      <c r="E106" s="61"/>
      <c r="F106" s="298">
        <v>50000.0</v>
      </c>
      <c r="G106" s="27"/>
      <c r="H106" s="196"/>
      <c r="I106" s="27"/>
      <c r="J106" s="40">
        <f t="shared" si="1"/>
        <v>36000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0" customHeight="1">
      <c r="A107" s="37">
        <v>46231.0</v>
      </c>
      <c r="B107" s="289" t="s">
        <v>266</v>
      </c>
      <c r="C107" s="40"/>
      <c r="D107" s="40"/>
      <c r="E107" s="40">
        <v>8300.0</v>
      </c>
      <c r="F107" s="61"/>
      <c r="G107" s="27"/>
      <c r="H107" s="27"/>
      <c r="I107" s="27"/>
      <c r="J107" s="40">
        <f t="shared" si="1"/>
        <v>27700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0" customHeight="1">
      <c r="A108" s="85"/>
      <c r="B108" s="297"/>
      <c r="C108" s="61"/>
      <c r="D108" s="61"/>
      <c r="E108" s="61"/>
      <c r="F108" s="61"/>
      <c r="G108" s="27"/>
      <c r="H108" s="196"/>
      <c r="I108" s="27"/>
      <c r="J108" s="40">
        <f t="shared" si="1"/>
        <v>27700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0" customHeight="1">
      <c r="A109" s="94"/>
      <c r="B109" s="194"/>
      <c r="C109" s="27"/>
      <c r="D109" s="27"/>
      <c r="E109" s="27"/>
      <c r="F109" s="27"/>
      <c r="G109" s="27"/>
      <c r="H109" s="196"/>
      <c r="I109" s="27"/>
      <c r="J109" s="40">
        <f t="shared" si="1"/>
        <v>27700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0" customHeight="1">
      <c r="A110" s="96"/>
      <c r="B110" s="103"/>
      <c r="C110" s="61"/>
      <c r="D110" s="61"/>
      <c r="E110" s="61"/>
      <c r="F110" s="61"/>
      <c r="G110" s="61"/>
      <c r="H110" s="144"/>
      <c r="I110" s="149"/>
      <c r="J110" s="40">
        <f t="shared" si="1"/>
        <v>27700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1.0" customHeight="1">
      <c r="A111" s="299"/>
      <c r="B111" s="300"/>
      <c r="C111" s="301">
        <f t="shared" ref="C111:I111" si="2">SUM(C4:C110)</f>
        <v>25749256</v>
      </c>
      <c r="D111" s="302">
        <f t="shared" si="2"/>
        <v>70000</v>
      </c>
      <c r="E111" s="303">
        <f t="shared" si="2"/>
        <v>84300</v>
      </c>
      <c r="F111" s="302">
        <f t="shared" si="2"/>
        <v>1904040</v>
      </c>
      <c r="G111" s="304">
        <f t="shared" si="2"/>
        <v>157200</v>
      </c>
      <c r="H111" s="302">
        <f t="shared" si="2"/>
        <v>4211920</v>
      </c>
      <c r="I111" s="302">
        <f t="shared" si="2"/>
        <v>19294096</v>
      </c>
      <c r="J111" s="74">
        <f>+C111-D111-E111-F111-G111-H111-I111</f>
        <v>27700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1"/>
      <c r="B112" s="2"/>
      <c r="C112" s="11"/>
      <c r="D112" s="11"/>
      <c r="E112" s="11"/>
      <c r="F112" s="11"/>
      <c r="G112" s="11"/>
      <c r="H112" s="12"/>
      <c r="I112" s="1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1"/>
      <c r="B113" s="2"/>
      <c r="C113" s="11"/>
      <c r="D113" s="11"/>
      <c r="E113" s="11"/>
      <c r="F113" s="11"/>
      <c r="G113" s="11"/>
      <c r="H113" s="12"/>
      <c r="I113" s="1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1"/>
      <c r="B114" s="2"/>
      <c r="C114" s="11"/>
      <c r="D114" s="11"/>
      <c r="E114" s="11"/>
      <c r="F114" s="11"/>
      <c r="G114" s="11"/>
      <c r="H114" s="12"/>
      <c r="I114" s="12"/>
      <c r="J114" s="1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1"/>
      <c r="B115" s="2"/>
      <c r="C115" s="11"/>
      <c r="D115" s="11"/>
      <c r="E115" s="11"/>
      <c r="F115" s="11"/>
      <c r="G115" s="11"/>
      <c r="H115" s="12"/>
      <c r="I115" s="1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1"/>
      <c r="B116" s="2"/>
      <c r="C116" s="11"/>
      <c r="D116" s="11"/>
      <c r="E116" s="11"/>
      <c r="F116" s="11"/>
      <c r="G116" s="11"/>
      <c r="H116" s="12"/>
      <c r="I116" s="1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1"/>
      <c r="B117" s="2"/>
      <c r="C117" s="11"/>
      <c r="D117" s="11"/>
      <c r="E117" s="11"/>
      <c r="F117" s="11"/>
      <c r="G117" s="11"/>
      <c r="H117" s="12"/>
      <c r="I117" s="1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1"/>
      <c r="B118" s="2"/>
      <c r="C118" s="11"/>
      <c r="D118" s="11"/>
      <c r="E118" s="11"/>
      <c r="F118" s="11"/>
      <c r="G118" s="11"/>
      <c r="H118" s="12"/>
      <c r="I118" s="1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1"/>
      <c r="B119" s="2"/>
      <c r="C119" s="11"/>
      <c r="D119" s="11"/>
      <c r="E119" s="11"/>
      <c r="F119" s="11"/>
      <c r="G119" s="11"/>
      <c r="H119" s="12"/>
      <c r="I119" s="1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1"/>
      <c r="B120" s="2"/>
      <c r="C120" s="11"/>
      <c r="D120" s="11"/>
      <c r="E120" s="11"/>
      <c r="F120" s="11"/>
      <c r="G120" s="11"/>
      <c r="H120" s="12"/>
      <c r="I120" s="1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1"/>
      <c r="B121" s="2"/>
      <c r="C121" s="11"/>
      <c r="D121" s="11"/>
      <c r="E121" s="11"/>
      <c r="F121" s="11"/>
      <c r="G121" s="11"/>
      <c r="H121" s="12"/>
      <c r="I121" s="1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1"/>
      <c r="B122" s="2"/>
      <c r="C122" s="11"/>
      <c r="D122" s="11"/>
      <c r="E122" s="11"/>
      <c r="F122" s="11"/>
      <c r="G122" s="11"/>
      <c r="H122" s="12"/>
      <c r="I122" s="1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1"/>
      <c r="B123" s="2"/>
      <c r="C123" s="11"/>
      <c r="D123" s="11"/>
      <c r="E123" s="11"/>
      <c r="F123" s="11"/>
      <c r="G123" s="11"/>
      <c r="H123" s="12"/>
      <c r="I123" s="1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1"/>
      <c r="B124" s="2"/>
      <c r="C124" s="11"/>
      <c r="D124" s="11"/>
      <c r="E124" s="11"/>
      <c r="F124" s="11"/>
      <c r="G124" s="11"/>
      <c r="H124" s="12"/>
      <c r="I124" s="1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1"/>
      <c r="B125" s="2"/>
      <c r="C125" s="11"/>
      <c r="D125" s="11"/>
      <c r="E125" s="11"/>
      <c r="F125" s="11"/>
      <c r="G125" s="11"/>
      <c r="H125" s="12"/>
      <c r="I125" s="1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1"/>
      <c r="B126" s="2"/>
      <c r="C126" s="11"/>
      <c r="D126" s="11"/>
      <c r="E126" s="11"/>
      <c r="F126" s="11"/>
      <c r="G126" s="11"/>
      <c r="H126" s="12"/>
      <c r="I126" s="1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1"/>
      <c r="B127" s="2"/>
      <c r="C127" s="11"/>
      <c r="D127" s="11"/>
      <c r="E127" s="11"/>
      <c r="F127" s="11"/>
      <c r="G127" s="11"/>
      <c r="H127" s="12"/>
      <c r="I127" s="1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1"/>
      <c r="B128" s="2"/>
      <c r="C128" s="11"/>
      <c r="D128" s="11"/>
      <c r="E128" s="11"/>
      <c r="F128" s="11"/>
      <c r="G128" s="11"/>
      <c r="H128" s="12"/>
      <c r="I128" s="1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1"/>
      <c r="B129" s="2"/>
      <c r="C129" s="11"/>
      <c r="D129" s="11"/>
      <c r="E129" s="11"/>
      <c r="F129" s="11"/>
      <c r="G129" s="11"/>
      <c r="H129" s="12"/>
      <c r="I129" s="1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1"/>
      <c r="B130" s="2"/>
      <c r="C130" s="11"/>
      <c r="D130" s="11"/>
      <c r="E130" s="11"/>
      <c r="F130" s="11"/>
      <c r="G130" s="11"/>
      <c r="H130" s="12"/>
      <c r="I130" s="1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1"/>
      <c r="B131" s="2"/>
      <c r="C131" s="11"/>
      <c r="D131" s="11"/>
      <c r="E131" s="11"/>
      <c r="F131" s="11"/>
      <c r="G131" s="11"/>
      <c r="H131" s="12"/>
      <c r="I131" s="1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1"/>
      <c r="B132" s="2"/>
      <c r="C132" s="11"/>
      <c r="D132" s="11"/>
      <c r="E132" s="11"/>
      <c r="F132" s="11"/>
      <c r="G132" s="11"/>
      <c r="H132" s="12"/>
      <c r="I132" s="1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1"/>
      <c r="B133" s="2"/>
      <c r="C133" s="11"/>
      <c r="D133" s="11"/>
      <c r="E133" s="11"/>
      <c r="F133" s="11"/>
      <c r="G133" s="11"/>
      <c r="H133" s="12"/>
      <c r="I133" s="1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1"/>
      <c r="B134" s="2"/>
      <c r="C134" s="11"/>
      <c r="D134" s="11"/>
      <c r="E134" s="11"/>
      <c r="F134" s="11"/>
      <c r="G134" s="11"/>
      <c r="H134" s="12"/>
      <c r="I134" s="1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1"/>
      <c r="B135" s="2"/>
      <c r="C135" s="11"/>
      <c r="D135" s="11"/>
      <c r="E135" s="11"/>
      <c r="F135" s="11"/>
      <c r="G135" s="11"/>
      <c r="H135" s="12"/>
      <c r="I135" s="1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1"/>
      <c r="B136" s="2"/>
      <c r="C136" s="11"/>
      <c r="D136" s="11"/>
      <c r="E136" s="11"/>
      <c r="F136" s="11"/>
      <c r="G136" s="11"/>
      <c r="H136" s="12"/>
      <c r="I136" s="1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1"/>
      <c r="B137" s="2"/>
      <c r="C137" s="11"/>
      <c r="D137" s="11"/>
      <c r="E137" s="11"/>
      <c r="F137" s="11"/>
      <c r="G137" s="11"/>
      <c r="H137" s="12"/>
      <c r="I137" s="1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1"/>
      <c r="B138" s="2"/>
      <c r="C138" s="11"/>
      <c r="D138" s="11"/>
      <c r="E138" s="11"/>
      <c r="F138" s="11"/>
      <c r="G138" s="11"/>
      <c r="H138" s="12"/>
      <c r="I138" s="1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1"/>
      <c r="B139" s="2"/>
      <c r="C139" s="11"/>
      <c r="D139" s="11"/>
      <c r="E139" s="11"/>
      <c r="F139" s="11"/>
      <c r="G139" s="11"/>
      <c r="H139" s="12"/>
      <c r="I139" s="1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1"/>
      <c r="B140" s="2"/>
      <c r="C140" s="11"/>
      <c r="D140" s="11"/>
      <c r="E140" s="11"/>
      <c r="F140" s="11"/>
      <c r="G140" s="11"/>
      <c r="H140" s="12"/>
      <c r="I140" s="1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1"/>
      <c r="B141" s="2"/>
      <c r="C141" s="11"/>
      <c r="D141" s="11"/>
      <c r="E141" s="11"/>
      <c r="F141" s="11"/>
      <c r="G141" s="11"/>
      <c r="H141" s="12"/>
      <c r="I141" s="1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1"/>
      <c r="B142" s="2"/>
      <c r="C142" s="11"/>
      <c r="D142" s="11"/>
      <c r="E142" s="11"/>
      <c r="F142" s="11"/>
      <c r="G142" s="11"/>
      <c r="H142" s="12"/>
      <c r="I142" s="1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1"/>
      <c r="B143" s="2"/>
      <c r="C143" s="11"/>
      <c r="D143" s="11"/>
      <c r="E143" s="11"/>
      <c r="F143" s="11"/>
      <c r="G143" s="11"/>
      <c r="H143" s="12"/>
      <c r="I143" s="1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1"/>
      <c r="B144" s="2"/>
      <c r="C144" s="11"/>
      <c r="D144" s="11"/>
      <c r="E144" s="11"/>
      <c r="F144" s="11"/>
      <c r="G144" s="11"/>
      <c r="H144" s="12"/>
      <c r="I144" s="1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1"/>
      <c r="B145" s="2"/>
      <c r="C145" s="11"/>
      <c r="D145" s="11"/>
      <c r="E145" s="11"/>
      <c r="F145" s="11"/>
      <c r="G145" s="11"/>
      <c r="H145" s="12"/>
      <c r="I145" s="1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1"/>
      <c r="B146" s="2"/>
      <c r="C146" s="11"/>
      <c r="D146" s="11"/>
      <c r="E146" s="11"/>
      <c r="F146" s="11"/>
      <c r="G146" s="11"/>
      <c r="H146" s="12"/>
      <c r="I146" s="1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1"/>
      <c r="B147" s="2"/>
      <c r="C147" s="11"/>
      <c r="D147" s="11"/>
      <c r="E147" s="11"/>
      <c r="F147" s="11"/>
      <c r="G147" s="11"/>
      <c r="H147" s="12"/>
      <c r="I147" s="1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1"/>
      <c r="B148" s="2"/>
      <c r="C148" s="11"/>
      <c r="D148" s="11"/>
      <c r="E148" s="11"/>
      <c r="F148" s="11"/>
      <c r="G148" s="11"/>
      <c r="H148" s="12"/>
      <c r="I148" s="1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1"/>
      <c r="B149" s="2"/>
      <c r="C149" s="11"/>
      <c r="D149" s="11"/>
      <c r="E149" s="11"/>
      <c r="F149" s="11"/>
      <c r="G149" s="11"/>
      <c r="H149" s="12"/>
      <c r="I149" s="1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1"/>
      <c r="B150" s="2"/>
      <c r="C150" s="11"/>
      <c r="D150" s="11"/>
      <c r="E150" s="11"/>
      <c r="F150" s="11"/>
      <c r="G150" s="11"/>
      <c r="H150" s="12"/>
      <c r="I150" s="1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1"/>
      <c r="B151" s="2"/>
      <c r="C151" s="11"/>
      <c r="D151" s="11"/>
      <c r="E151" s="11"/>
      <c r="F151" s="11"/>
      <c r="G151" s="11"/>
      <c r="H151" s="12"/>
      <c r="I151" s="1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1"/>
      <c r="B152" s="2"/>
      <c r="C152" s="11"/>
      <c r="D152" s="11"/>
      <c r="E152" s="11"/>
      <c r="F152" s="11"/>
      <c r="G152" s="11"/>
      <c r="H152" s="12"/>
      <c r="I152" s="1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1"/>
      <c r="B153" s="2"/>
      <c r="C153" s="11"/>
      <c r="D153" s="11"/>
      <c r="E153" s="11"/>
      <c r="F153" s="11"/>
      <c r="G153" s="11"/>
      <c r="H153" s="12"/>
      <c r="I153" s="1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1"/>
      <c r="B154" s="2"/>
      <c r="C154" s="11"/>
      <c r="D154" s="11"/>
      <c r="E154" s="11"/>
      <c r="F154" s="11"/>
      <c r="G154" s="11"/>
      <c r="H154" s="12"/>
      <c r="I154" s="1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1"/>
      <c r="B155" s="2"/>
      <c r="C155" s="11"/>
      <c r="D155" s="11"/>
      <c r="E155" s="11"/>
      <c r="F155" s="11"/>
      <c r="G155" s="11"/>
      <c r="H155" s="12"/>
      <c r="I155" s="1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1"/>
      <c r="B156" s="2"/>
      <c r="C156" s="11"/>
      <c r="D156" s="11"/>
      <c r="E156" s="11"/>
      <c r="F156" s="11"/>
      <c r="G156" s="11"/>
      <c r="H156" s="12"/>
      <c r="I156" s="1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1"/>
      <c r="B157" s="2"/>
      <c r="C157" s="11"/>
      <c r="D157" s="11"/>
      <c r="E157" s="11"/>
      <c r="F157" s="11"/>
      <c r="G157" s="11"/>
      <c r="H157" s="12"/>
      <c r="I157" s="1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1"/>
      <c r="B158" s="2"/>
      <c r="C158" s="11"/>
      <c r="D158" s="11"/>
      <c r="E158" s="11"/>
      <c r="F158" s="11"/>
      <c r="G158" s="11"/>
      <c r="H158" s="12"/>
      <c r="I158" s="1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1"/>
      <c r="B159" s="2"/>
      <c r="C159" s="11"/>
      <c r="D159" s="11"/>
      <c r="E159" s="11"/>
      <c r="F159" s="11"/>
      <c r="G159" s="11"/>
      <c r="H159" s="12"/>
      <c r="I159" s="1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1"/>
      <c r="B160" s="2"/>
      <c r="C160" s="11"/>
      <c r="D160" s="11"/>
      <c r="E160" s="11"/>
      <c r="F160" s="11"/>
      <c r="G160" s="11"/>
      <c r="H160" s="12"/>
      <c r="I160" s="1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1"/>
      <c r="B161" s="2"/>
      <c r="C161" s="11"/>
      <c r="D161" s="11"/>
      <c r="E161" s="11"/>
      <c r="F161" s="11"/>
      <c r="G161" s="11"/>
      <c r="H161" s="12"/>
      <c r="I161" s="1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1"/>
      <c r="B162" s="2"/>
      <c r="C162" s="11"/>
      <c r="D162" s="11"/>
      <c r="E162" s="11"/>
      <c r="F162" s="11"/>
      <c r="G162" s="11"/>
      <c r="H162" s="12"/>
      <c r="I162" s="1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1"/>
      <c r="B163" s="2"/>
      <c r="C163" s="11"/>
      <c r="D163" s="11"/>
      <c r="E163" s="11"/>
      <c r="F163" s="11"/>
      <c r="G163" s="11"/>
      <c r="H163" s="12"/>
      <c r="I163" s="1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1"/>
      <c r="B164" s="2"/>
      <c r="C164" s="11"/>
      <c r="D164" s="11"/>
      <c r="E164" s="11"/>
      <c r="F164" s="11"/>
      <c r="G164" s="11"/>
      <c r="H164" s="12"/>
      <c r="I164" s="1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1"/>
      <c r="B165" s="2"/>
      <c r="C165" s="11"/>
      <c r="D165" s="11"/>
      <c r="E165" s="11"/>
      <c r="F165" s="11"/>
      <c r="G165" s="11"/>
      <c r="H165" s="12"/>
      <c r="I165" s="1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1"/>
      <c r="B166" s="2"/>
      <c r="C166" s="11"/>
      <c r="D166" s="11"/>
      <c r="E166" s="11"/>
      <c r="F166" s="11"/>
      <c r="G166" s="11"/>
      <c r="H166" s="12"/>
      <c r="I166" s="1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1"/>
      <c r="B167" s="2"/>
      <c r="C167" s="11"/>
      <c r="D167" s="11"/>
      <c r="E167" s="11"/>
      <c r="F167" s="11"/>
      <c r="G167" s="11"/>
      <c r="H167" s="12"/>
      <c r="I167" s="1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1"/>
      <c r="B168" s="2"/>
      <c r="C168" s="11"/>
      <c r="D168" s="11"/>
      <c r="E168" s="11"/>
      <c r="F168" s="11"/>
      <c r="G168" s="11"/>
      <c r="H168" s="12"/>
      <c r="I168" s="1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1"/>
      <c r="B169" s="2"/>
      <c r="C169" s="11"/>
      <c r="D169" s="11"/>
      <c r="E169" s="11"/>
      <c r="F169" s="11"/>
      <c r="G169" s="11"/>
      <c r="H169" s="12"/>
      <c r="I169" s="1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1"/>
      <c r="B170" s="2"/>
      <c r="C170" s="11"/>
      <c r="D170" s="11"/>
      <c r="E170" s="11"/>
      <c r="F170" s="11"/>
      <c r="G170" s="11"/>
      <c r="H170" s="12"/>
      <c r="I170" s="1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1"/>
      <c r="B171" s="2"/>
      <c r="C171" s="11"/>
      <c r="D171" s="11"/>
      <c r="E171" s="11"/>
      <c r="F171" s="11"/>
      <c r="G171" s="11"/>
      <c r="H171" s="12"/>
      <c r="I171" s="1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1"/>
      <c r="B172" s="2"/>
      <c r="C172" s="11"/>
      <c r="D172" s="11"/>
      <c r="E172" s="11"/>
      <c r="F172" s="11"/>
      <c r="G172" s="11"/>
      <c r="H172" s="12"/>
      <c r="I172" s="1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1"/>
      <c r="B173" s="2"/>
      <c r="C173" s="11"/>
      <c r="D173" s="11"/>
      <c r="E173" s="11"/>
      <c r="F173" s="11"/>
      <c r="G173" s="11"/>
      <c r="H173" s="12"/>
      <c r="I173" s="1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1"/>
      <c r="B174" s="2"/>
      <c r="C174" s="11"/>
      <c r="D174" s="11"/>
      <c r="E174" s="11"/>
      <c r="F174" s="11"/>
      <c r="G174" s="11"/>
      <c r="H174" s="12"/>
      <c r="I174" s="1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1"/>
      <c r="B175" s="2"/>
      <c r="C175" s="11"/>
      <c r="D175" s="11"/>
      <c r="E175" s="11"/>
      <c r="F175" s="11"/>
      <c r="G175" s="11"/>
      <c r="H175" s="12"/>
      <c r="I175" s="1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1"/>
      <c r="B176" s="2"/>
      <c r="C176" s="11"/>
      <c r="D176" s="11"/>
      <c r="E176" s="11"/>
      <c r="F176" s="11"/>
      <c r="G176" s="11"/>
      <c r="H176" s="12"/>
      <c r="I176" s="1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1"/>
      <c r="B177" s="2"/>
      <c r="C177" s="11"/>
      <c r="D177" s="11"/>
      <c r="E177" s="11"/>
      <c r="F177" s="11"/>
      <c r="G177" s="11"/>
      <c r="H177" s="12"/>
      <c r="I177" s="1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1"/>
      <c r="B178" s="2"/>
      <c r="C178" s="11"/>
      <c r="D178" s="11"/>
      <c r="E178" s="11"/>
      <c r="F178" s="11"/>
      <c r="G178" s="11"/>
      <c r="H178" s="12"/>
      <c r="I178" s="1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1"/>
      <c r="B179" s="2"/>
      <c r="C179" s="11"/>
      <c r="D179" s="11"/>
      <c r="E179" s="11"/>
      <c r="F179" s="11"/>
      <c r="G179" s="11"/>
      <c r="H179" s="12"/>
      <c r="I179" s="1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1"/>
      <c r="B180" s="2"/>
      <c r="C180" s="11"/>
      <c r="D180" s="11"/>
      <c r="E180" s="11"/>
      <c r="F180" s="11"/>
      <c r="G180" s="11"/>
      <c r="H180" s="12"/>
      <c r="I180" s="1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1"/>
      <c r="B181" s="2"/>
      <c r="C181" s="11"/>
      <c r="D181" s="11"/>
      <c r="E181" s="11"/>
      <c r="F181" s="11"/>
      <c r="G181" s="11"/>
      <c r="H181" s="12"/>
      <c r="I181" s="1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1"/>
      <c r="B182" s="2"/>
      <c r="C182" s="11"/>
      <c r="D182" s="11"/>
      <c r="E182" s="11"/>
      <c r="F182" s="11"/>
      <c r="G182" s="11"/>
      <c r="H182" s="12"/>
      <c r="I182" s="1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1"/>
      <c r="B183" s="2"/>
      <c r="C183" s="11"/>
      <c r="D183" s="11"/>
      <c r="E183" s="11"/>
      <c r="F183" s="11"/>
      <c r="G183" s="11"/>
      <c r="H183" s="12"/>
      <c r="I183" s="1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1"/>
      <c r="B184" s="2"/>
      <c r="C184" s="11"/>
      <c r="D184" s="11"/>
      <c r="E184" s="11"/>
      <c r="F184" s="11"/>
      <c r="G184" s="11"/>
      <c r="H184" s="12"/>
      <c r="I184" s="1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1"/>
      <c r="B185" s="2"/>
      <c r="C185" s="11"/>
      <c r="D185" s="11"/>
      <c r="E185" s="11"/>
      <c r="F185" s="11"/>
      <c r="G185" s="11"/>
      <c r="H185" s="12"/>
      <c r="I185" s="1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1"/>
      <c r="B186" s="2"/>
      <c r="C186" s="11"/>
      <c r="D186" s="11"/>
      <c r="E186" s="11"/>
      <c r="F186" s="11"/>
      <c r="G186" s="11"/>
      <c r="H186" s="12"/>
      <c r="I186" s="1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1"/>
      <c r="B187" s="2"/>
      <c r="C187" s="11"/>
      <c r="D187" s="11"/>
      <c r="E187" s="11"/>
      <c r="F187" s="11"/>
      <c r="G187" s="11"/>
      <c r="H187" s="12"/>
      <c r="I187" s="1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1"/>
      <c r="B188" s="2"/>
      <c r="C188" s="11"/>
      <c r="D188" s="11"/>
      <c r="E188" s="11"/>
      <c r="F188" s="11"/>
      <c r="G188" s="11"/>
      <c r="H188" s="12"/>
      <c r="I188" s="1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1"/>
      <c r="B189" s="2"/>
      <c r="C189" s="11"/>
      <c r="D189" s="11"/>
      <c r="E189" s="11"/>
      <c r="F189" s="11"/>
      <c r="G189" s="11"/>
      <c r="H189" s="12"/>
      <c r="I189" s="1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1"/>
      <c r="B190" s="2"/>
      <c r="C190" s="11"/>
      <c r="D190" s="11"/>
      <c r="E190" s="11"/>
      <c r="F190" s="11"/>
      <c r="G190" s="11"/>
      <c r="H190" s="12"/>
      <c r="I190" s="1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1"/>
      <c r="B191" s="2"/>
      <c r="C191" s="11"/>
      <c r="D191" s="11"/>
      <c r="E191" s="11"/>
      <c r="F191" s="11"/>
      <c r="G191" s="11"/>
      <c r="H191" s="12"/>
      <c r="I191" s="1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1"/>
      <c r="B192" s="2"/>
      <c r="C192" s="11"/>
      <c r="D192" s="11"/>
      <c r="E192" s="11"/>
      <c r="F192" s="11"/>
      <c r="G192" s="11"/>
      <c r="H192" s="12"/>
      <c r="I192" s="1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1"/>
      <c r="B193" s="2"/>
      <c r="C193" s="11"/>
      <c r="D193" s="11"/>
      <c r="E193" s="11"/>
      <c r="F193" s="11"/>
      <c r="G193" s="11"/>
      <c r="H193" s="12"/>
      <c r="I193" s="1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1"/>
      <c r="B194" s="2"/>
      <c r="C194" s="11"/>
      <c r="D194" s="11"/>
      <c r="E194" s="11"/>
      <c r="F194" s="11"/>
      <c r="G194" s="11"/>
      <c r="H194" s="12"/>
      <c r="I194" s="1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1"/>
      <c r="B195" s="2"/>
      <c r="C195" s="11"/>
      <c r="D195" s="11"/>
      <c r="E195" s="11"/>
      <c r="F195" s="11"/>
      <c r="G195" s="11"/>
      <c r="H195" s="12"/>
      <c r="I195" s="1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1"/>
      <c r="B196" s="2"/>
      <c r="C196" s="11"/>
      <c r="D196" s="11"/>
      <c r="E196" s="11"/>
      <c r="F196" s="11"/>
      <c r="G196" s="11"/>
      <c r="H196" s="12"/>
      <c r="I196" s="1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1"/>
      <c r="B197" s="2"/>
      <c r="C197" s="11"/>
      <c r="D197" s="11"/>
      <c r="E197" s="11"/>
      <c r="F197" s="11"/>
      <c r="G197" s="11"/>
      <c r="H197" s="12"/>
      <c r="I197" s="1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1"/>
      <c r="B198" s="2"/>
      <c r="C198" s="11"/>
      <c r="D198" s="11"/>
      <c r="E198" s="11"/>
      <c r="F198" s="11"/>
      <c r="G198" s="11"/>
      <c r="H198" s="12"/>
      <c r="I198" s="1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1"/>
      <c r="B199" s="2"/>
      <c r="C199" s="11"/>
      <c r="D199" s="11"/>
      <c r="E199" s="11"/>
      <c r="F199" s="11"/>
      <c r="G199" s="11"/>
      <c r="H199" s="12"/>
      <c r="I199" s="1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1"/>
      <c r="B200" s="2"/>
      <c r="C200" s="11"/>
      <c r="D200" s="11"/>
      <c r="E200" s="11"/>
      <c r="F200" s="11"/>
      <c r="G200" s="11"/>
      <c r="H200" s="12"/>
      <c r="I200" s="1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1"/>
      <c r="B201" s="2"/>
      <c r="C201" s="11"/>
      <c r="D201" s="11"/>
      <c r="E201" s="11"/>
      <c r="F201" s="11"/>
      <c r="G201" s="11"/>
      <c r="H201" s="12"/>
      <c r="I201" s="1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1"/>
      <c r="B202" s="2"/>
      <c r="C202" s="11"/>
      <c r="D202" s="11"/>
      <c r="E202" s="11"/>
      <c r="F202" s="11"/>
      <c r="G202" s="11"/>
      <c r="H202" s="12"/>
      <c r="I202" s="1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1"/>
      <c r="B203" s="2"/>
      <c r="C203" s="11"/>
      <c r="D203" s="11"/>
      <c r="E203" s="11"/>
      <c r="F203" s="11"/>
      <c r="G203" s="11"/>
      <c r="H203" s="12"/>
      <c r="I203" s="1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1"/>
      <c r="B204" s="2"/>
      <c r="C204" s="11"/>
      <c r="D204" s="11"/>
      <c r="E204" s="11"/>
      <c r="F204" s="11"/>
      <c r="G204" s="11"/>
      <c r="H204" s="12"/>
      <c r="I204" s="1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1"/>
      <c r="B205" s="2"/>
      <c r="C205" s="11"/>
      <c r="D205" s="11"/>
      <c r="E205" s="11"/>
      <c r="F205" s="11"/>
      <c r="G205" s="11"/>
      <c r="H205" s="12"/>
      <c r="I205" s="1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1"/>
      <c r="B206" s="2"/>
      <c r="C206" s="11"/>
      <c r="D206" s="11"/>
      <c r="E206" s="11"/>
      <c r="F206" s="11"/>
      <c r="G206" s="11"/>
      <c r="H206" s="12"/>
      <c r="I206" s="1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1"/>
      <c r="B207" s="2"/>
      <c r="C207" s="11"/>
      <c r="D207" s="11"/>
      <c r="E207" s="11"/>
      <c r="F207" s="11"/>
      <c r="G207" s="11"/>
      <c r="H207" s="12"/>
      <c r="I207" s="1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1"/>
      <c r="B208" s="2"/>
      <c r="C208" s="11"/>
      <c r="D208" s="11"/>
      <c r="E208" s="11"/>
      <c r="F208" s="11"/>
      <c r="G208" s="11"/>
      <c r="H208" s="12"/>
      <c r="I208" s="1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1"/>
      <c r="B209" s="2"/>
      <c r="C209" s="11"/>
      <c r="D209" s="11"/>
      <c r="E209" s="11"/>
      <c r="F209" s="11"/>
      <c r="G209" s="11"/>
      <c r="H209" s="12"/>
      <c r="I209" s="1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1"/>
      <c r="B210" s="2"/>
      <c r="C210" s="11"/>
      <c r="D210" s="11"/>
      <c r="E210" s="11"/>
      <c r="F210" s="11"/>
      <c r="G210" s="11"/>
      <c r="H210" s="12"/>
      <c r="I210" s="1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1"/>
      <c r="B211" s="2"/>
      <c r="C211" s="11"/>
      <c r="D211" s="11"/>
      <c r="E211" s="11"/>
      <c r="F211" s="11"/>
      <c r="G211" s="11"/>
      <c r="H211" s="12"/>
      <c r="I211" s="1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1"/>
      <c r="B212" s="2"/>
      <c r="C212" s="11"/>
      <c r="D212" s="11"/>
      <c r="E212" s="11"/>
      <c r="F212" s="11"/>
      <c r="G212" s="11"/>
      <c r="H212" s="12"/>
      <c r="I212" s="1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1"/>
      <c r="B213" s="2"/>
      <c r="C213" s="11"/>
      <c r="D213" s="11"/>
      <c r="E213" s="11"/>
      <c r="F213" s="11"/>
      <c r="G213" s="11"/>
      <c r="H213" s="12"/>
      <c r="I213" s="1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1"/>
      <c r="B214" s="2"/>
      <c r="C214" s="11"/>
      <c r="D214" s="11"/>
      <c r="E214" s="11"/>
      <c r="F214" s="11"/>
      <c r="G214" s="11"/>
      <c r="H214" s="12"/>
      <c r="I214" s="1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1"/>
      <c r="B215" s="2"/>
      <c r="C215" s="11"/>
      <c r="D215" s="11"/>
      <c r="E215" s="11"/>
      <c r="F215" s="11"/>
      <c r="G215" s="11"/>
      <c r="H215" s="12"/>
      <c r="I215" s="1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1"/>
      <c r="B216" s="2"/>
      <c r="C216" s="11"/>
      <c r="D216" s="11"/>
      <c r="E216" s="11"/>
      <c r="F216" s="11"/>
      <c r="G216" s="11"/>
      <c r="H216" s="12"/>
      <c r="I216" s="1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1"/>
      <c r="B217" s="2"/>
      <c r="C217" s="11"/>
      <c r="D217" s="11"/>
      <c r="E217" s="11"/>
      <c r="F217" s="11"/>
      <c r="G217" s="11"/>
      <c r="H217" s="12"/>
      <c r="I217" s="1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1"/>
      <c r="B218" s="2"/>
      <c r="C218" s="11"/>
      <c r="D218" s="11"/>
      <c r="E218" s="11"/>
      <c r="F218" s="11"/>
      <c r="G218" s="11"/>
      <c r="H218" s="12"/>
      <c r="I218" s="1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1"/>
      <c r="B219" s="2"/>
      <c r="C219" s="11"/>
      <c r="D219" s="11"/>
      <c r="E219" s="11"/>
      <c r="F219" s="11"/>
      <c r="G219" s="11"/>
      <c r="H219" s="12"/>
      <c r="I219" s="1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1"/>
      <c r="B220" s="2"/>
      <c r="C220" s="11"/>
      <c r="D220" s="11"/>
      <c r="E220" s="11"/>
      <c r="F220" s="11"/>
      <c r="G220" s="11"/>
      <c r="H220" s="12"/>
      <c r="I220" s="1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1"/>
      <c r="B221" s="2"/>
      <c r="C221" s="11"/>
      <c r="D221" s="11"/>
      <c r="E221" s="11"/>
      <c r="F221" s="11"/>
      <c r="G221" s="11"/>
      <c r="H221" s="12"/>
      <c r="I221" s="1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1"/>
      <c r="B222" s="2"/>
      <c r="C222" s="11"/>
      <c r="D222" s="11"/>
      <c r="E222" s="11"/>
      <c r="F222" s="11"/>
      <c r="G222" s="11"/>
      <c r="H222" s="12"/>
      <c r="I222" s="1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1"/>
      <c r="B223" s="2"/>
      <c r="C223" s="11"/>
      <c r="D223" s="11"/>
      <c r="E223" s="11"/>
      <c r="F223" s="11"/>
      <c r="G223" s="11"/>
      <c r="H223" s="12"/>
      <c r="I223" s="1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1"/>
      <c r="B224" s="2"/>
      <c r="C224" s="11"/>
      <c r="D224" s="11"/>
      <c r="E224" s="11"/>
      <c r="F224" s="11"/>
      <c r="G224" s="11"/>
      <c r="H224" s="12"/>
      <c r="I224" s="1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1"/>
      <c r="B225" s="2"/>
      <c r="C225" s="11"/>
      <c r="D225" s="11"/>
      <c r="E225" s="11"/>
      <c r="F225" s="11"/>
      <c r="G225" s="11"/>
      <c r="H225" s="12"/>
      <c r="I225" s="1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1"/>
      <c r="B226" s="2"/>
      <c r="C226" s="11"/>
      <c r="D226" s="11"/>
      <c r="E226" s="11"/>
      <c r="F226" s="11"/>
      <c r="G226" s="11"/>
      <c r="H226" s="12"/>
      <c r="I226" s="1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1"/>
      <c r="B227" s="2"/>
      <c r="C227" s="11"/>
      <c r="D227" s="11"/>
      <c r="E227" s="11"/>
      <c r="F227" s="11"/>
      <c r="G227" s="11"/>
      <c r="H227" s="12"/>
      <c r="I227" s="1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1"/>
      <c r="B228" s="2"/>
      <c r="C228" s="11"/>
      <c r="D228" s="11"/>
      <c r="E228" s="11"/>
      <c r="F228" s="11"/>
      <c r="G228" s="11"/>
      <c r="H228" s="12"/>
      <c r="I228" s="1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1"/>
      <c r="B229" s="2"/>
      <c r="C229" s="11"/>
      <c r="D229" s="11"/>
      <c r="E229" s="11"/>
      <c r="F229" s="11"/>
      <c r="G229" s="11"/>
      <c r="H229" s="12"/>
      <c r="I229" s="1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1"/>
      <c r="B230" s="2"/>
      <c r="C230" s="11"/>
      <c r="D230" s="11"/>
      <c r="E230" s="11"/>
      <c r="F230" s="11"/>
      <c r="G230" s="11"/>
      <c r="H230" s="12"/>
      <c r="I230" s="1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1"/>
      <c r="B231" s="2"/>
      <c r="C231" s="11"/>
      <c r="D231" s="11"/>
      <c r="E231" s="11"/>
      <c r="F231" s="11"/>
      <c r="G231" s="11"/>
      <c r="H231" s="12"/>
      <c r="I231" s="1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1"/>
      <c r="B232" s="2"/>
      <c r="C232" s="11"/>
      <c r="D232" s="11"/>
      <c r="E232" s="11"/>
      <c r="F232" s="11"/>
      <c r="G232" s="11"/>
      <c r="H232" s="12"/>
      <c r="I232" s="1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1"/>
      <c r="B233" s="2"/>
      <c r="C233" s="11"/>
      <c r="D233" s="11"/>
      <c r="E233" s="11"/>
      <c r="F233" s="11"/>
      <c r="G233" s="11"/>
      <c r="H233" s="12"/>
      <c r="I233" s="1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1"/>
      <c r="B234" s="2"/>
      <c r="C234" s="11"/>
      <c r="D234" s="11"/>
      <c r="E234" s="11"/>
      <c r="F234" s="11"/>
      <c r="G234" s="11"/>
      <c r="H234" s="12"/>
      <c r="I234" s="1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1"/>
      <c r="B235" s="2"/>
      <c r="C235" s="11"/>
      <c r="D235" s="11"/>
      <c r="E235" s="11"/>
      <c r="F235" s="11"/>
      <c r="G235" s="11"/>
      <c r="H235" s="12"/>
      <c r="I235" s="1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1"/>
      <c r="B236" s="2"/>
      <c r="C236" s="11"/>
      <c r="D236" s="11"/>
      <c r="E236" s="11"/>
      <c r="F236" s="11"/>
      <c r="G236" s="11"/>
      <c r="H236" s="12"/>
      <c r="I236" s="1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1"/>
      <c r="B237" s="2"/>
      <c r="C237" s="11"/>
      <c r="D237" s="11"/>
      <c r="E237" s="11"/>
      <c r="F237" s="11"/>
      <c r="G237" s="11"/>
      <c r="H237" s="12"/>
      <c r="I237" s="1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1"/>
      <c r="B238" s="2"/>
      <c r="C238" s="11"/>
      <c r="D238" s="11"/>
      <c r="E238" s="11"/>
      <c r="F238" s="11"/>
      <c r="G238" s="11"/>
      <c r="H238" s="12"/>
      <c r="I238" s="1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1"/>
      <c r="B239" s="2"/>
      <c r="C239" s="11"/>
      <c r="D239" s="11"/>
      <c r="E239" s="11"/>
      <c r="F239" s="11"/>
      <c r="G239" s="11"/>
      <c r="H239" s="12"/>
      <c r="I239" s="1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1"/>
      <c r="B240" s="2"/>
      <c r="C240" s="11"/>
      <c r="D240" s="11"/>
      <c r="E240" s="11"/>
      <c r="F240" s="11"/>
      <c r="G240" s="11"/>
      <c r="H240" s="12"/>
      <c r="I240" s="1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1"/>
      <c r="B241" s="2"/>
      <c r="C241" s="11"/>
      <c r="D241" s="11"/>
      <c r="E241" s="11"/>
      <c r="F241" s="11"/>
      <c r="G241" s="11"/>
      <c r="H241" s="12"/>
      <c r="I241" s="1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1"/>
      <c r="B242" s="2"/>
      <c r="C242" s="11"/>
      <c r="D242" s="11"/>
      <c r="E242" s="11"/>
      <c r="F242" s="11"/>
      <c r="G242" s="11"/>
      <c r="H242" s="12"/>
      <c r="I242" s="1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1"/>
      <c r="B243" s="2"/>
      <c r="C243" s="11"/>
      <c r="D243" s="11"/>
      <c r="E243" s="11"/>
      <c r="F243" s="11"/>
      <c r="G243" s="11"/>
      <c r="H243" s="12"/>
      <c r="I243" s="1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1"/>
      <c r="B244" s="2"/>
      <c r="C244" s="11"/>
      <c r="D244" s="11"/>
      <c r="E244" s="11"/>
      <c r="F244" s="11"/>
      <c r="G244" s="11"/>
      <c r="H244" s="12"/>
      <c r="I244" s="1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1"/>
      <c r="B245" s="2"/>
      <c r="C245" s="11"/>
      <c r="D245" s="11"/>
      <c r="E245" s="11"/>
      <c r="F245" s="11"/>
      <c r="G245" s="11"/>
      <c r="H245" s="12"/>
      <c r="I245" s="1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1"/>
      <c r="B246" s="2"/>
      <c r="C246" s="11"/>
      <c r="D246" s="11"/>
      <c r="E246" s="11"/>
      <c r="F246" s="11"/>
      <c r="G246" s="11"/>
      <c r="H246" s="12"/>
      <c r="I246" s="1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1"/>
      <c r="B247" s="2"/>
      <c r="C247" s="11"/>
      <c r="D247" s="11"/>
      <c r="E247" s="11"/>
      <c r="F247" s="11"/>
      <c r="G247" s="11"/>
      <c r="H247" s="12"/>
      <c r="I247" s="1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1"/>
      <c r="B248" s="2"/>
      <c r="C248" s="11"/>
      <c r="D248" s="11"/>
      <c r="E248" s="11"/>
      <c r="F248" s="11"/>
      <c r="G248" s="11"/>
      <c r="H248" s="12"/>
      <c r="I248" s="1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1"/>
      <c r="B249" s="2"/>
      <c r="C249" s="11"/>
      <c r="D249" s="11"/>
      <c r="E249" s="11"/>
      <c r="F249" s="11"/>
      <c r="G249" s="11"/>
      <c r="H249" s="12"/>
      <c r="I249" s="1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1"/>
      <c r="B250" s="2"/>
      <c r="C250" s="11"/>
      <c r="D250" s="11"/>
      <c r="E250" s="11"/>
      <c r="F250" s="11"/>
      <c r="G250" s="11"/>
      <c r="H250" s="12"/>
      <c r="I250" s="1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1"/>
      <c r="B251" s="2"/>
      <c r="C251" s="11"/>
      <c r="D251" s="11"/>
      <c r="E251" s="11"/>
      <c r="F251" s="11"/>
      <c r="G251" s="11"/>
      <c r="H251" s="12"/>
      <c r="I251" s="1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1"/>
      <c r="B252" s="2"/>
      <c r="C252" s="11"/>
      <c r="D252" s="11"/>
      <c r="E252" s="11"/>
      <c r="F252" s="11"/>
      <c r="G252" s="11"/>
      <c r="H252" s="12"/>
      <c r="I252" s="1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1"/>
      <c r="B253" s="2"/>
      <c r="C253" s="11"/>
      <c r="D253" s="11"/>
      <c r="E253" s="11"/>
      <c r="F253" s="11"/>
      <c r="G253" s="11"/>
      <c r="H253" s="12"/>
      <c r="I253" s="1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1"/>
      <c r="B254" s="2"/>
      <c r="C254" s="11"/>
      <c r="D254" s="11"/>
      <c r="E254" s="11"/>
      <c r="F254" s="11"/>
      <c r="G254" s="11"/>
      <c r="H254" s="12"/>
      <c r="I254" s="1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1"/>
      <c r="B255" s="2"/>
      <c r="C255" s="11"/>
      <c r="D255" s="11"/>
      <c r="E255" s="11"/>
      <c r="F255" s="11"/>
      <c r="G255" s="11"/>
      <c r="H255" s="12"/>
      <c r="I255" s="1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1"/>
      <c r="B256" s="2"/>
      <c r="C256" s="11"/>
      <c r="D256" s="11"/>
      <c r="E256" s="11"/>
      <c r="F256" s="11"/>
      <c r="G256" s="11"/>
      <c r="H256" s="12"/>
      <c r="I256" s="1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1"/>
      <c r="B257" s="2"/>
      <c r="C257" s="11"/>
      <c r="D257" s="11"/>
      <c r="E257" s="11"/>
      <c r="F257" s="11"/>
      <c r="G257" s="11"/>
      <c r="H257" s="12"/>
      <c r="I257" s="1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1"/>
      <c r="B258" s="2"/>
      <c r="C258" s="11"/>
      <c r="D258" s="11"/>
      <c r="E258" s="11"/>
      <c r="F258" s="11"/>
      <c r="G258" s="11"/>
      <c r="H258" s="12"/>
      <c r="I258" s="1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1"/>
      <c r="B259" s="2"/>
      <c r="C259" s="11"/>
      <c r="D259" s="11"/>
      <c r="E259" s="11"/>
      <c r="F259" s="11"/>
      <c r="G259" s="11"/>
      <c r="H259" s="12"/>
      <c r="I259" s="1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1"/>
      <c r="B260" s="2"/>
      <c r="C260" s="11"/>
      <c r="D260" s="11"/>
      <c r="E260" s="11"/>
      <c r="F260" s="11"/>
      <c r="G260" s="11"/>
      <c r="H260" s="12"/>
      <c r="I260" s="1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1"/>
      <c r="B261" s="2"/>
      <c r="C261" s="11"/>
      <c r="D261" s="11"/>
      <c r="E261" s="11"/>
      <c r="F261" s="11"/>
      <c r="G261" s="11"/>
      <c r="H261" s="12"/>
      <c r="I261" s="1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1"/>
      <c r="B262" s="2"/>
      <c r="C262" s="11"/>
      <c r="D262" s="11"/>
      <c r="E262" s="11"/>
      <c r="F262" s="11"/>
      <c r="G262" s="11"/>
      <c r="H262" s="12"/>
      <c r="I262" s="1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1"/>
      <c r="B263" s="2"/>
      <c r="C263" s="11"/>
      <c r="D263" s="11"/>
      <c r="E263" s="11"/>
      <c r="F263" s="11"/>
      <c r="G263" s="11"/>
      <c r="H263" s="12"/>
      <c r="I263" s="1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1"/>
      <c r="B264" s="2"/>
      <c r="C264" s="11"/>
      <c r="D264" s="11"/>
      <c r="E264" s="11"/>
      <c r="F264" s="11"/>
      <c r="G264" s="11"/>
      <c r="H264" s="12"/>
      <c r="I264" s="1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1"/>
      <c r="B265" s="2"/>
      <c r="C265" s="11"/>
      <c r="D265" s="11"/>
      <c r="E265" s="11"/>
      <c r="F265" s="11"/>
      <c r="G265" s="11"/>
      <c r="H265" s="12"/>
      <c r="I265" s="1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1"/>
      <c r="B266" s="2"/>
      <c r="C266" s="11"/>
      <c r="D266" s="11"/>
      <c r="E266" s="11"/>
      <c r="F266" s="11"/>
      <c r="G266" s="11"/>
      <c r="H266" s="12"/>
      <c r="I266" s="1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1"/>
      <c r="B267" s="2"/>
      <c r="C267" s="11"/>
      <c r="D267" s="11"/>
      <c r="E267" s="11"/>
      <c r="F267" s="11"/>
      <c r="G267" s="11"/>
      <c r="H267" s="12"/>
      <c r="I267" s="1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1"/>
      <c r="B268" s="2"/>
      <c r="C268" s="11"/>
      <c r="D268" s="11"/>
      <c r="E268" s="11"/>
      <c r="F268" s="11"/>
      <c r="G268" s="11"/>
      <c r="H268" s="12"/>
      <c r="I268" s="1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1"/>
      <c r="B269" s="2"/>
      <c r="C269" s="11"/>
      <c r="D269" s="11"/>
      <c r="E269" s="11"/>
      <c r="F269" s="11"/>
      <c r="G269" s="11"/>
      <c r="H269" s="12"/>
      <c r="I269" s="1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1"/>
      <c r="B270" s="2"/>
      <c r="C270" s="11"/>
      <c r="D270" s="11"/>
      <c r="E270" s="11"/>
      <c r="F270" s="11"/>
      <c r="G270" s="11"/>
      <c r="H270" s="12"/>
      <c r="I270" s="1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1"/>
      <c r="B271" s="2"/>
      <c r="C271" s="11"/>
      <c r="D271" s="11"/>
      <c r="E271" s="11"/>
      <c r="F271" s="11"/>
      <c r="G271" s="11"/>
      <c r="H271" s="12"/>
      <c r="I271" s="1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1"/>
      <c r="B272" s="2"/>
      <c r="C272" s="11"/>
      <c r="D272" s="11"/>
      <c r="E272" s="11"/>
      <c r="F272" s="11"/>
      <c r="G272" s="11"/>
      <c r="H272" s="12"/>
      <c r="I272" s="1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1"/>
      <c r="B273" s="2"/>
      <c r="C273" s="11"/>
      <c r="D273" s="11"/>
      <c r="E273" s="11"/>
      <c r="F273" s="11"/>
      <c r="G273" s="11"/>
      <c r="H273" s="12"/>
      <c r="I273" s="1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1"/>
      <c r="B274" s="2"/>
      <c r="C274" s="11"/>
      <c r="D274" s="11"/>
      <c r="E274" s="11"/>
      <c r="F274" s="11"/>
      <c r="G274" s="11"/>
      <c r="H274" s="12"/>
      <c r="I274" s="1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1"/>
      <c r="B275" s="2"/>
      <c r="C275" s="11"/>
      <c r="D275" s="11"/>
      <c r="E275" s="11"/>
      <c r="F275" s="11"/>
      <c r="G275" s="11"/>
      <c r="H275" s="12"/>
      <c r="I275" s="1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1"/>
      <c r="B276" s="2"/>
      <c r="C276" s="11"/>
      <c r="D276" s="11"/>
      <c r="E276" s="11"/>
      <c r="F276" s="11"/>
      <c r="G276" s="11"/>
      <c r="H276" s="12"/>
      <c r="I276" s="1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1"/>
      <c r="B277" s="2"/>
      <c r="C277" s="11"/>
      <c r="D277" s="11"/>
      <c r="E277" s="11"/>
      <c r="F277" s="11"/>
      <c r="G277" s="11"/>
      <c r="H277" s="12"/>
      <c r="I277" s="1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1"/>
      <c r="B278" s="2"/>
      <c r="C278" s="11"/>
      <c r="D278" s="11"/>
      <c r="E278" s="11"/>
      <c r="F278" s="11"/>
      <c r="G278" s="11"/>
      <c r="H278" s="12"/>
      <c r="I278" s="1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1"/>
      <c r="B279" s="2"/>
      <c r="C279" s="11"/>
      <c r="D279" s="11"/>
      <c r="E279" s="11"/>
      <c r="F279" s="11"/>
      <c r="G279" s="11"/>
      <c r="H279" s="12"/>
      <c r="I279" s="1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1"/>
      <c r="B280" s="2"/>
      <c r="C280" s="11"/>
      <c r="D280" s="11"/>
      <c r="E280" s="11"/>
      <c r="F280" s="11"/>
      <c r="G280" s="11"/>
      <c r="H280" s="12"/>
      <c r="I280" s="1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1"/>
      <c r="B281" s="2"/>
      <c r="C281" s="11"/>
      <c r="D281" s="11"/>
      <c r="E281" s="11"/>
      <c r="F281" s="11"/>
      <c r="G281" s="11"/>
      <c r="H281" s="12"/>
      <c r="I281" s="1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1"/>
      <c r="B282" s="2"/>
      <c r="C282" s="11"/>
      <c r="D282" s="11"/>
      <c r="E282" s="11"/>
      <c r="F282" s="11"/>
      <c r="G282" s="11"/>
      <c r="H282" s="12"/>
      <c r="I282" s="1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1"/>
      <c r="B283" s="2"/>
      <c r="C283" s="11"/>
      <c r="D283" s="11"/>
      <c r="E283" s="11"/>
      <c r="F283" s="11"/>
      <c r="G283" s="11"/>
      <c r="H283" s="12"/>
      <c r="I283" s="1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1"/>
      <c r="B284" s="2"/>
      <c r="C284" s="11"/>
      <c r="D284" s="11"/>
      <c r="E284" s="11"/>
      <c r="F284" s="11"/>
      <c r="G284" s="11"/>
      <c r="H284" s="12"/>
      <c r="I284" s="1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1"/>
      <c r="B285" s="2"/>
      <c r="C285" s="11"/>
      <c r="D285" s="11"/>
      <c r="E285" s="11"/>
      <c r="F285" s="11"/>
      <c r="G285" s="11"/>
      <c r="H285" s="12"/>
      <c r="I285" s="1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1"/>
      <c r="B286" s="2"/>
      <c r="C286" s="11"/>
      <c r="D286" s="11"/>
      <c r="E286" s="11"/>
      <c r="F286" s="11"/>
      <c r="G286" s="11"/>
      <c r="H286" s="12"/>
      <c r="I286" s="1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1"/>
      <c r="B287" s="2"/>
      <c r="C287" s="11"/>
      <c r="D287" s="11"/>
      <c r="E287" s="11"/>
      <c r="F287" s="11"/>
      <c r="G287" s="11"/>
      <c r="H287" s="12"/>
      <c r="I287" s="1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1"/>
      <c r="B288" s="2"/>
      <c r="C288" s="11"/>
      <c r="D288" s="11"/>
      <c r="E288" s="11"/>
      <c r="F288" s="11"/>
      <c r="G288" s="11"/>
      <c r="H288" s="12"/>
      <c r="I288" s="1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1"/>
      <c r="B289" s="2"/>
      <c r="C289" s="11"/>
      <c r="D289" s="11"/>
      <c r="E289" s="11"/>
      <c r="F289" s="11"/>
      <c r="G289" s="11"/>
      <c r="H289" s="12"/>
      <c r="I289" s="1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1"/>
      <c r="B290" s="2"/>
      <c r="C290" s="11"/>
      <c r="D290" s="11"/>
      <c r="E290" s="11"/>
      <c r="F290" s="11"/>
      <c r="G290" s="11"/>
      <c r="H290" s="12"/>
      <c r="I290" s="1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1"/>
      <c r="B291" s="2"/>
      <c r="C291" s="11"/>
      <c r="D291" s="11"/>
      <c r="E291" s="11"/>
      <c r="F291" s="11"/>
      <c r="G291" s="11"/>
      <c r="H291" s="12"/>
      <c r="I291" s="1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1"/>
      <c r="B292" s="2"/>
      <c r="C292" s="11"/>
      <c r="D292" s="11"/>
      <c r="E292" s="11"/>
      <c r="F292" s="11"/>
      <c r="G292" s="11"/>
      <c r="H292" s="12"/>
      <c r="I292" s="1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1"/>
      <c r="B293" s="2"/>
      <c r="C293" s="11"/>
      <c r="D293" s="11"/>
      <c r="E293" s="11"/>
      <c r="F293" s="11"/>
      <c r="G293" s="11"/>
      <c r="H293" s="12"/>
      <c r="I293" s="1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1"/>
      <c r="B294" s="2"/>
      <c r="C294" s="11"/>
      <c r="D294" s="11"/>
      <c r="E294" s="11"/>
      <c r="F294" s="11"/>
      <c r="G294" s="11"/>
      <c r="H294" s="12"/>
      <c r="I294" s="1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1"/>
      <c r="B295" s="2"/>
      <c r="C295" s="11"/>
      <c r="D295" s="11"/>
      <c r="E295" s="11"/>
      <c r="F295" s="11"/>
      <c r="G295" s="11"/>
      <c r="H295" s="12"/>
      <c r="I295" s="1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1"/>
      <c r="B296" s="2"/>
      <c r="C296" s="11"/>
      <c r="D296" s="11"/>
      <c r="E296" s="11"/>
      <c r="F296" s="11"/>
      <c r="G296" s="11"/>
      <c r="H296" s="12"/>
      <c r="I296" s="1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1"/>
      <c r="B297" s="2"/>
      <c r="C297" s="11"/>
      <c r="D297" s="11"/>
      <c r="E297" s="11"/>
      <c r="F297" s="11"/>
      <c r="G297" s="11"/>
      <c r="H297" s="12"/>
      <c r="I297" s="1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1"/>
      <c r="B298" s="2"/>
      <c r="C298" s="11"/>
      <c r="D298" s="11"/>
      <c r="E298" s="11"/>
      <c r="F298" s="11"/>
      <c r="G298" s="11"/>
      <c r="H298" s="12"/>
      <c r="I298" s="1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1"/>
      <c r="B299" s="2"/>
      <c r="C299" s="11"/>
      <c r="D299" s="11"/>
      <c r="E299" s="11"/>
      <c r="F299" s="11"/>
      <c r="G299" s="11"/>
      <c r="H299" s="12"/>
      <c r="I299" s="1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1"/>
      <c r="B300" s="2"/>
      <c r="C300" s="11"/>
      <c r="D300" s="11"/>
      <c r="E300" s="11"/>
      <c r="F300" s="11"/>
      <c r="G300" s="11"/>
      <c r="H300" s="12"/>
      <c r="I300" s="1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1"/>
      <c r="B301" s="2"/>
      <c r="C301" s="11"/>
      <c r="D301" s="11"/>
      <c r="E301" s="11"/>
      <c r="F301" s="11"/>
      <c r="G301" s="11"/>
      <c r="H301" s="12"/>
      <c r="I301" s="1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1"/>
      <c r="B302" s="2"/>
      <c r="C302" s="11"/>
      <c r="D302" s="11"/>
      <c r="E302" s="11"/>
      <c r="F302" s="11"/>
      <c r="G302" s="11"/>
      <c r="H302" s="12"/>
      <c r="I302" s="1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1"/>
      <c r="B303" s="2"/>
      <c r="C303" s="11"/>
      <c r="D303" s="11"/>
      <c r="E303" s="11"/>
      <c r="F303" s="11"/>
      <c r="G303" s="11"/>
      <c r="H303" s="12"/>
      <c r="I303" s="1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1"/>
      <c r="B304" s="2"/>
      <c r="C304" s="11"/>
      <c r="D304" s="11"/>
      <c r="E304" s="11"/>
      <c r="F304" s="11"/>
      <c r="G304" s="11"/>
      <c r="H304" s="12"/>
      <c r="I304" s="1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1"/>
      <c r="B305" s="2"/>
      <c r="C305" s="11"/>
      <c r="D305" s="11"/>
      <c r="E305" s="11"/>
      <c r="F305" s="11"/>
      <c r="G305" s="11"/>
      <c r="H305" s="12"/>
      <c r="I305" s="1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1"/>
      <c r="B306" s="2"/>
      <c r="C306" s="11"/>
      <c r="D306" s="11"/>
      <c r="E306" s="11"/>
      <c r="F306" s="11"/>
      <c r="G306" s="11"/>
      <c r="H306" s="12"/>
      <c r="I306" s="1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1"/>
      <c r="B307" s="2"/>
      <c r="C307" s="11"/>
      <c r="D307" s="11"/>
      <c r="E307" s="11"/>
      <c r="F307" s="11"/>
      <c r="G307" s="11"/>
      <c r="H307" s="12"/>
      <c r="I307" s="1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1"/>
      <c r="B308" s="2"/>
      <c r="C308" s="11"/>
      <c r="D308" s="11"/>
      <c r="E308" s="11"/>
      <c r="F308" s="11"/>
      <c r="G308" s="11"/>
      <c r="H308" s="12"/>
      <c r="I308" s="1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1"/>
      <c r="B309" s="2"/>
      <c r="C309" s="11"/>
      <c r="D309" s="11"/>
      <c r="E309" s="11"/>
      <c r="F309" s="11"/>
      <c r="G309" s="11"/>
      <c r="H309" s="12"/>
      <c r="I309" s="1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1"/>
      <c r="B310" s="2"/>
      <c r="C310" s="11"/>
      <c r="D310" s="11"/>
      <c r="E310" s="11"/>
      <c r="F310" s="11"/>
      <c r="G310" s="11"/>
      <c r="H310" s="12"/>
      <c r="I310" s="1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1"/>
      <c r="B311" s="2"/>
      <c r="C311" s="11"/>
      <c r="D311" s="11"/>
      <c r="E311" s="11"/>
      <c r="F311" s="11"/>
      <c r="G311" s="11"/>
      <c r="H311" s="12"/>
      <c r="I311" s="1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1"/>
      <c r="B312" s="2"/>
      <c r="C312" s="11"/>
      <c r="D312" s="11"/>
      <c r="E312" s="11"/>
      <c r="F312" s="11"/>
      <c r="G312" s="11"/>
      <c r="H312" s="12"/>
      <c r="I312" s="1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1"/>
      <c r="B313" s="2"/>
      <c r="C313" s="11"/>
      <c r="D313" s="11"/>
      <c r="E313" s="11"/>
      <c r="F313" s="11"/>
      <c r="G313" s="11"/>
      <c r="H313" s="12"/>
      <c r="I313" s="1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1"/>
      <c r="B314" s="2"/>
      <c r="C314" s="11"/>
      <c r="D314" s="11"/>
      <c r="E314" s="11"/>
      <c r="F314" s="11"/>
      <c r="G314" s="11"/>
      <c r="H314" s="12"/>
      <c r="I314" s="1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1"/>
      <c r="B315" s="2"/>
      <c r="C315" s="11"/>
      <c r="D315" s="11"/>
      <c r="E315" s="11"/>
      <c r="F315" s="11"/>
      <c r="G315" s="11"/>
      <c r="H315" s="12"/>
      <c r="I315" s="1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1"/>
      <c r="B316" s="2"/>
      <c r="C316" s="11"/>
      <c r="D316" s="11"/>
      <c r="E316" s="11"/>
      <c r="F316" s="11"/>
      <c r="G316" s="11"/>
      <c r="H316" s="12"/>
      <c r="I316" s="1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1"/>
      <c r="B317" s="2"/>
      <c r="C317" s="11"/>
      <c r="D317" s="11"/>
      <c r="E317" s="11"/>
      <c r="F317" s="11"/>
      <c r="G317" s="11"/>
      <c r="H317" s="12"/>
      <c r="I317" s="1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1"/>
      <c r="B318" s="2"/>
      <c r="C318" s="11"/>
      <c r="D318" s="11"/>
      <c r="E318" s="11"/>
      <c r="F318" s="11"/>
      <c r="G318" s="11"/>
      <c r="H318" s="12"/>
      <c r="I318" s="1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1"/>
      <c r="B319" s="2"/>
      <c r="C319" s="11"/>
      <c r="D319" s="11"/>
      <c r="E319" s="11"/>
      <c r="F319" s="11"/>
      <c r="G319" s="11"/>
      <c r="H319" s="12"/>
      <c r="I319" s="1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1"/>
      <c r="B320" s="2"/>
      <c r="C320" s="11"/>
      <c r="D320" s="11"/>
      <c r="E320" s="11"/>
      <c r="F320" s="11"/>
      <c r="G320" s="11"/>
      <c r="H320" s="12"/>
      <c r="I320" s="1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1"/>
      <c r="B321" s="2"/>
      <c r="C321" s="11"/>
      <c r="D321" s="11"/>
      <c r="E321" s="11"/>
      <c r="F321" s="11"/>
      <c r="G321" s="11"/>
      <c r="H321" s="12"/>
      <c r="I321" s="1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1"/>
      <c r="B322" s="2"/>
      <c r="C322" s="11"/>
      <c r="D322" s="11"/>
      <c r="E322" s="11"/>
      <c r="F322" s="11"/>
      <c r="G322" s="11"/>
      <c r="H322" s="12"/>
      <c r="I322" s="1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1"/>
      <c r="B323" s="2"/>
      <c r="C323" s="11"/>
      <c r="D323" s="11"/>
      <c r="E323" s="11"/>
      <c r="F323" s="11"/>
      <c r="G323" s="11"/>
      <c r="H323" s="12"/>
      <c r="I323" s="1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1"/>
      <c r="B324" s="2"/>
      <c r="C324" s="11"/>
      <c r="D324" s="11"/>
      <c r="E324" s="11"/>
      <c r="F324" s="11"/>
      <c r="G324" s="11"/>
      <c r="H324" s="12"/>
      <c r="I324" s="1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1"/>
      <c r="B325" s="2"/>
      <c r="C325" s="11"/>
      <c r="D325" s="11"/>
      <c r="E325" s="11"/>
      <c r="F325" s="11"/>
      <c r="G325" s="11"/>
      <c r="H325" s="12"/>
      <c r="I325" s="1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1"/>
      <c r="B326" s="2"/>
      <c r="C326" s="11"/>
      <c r="D326" s="11"/>
      <c r="E326" s="11"/>
      <c r="F326" s="11"/>
      <c r="G326" s="11"/>
      <c r="H326" s="12"/>
      <c r="I326" s="1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1"/>
      <c r="B327" s="2"/>
      <c r="C327" s="11"/>
      <c r="D327" s="11"/>
      <c r="E327" s="11"/>
      <c r="F327" s="11"/>
      <c r="G327" s="11"/>
      <c r="H327" s="12"/>
      <c r="I327" s="1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1"/>
      <c r="B328" s="2"/>
      <c r="C328" s="11"/>
      <c r="D328" s="11"/>
      <c r="E328" s="11"/>
      <c r="F328" s="11"/>
      <c r="G328" s="11"/>
      <c r="H328" s="12"/>
      <c r="I328" s="1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1"/>
      <c r="B329" s="2"/>
      <c r="C329" s="11"/>
      <c r="D329" s="11"/>
      <c r="E329" s="11"/>
      <c r="F329" s="11"/>
      <c r="G329" s="11"/>
      <c r="H329" s="12"/>
      <c r="I329" s="1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1"/>
      <c r="B330" s="2"/>
      <c r="C330" s="11"/>
      <c r="D330" s="11"/>
      <c r="E330" s="11"/>
      <c r="F330" s="11"/>
      <c r="G330" s="11"/>
      <c r="H330" s="12"/>
      <c r="I330" s="1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1"/>
      <c r="B331" s="2"/>
      <c r="C331" s="11"/>
      <c r="D331" s="11"/>
      <c r="E331" s="11"/>
      <c r="F331" s="11"/>
      <c r="G331" s="11"/>
      <c r="H331" s="12"/>
      <c r="I331" s="1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1"/>
      <c r="B332" s="2"/>
      <c r="C332" s="11"/>
      <c r="D332" s="11"/>
      <c r="E332" s="11"/>
      <c r="F332" s="11"/>
      <c r="G332" s="11"/>
      <c r="H332" s="12"/>
      <c r="I332" s="1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1"/>
      <c r="B333" s="2"/>
      <c r="C333" s="11"/>
      <c r="D333" s="11"/>
      <c r="E333" s="11"/>
      <c r="F333" s="11"/>
      <c r="G333" s="11"/>
      <c r="H333" s="12"/>
      <c r="I333" s="1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1"/>
      <c r="B334" s="2"/>
      <c r="C334" s="11"/>
      <c r="D334" s="11"/>
      <c r="E334" s="11"/>
      <c r="F334" s="11"/>
      <c r="G334" s="11"/>
      <c r="H334" s="12"/>
      <c r="I334" s="1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1"/>
      <c r="B335" s="2"/>
      <c r="C335" s="11"/>
      <c r="D335" s="11"/>
      <c r="E335" s="11"/>
      <c r="F335" s="11"/>
      <c r="G335" s="11"/>
      <c r="H335" s="12"/>
      <c r="I335" s="1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1"/>
      <c r="B336" s="2"/>
      <c r="C336" s="11"/>
      <c r="D336" s="11"/>
      <c r="E336" s="11"/>
      <c r="F336" s="11"/>
      <c r="G336" s="11"/>
      <c r="H336" s="12"/>
      <c r="I336" s="1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1"/>
      <c r="B337" s="2"/>
      <c r="C337" s="11"/>
      <c r="D337" s="11"/>
      <c r="E337" s="11"/>
      <c r="F337" s="11"/>
      <c r="G337" s="11"/>
      <c r="H337" s="12"/>
      <c r="I337" s="1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1"/>
      <c r="B338" s="2"/>
      <c r="C338" s="11"/>
      <c r="D338" s="11"/>
      <c r="E338" s="11"/>
      <c r="F338" s="11"/>
      <c r="G338" s="11"/>
      <c r="H338" s="12"/>
      <c r="I338" s="1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1"/>
      <c r="B339" s="2"/>
      <c r="C339" s="11"/>
      <c r="D339" s="11"/>
      <c r="E339" s="11"/>
      <c r="F339" s="11"/>
      <c r="G339" s="11"/>
      <c r="H339" s="12"/>
      <c r="I339" s="1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1"/>
      <c r="B340" s="2"/>
      <c r="C340" s="11"/>
      <c r="D340" s="11"/>
      <c r="E340" s="11"/>
      <c r="F340" s="11"/>
      <c r="G340" s="11"/>
      <c r="H340" s="12"/>
      <c r="I340" s="1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1"/>
      <c r="B341" s="2"/>
      <c r="C341" s="11"/>
      <c r="D341" s="11"/>
      <c r="E341" s="11"/>
      <c r="F341" s="11"/>
      <c r="G341" s="11"/>
      <c r="H341" s="12"/>
      <c r="I341" s="1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1"/>
      <c r="B342" s="2"/>
      <c r="C342" s="11"/>
      <c r="D342" s="11"/>
      <c r="E342" s="11"/>
      <c r="F342" s="11"/>
      <c r="G342" s="11"/>
      <c r="H342" s="12"/>
      <c r="I342" s="1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1"/>
      <c r="B343" s="2"/>
      <c r="C343" s="11"/>
      <c r="D343" s="11"/>
      <c r="E343" s="11"/>
      <c r="F343" s="11"/>
      <c r="G343" s="11"/>
      <c r="H343" s="12"/>
      <c r="I343" s="1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1"/>
      <c r="B344" s="2"/>
      <c r="C344" s="11"/>
      <c r="D344" s="11"/>
      <c r="E344" s="11"/>
      <c r="F344" s="11"/>
      <c r="G344" s="11"/>
      <c r="H344" s="12"/>
      <c r="I344" s="1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1"/>
      <c r="B345" s="2"/>
      <c r="C345" s="11"/>
      <c r="D345" s="11"/>
      <c r="E345" s="11"/>
      <c r="F345" s="11"/>
      <c r="G345" s="11"/>
      <c r="H345" s="12"/>
      <c r="I345" s="1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1"/>
      <c r="B346" s="2"/>
      <c r="C346" s="11"/>
      <c r="D346" s="11"/>
      <c r="E346" s="11"/>
      <c r="F346" s="11"/>
      <c r="G346" s="11"/>
      <c r="H346" s="12"/>
      <c r="I346" s="1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1"/>
      <c r="B347" s="2"/>
      <c r="C347" s="11"/>
      <c r="D347" s="11"/>
      <c r="E347" s="11"/>
      <c r="F347" s="11"/>
      <c r="G347" s="11"/>
      <c r="H347" s="12"/>
      <c r="I347" s="1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1"/>
      <c r="B348" s="2"/>
      <c r="C348" s="11"/>
      <c r="D348" s="11"/>
      <c r="E348" s="11"/>
      <c r="F348" s="11"/>
      <c r="G348" s="11"/>
      <c r="H348" s="12"/>
      <c r="I348" s="1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1"/>
      <c r="B349" s="2"/>
      <c r="C349" s="11"/>
      <c r="D349" s="11"/>
      <c r="E349" s="11"/>
      <c r="F349" s="11"/>
      <c r="G349" s="11"/>
      <c r="H349" s="12"/>
      <c r="I349" s="1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1"/>
      <c r="B350" s="2"/>
      <c r="C350" s="11"/>
      <c r="D350" s="11"/>
      <c r="E350" s="11"/>
      <c r="F350" s="11"/>
      <c r="G350" s="11"/>
      <c r="H350" s="12"/>
      <c r="I350" s="1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1"/>
      <c r="B351" s="2"/>
      <c r="C351" s="11"/>
      <c r="D351" s="11"/>
      <c r="E351" s="11"/>
      <c r="F351" s="11"/>
      <c r="G351" s="11"/>
      <c r="H351" s="12"/>
      <c r="I351" s="1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1"/>
      <c r="B352" s="2"/>
      <c r="C352" s="11"/>
      <c r="D352" s="11"/>
      <c r="E352" s="11"/>
      <c r="F352" s="11"/>
      <c r="G352" s="11"/>
      <c r="H352" s="12"/>
      <c r="I352" s="1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1"/>
      <c r="B353" s="2"/>
      <c r="C353" s="11"/>
      <c r="D353" s="11"/>
      <c r="E353" s="11"/>
      <c r="F353" s="11"/>
      <c r="G353" s="11"/>
      <c r="H353" s="12"/>
      <c r="I353" s="1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1"/>
      <c r="B354" s="2"/>
      <c r="C354" s="11"/>
      <c r="D354" s="11"/>
      <c r="E354" s="11"/>
      <c r="F354" s="11"/>
      <c r="G354" s="11"/>
      <c r="H354" s="12"/>
      <c r="I354" s="1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1"/>
      <c r="B355" s="2"/>
      <c r="C355" s="11"/>
      <c r="D355" s="11"/>
      <c r="E355" s="11"/>
      <c r="F355" s="11"/>
      <c r="G355" s="11"/>
      <c r="H355" s="12"/>
      <c r="I355" s="1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1"/>
      <c r="B356" s="2"/>
      <c r="C356" s="11"/>
      <c r="D356" s="11"/>
      <c r="E356" s="11"/>
      <c r="F356" s="11"/>
      <c r="G356" s="11"/>
      <c r="H356" s="12"/>
      <c r="I356" s="1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1"/>
      <c r="B357" s="2"/>
      <c r="C357" s="11"/>
      <c r="D357" s="11"/>
      <c r="E357" s="11"/>
      <c r="F357" s="11"/>
      <c r="G357" s="11"/>
      <c r="H357" s="12"/>
      <c r="I357" s="1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1"/>
      <c r="B358" s="2"/>
      <c r="C358" s="11"/>
      <c r="D358" s="11"/>
      <c r="E358" s="11"/>
      <c r="F358" s="11"/>
      <c r="G358" s="11"/>
      <c r="H358" s="12"/>
      <c r="I358" s="1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1"/>
      <c r="B359" s="2"/>
      <c r="C359" s="11"/>
      <c r="D359" s="11"/>
      <c r="E359" s="11"/>
      <c r="F359" s="11"/>
      <c r="G359" s="11"/>
      <c r="H359" s="12"/>
      <c r="I359" s="1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1"/>
      <c r="B360" s="2"/>
      <c r="C360" s="11"/>
      <c r="D360" s="11"/>
      <c r="E360" s="11"/>
      <c r="F360" s="11"/>
      <c r="G360" s="11"/>
      <c r="H360" s="12"/>
      <c r="I360" s="1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1"/>
      <c r="B361" s="2"/>
      <c r="C361" s="11"/>
      <c r="D361" s="11"/>
      <c r="E361" s="11"/>
      <c r="F361" s="11"/>
      <c r="G361" s="11"/>
      <c r="H361" s="12"/>
      <c r="I361" s="1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1"/>
      <c r="B362" s="2"/>
      <c r="C362" s="11"/>
      <c r="D362" s="11"/>
      <c r="E362" s="11"/>
      <c r="F362" s="11"/>
      <c r="G362" s="11"/>
      <c r="H362" s="12"/>
      <c r="I362" s="1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1"/>
      <c r="B363" s="2"/>
      <c r="C363" s="11"/>
      <c r="D363" s="11"/>
      <c r="E363" s="11"/>
      <c r="F363" s="11"/>
      <c r="G363" s="11"/>
      <c r="H363" s="12"/>
      <c r="I363" s="1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1"/>
      <c r="B364" s="2"/>
      <c r="C364" s="11"/>
      <c r="D364" s="11"/>
      <c r="E364" s="11"/>
      <c r="F364" s="11"/>
      <c r="G364" s="11"/>
      <c r="H364" s="12"/>
      <c r="I364" s="1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1"/>
      <c r="B365" s="2"/>
      <c r="C365" s="11"/>
      <c r="D365" s="11"/>
      <c r="E365" s="11"/>
      <c r="F365" s="11"/>
      <c r="G365" s="11"/>
      <c r="H365" s="12"/>
      <c r="I365" s="1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1"/>
      <c r="B366" s="2"/>
      <c r="C366" s="11"/>
      <c r="D366" s="11"/>
      <c r="E366" s="11"/>
      <c r="F366" s="11"/>
      <c r="G366" s="11"/>
      <c r="H366" s="12"/>
      <c r="I366" s="1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1"/>
      <c r="B367" s="2"/>
      <c r="C367" s="11"/>
      <c r="D367" s="11"/>
      <c r="E367" s="11"/>
      <c r="F367" s="11"/>
      <c r="G367" s="11"/>
      <c r="H367" s="12"/>
      <c r="I367" s="1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1"/>
      <c r="B368" s="2"/>
      <c r="C368" s="11"/>
      <c r="D368" s="11"/>
      <c r="E368" s="11"/>
      <c r="F368" s="11"/>
      <c r="G368" s="11"/>
      <c r="H368" s="12"/>
      <c r="I368" s="1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1"/>
      <c r="B369" s="2"/>
      <c r="C369" s="11"/>
      <c r="D369" s="11"/>
      <c r="E369" s="11"/>
      <c r="F369" s="11"/>
      <c r="G369" s="11"/>
      <c r="H369" s="12"/>
      <c r="I369" s="1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1"/>
      <c r="B370" s="2"/>
      <c r="C370" s="11"/>
      <c r="D370" s="11"/>
      <c r="E370" s="11"/>
      <c r="F370" s="11"/>
      <c r="G370" s="11"/>
      <c r="H370" s="12"/>
      <c r="I370" s="1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1"/>
      <c r="B371" s="2"/>
      <c r="C371" s="11"/>
      <c r="D371" s="11"/>
      <c r="E371" s="11"/>
      <c r="F371" s="11"/>
      <c r="G371" s="11"/>
      <c r="H371" s="12"/>
      <c r="I371" s="1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1"/>
      <c r="B372" s="2"/>
      <c r="C372" s="11"/>
      <c r="D372" s="11"/>
      <c r="E372" s="11"/>
      <c r="F372" s="11"/>
      <c r="G372" s="11"/>
      <c r="H372" s="12"/>
      <c r="I372" s="1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1"/>
      <c r="B373" s="2"/>
      <c r="C373" s="11"/>
      <c r="D373" s="11"/>
      <c r="E373" s="11"/>
      <c r="F373" s="11"/>
      <c r="G373" s="11"/>
      <c r="H373" s="12"/>
      <c r="I373" s="1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1"/>
      <c r="B374" s="2"/>
      <c r="C374" s="11"/>
      <c r="D374" s="11"/>
      <c r="E374" s="11"/>
      <c r="F374" s="11"/>
      <c r="G374" s="11"/>
      <c r="H374" s="12"/>
      <c r="I374" s="1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1"/>
      <c r="B375" s="2"/>
      <c r="C375" s="11"/>
      <c r="D375" s="11"/>
      <c r="E375" s="11"/>
      <c r="F375" s="11"/>
      <c r="G375" s="11"/>
      <c r="H375" s="12"/>
      <c r="I375" s="1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1"/>
      <c r="B376" s="2"/>
      <c r="C376" s="11"/>
      <c r="D376" s="11"/>
      <c r="E376" s="11"/>
      <c r="F376" s="11"/>
      <c r="G376" s="11"/>
      <c r="H376" s="12"/>
      <c r="I376" s="1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1"/>
      <c r="B377" s="2"/>
      <c r="C377" s="11"/>
      <c r="D377" s="11"/>
      <c r="E377" s="11"/>
      <c r="F377" s="11"/>
      <c r="G377" s="11"/>
      <c r="H377" s="12"/>
      <c r="I377" s="1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1"/>
      <c r="B378" s="2"/>
      <c r="C378" s="11"/>
      <c r="D378" s="11"/>
      <c r="E378" s="11"/>
      <c r="F378" s="11"/>
      <c r="G378" s="11"/>
      <c r="H378" s="12"/>
      <c r="I378" s="1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1"/>
      <c r="B379" s="2"/>
      <c r="C379" s="11"/>
      <c r="D379" s="11"/>
      <c r="E379" s="11"/>
      <c r="F379" s="11"/>
      <c r="G379" s="11"/>
      <c r="H379" s="12"/>
      <c r="I379" s="1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1"/>
      <c r="B380" s="2"/>
      <c r="C380" s="11"/>
      <c r="D380" s="11"/>
      <c r="E380" s="11"/>
      <c r="F380" s="11"/>
      <c r="G380" s="11"/>
      <c r="H380" s="12"/>
      <c r="I380" s="1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1"/>
      <c r="B381" s="2"/>
      <c r="C381" s="11"/>
      <c r="D381" s="11"/>
      <c r="E381" s="11"/>
      <c r="F381" s="11"/>
      <c r="G381" s="11"/>
      <c r="H381" s="12"/>
      <c r="I381" s="1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1"/>
      <c r="B382" s="2"/>
      <c r="C382" s="11"/>
      <c r="D382" s="11"/>
      <c r="E382" s="11"/>
      <c r="F382" s="11"/>
      <c r="G382" s="11"/>
      <c r="H382" s="12"/>
      <c r="I382" s="1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1"/>
      <c r="B383" s="2"/>
      <c r="C383" s="11"/>
      <c r="D383" s="11"/>
      <c r="E383" s="11"/>
      <c r="F383" s="11"/>
      <c r="G383" s="11"/>
      <c r="H383" s="12"/>
      <c r="I383" s="1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1"/>
      <c r="B384" s="2"/>
      <c r="C384" s="11"/>
      <c r="D384" s="11"/>
      <c r="E384" s="11"/>
      <c r="F384" s="11"/>
      <c r="G384" s="11"/>
      <c r="H384" s="12"/>
      <c r="I384" s="1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1"/>
      <c r="B385" s="2"/>
      <c r="C385" s="11"/>
      <c r="D385" s="11"/>
      <c r="E385" s="11"/>
      <c r="F385" s="11"/>
      <c r="G385" s="11"/>
      <c r="H385" s="12"/>
      <c r="I385" s="1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1"/>
      <c r="B386" s="2"/>
      <c r="C386" s="11"/>
      <c r="D386" s="11"/>
      <c r="E386" s="11"/>
      <c r="F386" s="11"/>
      <c r="G386" s="11"/>
      <c r="H386" s="12"/>
      <c r="I386" s="1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1"/>
      <c r="B387" s="2"/>
      <c r="C387" s="11"/>
      <c r="D387" s="11"/>
      <c r="E387" s="11"/>
      <c r="F387" s="11"/>
      <c r="G387" s="11"/>
      <c r="H387" s="12"/>
      <c r="I387" s="1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1"/>
      <c r="B388" s="2"/>
      <c r="C388" s="11"/>
      <c r="D388" s="11"/>
      <c r="E388" s="11"/>
      <c r="F388" s="11"/>
      <c r="G388" s="11"/>
      <c r="H388" s="12"/>
      <c r="I388" s="1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1"/>
      <c r="B389" s="2"/>
      <c r="C389" s="11"/>
      <c r="D389" s="11"/>
      <c r="E389" s="11"/>
      <c r="F389" s="11"/>
      <c r="G389" s="11"/>
      <c r="H389" s="12"/>
      <c r="I389" s="1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1"/>
      <c r="B390" s="2"/>
      <c r="C390" s="11"/>
      <c r="D390" s="11"/>
      <c r="E390" s="11"/>
      <c r="F390" s="11"/>
      <c r="G390" s="11"/>
      <c r="H390" s="12"/>
      <c r="I390" s="1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1"/>
      <c r="B391" s="2"/>
      <c r="C391" s="11"/>
      <c r="D391" s="11"/>
      <c r="E391" s="11"/>
      <c r="F391" s="11"/>
      <c r="G391" s="11"/>
      <c r="H391" s="12"/>
      <c r="I391" s="1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1"/>
      <c r="B392" s="2"/>
      <c r="C392" s="11"/>
      <c r="D392" s="11"/>
      <c r="E392" s="11"/>
      <c r="F392" s="11"/>
      <c r="G392" s="11"/>
      <c r="H392" s="12"/>
      <c r="I392" s="1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1"/>
      <c r="B393" s="2"/>
      <c r="C393" s="11"/>
      <c r="D393" s="11"/>
      <c r="E393" s="11"/>
      <c r="F393" s="11"/>
      <c r="G393" s="11"/>
      <c r="H393" s="12"/>
      <c r="I393" s="1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1"/>
      <c r="B394" s="2"/>
      <c r="C394" s="11"/>
      <c r="D394" s="11"/>
      <c r="E394" s="11"/>
      <c r="F394" s="11"/>
      <c r="G394" s="11"/>
      <c r="H394" s="12"/>
      <c r="I394" s="1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1"/>
      <c r="B395" s="2"/>
      <c r="C395" s="11"/>
      <c r="D395" s="11"/>
      <c r="E395" s="11"/>
      <c r="F395" s="11"/>
      <c r="G395" s="11"/>
      <c r="H395" s="12"/>
      <c r="I395" s="1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1"/>
      <c r="B396" s="2"/>
      <c r="C396" s="11"/>
      <c r="D396" s="11"/>
      <c r="E396" s="11"/>
      <c r="F396" s="11"/>
      <c r="G396" s="11"/>
      <c r="H396" s="12"/>
      <c r="I396" s="1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1"/>
      <c r="B397" s="2"/>
      <c r="C397" s="11"/>
      <c r="D397" s="11"/>
      <c r="E397" s="11"/>
      <c r="F397" s="11"/>
      <c r="G397" s="11"/>
      <c r="H397" s="12"/>
      <c r="I397" s="1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1"/>
      <c r="B398" s="2"/>
      <c r="C398" s="11"/>
      <c r="D398" s="11"/>
      <c r="E398" s="11"/>
      <c r="F398" s="11"/>
      <c r="G398" s="11"/>
      <c r="H398" s="12"/>
      <c r="I398" s="1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1"/>
      <c r="B399" s="2"/>
      <c r="C399" s="11"/>
      <c r="D399" s="11"/>
      <c r="E399" s="11"/>
      <c r="F399" s="11"/>
      <c r="G399" s="11"/>
      <c r="H399" s="12"/>
      <c r="I399" s="1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1"/>
      <c r="B400" s="2"/>
      <c r="C400" s="11"/>
      <c r="D400" s="11"/>
      <c r="E400" s="11"/>
      <c r="F400" s="11"/>
      <c r="G400" s="11"/>
      <c r="H400" s="12"/>
      <c r="I400" s="1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1"/>
      <c r="B401" s="2"/>
      <c r="C401" s="11"/>
      <c r="D401" s="11"/>
      <c r="E401" s="11"/>
      <c r="F401" s="11"/>
      <c r="G401" s="11"/>
      <c r="H401" s="12"/>
      <c r="I401" s="1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1"/>
      <c r="B402" s="2"/>
      <c r="C402" s="11"/>
      <c r="D402" s="11"/>
      <c r="E402" s="11"/>
      <c r="F402" s="11"/>
      <c r="G402" s="11"/>
      <c r="H402" s="12"/>
      <c r="I402" s="1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1"/>
      <c r="B403" s="2"/>
      <c r="C403" s="11"/>
      <c r="D403" s="11"/>
      <c r="E403" s="11"/>
      <c r="F403" s="11"/>
      <c r="G403" s="11"/>
      <c r="H403" s="12"/>
      <c r="I403" s="1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1"/>
      <c r="B404" s="2"/>
      <c r="C404" s="11"/>
      <c r="D404" s="11"/>
      <c r="E404" s="11"/>
      <c r="F404" s="11"/>
      <c r="G404" s="11"/>
      <c r="H404" s="12"/>
      <c r="I404" s="1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1"/>
      <c r="B405" s="2"/>
      <c r="C405" s="11"/>
      <c r="D405" s="11"/>
      <c r="E405" s="11"/>
      <c r="F405" s="11"/>
      <c r="G405" s="11"/>
      <c r="H405" s="12"/>
      <c r="I405" s="1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1"/>
      <c r="B406" s="2"/>
      <c r="C406" s="11"/>
      <c r="D406" s="11"/>
      <c r="E406" s="11"/>
      <c r="F406" s="11"/>
      <c r="G406" s="11"/>
      <c r="H406" s="12"/>
      <c r="I406" s="1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1"/>
      <c r="B407" s="2"/>
      <c r="C407" s="11"/>
      <c r="D407" s="11"/>
      <c r="E407" s="11"/>
      <c r="F407" s="11"/>
      <c r="G407" s="11"/>
      <c r="H407" s="12"/>
      <c r="I407" s="1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1"/>
      <c r="B408" s="2"/>
      <c r="C408" s="11"/>
      <c r="D408" s="11"/>
      <c r="E408" s="11"/>
      <c r="F408" s="11"/>
      <c r="G408" s="11"/>
      <c r="H408" s="12"/>
      <c r="I408" s="1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1"/>
      <c r="B409" s="2"/>
      <c r="C409" s="11"/>
      <c r="D409" s="11"/>
      <c r="E409" s="11"/>
      <c r="F409" s="11"/>
      <c r="G409" s="11"/>
      <c r="H409" s="12"/>
      <c r="I409" s="1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1"/>
      <c r="B410" s="2"/>
      <c r="C410" s="11"/>
      <c r="D410" s="11"/>
      <c r="E410" s="11"/>
      <c r="F410" s="11"/>
      <c r="G410" s="11"/>
      <c r="H410" s="12"/>
      <c r="I410" s="1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1"/>
      <c r="B411" s="2"/>
      <c r="C411" s="11"/>
      <c r="D411" s="11"/>
      <c r="E411" s="11"/>
      <c r="F411" s="11"/>
      <c r="G411" s="11"/>
      <c r="H411" s="12"/>
      <c r="I411" s="1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1"/>
      <c r="B412" s="2"/>
      <c r="C412" s="11"/>
      <c r="D412" s="11"/>
      <c r="E412" s="11"/>
      <c r="F412" s="11"/>
      <c r="G412" s="11"/>
      <c r="H412" s="12"/>
      <c r="I412" s="1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1"/>
      <c r="B413" s="2"/>
      <c r="C413" s="11"/>
      <c r="D413" s="11"/>
      <c r="E413" s="11"/>
      <c r="F413" s="11"/>
      <c r="G413" s="11"/>
      <c r="H413" s="12"/>
      <c r="I413" s="1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1"/>
      <c r="B414" s="2"/>
      <c r="C414" s="11"/>
      <c r="D414" s="11"/>
      <c r="E414" s="11"/>
      <c r="F414" s="11"/>
      <c r="G414" s="11"/>
      <c r="H414" s="12"/>
      <c r="I414" s="1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1"/>
      <c r="B415" s="2"/>
      <c r="C415" s="11"/>
      <c r="D415" s="11"/>
      <c r="E415" s="11"/>
      <c r="F415" s="11"/>
      <c r="G415" s="11"/>
      <c r="H415" s="12"/>
      <c r="I415" s="1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1"/>
      <c r="B416" s="2"/>
      <c r="C416" s="11"/>
      <c r="D416" s="11"/>
      <c r="E416" s="11"/>
      <c r="F416" s="11"/>
      <c r="G416" s="11"/>
      <c r="H416" s="12"/>
      <c r="I416" s="1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1"/>
      <c r="B417" s="2"/>
      <c r="C417" s="11"/>
      <c r="D417" s="11"/>
      <c r="E417" s="11"/>
      <c r="F417" s="11"/>
      <c r="G417" s="11"/>
      <c r="H417" s="12"/>
      <c r="I417" s="1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1"/>
      <c r="B418" s="2"/>
      <c r="C418" s="11"/>
      <c r="D418" s="11"/>
      <c r="E418" s="11"/>
      <c r="F418" s="11"/>
      <c r="G418" s="11"/>
      <c r="H418" s="12"/>
      <c r="I418" s="1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1"/>
      <c r="B419" s="2"/>
      <c r="C419" s="11"/>
      <c r="D419" s="11"/>
      <c r="E419" s="11"/>
      <c r="F419" s="11"/>
      <c r="G419" s="11"/>
      <c r="H419" s="12"/>
      <c r="I419" s="1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1"/>
      <c r="B420" s="2"/>
      <c r="C420" s="11"/>
      <c r="D420" s="11"/>
      <c r="E420" s="11"/>
      <c r="F420" s="11"/>
      <c r="G420" s="11"/>
      <c r="H420" s="12"/>
      <c r="I420" s="1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1"/>
      <c r="B421" s="2"/>
      <c r="C421" s="11"/>
      <c r="D421" s="11"/>
      <c r="E421" s="11"/>
      <c r="F421" s="11"/>
      <c r="G421" s="11"/>
      <c r="H421" s="12"/>
      <c r="I421" s="1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1"/>
      <c r="B422" s="2"/>
      <c r="C422" s="11"/>
      <c r="D422" s="11"/>
      <c r="E422" s="11"/>
      <c r="F422" s="11"/>
      <c r="G422" s="11"/>
      <c r="H422" s="12"/>
      <c r="I422" s="1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1"/>
      <c r="B423" s="2"/>
      <c r="C423" s="11"/>
      <c r="D423" s="11"/>
      <c r="E423" s="11"/>
      <c r="F423" s="11"/>
      <c r="G423" s="11"/>
      <c r="H423" s="12"/>
      <c r="I423" s="1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1"/>
      <c r="B424" s="2"/>
      <c r="C424" s="11"/>
      <c r="D424" s="11"/>
      <c r="E424" s="11"/>
      <c r="F424" s="11"/>
      <c r="G424" s="11"/>
      <c r="H424" s="12"/>
      <c r="I424" s="1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1"/>
      <c r="B425" s="2"/>
      <c r="C425" s="11"/>
      <c r="D425" s="11"/>
      <c r="E425" s="11"/>
      <c r="F425" s="11"/>
      <c r="G425" s="11"/>
      <c r="H425" s="12"/>
      <c r="I425" s="1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1"/>
      <c r="B426" s="2"/>
      <c r="C426" s="11"/>
      <c r="D426" s="11"/>
      <c r="E426" s="11"/>
      <c r="F426" s="11"/>
      <c r="G426" s="11"/>
      <c r="H426" s="12"/>
      <c r="I426" s="1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1"/>
      <c r="B427" s="2"/>
      <c r="C427" s="11"/>
      <c r="D427" s="11"/>
      <c r="E427" s="11"/>
      <c r="F427" s="11"/>
      <c r="G427" s="11"/>
      <c r="H427" s="12"/>
      <c r="I427" s="1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1"/>
      <c r="B428" s="2"/>
      <c r="C428" s="11"/>
      <c r="D428" s="11"/>
      <c r="E428" s="11"/>
      <c r="F428" s="11"/>
      <c r="G428" s="11"/>
      <c r="H428" s="12"/>
      <c r="I428" s="1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1"/>
      <c r="B429" s="2"/>
      <c r="C429" s="11"/>
      <c r="D429" s="11"/>
      <c r="E429" s="11"/>
      <c r="F429" s="11"/>
      <c r="G429" s="11"/>
      <c r="H429" s="12"/>
      <c r="I429" s="1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1"/>
      <c r="B430" s="2"/>
      <c r="C430" s="11"/>
      <c r="D430" s="11"/>
      <c r="E430" s="11"/>
      <c r="F430" s="11"/>
      <c r="G430" s="11"/>
      <c r="H430" s="12"/>
      <c r="I430" s="1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1"/>
      <c r="B431" s="2"/>
      <c r="C431" s="11"/>
      <c r="D431" s="11"/>
      <c r="E431" s="11"/>
      <c r="F431" s="11"/>
      <c r="G431" s="11"/>
      <c r="H431" s="12"/>
      <c r="I431" s="1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1"/>
      <c r="B432" s="2"/>
      <c r="C432" s="11"/>
      <c r="D432" s="11"/>
      <c r="E432" s="11"/>
      <c r="F432" s="11"/>
      <c r="G432" s="11"/>
      <c r="H432" s="12"/>
      <c r="I432" s="1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1"/>
      <c r="B433" s="2"/>
      <c r="C433" s="11"/>
      <c r="D433" s="11"/>
      <c r="E433" s="11"/>
      <c r="F433" s="11"/>
      <c r="G433" s="11"/>
      <c r="H433" s="12"/>
      <c r="I433" s="1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1"/>
      <c r="B434" s="2"/>
      <c r="C434" s="11"/>
      <c r="D434" s="11"/>
      <c r="E434" s="11"/>
      <c r="F434" s="11"/>
      <c r="G434" s="11"/>
      <c r="H434" s="12"/>
      <c r="I434" s="1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1"/>
      <c r="B435" s="2"/>
      <c r="C435" s="11"/>
      <c r="D435" s="11"/>
      <c r="E435" s="11"/>
      <c r="F435" s="11"/>
      <c r="G435" s="11"/>
      <c r="H435" s="12"/>
      <c r="I435" s="1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1"/>
      <c r="B436" s="2"/>
      <c r="C436" s="11"/>
      <c r="D436" s="11"/>
      <c r="E436" s="11"/>
      <c r="F436" s="11"/>
      <c r="G436" s="11"/>
      <c r="H436" s="12"/>
      <c r="I436" s="1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1"/>
      <c r="B437" s="2"/>
      <c r="C437" s="11"/>
      <c r="D437" s="11"/>
      <c r="E437" s="11"/>
      <c r="F437" s="11"/>
      <c r="G437" s="11"/>
      <c r="H437" s="12"/>
      <c r="I437" s="1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1"/>
      <c r="B438" s="2"/>
      <c r="C438" s="11"/>
      <c r="D438" s="11"/>
      <c r="E438" s="11"/>
      <c r="F438" s="11"/>
      <c r="G438" s="11"/>
      <c r="H438" s="12"/>
      <c r="I438" s="1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1"/>
      <c r="B439" s="2"/>
      <c r="C439" s="11"/>
      <c r="D439" s="11"/>
      <c r="E439" s="11"/>
      <c r="F439" s="11"/>
      <c r="G439" s="11"/>
      <c r="H439" s="12"/>
      <c r="I439" s="1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1"/>
      <c r="B440" s="2"/>
      <c r="C440" s="11"/>
      <c r="D440" s="11"/>
      <c r="E440" s="11"/>
      <c r="F440" s="11"/>
      <c r="G440" s="11"/>
      <c r="H440" s="12"/>
      <c r="I440" s="1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1"/>
      <c r="B441" s="2"/>
      <c r="C441" s="11"/>
      <c r="D441" s="11"/>
      <c r="E441" s="11"/>
      <c r="F441" s="11"/>
      <c r="G441" s="11"/>
      <c r="H441" s="12"/>
      <c r="I441" s="1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1"/>
      <c r="B442" s="2"/>
      <c r="C442" s="11"/>
      <c r="D442" s="11"/>
      <c r="E442" s="11"/>
      <c r="F442" s="11"/>
      <c r="G442" s="11"/>
      <c r="H442" s="12"/>
      <c r="I442" s="1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1"/>
      <c r="B443" s="2"/>
      <c r="C443" s="11"/>
      <c r="D443" s="11"/>
      <c r="E443" s="11"/>
      <c r="F443" s="11"/>
      <c r="G443" s="11"/>
      <c r="H443" s="12"/>
      <c r="I443" s="1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1"/>
      <c r="B444" s="2"/>
      <c r="C444" s="11"/>
      <c r="D444" s="11"/>
      <c r="E444" s="11"/>
      <c r="F444" s="11"/>
      <c r="G444" s="11"/>
      <c r="H444" s="12"/>
      <c r="I444" s="1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1"/>
      <c r="B445" s="2"/>
      <c r="C445" s="11"/>
      <c r="D445" s="11"/>
      <c r="E445" s="11"/>
      <c r="F445" s="11"/>
      <c r="G445" s="11"/>
      <c r="H445" s="12"/>
      <c r="I445" s="1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1"/>
      <c r="B446" s="2"/>
      <c r="C446" s="11"/>
      <c r="D446" s="11"/>
      <c r="E446" s="11"/>
      <c r="F446" s="11"/>
      <c r="G446" s="11"/>
      <c r="H446" s="12"/>
      <c r="I446" s="1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1"/>
      <c r="B447" s="2"/>
      <c r="C447" s="11"/>
      <c r="D447" s="11"/>
      <c r="E447" s="11"/>
      <c r="F447" s="11"/>
      <c r="G447" s="11"/>
      <c r="H447" s="12"/>
      <c r="I447" s="1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1"/>
      <c r="B448" s="2"/>
      <c r="C448" s="11"/>
      <c r="D448" s="11"/>
      <c r="E448" s="11"/>
      <c r="F448" s="11"/>
      <c r="G448" s="11"/>
      <c r="H448" s="12"/>
      <c r="I448" s="1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1"/>
      <c r="B449" s="2"/>
      <c r="C449" s="11"/>
      <c r="D449" s="11"/>
      <c r="E449" s="11"/>
      <c r="F449" s="11"/>
      <c r="G449" s="11"/>
      <c r="H449" s="12"/>
      <c r="I449" s="1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1"/>
      <c r="B450" s="2"/>
      <c r="C450" s="11"/>
      <c r="D450" s="11"/>
      <c r="E450" s="11"/>
      <c r="F450" s="11"/>
      <c r="G450" s="11"/>
      <c r="H450" s="12"/>
      <c r="I450" s="1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1"/>
      <c r="B451" s="2"/>
      <c r="C451" s="11"/>
      <c r="D451" s="11"/>
      <c r="E451" s="11"/>
      <c r="F451" s="11"/>
      <c r="G451" s="11"/>
      <c r="H451" s="12"/>
      <c r="I451" s="1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1"/>
      <c r="B452" s="2"/>
      <c r="C452" s="11"/>
      <c r="D452" s="11"/>
      <c r="E452" s="11"/>
      <c r="F452" s="11"/>
      <c r="G452" s="11"/>
      <c r="H452" s="12"/>
      <c r="I452" s="1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1"/>
      <c r="B453" s="2"/>
      <c r="C453" s="11"/>
      <c r="D453" s="11"/>
      <c r="E453" s="11"/>
      <c r="F453" s="11"/>
      <c r="G453" s="11"/>
      <c r="H453" s="12"/>
      <c r="I453" s="1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1"/>
      <c r="B454" s="2"/>
      <c r="C454" s="11"/>
      <c r="D454" s="11"/>
      <c r="E454" s="11"/>
      <c r="F454" s="11"/>
      <c r="G454" s="11"/>
      <c r="H454" s="12"/>
      <c r="I454" s="1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1"/>
      <c r="B455" s="2"/>
      <c r="C455" s="11"/>
      <c r="D455" s="11"/>
      <c r="E455" s="11"/>
      <c r="F455" s="11"/>
      <c r="G455" s="11"/>
      <c r="H455" s="12"/>
      <c r="I455" s="1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1"/>
      <c r="B456" s="2"/>
      <c r="C456" s="11"/>
      <c r="D456" s="11"/>
      <c r="E456" s="11"/>
      <c r="F456" s="11"/>
      <c r="G456" s="11"/>
      <c r="H456" s="12"/>
      <c r="I456" s="1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1"/>
      <c r="B457" s="2"/>
      <c r="C457" s="11"/>
      <c r="D457" s="11"/>
      <c r="E457" s="11"/>
      <c r="F457" s="11"/>
      <c r="G457" s="11"/>
      <c r="H457" s="12"/>
      <c r="I457" s="1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1"/>
      <c r="B458" s="2"/>
      <c r="C458" s="11"/>
      <c r="D458" s="11"/>
      <c r="E458" s="11"/>
      <c r="F458" s="11"/>
      <c r="G458" s="11"/>
      <c r="H458" s="12"/>
      <c r="I458" s="1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1"/>
      <c r="B459" s="2"/>
      <c r="C459" s="11"/>
      <c r="D459" s="11"/>
      <c r="E459" s="11"/>
      <c r="F459" s="11"/>
      <c r="G459" s="11"/>
      <c r="H459" s="12"/>
      <c r="I459" s="1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1"/>
      <c r="B460" s="2"/>
      <c r="C460" s="11"/>
      <c r="D460" s="11"/>
      <c r="E460" s="11"/>
      <c r="F460" s="11"/>
      <c r="G460" s="11"/>
      <c r="H460" s="12"/>
      <c r="I460" s="1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1"/>
      <c r="B461" s="2"/>
      <c r="C461" s="11"/>
      <c r="D461" s="11"/>
      <c r="E461" s="11"/>
      <c r="F461" s="11"/>
      <c r="G461" s="11"/>
      <c r="H461" s="12"/>
      <c r="I461" s="1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1"/>
      <c r="B462" s="2"/>
      <c r="C462" s="11"/>
      <c r="D462" s="11"/>
      <c r="E462" s="11"/>
      <c r="F462" s="11"/>
      <c r="G462" s="11"/>
      <c r="H462" s="12"/>
      <c r="I462" s="1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1"/>
      <c r="B463" s="2"/>
      <c r="C463" s="11"/>
      <c r="D463" s="11"/>
      <c r="E463" s="11"/>
      <c r="F463" s="11"/>
      <c r="G463" s="11"/>
      <c r="H463" s="12"/>
      <c r="I463" s="1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1"/>
      <c r="B464" s="2"/>
      <c r="C464" s="11"/>
      <c r="D464" s="11"/>
      <c r="E464" s="11"/>
      <c r="F464" s="11"/>
      <c r="G464" s="11"/>
      <c r="H464" s="12"/>
      <c r="I464" s="1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1"/>
      <c r="B465" s="2"/>
      <c r="C465" s="11"/>
      <c r="D465" s="11"/>
      <c r="E465" s="11"/>
      <c r="F465" s="11"/>
      <c r="G465" s="11"/>
      <c r="H465" s="12"/>
      <c r="I465" s="1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1"/>
      <c r="B466" s="2"/>
      <c r="C466" s="11"/>
      <c r="D466" s="11"/>
      <c r="E466" s="11"/>
      <c r="F466" s="11"/>
      <c r="G466" s="11"/>
      <c r="H466" s="12"/>
      <c r="I466" s="1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1"/>
      <c r="B467" s="2"/>
      <c r="C467" s="11"/>
      <c r="D467" s="11"/>
      <c r="E467" s="11"/>
      <c r="F467" s="11"/>
      <c r="G467" s="11"/>
      <c r="H467" s="12"/>
      <c r="I467" s="1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1"/>
      <c r="B468" s="2"/>
      <c r="C468" s="11"/>
      <c r="D468" s="11"/>
      <c r="E468" s="11"/>
      <c r="F468" s="11"/>
      <c r="G468" s="11"/>
      <c r="H468" s="12"/>
      <c r="I468" s="1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1"/>
      <c r="B469" s="2"/>
      <c r="C469" s="11"/>
      <c r="D469" s="11"/>
      <c r="E469" s="11"/>
      <c r="F469" s="11"/>
      <c r="G469" s="11"/>
      <c r="H469" s="12"/>
      <c r="I469" s="1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1"/>
      <c r="B470" s="2"/>
      <c r="C470" s="11"/>
      <c r="D470" s="11"/>
      <c r="E470" s="11"/>
      <c r="F470" s="11"/>
      <c r="G470" s="11"/>
      <c r="H470" s="12"/>
      <c r="I470" s="1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1"/>
      <c r="B471" s="2"/>
      <c r="C471" s="11"/>
      <c r="D471" s="11"/>
      <c r="E471" s="11"/>
      <c r="F471" s="11"/>
      <c r="G471" s="11"/>
      <c r="H471" s="12"/>
      <c r="I471" s="1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1"/>
      <c r="B472" s="2"/>
      <c r="C472" s="11"/>
      <c r="D472" s="11"/>
      <c r="E472" s="11"/>
      <c r="F472" s="11"/>
      <c r="G472" s="11"/>
      <c r="H472" s="12"/>
      <c r="I472" s="1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1"/>
      <c r="B473" s="2"/>
      <c r="C473" s="11"/>
      <c r="D473" s="11"/>
      <c r="E473" s="11"/>
      <c r="F473" s="11"/>
      <c r="G473" s="11"/>
      <c r="H473" s="12"/>
      <c r="I473" s="1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1"/>
      <c r="B474" s="2"/>
      <c r="C474" s="11"/>
      <c r="D474" s="11"/>
      <c r="E474" s="11"/>
      <c r="F474" s="11"/>
      <c r="G474" s="11"/>
      <c r="H474" s="12"/>
      <c r="I474" s="1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1"/>
      <c r="B475" s="2"/>
      <c r="C475" s="11"/>
      <c r="D475" s="11"/>
      <c r="E475" s="11"/>
      <c r="F475" s="11"/>
      <c r="G475" s="11"/>
      <c r="H475" s="12"/>
      <c r="I475" s="1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1"/>
      <c r="B476" s="2"/>
      <c r="C476" s="11"/>
      <c r="D476" s="11"/>
      <c r="E476" s="11"/>
      <c r="F476" s="11"/>
      <c r="G476" s="11"/>
      <c r="H476" s="12"/>
      <c r="I476" s="1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1"/>
      <c r="B477" s="2"/>
      <c r="C477" s="11"/>
      <c r="D477" s="11"/>
      <c r="E477" s="11"/>
      <c r="F477" s="11"/>
      <c r="G477" s="11"/>
      <c r="H477" s="12"/>
      <c r="I477" s="1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1"/>
      <c r="B478" s="2"/>
      <c r="C478" s="11"/>
      <c r="D478" s="11"/>
      <c r="E478" s="11"/>
      <c r="F478" s="11"/>
      <c r="G478" s="11"/>
      <c r="H478" s="12"/>
      <c r="I478" s="1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1"/>
      <c r="B479" s="2"/>
      <c r="C479" s="11"/>
      <c r="D479" s="11"/>
      <c r="E479" s="11"/>
      <c r="F479" s="11"/>
      <c r="G479" s="11"/>
      <c r="H479" s="12"/>
      <c r="I479" s="1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1"/>
      <c r="B480" s="2"/>
      <c r="C480" s="11"/>
      <c r="D480" s="11"/>
      <c r="E480" s="11"/>
      <c r="F480" s="11"/>
      <c r="G480" s="11"/>
      <c r="H480" s="12"/>
      <c r="I480" s="1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1"/>
      <c r="B481" s="2"/>
      <c r="C481" s="11"/>
      <c r="D481" s="11"/>
      <c r="E481" s="11"/>
      <c r="F481" s="11"/>
      <c r="G481" s="11"/>
      <c r="H481" s="12"/>
      <c r="I481" s="1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1"/>
      <c r="B482" s="2"/>
      <c r="C482" s="11"/>
      <c r="D482" s="11"/>
      <c r="E482" s="11"/>
      <c r="F482" s="11"/>
      <c r="G482" s="11"/>
      <c r="H482" s="12"/>
      <c r="I482" s="1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1"/>
      <c r="B483" s="2"/>
      <c r="C483" s="11"/>
      <c r="D483" s="11"/>
      <c r="E483" s="11"/>
      <c r="F483" s="11"/>
      <c r="G483" s="11"/>
      <c r="H483" s="12"/>
      <c r="I483" s="1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1"/>
      <c r="B484" s="2"/>
      <c r="C484" s="11"/>
      <c r="D484" s="11"/>
      <c r="E484" s="11"/>
      <c r="F484" s="11"/>
      <c r="G484" s="11"/>
      <c r="H484" s="12"/>
      <c r="I484" s="1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1"/>
      <c r="B485" s="2"/>
      <c r="C485" s="11"/>
      <c r="D485" s="11"/>
      <c r="E485" s="11"/>
      <c r="F485" s="11"/>
      <c r="G485" s="11"/>
      <c r="H485" s="12"/>
      <c r="I485" s="1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1"/>
      <c r="B486" s="2"/>
      <c r="C486" s="11"/>
      <c r="D486" s="11"/>
      <c r="E486" s="11"/>
      <c r="F486" s="11"/>
      <c r="G486" s="11"/>
      <c r="H486" s="12"/>
      <c r="I486" s="1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1"/>
      <c r="B487" s="2"/>
      <c r="C487" s="11"/>
      <c r="D487" s="11"/>
      <c r="E487" s="11"/>
      <c r="F487" s="11"/>
      <c r="G487" s="11"/>
      <c r="H487" s="12"/>
      <c r="I487" s="1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1"/>
      <c r="B488" s="2"/>
      <c r="C488" s="11"/>
      <c r="D488" s="11"/>
      <c r="E488" s="11"/>
      <c r="F488" s="11"/>
      <c r="G488" s="11"/>
      <c r="H488" s="12"/>
      <c r="I488" s="1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1"/>
      <c r="B489" s="2"/>
      <c r="C489" s="11"/>
      <c r="D489" s="11"/>
      <c r="E489" s="11"/>
      <c r="F489" s="11"/>
      <c r="G489" s="11"/>
      <c r="H489" s="12"/>
      <c r="I489" s="1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1"/>
      <c r="B490" s="2"/>
      <c r="C490" s="11"/>
      <c r="D490" s="11"/>
      <c r="E490" s="11"/>
      <c r="F490" s="11"/>
      <c r="G490" s="11"/>
      <c r="H490" s="12"/>
      <c r="I490" s="1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1"/>
      <c r="B491" s="2"/>
      <c r="C491" s="11"/>
      <c r="D491" s="11"/>
      <c r="E491" s="11"/>
      <c r="F491" s="11"/>
      <c r="G491" s="11"/>
      <c r="H491" s="12"/>
      <c r="I491" s="1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1"/>
      <c r="B492" s="2"/>
      <c r="C492" s="11"/>
      <c r="D492" s="11"/>
      <c r="E492" s="11"/>
      <c r="F492" s="11"/>
      <c r="G492" s="11"/>
      <c r="H492" s="12"/>
      <c r="I492" s="1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1"/>
      <c r="B493" s="2"/>
      <c r="C493" s="11"/>
      <c r="D493" s="11"/>
      <c r="E493" s="11"/>
      <c r="F493" s="11"/>
      <c r="G493" s="11"/>
      <c r="H493" s="12"/>
      <c r="I493" s="1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1"/>
      <c r="B494" s="2"/>
      <c r="C494" s="11"/>
      <c r="D494" s="11"/>
      <c r="E494" s="11"/>
      <c r="F494" s="11"/>
      <c r="G494" s="11"/>
      <c r="H494" s="12"/>
      <c r="I494" s="1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1"/>
      <c r="B495" s="2"/>
      <c r="C495" s="11"/>
      <c r="D495" s="11"/>
      <c r="E495" s="11"/>
      <c r="F495" s="11"/>
      <c r="G495" s="11"/>
      <c r="H495" s="12"/>
      <c r="I495" s="1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1"/>
      <c r="B496" s="2"/>
      <c r="C496" s="11"/>
      <c r="D496" s="11"/>
      <c r="E496" s="11"/>
      <c r="F496" s="11"/>
      <c r="G496" s="11"/>
      <c r="H496" s="12"/>
      <c r="I496" s="1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1"/>
      <c r="B497" s="2"/>
      <c r="C497" s="11"/>
      <c r="D497" s="11"/>
      <c r="E497" s="11"/>
      <c r="F497" s="11"/>
      <c r="G497" s="11"/>
      <c r="H497" s="12"/>
      <c r="I497" s="1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1"/>
      <c r="B498" s="2"/>
      <c r="C498" s="11"/>
      <c r="D498" s="11"/>
      <c r="E498" s="11"/>
      <c r="F498" s="11"/>
      <c r="G498" s="11"/>
      <c r="H498" s="12"/>
      <c r="I498" s="1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1"/>
      <c r="B499" s="2"/>
      <c r="C499" s="11"/>
      <c r="D499" s="11"/>
      <c r="E499" s="11"/>
      <c r="F499" s="11"/>
      <c r="G499" s="11"/>
      <c r="H499" s="12"/>
      <c r="I499" s="1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1"/>
      <c r="B500" s="2"/>
      <c r="C500" s="11"/>
      <c r="D500" s="11"/>
      <c r="E500" s="11"/>
      <c r="F500" s="11"/>
      <c r="G500" s="11"/>
      <c r="H500" s="12"/>
      <c r="I500" s="1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1"/>
      <c r="B501" s="2"/>
      <c r="C501" s="11"/>
      <c r="D501" s="11"/>
      <c r="E501" s="11"/>
      <c r="F501" s="11"/>
      <c r="G501" s="11"/>
      <c r="H501" s="12"/>
      <c r="I501" s="1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1"/>
      <c r="B502" s="2"/>
      <c r="C502" s="11"/>
      <c r="D502" s="11"/>
      <c r="E502" s="11"/>
      <c r="F502" s="11"/>
      <c r="G502" s="11"/>
      <c r="H502" s="12"/>
      <c r="I502" s="1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1"/>
      <c r="B503" s="2"/>
      <c r="C503" s="11"/>
      <c r="D503" s="11"/>
      <c r="E503" s="11"/>
      <c r="F503" s="11"/>
      <c r="G503" s="11"/>
      <c r="H503" s="12"/>
      <c r="I503" s="1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1"/>
      <c r="B504" s="2"/>
      <c r="C504" s="11"/>
      <c r="D504" s="11"/>
      <c r="E504" s="11"/>
      <c r="F504" s="11"/>
      <c r="G504" s="11"/>
      <c r="H504" s="12"/>
      <c r="I504" s="1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1"/>
      <c r="B505" s="2"/>
      <c r="C505" s="11"/>
      <c r="D505" s="11"/>
      <c r="E505" s="11"/>
      <c r="F505" s="11"/>
      <c r="G505" s="11"/>
      <c r="H505" s="12"/>
      <c r="I505" s="1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1"/>
      <c r="B506" s="2"/>
      <c r="C506" s="11"/>
      <c r="D506" s="11"/>
      <c r="E506" s="11"/>
      <c r="F506" s="11"/>
      <c r="G506" s="11"/>
      <c r="H506" s="12"/>
      <c r="I506" s="1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1"/>
      <c r="B507" s="2"/>
      <c r="C507" s="11"/>
      <c r="D507" s="11"/>
      <c r="E507" s="11"/>
      <c r="F507" s="11"/>
      <c r="G507" s="11"/>
      <c r="H507" s="12"/>
      <c r="I507" s="1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1"/>
      <c r="B508" s="2"/>
      <c r="C508" s="11"/>
      <c r="D508" s="11"/>
      <c r="E508" s="11"/>
      <c r="F508" s="11"/>
      <c r="G508" s="11"/>
      <c r="H508" s="12"/>
      <c r="I508" s="1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1"/>
      <c r="B509" s="2"/>
      <c r="C509" s="11"/>
      <c r="D509" s="11"/>
      <c r="E509" s="11"/>
      <c r="F509" s="11"/>
      <c r="G509" s="11"/>
      <c r="H509" s="12"/>
      <c r="I509" s="1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1"/>
      <c r="B510" s="2"/>
      <c r="C510" s="11"/>
      <c r="D510" s="11"/>
      <c r="E510" s="11"/>
      <c r="F510" s="11"/>
      <c r="G510" s="11"/>
      <c r="H510" s="12"/>
      <c r="I510" s="1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1"/>
      <c r="B511" s="2"/>
      <c r="C511" s="11"/>
      <c r="D511" s="11"/>
      <c r="E511" s="11"/>
      <c r="F511" s="11"/>
      <c r="G511" s="11"/>
      <c r="H511" s="12"/>
      <c r="I511" s="1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1"/>
      <c r="B512" s="2"/>
      <c r="C512" s="11"/>
      <c r="D512" s="11"/>
      <c r="E512" s="11"/>
      <c r="F512" s="11"/>
      <c r="G512" s="11"/>
      <c r="H512" s="12"/>
      <c r="I512" s="1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1"/>
      <c r="B513" s="2"/>
      <c r="C513" s="11"/>
      <c r="D513" s="11"/>
      <c r="E513" s="11"/>
      <c r="F513" s="11"/>
      <c r="G513" s="11"/>
      <c r="H513" s="12"/>
      <c r="I513" s="1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1"/>
      <c r="B514" s="2"/>
      <c r="C514" s="11"/>
      <c r="D514" s="11"/>
      <c r="E514" s="11"/>
      <c r="F514" s="11"/>
      <c r="G514" s="11"/>
      <c r="H514" s="12"/>
      <c r="I514" s="1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1"/>
      <c r="B515" s="2"/>
      <c r="C515" s="11"/>
      <c r="D515" s="11"/>
      <c r="E515" s="11"/>
      <c r="F515" s="11"/>
      <c r="G515" s="11"/>
      <c r="H515" s="12"/>
      <c r="I515" s="1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1"/>
      <c r="B516" s="2"/>
      <c r="C516" s="11"/>
      <c r="D516" s="11"/>
      <c r="E516" s="11"/>
      <c r="F516" s="11"/>
      <c r="G516" s="11"/>
      <c r="H516" s="12"/>
      <c r="I516" s="1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1"/>
      <c r="B517" s="2"/>
      <c r="C517" s="11"/>
      <c r="D517" s="11"/>
      <c r="E517" s="11"/>
      <c r="F517" s="11"/>
      <c r="G517" s="11"/>
      <c r="H517" s="12"/>
      <c r="I517" s="1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1"/>
      <c r="B518" s="2"/>
      <c r="C518" s="11"/>
      <c r="D518" s="11"/>
      <c r="E518" s="11"/>
      <c r="F518" s="11"/>
      <c r="G518" s="11"/>
      <c r="H518" s="12"/>
      <c r="I518" s="1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1"/>
      <c r="B519" s="2"/>
      <c r="C519" s="11"/>
      <c r="D519" s="11"/>
      <c r="E519" s="11"/>
      <c r="F519" s="11"/>
      <c r="G519" s="11"/>
      <c r="H519" s="12"/>
      <c r="I519" s="1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1"/>
      <c r="B520" s="2"/>
      <c r="C520" s="11"/>
      <c r="D520" s="11"/>
      <c r="E520" s="11"/>
      <c r="F520" s="11"/>
      <c r="G520" s="11"/>
      <c r="H520" s="12"/>
      <c r="I520" s="1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1"/>
      <c r="B521" s="2"/>
      <c r="C521" s="11"/>
      <c r="D521" s="11"/>
      <c r="E521" s="11"/>
      <c r="F521" s="11"/>
      <c r="G521" s="11"/>
      <c r="H521" s="12"/>
      <c r="I521" s="1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1"/>
      <c r="B522" s="2"/>
      <c r="C522" s="11"/>
      <c r="D522" s="11"/>
      <c r="E522" s="11"/>
      <c r="F522" s="11"/>
      <c r="G522" s="11"/>
      <c r="H522" s="12"/>
      <c r="I522" s="1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1"/>
      <c r="B523" s="2"/>
      <c r="C523" s="11"/>
      <c r="D523" s="11"/>
      <c r="E523" s="11"/>
      <c r="F523" s="11"/>
      <c r="G523" s="11"/>
      <c r="H523" s="12"/>
      <c r="I523" s="1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1"/>
      <c r="B524" s="2"/>
      <c r="C524" s="11"/>
      <c r="D524" s="11"/>
      <c r="E524" s="11"/>
      <c r="F524" s="11"/>
      <c r="G524" s="11"/>
      <c r="H524" s="12"/>
      <c r="I524" s="1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1"/>
      <c r="B525" s="2"/>
      <c r="C525" s="11"/>
      <c r="D525" s="11"/>
      <c r="E525" s="11"/>
      <c r="F525" s="11"/>
      <c r="G525" s="11"/>
      <c r="H525" s="12"/>
      <c r="I525" s="1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1"/>
      <c r="B526" s="2"/>
      <c r="C526" s="11"/>
      <c r="D526" s="11"/>
      <c r="E526" s="11"/>
      <c r="F526" s="11"/>
      <c r="G526" s="11"/>
      <c r="H526" s="12"/>
      <c r="I526" s="1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1"/>
      <c r="B527" s="2"/>
      <c r="C527" s="11"/>
      <c r="D527" s="11"/>
      <c r="E527" s="11"/>
      <c r="F527" s="11"/>
      <c r="G527" s="11"/>
      <c r="H527" s="12"/>
      <c r="I527" s="1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1"/>
      <c r="B528" s="2"/>
      <c r="C528" s="11"/>
      <c r="D528" s="11"/>
      <c r="E528" s="11"/>
      <c r="F528" s="11"/>
      <c r="G528" s="11"/>
      <c r="H528" s="12"/>
      <c r="I528" s="1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1"/>
      <c r="B529" s="2"/>
      <c r="C529" s="11"/>
      <c r="D529" s="11"/>
      <c r="E529" s="11"/>
      <c r="F529" s="11"/>
      <c r="G529" s="11"/>
      <c r="H529" s="12"/>
      <c r="I529" s="1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1"/>
      <c r="B530" s="2"/>
      <c r="C530" s="11"/>
      <c r="D530" s="11"/>
      <c r="E530" s="11"/>
      <c r="F530" s="11"/>
      <c r="G530" s="11"/>
      <c r="H530" s="12"/>
      <c r="I530" s="1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1"/>
      <c r="B531" s="2"/>
      <c r="C531" s="11"/>
      <c r="D531" s="11"/>
      <c r="E531" s="11"/>
      <c r="F531" s="11"/>
      <c r="G531" s="11"/>
      <c r="H531" s="12"/>
      <c r="I531" s="1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1"/>
      <c r="B532" s="2"/>
      <c r="C532" s="11"/>
      <c r="D532" s="11"/>
      <c r="E532" s="11"/>
      <c r="F532" s="11"/>
      <c r="G532" s="11"/>
      <c r="H532" s="12"/>
      <c r="I532" s="1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1"/>
      <c r="B533" s="2"/>
      <c r="C533" s="11"/>
      <c r="D533" s="11"/>
      <c r="E533" s="11"/>
      <c r="F533" s="11"/>
      <c r="G533" s="11"/>
      <c r="H533" s="12"/>
      <c r="I533" s="1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1"/>
      <c r="B534" s="2"/>
      <c r="C534" s="11"/>
      <c r="D534" s="11"/>
      <c r="E534" s="11"/>
      <c r="F534" s="11"/>
      <c r="G534" s="11"/>
      <c r="H534" s="12"/>
      <c r="I534" s="1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1"/>
      <c r="B535" s="2"/>
      <c r="C535" s="11"/>
      <c r="D535" s="11"/>
      <c r="E535" s="11"/>
      <c r="F535" s="11"/>
      <c r="G535" s="11"/>
      <c r="H535" s="12"/>
      <c r="I535" s="1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1"/>
      <c r="B536" s="2"/>
      <c r="C536" s="11"/>
      <c r="D536" s="11"/>
      <c r="E536" s="11"/>
      <c r="F536" s="11"/>
      <c r="G536" s="11"/>
      <c r="H536" s="12"/>
      <c r="I536" s="1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1"/>
      <c r="B537" s="2"/>
      <c r="C537" s="11"/>
      <c r="D537" s="11"/>
      <c r="E537" s="11"/>
      <c r="F537" s="11"/>
      <c r="G537" s="11"/>
      <c r="H537" s="12"/>
      <c r="I537" s="1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1"/>
      <c r="B538" s="2"/>
      <c r="C538" s="11"/>
      <c r="D538" s="11"/>
      <c r="E538" s="11"/>
      <c r="F538" s="11"/>
      <c r="G538" s="11"/>
      <c r="H538" s="12"/>
      <c r="I538" s="1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1"/>
      <c r="B539" s="2"/>
      <c r="C539" s="11"/>
      <c r="D539" s="11"/>
      <c r="E539" s="11"/>
      <c r="F539" s="11"/>
      <c r="G539" s="11"/>
      <c r="H539" s="12"/>
      <c r="I539" s="1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1"/>
      <c r="B540" s="2"/>
      <c r="C540" s="11"/>
      <c r="D540" s="11"/>
      <c r="E540" s="11"/>
      <c r="F540" s="11"/>
      <c r="G540" s="11"/>
      <c r="H540" s="12"/>
      <c r="I540" s="1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1"/>
      <c r="B541" s="2"/>
      <c r="C541" s="11"/>
      <c r="D541" s="11"/>
      <c r="E541" s="11"/>
      <c r="F541" s="11"/>
      <c r="G541" s="11"/>
      <c r="H541" s="12"/>
      <c r="I541" s="1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1"/>
      <c r="B542" s="2"/>
      <c r="C542" s="11"/>
      <c r="D542" s="11"/>
      <c r="E542" s="11"/>
      <c r="F542" s="11"/>
      <c r="G542" s="11"/>
      <c r="H542" s="12"/>
      <c r="I542" s="1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1"/>
      <c r="B543" s="2"/>
      <c r="C543" s="11"/>
      <c r="D543" s="11"/>
      <c r="E543" s="11"/>
      <c r="F543" s="11"/>
      <c r="G543" s="11"/>
      <c r="H543" s="12"/>
      <c r="I543" s="1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1"/>
      <c r="B544" s="2"/>
      <c r="C544" s="11"/>
      <c r="D544" s="11"/>
      <c r="E544" s="11"/>
      <c r="F544" s="11"/>
      <c r="G544" s="11"/>
      <c r="H544" s="12"/>
      <c r="I544" s="1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1"/>
      <c r="B545" s="2"/>
      <c r="C545" s="11"/>
      <c r="D545" s="11"/>
      <c r="E545" s="11"/>
      <c r="F545" s="11"/>
      <c r="G545" s="11"/>
      <c r="H545" s="12"/>
      <c r="I545" s="1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1"/>
      <c r="B546" s="2"/>
      <c r="C546" s="11"/>
      <c r="D546" s="11"/>
      <c r="E546" s="11"/>
      <c r="F546" s="11"/>
      <c r="G546" s="11"/>
      <c r="H546" s="12"/>
      <c r="I546" s="1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1"/>
      <c r="B547" s="2"/>
      <c r="C547" s="11"/>
      <c r="D547" s="11"/>
      <c r="E547" s="11"/>
      <c r="F547" s="11"/>
      <c r="G547" s="11"/>
      <c r="H547" s="12"/>
      <c r="I547" s="1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1"/>
      <c r="B548" s="2"/>
      <c r="C548" s="11"/>
      <c r="D548" s="11"/>
      <c r="E548" s="11"/>
      <c r="F548" s="11"/>
      <c r="G548" s="11"/>
      <c r="H548" s="12"/>
      <c r="I548" s="1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1"/>
      <c r="B549" s="2"/>
      <c r="C549" s="11"/>
      <c r="D549" s="11"/>
      <c r="E549" s="11"/>
      <c r="F549" s="11"/>
      <c r="G549" s="11"/>
      <c r="H549" s="12"/>
      <c r="I549" s="1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1"/>
      <c r="B550" s="2"/>
      <c r="C550" s="11"/>
      <c r="D550" s="11"/>
      <c r="E550" s="11"/>
      <c r="F550" s="11"/>
      <c r="G550" s="11"/>
      <c r="H550" s="12"/>
      <c r="I550" s="1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1"/>
      <c r="B551" s="2"/>
      <c r="C551" s="11"/>
      <c r="D551" s="11"/>
      <c r="E551" s="11"/>
      <c r="F551" s="11"/>
      <c r="G551" s="11"/>
      <c r="H551" s="12"/>
      <c r="I551" s="1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1"/>
      <c r="B552" s="2"/>
      <c r="C552" s="11"/>
      <c r="D552" s="11"/>
      <c r="E552" s="11"/>
      <c r="F552" s="11"/>
      <c r="G552" s="11"/>
      <c r="H552" s="12"/>
      <c r="I552" s="1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1"/>
      <c r="B553" s="2"/>
      <c r="C553" s="11"/>
      <c r="D553" s="11"/>
      <c r="E553" s="11"/>
      <c r="F553" s="11"/>
      <c r="G553" s="11"/>
      <c r="H553" s="12"/>
      <c r="I553" s="1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1"/>
      <c r="B554" s="2"/>
      <c r="C554" s="11"/>
      <c r="D554" s="11"/>
      <c r="E554" s="11"/>
      <c r="F554" s="11"/>
      <c r="G554" s="11"/>
      <c r="H554" s="12"/>
      <c r="I554" s="1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1"/>
      <c r="B555" s="2"/>
      <c r="C555" s="11"/>
      <c r="D555" s="11"/>
      <c r="E555" s="11"/>
      <c r="F555" s="11"/>
      <c r="G555" s="11"/>
      <c r="H555" s="12"/>
      <c r="I555" s="1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1"/>
      <c r="B556" s="2"/>
      <c r="C556" s="11"/>
      <c r="D556" s="11"/>
      <c r="E556" s="11"/>
      <c r="F556" s="11"/>
      <c r="G556" s="11"/>
      <c r="H556" s="12"/>
      <c r="I556" s="1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1"/>
      <c r="B557" s="2"/>
      <c r="C557" s="11"/>
      <c r="D557" s="11"/>
      <c r="E557" s="11"/>
      <c r="F557" s="11"/>
      <c r="G557" s="11"/>
      <c r="H557" s="12"/>
      <c r="I557" s="1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1"/>
      <c r="B558" s="2"/>
      <c r="C558" s="11"/>
      <c r="D558" s="11"/>
      <c r="E558" s="11"/>
      <c r="F558" s="11"/>
      <c r="G558" s="11"/>
      <c r="H558" s="12"/>
      <c r="I558" s="1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1"/>
      <c r="B559" s="2"/>
      <c r="C559" s="11"/>
      <c r="D559" s="11"/>
      <c r="E559" s="11"/>
      <c r="F559" s="11"/>
      <c r="G559" s="11"/>
      <c r="H559" s="12"/>
      <c r="I559" s="1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1"/>
      <c r="B560" s="2"/>
      <c r="C560" s="11"/>
      <c r="D560" s="11"/>
      <c r="E560" s="11"/>
      <c r="F560" s="11"/>
      <c r="G560" s="11"/>
      <c r="H560" s="12"/>
      <c r="I560" s="1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1"/>
      <c r="B561" s="2"/>
      <c r="C561" s="11"/>
      <c r="D561" s="11"/>
      <c r="E561" s="11"/>
      <c r="F561" s="11"/>
      <c r="G561" s="11"/>
      <c r="H561" s="12"/>
      <c r="I561" s="1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1"/>
      <c r="B562" s="2"/>
      <c r="C562" s="11"/>
      <c r="D562" s="11"/>
      <c r="E562" s="11"/>
      <c r="F562" s="11"/>
      <c r="G562" s="11"/>
      <c r="H562" s="12"/>
      <c r="I562" s="1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1"/>
      <c r="B563" s="2"/>
      <c r="C563" s="11"/>
      <c r="D563" s="11"/>
      <c r="E563" s="11"/>
      <c r="F563" s="11"/>
      <c r="G563" s="11"/>
      <c r="H563" s="12"/>
      <c r="I563" s="1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1"/>
      <c r="B564" s="2"/>
      <c r="C564" s="11"/>
      <c r="D564" s="11"/>
      <c r="E564" s="11"/>
      <c r="F564" s="11"/>
      <c r="G564" s="11"/>
      <c r="H564" s="12"/>
      <c r="I564" s="1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1"/>
      <c r="B565" s="2"/>
      <c r="C565" s="11"/>
      <c r="D565" s="11"/>
      <c r="E565" s="11"/>
      <c r="F565" s="11"/>
      <c r="G565" s="11"/>
      <c r="H565" s="12"/>
      <c r="I565" s="1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1"/>
      <c r="B566" s="2"/>
      <c r="C566" s="11"/>
      <c r="D566" s="11"/>
      <c r="E566" s="11"/>
      <c r="F566" s="11"/>
      <c r="G566" s="11"/>
      <c r="H566" s="12"/>
      <c r="I566" s="1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1"/>
      <c r="B567" s="2"/>
      <c r="C567" s="11"/>
      <c r="D567" s="11"/>
      <c r="E567" s="11"/>
      <c r="F567" s="11"/>
      <c r="G567" s="11"/>
      <c r="H567" s="12"/>
      <c r="I567" s="1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1"/>
      <c r="B568" s="2"/>
      <c r="C568" s="11"/>
      <c r="D568" s="11"/>
      <c r="E568" s="11"/>
      <c r="F568" s="11"/>
      <c r="G568" s="11"/>
      <c r="H568" s="12"/>
      <c r="I568" s="1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1"/>
      <c r="B569" s="2"/>
      <c r="C569" s="11"/>
      <c r="D569" s="11"/>
      <c r="E569" s="11"/>
      <c r="F569" s="11"/>
      <c r="G569" s="11"/>
      <c r="H569" s="12"/>
      <c r="I569" s="1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1"/>
      <c r="B570" s="2"/>
      <c r="C570" s="11"/>
      <c r="D570" s="11"/>
      <c r="E570" s="11"/>
      <c r="F570" s="11"/>
      <c r="G570" s="11"/>
      <c r="H570" s="12"/>
      <c r="I570" s="1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1"/>
      <c r="B571" s="2"/>
      <c r="C571" s="11"/>
      <c r="D571" s="11"/>
      <c r="E571" s="11"/>
      <c r="F571" s="11"/>
      <c r="G571" s="11"/>
      <c r="H571" s="12"/>
      <c r="I571" s="1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1"/>
      <c r="B572" s="2"/>
      <c r="C572" s="11"/>
      <c r="D572" s="11"/>
      <c r="E572" s="11"/>
      <c r="F572" s="11"/>
      <c r="G572" s="11"/>
      <c r="H572" s="12"/>
      <c r="I572" s="1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1"/>
      <c r="B573" s="2"/>
      <c r="C573" s="11"/>
      <c r="D573" s="11"/>
      <c r="E573" s="11"/>
      <c r="F573" s="11"/>
      <c r="G573" s="11"/>
      <c r="H573" s="12"/>
      <c r="I573" s="1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1"/>
      <c r="B574" s="2"/>
      <c r="C574" s="11"/>
      <c r="D574" s="11"/>
      <c r="E574" s="11"/>
      <c r="F574" s="11"/>
      <c r="G574" s="11"/>
      <c r="H574" s="12"/>
      <c r="I574" s="1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1"/>
      <c r="B575" s="2"/>
      <c r="C575" s="11"/>
      <c r="D575" s="11"/>
      <c r="E575" s="11"/>
      <c r="F575" s="11"/>
      <c r="G575" s="11"/>
      <c r="H575" s="12"/>
      <c r="I575" s="1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1"/>
      <c r="B576" s="2"/>
      <c r="C576" s="11"/>
      <c r="D576" s="11"/>
      <c r="E576" s="11"/>
      <c r="F576" s="11"/>
      <c r="G576" s="11"/>
      <c r="H576" s="12"/>
      <c r="I576" s="1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1"/>
      <c r="B577" s="2"/>
      <c r="C577" s="11"/>
      <c r="D577" s="11"/>
      <c r="E577" s="11"/>
      <c r="F577" s="11"/>
      <c r="G577" s="11"/>
      <c r="H577" s="12"/>
      <c r="I577" s="1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1"/>
      <c r="B578" s="2"/>
      <c r="C578" s="11"/>
      <c r="D578" s="11"/>
      <c r="E578" s="11"/>
      <c r="F578" s="11"/>
      <c r="G578" s="11"/>
      <c r="H578" s="12"/>
      <c r="I578" s="1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1"/>
      <c r="B579" s="2"/>
      <c r="C579" s="11"/>
      <c r="D579" s="11"/>
      <c r="E579" s="11"/>
      <c r="F579" s="11"/>
      <c r="G579" s="11"/>
      <c r="H579" s="12"/>
      <c r="I579" s="1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1"/>
      <c r="B580" s="2"/>
      <c r="C580" s="11"/>
      <c r="D580" s="11"/>
      <c r="E580" s="11"/>
      <c r="F580" s="11"/>
      <c r="G580" s="11"/>
      <c r="H580" s="12"/>
      <c r="I580" s="1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1"/>
      <c r="B581" s="2"/>
      <c r="C581" s="11"/>
      <c r="D581" s="11"/>
      <c r="E581" s="11"/>
      <c r="F581" s="11"/>
      <c r="G581" s="11"/>
      <c r="H581" s="12"/>
      <c r="I581" s="1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1"/>
      <c r="B582" s="2"/>
      <c r="C582" s="11"/>
      <c r="D582" s="11"/>
      <c r="E582" s="11"/>
      <c r="F582" s="11"/>
      <c r="G582" s="11"/>
      <c r="H582" s="12"/>
      <c r="I582" s="1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1"/>
      <c r="B583" s="2"/>
      <c r="C583" s="11"/>
      <c r="D583" s="11"/>
      <c r="E583" s="11"/>
      <c r="F583" s="11"/>
      <c r="G583" s="11"/>
      <c r="H583" s="12"/>
      <c r="I583" s="1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1"/>
      <c r="B584" s="2"/>
      <c r="C584" s="11"/>
      <c r="D584" s="11"/>
      <c r="E584" s="11"/>
      <c r="F584" s="11"/>
      <c r="G584" s="11"/>
      <c r="H584" s="12"/>
      <c r="I584" s="1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1"/>
      <c r="B585" s="2"/>
      <c r="C585" s="11"/>
      <c r="D585" s="11"/>
      <c r="E585" s="11"/>
      <c r="F585" s="11"/>
      <c r="G585" s="11"/>
      <c r="H585" s="12"/>
      <c r="I585" s="1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1"/>
      <c r="B586" s="2"/>
      <c r="C586" s="11"/>
      <c r="D586" s="11"/>
      <c r="E586" s="11"/>
      <c r="F586" s="11"/>
      <c r="G586" s="11"/>
      <c r="H586" s="12"/>
      <c r="I586" s="1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1"/>
      <c r="B587" s="2"/>
      <c r="C587" s="11"/>
      <c r="D587" s="11"/>
      <c r="E587" s="11"/>
      <c r="F587" s="11"/>
      <c r="G587" s="11"/>
      <c r="H587" s="12"/>
      <c r="I587" s="1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1"/>
      <c r="B588" s="2"/>
      <c r="C588" s="11"/>
      <c r="D588" s="11"/>
      <c r="E588" s="11"/>
      <c r="F588" s="11"/>
      <c r="G588" s="11"/>
      <c r="H588" s="12"/>
      <c r="I588" s="1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1"/>
      <c r="B589" s="2"/>
      <c r="C589" s="11"/>
      <c r="D589" s="11"/>
      <c r="E589" s="11"/>
      <c r="F589" s="11"/>
      <c r="G589" s="11"/>
      <c r="H589" s="12"/>
      <c r="I589" s="1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1"/>
      <c r="B590" s="2"/>
      <c r="C590" s="11"/>
      <c r="D590" s="11"/>
      <c r="E590" s="11"/>
      <c r="F590" s="11"/>
      <c r="G590" s="11"/>
      <c r="H590" s="12"/>
      <c r="I590" s="1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1"/>
      <c r="B591" s="2"/>
      <c r="C591" s="11"/>
      <c r="D591" s="11"/>
      <c r="E591" s="11"/>
      <c r="F591" s="11"/>
      <c r="G591" s="11"/>
      <c r="H591" s="12"/>
      <c r="I591" s="1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1"/>
      <c r="B592" s="2"/>
      <c r="C592" s="11"/>
      <c r="D592" s="11"/>
      <c r="E592" s="11"/>
      <c r="F592" s="11"/>
      <c r="G592" s="11"/>
      <c r="H592" s="12"/>
      <c r="I592" s="1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1"/>
      <c r="B593" s="2"/>
      <c r="C593" s="11"/>
      <c r="D593" s="11"/>
      <c r="E593" s="11"/>
      <c r="F593" s="11"/>
      <c r="G593" s="11"/>
      <c r="H593" s="12"/>
      <c r="I593" s="1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1"/>
      <c r="B594" s="2"/>
      <c r="C594" s="11"/>
      <c r="D594" s="11"/>
      <c r="E594" s="11"/>
      <c r="F594" s="11"/>
      <c r="G594" s="11"/>
      <c r="H594" s="12"/>
      <c r="I594" s="1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1"/>
      <c r="B595" s="2"/>
      <c r="C595" s="11"/>
      <c r="D595" s="11"/>
      <c r="E595" s="11"/>
      <c r="F595" s="11"/>
      <c r="G595" s="11"/>
      <c r="H595" s="12"/>
      <c r="I595" s="1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1"/>
      <c r="B596" s="2"/>
      <c r="C596" s="11"/>
      <c r="D596" s="11"/>
      <c r="E596" s="11"/>
      <c r="F596" s="11"/>
      <c r="G596" s="11"/>
      <c r="H596" s="12"/>
      <c r="I596" s="1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1"/>
      <c r="B597" s="2"/>
      <c r="C597" s="11"/>
      <c r="D597" s="11"/>
      <c r="E597" s="11"/>
      <c r="F597" s="11"/>
      <c r="G597" s="11"/>
      <c r="H597" s="12"/>
      <c r="I597" s="1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1"/>
      <c r="B598" s="2"/>
      <c r="C598" s="11"/>
      <c r="D598" s="11"/>
      <c r="E598" s="11"/>
      <c r="F598" s="11"/>
      <c r="G598" s="11"/>
      <c r="H598" s="12"/>
      <c r="I598" s="1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1"/>
      <c r="B599" s="2"/>
      <c r="C599" s="11"/>
      <c r="D599" s="11"/>
      <c r="E599" s="11"/>
      <c r="F599" s="11"/>
      <c r="G599" s="11"/>
      <c r="H599" s="12"/>
      <c r="I599" s="1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1"/>
      <c r="B600" s="2"/>
      <c r="C600" s="11"/>
      <c r="D600" s="11"/>
      <c r="E600" s="11"/>
      <c r="F600" s="11"/>
      <c r="G600" s="11"/>
      <c r="H600" s="12"/>
      <c r="I600" s="1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1"/>
      <c r="B601" s="2"/>
      <c r="C601" s="11"/>
      <c r="D601" s="11"/>
      <c r="E601" s="11"/>
      <c r="F601" s="11"/>
      <c r="G601" s="11"/>
      <c r="H601" s="12"/>
      <c r="I601" s="1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1"/>
      <c r="B602" s="2"/>
      <c r="C602" s="11"/>
      <c r="D602" s="11"/>
      <c r="E602" s="11"/>
      <c r="F602" s="11"/>
      <c r="G602" s="11"/>
      <c r="H602" s="12"/>
      <c r="I602" s="1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1"/>
      <c r="B603" s="2"/>
      <c r="C603" s="11"/>
      <c r="D603" s="11"/>
      <c r="E603" s="11"/>
      <c r="F603" s="11"/>
      <c r="G603" s="11"/>
      <c r="H603" s="12"/>
      <c r="I603" s="1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1"/>
      <c r="B604" s="2"/>
      <c r="C604" s="11"/>
      <c r="D604" s="11"/>
      <c r="E604" s="11"/>
      <c r="F604" s="11"/>
      <c r="G604" s="11"/>
      <c r="H604" s="12"/>
      <c r="I604" s="1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1"/>
      <c r="B605" s="2"/>
      <c r="C605" s="11"/>
      <c r="D605" s="11"/>
      <c r="E605" s="11"/>
      <c r="F605" s="11"/>
      <c r="G605" s="11"/>
      <c r="H605" s="12"/>
      <c r="I605" s="1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1"/>
      <c r="B606" s="2"/>
      <c r="C606" s="11"/>
      <c r="D606" s="11"/>
      <c r="E606" s="11"/>
      <c r="F606" s="11"/>
      <c r="G606" s="11"/>
      <c r="H606" s="12"/>
      <c r="I606" s="1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1"/>
      <c r="B607" s="2"/>
      <c r="C607" s="11"/>
      <c r="D607" s="11"/>
      <c r="E607" s="11"/>
      <c r="F607" s="11"/>
      <c r="G607" s="11"/>
      <c r="H607" s="12"/>
      <c r="I607" s="1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1"/>
      <c r="B608" s="2"/>
      <c r="C608" s="11"/>
      <c r="D608" s="11"/>
      <c r="E608" s="11"/>
      <c r="F608" s="11"/>
      <c r="G608" s="11"/>
      <c r="H608" s="12"/>
      <c r="I608" s="1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1"/>
      <c r="B609" s="2"/>
      <c r="C609" s="11"/>
      <c r="D609" s="11"/>
      <c r="E609" s="11"/>
      <c r="F609" s="11"/>
      <c r="G609" s="11"/>
      <c r="H609" s="12"/>
      <c r="I609" s="1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1"/>
      <c r="B610" s="2"/>
      <c r="C610" s="11"/>
      <c r="D610" s="11"/>
      <c r="E610" s="11"/>
      <c r="F610" s="11"/>
      <c r="G610" s="11"/>
      <c r="H610" s="12"/>
      <c r="I610" s="1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1"/>
      <c r="B611" s="2"/>
      <c r="C611" s="11"/>
      <c r="D611" s="11"/>
      <c r="E611" s="11"/>
      <c r="F611" s="11"/>
      <c r="G611" s="11"/>
      <c r="H611" s="12"/>
      <c r="I611" s="1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1"/>
      <c r="B612" s="2"/>
      <c r="C612" s="11"/>
      <c r="D612" s="11"/>
      <c r="E612" s="11"/>
      <c r="F612" s="11"/>
      <c r="G612" s="11"/>
      <c r="H612" s="12"/>
      <c r="I612" s="1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1"/>
      <c r="B613" s="2"/>
      <c r="C613" s="11"/>
      <c r="D613" s="11"/>
      <c r="E613" s="11"/>
      <c r="F613" s="11"/>
      <c r="G613" s="11"/>
      <c r="H613" s="12"/>
      <c r="I613" s="1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1"/>
      <c r="B614" s="2"/>
      <c r="C614" s="11"/>
      <c r="D614" s="11"/>
      <c r="E614" s="11"/>
      <c r="F614" s="11"/>
      <c r="G614" s="11"/>
      <c r="H614" s="12"/>
      <c r="I614" s="1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1"/>
      <c r="B615" s="2"/>
      <c r="C615" s="11"/>
      <c r="D615" s="11"/>
      <c r="E615" s="11"/>
      <c r="F615" s="11"/>
      <c r="G615" s="11"/>
      <c r="H615" s="12"/>
      <c r="I615" s="1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1"/>
      <c r="B616" s="2"/>
      <c r="C616" s="11"/>
      <c r="D616" s="11"/>
      <c r="E616" s="11"/>
      <c r="F616" s="11"/>
      <c r="G616" s="11"/>
      <c r="H616" s="12"/>
      <c r="I616" s="1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1"/>
      <c r="B617" s="2"/>
      <c r="C617" s="11"/>
      <c r="D617" s="11"/>
      <c r="E617" s="11"/>
      <c r="F617" s="11"/>
      <c r="G617" s="11"/>
      <c r="H617" s="12"/>
      <c r="I617" s="1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1"/>
      <c r="B618" s="2"/>
      <c r="C618" s="11"/>
      <c r="D618" s="11"/>
      <c r="E618" s="11"/>
      <c r="F618" s="11"/>
      <c r="G618" s="11"/>
      <c r="H618" s="12"/>
      <c r="I618" s="1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1"/>
      <c r="B619" s="2"/>
      <c r="C619" s="11"/>
      <c r="D619" s="11"/>
      <c r="E619" s="11"/>
      <c r="F619" s="11"/>
      <c r="G619" s="11"/>
      <c r="H619" s="12"/>
      <c r="I619" s="1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1"/>
      <c r="B620" s="2"/>
      <c r="C620" s="11"/>
      <c r="D620" s="11"/>
      <c r="E620" s="11"/>
      <c r="F620" s="11"/>
      <c r="G620" s="11"/>
      <c r="H620" s="12"/>
      <c r="I620" s="1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1"/>
      <c r="B621" s="2"/>
      <c r="C621" s="11"/>
      <c r="D621" s="11"/>
      <c r="E621" s="11"/>
      <c r="F621" s="11"/>
      <c r="G621" s="11"/>
      <c r="H621" s="12"/>
      <c r="I621" s="1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1"/>
      <c r="B622" s="2"/>
      <c r="C622" s="11"/>
      <c r="D622" s="11"/>
      <c r="E622" s="11"/>
      <c r="F622" s="11"/>
      <c r="G622" s="11"/>
      <c r="H622" s="12"/>
      <c r="I622" s="1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1"/>
      <c r="B623" s="2"/>
      <c r="C623" s="11"/>
      <c r="D623" s="11"/>
      <c r="E623" s="11"/>
      <c r="F623" s="11"/>
      <c r="G623" s="11"/>
      <c r="H623" s="12"/>
      <c r="I623" s="1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1"/>
      <c r="B624" s="2"/>
      <c r="C624" s="11"/>
      <c r="D624" s="11"/>
      <c r="E624" s="11"/>
      <c r="F624" s="11"/>
      <c r="G624" s="11"/>
      <c r="H624" s="12"/>
      <c r="I624" s="1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1"/>
      <c r="B625" s="2"/>
      <c r="C625" s="11"/>
      <c r="D625" s="11"/>
      <c r="E625" s="11"/>
      <c r="F625" s="11"/>
      <c r="G625" s="11"/>
      <c r="H625" s="12"/>
      <c r="I625" s="1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1"/>
      <c r="B626" s="2"/>
      <c r="C626" s="11"/>
      <c r="D626" s="11"/>
      <c r="E626" s="11"/>
      <c r="F626" s="11"/>
      <c r="G626" s="11"/>
      <c r="H626" s="12"/>
      <c r="I626" s="1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1"/>
      <c r="B627" s="2"/>
      <c r="C627" s="11"/>
      <c r="D627" s="11"/>
      <c r="E627" s="11"/>
      <c r="F627" s="11"/>
      <c r="G627" s="11"/>
      <c r="H627" s="12"/>
      <c r="I627" s="1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1"/>
      <c r="B628" s="2"/>
      <c r="C628" s="11"/>
      <c r="D628" s="11"/>
      <c r="E628" s="11"/>
      <c r="F628" s="11"/>
      <c r="G628" s="11"/>
      <c r="H628" s="12"/>
      <c r="I628" s="1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1"/>
      <c r="B629" s="2"/>
      <c r="C629" s="11"/>
      <c r="D629" s="11"/>
      <c r="E629" s="11"/>
      <c r="F629" s="11"/>
      <c r="G629" s="11"/>
      <c r="H629" s="12"/>
      <c r="I629" s="1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1"/>
      <c r="B630" s="2"/>
      <c r="C630" s="11"/>
      <c r="D630" s="11"/>
      <c r="E630" s="11"/>
      <c r="F630" s="11"/>
      <c r="G630" s="11"/>
      <c r="H630" s="12"/>
      <c r="I630" s="1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1"/>
      <c r="B631" s="2"/>
      <c r="C631" s="11"/>
      <c r="D631" s="11"/>
      <c r="E631" s="11"/>
      <c r="F631" s="11"/>
      <c r="G631" s="11"/>
      <c r="H631" s="12"/>
      <c r="I631" s="1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1"/>
      <c r="B632" s="2"/>
      <c r="C632" s="11"/>
      <c r="D632" s="11"/>
      <c r="E632" s="11"/>
      <c r="F632" s="11"/>
      <c r="G632" s="11"/>
      <c r="H632" s="12"/>
      <c r="I632" s="1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1"/>
      <c r="B633" s="2"/>
      <c r="C633" s="11"/>
      <c r="D633" s="11"/>
      <c r="E633" s="11"/>
      <c r="F633" s="11"/>
      <c r="G633" s="11"/>
      <c r="H633" s="12"/>
      <c r="I633" s="1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1"/>
      <c r="B634" s="2"/>
      <c r="C634" s="11"/>
      <c r="D634" s="11"/>
      <c r="E634" s="11"/>
      <c r="F634" s="11"/>
      <c r="G634" s="11"/>
      <c r="H634" s="12"/>
      <c r="I634" s="1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1"/>
      <c r="B635" s="2"/>
      <c r="C635" s="11"/>
      <c r="D635" s="11"/>
      <c r="E635" s="11"/>
      <c r="F635" s="11"/>
      <c r="G635" s="11"/>
      <c r="H635" s="12"/>
      <c r="I635" s="1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1"/>
      <c r="B636" s="2"/>
      <c r="C636" s="11"/>
      <c r="D636" s="11"/>
      <c r="E636" s="11"/>
      <c r="F636" s="11"/>
      <c r="G636" s="11"/>
      <c r="H636" s="12"/>
      <c r="I636" s="1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1"/>
      <c r="B637" s="2"/>
      <c r="C637" s="11"/>
      <c r="D637" s="11"/>
      <c r="E637" s="11"/>
      <c r="F637" s="11"/>
      <c r="G637" s="11"/>
      <c r="H637" s="12"/>
      <c r="I637" s="1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1"/>
      <c r="B638" s="2"/>
      <c r="C638" s="11"/>
      <c r="D638" s="11"/>
      <c r="E638" s="11"/>
      <c r="F638" s="11"/>
      <c r="G638" s="11"/>
      <c r="H638" s="12"/>
      <c r="I638" s="1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1"/>
      <c r="B639" s="2"/>
      <c r="C639" s="11"/>
      <c r="D639" s="11"/>
      <c r="E639" s="11"/>
      <c r="F639" s="11"/>
      <c r="G639" s="11"/>
      <c r="H639" s="12"/>
      <c r="I639" s="1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1"/>
      <c r="B640" s="2"/>
      <c r="C640" s="11"/>
      <c r="D640" s="11"/>
      <c r="E640" s="11"/>
      <c r="F640" s="11"/>
      <c r="G640" s="11"/>
      <c r="H640" s="12"/>
      <c r="I640" s="1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1"/>
      <c r="B641" s="2"/>
      <c r="C641" s="11"/>
      <c r="D641" s="11"/>
      <c r="E641" s="11"/>
      <c r="F641" s="11"/>
      <c r="G641" s="11"/>
      <c r="H641" s="12"/>
      <c r="I641" s="1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1"/>
      <c r="B642" s="2"/>
      <c r="C642" s="11"/>
      <c r="D642" s="11"/>
      <c r="E642" s="11"/>
      <c r="F642" s="11"/>
      <c r="G642" s="11"/>
      <c r="H642" s="12"/>
      <c r="I642" s="1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1"/>
      <c r="B643" s="2"/>
      <c r="C643" s="11"/>
      <c r="D643" s="11"/>
      <c r="E643" s="11"/>
      <c r="F643" s="11"/>
      <c r="G643" s="11"/>
      <c r="H643" s="12"/>
      <c r="I643" s="1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1"/>
      <c r="B644" s="2"/>
      <c r="C644" s="11"/>
      <c r="D644" s="11"/>
      <c r="E644" s="11"/>
      <c r="F644" s="11"/>
      <c r="G644" s="11"/>
      <c r="H644" s="12"/>
      <c r="I644" s="1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1"/>
      <c r="B645" s="2"/>
      <c r="C645" s="11"/>
      <c r="D645" s="11"/>
      <c r="E645" s="11"/>
      <c r="F645" s="11"/>
      <c r="G645" s="11"/>
      <c r="H645" s="12"/>
      <c r="I645" s="1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1"/>
      <c r="B646" s="2"/>
      <c r="C646" s="11"/>
      <c r="D646" s="11"/>
      <c r="E646" s="11"/>
      <c r="F646" s="11"/>
      <c r="G646" s="11"/>
      <c r="H646" s="12"/>
      <c r="I646" s="1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1"/>
      <c r="B647" s="2"/>
      <c r="C647" s="11"/>
      <c r="D647" s="11"/>
      <c r="E647" s="11"/>
      <c r="F647" s="11"/>
      <c r="G647" s="11"/>
      <c r="H647" s="12"/>
      <c r="I647" s="1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1"/>
      <c r="B648" s="2"/>
      <c r="C648" s="11"/>
      <c r="D648" s="11"/>
      <c r="E648" s="11"/>
      <c r="F648" s="11"/>
      <c r="G648" s="11"/>
      <c r="H648" s="12"/>
      <c r="I648" s="1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1"/>
      <c r="B649" s="2"/>
      <c r="C649" s="11"/>
      <c r="D649" s="11"/>
      <c r="E649" s="11"/>
      <c r="F649" s="11"/>
      <c r="G649" s="11"/>
      <c r="H649" s="12"/>
      <c r="I649" s="1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1"/>
      <c r="B650" s="2"/>
      <c r="C650" s="11"/>
      <c r="D650" s="11"/>
      <c r="E650" s="11"/>
      <c r="F650" s="11"/>
      <c r="G650" s="11"/>
      <c r="H650" s="12"/>
      <c r="I650" s="1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1"/>
      <c r="B651" s="2"/>
      <c r="C651" s="11"/>
      <c r="D651" s="11"/>
      <c r="E651" s="11"/>
      <c r="F651" s="11"/>
      <c r="G651" s="11"/>
      <c r="H651" s="12"/>
      <c r="I651" s="1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1"/>
      <c r="B652" s="2"/>
      <c r="C652" s="11"/>
      <c r="D652" s="11"/>
      <c r="E652" s="11"/>
      <c r="F652" s="11"/>
      <c r="G652" s="11"/>
      <c r="H652" s="12"/>
      <c r="I652" s="1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1"/>
      <c r="B653" s="2"/>
      <c r="C653" s="11"/>
      <c r="D653" s="11"/>
      <c r="E653" s="11"/>
      <c r="F653" s="11"/>
      <c r="G653" s="11"/>
      <c r="H653" s="12"/>
      <c r="I653" s="1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1"/>
      <c r="B654" s="2"/>
      <c r="C654" s="11"/>
      <c r="D654" s="11"/>
      <c r="E654" s="11"/>
      <c r="F654" s="11"/>
      <c r="G654" s="11"/>
      <c r="H654" s="12"/>
      <c r="I654" s="1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1"/>
      <c r="B655" s="2"/>
      <c r="C655" s="11"/>
      <c r="D655" s="11"/>
      <c r="E655" s="11"/>
      <c r="F655" s="11"/>
      <c r="G655" s="11"/>
      <c r="H655" s="12"/>
      <c r="I655" s="1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1"/>
      <c r="B656" s="2"/>
      <c r="C656" s="11"/>
      <c r="D656" s="11"/>
      <c r="E656" s="11"/>
      <c r="F656" s="11"/>
      <c r="G656" s="11"/>
      <c r="H656" s="12"/>
      <c r="I656" s="1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1"/>
      <c r="B657" s="2"/>
      <c r="C657" s="11"/>
      <c r="D657" s="11"/>
      <c r="E657" s="11"/>
      <c r="F657" s="11"/>
      <c r="G657" s="11"/>
      <c r="H657" s="12"/>
      <c r="I657" s="1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1"/>
      <c r="B658" s="2"/>
      <c r="C658" s="11"/>
      <c r="D658" s="11"/>
      <c r="E658" s="11"/>
      <c r="F658" s="11"/>
      <c r="G658" s="11"/>
      <c r="H658" s="12"/>
      <c r="I658" s="1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1"/>
      <c r="B659" s="2"/>
      <c r="C659" s="11"/>
      <c r="D659" s="11"/>
      <c r="E659" s="11"/>
      <c r="F659" s="11"/>
      <c r="G659" s="11"/>
      <c r="H659" s="12"/>
      <c r="I659" s="1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1"/>
      <c r="B660" s="2"/>
      <c r="C660" s="11"/>
      <c r="D660" s="11"/>
      <c r="E660" s="11"/>
      <c r="F660" s="11"/>
      <c r="G660" s="11"/>
      <c r="H660" s="12"/>
      <c r="I660" s="1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1"/>
      <c r="B661" s="2"/>
      <c r="C661" s="11"/>
      <c r="D661" s="11"/>
      <c r="E661" s="11"/>
      <c r="F661" s="11"/>
      <c r="G661" s="11"/>
      <c r="H661" s="12"/>
      <c r="I661" s="1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1"/>
      <c r="B662" s="2"/>
      <c r="C662" s="11"/>
      <c r="D662" s="11"/>
      <c r="E662" s="11"/>
      <c r="F662" s="11"/>
      <c r="G662" s="11"/>
      <c r="H662" s="12"/>
      <c r="I662" s="1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1"/>
      <c r="B663" s="2"/>
      <c r="C663" s="11"/>
      <c r="D663" s="11"/>
      <c r="E663" s="11"/>
      <c r="F663" s="11"/>
      <c r="G663" s="11"/>
      <c r="H663" s="12"/>
      <c r="I663" s="1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1"/>
      <c r="B664" s="2"/>
      <c r="C664" s="11"/>
      <c r="D664" s="11"/>
      <c r="E664" s="11"/>
      <c r="F664" s="11"/>
      <c r="G664" s="11"/>
      <c r="H664" s="12"/>
      <c r="I664" s="1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1"/>
      <c r="B665" s="2"/>
      <c r="C665" s="11"/>
      <c r="D665" s="11"/>
      <c r="E665" s="11"/>
      <c r="F665" s="11"/>
      <c r="G665" s="11"/>
      <c r="H665" s="12"/>
      <c r="I665" s="1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1"/>
      <c r="B666" s="2"/>
      <c r="C666" s="11"/>
      <c r="D666" s="11"/>
      <c r="E666" s="11"/>
      <c r="F666" s="11"/>
      <c r="G666" s="11"/>
      <c r="H666" s="12"/>
      <c r="I666" s="1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1"/>
      <c r="B667" s="2"/>
      <c r="C667" s="11"/>
      <c r="D667" s="11"/>
      <c r="E667" s="11"/>
      <c r="F667" s="11"/>
      <c r="G667" s="11"/>
      <c r="H667" s="12"/>
      <c r="I667" s="1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1"/>
      <c r="B668" s="2"/>
      <c r="C668" s="11"/>
      <c r="D668" s="11"/>
      <c r="E668" s="11"/>
      <c r="F668" s="11"/>
      <c r="G668" s="11"/>
      <c r="H668" s="12"/>
      <c r="I668" s="1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1"/>
      <c r="B669" s="2"/>
      <c r="C669" s="11"/>
      <c r="D669" s="11"/>
      <c r="E669" s="11"/>
      <c r="F669" s="11"/>
      <c r="G669" s="11"/>
      <c r="H669" s="12"/>
      <c r="I669" s="1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1"/>
      <c r="B670" s="2"/>
      <c r="C670" s="11"/>
      <c r="D670" s="11"/>
      <c r="E670" s="11"/>
      <c r="F670" s="11"/>
      <c r="G670" s="11"/>
      <c r="H670" s="12"/>
      <c r="I670" s="1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1"/>
      <c r="B671" s="2"/>
      <c r="C671" s="11"/>
      <c r="D671" s="11"/>
      <c r="E671" s="11"/>
      <c r="F671" s="11"/>
      <c r="G671" s="11"/>
      <c r="H671" s="12"/>
      <c r="I671" s="1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1"/>
      <c r="B672" s="2"/>
      <c r="C672" s="11"/>
      <c r="D672" s="11"/>
      <c r="E672" s="11"/>
      <c r="F672" s="11"/>
      <c r="G672" s="11"/>
      <c r="H672" s="12"/>
      <c r="I672" s="1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1"/>
      <c r="B673" s="2"/>
      <c r="C673" s="11"/>
      <c r="D673" s="11"/>
      <c r="E673" s="11"/>
      <c r="F673" s="11"/>
      <c r="G673" s="11"/>
      <c r="H673" s="12"/>
      <c r="I673" s="1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1"/>
      <c r="B674" s="2"/>
      <c r="C674" s="11"/>
      <c r="D674" s="11"/>
      <c r="E674" s="11"/>
      <c r="F674" s="11"/>
      <c r="G674" s="11"/>
      <c r="H674" s="12"/>
      <c r="I674" s="1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1"/>
      <c r="B675" s="2"/>
      <c r="C675" s="11"/>
      <c r="D675" s="11"/>
      <c r="E675" s="11"/>
      <c r="F675" s="11"/>
      <c r="G675" s="11"/>
      <c r="H675" s="12"/>
      <c r="I675" s="1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1"/>
      <c r="B676" s="2"/>
      <c r="C676" s="11"/>
      <c r="D676" s="11"/>
      <c r="E676" s="11"/>
      <c r="F676" s="11"/>
      <c r="G676" s="11"/>
      <c r="H676" s="12"/>
      <c r="I676" s="1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1"/>
      <c r="B677" s="2"/>
      <c r="C677" s="11"/>
      <c r="D677" s="11"/>
      <c r="E677" s="11"/>
      <c r="F677" s="11"/>
      <c r="G677" s="11"/>
      <c r="H677" s="12"/>
      <c r="I677" s="1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1"/>
      <c r="B678" s="2"/>
      <c r="C678" s="11"/>
      <c r="D678" s="11"/>
      <c r="E678" s="11"/>
      <c r="F678" s="11"/>
      <c r="G678" s="11"/>
      <c r="H678" s="12"/>
      <c r="I678" s="1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1"/>
      <c r="B679" s="2"/>
      <c r="C679" s="11"/>
      <c r="D679" s="11"/>
      <c r="E679" s="11"/>
      <c r="F679" s="11"/>
      <c r="G679" s="11"/>
      <c r="H679" s="12"/>
      <c r="I679" s="1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1"/>
      <c r="B680" s="2"/>
      <c r="C680" s="11"/>
      <c r="D680" s="11"/>
      <c r="E680" s="11"/>
      <c r="F680" s="11"/>
      <c r="G680" s="11"/>
      <c r="H680" s="12"/>
      <c r="I680" s="1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1"/>
      <c r="B681" s="2"/>
      <c r="C681" s="11"/>
      <c r="D681" s="11"/>
      <c r="E681" s="11"/>
      <c r="F681" s="11"/>
      <c r="G681" s="11"/>
      <c r="H681" s="12"/>
      <c r="I681" s="1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1"/>
      <c r="B682" s="2"/>
      <c r="C682" s="11"/>
      <c r="D682" s="11"/>
      <c r="E682" s="11"/>
      <c r="F682" s="11"/>
      <c r="G682" s="11"/>
      <c r="H682" s="12"/>
      <c r="I682" s="1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1"/>
      <c r="B683" s="2"/>
      <c r="C683" s="11"/>
      <c r="D683" s="11"/>
      <c r="E683" s="11"/>
      <c r="F683" s="11"/>
      <c r="G683" s="11"/>
      <c r="H683" s="12"/>
      <c r="I683" s="1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1"/>
      <c r="B684" s="2"/>
      <c r="C684" s="11"/>
      <c r="D684" s="11"/>
      <c r="E684" s="11"/>
      <c r="F684" s="11"/>
      <c r="G684" s="11"/>
      <c r="H684" s="12"/>
      <c r="I684" s="1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1"/>
      <c r="B685" s="2"/>
      <c r="C685" s="11"/>
      <c r="D685" s="11"/>
      <c r="E685" s="11"/>
      <c r="F685" s="11"/>
      <c r="G685" s="11"/>
      <c r="H685" s="12"/>
      <c r="I685" s="1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1"/>
      <c r="B686" s="2"/>
      <c r="C686" s="11"/>
      <c r="D686" s="11"/>
      <c r="E686" s="11"/>
      <c r="F686" s="11"/>
      <c r="G686" s="11"/>
      <c r="H686" s="12"/>
      <c r="I686" s="1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1"/>
      <c r="B687" s="2"/>
      <c r="C687" s="11"/>
      <c r="D687" s="11"/>
      <c r="E687" s="11"/>
      <c r="F687" s="11"/>
      <c r="G687" s="11"/>
      <c r="H687" s="12"/>
      <c r="I687" s="1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1"/>
      <c r="B688" s="2"/>
      <c r="C688" s="11"/>
      <c r="D688" s="11"/>
      <c r="E688" s="11"/>
      <c r="F688" s="11"/>
      <c r="G688" s="11"/>
      <c r="H688" s="12"/>
      <c r="I688" s="1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1"/>
      <c r="B689" s="2"/>
      <c r="C689" s="11"/>
      <c r="D689" s="11"/>
      <c r="E689" s="11"/>
      <c r="F689" s="11"/>
      <c r="G689" s="11"/>
      <c r="H689" s="12"/>
      <c r="I689" s="1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1"/>
      <c r="B690" s="2"/>
      <c r="C690" s="11"/>
      <c r="D690" s="11"/>
      <c r="E690" s="11"/>
      <c r="F690" s="11"/>
      <c r="G690" s="11"/>
      <c r="H690" s="12"/>
      <c r="I690" s="1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1"/>
      <c r="B691" s="2"/>
      <c r="C691" s="11"/>
      <c r="D691" s="11"/>
      <c r="E691" s="11"/>
      <c r="F691" s="11"/>
      <c r="G691" s="11"/>
      <c r="H691" s="12"/>
      <c r="I691" s="1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1"/>
      <c r="B692" s="2"/>
      <c r="C692" s="11"/>
      <c r="D692" s="11"/>
      <c r="E692" s="11"/>
      <c r="F692" s="11"/>
      <c r="G692" s="11"/>
      <c r="H692" s="12"/>
      <c r="I692" s="1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1"/>
      <c r="B693" s="2"/>
      <c r="C693" s="11"/>
      <c r="D693" s="11"/>
      <c r="E693" s="11"/>
      <c r="F693" s="11"/>
      <c r="G693" s="11"/>
      <c r="H693" s="12"/>
      <c r="I693" s="1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1"/>
      <c r="B694" s="2"/>
      <c r="C694" s="11"/>
      <c r="D694" s="11"/>
      <c r="E694" s="11"/>
      <c r="F694" s="11"/>
      <c r="G694" s="11"/>
      <c r="H694" s="12"/>
      <c r="I694" s="1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1"/>
      <c r="B695" s="2"/>
      <c r="C695" s="11"/>
      <c r="D695" s="11"/>
      <c r="E695" s="11"/>
      <c r="F695" s="11"/>
      <c r="G695" s="11"/>
      <c r="H695" s="12"/>
      <c r="I695" s="1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1"/>
      <c r="B696" s="2"/>
      <c r="C696" s="11"/>
      <c r="D696" s="11"/>
      <c r="E696" s="11"/>
      <c r="F696" s="11"/>
      <c r="G696" s="11"/>
      <c r="H696" s="12"/>
      <c r="I696" s="1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1"/>
      <c r="B697" s="2"/>
      <c r="C697" s="11"/>
      <c r="D697" s="11"/>
      <c r="E697" s="11"/>
      <c r="F697" s="11"/>
      <c r="G697" s="11"/>
      <c r="H697" s="12"/>
      <c r="I697" s="1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1"/>
      <c r="B698" s="2"/>
      <c r="C698" s="11"/>
      <c r="D698" s="11"/>
      <c r="E698" s="11"/>
      <c r="F698" s="11"/>
      <c r="G698" s="11"/>
      <c r="H698" s="12"/>
      <c r="I698" s="1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1"/>
      <c r="B699" s="2"/>
      <c r="C699" s="11"/>
      <c r="D699" s="11"/>
      <c r="E699" s="11"/>
      <c r="F699" s="11"/>
      <c r="G699" s="11"/>
      <c r="H699" s="12"/>
      <c r="I699" s="1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1"/>
      <c r="B700" s="2"/>
      <c r="C700" s="11"/>
      <c r="D700" s="11"/>
      <c r="E700" s="11"/>
      <c r="F700" s="11"/>
      <c r="G700" s="11"/>
      <c r="H700" s="12"/>
      <c r="I700" s="1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1"/>
      <c r="B701" s="2"/>
      <c r="C701" s="11"/>
      <c r="D701" s="11"/>
      <c r="E701" s="11"/>
      <c r="F701" s="11"/>
      <c r="G701" s="11"/>
      <c r="H701" s="12"/>
      <c r="I701" s="1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1"/>
      <c r="B702" s="2"/>
      <c r="C702" s="11"/>
      <c r="D702" s="11"/>
      <c r="E702" s="11"/>
      <c r="F702" s="11"/>
      <c r="G702" s="11"/>
      <c r="H702" s="12"/>
      <c r="I702" s="1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1"/>
      <c r="B703" s="2"/>
      <c r="C703" s="11"/>
      <c r="D703" s="11"/>
      <c r="E703" s="11"/>
      <c r="F703" s="11"/>
      <c r="G703" s="11"/>
      <c r="H703" s="12"/>
      <c r="I703" s="1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1"/>
      <c r="B704" s="2"/>
      <c r="C704" s="11"/>
      <c r="D704" s="11"/>
      <c r="E704" s="11"/>
      <c r="F704" s="11"/>
      <c r="G704" s="11"/>
      <c r="H704" s="12"/>
      <c r="I704" s="1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1"/>
      <c r="B705" s="2"/>
      <c r="C705" s="11"/>
      <c r="D705" s="11"/>
      <c r="E705" s="11"/>
      <c r="F705" s="11"/>
      <c r="G705" s="11"/>
      <c r="H705" s="12"/>
      <c r="I705" s="1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1"/>
      <c r="B706" s="2"/>
      <c r="C706" s="11"/>
      <c r="D706" s="11"/>
      <c r="E706" s="11"/>
      <c r="F706" s="11"/>
      <c r="G706" s="11"/>
      <c r="H706" s="12"/>
      <c r="I706" s="1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1"/>
      <c r="B707" s="2"/>
      <c r="C707" s="11"/>
      <c r="D707" s="11"/>
      <c r="E707" s="11"/>
      <c r="F707" s="11"/>
      <c r="G707" s="11"/>
      <c r="H707" s="12"/>
      <c r="I707" s="1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1"/>
      <c r="B708" s="2"/>
      <c r="C708" s="11"/>
      <c r="D708" s="11"/>
      <c r="E708" s="11"/>
      <c r="F708" s="11"/>
      <c r="G708" s="11"/>
      <c r="H708" s="12"/>
      <c r="I708" s="1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1"/>
      <c r="B709" s="2"/>
      <c r="C709" s="11"/>
      <c r="D709" s="11"/>
      <c r="E709" s="11"/>
      <c r="F709" s="11"/>
      <c r="G709" s="11"/>
      <c r="H709" s="12"/>
      <c r="I709" s="1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1"/>
      <c r="B710" s="2"/>
      <c r="C710" s="11"/>
      <c r="D710" s="11"/>
      <c r="E710" s="11"/>
      <c r="F710" s="11"/>
      <c r="G710" s="11"/>
      <c r="H710" s="12"/>
      <c r="I710" s="1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1"/>
      <c r="B711" s="2"/>
      <c r="C711" s="11"/>
      <c r="D711" s="11"/>
      <c r="E711" s="11"/>
      <c r="F711" s="11"/>
      <c r="G711" s="11"/>
      <c r="H711" s="12"/>
      <c r="I711" s="1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1"/>
      <c r="B712" s="2"/>
      <c r="C712" s="11"/>
      <c r="D712" s="11"/>
      <c r="E712" s="11"/>
      <c r="F712" s="11"/>
      <c r="G712" s="11"/>
      <c r="H712" s="12"/>
      <c r="I712" s="1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1"/>
      <c r="B713" s="2"/>
      <c r="C713" s="11"/>
      <c r="D713" s="11"/>
      <c r="E713" s="11"/>
      <c r="F713" s="11"/>
      <c r="G713" s="11"/>
      <c r="H713" s="12"/>
      <c r="I713" s="1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1"/>
      <c r="B714" s="2"/>
      <c r="C714" s="11"/>
      <c r="D714" s="11"/>
      <c r="E714" s="11"/>
      <c r="F714" s="11"/>
      <c r="G714" s="11"/>
      <c r="H714" s="12"/>
      <c r="I714" s="1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1"/>
      <c r="B715" s="2"/>
      <c r="C715" s="11"/>
      <c r="D715" s="11"/>
      <c r="E715" s="11"/>
      <c r="F715" s="11"/>
      <c r="G715" s="11"/>
      <c r="H715" s="12"/>
      <c r="I715" s="1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1"/>
      <c r="B716" s="2"/>
      <c r="C716" s="11"/>
      <c r="D716" s="11"/>
      <c r="E716" s="11"/>
      <c r="F716" s="11"/>
      <c r="G716" s="11"/>
      <c r="H716" s="12"/>
      <c r="I716" s="1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1"/>
      <c r="B717" s="2"/>
      <c r="C717" s="11"/>
      <c r="D717" s="11"/>
      <c r="E717" s="11"/>
      <c r="F717" s="11"/>
      <c r="G717" s="11"/>
      <c r="H717" s="12"/>
      <c r="I717" s="1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1"/>
      <c r="B718" s="2"/>
      <c r="C718" s="11"/>
      <c r="D718" s="11"/>
      <c r="E718" s="11"/>
      <c r="F718" s="11"/>
      <c r="G718" s="11"/>
      <c r="H718" s="12"/>
      <c r="I718" s="1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1"/>
      <c r="B719" s="2"/>
      <c r="C719" s="11"/>
      <c r="D719" s="11"/>
      <c r="E719" s="11"/>
      <c r="F719" s="11"/>
      <c r="G719" s="11"/>
      <c r="H719" s="12"/>
      <c r="I719" s="1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1"/>
      <c r="B720" s="2"/>
      <c r="C720" s="11"/>
      <c r="D720" s="11"/>
      <c r="E720" s="11"/>
      <c r="F720" s="11"/>
      <c r="G720" s="11"/>
      <c r="H720" s="12"/>
      <c r="I720" s="1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1"/>
      <c r="B721" s="2"/>
      <c r="C721" s="11"/>
      <c r="D721" s="11"/>
      <c r="E721" s="11"/>
      <c r="F721" s="11"/>
      <c r="G721" s="11"/>
      <c r="H721" s="12"/>
      <c r="I721" s="1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1"/>
      <c r="B722" s="2"/>
      <c r="C722" s="11"/>
      <c r="D722" s="11"/>
      <c r="E722" s="11"/>
      <c r="F722" s="11"/>
      <c r="G722" s="11"/>
      <c r="H722" s="12"/>
      <c r="I722" s="1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1"/>
      <c r="B723" s="2"/>
      <c r="C723" s="11"/>
      <c r="D723" s="11"/>
      <c r="E723" s="11"/>
      <c r="F723" s="11"/>
      <c r="G723" s="11"/>
      <c r="H723" s="12"/>
      <c r="I723" s="1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1"/>
      <c r="B724" s="2"/>
      <c r="C724" s="11"/>
      <c r="D724" s="11"/>
      <c r="E724" s="11"/>
      <c r="F724" s="11"/>
      <c r="G724" s="11"/>
      <c r="H724" s="12"/>
      <c r="I724" s="1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1"/>
      <c r="B725" s="2"/>
      <c r="C725" s="11"/>
      <c r="D725" s="11"/>
      <c r="E725" s="11"/>
      <c r="F725" s="11"/>
      <c r="G725" s="11"/>
      <c r="H725" s="12"/>
      <c r="I725" s="1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1"/>
      <c r="B726" s="2"/>
      <c r="C726" s="11"/>
      <c r="D726" s="11"/>
      <c r="E726" s="11"/>
      <c r="F726" s="11"/>
      <c r="G726" s="11"/>
      <c r="H726" s="12"/>
      <c r="I726" s="1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1"/>
      <c r="B727" s="2"/>
      <c r="C727" s="11"/>
      <c r="D727" s="11"/>
      <c r="E727" s="11"/>
      <c r="F727" s="11"/>
      <c r="G727" s="11"/>
      <c r="H727" s="12"/>
      <c r="I727" s="1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1"/>
      <c r="B728" s="2"/>
      <c r="C728" s="11"/>
      <c r="D728" s="11"/>
      <c r="E728" s="11"/>
      <c r="F728" s="11"/>
      <c r="G728" s="11"/>
      <c r="H728" s="12"/>
      <c r="I728" s="1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1"/>
      <c r="B729" s="2"/>
      <c r="C729" s="11"/>
      <c r="D729" s="11"/>
      <c r="E729" s="11"/>
      <c r="F729" s="11"/>
      <c r="G729" s="11"/>
      <c r="H729" s="12"/>
      <c r="I729" s="1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1"/>
      <c r="B730" s="2"/>
      <c r="C730" s="11"/>
      <c r="D730" s="11"/>
      <c r="E730" s="11"/>
      <c r="F730" s="11"/>
      <c r="G730" s="11"/>
      <c r="H730" s="12"/>
      <c r="I730" s="1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1"/>
      <c r="B731" s="2"/>
      <c r="C731" s="11"/>
      <c r="D731" s="11"/>
      <c r="E731" s="11"/>
      <c r="F731" s="11"/>
      <c r="G731" s="11"/>
      <c r="H731" s="12"/>
      <c r="I731" s="1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1"/>
      <c r="B732" s="2"/>
      <c r="C732" s="11"/>
      <c r="D732" s="11"/>
      <c r="E732" s="11"/>
      <c r="F732" s="11"/>
      <c r="G732" s="11"/>
      <c r="H732" s="12"/>
      <c r="I732" s="1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1"/>
      <c r="B733" s="2"/>
      <c r="C733" s="11"/>
      <c r="D733" s="11"/>
      <c r="E733" s="11"/>
      <c r="F733" s="11"/>
      <c r="G733" s="11"/>
      <c r="H733" s="12"/>
      <c r="I733" s="1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1"/>
      <c r="B734" s="2"/>
      <c r="C734" s="11"/>
      <c r="D734" s="11"/>
      <c r="E734" s="11"/>
      <c r="F734" s="11"/>
      <c r="G734" s="11"/>
      <c r="H734" s="12"/>
      <c r="I734" s="1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1"/>
      <c r="B735" s="2"/>
      <c r="C735" s="11"/>
      <c r="D735" s="11"/>
      <c r="E735" s="11"/>
      <c r="F735" s="11"/>
      <c r="G735" s="11"/>
      <c r="H735" s="12"/>
      <c r="I735" s="1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1"/>
      <c r="B736" s="2"/>
      <c r="C736" s="11"/>
      <c r="D736" s="11"/>
      <c r="E736" s="11"/>
      <c r="F736" s="11"/>
      <c r="G736" s="11"/>
      <c r="H736" s="12"/>
      <c r="I736" s="1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1"/>
      <c r="B737" s="2"/>
      <c r="C737" s="11"/>
      <c r="D737" s="11"/>
      <c r="E737" s="11"/>
      <c r="F737" s="11"/>
      <c r="G737" s="11"/>
      <c r="H737" s="12"/>
      <c r="I737" s="1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1"/>
      <c r="B738" s="2"/>
      <c r="C738" s="11"/>
      <c r="D738" s="11"/>
      <c r="E738" s="11"/>
      <c r="F738" s="11"/>
      <c r="G738" s="11"/>
      <c r="H738" s="12"/>
      <c r="I738" s="1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1"/>
      <c r="B739" s="2"/>
      <c r="C739" s="11"/>
      <c r="D739" s="11"/>
      <c r="E739" s="11"/>
      <c r="F739" s="11"/>
      <c r="G739" s="11"/>
      <c r="H739" s="12"/>
      <c r="I739" s="1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1"/>
      <c r="B740" s="2"/>
      <c r="C740" s="11"/>
      <c r="D740" s="11"/>
      <c r="E740" s="11"/>
      <c r="F740" s="11"/>
      <c r="G740" s="11"/>
      <c r="H740" s="12"/>
      <c r="I740" s="1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1"/>
      <c r="B741" s="2"/>
      <c r="C741" s="11"/>
      <c r="D741" s="11"/>
      <c r="E741" s="11"/>
      <c r="F741" s="11"/>
      <c r="G741" s="11"/>
      <c r="H741" s="12"/>
      <c r="I741" s="1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1"/>
      <c r="B742" s="2"/>
      <c r="C742" s="11"/>
      <c r="D742" s="11"/>
      <c r="E742" s="11"/>
      <c r="F742" s="11"/>
      <c r="G742" s="11"/>
      <c r="H742" s="12"/>
      <c r="I742" s="1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1"/>
      <c r="B743" s="2"/>
      <c r="C743" s="11"/>
      <c r="D743" s="11"/>
      <c r="E743" s="11"/>
      <c r="F743" s="11"/>
      <c r="G743" s="11"/>
      <c r="H743" s="12"/>
      <c r="I743" s="1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1"/>
      <c r="B744" s="2"/>
      <c r="C744" s="11"/>
      <c r="D744" s="11"/>
      <c r="E744" s="11"/>
      <c r="F744" s="11"/>
      <c r="G744" s="11"/>
      <c r="H744" s="12"/>
      <c r="I744" s="1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1"/>
      <c r="B745" s="2"/>
      <c r="C745" s="11"/>
      <c r="D745" s="11"/>
      <c r="E745" s="11"/>
      <c r="F745" s="11"/>
      <c r="G745" s="11"/>
      <c r="H745" s="12"/>
      <c r="I745" s="1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1"/>
      <c r="B746" s="2"/>
      <c r="C746" s="11"/>
      <c r="D746" s="11"/>
      <c r="E746" s="11"/>
      <c r="F746" s="11"/>
      <c r="G746" s="11"/>
      <c r="H746" s="12"/>
      <c r="I746" s="1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1"/>
      <c r="B747" s="2"/>
      <c r="C747" s="11"/>
      <c r="D747" s="11"/>
      <c r="E747" s="11"/>
      <c r="F747" s="11"/>
      <c r="G747" s="11"/>
      <c r="H747" s="12"/>
      <c r="I747" s="1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1"/>
      <c r="B748" s="2"/>
      <c r="C748" s="11"/>
      <c r="D748" s="11"/>
      <c r="E748" s="11"/>
      <c r="F748" s="11"/>
      <c r="G748" s="11"/>
      <c r="H748" s="12"/>
      <c r="I748" s="1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1"/>
      <c r="B749" s="2"/>
      <c r="C749" s="11"/>
      <c r="D749" s="11"/>
      <c r="E749" s="11"/>
      <c r="F749" s="11"/>
      <c r="G749" s="11"/>
      <c r="H749" s="12"/>
      <c r="I749" s="1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1"/>
      <c r="B750" s="2"/>
      <c r="C750" s="11"/>
      <c r="D750" s="11"/>
      <c r="E750" s="11"/>
      <c r="F750" s="11"/>
      <c r="G750" s="11"/>
      <c r="H750" s="12"/>
      <c r="I750" s="1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1"/>
      <c r="B751" s="2"/>
      <c r="C751" s="11"/>
      <c r="D751" s="11"/>
      <c r="E751" s="11"/>
      <c r="F751" s="11"/>
      <c r="G751" s="11"/>
      <c r="H751" s="12"/>
      <c r="I751" s="1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1"/>
      <c r="B752" s="2"/>
      <c r="C752" s="11"/>
      <c r="D752" s="11"/>
      <c r="E752" s="11"/>
      <c r="F752" s="11"/>
      <c r="G752" s="11"/>
      <c r="H752" s="12"/>
      <c r="I752" s="1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1"/>
      <c r="B753" s="2"/>
      <c r="C753" s="11"/>
      <c r="D753" s="11"/>
      <c r="E753" s="11"/>
      <c r="F753" s="11"/>
      <c r="G753" s="11"/>
      <c r="H753" s="12"/>
      <c r="I753" s="1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1"/>
      <c r="B754" s="2"/>
      <c r="C754" s="11"/>
      <c r="D754" s="11"/>
      <c r="E754" s="11"/>
      <c r="F754" s="11"/>
      <c r="G754" s="11"/>
      <c r="H754" s="12"/>
      <c r="I754" s="1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1"/>
      <c r="B755" s="2"/>
      <c r="C755" s="11"/>
      <c r="D755" s="11"/>
      <c r="E755" s="11"/>
      <c r="F755" s="11"/>
      <c r="G755" s="11"/>
      <c r="H755" s="12"/>
      <c r="I755" s="1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1"/>
      <c r="B756" s="2"/>
      <c r="C756" s="11"/>
      <c r="D756" s="11"/>
      <c r="E756" s="11"/>
      <c r="F756" s="11"/>
      <c r="G756" s="11"/>
      <c r="H756" s="12"/>
      <c r="I756" s="1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1"/>
      <c r="B757" s="2"/>
      <c r="C757" s="11"/>
      <c r="D757" s="11"/>
      <c r="E757" s="11"/>
      <c r="F757" s="11"/>
      <c r="G757" s="11"/>
      <c r="H757" s="12"/>
      <c r="I757" s="1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1"/>
      <c r="B758" s="2"/>
      <c r="C758" s="11"/>
      <c r="D758" s="11"/>
      <c r="E758" s="11"/>
      <c r="F758" s="11"/>
      <c r="G758" s="11"/>
      <c r="H758" s="12"/>
      <c r="I758" s="1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1"/>
      <c r="B759" s="2"/>
      <c r="C759" s="11"/>
      <c r="D759" s="11"/>
      <c r="E759" s="11"/>
      <c r="F759" s="11"/>
      <c r="G759" s="11"/>
      <c r="H759" s="12"/>
      <c r="I759" s="1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1"/>
      <c r="B760" s="2"/>
      <c r="C760" s="11"/>
      <c r="D760" s="11"/>
      <c r="E760" s="11"/>
      <c r="F760" s="11"/>
      <c r="G760" s="11"/>
      <c r="H760" s="12"/>
      <c r="I760" s="1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1"/>
      <c r="B761" s="2"/>
      <c r="C761" s="11"/>
      <c r="D761" s="11"/>
      <c r="E761" s="11"/>
      <c r="F761" s="11"/>
      <c r="G761" s="11"/>
      <c r="H761" s="12"/>
      <c r="I761" s="1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1"/>
      <c r="B762" s="2"/>
      <c r="C762" s="11"/>
      <c r="D762" s="11"/>
      <c r="E762" s="11"/>
      <c r="F762" s="11"/>
      <c r="G762" s="11"/>
      <c r="H762" s="12"/>
      <c r="I762" s="1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1"/>
      <c r="B763" s="2"/>
      <c r="C763" s="11"/>
      <c r="D763" s="11"/>
      <c r="E763" s="11"/>
      <c r="F763" s="11"/>
      <c r="G763" s="11"/>
      <c r="H763" s="12"/>
      <c r="I763" s="1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1"/>
      <c r="B764" s="2"/>
      <c r="C764" s="11"/>
      <c r="D764" s="11"/>
      <c r="E764" s="11"/>
      <c r="F764" s="11"/>
      <c r="G764" s="11"/>
      <c r="H764" s="12"/>
      <c r="I764" s="1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1"/>
      <c r="B765" s="2"/>
      <c r="C765" s="11"/>
      <c r="D765" s="11"/>
      <c r="E765" s="11"/>
      <c r="F765" s="11"/>
      <c r="G765" s="11"/>
      <c r="H765" s="12"/>
      <c r="I765" s="1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1"/>
      <c r="B766" s="2"/>
      <c r="C766" s="11"/>
      <c r="D766" s="11"/>
      <c r="E766" s="11"/>
      <c r="F766" s="11"/>
      <c r="G766" s="11"/>
      <c r="H766" s="12"/>
      <c r="I766" s="1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1"/>
      <c r="B767" s="2"/>
      <c r="C767" s="11"/>
      <c r="D767" s="11"/>
      <c r="E767" s="11"/>
      <c r="F767" s="11"/>
      <c r="G767" s="11"/>
      <c r="H767" s="12"/>
      <c r="I767" s="1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1"/>
      <c r="B768" s="2"/>
      <c r="C768" s="11"/>
      <c r="D768" s="11"/>
      <c r="E768" s="11"/>
      <c r="F768" s="11"/>
      <c r="G768" s="11"/>
      <c r="H768" s="12"/>
      <c r="I768" s="1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1"/>
      <c r="B769" s="2"/>
      <c r="C769" s="11"/>
      <c r="D769" s="11"/>
      <c r="E769" s="11"/>
      <c r="F769" s="11"/>
      <c r="G769" s="11"/>
      <c r="H769" s="12"/>
      <c r="I769" s="1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1"/>
      <c r="B770" s="2"/>
      <c r="C770" s="11"/>
      <c r="D770" s="11"/>
      <c r="E770" s="11"/>
      <c r="F770" s="11"/>
      <c r="G770" s="11"/>
      <c r="H770" s="12"/>
      <c r="I770" s="1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1"/>
      <c r="B771" s="2"/>
      <c r="C771" s="11"/>
      <c r="D771" s="11"/>
      <c r="E771" s="11"/>
      <c r="F771" s="11"/>
      <c r="G771" s="11"/>
      <c r="H771" s="12"/>
      <c r="I771" s="1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1"/>
      <c r="B772" s="2"/>
      <c r="C772" s="11"/>
      <c r="D772" s="11"/>
      <c r="E772" s="11"/>
      <c r="F772" s="11"/>
      <c r="G772" s="11"/>
      <c r="H772" s="12"/>
      <c r="I772" s="1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1"/>
      <c r="B773" s="2"/>
      <c r="C773" s="11"/>
      <c r="D773" s="11"/>
      <c r="E773" s="11"/>
      <c r="F773" s="11"/>
      <c r="G773" s="11"/>
      <c r="H773" s="12"/>
      <c r="I773" s="1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1"/>
      <c r="B774" s="2"/>
      <c r="C774" s="11"/>
      <c r="D774" s="11"/>
      <c r="E774" s="11"/>
      <c r="F774" s="11"/>
      <c r="G774" s="11"/>
      <c r="H774" s="12"/>
      <c r="I774" s="1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1"/>
      <c r="B775" s="2"/>
      <c r="C775" s="11"/>
      <c r="D775" s="11"/>
      <c r="E775" s="11"/>
      <c r="F775" s="11"/>
      <c r="G775" s="11"/>
      <c r="H775" s="12"/>
      <c r="I775" s="1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1"/>
      <c r="B776" s="2"/>
      <c r="C776" s="11"/>
      <c r="D776" s="11"/>
      <c r="E776" s="11"/>
      <c r="F776" s="11"/>
      <c r="G776" s="11"/>
      <c r="H776" s="12"/>
      <c r="I776" s="1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1"/>
      <c r="B777" s="2"/>
      <c r="C777" s="11"/>
      <c r="D777" s="11"/>
      <c r="E777" s="11"/>
      <c r="F777" s="11"/>
      <c r="G777" s="11"/>
      <c r="H777" s="12"/>
      <c r="I777" s="1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1"/>
      <c r="B778" s="2"/>
      <c r="C778" s="11"/>
      <c r="D778" s="11"/>
      <c r="E778" s="11"/>
      <c r="F778" s="11"/>
      <c r="G778" s="11"/>
      <c r="H778" s="12"/>
      <c r="I778" s="1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1"/>
      <c r="B779" s="2"/>
      <c r="C779" s="11"/>
      <c r="D779" s="11"/>
      <c r="E779" s="11"/>
      <c r="F779" s="11"/>
      <c r="G779" s="11"/>
      <c r="H779" s="12"/>
      <c r="I779" s="1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1"/>
      <c r="B780" s="2"/>
      <c r="C780" s="11"/>
      <c r="D780" s="11"/>
      <c r="E780" s="11"/>
      <c r="F780" s="11"/>
      <c r="G780" s="11"/>
      <c r="H780" s="12"/>
      <c r="I780" s="1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1"/>
      <c r="B781" s="2"/>
      <c r="C781" s="11"/>
      <c r="D781" s="11"/>
      <c r="E781" s="11"/>
      <c r="F781" s="11"/>
      <c r="G781" s="11"/>
      <c r="H781" s="12"/>
      <c r="I781" s="1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1"/>
      <c r="B782" s="2"/>
      <c r="C782" s="11"/>
      <c r="D782" s="11"/>
      <c r="E782" s="11"/>
      <c r="F782" s="11"/>
      <c r="G782" s="11"/>
      <c r="H782" s="12"/>
      <c r="I782" s="1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1"/>
      <c r="B783" s="2"/>
      <c r="C783" s="11"/>
      <c r="D783" s="11"/>
      <c r="E783" s="11"/>
      <c r="F783" s="11"/>
      <c r="G783" s="11"/>
      <c r="H783" s="12"/>
      <c r="I783" s="1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1"/>
      <c r="B784" s="2"/>
      <c r="C784" s="11"/>
      <c r="D784" s="11"/>
      <c r="E784" s="11"/>
      <c r="F784" s="11"/>
      <c r="G784" s="11"/>
      <c r="H784" s="12"/>
      <c r="I784" s="1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1"/>
      <c r="B785" s="2"/>
      <c r="C785" s="11"/>
      <c r="D785" s="11"/>
      <c r="E785" s="11"/>
      <c r="F785" s="11"/>
      <c r="G785" s="11"/>
      <c r="H785" s="12"/>
      <c r="I785" s="1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1"/>
      <c r="B786" s="2"/>
      <c r="C786" s="11"/>
      <c r="D786" s="11"/>
      <c r="E786" s="11"/>
      <c r="F786" s="11"/>
      <c r="G786" s="11"/>
      <c r="H786" s="12"/>
      <c r="I786" s="1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1"/>
      <c r="B787" s="2"/>
      <c r="C787" s="11"/>
      <c r="D787" s="11"/>
      <c r="E787" s="11"/>
      <c r="F787" s="11"/>
      <c r="G787" s="11"/>
      <c r="H787" s="12"/>
      <c r="I787" s="1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1"/>
      <c r="B788" s="2"/>
      <c r="C788" s="11"/>
      <c r="D788" s="11"/>
      <c r="E788" s="11"/>
      <c r="F788" s="11"/>
      <c r="G788" s="11"/>
      <c r="H788" s="12"/>
      <c r="I788" s="1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1"/>
      <c r="B789" s="2"/>
      <c r="C789" s="11"/>
      <c r="D789" s="11"/>
      <c r="E789" s="11"/>
      <c r="F789" s="11"/>
      <c r="G789" s="11"/>
      <c r="H789" s="12"/>
      <c r="I789" s="1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1"/>
      <c r="B790" s="2"/>
      <c r="C790" s="11"/>
      <c r="D790" s="11"/>
      <c r="E790" s="11"/>
      <c r="F790" s="11"/>
      <c r="G790" s="11"/>
      <c r="H790" s="12"/>
      <c r="I790" s="1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1"/>
      <c r="B791" s="2"/>
      <c r="C791" s="11"/>
      <c r="D791" s="11"/>
      <c r="E791" s="11"/>
      <c r="F791" s="11"/>
      <c r="G791" s="11"/>
      <c r="H791" s="12"/>
      <c r="I791" s="1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1"/>
      <c r="B792" s="2"/>
      <c r="C792" s="11"/>
      <c r="D792" s="11"/>
      <c r="E792" s="11"/>
      <c r="F792" s="11"/>
      <c r="G792" s="11"/>
      <c r="H792" s="12"/>
      <c r="I792" s="1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1"/>
      <c r="B793" s="2"/>
      <c r="C793" s="11"/>
      <c r="D793" s="11"/>
      <c r="E793" s="11"/>
      <c r="F793" s="11"/>
      <c r="G793" s="11"/>
      <c r="H793" s="12"/>
      <c r="I793" s="1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1"/>
      <c r="B794" s="2"/>
      <c r="C794" s="11"/>
      <c r="D794" s="11"/>
      <c r="E794" s="11"/>
      <c r="F794" s="11"/>
      <c r="G794" s="11"/>
      <c r="H794" s="12"/>
      <c r="I794" s="1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1"/>
      <c r="B795" s="2"/>
      <c r="C795" s="11"/>
      <c r="D795" s="11"/>
      <c r="E795" s="11"/>
      <c r="F795" s="11"/>
      <c r="G795" s="11"/>
      <c r="H795" s="12"/>
      <c r="I795" s="1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1"/>
      <c r="B796" s="2"/>
      <c r="C796" s="11"/>
      <c r="D796" s="11"/>
      <c r="E796" s="11"/>
      <c r="F796" s="11"/>
      <c r="G796" s="11"/>
      <c r="H796" s="12"/>
      <c r="I796" s="1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1"/>
      <c r="B797" s="2"/>
      <c r="C797" s="11"/>
      <c r="D797" s="11"/>
      <c r="E797" s="11"/>
      <c r="F797" s="11"/>
      <c r="G797" s="11"/>
      <c r="H797" s="12"/>
      <c r="I797" s="1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1"/>
      <c r="B798" s="2"/>
      <c r="C798" s="11"/>
      <c r="D798" s="11"/>
      <c r="E798" s="11"/>
      <c r="F798" s="11"/>
      <c r="G798" s="11"/>
      <c r="H798" s="12"/>
      <c r="I798" s="1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1"/>
      <c r="B799" s="2"/>
      <c r="C799" s="11"/>
      <c r="D799" s="11"/>
      <c r="E799" s="11"/>
      <c r="F799" s="11"/>
      <c r="G799" s="11"/>
      <c r="H799" s="12"/>
      <c r="I799" s="1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1"/>
      <c r="B800" s="2"/>
      <c r="C800" s="11"/>
      <c r="D800" s="11"/>
      <c r="E800" s="11"/>
      <c r="F800" s="11"/>
      <c r="G800" s="11"/>
      <c r="H800" s="12"/>
      <c r="I800" s="1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1"/>
      <c r="B801" s="2"/>
      <c r="C801" s="11"/>
      <c r="D801" s="11"/>
      <c r="E801" s="11"/>
      <c r="F801" s="11"/>
      <c r="G801" s="11"/>
      <c r="H801" s="12"/>
      <c r="I801" s="1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1"/>
      <c r="B802" s="2"/>
      <c r="C802" s="11"/>
      <c r="D802" s="11"/>
      <c r="E802" s="11"/>
      <c r="F802" s="11"/>
      <c r="G802" s="11"/>
      <c r="H802" s="12"/>
      <c r="I802" s="1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1"/>
      <c r="B803" s="2"/>
      <c r="C803" s="11"/>
      <c r="D803" s="11"/>
      <c r="E803" s="11"/>
      <c r="F803" s="11"/>
      <c r="G803" s="11"/>
      <c r="H803" s="12"/>
      <c r="I803" s="1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1"/>
      <c r="B804" s="2"/>
      <c r="C804" s="11"/>
      <c r="D804" s="11"/>
      <c r="E804" s="11"/>
      <c r="F804" s="11"/>
      <c r="G804" s="11"/>
      <c r="H804" s="12"/>
      <c r="I804" s="1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1"/>
      <c r="B805" s="2"/>
      <c r="C805" s="11"/>
      <c r="D805" s="11"/>
      <c r="E805" s="11"/>
      <c r="F805" s="11"/>
      <c r="G805" s="11"/>
      <c r="H805" s="12"/>
      <c r="I805" s="1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1"/>
      <c r="B806" s="2"/>
      <c r="C806" s="11"/>
      <c r="D806" s="11"/>
      <c r="E806" s="11"/>
      <c r="F806" s="11"/>
      <c r="G806" s="11"/>
      <c r="H806" s="12"/>
      <c r="I806" s="1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1"/>
      <c r="B807" s="2"/>
      <c r="C807" s="11"/>
      <c r="D807" s="11"/>
      <c r="E807" s="11"/>
      <c r="F807" s="11"/>
      <c r="G807" s="11"/>
      <c r="H807" s="12"/>
      <c r="I807" s="1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1"/>
      <c r="B808" s="2"/>
      <c r="C808" s="11"/>
      <c r="D808" s="11"/>
      <c r="E808" s="11"/>
      <c r="F808" s="11"/>
      <c r="G808" s="11"/>
      <c r="H808" s="12"/>
      <c r="I808" s="1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1"/>
      <c r="B809" s="2"/>
      <c r="C809" s="11"/>
      <c r="D809" s="11"/>
      <c r="E809" s="11"/>
      <c r="F809" s="11"/>
      <c r="G809" s="11"/>
      <c r="H809" s="12"/>
      <c r="I809" s="1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1"/>
      <c r="B810" s="2"/>
      <c r="C810" s="11"/>
      <c r="D810" s="11"/>
      <c r="E810" s="11"/>
      <c r="F810" s="11"/>
      <c r="G810" s="11"/>
      <c r="H810" s="12"/>
      <c r="I810" s="1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1"/>
      <c r="B811" s="2"/>
      <c r="C811" s="11"/>
      <c r="D811" s="11"/>
      <c r="E811" s="11"/>
      <c r="F811" s="11"/>
      <c r="G811" s="11"/>
      <c r="H811" s="12"/>
      <c r="I811" s="1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1"/>
      <c r="B812" s="2"/>
      <c r="C812" s="11"/>
      <c r="D812" s="11"/>
      <c r="E812" s="11"/>
      <c r="F812" s="11"/>
      <c r="G812" s="11"/>
      <c r="H812" s="12"/>
      <c r="I812" s="1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1"/>
      <c r="B813" s="2"/>
      <c r="C813" s="11"/>
      <c r="D813" s="11"/>
      <c r="E813" s="11"/>
      <c r="F813" s="11"/>
      <c r="G813" s="11"/>
      <c r="H813" s="12"/>
      <c r="I813" s="1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1"/>
      <c r="B814" s="2"/>
      <c r="C814" s="11"/>
      <c r="D814" s="11"/>
      <c r="E814" s="11"/>
      <c r="F814" s="11"/>
      <c r="G814" s="11"/>
      <c r="H814" s="12"/>
      <c r="I814" s="1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1"/>
      <c r="B815" s="2"/>
      <c r="C815" s="11"/>
      <c r="D815" s="11"/>
      <c r="E815" s="11"/>
      <c r="F815" s="11"/>
      <c r="G815" s="11"/>
      <c r="H815" s="12"/>
      <c r="I815" s="1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1"/>
      <c r="B816" s="2"/>
      <c r="C816" s="11"/>
      <c r="D816" s="11"/>
      <c r="E816" s="11"/>
      <c r="F816" s="11"/>
      <c r="G816" s="11"/>
      <c r="H816" s="12"/>
      <c r="I816" s="1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1"/>
      <c r="B817" s="2"/>
      <c r="C817" s="11"/>
      <c r="D817" s="11"/>
      <c r="E817" s="11"/>
      <c r="F817" s="11"/>
      <c r="G817" s="11"/>
      <c r="H817" s="12"/>
      <c r="I817" s="1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1"/>
      <c r="B818" s="2"/>
      <c r="C818" s="11"/>
      <c r="D818" s="11"/>
      <c r="E818" s="11"/>
      <c r="F818" s="11"/>
      <c r="G818" s="11"/>
      <c r="H818" s="12"/>
      <c r="I818" s="1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1"/>
      <c r="B819" s="2"/>
      <c r="C819" s="11"/>
      <c r="D819" s="11"/>
      <c r="E819" s="11"/>
      <c r="F819" s="11"/>
      <c r="G819" s="11"/>
      <c r="H819" s="12"/>
      <c r="I819" s="1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1"/>
      <c r="B820" s="2"/>
      <c r="C820" s="11"/>
      <c r="D820" s="11"/>
      <c r="E820" s="11"/>
      <c r="F820" s="11"/>
      <c r="G820" s="11"/>
      <c r="H820" s="12"/>
      <c r="I820" s="1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1"/>
      <c r="B821" s="2"/>
      <c r="C821" s="11"/>
      <c r="D821" s="11"/>
      <c r="E821" s="11"/>
      <c r="F821" s="11"/>
      <c r="G821" s="11"/>
      <c r="H821" s="12"/>
      <c r="I821" s="1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1"/>
      <c r="B822" s="2"/>
      <c r="C822" s="11"/>
      <c r="D822" s="11"/>
      <c r="E822" s="11"/>
      <c r="F822" s="11"/>
      <c r="G822" s="11"/>
      <c r="H822" s="12"/>
      <c r="I822" s="1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1"/>
      <c r="B823" s="2"/>
      <c r="C823" s="11"/>
      <c r="D823" s="11"/>
      <c r="E823" s="11"/>
      <c r="F823" s="11"/>
      <c r="G823" s="11"/>
      <c r="H823" s="12"/>
      <c r="I823" s="1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1"/>
      <c r="B824" s="2"/>
      <c r="C824" s="11"/>
      <c r="D824" s="11"/>
      <c r="E824" s="11"/>
      <c r="F824" s="11"/>
      <c r="G824" s="11"/>
      <c r="H824" s="12"/>
      <c r="I824" s="1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1"/>
      <c r="B825" s="2"/>
      <c r="C825" s="11"/>
      <c r="D825" s="11"/>
      <c r="E825" s="11"/>
      <c r="F825" s="11"/>
      <c r="G825" s="11"/>
      <c r="H825" s="12"/>
      <c r="I825" s="1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1"/>
      <c r="B826" s="2"/>
      <c r="C826" s="11"/>
      <c r="D826" s="11"/>
      <c r="E826" s="11"/>
      <c r="F826" s="11"/>
      <c r="G826" s="11"/>
      <c r="H826" s="12"/>
      <c r="I826" s="1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1"/>
      <c r="B827" s="2"/>
      <c r="C827" s="11"/>
      <c r="D827" s="11"/>
      <c r="E827" s="11"/>
      <c r="F827" s="11"/>
      <c r="G827" s="11"/>
      <c r="H827" s="12"/>
      <c r="I827" s="1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1"/>
      <c r="B828" s="2"/>
      <c r="C828" s="11"/>
      <c r="D828" s="11"/>
      <c r="E828" s="11"/>
      <c r="F828" s="11"/>
      <c r="G828" s="11"/>
      <c r="H828" s="12"/>
      <c r="I828" s="1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1"/>
      <c r="B829" s="2"/>
      <c r="C829" s="11"/>
      <c r="D829" s="11"/>
      <c r="E829" s="11"/>
      <c r="F829" s="11"/>
      <c r="G829" s="11"/>
      <c r="H829" s="12"/>
      <c r="I829" s="1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1"/>
      <c r="B830" s="2"/>
      <c r="C830" s="11"/>
      <c r="D830" s="11"/>
      <c r="E830" s="11"/>
      <c r="F830" s="11"/>
      <c r="G830" s="11"/>
      <c r="H830" s="12"/>
      <c r="I830" s="1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1"/>
      <c r="B831" s="2"/>
      <c r="C831" s="11"/>
      <c r="D831" s="11"/>
      <c r="E831" s="11"/>
      <c r="F831" s="11"/>
      <c r="G831" s="11"/>
      <c r="H831" s="12"/>
      <c r="I831" s="1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1"/>
      <c r="B832" s="2"/>
      <c r="C832" s="11"/>
      <c r="D832" s="11"/>
      <c r="E832" s="11"/>
      <c r="F832" s="11"/>
      <c r="G832" s="11"/>
      <c r="H832" s="12"/>
      <c r="I832" s="1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1"/>
      <c r="B833" s="2"/>
      <c r="C833" s="11"/>
      <c r="D833" s="11"/>
      <c r="E833" s="11"/>
      <c r="F833" s="11"/>
      <c r="G833" s="11"/>
      <c r="H833" s="12"/>
      <c r="I833" s="1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1"/>
      <c r="B834" s="2"/>
      <c r="C834" s="11"/>
      <c r="D834" s="11"/>
      <c r="E834" s="11"/>
      <c r="F834" s="11"/>
      <c r="G834" s="11"/>
      <c r="H834" s="12"/>
      <c r="I834" s="1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1"/>
      <c r="B835" s="2"/>
      <c r="C835" s="11"/>
      <c r="D835" s="11"/>
      <c r="E835" s="11"/>
      <c r="F835" s="11"/>
      <c r="G835" s="11"/>
      <c r="H835" s="12"/>
      <c r="I835" s="1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1"/>
      <c r="B836" s="2"/>
      <c r="C836" s="11"/>
      <c r="D836" s="11"/>
      <c r="E836" s="11"/>
      <c r="F836" s="11"/>
      <c r="G836" s="11"/>
      <c r="H836" s="12"/>
      <c r="I836" s="1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1"/>
      <c r="B837" s="2"/>
      <c r="C837" s="11"/>
      <c r="D837" s="11"/>
      <c r="E837" s="11"/>
      <c r="F837" s="11"/>
      <c r="G837" s="11"/>
      <c r="H837" s="12"/>
      <c r="I837" s="1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1"/>
      <c r="B838" s="2"/>
      <c r="C838" s="11"/>
      <c r="D838" s="11"/>
      <c r="E838" s="11"/>
      <c r="F838" s="11"/>
      <c r="G838" s="11"/>
      <c r="H838" s="12"/>
      <c r="I838" s="1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1"/>
      <c r="B839" s="2"/>
      <c r="C839" s="11"/>
      <c r="D839" s="11"/>
      <c r="E839" s="11"/>
      <c r="F839" s="11"/>
      <c r="G839" s="11"/>
      <c r="H839" s="12"/>
      <c r="I839" s="1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1"/>
      <c r="B840" s="2"/>
      <c r="C840" s="11"/>
      <c r="D840" s="11"/>
      <c r="E840" s="11"/>
      <c r="F840" s="11"/>
      <c r="G840" s="11"/>
      <c r="H840" s="12"/>
      <c r="I840" s="1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1"/>
      <c r="B841" s="2"/>
      <c r="C841" s="11"/>
      <c r="D841" s="11"/>
      <c r="E841" s="11"/>
      <c r="F841" s="11"/>
      <c r="G841" s="11"/>
      <c r="H841" s="12"/>
      <c r="I841" s="1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1"/>
      <c r="B842" s="2"/>
      <c r="C842" s="11"/>
      <c r="D842" s="11"/>
      <c r="E842" s="11"/>
      <c r="F842" s="11"/>
      <c r="G842" s="11"/>
      <c r="H842" s="12"/>
      <c r="I842" s="1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1"/>
      <c r="B843" s="2"/>
      <c r="C843" s="11"/>
      <c r="D843" s="11"/>
      <c r="E843" s="11"/>
      <c r="F843" s="11"/>
      <c r="G843" s="11"/>
      <c r="H843" s="12"/>
      <c r="I843" s="1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1"/>
      <c r="B844" s="2"/>
      <c r="C844" s="11"/>
      <c r="D844" s="11"/>
      <c r="E844" s="11"/>
      <c r="F844" s="11"/>
      <c r="G844" s="11"/>
      <c r="H844" s="12"/>
      <c r="I844" s="1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1"/>
      <c r="B845" s="2"/>
      <c r="C845" s="11"/>
      <c r="D845" s="11"/>
      <c r="E845" s="11"/>
      <c r="F845" s="11"/>
      <c r="G845" s="11"/>
      <c r="H845" s="12"/>
      <c r="I845" s="1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1"/>
      <c r="B846" s="2"/>
      <c r="C846" s="11"/>
      <c r="D846" s="11"/>
      <c r="E846" s="11"/>
      <c r="F846" s="11"/>
      <c r="G846" s="11"/>
      <c r="H846" s="12"/>
      <c r="I846" s="1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1"/>
      <c r="B847" s="2"/>
      <c r="C847" s="11"/>
      <c r="D847" s="11"/>
      <c r="E847" s="11"/>
      <c r="F847" s="11"/>
      <c r="G847" s="11"/>
      <c r="H847" s="12"/>
      <c r="I847" s="1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1"/>
      <c r="B848" s="2"/>
      <c r="C848" s="11"/>
      <c r="D848" s="11"/>
      <c r="E848" s="11"/>
      <c r="F848" s="11"/>
      <c r="G848" s="11"/>
      <c r="H848" s="12"/>
      <c r="I848" s="1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1"/>
      <c r="B849" s="2"/>
      <c r="C849" s="11"/>
      <c r="D849" s="11"/>
      <c r="E849" s="11"/>
      <c r="F849" s="11"/>
      <c r="G849" s="11"/>
      <c r="H849" s="12"/>
      <c r="I849" s="1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1"/>
      <c r="B850" s="2"/>
      <c r="C850" s="11"/>
      <c r="D850" s="11"/>
      <c r="E850" s="11"/>
      <c r="F850" s="11"/>
      <c r="G850" s="11"/>
      <c r="H850" s="12"/>
      <c r="I850" s="1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1"/>
      <c r="B851" s="2"/>
      <c r="C851" s="11"/>
      <c r="D851" s="11"/>
      <c r="E851" s="11"/>
      <c r="F851" s="11"/>
      <c r="G851" s="11"/>
      <c r="H851" s="12"/>
      <c r="I851" s="1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1"/>
      <c r="B852" s="2"/>
      <c r="C852" s="11"/>
      <c r="D852" s="11"/>
      <c r="E852" s="11"/>
      <c r="F852" s="11"/>
      <c r="G852" s="11"/>
      <c r="H852" s="12"/>
      <c r="I852" s="1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1"/>
      <c r="B853" s="2"/>
      <c r="C853" s="11"/>
      <c r="D853" s="11"/>
      <c r="E853" s="11"/>
      <c r="F853" s="11"/>
      <c r="G853" s="11"/>
      <c r="H853" s="12"/>
      <c r="I853" s="1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1"/>
      <c r="B854" s="2"/>
      <c r="C854" s="11"/>
      <c r="D854" s="11"/>
      <c r="E854" s="11"/>
      <c r="F854" s="11"/>
      <c r="G854" s="11"/>
      <c r="H854" s="12"/>
      <c r="I854" s="1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1"/>
      <c r="B855" s="2"/>
      <c r="C855" s="11"/>
      <c r="D855" s="11"/>
      <c r="E855" s="11"/>
      <c r="F855" s="11"/>
      <c r="G855" s="11"/>
      <c r="H855" s="12"/>
      <c r="I855" s="1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1"/>
      <c r="B856" s="2"/>
      <c r="C856" s="11"/>
      <c r="D856" s="11"/>
      <c r="E856" s="11"/>
      <c r="F856" s="11"/>
      <c r="G856" s="11"/>
      <c r="H856" s="12"/>
      <c r="I856" s="1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1"/>
      <c r="B857" s="2"/>
      <c r="C857" s="11"/>
      <c r="D857" s="11"/>
      <c r="E857" s="11"/>
      <c r="F857" s="11"/>
      <c r="G857" s="11"/>
      <c r="H857" s="12"/>
      <c r="I857" s="1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1"/>
      <c r="B858" s="2"/>
      <c r="C858" s="11"/>
      <c r="D858" s="11"/>
      <c r="E858" s="11"/>
      <c r="F858" s="11"/>
      <c r="G858" s="11"/>
      <c r="H858" s="12"/>
      <c r="I858" s="1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1"/>
      <c r="B859" s="2"/>
      <c r="C859" s="11"/>
      <c r="D859" s="11"/>
      <c r="E859" s="11"/>
      <c r="F859" s="11"/>
      <c r="G859" s="11"/>
      <c r="H859" s="12"/>
      <c r="I859" s="1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1"/>
      <c r="B860" s="2"/>
      <c r="C860" s="11"/>
      <c r="D860" s="11"/>
      <c r="E860" s="11"/>
      <c r="F860" s="11"/>
      <c r="G860" s="11"/>
      <c r="H860" s="12"/>
      <c r="I860" s="1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1"/>
      <c r="B861" s="2"/>
      <c r="C861" s="11"/>
      <c r="D861" s="11"/>
      <c r="E861" s="11"/>
      <c r="F861" s="11"/>
      <c r="G861" s="11"/>
      <c r="H861" s="12"/>
      <c r="I861" s="1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1"/>
      <c r="B862" s="2"/>
      <c r="C862" s="11"/>
      <c r="D862" s="11"/>
      <c r="E862" s="11"/>
      <c r="F862" s="11"/>
      <c r="G862" s="11"/>
      <c r="H862" s="12"/>
      <c r="I862" s="1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1"/>
      <c r="B863" s="2"/>
      <c r="C863" s="11"/>
      <c r="D863" s="11"/>
      <c r="E863" s="11"/>
      <c r="F863" s="11"/>
      <c r="G863" s="11"/>
      <c r="H863" s="12"/>
      <c r="I863" s="1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1"/>
      <c r="B864" s="2"/>
      <c r="C864" s="11"/>
      <c r="D864" s="11"/>
      <c r="E864" s="11"/>
      <c r="F864" s="11"/>
      <c r="G864" s="11"/>
      <c r="H864" s="12"/>
      <c r="I864" s="1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1"/>
      <c r="B865" s="2"/>
      <c r="C865" s="11"/>
      <c r="D865" s="11"/>
      <c r="E865" s="11"/>
      <c r="F865" s="11"/>
      <c r="G865" s="11"/>
      <c r="H865" s="12"/>
      <c r="I865" s="1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1"/>
      <c r="B866" s="2"/>
      <c r="C866" s="11"/>
      <c r="D866" s="11"/>
      <c r="E866" s="11"/>
      <c r="F866" s="11"/>
      <c r="G866" s="11"/>
      <c r="H866" s="12"/>
      <c r="I866" s="1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1"/>
      <c r="B867" s="2"/>
      <c r="C867" s="11"/>
      <c r="D867" s="11"/>
      <c r="E867" s="11"/>
      <c r="F867" s="11"/>
      <c r="G867" s="11"/>
      <c r="H867" s="12"/>
      <c r="I867" s="1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1"/>
      <c r="B868" s="2"/>
      <c r="C868" s="11"/>
      <c r="D868" s="11"/>
      <c r="E868" s="11"/>
      <c r="F868" s="11"/>
      <c r="G868" s="11"/>
      <c r="H868" s="12"/>
      <c r="I868" s="1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1"/>
      <c r="B869" s="2"/>
      <c r="C869" s="11"/>
      <c r="D869" s="11"/>
      <c r="E869" s="11"/>
      <c r="F869" s="11"/>
      <c r="G869" s="11"/>
      <c r="H869" s="12"/>
      <c r="I869" s="1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1"/>
      <c r="B870" s="2"/>
      <c r="C870" s="11"/>
      <c r="D870" s="11"/>
      <c r="E870" s="11"/>
      <c r="F870" s="11"/>
      <c r="G870" s="11"/>
      <c r="H870" s="12"/>
      <c r="I870" s="1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1"/>
      <c r="B871" s="2"/>
      <c r="C871" s="11"/>
      <c r="D871" s="11"/>
      <c r="E871" s="11"/>
      <c r="F871" s="11"/>
      <c r="G871" s="11"/>
      <c r="H871" s="12"/>
      <c r="I871" s="1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1"/>
      <c r="B872" s="2"/>
      <c r="C872" s="11"/>
      <c r="D872" s="11"/>
      <c r="E872" s="11"/>
      <c r="F872" s="11"/>
      <c r="G872" s="11"/>
      <c r="H872" s="12"/>
      <c r="I872" s="1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1"/>
      <c r="B873" s="2"/>
      <c r="C873" s="11"/>
      <c r="D873" s="11"/>
      <c r="E873" s="11"/>
      <c r="F873" s="11"/>
      <c r="G873" s="11"/>
      <c r="H873" s="12"/>
      <c r="I873" s="1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1"/>
      <c r="B874" s="2"/>
      <c r="C874" s="11"/>
      <c r="D874" s="11"/>
      <c r="E874" s="11"/>
      <c r="F874" s="11"/>
      <c r="G874" s="11"/>
      <c r="H874" s="12"/>
      <c r="I874" s="1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1"/>
      <c r="B875" s="2"/>
      <c r="C875" s="11"/>
      <c r="D875" s="11"/>
      <c r="E875" s="11"/>
      <c r="F875" s="11"/>
      <c r="G875" s="11"/>
      <c r="H875" s="12"/>
      <c r="I875" s="1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1"/>
      <c r="B876" s="2"/>
      <c r="C876" s="11"/>
      <c r="D876" s="11"/>
      <c r="E876" s="11"/>
      <c r="F876" s="11"/>
      <c r="G876" s="11"/>
      <c r="H876" s="12"/>
      <c r="I876" s="1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1"/>
      <c r="B877" s="2"/>
      <c r="C877" s="11"/>
      <c r="D877" s="11"/>
      <c r="E877" s="11"/>
      <c r="F877" s="11"/>
      <c r="G877" s="11"/>
      <c r="H877" s="12"/>
      <c r="I877" s="1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1"/>
      <c r="B878" s="2"/>
      <c r="C878" s="11"/>
      <c r="D878" s="11"/>
      <c r="E878" s="11"/>
      <c r="F878" s="11"/>
      <c r="G878" s="11"/>
      <c r="H878" s="12"/>
      <c r="I878" s="1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1"/>
      <c r="B879" s="2"/>
      <c r="C879" s="11"/>
      <c r="D879" s="11"/>
      <c r="E879" s="11"/>
      <c r="F879" s="11"/>
      <c r="G879" s="11"/>
      <c r="H879" s="12"/>
      <c r="I879" s="1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1"/>
      <c r="B880" s="2"/>
      <c r="C880" s="11"/>
      <c r="D880" s="11"/>
      <c r="E880" s="11"/>
      <c r="F880" s="11"/>
      <c r="G880" s="11"/>
      <c r="H880" s="12"/>
      <c r="I880" s="1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1"/>
      <c r="B881" s="2"/>
      <c r="C881" s="11"/>
      <c r="D881" s="11"/>
      <c r="E881" s="11"/>
      <c r="F881" s="11"/>
      <c r="G881" s="11"/>
      <c r="H881" s="12"/>
      <c r="I881" s="1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1"/>
      <c r="B882" s="2"/>
      <c r="C882" s="11"/>
      <c r="D882" s="11"/>
      <c r="E882" s="11"/>
      <c r="F882" s="11"/>
      <c r="G882" s="11"/>
      <c r="H882" s="12"/>
      <c r="I882" s="1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1"/>
      <c r="B883" s="2"/>
      <c r="C883" s="11"/>
      <c r="D883" s="11"/>
      <c r="E883" s="11"/>
      <c r="F883" s="11"/>
      <c r="G883" s="11"/>
      <c r="H883" s="12"/>
      <c r="I883" s="1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1"/>
      <c r="B884" s="2"/>
      <c r="C884" s="11"/>
      <c r="D884" s="11"/>
      <c r="E884" s="11"/>
      <c r="F884" s="11"/>
      <c r="G884" s="11"/>
      <c r="H884" s="12"/>
      <c r="I884" s="1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1"/>
      <c r="B885" s="2"/>
      <c r="C885" s="11"/>
      <c r="D885" s="11"/>
      <c r="E885" s="11"/>
      <c r="F885" s="11"/>
      <c r="G885" s="11"/>
      <c r="H885" s="12"/>
      <c r="I885" s="1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1"/>
      <c r="B886" s="2"/>
      <c r="C886" s="11"/>
      <c r="D886" s="11"/>
      <c r="E886" s="11"/>
      <c r="F886" s="11"/>
      <c r="G886" s="11"/>
      <c r="H886" s="12"/>
      <c r="I886" s="1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1"/>
      <c r="B887" s="2"/>
      <c r="C887" s="11"/>
      <c r="D887" s="11"/>
      <c r="E887" s="11"/>
      <c r="F887" s="11"/>
      <c r="G887" s="11"/>
      <c r="H887" s="12"/>
      <c r="I887" s="1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1"/>
      <c r="B888" s="2"/>
      <c r="C888" s="11"/>
      <c r="D888" s="11"/>
      <c r="E888" s="11"/>
      <c r="F888" s="11"/>
      <c r="G888" s="11"/>
      <c r="H888" s="12"/>
      <c r="I888" s="1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1"/>
      <c r="B889" s="2"/>
      <c r="C889" s="11"/>
      <c r="D889" s="11"/>
      <c r="E889" s="11"/>
      <c r="F889" s="11"/>
      <c r="G889" s="11"/>
      <c r="H889" s="12"/>
      <c r="I889" s="1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1"/>
      <c r="B890" s="2"/>
      <c r="C890" s="11"/>
      <c r="D890" s="11"/>
      <c r="E890" s="11"/>
      <c r="F890" s="11"/>
      <c r="G890" s="11"/>
      <c r="H890" s="12"/>
      <c r="I890" s="1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1"/>
      <c r="B891" s="2"/>
      <c r="C891" s="11"/>
      <c r="D891" s="11"/>
      <c r="E891" s="11"/>
      <c r="F891" s="11"/>
      <c r="G891" s="11"/>
      <c r="H891" s="12"/>
      <c r="I891" s="1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1"/>
      <c r="B892" s="2"/>
      <c r="C892" s="11"/>
      <c r="D892" s="11"/>
      <c r="E892" s="11"/>
      <c r="F892" s="11"/>
      <c r="G892" s="11"/>
      <c r="H892" s="12"/>
      <c r="I892" s="1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1"/>
      <c r="B893" s="2"/>
      <c r="C893" s="11"/>
      <c r="D893" s="11"/>
      <c r="E893" s="11"/>
      <c r="F893" s="11"/>
      <c r="G893" s="11"/>
      <c r="H893" s="12"/>
      <c r="I893" s="1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1"/>
      <c r="B894" s="2"/>
      <c r="C894" s="11"/>
      <c r="D894" s="11"/>
      <c r="E894" s="11"/>
      <c r="F894" s="11"/>
      <c r="G894" s="11"/>
      <c r="H894" s="12"/>
      <c r="I894" s="1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1"/>
      <c r="B895" s="2"/>
      <c r="C895" s="11"/>
      <c r="D895" s="11"/>
      <c r="E895" s="11"/>
      <c r="F895" s="11"/>
      <c r="G895" s="11"/>
      <c r="H895" s="12"/>
      <c r="I895" s="1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1"/>
      <c r="B896" s="2"/>
      <c r="C896" s="11"/>
      <c r="D896" s="11"/>
      <c r="E896" s="11"/>
      <c r="F896" s="11"/>
      <c r="G896" s="11"/>
      <c r="H896" s="12"/>
      <c r="I896" s="1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1"/>
      <c r="B897" s="2"/>
      <c r="C897" s="11"/>
      <c r="D897" s="11"/>
      <c r="E897" s="11"/>
      <c r="F897" s="11"/>
      <c r="G897" s="11"/>
      <c r="H897" s="12"/>
      <c r="I897" s="1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1"/>
      <c r="B898" s="2"/>
      <c r="C898" s="11"/>
      <c r="D898" s="11"/>
      <c r="E898" s="11"/>
      <c r="F898" s="11"/>
      <c r="G898" s="11"/>
      <c r="H898" s="12"/>
      <c r="I898" s="1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1"/>
      <c r="B899" s="2"/>
      <c r="C899" s="11"/>
      <c r="D899" s="11"/>
      <c r="E899" s="11"/>
      <c r="F899" s="11"/>
      <c r="G899" s="11"/>
      <c r="H899" s="12"/>
      <c r="I899" s="1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1"/>
      <c r="B900" s="2"/>
      <c r="C900" s="11"/>
      <c r="D900" s="11"/>
      <c r="E900" s="11"/>
      <c r="F900" s="11"/>
      <c r="G900" s="11"/>
      <c r="H900" s="12"/>
      <c r="I900" s="1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1"/>
      <c r="B901" s="2"/>
      <c r="C901" s="11"/>
      <c r="D901" s="11"/>
      <c r="E901" s="11"/>
      <c r="F901" s="11"/>
      <c r="G901" s="11"/>
      <c r="H901" s="12"/>
      <c r="I901" s="1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1"/>
      <c r="B902" s="2"/>
      <c r="C902" s="11"/>
      <c r="D902" s="11"/>
      <c r="E902" s="11"/>
      <c r="F902" s="11"/>
      <c r="G902" s="11"/>
      <c r="H902" s="12"/>
      <c r="I902" s="1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1"/>
      <c r="B903" s="2"/>
      <c r="C903" s="11"/>
      <c r="D903" s="11"/>
      <c r="E903" s="11"/>
      <c r="F903" s="11"/>
      <c r="G903" s="11"/>
      <c r="H903" s="12"/>
      <c r="I903" s="1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1"/>
      <c r="B904" s="2"/>
      <c r="C904" s="11"/>
      <c r="D904" s="11"/>
      <c r="E904" s="11"/>
      <c r="F904" s="11"/>
      <c r="G904" s="11"/>
      <c r="H904" s="12"/>
      <c r="I904" s="1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1"/>
      <c r="B905" s="2"/>
      <c r="C905" s="11"/>
      <c r="D905" s="11"/>
      <c r="E905" s="11"/>
      <c r="F905" s="11"/>
      <c r="G905" s="11"/>
      <c r="H905" s="12"/>
      <c r="I905" s="1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1"/>
      <c r="B906" s="2"/>
      <c r="C906" s="11"/>
      <c r="D906" s="11"/>
      <c r="E906" s="11"/>
      <c r="F906" s="11"/>
      <c r="G906" s="11"/>
      <c r="H906" s="12"/>
      <c r="I906" s="1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1"/>
      <c r="B907" s="2"/>
      <c r="C907" s="11"/>
      <c r="D907" s="11"/>
      <c r="E907" s="11"/>
      <c r="F907" s="11"/>
      <c r="G907" s="11"/>
      <c r="H907" s="12"/>
      <c r="I907" s="1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1"/>
      <c r="B908" s="2"/>
      <c r="C908" s="11"/>
      <c r="D908" s="11"/>
      <c r="E908" s="11"/>
      <c r="F908" s="11"/>
      <c r="G908" s="11"/>
      <c r="H908" s="12"/>
      <c r="I908" s="1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1"/>
      <c r="B909" s="2"/>
      <c r="C909" s="11"/>
      <c r="D909" s="11"/>
      <c r="E909" s="11"/>
      <c r="F909" s="11"/>
      <c r="G909" s="11"/>
      <c r="H909" s="12"/>
      <c r="I909" s="1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1"/>
      <c r="B910" s="2"/>
      <c r="C910" s="11"/>
      <c r="D910" s="11"/>
      <c r="E910" s="11"/>
      <c r="F910" s="11"/>
      <c r="G910" s="11"/>
      <c r="H910" s="12"/>
      <c r="I910" s="1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1"/>
      <c r="B911" s="2"/>
      <c r="C911" s="11"/>
      <c r="D911" s="11"/>
      <c r="E911" s="11"/>
      <c r="F911" s="11"/>
      <c r="G911" s="11"/>
      <c r="H911" s="12"/>
      <c r="I911" s="1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1"/>
      <c r="B912" s="2"/>
      <c r="C912" s="11"/>
      <c r="D912" s="11"/>
      <c r="E912" s="11"/>
      <c r="F912" s="11"/>
      <c r="G912" s="11"/>
      <c r="H912" s="12"/>
      <c r="I912" s="1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1"/>
      <c r="B913" s="2"/>
      <c r="C913" s="11"/>
      <c r="D913" s="11"/>
      <c r="E913" s="11"/>
      <c r="F913" s="11"/>
      <c r="G913" s="11"/>
      <c r="H913" s="12"/>
      <c r="I913" s="1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1"/>
      <c r="B914" s="2"/>
      <c r="C914" s="11"/>
      <c r="D914" s="11"/>
      <c r="E914" s="11"/>
      <c r="F914" s="11"/>
      <c r="G914" s="11"/>
      <c r="H914" s="12"/>
      <c r="I914" s="1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1"/>
      <c r="B915" s="2"/>
      <c r="C915" s="11"/>
      <c r="D915" s="11"/>
      <c r="E915" s="11"/>
      <c r="F915" s="11"/>
      <c r="G915" s="11"/>
      <c r="H915" s="12"/>
      <c r="I915" s="1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1"/>
      <c r="B916" s="2"/>
      <c r="C916" s="11"/>
      <c r="D916" s="11"/>
      <c r="E916" s="11"/>
      <c r="F916" s="11"/>
      <c r="G916" s="11"/>
      <c r="H916" s="12"/>
      <c r="I916" s="1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1"/>
      <c r="B917" s="2"/>
      <c r="C917" s="11"/>
      <c r="D917" s="11"/>
      <c r="E917" s="11"/>
      <c r="F917" s="11"/>
      <c r="G917" s="11"/>
      <c r="H917" s="12"/>
      <c r="I917" s="1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1"/>
      <c r="B918" s="2"/>
      <c r="C918" s="11"/>
      <c r="D918" s="11"/>
      <c r="E918" s="11"/>
      <c r="F918" s="11"/>
      <c r="G918" s="11"/>
      <c r="H918" s="12"/>
      <c r="I918" s="1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1"/>
      <c r="B919" s="2"/>
      <c r="C919" s="11"/>
      <c r="D919" s="11"/>
      <c r="E919" s="11"/>
      <c r="F919" s="11"/>
      <c r="G919" s="11"/>
      <c r="H919" s="12"/>
      <c r="I919" s="1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1"/>
      <c r="B920" s="2"/>
      <c r="C920" s="11"/>
      <c r="D920" s="11"/>
      <c r="E920" s="11"/>
      <c r="F920" s="11"/>
      <c r="G920" s="11"/>
      <c r="H920" s="12"/>
      <c r="I920" s="1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1"/>
      <c r="B921" s="2"/>
      <c r="C921" s="11"/>
      <c r="D921" s="11"/>
      <c r="E921" s="11"/>
      <c r="F921" s="11"/>
      <c r="G921" s="11"/>
      <c r="H921" s="12"/>
      <c r="I921" s="1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1"/>
      <c r="B922" s="2"/>
      <c r="C922" s="11"/>
      <c r="D922" s="11"/>
      <c r="E922" s="11"/>
      <c r="F922" s="11"/>
      <c r="G922" s="11"/>
      <c r="H922" s="12"/>
      <c r="I922" s="1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1"/>
      <c r="B923" s="2"/>
      <c r="C923" s="11"/>
      <c r="D923" s="11"/>
      <c r="E923" s="11"/>
      <c r="F923" s="11"/>
      <c r="G923" s="11"/>
      <c r="H923" s="12"/>
      <c r="I923" s="1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1"/>
      <c r="B924" s="2"/>
      <c r="C924" s="11"/>
      <c r="D924" s="11"/>
      <c r="E924" s="11"/>
      <c r="F924" s="11"/>
      <c r="G924" s="11"/>
      <c r="H924" s="12"/>
      <c r="I924" s="1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1"/>
      <c r="B925" s="2"/>
      <c r="C925" s="11"/>
      <c r="D925" s="11"/>
      <c r="E925" s="11"/>
      <c r="F925" s="11"/>
      <c r="G925" s="11"/>
      <c r="H925" s="12"/>
      <c r="I925" s="1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1"/>
      <c r="B926" s="2"/>
      <c r="C926" s="11"/>
      <c r="D926" s="11"/>
      <c r="E926" s="11"/>
      <c r="F926" s="11"/>
      <c r="G926" s="11"/>
      <c r="H926" s="12"/>
      <c r="I926" s="1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1"/>
      <c r="B927" s="2"/>
      <c r="C927" s="11"/>
      <c r="D927" s="11"/>
      <c r="E927" s="11"/>
      <c r="F927" s="11"/>
      <c r="G927" s="11"/>
      <c r="H927" s="12"/>
      <c r="I927" s="1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1"/>
      <c r="B928" s="2"/>
      <c r="C928" s="11"/>
      <c r="D928" s="11"/>
      <c r="E928" s="11"/>
      <c r="F928" s="11"/>
      <c r="G928" s="11"/>
      <c r="H928" s="12"/>
      <c r="I928" s="1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1"/>
      <c r="B929" s="2"/>
      <c r="C929" s="11"/>
      <c r="D929" s="11"/>
      <c r="E929" s="11"/>
      <c r="F929" s="11"/>
      <c r="G929" s="11"/>
      <c r="H929" s="12"/>
      <c r="I929" s="1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1"/>
      <c r="B930" s="2"/>
      <c r="C930" s="11"/>
      <c r="D930" s="11"/>
      <c r="E930" s="11"/>
      <c r="F930" s="11"/>
      <c r="G930" s="11"/>
      <c r="H930" s="12"/>
      <c r="I930" s="1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1"/>
      <c r="B931" s="2"/>
      <c r="C931" s="11"/>
      <c r="D931" s="11"/>
      <c r="E931" s="11"/>
      <c r="F931" s="11"/>
      <c r="G931" s="11"/>
      <c r="H931" s="12"/>
      <c r="I931" s="1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1"/>
      <c r="B932" s="2"/>
      <c r="C932" s="11"/>
      <c r="D932" s="11"/>
      <c r="E932" s="11"/>
      <c r="F932" s="11"/>
      <c r="G932" s="11"/>
      <c r="H932" s="12"/>
      <c r="I932" s="1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1"/>
      <c r="B933" s="2"/>
      <c r="C933" s="11"/>
      <c r="D933" s="11"/>
      <c r="E933" s="11"/>
      <c r="F933" s="11"/>
      <c r="G933" s="11"/>
      <c r="H933" s="12"/>
      <c r="I933" s="1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1"/>
      <c r="B934" s="2"/>
      <c r="C934" s="11"/>
      <c r="D934" s="11"/>
      <c r="E934" s="11"/>
      <c r="F934" s="11"/>
      <c r="G934" s="11"/>
      <c r="H934" s="12"/>
      <c r="I934" s="1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1"/>
      <c r="B935" s="2"/>
      <c r="C935" s="11"/>
      <c r="D935" s="11"/>
      <c r="E935" s="11"/>
      <c r="F935" s="11"/>
      <c r="G935" s="11"/>
      <c r="H935" s="12"/>
      <c r="I935" s="1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1"/>
      <c r="B936" s="2"/>
      <c r="C936" s="11"/>
      <c r="D936" s="11"/>
      <c r="E936" s="11"/>
      <c r="F936" s="11"/>
      <c r="G936" s="11"/>
      <c r="H936" s="12"/>
      <c r="I936" s="1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1"/>
      <c r="B937" s="2"/>
      <c r="C937" s="11"/>
      <c r="D937" s="11"/>
      <c r="E937" s="11"/>
      <c r="F937" s="11"/>
      <c r="G937" s="11"/>
      <c r="H937" s="12"/>
      <c r="I937" s="1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1"/>
      <c r="B938" s="2"/>
      <c r="C938" s="11"/>
      <c r="D938" s="11"/>
      <c r="E938" s="11"/>
      <c r="F938" s="11"/>
      <c r="G938" s="11"/>
      <c r="H938" s="12"/>
      <c r="I938" s="1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1"/>
      <c r="B939" s="2"/>
      <c r="C939" s="11"/>
      <c r="D939" s="11"/>
      <c r="E939" s="11"/>
      <c r="F939" s="11"/>
      <c r="G939" s="11"/>
      <c r="H939" s="12"/>
      <c r="I939" s="1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1"/>
      <c r="B940" s="2"/>
      <c r="C940" s="11"/>
      <c r="D940" s="11"/>
      <c r="E940" s="11"/>
      <c r="F940" s="11"/>
      <c r="G940" s="11"/>
      <c r="H940" s="12"/>
      <c r="I940" s="1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1"/>
      <c r="B941" s="2"/>
      <c r="C941" s="11"/>
      <c r="D941" s="11"/>
      <c r="E941" s="11"/>
      <c r="F941" s="11"/>
      <c r="G941" s="11"/>
      <c r="H941" s="12"/>
      <c r="I941" s="1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1"/>
      <c r="B942" s="2"/>
      <c r="C942" s="11"/>
      <c r="D942" s="11"/>
      <c r="E942" s="11"/>
      <c r="F942" s="11"/>
      <c r="G942" s="11"/>
      <c r="H942" s="12"/>
      <c r="I942" s="1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1"/>
      <c r="B943" s="2"/>
      <c r="C943" s="11"/>
      <c r="D943" s="11"/>
      <c r="E943" s="11"/>
      <c r="F943" s="11"/>
      <c r="G943" s="11"/>
      <c r="H943" s="12"/>
      <c r="I943" s="1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1"/>
      <c r="B944" s="2"/>
      <c r="C944" s="11"/>
      <c r="D944" s="11"/>
      <c r="E944" s="11"/>
      <c r="F944" s="11"/>
      <c r="G944" s="11"/>
      <c r="H944" s="12"/>
      <c r="I944" s="1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1"/>
      <c r="B945" s="2"/>
      <c r="C945" s="11"/>
      <c r="D945" s="11"/>
      <c r="E945" s="11"/>
      <c r="F945" s="11"/>
      <c r="G945" s="11"/>
      <c r="H945" s="12"/>
      <c r="I945" s="1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1"/>
      <c r="B946" s="2"/>
      <c r="C946" s="11"/>
      <c r="D946" s="11"/>
      <c r="E946" s="11"/>
      <c r="F946" s="11"/>
      <c r="G946" s="11"/>
      <c r="H946" s="12"/>
      <c r="I946" s="1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1"/>
      <c r="B947" s="2"/>
      <c r="C947" s="11"/>
      <c r="D947" s="11"/>
      <c r="E947" s="11"/>
      <c r="F947" s="11"/>
      <c r="G947" s="11"/>
      <c r="H947" s="12"/>
      <c r="I947" s="1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1"/>
      <c r="B948" s="2"/>
      <c r="C948" s="11"/>
      <c r="D948" s="11"/>
      <c r="E948" s="11"/>
      <c r="F948" s="11"/>
      <c r="G948" s="11"/>
      <c r="H948" s="12"/>
      <c r="I948" s="1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1"/>
      <c r="B949" s="2"/>
      <c r="C949" s="11"/>
      <c r="D949" s="11"/>
      <c r="E949" s="11"/>
      <c r="F949" s="11"/>
      <c r="G949" s="11"/>
      <c r="H949" s="12"/>
      <c r="I949" s="1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1"/>
      <c r="B950" s="2"/>
      <c r="C950" s="11"/>
      <c r="D950" s="11"/>
      <c r="E950" s="11"/>
      <c r="F950" s="11"/>
      <c r="G950" s="11"/>
      <c r="H950" s="12"/>
      <c r="I950" s="1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1"/>
      <c r="B951" s="2"/>
      <c r="C951" s="11"/>
      <c r="D951" s="11"/>
      <c r="E951" s="11"/>
      <c r="F951" s="11"/>
      <c r="G951" s="11"/>
      <c r="H951" s="12"/>
      <c r="I951" s="1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1"/>
      <c r="B952" s="2"/>
      <c r="C952" s="11"/>
      <c r="D952" s="11"/>
      <c r="E952" s="11"/>
      <c r="F952" s="11"/>
      <c r="G952" s="11"/>
      <c r="H952" s="12"/>
      <c r="I952" s="1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1"/>
      <c r="B953" s="2"/>
      <c r="C953" s="11"/>
      <c r="D953" s="11"/>
      <c r="E953" s="11"/>
      <c r="F953" s="11"/>
      <c r="G953" s="11"/>
      <c r="H953" s="12"/>
      <c r="I953" s="1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1"/>
      <c r="B954" s="2"/>
      <c r="C954" s="11"/>
      <c r="D954" s="11"/>
      <c r="E954" s="11"/>
      <c r="F954" s="11"/>
      <c r="G954" s="11"/>
      <c r="H954" s="12"/>
      <c r="I954" s="1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1"/>
      <c r="B955" s="2"/>
      <c r="C955" s="11"/>
      <c r="D955" s="11"/>
      <c r="E955" s="11"/>
      <c r="F955" s="11"/>
      <c r="G955" s="11"/>
      <c r="H955" s="12"/>
      <c r="I955" s="1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1"/>
      <c r="B956" s="2"/>
      <c r="C956" s="11"/>
      <c r="D956" s="11"/>
      <c r="E956" s="11"/>
      <c r="F956" s="11"/>
      <c r="G956" s="11"/>
      <c r="H956" s="12"/>
      <c r="I956" s="1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1"/>
      <c r="B957" s="2"/>
      <c r="C957" s="11"/>
      <c r="D957" s="11"/>
      <c r="E957" s="11"/>
      <c r="F957" s="11"/>
      <c r="G957" s="11"/>
      <c r="H957" s="12"/>
      <c r="I957" s="1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1"/>
      <c r="B958" s="2"/>
      <c r="C958" s="11"/>
      <c r="D958" s="11"/>
      <c r="E958" s="11"/>
      <c r="F958" s="11"/>
      <c r="G958" s="11"/>
      <c r="H958" s="12"/>
      <c r="I958" s="1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1"/>
      <c r="B959" s="2"/>
      <c r="C959" s="11"/>
      <c r="D959" s="11"/>
      <c r="E959" s="11"/>
      <c r="F959" s="11"/>
      <c r="G959" s="11"/>
      <c r="H959" s="12"/>
      <c r="I959" s="1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1"/>
      <c r="B960" s="2"/>
      <c r="C960" s="11"/>
      <c r="D960" s="11"/>
      <c r="E960" s="11"/>
      <c r="F960" s="11"/>
      <c r="G960" s="11"/>
      <c r="H960" s="12"/>
      <c r="I960" s="1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1"/>
      <c r="B961" s="2"/>
      <c r="C961" s="11"/>
      <c r="D961" s="11"/>
      <c r="E961" s="11"/>
      <c r="F961" s="11"/>
      <c r="G961" s="11"/>
      <c r="H961" s="12"/>
      <c r="I961" s="1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1"/>
      <c r="B962" s="2"/>
      <c r="C962" s="11"/>
      <c r="D962" s="11"/>
      <c r="E962" s="11"/>
      <c r="F962" s="11"/>
      <c r="G962" s="11"/>
      <c r="H962" s="12"/>
      <c r="I962" s="1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1"/>
      <c r="B963" s="2"/>
      <c r="C963" s="11"/>
      <c r="D963" s="11"/>
      <c r="E963" s="11"/>
      <c r="F963" s="11"/>
      <c r="G963" s="11"/>
      <c r="H963" s="12"/>
      <c r="I963" s="1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1"/>
      <c r="B964" s="2"/>
      <c r="C964" s="11"/>
      <c r="D964" s="11"/>
      <c r="E964" s="11"/>
      <c r="F964" s="11"/>
      <c r="G964" s="11"/>
      <c r="H964" s="12"/>
      <c r="I964" s="1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1"/>
      <c r="B965" s="2"/>
      <c r="C965" s="11"/>
      <c r="D965" s="11"/>
      <c r="E965" s="11"/>
      <c r="F965" s="11"/>
      <c r="G965" s="11"/>
      <c r="H965" s="12"/>
      <c r="I965" s="1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1"/>
      <c r="B966" s="2"/>
      <c r="C966" s="11"/>
      <c r="D966" s="11"/>
      <c r="E966" s="11"/>
      <c r="F966" s="11"/>
      <c r="G966" s="11"/>
      <c r="H966" s="12"/>
      <c r="I966" s="1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1"/>
      <c r="B967" s="2"/>
      <c r="C967" s="11"/>
      <c r="D967" s="11"/>
      <c r="E967" s="11"/>
      <c r="F967" s="11"/>
      <c r="G967" s="11"/>
      <c r="H967" s="12"/>
      <c r="I967" s="1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1"/>
      <c r="B968" s="2"/>
      <c r="C968" s="11"/>
      <c r="D968" s="11"/>
      <c r="E968" s="11"/>
      <c r="F968" s="11"/>
      <c r="G968" s="11"/>
      <c r="H968" s="12"/>
      <c r="I968" s="1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1"/>
      <c r="B969" s="2"/>
      <c r="C969" s="11"/>
      <c r="D969" s="11"/>
      <c r="E969" s="11"/>
      <c r="F969" s="11"/>
      <c r="G969" s="11"/>
      <c r="H969" s="12"/>
      <c r="I969" s="1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1"/>
      <c r="B970" s="2"/>
      <c r="C970" s="11"/>
      <c r="D970" s="11"/>
      <c r="E970" s="11"/>
      <c r="F970" s="11"/>
      <c r="G970" s="11"/>
      <c r="H970" s="12"/>
      <c r="I970" s="1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1"/>
      <c r="B971" s="2"/>
      <c r="C971" s="11"/>
      <c r="D971" s="11"/>
      <c r="E971" s="11"/>
      <c r="F971" s="11"/>
      <c r="G971" s="11"/>
      <c r="H971" s="12"/>
      <c r="I971" s="1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1"/>
      <c r="B972" s="2"/>
      <c r="C972" s="11"/>
      <c r="D972" s="11"/>
      <c r="E972" s="11"/>
      <c r="F972" s="11"/>
      <c r="G972" s="11"/>
      <c r="H972" s="12"/>
      <c r="I972" s="1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1"/>
      <c r="B973" s="2"/>
      <c r="C973" s="11"/>
      <c r="D973" s="11"/>
      <c r="E973" s="11"/>
      <c r="F973" s="11"/>
      <c r="G973" s="11"/>
      <c r="H973" s="12"/>
      <c r="I973" s="1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1"/>
      <c r="B974" s="2"/>
      <c r="C974" s="11"/>
      <c r="D974" s="11"/>
      <c r="E974" s="11"/>
      <c r="F974" s="11"/>
      <c r="G974" s="11"/>
      <c r="H974" s="12"/>
      <c r="I974" s="1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1"/>
      <c r="B975" s="2"/>
      <c r="C975" s="11"/>
      <c r="D975" s="11"/>
      <c r="E975" s="11"/>
      <c r="F975" s="11"/>
      <c r="G975" s="11"/>
      <c r="H975" s="12"/>
      <c r="I975" s="1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1"/>
      <c r="B976" s="2"/>
      <c r="C976" s="11"/>
      <c r="D976" s="11"/>
      <c r="E976" s="11"/>
      <c r="F976" s="11"/>
      <c r="G976" s="11"/>
      <c r="H976" s="12"/>
      <c r="I976" s="1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1"/>
      <c r="B977" s="2"/>
      <c r="C977" s="11"/>
      <c r="D977" s="11"/>
      <c r="E977" s="11"/>
      <c r="F977" s="11"/>
      <c r="G977" s="11"/>
      <c r="H977" s="12"/>
      <c r="I977" s="1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1"/>
      <c r="B978" s="2"/>
      <c r="C978" s="11"/>
      <c r="D978" s="11"/>
      <c r="E978" s="11"/>
      <c r="F978" s="11"/>
      <c r="G978" s="11"/>
      <c r="H978" s="12"/>
      <c r="I978" s="1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1"/>
      <c r="B979" s="2"/>
      <c r="C979" s="11"/>
      <c r="D979" s="11"/>
      <c r="E979" s="11"/>
      <c r="F979" s="11"/>
      <c r="G979" s="11"/>
      <c r="H979" s="12"/>
      <c r="I979" s="1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1"/>
      <c r="B980" s="2"/>
      <c r="C980" s="11"/>
      <c r="D980" s="11"/>
      <c r="E980" s="11"/>
      <c r="F980" s="11"/>
      <c r="G980" s="11"/>
      <c r="H980" s="12"/>
      <c r="I980" s="1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1"/>
      <c r="B981" s="2"/>
      <c r="C981" s="11"/>
      <c r="D981" s="11"/>
      <c r="E981" s="11"/>
      <c r="F981" s="11"/>
      <c r="G981" s="11"/>
      <c r="H981" s="12"/>
      <c r="I981" s="1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1"/>
      <c r="B982" s="2"/>
      <c r="C982" s="11"/>
      <c r="D982" s="11"/>
      <c r="E982" s="11"/>
      <c r="F982" s="11"/>
      <c r="G982" s="11"/>
      <c r="H982" s="12"/>
      <c r="I982" s="1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1"/>
      <c r="B983" s="2"/>
      <c r="C983" s="11"/>
      <c r="D983" s="11"/>
      <c r="E983" s="11"/>
      <c r="F983" s="11"/>
      <c r="G983" s="11"/>
      <c r="H983" s="12"/>
      <c r="I983" s="1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1"/>
      <c r="B984" s="2"/>
      <c r="C984" s="11"/>
      <c r="D984" s="11"/>
      <c r="E984" s="11"/>
      <c r="F984" s="11"/>
      <c r="G984" s="11"/>
      <c r="H984" s="12"/>
      <c r="I984" s="1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1"/>
      <c r="B985" s="2"/>
      <c r="C985" s="11"/>
      <c r="D985" s="11"/>
      <c r="E985" s="11"/>
      <c r="F985" s="11"/>
      <c r="G985" s="11"/>
      <c r="H985" s="12"/>
      <c r="I985" s="1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1"/>
      <c r="B986" s="2"/>
      <c r="C986" s="11"/>
      <c r="D986" s="11"/>
      <c r="E986" s="11"/>
      <c r="F986" s="11"/>
      <c r="G986" s="11"/>
      <c r="H986" s="12"/>
      <c r="I986" s="1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1"/>
      <c r="B987" s="2"/>
      <c r="C987" s="11"/>
      <c r="D987" s="11"/>
      <c r="E987" s="11"/>
      <c r="F987" s="11"/>
      <c r="G987" s="11"/>
      <c r="H987" s="12"/>
      <c r="I987" s="1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1"/>
      <c r="B988" s="2"/>
      <c r="C988" s="11"/>
      <c r="D988" s="11"/>
      <c r="E988" s="11"/>
      <c r="F988" s="11"/>
      <c r="G988" s="11"/>
      <c r="H988" s="12"/>
      <c r="I988" s="1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1"/>
      <c r="B989" s="2"/>
      <c r="C989" s="11"/>
      <c r="D989" s="11"/>
      <c r="E989" s="11"/>
      <c r="F989" s="11"/>
      <c r="G989" s="11"/>
      <c r="H989" s="12"/>
      <c r="I989" s="1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1"/>
      <c r="B990" s="2"/>
      <c r="C990" s="11"/>
      <c r="D990" s="11"/>
      <c r="E990" s="11"/>
      <c r="F990" s="11"/>
      <c r="G990" s="11"/>
      <c r="H990" s="12"/>
      <c r="I990" s="1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1"/>
      <c r="B991" s="2"/>
      <c r="C991" s="11"/>
      <c r="D991" s="11"/>
      <c r="E991" s="11"/>
      <c r="F991" s="11"/>
      <c r="G991" s="11"/>
      <c r="H991" s="12"/>
      <c r="I991" s="1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1"/>
      <c r="B992" s="2"/>
      <c r="C992" s="11"/>
      <c r="D992" s="11"/>
      <c r="E992" s="11"/>
      <c r="F992" s="11"/>
      <c r="G992" s="11"/>
      <c r="H992" s="12"/>
      <c r="I992" s="1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1"/>
      <c r="B993" s="2"/>
      <c r="C993" s="11"/>
      <c r="D993" s="11"/>
      <c r="E993" s="11"/>
      <c r="F993" s="11"/>
      <c r="G993" s="11"/>
      <c r="H993" s="12"/>
      <c r="I993" s="1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1"/>
      <c r="B994" s="2"/>
      <c r="C994" s="11"/>
      <c r="D994" s="11"/>
      <c r="E994" s="11"/>
      <c r="F994" s="11"/>
      <c r="G994" s="11"/>
      <c r="H994" s="12"/>
      <c r="I994" s="1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1"/>
      <c r="B995" s="2"/>
      <c r="C995" s="11"/>
      <c r="D995" s="11"/>
      <c r="E995" s="11"/>
      <c r="F995" s="11"/>
      <c r="G995" s="11"/>
      <c r="H995" s="12"/>
      <c r="I995" s="1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1"/>
      <c r="B996" s="2"/>
      <c r="C996" s="11"/>
      <c r="D996" s="11"/>
      <c r="E996" s="11"/>
      <c r="F996" s="11"/>
      <c r="G996" s="11"/>
      <c r="H996" s="12"/>
      <c r="I996" s="1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1"/>
      <c r="B997" s="2"/>
      <c r="C997" s="11"/>
      <c r="D997" s="11"/>
      <c r="E997" s="11"/>
      <c r="F997" s="11"/>
      <c r="G997" s="11"/>
      <c r="H997" s="12"/>
      <c r="I997" s="1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1"/>
      <c r="B998" s="2"/>
      <c r="C998" s="11"/>
      <c r="D998" s="11"/>
      <c r="E998" s="11"/>
      <c r="F998" s="11"/>
      <c r="G998" s="11"/>
      <c r="H998" s="12"/>
      <c r="I998" s="1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1"/>
      <c r="B999" s="2"/>
      <c r="C999" s="11"/>
      <c r="D999" s="11"/>
      <c r="E999" s="11"/>
      <c r="F999" s="11"/>
      <c r="G999" s="11"/>
      <c r="H999" s="12"/>
      <c r="I999" s="1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1"/>
      <c r="B1000" s="2"/>
      <c r="C1000" s="11"/>
      <c r="D1000" s="11"/>
      <c r="E1000" s="11"/>
      <c r="F1000" s="11"/>
      <c r="G1000" s="11"/>
      <c r="H1000" s="12"/>
      <c r="I1000" s="1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4">
    <mergeCell ref="C1:D1"/>
    <mergeCell ref="I1:J1"/>
    <mergeCell ref="A2:B2"/>
    <mergeCell ref="J2:J3"/>
  </mergeCells>
  <printOptions/>
  <pageMargins bottom="0.7480314960629921" footer="0.0" header="0.0" left="0.2362204724409449" right="0.2362204724409449" top="0.7480314960629921"/>
  <pageSetup paperSize="9" scale="5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72.0"/>
    <col customWidth="1" min="3" max="3" width="17.14"/>
    <col customWidth="1" min="4" max="4" width="15.71"/>
    <col customWidth="1" min="5" max="5" width="17.29"/>
    <col customWidth="1" min="6" max="6" width="14.29"/>
    <col customWidth="1" min="7" max="26" width="10.71"/>
  </cols>
  <sheetData>
    <row r="1" ht="14.25" customHeight="1"/>
    <row r="2" ht="27.75" customHeight="1"/>
    <row r="3" ht="19.5" customHeight="1">
      <c r="A3" s="4" t="s">
        <v>0</v>
      </c>
      <c r="B3" s="7"/>
      <c r="C3" s="7"/>
      <c r="D3" s="7"/>
      <c r="E3" s="9"/>
    </row>
    <row r="4" ht="16.5" customHeight="1">
      <c r="A4" s="13" t="s">
        <v>4</v>
      </c>
      <c r="B4" s="13" t="s">
        <v>7</v>
      </c>
      <c r="C4" s="13" t="s">
        <v>8</v>
      </c>
      <c r="D4" s="13" t="s">
        <v>9</v>
      </c>
      <c r="E4" s="16" t="s">
        <v>10</v>
      </c>
    </row>
    <row r="5" ht="18.75" customHeight="1">
      <c r="A5" s="19">
        <v>46203.0</v>
      </c>
      <c r="B5" s="21" t="s">
        <v>13</v>
      </c>
      <c r="C5" s="23">
        <v>365000.0</v>
      </c>
      <c r="D5" s="25"/>
      <c r="E5" s="25">
        <f>+C5+D5</f>
        <v>365000</v>
      </c>
    </row>
    <row r="6" ht="15.0" customHeight="1">
      <c r="A6" s="30">
        <v>46205.0</v>
      </c>
      <c r="B6" s="31" t="s">
        <v>27</v>
      </c>
      <c r="C6" s="33">
        <v>635000.0</v>
      </c>
      <c r="D6" s="34"/>
      <c r="E6" s="36">
        <f t="shared" ref="E6:E28" si="1">+E5+C6-D6</f>
        <v>1000000</v>
      </c>
    </row>
    <row r="7" ht="15.0" customHeight="1">
      <c r="A7" s="37">
        <v>46205.0</v>
      </c>
      <c r="B7" s="39" t="s">
        <v>31</v>
      </c>
      <c r="C7" s="40"/>
      <c r="D7" s="42">
        <v>118100.0</v>
      </c>
      <c r="E7" s="43">
        <f t="shared" si="1"/>
        <v>881900</v>
      </c>
    </row>
    <row r="8" ht="15.0" customHeight="1">
      <c r="A8" s="37">
        <v>46205.0</v>
      </c>
      <c r="B8" s="39" t="s">
        <v>39</v>
      </c>
      <c r="C8" s="40"/>
      <c r="D8" s="42">
        <v>250000.0</v>
      </c>
      <c r="E8" s="43">
        <f t="shared" si="1"/>
        <v>631900</v>
      </c>
    </row>
    <row r="9" ht="15.0" customHeight="1">
      <c r="A9" s="47">
        <v>46206.0</v>
      </c>
      <c r="B9" s="48" t="s">
        <v>47</v>
      </c>
      <c r="C9" s="49">
        <v>1050620.0</v>
      </c>
      <c r="D9" s="50"/>
      <c r="E9" s="50">
        <f t="shared" si="1"/>
        <v>1682520</v>
      </c>
    </row>
    <row r="10" ht="15.0" customHeight="1">
      <c r="A10" s="37">
        <v>46206.0</v>
      </c>
      <c r="B10" s="39" t="s">
        <v>51</v>
      </c>
      <c r="C10" s="40"/>
      <c r="D10" s="42">
        <v>721000.0</v>
      </c>
      <c r="E10" s="43">
        <f t="shared" si="1"/>
        <v>961520</v>
      </c>
    </row>
    <row r="11" ht="15.0" customHeight="1">
      <c r="A11" s="37">
        <v>46206.0</v>
      </c>
      <c r="B11" s="39" t="s">
        <v>55</v>
      </c>
      <c r="C11" s="40"/>
      <c r="D11" s="42">
        <v>100000.0</v>
      </c>
      <c r="E11" s="43">
        <f t="shared" si="1"/>
        <v>861520</v>
      </c>
    </row>
    <row r="12" ht="15.0" customHeight="1">
      <c r="A12" s="37">
        <v>46211.0</v>
      </c>
      <c r="B12" s="39" t="s">
        <v>59</v>
      </c>
      <c r="C12" s="61"/>
      <c r="D12" s="42">
        <v>50000.0</v>
      </c>
      <c r="E12" s="43">
        <f t="shared" si="1"/>
        <v>811520</v>
      </c>
    </row>
    <row r="13" ht="15.0" customHeight="1">
      <c r="A13" s="37">
        <v>46211.0</v>
      </c>
      <c r="B13" s="39" t="s">
        <v>62</v>
      </c>
      <c r="C13" s="61"/>
      <c r="D13" s="42">
        <v>80000.0</v>
      </c>
      <c r="E13" s="43">
        <f t="shared" si="1"/>
        <v>731520</v>
      </c>
    </row>
    <row r="14" ht="15.0" customHeight="1">
      <c r="A14" s="30">
        <v>46212.0</v>
      </c>
      <c r="B14" s="31" t="s">
        <v>27</v>
      </c>
      <c r="C14" s="33">
        <v>268480.0</v>
      </c>
      <c r="D14" s="34"/>
      <c r="E14" s="36">
        <f t="shared" si="1"/>
        <v>1000000</v>
      </c>
    </row>
    <row r="15" ht="15.0" customHeight="1">
      <c r="A15" s="37">
        <v>46212.0</v>
      </c>
      <c r="B15" s="39" t="s">
        <v>71</v>
      </c>
      <c r="C15" s="61"/>
      <c r="D15" s="42">
        <v>300000.0</v>
      </c>
      <c r="E15" s="43">
        <f t="shared" si="1"/>
        <v>700000</v>
      </c>
    </row>
    <row r="16" ht="15.0" customHeight="1">
      <c r="A16" s="37">
        <v>46212.0</v>
      </c>
      <c r="B16" s="39" t="s">
        <v>73</v>
      </c>
      <c r="C16" s="61"/>
      <c r="D16" s="42">
        <v>63500.0</v>
      </c>
      <c r="E16" s="43">
        <f t="shared" si="1"/>
        <v>636500</v>
      </c>
    </row>
    <row r="17" ht="15.0" customHeight="1">
      <c r="A17" s="37">
        <v>46212.0</v>
      </c>
      <c r="B17" s="39" t="s">
        <v>75</v>
      </c>
      <c r="C17" s="61"/>
      <c r="D17" s="42">
        <v>46000.0</v>
      </c>
      <c r="E17" s="43">
        <f t="shared" si="1"/>
        <v>590500</v>
      </c>
    </row>
    <row r="18" ht="15.0" customHeight="1">
      <c r="A18" s="37">
        <v>46213.0</v>
      </c>
      <c r="B18" s="39" t="s">
        <v>78</v>
      </c>
      <c r="C18" s="61"/>
      <c r="D18" s="42">
        <v>181500.0</v>
      </c>
      <c r="E18" s="43">
        <f t="shared" si="1"/>
        <v>409000</v>
      </c>
    </row>
    <row r="19" ht="15.0" customHeight="1">
      <c r="A19" s="30">
        <v>46219.0</v>
      </c>
      <c r="B19" s="31" t="s">
        <v>27</v>
      </c>
      <c r="C19" s="33">
        <v>591000.0</v>
      </c>
      <c r="D19" s="34"/>
      <c r="E19" s="36">
        <f t="shared" si="1"/>
        <v>1000000</v>
      </c>
    </row>
    <row r="20" ht="15.0" customHeight="1">
      <c r="A20" s="37">
        <v>46219.0</v>
      </c>
      <c r="B20" s="39" t="s">
        <v>83</v>
      </c>
      <c r="C20" s="27"/>
      <c r="D20" s="42">
        <v>127000.0</v>
      </c>
      <c r="E20" s="43">
        <f t="shared" si="1"/>
        <v>873000</v>
      </c>
    </row>
    <row r="21" ht="15.0" customHeight="1">
      <c r="A21" s="37">
        <v>46219.0</v>
      </c>
      <c r="B21" s="39" t="s">
        <v>87</v>
      </c>
      <c r="C21" s="27"/>
      <c r="D21" s="42">
        <v>87000.0</v>
      </c>
      <c r="E21" s="43">
        <f t="shared" si="1"/>
        <v>786000</v>
      </c>
    </row>
    <row r="22" ht="15.0" customHeight="1">
      <c r="A22" s="37">
        <v>46225.0</v>
      </c>
      <c r="B22" s="39" t="s">
        <v>90</v>
      </c>
      <c r="C22" s="27"/>
      <c r="D22" s="42">
        <v>100000.0</v>
      </c>
      <c r="E22" s="43">
        <f t="shared" si="1"/>
        <v>686000</v>
      </c>
    </row>
    <row r="23" ht="15.0" customHeight="1">
      <c r="A23" s="30">
        <v>46226.0</v>
      </c>
      <c r="B23" s="31" t="s">
        <v>27</v>
      </c>
      <c r="C23" s="33">
        <v>314000.0</v>
      </c>
      <c r="D23" s="34"/>
      <c r="E23" s="36">
        <f t="shared" si="1"/>
        <v>1000000</v>
      </c>
    </row>
    <row r="24" ht="15.0" customHeight="1">
      <c r="A24" s="37">
        <v>46227.0</v>
      </c>
      <c r="B24" s="39" t="s">
        <v>93</v>
      </c>
      <c r="C24" s="27"/>
      <c r="D24" s="42">
        <v>100000.0</v>
      </c>
      <c r="E24" s="43">
        <f t="shared" si="1"/>
        <v>900000</v>
      </c>
    </row>
    <row r="25" ht="15.0" customHeight="1">
      <c r="A25" s="37">
        <v>46227.0</v>
      </c>
      <c r="B25" s="39" t="s">
        <v>97</v>
      </c>
      <c r="C25" s="27"/>
      <c r="D25" s="42">
        <v>100000.0</v>
      </c>
      <c r="E25" s="43">
        <f t="shared" si="1"/>
        <v>800000</v>
      </c>
    </row>
    <row r="26" ht="15.0" customHeight="1">
      <c r="A26" s="37">
        <v>46230.0</v>
      </c>
      <c r="B26" s="39" t="s">
        <v>99</v>
      </c>
      <c r="C26" s="27"/>
      <c r="D26" s="42">
        <v>50000.0</v>
      </c>
      <c r="E26" s="43">
        <f t="shared" si="1"/>
        <v>750000</v>
      </c>
    </row>
    <row r="27" ht="15.0" customHeight="1">
      <c r="A27" s="37">
        <v>46230.0</v>
      </c>
      <c r="B27" s="39" t="s">
        <v>102</v>
      </c>
      <c r="C27" s="27"/>
      <c r="D27" s="42">
        <v>50000.0</v>
      </c>
      <c r="E27" s="43">
        <f t="shared" si="1"/>
        <v>700000</v>
      </c>
    </row>
    <row r="28" ht="15.0" customHeight="1">
      <c r="A28" s="37"/>
      <c r="B28" s="39"/>
      <c r="C28" s="27"/>
      <c r="D28" s="42"/>
      <c r="E28" s="43">
        <f t="shared" si="1"/>
        <v>700000</v>
      </c>
    </row>
    <row r="29" ht="24.0" customHeight="1">
      <c r="A29" s="19">
        <v>46230.0</v>
      </c>
      <c r="B29" s="59" t="s">
        <v>10</v>
      </c>
      <c r="C29" s="60">
        <f>SUM(C5:C28)</f>
        <v>3224100</v>
      </c>
      <c r="D29" s="60">
        <f>SUM(D6:D28)</f>
        <v>2524100</v>
      </c>
      <c r="E29" s="64">
        <f>+C29-D29</f>
        <v>700000</v>
      </c>
    </row>
    <row r="30" ht="15.0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3:E3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76.71"/>
    <col customWidth="1" min="3" max="3" width="17.14"/>
    <col customWidth="1" min="4" max="5" width="17.29"/>
    <col customWidth="1" min="6" max="6" width="12.71"/>
    <col customWidth="1" min="7" max="26" width="10.71"/>
  </cols>
  <sheetData>
    <row r="1" ht="14.25" customHeight="1"/>
    <row r="2" ht="27.75" customHeight="1"/>
    <row r="3" ht="19.5" customHeight="1">
      <c r="A3" s="5" t="s">
        <v>1</v>
      </c>
      <c r="B3" s="7"/>
      <c r="C3" s="7"/>
      <c r="D3" s="7"/>
      <c r="E3" s="10"/>
    </row>
    <row r="4" ht="24.0" customHeight="1">
      <c r="A4" s="5" t="s">
        <v>2</v>
      </c>
      <c r="B4" s="7"/>
      <c r="C4" s="9"/>
      <c r="D4" s="17" t="s">
        <v>3</v>
      </c>
      <c r="E4" s="20"/>
    </row>
    <row r="5" ht="21.0" customHeight="1">
      <c r="A5" s="13" t="s">
        <v>4</v>
      </c>
      <c r="B5" s="13" t="s">
        <v>7</v>
      </c>
      <c r="C5" s="13" t="s">
        <v>8</v>
      </c>
      <c r="D5" s="13" t="s">
        <v>9</v>
      </c>
      <c r="E5" s="16" t="s">
        <v>10</v>
      </c>
    </row>
    <row r="6" ht="18.75" customHeight="1">
      <c r="A6" s="19">
        <v>46219.0</v>
      </c>
      <c r="B6" s="21" t="s">
        <v>19</v>
      </c>
      <c r="C6" s="23">
        <v>5681000.0</v>
      </c>
      <c r="D6" s="25"/>
      <c r="E6" s="25">
        <f>+C6+D6</f>
        <v>5681000</v>
      </c>
    </row>
    <row r="7" ht="18.0" customHeight="1">
      <c r="A7" s="30">
        <v>46219.0</v>
      </c>
      <c r="B7" s="31" t="s">
        <v>28</v>
      </c>
      <c r="C7" s="33"/>
      <c r="D7" s="35">
        <v>4460200.0</v>
      </c>
      <c r="E7" s="36">
        <f t="shared" ref="E7:E12" si="1">+E6+C7-D7</f>
        <v>1220800</v>
      </c>
    </row>
    <row r="8" ht="18.0" customHeight="1">
      <c r="A8" s="37">
        <v>46219.0</v>
      </c>
      <c r="B8" s="39" t="s">
        <v>32</v>
      </c>
      <c r="C8" s="40"/>
      <c r="D8" s="42">
        <v>50000.0</v>
      </c>
      <c r="E8" s="43">
        <f t="shared" si="1"/>
        <v>1170800</v>
      </c>
    </row>
    <row r="9" ht="18.0" customHeight="1">
      <c r="A9" s="37">
        <v>46219.0</v>
      </c>
      <c r="B9" s="39" t="s">
        <v>38</v>
      </c>
      <c r="C9" s="40"/>
      <c r="D9" s="42">
        <v>200000.0</v>
      </c>
      <c r="E9" s="43">
        <f t="shared" si="1"/>
        <v>970800</v>
      </c>
    </row>
    <row r="10" ht="18.0" customHeight="1">
      <c r="A10" s="37">
        <v>46219.0</v>
      </c>
      <c r="B10" s="39" t="s">
        <v>46</v>
      </c>
      <c r="C10" s="40"/>
      <c r="D10" s="42">
        <v>200000.0</v>
      </c>
      <c r="E10" s="43">
        <f t="shared" si="1"/>
        <v>770800</v>
      </c>
    </row>
    <row r="11" ht="18.0" customHeight="1">
      <c r="A11" s="37">
        <v>46219.0</v>
      </c>
      <c r="B11" s="39" t="s">
        <v>49</v>
      </c>
      <c r="C11" s="40"/>
      <c r="D11" s="42">
        <v>150000.0</v>
      </c>
      <c r="E11" s="43">
        <f t="shared" si="1"/>
        <v>620800</v>
      </c>
    </row>
    <row r="12" ht="18.0" customHeight="1">
      <c r="A12" s="52">
        <v>46219.0</v>
      </c>
      <c r="B12" s="53" t="s">
        <v>53</v>
      </c>
      <c r="C12" s="54"/>
      <c r="D12" s="56"/>
      <c r="E12" s="56">
        <f t="shared" si="1"/>
        <v>620800</v>
      </c>
    </row>
    <row r="13" ht="27.75" customHeight="1">
      <c r="A13" s="19">
        <v>46219.0</v>
      </c>
      <c r="B13" s="59" t="s">
        <v>10</v>
      </c>
      <c r="C13" s="60">
        <f>SUM(C6:C12)</f>
        <v>5681000</v>
      </c>
      <c r="D13" s="60">
        <f>SUM(D7:D12)</f>
        <v>5060200</v>
      </c>
      <c r="E13" s="64">
        <f>+C13-D13</f>
        <v>620800</v>
      </c>
    </row>
    <row r="14" ht="25.5" customHeight="1"/>
    <row r="15" ht="21.75" customHeight="1">
      <c r="A15" s="13" t="s">
        <v>4</v>
      </c>
      <c r="B15" s="13" t="s">
        <v>7</v>
      </c>
      <c r="C15" s="13" t="s">
        <v>8</v>
      </c>
      <c r="D15" s="13" t="s">
        <v>9</v>
      </c>
      <c r="E15" s="16" t="s">
        <v>10</v>
      </c>
    </row>
    <row r="16" ht="24.75" customHeight="1">
      <c r="A16" s="47">
        <v>46226.0</v>
      </c>
      <c r="B16" s="48" t="s">
        <v>65</v>
      </c>
      <c r="C16" s="65">
        <v>620800.0</v>
      </c>
      <c r="D16" s="50"/>
      <c r="E16" s="50">
        <f>+C16+D16</f>
        <v>620800</v>
      </c>
    </row>
    <row r="17" ht="24.75" customHeight="1">
      <c r="A17" s="52">
        <v>46226.0</v>
      </c>
      <c r="B17" s="53" t="s">
        <v>70</v>
      </c>
      <c r="C17" s="54">
        <v>869070.0</v>
      </c>
      <c r="D17" s="70"/>
      <c r="E17" s="56">
        <f t="shared" ref="E17:E33" si="2">+E16+C17-D17</f>
        <v>1489870</v>
      </c>
    </row>
    <row r="18" ht="24.75" customHeight="1">
      <c r="A18" s="19">
        <v>46226.0</v>
      </c>
      <c r="B18" s="21" t="s">
        <v>74</v>
      </c>
      <c r="C18" s="63">
        <v>2500000.0</v>
      </c>
      <c r="D18" s="76"/>
      <c r="E18" s="25">
        <f t="shared" si="2"/>
        <v>3989870</v>
      </c>
    </row>
    <row r="19" ht="24.75" customHeight="1">
      <c r="A19" s="78">
        <v>46226.0</v>
      </c>
      <c r="B19" s="79" t="s">
        <v>77</v>
      </c>
      <c r="C19" s="80">
        <v>1619286.0</v>
      </c>
      <c r="D19" s="81"/>
      <c r="E19" s="82">
        <f t="shared" si="2"/>
        <v>5609156</v>
      </c>
    </row>
    <row r="20" ht="24.75" customHeight="1">
      <c r="A20" s="83">
        <v>46226.0</v>
      </c>
      <c r="B20" s="84" t="s">
        <v>82</v>
      </c>
      <c r="C20" s="74">
        <v>5500000.0</v>
      </c>
      <c r="D20" s="36"/>
      <c r="E20" s="36">
        <f t="shared" si="2"/>
        <v>11109156</v>
      </c>
    </row>
    <row r="21" ht="24.75" customHeight="1">
      <c r="A21" s="85">
        <v>46226.0</v>
      </c>
      <c r="B21" s="28" t="s">
        <v>88</v>
      </c>
      <c r="C21" s="61"/>
      <c r="D21" s="43">
        <f>230000+598000</f>
        <v>828000</v>
      </c>
      <c r="E21" s="43">
        <f t="shared" si="2"/>
        <v>10281156</v>
      </c>
      <c r="F21" s="88"/>
    </row>
    <row r="22" ht="24.75" customHeight="1">
      <c r="A22" s="85">
        <v>46226.0</v>
      </c>
      <c r="B22" s="28" t="s">
        <v>92</v>
      </c>
      <c r="C22" s="61"/>
      <c r="D22" s="43">
        <f>278400+254000+156000+426000+144000</f>
        <v>1258400</v>
      </c>
      <c r="E22" s="43">
        <f t="shared" si="2"/>
        <v>9022756</v>
      </c>
      <c r="F22" s="88"/>
    </row>
    <row r="23" ht="24.75" customHeight="1">
      <c r="A23" s="85">
        <v>46226.0</v>
      </c>
      <c r="B23" s="28" t="s">
        <v>96</v>
      </c>
      <c r="C23" s="61"/>
      <c r="D23" s="43">
        <f>1035800+533600</f>
        <v>1569400</v>
      </c>
      <c r="E23" s="43">
        <f t="shared" si="2"/>
        <v>7453356</v>
      </c>
    </row>
    <row r="24" ht="24.75" customHeight="1">
      <c r="A24" s="85">
        <v>46226.0</v>
      </c>
      <c r="B24" s="28" t="s">
        <v>104</v>
      </c>
      <c r="C24" s="61"/>
      <c r="D24" s="43">
        <v>1380000.0</v>
      </c>
      <c r="E24" s="43">
        <f t="shared" si="2"/>
        <v>6073356</v>
      </c>
    </row>
    <row r="25" ht="24.75" customHeight="1">
      <c r="A25" s="85">
        <v>46226.0</v>
      </c>
      <c r="B25" s="28" t="s">
        <v>107</v>
      </c>
      <c r="C25" s="61"/>
      <c r="D25" s="43">
        <v>4300000.0</v>
      </c>
      <c r="E25" s="43">
        <f t="shared" si="2"/>
        <v>1773356</v>
      </c>
    </row>
    <row r="26" ht="24.75" customHeight="1">
      <c r="A26" s="85">
        <v>46226.0</v>
      </c>
      <c r="B26" s="28" t="s">
        <v>108</v>
      </c>
      <c r="C26" s="61"/>
      <c r="D26" s="43">
        <v>209500.0</v>
      </c>
      <c r="E26" s="43">
        <f t="shared" si="2"/>
        <v>1563856</v>
      </c>
    </row>
    <row r="27" ht="24.75" customHeight="1">
      <c r="A27" s="85">
        <v>46226.0</v>
      </c>
      <c r="B27" s="28" t="s">
        <v>109</v>
      </c>
      <c r="C27" s="61"/>
      <c r="D27" s="43">
        <f>176600</f>
        <v>176600</v>
      </c>
      <c r="E27" s="43">
        <f t="shared" si="2"/>
        <v>1387256</v>
      </c>
    </row>
    <row r="28" ht="24.75" customHeight="1">
      <c r="A28" s="85">
        <v>46226.0</v>
      </c>
      <c r="B28" s="28" t="s">
        <v>111</v>
      </c>
      <c r="C28" s="61"/>
      <c r="D28" s="43">
        <v>354000.0</v>
      </c>
      <c r="E28" s="43">
        <f t="shared" si="2"/>
        <v>1033256</v>
      </c>
    </row>
    <row r="29" ht="24.75" customHeight="1">
      <c r="A29" s="85">
        <v>46226.0</v>
      </c>
      <c r="B29" s="28" t="s">
        <v>112</v>
      </c>
      <c r="C29" s="61"/>
      <c r="D29" s="43">
        <v>314000.0</v>
      </c>
      <c r="E29" s="43">
        <f t="shared" si="2"/>
        <v>719256</v>
      </c>
      <c r="F29" s="88"/>
    </row>
    <row r="30" ht="18.0" customHeight="1">
      <c r="A30" s="95"/>
      <c r="B30" s="98" t="s">
        <v>113</v>
      </c>
      <c r="C30" s="99"/>
      <c r="D30" s="100"/>
      <c r="E30" s="101">
        <f t="shared" si="2"/>
        <v>719256</v>
      </c>
    </row>
    <row r="31" ht="24.75" customHeight="1">
      <c r="A31" s="85">
        <v>46226.0</v>
      </c>
      <c r="B31" s="28" t="s">
        <v>115</v>
      </c>
      <c r="C31" s="40"/>
      <c r="D31" s="43">
        <v>408200.0</v>
      </c>
      <c r="E31" s="43">
        <f t="shared" si="2"/>
        <v>311056</v>
      </c>
    </row>
    <row r="32" ht="24.75" customHeight="1">
      <c r="A32" s="94">
        <v>46226.0</v>
      </c>
      <c r="B32" s="44" t="s">
        <v>116</v>
      </c>
      <c r="C32" s="27">
        <v>67400.0</v>
      </c>
      <c r="D32" s="42"/>
      <c r="E32" s="43">
        <f t="shared" si="2"/>
        <v>378456</v>
      </c>
    </row>
    <row r="33" ht="24.75" customHeight="1">
      <c r="A33" s="52">
        <v>46226.0</v>
      </c>
      <c r="B33" s="53" t="s">
        <v>53</v>
      </c>
      <c r="C33" s="54"/>
      <c r="D33" s="56"/>
      <c r="E33" s="56">
        <f t="shared" si="2"/>
        <v>378456</v>
      </c>
    </row>
    <row r="34" ht="24.75" customHeight="1">
      <c r="A34" s="19">
        <v>46226.0</v>
      </c>
      <c r="B34" s="59" t="s">
        <v>10</v>
      </c>
      <c r="C34" s="60">
        <f>SUM(C16:C33)</f>
        <v>11176556</v>
      </c>
      <c r="D34" s="60">
        <f>SUM(D17:D33)</f>
        <v>10798100</v>
      </c>
      <c r="E34" s="64">
        <f>+C34-D34</f>
        <v>378456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3:E3"/>
    <mergeCell ref="A4:C4"/>
    <mergeCell ref="D4:E4"/>
  </mergeCells>
  <printOptions/>
  <pageMargins bottom="0.7480314960629921" footer="0.0" header="0.0" left="0.7086614173228347" right="0.7086614173228347" top="0.7480314960629921"/>
  <pageSetup paperSize="9" scale="6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2.71"/>
    <col customWidth="1" min="2" max="2" width="24.29"/>
    <col customWidth="1" min="3" max="3" width="27.86"/>
    <col customWidth="1" min="4" max="4" width="3.14"/>
    <col customWidth="1" min="5" max="26" width="10.71"/>
  </cols>
  <sheetData>
    <row r="1" ht="14.25" customHeight="1">
      <c r="A1" s="6"/>
      <c r="B1" s="6"/>
      <c r="C1" s="6"/>
    </row>
    <row r="2" ht="14.25" customHeight="1">
      <c r="A2" s="6"/>
      <c r="B2" s="6"/>
      <c r="C2" s="6"/>
    </row>
    <row r="3" ht="12.0" customHeight="1">
      <c r="A3" s="6"/>
      <c r="B3" s="6"/>
      <c r="C3" s="6"/>
    </row>
    <row r="4" ht="29.25" customHeight="1">
      <c r="A4" s="15" t="s">
        <v>6</v>
      </c>
      <c r="B4" s="7"/>
      <c r="C4" s="9"/>
    </row>
    <row r="5" ht="19.5" customHeight="1">
      <c r="A5" s="18" t="s">
        <v>11</v>
      </c>
      <c r="B5" s="18" t="s">
        <v>12</v>
      </c>
      <c r="C5" s="18" t="s">
        <v>14</v>
      </c>
    </row>
    <row r="6" ht="19.5" customHeight="1">
      <c r="A6" s="22" t="s">
        <v>15</v>
      </c>
      <c r="B6" s="24">
        <v>0.0</v>
      </c>
      <c r="C6" s="27"/>
    </row>
    <row r="7" ht="19.5" customHeight="1">
      <c r="A7" s="22" t="s">
        <v>17</v>
      </c>
      <c r="B7" s="24">
        <v>400000.0</v>
      </c>
      <c r="C7" s="28"/>
    </row>
    <row r="8" ht="19.5" customHeight="1">
      <c r="A8" s="22" t="s">
        <v>20</v>
      </c>
      <c r="B8" s="24">
        <v>300000.0</v>
      </c>
      <c r="C8" s="27"/>
    </row>
    <row r="9" ht="19.5" customHeight="1">
      <c r="A9" s="22" t="s">
        <v>24</v>
      </c>
      <c r="B9" s="24">
        <v>100000.0</v>
      </c>
      <c r="C9" s="27"/>
    </row>
    <row r="10" ht="19.5" customHeight="1">
      <c r="A10" s="22" t="s">
        <v>29</v>
      </c>
      <c r="B10" s="24">
        <v>300000.0</v>
      </c>
      <c r="C10" s="27"/>
    </row>
    <row r="11" ht="19.5" customHeight="1">
      <c r="A11" s="38" t="s">
        <v>30</v>
      </c>
      <c r="B11" s="24">
        <v>0.0</v>
      </c>
      <c r="C11" s="27"/>
    </row>
    <row r="12" ht="19.5" customHeight="1">
      <c r="A12" s="38" t="s">
        <v>35</v>
      </c>
      <c r="B12" s="24">
        <v>0.0</v>
      </c>
      <c r="C12" s="44"/>
    </row>
    <row r="13" ht="19.5" customHeight="1">
      <c r="A13" s="38" t="s">
        <v>41</v>
      </c>
      <c r="B13" s="24">
        <v>0.0</v>
      </c>
      <c r="C13" s="27"/>
    </row>
    <row r="14" ht="19.5" customHeight="1">
      <c r="A14" s="38" t="s">
        <v>45</v>
      </c>
      <c r="B14" s="24">
        <v>200000.0</v>
      </c>
      <c r="C14" s="27"/>
    </row>
    <row r="15" ht="19.5" customHeight="1">
      <c r="A15" s="22" t="s">
        <v>48</v>
      </c>
      <c r="B15" s="24">
        <v>200000.0</v>
      </c>
      <c r="C15" s="28"/>
    </row>
    <row r="16" ht="19.5" customHeight="1">
      <c r="A16" s="22" t="s">
        <v>50</v>
      </c>
      <c r="B16" s="24">
        <v>400000.0</v>
      </c>
      <c r="C16" s="51"/>
    </row>
    <row r="17" ht="19.5" customHeight="1">
      <c r="A17" s="38" t="s">
        <v>52</v>
      </c>
      <c r="B17" s="24">
        <v>300000.0</v>
      </c>
      <c r="C17" s="55"/>
    </row>
    <row r="18" ht="19.5" customHeight="1">
      <c r="A18" s="38" t="s">
        <v>56</v>
      </c>
      <c r="B18" s="24">
        <v>0.0</v>
      </c>
      <c r="C18" s="55"/>
    </row>
    <row r="19" ht="19.5" customHeight="1">
      <c r="A19" s="38" t="s">
        <v>57</v>
      </c>
      <c r="B19" s="24">
        <v>300000.0</v>
      </c>
      <c r="C19" s="55"/>
    </row>
    <row r="20" ht="19.5" customHeight="1">
      <c r="A20" s="38" t="s">
        <v>58</v>
      </c>
      <c r="B20" s="24">
        <v>400000.0</v>
      </c>
      <c r="C20" s="27"/>
    </row>
    <row r="21" ht="19.5" customHeight="1">
      <c r="A21" s="38" t="s">
        <v>60</v>
      </c>
      <c r="B21" s="24">
        <v>300000.0</v>
      </c>
      <c r="C21" s="62"/>
    </row>
    <row r="22" ht="19.5" customHeight="1">
      <c r="A22" s="38" t="s">
        <v>61</v>
      </c>
      <c r="B22" s="24">
        <v>300000.0</v>
      </c>
      <c r="C22" s="44"/>
    </row>
    <row r="23" ht="19.5" customHeight="1">
      <c r="A23" s="38" t="s">
        <v>63</v>
      </c>
      <c r="B23" s="24">
        <v>100000.0</v>
      </c>
      <c r="C23" s="62"/>
    </row>
    <row r="24" ht="19.5" customHeight="1">
      <c r="A24" s="38" t="s">
        <v>64</v>
      </c>
      <c r="B24" s="24">
        <v>100000.0</v>
      </c>
      <c r="C24" s="51"/>
    </row>
    <row r="25" ht="19.5" customHeight="1">
      <c r="A25" s="38" t="s">
        <v>66</v>
      </c>
      <c r="B25" s="24">
        <v>100000.0</v>
      </c>
      <c r="C25" s="51"/>
    </row>
    <row r="26" ht="19.5" customHeight="1">
      <c r="A26" s="22" t="s">
        <v>67</v>
      </c>
      <c r="B26" s="24">
        <v>500000.0</v>
      </c>
      <c r="C26" s="68"/>
    </row>
    <row r="27" ht="19.5" customHeight="1">
      <c r="A27" s="38" t="s">
        <v>69</v>
      </c>
      <c r="B27" s="61">
        <v>0.0</v>
      </c>
      <c r="C27" s="51"/>
    </row>
    <row r="28" ht="30.75" customHeight="1">
      <c r="A28" s="18" t="s">
        <v>72</v>
      </c>
      <c r="B28" s="71">
        <f>SUM(B6:B27)</f>
        <v>4300000</v>
      </c>
      <c r="C28" s="73"/>
    </row>
    <row r="29" ht="19.5" customHeight="1">
      <c r="A29" s="6"/>
      <c r="B29" s="6"/>
      <c r="C29" s="6"/>
    </row>
    <row r="30" ht="26.25" customHeight="1">
      <c r="A30" s="77" t="s">
        <v>76</v>
      </c>
      <c r="B30" s="7"/>
      <c r="C30" s="9"/>
    </row>
    <row r="31" ht="14.25" customHeight="1">
      <c r="A31" s="15" t="s">
        <v>6</v>
      </c>
      <c r="B31" s="7"/>
      <c r="C31" s="9"/>
    </row>
    <row r="32" ht="24.0" customHeight="1">
      <c r="A32" s="18" t="s">
        <v>11</v>
      </c>
      <c r="B32" s="18" t="s">
        <v>12</v>
      </c>
      <c r="C32" s="18" t="s">
        <v>14</v>
      </c>
    </row>
    <row r="33" ht="19.5" customHeight="1">
      <c r="A33" s="28" t="s">
        <v>79</v>
      </c>
      <c r="B33" s="24">
        <v>250000.0</v>
      </c>
      <c r="C33" s="27"/>
    </row>
    <row r="34" ht="19.5" customHeight="1">
      <c r="A34" s="28" t="s">
        <v>80</v>
      </c>
      <c r="B34" s="24">
        <v>300000.0</v>
      </c>
      <c r="C34" s="28"/>
    </row>
    <row r="35" ht="19.5" customHeight="1">
      <c r="A35" s="28" t="s">
        <v>81</v>
      </c>
      <c r="B35" s="24">
        <v>250000.0</v>
      </c>
      <c r="C35" s="27"/>
    </row>
    <row r="36" ht="19.5" customHeight="1">
      <c r="A36" s="28" t="s">
        <v>84</v>
      </c>
      <c r="B36" s="24">
        <v>250000.0</v>
      </c>
      <c r="C36" s="27"/>
    </row>
    <row r="37" ht="19.5" customHeight="1">
      <c r="A37" s="28" t="s">
        <v>86</v>
      </c>
      <c r="B37" s="24">
        <v>300000.0</v>
      </c>
      <c r="C37" s="27"/>
    </row>
    <row r="38" ht="19.5" customHeight="1">
      <c r="A38" s="28" t="s">
        <v>89</v>
      </c>
      <c r="B38" s="24">
        <v>200000.0</v>
      </c>
      <c r="C38" s="27"/>
    </row>
    <row r="39" ht="19.5" customHeight="1">
      <c r="A39" s="86" t="s">
        <v>91</v>
      </c>
      <c r="B39" s="87"/>
      <c r="C39" s="75">
        <f>+B33+B34+B35+B36+B37+B38</f>
        <v>1550000</v>
      </c>
    </row>
    <row r="40" ht="19.5" customHeight="1">
      <c r="A40" s="28" t="s">
        <v>94</v>
      </c>
      <c r="B40" s="24">
        <v>300000.0</v>
      </c>
      <c r="C40" s="27"/>
    </row>
    <row r="41" ht="19.5" customHeight="1">
      <c r="A41" s="28" t="s">
        <v>98</v>
      </c>
      <c r="B41" s="24">
        <v>200000.0</v>
      </c>
      <c r="C41" s="44"/>
    </row>
    <row r="42" ht="19.5" customHeight="1">
      <c r="A42" s="28" t="s">
        <v>100</v>
      </c>
      <c r="B42" s="24">
        <v>200000.0</v>
      </c>
      <c r="C42" s="27"/>
    </row>
    <row r="43" ht="19.5" customHeight="1">
      <c r="A43" s="28" t="s">
        <v>101</v>
      </c>
      <c r="B43" s="24">
        <v>300000.0</v>
      </c>
      <c r="C43" s="27"/>
    </row>
    <row r="44" ht="19.5" customHeight="1">
      <c r="A44" s="28" t="s">
        <v>103</v>
      </c>
      <c r="B44" s="24">
        <v>300000.0</v>
      </c>
      <c r="C44" s="28"/>
    </row>
    <row r="45" ht="19.5" customHeight="1">
      <c r="A45" s="86" t="s">
        <v>105</v>
      </c>
      <c r="B45" s="93"/>
      <c r="C45" s="75">
        <f>+B40+B41+B42+B43+B44</f>
        <v>1300000</v>
      </c>
    </row>
    <row r="46" ht="30.75" customHeight="1">
      <c r="A46" s="18" t="s">
        <v>72</v>
      </c>
      <c r="B46" s="71">
        <f>SUM(B33:B45)</f>
        <v>2850000</v>
      </c>
      <c r="C46" s="73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4:C4"/>
    <mergeCell ref="A30:C30"/>
    <mergeCell ref="A31:C31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3.14"/>
    <col customWidth="1" min="3" max="3" width="49.14"/>
    <col customWidth="1" min="4" max="4" width="16.29"/>
    <col customWidth="1" min="5" max="5" width="16.71"/>
    <col customWidth="1" min="6" max="6" width="17.43"/>
    <col customWidth="1" min="7" max="7" width="5.0"/>
    <col customWidth="1" min="8" max="26" width="10.71"/>
  </cols>
  <sheetData>
    <row r="1" ht="42.75" customHeight="1"/>
    <row r="2" ht="25.5" customHeight="1">
      <c r="A2" s="105" t="s">
        <v>120</v>
      </c>
      <c r="B2" s="106"/>
      <c r="C2" s="106"/>
      <c r="D2" s="106"/>
      <c r="E2" s="106"/>
      <c r="F2" s="107"/>
    </row>
    <row r="3" ht="19.5" customHeight="1">
      <c r="A3" s="108" t="s">
        <v>4</v>
      </c>
      <c r="B3" s="108" t="s">
        <v>121</v>
      </c>
      <c r="C3" s="108" t="s">
        <v>7</v>
      </c>
      <c r="D3" s="108" t="s">
        <v>8</v>
      </c>
      <c r="E3" s="108" t="s">
        <v>9</v>
      </c>
      <c r="F3" s="110" t="s">
        <v>10</v>
      </c>
    </row>
    <row r="4" ht="19.5" customHeight="1">
      <c r="A4" s="111">
        <v>46203.0</v>
      </c>
      <c r="B4" s="111"/>
      <c r="C4" s="112" t="s">
        <v>123</v>
      </c>
      <c r="D4" s="113"/>
      <c r="E4" s="114">
        <v>12000.0</v>
      </c>
      <c r="F4" s="115">
        <f>+D4-E4</f>
        <v>-12000</v>
      </c>
    </row>
    <row r="5" ht="19.5" customHeight="1">
      <c r="A5" s="116">
        <v>46212.0</v>
      </c>
      <c r="B5" s="116" t="s">
        <v>125</v>
      </c>
      <c r="C5" s="48" t="s">
        <v>126</v>
      </c>
      <c r="D5" s="50">
        <v>300000.0</v>
      </c>
      <c r="E5" s="50"/>
      <c r="F5" s="117">
        <f t="shared" ref="F5:F19" si="1">+F4+D5-E5</f>
        <v>288000</v>
      </c>
    </row>
    <row r="6" ht="19.5" customHeight="1">
      <c r="A6" s="119">
        <v>46212.0</v>
      </c>
      <c r="B6" s="119" t="s">
        <v>125</v>
      </c>
      <c r="C6" s="39" t="s">
        <v>128</v>
      </c>
      <c r="D6" s="42"/>
      <c r="E6" s="42">
        <v>6600.0</v>
      </c>
      <c r="F6" s="121">
        <f t="shared" si="1"/>
        <v>281400</v>
      </c>
    </row>
    <row r="7" ht="19.5" customHeight="1">
      <c r="A7" s="119">
        <v>46213.0</v>
      </c>
      <c r="B7" s="119" t="s">
        <v>131</v>
      </c>
      <c r="C7" s="39" t="s">
        <v>132</v>
      </c>
      <c r="D7" s="43"/>
      <c r="E7" s="42">
        <v>151000.0</v>
      </c>
      <c r="F7" s="121">
        <f t="shared" si="1"/>
        <v>130400</v>
      </c>
    </row>
    <row r="8" ht="19.5" customHeight="1">
      <c r="A8" s="119">
        <v>46213.0</v>
      </c>
      <c r="B8" s="119" t="s">
        <v>134</v>
      </c>
      <c r="C8" s="39" t="s">
        <v>135</v>
      </c>
      <c r="D8" s="43"/>
      <c r="E8" s="42">
        <f>10000+13000+12000</f>
        <v>35000</v>
      </c>
      <c r="F8" s="121">
        <f t="shared" si="1"/>
        <v>95400</v>
      </c>
    </row>
    <row r="9" ht="19.5" customHeight="1">
      <c r="A9" s="119">
        <v>46213.0</v>
      </c>
      <c r="B9" s="119" t="s">
        <v>136</v>
      </c>
      <c r="C9" s="39" t="s">
        <v>137</v>
      </c>
      <c r="D9" s="43"/>
      <c r="E9" s="42">
        <v>80000.0</v>
      </c>
      <c r="F9" s="121">
        <f t="shared" si="1"/>
        <v>15400</v>
      </c>
    </row>
    <row r="10" ht="19.5" customHeight="1">
      <c r="A10" s="119">
        <v>46213.0</v>
      </c>
      <c r="B10" s="119" t="s">
        <v>136</v>
      </c>
      <c r="C10" s="39" t="s">
        <v>138</v>
      </c>
      <c r="D10" s="43"/>
      <c r="E10" s="42">
        <v>25000.0</v>
      </c>
      <c r="F10" s="136">
        <f t="shared" si="1"/>
        <v>-9600</v>
      </c>
    </row>
    <row r="11" ht="19.5" customHeight="1">
      <c r="A11" s="119">
        <v>46213.0</v>
      </c>
      <c r="B11" s="119" t="s">
        <v>139</v>
      </c>
      <c r="C11" s="39" t="s">
        <v>132</v>
      </c>
      <c r="D11" s="43"/>
      <c r="E11" s="42">
        <v>132000.0</v>
      </c>
      <c r="F11" s="136">
        <f t="shared" si="1"/>
        <v>-141600</v>
      </c>
    </row>
    <row r="12" ht="19.5" customHeight="1">
      <c r="A12" s="119">
        <v>46213.0</v>
      </c>
      <c r="B12" s="119" t="s">
        <v>136</v>
      </c>
      <c r="C12" s="39" t="s">
        <v>142</v>
      </c>
      <c r="D12" s="43"/>
      <c r="E12" s="42">
        <v>4000.0</v>
      </c>
      <c r="F12" s="136">
        <f t="shared" si="1"/>
        <v>-145600</v>
      </c>
      <c r="I12" s="2"/>
    </row>
    <row r="13" ht="19.5" customHeight="1">
      <c r="A13" s="116">
        <v>46219.0</v>
      </c>
      <c r="B13" s="147"/>
      <c r="C13" s="48" t="s">
        <v>144</v>
      </c>
      <c r="D13" s="50">
        <v>127000.0</v>
      </c>
      <c r="E13" s="34"/>
      <c r="F13" s="150">
        <f t="shared" si="1"/>
        <v>-18600</v>
      </c>
    </row>
    <row r="14" ht="19.5" customHeight="1">
      <c r="A14" s="119">
        <v>46219.0</v>
      </c>
      <c r="B14" s="119" t="s">
        <v>136</v>
      </c>
      <c r="C14" s="39" t="s">
        <v>147</v>
      </c>
      <c r="D14" s="43"/>
      <c r="E14" s="42">
        <v>38000.0</v>
      </c>
      <c r="F14" s="136">
        <f t="shared" si="1"/>
        <v>-56600</v>
      </c>
    </row>
    <row r="15" ht="19.5" customHeight="1">
      <c r="A15" s="119">
        <v>46221.0</v>
      </c>
      <c r="B15" s="119" t="s">
        <v>148</v>
      </c>
      <c r="C15" s="39" t="s">
        <v>132</v>
      </c>
      <c r="D15" s="43"/>
      <c r="E15" s="42">
        <v>165000.0</v>
      </c>
      <c r="F15" s="136">
        <f t="shared" si="1"/>
        <v>-221600</v>
      </c>
    </row>
    <row r="16" ht="19.5" customHeight="1">
      <c r="A16" s="119">
        <v>46225.0</v>
      </c>
      <c r="B16" s="119" t="s">
        <v>151</v>
      </c>
      <c r="C16" s="39" t="s">
        <v>152</v>
      </c>
      <c r="D16" s="42"/>
      <c r="E16" s="42">
        <v>132000.0</v>
      </c>
      <c r="F16" s="136">
        <f t="shared" si="1"/>
        <v>-353600</v>
      </c>
    </row>
    <row r="17" ht="19.5" customHeight="1">
      <c r="A17" s="116">
        <v>46226.0</v>
      </c>
      <c r="B17" s="147"/>
      <c r="C17" s="48" t="s">
        <v>154</v>
      </c>
      <c r="D17" s="50">
        <v>354000.0</v>
      </c>
      <c r="E17" s="34"/>
      <c r="F17" s="117">
        <f t="shared" si="1"/>
        <v>400</v>
      </c>
    </row>
    <row r="18" ht="19.5" customHeight="1">
      <c r="A18" s="119">
        <v>46227.0</v>
      </c>
      <c r="B18" s="119" t="s">
        <v>136</v>
      </c>
      <c r="C18" s="39" t="s">
        <v>157</v>
      </c>
      <c r="D18" s="42"/>
      <c r="E18" s="42">
        <v>32000.0</v>
      </c>
      <c r="F18" s="121">
        <f t="shared" si="1"/>
        <v>-31600</v>
      </c>
    </row>
    <row r="19" ht="19.5" customHeight="1">
      <c r="A19" s="119"/>
      <c r="B19" s="119"/>
      <c r="C19" s="39"/>
      <c r="D19" s="43"/>
      <c r="E19" s="42"/>
      <c r="F19" s="121">
        <f t="shared" si="1"/>
        <v>-31600</v>
      </c>
    </row>
    <row r="20" ht="30.0" customHeight="1">
      <c r="A20" s="158">
        <v>46227.0</v>
      </c>
      <c r="B20" s="160"/>
      <c r="C20" s="163" t="s">
        <v>10</v>
      </c>
      <c r="D20" s="170">
        <f t="shared" ref="D20:E20" si="2">SUM(D2:D19)</f>
        <v>781000</v>
      </c>
      <c r="E20" s="170">
        <f t="shared" si="2"/>
        <v>812600</v>
      </c>
      <c r="F20" s="174">
        <f>+D20-E20</f>
        <v>-31600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F2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54.29"/>
    <col customWidth="1" min="3" max="4" width="15.0"/>
    <col customWidth="1" min="5" max="5" width="18.71"/>
    <col customWidth="1" min="6" max="26" width="10.71"/>
  </cols>
  <sheetData>
    <row r="1" ht="14.25" customHeight="1">
      <c r="A1" s="118" t="s">
        <v>1</v>
      </c>
      <c r="B1" s="7"/>
      <c r="C1" s="7"/>
      <c r="D1" s="7"/>
      <c r="E1" s="9"/>
    </row>
    <row r="2" ht="14.25" customHeight="1">
      <c r="A2" s="120" t="s">
        <v>16</v>
      </c>
      <c r="B2" s="7"/>
      <c r="C2" s="7"/>
      <c r="D2" s="7"/>
      <c r="E2" s="9"/>
    </row>
    <row r="3" ht="14.25" customHeight="1">
      <c r="A3" s="122" t="s">
        <v>129</v>
      </c>
      <c r="B3" s="7"/>
      <c r="C3" s="9"/>
      <c r="D3" s="123" t="s">
        <v>130</v>
      </c>
      <c r="E3" s="9"/>
    </row>
    <row r="4" ht="14.25" customHeight="1">
      <c r="A4" s="124"/>
      <c r="B4" s="126"/>
      <c r="C4" s="126"/>
      <c r="D4" s="126"/>
      <c r="E4" s="126"/>
    </row>
    <row r="5" ht="14.25" customHeight="1">
      <c r="A5" s="127" t="s">
        <v>33</v>
      </c>
      <c r="B5" s="128" t="s">
        <v>34</v>
      </c>
      <c r="C5" s="129" t="s">
        <v>8</v>
      </c>
      <c r="D5" s="130" t="s">
        <v>9</v>
      </c>
      <c r="E5" s="131" t="s">
        <v>26</v>
      </c>
    </row>
    <row r="6" ht="14.25" customHeight="1">
      <c r="A6" s="132"/>
      <c r="B6" s="133"/>
      <c r="C6" s="134"/>
      <c r="D6" s="135"/>
      <c r="E6" s="137">
        <v>0.0</v>
      </c>
    </row>
    <row r="7" ht="30.0" customHeight="1">
      <c r="A7" s="138">
        <v>46216.0</v>
      </c>
      <c r="B7" s="140" t="s">
        <v>141</v>
      </c>
      <c r="C7" s="141">
        <v>91000.0</v>
      </c>
      <c r="D7" s="142"/>
      <c r="E7" s="141">
        <v>91000.0</v>
      </c>
    </row>
    <row r="8" ht="30.0" customHeight="1">
      <c r="A8" s="143">
        <v>46216.0</v>
      </c>
      <c r="B8" s="145" t="s">
        <v>143</v>
      </c>
      <c r="C8" s="148"/>
      <c r="D8" s="148">
        <v>47000.0</v>
      </c>
      <c r="E8" s="148">
        <v>44000.0</v>
      </c>
    </row>
    <row r="9" ht="30.0" customHeight="1">
      <c r="A9" s="143">
        <v>46216.0</v>
      </c>
      <c r="B9" s="145" t="s">
        <v>145</v>
      </c>
      <c r="C9" s="148"/>
      <c r="D9" s="148">
        <v>20000.0</v>
      </c>
      <c r="E9" s="148">
        <v>24000.0</v>
      </c>
    </row>
    <row r="10" ht="42.0" customHeight="1">
      <c r="A10" s="143">
        <v>46217.0</v>
      </c>
      <c r="B10" s="145" t="s">
        <v>146</v>
      </c>
      <c r="C10" s="148"/>
      <c r="D10" s="148">
        <v>22200.0</v>
      </c>
      <c r="E10" s="148">
        <v>1800.0</v>
      </c>
    </row>
    <row r="11" ht="30.0" customHeight="1">
      <c r="A11" s="138">
        <v>46219.0</v>
      </c>
      <c r="B11" s="140" t="s">
        <v>141</v>
      </c>
      <c r="C11" s="141">
        <v>250000.0</v>
      </c>
      <c r="D11" s="141"/>
      <c r="E11" s="141">
        <v>251800.0</v>
      </c>
    </row>
    <row r="12" ht="30.0" customHeight="1">
      <c r="A12" s="143">
        <v>46220.0</v>
      </c>
      <c r="B12" s="145" t="s">
        <v>149</v>
      </c>
      <c r="C12" s="148"/>
      <c r="D12" s="148">
        <v>133629.13</v>
      </c>
      <c r="E12" s="148">
        <v>118170.87</v>
      </c>
    </row>
    <row r="13" ht="30.0" customHeight="1">
      <c r="A13" s="143">
        <v>46220.0</v>
      </c>
      <c r="B13" s="145" t="s">
        <v>153</v>
      </c>
      <c r="C13" s="148"/>
      <c r="D13" s="148">
        <v>24595.0</v>
      </c>
      <c r="E13" s="148">
        <v>93575.87</v>
      </c>
    </row>
    <row r="14" ht="30.0" customHeight="1">
      <c r="A14" s="143">
        <v>46221.0</v>
      </c>
      <c r="B14" s="145" t="s">
        <v>156</v>
      </c>
      <c r="C14" s="148"/>
      <c r="D14" s="148">
        <v>69000.0</v>
      </c>
      <c r="E14" s="148">
        <v>24575.869999999995</v>
      </c>
    </row>
    <row r="15" ht="30.0" customHeight="1">
      <c r="A15" s="143"/>
      <c r="B15" s="145"/>
      <c r="C15" s="148"/>
      <c r="D15" s="148"/>
      <c r="E15" s="148">
        <v>24575.869999999995</v>
      </c>
    </row>
    <row r="16" ht="30.0" customHeight="1">
      <c r="A16" s="143"/>
      <c r="B16" s="145"/>
      <c r="C16" s="148"/>
      <c r="D16" s="148"/>
      <c r="E16" s="148">
        <v>24575.869999999995</v>
      </c>
    </row>
    <row r="17" ht="30.0" customHeight="1">
      <c r="A17" s="156"/>
      <c r="B17" s="157" t="s">
        <v>10</v>
      </c>
      <c r="C17" s="159"/>
      <c r="D17" s="162"/>
      <c r="E17" s="164">
        <v>24575.869999999995</v>
      </c>
    </row>
    <row r="18" ht="14.25" customHeight="1">
      <c r="A18" s="166"/>
      <c r="B18" s="167"/>
      <c r="C18" s="169"/>
      <c r="D18" s="169"/>
      <c r="E18" s="171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E1"/>
    <mergeCell ref="A2:E2"/>
    <mergeCell ref="A3:C3"/>
    <mergeCell ref="D3:E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6.71"/>
    <col customWidth="1" min="3" max="3" width="13.0"/>
    <col customWidth="1" min="4" max="4" width="16.14"/>
    <col customWidth="1" min="5" max="5" width="28.29"/>
    <col customWidth="1" min="6" max="7" width="16.29"/>
    <col customWidth="1" min="8" max="8" width="17.29"/>
    <col customWidth="1" min="9" max="26" width="10.71"/>
  </cols>
  <sheetData>
    <row r="1" ht="14.25" customHeight="1"/>
    <row r="2" ht="14.25" customHeight="1"/>
    <row r="3" ht="14.25" customHeight="1"/>
    <row r="4" ht="14.25" customHeight="1">
      <c r="A4" s="5" t="s">
        <v>1</v>
      </c>
      <c r="B4" s="7"/>
      <c r="C4" s="7"/>
      <c r="D4" s="7"/>
      <c r="E4" s="7"/>
      <c r="F4" s="7"/>
      <c r="G4" s="7"/>
      <c r="H4" s="9"/>
    </row>
    <row r="5" ht="14.25" customHeight="1">
      <c r="A5" s="151" t="s">
        <v>16</v>
      </c>
      <c r="B5" s="152"/>
      <c r="C5" s="152"/>
      <c r="D5" s="152"/>
      <c r="E5" s="152"/>
      <c r="F5" s="152"/>
      <c r="G5" s="152"/>
      <c r="H5" s="20"/>
    </row>
    <row r="6" ht="14.25" customHeight="1">
      <c r="A6" s="154" t="s">
        <v>155</v>
      </c>
      <c r="B6" s="155" t="s">
        <v>158</v>
      </c>
      <c r="C6" s="106"/>
      <c r="D6" s="106"/>
      <c r="E6" s="106"/>
      <c r="F6" s="107"/>
      <c r="G6" s="161" t="s">
        <v>159</v>
      </c>
      <c r="H6" s="107"/>
    </row>
    <row r="7" ht="14.25" customHeight="1">
      <c r="A7" s="165" t="s">
        <v>33</v>
      </c>
      <c r="B7" s="168" t="s">
        <v>160</v>
      </c>
      <c r="C7" s="172" t="s">
        <v>161</v>
      </c>
      <c r="D7" s="172" t="s">
        <v>163</v>
      </c>
      <c r="E7" s="173" t="s">
        <v>34</v>
      </c>
      <c r="F7" s="173" t="s">
        <v>8</v>
      </c>
      <c r="G7" s="173" t="s">
        <v>9</v>
      </c>
      <c r="H7" s="173" t="s">
        <v>26</v>
      </c>
    </row>
    <row r="8" ht="19.5" customHeight="1">
      <c r="A8" s="175">
        <v>46184.0</v>
      </c>
      <c r="B8" s="176">
        <v>1.0</v>
      </c>
      <c r="C8" s="177" t="s">
        <v>164</v>
      </c>
      <c r="D8" s="178" t="s">
        <v>165</v>
      </c>
      <c r="E8" s="178" t="s">
        <v>166</v>
      </c>
      <c r="F8" s="179">
        <v>150000.0</v>
      </c>
      <c r="G8" s="180"/>
      <c r="H8" s="179">
        <f>+F8-G8</f>
        <v>150000</v>
      </c>
    </row>
    <row r="9" ht="18.0" customHeight="1">
      <c r="A9" s="175">
        <v>46185.0</v>
      </c>
      <c r="B9" s="176">
        <v>2.0</v>
      </c>
      <c r="C9" s="177" t="s">
        <v>164</v>
      </c>
      <c r="D9" s="178" t="s">
        <v>168</v>
      </c>
      <c r="E9" s="178" t="s">
        <v>169</v>
      </c>
      <c r="F9" s="179">
        <v>200000.0</v>
      </c>
      <c r="G9" s="181"/>
      <c r="H9" s="182">
        <f t="shared" ref="H9:H32" si="1">+H8+F9-G9</f>
        <v>350000</v>
      </c>
    </row>
    <row r="10" ht="19.5" customHeight="1">
      <c r="A10" s="183">
        <v>46185.0</v>
      </c>
      <c r="B10" s="184">
        <v>1.0</v>
      </c>
      <c r="C10" s="185" t="s">
        <v>134</v>
      </c>
      <c r="D10" s="184">
        <v>994934.0</v>
      </c>
      <c r="E10" s="184" t="s">
        <v>170</v>
      </c>
      <c r="F10" s="186"/>
      <c r="G10" s="187">
        <v>6500.0</v>
      </c>
      <c r="H10" s="179">
        <f t="shared" si="1"/>
        <v>343500</v>
      </c>
    </row>
    <row r="11" ht="19.5" customHeight="1">
      <c r="A11" s="183">
        <v>46185.0</v>
      </c>
      <c r="B11" s="184">
        <v>2.0</v>
      </c>
      <c r="C11" s="188" t="s">
        <v>136</v>
      </c>
      <c r="D11" s="188" t="s">
        <v>136</v>
      </c>
      <c r="E11" s="184" t="s">
        <v>172</v>
      </c>
      <c r="F11" s="189"/>
      <c r="G11" s="187">
        <v>14000.0</v>
      </c>
      <c r="H11" s="179">
        <f t="shared" si="1"/>
        <v>329500</v>
      </c>
    </row>
    <row r="12" ht="19.5" customHeight="1">
      <c r="A12" s="183">
        <v>46185.0</v>
      </c>
      <c r="B12" s="184">
        <v>3.0</v>
      </c>
      <c r="C12" s="188" t="s">
        <v>173</v>
      </c>
      <c r="D12" s="188">
        <v>3905.0</v>
      </c>
      <c r="E12" s="184" t="s">
        <v>138</v>
      </c>
      <c r="F12" s="189"/>
      <c r="G12" s="187">
        <v>16000.0</v>
      </c>
      <c r="H12" s="179">
        <f t="shared" si="1"/>
        <v>313500</v>
      </c>
    </row>
    <row r="13" ht="19.5" customHeight="1">
      <c r="A13" s="183">
        <v>46185.0</v>
      </c>
      <c r="B13" s="184">
        <v>4.0</v>
      </c>
      <c r="C13" s="188" t="s">
        <v>136</v>
      </c>
      <c r="D13" s="188" t="s">
        <v>136</v>
      </c>
      <c r="E13" s="184" t="s">
        <v>172</v>
      </c>
      <c r="F13" s="189"/>
      <c r="G13" s="187">
        <v>13000.0</v>
      </c>
      <c r="H13" s="179">
        <f t="shared" si="1"/>
        <v>300500</v>
      </c>
    </row>
    <row r="14" ht="19.5" customHeight="1">
      <c r="A14" s="183">
        <v>46185.0</v>
      </c>
      <c r="B14" s="184">
        <v>5.0</v>
      </c>
      <c r="C14" s="183" t="s">
        <v>175</v>
      </c>
      <c r="D14" s="188">
        <v>105053.0</v>
      </c>
      <c r="E14" s="184" t="s">
        <v>36</v>
      </c>
      <c r="F14" s="189"/>
      <c r="G14" s="187">
        <v>200000.0</v>
      </c>
      <c r="H14" s="179">
        <f t="shared" si="1"/>
        <v>100500</v>
      </c>
    </row>
    <row r="15" ht="19.5" customHeight="1">
      <c r="A15" s="183">
        <v>46185.0</v>
      </c>
      <c r="B15" s="184">
        <v>6.0</v>
      </c>
      <c r="C15" s="183" t="s">
        <v>173</v>
      </c>
      <c r="D15" s="188">
        <v>28134.0</v>
      </c>
      <c r="E15" s="184" t="s">
        <v>177</v>
      </c>
      <c r="F15" s="189"/>
      <c r="G15" s="187">
        <v>22000.0</v>
      </c>
      <c r="H15" s="179">
        <f t="shared" si="1"/>
        <v>78500</v>
      </c>
    </row>
    <row r="16" ht="19.5" customHeight="1">
      <c r="A16" s="183">
        <v>46185.0</v>
      </c>
      <c r="B16" s="184">
        <v>7.0</v>
      </c>
      <c r="C16" s="183" t="s">
        <v>178</v>
      </c>
      <c r="D16" s="188">
        <v>94450.0</v>
      </c>
      <c r="E16" s="184" t="s">
        <v>172</v>
      </c>
      <c r="F16" s="189"/>
      <c r="G16" s="187">
        <v>14660.0</v>
      </c>
      <c r="H16" s="179">
        <f t="shared" si="1"/>
        <v>63840</v>
      </c>
    </row>
    <row r="17" ht="19.5" customHeight="1">
      <c r="A17" s="175">
        <v>46219.0</v>
      </c>
      <c r="B17" s="176">
        <v>3.0</v>
      </c>
      <c r="C17" s="177" t="s">
        <v>180</v>
      </c>
      <c r="D17" s="178" t="s">
        <v>165</v>
      </c>
      <c r="E17" s="178" t="s">
        <v>166</v>
      </c>
      <c r="F17" s="179">
        <v>200000.0</v>
      </c>
      <c r="G17" s="181"/>
      <c r="H17" s="182">
        <f t="shared" si="1"/>
        <v>263840</v>
      </c>
    </row>
    <row r="18" ht="19.5" customHeight="1">
      <c r="A18" s="183">
        <v>46220.0</v>
      </c>
      <c r="B18" s="192" t="s">
        <v>181</v>
      </c>
      <c r="C18" s="183" t="s">
        <v>182</v>
      </c>
      <c r="D18" s="188">
        <v>28115.0</v>
      </c>
      <c r="E18" s="184" t="s">
        <v>138</v>
      </c>
      <c r="F18" s="189"/>
      <c r="G18" s="187">
        <v>18000.0</v>
      </c>
      <c r="H18" s="179">
        <f t="shared" si="1"/>
        <v>245840</v>
      </c>
    </row>
    <row r="19" ht="19.5" customHeight="1">
      <c r="A19" s="183">
        <v>46220.0</v>
      </c>
      <c r="B19" s="184">
        <v>2.0</v>
      </c>
      <c r="C19" s="183" t="s">
        <v>178</v>
      </c>
      <c r="D19" s="184">
        <v>21373.0</v>
      </c>
      <c r="E19" s="184" t="s">
        <v>172</v>
      </c>
      <c r="F19" s="193"/>
      <c r="G19" s="187">
        <v>13500.0</v>
      </c>
      <c r="H19" s="179">
        <f t="shared" si="1"/>
        <v>232340</v>
      </c>
    </row>
    <row r="20" ht="19.5" customHeight="1">
      <c r="A20" s="183">
        <v>46220.0</v>
      </c>
      <c r="B20" s="184">
        <v>3.0</v>
      </c>
      <c r="C20" s="185" t="s">
        <v>178</v>
      </c>
      <c r="D20" s="184">
        <v>50718.0</v>
      </c>
      <c r="E20" s="184" t="s">
        <v>172</v>
      </c>
      <c r="F20" s="193"/>
      <c r="G20" s="187">
        <v>8600.0</v>
      </c>
      <c r="H20" s="179">
        <f t="shared" si="1"/>
        <v>223740</v>
      </c>
    </row>
    <row r="21" ht="19.5" customHeight="1">
      <c r="A21" s="183">
        <v>46221.0</v>
      </c>
      <c r="B21" s="184">
        <v>4.0</v>
      </c>
      <c r="C21" s="185" t="s">
        <v>182</v>
      </c>
      <c r="D21" s="184">
        <v>28114.0</v>
      </c>
      <c r="E21" s="184" t="s">
        <v>138</v>
      </c>
      <c r="F21" s="186"/>
      <c r="G21" s="187">
        <v>16000.0</v>
      </c>
      <c r="H21" s="179">
        <f t="shared" si="1"/>
        <v>207740</v>
      </c>
    </row>
    <row r="22" ht="19.5" customHeight="1">
      <c r="A22" s="183">
        <v>46221.0</v>
      </c>
      <c r="B22" s="184">
        <v>5.0</v>
      </c>
      <c r="C22" s="185" t="s">
        <v>136</v>
      </c>
      <c r="D22" s="184" t="s">
        <v>136</v>
      </c>
      <c r="E22" s="184" t="s">
        <v>177</v>
      </c>
      <c r="F22" s="193"/>
      <c r="G22" s="187">
        <v>17500.0</v>
      </c>
      <c r="H22" s="179">
        <f t="shared" si="1"/>
        <v>190240</v>
      </c>
    </row>
    <row r="23" ht="19.5" customHeight="1">
      <c r="A23" s="183">
        <v>46221.0</v>
      </c>
      <c r="B23" s="184">
        <v>6.0</v>
      </c>
      <c r="C23" s="185" t="s">
        <v>136</v>
      </c>
      <c r="D23" s="184" t="s">
        <v>136</v>
      </c>
      <c r="E23" s="184" t="s">
        <v>172</v>
      </c>
      <c r="F23" s="193"/>
      <c r="G23" s="187">
        <v>12700.0</v>
      </c>
      <c r="H23" s="179">
        <f t="shared" si="1"/>
        <v>177540</v>
      </c>
    </row>
    <row r="24" ht="19.5" customHeight="1">
      <c r="A24" s="183">
        <v>46221.0</v>
      </c>
      <c r="B24" s="184">
        <v>7.0</v>
      </c>
      <c r="C24" s="185" t="s">
        <v>178</v>
      </c>
      <c r="D24" s="184">
        <v>50442.0</v>
      </c>
      <c r="E24" s="184" t="s">
        <v>172</v>
      </c>
      <c r="F24" s="207"/>
      <c r="G24" s="187">
        <v>10000.0</v>
      </c>
      <c r="H24" s="179">
        <f t="shared" si="1"/>
        <v>167540</v>
      </c>
    </row>
    <row r="25" ht="19.5" customHeight="1">
      <c r="A25" s="183">
        <v>46223.0</v>
      </c>
      <c r="B25" s="192" t="s">
        <v>189</v>
      </c>
      <c r="C25" s="185" t="s">
        <v>178</v>
      </c>
      <c r="D25" s="184">
        <v>106758.0</v>
      </c>
      <c r="E25" s="184" t="s">
        <v>172</v>
      </c>
      <c r="F25" s="193"/>
      <c r="G25" s="187">
        <v>12980.0</v>
      </c>
      <c r="H25" s="179">
        <f t="shared" si="1"/>
        <v>154560</v>
      </c>
    </row>
    <row r="26" ht="19.5" customHeight="1">
      <c r="A26" s="183">
        <v>46223.0</v>
      </c>
      <c r="B26" s="215">
        <v>3.0</v>
      </c>
      <c r="C26" s="185" t="s">
        <v>182</v>
      </c>
      <c r="D26" s="184" t="s">
        <v>136</v>
      </c>
      <c r="E26" s="184" t="s">
        <v>138</v>
      </c>
      <c r="F26" s="193"/>
      <c r="G26" s="187">
        <v>17000.0</v>
      </c>
      <c r="H26" s="179">
        <f t="shared" si="1"/>
        <v>137560</v>
      </c>
    </row>
    <row r="27" ht="19.5" customHeight="1">
      <c r="A27" s="183">
        <v>46224.0</v>
      </c>
      <c r="B27" s="215">
        <v>4.0</v>
      </c>
      <c r="C27" s="185" t="s">
        <v>190</v>
      </c>
      <c r="D27" s="184">
        <v>45267.0</v>
      </c>
      <c r="E27" s="184" t="s">
        <v>192</v>
      </c>
      <c r="F27" s="193"/>
      <c r="G27" s="187">
        <v>25000.0</v>
      </c>
      <c r="H27" s="179">
        <f t="shared" si="1"/>
        <v>112560</v>
      </c>
    </row>
    <row r="28" ht="19.5" customHeight="1">
      <c r="A28" s="183">
        <v>46223.0</v>
      </c>
      <c r="B28" s="215">
        <v>5.0</v>
      </c>
      <c r="C28" s="185" t="s">
        <v>190</v>
      </c>
      <c r="D28" s="184">
        <v>2896.0</v>
      </c>
      <c r="E28" s="184" t="s">
        <v>194</v>
      </c>
      <c r="F28" s="193"/>
      <c r="G28" s="187">
        <v>8050.0</v>
      </c>
      <c r="H28" s="179">
        <f t="shared" si="1"/>
        <v>104510</v>
      </c>
    </row>
    <row r="29" ht="19.5" customHeight="1">
      <c r="A29" s="183">
        <v>46224.0</v>
      </c>
      <c r="B29" s="215">
        <v>6.0</v>
      </c>
      <c r="C29" s="185" t="s">
        <v>136</v>
      </c>
      <c r="D29" s="184"/>
      <c r="E29" s="184" t="s">
        <v>196</v>
      </c>
      <c r="F29" s="193"/>
      <c r="G29" s="187">
        <v>17000.0</v>
      </c>
      <c r="H29" s="179">
        <f t="shared" si="1"/>
        <v>87510</v>
      </c>
    </row>
    <row r="30" ht="19.5" customHeight="1">
      <c r="A30" s="183">
        <v>46224.0</v>
      </c>
      <c r="B30" s="215">
        <v>7.0</v>
      </c>
      <c r="C30" s="185" t="s">
        <v>182</v>
      </c>
      <c r="D30" s="184">
        <v>28128.0</v>
      </c>
      <c r="E30" s="184" t="s">
        <v>138</v>
      </c>
      <c r="F30" s="193"/>
      <c r="G30" s="187">
        <v>16000.0</v>
      </c>
      <c r="H30" s="179">
        <f t="shared" si="1"/>
        <v>71510</v>
      </c>
    </row>
    <row r="31" ht="19.5" customHeight="1">
      <c r="A31" s="183">
        <v>46224.0</v>
      </c>
      <c r="B31" s="215">
        <v>8.0</v>
      </c>
      <c r="C31" s="185" t="s">
        <v>197</v>
      </c>
      <c r="D31" s="184">
        <v>18113.0</v>
      </c>
      <c r="E31" s="184" t="s">
        <v>172</v>
      </c>
      <c r="F31" s="193"/>
      <c r="G31" s="187">
        <v>4100.0</v>
      </c>
      <c r="H31" s="179">
        <f t="shared" si="1"/>
        <v>67410</v>
      </c>
    </row>
    <row r="32" ht="19.5" customHeight="1">
      <c r="A32" s="226"/>
      <c r="B32" s="227"/>
      <c r="C32" s="228"/>
      <c r="D32" s="229" t="s">
        <v>202</v>
      </c>
      <c r="E32" s="9"/>
      <c r="F32" s="230"/>
      <c r="G32" s="231">
        <v>67410.0</v>
      </c>
      <c r="H32" s="182">
        <f t="shared" si="1"/>
        <v>0</v>
      </c>
    </row>
    <row r="33" ht="34.5" customHeight="1">
      <c r="A33" s="234" t="s">
        <v>204</v>
      </c>
      <c r="B33" s="235"/>
      <c r="C33" s="235"/>
      <c r="D33" s="235"/>
      <c r="E33" s="236"/>
      <c r="F33" s="239">
        <f t="shared" ref="F33:G33" si="2">SUM(F8:F32)</f>
        <v>550000</v>
      </c>
      <c r="G33" s="239">
        <f t="shared" si="2"/>
        <v>550000</v>
      </c>
      <c r="H33" s="239">
        <f>+F33-G33</f>
        <v>0</v>
      </c>
    </row>
    <row r="34" ht="14.25" hidden="1" customHeight="1"/>
    <row r="35" ht="14.25" hidden="1" customHeight="1">
      <c r="A35" s="243"/>
      <c r="B35" s="243"/>
      <c r="C35" s="243"/>
      <c r="D35" s="243"/>
      <c r="E35" s="243"/>
      <c r="F35" s="243"/>
      <c r="G35" s="243"/>
      <c r="H35" s="243"/>
    </row>
    <row r="36" ht="24.0" hidden="1" customHeight="1">
      <c r="A36" s="154" t="s">
        <v>155</v>
      </c>
      <c r="B36" s="155" t="s">
        <v>208</v>
      </c>
      <c r="C36" s="106"/>
      <c r="D36" s="106"/>
      <c r="E36" s="106"/>
      <c r="F36" s="107"/>
      <c r="G36" s="161" t="s">
        <v>209</v>
      </c>
      <c r="H36" s="107"/>
    </row>
    <row r="37" ht="14.25" hidden="1" customHeight="1">
      <c r="A37" s="165" t="s">
        <v>33</v>
      </c>
      <c r="B37" s="168" t="s">
        <v>160</v>
      </c>
      <c r="C37" s="172" t="s">
        <v>161</v>
      </c>
      <c r="D37" s="172" t="s">
        <v>163</v>
      </c>
      <c r="E37" s="173" t="s">
        <v>34</v>
      </c>
      <c r="F37" s="173" t="s">
        <v>8</v>
      </c>
      <c r="G37" s="173" t="s">
        <v>9</v>
      </c>
      <c r="H37" s="173" t="s">
        <v>26</v>
      </c>
    </row>
    <row r="38" ht="19.5" hidden="1" customHeight="1">
      <c r="A38" s="175">
        <v>46155.0</v>
      </c>
      <c r="B38" s="176">
        <v>1.0</v>
      </c>
      <c r="C38" s="177" t="s">
        <v>210</v>
      </c>
      <c r="D38" s="178" t="s">
        <v>165</v>
      </c>
      <c r="E38" s="178" t="s">
        <v>166</v>
      </c>
      <c r="F38" s="179">
        <v>100000.0</v>
      </c>
      <c r="G38" s="180"/>
      <c r="H38" s="179">
        <f>+F38-G38</f>
        <v>100000</v>
      </c>
    </row>
    <row r="39" ht="19.5" hidden="1" customHeight="1">
      <c r="A39" s="175">
        <v>46156.0</v>
      </c>
      <c r="B39" s="176">
        <v>2.0</v>
      </c>
      <c r="C39" s="177"/>
      <c r="D39" s="178" t="s">
        <v>212</v>
      </c>
      <c r="E39" s="178" t="s">
        <v>213</v>
      </c>
      <c r="F39" s="179">
        <v>400000.0</v>
      </c>
      <c r="G39" s="181"/>
      <c r="H39" s="179">
        <f t="shared" ref="H39:H45" si="3">+H38+F39-G39</f>
        <v>500000</v>
      </c>
    </row>
    <row r="40" ht="19.5" hidden="1" customHeight="1">
      <c r="A40" s="183">
        <v>46155.0</v>
      </c>
      <c r="B40" s="259">
        <v>1.0</v>
      </c>
      <c r="C40" s="183" t="s">
        <v>214</v>
      </c>
      <c r="D40" s="188">
        <v>28143.0</v>
      </c>
      <c r="E40" s="184" t="s">
        <v>177</v>
      </c>
      <c r="F40" s="189"/>
      <c r="G40" s="187">
        <v>18500.0</v>
      </c>
      <c r="H40" s="179">
        <f t="shared" si="3"/>
        <v>481500</v>
      </c>
    </row>
    <row r="41" ht="19.5" hidden="1" customHeight="1">
      <c r="A41" s="183">
        <v>46156.0</v>
      </c>
      <c r="B41" s="259">
        <v>2.0</v>
      </c>
      <c r="C41" s="183" t="s">
        <v>214</v>
      </c>
      <c r="D41" s="188">
        <v>28143.0</v>
      </c>
      <c r="E41" s="184" t="s">
        <v>138</v>
      </c>
      <c r="F41" s="261"/>
      <c r="G41" s="187">
        <v>18000.0</v>
      </c>
      <c r="H41" s="179">
        <f t="shared" si="3"/>
        <v>463500</v>
      </c>
    </row>
    <row r="42" ht="19.5" hidden="1" customHeight="1">
      <c r="A42" s="183">
        <v>46156.0</v>
      </c>
      <c r="B42" s="259">
        <v>3.0</v>
      </c>
      <c r="C42" s="183" t="s">
        <v>216</v>
      </c>
      <c r="D42" s="188">
        <v>10287.0</v>
      </c>
      <c r="E42" s="184" t="s">
        <v>36</v>
      </c>
      <c r="F42" s="261"/>
      <c r="G42" s="187">
        <v>400000.0</v>
      </c>
      <c r="H42" s="179">
        <f t="shared" si="3"/>
        <v>63500</v>
      </c>
    </row>
    <row r="43" ht="19.5" hidden="1" customHeight="1">
      <c r="A43" s="183">
        <v>46156.0</v>
      </c>
      <c r="B43" s="259">
        <v>4.0</v>
      </c>
      <c r="C43" s="183" t="s">
        <v>178</v>
      </c>
      <c r="D43" s="188">
        <v>39760.0</v>
      </c>
      <c r="E43" s="184" t="s">
        <v>172</v>
      </c>
      <c r="F43" s="189"/>
      <c r="G43" s="187">
        <v>24400.0</v>
      </c>
      <c r="H43" s="179">
        <f t="shared" si="3"/>
        <v>39100</v>
      </c>
    </row>
    <row r="44" ht="19.5" hidden="1" customHeight="1">
      <c r="A44" s="183">
        <v>46156.0</v>
      </c>
      <c r="B44" s="259">
        <v>5.0</v>
      </c>
      <c r="C44" s="183" t="s">
        <v>136</v>
      </c>
      <c r="D44" s="188" t="s">
        <v>136</v>
      </c>
      <c r="E44" s="184" t="s">
        <v>177</v>
      </c>
      <c r="F44" s="261"/>
      <c r="G44" s="187">
        <v>19000.0</v>
      </c>
      <c r="H44" s="179">
        <f t="shared" si="3"/>
        <v>20100</v>
      </c>
    </row>
    <row r="45" ht="19.5" hidden="1" customHeight="1">
      <c r="A45" s="264"/>
      <c r="B45" s="265"/>
      <c r="C45" s="264"/>
      <c r="D45" s="266" t="s">
        <v>218</v>
      </c>
      <c r="E45" s="9"/>
      <c r="F45" s="267"/>
      <c r="G45" s="268">
        <v>20100.0</v>
      </c>
      <c r="H45" s="269">
        <f t="shared" si="3"/>
        <v>0</v>
      </c>
    </row>
    <row r="46" ht="31.5" hidden="1" customHeight="1">
      <c r="A46" s="234" t="s">
        <v>204</v>
      </c>
      <c r="B46" s="235"/>
      <c r="C46" s="235"/>
      <c r="D46" s="235"/>
      <c r="E46" s="236"/>
      <c r="F46" s="271">
        <f t="shared" ref="F46:G46" si="4">SUM(F38:F45)</f>
        <v>500000</v>
      </c>
      <c r="G46" s="271">
        <f t="shared" si="4"/>
        <v>500000</v>
      </c>
      <c r="H46" s="239">
        <f>+F46-G46</f>
        <v>0</v>
      </c>
    </row>
    <row r="47" ht="14.25" hidden="1" customHeight="1"/>
    <row r="48" ht="14.25" hidden="1" customHeight="1"/>
    <row r="49" ht="14.25" hidden="1" customHeight="1"/>
    <row r="50" ht="14.25" hidden="1" customHeight="1"/>
    <row r="51" ht="14.25" hidden="1" customHeight="1"/>
    <row r="52" ht="14.25" hidden="1" customHeight="1"/>
    <row r="53" ht="14.25" hidden="1" customHeight="1"/>
    <row r="54" ht="14.25" hidden="1" customHeight="1"/>
    <row r="55" ht="14.25" hidden="1" customHeight="1"/>
    <row r="56" ht="14.25" hidden="1" customHeight="1"/>
    <row r="57" ht="14.25" hidden="1" customHeight="1"/>
    <row r="58" ht="14.25" hidden="1" customHeight="1"/>
    <row r="59" ht="14.25" hidden="1" customHeight="1"/>
    <row r="60" ht="14.25" hidden="1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D32:E32"/>
    <mergeCell ref="D45:E45"/>
    <mergeCell ref="A46:E46"/>
    <mergeCell ref="A4:H4"/>
    <mergeCell ref="A5:H5"/>
    <mergeCell ref="B6:F6"/>
    <mergeCell ref="G6:H6"/>
    <mergeCell ref="A33:E33"/>
    <mergeCell ref="B36:F36"/>
    <mergeCell ref="G36:H36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8.29"/>
    <col customWidth="1" min="3" max="3" width="11.14"/>
    <col customWidth="1" min="4" max="4" width="13.29"/>
    <col customWidth="1" min="5" max="5" width="44.43"/>
    <col customWidth="1" min="6" max="6" width="15.71"/>
    <col customWidth="1" min="7" max="7" width="17.43"/>
    <col customWidth="1" min="8" max="8" width="21.0"/>
    <col customWidth="1" min="9" max="26" width="10.71"/>
  </cols>
  <sheetData>
    <row r="1" ht="14.25" customHeight="1"/>
    <row r="2" ht="14.25" customHeight="1"/>
    <row r="3" ht="14.25" customHeight="1"/>
    <row r="4" ht="14.25" customHeight="1">
      <c r="A4" s="5" t="s">
        <v>1</v>
      </c>
      <c r="B4" s="7"/>
      <c r="C4" s="7"/>
      <c r="D4" s="7"/>
      <c r="E4" s="7"/>
      <c r="F4" s="7"/>
      <c r="G4" s="7"/>
      <c r="H4" s="9"/>
    </row>
    <row r="5" ht="14.25" customHeight="1">
      <c r="A5" s="5" t="s">
        <v>2</v>
      </c>
      <c r="B5" s="7"/>
      <c r="C5" s="7"/>
      <c r="D5" s="7"/>
      <c r="E5" s="7"/>
      <c r="F5" s="7"/>
      <c r="G5" s="7"/>
      <c r="H5" s="9"/>
    </row>
    <row r="6" ht="14.25" customHeight="1">
      <c r="A6" s="195" t="s">
        <v>184</v>
      </c>
      <c r="B6" s="152"/>
      <c r="C6" s="152"/>
      <c r="D6" s="152"/>
      <c r="E6" s="152"/>
      <c r="F6" s="20"/>
      <c r="G6" s="17" t="s">
        <v>3</v>
      </c>
      <c r="H6" s="20"/>
    </row>
    <row r="7" ht="14.25" customHeight="1">
      <c r="A7" s="198" t="s">
        <v>33</v>
      </c>
      <c r="B7" s="198" t="s">
        <v>160</v>
      </c>
      <c r="C7" s="202" t="s">
        <v>161</v>
      </c>
      <c r="D7" s="202" t="s">
        <v>186</v>
      </c>
      <c r="E7" s="198" t="s">
        <v>34</v>
      </c>
      <c r="F7" s="198" t="s">
        <v>8</v>
      </c>
      <c r="G7" s="198" t="s">
        <v>9</v>
      </c>
      <c r="H7" s="198" t="s">
        <v>26</v>
      </c>
    </row>
    <row r="8" ht="19.5" customHeight="1">
      <c r="A8" s="206">
        <v>46203.0</v>
      </c>
      <c r="B8" s="209"/>
      <c r="C8" s="209"/>
      <c r="D8" s="209"/>
      <c r="E8" s="213" t="s">
        <v>188</v>
      </c>
      <c r="F8" s="49">
        <v>0.0</v>
      </c>
      <c r="G8" s="92"/>
      <c r="H8" s="92">
        <f>+F8+G8</f>
        <v>0</v>
      </c>
    </row>
    <row r="9" ht="19.5" customHeight="1">
      <c r="A9" s="206">
        <v>46206.0</v>
      </c>
      <c r="B9" s="209"/>
      <c r="C9" s="209" t="s">
        <v>165</v>
      </c>
      <c r="D9" s="209"/>
      <c r="E9" s="213" t="s">
        <v>166</v>
      </c>
      <c r="F9" s="49">
        <v>250000.0</v>
      </c>
      <c r="G9" s="92"/>
      <c r="H9" s="49">
        <f t="shared" ref="H9:H15" si="1">+F9-G9+H8</f>
        <v>250000</v>
      </c>
    </row>
    <row r="10" ht="19.5" customHeight="1">
      <c r="A10" s="219">
        <v>46206.0</v>
      </c>
      <c r="B10" s="39">
        <v>1.0</v>
      </c>
      <c r="C10" s="39" t="s">
        <v>175</v>
      </c>
      <c r="D10" s="39">
        <v>4207.0</v>
      </c>
      <c r="E10" s="188" t="s">
        <v>193</v>
      </c>
      <c r="F10" s="27"/>
      <c r="G10" s="40">
        <v>40000.0</v>
      </c>
      <c r="H10" s="61">
        <f t="shared" si="1"/>
        <v>210000</v>
      </c>
    </row>
    <row r="11" ht="26.25" customHeight="1">
      <c r="A11" s="219">
        <v>46219.0</v>
      </c>
      <c r="B11" s="39">
        <v>2.0</v>
      </c>
      <c r="C11" s="39" t="s">
        <v>197</v>
      </c>
      <c r="D11" s="39">
        <v>271.0</v>
      </c>
      <c r="E11" s="188" t="s">
        <v>198</v>
      </c>
      <c r="F11" s="27"/>
      <c r="G11" s="40">
        <v>56000.0</v>
      </c>
      <c r="H11" s="61">
        <f t="shared" si="1"/>
        <v>154000</v>
      </c>
    </row>
    <row r="12" ht="26.25" customHeight="1">
      <c r="A12" s="219">
        <v>46223.0</v>
      </c>
      <c r="B12" s="39">
        <v>3.0</v>
      </c>
      <c r="C12" s="39" t="s">
        <v>175</v>
      </c>
      <c r="D12" s="39">
        <v>597.0</v>
      </c>
      <c r="E12" s="188" t="s">
        <v>199</v>
      </c>
      <c r="F12" s="27"/>
      <c r="G12" s="40">
        <v>50000.0</v>
      </c>
      <c r="H12" s="61">
        <f t="shared" si="1"/>
        <v>104000</v>
      </c>
    </row>
    <row r="13" ht="26.25" customHeight="1">
      <c r="A13" s="219">
        <v>46223.0</v>
      </c>
      <c r="B13" s="39">
        <v>4.0</v>
      </c>
      <c r="C13" s="39" t="s">
        <v>134</v>
      </c>
      <c r="D13" s="39">
        <v>565025.0</v>
      </c>
      <c r="E13" s="188" t="s">
        <v>201</v>
      </c>
      <c r="F13" s="27"/>
      <c r="G13" s="40">
        <v>5500.0</v>
      </c>
      <c r="H13" s="61">
        <f t="shared" si="1"/>
        <v>98500</v>
      </c>
    </row>
    <row r="14" ht="19.5" customHeight="1">
      <c r="A14" s="219">
        <v>46225.0</v>
      </c>
      <c r="B14" s="39">
        <v>5.0</v>
      </c>
      <c r="C14" s="39" t="s">
        <v>175</v>
      </c>
      <c r="D14" s="39">
        <v>4276.0</v>
      </c>
      <c r="E14" s="188" t="s">
        <v>203</v>
      </c>
      <c r="F14" s="27"/>
      <c r="G14" s="40">
        <v>58000.0</v>
      </c>
      <c r="H14" s="61">
        <f t="shared" si="1"/>
        <v>40500</v>
      </c>
    </row>
    <row r="15" ht="21.0" customHeight="1">
      <c r="A15" s="232"/>
      <c r="B15" s="48"/>
      <c r="C15" s="48"/>
      <c r="D15" s="48"/>
      <c r="E15" s="48" t="s">
        <v>205</v>
      </c>
      <c r="F15" s="65"/>
      <c r="G15" s="65"/>
      <c r="H15" s="33">
        <f t="shared" si="1"/>
        <v>40500</v>
      </c>
    </row>
    <row r="16" ht="24.75" customHeight="1">
      <c r="A16" s="237"/>
      <c r="B16" s="237"/>
      <c r="C16" s="238"/>
      <c r="D16" s="238"/>
      <c r="E16" s="240" t="s">
        <v>10</v>
      </c>
      <c r="F16" s="241">
        <f>SUM(F8:F15)</f>
        <v>250000</v>
      </c>
      <c r="G16" s="241">
        <f>SUM(G9:G15)</f>
        <v>209500</v>
      </c>
      <c r="H16" s="244">
        <f>+F16-G16</f>
        <v>40500</v>
      </c>
    </row>
    <row r="17" ht="14.25" customHeight="1"/>
    <row r="18" ht="14.25" customHeight="1">
      <c r="A18" s="195" t="s">
        <v>184</v>
      </c>
      <c r="B18" s="152"/>
      <c r="C18" s="152"/>
      <c r="D18" s="152"/>
      <c r="E18" s="152"/>
      <c r="F18" s="20"/>
      <c r="G18" s="17" t="s">
        <v>3</v>
      </c>
      <c r="H18" s="20"/>
    </row>
    <row r="19" ht="14.25" customHeight="1">
      <c r="A19" s="198" t="s">
        <v>33</v>
      </c>
      <c r="B19" s="198" t="s">
        <v>160</v>
      </c>
      <c r="C19" s="202" t="s">
        <v>161</v>
      </c>
      <c r="D19" s="202" t="s">
        <v>186</v>
      </c>
      <c r="E19" s="198" t="s">
        <v>34</v>
      </c>
      <c r="F19" s="198" t="s">
        <v>8</v>
      </c>
      <c r="G19" s="198" t="s">
        <v>9</v>
      </c>
      <c r="H19" s="198" t="s">
        <v>26</v>
      </c>
    </row>
    <row r="20" ht="21.0" customHeight="1">
      <c r="A20" s="206">
        <v>46225.0</v>
      </c>
      <c r="B20" s="209"/>
      <c r="C20" s="209" t="s">
        <v>165</v>
      </c>
      <c r="D20" s="209"/>
      <c r="E20" s="213" t="s">
        <v>188</v>
      </c>
      <c r="F20" s="49">
        <v>40500.0</v>
      </c>
      <c r="G20" s="92"/>
      <c r="H20" s="49">
        <f>+F20+G20</f>
        <v>40500</v>
      </c>
    </row>
    <row r="21" ht="21.0" customHeight="1">
      <c r="A21" s="206">
        <v>46226.0</v>
      </c>
      <c r="B21" s="209"/>
      <c r="C21" s="209" t="s">
        <v>165</v>
      </c>
      <c r="D21" s="209"/>
      <c r="E21" s="213" t="s">
        <v>166</v>
      </c>
      <c r="F21" s="49">
        <v>209500.0</v>
      </c>
      <c r="G21" s="92"/>
      <c r="H21" s="49">
        <f t="shared" ref="H21:H27" si="2">+F21-G21+H20</f>
        <v>250000</v>
      </c>
    </row>
    <row r="22" ht="14.25" customHeight="1">
      <c r="A22" s="219"/>
      <c r="B22" s="39"/>
      <c r="C22" s="39"/>
      <c r="D22" s="39"/>
      <c r="E22" s="188"/>
      <c r="F22" s="27"/>
      <c r="G22" s="40"/>
      <c r="H22" s="61">
        <f t="shared" si="2"/>
        <v>250000</v>
      </c>
    </row>
    <row r="23" ht="14.25" customHeight="1">
      <c r="A23" s="219"/>
      <c r="B23" s="39"/>
      <c r="C23" s="39"/>
      <c r="D23" s="39"/>
      <c r="E23" s="188"/>
      <c r="F23" s="27"/>
      <c r="G23" s="40"/>
      <c r="H23" s="61">
        <f t="shared" si="2"/>
        <v>250000</v>
      </c>
    </row>
    <row r="24" ht="14.25" customHeight="1">
      <c r="A24" s="219"/>
      <c r="B24" s="39"/>
      <c r="C24" s="39"/>
      <c r="D24" s="39"/>
      <c r="E24" s="188"/>
      <c r="F24" s="27"/>
      <c r="G24" s="40"/>
      <c r="H24" s="61">
        <f t="shared" si="2"/>
        <v>250000</v>
      </c>
    </row>
    <row r="25" ht="14.25" customHeight="1">
      <c r="A25" s="219"/>
      <c r="B25" s="39"/>
      <c r="C25" s="39"/>
      <c r="D25" s="39"/>
      <c r="E25" s="188"/>
      <c r="F25" s="27"/>
      <c r="G25" s="40"/>
      <c r="H25" s="61">
        <f t="shared" si="2"/>
        <v>250000</v>
      </c>
    </row>
    <row r="26" ht="14.25" customHeight="1">
      <c r="A26" s="219"/>
      <c r="B26" s="39"/>
      <c r="C26" s="39"/>
      <c r="D26" s="39"/>
      <c r="E26" s="188"/>
      <c r="F26" s="27"/>
      <c r="G26" s="40"/>
      <c r="H26" s="61">
        <f t="shared" si="2"/>
        <v>250000</v>
      </c>
    </row>
    <row r="27" ht="21.0" customHeight="1">
      <c r="A27" s="232"/>
      <c r="B27" s="48"/>
      <c r="C27" s="48"/>
      <c r="D27" s="48"/>
      <c r="E27" s="48" t="s">
        <v>205</v>
      </c>
      <c r="F27" s="65"/>
      <c r="G27" s="65"/>
      <c r="H27" s="33">
        <f t="shared" si="2"/>
        <v>250000</v>
      </c>
    </row>
    <row r="28" ht="21.75" customHeight="1">
      <c r="A28" s="237"/>
      <c r="B28" s="237"/>
      <c r="C28" s="238"/>
      <c r="D28" s="238"/>
      <c r="E28" s="240" t="s">
        <v>10</v>
      </c>
      <c r="F28" s="241">
        <f>SUM(F20:F27)</f>
        <v>250000</v>
      </c>
      <c r="G28" s="241">
        <f>SUM(G21:G27)</f>
        <v>0</v>
      </c>
      <c r="H28" s="244">
        <f>+F28-G28</f>
        <v>250000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4:H4"/>
    <mergeCell ref="A5:H5"/>
    <mergeCell ref="A6:F6"/>
    <mergeCell ref="G6:H6"/>
    <mergeCell ref="A18:F18"/>
    <mergeCell ref="G18:H18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9.71"/>
    <col customWidth="1" min="3" max="3" width="10.71"/>
    <col customWidth="1" min="4" max="4" width="11.71"/>
    <col customWidth="1" min="5" max="5" width="30.14"/>
    <col customWidth="1" min="6" max="7" width="16.29"/>
    <col customWidth="1" min="8" max="8" width="18.29"/>
    <col customWidth="1" min="9" max="26" width="10.71"/>
  </cols>
  <sheetData>
    <row r="1" ht="14.25" customHeight="1"/>
    <row r="2" ht="14.25" customHeight="1"/>
    <row r="3" ht="14.25" customHeight="1"/>
    <row r="4" ht="14.25" customHeight="1"/>
    <row r="5" ht="14.25" customHeight="1">
      <c r="A5" s="5" t="s">
        <v>1</v>
      </c>
      <c r="B5" s="7"/>
      <c r="C5" s="7"/>
      <c r="D5" s="7"/>
      <c r="E5" s="7"/>
      <c r="F5" s="7"/>
      <c r="G5" s="7"/>
      <c r="H5" s="9"/>
    </row>
    <row r="6" ht="14.25" customHeight="1">
      <c r="A6" s="5" t="s">
        <v>16</v>
      </c>
      <c r="B6" s="7"/>
      <c r="C6" s="7"/>
      <c r="D6" s="7"/>
      <c r="E6" s="7"/>
      <c r="F6" s="7"/>
      <c r="G6" s="7"/>
      <c r="H6" s="9"/>
    </row>
    <row r="7" ht="25.5" customHeight="1">
      <c r="A7" s="197" t="s">
        <v>155</v>
      </c>
      <c r="B7" s="199"/>
      <c r="C7" s="200"/>
      <c r="D7" s="200"/>
      <c r="E7" s="200"/>
      <c r="F7" s="201"/>
      <c r="G7" s="203" t="s">
        <v>185</v>
      </c>
      <c r="H7" s="107"/>
    </row>
    <row r="8" ht="14.25" customHeight="1">
      <c r="A8" s="204" t="s">
        <v>33</v>
      </c>
      <c r="B8" s="205" t="s">
        <v>160</v>
      </c>
      <c r="C8" s="208" t="s">
        <v>161</v>
      </c>
      <c r="D8" s="208" t="s">
        <v>186</v>
      </c>
      <c r="E8" s="212" t="s">
        <v>34</v>
      </c>
      <c r="F8" s="214" t="s">
        <v>8</v>
      </c>
      <c r="G8" s="214" t="s">
        <v>9</v>
      </c>
      <c r="H8" s="214" t="s">
        <v>26</v>
      </c>
    </row>
    <row r="9" ht="19.5" customHeight="1">
      <c r="A9" s="175"/>
      <c r="B9" s="216"/>
      <c r="C9" s="216"/>
      <c r="D9" s="216"/>
      <c r="E9" s="216"/>
      <c r="F9" s="217"/>
      <c r="G9" s="218"/>
      <c r="H9" s="220">
        <f>+F9-G9</f>
        <v>0</v>
      </c>
    </row>
    <row r="10" ht="19.5" customHeight="1">
      <c r="A10" s="175"/>
      <c r="B10" s="216"/>
      <c r="C10" s="216"/>
      <c r="D10" s="221"/>
      <c r="E10" s="216"/>
      <c r="F10" s="222"/>
      <c r="G10" s="223"/>
      <c r="H10" s="220">
        <f t="shared" ref="H10:H36" si="1">+H9+F10-G10</f>
        <v>0</v>
      </c>
    </row>
    <row r="11" ht="19.5" customHeight="1">
      <c r="A11" s="175"/>
      <c r="B11" s="216"/>
      <c r="C11" s="221"/>
      <c r="D11" s="221"/>
      <c r="E11" s="216"/>
      <c r="F11" s="222"/>
      <c r="G11" s="223"/>
      <c r="H11" s="220">
        <f t="shared" si="1"/>
        <v>0</v>
      </c>
    </row>
    <row r="12" ht="19.5" customHeight="1">
      <c r="A12" s="175"/>
      <c r="B12" s="216"/>
      <c r="C12" s="221"/>
      <c r="D12" s="221"/>
      <c r="E12" s="216"/>
      <c r="F12" s="222"/>
      <c r="G12" s="223"/>
      <c r="H12" s="220">
        <f t="shared" si="1"/>
        <v>0</v>
      </c>
    </row>
    <row r="13" ht="19.5" customHeight="1">
      <c r="A13" s="175"/>
      <c r="B13" s="216"/>
      <c r="C13" s="221"/>
      <c r="D13" s="221"/>
      <c r="E13" s="216"/>
      <c r="F13" s="222"/>
      <c r="G13" s="223"/>
      <c r="H13" s="220">
        <f t="shared" si="1"/>
        <v>0</v>
      </c>
    </row>
    <row r="14" ht="19.5" customHeight="1">
      <c r="A14" s="175"/>
      <c r="B14" s="216"/>
      <c r="C14" s="221"/>
      <c r="D14" s="221"/>
      <c r="E14" s="216"/>
      <c r="F14" s="222"/>
      <c r="G14" s="233"/>
      <c r="H14" s="220">
        <f t="shared" si="1"/>
        <v>0</v>
      </c>
    </row>
    <row r="15" ht="19.5" customHeight="1">
      <c r="A15" s="175"/>
      <c r="B15" s="216"/>
      <c r="C15" s="221"/>
      <c r="D15" s="221"/>
      <c r="E15" s="216"/>
      <c r="F15" s="222"/>
      <c r="G15" s="233"/>
      <c r="H15" s="220">
        <f t="shared" si="1"/>
        <v>0</v>
      </c>
    </row>
    <row r="16" ht="19.5" customHeight="1">
      <c r="A16" s="183"/>
      <c r="B16" s="188"/>
      <c r="C16" s="242"/>
      <c r="D16" s="242"/>
      <c r="E16" s="188"/>
      <c r="F16" s="187"/>
      <c r="G16" s="245"/>
      <c r="H16" s="220">
        <f t="shared" si="1"/>
        <v>0</v>
      </c>
    </row>
    <row r="17" ht="19.5" customHeight="1">
      <c r="A17" s="183"/>
      <c r="B17" s="188"/>
      <c r="C17" s="242"/>
      <c r="D17" s="242"/>
      <c r="E17" s="188"/>
      <c r="F17" s="187"/>
      <c r="G17" s="245"/>
      <c r="H17" s="220">
        <f t="shared" si="1"/>
        <v>0</v>
      </c>
    </row>
    <row r="18" ht="19.5" customHeight="1">
      <c r="A18" s="183"/>
      <c r="B18" s="247"/>
      <c r="C18" s="242"/>
      <c r="D18" s="242"/>
      <c r="E18" s="188"/>
      <c r="F18" s="248"/>
      <c r="G18" s="245"/>
      <c r="H18" s="220">
        <f t="shared" si="1"/>
        <v>0</v>
      </c>
    </row>
    <row r="19" ht="19.5" customHeight="1">
      <c r="A19" s="249"/>
      <c r="B19" s="251"/>
      <c r="C19" s="253"/>
      <c r="D19" s="255"/>
      <c r="E19" s="255"/>
      <c r="F19" s="256"/>
      <c r="G19" s="258"/>
      <c r="H19" s="220">
        <f t="shared" si="1"/>
        <v>0</v>
      </c>
    </row>
    <row r="20" ht="19.5" customHeight="1">
      <c r="A20" s="183"/>
      <c r="B20" s="247"/>
      <c r="C20" s="242"/>
      <c r="D20" s="242"/>
      <c r="E20" s="188"/>
      <c r="F20" s="187"/>
      <c r="G20" s="245"/>
      <c r="H20" s="220">
        <f t="shared" si="1"/>
        <v>0</v>
      </c>
    </row>
    <row r="21" ht="19.5" customHeight="1">
      <c r="A21" s="183"/>
      <c r="B21" s="247"/>
      <c r="C21" s="242"/>
      <c r="D21" s="242"/>
      <c r="E21" s="188"/>
      <c r="F21" s="187"/>
      <c r="G21" s="245"/>
      <c r="H21" s="220">
        <f t="shared" si="1"/>
        <v>0</v>
      </c>
    </row>
    <row r="22" ht="19.5" customHeight="1">
      <c r="A22" s="183"/>
      <c r="B22" s="247"/>
      <c r="C22" s="242"/>
      <c r="D22" s="242"/>
      <c r="E22" s="188"/>
      <c r="F22" s="187"/>
      <c r="G22" s="245"/>
      <c r="H22" s="220">
        <f t="shared" si="1"/>
        <v>0</v>
      </c>
    </row>
    <row r="23" ht="19.5" customHeight="1">
      <c r="A23" s="249"/>
      <c r="B23" s="251"/>
      <c r="C23" s="253"/>
      <c r="D23" s="253"/>
      <c r="E23" s="255"/>
      <c r="F23" s="263"/>
      <c r="G23" s="258"/>
      <c r="H23" s="220">
        <f t="shared" si="1"/>
        <v>0</v>
      </c>
    </row>
    <row r="24" ht="19.5" customHeight="1">
      <c r="A24" s="249"/>
      <c r="B24" s="251"/>
      <c r="C24" s="253"/>
      <c r="D24" s="253"/>
      <c r="E24" s="255"/>
      <c r="F24" s="263"/>
      <c r="G24" s="258"/>
      <c r="H24" s="220">
        <f t="shared" si="1"/>
        <v>0</v>
      </c>
    </row>
    <row r="25" ht="19.5" customHeight="1">
      <c r="A25" s="249"/>
      <c r="B25" s="251"/>
      <c r="C25" s="253"/>
      <c r="D25" s="253"/>
      <c r="E25" s="255"/>
      <c r="F25" s="263"/>
      <c r="G25" s="258"/>
      <c r="H25" s="220">
        <f t="shared" si="1"/>
        <v>0</v>
      </c>
    </row>
    <row r="26" ht="19.5" customHeight="1">
      <c r="A26" s="249"/>
      <c r="B26" s="251"/>
      <c r="C26" s="253"/>
      <c r="D26" s="253"/>
      <c r="E26" s="255"/>
      <c r="F26" s="256"/>
      <c r="G26" s="258"/>
      <c r="H26" s="220">
        <f t="shared" si="1"/>
        <v>0</v>
      </c>
    </row>
    <row r="27" ht="19.5" customHeight="1">
      <c r="A27" s="249"/>
      <c r="B27" s="251"/>
      <c r="C27" s="253"/>
      <c r="D27" s="253"/>
      <c r="E27" s="255"/>
      <c r="F27" s="256"/>
      <c r="G27" s="258"/>
      <c r="H27" s="220">
        <f t="shared" si="1"/>
        <v>0</v>
      </c>
    </row>
    <row r="28" ht="19.5" customHeight="1">
      <c r="A28" s="249"/>
      <c r="B28" s="251"/>
      <c r="C28" s="253"/>
      <c r="D28" s="253"/>
      <c r="E28" s="255"/>
      <c r="F28" s="256"/>
      <c r="G28" s="258"/>
      <c r="H28" s="220">
        <f t="shared" si="1"/>
        <v>0</v>
      </c>
    </row>
    <row r="29" ht="19.5" customHeight="1">
      <c r="A29" s="249"/>
      <c r="B29" s="251"/>
      <c r="C29" s="253"/>
      <c r="D29" s="253"/>
      <c r="E29" s="255"/>
      <c r="F29" s="256"/>
      <c r="G29" s="258"/>
      <c r="H29" s="220">
        <f t="shared" si="1"/>
        <v>0</v>
      </c>
    </row>
    <row r="30" ht="19.5" customHeight="1">
      <c r="A30" s="249"/>
      <c r="B30" s="251"/>
      <c r="C30" s="253"/>
      <c r="D30" s="253"/>
      <c r="E30" s="255"/>
      <c r="F30" s="256"/>
      <c r="G30" s="258"/>
      <c r="H30" s="220">
        <f t="shared" si="1"/>
        <v>0</v>
      </c>
    </row>
    <row r="31" ht="19.5" customHeight="1">
      <c r="A31" s="249"/>
      <c r="B31" s="251"/>
      <c r="C31" s="253"/>
      <c r="D31" s="255"/>
      <c r="E31" s="253"/>
      <c r="F31" s="256"/>
      <c r="G31" s="258"/>
      <c r="H31" s="220">
        <f t="shared" si="1"/>
        <v>0</v>
      </c>
    </row>
    <row r="32" ht="19.5" customHeight="1">
      <c r="A32" s="249"/>
      <c r="B32" s="251"/>
      <c r="C32" s="253"/>
      <c r="D32" s="255"/>
      <c r="E32" s="255"/>
      <c r="F32" s="256"/>
      <c r="G32" s="258"/>
      <c r="H32" s="220">
        <f t="shared" si="1"/>
        <v>0</v>
      </c>
    </row>
    <row r="33" ht="19.5" customHeight="1">
      <c r="A33" s="249"/>
      <c r="B33" s="251"/>
      <c r="C33" s="253"/>
      <c r="D33" s="255"/>
      <c r="E33" s="255"/>
      <c r="F33" s="256"/>
      <c r="G33" s="258"/>
      <c r="H33" s="220">
        <f t="shared" si="1"/>
        <v>0</v>
      </c>
    </row>
    <row r="34" ht="19.5" customHeight="1">
      <c r="A34" s="249"/>
      <c r="B34" s="251"/>
      <c r="C34" s="253"/>
      <c r="D34" s="255"/>
      <c r="E34" s="255"/>
      <c r="F34" s="256"/>
      <c r="G34" s="258"/>
      <c r="H34" s="220">
        <f t="shared" si="1"/>
        <v>0</v>
      </c>
    </row>
    <row r="35" ht="19.5" customHeight="1">
      <c r="A35" s="249"/>
      <c r="B35" s="251"/>
      <c r="C35" s="253"/>
      <c r="D35" s="255"/>
      <c r="E35" s="255"/>
      <c r="F35" s="256"/>
      <c r="G35" s="258"/>
      <c r="H35" s="220">
        <f t="shared" si="1"/>
        <v>0</v>
      </c>
    </row>
    <row r="36" ht="19.5" customHeight="1">
      <c r="A36" s="272"/>
      <c r="B36" s="273"/>
      <c r="C36" s="274"/>
      <c r="D36" s="7"/>
      <c r="E36" s="9"/>
      <c r="F36" s="275"/>
      <c r="G36" s="275"/>
      <c r="H36" s="220">
        <f t="shared" si="1"/>
        <v>0</v>
      </c>
    </row>
    <row r="37" ht="27.75" customHeight="1">
      <c r="A37" s="276" t="s">
        <v>225</v>
      </c>
      <c r="B37" s="235"/>
      <c r="C37" s="235"/>
      <c r="D37" s="235"/>
      <c r="E37" s="236"/>
      <c r="F37" s="271">
        <f>SUM(F9:F35)</f>
        <v>0</v>
      </c>
      <c r="G37" s="271">
        <f>SUM(G9:G36)</f>
        <v>0</v>
      </c>
      <c r="H37" s="277">
        <f>+F37-G37</f>
        <v>0</v>
      </c>
    </row>
    <row r="38" ht="14.25" customHeight="1">
      <c r="A38" s="278"/>
      <c r="B38" s="278"/>
      <c r="C38" s="278"/>
      <c r="D38" s="278"/>
      <c r="E38" s="278"/>
      <c r="F38" s="278"/>
      <c r="G38" s="278"/>
      <c r="H38" s="278"/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5:H5"/>
    <mergeCell ref="A6:H6"/>
    <mergeCell ref="B7:F7"/>
    <mergeCell ref="G7:H7"/>
    <mergeCell ref="C36:E36"/>
    <mergeCell ref="A37:E37"/>
  </mergeCells>
  <printOptions/>
  <pageMargins bottom="0.7480314960629921" footer="0.0" header="0.0" left="0.7086614173228347" right="0.7086614173228347" top="0.7480314960629921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2025-04-07T14:37:02Z</dcterms:created>
  <dc:creator>Notebook HP</dc:creator>
</cp:coreProperties>
</file>