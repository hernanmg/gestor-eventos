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MAYRA 2024\MAYRA - ENP_DOS57\CUENTAS CORRIENTES ESPECIALES\"/>
    </mc:Choice>
  </mc:AlternateContent>
  <bookViews>
    <workbookView xWindow="0" yWindow="0" windowWidth="25596" windowHeight="19020" tabRatio="500" firstSheet="2" activeTab="4"/>
  </bookViews>
  <sheets>
    <sheet name="MARZO 2024" sheetId="5" r:id="rId1"/>
    <sheet name="ABRIL 2024" sheetId="8" r:id="rId2"/>
    <sheet name="MAYO 2024" sheetId="9" r:id="rId3"/>
    <sheet name="JUNIO 2024" sheetId="10" r:id="rId4"/>
    <sheet name="CONCILIACIÓN VALLAS 2024" sheetId="12" r:id="rId5"/>
  </sheets>
  <definedNames>
    <definedName name="_xlnm._FilterDatabase" localSheetId="1" hidden="1">'ABRIL 2024'!$A$2:$H$8</definedName>
    <definedName name="_xlnm._FilterDatabase" localSheetId="3" hidden="1">'JUNIO 2024'!$A$2:$H$8</definedName>
    <definedName name="_xlnm._FilterDatabase" localSheetId="0" hidden="1">'MARZO 2024'!$A$2:$H$8</definedName>
    <definedName name="_xlnm._FilterDatabase" localSheetId="2" hidden="1">'MAYO 2024'!$A$2:$H$9</definedName>
  </definedNames>
  <calcPr calcId="162913"/>
</workbook>
</file>

<file path=xl/calcChain.xml><?xml version="1.0" encoding="utf-8"?>
<calcChain xmlns="http://schemas.openxmlformats.org/spreadsheetml/2006/main">
  <c r="E7" i="12" l="1"/>
  <c r="E8" i="12" s="1"/>
  <c r="E9" i="12" s="1"/>
  <c r="E10" i="12" s="1"/>
  <c r="E11" i="12" s="1"/>
  <c r="E12" i="12" s="1"/>
  <c r="E13" i="12" s="1"/>
  <c r="E14" i="12" s="1"/>
  <c r="E15" i="12" s="1"/>
  <c r="E16" i="12" s="1"/>
  <c r="E17" i="12" s="1"/>
  <c r="E18" i="12" s="1"/>
  <c r="E19" i="12" s="1"/>
  <c r="E20" i="12" s="1"/>
  <c r="E21" i="12" s="1"/>
  <c r="E22" i="12" s="1"/>
  <c r="E23" i="12" s="1"/>
  <c r="E24" i="12" s="1"/>
  <c r="E25" i="12" s="1"/>
  <c r="E26" i="12" s="1"/>
  <c r="E27" i="12" s="1"/>
  <c r="E28" i="12" s="1"/>
  <c r="E29" i="12" s="1"/>
  <c r="E30" i="12" s="1"/>
  <c r="E31" i="12" s="1"/>
  <c r="E32" i="12" s="1"/>
  <c r="E33" i="12" s="1"/>
  <c r="E34" i="12" s="1"/>
  <c r="E35" i="12" s="1"/>
  <c r="E36" i="12" s="1"/>
  <c r="E37" i="12" s="1"/>
  <c r="E38" i="12" s="1"/>
  <c r="E39" i="12" s="1"/>
  <c r="E40" i="12" s="1"/>
  <c r="E41" i="12" s="1"/>
  <c r="E42" i="12" s="1"/>
  <c r="E43" i="12" s="1"/>
  <c r="E44" i="12" s="1"/>
  <c r="E45" i="12" s="1"/>
  <c r="E46" i="12" s="1"/>
  <c r="G9" i="9" l="1"/>
  <c r="G8" i="9"/>
  <c r="G7" i="8"/>
  <c r="G5" i="9"/>
  <c r="G4" i="9"/>
  <c r="G7" i="9"/>
  <c r="G10" i="5" l="1"/>
  <c r="G7" i="10" l="1"/>
  <c r="G3" i="10"/>
  <c r="G4" i="10" s="1"/>
  <c r="G5" i="10" s="1"/>
  <c r="G6" i="10" s="1"/>
  <c r="G8" i="10" s="1"/>
  <c r="G9" i="10" s="1"/>
  <c r="G3" i="9"/>
  <c r="G6" i="9" s="1"/>
  <c r="G3" i="8"/>
  <c r="G4" i="8" s="1"/>
  <c r="G5" i="8" s="1"/>
  <c r="G6" i="8" s="1"/>
  <c r="G7" i="5"/>
  <c r="G4" i="5"/>
  <c r="G5" i="5" s="1"/>
  <c r="G6" i="5" s="1"/>
  <c r="G8" i="5" s="1"/>
  <c r="G3" i="5"/>
  <c r="G8" i="8" l="1"/>
</calcChain>
</file>

<file path=xl/sharedStrings.xml><?xml version="1.0" encoding="utf-8"?>
<sst xmlns="http://schemas.openxmlformats.org/spreadsheetml/2006/main" count="165" uniqueCount="91">
  <si>
    <t>Observaciones</t>
  </si>
  <si>
    <t>FECHA</t>
  </si>
  <si>
    <t>ÍTEM</t>
  </si>
  <si>
    <t>OPERATIVO</t>
  </si>
  <si>
    <t>CANTIDAD DE VALLAS</t>
  </si>
  <si>
    <t>RESPONSABLE OPERATIVO</t>
  </si>
  <si>
    <t>PRECIO UNITARIO</t>
  </si>
  <si>
    <t>MONTO ACUMULADO</t>
  </si>
  <si>
    <t>FINAL IVA INCLUIDO</t>
  </si>
  <si>
    <t>LAS HERAS</t>
  </si>
  <si>
    <t>SAN VICENTE - LAS HERAS - LIBERTADOR</t>
  </si>
  <si>
    <t>VALLAS FALTANTES MARZO 2024</t>
  </si>
  <si>
    <t xml:space="preserve">ACUMULADO </t>
  </si>
  <si>
    <t>VALLAS ABRIL 2024</t>
  </si>
  <si>
    <t>VALLAS FALTANTES ABRIL 2024</t>
  </si>
  <si>
    <t>VALLAS MAYO 2024</t>
  </si>
  <si>
    <t>OBSERVACIONES</t>
  </si>
  <si>
    <t>VALLAS FALTANTES MAYO 2024</t>
  </si>
  <si>
    <t>VALLAS JUNIO 2024</t>
  </si>
  <si>
    <t>VALLAS FALTANTES JUNIO 2024</t>
  </si>
  <si>
    <t>FREGUGLIA - VALLAS MARZO 2024</t>
  </si>
  <si>
    <t>JONA</t>
  </si>
  <si>
    <t>Sin Novedades</t>
  </si>
  <si>
    <t>1 Valla rota Las Heras</t>
  </si>
  <si>
    <t>1 Valla pérdida San Vicente</t>
  </si>
  <si>
    <t>1 Valla pérdida Villa El Libertador</t>
  </si>
  <si>
    <t>1 Valla rota Las Heras + 1 Valla pérdida Villa El Libertador</t>
  </si>
  <si>
    <t>Sin Novedades / Suspendidas Las Ferias</t>
  </si>
  <si>
    <t>4 Vallas pérdidas en Villa El Libertador</t>
  </si>
  <si>
    <t>PAGO A CUENTA ENJOY</t>
  </si>
  <si>
    <t>DEBE A DOS57</t>
  </si>
  <si>
    <t>** EN CASO DE FACTURAR RECORDAR + IVA $6.668.000</t>
  </si>
  <si>
    <t>** EN CASO DE FACTURAR RECORDAR + IVA $9.534.900</t>
  </si>
  <si>
    <t>2 Vallas pisadas + 1 Valla chocada en San Vicente</t>
  </si>
  <si>
    <t>** EN CASO DE FACTURAR RECORDAR + IVA $14.214.393,60</t>
  </si>
  <si>
    <t>MES</t>
  </si>
  <si>
    <t>MARZO</t>
  </si>
  <si>
    <t xml:space="preserve">DETALLE DE FACTURAS Y PAGOS </t>
  </si>
  <si>
    <t>DETALLE</t>
  </si>
  <si>
    <t>DEBE</t>
  </si>
  <si>
    <t>HABER</t>
  </si>
  <si>
    <t>SALDO</t>
  </si>
  <si>
    <t>CUOTA 7 - LEASING 09/22</t>
  </si>
  <si>
    <t>SI</t>
  </si>
  <si>
    <t>CUOTA 2 - LEASING 16/22</t>
  </si>
  <si>
    <t>COMPRA DE MARTILLOS</t>
  </si>
  <si>
    <t>CUOTA 8 - LEASING 09/22</t>
  </si>
  <si>
    <t>CUOTA 3 - LEASING 16/22</t>
  </si>
  <si>
    <t xml:space="preserve">ALQUILER MATERIAL ENERO </t>
  </si>
  <si>
    <t>CUOTA 9 - LEASING 09/22</t>
  </si>
  <si>
    <t>CUOTA 4 - LEASING 16/22</t>
  </si>
  <si>
    <t>ALQUILER MATERIAL FEBRERO</t>
  </si>
  <si>
    <t>ALQUILER MATERIAL MARZO</t>
  </si>
  <si>
    <t>CUOTA 10 - LEASING 09/22</t>
  </si>
  <si>
    <t>CUOTA 5 - LEASING 16/22</t>
  </si>
  <si>
    <t>AL 30/04/2023</t>
  </si>
  <si>
    <t>PAGADO 4 ECHEQS</t>
  </si>
  <si>
    <t>AL 15/05/2023</t>
  </si>
  <si>
    <t>AL 05/06/2023</t>
  </si>
  <si>
    <t>AL 20/06/2023</t>
  </si>
  <si>
    <t>DEUDA PENDIENTE</t>
  </si>
  <si>
    <t>RESUMEN CUENTA FREGUGLIA / DOS57</t>
  </si>
  <si>
    <t>1/2 FERIA</t>
  </si>
  <si>
    <t>3 FERIAS COMPLETAS</t>
  </si>
  <si>
    <t>3 VALLAS PERDIDAS</t>
  </si>
  <si>
    <t>ABRIL</t>
  </si>
  <si>
    <t>6 VALLAS PERDIDAS</t>
  </si>
  <si>
    <t>MAYO</t>
  </si>
  <si>
    <t>5 FERIAS COMPLETAS</t>
  </si>
  <si>
    <t>A CUENTA ENJOY</t>
  </si>
  <si>
    <t>AL 21/06/2024</t>
  </si>
  <si>
    <t>AL 14/07/2024</t>
  </si>
  <si>
    <t>AL 19/07/2024</t>
  </si>
  <si>
    <t>PAGADO 3 ECHEQS</t>
  </si>
  <si>
    <t>FREGUGLIA</t>
  </si>
  <si>
    <t>JUNIO</t>
  </si>
  <si>
    <t>4 FERIAS</t>
  </si>
  <si>
    <t>A ENVIAR</t>
  </si>
  <si>
    <t>IVA 3 ECHEQS - RETENCIONES</t>
  </si>
  <si>
    <t>JULIO</t>
  </si>
  <si>
    <t>AL 20/07/2024</t>
  </si>
  <si>
    <t>AL 30/07/2024</t>
  </si>
  <si>
    <t>AL 13/08/2024</t>
  </si>
  <si>
    <t>AL 20/08/2024</t>
  </si>
  <si>
    <t>AL 09/09/2024</t>
  </si>
  <si>
    <t>AL 20/09/2024</t>
  </si>
  <si>
    <t>AL 30/7/2024</t>
  </si>
  <si>
    <t>AL 17/10/2024</t>
  </si>
  <si>
    <t>PAGADO 8 ECHEQS</t>
  </si>
  <si>
    <t>Descontaron Retenciones por $76.368,48</t>
  </si>
  <si>
    <t>La diferencia es por un importe mal cargado por ellos, ya se lo reclame pero no me lo entiende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</si>
</sst>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_ &quot;$&quot;\ * #,##0.00_ ;_ &quot;$&quot;\ * \-#,##0.00_ ;_ &quot;$&quot;\ * &quot;-&quot;??_ ;_ @_ "/>
  </numFmts>
  <fonts count="10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4">
    <xf numFmtId="0" fontId="0" fillId="0" borderId="0"/>
    <xf numFmtId="44" fontId="4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</cellStyleXfs>
  <cellXfs count="105">
    <xf numFmtId="0" fontId="0" fillId="0" borderId="0" xfId="0" applyFont="1" applyFill="1" applyBorder="1"/>
    <xf numFmtId="44" fontId="0" fillId="0" borderId="0" xfId="1" applyFont="1" applyFill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ont="1" applyFill="1" applyBorder="1" applyAlignment="1">
      <alignment horizontal="center"/>
    </xf>
    <xf numFmtId="14" fontId="0" fillId="0" borderId="0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14" fontId="0" fillId="0" borderId="4" xfId="0" applyNumberFormat="1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44" fontId="0" fillId="0" borderId="4" xfId="1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14" fontId="0" fillId="0" borderId="7" xfId="0" applyNumberFormat="1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44" fontId="0" fillId="0" borderId="7" xfId="1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/>
    </xf>
    <xf numFmtId="8" fontId="0" fillId="0" borderId="8" xfId="0" applyNumberFormat="1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44" fontId="0" fillId="0" borderId="10" xfId="1" applyFont="1" applyFill="1" applyBorder="1" applyAlignment="1">
      <alignment horizontal="center" vertical="center"/>
    </xf>
    <xf numFmtId="8" fontId="0" fillId="0" borderId="11" xfId="0" applyNumberFormat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/>
    </xf>
    <xf numFmtId="14" fontId="0" fillId="0" borderId="2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44" fontId="6" fillId="3" borderId="1" xfId="0" applyNumberFormat="1" applyFont="1" applyFill="1" applyBorder="1" applyAlignment="1">
      <alignment horizontal="center" vertical="center"/>
    </xf>
    <xf numFmtId="44" fontId="6" fillId="4" borderId="1" xfId="0" applyNumberFormat="1" applyFont="1" applyFill="1" applyBorder="1" applyAlignment="1">
      <alignment horizontal="center" vertical="center"/>
    </xf>
    <xf numFmtId="0" fontId="0" fillId="0" borderId="12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14" fontId="4" fillId="0" borderId="4" xfId="0" applyNumberFormat="1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/>
    </xf>
    <xf numFmtId="14" fontId="0" fillId="0" borderId="17" xfId="0" applyNumberFormat="1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horizontal="center" vertical="center"/>
    </xf>
    <xf numFmtId="0" fontId="0" fillId="0" borderId="18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44" fontId="0" fillId="0" borderId="12" xfId="1" applyFont="1" applyFill="1" applyBorder="1" applyAlignment="1">
      <alignment horizontal="center" vertical="center"/>
    </xf>
    <xf numFmtId="44" fontId="0" fillId="0" borderId="0" xfId="0" applyNumberFormat="1" applyFont="1" applyFill="1" applyBorder="1" applyAlignment="1">
      <alignment horizontal="center"/>
    </xf>
    <xf numFmtId="0" fontId="3" fillId="0" borderId="0" xfId="2"/>
    <xf numFmtId="0" fontId="8" fillId="6" borderId="20" xfId="2" applyFont="1" applyFill="1" applyBorder="1" applyAlignment="1">
      <alignment horizontal="center" vertical="center"/>
    </xf>
    <xf numFmtId="0" fontId="8" fillId="6" borderId="21" xfId="2" applyFont="1" applyFill="1" applyBorder="1" applyAlignment="1">
      <alignment horizontal="center" vertical="center"/>
    </xf>
    <xf numFmtId="0" fontId="8" fillId="6" borderId="22" xfId="2" applyFont="1" applyFill="1" applyBorder="1" applyAlignment="1">
      <alignment horizontal="center" vertical="center"/>
    </xf>
    <xf numFmtId="0" fontId="8" fillId="6" borderId="23" xfId="2" applyFont="1" applyFill="1" applyBorder="1" applyAlignment="1">
      <alignment horizontal="center" vertical="center"/>
    </xf>
    <xf numFmtId="0" fontId="8" fillId="0" borderId="24" xfId="2" applyFont="1" applyBorder="1" applyAlignment="1">
      <alignment horizontal="center" vertical="center"/>
    </xf>
    <xf numFmtId="0" fontId="8" fillId="0" borderId="0" xfId="2" applyFont="1" applyBorder="1" applyAlignment="1">
      <alignment horizontal="center" vertical="center"/>
    </xf>
    <xf numFmtId="0" fontId="8" fillId="0" borderId="25" xfId="2" applyFont="1" applyBorder="1" applyAlignment="1">
      <alignment horizontal="center" vertical="center"/>
    </xf>
    <xf numFmtId="14" fontId="3" fillId="0" borderId="6" xfId="2" applyNumberFormat="1" applyBorder="1" applyAlignment="1">
      <alignment horizontal="center" vertical="center"/>
    </xf>
    <xf numFmtId="0" fontId="3" fillId="0" borderId="7" xfId="2" applyBorder="1" applyAlignment="1">
      <alignment horizontal="center"/>
    </xf>
    <xf numFmtId="164" fontId="3" fillId="0" borderId="7" xfId="3" applyFont="1" applyBorder="1" applyAlignment="1">
      <alignment horizontal="center"/>
    </xf>
    <xf numFmtId="0" fontId="3" fillId="0" borderId="8" xfId="2" applyBorder="1" applyAlignment="1">
      <alignment horizontal="center"/>
    </xf>
    <xf numFmtId="0" fontId="3" fillId="0" borderId="0" xfId="2" applyAlignment="1">
      <alignment horizontal="center"/>
    </xf>
    <xf numFmtId="14" fontId="3" fillId="6" borderId="6" xfId="2" applyNumberFormat="1" applyFill="1" applyBorder="1" applyAlignment="1">
      <alignment horizontal="center" vertical="center"/>
    </xf>
    <xf numFmtId="0" fontId="3" fillId="6" borderId="7" xfId="2" applyFill="1" applyBorder="1" applyAlignment="1">
      <alignment horizontal="center"/>
    </xf>
    <xf numFmtId="164" fontId="3" fillId="6" borderId="7" xfId="3" applyFont="1" applyFill="1" applyBorder="1" applyAlignment="1">
      <alignment horizontal="center"/>
    </xf>
    <xf numFmtId="14" fontId="3" fillId="6" borderId="7" xfId="2" applyNumberFormat="1" applyFill="1" applyBorder="1" applyAlignment="1">
      <alignment horizontal="center"/>
    </xf>
    <xf numFmtId="164" fontId="3" fillId="6" borderId="17" xfId="3" applyFont="1" applyFill="1" applyBorder="1" applyAlignment="1">
      <alignment horizontal="center"/>
    </xf>
    <xf numFmtId="14" fontId="3" fillId="6" borderId="16" xfId="2" applyNumberFormat="1" applyFill="1" applyBorder="1" applyAlignment="1">
      <alignment horizontal="center" vertical="center"/>
    </xf>
    <xf numFmtId="0" fontId="3" fillId="6" borderId="17" xfId="2" applyFill="1" applyBorder="1" applyAlignment="1">
      <alignment horizontal="center"/>
    </xf>
    <xf numFmtId="0" fontId="3" fillId="0" borderId="4" xfId="2" applyBorder="1" applyAlignment="1">
      <alignment horizontal="center"/>
    </xf>
    <xf numFmtId="164" fontId="3" fillId="0" borderId="4" xfId="3" applyFont="1" applyBorder="1" applyAlignment="1">
      <alignment horizontal="center"/>
    </xf>
    <xf numFmtId="0" fontId="3" fillId="0" borderId="5" xfId="2" applyBorder="1" applyAlignment="1">
      <alignment horizontal="center"/>
    </xf>
    <xf numFmtId="0" fontId="3" fillId="0" borderId="10" xfId="2" applyBorder="1" applyAlignment="1">
      <alignment horizontal="center"/>
    </xf>
    <xf numFmtId="164" fontId="3" fillId="0" borderId="10" xfId="3" applyFont="1" applyBorder="1" applyAlignment="1">
      <alignment horizontal="center"/>
    </xf>
    <xf numFmtId="0" fontId="3" fillId="0" borderId="11" xfId="2" applyBorder="1" applyAlignment="1">
      <alignment horizontal="center"/>
    </xf>
    <xf numFmtId="14" fontId="3" fillId="6" borderId="28" xfId="2" applyNumberFormat="1" applyFill="1" applyBorder="1" applyAlignment="1">
      <alignment horizontal="center" vertical="center"/>
    </xf>
    <xf numFmtId="0" fontId="3" fillId="6" borderId="12" xfId="2" applyFill="1" applyBorder="1" applyAlignment="1">
      <alignment horizontal="center"/>
    </xf>
    <xf numFmtId="164" fontId="3" fillId="6" borderId="12" xfId="3" applyFont="1" applyFill="1" applyBorder="1" applyAlignment="1">
      <alignment horizontal="center"/>
    </xf>
    <xf numFmtId="14" fontId="2" fillId="0" borderId="20" xfId="2" applyNumberFormat="1" applyFont="1" applyBorder="1" applyAlignment="1">
      <alignment horizontal="center" vertical="center"/>
    </xf>
    <xf numFmtId="0" fontId="2" fillId="0" borderId="21" xfId="2" applyFont="1" applyBorder="1" applyAlignment="1">
      <alignment horizontal="center"/>
    </xf>
    <xf numFmtId="164" fontId="3" fillId="0" borderId="21" xfId="3" applyFont="1" applyBorder="1" applyAlignment="1">
      <alignment horizontal="center"/>
    </xf>
    <xf numFmtId="0" fontId="3" fillId="0" borderId="23" xfId="2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14" fontId="0" fillId="0" borderId="10" xfId="0" applyNumberFormat="1" applyFont="1" applyFill="1" applyBorder="1" applyAlignment="1">
      <alignment horizontal="center" vertical="center"/>
    </xf>
    <xf numFmtId="44" fontId="0" fillId="0" borderId="14" xfId="1" applyFont="1" applyFill="1" applyBorder="1" applyAlignment="1">
      <alignment horizontal="center" vertical="center"/>
    </xf>
    <xf numFmtId="44" fontId="0" fillId="0" borderId="15" xfId="1" applyFont="1" applyFill="1" applyBorder="1" applyAlignment="1">
      <alignment horizontal="center" vertical="center"/>
    </xf>
    <xf numFmtId="14" fontId="7" fillId="0" borderId="10" xfId="0" applyNumberFormat="1" applyFont="1" applyFill="1" applyBorder="1" applyAlignment="1">
      <alignment horizontal="right" vertical="center"/>
    </xf>
    <xf numFmtId="14" fontId="0" fillId="0" borderId="10" xfId="0" applyNumberFormat="1" applyFont="1" applyFill="1" applyBorder="1" applyAlignment="1">
      <alignment horizontal="right" vertical="center"/>
    </xf>
    <xf numFmtId="44" fontId="0" fillId="0" borderId="14" xfId="1" applyFont="1" applyFill="1" applyBorder="1" applyAlignment="1">
      <alignment horizontal="center" vertical="center" wrapText="1"/>
    </xf>
    <xf numFmtId="44" fontId="0" fillId="0" borderId="15" xfId="1" applyFont="1" applyFill="1" applyBorder="1" applyAlignment="1">
      <alignment horizontal="center" vertical="center" wrapText="1"/>
    </xf>
    <xf numFmtId="0" fontId="8" fillId="4" borderId="14" xfId="2" applyFont="1" applyFill="1" applyBorder="1" applyAlignment="1">
      <alignment horizontal="center" vertical="center"/>
    </xf>
    <xf numFmtId="0" fontId="8" fillId="4" borderId="19" xfId="2" applyFont="1" applyFill="1" applyBorder="1" applyAlignment="1">
      <alignment horizontal="center" vertical="center"/>
    </xf>
    <xf numFmtId="0" fontId="8" fillId="4" borderId="15" xfId="2" applyFont="1" applyFill="1" applyBorder="1" applyAlignment="1">
      <alignment horizontal="center" vertical="center"/>
    </xf>
    <xf numFmtId="0" fontId="9" fillId="5" borderId="1" xfId="2" applyFont="1" applyFill="1" applyBorder="1" applyAlignment="1">
      <alignment horizontal="center" vertical="center" wrapText="1"/>
    </xf>
    <xf numFmtId="0" fontId="3" fillId="6" borderId="18" xfId="2" applyFill="1" applyBorder="1" applyAlignment="1">
      <alignment horizontal="center" vertical="center"/>
    </xf>
    <xf numFmtId="0" fontId="3" fillId="6" borderId="26" xfId="2" applyFill="1" applyBorder="1" applyAlignment="1">
      <alignment horizontal="center" vertical="center"/>
    </xf>
    <xf numFmtId="14" fontId="3" fillId="0" borderId="29" xfId="2" applyNumberFormat="1" applyBorder="1" applyAlignment="1">
      <alignment horizontal="center" vertical="center"/>
    </xf>
    <xf numFmtId="14" fontId="3" fillId="0" borderId="27" xfId="2" applyNumberFormat="1" applyBorder="1" applyAlignment="1">
      <alignment horizontal="center" vertical="center"/>
    </xf>
    <xf numFmtId="14" fontId="3" fillId="0" borderId="30" xfId="2" applyNumberFormat="1" applyBorder="1" applyAlignment="1">
      <alignment horizontal="center" vertical="center"/>
    </xf>
    <xf numFmtId="14" fontId="8" fillId="7" borderId="30" xfId="2" applyNumberFormat="1" applyFont="1" applyFill="1" applyBorder="1" applyAlignment="1">
      <alignment horizontal="right" vertical="center"/>
    </xf>
    <xf numFmtId="14" fontId="8" fillId="7" borderId="31" xfId="2" applyNumberFormat="1" applyFont="1" applyFill="1" applyBorder="1" applyAlignment="1">
      <alignment horizontal="right" vertical="center"/>
    </xf>
    <xf numFmtId="164" fontId="3" fillId="7" borderId="31" xfId="3" applyFont="1" applyFill="1" applyBorder="1" applyAlignment="1">
      <alignment horizontal="center"/>
    </xf>
    <xf numFmtId="14" fontId="3" fillId="6" borderId="3" xfId="2" applyNumberFormat="1" applyFill="1" applyBorder="1" applyAlignment="1">
      <alignment horizontal="center" vertical="center"/>
    </xf>
    <xf numFmtId="164" fontId="3" fillId="6" borderId="4" xfId="3" applyFont="1" applyFill="1" applyBorder="1" applyAlignment="1">
      <alignment horizontal="center"/>
    </xf>
    <xf numFmtId="14" fontId="3" fillId="6" borderId="9" xfId="2" applyNumberFormat="1" applyFill="1" applyBorder="1" applyAlignment="1">
      <alignment horizontal="center" vertical="center"/>
    </xf>
    <xf numFmtId="164" fontId="3" fillId="6" borderId="10" xfId="3" applyFont="1" applyFill="1" applyBorder="1" applyAlignment="1">
      <alignment horizontal="center"/>
    </xf>
    <xf numFmtId="0" fontId="1" fillId="6" borderId="4" xfId="2" applyFont="1" applyFill="1" applyBorder="1" applyAlignment="1">
      <alignment horizontal="center"/>
    </xf>
    <xf numFmtId="0" fontId="1" fillId="6" borderId="7" xfId="2" applyFont="1" applyFill="1" applyBorder="1" applyAlignment="1">
      <alignment horizontal="center"/>
    </xf>
    <xf numFmtId="14" fontId="1" fillId="6" borderId="7" xfId="2" applyNumberFormat="1" applyFont="1" applyFill="1" applyBorder="1" applyAlignment="1">
      <alignment horizontal="center"/>
    </xf>
    <xf numFmtId="0" fontId="3" fillId="6" borderId="33" xfId="2" applyFill="1" applyBorder="1" applyAlignment="1">
      <alignment horizontal="center" vertical="center"/>
    </xf>
    <xf numFmtId="14" fontId="1" fillId="6" borderId="10" xfId="2" applyNumberFormat="1" applyFont="1" applyFill="1" applyBorder="1" applyAlignment="1">
      <alignment horizontal="center"/>
    </xf>
    <xf numFmtId="0" fontId="1" fillId="6" borderId="32" xfId="2" applyFont="1" applyFill="1" applyBorder="1" applyAlignment="1">
      <alignment horizontal="center" vertical="center"/>
    </xf>
    <xf numFmtId="0" fontId="1" fillId="0" borderId="23" xfId="2" applyFont="1" applyBorder="1" applyAlignment="1">
      <alignment horizontal="center"/>
    </xf>
    <xf numFmtId="164" fontId="8" fillId="7" borderId="31" xfId="3" applyFont="1" applyFill="1" applyBorder="1" applyAlignment="1">
      <alignment horizontal="center" wrapText="1"/>
    </xf>
  </cellXfs>
  <cellStyles count="4">
    <cellStyle name="Moneda" xfId="1" builtinId="4"/>
    <cellStyle name="Moneda 2" xfId="3"/>
    <cellStyle name="Normal" xfId="0" builtinId="0"/>
    <cellStyle name="Normal 2" xfId="2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zoomScale="90" zoomScaleNormal="90" workbookViewId="0">
      <selection activeCell="G8" sqref="G8"/>
    </sheetView>
  </sheetViews>
  <sheetFormatPr baseColWidth="10" defaultRowHeight="14.4"/>
  <cols>
    <col min="1" max="1" width="11.5546875" style="4"/>
    <col min="2" max="2" width="15.77734375" style="5" customWidth="1"/>
    <col min="3" max="3" width="40.109375" style="4" bestFit="1" customWidth="1"/>
    <col min="4" max="4" width="25.21875" style="4" bestFit="1" customWidth="1"/>
    <col min="5" max="5" width="25.21875" style="4" customWidth="1"/>
    <col min="6" max="6" width="23.109375" bestFit="1" customWidth="1"/>
    <col min="7" max="7" width="25.6640625" bestFit="1" customWidth="1"/>
    <col min="8" max="8" width="57.6640625" style="4" customWidth="1"/>
  </cols>
  <sheetData>
    <row r="1" spans="1:8" s="2" customFormat="1" ht="30" customHeight="1" thickBot="1">
      <c r="A1" s="73" t="s">
        <v>20</v>
      </c>
      <c r="B1" s="73"/>
      <c r="C1" s="73"/>
      <c r="D1" s="73"/>
      <c r="E1" s="73"/>
      <c r="F1" s="73"/>
      <c r="G1" s="73"/>
      <c r="H1" s="73"/>
    </row>
    <row r="2" spans="1:8" s="3" customFormat="1" ht="27" customHeight="1" thickBot="1">
      <c r="A2" s="6" t="s">
        <v>2</v>
      </c>
      <c r="B2" s="7" t="s">
        <v>1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0</v>
      </c>
    </row>
    <row r="3" spans="1:8" ht="25.05" customHeight="1">
      <c r="A3" s="8">
        <v>1</v>
      </c>
      <c r="B3" s="9">
        <v>45359</v>
      </c>
      <c r="C3" s="10" t="s">
        <v>9</v>
      </c>
      <c r="D3" s="10">
        <v>300</v>
      </c>
      <c r="E3" s="10" t="s">
        <v>21</v>
      </c>
      <c r="F3" s="11">
        <v>750000</v>
      </c>
      <c r="G3" s="11">
        <f>+F3</f>
        <v>750000</v>
      </c>
      <c r="H3" s="12" t="s">
        <v>22</v>
      </c>
    </row>
    <row r="4" spans="1:8" ht="25.05" customHeight="1">
      <c r="A4" s="13">
        <v>2</v>
      </c>
      <c r="B4" s="14">
        <v>45366</v>
      </c>
      <c r="C4" s="15" t="s">
        <v>10</v>
      </c>
      <c r="D4" s="15">
        <v>300</v>
      </c>
      <c r="E4" s="15" t="s">
        <v>21</v>
      </c>
      <c r="F4" s="16">
        <v>2300000</v>
      </c>
      <c r="G4" s="16">
        <f>+G3+F4</f>
        <v>3050000</v>
      </c>
      <c r="H4" s="17" t="s">
        <v>23</v>
      </c>
    </row>
    <row r="5" spans="1:8" ht="25.05" customHeight="1">
      <c r="A5" s="13">
        <v>3</v>
      </c>
      <c r="B5" s="14">
        <v>45373</v>
      </c>
      <c r="C5" s="15" t="s">
        <v>10</v>
      </c>
      <c r="D5" s="15">
        <v>300</v>
      </c>
      <c r="E5" s="15" t="s">
        <v>21</v>
      </c>
      <c r="F5" s="16">
        <v>2300000</v>
      </c>
      <c r="G5" s="16">
        <f t="shared" ref="G5:G6" si="0">+G4+F5</f>
        <v>5350000</v>
      </c>
      <c r="H5" s="18" t="s">
        <v>24</v>
      </c>
    </row>
    <row r="6" spans="1:8" ht="25.05" customHeight="1">
      <c r="A6" s="13">
        <v>4</v>
      </c>
      <c r="B6" s="14">
        <v>45380</v>
      </c>
      <c r="C6" s="15" t="s">
        <v>10</v>
      </c>
      <c r="D6" s="15">
        <v>300</v>
      </c>
      <c r="E6" s="15" t="s">
        <v>21</v>
      </c>
      <c r="F6" s="16">
        <v>2300000</v>
      </c>
      <c r="G6" s="16">
        <f t="shared" si="0"/>
        <v>7650000</v>
      </c>
      <c r="H6" s="17" t="s">
        <v>25</v>
      </c>
    </row>
    <row r="7" spans="1:8" ht="25.05" customHeight="1" thickBot="1">
      <c r="A7" s="19">
        <v>5</v>
      </c>
      <c r="B7" s="74" t="s">
        <v>11</v>
      </c>
      <c r="C7" s="74"/>
      <c r="D7" s="20">
        <v>3</v>
      </c>
      <c r="E7" s="20"/>
      <c r="F7" s="21">
        <v>90000</v>
      </c>
      <c r="G7" s="21">
        <f>+F7*D7</f>
        <v>270000</v>
      </c>
      <c r="H7" s="22"/>
    </row>
    <row r="8" spans="1:8" ht="30" customHeight="1" thickBot="1">
      <c r="A8" s="23"/>
      <c r="B8" s="24"/>
      <c r="C8" s="23"/>
      <c r="D8" s="23"/>
      <c r="E8" s="23"/>
      <c r="F8" s="26" t="s">
        <v>12</v>
      </c>
      <c r="G8" s="26">
        <f>+G6+G7</f>
        <v>7920000</v>
      </c>
      <c r="H8" s="23"/>
    </row>
    <row r="9" spans="1:8" ht="30" customHeight="1" thickBot="1">
      <c r="F9" s="26" t="s">
        <v>29</v>
      </c>
      <c r="G9" s="26">
        <v>1252000</v>
      </c>
    </row>
    <row r="10" spans="1:8" ht="30" customHeight="1" thickBot="1">
      <c r="F10" s="27" t="s">
        <v>30</v>
      </c>
      <c r="G10" s="27">
        <f>+G8-G9</f>
        <v>6668000</v>
      </c>
    </row>
    <row r="11" spans="1:8" ht="30" customHeight="1" thickBot="1">
      <c r="F11" s="75" t="s">
        <v>31</v>
      </c>
      <c r="G11" s="76"/>
    </row>
    <row r="12" spans="1:8" ht="19.95" customHeight="1">
      <c r="F12" s="1"/>
      <c r="G12" s="1"/>
    </row>
    <row r="13" spans="1:8" ht="19.95" customHeight="1">
      <c r="F13" s="1"/>
      <c r="G13" s="1"/>
    </row>
    <row r="14" spans="1:8" ht="19.95" customHeight="1">
      <c r="F14" s="1"/>
      <c r="G14" s="1"/>
    </row>
    <row r="15" spans="1:8" ht="19.95" customHeight="1">
      <c r="F15" s="1"/>
      <c r="G15" s="1"/>
    </row>
    <row r="16" spans="1:8" ht="19.95" customHeight="1">
      <c r="F16" s="1"/>
      <c r="G16" s="1"/>
    </row>
    <row r="17" spans="6:7">
      <c r="F17" s="1"/>
      <c r="G17" s="1"/>
    </row>
  </sheetData>
  <mergeCells count="3">
    <mergeCell ref="A1:H1"/>
    <mergeCell ref="B7:C7"/>
    <mergeCell ref="F11:G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zoomScale="90" zoomScaleNormal="90" workbookViewId="0">
      <selection activeCell="G8" sqref="G8"/>
    </sheetView>
  </sheetViews>
  <sheetFormatPr baseColWidth="10" defaultRowHeight="14.4"/>
  <cols>
    <col min="1" max="1" width="11.5546875" style="4"/>
    <col min="2" max="2" width="15.77734375" style="5" customWidth="1"/>
    <col min="3" max="3" width="40.109375" style="4" bestFit="1" customWidth="1"/>
    <col min="4" max="4" width="25.21875" style="4" bestFit="1" customWidth="1"/>
    <col min="5" max="5" width="25.21875" style="4" customWidth="1"/>
    <col min="6" max="6" width="23.109375" customWidth="1"/>
    <col min="7" max="7" width="25.6640625" bestFit="1" customWidth="1"/>
    <col min="8" max="8" width="57.6640625" style="4" customWidth="1"/>
  </cols>
  <sheetData>
    <row r="1" spans="1:8" s="2" customFormat="1" ht="30" customHeight="1" thickBot="1">
      <c r="A1" s="73" t="s">
        <v>13</v>
      </c>
      <c r="B1" s="73"/>
      <c r="C1" s="73"/>
      <c r="D1" s="73"/>
      <c r="E1" s="73"/>
      <c r="F1" s="73"/>
      <c r="G1" s="73"/>
      <c r="H1" s="73"/>
    </row>
    <row r="2" spans="1:8" s="3" customFormat="1" ht="27" customHeight="1" thickBot="1">
      <c r="A2" s="6" t="s">
        <v>2</v>
      </c>
      <c r="B2" s="7" t="s">
        <v>1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16</v>
      </c>
    </row>
    <row r="3" spans="1:8" ht="25.05" customHeight="1">
      <c r="A3" s="8">
        <v>1</v>
      </c>
      <c r="B3" s="9">
        <v>45387</v>
      </c>
      <c r="C3" s="15" t="s">
        <v>10</v>
      </c>
      <c r="D3" s="10">
        <v>300</v>
      </c>
      <c r="E3" s="10" t="s">
        <v>21</v>
      </c>
      <c r="F3" s="11">
        <v>2553000</v>
      </c>
      <c r="G3" s="11">
        <f>+F3</f>
        <v>2553000</v>
      </c>
      <c r="H3" s="12" t="s">
        <v>26</v>
      </c>
    </row>
    <row r="4" spans="1:8" ht="25.05" customHeight="1">
      <c r="A4" s="13">
        <v>2</v>
      </c>
      <c r="B4" s="14">
        <v>45394</v>
      </c>
      <c r="C4" s="35" t="s">
        <v>10</v>
      </c>
      <c r="D4" s="15">
        <v>300</v>
      </c>
      <c r="E4" s="28" t="s">
        <v>21</v>
      </c>
      <c r="F4" s="16">
        <v>1276500</v>
      </c>
      <c r="G4" s="16">
        <f>+G3+F4</f>
        <v>3829500</v>
      </c>
      <c r="H4" s="29" t="s">
        <v>27</v>
      </c>
    </row>
    <row r="5" spans="1:8" ht="25.05" customHeight="1">
      <c r="A5" s="13">
        <v>3</v>
      </c>
      <c r="B5" s="14">
        <v>45401</v>
      </c>
      <c r="C5" s="15" t="s">
        <v>10</v>
      </c>
      <c r="D5" s="15">
        <v>300</v>
      </c>
      <c r="E5" s="28" t="s">
        <v>21</v>
      </c>
      <c r="F5" s="16">
        <v>2553000</v>
      </c>
      <c r="G5" s="16">
        <f t="shared" ref="G5:G6" si="0">+G4+F5</f>
        <v>6382500</v>
      </c>
      <c r="H5" s="18" t="s">
        <v>22</v>
      </c>
    </row>
    <row r="6" spans="1:8" ht="25.05" customHeight="1">
      <c r="A6" s="13">
        <v>4</v>
      </c>
      <c r="B6" s="14">
        <v>45408</v>
      </c>
      <c r="C6" s="15" t="s">
        <v>10</v>
      </c>
      <c r="D6" s="15">
        <v>300</v>
      </c>
      <c r="E6" s="28" t="s">
        <v>21</v>
      </c>
      <c r="F6" s="16">
        <v>2553000</v>
      </c>
      <c r="G6" s="16">
        <f t="shared" si="0"/>
        <v>8935500</v>
      </c>
      <c r="H6" s="17" t="s">
        <v>28</v>
      </c>
    </row>
    <row r="7" spans="1:8" ht="25.05" customHeight="1" thickBot="1">
      <c r="A7" s="19">
        <v>5</v>
      </c>
      <c r="B7" s="77" t="s">
        <v>14</v>
      </c>
      <c r="C7" s="78"/>
      <c r="D7" s="20">
        <v>6</v>
      </c>
      <c r="E7" s="20"/>
      <c r="F7" s="21">
        <v>99900</v>
      </c>
      <c r="G7" s="21">
        <f>+F7*D7</f>
        <v>599400</v>
      </c>
      <c r="H7" s="22"/>
    </row>
    <row r="8" spans="1:8" ht="30" customHeight="1" thickBot="1">
      <c r="A8" s="23"/>
      <c r="B8" s="24"/>
      <c r="C8" s="23"/>
      <c r="D8" s="23"/>
      <c r="E8" s="23"/>
      <c r="F8" s="26" t="s">
        <v>12</v>
      </c>
      <c r="G8" s="26">
        <f>+G6+G7</f>
        <v>9534900</v>
      </c>
      <c r="H8" s="23"/>
    </row>
    <row r="9" spans="1:8" ht="30" customHeight="1" thickBot="1">
      <c r="F9" s="75" t="s">
        <v>32</v>
      </c>
      <c r="G9" s="76"/>
    </row>
    <row r="10" spans="1:8" ht="19.95" customHeight="1">
      <c r="F10" s="1"/>
      <c r="G10" s="1"/>
    </row>
    <row r="11" spans="1:8" ht="19.95" customHeight="1">
      <c r="F11" s="1"/>
      <c r="G11" s="1"/>
    </row>
    <row r="12" spans="1:8" ht="19.95" customHeight="1">
      <c r="F12" s="1"/>
      <c r="G12" s="1"/>
    </row>
    <row r="13" spans="1:8" ht="19.95" customHeight="1">
      <c r="F13" s="1"/>
      <c r="G13" s="1"/>
    </row>
    <row r="14" spans="1:8" ht="19.95" customHeight="1">
      <c r="F14" s="1"/>
      <c r="G14" s="1"/>
    </row>
    <row r="15" spans="1:8" ht="19.95" customHeight="1">
      <c r="F15" s="1"/>
      <c r="G15" s="1"/>
    </row>
    <row r="16" spans="1:8" ht="19.95" customHeight="1">
      <c r="F16" s="1"/>
      <c r="G16" s="1"/>
    </row>
    <row r="17" spans="6:7">
      <c r="F17" s="1"/>
      <c r="G17" s="1"/>
    </row>
  </sheetData>
  <mergeCells count="3">
    <mergeCell ref="A1:H1"/>
    <mergeCell ref="B7:C7"/>
    <mergeCell ref="F9:G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B1" zoomScale="90" zoomScaleNormal="90" workbookViewId="0">
      <selection activeCell="C3" sqref="C3"/>
    </sheetView>
  </sheetViews>
  <sheetFormatPr baseColWidth="10" defaultRowHeight="14.4"/>
  <cols>
    <col min="1" max="1" width="11.5546875" style="4"/>
    <col min="2" max="2" width="15.77734375" style="5" customWidth="1"/>
    <col min="3" max="3" width="40.109375" style="4" bestFit="1" customWidth="1"/>
    <col min="4" max="4" width="25.21875" style="4" bestFit="1" customWidth="1"/>
    <col min="5" max="5" width="24.6640625" style="4" bestFit="1" customWidth="1"/>
    <col min="6" max="6" width="23.109375" customWidth="1"/>
    <col min="7" max="7" width="25.6640625" customWidth="1"/>
    <col min="8" max="8" width="57.6640625" style="4" customWidth="1"/>
  </cols>
  <sheetData>
    <row r="1" spans="1:8" s="2" customFormat="1" ht="30" customHeight="1" thickBot="1">
      <c r="A1" s="73" t="s">
        <v>15</v>
      </c>
      <c r="B1" s="73"/>
      <c r="C1" s="73"/>
      <c r="D1" s="73"/>
      <c r="E1" s="73"/>
      <c r="F1" s="73"/>
      <c r="G1" s="73"/>
      <c r="H1" s="73"/>
    </row>
    <row r="2" spans="1:8" s="3" customFormat="1" ht="27" customHeight="1" thickBot="1">
      <c r="A2" s="6" t="s">
        <v>2</v>
      </c>
      <c r="B2" s="7" t="s">
        <v>1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16</v>
      </c>
    </row>
    <row r="3" spans="1:8" ht="25.05" customHeight="1">
      <c r="A3" s="8">
        <v>1</v>
      </c>
      <c r="B3" s="30">
        <v>45415</v>
      </c>
      <c r="C3" s="36" t="s">
        <v>10</v>
      </c>
      <c r="D3" s="10">
        <v>300</v>
      </c>
      <c r="E3" s="10" t="s">
        <v>21</v>
      </c>
      <c r="F3" s="11">
        <v>2777664</v>
      </c>
      <c r="G3" s="11">
        <f>+F3</f>
        <v>2777664</v>
      </c>
      <c r="H3" s="12"/>
    </row>
    <row r="4" spans="1:8" ht="25.05" customHeight="1">
      <c r="A4" s="13">
        <v>2</v>
      </c>
      <c r="B4" s="14">
        <v>45422</v>
      </c>
      <c r="C4" s="35" t="s">
        <v>10</v>
      </c>
      <c r="D4" s="15">
        <v>300</v>
      </c>
      <c r="E4" s="15" t="s">
        <v>21</v>
      </c>
      <c r="F4" s="38">
        <v>2777664</v>
      </c>
      <c r="G4" s="16">
        <f>+G3+F4</f>
        <v>5555328</v>
      </c>
      <c r="H4" s="17" t="s">
        <v>33</v>
      </c>
    </row>
    <row r="5" spans="1:8" ht="25.05" customHeight="1">
      <c r="A5" s="13">
        <v>3</v>
      </c>
      <c r="B5" s="14">
        <v>45429</v>
      </c>
      <c r="C5" s="35" t="s">
        <v>10</v>
      </c>
      <c r="D5" s="15">
        <v>300</v>
      </c>
      <c r="E5" s="15" t="s">
        <v>21</v>
      </c>
      <c r="F5" s="16">
        <v>2777664</v>
      </c>
      <c r="G5" s="16">
        <f>+G4+F5</f>
        <v>8332992</v>
      </c>
      <c r="H5" s="18"/>
    </row>
    <row r="6" spans="1:8" ht="25.05" customHeight="1">
      <c r="A6" s="13">
        <v>4</v>
      </c>
      <c r="B6" s="14">
        <v>45436</v>
      </c>
      <c r="C6" s="35" t="s">
        <v>10</v>
      </c>
      <c r="D6" s="15">
        <v>300</v>
      </c>
      <c r="E6" s="15" t="s">
        <v>21</v>
      </c>
      <c r="F6" s="16">
        <v>2777664</v>
      </c>
      <c r="G6" s="16">
        <f t="shared" ref="G6:G7" si="0">+G5+F6</f>
        <v>11110656</v>
      </c>
      <c r="H6" s="17"/>
    </row>
    <row r="7" spans="1:8" ht="25.05" customHeight="1">
      <c r="A7" s="31">
        <v>5</v>
      </c>
      <c r="B7" s="32">
        <v>45443</v>
      </c>
      <c r="C7" s="37" t="s">
        <v>10</v>
      </c>
      <c r="D7" s="33"/>
      <c r="E7" s="15" t="s">
        <v>21</v>
      </c>
      <c r="F7" s="16">
        <v>2777664</v>
      </c>
      <c r="G7" s="16">
        <f t="shared" si="0"/>
        <v>13888320</v>
      </c>
      <c r="H7" s="34"/>
    </row>
    <row r="8" spans="1:8" ht="25.05" customHeight="1" thickBot="1">
      <c r="A8" s="19">
        <v>6</v>
      </c>
      <c r="B8" s="77" t="s">
        <v>17</v>
      </c>
      <c r="C8" s="78"/>
      <c r="D8" s="20">
        <v>3</v>
      </c>
      <c r="E8" s="20"/>
      <c r="F8" s="21">
        <v>108691.2</v>
      </c>
      <c r="G8" s="16">
        <f>+F8*D8</f>
        <v>326073.59999999998</v>
      </c>
      <c r="H8" s="22"/>
    </row>
    <row r="9" spans="1:8" ht="30" customHeight="1" thickBot="1">
      <c r="A9" s="23"/>
      <c r="B9" s="24"/>
      <c r="C9" s="23"/>
      <c r="D9" s="23"/>
      <c r="E9" s="23"/>
      <c r="F9" s="26" t="s">
        <v>12</v>
      </c>
      <c r="G9" s="26">
        <f>+G7+G8</f>
        <v>14214393.6</v>
      </c>
      <c r="H9" s="23"/>
    </row>
    <row r="10" spans="1:8" ht="30" customHeight="1" thickBot="1">
      <c r="F10" s="79" t="s">
        <v>34</v>
      </c>
      <c r="G10" s="80"/>
      <c r="H10" s="39"/>
    </row>
    <row r="11" spans="1:8" ht="19.95" customHeight="1">
      <c r="F11" s="1"/>
      <c r="G11" s="1"/>
    </row>
    <row r="12" spans="1:8" ht="19.95" customHeight="1">
      <c r="F12" s="1"/>
      <c r="G12" s="1"/>
    </row>
    <row r="13" spans="1:8" ht="19.95" customHeight="1">
      <c r="F13" s="1"/>
      <c r="G13" s="1"/>
    </row>
    <row r="14" spans="1:8" ht="19.95" customHeight="1">
      <c r="F14" s="1"/>
      <c r="G14" s="1"/>
    </row>
    <row r="15" spans="1:8" ht="19.95" customHeight="1">
      <c r="F15" s="1"/>
      <c r="G15" s="1"/>
    </row>
    <row r="16" spans="1:8" ht="19.95" customHeight="1">
      <c r="F16" s="1"/>
      <c r="G16" s="1"/>
    </row>
    <row r="17" spans="6:7" ht="19.95" customHeight="1">
      <c r="F17" s="1"/>
      <c r="G17" s="1"/>
    </row>
    <row r="18" spans="6:7">
      <c r="F18" s="1"/>
      <c r="G18" s="1"/>
    </row>
  </sheetData>
  <mergeCells count="3">
    <mergeCell ref="A1:H1"/>
    <mergeCell ref="B8:C8"/>
    <mergeCell ref="F10:G10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zoomScale="90" zoomScaleNormal="90" workbookViewId="0">
      <selection activeCell="F3" sqref="F3"/>
    </sheetView>
  </sheetViews>
  <sheetFormatPr baseColWidth="10" defaultRowHeight="14.4"/>
  <cols>
    <col min="1" max="1" width="11.5546875" style="4"/>
    <col min="2" max="2" width="15.77734375" style="5" customWidth="1"/>
    <col min="3" max="3" width="40.109375" style="4" bestFit="1" customWidth="1"/>
    <col min="4" max="4" width="25.21875" style="4" bestFit="1" customWidth="1"/>
    <col min="5" max="5" width="25.21875" style="4" customWidth="1"/>
    <col min="6" max="6" width="18.77734375" customWidth="1"/>
    <col min="7" max="7" width="25.6640625" bestFit="1" customWidth="1"/>
    <col min="8" max="8" width="57.6640625" style="4" customWidth="1"/>
  </cols>
  <sheetData>
    <row r="1" spans="1:8" s="2" customFormat="1" ht="30" customHeight="1" thickBot="1">
      <c r="A1" s="73" t="s">
        <v>18</v>
      </c>
      <c r="B1" s="73"/>
      <c r="C1" s="73"/>
      <c r="D1" s="73"/>
      <c r="E1" s="73"/>
      <c r="F1" s="73"/>
      <c r="G1" s="73"/>
      <c r="H1" s="73"/>
    </row>
    <row r="2" spans="1:8" s="3" customFormat="1" ht="27" customHeight="1" thickBot="1">
      <c r="A2" s="6" t="s">
        <v>2</v>
      </c>
      <c r="B2" s="7" t="s">
        <v>1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16</v>
      </c>
    </row>
    <row r="3" spans="1:8" ht="25.05" customHeight="1">
      <c r="A3" s="8">
        <v>1</v>
      </c>
      <c r="B3" s="9">
        <v>45450</v>
      </c>
      <c r="C3" s="36" t="s">
        <v>10</v>
      </c>
      <c r="D3" s="10">
        <v>260</v>
      </c>
      <c r="E3" s="10" t="s">
        <v>74</v>
      </c>
      <c r="F3" s="11">
        <v>1500000</v>
      </c>
      <c r="G3" s="11">
        <f>+F3</f>
        <v>1500000</v>
      </c>
      <c r="H3" s="12"/>
    </row>
    <row r="4" spans="1:8" ht="25.05" customHeight="1">
      <c r="A4" s="13">
        <v>2</v>
      </c>
      <c r="B4" s="14">
        <v>45457</v>
      </c>
      <c r="C4" s="15" t="s">
        <v>10</v>
      </c>
      <c r="D4" s="15">
        <v>260</v>
      </c>
      <c r="E4" s="15" t="s">
        <v>74</v>
      </c>
      <c r="F4" s="16">
        <v>1500000</v>
      </c>
      <c r="G4" s="16">
        <f>+G3+F4</f>
        <v>3000000</v>
      </c>
      <c r="H4" s="17"/>
    </row>
    <row r="5" spans="1:8" ht="25.05" customHeight="1">
      <c r="A5" s="13">
        <v>3</v>
      </c>
      <c r="B5" s="14">
        <v>45464</v>
      </c>
      <c r="C5" s="15" t="s">
        <v>10</v>
      </c>
      <c r="D5" s="15">
        <v>260</v>
      </c>
      <c r="E5" s="15" t="s">
        <v>74</v>
      </c>
      <c r="F5" s="16">
        <v>1500000</v>
      </c>
      <c r="G5" s="16">
        <f t="shared" ref="G5:G6" si="0">+G4+F5</f>
        <v>4500000</v>
      </c>
      <c r="H5" s="18"/>
    </row>
    <row r="6" spans="1:8" ht="25.05" customHeight="1">
      <c r="A6" s="13">
        <v>4</v>
      </c>
      <c r="B6" s="14">
        <v>45471</v>
      </c>
      <c r="C6" s="15" t="s">
        <v>10</v>
      </c>
      <c r="D6" s="15">
        <v>260</v>
      </c>
      <c r="E6" s="15" t="s">
        <v>74</v>
      </c>
      <c r="F6" s="16">
        <v>1500000</v>
      </c>
      <c r="G6" s="16">
        <f t="shared" si="0"/>
        <v>6000000</v>
      </c>
      <c r="H6" s="17"/>
    </row>
    <row r="7" spans="1:8" ht="25.05" customHeight="1" thickBot="1">
      <c r="A7" s="19">
        <v>5</v>
      </c>
      <c r="B7" s="77" t="s">
        <v>19</v>
      </c>
      <c r="C7" s="78"/>
      <c r="D7" s="20"/>
      <c r="E7" s="20"/>
      <c r="F7" s="21">
        <v>0</v>
      </c>
      <c r="G7" s="21">
        <f>+F7*D7</f>
        <v>0</v>
      </c>
      <c r="H7" s="22"/>
    </row>
    <row r="8" spans="1:8" ht="30" customHeight="1" thickBot="1">
      <c r="A8" s="23"/>
      <c r="B8" s="24"/>
      <c r="C8" s="23"/>
      <c r="D8" s="23"/>
      <c r="E8" s="23"/>
      <c r="F8" s="26" t="s">
        <v>12</v>
      </c>
      <c r="G8" s="26">
        <f>+G6+G7</f>
        <v>6000000</v>
      </c>
      <c r="H8" s="23"/>
    </row>
    <row r="9" spans="1:8" ht="30" customHeight="1" thickBot="1">
      <c r="F9" s="25" t="s">
        <v>8</v>
      </c>
      <c r="G9" s="27">
        <f>+G8*21%+G8</f>
        <v>7260000</v>
      </c>
    </row>
    <row r="10" spans="1:8" ht="19.95" customHeight="1">
      <c r="F10" s="1"/>
      <c r="G10" s="1"/>
    </row>
    <row r="11" spans="1:8" ht="19.95" customHeight="1">
      <c r="F11" s="1"/>
      <c r="G11" s="1"/>
    </row>
    <row r="12" spans="1:8" ht="19.95" customHeight="1">
      <c r="F12" s="1"/>
      <c r="G12" s="1"/>
    </row>
    <row r="13" spans="1:8" ht="19.95" customHeight="1">
      <c r="F13" s="1"/>
      <c r="G13" s="1"/>
    </row>
    <row r="14" spans="1:8" ht="19.95" customHeight="1">
      <c r="F14" s="1"/>
      <c r="G14" s="1"/>
    </row>
    <row r="15" spans="1:8" ht="19.95" customHeight="1">
      <c r="F15" s="1"/>
      <c r="G15" s="1"/>
    </row>
    <row r="16" spans="1:8" ht="19.95" customHeight="1">
      <c r="F16" s="1"/>
      <c r="G16" s="1"/>
    </row>
    <row r="17" spans="6:7">
      <c r="F17" s="1"/>
      <c r="G17" s="1"/>
    </row>
  </sheetData>
  <mergeCells count="2">
    <mergeCell ref="A1:H1"/>
    <mergeCell ref="B7:C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6"/>
  <sheetViews>
    <sheetView tabSelected="1" topLeftCell="A28" workbookViewId="0">
      <selection activeCell="A2" sqref="A2:F46"/>
    </sheetView>
  </sheetViews>
  <sheetFormatPr baseColWidth="10" defaultRowHeight="14.4"/>
  <cols>
    <col min="1" max="1" width="25.6640625" style="40" bestFit="1" customWidth="1"/>
    <col min="2" max="2" width="27.33203125" style="40" bestFit="1" customWidth="1"/>
    <col min="3" max="5" width="20.6640625" style="40" customWidth="1"/>
    <col min="6" max="6" width="35" style="40" bestFit="1" customWidth="1"/>
    <col min="7" max="254" width="11.5546875" style="40"/>
    <col min="255" max="257" width="20.6640625" style="40" customWidth="1"/>
    <col min="258" max="258" width="27.33203125" style="40" bestFit="1" customWidth="1"/>
    <col min="259" max="262" width="20.6640625" style="40" customWidth="1"/>
    <col min="263" max="510" width="11.5546875" style="40"/>
    <col min="511" max="513" width="20.6640625" style="40" customWidth="1"/>
    <col min="514" max="514" width="27.33203125" style="40" bestFit="1" customWidth="1"/>
    <col min="515" max="518" width="20.6640625" style="40" customWidth="1"/>
    <col min="519" max="766" width="11.5546875" style="40"/>
    <col min="767" max="769" width="20.6640625" style="40" customWidth="1"/>
    <col min="770" max="770" width="27.33203125" style="40" bestFit="1" customWidth="1"/>
    <col min="771" max="774" width="20.6640625" style="40" customWidth="1"/>
    <col min="775" max="1022" width="11.5546875" style="40"/>
    <col min="1023" max="1025" width="20.6640625" style="40" customWidth="1"/>
    <col min="1026" max="1026" width="27.33203125" style="40" bestFit="1" customWidth="1"/>
    <col min="1027" max="1030" width="20.6640625" style="40" customWidth="1"/>
    <col min="1031" max="1278" width="11.5546875" style="40"/>
    <col min="1279" max="1281" width="20.6640625" style="40" customWidth="1"/>
    <col min="1282" max="1282" width="27.33203125" style="40" bestFit="1" customWidth="1"/>
    <col min="1283" max="1286" width="20.6640625" style="40" customWidth="1"/>
    <col min="1287" max="1534" width="11.5546875" style="40"/>
    <col min="1535" max="1537" width="20.6640625" style="40" customWidth="1"/>
    <col min="1538" max="1538" width="27.33203125" style="40" bestFit="1" customWidth="1"/>
    <col min="1539" max="1542" width="20.6640625" style="40" customWidth="1"/>
    <col min="1543" max="1790" width="11.5546875" style="40"/>
    <col min="1791" max="1793" width="20.6640625" style="40" customWidth="1"/>
    <col min="1794" max="1794" width="27.33203125" style="40" bestFit="1" customWidth="1"/>
    <col min="1795" max="1798" width="20.6640625" style="40" customWidth="1"/>
    <col min="1799" max="2046" width="11.5546875" style="40"/>
    <col min="2047" max="2049" width="20.6640625" style="40" customWidth="1"/>
    <col min="2050" max="2050" width="27.33203125" style="40" bestFit="1" customWidth="1"/>
    <col min="2051" max="2054" width="20.6640625" style="40" customWidth="1"/>
    <col min="2055" max="2302" width="11.5546875" style="40"/>
    <col min="2303" max="2305" width="20.6640625" style="40" customWidth="1"/>
    <col min="2306" max="2306" width="27.33203125" style="40" bestFit="1" customWidth="1"/>
    <col min="2307" max="2310" width="20.6640625" style="40" customWidth="1"/>
    <col min="2311" max="2558" width="11.5546875" style="40"/>
    <col min="2559" max="2561" width="20.6640625" style="40" customWidth="1"/>
    <col min="2562" max="2562" width="27.33203125" style="40" bestFit="1" customWidth="1"/>
    <col min="2563" max="2566" width="20.6640625" style="40" customWidth="1"/>
    <col min="2567" max="2814" width="11.5546875" style="40"/>
    <col min="2815" max="2817" width="20.6640625" style="40" customWidth="1"/>
    <col min="2818" max="2818" width="27.33203125" style="40" bestFit="1" customWidth="1"/>
    <col min="2819" max="2822" width="20.6640625" style="40" customWidth="1"/>
    <col min="2823" max="3070" width="11.5546875" style="40"/>
    <col min="3071" max="3073" width="20.6640625" style="40" customWidth="1"/>
    <col min="3074" max="3074" width="27.33203125" style="40" bestFit="1" customWidth="1"/>
    <col min="3075" max="3078" width="20.6640625" style="40" customWidth="1"/>
    <col min="3079" max="3326" width="11.5546875" style="40"/>
    <col min="3327" max="3329" width="20.6640625" style="40" customWidth="1"/>
    <col min="3330" max="3330" width="27.33203125" style="40" bestFit="1" customWidth="1"/>
    <col min="3331" max="3334" width="20.6640625" style="40" customWidth="1"/>
    <col min="3335" max="3582" width="11.5546875" style="40"/>
    <col min="3583" max="3585" width="20.6640625" style="40" customWidth="1"/>
    <col min="3586" max="3586" width="27.33203125" style="40" bestFit="1" customWidth="1"/>
    <col min="3587" max="3590" width="20.6640625" style="40" customWidth="1"/>
    <col min="3591" max="3838" width="11.5546875" style="40"/>
    <col min="3839" max="3841" width="20.6640625" style="40" customWidth="1"/>
    <col min="3842" max="3842" width="27.33203125" style="40" bestFit="1" customWidth="1"/>
    <col min="3843" max="3846" width="20.6640625" style="40" customWidth="1"/>
    <col min="3847" max="4094" width="11.5546875" style="40"/>
    <col min="4095" max="4097" width="20.6640625" style="40" customWidth="1"/>
    <col min="4098" max="4098" width="27.33203125" style="40" bestFit="1" customWidth="1"/>
    <col min="4099" max="4102" width="20.6640625" style="40" customWidth="1"/>
    <col min="4103" max="4350" width="11.5546875" style="40"/>
    <col min="4351" max="4353" width="20.6640625" style="40" customWidth="1"/>
    <col min="4354" max="4354" width="27.33203125" style="40" bestFit="1" customWidth="1"/>
    <col min="4355" max="4358" width="20.6640625" style="40" customWidth="1"/>
    <col min="4359" max="4606" width="11.5546875" style="40"/>
    <col min="4607" max="4609" width="20.6640625" style="40" customWidth="1"/>
    <col min="4610" max="4610" width="27.33203125" style="40" bestFit="1" customWidth="1"/>
    <col min="4611" max="4614" width="20.6640625" style="40" customWidth="1"/>
    <col min="4615" max="4862" width="11.5546875" style="40"/>
    <col min="4863" max="4865" width="20.6640625" style="40" customWidth="1"/>
    <col min="4866" max="4866" width="27.33203125" style="40" bestFit="1" customWidth="1"/>
    <col min="4867" max="4870" width="20.6640625" style="40" customWidth="1"/>
    <col min="4871" max="5118" width="11.5546875" style="40"/>
    <col min="5119" max="5121" width="20.6640625" style="40" customWidth="1"/>
    <col min="5122" max="5122" width="27.33203125" style="40" bestFit="1" customWidth="1"/>
    <col min="5123" max="5126" width="20.6640625" style="40" customWidth="1"/>
    <col min="5127" max="5374" width="11.5546875" style="40"/>
    <col min="5375" max="5377" width="20.6640625" style="40" customWidth="1"/>
    <col min="5378" max="5378" width="27.33203125" style="40" bestFit="1" customWidth="1"/>
    <col min="5379" max="5382" width="20.6640625" style="40" customWidth="1"/>
    <col min="5383" max="5630" width="11.5546875" style="40"/>
    <col min="5631" max="5633" width="20.6640625" style="40" customWidth="1"/>
    <col min="5634" max="5634" width="27.33203125" style="40" bestFit="1" customWidth="1"/>
    <col min="5635" max="5638" width="20.6640625" style="40" customWidth="1"/>
    <col min="5639" max="5886" width="11.5546875" style="40"/>
    <col min="5887" max="5889" width="20.6640625" style="40" customWidth="1"/>
    <col min="5890" max="5890" width="27.33203125" style="40" bestFit="1" customWidth="1"/>
    <col min="5891" max="5894" width="20.6640625" style="40" customWidth="1"/>
    <col min="5895" max="6142" width="11.5546875" style="40"/>
    <col min="6143" max="6145" width="20.6640625" style="40" customWidth="1"/>
    <col min="6146" max="6146" width="27.33203125" style="40" bestFit="1" customWidth="1"/>
    <col min="6147" max="6150" width="20.6640625" style="40" customWidth="1"/>
    <col min="6151" max="6398" width="11.5546875" style="40"/>
    <col min="6399" max="6401" width="20.6640625" style="40" customWidth="1"/>
    <col min="6402" max="6402" width="27.33203125" style="40" bestFit="1" customWidth="1"/>
    <col min="6403" max="6406" width="20.6640625" style="40" customWidth="1"/>
    <col min="6407" max="6654" width="11.5546875" style="40"/>
    <col min="6655" max="6657" width="20.6640625" style="40" customWidth="1"/>
    <col min="6658" max="6658" width="27.33203125" style="40" bestFit="1" customWidth="1"/>
    <col min="6659" max="6662" width="20.6640625" style="40" customWidth="1"/>
    <col min="6663" max="6910" width="11.5546875" style="40"/>
    <col min="6911" max="6913" width="20.6640625" style="40" customWidth="1"/>
    <col min="6914" max="6914" width="27.33203125" style="40" bestFit="1" customWidth="1"/>
    <col min="6915" max="6918" width="20.6640625" style="40" customWidth="1"/>
    <col min="6919" max="7166" width="11.5546875" style="40"/>
    <col min="7167" max="7169" width="20.6640625" style="40" customWidth="1"/>
    <col min="7170" max="7170" width="27.33203125" style="40" bestFit="1" customWidth="1"/>
    <col min="7171" max="7174" width="20.6640625" style="40" customWidth="1"/>
    <col min="7175" max="7422" width="11.5546875" style="40"/>
    <col min="7423" max="7425" width="20.6640625" style="40" customWidth="1"/>
    <col min="7426" max="7426" width="27.33203125" style="40" bestFit="1" customWidth="1"/>
    <col min="7427" max="7430" width="20.6640625" style="40" customWidth="1"/>
    <col min="7431" max="7678" width="11.5546875" style="40"/>
    <col min="7679" max="7681" width="20.6640625" style="40" customWidth="1"/>
    <col min="7682" max="7682" width="27.33203125" style="40" bestFit="1" customWidth="1"/>
    <col min="7683" max="7686" width="20.6640625" style="40" customWidth="1"/>
    <col min="7687" max="7934" width="11.5546875" style="40"/>
    <col min="7935" max="7937" width="20.6640625" style="40" customWidth="1"/>
    <col min="7938" max="7938" width="27.33203125" style="40" bestFit="1" customWidth="1"/>
    <col min="7939" max="7942" width="20.6640625" style="40" customWidth="1"/>
    <col min="7943" max="8190" width="11.5546875" style="40"/>
    <col min="8191" max="8193" width="20.6640625" style="40" customWidth="1"/>
    <col min="8194" max="8194" width="27.33203125" style="40" bestFit="1" customWidth="1"/>
    <col min="8195" max="8198" width="20.6640625" style="40" customWidth="1"/>
    <col min="8199" max="8446" width="11.5546875" style="40"/>
    <col min="8447" max="8449" width="20.6640625" style="40" customWidth="1"/>
    <col min="8450" max="8450" width="27.33203125" style="40" bestFit="1" customWidth="1"/>
    <col min="8451" max="8454" width="20.6640625" style="40" customWidth="1"/>
    <col min="8455" max="8702" width="11.5546875" style="40"/>
    <col min="8703" max="8705" width="20.6640625" style="40" customWidth="1"/>
    <col min="8706" max="8706" width="27.33203125" style="40" bestFit="1" customWidth="1"/>
    <col min="8707" max="8710" width="20.6640625" style="40" customWidth="1"/>
    <col min="8711" max="8958" width="11.5546875" style="40"/>
    <col min="8959" max="8961" width="20.6640625" style="40" customWidth="1"/>
    <col min="8962" max="8962" width="27.33203125" style="40" bestFit="1" customWidth="1"/>
    <col min="8963" max="8966" width="20.6640625" style="40" customWidth="1"/>
    <col min="8967" max="9214" width="11.5546875" style="40"/>
    <col min="9215" max="9217" width="20.6640625" style="40" customWidth="1"/>
    <col min="9218" max="9218" width="27.33203125" style="40" bestFit="1" customWidth="1"/>
    <col min="9219" max="9222" width="20.6640625" style="40" customWidth="1"/>
    <col min="9223" max="9470" width="11.5546875" style="40"/>
    <col min="9471" max="9473" width="20.6640625" style="40" customWidth="1"/>
    <col min="9474" max="9474" width="27.33203125" style="40" bestFit="1" customWidth="1"/>
    <col min="9475" max="9478" width="20.6640625" style="40" customWidth="1"/>
    <col min="9479" max="9726" width="11.5546875" style="40"/>
    <col min="9727" max="9729" width="20.6640625" style="40" customWidth="1"/>
    <col min="9730" max="9730" width="27.33203125" style="40" bestFit="1" customWidth="1"/>
    <col min="9731" max="9734" width="20.6640625" style="40" customWidth="1"/>
    <col min="9735" max="9982" width="11.5546875" style="40"/>
    <col min="9983" max="9985" width="20.6640625" style="40" customWidth="1"/>
    <col min="9986" max="9986" width="27.33203125" style="40" bestFit="1" customWidth="1"/>
    <col min="9987" max="9990" width="20.6640625" style="40" customWidth="1"/>
    <col min="9991" max="10238" width="11.5546875" style="40"/>
    <col min="10239" max="10241" width="20.6640625" style="40" customWidth="1"/>
    <col min="10242" max="10242" width="27.33203125" style="40" bestFit="1" customWidth="1"/>
    <col min="10243" max="10246" width="20.6640625" style="40" customWidth="1"/>
    <col min="10247" max="10494" width="11.5546875" style="40"/>
    <col min="10495" max="10497" width="20.6640625" style="40" customWidth="1"/>
    <col min="10498" max="10498" width="27.33203125" style="40" bestFit="1" customWidth="1"/>
    <col min="10499" max="10502" width="20.6640625" style="40" customWidth="1"/>
    <col min="10503" max="10750" width="11.5546875" style="40"/>
    <col min="10751" max="10753" width="20.6640625" style="40" customWidth="1"/>
    <col min="10754" max="10754" width="27.33203125" style="40" bestFit="1" customWidth="1"/>
    <col min="10755" max="10758" width="20.6640625" style="40" customWidth="1"/>
    <col min="10759" max="11006" width="11.5546875" style="40"/>
    <col min="11007" max="11009" width="20.6640625" style="40" customWidth="1"/>
    <col min="11010" max="11010" width="27.33203125" style="40" bestFit="1" customWidth="1"/>
    <col min="11011" max="11014" width="20.6640625" style="40" customWidth="1"/>
    <col min="11015" max="11262" width="11.5546875" style="40"/>
    <col min="11263" max="11265" width="20.6640625" style="40" customWidth="1"/>
    <col min="11266" max="11266" width="27.33203125" style="40" bestFit="1" customWidth="1"/>
    <col min="11267" max="11270" width="20.6640625" style="40" customWidth="1"/>
    <col min="11271" max="11518" width="11.5546875" style="40"/>
    <col min="11519" max="11521" width="20.6640625" style="40" customWidth="1"/>
    <col min="11522" max="11522" width="27.33203125" style="40" bestFit="1" customWidth="1"/>
    <col min="11523" max="11526" width="20.6640625" style="40" customWidth="1"/>
    <col min="11527" max="11774" width="11.5546875" style="40"/>
    <col min="11775" max="11777" width="20.6640625" style="40" customWidth="1"/>
    <col min="11778" max="11778" width="27.33203125" style="40" bestFit="1" customWidth="1"/>
    <col min="11779" max="11782" width="20.6640625" style="40" customWidth="1"/>
    <col min="11783" max="12030" width="11.5546875" style="40"/>
    <col min="12031" max="12033" width="20.6640625" style="40" customWidth="1"/>
    <col min="12034" max="12034" width="27.33203125" style="40" bestFit="1" customWidth="1"/>
    <col min="12035" max="12038" width="20.6640625" style="40" customWidth="1"/>
    <col min="12039" max="12286" width="11.5546875" style="40"/>
    <col min="12287" max="12289" width="20.6640625" style="40" customWidth="1"/>
    <col min="12290" max="12290" width="27.33203125" style="40" bestFit="1" customWidth="1"/>
    <col min="12291" max="12294" width="20.6640625" style="40" customWidth="1"/>
    <col min="12295" max="12542" width="11.5546875" style="40"/>
    <col min="12543" max="12545" width="20.6640625" style="40" customWidth="1"/>
    <col min="12546" max="12546" width="27.33203125" style="40" bestFit="1" customWidth="1"/>
    <col min="12547" max="12550" width="20.6640625" style="40" customWidth="1"/>
    <col min="12551" max="12798" width="11.5546875" style="40"/>
    <col min="12799" max="12801" width="20.6640625" style="40" customWidth="1"/>
    <col min="12802" max="12802" width="27.33203125" style="40" bestFit="1" customWidth="1"/>
    <col min="12803" max="12806" width="20.6640625" style="40" customWidth="1"/>
    <col min="12807" max="13054" width="11.5546875" style="40"/>
    <col min="13055" max="13057" width="20.6640625" style="40" customWidth="1"/>
    <col min="13058" max="13058" width="27.33203125" style="40" bestFit="1" customWidth="1"/>
    <col min="13059" max="13062" width="20.6640625" style="40" customWidth="1"/>
    <col min="13063" max="13310" width="11.5546875" style="40"/>
    <col min="13311" max="13313" width="20.6640625" style="40" customWidth="1"/>
    <col min="13314" max="13314" width="27.33203125" style="40" bestFit="1" customWidth="1"/>
    <col min="13315" max="13318" width="20.6640625" style="40" customWidth="1"/>
    <col min="13319" max="13566" width="11.5546875" style="40"/>
    <col min="13567" max="13569" width="20.6640625" style="40" customWidth="1"/>
    <col min="13570" max="13570" width="27.33203125" style="40" bestFit="1" customWidth="1"/>
    <col min="13571" max="13574" width="20.6640625" style="40" customWidth="1"/>
    <col min="13575" max="13822" width="11.5546875" style="40"/>
    <col min="13823" max="13825" width="20.6640625" style="40" customWidth="1"/>
    <col min="13826" max="13826" width="27.33203125" style="40" bestFit="1" customWidth="1"/>
    <col min="13827" max="13830" width="20.6640625" style="40" customWidth="1"/>
    <col min="13831" max="14078" width="11.5546875" style="40"/>
    <col min="14079" max="14081" width="20.6640625" style="40" customWidth="1"/>
    <col min="14082" max="14082" width="27.33203125" style="40" bestFit="1" customWidth="1"/>
    <col min="14083" max="14086" width="20.6640625" style="40" customWidth="1"/>
    <col min="14087" max="14334" width="11.5546875" style="40"/>
    <col min="14335" max="14337" width="20.6640625" style="40" customWidth="1"/>
    <col min="14338" max="14338" width="27.33203125" style="40" bestFit="1" customWidth="1"/>
    <col min="14339" max="14342" width="20.6640625" style="40" customWidth="1"/>
    <col min="14343" max="14590" width="11.5546875" style="40"/>
    <col min="14591" max="14593" width="20.6640625" style="40" customWidth="1"/>
    <col min="14594" max="14594" width="27.33203125" style="40" bestFit="1" customWidth="1"/>
    <col min="14595" max="14598" width="20.6640625" style="40" customWidth="1"/>
    <col min="14599" max="14846" width="11.5546875" style="40"/>
    <col min="14847" max="14849" width="20.6640625" style="40" customWidth="1"/>
    <col min="14850" max="14850" width="27.33203125" style="40" bestFit="1" customWidth="1"/>
    <col min="14851" max="14854" width="20.6640625" style="40" customWidth="1"/>
    <col min="14855" max="15102" width="11.5546875" style="40"/>
    <col min="15103" max="15105" width="20.6640625" style="40" customWidth="1"/>
    <col min="15106" max="15106" width="27.33203125" style="40" bestFit="1" customWidth="1"/>
    <col min="15107" max="15110" width="20.6640625" style="40" customWidth="1"/>
    <col min="15111" max="15358" width="11.5546875" style="40"/>
    <col min="15359" max="15361" width="20.6640625" style="40" customWidth="1"/>
    <col min="15362" max="15362" width="27.33203125" style="40" bestFit="1" customWidth="1"/>
    <col min="15363" max="15366" width="20.6640625" style="40" customWidth="1"/>
    <col min="15367" max="15614" width="11.5546875" style="40"/>
    <col min="15615" max="15617" width="20.6640625" style="40" customWidth="1"/>
    <col min="15618" max="15618" width="27.33203125" style="40" bestFit="1" customWidth="1"/>
    <col min="15619" max="15622" width="20.6640625" style="40" customWidth="1"/>
    <col min="15623" max="15870" width="11.5546875" style="40"/>
    <col min="15871" max="15873" width="20.6640625" style="40" customWidth="1"/>
    <col min="15874" max="15874" width="27.33203125" style="40" bestFit="1" customWidth="1"/>
    <col min="15875" max="15878" width="20.6640625" style="40" customWidth="1"/>
    <col min="15879" max="16126" width="11.5546875" style="40"/>
    <col min="16127" max="16129" width="20.6640625" style="40" customWidth="1"/>
    <col min="16130" max="16130" width="27.33203125" style="40" bestFit="1" customWidth="1"/>
    <col min="16131" max="16134" width="20.6640625" style="40" customWidth="1"/>
    <col min="16135" max="16384" width="11.5546875" style="40"/>
  </cols>
  <sheetData>
    <row r="1" spans="1:6" ht="15" thickBot="1"/>
    <row r="2" spans="1:6" ht="18" customHeight="1" thickBot="1">
      <c r="A2" s="84" t="s">
        <v>61</v>
      </c>
      <c r="B2" s="84"/>
      <c r="C2" s="84"/>
      <c r="D2" s="84"/>
      <c r="E2" s="84"/>
      <c r="F2" s="84"/>
    </row>
    <row r="3" spans="1:6" ht="18" customHeight="1" thickBot="1">
      <c r="A3" s="84"/>
      <c r="B3" s="84"/>
      <c r="C3" s="84"/>
      <c r="D3" s="84"/>
      <c r="E3" s="84"/>
      <c r="F3" s="84"/>
    </row>
    <row r="4" spans="1:6" ht="21.6" customHeight="1" thickBot="1">
      <c r="A4" s="81" t="s">
        <v>37</v>
      </c>
      <c r="B4" s="82"/>
      <c r="C4" s="82"/>
      <c r="D4" s="82"/>
      <c r="E4" s="82"/>
      <c r="F4" s="83"/>
    </row>
    <row r="5" spans="1:6" ht="15" thickBot="1">
      <c r="A5" s="41" t="s">
        <v>35</v>
      </c>
      <c r="B5" s="42" t="s">
        <v>38</v>
      </c>
      <c r="C5" s="43" t="s">
        <v>39</v>
      </c>
      <c r="D5" s="43" t="s">
        <v>40</v>
      </c>
      <c r="E5" s="43" t="s">
        <v>41</v>
      </c>
      <c r="F5" s="44" t="s">
        <v>16</v>
      </c>
    </row>
    <row r="6" spans="1:6" ht="1.95" customHeight="1" thickBot="1">
      <c r="A6" s="45"/>
      <c r="B6" s="46"/>
      <c r="C6" s="46"/>
      <c r="D6" s="46"/>
      <c r="E6" s="46"/>
      <c r="F6" s="47"/>
    </row>
    <row r="7" spans="1:6" s="52" customFormat="1" hidden="1">
      <c r="A7" s="48">
        <v>44938</v>
      </c>
      <c r="B7" s="49" t="s">
        <v>42</v>
      </c>
      <c r="C7" s="50">
        <v>402141.89</v>
      </c>
      <c r="D7" s="50"/>
      <c r="E7" s="50">
        <f>+E6+C7-D7</f>
        <v>402141.89</v>
      </c>
      <c r="F7" s="51" t="s">
        <v>43</v>
      </c>
    </row>
    <row r="8" spans="1:6" s="52" customFormat="1" hidden="1">
      <c r="A8" s="48">
        <v>44938</v>
      </c>
      <c r="B8" s="49" t="s">
        <v>44</v>
      </c>
      <c r="C8" s="50">
        <v>1630826.81</v>
      </c>
      <c r="D8" s="50"/>
      <c r="E8" s="50">
        <f t="shared" ref="E8:E22" si="0">+E7+C8-D8</f>
        <v>2032968.7000000002</v>
      </c>
      <c r="F8" s="51" t="s">
        <v>43</v>
      </c>
    </row>
    <row r="9" spans="1:6" s="52" customFormat="1" hidden="1">
      <c r="A9" s="48">
        <v>44944</v>
      </c>
      <c r="B9" s="49" t="s">
        <v>45</v>
      </c>
      <c r="C9" s="50">
        <v>145200</v>
      </c>
      <c r="D9" s="50"/>
      <c r="E9" s="50">
        <f t="shared" si="0"/>
        <v>2178168.7000000002</v>
      </c>
      <c r="F9" s="51" t="s">
        <v>43</v>
      </c>
    </row>
    <row r="10" spans="1:6" s="52" customFormat="1" hidden="1">
      <c r="A10" s="48">
        <v>44966</v>
      </c>
      <c r="B10" s="49" t="s">
        <v>46</v>
      </c>
      <c r="C10" s="50">
        <v>431566.9</v>
      </c>
      <c r="D10" s="50"/>
      <c r="E10" s="50">
        <f t="shared" si="0"/>
        <v>2609735.6</v>
      </c>
      <c r="F10" s="51" t="s">
        <v>43</v>
      </c>
    </row>
    <row r="11" spans="1:6" s="52" customFormat="1" hidden="1">
      <c r="A11" s="48">
        <v>44966</v>
      </c>
      <c r="B11" s="49" t="s">
        <v>47</v>
      </c>
      <c r="C11" s="50">
        <v>1750155.59</v>
      </c>
      <c r="D11" s="50"/>
      <c r="E11" s="50">
        <f t="shared" si="0"/>
        <v>4359891.1900000004</v>
      </c>
      <c r="F11" s="51" t="s">
        <v>43</v>
      </c>
    </row>
    <row r="12" spans="1:6" s="52" customFormat="1" hidden="1">
      <c r="A12" s="48">
        <v>44985</v>
      </c>
      <c r="B12" s="49" t="s">
        <v>48</v>
      </c>
      <c r="C12" s="50">
        <v>287811.58</v>
      </c>
      <c r="D12" s="50"/>
      <c r="E12" s="50">
        <f t="shared" si="0"/>
        <v>4647702.7700000005</v>
      </c>
      <c r="F12" s="51" t="s">
        <v>43</v>
      </c>
    </row>
    <row r="13" spans="1:6" s="52" customFormat="1" hidden="1">
      <c r="A13" s="48">
        <v>44999</v>
      </c>
      <c r="B13" s="49" t="s">
        <v>49</v>
      </c>
      <c r="C13" s="50">
        <v>448086.21</v>
      </c>
      <c r="D13" s="50"/>
      <c r="E13" s="50">
        <f t="shared" si="0"/>
        <v>5095788.9800000004</v>
      </c>
      <c r="F13" s="51" t="s">
        <v>43</v>
      </c>
    </row>
    <row r="14" spans="1:6" s="52" customFormat="1" hidden="1">
      <c r="A14" s="48">
        <v>44999</v>
      </c>
      <c r="B14" s="49" t="s">
        <v>50</v>
      </c>
      <c r="C14" s="50">
        <v>1817147.19</v>
      </c>
      <c r="D14" s="50"/>
      <c r="E14" s="50">
        <f t="shared" si="0"/>
        <v>6912936.1699999999</v>
      </c>
      <c r="F14" s="51" t="s">
        <v>43</v>
      </c>
    </row>
    <row r="15" spans="1:6" s="52" customFormat="1" hidden="1">
      <c r="A15" s="48">
        <v>45001</v>
      </c>
      <c r="B15" s="49" t="s">
        <v>51</v>
      </c>
      <c r="C15" s="50">
        <v>410719.87</v>
      </c>
      <c r="D15" s="50"/>
      <c r="E15" s="50">
        <f t="shared" si="0"/>
        <v>7323656.04</v>
      </c>
      <c r="F15" s="51" t="s">
        <v>43</v>
      </c>
    </row>
    <row r="16" spans="1:6" s="52" customFormat="1" hidden="1">
      <c r="A16" s="48">
        <v>45027</v>
      </c>
      <c r="B16" s="49" t="s">
        <v>52</v>
      </c>
      <c r="C16" s="50">
        <v>561899.27</v>
      </c>
      <c r="D16" s="50"/>
      <c r="E16" s="50">
        <f t="shared" si="0"/>
        <v>7885555.3100000005</v>
      </c>
      <c r="F16" s="51" t="s">
        <v>43</v>
      </c>
    </row>
    <row r="17" spans="1:6" s="52" customFormat="1" hidden="1">
      <c r="A17" s="48">
        <v>45029</v>
      </c>
      <c r="B17" s="49" t="s">
        <v>53</v>
      </c>
      <c r="C17" s="50">
        <v>483189.74</v>
      </c>
      <c r="D17" s="50"/>
      <c r="E17" s="50">
        <f t="shared" si="0"/>
        <v>8368745.0500000007</v>
      </c>
      <c r="F17" s="51" t="s">
        <v>43</v>
      </c>
    </row>
    <row r="18" spans="1:6" s="52" customFormat="1" hidden="1">
      <c r="A18" s="48">
        <v>45029</v>
      </c>
      <c r="B18" s="49" t="s">
        <v>54</v>
      </c>
      <c r="C18" s="50">
        <v>1959504.35</v>
      </c>
      <c r="D18" s="50"/>
      <c r="E18" s="50">
        <f t="shared" si="0"/>
        <v>10328249.4</v>
      </c>
      <c r="F18" s="51" t="s">
        <v>43</v>
      </c>
    </row>
    <row r="19" spans="1:6" s="52" customFormat="1" hidden="1">
      <c r="A19" s="53">
        <v>45033</v>
      </c>
      <c r="B19" s="54" t="s">
        <v>55</v>
      </c>
      <c r="C19" s="55"/>
      <c r="D19" s="55">
        <v>2582062.35</v>
      </c>
      <c r="E19" s="55">
        <f t="shared" si="0"/>
        <v>7746187.0500000007</v>
      </c>
      <c r="F19" s="85" t="s">
        <v>56</v>
      </c>
    </row>
    <row r="20" spans="1:6" s="52" customFormat="1" hidden="1">
      <c r="A20" s="53">
        <v>45033</v>
      </c>
      <c r="B20" s="54" t="s">
        <v>57</v>
      </c>
      <c r="C20" s="55"/>
      <c r="D20" s="55">
        <v>2582062.35</v>
      </c>
      <c r="E20" s="55">
        <f t="shared" si="0"/>
        <v>5164124.7000000011</v>
      </c>
      <c r="F20" s="86"/>
    </row>
    <row r="21" spans="1:6" s="52" customFormat="1" hidden="1">
      <c r="A21" s="53">
        <v>45033</v>
      </c>
      <c r="B21" s="54" t="s">
        <v>58</v>
      </c>
      <c r="C21" s="55"/>
      <c r="D21" s="55">
        <v>2582062.35</v>
      </c>
      <c r="E21" s="55">
        <f t="shared" si="0"/>
        <v>2582062.350000001</v>
      </c>
      <c r="F21" s="86"/>
    </row>
    <row r="22" spans="1:6" s="52" customFormat="1" hidden="1">
      <c r="A22" s="58">
        <v>45033</v>
      </c>
      <c r="B22" s="59" t="s">
        <v>59</v>
      </c>
      <c r="C22" s="57"/>
      <c r="D22" s="57">
        <v>2582062.35</v>
      </c>
      <c r="E22" s="57">
        <f t="shared" si="0"/>
        <v>0</v>
      </c>
      <c r="F22" s="86"/>
    </row>
    <row r="23" spans="1:6" ht="19.95" customHeight="1">
      <c r="A23" s="87" t="s">
        <v>36</v>
      </c>
      <c r="B23" s="60" t="s">
        <v>62</v>
      </c>
      <c r="C23" s="61">
        <v>1225000</v>
      </c>
      <c r="D23" s="61"/>
      <c r="E23" s="61">
        <f>+E22+C23-D23</f>
        <v>1225000</v>
      </c>
      <c r="F23" s="62"/>
    </row>
    <row r="24" spans="1:6" ht="19.95" customHeight="1">
      <c r="A24" s="88"/>
      <c r="B24" s="49" t="s">
        <v>63</v>
      </c>
      <c r="C24" s="50">
        <v>7350000</v>
      </c>
      <c r="D24" s="50"/>
      <c r="E24" s="50">
        <f t="shared" ref="E24:E46" si="1">+E23+C24-D24</f>
        <v>8575000</v>
      </c>
      <c r="F24" s="51"/>
    </row>
    <row r="25" spans="1:6" ht="19.95" customHeight="1" thickBot="1">
      <c r="A25" s="89"/>
      <c r="B25" s="63" t="s">
        <v>64</v>
      </c>
      <c r="C25" s="64">
        <v>300000</v>
      </c>
      <c r="D25" s="64"/>
      <c r="E25" s="64">
        <f t="shared" si="1"/>
        <v>8875000</v>
      </c>
      <c r="F25" s="65"/>
    </row>
    <row r="26" spans="1:6" ht="19.95" customHeight="1">
      <c r="A26" s="87" t="s">
        <v>65</v>
      </c>
      <c r="B26" s="60" t="s">
        <v>62</v>
      </c>
      <c r="C26" s="61">
        <v>1225000</v>
      </c>
      <c r="D26" s="61"/>
      <c r="E26" s="61">
        <f t="shared" si="1"/>
        <v>10100000</v>
      </c>
      <c r="F26" s="62"/>
    </row>
    <row r="27" spans="1:6" ht="19.95" customHeight="1">
      <c r="A27" s="88"/>
      <c r="B27" s="49" t="s">
        <v>63</v>
      </c>
      <c r="C27" s="50">
        <v>7350000</v>
      </c>
      <c r="D27" s="50"/>
      <c r="E27" s="50">
        <f t="shared" si="1"/>
        <v>17450000</v>
      </c>
      <c r="F27" s="51"/>
    </row>
    <row r="28" spans="1:6" ht="19.95" customHeight="1" thickBot="1">
      <c r="A28" s="89"/>
      <c r="B28" s="63" t="s">
        <v>66</v>
      </c>
      <c r="C28" s="64">
        <v>600000</v>
      </c>
      <c r="D28" s="64"/>
      <c r="E28" s="64">
        <f t="shared" si="1"/>
        <v>18050000</v>
      </c>
      <c r="F28" s="65"/>
    </row>
    <row r="29" spans="1:6" ht="19.95" customHeight="1">
      <c r="A29" s="87" t="s">
        <v>67</v>
      </c>
      <c r="B29" s="60" t="s">
        <v>68</v>
      </c>
      <c r="C29" s="61">
        <v>12250000</v>
      </c>
      <c r="D29" s="61"/>
      <c r="E29" s="61">
        <f t="shared" si="1"/>
        <v>30300000</v>
      </c>
      <c r="F29" s="62"/>
    </row>
    <row r="30" spans="1:6" ht="19.95" customHeight="1" thickBot="1">
      <c r="A30" s="89"/>
      <c r="B30" s="63" t="s">
        <v>64</v>
      </c>
      <c r="C30" s="64">
        <v>300000</v>
      </c>
      <c r="D30" s="64"/>
      <c r="E30" s="64">
        <f t="shared" si="1"/>
        <v>30600000</v>
      </c>
      <c r="F30" s="65"/>
    </row>
    <row r="31" spans="1:6" s="52" customFormat="1" ht="19.95" customHeight="1">
      <c r="A31" s="66" t="s">
        <v>36</v>
      </c>
      <c r="B31" s="67" t="s">
        <v>69</v>
      </c>
      <c r="C31" s="68"/>
      <c r="D31" s="68">
        <v>1252000</v>
      </c>
      <c r="E31" s="68">
        <f>+E30+C31-D31</f>
        <v>29348000</v>
      </c>
      <c r="F31" s="86" t="s">
        <v>73</v>
      </c>
    </row>
    <row r="32" spans="1:6" s="52" customFormat="1" ht="19.95" customHeight="1">
      <c r="A32" s="53">
        <v>45457</v>
      </c>
      <c r="B32" s="54" t="s">
        <v>70</v>
      </c>
      <c r="C32" s="55"/>
      <c r="D32" s="55">
        <v>4891333.33</v>
      </c>
      <c r="E32" s="55">
        <f t="shared" si="1"/>
        <v>24456666.670000002</v>
      </c>
      <c r="F32" s="86"/>
    </row>
    <row r="33" spans="1:6" s="52" customFormat="1" ht="19.95" customHeight="1">
      <c r="A33" s="53">
        <v>45457</v>
      </c>
      <c r="B33" s="54" t="s">
        <v>71</v>
      </c>
      <c r="C33" s="55"/>
      <c r="D33" s="55">
        <v>4891333.33</v>
      </c>
      <c r="E33" s="55">
        <f t="shared" si="1"/>
        <v>19565333.340000004</v>
      </c>
      <c r="F33" s="86"/>
    </row>
    <row r="34" spans="1:6" s="52" customFormat="1" ht="19.95" customHeight="1" thickBot="1">
      <c r="A34" s="53">
        <v>45457</v>
      </c>
      <c r="B34" s="56" t="s">
        <v>72</v>
      </c>
      <c r="C34" s="55"/>
      <c r="D34" s="55">
        <v>4891333.33</v>
      </c>
      <c r="E34" s="55">
        <f t="shared" si="1"/>
        <v>14674000.010000004</v>
      </c>
      <c r="F34" s="86"/>
    </row>
    <row r="35" spans="1:6" ht="19.95" customHeight="1" thickBot="1">
      <c r="A35" s="69" t="s">
        <v>78</v>
      </c>
      <c r="B35" s="70" t="s">
        <v>77</v>
      </c>
      <c r="C35" s="71">
        <v>3005171.51</v>
      </c>
      <c r="D35" s="71"/>
      <c r="E35" s="71">
        <f t="shared" si="1"/>
        <v>17679171.520000003</v>
      </c>
      <c r="F35" s="103" t="s">
        <v>89</v>
      </c>
    </row>
    <row r="36" spans="1:6" ht="19.95" customHeight="1" thickBot="1">
      <c r="A36" s="69" t="s">
        <v>75</v>
      </c>
      <c r="B36" s="70" t="s">
        <v>76</v>
      </c>
      <c r="C36" s="71">
        <v>6000000</v>
      </c>
      <c r="D36" s="71"/>
      <c r="E36" s="71">
        <f t="shared" si="1"/>
        <v>23679171.520000003</v>
      </c>
      <c r="F36" s="72"/>
    </row>
    <row r="37" spans="1:6" ht="19.95" customHeight="1" thickBot="1">
      <c r="A37" s="69" t="s">
        <v>79</v>
      </c>
      <c r="B37" s="70" t="s">
        <v>76</v>
      </c>
      <c r="C37" s="71">
        <v>3000000</v>
      </c>
      <c r="D37" s="71"/>
      <c r="E37" s="71">
        <f t="shared" si="1"/>
        <v>26679171.520000003</v>
      </c>
      <c r="F37" s="72"/>
    </row>
    <row r="38" spans="1:6" s="52" customFormat="1" ht="19.95" customHeight="1">
      <c r="A38" s="93">
        <v>45475</v>
      </c>
      <c r="B38" s="97" t="s">
        <v>80</v>
      </c>
      <c r="C38" s="94"/>
      <c r="D38" s="94">
        <v>3500000</v>
      </c>
      <c r="E38" s="94">
        <f t="shared" si="1"/>
        <v>23179171.520000003</v>
      </c>
      <c r="F38" s="102" t="s">
        <v>88</v>
      </c>
    </row>
    <row r="39" spans="1:6" s="52" customFormat="1" ht="19.95" customHeight="1">
      <c r="A39" s="53">
        <v>45475</v>
      </c>
      <c r="B39" s="98" t="s">
        <v>81</v>
      </c>
      <c r="C39" s="55"/>
      <c r="D39" s="55">
        <v>3500000</v>
      </c>
      <c r="E39" s="55">
        <f t="shared" si="1"/>
        <v>19679171.520000003</v>
      </c>
      <c r="F39" s="86"/>
    </row>
    <row r="40" spans="1:6" s="52" customFormat="1" ht="19.95" customHeight="1">
      <c r="A40" s="53">
        <v>45475</v>
      </c>
      <c r="B40" s="98" t="s">
        <v>82</v>
      </c>
      <c r="C40" s="55"/>
      <c r="D40" s="55">
        <v>3500000</v>
      </c>
      <c r="E40" s="55">
        <f t="shared" si="1"/>
        <v>16179171.520000003</v>
      </c>
      <c r="F40" s="86"/>
    </row>
    <row r="41" spans="1:6" s="52" customFormat="1" ht="19.95" customHeight="1">
      <c r="A41" s="53">
        <v>45475</v>
      </c>
      <c r="B41" s="99" t="s">
        <v>83</v>
      </c>
      <c r="C41" s="55"/>
      <c r="D41" s="55">
        <v>3500000</v>
      </c>
      <c r="E41" s="55">
        <f t="shared" si="1"/>
        <v>12679171.520000003</v>
      </c>
      <c r="F41" s="86"/>
    </row>
    <row r="42" spans="1:6" s="52" customFormat="1" ht="19.95" customHeight="1">
      <c r="A42" s="53">
        <v>45475</v>
      </c>
      <c r="B42" s="98" t="s">
        <v>84</v>
      </c>
      <c r="C42" s="55"/>
      <c r="D42" s="55">
        <v>3500000</v>
      </c>
      <c r="E42" s="55">
        <f t="shared" si="1"/>
        <v>9179171.5200000033</v>
      </c>
      <c r="F42" s="86"/>
    </row>
    <row r="43" spans="1:6" s="52" customFormat="1" ht="19.95" customHeight="1">
      <c r="A43" s="53">
        <v>45475</v>
      </c>
      <c r="B43" s="98" t="s">
        <v>85</v>
      </c>
      <c r="C43" s="55"/>
      <c r="D43" s="55">
        <v>3097631</v>
      </c>
      <c r="E43" s="55">
        <f t="shared" si="1"/>
        <v>6081540.5200000033</v>
      </c>
      <c r="F43" s="86"/>
    </row>
    <row r="44" spans="1:6" s="52" customFormat="1" ht="19.95" customHeight="1">
      <c r="A44" s="53">
        <v>45478</v>
      </c>
      <c r="B44" s="99" t="s">
        <v>86</v>
      </c>
      <c r="C44" s="55"/>
      <c r="D44" s="55">
        <v>3000000</v>
      </c>
      <c r="E44" s="55">
        <f t="shared" si="1"/>
        <v>3081540.5200000033</v>
      </c>
      <c r="F44" s="86"/>
    </row>
    <row r="45" spans="1:6" s="52" customFormat="1" ht="19.95" customHeight="1" thickBot="1">
      <c r="A45" s="95">
        <v>45478</v>
      </c>
      <c r="B45" s="101" t="s">
        <v>87</v>
      </c>
      <c r="C45" s="96"/>
      <c r="D45" s="96">
        <v>3005171.5</v>
      </c>
      <c r="E45" s="96">
        <f t="shared" si="1"/>
        <v>76369.020000003278</v>
      </c>
      <c r="F45" s="100"/>
    </row>
    <row r="46" spans="1:6" ht="43.8" thickBot="1">
      <c r="A46" s="90" t="s">
        <v>60</v>
      </c>
      <c r="B46" s="91"/>
      <c r="C46" s="91"/>
      <c r="D46" s="91"/>
      <c r="E46" s="92">
        <f t="shared" si="1"/>
        <v>76369.020000003278</v>
      </c>
      <c r="F46" s="104" t="s">
        <v>90</v>
      </c>
    </row>
  </sheetData>
  <mergeCells count="9">
    <mergeCell ref="A4:F4"/>
    <mergeCell ref="A2:F3"/>
    <mergeCell ref="F19:F22"/>
    <mergeCell ref="F31:F34"/>
    <mergeCell ref="A46:D46"/>
    <mergeCell ref="A23:A25"/>
    <mergeCell ref="A26:A28"/>
    <mergeCell ref="A29:A30"/>
    <mergeCell ref="F38:F45"/>
  </mergeCells>
  <printOptions horizontalCentered="1"/>
  <pageMargins left="0.31496062992125984" right="0.31496062992125984" top="0.35433070866141736" bottom="0.35433070866141736" header="0.31496062992125984" footer="0.31496062992125984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MARZO 2024</vt:lpstr>
      <vt:lpstr>ABRIL 2024</vt:lpstr>
      <vt:lpstr>MAYO 2024</vt:lpstr>
      <vt:lpstr>JUNIO 2024</vt:lpstr>
      <vt:lpstr>CONCILIACIÓN VALLAS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2024-06-27T13:57:21Z</cp:lastPrinted>
  <dcterms:created xsi:type="dcterms:W3CDTF">2024-01-30T17:58:19Z</dcterms:created>
  <dcterms:modified xsi:type="dcterms:W3CDTF">2024-07-05T15:21:11Z</dcterms:modified>
</cp:coreProperties>
</file>