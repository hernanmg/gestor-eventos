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ENP_DOS57\CUENTAS CORRIENTES ESPECIALES\"/>
    </mc:Choice>
  </mc:AlternateContent>
  <bookViews>
    <workbookView xWindow="-120" yWindow="-120" windowWidth="20736" windowHeight="11160" firstSheet="10" activeTab="12"/>
  </bookViews>
  <sheets>
    <sheet name="Talleres" sheetId="1" r:id="rId1"/>
    <sheet name="2023" sheetId="2" r:id="rId2"/>
    <sheet name="Rendicion Futbol 2023" sheetId="4" r:id="rId3"/>
    <sheet name="Rendicion Futbol 2023 - VALIDA" sheetId="5" r:id="rId4"/>
    <sheet name="2024" sheetId="6" r:id="rId5"/>
    <sheet name="Rendicion Futbol 2024" sheetId="8" r:id="rId6"/>
    <sheet name="2025" sheetId="9" r:id="rId7"/>
    <sheet name="Rendicion Futbol 2025 - Ene-Jun" sheetId="11" r:id="rId8"/>
    <sheet name="Rendicion Futbol 2025 - Jul-Dic" sheetId="13" r:id="rId9"/>
    <sheet name="Extraordinario Conmebol 2025" sheetId="10" r:id="rId10"/>
    <sheet name="Modif. Matias Conmebol" sheetId="12" r:id="rId11"/>
    <sheet name="2026 - 1er semestre" sheetId="14" r:id="rId12"/>
    <sheet name="2026 - 2do semestre" sheetId="15" r:id="rId13"/>
    <sheet name="Rendicion Futbol 2026" sheetId="16" r:id="rId14"/>
  </sheets>
  <calcPr calcId="162913"/>
</workbook>
</file>

<file path=xl/calcChain.xml><?xml version="1.0" encoding="utf-8"?>
<calcChain xmlns="http://schemas.openxmlformats.org/spreadsheetml/2006/main">
  <c r="H17" i="15" l="1"/>
  <c r="H18" i="15"/>
  <c r="H10" i="15"/>
  <c r="H11" i="15"/>
  <c r="H94" i="16" l="1"/>
  <c r="H81" i="16"/>
  <c r="H83" i="16" s="1"/>
  <c r="C96" i="16"/>
  <c r="C93" i="16"/>
  <c r="C82" i="16"/>
  <c r="H67" i="16"/>
  <c r="H66" i="16"/>
  <c r="H65" i="16"/>
  <c r="H64" i="16"/>
  <c r="H63" i="16"/>
  <c r="H80" i="16" s="1"/>
  <c r="H62" i="16"/>
  <c r="H61" i="16"/>
  <c r="H60" i="16"/>
  <c r="H58" i="16"/>
  <c r="H57" i="16"/>
  <c r="H56" i="16"/>
  <c r="H55" i="16"/>
  <c r="H54" i="16"/>
  <c r="H79" i="16" s="1"/>
  <c r="H53" i="16"/>
  <c r="H52" i="16"/>
  <c r="H51" i="16"/>
  <c r="H49" i="16"/>
  <c r="H48" i="16"/>
  <c r="H47" i="16"/>
  <c r="H46" i="16"/>
  <c r="H45" i="16"/>
  <c r="H78" i="16" s="1"/>
  <c r="H44" i="16"/>
  <c r="H43" i="16"/>
  <c r="H42" i="16"/>
  <c r="H40" i="16"/>
  <c r="H39" i="16"/>
  <c r="H38" i="16"/>
  <c r="H37" i="16"/>
  <c r="H36" i="16"/>
  <c r="H77" i="16" s="1"/>
  <c r="H35" i="16"/>
  <c r="H34" i="16"/>
  <c r="H33" i="16"/>
  <c r="H31" i="16"/>
  <c r="H30" i="16"/>
  <c r="H29" i="16"/>
  <c r="H28" i="16"/>
  <c r="H27" i="16"/>
  <c r="H76" i="16" s="1"/>
  <c r="H26" i="16"/>
  <c r="H25" i="16"/>
  <c r="H24" i="16"/>
  <c r="H22" i="16"/>
  <c r="H21" i="16"/>
  <c r="H20" i="16"/>
  <c r="H19" i="16"/>
  <c r="H18" i="16"/>
  <c r="H75" i="16" s="1"/>
  <c r="H17" i="16"/>
  <c r="H16" i="16"/>
  <c r="H15" i="16"/>
  <c r="H13" i="16"/>
  <c r="H12" i="16"/>
  <c r="H11" i="16"/>
  <c r="H10" i="16"/>
  <c r="H9" i="16"/>
  <c r="H8" i="16"/>
  <c r="H7" i="16"/>
  <c r="H6" i="16"/>
  <c r="H74" i="16" l="1"/>
  <c r="H88" i="16"/>
  <c r="H92" i="16"/>
  <c r="H14" i="16"/>
  <c r="H41" i="16"/>
  <c r="H50" i="16"/>
  <c r="H87" i="16"/>
  <c r="H89" i="16"/>
  <c r="H91" i="16"/>
  <c r="H93" i="16"/>
  <c r="H32" i="16"/>
  <c r="H68" i="16"/>
  <c r="H23" i="16"/>
  <c r="H59" i="16"/>
  <c r="H90" i="16"/>
  <c r="Q70" i="15"/>
  <c r="O69" i="15"/>
  <c r="O68" i="15"/>
  <c r="O67" i="15"/>
  <c r="O66" i="15"/>
  <c r="H66" i="15"/>
  <c r="O65" i="15"/>
  <c r="H65" i="15"/>
  <c r="O64" i="15"/>
  <c r="H64" i="15"/>
  <c r="H70" i="15" s="1"/>
  <c r="Q63" i="15"/>
  <c r="O62" i="15"/>
  <c r="O61" i="15"/>
  <c r="O60" i="15"/>
  <c r="O59" i="15"/>
  <c r="H59" i="15"/>
  <c r="O58" i="15"/>
  <c r="H58" i="15"/>
  <c r="O57" i="15"/>
  <c r="H57" i="15"/>
  <c r="Q56" i="15"/>
  <c r="O55" i="15"/>
  <c r="O54" i="15"/>
  <c r="O53" i="15"/>
  <c r="O52" i="15"/>
  <c r="H52" i="15"/>
  <c r="O51" i="15"/>
  <c r="H51" i="15"/>
  <c r="O50" i="15"/>
  <c r="H50" i="15"/>
  <c r="H56" i="15" s="1"/>
  <c r="Q49" i="15"/>
  <c r="O48" i="15"/>
  <c r="O47" i="15"/>
  <c r="O46" i="15"/>
  <c r="O45" i="15"/>
  <c r="H45" i="15"/>
  <c r="O44" i="15"/>
  <c r="H44" i="15"/>
  <c r="O43" i="15"/>
  <c r="H43" i="15"/>
  <c r="Q42" i="15"/>
  <c r="O41" i="15"/>
  <c r="O40" i="15"/>
  <c r="O39" i="15"/>
  <c r="O38" i="15"/>
  <c r="H38" i="15"/>
  <c r="O37" i="15"/>
  <c r="H37" i="15"/>
  <c r="O36" i="15"/>
  <c r="H36" i="15"/>
  <c r="H42" i="15" s="1"/>
  <c r="Q35" i="15"/>
  <c r="O34" i="15"/>
  <c r="O33" i="15"/>
  <c r="O32" i="15"/>
  <c r="O31" i="15"/>
  <c r="H31" i="15"/>
  <c r="O30" i="15"/>
  <c r="H30" i="15"/>
  <c r="O29" i="15"/>
  <c r="H29" i="15"/>
  <c r="H35" i="15" s="1"/>
  <c r="Q28" i="15"/>
  <c r="O27" i="15"/>
  <c r="O26" i="15"/>
  <c r="O25" i="15"/>
  <c r="O24" i="15"/>
  <c r="H24" i="15"/>
  <c r="O23" i="15"/>
  <c r="H23" i="15"/>
  <c r="O22" i="15"/>
  <c r="H22" i="15"/>
  <c r="H28" i="15" s="1"/>
  <c r="Q21" i="15"/>
  <c r="O20" i="15"/>
  <c r="O19" i="15"/>
  <c r="O18" i="15"/>
  <c r="O17" i="15"/>
  <c r="O16" i="15"/>
  <c r="H16" i="15"/>
  <c r="O15" i="15"/>
  <c r="H15" i="15"/>
  <c r="H21" i="15" s="1"/>
  <c r="Q14" i="15"/>
  <c r="O13" i="15"/>
  <c r="O12" i="15"/>
  <c r="O14" i="15" s="1"/>
  <c r="O11" i="15"/>
  <c r="O10" i="15"/>
  <c r="O9" i="15"/>
  <c r="H9" i="15"/>
  <c r="O8" i="15"/>
  <c r="H8" i="15"/>
  <c r="H96" i="16" l="1"/>
  <c r="C95" i="16" s="1"/>
  <c r="C97" i="16" s="1"/>
  <c r="C92" i="16"/>
  <c r="C94" i="16" s="1"/>
  <c r="O21" i="15"/>
  <c r="O72" i="15" s="1"/>
  <c r="H14" i="15"/>
  <c r="H49" i="15"/>
  <c r="H63" i="15"/>
  <c r="O56" i="15"/>
  <c r="O42" i="15"/>
  <c r="O70" i="15"/>
  <c r="O63" i="15"/>
  <c r="O49" i="15"/>
  <c r="O35" i="15"/>
  <c r="O28" i="15"/>
  <c r="H58" i="14"/>
  <c r="O55" i="14"/>
  <c r="O54" i="14"/>
  <c r="O53" i="14"/>
  <c r="O52" i="14"/>
  <c r="O51" i="14"/>
  <c r="O50" i="14"/>
  <c r="H72" i="15" l="1"/>
  <c r="H98" i="16"/>
  <c r="H100" i="16"/>
  <c r="C85" i="16" s="1"/>
  <c r="C87" i="16" s="1"/>
  <c r="C89" i="16" s="1"/>
  <c r="P58" i="6"/>
  <c r="P52" i="6"/>
  <c r="H10" i="14"/>
  <c r="H9" i="14"/>
  <c r="H8" i="14"/>
  <c r="Q56" i="14"/>
  <c r="H52" i="14"/>
  <c r="H51" i="14"/>
  <c r="H50" i="14"/>
  <c r="Q49" i="14"/>
  <c r="O48" i="14"/>
  <c r="O47" i="14"/>
  <c r="O46" i="14"/>
  <c r="O45" i="14"/>
  <c r="H45" i="14"/>
  <c r="O44" i="14"/>
  <c r="H44" i="14"/>
  <c r="O43" i="14"/>
  <c r="H43" i="14"/>
  <c r="Q42" i="14"/>
  <c r="O41" i="14"/>
  <c r="O40" i="14"/>
  <c r="O39" i="14"/>
  <c r="O38" i="14"/>
  <c r="H38" i="14"/>
  <c r="O37" i="14"/>
  <c r="H37" i="14"/>
  <c r="O36" i="14"/>
  <c r="H36" i="14"/>
  <c r="Q35" i="14"/>
  <c r="O34" i="14"/>
  <c r="O33" i="14"/>
  <c r="O32" i="14"/>
  <c r="O31" i="14"/>
  <c r="H31" i="14"/>
  <c r="O30" i="14"/>
  <c r="H30" i="14"/>
  <c r="O29" i="14"/>
  <c r="H29" i="14"/>
  <c r="H35" i="14" s="1"/>
  <c r="Q28" i="14"/>
  <c r="O27" i="14"/>
  <c r="O26" i="14"/>
  <c r="O25" i="14"/>
  <c r="O24" i="14"/>
  <c r="H24" i="14"/>
  <c r="O23" i="14"/>
  <c r="H23" i="14"/>
  <c r="O22" i="14"/>
  <c r="H22" i="14"/>
  <c r="Q21" i="14"/>
  <c r="O20" i="14"/>
  <c r="O19" i="14"/>
  <c r="O18" i="14"/>
  <c r="O17" i="14"/>
  <c r="H17" i="14"/>
  <c r="O16" i="14"/>
  <c r="H16" i="14"/>
  <c r="O15" i="14"/>
  <c r="H15" i="14"/>
  <c r="Q14" i="14"/>
  <c r="O13" i="14"/>
  <c r="O12" i="14"/>
  <c r="O11" i="14"/>
  <c r="O10" i="14"/>
  <c r="O9" i="14"/>
  <c r="O8" i="14"/>
  <c r="H42" i="14" l="1"/>
  <c r="O35" i="14"/>
  <c r="O14" i="14"/>
  <c r="O49" i="14"/>
  <c r="O28" i="14"/>
  <c r="O21" i="14"/>
  <c r="H56" i="14"/>
  <c r="H14" i="14"/>
  <c r="O56" i="14"/>
  <c r="H21" i="14"/>
  <c r="O42" i="14"/>
  <c r="H49" i="14"/>
  <c r="H28" i="14"/>
  <c r="C121" i="13"/>
  <c r="C118" i="13"/>
  <c r="C117" i="13"/>
  <c r="O58" i="14" l="1"/>
  <c r="C107" i="13"/>
  <c r="H92" i="13"/>
  <c r="H91" i="13"/>
  <c r="H90" i="13"/>
  <c r="H89" i="13"/>
  <c r="H88" i="13"/>
  <c r="H87" i="13"/>
  <c r="H86" i="13"/>
  <c r="H106" i="13" s="1"/>
  <c r="H85" i="13"/>
  <c r="H84" i="13"/>
  <c r="H83" i="13"/>
  <c r="H120" i="13" s="1"/>
  <c r="H81" i="13"/>
  <c r="H80" i="13"/>
  <c r="H79" i="13"/>
  <c r="H78" i="13"/>
  <c r="H77" i="13"/>
  <c r="H76" i="13"/>
  <c r="H75" i="13"/>
  <c r="H74" i="13"/>
  <c r="H73" i="13"/>
  <c r="H72" i="13"/>
  <c r="H70" i="13"/>
  <c r="H69" i="13"/>
  <c r="H68" i="13"/>
  <c r="H67" i="13"/>
  <c r="H66" i="13"/>
  <c r="H65" i="13"/>
  <c r="H64" i="13"/>
  <c r="H104" i="13" s="1"/>
  <c r="H63" i="13"/>
  <c r="H62" i="13"/>
  <c r="H61" i="13"/>
  <c r="H59" i="13"/>
  <c r="H58" i="13"/>
  <c r="H57" i="13"/>
  <c r="H56" i="13"/>
  <c r="H55" i="13"/>
  <c r="H54" i="13"/>
  <c r="H53" i="13"/>
  <c r="H52" i="13"/>
  <c r="H51" i="13"/>
  <c r="H50" i="13"/>
  <c r="H117" i="13" s="1"/>
  <c r="H48" i="13"/>
  <c r="H47" i="13"/>
  <c r="H46" i="13"/>
  <c r="H45" i="13"/>
  <c r="H44" i="13"/>
  <c r="H43" i="13"/>
  <c r="H42" i="13"/>
  <c r="H41" i="13"/>
  <c r="H40" i="13"/>
  <c r="H39" i="13"/>
  <c r="H37" i="13"/>
  <c r="H36" i="13"/>
  <c r="H35" i="13"/>
  <c r="H34" i="13"/>
  <c r="H33" i="13"/>
  <c r="H32" i="13"/>
  <c r="H31" i="13"/>
  <c r="H30" i="13"/>
  <c r="H29" i="13"/>
  <c r="H28" i="13"/>
  <c r="H115" i="13" s="1"/>
  <c r="H26" i="13"/>
  <c r="H25" i="13"/>
  <c r="H24" i="13"/>
  <c r="H23" i="13"/>
  <c r="H22" i="13"/>
  <c r="H21" i="13"/>
  <c r="H20" i="13"/>
  <c r="H19" i="13"/>
  <c r="H18" i="13"/>
  <c r="H17" i="13"/>
  <c r="H15" i="13"/>
  <c r="H14" i="13"/>
  <c r="H13" i="13"/>
  <c r="H12" i="13"/>
  <c r="H11" i="13"/>
  <c r="H10" i="13"/>
  <c r="H9" i="13"/>
  <c r="H8" i="13"/>
  <c r="H7" i="13"/>
  <c r="H6" i="13"/>
  <c r="H113" i="13" s="1"/>
  <c r="H100" i="13" l="1"/>
  <c r="H102" i="13"/>
  <c r="H114" i="13"/>
  <c r="H121" i="13" s="1"/>
  <c r="H123" i="13" s="1"/>
  <c r="C120" i="13" s="1"/>
  <c r="C122" i="13" s="1"/>
  <c r="H116" i="13"/>
  <c r="H118" i="13"/>
  <c r="H99" i="13"/>
  <c r="H101" i="13"/>
  <c r="H103" i="13"/>
  <c r="H105" i="13"/>
  <c r="H119" i="13"/>
  <c r="H16" i="13"/>
  <c r="H60" i="13"/>
  <c r="H27" i="13"/>
  <c r="H71" i="13"/>
  <c r="H38" i="13"/>
  <c r="H82" i="13"/>
  <c r="H49" i="13"/>
  <c r="H93" i="13"/>
  <c r="C264" i="11"/>
  <c r="C261" i="11"/>
  <c r="H107" i="13" l="1"/>
  <c r="H109" i="13" s="1"/>
  <c r="H127" i="13" s="1"/>
  <c r="C110" i="13" s="1"/>
  <c r="C112" i="13" s="1"/>
  <c r="C114" i="13" s="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283" i="11" s="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282" i="11" s="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279" i="11" s="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278" i="11" s="1"/>
  <c r="C119" i="13" l="1"/>
  <c r="H125" i="13"/>
  <c r="H280" i="11"/>
  <c r="H255" i="11"/>
  <c r="H281" i="11"/>
  <c r="H284" i="11"/>
  <c r="H259" i="11"/>
  <c r="H285" i="11"/>
  <c r="H253" i="11"/>
  <c r="H254" i="11"/>
  <c r="H256" i="11"/>
  <c r="H257" i="11"/>
  <c r="H258" i="11"/>
  <c r="H260" i="11"/>
  <c r="H171" i="11"/>
  <c r="H236" i="11"/>
  <c r="H145" i="11"/>
  <c r="H158" i="11"/>
  <c r="H184" i="11"/>
  <c r="H197" i="11"/>
  <c r="H210" i="11"/>
  <c r="H223" i="11"/>
  <c r="Q140" i="9" l="1"/>
  <c r="O139" i="9"/>
  <c r="H139" i="9"/>
  <c r="O138" i="9"/>
  <c r="H138" i="9"/>
  <c r="O137" i="9"/>
  <c r="H137" i="9"/>
  <c r="O136" i="9"/>
  <c r="H136" i="9"/>
  <c r="O135" i="9"/>
  <c r="H135" i="9"/>
  <c r="O134" i="9"/>
  <c r="O140" i="9" s="1"/>
  <c r="H134" i="9"/>
  <c r="Q133" i="9"/>
  <c r="O132" i="9"/>
  <c r="H132" i="9"/>
  <c r="O131" i="9"/>
  <c r="H131" i="9"/>
  <c r="O130" i="9"/>
  <c r="H130" i="9"/>
  <c r="O129" i="9"/>
  <c r="H129" i="9"/>
  <c r="O128" i="9"/>
  <c r="H128" i="9"/>
  <c r="O127" i="9"/>
  <c r="H127" i="9"/>
  <c r="Q126" i="9"/>
  <c r="O125" i="9"/>
  <c r="H125" i="9"/>
  <c r="O124" i="9"/>
  <c r="H124" i="9"/>
  <c r="O123" i="9"/>
  <c r="H123" i="9"/>
  <c r="O122" i="9"/>
  <c r="H122" i="9"/>
  <c r="O121" i="9"/>
  <c r="H121" i="9"/>
  <c r="O120" i="9"/>
  <c r="H120" i="9"/>
  <c r="Q119" i="9"/>
  <c r="O118" i="9"/>
  <c r="H118" i="9"/>
  <c r="O117" i="9"/>
  <c r="H117" i="9"/>
  <c r="O116" i="9"/>
  <c r="H116" i="9"/>
  <c r="O115" i="9"/>
  <c r="H115" i="9"/>
  <c r="O114" i="9"/>
  <c r="H114" i="9"/>
  <c r="O113" i="9"/>
  <c r="H113" i="9"/>
  <c r="H119" i="9" s="1"/>
  <c r="Q112" i="9"/>
  <c r="O111" i="9"/>
  <c r="H111" i="9"/>
  <c r="O110" i="9"/>
  <c r="H110" i="9"/>
  <c r="O109" i="9"/>
  <c r="H109" i="9"/>
  <c r="O108" i="9"/>
  <c r="H108" i="9"/>
  <c r="O107" i="9"/>
  <c r="H107" i="9"/>
  <c r="O106" i="9"/>
  <c r="O112" i="9" s="1"/>
  <c r="H106" i="9"/>
  <c r="Q105" i="9"/>
  <c r="O104" i="9"/>
  <c r="H104" i="9"/>
  <c r="O103" i="9"/>
  <c r="H103" i="9"/>
  <c r="O102" i="9"/>
  <c r="H102" i="9"/>
  <c r="O101" i="9"/>
  <c r="H101" i="9"/>
  <c r="O100" i="9"/>
  <c r="H100" i="9"/>
  <c r="O99" i="9"/>
  <c r="H99" i="9"/>
  <c r="Q98" i="9"/>
  <c r="O97" i="9"/>
  <c r="H97" i="9"/>
  <c r="O96" i="9"/>
  <c r="H96" i="9"/>
  <c r="O95" i="9"/>
  <c r="H95" i="9"/>
  <c r="O94" i="9"/>
  <c r="H94" i="9"/>
  <c r="O93" i="9"/>
  <c r="H93" i="9"/>
  <c r="O92" i="9"/>
  <c r="H92" i="9"/>
  <c r="Q91" i="9"/>
  <c r="O90" i="9"/>
  <c r="H90" i="9"/>
  <c r="O89" i="9"/>
  <c r="H89" i="9"/>
  <c r="O88" i="9"/>
  <c r="H88" i="9"/>
  <c r="O87" i="9"/>
  <c r="H87" i="9"/>
  <c r="O86" i="9"/>
  <c r="H86" i="9"/>
  <c r="O85" i="9"/>
  <c r="H85" i="9"/>
  <c r="H140" i="9" l="1"/>
  <c r="O105" i="9"/>
  <c r="O91" i="9"/>
  <c r="O119" i="9"/>
  <c r="O133" i="9"/>
  <c r="H91" i="9"/>
  <c r="H126" i="9"/>
  <c r="O126" i="9"/>
  <c r="H105" i="9"/>
  <c r="O98" i="9"/>
  <c r="H133" i="9"/>
  <c r="H112" i="9"/>
  <c r="H98" i="9"/>
  <c r="H124" i="11"/>
  <c r="H123" i="11"/>
  <c r="H111" i="11"/>
  <c r="H110" i="11"/>
  <c r="H65" i="11"/>
  <c r="H64" i="11"/>
  <c r="H66" i="11"/>
  <c r="G14" i="12" l="1"/>
  <c r="G13" i="12"/>
  <c r="G12" i="12"/>
  <c r="G15" i="12" s="1"/>
  <c r="G10" i="12"/>
  <c r="G9" i="12"/>
  <c r="G8" i="12"/>
  <c r="G11" i="12" s="1"/>
  <c r="C250" i="11" l="1"/>
  <c r="G277" i="11"/>
  <c r="G276" i="11"/>
  <c r="G275" i="11"/>
  <c r="G274" i="11"/>
  <c r="G273" i="11"/>
  <c r="G272" i="11"/>
  <c r="G271" i="11"/>
  <c r="G270" i="11"/>
  <c r="G269" i="11"/>
  <c r="G268" i="11"/>
  <c r="G267" i="11"/>
  <c r="F277" i="11"/>
  <c r="F276" i="11"/>
  <c r="F275" i="11"/>
  <c r="F274" i="11"/>
  <c r="F273" i="11"/>
  <c r="F272" i="11"/>
  <c r="F271" i="11"/>
  <c r="F270" i="11"/>
  <c r="F269" i="11"/>
  <c r="F268" i="11"/>
  <c r="F267" i="11"/>
  <c r="G252" i="11"/>
  <c r="G251" i="11"/>
  <c r="G250" i="11"/>
  <c r="G249" i="11"/>
  <c r="G248" i="11"/>
  <c r="G247" i="11"/>
  <c r="G246" i="11"/>
  <c r="G245" i="11"/>
  <c r="G244" i="11"/>
  <c r="F244" i="11"/>
  <c r="G243" i="11"/>
  <c r="F252" i="11"/>
  <c r="F251" i="11"/>
  <c r="F250" i="11"/>
  <c r="F249" i="11"/>
  <c r="F248" i="11"/>
  <c r="F247" i="11"/>
  <c r="F246" i="11"/>
  <c r="F245" i="11"/>
  <c r="F243" i="11"/>
  <c r="F242" i="11"/>
  <c r="G242" i="11"/>
  <c r="H131" i="11"/>
  <c r="H130" i="11"/>
  <c r="H129" i="11"/>
  <c r="H128" i="11"/>
  <c r="H127" i="11"/>
  <c r="H126" i="11"/>
  <c r="H125" i="11"/>
  <c r="H122" i="11"/>
  <c r="H121" i="11"/>
  <c r="H120" i="11"/>
  <c r="H118" i="11"/>
  <c r="H117" i="11"/>
  <c r="H116" i="11"/>
  <c r="H115" i="11"/>
  <c r="H114" i="11"/>
  <c r="H113" i="11"/>
  <c r="H112" i="11"/>
  <c r="H109" i="11"/>
  <c r="H108" i="11"/>
  <c r="H107" i="11"/>
  <c r="H105" i="11"/>
  <c r="H104" i="11"/>
  <c r="H103" i="11"/>
  <c r="H102" i="11"/>
  <c r="H101" i="11"/>
  <c r="H100" i="11"/>
  <c r="H99" i="11"/>
  <c r="H98" i="11"/>
  <c r="H97" i="11"/>
  <c r="H96" i="11"/>
  <c r="H94" i="11"/>
  <c r="H93" i="11"/>
  <c r="H92" i="11"/>
  <c r="H91" i="11"/>
  <c r="H90" i="11"/>
  <c r="H89" i="11"/>
  <c r="H88" i="11"/>
  <c r="H87" i="11"/>
  <c r="H86" i="11"/>
  <c r="H85" i="11"/>
  <c r="H83" i="11"/>
  <c r="H82" i="11"/>
  <c r="H81" i="11"/>
  <c r="H80" i="11"/>
  <c r="H79" i="11"/>
  <c r="H78" i="11"/>
  <c r="H77" i="11"/>
  <c r="H76" i="11"/>
  <c r="H75" i="11"/>
  <c r="H74" i="11"/>
  <c r="H72" i="11"/>
  <c r="H71" i="11"/>
  <c r="H70" i="11"/>
  <c r="H69" i="11"/>
  <c r="H68" i="11"/>
  <c r="H67" i="11"/>
  <c r="H63" i="11"/>
  <c r="H62" i="11"/>
  <c r="H61" i="11"/>
  <c r="H59" i="11"/>
  <c r="H58" i="11"/>
  <c r="H57" i="11"/>
  <c r="H56" i="11"/>
  <c r="H55" i="11"/>
  <c r="H54" i="11"/>
  <c r="H53" i="11"/>
  <c r="H52" i="11"/>
  <c r="H51" i="11"/>
  <c r="H50" i="11"/>
  <c r="H48" i="11"/>
  <c r="H47" i="11"/>
  <c r="H46" i="11"/>
  <c r="H45" i="11"/>
  <c r="H44" i="11"/>
  <c r="H43" i="11"/>
  <c r="H42" i="11"/>
  <c r="H41" i="11"/>
  <c r="H40" i="11"/>
  <c r="H39" i="11"/>
  <c r="H37" i="11"/>
  <c r="H36" i="11"/>
  <c r="H35" i="11"/>
  <c r="H34" i="11"/>
  <c r="H33" i="11"/>
  <c r="H32" i="11"/>
  <c r="H31" i="11"/>
  <c r="H30" i="11"/>
  <c r="H29" i="11"/>
  <c r="H28" i="11"/>
  <c r="H26" i="11"/>
  <c r="H25" i="11"/>
  <c r="H24" i="11"/>
  <c r="H23" i="11"/>
  <c r="H22" i="11"/>
  <c r="H21" i="11"/>
  <c r="H20" i="11"/>
  <c r="H19" i="11"/>
  <c r="H18" i="11"/>
  <c r="H17" i="11"/>
  <c r="H268" i="11" l="1"/>
  <c r="H248" i="11"/>
  <c r="H273" i="11"/>
  <c r="H275" i="11"/>
  <c r="H277" i="11"/>
  <c r="H252" i="11"/>
  <c r="H251" i="11"/>
  <c r="H247" i="11"/>
  <c r="H250" i="11"/>
  <c r="H269" i="11"/>
  <c r="H246" i="11"/>
  <c r="H249" i="11"/>
  <c r="H244" i="11"/>
  <c r="H271" i="11"/>
  <c r="H243" i="11"/>
  <c r="H245" i="11"/>
  <c r="H274" i="11"/>
  <c r="H272" i="11"/>
  <c r="H49" i="11"/>
  <c r="H119" i="11"/>
  <c r="H276" i="11"/>
  <c r="H270" i="11"/>
  <c r="H132" i="11"/>
  <c r="H73" i="11"/>
  <c r="H27" i="11"/>
  <c r="H106" i="11"/>
  <c r="H95" i="11"/>
  <c r="H38" i="11"/>
  <c r="H60" i="11"/>
  <c r="H84" i="11"/>
  <c r="C316" i="8"/>
  <c r="C313" i="8"/>
  <c r="H15" i="11"/>
  <c r="H14" i="11"/>
  <c r="H13" i="11"/>
  <c r="H12" i="11"/>
  <c r="H11" i="11"/>
  <c r="H10" i="11"/>
  <c r="H9" i="11"/>
  <c r="H8" i="11"/>
  <c r="H7" i="11"/>
  <c r="H6" i="11"/>
  <c r="H267" i="11" l="1"/>
  <c r="H286" i="11" s="1"/>
  <c r="H242" i="11"/>
  <c r="H261" i="11" s="1"/>
  <c r="H16" i="11"/>
  <c r="F30" i="10"/>
  <c r="E30" i="10"/>
  <c r="D27" i="10"/>
  <c r="E27" i="10"/>
  <c r="F27" i="10" s="1"/>
  <c r="G11" i="10"/>
  <c r="G10" i="10"/>
  <c r="G9" i="10"/>
  <c r="G8" i="10"/>
  <c r="G12" i="10" s="1"/>
  <c r="F29" i="10"/>
  <c r="F28" i="10"/>
  <c r="G21" i="10"/>
  <c r="G20" i="10"/>
  <c r="G19" i="10"/>
  <c r="G18" i="10"/>
  <c r="G16" i="10"/>
  <c r="G15" i="10"/>
  <c r="G14" i="10"/>
  <c r="G13" i="10"/>
  <c r="H288" i="11" l="1"/>
  <c r="G17" i="10"/>
  <c r="G22" i="10"/>
  <c r="D29" i="10"/>
  <c r="E29" i="10" s="1"/>
  <c r="D28" i="10"/>
  <c r="E28" i="10" s="1"/>
  <c r="H263" i="11" l="1"/>
  <c r="C260" i="11" s="1"/>
  <c r="C262" i="11" s="1"/>
  <c r="C263" i="11"/>
  <c r="C265" i="11" s="1"/>
  <c r="Q84" i="9"/>
  <c r="O83" i="9"/>
  <c r="H83" i="9"/>
  <c r="O82" i="9"/>
  <c r="H82" i="9"/>
  <c r="O81" i="9"/>
  <c r="H81" i="9"/>
  <c r="O80" i="9"/>
  <c r="H80" i="9"/>
  <c r="O79" i="9"/>
  <c r="H79" i="9"/>
  <c r="O78" i="9"/>
  <c r="H78" i="9"/>
  <c r="Q77" i="9"/>
  <c r="O76" i="9"/>
  <c r="H76" i="9"/>
  <c r="O75" i="9"/>
  <c r="H75" i="9"/>
  <c r="O74" i="9"/>
  <c r="H74" i="9"/>
  <c r="O73" i="9"/>
  <c r="H73" i="9"/>
  <c r="O72" i="9"/>
  <c r="H72" i="9"/>
  <c r="O71" i="9"/>
  <c r="H71" i="9"/>
  <c r="Q70" i="9"/>
  <c r="O69" i="9"/>
  <c r="H69" i="9"/>
  <c r="O68" i="9"/>
  <c r="H68" i="9"/>
  <c r="O67" i="9"/>
  <c r="H67" i="9"/>
  <c r="O66" i="9"/>
  <c r="H66" i="9"/>
  <c r="O65" i="9"/>
  <c r="H65" i="9"/>
  <c r="O64" i="9"/>
  <c r="H64" i="9"/>
  <c r="Q63" i="9"/>
  <c r="O62" i="9"/>
  <c r="H62" i="9"/>
  <c r="O61" i="9"/>
  <c r="H61" i="9"/>
  <c r="O60" i="9"/>
  <c r="H60" i="9"/>
  <c r="O59" i="9"/>
  <c r="H59" i="9"/>
  <c r="O58" i="9"/>
  <c r="H58" i="9"/>
  <c r="O57" i="9"/>
  <c r="H57" i="9"/>
  <c r="Q56" i="9"/>
  <c r="O55" i="9"/>
  <c r="H55" i="9"/>
  <c r="O54" i="9"/>
  <c r="H54" i="9"/>
  <c r="O53" i="9"/>
  <c r="H53" i="9"/>
  <c r="O52" i="9"/>
  <c r="H52" i="9"/>
  <c r="O51" i="9"/>
  <c r="H51" i="9"/>
  <c r="O50" i="9"/>
  <c r="H50" i="9"/>
  <c r="Q49" i="9"/>
  <c r="O48" i="9"/>
  <c r="H48" i="9"/>
  <c r="O47" i="9"/>
  <c r="H47" i="9"/>
  <c r="O46" i="9"/>
  <c r="H46" i="9"/>
  <c r="O45" i="9"/>
  <c r="H45" i="9"/>
  <c r="O44" i="9"/>
  <c r="H44" i="9"/>
  <c r="O43" i="9"/>
  <c r="H43" i="9"/>
  <c r="Q42" i="9"/>
  <c r="O41" i="9"/>
  <c r="H41" i="9"/>
  <c r="O40" i="9"/>
  <c r="H40" i="9"/>
  <c r="O39" i="9"/>
  <c r="H39" i="9"/>
  <c r="O38" i="9"/>
  <c r="H38" i="9"/>
  <c r="O37" i="9"/>
  <c r="H37" i="9"/>
  <c r="O36" i="9"/>
  <c r="H36" i="9"/>
  <c r="Q35" i="9"/>
  <c r="O34" i="9"/>
  <c r="H34" i="9"/>
  <c r="O33" i="9"/>
  <c r="H33" i="9"/>
  <c r="O32" i="9"/>
  <c r="H32" i="9"/>
  <c r="O31" i="9"/>
  <c r="H31" i="9"/>
  <c r="O30" i="9"/>
  <c r="H30" i="9"/>
  <c r="O29" i="9"/>
  <c r="H29" i="9"/>
  <c r="Q28" i="9"/>
  <c r="O27" i="9"/>
  <c r="H27" i="9"/>
  <c r="O26" i="9"/>
  <c r="H26" i="9"/>
  <c r="O25" i="9"/>
  <c r="H25" i="9"/>
  <c r="O24" i="9"/>
  <c r="H24" i="9"/>
  <c r="O23" i="9"/>
  <c r="H23" i="9"/>
  <c r="O22" i="9"/>
  <c r="H22" i="9"/>
  <c r="Q21" i="9"/>
  <c r="O20" i="9"/>
  <c r="H20" i="9"/>
  <c r="O19" i="9"/>
  <c r="H19" i="9"/>
  <c r="O18" i="9"/>
  <c r="H18" i="9"/>
  <c r="O17" i="9"/>
  <c r="H17" i="9"/>
  <c r="O16" i="9"/>
  <c r="H16" i="9"/>
  <c r="O15" i="9"/>
  <c r="H15" i="9"/>
  <c r="O13" i="9"/>
  <c r="O9" i="9"/>
  <c r="O10" i="9"/>
  <c r="H13" i="9"/>
  <c r="O12" i="9"/>
  <c r="H12" i="9"/>
  <c r="O11" i="9"/>
  <c r="H11" i="9"/>
  <c r="Q14" i="9"/>
  <c r="H10" i="9"/>
  <c r="H9" i="9"/>
  <c r="O8" i="9"/>
  <c r="H8" i="9"/>
  <c r="O35" i="9" l="1"/>
  <c r="H42" i="9"/>
  <c r="O63" i="9"/>
  <c r="H292" i="11"/>
  <c r="C253" i="11" s="1"/>
  <c r="C255" i="11" s="1"/>
  <c r="C257" i="11" s="1"/>
  <c r="H290" i="11"/>
  <c r="O14" i="9"/>
  <c r="H56" i="9"/>
  <c r="O77" i="9"/>
  <c r="O49" i="9"/>
  <c r="O42" i="9"/>
  <c r="H49" i="9"/>
  <c r="H77" i="9"/>
  <c r="H21" i="9"/>
  <c r="H70" i="9"/>
  <c r="H84" i="9"/>
  <c r="O28" i="9"/>
  <c r="H35" i="9"/>
  <c r="O56" i="9"/>
  <c r="H63" i="9"/>
  <c r="O84" i="9"/>
  <c r="O70" i="9"/>
  <c r="O21" i="9"/>
  <c r="H14" i="9"/>
  <c r="H28" i="9"/>
  <c r="H222" i="8"/>
  <c r="H210" i="8"/>
  <c r="H162" i="8"/>
  <c r="H174" i="8"/>
  <c r="H138" i="8" l="1"/>
  <c r="H281" i="8"/>
  <c r="H280" i="8"/>
  <c r="H279" i="8"/>
  <c r="H278" i="8"/>
  <c r="H277" i="8"/>
  <c r="H276" i="8"/>
  <c r="H275" i="8"/>
  <c r="H274" i="8"/>
  <c r="H273" i="8"/>
  <c r="H272" i="8"/>
  <c r="H269" i="8"/>
  <c r="H268" i="8"/>
  <c r="H267" i="8"/>
  <c r="H266" i="8"/>
  <c r="H265" i="8"/>
  <c r="H264" i="8"/>
  <c r="H263" i="8"/>
  <c r="H262" i="8"/>
  <c r="H261" i="8"/>
  <c r="H260" i="8"/>
  <c r="H257" i="8"/>
  <c r="H256" i="8"/>
  <c r="H255" i="8"/>
  <c r="H254" i="8"/>
  <c r="H253" i="8"/>
  <c r="H252" i="8"/>
  <c r="H251" i="8"/>
  <c r="H250" i="8"/>
  <c r="H249" i="8"/>
  <c r="H248" i="8"/>
  <c r="H245" i="8"/>
  <c r="H244" i="8"/>
  <c r="H243" i="8"/>
  <c r="H242" i="8"/>
  <c r="H241" i="8"/>
  <c r="H240" i="8"/>
  <c r="H239" i="8"/>
  <c r="H238" i="8"/>
  <c r="H237" i="8"/>
  <c r="H236" i="8"/>
  <c r="H233" i="8"/>
  <c r="H232" i="8"/>
  <c r="H231" i="8"/>
  <c r="H230" i="8"/>
  <c r="H229" i="8"/>
  <c r="H228" i="8"/>
  <c r="H227" i="8"/>
  <c r="H226" i="8"/>
  <c r="H225" i="8"/>
  <c r="H224" i="8"/>
  <c r="H221" i="8"/>
  <c r="H220" i="8"/>
  <c r="H219" i="8"/>
  <c r="H218" i="8"/>
  <c r="H217" i="8"/>
  <c r="H216" i="8"/>
  <c r="H215" i="8"/>
  <c r="H214" i="8"/>
  <c r="H213" i="8"/>
  <c r="H212" i="8"/>
  <c r="H209" i="8"/>
  <c r="H208" i="8"/>
  <c r="H207" i="8"/>
  <c r="H206" i="8"/>
  <c r="H205" i="8"/>
  <c r="H204" i="8"/>
  <c r="H203" i="8"/>
  <c r="H202" i="8"/>
  <c r="H201" i="8"/>
  <c r="H200" i="8"/>
  <c r="H197" i="8"/>
  <c r="H196" i="8"/>
  <c r="H195" i="8"/>
  <c r="H194" i="8"/>
  <c r="H193" i="8"/>
  <c r="H192" i="8"/>
  <c r="H191" i="8"/>
  <c r="H190" i="8"/>
  <c r="H189" i="8"/>
  <c r="H188" i="8"/>
  <c r="H185" i="8"/>
  <c r="H184" i="8"/>
  <c r="H183" i="8"/>
  <c r="H182" i="8"/>
  <c r="H181" i="8"/>
  <c r="H180" i="8"/>
  <c r="H179" i="8"/>
  <c r="H178" i="8"/>
  <c r="H177" i="8"/>
  <c r="H176" i="8"/>
  <c r="H173" i="8"/>
  <c r="H172" i="8"/>
  <c r="H171" i="8"/>
  <c r="H170" i="8"/>
  <c r="H169" i="8"/>
  <c r="H168" i="8"/>
  <c r="H167" i="8"/>
  <c r="H166" i="8"/>
  <c r="H165" i="8"/>
  <c r="H164" i="8"/>
  <c r="H161" i="8"/>
  <c r="H160" i="8"/>
  <c r="H159" i="8"/>
  <c r="H158" i="8"/>
  <c r="H157" i="8"/>
  <c r="H156" i="8"/>
  <c r="H155" i="8"/>
  <c r="H154" i="8"/>
  <c r="H153" i="8"/>
  <c r="H152" i="8"/>
  <c r="H149" i="8"/>
  <c r="H148" i="8"/>
  <c r="H147" i="8"/>
  <c r="H146" i="8"/>
  <c r="H145" i="8"/>
  <c r="H144" i="8"/>
  <c r="H143" i="8"/>
  <c r="H142" i="8"/>
  <c r="H141" i="8"/>
  <c r="H140" i="8"/>
  <c r="H137" i="8"/>
  <c r="H136" i="8"/>
  <c r="H135" i="8"/>
  <c r="H134" i="8"/>
  <c r="H133" i="8"/>
  <c r="H132" i="8"/>
  <c r="H131" i="8"/>
  <c r="H130" i="8"/>
  <c r="H129" i="8"/>
  <c r="G319" i="8"/>
  <c r="F319" i="8"/>
  <c r="G289" i="8"/>
  <c r="F289" i="8"/>
  <c r="C289" i="8"/>
  <c r="C301" i="8" s="1"/>
  <c r="H127" i="8"/>
  <c r="H126" i="8"/>
  <c r="H125" i="8"/>
  <c r="H124" i="8"/>
  <c r="H123" i="8"/>
  <c r="H122" i="8"/>
  <c r="H121" i="8"/>
  <c r="H120" i="8"/>
  <c r="H119" i="8"/>
  <c r="H118" i="8"/>
  <c r="H116" i="8"/>
  <c r="H115" i="8"/>
  <c r="H114" i="8"/>
  <c r="H113" i="8"/>
  <c r="H112" i="8"/>
  <c r="H111" i="8"/>
  <c r="H110" i="8"/>
  <c r="H109" i="8"/>
  <c r="H108" i="8"/>
  <c r="H107" i="8"/>
  <c r="H106" i="8"/>
  <c r="H104" i="8"/>
  <c r="H103" i="8"/>
  <c r="H102" i="8"/>
  <c r="H101" i="8"/>
  <c r="H100" i="8"/>
  <c r="H99" i="8"/>
  <c r="H98" i="8"/>
  <c r="H97" i="8"/>
  <c r="H96" i="8"/>
  <c r="H95" i="8"/>
  <c r="H94" i="8"/>
  <c r="H92" i="8"/>
  <c r="H91" i="8"/>
  <c r="H90" i="8"/>
  <c r="H89" i="8"/>
  <c r="H88" i="8"/>
  <c r="H87" i="8"/>
  <c r="H86" i="8"/>
  <c r="H85" i="8"/>
  <c r="H84" i="8"/>
  <c r="H83" i="8"/>
  <c r="H81" i="8"/>
  <c r="H80" i="8"/>
  <c r="H79" i="8"/>
  <c r="H78" i="8"/>
  <c r="H77" i="8"/>
  <c r="H76" i="8"/>
  <c r="H75" i="8"/>
  <c r="H74" i="8"/>
  <c r="H73" i="8"/>
  <c r="H72" i="8"/>
  <c r="H70" i="8"/>
  <c r="H69" i="8"/>
  <c r="H68" i="8"/>
  <c r="H67" i="8"/>
  <c r="H66" i="8"/>
  <c r="H65" i="8"/>
  <c r="H64" i="8"/>
  <c r="H63" i="8"/>
  <c r="H62" i="8"/>
  <c r="H61" i="8"/>
  <c r="H59" i="8"/>
  <c r="H58" i="8"/>
  <c r="H57" i="8"/>
  <c r="H56" i="8"/>
  <c r="H55" i="8"/>
  <c r="H54" i="8"/>
  <c r="H53" i="8"/>
  <c r="H52" i="8"/>
  <c r="H51" i="8"/>
  <c r="H50" i="8"/>
  <c r="H48" i="8"/>
  <c r="H47" i="8"/>
  <c r="H46" i="8"/>
  <c r="H45" i="8"/>
  <c r="H44" i="8"/>
  <c r="H43" i="8"/>
  <c r="H42" i="8"/>
  <c r="H41" i="8"/>
  <c r="H40" i="8"/>
  <c r="H39" i="8"/>
  <c r="H37" i="8"/>
  <c r="H36" i="8"/>
  <c r="H35" i="8"/>
  <c r="H34" i="8"/>
  <c r="H33" i="8"/>
  <c r="H32" i="8"/>
  <c r="H31" i="8"/>
  <c r="H30" i="8"/>
  <c r="H29" i="8"/>
  <c r="H28" i="8"/>
  <c r="H26" i="8"/>
  <c r="H25" i="8"/>
  <c r="H24" i="8"/>
  <c r="H23" i="8"/>
  <c r="H22" i="8"/>
  <c r="H21" i="8"/>
  <c r="H20" i="8"/>
  <c r="H19" i="8"/>
  <c r="H18" i="8"/>
  <c r="H17" i="8"/>
  <c r="H15" i="8"/>
  <c r="H14" i="8"/>
  <c r="H13" i="8"/>
  <c r="H12" i="8"/>
  <c r="H11" i="8"/>
  <c r="H10" i="8"/>
  <c r="H9" i="8"/>
  <c r="H8" i="8"/>
  <c r="H7" i="8"/>
  <c r="H6" i="8"/>
  <c r="H303" i="8" l="1"/>
  <c r="H305" i="8"/>
  <c r="H311" i="8"/>
  <c r="H300" i="8"/>
  <c r="H332" i="8"/>
  <c r="H163" i="8"/>
  <c r="H187" i="8"/>
  <c r="H334" i="8"/>
  <c r="H336" i="8"/>
  <c r="H211" i="8"/>
  <c r="H235" i="8"/>
  <c r="H338" i="8"/>
  <c r="H340" i="8"/>
  <c r="H259" i="8"/>
  <c r="H283" i="8"/>
  <c r="H342" i="8"/>
  <c r="H139" i="8"/>
  <c r="H330" i="8"/>
  <c r="H301" i="8"/>
  <c r="H307" i="8"/>
  <c r="H309" i="8"/>
  <c r="H151" i="8"/>
  <c r="H331" i="8"/>
  <c r="H333" i="8"/>
  <c r="H175" i="8"/>
  <c r="H199" i="8"/>
  <c r="H335" i="8"/>
  <c r="H337" i="8"/>
  <c r="H223" i="8"/>
  <c r="H247" i="8"/>
  <c r="H339" i="8"/>
  <c r="H341" i="8"/>
  <c r="H271" i="8"/>
  <c r="H302" i="8"/>
  <c r="H304" i="8"/>
  <c r="H306" i="8"/>
  <c r="H308" i="8"/>
  <c r="H310" i="8"/>
  <c r="H312" i="8"/>
  <c r="H320" i="8"/>
  <c r="H329" i="8"/>
  <c r="H290" i="8"/>
  <c r="H292" i="8"/>
  <c r="H294" i="8"/>
  <c r="H117" i="8"/>
  <c r="H299" i="8"/>
  <c r="H16" i="8"/>
  <c r="H289" i="8"/>
  <c r="H27" i="8"/>
  <c r="H60" i="8"/>
  <c r="H71" i="8"/>
  <c r="H105" i="8"/>
  <c r="H298" i="8"/>
  <c r="H324" i="8"/>
  <c r="H322" i="8"/>
  <c r="H293" i="8"/>
  <c r="H295" i="8"/>
  <c r="H326" i="8"/>
  <c r="H296" i="8"/>
  <c r="H297" i="8"/>
  <c r="H319" i="8"/>
  <c r="H38" i="8"/>
  <c r="H291" i="8"/>
  <c r="H323" i="8"/>
  <c r="H82" i="8"/>
  <c r="H327" i="8"/>
  <c r="H128" i="8"/>
  <c r="H328" i="8"/>
  <c r="H49" i="8"/>
  <c r="H93" i="8"/>
  <c r="H321" i="8"/>
  <c r="H325" i="8"/>
  <c r="P193" i="6"/>
  <c r="G193" i="6"/>
  <c r="P192" i="6"/>
  <c r="N192" i="6"/>
  <c r="G192" i="6"/>
  <c r="N191" i="6"/>
  <c r="G191" i="6"/>
  <c r="G190" i="6"/>
  <c r="P189" i="6"/>
  <c r="P194" i="6" s="1"/>
  <c r="N189" i="6"/>
  <c r="G189" i="6"/>
  <c r="N188" i="6"/>
  <c r="N194" i="6" s="1"/>
  <c r="G188" i="6"/>
  <c r="P186" i="6"/>
  <c r="G186" i="6"/>
  <c r="P185" i="6"/>
  <c r="G185" i="6"/>
  <c r="N184" i="6"/>
  <c r="G184" i="6"/>
  <c r="N183" i="6"/>
  <c r="G183" i="6"/>
  <c r="P182" i="6"/>
  <c r="G182" i="6"/>
  <c r="N181" i="6"/>
  <c r="G181" i="6"/>
  <c r="N180" i="6"/>
  <c r="G180" i="6"/>
  <c r="P178" i="6"/>
  <c r="G178" i="6"/>
  <c r="P177" i="6"/>
  <c r="N177" i="6"/>
  <c r="G177" i="6"/>
  <c r="N176" i="6"/>
  <c r="G176" i="6"/>
  <c r="G175" i="6"/>
  <c r="P174" i="6"/>
  <c r="P179" i="6" s="1"/>
  <c r="N174" i="6"/>
  <c r="G174" i="6"/>
  <c r="N173" i="6"/>
  <c r="G173" i="6"/>
  <c r="G179" i="6" s="1"/>
  <c r="P171" i="6"/>
  <c r="G171" i="6"/>
  <c r="P170" i="6"/>
  <c r="G170" i="6"/>
  <c r="N169" i="6"/>
  <c r="G169" i="6"/>
  <c r="N168" i="6"/>
  <c r="G168" i="6"/>
  <c r="P167" i="6"/>
  <c r="P172" i="6" s="1"/>
  <c r="G167" i="6"/>
  <c r="N166" i="6"/>
  <c r="G166" i="6"/>
  <c r="G172" i="6" s="1"/>
  <c r="N165" i="6"/>
  <c r="N172" i="6" s="1"/>
  <c r="G165" i="6"/>
  <c r="P163" i="6"/>
  <c r="G163" i="6"/>
  <c r="P162" i="6"/>
  <c r="N162" i="6"/>
  <c r="G162" i="6"/>
  <c r="N161" i="6"/>
  <c r="G161" i="6"/>
  <c r="G160" i="6"/>
  <c r="P159" i="6"/>
  <c r="N159" i="6"/>
  <c r="G159" i="6"/>
  <c r="N158" i="6"/>
  <c r="G158" i="6"/>
  <c r="P156" i="6"/>
  <c r="G156" i="6"/>
  <c r="P155" i="6"/>
  <c r="G155" i="6"/>
  <c r="N154" i="6"/>
  <c r="G154" i="6"/>
  <c r="N153" i="6"/>
  <c r="G153" i="6"/>
  <c r="P152" i="6"/>
  <c r="P157" i="6" s="1"/>
  <c r="G152" i="6"/>
  <c r="N151" i="6"/>
  <c r="G151" i="6"/>
  <c r="N150" i="6"/>
  <c r="N157" i="6" s="1"/>
  <c r="G150" i="6"/>
  <c r="H343" i="8" l="1"/>
  <c r="H345" i="8" s="1"/>
  <c r="C315" i="8" s="1"/>
  <c r="C317" i="8" s="1"/>
  <c r="H313" i="8"/>
  <c r="H315" i="8" s="1"/>
  <c r="G157" i="6"/>
  <c r="G164" i="6"/>
  <c r="P164" i="6"/>
  <c r="N179" i="6"/>
  <c r="N164" i="6"/>
  <c r="G194" i="6"/>
  <c r="P187" i="6"/>
  <c r="N187" i="6"/>
  <c r="G187" i="6"/>
  <c r="P148" i="6"/>
  <c r="G148" i="6"/>
  <c r="P147" i="6"/>
  <c r="P149" i="6" s="1"/>
  <c r="N147" i="6"/>
  <c r="G147" i="6"/>
  <c r="N146" i="6"/>
  <c r="G146" i="6"/>
  <c r="G145" i="6"/>
  <c r="P144" i="6"/>
  <c r="N144" i="6"/>
  <c r="G144" i="6"/>
  <c r="N143" i="6"/>
  <c r="G143" i="6"/>
  <c r="C312" i="8" l="1"/>
  <c r="C314" i="8" s="1"/>
  <c r="H347" i="8"/>
  <c r="H349" i="8"/>
  <c r="C304" i="8" s="1"/>
  <c r="C307" i="8" s="1"/>
  <c r="C309" i="8" s="1"/>
  <c r="N149" i="6"/>
  <c r="G149" i="6"/>
  <c r="P141" i="6"/>
  <c r="G141" i="6"/>
  <c r="P140" i="6"/>
  <c r="G140" i="6"/>
  <c r="N139" i="6"/>
  <c r="G139" i="6"/>
  <c r="N138" i="6"/>
  <c r="G138" i="6"/>
  <c r="P137" i="6"/>
  <c r="G137" i="6"/>
  <c r="N136" i="6"/>
  <c r="G136" i="6"/>
  <c r="N135" i="6"/>
  <c r="G135" i="6"/>
  <c r="P133" i="6"/>
  <c r="G133" i="6"/>
  <c r="P132" i="6"/>
  <c r="N132" i="6"/>
  <c r="G132" i="6"/>
  <c r="N131" i="6"/>
  <c r="G131" i="6"/>
  <c r="G130" i="6"/>
  <c r="P129" i="6"/>
  <c r="N129" i="6"/>
  <c r="G129" i="6"/>
  <c r="N128" i="6"/>
  <c r="G128" i="6"/>
  <c r="P126" i="6"/>
  <c r="G126" i="6"/>
  <c r="P125" i="6"/>
  <c r="N125" i="6"/>
  <c r="G125" i="6"/>
  <c r="N124" i="6"/>
  <c r="G124" i="6"/>
  <c r="G123" i="6"/>
  <c r="P122" i="6"/>
  <c r="N122" i="6"/>
  <c r="G122" i="6"/>
  <c r="N121" i="6"/>
  <c r="G121" i="6"/>
  <c r="N142" i="6" l="1"/>
  <c r="P142" i="6"/>
  <c r="G127" i="6"/>
  <c r="P127" i="6"/>
  <c r="N127" i="6"/>
  <c r="P134" i="6"/>
  <c r="G142" i="6"/>
  <c r="G134" i="6"/>
  <c r="N134" i="6"/>
  <c r="N115" i="6"/>
  <c r="N117" i="6"/>
  <c r="N118" i="6"/>
  <c r="P119" i="6"/>
  <c r="G119" i="6"/>
  <c r="P118" i="6"/>
  <c r="G118" i="6"/>
  <c r="G117" i="6"/>
  <c r="G116" i="6"/>
  <c r="P115" i="6"/>
  <c r="G115" i="6"/>
  <c r="N114" i="6"/>
  <c r="G114" i="6"/>
  <c r="P112" i="6"/>
  <c r="G112" i="6"/>
  <c r="P111" i="6"/>
  <c r="G111" i="6"/>
  <c r="N110" i="6"/>
  <c r="G110" i="6"/>
  <c r="N109" i="6"/>
  <c r="G109" i="6"/>
  <c r="P108" i="6"/>
  <c r="G108" i="6"/>
  <c r="N107" i="6"/>
  <c r="G107" i="6"/>
  <c r="N106" i="6"/>
  <c r="G106" i="6"/>
  <c r="G120" i="6" l="1"/>
  <c r="N120" i="6"/>
  <c r="P120" i="6"/>
  <c r="P113" i="6"/>
  <c r="G113" i="6"/>
  <c r="N113" i="6"/>
  <c r="G99" i="6"/>
  <c r="P104" i="6"/>
  <c r="G104" i="6"/>
  <c r="P103" i="6"/>
  <c r="G103" i="6"/>
  <c r="N102" i="6"/>
  <c r="G102" i="6"/>
  <c r="N101" i="6"/>
  <c r="G101" i="6"/>
  <c r="P100" i="6"/>
  <c r="G100" i="6"/>
  <c r="N98" i="6"/>
  <c r="G98" i="6"/>
  <c r="N97" i="6"/>
  <c r="G97" i="6"/>
  <c r="G105" i="6" l="1"/>
  <c r="N105" i="6"/>
  <c r="P105" i="6"/>
  <c r="P94" i="6" l="1"/>
  <c r="P96" i="6" s="1"/>
  <c r="N90" i="6"/>
  <c r="N91" i="6"/>
  <c r="N92" i="6"/>
  <c r="N93" i="6"/>
  <c r="N89" i="6"/>
  <c r="G95" i="6"/>
  <c r="G94" i="6"/>
  <c r="G93" i="6"/>
  <c r="G92" i="6"/>
  <c r="G91" i="6"/>
  <c r="G90" i="6"/>
  <c r="G89" i="6"/>
  <c r="G96" i="6" l="1"/>
  <c r="N96" i="6"/>
  <c r="G87" i="6" l="1"/>
  <c r="P86" i="6"/>
  <c r="G86" i="6"/>
  <c r="N85" i="6"/>
  <c r="G85" i="6"/>
  <c r="N84" i="6"/>
  <c r="G84" i="6"/>
  <c r="P83" i="6"/>
  <c r="G83" i="6"/>
  <c r="N82" i="6"/>
  <c r="G82" i="6"/>
  <c r="N81" i="6"/>
  <c r="G81" i="6"/>
  <c r="P88" i="6" l="1"/>
  <c r="G88" i="6"/>
  <c r="N88" i="6"/>
  <c r="G78" i="6"/>
  <c r="P79" i="6"/>
  <c r="P78" i="6"/>
  <c r="G73" i="6"/>
  <c r="G75" i="6"/>
  <c r="P75" i="6"/>
  <c r="G79" i="6"/>
  <c r="N77" i="6"/>
  <c r="G77" i="6"/>
  <c r="N76" i="6"/>
  <c r="G76" i="6"/>
  <c r="N74" i="6"/>
  <c r="G74" i="6"/>
  <c r="N73" i="6"/>
  <c r="N80" i="6" l="1"/>
  <c r="P80" i="6"/>
  <c r="G80" i="6"/>
  <c r="P61" i="6"/>
  <c r="N57" i="6" l="1"/>
  <c r="N60" i="6"/>
  <c r="N59" i="6"/>
  <c r="N62" i="6"/>
  <c r="G71" i="6"/>
  <c r="N70" i="6"/>
  <c r="G70" i="6"/>
  <c r="P69" i="6"/>
  <c r="P72" i="6" s="1"/>
  <c r="G69" i="6"/>
  <c r="N68" i="6"/>
  <c r="G68" i="6"/>
  <c r="N67" i="6"/>
  <c r="G67" i="6"/>
  <c r="N66" i="6"/>
  <c r="G66" i="6"/>
  <c r="N65" i="6"/>
  <c r="G65" i="6"/>
  <c r="G63" i="6"/>
  <c r="G62" i="6"/>
  <c r="P64" i="6"/>
  <c r="G61" i="6"/>
  <c r="G60" i="6"/>
  <c r="G59" i="6"/>
  <c r="G57" i="6"/>
  <c r="N56" i="6"/>
  <c r="G56" i="6"/>
  <c r="G54" i="6"/>
  <c r="N53" i="6"/>
  <c r="G53" i="6"/>
  <c r="P55" i="6"/>
  <c r="G52" i="6"/>
  <c r="N51" i="6"/>
  <c r="G51" i="6"/>
  <c r="N50" i="6"/>
  <c r="G50" i="6"/>
  <c r="N49" i="6"/>
  <c r="G49" i="6"/>
  <c r="N48" i="6"/>
  <c r="G48" i="6"/>
  <c r="G55" i="6" l="1"/>
  <c r="N72" i="6"/>
  <c r="N55" i="6"/>
  <c r="G72" i="6"/>
  <c r="G64" i="6"/>
  <c r="N64" i="6"/>
  <c r="G46" i="6"/>
  <c r="N45" i="6"/>
  <c r="G45" i="6"/>
  <c r="P44" i="6"/>
  <c r="P47" i="6" s="1"/>
  <c r="G44" i="6"/>
  <c r="N43" i="6"/>
  <c r="G43" i="6"/>
  <c r="N42" i="6"/>
  <c r="G42" i="6"/>
  <c r="N41" i="6"/>
  <c r="G41" i="6"/>
  <c r="N40" i="6"/>
  <c r="G40" i="6"/>
  <c r="N47" i="6" l="1"/>
  <c r="G47" i="6"/>
  <c r="P33" i="6"/>
  <c r="N33" i="6"/>
  <c r="P36" i="6"/>
  <c r="G32" i="6"/>
  <c r="G38" i="6"/>
  <c r="N37" i="6"/>
  <c r="G37" i="6"/>
  <c r="G36" i="6"/>
  <c r="N35" i="6"/>
  <c r="G35" i="6"/>
  <c r="N34" i="6"/>
  <c r="G34" i="6"/>
  <c r="G33" i="6"/>
  <c r="N32" i="6"/>
  <c r="P39" i="6" l="1"/>
  <c r="G39" i="6"/>
  <c r="N39" i="6"/>
  <c r="G30" i="6" l="1"/>
  <c r="N29" i="6"/>
  <c r="G29" i="6"/>
  <c r="P28" i="6"/>
  <c r="P31" i="6" s="1"/>
  <c r="G28" i="6"/>
  <c r="N27" i="6"/>
  <c r="G27" i="6"/>
  <c r="N26" i="6"/>
  <c r="G26" i="6"/>
  <c r="N25" i="6"/>
  <c r="G25" i="6"/>
  <c r="N24" i="6"/>
  <c r="D24" i="6"/>
  <c r="G24" i="6" s="1"/>
  <c r="N31" i="6" l="1"/>
  <c r="G31" i="6"/>
  <c r="G22" i="6"/>
  <c r="N21" i="6"/>
  <c r="G21" i="6"/>
  <c r="P20" i="6"/>
  <c r="P23" i="6" s="1"/>
  <c r="G20" i="6"/>
  <c r="N19" i="6"/>
  <c r="G19" i="6"/>
  <c r="N18" i="6"/>
  <c r="G18" i="6"/>
  <c r="N17" i="6"/>
  <c r="D17" i="6"/>
  <c r="G17" i="6" s="1"/>
  <c r="N16" i="6"/>
  <c r="D16" i="6"/>
  <c r="G16" i="6" s="1"/>
  <c r="N23" i="6" l="1"/>
  <c r="G23" i="6"/>
  <c r="H107" i="5" l="1"/>
  <c r="H105" i="5"/>
  <c r="C101" i="5"/>
  <c r="C100" i="5"/>
  <c r="C89" i="5"/>
  <c r="C228" i="4"/>
  <c r="C233" i="4"/>
  <c r="K158" i="4"/>
  <c r="H102" i="5"/>
  <c r="G14" i="6"/>
  <c r="N13" i="6"/>
  <c r="G13" i="6"/>
  <c r="N12" i="6"/>
  <c r="G12" i="6"/>
  <c r="N11" i="6"/>
  <c r="G11" i="6"/>
  <c r="N10" i="6"/>
  <c r="G10" i="6"/>
  <c r="N9" i="6"/>
  <c r="D9" i="6"/>
  <c r="G9" i="6" s="1"/>
  <c r="N8" i="6"/>
  <c r="D8" i="6"/>
  <c r="G8" i="6" s="1"/>
  <c r="C234" i="4" l="1"/>
  <c r="G15" i="6"/>
  <c r="N15" i="6"/>
  <c r="H88" i="5"/>
  <c r="H89" i="5"/>
  <c r="H87" i="5"/>
  <c r="H86" i="5"/>
  <c r="H85" i="5"/>
  <c r="H83" i="5"/>
  <c r="H72" i="5"/>
  <c r="H61" i="5"/>
  <c r="H30" i="5"/>
  <c r="H9" i="5"/>
  <c r="H10" i="5"/>
  <c r="F8" i="5"/>
  <c r="G89" i="5"/>
  <c r="G88" i="5"/>
  <c r="G87" i="5"/>
  <c r="G86" i="5"/>
  <c r="G85" i="5"/>
  <c r="G84" i="5"/>
  <c r="G83" i="5"/>
  <c r="H76" i="5"/>
  <c r="H75" i="5"/>
  <c r="H74" i="5"/>
  <c r="H73" i="5"/>
  <c r="H71" i="5"/>
  <c r="H70" i="5"/>
  <c r="H69" i="5"/>
  <c r="H68" i="5"/>
  <c r="H65" i="5"/>
  <c r="H64" i="5"/>
  <c r="H63" i="5"/>
  <c r="H62" i="5"/>
  <c r="H60" i="5"/>
  <c r="H59" i="5"/>
  <c r="H58" i="5"/>
  <c r="H57" i="5"/>
  <c r="H54" i="5"/>
  <c r="H53" i="5"/>
  <c r="H52" i="5"/>
  <c r="H51" i="5"/>
  <c r="H50" i="5"/>
  <c r="H49" i="5"/>
  <c r="H48" i="5"/>
  <c r="H47" i="5"/>
  <c r="H44" i="5"/>
  <c r="H43" i="5"/>
  <c r="H42" i="5"/>
  <c r="H41" i="5"/>
  <c r="H40" i="5"/>
  <c r="H39" i="5"/>
  <c r="H38" i="5"/>
  <c r="H37" i="5"/>
  <c r="H34" i="5"/>
  <c r="H33" i="5"/>
  <c r="H32" i="5"/>
  <c r="H31" i="5"/>
  <c r="H29" i="5"/>
  <c r="H28" i="5"/>
  <c r="H27" i="5"/>
  <c r="H26" i="5"/>
  <c r="H23" i="5"/>
  <c r="H22" i="5"/>
  <c r="H21" i="5"/>
  <c r="H20" i="5"/>
  <c r="H19" i="5"/>
  <c r="H18" i="5"/>
  <c r="H17" i="5"/>
  <c r="H16" i="5"/>
  <c r="H13" i="5"/>
  <c r="H12" i="5"/>
  <c r="H11" i="5"/>
  <c r="H8" i="5"/>
  <c r="H7" i="5"/>
  <c r="H6" i="5"/>
  <c r="H5" i="5"/>
  <c r="K178" i="4"/>
  <c r="H84" i="5" l="1"/>
  <c r="H100" i="5"/>
  <c r="H14" i="5"/>
  <c r="H97" i="5"/>
  <c r="H98" i="5"/>
  <c r="H99" i="5"/>
  <c r="H55" i="5"/>
  <c r="H66" i="5"/>
  <c r="H77" i="5"/>
  <c r="H96" i="5"/>
  <c r="H103" i="5" s="1"/>
  <c r="H24" i="5"/>
  <c r="H101" i="5"/>
  <c r="H35" i="5"/>
  <c r="H45" i="5"/>
  <c r="H281" i="4"/>
  <c r="H280" i="4"/>
  <c r="H279" i="4"/>
  <c r="H249" i="4"/>
  <c r="H248" i="4"/>
  <c r="H247" i="4"/>
  <c r="H246" i="4"/>
  <c r="G249" i="4"/>
  <c r="G248" i="4"/>
  <c r="G247" i="4"/>
  <c r="H217" i="4"/>
  <c r="H216" i="4"/>
  <c r="H215" i="4"/>
  <c r="H214" i="4"/>
  <c r="H213" i="4"/>
  <c r="H212" i="4"/>
  <c r="H211" i="4"/>
  <c r="H210" i="4"/>
  <c r="H207" i="4"/>
  <c r="H206" i="4"/>
  <c r="H205" i="4"/>
  <c r="H204" i="4"/>
  <c r="H203" i="4"/>
  <c r="H202" i="4"/>
  <c r="H201" i="4"/>
  <c r="H200" i="4"/>
  <c r="H197" i="4"/>
  <c r="H196" i="4"/>
  <c r="H195" i="4"/>
  <c r="H194" i="4"/>
  <c r="H193" i="4"/>
  <c r="H192" i="4"/>
  <c r="H191" i="4"/>
  <c r="H190" i="4"/>
  <c r="H198" i="4" s="1"/>
  <c r="C94" i="5" l="1"/>
  <c r="C97" i="5" s="1"/>
  <c r="C98" i="5" s="1"/>
  <c r="H90" i="5"/>
  <c r="H92" i="5" s="1"/>
  <c r="H218" i="4"/>
  <c r="H208" i="4"/>
  <c r="K208" i="4" s="1"/>
  <c r="G172" i="2"/>
  <c r="N171" i="2"/>
  <c r="G171" i="2"/>
  <c r="N170" i="2"/>
  <c r="G170" i="2"/>
  <c r="N169" i="2"/>
  <c r="G169" i="2"/>
  <c r="N168" i="2"/>
  <c r="G168" i="2"/>
  <c r="N167" i="2"/>
  <c r="D167" i="2"/>
  <c r="G167" i="2" s="1"/>
  <c r="N166" i="2"/>
  <c r="N173" i="2" s="1"/>
  <c r="D166" i="2"/>
  <c r="G166" i="2" s="1"/>
  <c r="H109" i="5" l="1"/>
  <c r="G173" i="2"/>
  <c r="G180" i="2"/>
  <c r="N179" i="2"/>
  <c r="G179" i="2"/>
  <c r="N178" i="2"/>
  <c r="G178" i="2"/>
  <c r="N177" i="2"/>
  <c r="G177" i="2"/>
  <c r="N176" i="2"/>
  <c r="G176" i="2"/>
  <c r="N175" i="2"/>
  <c r="D175" i="2"/>
  <c r="G175" i="2" s="1"/>
  <c r="N174" i="2"/>
  <c r="D174" i="2"/>
  <c r="G174" i="2" s="1"/>
  <c r="G181" i="2" s="1"/>
  <c r="N181" i="2" l="1"/>
  <c r="G164" i="2"/>
  <c r="N163" i="2"/>
  <c r="G163" i="2"/>
  <c r="N162" i="2"/>
  <c r="G162" i="2"/>
  <c r="N161" i="2"/>
  <c r="G161" i="2"/>
  <c r="N160" i="2"/>
  <c r="G160" i="2"/>
  <c r="N159" i="2"/>
  <c r="D159" i="2"/>
  <c r="G159" i="2" s="1"/>
  <c r="N158" i="2"/>
  <c r="D158" i="2"/>
  <c r="G158" i="2" s="1"/>
  <c r="G165" i="2" l="1"/>
  <c r="N165" i="2"/>
  <c r="G243" i="4"/>
  <c r="G246" i="4"/>
  <c r="G245" i="4"/>
  <c r="G244" i="4"/>
  <c r="G242" i="4"/>
  <c r="G241" i="4"/>
  <c r="H187" i="4" l="1"/>
  <c r="H177" i="4"/>
  <c r="H167" i="4"/>
  <c r="H157" i="4"/>
  <c r="H186" i="4"/>
  <c r="H185" i="4"/>
  <c r="H184" i="4"/>
  <c r="H183" i="4"/>
  <c r="H182" i="4"/>
  <c r="H181" i="4"/>
  <c r="H180" i="4"/>
  <c r="H176" i="4"/>
  <c r="H175" i="4"/>
  <c r="H174" i="4"/>
  <c r="H173" i="4"/>
  <c r="H245" i="4" s="1"/>
  <c r="H172" i="4"/>
  <c r="H178" i="4" s="1"/>
  <c r="H171" i="4"/>
  <c r="H170" i="4"/>
  <c r="H166" i="4"/>
  <c r="H165" i="4"/>
  <c r="H164" i="4"/>
  <c r="H163" i="4"/>
  <c r="H244" i="4" s="1"/>
  <c r="H162" i="4"/>
  <c r="H161" i="4"/>
  <c r="H168" i="4" s="1"/>
  <c r="H160" i="4"/>
  <c r="H156" i="4"/>
  <c r="H155" i="4"/>
  <c r="H154" i="4"/>
  <c r="H153" i="4"/>
  <c r="H152" i="4"/>
  <c r="H151" i="4"/>
  <c r="H150" i="4"/>
  <c r="H275" i="4" s="1"/>
  <c r="H282" i="4" s="1"/>
  <c r="H284" i="4" s="1"/>
  <c r="H147" i="4"/>
  <c r="H146" i="4"/>
  <c r="H145" i="4"/>
  <c r="H144" i="4"/>
  <c r="H242" i="4" s="1"/>
  <c r="H143" i="4"/>
  <c r="H142" i="4"/>
  <c r="H141" i="4"/>
  <c r="H274" i="4" s="1"/>
  <c r="G156" i="2"/>
  <c r="N155" i="2"/>
  <c r="G155" i="2"/>
  <c r="N154" i="2"/>
  <c r="G154" i="2"/>
  <c r="N153" i="2"/>
  <c r="G153" i="2"/>
  <c r="N152" i="2"/>
  <c r="G152" i="2"/>
  <c r="N151" i="2"/>
  <c r="D151" i="2"/>
  <c r="G151" i="2" s="1"/>
  <c r="N150" i="2"/>
  <c r="D150" i="2"/>
  <c r="G150" i="2" s="1"/>
  <c r="G148" i="2"/>
  <c r="N147" i="2"/>
  <c r="G147" i="2"/>
  <c r="N146" i="2"/>
  <c r="G146" i="2"/>
  <c r="N145" i="2"/>
  <c r="G145" i="2"/>
  <c r="N144" i="2"/>
  <c r="G144" i="2"/>
  <c r="N143" i="2"/>
  <c r="D143" i="2"/>
  <c r="G143" i="2" s="1"/>
  <c r="N142" i="2"/>
  <c r="D142" i="2"/>
  <c r="G142" i="2" s="1"/>
  <c r="G157" i="2" l="1"/>
  <c r="N157" i="2"/>
  <c r="H278" i="4"/>
  <c r="H277" i="4"/>
  <c r="H276" i="4"/>
  <c r="H243" i="4"/>
  <c r="H250" i="4" s="1"/>
  <c r="H158" i="4"/>
  <c r="C231" i="4" s="1"/>
  <c r="H188" i="4"/>
  <c r="H148" i="4"/>
  <c r="N149" i="2"/>
  <c r="G149" i="2"/>
  <c r="G140" i="2"/>
  <c r="N139" i="2"/>
  <c r="G139" i="2"/>
  <c r="N138" i="2"/>
  <c r="G138" i="2"/>
  <c r="N137" i="2"/>
  <c r="G137" i="2"/>
  <c r="N136" i="2"/>
  <c r="G136" i="2"/>
  <c r="N135" i="2"/>
  <c r="D135" i="2"/>
  <c r="G135" i="2" s="1"/>
  <c r="N134" i="2"/>
  <c r="D134" i="2"/>
  <c r="G134" i="2" s="1"/>
  <c r="H286" i="4" l="1"/>
  <c r="H253" i="4"/>
  <c r="H288" i="4" s="1"/>
  <c r="N141" i="2"/>
  <c r="G141" i="2"/>
  <c r="D127" i="2"/>
  <c r="G127" i="2" s="1"/>
  <c r="D126" i="2"/>
  <c r="G126" i="2" s="1"/>
  <c r="G132" i="2"/>
  <c r="N131" i="2"/>
  <c r="G131" i="2"/>
  <c r="N130" i="2"/>
  <c r="G130" i="2"/>
  <c r="N129" i="2"/>
  <c r="G129" i="2"/>
  <c r="N128" i="2"/>
  <c r="G128" i="2"/>
  <c r="N127" i="2"/>
  <c r="N126" i="2"/>
  <c r="G133" i="2" l="1"/>
  <c r="N133" i="2"/>
  <c r="G124" i="2"/>
  <c r="N123" i="2"/>
  <c r="G123" i="2"/>
  <c r="N122" i="2"/>
  <c r="G122" i="2"/>
  <c r="N121" i="2"/>
  <c r="G121" i="2"/>
  <c r="N120" i="2"/>
  <c r="G120" i="2"/>
  <c r="N119" i="2"/>
  <c r="G119" i="2"/>
  <c r="N118" i="2"/>
  <c r="D118" i="2"/>
  <c r="G118" i="2" s="1"/>
  <c r="G125" i="2" l="1"/>
  <c r="N125" i="2"/>
  <c r="G116" i="2"/>
  <c r="N115" i="2"/>
  <c r="G115" i="2"/>
  <c r="N114" i="2"/>
  <c r="G114" i="2"/>
  <c r="N113" i="2"/>
  <c r="G113" i="2"/>
  <c r="N112" i="2"/>
  <c r="G112" i="2"/>
  <c r="N111" i="2"/>
  <c r="G111" i="2"/>
  <c r="N110" i="2"/>
  <c r="D110" i="2"/>
  <c r="G110" i="2" s="1"/>
  <c r="N117" i="2" l="1"/>
  <c r="G117" i="2"/>
  <c r="H283" i="4"/>
  <c r="H252" i="4"/>
  <c r="F240" i="4"/>
  <c r="F239" i="4"/>
  <c r="F238" i="4"/>
  <c r="F237" i="4"/>
  <c r="F236" i="4"/>
  <c r="G240" i="4"/>
  <c r="G239" i="4"/>
  <c r="G238" i="4"/>
  <c r="G237" i="4"/>
  <c r="G236" i="4"/>
  <c r="H138" i="4"/>
  <c r="H137" i="4"/>
  <c r="H136" i="4"/>
  <c r="H135" i="4"/>
  <c r="H134" i="4"/>
  <c r="H133" i="4"/>
  <c r="H132" i="4"/>
  <c r="H129" i="4"/>
  <c r="H128" i="4"/>
  <c r="H127" i="4"/>
  <c r="H126" i="4"/>
  <c r="H125" i="4"/>
  <c r="H124" i="4"/>
  <c r="H123" i="4"/>
  <c r="H120" i="4"/>
  <c r="H119" i="4"/>
  <c r="H118" i="4"/>
  <c r="H117" i="4"/>
  <c r="H116" i="4"/>
  <c r="H115" i="4"/>
  <c r="H114" i="4"/>
  <c r="H111" i="4"/>
  <c r="H110" i="4"/>
  <c r="H109" i="4"/>
  <c r="H108" i="4"/>
  <c r="H107" i="4"/>
  <c r="H106" i="4"/>
  <c r="H105" i="4"/>
  <c r="H102" i="4"/>
  <c r="H101" i="4"/>
  <c r="H100" i="4"/>
  <c r="H99" i="4"/>
  <c r="H98" i="4"/>
  <c r="H97" i="4"/>
  <c r="H96" i="4"/>
  <c r="H93" i="4"/>
  <c r="H92" i="4"/>
  <c r="H91" i="4"/>
  <c r="H90" i="4"/>
  <c r="H89" i="4"/>
  <c r="H88" i="4"/>
  <c r="H87" i="4"/>
  <c r="D103" i="2"/>
  <c r="G103" i="2" s="1"/>
  <c r="G108" i="2"/>
  <c r="N107" i="2"/>
  <c r="G107" i="2"/>
  <c r="N106" i="2"/>
  <c r="G106" i="2"/>
  <c r="N105" i="2"/>
  <c r="G105" i="2"/>
  <c r="N104" i="2"/>
  <c r="G104" i="2"/>
  <c r="N103" i="2"/>
  <c r="N102" i="2"/>
  <c r="D102" i="2"/>
  <c r="G102" i="2" s="1"/>
  <c r="H241" i="4" l="1"/>
  <c r="H273" i="4"/>
  <c r="H269" i="4"/>
  <c r="H237" i="4"/>
  <c r="H270" i="4"/>
  <c r="H238" i="4"/>
  <c r="H240" i="4"/>
  <c r="H236" i="4"/>
  <c r="H272" i="4"/>
  <c r="H271" i="4"/>
  <c r="H268" i="4"/>
  <c r="H239" i="4"/>
  <c r="G109" i="2"/>
  <c r="N109" i="2"/>
  <c r="H94" i="4"/>
  <c r="H130" i="4"/>
  <c r="H121" i="4"/>
  <c r="H112" i="4"/>
  <c r="H103" i="4"/>
  <c r="H139" i="4"/>
  <c r="G100" i="2"/>
  <c r="N99" i="2"/>
  <c r="G99" i="2"/>
  <c r="N98" i="2"/>
  <c r="G98" i="2"/>
  <c r="N97" i="2"/>
  <c r="G97" i="2"/>
  <c r="N96" i="2"/>
  <c r="G96" i="2"/>
  <c r="N95" i="2"/>
  <c r="G95" i="2"/>
  <c r="N94" i="2"/>
  <c r="D94" i="2"/>
  <c r="G94" i="2" s="1"/>
  <c r="N101" i="2" l="1"/>
  <c r="G101" i="2"/>
  <c r="G92" i="2"/>
  <c r="N91" i="2"/>
  <c r="G91" i="2"/>
  <c r="N90" i="2"/>
  <c r="G90" i="2"/>
  <c r="N89" i="2"/>
  <c r="G89" i="2"/>
  <c r="N88" i="2"/>
  <c r="G88" i="2"/>
  <c r="N87" i="2"/>
  <c r="G87" i="2"/>
  <c r="N86" i="2"/>
  <c r="D86" i="2"/>
  <c r="G86" i="2" s="1"/>
  <c r="G93" i="2" l="1"/>
  <c r="N93" i="2"/>
  <c r="G84" i="2"/>
  <c r="N83" i="2"/>
  <c r="G83" i="2"/>
  <c r="N82" i="2"/>
  <c r="G82" i="2"/>
  <c r="N81" i="2"/>
  <c r="G81" i="2"/>
  <c r="N80" i="2"/>
  <c r="G80" i="2"/>
  <c r="N79" i="2"/>
  <c r="G79" i="2"/>
  <c r="N78" i="2"/>
  <c r="D78" i="2"/>
  <c r="G78" i="2" s="1"/>
  <c r="G85" i="2" l="1"/>
  <c r="N85" i="2"/>
  <c r="G76" i="2"/>
  <c r="N75" i="2"/>
  <c r="G75" i="2"/>
  <c r="N74" i="2"/>
  <c r="G74" i="2"/>
  <c r="N73" i="2"/>
  <c r="G73" i="2"/>
  <c r="N72" i="2"/>
  <c r="G72" i="2"/>
  <c r="N71" i="2"/>
  <c r="G71" i="2"/>
  <c r="N70" i="2"/>
  <c r="D70" i="2"/>
  <c r="G70" i="2" s="1"/>
  <c r="N77" i="2" l="1"/>
  <c r="G77" i="2"/>
  <c r="H233" i="4"/>
  <c r="H231" i="4"/>
  <c r="H229" i="4"/>
  <c r="H226" i="4"/>
  <c r="F235" i="4"/>
  <c r="G235" i="4"/>
  <c r="G234" i="4"/>
  <c r="F234" i="4"/>
  <c r="F233" i="4"/>
  <c r="G233" i="4"/>
  <c r="G232" i="4"/>
  <c r="F232" i="4"/>
  <c r="F231" i="4"/>
  <c r="G231" i="4"/>
  <c r="G230" i="4"/>
  <c r="F230" i="4"/>
  <c r="G229" i="4"/>
  <c r="F229" i="4"/>
  <c r="F228" i="4"/>
  <c r="G228" i="4"/>
  <c r="G227" i="4"/>
  <c r="F227" i="4"/>
  <c r="F226" i="4"/>
  <c r="G226" i="4"/>
  <c r="G225" i="4"/>
  <c r="F225" i="4"/>
  <c r="G224" i="4"/>
  <c r="F224" i="4"/>
  <c r="F6" i="4"/>
  <c r="H83" i="4" l="1"/>
  <c r="H82" i="4"/>
  <c r="H81" i="4"/>
  <c r="H80" i="4"/>
  <c r="H79" i="4"/>
  <c r="H78" i="4"/>
  <c r="H77" i="4"/>
  <c r="H74" i="4"/>
  <c r="H73" i="4"/>
  <c r="H72" i="4"/>
  <c r="H71" i="4"/>
  <c r="H70" i="4"/>
  <c r="H69" i="4"/>
  <c r="H68" i="4"/>
  <c r="H63" i="4"/>
  <c r="H62" i="4"/>
  <c r="H61" i="4"/>
  <c r="H60" i="4"/>
  <c r="H59" i="4"/>
  <c r="H58" i="4"/>
  <c r="H57" i="4"/>
  <c r="H52" i="4"/>
  <c r="H51" i="4"/>
  <c r="H50" i="4"/>
  <c r="H49" i="4"/>
  <c r="H48" i="4"/>
  <c r="H47" i="4"/>
  <c r="H46" i="4"/>
  <c r="H41" i="4"/>
  <c r="H40" i="4"/>
  <c r="H39" i="4"/>
  <c r="H38" i="4"/>
  <c r="H37" i="4"/>
  <c r="H36" i="4"/>
  <c r="H35" i="4"/>
  <c r="H32" i="4"/>
  <c r="H31" i="4"/>
  <c r="H30" i="4"/>
  <c r="H29" i="4"/>
  <c r="H28" i="4"/>
  <c r="H27" i="4"/>
  <c r="H26" i="4"/>
  <c r="H21" i="4"/>
  <c r="H20" i="4"/>
  <c r="H19" i="4"/>
  <c r="H18" i="4"/>
  <c r="H17" i="4"/>
  <c r="H16" i="4"/>
  <c r="H15" i="4"/>
  <c r="H12" i="4"/>
  <c r="H11" i="4"/>
  <c r="H10" i="4"/>
  <c r="H9" i="4"/>
  <c r="H8" i="4"/>
  <c r="H7" i="4"/>
  <c r="H6" i="4"/>
  <c r="H235" i="4" l="1"/>
  <c r="H260" i="4"/>
  <c r="H267" i="4"/>
  <c r="H234" i="4"/>
  <c r="H266" i="4"/>
  <c r="H227" i="4"/>
  <c r="H259" i="4"/>
  <c r="H256" i="4"/>
  <c r="H228" i="4"/>
  <c r="H262" i="4"/>
  <c r="H225" i="4"/>
  <c r="H232" i="4"/>
  <c r="H224" i="4"/>
  <c r="H257" i="4"/>
  <c r="H230" i="4"/>
  <c r="H264" i="4"/>
  <c r="H84" i="4"/>
  <c r="H64" i="4"/>
  <c r="H42" i="4"/>
  <c r="H33" i="4"/>
  <c r="H75" i="4"/>
  <c r="H53" i="4"/>
  <c r="H22" i="4"/>
  <c r="H13" i="4"/>
  <c r="G68" i="2"/>
  <c r="N67" i="2"/>
  <c r="G67" i="2"/>
  <c r="N66" i="2"/>
  <c r="G66" i="2"/>
  <c r="N65" i="2"/>
  <c r="G65" i="2"/>
  <c r="N64" i="2"/>
  <c r="G64" i="2"/>
  <c r="N63" i="2"/>
  <c r="G63" i="2"/>
  <c r="N62" i="2"/>
  <c r="D62" i="2"/>
  <c r="G62" i="2" s="1"/>
  <c r="G69" i="2" l="1"/>
  <c r="N69" i="2"/>
  <c r="N59" i="2"/>
  <c r="N58" i="2"/>
  <c r="N57" i="2"/>
  <c r="N56" i="2"/>
  <c r="N55" i="2"/>
  <c r="G56" i="2"/>
  <c r="G55" i="2"/>
  <c r="G60" i="2"/>
  <c r="G59" i="2"/>
  <c r="G58" i="2"/>
  <c r="G57" i="2"/>
  <c r="N54" i="2"/>
  <c r="D54" i="2"/>
  <c r="G54" i="2" s="1"/>
  <c r="N61" i="2" l="1"/>
  <c r="G61" i="2"/>
  <c r="G52" i="2"/>
  <c r="N51" i="2"/>
  <c r="G51" i="2"/>
  <c r="N50" i="2"/>
  <c r="G50" i="2"/>
  <c r="N49" i="2"/>
  <c r="G49" i="2"/>
  <c r="N48" i="2"/>
  <c r="G48" i="2"/>
  <c r="N47" i="2"/>
  <c r="D47" i="2"/>
  <c r="G47" i="2" s="1"/>
  <c r="G53" i="2" l="1"/>
  <c r="N53" i="2"/>
  <c r="D40" i="2"/>
  <c r="G40" i="2" s="1"/>
  <c r="G45" i="2"/>
  <c r="N44" i="2"/>
  <c r="G44" i="2"/>
  <c r="N43" i="2"/>
  <c r="G43" i="2"/>
  <c r="N42" i="2"/>
  <c r="G42" i="2"/>
  <c r="N41" i="2"/>
  <c r="G41" i="2"/>
  <c r="N40" i="2"/>
  <c r="G46" i="2" l="1"/>
  <c r="N46" i="2"/>
  <c r="N36" i="2"/>
  <c r="N34" i="2"/>
  <c r="N33" i="2"/>
  <c r="E33" i="2"/>
  <c r="G38" i="2"/>
  <c r="N37" i="2"/>
  <c r="G37" i="2"/>
  <c r="G36" i="2"/>
  <c r="N35" i="2"/>
  <c r="G35" i="2"/>
  <c r="G34" i="2"/>
  <c r="G33" i="2"/>
  <c r="N39" i="2" l="1"/>
  <c r="G39" i="2"/>
  <c r="G31" i="2"/>
  <c r="G30" i="2"/>
  <c r="N29" i="2"/>
  <c r="G29" i="2"/>
  <c r="N28" i="2"/>
  <c r="G28" i="2"/>
  <c r="N27" i="2"/>
  <c r="G27" i="2"/>
  <c r="N26" i="2"/>
  <c r="G26" i="2"/>
  <c r="N25" i="2"/>
  <c r="D25" i="2"/>
  <c r="G25" i="2" s="1"/>
  <c r="N32" i="2" l="1"/>
  <c r="G32" i="2"/>
  <c r="B16" i="2"/>
  <c r="A16" i="2"/>
  <c r="N16" i="2"/>
  <c r="N17" i="2" s="1"/>
  <c r="G19" i="2" l="1"/>
  <c r="G23" i="2"/>
  <c r="G22" i="2"/>
  <c r="N22" i="2"/>
  <c r="G21" i="2"/>
  <c r="N21" i="2"/>
  <c r="G20" i="2"/>
  <c r="N20" i="2"/>
  <c r="N19" i="2"/>
  <c r="N18" i="2"/>
  <c r="D18" i="2"/>
  <c r="G18" i="2" s="1"/>
  <c r="G24" i="2" l="1"/>
  <c r="N24" i="2"/>
  <c r="N9" i="2"/>
  <c r="N8" i="2"/>
  <c r="D8" i="2"/>
  <c r="G8" i="2" s="1"/>
  <c r="G14" i="2"/>
  <c r="N12" i="2"/>
  <c r="G13" i="2"/>
  <c r="N11" i="2"/>
  <c r="G12" i="2"/>
  <c r="N10" i="2"/>
  <c r="G11" i="2"/>
  <c r="N277" i="1"/>
  <c r="N280" i="1"/>
  <c r="N279" i="1"/>
  <c r="N278" i="1"/>
  <c r="G280" i="1"/>
  <c r="G279" i="1"/>
  <c r="D277" i="1"/>
  <c r="G277" i="1" s="1"/>
  <c r="G15" i="2" l="1"/>
  <c r="N15" i="2"/>
  <c r="G281" i="1"/>
  <c r="N281" i="1"/>
  <c r="D268" i="1"/>
  <c r="G268" i="1" s="1"/>
  <c r="N274" i="1"/>
  <c r="N273" i="1"/>
  <c r="N271" i="1"/>
  <c r="G271" i="1"/>
  <c r="N270" i="1"/>
  <c r="G270" i="1"/>
  <c r="N269" i="1"/>
  <c r="N268" i="1"/>
  <c r="N275" i="1" l="1"/>
  <c r="G276" i="1"/>
  <c r="N272" i="1"/>
  <c r="N276" i="1" s="1"/>
  <c r="G266" i="1"/>
  <c r="G265" i="1"/>
  <c r="G264" i="1"/>
  <c r="D260" i="1"/>
  <c r="N264" i="1"/>
  <c r="N263" i="1"/>
  <c r="G263" i="1"/>
  <c r="N262" i="1"/>
  <c r="G262" i="1"/>
  <c r="N261" i="1"/>
  <c r="N260" i="1"/>
  <c r="G260" i="1"/>
  <c r="D254" i="1"/>
  <c r="G254" i="1" s="1"/>
  <c r="N258" i="1"/>
  <c r="N257" i="1"/>
  <c r="G257" i="1"/>
  <c r="N256" i="1"/>
  <c r="G256" i="1"/>
  <c r="N255" i="1"/>
  <c r="N254" i="1"/>
  <c r="G267" i="1" l="1"/>
  <c r="N267" i="1"/>
  <c r="N259" i="1"/>
  <c r="G259" i="1"/>
  <c r="E248" i="1"/>
  <c r="N252" i="1"/>
  <c r="N251" i="1"/>
  <c r="G251" i="1"/>
  <c r="N250" i="1"/>
  <c r="G250" i="1"/>
  <c r="N249" i="1"/>
  <c r="N248" i="1"/>
  <c r="G248" i="1"/>
  <c r="G253" i="1" l="1"/>
  <c r="N253" i="1"/>
  <c r="G176" i="1"/>
  <c r="G200" i="1"/>
  <c r="G208" i="1"/>
  <c r="G242" i="1"/>
  <c r="E242" i="1"/>
  <c r="E236" i="1"/>
  <c r="E230" i="1"/>
  <c r="E224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6" i="1"/>
  <c r="E88" i="1"/>
  <c r="E80" i="1"/>
  <c r="E72" i="1"/>
  <c r="E56" i="1"/>
  <c r="E64" i="1"/>
  <c r="E48" i="1"/>
  <c r="E40" i="1"/>
  <c r="E32" i="1"/>
  <c r="E24" i="1"/>
  <c r="E16" i="1"/>
  <c r="G8" i="1"/>
  <c r="G15" i="1" s="1"/>
  <c r="E8" i="1"/>
  <c r="G16" i="1"/>
  <c r="G23" i="1" s="1"/>
  <c r="N246" i="1"/>
  <c r="N245" i="1"/>
  <c r="N244" i="1"/>
  <c r="N243" i="1"/>
  <c r="N242" i="1"/>
  <c r="N234" i="1"/>
  <c r="N233" i="1"/>
  <c r="N232" i="1"/>
  <c r="N231" i="1"/>
  <c r="N230" i="1"/>
  <c r="N240" i="1"/>
  <c r="N239" i="1"/>
  <c r="N238" i="1"/>
  <c r="N237" i="1"/>
  <c r="N236" i="1"/>
  <c r="G240" i="1"/>
  <c r="G245" i="1"/>
  <c r="G244" i="1"/>
  <c r="G239" i="1"/>
  <c r="G238" i="1"/>
  <c r="G234" i="1"/>
  <c r="G233" i="1"/>
  <c r="N228" i="1"/>
  <c r="N227" i="1"/>
  <c r="N226" i="1"/>
  <c r="N225" i="1"/>
  <c r="N224" i="1"/>
  <c r="G228" i="1"/>
  <c r="G227" i="1"/>
  <c r="N221" i="1"/>
  <c r="G222" i="1"/>
  <c r="G221" i="1"/>
  <c r="G308" i="1"/>
  <c r="D307" i="1"/>
  <c r="D306" i="1"/>
  <c r="D305" i="1"/>
  <c r="D304" i="1"/>
  <c r="D303" i="1"/>
  <c r="D302" i="1"/>
  <c r="D301" i="1"/>
  <c r="G236" i="1"/>
  <c r="G230" i="1"/>
  <c r="G224" i="1"/>
  <c r="N222" i="1"/>
  <c r="N220" i="1"/>
  <c r="N219" i="1"/>
  <c r="N218" i="1"/>
  <c r="G218" i="1"/>
  <c r="N216" i="1"/>
  <c r="N215" i="1"/>
  <c r="N214" i="1"/>
  <c r="N213" i="1"/>
  <c r="N212" i="1"/>
  <c r="N211" i="1"/>
  <c r="N210" i="1"/>
  <c r="G210" i="1"/>
  <c r="G217" i="1" s="1"/>
  <c r="N208" i="1"/>
  <c r="N207" i="1"/>
  <c r="N206" i="1"/>
  <c r="N205" i="1"/>
  <c r="N204" i="1"/>
  <c r="N203" i="1"/>
  <c r="N202" i="1"/>
  <c r="G202" i="1"/>
  <c r="N200" i="1"/>
  <c r="N199" i="1"/>
  <c r="N198" i="1"/>
  <c r="N197" i="1"/>
  <c r="N196" i="1"/>
  <c r="N195" i="1"/>
  <c r="N194" i="1"/>
  <c r="G194" i="1"/>
  <c r="N192" i="1"/>
  <c r="N191" i="1"/>
  <c r="N190" i="1"/>
  <c r="N189" i="1"/>
  <c r="N188" i="1"/>
  <c r="N187" i="1"/>
  <c r="N186" i="1"/>
  <c r="G186" i="1"/>
  <c r="G193" i="1" s="1"/>
  <c r="N184" i="1"/>
  <c r="N183" i="1"/>
  <c r="N182" i="1"/>
  <c r="N181" i="1"/>
  <c r="N180" i="1"/>
  <c r="N179" i="1"/>
  <c r="N178" i="1"/>
  <c r="G178" i="1"/>
  <c r="G185" i="1" s="1"/>
  <c r="N175" i="1"/>
  <c r="N174" i="1"/>
  <c r="N173" i="1"/>
  <c r="N172" i="1"/>
  <c r="N171" i="1"/>
  <c r="N170" i="1"/>
  <c r="G170" i="1"/>
  <c r="N168" i="1"/>
  <c r="N167" i="1"/>
  <c r="N166" i="1"/>
  <c r="N165" i="1"/>
  <c r="N164" i="1"/>
  <c r="N163" i="1"/>
  <c r="N162" i="1"/>
  <c r="G162" i="1"/>
  <c r="G169" i="1" s="1"/>
  <c r="N160" i="1"/>
  <c r="N159" i="1"/>
  <c r="N158" i="1"/>
  <c r="N157" i="1"/>
  <c r="N156" i="1"/>
  <c r="N155" i="1"/>
  <c r="N154" i="1"/>
  <c r="G154" i="1"/>
  <c r="G161" i="1" s="1"/>
  <c r="N152" i="1"/>
  <c r="N151" i="1"/>
  <c r="N150" i="1"/>
  <c r="N149" i="1"/>
  <c r="N148" i="1"/>
  <c r="N147" i="1"/>
  <c r="N146" i="1"/>
  <c r="G146" i="1"/>
  <c r="G153" i="1" s="1"/>
  <c r="N144" i="1"/>
  <c r="N143" i="1"/>
  <c r="N142" i="1"/>
  <c r="N141" i="1"/>
  <c r="N140" i="1"/>
  <c r="N139" i="1"/>
  <c r="N138" i="1"/>
  <c r="G138" i="1"/>
  <c r="G145" i="1" s="1"/>
  <c r="N136" i="1"/>
  <c r="N135" i="1"/>
  <c r="N134" i="1"/>
  <c r="N133" i="1"/>
  <c r="N132" i="1"/>
  <c r="N131" i="1"/>
  <c r="N130" i="1"/>
  <c r="G130" i="1"/>
  <c r="G137" i="1" s="1"/>
  <c r="N128" i="1"/>
  <c r="N127" i="1"/>
  <c r="N126" i="1"/>
  <c r="N125" i="1"/>
  <c r="N124" i="1"/>
  <c r="N123" i="1"/>
  <c r="N122" i="1"/>
  <c r="G122" i="1"/>
  <c r="G129" i="1" s="1"/>
  <c r="N119" i="1"/>
  <c r="N118" i="1"/>
  <c r="N117" i="1"/>
  <c r="N116" i="1"/>
  <c r="N115" i="1"/>
  <c r="N114" i="1"/>
  <c r="G114" i="1"/>
  <c r="G121" i="1" s="1"/>
  <c r="N112" i="1"/>
  <c r="N111" i="1"/>
  <c r="N110" i="1"/>
  <c r="N109" i="1"/>
  <c r="N108" i="1"/>
  <c r="N107" i="1"/>
  <c r="N106" i="1"/>
  <c r="G106" i="1"/>
  <c r="G113" i="1" s="1"/>
  <c r="N102" i="1"/>
  <c r="N101" i="1"/>
  <c r="N100" i="1"/>
  <c r="N99" i="1"/>
  <c r="N98" i="1"/>
  <c r="N97" i="1"/>
  <c r="N96" i="1"/>
  <c r="G96" i="1"/>
  <c r="G103" i="1" s="1"/>
  <c r="N94" i="1"/>
  <c r="N93" i="1"/>
  <c r="N92" i="1"/>
  <c r="N91" i="1"/>
  <c r="N90" i="1"/>
  <c r="N89" i="1"/>
  <c r="N88" i="1"/>
  <c r="G88" i="1"/>
  <c r="G95" i="1" s="1"/>
  <c r="N86" i="1"/>
  <c r="N85" i="1"/>
  <c r="N84" i="1"/>
  <c r="N83" i="1"/>
  <c r="N82" i="1"/>
  <c r="N81" i="1"/>
  <c r="N80" i="1"/>
  <c r="G80" i="1"/>
  <c r="G87" i="1" s="1"/>
  <c r="N78" i="1"/>
  <c r="N77" i="1"/>
  <c r="N76" i="1"/>
  <c r="N75" i="1"/>
  <c r="N74" i="1"/>
  <c r="N73" i="1"/>
  <c r="N72" i="1"/>
  <c r="G72" i="1"/>
  <c r="G79" i="1" s="1"/>
  <c r="N70" i="1"/>
  <c r="N69" i="1"/>
  <c r="N68" i="1"/>
  <c r="N67" i="1"/>
  <c r="N66" i="1"/>
  <c r="N65" i="1"/>
  <c r="N64" i="1"/>
  <c r="G64" i="1"/>
  <c r="G71" i="1" s="1"/>
  <c r="N62" i="1"/>
  <c r="N61" i="1"/>
  <c r="N60" i="1"/>
  <c r="N59" i="1"/>
  <c r="N58" i="1"/>
  <c r="N57" i="1"/>
  <c r="N56" i="1"/>
  <c r="G56" i="1"/>
  <c r="G63" i="1" s="1"/>
  <c r="N54" i="1"/>
  <c r="N53" i="1"/>
  <c r="N52" i="1"/>
  <c r="N51" i="1"/>
  <c r="N50" i="1"/>
  <c r="N49" i="1"/>
  <c r="N48" i="1"/>
  <c r="G48" i="1"/>
  <c r="G55" i="1" s="1"/>
  <c r="N46" i="1"/>
  <c r="N45" i="1"/>
  <c r="N44" i="1"/>
  <c r="N43" i="1"/>
  <c r="N42" i="1"/>
  <c r="N41" i="1"/>
  <c r="N40" i="1"/>
  <c r="G40" i="1"/>
  <c r="G47" i="1" s="1"/>
  <c r="N38" i="1"/>
  <c r="N37" i="1"/>
  <c r="N36" i="1"/>
  <c r="N35" i="1"/>
  <c r="N34" i="1"/>
  <c r="N33" i="1"/>
  <c r="N32" i="1"/>
  <c r="G32" i="1"/>
  <c r="G39" i="1" s="1"/>
  <c r="N30" i="1"/>
  <c r="N29" i="1"/>
  <c r="N28" i="1"/>
  <c r="N27" i="1"/>
  <c r="N26" i="1"/>
  <c r="N25" i="1"/>
  <c r="N24" i="1"/>
  <c r="G24" i="1"/>
  <c r="G31" i="1" s="1"/>
  <c r="N22" i="1"/>
  <c r="N21" i="1"/>
  <c r="N20" i="1"/>
  <c r="N19" i="1"/>
  <c r="N18" i="1"/>
  <c r="N17" i="1"/>
  <c r="N16" i="1"/>
  <c r="N14" i="1"/>
  <c r="N13" i="1"/>
  <c r="N12" i="1"/>
  <c r="N11" i="1"/>
  <c r="N10" i="1"/>
  <c r="N9" i="1"/>
  <c r="N8" i="1"/>
  <c r="G177" i="1" l="1"/>
  <c r="G201" i="1"/>
  <c r="I96" i="1"/>
  <c r="G247" i="1"/>
  <c r="G209" i="1"/>
  <c r="G229" i="1"/>
  <c r="G223" i="1"/>
  <c r="N241" i="1"/>
  <c r="G241" i="1"/>
  <c r="N247" i="1"/>
  <c r="N223" i="1"/>
  <c r="N201" i="1"/>
  <c r="N209" i="1"/>
  <c r="N217" i="1"/>
  <c r="G235" i="1"/>
  <c r="N235" i="1"/>
  <c r="N229" i="1"/>
  <c r="N185" i="1"/>
  <c r="N193" i="1"/>
  <c r="N71" i="1"/>
  <c r="N79" i="1"/>
  <c r="N87" i="1"/>
  <c r="N95" i="1"/>
  <c r="N103" i="1"/>
  <c r="N113" i="1"/>
  <c r="N121" i="1"/>
  <c r="N129" i="1"/>
  <c r="N137" i="1"/>
  <c r="N145" i="1"/>
  <c r="N153" i="1"/>
  <c r="N161" i="1"/>
  <c r="N169" i="1"/>
  <c r="N177" i="1"/>
  <c r="N23" i="1"/>
  <c r="N39" i="1"/>
  <c r="N55" i="1"/>
  <c r="N15" i="1"/>
  <c r="N31" i="1"/>
  <c r="N47" i="1"/>
  <c r="N63" i="1"/>
  <c r="G16" i="2"/>
</calcChain>
</file>

<file path=xl/comments1.xml><?xml version="1.0" encoding="utf-8"?>
<comments xmlns="http://schemas.openxmlformats.org/spreadsheetml/2006/main">
  <authors>
    <author>LENOVO</author>
  </authors>
  <commentList>
    <comment ref="E268" authorId="0" shapeId="0">
      <text>
        <r>
          <rPr>
            <b/>
            <sz val="9"/>
            <color indexed="81"/>
            <rFont val="Tahoma"/>
            <family val="2"/>
          </rPr>
          <t>30 agregadas en el porton 4</t>
        </r>
      </text>
    </comment>
  </commentList>
</comments>
</file>

<file path=xl/sharedStrings.xml><?xml version="1.0" encoding="utf-8"?>
<sst xmlns="http://schemas.openxmlformats.org/spreadsheetml/2006/main" count="3731" uniqueCount="235">
  <si>
    <t>PLANILLA ESTADO DE CUENTA CLUB ATLETICO TALLERES/ELEVEN - DOS57/ENP</t>
  </si>
  <si>
    <r>
      <rPr>
        <b/>
        <sz val="11"/>
        <color theme="1"/>
        <rFont val="Calibri"/>
        <family val="2"/>
      </rPr>
      <t>Periodo:</t>
    </r>
    <r>
      <rPr>
        <sz val="11"/>
        <color theme="1"/>
        <rFont val="Calibri"/>
        <family val="2"/>
      </rPr>
      <t xml:space="preserve"> </t>
    </r>
  </si>
  <si>
    <t>2021/2022</t>
  </si>
  <si>
    <t>PARTIDO</t>
  </si>
  <si>
    <t>FECHA</t>
  </si>
  <si>
    <t>EMPRESA: DOS57 SRL</t>
  </si>
  <si>
    <t>EMPRESA: ENJOY NIGHT PRODUCCION SA</t>
  </si>
  <si>
    <t>DETALLE</t>
  </si>
  <si>
    <t>CANTIDAD</t>
  </si>
  <si>
    <t>PRECIO UNIT.</t>
  </si>
  <si>
    <t xml:space="preserve">TOTAL </t>
  </si>
  <si>
    <t>FACTURADO</t>
  </si>
  <si>
    <t>PAGADO</t>
  </si>
  <si>
    <t>Talleres - Arsenal</t>
  </si>
  <si>
    <t>Vallas</t>
  </si>
  <si>
    <t>FACT#68</t>
  </si>
  <si>
    <t xml:space="preserve">Portico </t>
  </si>
  <si>
    <t>Personal</t>
  </si>
  <si>
    <t>Fenolico</t>
  </si>
  <si>
    <t>Carteleria</t>
  </si>
  <si>
    <t>Varios</t>
  </si>
  <si>
    <t xml:space="preserve">Total </t>
  </si>
  <si>
    <t>Total</t>
  </si>
  <si>
    <t>Talleres - Boca Juniors</t>
  </si>
  <si>
    <t>Talleres - San Lorenzo</t>
  </si>
  <si>
    <t>Talleres - Estudiantes</t>
  </si>
  <si>
    <t>Talleres - Platense</t>
  </si>
  <si>
    <t>SI</t>
  </si>
  <si>
    <t>Talleres - Rosario Central</t>
  </si>
  <si>
    <t>Talleres - Atletico Tucuman</t>
  </si>
  <si>
    <t>Talleres - River</t>
  </si>
  <si>
    <t>Talleres - Huracan</t>
  </si>
  <si>
    <t xml:space="preserve">Talleres - Velez </t>
  </si>
  <si>
    <t xml:space="preserve">Talleres - Aldosivi </t>
  </si>
  <si>
    <t>Talleres - Independiente</t>
  </si>
  <si>
    <t xml:space="preserve">TOTALES </t>
  </si>
  <si>
    <t>TOTALES</t>
  </si>
  <si>
    <t>Argentina - Colombia</t>
  </si>
  <si>
    <t>Talleres - Belgrano</t>
  </si>
  <si>
    <t>Vestuario</t>
  </si>
  <si>
    <t>Talleres - Union</t>
  </si>
  <si>
    <t>Talleres - Newell´s</t>
  </si>
  <si>
    <t>Boca - Central Cordoba de Rosario</t>
  </si>
  <si>
    <t>Talleres - Godoy Cruz</t>
  </si>
  <si>
    <t>Independiente - Central Norte de Salta</t>
  </si>
  <si>
    <t>Talleres - U. Catolica</t>
  </si>
  <si>
    <t>Tapado Marcas</t>
  </si>
  <si>
    <t>Talleres - Defensa y Justicia</t>
  </si>
  <si>
    <t>Talleres - Sporting Cristal</t>
  </si>
  <si>
    <t>Talleres - Flamengo</t>
  </si>
  <si>
    <t>Entelado</t>
  </si>
  <si>
    <t>Talleres - Sarmiento</t>
  </si>
  <si>
    <t>Talleres - Central Cordoba</t>
  </si>
  <si>
    <t xml:space="preserve">Talleres - Colon </t>
  </si>
  <si>
    <t xml:space="preserve">Vallas </t>
  </si>
  <si>
    <t>Porticos 7,71</t>
  </si>
  <si>
    <t xml:space="preserve">Tarima  </t>
  </si>
  <si>
    <t>Carteleria Porticos</t>
  </si>
  <si>
    <t>Talleres - Barracas Central</t>
  </si>
  <si>
    <t>Tarima camara TV</t>
  </si>
  <si>
    <t xml:space="preserve">Entelado </t>
  </si>
  <si>
    <t>ENP</t>
  </si>
  <si>
    <t>METROS</t>
  </si>
  <si>
    <t>CANT. VALLAS</t>
  </si>
  <si>
    <t>DOS57</t>
  </si>
  <si>
    <t>PENDIENTE FACT A BELGRANO</t>
  </si>
  <si>
    <t>Talleres - Banfield</t>
  </si>
  <si>
    <t>Contacto: Andres Ceballos Telefono: 351546110</t>
  </si>
  <si>
    <t>Talleres - Argentinos Jrs</t>
  </si>
  <si>
    <t>Talleres - Velez</t>
  </si>
  <si>
    <t xml:space="preserve">Cerramiento </t>
  </si>
  <si>
    <t>Tarima TV (Simple)</t>
  </si>
  <si>
    <t>Tarima TV (Doble)</t>
  </si>
  <si>
    <t>Talleres - Patronato</t>
  </si>
  <si>
    <t>Entradas 1</t>
  </si>
  <si>
    <t>Entradas 2</t>
  </si>
  <si>
    <t>Total Servicios</t>
  </si>
  <si>
    <t>Total Entradas Consumidas</t>
  </si>
  <si>
    <t>Saldo</t>
  </si>
  <si>
    <t>Talleres - Racing</t>
  </si>
  <si>
    <t>PLANILLA ESTADO DE CUENTA CLUB ATLETICO TALLERES/ELEVEN - DOS57/ENP - 2023</t>
  </si>
  <si>
    <t>Porticos 5,14</t>
  </si>
  <si>
    <t>Tarima  Veedor</t>
  </si>
  <si>
    <t>NO</t>
  </si>
  <si>
    <t>Talleres - Independencia</t>
  </si>
  <si>
    <t>Dif de Cerramiento</t>
  </si>
  <si>
    <t>Talleres - Boca</t>
  </si>
  <si>
    <t>Talleres - Central</t>
  </si>
  <si>
    <t>Talleres - Barracas</t>
  </si>
  <si>
    <t>Vallas Club</t>
  </si>
  <si>
    <t>Torre de iluminacion</t>
  </si>
  <si>
    <t>ITEM</t>
  </si>
  <si>
    <t xml:space="preserve">UNITARIO </t>
  </si>
  <si>
    <t>TOTAL</t>
  </si>
  <si>
    <t>Fenolico X MTS</t>
  </si>
  <si>
    <t>Vallas X MTS</t>
  </si>
  <si>
    <t>Carteleria X UND</t>
  </si>
  <si>
    <t>Carteleria Porticos X UND</t>
  </si>
  <si>
    <t>Porticos 7,71 X UND</t>
  </si>
  <si>
    <t>Porticos 5,14 X UND</t>
  </si>
  <si>
    <t>Belgrano - River</t>
  </si>
  <si>
    <t>Comision Total por Partido</t>
  </si>
  <si>
    <t>Belgrano - Tigres</t>
  </si>
  <si>
    <t>Belgrano - Lanus</t>
  </si>
  <si>
    <t>Belgrano - Sarmiento</t>
  </si>
  <si>
    <t>Fecha</t>
  </si>
  <si>
    <t>Detalle</t>
  </si>
  <si>
    <t>Importe</t>
  </si>
  <si>
    <t xml:space="preserve">CONCILIACION CUENTAS - RENDICION DE FUTBOL </t>
  </si>
  <si>
    <t>A FAVOR DE DOS57/ENP</t>
  </si>
  <si>
    <t>Total a Favor de DOS57/ENP</t>
  </si>
  <si>
    <t xml:space="preserve">Total Conciliacion </t>
  </si>
  <si>
    <t xml:space="preserve">Partidos Totales </t>
  </si>
  <si>
    <t>PLANILLA RENDICION FUTBOL 2023</t>
  </si>
  <si>
    <t xml:space="preserve">CANTIDAD </t>
  </si>
  <si>
    <t>Tarima  Veedor X UND</t>
  </si>
  <si>
    <t>Tranferencia  (Dos57)</t>
  </si>
  <si>
    <t>Item</t>
  </si>
  <si>
    <t>Sub Total</t>
  </si>
  <si>
    <t>Total Pendiente de Pago</t>
  </si>
  <si>
    <t xml:space="preserve">ABONO - Pago por Transferencia </t>
  </si>
  <si>
    <t xml:space="preserve">Total Conciliado </t>
  </si>
  <si>
    <t>Total Adeudado</t>
  </si>
  <si>
    <t>A FAVOR DE XXX</t>
  </si>
  <si>
    <t>Total a Favor de XXX</t>
  </si>
  <si>
    <t>Talleres - Argentinos JR</t>
  </si>
  <si>
    <t>Efectivo (Dos57)</t>
  </si>
  <si>
    <t>Efectivo (Enjoy)</t>
  </si>
  <si>
    <t xml:space="preserve">ABONO - Pago en efectivo </t>
  </si>
  <si>
    <t>Al 05/07/2023</t>
  </si>
  <si>
    <t>Talleres - Gimnasia</t>
  </si>
  <si>
    <t>Talleres - Instituto</t>
  </si>
  <si>
    <t xml:space="preserve">Talleres - Huracan </t>
  </si>
  <si>
    <t>Torre Luminaria</t>
  </si>
  <si>
    <t>01/01/2023 AL 05/10/2023</t>
  </si>
  <si>
    <t>Vallas X MTS - CLUB</t>
  </si>
  <si>
    <t>Al 26/11/2023</t>
  </si>
  <si>
    <t>PLANILLA ESTADO DE CUENTA CLUB ATLETICO TALLERES/ELEVEN - DOS57/ENP - 2024</t>
  </si>
  <si>
    <t>PLANILLA RENDICION FUTBOL 2024</t>
  </si>
  <si>
    <t>Talleres - Gimasia</t>
  </si>
  <si>
    <t xml:space="preserve">Puestos Totales </t>
  </si>
  <si>
    <t>TRANSFERENCIA (ENP)</t>
  </si>
  <si>
    <t>TRANSFERENCIA (DOS57)</t>
  </si>
  <si>
    <t>APORTE ENP</t>
  </si>
  <si>
    <t>APORTE DOS57</t>
  </si>
  <si>
    <t>AL 29-01-2024</t>
  </si>
  <si>
    <t>Puestos al 26-11-23</t>
  </si>
  <si>
    <t>SALDO ANTERIOR</t>
  </si>
  <si>
    <t>PENDIENTE</t>
  </si>
  <si>
    <t>Talleres - Argentinos Juniors</t>
  </si>
  <si>
    <t>Talleres - Atlético Tucumán</t>
  </si>
  <si>
    <t>Talleres - Atlético Tucuman</t>
  </si>
  <si>
    <t>Talleres - Veléz Sarsfield</t>
  </si>
  <si>
    <t>Talleres - Sao Paulo</t>
  </si>
  <si>
    <t>Talleres - Independiente Rivadavia</t>
  </si>
  <si>
    <t>Talleres - Barcelona de Ecuador</t>
  </si>
  <si>
    <t>Fenólico</t>
  </si>
  <si>
    <t>Cartelería</t>
  </si>
  <si>
    <t>Cartelería Pórticos</t>
  </si>
  <si>
    <t>Torre de iluminación</t>
  </si>
  <si>
    <t>Tribuna Visitante</t>
  </si>
  <si>
    <t>Tarima TV</t>
  </si>
  <si>
    <t>Talleres - Cobresal</t>
  </si>
  <si>
    <t>Tarima  Tv (Simple)</t>
  </si>
  <si>
    <t>Talleres - Velez Sarsfield</t>
  </si>
  <si>
    <t>Talleres - Independiente Riv.</t>
  </si>
  <si>
    <t>Talleres - Barcelona de Ec.</t>
  </si>
  <si>
    <t>APORTE ENJOY</t>
  </si>
  <si>
    <t>14/062024</t>
  </si>
  <si>
    <t>Vallas Club (Junio)</t>
  </si>
  <si>
    <t>Vallas Club (Julio)</t>
  </si>
  <si>
    <t>Vallas Club (Agosto)</t>
  </si>
  <si>
    <t>Talleres - Estudiante</t>
  </si>
  <si>
    <t>Vallas Club (Septiembre)</t>
  </si>
  <si>
    <t>Talleres - Tigre</t>
  </si>
  <si>
    <t>Talleres - Lanús</t>
  </si>
  <si>
    <t>Vallas Club (Octubre)</t>
  </si>
  <si>
    <t>Vallas Club (Noviembre)</t>
  </si>
  <si>
    <t>Talleres - Huracán</t>
  </si>
  <si>
    <t>Vallas Club (Diciembre)</t>
  </si>
  <si>
    <t>Talleres - Newell's</t>
  </si>
  <si>
    <t>Puesto Sanitario</t>
  </si>
  <si>
    <t>Tarima Preferencial</t>
  </si>
  <si>
    <t>al 16/12</t>
  </si>
  <si>
    <t>PENDIENTE DE PAGO DOS57</t>
  </si>
  <si>
    <t>SALDO A APORTAR</t>
  </si>
  <si>
    <t>ENJOY</t>
  </si>
  <si>
    <t>PENDIENTE DE PAGO ENJOY</t>
  </si>
  <si>
    <t>PLANILLA ESTADO DE CUENTA CLUB ATLETICO TALLERES/ELEVEN - DOS57/ENP - 2025</t>
  </si>
  <si>
    <t>Vallas Club (Enero)</t>
  </si>
  <si>
    <t>Tarima  Veedor / TV</t>
  </si>
  <si>
    <t>Vallas Club (Febrero)</t>
  </si>
  <si>
    <t>Vallas Club (Marzo)</t>
  </si>
  <si>
    <t>Vallas Club (Abril)</t>
  </si>
  <si>
    <t>Vallas Club (Mayo)</t>
  </si>
  <si>
    <t>Talleres - Libertadores (1)</t>
  </si>
  <si>
    <t>xx/xx</t>
  </si>
  <si>
    <t>Vallas Club (xxxx)</t>
  </si>
  <si>
    <t>Talleres - Libertadores (2)</t>
  </si>
  <si>
    <t>Talleres - Libertadores (3)</t>
  </si>
  <si>
    <t>NRO DE ORDEN</t>
  </si>
  <si>
    <t>Talleres - Libertad (Conmebol)</t>
  </si>
  <si>
    <t>Talleres - Alianza Lima (Conmebol)</t>
  </si>
  <si>
    <t>Ciego Popular (Especial)</t>
  </si>
  <si>
    <t>Fenólico Zanja</t>
  </si>
  <si>
    <t>Torre Iluminación</t>
  </si>
  <si>
    <t>Tarimas de Cámara</t>
  </si>
  <si>
    <t>PARTIDOS</t>
  </si>
  <si>
    <t>DESCUENTO 20%</t>
  </si>
  <si>
    <t>TALLERES - LIBERTAD</t>
  </si>
  <si>
    <t>TALLERES - ALIANZA LIMA</t>
  </si>
  <si>
    <t>CONCILIACIÓN EXTRAORDINARIA - CONMEBOL 2025</t>
  </si>
  <si>
    <t>SALDO A PAGAR + IVA</t>
  </si>
  <si>
    <t>FINAL IVA INCLUIDO</t>
  </si>
  <si>
    <t>Talleres - São Paulo (Conmebol)</t>
  </si>
  <si>
    <t>TALLERES - SAO PAULO</t>
  </si>
  <si>
    <t>PLANILLA RENDICION FUTBOL 2025</t>
  </si>
  <si>
    <t>Vallado Ciego</t>
  </si>
  <si>
    <t>Fenólico Popular</t>
  </si>
  <si>
    <t>Talleres - San Martin</t>
  </si>
  <si>
    <t>Talleres - Deportivo Riestra</t>
  </si>
  <si>
    <t>Talleres - River Plate</t>
  </si>
  <si>
    <t>al 13/1/26</t>
  </si>
  <si>
    <t>al 31/12/25</t>
  </si>
  <si>
    <t>PLANILLA ESTADO DE CUENTA CLUB ATLETICO TALLERES/ELEVEN - DOS57/ENP - 2026</t>
  </si>
  <si>
    <t>Talleres - Newell´s Old Boys</t>
  </si>
  <si>
    <t>Talleres - Gimnasia (Mendoza)</t>
  </si>
  <si>
    <t>xx/xx/2026</t>
  </si>
  <si>
    <t>TOTAL SIN IVA</t>
  </si>
  <si>
    <t>Talleres - Central Córdoba</t>
  </si>
  <si>
    <t>Talleres - Unión (Santa Fé)</t>
  </si>
  <si>
    <t>Talleres - Estudiantes de La Plata</t>
  </si>
  <si>
    <t>PLANILLA RENDICION FUTBOL 2026</t>
  </si>
  <si>
    <t>al 30/06/2026</t>
  </si>
  <si>
    <t>Vallas Excedentes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</si>
</sst>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dd/mm/yyyy"/>
    <numFmt numFmtId="165" formatCode="_-&quot;$&quot;\ * #,##0.00_-;\-&quot;$&quot;\ * #,##0.00_-;_-&quot;$&quot;\ * &quot;-&quot;??_-;_-@"/>
    <numFmt numFmtId="166" formatCode="_-[$$-2C0A]\ * #,##0.00_-;\-[$$-2C0A]\ * #,##0.00_-;_-[$$-2C0A]\ * &quot;-&quot;??_-;_-@_-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AEABAB"/>
        <bgColor rgb="FFAEABAB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D9E2F3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rgb="FF8EAAD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FBE4D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AEABAB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rgb="FF92D050"/>
        <bgColor rgb="FFAEABAB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6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652">
    <xf numFmtId="0" fontId="0" fillId="0" borderId="0" xfId="0"/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5" borderId="19" xfId="0" applyFont="1" applyFill="1" applyBorder="1" applyAlignment="1">
      <alignment horizontal="center" vertical="center"/>
    </xf>
    <xf numFmtId="165" fontId="15" fillId="5" borderId="19" xfId="0" applyNumberFormat="1" applyFont="1" applyFill="1" applyBorder="1"/>
    <xf numFmtId="165" fontId="15" fillId="5" borderId="20" xfId="0" applyNumberFormat="1" applyFont="1" applyFill="1" applyBorder="1"/>
    <xf numFmtId="0" fontId="15" fillId="5" borderId="24" xfId="0" applyFont="1" applyFill="1" applyBorder="1" applyAlignment="1">
      <alignment horizontal="center" vertical="center"/>
    </xf>
    <xf numFmtId="165" fontId="15" fillId="5" borderId="24" xfId="0" applyNumberFormat="1" applyFont="1" applyFill="1" applyBorder="1"/>
    <xf numFmtId="165" fontId="15" fillId="5" borderId="25" xfId="0" applyNumberFormat="1" applyFont="1" applyFill="1" applyBorder="1"/>
    <xf numFmtId="0" fontId="15" fillId="4" borderId="24" xfId="0" applyFont="1" applyFill="1" applyBorder="1" applyAlignment="1">
      <alignment vertical="center"/>
    </xf>
    <xf numFmtId="0" fontId="15" fillId="4" borderId="24" xfId="0" applyFont="1" applyFill="1" applyBorder="1" applyAlignment="1">
      <alignment horizontal="center" vertical="center"/>
    </xf>
    <xf numFmtId="165" fontId="15" fillId="4" borderId="24" xfId="0" applyNumberFormat="1" applyFont="1" applyFill="1" applyBorder="1"/>
    <xf numFmtId="165" fontId="16" fillId="6" borderId="13" xfId="0" applyNumberFormat="1" applyFont="1" applyFill="1" applyBorder="1" applyAlignment="1">
      <alignment vertical="center"/>
    </xf>
    <xf numFmtId="165" fontId="16" fillId="6" borderId="14" xfId="0" applyNumberFormat="1" applyFont="1" applyFill="1" applyBorder="1"/>
    <xf numFmtId="0" fontId="15" fillId="8" borderId="35" xfId="0" applyFont="1" applyFill="1" applyBorder="1" applyAlignment="1">
      <alignment vertical="center"/>
    </xf>
    <xf numFmtId="0" fontId="15" fillId="8" borderId="36" xfId="0" applyFont="1" applyFill="1" applyBorder="1" applyAlignment="1">
      <alignment vertical="center"/>
    </xf>
    <xf numFmtId="165" fontId="16" fillId="8" borderId="40" xfId="0" applyNumberFormat="1" applyFont="1" applyFill="1" applyBorder="1" applyAlignment="1">
      <alignment vertical="center"/>
    </xf>
    <xf numFmtId="165" fontId="16" fillId="8" borderId="36" xfId="0" applyNumberFormat="1" applyFont="1" applyFill="1" applyBorder="1" applyAlignment="1">
      <alignment vertical="center"/>
    </xf>
    <xf numFmtId="165" fontId="16" fillId="8" borderId="41" xfId="0" applyNumberFormat="1" applyFont="1" applyFill="1" applyBorder="1" applyAlignment="1">
      <alignment vertical="center"/>
    </xf>
    <xf numFmtId="165" fontId="16" fillId="8" borderId="36" xfId="0" applyNumberFormat="1" applyFont="1" applyFill="1" applyBorder="1"/>
    <xf numFmtId="165" fontId="16" fillId="8" borderId="43" xfId="0" applyNumberFormat="1" applyFont="1" applyFill="1" applyBorder="1"/>
    <xf numFmtId="0" fontId="15" fillId="9" borderId="44" xfId="0" applyFont="1" applyFill="1" applyBorder="1" applyAlignment="1">
      <alignment horizontal="center" vertical="center"/>
    </xf>
    <xf numFmtId="164" fontId="15" fillId="9" borderId="45" xfId="0" applyNumberFormat="1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right" vertical="center"/>
    </xf>
    <xf numFmtId="0" fontId="16" fillId="9" borderId="47" xfId="0" applyFont="1" applyFill="1" applyBorder="1" applyAlignment="1">
      <alignment horizontal="right" vertical="center"/>
    </xf>
    <xf numFmtId="0" fontId="16" fillId="9" borderId="48" xfId="0" applyFont="1" applyFill="1" applyBorder="1" applyAlignment="1">
      <alignment horizontal="right" vertical="center"/>
    </xf>
    <xf numFmtId="165" fontId="16" fillId="9" borderId="45" xfId="0" applyNumberFormat="1" applyFont="1" applyFill="1" applyBorder="1" applyAlignment="1">
      <alignment vertical="center"/>
    </xf>
    <xf numFmtId="165" fontId="15" fillId="9" borderId="45" xfId="0" applyNumberFormat="1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right"/>
    </xf>
    <xf numFmtId="0" fontId="16" fillId="9" borderId="47" xfId="0" applyFont="1" applyFill="1" applyBorder="1" applyAlignment="1">
      <alignment horizontal="right"/>
    </xf>
    <xf numFmtId="0" fontId="16" fillId="9" borderId="48" xfId="0" applyFont="1" applyFill="1" applyBorder="1" applyAlignment="1">
      <alignment horizontal="right"/>
    </xf>
    <xf numFmtId="165" fontId="16" fillId="9" borderId="49" xfId="0" applyNumberFormat="1" applyFont="1" applyFill="1" applyBorder="1"/>
    <xf numFmtId="165" fontId="15" fillId="9" borderId="50" xfId="0" applyNumberFormat="1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vertical="center"/>
    </xf>
    <xf numFmtId="165" fontId="16" fillId="6" borderId="52" xfId="0" applyNumberFormat="1" applyFont="1" applyFill="1" applyBorder="1"/>
    <xf numFmtId="165" fontId="15" fillId="0" borderId="0" xfId="0" applyNumberFormat="1" applyFont="1"/>
    <xf numFmtId="165" fontId="15" fillId="4" borderId="53" xfId="0" applyNumberFormat="1" applyFont="1" applyFill="1" applyBorder="1" applyAlignment="1">
      <alignment vertical="center"/>
    </xf>
    <xf numFmtId="165" fontId="16" fillId="6" borderId="51" xfId="0" applyNumberFormat="1" applyFont="1" applyFill="1" applyBorder="1" applyAlignment="1">
      <alignment vertical="center"/>
    </xf>
    <xf numFmtId="165" fontId="15" fillId="4" borderId="53" xfId="0" applyNumberFormat="1" applyFont="1" applyFill="1" applyBorder="1"/>
    <xf numFmtId="0" fontId="15" fillId="5" borderId="64" xfId="0" applyFont="1" applyFill="1" applyBorder="1" applyAlignment="1">
      <alignment horizontal="center" vertical="center"/>
    </xf>
    <xf numFmtId="165" fontId="15" fillId="5" borderId="64" xfId="0" applyNumberFormat="1" applyFont="1" applyFill="1" applyBorder="1"/>
    <xf numFmtId="165" fontId="15" fillId="5" borderId="65" xfId="0" applyNumberFormat="1" applyFont="1" applyFill="1" applyBorder="1"/>
    <xf numFmtId="165" fontId="16" fillId="6" borderId="75" xfId="0" applyNumberFormat="1" applyFont="1" applyFill="1" applyBorder="1"/>
    <xf numFmtId="165" fontId="15" fillId="4" borderId="29" xfId="0" applyNumberFormat="1" applyFont="1" applyFill="1" applyBorder="1"/>
    <xf numFmtId="0" fontId="15" fillId="12" borderId="53" xfId="0" applyFont="1" applyFill="1" applyBorder="1" applyAlignment="1">
      <alignment vertical="center"/>
    </xf>
    <xf numFmtId="0" fontId="14" fillId="10" borderId="53" xfId="0" applyFont="1" applyFill="1" applyBorder="1"/>
    <xf numFmtId="44" fontId="15" fillId="5" borderId="2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vertical="center"/>
    </xf>
    <xf numFmtId="165" fontId="15" fillId="4" borderId="84" xfId="0" applyNumberFormat="1" applyFont="1" applyFill="1" applyBorder="1"/>
    <xf numFmtId="165" fontId="16" fillId="6" borderId="87" xfId="0" applyNumberFormat="1" applyFont="1" applyFill="1" applyBorder="1" applyAlignment="1">
      <alignment vertical="center"/>
    </xf>
    <xf numFmtId="165" fontId="16" fillId="6" borderId="89" xfId="0" applyNumberFormat="1" applyFont="1" applyFill="1" applyBorder="1" applyAlignment="1">
      <alignment vertical="center"/>
    </xf>
    <xf numFmtId="165" fontId="15" fillId="4" borderId="92" xfId="0" applyNumberFormat="1" applyFont="1" applyFill="1" applyBorder="1"/>
    <xf numFmtId="0" fontId="15" fillId="16" borderId="24" xfId="0" applyFont="1" applyFill="1" applyBorder="1" applyAlignment="1">
      <alignment vertical="center"/>
    </xf>
    <xf numFmtId="0" fontId="15" fillId="16" borderId="24" xfId="0" applyFont="1" applyFill="1" applyBorder="1" applyAlignment="1">
      <alignment horizontal="center" vertical="center"/>
    </xf>
    <xf numFmtId="165" fontId="15" fillId="16" borderId="24" xfId="0" applyNumberFormat="1" applyFont="1" applyFill="1" applyBorder="1"/>
    <xf numFmtId="0" fontId="15" fillId="3" borderId="3" xfId="0" applyFont="1" applyFill="1" applyBorder="1"/>
    <xf numFmtId="44" fontId="0" fillId="0" borderId="0" xfId="0" applyNumberFormat="1"/>
    <xf numFmtId="0" fontId="15" fillId="12" borderId="53" xfId="0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center" vertical="center"/>
    </xf>
    <xf numFmtId="165" fontId="15" fillId="5" borderId="53" xfId="0" applyNumberFormat="1" applyFont="1" applyFill="1" applyBorder="1"/>
    <xf numFmtId="0" fontId="15" fillId="5" borderId="81" xfId="0" applyFont="1" applyFill="1" applyBorder="1" applyAlignment="1">
      <alignment horizontal="center" vertical="center"/>
    </xf>
    <xf numFmtId="165" fontId="15" fillId="5" borderId="81" xfId="0" applyNumberFormat="1" applyFont="1" applyFill="1" applyBorder="1"/>
    <xf numFmtId="165" fontId="20" fillId="0" borderId="53" xfId="0" applyNumberFormat="1" applyFont="1" applyBorder="1"/>
    <xf numFmtId="165" fontId="14" fillId="5" borderId="2" xfId="0" applyNumberFormat="1" applyFont="1" applyFill="1" applyBorder="1"/>
    <xf numFmtId="165" fontId="14" fillId="5" borderId="93" xfId="0" applyNumberFormat="1" applyFont="1" applyFill="1" applyBorder="1"/>
    <xf numFmtId="0" fontId="14" fillId="11" borderId="67" xfId="0" applyFont="1" applyFill="1" applyBorder="1" applyAlignment="1">
      <alignment horizontal="center" vertical="center"/>
    </xf>
    <xf numFmtId="0" fontId="14" fillId="11" borderId="77" xfId="0" applyFont="1" applyFill="1" applyBorder="1" applyAlignment="1">
      <alignment horizontal="center" vertical="center"/>
    </xf>
    <xf numFmtId="0" fontId="14" fillId="11" borderId="109" xfId="0" applyFont="1" applyFill="1" applyBorder="1" applyAlignment="1">
      <alignment horizontal="center" vertical="center"/>
    </xf>
    <xf numFmtId="0" fontId="14" fillId="11" borderId="110" xfId="0" applyFont="1" applyFill="1" applyBorder="1" applyAlignment="1">
      <alignment horizontal="center" vertical="center"/>
    </xf>
    <xf numFmtId="165" fontId="16" fillId="6" borderId="111" xfId="0" applyNumberFormat="1" applyFont="1" applyFill="1" applyBorder="1" applyAlignment="1">
      <alignment vertical="center"/>
    </xf>
    <xf numFmtId="0" fontId="15" fillId="4" borderId="45" xfId="0" applyFont="1" applyFill="1" applyBorder="1" applyAlignment="1">
      <alignment horizontal="center" vertical="center"/>
    </xf>
    <xf numFmtId="165" fontId="15" fillId="4" borderId="45" xfId="0" applyNumberFormat="1" applyFont="1" applyFill="1" applyBorder="1" applyAlignment="1">
      <alignment horizontal="center" vertical="center"/>
    </xf>
    <xf numFmtId="165" fontId="15" fillId="4" borderId="108" xfId="0" applyNumberFormat="1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165" fontId="15" fillId="5" borderId="27" xfId="0" applyNumberFormat="1" applyFont="1" applyFill="1" applyBorder="1"/>
    <xf numFmtId="165" fontId="15" fillId="5" borderId="113" xfId="0" applyNumberFormat="1" applyFont="1" applyFill="1" applyBorder="1"/>
    <xf numFmtId="165" fontId="15" fillId="5" borderId="62" xfId="0" applyNumberFormat="1" applyFont="1" applyFill="1" applyBorder="1"/>
    <xf numFmtId="165" fontId="16" fillId="6" borderId="72" xfId="0" applyNumberFormat="1" applyFont="1" applyFill="1" applyBorder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90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4" fillId="10" borderId="60" xfId="0" applyFont="1" applyFill="1" applyBorder="1" applyAlignment="1">
      <alignment horizontal="center" vertical="center"/>
    </xf>
    <xf numFmtId="0" fontId="14" fillId="10" borderId="82" xfId="0" applyFont="1" applyFill="1" applyBorder="1" applyAlignment="1">
      <alignment horizontal="center" vertical="center"/>
    </xf>
    <xf numFmtId="0" fontId="0" fillId="11" borderId="55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15" fillId="3" borderId="47" xfId="0" applyFont="1" applyFill="1" applyBorder="1"/>
    <xf numFmtId="0" fontId="15" fillId="3" borderId="47" xfId="0" applyFont="1" applyFill="1" applyBorder="1" applyAlignment="1">
      <alignment horizontal="center"/>
    </xf>
    <xf numFmtId="165" fontId="15" fillId="4" borderId="116" xfId="0" applyNumberFormat="1" applyFont="1" applyFill="1" applyBorder="1" applyAlignment="1">
      <alignment vertical="center"/>
    </xf>
    <xf numFmtId="0" fontId="15" fillId="4" borderId="122" xfId="0" applyFont="1" applyFill="1" applyBorder="1" applyAlignment="1">
      <alignment horizontal="center" vertical="center"/>
    </xf>
    <xf numFmtId="0" fontId="15" fillId="4" borderId="123" xfId="0" applyFont="1" applyFill="1" applyBorder="1" applyAlignment="1">
      <alignment vertical="center"/>
    </xf>
    <xf numFmtId="0" fontId="15" fillId="4" borderId="68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16" fillId="5" borderId="119" xfId="0" applyFont="1" applyFill="1" applyBorder="1" applyAlignment="1">
      <alignment horizontal="center"/>
    </xf>
    <xf numFmtId="0" fontId="0" fillId="11" borderId="129" xfId="0" applyFill="1" applyBorder="1" applyAlignment="1">
      <alignment horizontal="center"/>
    </xf>
    <xf numFmtId="0" fontId="15" fillId="4" borderId="28" xfId="0" applyFont="1" applyFill="1" applyBorder="1" applyAlignment="1">
      <alignment horizontal="center" vertical="center"/>
    </xf>
    <xf numFmtId="0" fontId="14" fillId="10" borderId="90" xfId="0" applyFont="1" applyFill="1" applyBorder="1" applyAlignment="1">
      <alignment horizontal="center" vertical="center"/>
    </xf>
    <xf numFmtId="0" fontId="14" fillId="10" borderId="87" xfId="0" applyFont="1" applyFill="1" applyBorder="1" applyAlignment="1">
      <alignment horizontal="center" vertical="center"/>
    </xf>
    <xf numFmtId="0" fontId="16" fillId="4" borderId="135" xfId="0" applyFont="1" applyFill="1" applyBorder="1" applyAlignment="1">
      <alignment horizontal="center"/>
    </xf>
    <xf numFmtId="0" fontId="16" fillId="4" borderId="136" xfId="0" applyFont="1" applyFill="1" applyBorder="1" applyAlignment="1">
      <alignment horizontal="center"/>
    </xf>
    <xf numFmtId="0" fontId="16" fillId="4" borderId="137" xfId="0" applyFont="1" applyFill="1" applyBorder="1" applyAlignment="1">
      <alignment horizontal="center"/>
    </xf>
    <xf numFmtId="0" fontId="16" fillId="4" borderId="13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21" borderId="24" xfId="0" applyFont="1" applyFill="1" applyBorder="1" applyAlignment="1">
      <alignment horizontal="center" vertical="center"/>
    </xf>
    <xf numFmtId="165" fontId="15" fillId="21" borderId="24" xfId="0" applyNumberFormat="1" applyFont="1" applyFill="1" applyBorder="1"/>
    <xf numFmtId="165" fontId="15" fillId="21" borderId="140" xfId="0" applyNumberFormat="1" applyFont="1" applyFill="1" applyBorder="1"/>
    <xf numFmtId="165" fontId="16" fillId="6" borderId="89" xfId="0" applyNumberFormat="1" applyFont="1" applyFill="1" applyBorder="1"/>
    <xf numFmtId="0" fontId="15" fillId="9" borderId="70" xfId="0" applyFont="1" applyFill="1" applyBorder="1" applyAlignment="1">
      <alignment horizontal="center" vertical="center"/>
    </xf>
    <xf numFmtId="0" fontId="15" fillId="9" borderId="141" xfId="0" applyFont="1" applyFill="1" applyBorder="1" applyAlignment="1">
      <alignment horizontal="center" vertical="center"/>
    </xf>
    <xf numFmtId="164" fontId="15" fillId="9" borderId="71" xfId="0" applyNumberFormat="1" applyFont="1" applyFill="1" applyBorder="1" applyAlignment="1">
      <alignment horizontal="center" vertical="center"/>
    </xf>
    <xf numFmtId="0" fontId="16" fillId="9" borderId="85" xfId="0" applyFont="1" applyFill="1" applyBorder="1" applyAlignment="1">
      <alignment horizontal="right"/>
    </xf>
    <xf numFmtId="0" fontId="16" fillId="9" borderId="86" xfId="0" applyFont="1" applyFill="1" applyBorder="1" applyAlignment="1">
      <alignment horizontal="right"/>
    </xf>
    <xf numFmtId="0" fontId="16" fillId="9" borderId="82" xfId="0" applyFont="1" applyFill="1" applyBorder="1" applyAlignment="1">
      <alignment horizontal="right"/>
    </xf>
    <xf numFmtId="165" fontId="16" fillId="9" borderId="87" xfId="0" applyNumberFormat="1" applyFont="1" applyFill="1" applyBorder="1"/>
    <xf numFmtId="0" fontId="15" fillId="0" borderId="68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6" fillId="6" borderId="142" xfId="0" applyNumberFormat="1" applyFont="1" applyFill="1" applyBorder="1" applyAlignment="1">
      <alignment horizontal="right" vertical="center"/>
    </xf>
    <xf numFmtId="0" fontId="12" fillId="0" borderId="0" xfId="0" applyFont="1"/>
    <xf numFmtId="0" fontId="20" fillId="0" borderId="0" xfId="0" applyFont="1" applyAlignment="1">
      <alignment horizontal="center"/>
    </xf>
    <xf numFmtId="14" fontId="0" fillId="0" borderId="0" xfId="0" applyNumberFormat="1"/>
    <xf numFmtId="44" fontId="0" fillId="0" borderId="0" xfId="1" applyFont="1"/>
    <xf numFmtId="0" fontId="15" fillId="21" borderId="27" xfId="0" applyFont="1" applyFill="1" applyBorder="1" applyAlignment="1">
      <alignment horizontal="center" vertical="center"/>
    </xf>
    <xf numFmtId="165" fontId="15" fillId="21" borderId="27" xfId="0" applyNumberFormat="1" applyFont="1" applyFill="1" applyBorder="1"/>
    <xf numFmtId="0" fontId="19" fillId="17" borderId="143" xfId="0" applyFont="1" applyFill="1" applyBorder="1" applyAlignment="1">
      <alignment horizontal="center"/>
    </xf>
    <xf numFmtId="0" fontId="19" fillId="17" borderId="144" xfId="0" applyFont="1" applyFill="1" applyBorder="1" applyAlignment="1">
      <alignment horizontal="center"/>
    </xf>
    <xf numFmtId="0" fontId="19" fillId="17" borderId="147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0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44" fontId="20" fillId="0" borderId="0" xfId="0" applyNumberFormat="1" applyFont="1"/>
    <xf numFmtId="44" fontId="20" fillId="20" borderId="0" xfId="0" applyNumberFormat="1" applyFont="1" applyFill="1"/>
    <xf numFmtId="44" fontId="20" fillId="14" borderId="0" xfId="1" applyFont="1" applyFill="1" applyAlignment="1"/>
    <xf numFmtId="0" fontId="14" fillId="10" borderId="53" xfId="0" applyFont="1" applyFill="1" applyBorder="1" applyAlignment="1">
      <alignment vertical="center"/>
    </xf>
    <xf numFmtId="165" fontId="15" fillId="4" borderId="29" xfId="0" applyNumberFormat="1" applyFont="1" applyFill="1" applyBorder="1" applyAlignment="1">
      <alignment vertical="center"/>
    </xf>
    <xf numFmtId="0" fontId="11" fillId="0" borderId="0" xfId="0" applyFont="1"/>
    <xf numFmtId="44" fontId="25" fillId="20" borderId="0" xfId="0" applyNumberFormat="1" applyFont="1" applyFill="1"/>
    <xf numFmtId="14" fontId="11" fillId="0" borderId="0" xfId="0" applyNumberFormat="1" applyFont="1"/>
    <xf numFmtId="0" fontId="20" fillId="0" borderId="0" xfId="0" applyFont="1" applyAlignment="1">
      <alignment horizontal="right"/>
    </xf>
    <xf numFmtId="0" fontId="15" fillId="0" borderId="47" xfId="0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right"/>
    </xf>
    <xf numFmtId="165" fontId="16" fillId="0" borderId="47" xfId="0" applyNumberFormat="1" applyFont="1" applyBorder="1"/>
    <xf numFmtId="165" fontId="15" fillId="21" borderId="56" xfId="0" applyNumberFormat="1" applyFont="1" applyFill="1" applyBorder="1"/>
    <xf numFmtId="165" fontId="15" fillId="21" borderId="108" xfId="0" applyNumberFormat="1" applyFont="1" applyFill="1" applyBorder="1"/>
    <xf numFmtId="44" fontId="26" fillId="24" borderId="0" xfId="1" applyFont="1" applyFill="1" applyAlignment="1"/>
    <xf numFmtId="44" fontId="26" fillId="24" borderId="0" xfId="0" applyNumberFormat="1" applyFont="1" applyFill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5" fillId="9" borderId="47" xfId="0" applyFont="1" applyFill="1" applyBorder="1" applyAlignment="1">
      <alignment horizontal="center" vertical="center"/>
    </xf>
    <xf numFmtId="164" fontId="15" fillId="9" borderId="47" xfId="0" applyNumberFormat="1" applyFont="1" applyFill="1" applyBorder="1" applyAlignment="1">
      <alignment horizontal="center" vertical="center"/>
    </xf>
    <xf numFmtId="165" fontId="16" fillId="9" borderId="47" xfId="0" applyNumberFormat="1" applyFont="1" applyFill="1" applyBorder="1"/>
    <xf numFmtId="164" fontId="10" fillId="0" borderId="0" xfId="0" applyNumberFormat="1" applyFont="1" applyAlignment="1">
      <alignment horizontal="center"/>
    </xf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165" fontId="16" fillId="25" borderId="89" xfId="0" applyNumberFormat="1" applyFont="1" applyFill="1" applyBorder="1"/>
    <xf numFmtId="14" fontId="9" fillId="0" borderId="0" xfId="0" applyNumberFormat="1" applyFont="1"/>
    <xf numFmtId="44" fontId="26" fillId="20" borderId="0" xfId="0" applyNumberFormat="1" applyFont="1" applyFill="1"/>
    <xf numFmtId="0" fontId="20" fillId="13" borderId="0" xfId="0" applyFont="1" applyFill="1" applyAlignment="1">
      <alignment horizontal="right"/>
    </xf>
    <xf numFmtId="44" fontId="26" fillId="13" borderId="0" xfId="0" applyNumberFormat="1" applyFont="1" applyFill="1"/>
    <xf numFmtId="0" fontId="15" fillId="26" borderId="24" xfId="0" applyFont="1" applyFill="1" applyBorder="1" applyAlignment="1">
      <alignment horizontal="center" vertical="center"/>
    </xf>
    <xf numFmtId="165" fontId="15" fillId="26" borderId="24" xfId="0" applyNumberFormat="1" applyFont="1" applyFill="1" applyBorder="1"/>
    <xf numFmtId="165" fontId="15" fillId="26" borderId="140" xfId="0" applyNumberFormat="1" applyFont="1" applyFill="1" applyBorder="1"/>
    <xf numFmtId="165" fontId="15" fillId="26" borderId="56" xfId="0" applyNumberFormat="1" applyFont="1" applyFill="1" applyBorder="1"/>
    <xf numFmtId="0" fontId="8" fillId="0" borderId="0" xfId="0" applyFont="1"/>
    <xf numFmtId="44" fontId="25" fillId="24" borderId="0" xfId="0" applyNumberFormat="1" applyFont="1" applyFill="1"/>
    <xf numFmtId="0" fontId="20" fillId="27" borderId="0" xfId="0" applyFont="1" applyFill="1"/>
    <xf numFmtId="44" fontId="20" fillId="27" borderId="0" xfId="0" applyNumberFormat="1" applyFont="1" applyFill="1"/>
    <xf numFmtId="0" fontId="20" fillId="27" borderId="0" xfId="0" applyFont="1" applyFill="1" applyAlignment="1">
      <alignment horizontal="center"/>
    </xf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4" fillId="11" borderId="69" xfId="0" applyFont="1" applyFill="1" applyBorder="1" applyAlignment="1">
      <alignment vertical="center"/>
    </xf>
    <xf numFmtId="0" fontId="15" fillId="28" borderId="24" xfId="0" applyFont="1" applyFill="1" applyBorder="1" applyAlignment="1">
      <alignment horizontal="center" vertical="center"/>
    </xf>
    <xf numFmtId="165" fontId="15" fillId="28" borderId="24" xfId="0" applyNumberFormat="1" applyFont="1" applyFill="1" applyBorder="1"/>
    <xf numFmtId="165" fontId="15" fillId="28" borderId="25" xfId="0" applyNumberFormat="1" applyFont="1" applyFill="1" applyBorder="1"/>
    <xf numFmtId="165" fontId="16" fillId="25" borderId="75" xfId="0" applyNumberFormat="1" applyFont="1" applyFill="1" applyBorder="1"/>
    <xf numFmtId="165" fontId="16" fillId="29" borderId="75" xfId="0" applyNumberFormat="1" applyFont="1" applyFill="1" applyBorder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165" fontId="15" fillId="5" borderId="83" xfId="0" applyNumberFormat="1" applyFont="1" applyFill="1" applyBorder="1"/>
    <xf numFmtId="165" fontId="15" fillId="5" borderId="84" xfId="0" applyNumberFormat="1" applyFont="1" applyFill="1" applyBorder="1"/>
    <xf numFmtId="0" fontId="14" fillId="11" borderId="156" xfId="0" applyFont="1" applyFill="1" applyBorder="1" applyAlignment="1">
      <alignment vertical="center"/>
    </xf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28" borderId="123" xfId="0" applyFont="1" applyFill="1" applyBorder="1" applyAlignment="1">
      <alignment horizontal="center"/>
    </xf>
    <xf numFmtId="0" fontId="14" fillId="11" borderId="29" xfId="0" applyFont="1" applyFill="1" applyBorder="1"/>
    <xf numFmtId="0" fontId="7" fillId="0" borderId="0" xfId="0" applyFont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165" fontId="15" fillId="26" borderId="108" xfId="0" applyNumberFormat="1" applyFont="1" applyFill="1" applyBorder="1"/>
    <xf numFmtId="14" fontId="6" fillId="0" borderId="0" xfId="0" applyNumberFormat="1" applyFont="1"/>
    <xf numFmtId="44" fontId="6" fillId="0" borderId="158" xfId="0" applyNumberFormat="1" applyFont="1" applyBorder="1" applyAlignment="1">
      <alignment horizontal="left"/>
    </xf>
    <xf numFmtId="44" fontId="0" fillId="0" borderId="83" xfId="0" applyNumberFormat="1" applyBorder="1"/>
    <xf numFmtId="0" fontId="6" fillId="0" borderId="122" xfId="0" applyFont="1" applyBorder="1" applyAlignment="1">
      <alignment horizontal="left"/>
    </xf>
    <xf numFmtId="44" fontId="0" fillId="0" borderId="84" xfId="0" applyNumberFormat="1" applyBorder="1"/>
    <xf numFmtId="0" fontId="6" fillId="30" borderId="159" xfId="0" applyFont="1" applyFill="1" applyBorder="1" applyAlignment="1">
      <alignment horizontal="left"/>
    </xf>
    <xf numFmtId="44" fontId="0" fillId="30" borderId="160" xfId="0" applyNumberFormat="1" applyFill="1" applyBorder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3" borderId="47" xfId="0" applyFont="1" applyFill="1" applyBorder="1"/>
    <xf numFmtId="0" fontId="0" fillId="0" borderId="157" xfId="0" applyBorder="1" applyAlignment="1">
      <alignment horizontal="center" vertical="center"/>
    </xf>
    <xf numFmtId="0" fontId="5" fillId="0" borderId="158" xfId="0" applyFont="1" applyBorder="1" applyAlignment="1">
      <alignment horizontal="center" vertical="center"/>
    </xf>
    <xf numFmtId="14" fontId="0" fillId="0" borderId="59" xfId="0" applyNumberFormat="1" applyBorder="1" applyAlignment="1">
      <alignment horizontal="center" vertical="center"/>
    </xf>
    <xf numFmtId="0" fontId="5" fillId="0" borderId="159" xfId="0" applyFont="1" applyBorder="1" applyAlignment="1">
      <alignment horizontal="center" vertical="center"/>
    </xf>
    <xf numFmtId="14" fontId="0" fillId="0" borderId="161" xfId="0" applyNumberFormat="1" applyBorder="1" applyAlignment="1">
      <alignment horizontal="center" vertical="center"/>
    </xf>
    <xf numFmtId="166" fontId="0" fillId="0" borderId="157" xfId="0" applyNumberFormat="1" applyBorder="1" applyAlignment="1">
      <alignment horizontal="center" vertical="center"/>
    </xf>
    <xf numFmtId="166" fontId="0" fillId="0" borderId="59" xfId="0" applyNumberFormat="1" applyBorder="1" applyAlignment="1">
      <alignment horizontal="center" vertical="center"/>
    </xf>
    <xf numFmtId="166" fontId="0" fillId="0" borderId="161" xfId="0" applyNumberFormat="1" applyBorder="1" applyAlignment="1">
      <alignment horizontal="center" vertical="center"/>
    </xf>
    <xf numFmtId="166" fontId="0" fillId="0" borderId="160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Fill="1"/>
    <xf numFmtId="166" fontId="4" fillId="0" borderId="157" xfId="0" applyNumberFormat="1" applyFont="1" applyBorder="1" applyAlignment="1">
      <alignment horizontal="center" vertical="center"/>
    </xf>
    <xf numFmtId="166" fontId="4" fillId="0" borderId="157" xfId="0" applyNumberFormat="1" applyFont="1" applyFill="1" applyBorder="1" applyAlignment="1">
      <alignment horizontal="center" vertical="center"/>
    </xf>
    <xf numFmtId="166" fontId="0" fillId="31" borderId="157" xfId="0" applyNumberFormat="1" applyFill="1" applyBorder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166" fontId="0" fillId="0" borderId="53" xfId="0" applyNumberFormat="1" applyBorder="1" applyAlignment="1">
      <alignment horizontal="center" vertical="center"/>
    </xf>
    <xf numFmtId="166" fontId="0" fillId="0" borderId="84" xfId="0" applyNumberFormat="1" applyBorder="1" applyAlignment="1">
      <alignment horizontal="center" vertical="center"/>
    </xf>
    <xf numFmtId="0" fontId="0" fillId="0" borderId="0" xfId="0"/>
    <xf numFmtId="14" fontId="0" fillId="0" borderId="0" xfId="0" applyNumberFormat="1" applyAlignment="1">
      <alignment horizontal="center"/>
    </xf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0" fontId="0" fillId="0" borderId="0" xfId="0"/>
    <xf numFmtId="0" fontId="15" fillId="3" borderId="47" xfId="0" applyFont="1" applyFill="1" applyBorder="1"/>
    <xf numFmtId="0" fontId="0" fillId="0" borderId="0" xfId="0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14" fontId="2" fillId="0" borderId="0" xfId="0" applyNumberFormat="1" applyFont="1"/>
    <xf numFmtId="0" fontId="2" fillId="0" borderId="0" xfId="0" applyFont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3" borderId="47" xfId="0" applyFont="1" applyFill="1" applyBorder="1"/>
    <xf numFmtId="0" fontId="15" fillId="4" borderId="61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0" fillId="0" borderId="0" xfId="0"/>
    <xf numFmtId="0" fontId="15" fillId="3" borderId="47" xfId="0" applyFont="1" applyFill="1" applyBorder="1"/>
    <xf numFmtId="165" fontId="20" fillId="33" borderId="157" xfId="0" applyNumberFormat="1" applyFont="1" applyFill="1" applyBorder="1"/>
    <xf numFmtId="0" fontId="0" fillId="32" borderId="0" xfId="0" applyFill="1"/>
    <xf numFmtId="0" fontId="0" fillId="0" borderId="0" xfId="0"/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15" fillId="4" borderId="53" xfId="0" applyFont="1" applyFill="1" applyBorder="1" applyAlignment="1">
      <alignment horizontal="center" vertical="center"/>
    </xf>
    <xf numFmtId="165" fontId="15" fillId="4" borderId="45" xfId="0" applyNumberFormat="1" applyFont="1" applyFill="1" applyBorder="1" applyAlignment="1">
      <alignment horizontal="center" vertical="center"/>
    </xf>
    <xf numFmtId="14" fontId="1" fillId="0" borderId="0" xfId="0" applyNumberFormat="1" applyFont="1"/>
    <xf numFmtId="0" fontId="15" fillId="5" borderId="53" xfId="0" applyFont="1" applyFill="1" applyBorder="1" applyAlignment="1">
      <alignment horizontal="center"/>
    </xf>
    <xf numFmtId="0" fontId="14" fillId="0" borderId="53" xfId="0" applyFont="1" applyBorder="1"/>
    <xf numFmtId="0" fontId="14" fillId="11" borderId="2" xfId="0" applyFont="1" applyFill="1" applyBorder="1" applyAlignment="1">
      <alignment horizontal="center" vertical="center"/>
    </xf>
    <xf numFmtId="0" fontId="14" fillId="11" borderId="50" xfId="0" applyFont="1" applyFill="1" applyBorder="1" applyAlignment="1">
      <alignment horizontal="center" vertical="center"/>
    </xf>
    <xf numFmtId="0" fontId="14" fillId="11" borderId="34" xfId="0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right"/>
    </xf>
    <xf numFmtId="0" fontId="14" fillId="0" borderId="33" xfId="0" applyFont="1" applyBorder="1"/>
    <xf numFmtId="0" fontId="14" fillId="0" borderId="3" xfId="0" applyFont="1" applyBorder="1"/>
    <xf numFmtId="0" fontId="14" fillId="0" borderId="88" xfId="0" applyFont="1" applyBorder="1"/>
    <xf numFmtId="0" fontId="15" fillId="5" borderId="28" xfId="0" applyFont="1" applyFill="1" applyBorder="1" applyAlignment="1">
      <alignment horizontal="center"/>
    </xf>
    <xf numFmtId="0" fontId="15" fillId="5" borderId="96" xfId="0" applyFont="1" applyFill="1" applyBorder="1" applyAlignment="1">
      <alignment horizontal="center"/>
    </xf>
    <xf numFmtId="0" fontId="20" fillId="0" borderId="53" xfId="0" applyFont="1" applyBorder="1" applyAlignment="1">
      <alignment horizontal="right"/>
    </xf>
    <xf numFmtId="0" fontId="15" fillId="5" borderId="97" xfId="0" applyFont="1" applyFill="1" applyBorder="1" applyAlignment="1">
      <alignment horizontal="center"/>
    </xf>
    <xf numFmtId="0" fontId="15" fillId="5" borderId="98" xfId="0" applyFont="1" applyFill="1" applyBorder="1" applyAlignment="1">
      <alignment horizontal="center"/>
    </xf>
    <xf numFmtId="0" fontId="15" fillId="4" borderId="61" xfId="0" applyFont="1" applyFill="1" applyBorder="1" applyAlignment="1">
      <alignment horizontal="center" vertical="center"/>
    </xf>
    <xf numFmtId="0" fontId="15" fillId="4" borderId="78" xfId="0" applyFont="1" applyFill="1" applyBorder="1" applyAlignment="1">
      <alignment horizontal="center" vertical="center"/>
    </xf>
    <xf numFmtId="165" fontId="15" fillId="4" borderId="61" xfId="0" applyNumberFormat="1" applyFont="1" applyFill="1" applyBorder="1" applyAlignment="1">
      <alignment horizontal="center" vertical="center"/>
    </xf>
    <xf numFmtId="165" fontId="15" fillId="4" borderId="78" xfId="0" applyNumberFormat="1" applyFont="1" applyFill="1" applyBorder="1" applyAlignment="1">
      <alignment horizontal="center" vertical="center"/>
    </xf>
    <xf numFmtId="165" fontId="15" fillId="4" borderId="90" xfId="0" applyNumberFormat="1" applyFont="1" applyFill="1" applyBorder="1" applyAlignment="1">
      <alignment horizontal="center" vertical="center"/>
    </xf>
    <xf numFmtId="165" fontId="15" fillId="4" borderId="91" xfId="0" applyNumberFormat="1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/>
    </xf>
    <xf numFmtId="0" fontId="14" fillId="10" borderId="88" xfId="0" applyFont="1" applyFill="1" applyBorder="1" applyAlignment="1">
      <alignment horizontal="center" vertical="center"/>
    </xf>
    <xf numFmtId="44" fontId="14" fillId="10" borderId="46" xfId="0" applyNumberFormat="1" applyFont="1" applyFill="1" applyBorder="1" applyAlignment="1">
      <alignment horizontal="center" vertical="center"/>
    </xf>
    <xf numFmtId="0" fontId="14" fillId="10" borderId="46" xfId="0" applyFont="1" applyFill="1" applyBorder="1" applyAlignment="1">
      <alignment horizontal="center" vertical="center"/>
    </xf>
    <xf numFmtId="0" fontId="14" fillId="10" borderId="45" xfId="0" applyFont="1" applyFill="1" applyBorder="1" applyAlignment="1">
      <alignment horizontal="center" vertical="center"/>
    </xf>
    <xf numFmtId="0" fontId="14" fillId="10" borderId="31" xfId="0" applyFont="1" applyFill="1" applyBorder="1" applyAlignment="1">
      <alignment horizontal="center" vertical="center"/>
    </xf>
    <xf numFmtId="0" fontId="16" fillId="6" borderId="85" xfId="0" applyFont="1" applyFill="1" applyBorder="1" applyAlignment="1">
      <alignment horizontal="right" vertical="center"/>
    </xf>
    <xf numFmtId="0" fontId="14" fillId="0" borderId="86" xfId="0" applyFont="1" applyBorder="1"/>
    <xf numFmtId="0" fontId="14" fillId="0" borderId="82" xfId="0" applyFont="1" applyBorder="1"/>
    <xf numFmtId="0" fontId="15" fillId="0" borderId="57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164" fontId="15" fillId="0" borderId="58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164" fontId="15" fillId="0" borderId="85" xfId="0" applyNumberFormat="1" applyFont="1" applyBorder="1" applyAlignment="1">
      <alignment horizontal="center" vertical="center"/>
    </xf>
    <xf numFmtId="0" fontId="15" fillId="4" borderId="100" xfId="0" applyFont="1" applyFill="1" applyBorder="1" applyAlignment="1">
      <alignment horizontal="center" vertical="center"/>
    </xf>
    <xf numFmtId="0" fontId="15" fillId="4" borderId="99" xfId="0" applyFont="1" applyFill="1" applyBorder="1" applyAlignment="1">
      <alignment horizontal="center" vertical="center"/>
    </xf>
    <xf numFmtId="0" fontId="15" fillId="4" borderId="101" xfId="0" applyFont="1" applyFill="1" applyBorder="1" applyAlignment="1">
      <alignment horizontal="center" vertical="center"/>
    </xf>
    <xf numFmtId="0" fontId="15" fillId="4" borderId="102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103" xfId="0" applyFont="1" applyFill="1" applyBorder="1" applyAlignment="1">
      <alignment horizontal="center" vertical="center"/>
    </xf>
    <xf numFmtId="0" fontId="15" fillId="4" borderId="104" xfId="0" applyFont="1" applyFill="1" applyBorder="1" applyAlignment="1">
      <alignment horizontal="center" vertical="center"/>
    </xf>
    <xf numFmtId="0" fontId="15" fillId="4" borderId="105" xfId="0" applyFont="1" applyFill="1" applyBorder="1" applyAlignment="1">
      <alignment horizontal="center" vertical="center"/>
    </xf>
    <xf numFmtId="0" fontId="15" fillId="4" borderId="106" xfId="0" applyFont="1" applyFill="1" applyBorder="1" applyAlignment="1">
      <alignment horizontal="center" vertical="center"/>
    </xf>
    <xf numFmtId="0" fontId="14" fillId="0" borderId="29" xfId="0" applyFont="1" applyBorder="1"/>
    <xf numFmtId="0" fontId="14" fillId="0" borderId="74" xfId="0" applyFont="1" applyBorder="1"/>
    <xf numFmtId="0" fontId="16" fillId="6" borderId="54" xfId="0" applyFont="1" applyFill="1" applyBorder="1" applyAlignment="1">
      <alignment horizontal="right"/>
    </xf>
    <xf numFmtId="0" fontId="14" fillId="0" borderId="55" xfId="0" applyFont="1" applyBorder="1"/>
    <xf numFmtId="0" fontId="14" fillId="0" borderId="56" xfId="0" applyFont="1" applyBorder="1"/>
    <xf numFmtId="0" fontId="15" fillId="5" borderId="54" xfId="0" applyFont="1" applyFill="1" applyBorder="1" applyAlignment="1">
      <alignment horizontal="center"/>
    </xf>
    <xf numFmtId="0" fontId="15" fillId="5" borderId="55" xfId="0" applyFont="1" applyFill="1" applyBorder="1" applyAlignment="1">
      <alignment horizontal="center"/>
    </xf>
    <xf numFmtId="0" fontId="15" fillId="5" borderId="93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94" xfId="0" applyFont="1" applyFill="1" applyBorder="1" applyAlignment="1">
      <alignment horizontal="center"/>
    </xf>
    <xf numFmtId="0" fontId="15" fillId="5" borderId="95" xfId="0" applyFont="1" applyFill="1" applyBorder="1" applyAlignment="1">
      <alignment horizontal="center"/>
    </xf>
    <xf numFmtId="44" fontId="14" fillId="10" borderId="23" xfId="0" applyNumberFormat="1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4" fillId="0" borderId="10" xfId="0" applyFont="1" applyBorder="1"/>
    <xf numFmtId="0" fontId="16" fillId="0" borderId="6" xfId="0" applyFont="1" applyBorder="1" applyAlignment="1">
      <alignment horizontal="center" vertical="center"/>
    </xf>
    <xf numFmtId="0" fontId="14" fillId="0" borderId="11" xfId="0" applyFont="1" applyBorder="1"/>
    <xf numFmtId="0" fontId="16" fillId="4" borderId="7" xfId="0" applyFont="1" applyFill="1" applyBorder="1" applyAlignment="1">
      <alignment horizontal="center"/>
    </xf>
    <xf numFmtId="0" fontId="14" fillId="0" borderId="8" xfId="0" applyFont="1" applyBorder="1"/>
    <xf numFmtId="0" fontId="14" fillId="0" borderId="9" xfId="0" applyFont="1" applyBorder="1"/>
    <xf numFmtId="0" fontId="16" fillId="5" borderId="7" xfId="0" applyFont="1" applyFill="1" applyBorder="1" applyAlignment="1">
      <alignment horizontal="center"/>
    </xf>
    <xf numFmtId="165" fontId="15" fillId="4" borderId="18" xfId="0" applyNumberFormat="1" applyFont="1" applyFill="1" applyBorder="1" applyAlignment="1">
      <alignment horizontal="center" vertical="center"/>
    </xf>
    <xf numFmtId="0" fontId="14" fillId="0" borderId="23" xfId="0" applyFont="1" applyBorder="1"/>
    <xf numFmtId="0" fontId="14" fillId="0" borderId="27" xfId="0" applyFont="1" applyBorder="1"/>
    <xf numFmtId="165" fontId="16" fillId="4" borderId="18" xfId="0" applyNumberFormat="1" applyFont="1" applyFill="1" applyBorder="1" applyAlignment="1">
      <alignment horizontal="center" vertical="center"/>
    </xf>
    <xf numFmtId="0" fontId="19" fillId="0" borderId="23" xfId="0" applyFont="1" applyBorder="1"/>
    <xf numFmtId="0" fontId="19" fillId="0" borderId="31" xfId="0" applyFont="1" applyBorder="1"/>
    <xf numFmtId="164" fontId="15" fillId="0" borderId="17" xfId="0" applyNumberFormat="1" applyFont="1" applyBorder="1" applyAlignment="1">
      <alignment horizontal="center" vertical="center"/>
    </xf>
    <xf numFmtId="0" fontId="14" fillId="0" borderId="31" xfId="0" applyFont="1" applyBorder="1"/>
    <xf numFmtId="0" fontId="15" fillId="4" borderId="18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right" vertical="center"/>
    </xf>
    <xf numFmtId="0" fontId="14" fillId="0" borderId="16" xfId="0" applyFont="1" applyBorder="1"/>
    <xf numFmtId="0" fontId="14" fillId="0" borderId="22" xfId="0" applyFont="1" applyBorder="1"/>
    <xf numFmtId="0" fontId="14" fillId="0" borderId="30" xfId="0" applyFont="1" applyBorder="1"/>
    <xf numFmtId="0" fontId="16" fillId="5" borderId="15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165" fontId="15" fillId="5" borderId="21" xfId="0" applyNumberFormat="1" applyFont="1" applyFill="1" applyBorder="1" applyAlignment="1">
      <alignment horizontal="center" vertical="center"/>
    </xf>
    <xf numFmtId="0" fontId="14" fillId="0" borderId="26" xfId="0" applyFont="1" applyBorder="1"/>
    <xf numFmtId="0" fontId="14" fillId="0" borderId="34" xfId="0" applyFont="1" applyBorder="1"/>
    <xf numFmtId="0" fontId="15" fillId="7" borderId="5" xfId="0" applyFont="1" applyFill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164" fontId="15" fillId="7" borderId="17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5" fillId="15" borderId="17" xfId="0" applyNumberFormat="1" applyFont="1" applyFill="1" applyBorder="1" applyAlignment="1">
      <alignment horizontal="center" vertical="center"/>
    </xf>
    <xf numFmtId="0" fontId="14" fillId="15" borderId="23" xfId="0" applyFont="1" applyFill="1" applyBorder="1"/>
    <xf numFmtId="0" fontId="14" fillId="15" borderId="31" xfId="0" applyFont="1" applyFill="1" applyBorder="1"/>
    <xf numFmtId="0" fontId="15" fillId="16" borderId="18" xfId="0" applyFont="1" applyFill="1" applyBorder="1" applyAlignment="1">
      <alignment horizontal="center" vertical="center"/>
    </xf>
    <xf numFmtId="0" fontId="14" fillId="15" borderId="27" xfId="0" applyFont="1" applyFill="1" applyBorder="1"/>
    <xf numFmtId="165" fontId="15" fillId="16" borderId="18" xfId="0" applyNumberFormat="1" applyFont="1" applyFill="1" applyBorder="1" applyAlignment="1">
      <alignment horizontal="center" vertical="center"/>
    </xf>
    <xf numFmtId="164" fontId="15" fillId="14" borderId="17" xfId="0" applyNumberFormat="1" applyFont="1" applyFill="1" applyBorder="1" applyAlignment="1">
      <alignment horizontal="center" vertical="center"/>
    </xf>
    <xf numFmtId="0" fontId="14" fillId="14" borderId="23" xfId="0" applyFont="1" applyFill="1" applyBorder="1"/>
    <xf numFmtId="0" fontId="14" fillId="14" borderId="31" xfId="0" applyFont="1" applyFill="1" applyBorder="1"/>
    <xf numFmtId="0" fontId="18" fillId="14" borderId="5" xfId="0" applyFont="1" applyFill="1" applyBorder="1" applyAlignment="1">
      <alignment horizontal="center" vertical="center"/>
    </xf>
    <xf numFmtId="0" fontId="14" fillId="14" borderId="22" xfId="0" applyFont="1" applyFill="1" applyBorder="1"/>
    <xf numFmtId="0" fontId="14" fillId="14" borderId="30" xfId="0" applyFont="1" applyFill="1" applyBorder="1"/>
    <xf numFmtId="165" fontId="15" fillId="16" borderId="18" xfId="0" applyNumberFormat="1" applyFont="1" applyFill="1" applyBorder="1" applyAlignment="1">
      <alignment horizontal="center" vertical="center" wrapText="1"/>
    </xf>
    <xf numFmtId="0" fontId="14" fillId="15" borderId="23" xfId="0" applyFont="1" applyFill="1" applyBorder="1" applyAlignment="1">
      <alignment wrapText="1"/>
    </xf>
    <xf numFmtId="0" fontId="14" fillId="15" borderId="31" xfId="0" applyFont="1" applyFill="1" applyBorder="1" applyAlignment="1">
      <alignment wrapText="1"/>
    </xf>
    <xf numFmtId="0" fontId="16" fillId="8" borderId="42" xfId="0" applyFont="1" applyFill="1" applyBorder="1" applyAlignment="1">
      <alignment horizontal="right" vertical="center"/>
    </xf>
    <xf numFmtId="0" fontId="14" fillId="0" borderId="38" xfId="0" applyFont="1" applyBorder="1"/>
    <xf numFmtId="0" fontId="14" fillId="0" borderId="39" xfId="0" applyFont="1" applyBorder="1"/>
    <xf numFmtId="0" fontId="16" fillId="6" borderId="72" xfId="0" applyFont="1" applyFill="1" applyBorder="1" applyAlignment="1">
      <alignment horizontal="right"/>
    </xf>
    <xf numFmtId="0" fontId="14" fillId="0" borderId="73" xfId="0" applyFont="1" applyBorder="1"/>
    <xf numFmtId="0" fontId="14" fillId="11" borderId="66" xfId="0" applyFont="1" applyFill="1" applyBorder="1" applyAlignment="1">
      <alignment horizontal="center" vertical="center"/>
    </xf>
    <xf numFmtId="0" fontId="14" fillId="11" borderId="76" xfId="0" applyFont="1" applyFill="1" applyBorder="1" applyAlignment="1">
      <alignment horizontal="center" vertical="center"/>
    </xf>
    <xf numFmtId="0" fontId="14" fillId="11" borderId="67" xfId="0" applyFont="1" applyFill="1" applyBorder="1" applyAlignment="1">
      <alignment horizontal="center" vertical="center"/>
    </xf>
    <xf numFmtId="0" fontId="14" fillId="11" borderId="69" xfId="0" applyFont="1" applyFill="1" applyBorder="1" applyAlignment="1">
      <alignment horizontal="center" vertical="center"/>
    </xf>
    <xf numFmtId="0" fontId="14" fillId="11" borderId="77" xfId="0" applyFont="1" applyFill="1" applyBorder="1" applyAlignment="1">
      <alignment horizontal="center" vertical="center"/>
    </xf>
    <xf numFmtId="0" fontId="15" fillId="5" borderId="62" xfId="0" applyFont="1" applyFill="1" applyBorder="1" applyAlignment="1">
      <alignment horizontal="center"/>
    </xf>
    <xf numFmtId="0" fontId="14" fillId="0" borderId="63" xfId="0" applyFont="1" applyBorder="1"/>
    <xf numFmtId="0" fontId="14" fillId="0" borderId="50" xfId="0" applyFont="1" applyBorder="1"/>
    <xf numFmtId="0" fontId="15" fillId="14" borderId="5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right" vertical="center"/>
    </xf>
    <xf numFmtId="0" fontId="14" fillId="0" borderId="45" xfId="0" applyFont="1" applyBorder="1"/>
    <xf numFmtId="0" fontId="14" fillId="10" borderId="23" xfId="0" applyFont="1" applyFill="1" applyBorder="1"/>
    <xf numFmtId="0" fontId="14" fillId="10" borderId="45" xfId="0" applyFont="1" applyFill="1" applyBorder="1"/>
    <xf numFmtId="0" fontId="14" fillId="10" borderId="31" xfId="0" applyFont="1" applyFill="1" applyBorder="1"/>
    <xf numFmtId="44" fontId="14" fillId="10" borderId="23" xfId="0" applyNumberFormat="1" applyFont="1" applyFill="1" applyBorder="1"/>
    <xf numFmtId="0" fontId="16" fillId="6" borderId="54" xfId="0" applyFont="1" applyFill="1" applyBorder="1" applyAlignment="1">
      <alignment horizontal="right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53" xfId="0" applyFont="1" applyFill="1" applyBorder="1" applyAlignment="1">
      <alignment horizontal="center" vertical="center"/>
    </xf>
    <xf numFmtId="165" fontId="15" fillId="4" borderId="59" xfId="0" applyNumberFormat="1" applyFont="1" applyFill="1" applyBorder="1" applyAlignment="1">
      <alignment horizontal="center" vertical="center"/>
    </xf>
    <xf numFmtId="165" fontId="15" fillId="4" borderId="53" xfId="0" applyNumberFormat="1" applyFont="1" applyFill="1" applyBorder="1" applyAlignment="1">
      <alignment horizontal="center" vertical="center"/>
    </xf>
    <xf numFmtId="165" fontId="15" fillId="4" borderId="83" xfId="0" applyNumberFormat="1" applyFont="1" applyFill="1" applyBorder="1" applyAlignment="1">
      <alignment horizontal="center" vertical="center"/>
    </xf>
    <xf numFmtId="165" fontId="15" fillId="4" borderId="84" xfId="0" applyNumberFormat="1" applyFont="1" applyFill="1" applyBorder="1" applyAlignment="1">
      <alignment horizontal="center" vertical="center"/>
    </xf>
    <xf numFmtId="0" fontId="15" fillId="4" borderId="79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/>
    </xf>
    <xf numFmtId="0" fontId="15" fillId="4" borderId="81" xfId="0" applyFont="1" applyFill="1" applyBorder="1" applyAlignment="1">
      <alignment horizontal="center" vertical="center"/>
    </xf>
    <xf numFmtId="0" fontId="14" fillId="10" borderId="60" xfId="0" applyFont="1" applyFill="1" applyBorder="1" applyAlignment="1">
      <alignment horizontal="center" vertical="center"/>
    </xf>
    <xf numFmtId="0" fontId="14" fillId="10" borderId="82" xfId="0" applyFont="1" applyFill="1" applyBorder="1" applyAlignment="1">
      <alignment horizontal="center" vertical="center"/>
    </xf>
    <xf numFmtId="0" fontId="14" fillId="10" borderId="61" xfId="0" applyFont="1" applyFill="1" applyBorder="1"/>
    <xf numFmtId="0" fontId="14" fillId="10" borderId="71" xfId="0" applyFont="1" applyFill="1" applyBorder="1"/>
    <xf numFmtId="0" fontId="15" fillId="13" borderId="5" xfId="0" applyFont="1" applyFill="1" applyBorder="1" applyAlignment="1">
      <alignment horizontal="center" vertical="center"/>
    </xf>
    <xf numFmtId="0" fontId="14" fillId="13" borderId="22" xfId="0" applyFont="1" applyFill="1" applyBorder="1"/>
    <xf numFmtId="0" fontId="14" fillId="13" borderId="44" xfId="0" applyFont="1" applyFill="1" applyBorder="1"/>
    <xf numFmtId="164" fontId="15" fillId="0" borderId="7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0" fillId="0" borderId="0" xfId="0"/>
    <xf numFmtId="0" fontId="16" fillId="6" borderId="72" xfId="0" applyFont="1" applyFill="1" applyBorder="1" applyAlignment="1">
      <alignment horizontal="right" vertical="center"/>
    </xf>
    <xf numFmtId="0" fontId="15" fillId="15" borderId="5" xfId="0" applyFont="1" applyFill="1" applyBorder="1" applyAlignment="1">
      <alignment horizontal="center" vertical="center"/>
    </xf>
    <xf numFmtId="0" fontId="14" fillId="15" borderId="22" xfId="0" applyFont="1" applyFill="1" applyBorder="1"/>
    <xf numFmtId="0" fontId="14" fillId="15" borderId="30" xfId="0" applyFont="1" applyFill="1" applyBorder="1"/>
    <xf numFmtId="44" fontId="14" fillId="10" borderId="108" xfId="0" applyNumberFormat="1" applyFont="1" applyFill="1" applyBorder="1" applyAlignment="1">
      <alignment horizontal="center" vertical="center"/>
    </xf>
    <xf numFmtId="0" fontId="14" fillId="10" borderId="108" xfId="0" applyFont="1" applyFill="1" applyBorder="1" applyAlignment="1">
      <alignment horizontal="center" vertical="center"/>
    </xf>
    <xf numFmtId="0" fontId="14" fillId="10" borderId="87" xfId="0" applyFont="1" applyFill="1" applyBorder="1" applyAlignment="1">
      <alignment horizontal="center" vertical="center"/>
    </xf>
    <xf numFmtId="0" fontId="15" fillId="5" borderId="131" xfId="0" applyFont="1" applyFill="1" applyBorder="1" applyAlignment="1">
      <alignment horizontal="center"/>
    </xf>
    <xf numFmtId="0" fontId="14" fillId="0" borderId="112" xfId="0" applyFont="1" applyBorder="1"/>
    <xf numFmtId="0" fontId="15" fillId="5" borderId="123" xfId="0" applyFont="1" applyFill="1" applyBorder="1" applyAlignment="1">
      <alignment horizontal="center"/>
    </xf>
    <xf numFmtId="0" fontId="0" fillId="11" borderId="123" xfId="0" applyFill="1" applyBorder="1" applyAlignment="1">
      <alignment horizontal="center"/>
    </xf>
    <xf numFmtId="0" fontId="0" fillId="11" borderId="96" xfId="0" applyFill="1" applyBorder="1" applyAlignment="1">
      <alignment horizontal="center"/>
    </xf>
    <xf numFmtId="0" fontId="0" fillId="11" borderId="107" xfId="0" applyFill="1" applyBorder="1" applyAlignment="1">
      <alignment horizontal="center"/>
    </xf>
    <xf numFmtId="0" fontId="16" fillId="6" borderId="130" xfId="0" applyFont="1" applyFill="1" applyBorder="1" applyAlignment="1">
      <alignment horizontal="right"/>
    </xf>
    <xf numFmtId="0" fontId="14" fillId="10" borderId="133" xfId="0" applyFont="1" applyFill="1" applyBorder="1" applyAlignment="1">
      <alignment horizontal="center" vertical="center"/>
    </xf>
    <xf numFmtId="0" fontId="14" fillId="11" borderId="132" xfId="0" applyFont="1" applyFill="1" applyBorder="1" applyAlignment="1">
      <alignment horizontal="center" vertical="center"/>
    </xf>
    <xf numFmtId="0" fontId="16" fillId="6" borderId="129" xfId="0" applyFont="1" applyFill="1" applyBorder="1" applyAlignment="1">
      <alignment horizontal="right"/>
    </xf>
    <xf numFmtId="0" fontId="16" fillId="6" borderId="126" xfId="0" applyFont="1" applyFill="1" applyBorder="1" applyAlignment="1">
      <alignment horizontal="right" vertical="center"/>
    </xf>
    <xf numFmtId="0" fontId="16" fillId="0" borderId="57" xfId="0" applyFont="1" applyBorder="1" applyAlignment="1">
      <alignment horizontal="center" vertical="center"/>
    </xf>
    <xf numFmtId="0" fontId="14" fillId="0" borderId="118" xfId="0" applyFont="1" applyBorder="1"/>
    <xf numFmtId="0" fontId="16" fillId="0" borderId="58" xfId="0" applyFont="1" applyBorder="1" applyAlignment="1">
      <alignment horizontal="center" vertical="center"/>
    </xf>
    <xf numFmtId="0" fontId="16" fillId="4" borderId="120" xfId="0" applyFont="1" applyFill="1" applyBorder="1" applyAlignment="1">
      <alignment horizontal="center"/>
    </xf>
    <xf numFmtId="0" fontId="14" fillId="0" borderId="114" xfId="0" applyFont="1" applyBorder="1"/>
    <xf numFmtId="0" fontId="14" fillId="0" borderId="134" xfId="0" applyFont="1" applyBorder="1"/>
    <xf numFmtId="0" fontId="16" fillId="5" borderId="127" xfId="0" applyFont="1" applyFill="1" applyBorder="1" applyAlignment="1">
      <alignment horizontal="center"/>
    </xf>
    <xf numFmtId="0" fontId="14" fillId="0" borderId="115" xfId="0" applyFont="1" applyBorder="1"/>
    <xf numFmtId="0" fontId="14" fillId="0" borderId="117" xfId="0" applyFont="1" applyBorder="1"/>
    <xf numFmtId="0" fontId="16" fillId="5" borderId="128" xfId="0" applyFont="1" applyFill="1" applyBorder="1" applyAlignment="1">
      <alignment horizontal="center"/>
    </xf>
    <xf numFmtId="0" fontId="15" fillId="4" borderId="68" xfId="0" applyFont="1" applyFill="1" applyBorder="1" applyAlignment="1">
      <alignment horizontal="center" vertical="center"/>
    </xf>
    <xf numFmtId="0" fontId="15" fillId="4" borderId="121" xfId="0" applyFont="1" applyFill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15" fillId="5" borderId="129" xfId="0" applyFont="1" applyFill="1" applyBorder="1" applyAlignment="1">
      <alignment horizontal="center"/>
    </xf>
    <xf numFmtId="0" fontId="16" fillId="6" borderId="124" xfId="0" applyFont="1" applyFill="1" applyBorder="1" applyAlignment="1">
      <alignment horizontal="right" vertical="center"/>
    </xf>
    <xf numFmtId="0" fontId="14" fillId="0" borderId="47" xfId="0" applyFont="1" applyBorder="1"/>
    <xf numFmtId="165" fontId="15" fillId="4" borderId="45" xfId="0" applyNumberFormat="1" applyFont="1" applyFill="1" applyBorder="1" applyAlignment="1">
      <alignment horizontal="center" vertical="center"/>
    </xf>
    <xf numFmtId="165" fontId="15" fillId="4" borderId="108" xfId="0" applyNumberFormat="1" applyFont="1" applyFill="1" applyBorder="1" applyAlignment="1">
      <alignment horizontal="center" vertical="center"/>
    </xf>
    <xf numFmtId="0" fontId="15" fillId="5" borderId="127" xfId="0" applyFont="1" applyFill="1" applyBorder="1" applyAlignment="1">
      <alignment horizontal="center"/>
    </xf>
    <xf numFmtId="0" fontId="16" fillId="6" borderId="125" xfId="0" applyFont="1" applyFill="1" applyBorder="1" applyAlignment="1">
      <alignment horizontal="center" vertical="center"/>
    </xf>
    <xf numFmtId="0" fontId="16" fillId="6" borderId="114" xfId="0" applyFont="1" applyFill="1" applyBorder="1" applyAlignment="1">
      <alignment horizontal="center" vertical="center"/>
    </xf>
    <xf numFmtId="0" fontId="16" fillId="6" borderId="60" xfId="0" applyFont="1" applyFill="1" applyBorder="1" applyAlignment="1">
      <alignment horizontal="center" vertical="center"/>
    </xf>
    <xf numFmtId="0" fontId="16" fillId="6" borderId="126" xfId="0" applyFont="1" applyFill="1" applyBorder="1" applyAlignment="1">
      <alignment horizontal="center" vertical="center"/>
    </xf>
    <xf numFmtId="0" fontId="16" fillId="6" borderId="86" xfId="0" applyFont="1" applyFill="1" applyBorder="1" applyAlignment="1">
      <alignment horizontal="center" vertical="center"/>
    </xf>
    <xf numFmtId="0" fontId="16" fillId="6" borderId="82" xfId="0" applyFont="1" applyFill="1" applyBorder="1" applyAlignment="1">
      <alignment horizontal="center" vertical="center"/>
    </xf>
    <xf numFmtId="165" fontId="16" fillId="6" borderId="90" xfId="0" applyNumberFormat="1" applyFont="1" applyFill="1" applyBorder="1" applyAlignment="1">
      <alignment horizontal="center" vertical="center"/>
    </xf>
    <xf numFmtId="165" fontId="16" fillId="6" borderId="87" xfId="0" applyNumberFormat="1" applyFont="1" applyFill="1" applyBorder="1" applyAlignment="1">
      <alignment horizontal="center" vertical="center"/>
    </xf>
    <xf numFmtId="0" fontId="15" fillId="21" borderId="123" xfId="0" applyFont="1" applyFill="1" applyBorder="1" applyAlignment="1">
      <alignment horizontal="center"/>
    </xf>
    <xf numFmtId="0" fontId="14" fillId="22" borderId="29" xfId="0" applyFont="1" applyFill="1" applyBorder="1"/>
    <xf numFmtId="0" fontId="24" fillId="18" borderId="125" xfId="0" applyFont="1" applyFill="1" applyBorder="1" applyAlignment="1">
      <alignment horizontal="center" vertical="center"/>
    </xf>
    <xf numFmtId="0" fontId="24" fillId="18" borderId="114" xfId="0" applyFont="1" applyFill="1" applyBorder="1" applyAlignment="1">
      <alignment horizontal="center" vertical="center"/>
    </xf>
    <xf numFmtId="0" fontId="24" fillId="18" borderId="134" xfId="0" applyFont="1" applyFill="1" applyBorder="1" applyAlignment="1">
      <alignment horizontal="center" vertical="center"/>
    </xf>
    <xf numFmtId="0" fontId="24" fillId="18" borderId="124" xfId="0" applyFont="1" applyFill="1" applyBorder="1" applyAlignment="1">
      <alignment horizontal="center" vertical="center"/>
    </xf>
    <xf numFmtId="0" fontId="24" fillId="18" borderId="47" xfId="0" applyFont="1" applyFill="1" applyBorder="1" applyAlignment="1">
      <alignment horizontal="center" vertical="center"/>
    </xf>
    <xf numFmtId="0" fontId="24" fillId="18" borderId="139" xfId="0" applyFont="1" applyFill="1" applyBorder="1" applyAlignment="1">
      <alignment horizontal="center" vertical="center"/>
    </xf>
    <xf numFmtId="0" fontId="24" fillId="18" borderId="126" xfId="0" applyFont="1" applyFill="1" applyBorder="1" applyAlignment="1">
      <alignment horizontal="center" vertical="center"/>
    </xf>
    <xf numFmtId="0" fontId="24" fillId="18" borderId="86" xfId="0" applyFont="1" applyFill="1" applyBorder="1" applyAlignment="1">
      <alignment horizontal="center" vertical="center"/>
    </xf>
    <xf numFmtId="0" fontId="24" fillId="18" borderId="148" xfId="0" applyFont="1" applyFill="1" applyBorder="1" applyAlignment="1">
      <alignment horizontal="center" vertical="center"/>
    </xf>
    <xf numFmtId="0" fontId="16" fillId="19" borderId="125" xfId="0" applyFont="1" applyFill="1" applyBorder="1" applyAlignment="1">
      <alignment horizontal="right"/>
    </xf>
    <xf numFmtId="0" fontId="16" fillId="19" borderId="114" xfId="0" applyFont="1" applyFill="1" applyBorder="1" applyAlignment="1">
      <alignment horizontal="right"/>
    </xf>
    <xf numFmtId="0" fontId="16" fillId="19" borderId="134" xfId="0" applyFont="1" applyFill="1" applyBorder="1" applyAlignment="1">
      <alignment horizontal="right"/>
    </xf>
    <xf numFmtId="0" fontId="19" fillId="17" borderId="145" xfId="0" applyFont="1" applyFill="1" applyBorder="1" applyAlignment="1">
      <alignment horizontal="center"/>
    </xf>
    <xf numFmtId="0" fontId="19" fillId="17" borderId="146" xfId="0" applyFont="1" applyFill="1" applyBorder="1" applyAlignment="1">
      <alignment horizontal="center"/>
    </xf>
    <xf numFmtId="0" fontId="15" fillId="21" borderId="131" xfId="0" applyFont="1" applyFill="1" applyBorder="1" applyAlignment="1">
      <alignment horizontal="center"/>
    </xf>
    <xf numFmtId="0" fontId="14" fillId="22" borderId="112" xfId="0" applyFont="1" applyFill="1" applyBorder="1"/>
    <xf numFmtId="0" fontId="20" fillId="0" borderId="0" xfId="0" applyFont="1" applyAlignment="1">
      <alignment horizontal="right"/>
    </xf>
    <xf numFmtId="0" fontId="20" fillId="10" borderId="0" xfId="0" applyFont="1" applyFill="1" applyAlignment="1">
      <alignment horizontal="center"/>
    </xf>
    <xf numFmtId="0" fontId="20" fillId="24" borderId="0" xfId="0" applyFont="1" applyFill="1" applyAlignment="1">
      <alignment horizontal="right"/>
    </xf>
    <xf numFmtId="0" fontId="15" fillId="0" borderId="53" xfId="0" applyFont="1" applyBorder="1" applyAlignment="1">
      <alignment horizontal="center" vertical="center"/>
    </xf>
    <xf numFmtId="0" fontId="20" fillId="23" borderId="0" xfId="0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20" borderId="0" xfId="0" applyFont="1" applyFill="1" applyAlignment="1">
      <alignment horizontal="right"/>
    </xf>
    <xf numFmtId="0" fontId="20" fillId="14" borderId="0" xfId="0" applyFont="1" applyFill="1" applyAlignment="1">
      <alignment horizontal="center"/>
    </xf>
    <xf numFmtId="0" fontId="20" fillId="24" borderId="0" xfId="0" applyFont="1" applyFill="1" applyAlignment="1">
      <alignment horizontal="center"/>
    </xf>
    <xf numFmtId="0" fontId="20" fillId="10" borderId="47" xfId="0" applyFont="1" applyFill="1" applyBorder="1" applyAlignment="1">
      <alignment horizontal="center"/>
    </xf>
    <xf numFmtId="0" fontId="20" fillId="20" borderId="47" xfId="0" applyFont="1" applyFill="1" applyBorder="1" applyAlignment="1">
      <alignment horizontal="center"/>
    </xf>
    <xf numFmtId="0" fontId="20" fillId="23" borderId="47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5" fillId="0" borderId="149" xfId="0" applyFont="1" applyFill="1" applyBorder="1" applyAlignment="1">
      <alignment horizontal="center" vertical="center"/>
    </xf>
    <xf numFmtId="0" fontId="15" fillId="0" borderId="150" xfId="0" applyFont="1" applyFill="1" applyBorder="1" applyAlignment="1">
      <alignment horizontal="center" vertical="center"/>
    </xf>
    <xf numFmtId="0" fontId="15" fillId="0" borderId="151" xfId="0" applyFont="1" applyFill="1" applyBorder="1" applyAlignment="1">
      <alignment horizontal="center" vertical="center"/>
    </xf>
    <xf numFmtId="0" fontId="15" fillId="0" borderId="57" xfId="0" applyFont="1" applyFill="1" applyBorder="1" applyAlignment="1">
      <alignment horizontal="center" vertical="center"/>
    </xf>
    <xf numFmtId="0" fontId="15" fillId="0" borderId="68" xfId="0" applyFont="1" applyFill="1" applyBorder="1" applyAlignment="1">
      <alignment horizontal="center" vertical="center"/>
    </xf>
    <xf numFmtId="0" fontId="15" fillId="0" borderId="70" xfId="0" applyFont="1" applyFill="1" applyBorder="1" applyAlignment="1">
      <alignment horizontal="center" vertical="center"/>
    </xf>
    <xf numFmtId="164" fontId="15" fillId="0" borderId="58" xfId="0" applyNumberFormat="1" applyFont="1" applyFill="1" applyBorder="1" applyAlignment="1">
      <alignment horizontal="center" vertical="center"/>
    </xf>
    <xf numFmtId="164" fontId="15" fillId="0" borderId="46" xfId="0" applyNumberFormat="1" applyFont="1" applyFill="1" applyBorder="1" applyAlignment="1">
      <alignment horizontal="center" vertical="center"/>
    </xf>
    <xf numFmtId="164" fontId="15" fillId="0" borderId="8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5" fillId="28" borderId="123" xfId="0" applyFont="1" applyFill="1" applyBorder="1" applyAlignment="1">
      <alignment horizontal="center"/>
    </xf>
    <xf numFmtId="0" fontId="14" fillId="11" borderId="29" xfId="0" applyFont="1" applyFill="1" applyBorder="1"/>
    <xf numFmtId="0" fontId="14" fillId="11" borderId="1" xfId="0" applyFont="1" applyFill="1" applyBorder="1" applyAlignment="1">
      <alignment horizontal="center" vertical="center"/>
    </xf>
    <xf numFmtId="0" fontId="15" fillId="28" borderId="96" xfId="0" applyFont="1" applyFill="1" applyBorder="1" applyAlignment="1">
      <alignment horizontal="center"/>
    </xf>
    <xf numFmtId="0" fontId="15" fillId="28" borderId="107" xfId="0" applyFont="1" applyFill="1" applyBorder="1" applyAlignment="1">
      <alignment horizontal="center"/>
    </xf>
    <xf numFmtId="0" fontId="15" fillId="28" borderId="29" xfId="0" applyFont="1" applyFill="1" applyBorder="1" applyAlignment="1">
      <alignment horizontal="center"/>
    </xf>
    <xf numFmtId="0" fontId="16" fillId="6" borderId="86" xfId="0" applyFont="1" applyFill="1" applyBorder="1" applyAlignment="1">
      <alignment horizontal="right" vertical="center"/>
    </xf>
    <xf numFmtId="0" fontId="16" fillId="6" borderId="82" xfId="0" applyFont="1" applyFill="1" applyBorder="1" applyAlignment="1">
      <alignment horizontal="right" vertical="center"/>
    </xf>
    <xf numFmtId="165" fontId="15" fillId="28" borderId="129" xfId="0" applyNumberFormat="1" applyFont="1" applyFill="1" applyBorder="1" applyAlignment="1">
      <alignment horizontal="center"/>
    </xf>
    <xf numFmtId="165" fontId="15" fillId="28" borderId="55" xfId="0" applyNumberFormat="1" applyFont="1" applyFill="1" applyBorder="1" applyAlignment="1">
      <alignment horizontal="center"/>
    </xf>
    <xf numFmtId="165" fontId="15" fillId="28" borderId="93" xfId="0" applyNumberFormat="1" applyFont="1" applyFill="1" applyBorder="1" applyAlignment="1">
      <alignment horizontal="center"/>
    </xf>
    <xf numFmtId="165" fontId="15" fillId="28" borderId="131" xfId="0" applyNumberFormat="1" applyFont="1" applyFill="1" applyBorder="1" applyAlignment="1">
      <alignment horizontal="center"/>
    </xf>
    <xf numFmtId="165" fontId="15" fillId="28" borderId="94" xfId="0" applyNumberFormat="1" applyFont="1" applyFill="1" applyBorder="1" applyAlignment="1">
      <alignment horizontal="center"/>
    </xf>
    <xf numFmtId="165" fontId="15" fillId="28" borderId="95" xfId="0" applyNumberFormat="1" applyFont="1" applyFill="1" applyBorder="1" applyAlignment="1">
      <alignment horizontal="center"/>
    </xf>
    <xf numFmtId="0" fontId="14" fillId="11" borderId="120" xfId="0" applyFont="1" applyFill="1" applyBorder="1" applyAlignment="1">
      <alignment horizontal="center" vertical="center"/>
    </xf>
    <xf numFmtId="0" fontId="14" fillId="11" borderId="15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/>
    </xf>
    <xf numFmtId="0" fontId="16" fillId="5" borderId="115" xfId="0" applyFont="1" applyFill="1" applyBorder="1" applyAlignment="1">
      <alignment horizontal="center"/>
    </xf>
    <xf numFmtId="0" fontId="16" fillId="5" borderId="117" xfId="0" applyFont="1" applyFill="1" applyBorder="1" applyAlignment="1">
      <alignment horizontal="center"/>
    </xf>
    <xf numFmtId="0" fontId="16" fillId="4" borderId="152" xfId="0" applyFont="1" applyFill="1" applyBorder="1" applyAlignment="1">
      <alignment horizontal="center"/>
    </xf>
    <xf numFmtId="0" fontId="16" fillId="4" borderId="153" xfId="0" applyFont="1" applyFill="1" applyBorder="1" applyAlignment="1">
      <alignment horizontal="center"/>
    </xf>
    <xf numFmtId="0" fontId="16" fillId="4" borderId="154" xfId="0" applyFont="1" applyFill="1" applyBorder="1" applyAlignment="1">
      <alignment horizontal="center"/>
    </xf>
    <xf numFmtId="0" fontId="16" fillId="0" borderId="85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5" fillId="26" borderId="123" xfId="0" applyFont="1" applyFill="1" applyBorder="1" applyAlignment="1">
      <alignment horizontal="center"/>
    </xf>
    <xf numFmtId="0" fontId="14" fillId="27" borderId="29" xfId="0" applyFont="1" applyFill="1" applyBorder="1"/>
    <xf numFmtId="0" fontId="20" fillId="14" borderId="0" xfId="0" applyFont="1" applyFill="1" applyAlignment="1">
      <alignment horizontal="right"/>
    </xf>
    <xf numFmtId="0" fontId="6" fillId="0" borderId="157" xfId="0" applyFont="1" applyBorder="1" applyAlignment="1">
      <alignment horizontal="center" vertical="center"/>
    </xf>
    <xf numFmtId="0" fontId="15" fillId="26" borderId="29" xfId="0" applyFont="1" applyFill="1" applyBorder="1" applyAlignment="1">
      <alignment horizontal="center"/>
    </xf>
    <xf numFmtId="0" fontId="15" fillId="3" borderId="47" xfId="0" applyFont="1" applyFill="1" applyBorder="1"/>
    <xf numFmtId="0" fontId="15" fillId="21" borderId="29" xfId="0" applyFont="1" applyFill="1" applyBorder="1" applyAlignment="1">
      <alignment horizontal="center"/>
    </xf>
    <xf numFmtId="0" fontId="15" fillId="0" borderId="125" xfId="0" applyFont="1" applyFill="1" applyBorder="1" applyAlignment="1">
      <alignment horizontal="center" vertical="center"/>
    </xf>
    <xf numFmtId="0" fontId="15" fillId="0" borderId="114" xfId="0" applyFont="1" applyFill="1" applyBorder="1" applyAlignment="1">
      <alignment horizontal="center" vertical="center"/>
    </xf>
    <xf numFmtId="0" fontId="15" fillId="0" borderId="124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5" fillId="31" borderId="157" xfId="0" applyFont="1" applyFill="1" applyBorder="1" applyAlignment="1">
      <alignment horizontal="center" vertical="center"/>
    </xf>
    <xf numFmtId="0" fontId="4" fillId="31" borderId="157" xfId="0" applyFont="1" applyFill="1" applyBorder="1" applyAlignment="1">
      <alignment horizontal="right" vertical="center"/>
    </xf>
    <xf numFmtId="0" fontId="0" fillId="31" borderId="157" xfId="0" applyFill="1" applyBorder="1" applyAlignment="1">
      <alignment horizontal="right" vertical="center"/>
    </xf>
    <xf numFmtId="0" fontId="27" fillId="33" borderId="162" xfId="0" applyFont="1" applyFill="1" applyBorder="1" applyAlignment="1">
      <alignment horizontal="right"/>
    </xf>
    <xf numFmtId="0" fontId="27" fillId="33" borderId="153" xfId="0" applyFont="1" applyFill="1" applyBorder="1" applyAlignment="1">
      <alignment horizontal="right"/>
    </xf>
    <xf numFmtId="0" fontId="27" fillId="33" borderId="154" xfId="0" applyFont="1" applyFill="1" applyBorder="1" applyAlignment="1">
      <alignment horizontal="right"/>
    </xf>
    <xf numFmtId="165" fontId="15" fillId="4" borderId="163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66"/>
  <sheetViews>
    <sheetView topLeftCell="A113" zoomScale="90" zoomScaleNormal="90" workbookViewId="0">
      <selection activeCell="M117" sqref="M117"/>
    </sheetView>
  </sheetViews>
  <sheetFormatPr baseColWidth="10" defaultColWidth="14.44140625" defaultRowHeight="15" customHeight="1" x14ac:dyDescent="0.3"/>
  <cols>
    <col min="1" max="1" width="31" customWidth="1"/>
    <col min="2" max="2" width="15.6640625" customWidth="1"/>
    <col min="3" max="3" width="16.88671875" customWidth="1"/>
    <col min="4" max="7" width="15.6640625" customWidth="1"/>
    <col min="8" max="8" width="11.6640625" customWidth="1"/>
    <col min="9" max="9" width="16.33203125" customWidth="1"/>
    <col min="10" max="10" width="7.6640625" customWidth="1"/>
    <col min="11" max="11" width="11.5546875" customWidth="1"/>
    <col min="12" max="12" width="14.33203125" customWidth="1"/>
    <col min="13" max="13" width="13.6640625" customWidth="1"/>
    <col min="14" max="14" width="15.6640625" customWidth="1"/>
    <col min="15" max="15" width="12.109375" customWidth="1"/>
    <col min="16" max="16" width="10.88671875" customWidth="1"/>
    <col min="17" max="27" width="10.6640625" customWidth="1"/>
  </cols>
  <sheetData>
    <row r="1" spans="1:27" ht="15" customHeight="1" x14ac:dyDescent="0.3">
      <c r="A1" s="430" t="s">
        <v>0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2"/>
    </row>
    <row r="2" spans="1:27" ht="15" customHeight="1" x14ac:dyDescent="0.3">
      <c r="A2" s="433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5"/>
    </row>
    <row r="3" spans="1:27" ht="15" customHeight="1" x14ac:dyDescent="0.3">
      <c r="A3" s="433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5"/>
    </row>
    <row r="4" spans="1:27" ht="15" customHeight="1" x14ac:dyDescent="0.3">
      <c r="A4" s="433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5"/>
    </row>
    <row r="5" spans="1:27" ht="15" customHeight="1" thickBot="1" x14ac:dyDescent="0.35">
      <c r="A5" s="64" t="s">
        <v>67</v>
      </c>
      <c r="B5" s="64"/>
      <c r="C5" s="64"/>
      <c r="D5" s="1"/>
      <c r="E5" s="1"/>
      <c r="F5" s="1"/>
      <c r="G5" s="1"/>
      <c r="H5" s="1"/>
      <c r="I5" s="1"/>
      <c r="J5" s="64"/>
      <c r="K5" s="64"/>
      <c r="L5" s="64"/>
      <c r="M5" s="1"/>
      <c r="N5" s="1"/>
      <c r="O5" s="1" t="s">
        <v>1</v>
      </c>
      <c r="P5" s="2" t="s">
        <v>2</v>
      </c>
    </row>
    <row r="6" spans="1:27" ht="13.95" customHeight="1" x14ac:dyDescent="0.3">
      <c r="A6" s="436" t="s">
        <v>3</v>
      </c>
      <c r="B6" s="438" t="s">
        <v>4</v>
      </c>
      <c r="C6" s="440" t="s">
        <v>5</v>
      </c>
      <c r="D6" s="441"/>
      <c r="E6" s="441"/>
      <c r="F6" s="441"/>
      <c r="G6" s="441"/>
      <c r="H6" s="441"/>
      <c r="I6" s="442"/>
      <c r="J6" s="443" t="s">
        <v>6</v>
      </c>
      <c r="K6" s="441"/>
      <c r="L6" s="441"/>
      <c r="M6" s="441"/>
      <c r="N6" s="441"/>
      <c r="O6" s="441"/>
      <c r="P6" s="442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thickBot="1" x14ac:dyDescent="0.35">
      <c r="A7" s="437"/>
      <c r="B7" s="439"/>
      <c r="C7" s="4" t="s">
        <v>7</v>
      </c>
      <c r="D7" s="5" t="s">
        <v>62</v>
      </c>
      <c r="E7" s="5" t="s">
        <v>63</v>
      </c>
      <c r="F7" s="5" t="s">
        <v>9</v>
      </c>
      <c r="G7" s="5" t="s">
        <v>10</v>
      </c>
      <c r="H7" s="5" t="s">
        <v>11</v>
      </c>
      <c r="I7" s="6" t="s">
        <v>12</v>
      </c>
      <c r="J7" s="457" t="s">
        <v>7</v>
      </c>
      <c r="K7" s="454"/>
      <c r="L7" s="7" t="s">
        <v>8</v>
      </c>
      <c r="M7" s="7" t="s">
        <v>9</v>
      </c>
      <c r="N7" s="8" t="s">
        <v>10</v>
      </c>
      <c r="O7" s="8" t="s">
        <v>11</v>
      </c>
      <c r="P7" s="8" t="s">
        <v>12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9.5" customHeight="1" x14ac:dyDescent="0.3">
      <c r="A8" s="436" t="s">
        <v>13</v>
      </c>
      <c r="B8" s="450">
        <v>44403</v>
      </c>
      <c r="C8" s="452" t="s">
        <v>14</v>
      </c>
      <c r="D8" s="452">
        <v>120</v>
      </c>
      <c r="E8" s="452">
        <f>+D8/2</f>
        <v>60</v>
      </c>
      <c r="F8" s="444">
        <v>120</v>
      </c>
      <c r="G8" s="444">
        <f>+D8*F8</f>
        <v>14400</v>
      </c>
      <c r="H8" s="447" t="s">
        <v>15</v>
      </c>
      <c r="I8" s="447" t="s">
        <v>64</v>
      </c>
      <c r="J8" s="458" t="s">
        <v>16</v>
      </c>
      <c r="K8" s="10">
        <v>3</v>
      </c>
      <c r="L8" s="10"/>
      <c r="M8" s="11"/>
      <c r="N8" s="12">
        <f t="shared" ref="N8:N14" si="0">+L8*M8</f>
        <v>0</v>
      </c>
      <c r="O8" s="459"/>
      <c r="P8" s="459"/>
    </row>
    <row r="9" spans="1:27" ht="20.25" customHeight="1" x14ac:dyDescent="0.3">
      <c r="A9" s="455"/>
      <c r="B9" s="445"/>
      <c r="C9" s="445"/>
      <c r="D9" s="445"/>
      <c r="E9" s="445"/>
      <c r="F9" s="445"/>
      <c r="G9" s="445"/>
      <c r="H9" s="448"/>
      <c r="I9" s="448"/>
      <c r="J9" s="445"/>
      <c r="K9" s="13">
        <v>6</v>
      </c>
      <c r="L9" s="13"/>
      <c r="M9" s="14"/>
      <c r="N9" s="15">
        <f t="shared" si="0"/>
        <v>0</v>
      </c>
      <c r="O9" s="460"/>
      <c r="P9" s="460"/>
    </row>
    <row r="10" spans="1:27" ht="19.5" customHeight="1" x14ac:dyDescent="0.3">
      <c r="A10" s="455"/>
      <c r="B10" s="445"/>
      <c r="C10" s="445"/>
      <c r="D10" s="445"/>
      <c r="E10" s="445"/>
      <c r="F10" s="445"/>
      <c r="G10" s="445"/>
      <c r="H10" s="448"/>
      <c r="I10" s="448"/>
      <c r="J10" s="446"/>
      <c r="K10" s="13">
        <v>9</v>
      </c>
      <c r="L10" s="13"/>
      <c r="M10" s="14"/>
      <c r="N10" s="15">
        <f t="shared" si="0"/>
        <v>0</v>
      </c>
      <c r="O10" s="460"/>
      <c r="P10" s="460"/>
    </row>
    <row r="11" spans="1:27" ht="19.5" customHeight="1" x14ac:dyDescent="0.3">
      <c r="A11" s="455"/>
      <c r="B11" s="445"/>
      <c r="C11" s="445"/>
      <c r="D11" s="445"/>
      <c r="E11" s="445"/>
      <c r="F11" s="445"/>
      <c r="G11" s="445"/>
      <c r="H11" s="448"/>
      <c r="I11" s="448"/>
      <c r="J11" s="382" t="s">
        <v>17</v>
      </c>
      <c r="K11" s="417"/>
      <c r="L11" s="13"/>
      <c r="M11" s="14"/>
      <c r="N11" s="15">
        <f t="shared" si="0"/>
        <v>0</v>
      </c>
      <c r="O11" s="460"/>
      <c r="P11" s="460"/>
    </row>
    <row r="12" spans="1:27" ht="19.5" customHeight="1" x14ac:dyDescent="0.3">
      <c r="A12" s="455"/>
      <c r="B12" s="445"/>
      <c r="C12" s="445"/>
      <c r="D12" s="445"/>
      <c r="E12" s="445"/>
      <c r="F12" s="445"/>
      <c r="G12" s="445"/>
      <c r="H12" s="448"/>
      <c r="I12" s="448"/>
      <c r="J12" s="382" t="s">
        <v>18</v>
      </c>
      <c r="K12" s="417"/>
      <c r="L12" s="13"/>
      <c r="M12" s="14"/>
      <c r="N12" s="15">
        <f t="shared" si="0"/>
        <v>0</v>
      </c>
      <c r="O12" s="460"/>
      <c r="P12" s="460"/>
    </row>
    <row r="13" spans="1:27" ht="19.5" customHeight="1" x14ac:dyDescent="0.3">
      <c r="A13" s="455"/>
      <c r="B13" s="445"/>
      <c r="C13" s="446"/>
      <c r="D13" s="446"/>
      <c r="E13" s="446"/>
      <c r="F13" s="446"/>
      <c r="G13" s="446"/>
      <c r="H13" s="448"/>
      <c r="I13" s="448"/>
      <c r="J13" s="382" t="s">
        <v>19</v>
      </c>
      <c r="K13" s="417"/>
      <c r="L13" s="13"/>
      <c r="M13" s="14"/>
      <c r="N13" s="15">
        <f t="shared" si="0"/>
        <v>0</v>
      </c>
      <c r="O13" s="460"/>
      <c r="P13" s="460"/>
    </row>
    <row r="14" spans="1:27" ht="19.5" customHeight="1" x14ac:dyDescent="0.3">
      <c r="A14" s="455"/>
      <c r="B14" s="445"/>
      <c r="C14" s="16"/>
      <c r="D14" s="17"/>
      <c r="E14" s="17"/>
      <c r="F14" s="18"/>
      <c r="G14" s="18"/>
      <c r="H14" s="448"/>
      <c r="I14" s="448"/>
      <c r="J14" s="382" t="s">
        <v>20</v>
      </c>
      <c r="K14" s="417"/>
      <c r="L14" s="13">
        <v>0</v>
      </c>
      <c r="M14" s="14">
        <v>0</v>
      </c>
      <c r="N14" s="15">
        <f t="shared" si="0"/>
        <v>0</v>
      </c>
      <c r="O14" s="460"/>
      <c r="P14" s="460"/>
    </row>
    <row r="15" spans="1:27" ht="19.5" customHeight="1" thickBot="1" x14ac:dyDescent="0.35">
      <c r="A15" s="456"/>
      <c r="B15" s="451"/>
      <c r="C15" s="453" t="s">
        <v>21</v>
      </c>
      <c r="D15" s="379"/>
      <c r="E15" s="379"/>
      <c r="F15" s="454"/>
      <c r="G15" s="19">
        <f>SUM(G8:G14)</f>
        <v>14400</v>
      </c>
      <c r="H15" s="449"/>
      <c r="I15" s="449"/>
      <c r="J15" s="378" t="s">
        <v>22</v>
      </c>
      <c r="K15" s="379"/>
      <c r="L15" s="379"/>
      <c r="M15" s="454"/>
      <c r="N15" s="20">
        <f>SUM(N8:N14)</f>
        <v>0</v>
      </c>
      <c r="O15" s="461"/>
      <c r="P15" s="461"/>
    </row>
    <row r="16" spans="1:27" ht="19.5" customHeight="1" x14ac:dyDescent="0.3">
      <c r="A16" s="436" t="s">
        <v>23</v>
      </c>
      <c r="B16" s="450">
        <v>44409</v>
      </c>
      <c r="C16" s="452" t="s">
        <v>14</v>
      </c>
      <c r="D16" s="452">
        <v>180</v>
      </c>
      <c r="E16" s="452">
        <f>+D16/2</f>
        <v>90</v>
      </c>
      <c r="F16" s="444">
        <v>120</v>
      </c>
      <c r="G16" s="444">
        <f>+D16*F16</f>
        <v>21600</v>
      </c>
      <c r="H16" s="447" t="s">
        <v>15</v>
      </c>
      <c r="I16" s="447" t="s">
        <v>64</v>
      </c>
      <c r="J16" s="458" t="s">
        <v>16</v>
      </c>
      <c r="K16" s="10">
        <v>3</v>
      </c>
      <c r="L16" s="10"/>
      <c r="M16" s="11"/>
      <c r="N16" s="12">
        <f t="shared" ref="N16:N22" si="1">+L16*M16</f>
        <v>0</v>
      </c>
      <c r="O16" s="459"/>
      <c r="P16" s="459"/>
    </row>
    <row r="17" spans="1:16" ht="19.5" customHeight="1" x14ac:dyDescent="0.3">
      <c r="A17" s="455"/>
      <c r="B17" s="445"/>
      <c r="C17" s="445"/>
      <c r="D17" s="445"/>
      <c r="E17" s="445"/>
      <c r="F17" s="445"/>
      <c r="G17" s="445"/>
      <c r="H17" s="448"/>
      <c r="I17" s="448"/>
      <c r="J17" s="445"/>
      <c r="K17" s="13">
        <v>6</v>
      </c>
      <c r="L17" s="13"/>
      <c r="M17" s="14"/>
      <c r="N17" s="15">
        <f t="shared" si="1"/>
        <v>0</v>
      </c>
      <c r="O17" s="460"/>
      <c r="P17" s="460"/>
    </row>
    <row r="18" spans="1:16" ht="19.5" customHeight="1" x14ac:dyDescent="0.3">
      <c r="A18" s="455"/>
      <c r="B18" s="445"/>
      <c r="C18" s="445"/>
      <c r="D18" s="445"/>
      <c r="E18" s="445"/>
      <c r="F18" s="445"/>
      <c r="G18" s="445"/>
      <c r="H18" s="448"/>
      <c r="I18" s="448"/>
      <c r="J18" s="446"/>
      <c r="K18" s="13">
        <v>9</v>
      </c>
      <c r="L18" s="13"/>
      <c r="M18" s="14"/>
      <c r="N18" s="15">
        <f t="shared" si="1"/>
        <v>0</v>
      </c>
      <c r="O18" s="460"/>
      <c r="P18" s="460"/>
    </row>
    <row r="19" spans="1:16" ht="19.5" customHeight="1" x14ac:dyDescent="0.3">
      <c r="A19" s="455"/>
      <c r="B19" s="445"/>
      <c r="C19" s="445"/>
      <c r="D19" s="445"/>
      <c r="E19" s="445"/>
      <c r="F19" s="445"/>
      <c r="G19" s="445"/>
      <c r="H19" s="448"/>
      <c r="I19" s="448"/>
      <c r="J19" s="382" t="s">
        <v>17</v>
      </c>
      <c r="K19" s="417"/>
      <c r="L19" s="13"/>
      <c r="M19" s="14"/>
      <c r="N19" s="15">
        <f t="shared" si="1"/>
        <v>0</v>
      </c>
      <c r="O19" s="460"/>
      <c r="P19" s="460"/>
    </row>
    <row r="20" spans="1:16" ht="19.5" customHeight="1" x14ac:dyDescent="0.3">
      <c r="A20" s="455"/>
      <c r="B20" s="445"/>
      <c r="C20" s="445"/>
      <c r="D20" s="445"/>
      <c r="E20" s="445"/>
      <c r="F20" s="445"/>
      <c r="G20" s="445"/>
      <c r="H20" s="448"/>
      <c r="I20" s="448"/>
      <c r="J20" s="382" t="s">
        <v>18</v>
      </c>
      <c r="K20" s="417"/>
      <c r="L20" s="13"/>
      <c r="M20" s="14"/>
      <c r="N20" s="15">
        <f t="shared" si="1"/>
        <v>0</v>
      </c>
      <c r="O20" s="460"/>
      <c r="P20" s="460"/>
    </row>
    <row r="21" spans="1:16" ht="19.5" customHeight="1" x14ac:dyDescent="0.3">
      <c r="A21" s="455"/>
      <c r="B21" s="445"/>
      <c r="C21" s="446"/>
      <c r="D21" s="446"/>
      <c r="E21" s="446"/>
      <c r="F21" s="446"/>
      <c r="G21" s="446"/>
      <c r="H21" s="448"/>
      <c r="I21" s="448"/>
      <c r="J21" s="382" t="s">
        <v>19</v>
      </c>
      <c r="K21" s="417"/>
      <c r="L21" s="13"/>
      <c r="M21" s="14"/>
      <c r="N21" s="15">
        <f t="shared" si="1"/>
        <v>0</v>
      </c>
      <c r="O21" s="460"/>
      <c r="P21" s="460"/>
    </row>
    <row r="22" spans="1:16" ht="19.5" customHeight="1" x14ac:dyDescent="0.3">
      <c r="A22" s="455"/>
      <c r="B22" s="445"/>
      <c r="C22" s="16"/>
      <c r="D22" s="17"/>
      <c r="E22" s="17"/>
      <c r="F22" s="18"/>
      <c r="G22" s="18"/>
      <c r="H22" s="448"/>
      <c r="I22" s="448"/>
      <c r="J22" s="382" t="s">
        <v>20</v>
      </c>
      <c r="K22" s="417"/>
      <c r="L22" s="13"/>
      <c r="M22" s="14"/>
      <c r="N22" s="15">
        <f t="shared" si="1"/>
        <v>0</v>
      </c>
      <c r="O22" s="460"/>
      <c r="P22" s="460"/>
    </row>
    <row r="23" spans="1:16" ht="19.5" customHeight="1" thickBot="1" x14ac:dyDescent="0.35">
      <c r="A23" s="456"/>
      <c r="B23" s="451"/>
      <c r="C23" s="453" t="s">
        <v>21</v>
      </c>
      <c r="D23" s="379"/>
      <c r="E23" s="379"/>
      <c r="F23" s="454"/>
      <c r="G23" s="19">
        <f>SUM(G16:G22)</f>
        <v>21600</v>
      </c>
      <c r="H23" s="449"/>
      <c r="I23" s="449"/>
      <c r="J23" s="378" t="s">
        <v>22</v>
      </c>
      <c r="K23" s="379"/>
      <c r="L23" s="379"/>
      <c r="M23" s="454"/>
      <c r="N23" s="20">
        <f>SUM(N16:N22)</f>
        <v>0</v>
      </c>
      <c r="O23" s="461"/>
      <c r="P23" s="461"/>
    </row>
    <row r="24" spans="1:16" ht="19.5" customHeight="1" x14ac:dyDescent="0.3">
      <c r="A24" s="436" t="s">
        <v>24</v>
      </c>
      <c r="B24" s="450">
        <v>44424</v>
      </c>
      <c r="C24" s="452" t="s">
        <v>14</v>
      </c>
      <c r="D24" s="452">
        <v>180</v>
      </c>
      <c r="E24" s="452">
        <f>+D24/2</f>
        <v>90</v>
      </c>
      <c r="F24" s="444">
        <v>120</v>
      </c>
      <c r="G24" s="444">
        <f>+D24*F24</f>
        <v>21600</v>
      </c>
      <c r="H24" s="447" t="s">
        <v>15</v>
      </c>
      <c r="I24" s="447" t="s">
        <v>64</v>
      </c>
      <c r="J24" s="458" t="s">
        <v>16</v>
      </c>
      <c r="K24" s="10">
        <v>3</v>
      </c>
      <c r="L24" s="10"/>
      <c r="M24" s="11"/>
      <c r="N24" s="12">
        <f t="shared" ref="N24:N30" si="2">+L24*M24</f>
        <v>0</v>
      </c>
      <c r="O24" s="459"/>
      <c r="P24" s="459"/>
    </row>
    <row r="25" spans="1:16" ht="19.5" customHeight="1" x14ac:dyDescent="0.3">
      <c r="A25" s="455"/>
      <c r="B25" s="445"/>
      <c r="C25" s="445"/>
      <c r="D25" s="445"/>
      <c r="E25" s="445"/>
      <c r="F25" s="445"/>
      <c r="G25" s="445"/>
      <c r="H25" s="448"/>
      <c r="I25" s="448"/>
      <c r="J25" s="445"/>
      <c r="K25" s="13">
        <v>6</v>
      </c>
      <c r="L25" s="13"/>
      <c r="M25" s="14"/>
      <c r="N25" s="15">
        <f t="shared" si="2"/>
        <v>0</v>
      </c>
      <c r="O25" s="460"/>
      <c r="P25" s="460"/>
    </row>
    <row r="26" spans="1:16" ht="19.5" customHeight="1" x14ac:dyDescent="0.3">
      <c r="A26" s="455"/>
      <c r="B26" s="445"/>
      <c r="C26" s="445"/>
      <c r="D26" s="445"/>
      <c r="E26" s="445"/>
      <c r="F26" s="445"/>
      <c r="G26" s="445"/>
      <c r="H26" s="448"/>
      <c r="I26" s="448"/>
      <c r="J26" s="446"/>
      <c r="K26" s="13">
        <v>9</v>
      </c>
      <c r="L26" s="13"/>
      <c r="M26" s="14"/>
      <c r="N26" s="15">
        <f t="shared" si="2"/>
        <v>0</v>
      </c>
      <c r="O26" s="460"/>
      <c r="P26" s="460"/>
    </row>
    <row r="27" spans="1:16" ht="19.5" customHeight="1" x14ac:dyDescent="0.3">
      <c r="A27" s="455"/>
      <c r="B27" s="445"/>
      <c r="C27" s="445"/>
      <c r="D27" s="445"/>
      <c r="E27" s="445"/>
      <c r="F27" s="445"/>
      <c r="G27" s="445"/>
      <c r="H27" s="448"/>
      <c r="I27" s="448"/>
      <c r="J27" s="382" t="s">
        <v>17</v>
      </c>
      <c r="K27" s="417"/>
      <c r="L27" s="13"/>
      <c r="M27" s="14"/>
      <c r="N27" s="15">
        <f t="shared" si="2"/>
        <v>0</v>
      </c>
      <c r="O27" s="460"/>
      <c r="P27" s="460"/>
    </row>
    <row r="28" spans="1:16" ht="19.5" customHeight="1" x14ac:dyDescent="0.3">
      <c r="A28" s="455"/>
      <c r="B28" s="445"/>
      <c r="C28" s="445"/>
      <c r="D28" s="445"/>
      <c r="E28" s="445"/>
      <c r="F28" s="445"/>
      <c r="G28" s="445"/>
      <c r="H28" s="448"/>
      <c r="I28" s="448"/>
      <c r="J28" s="382" t="s">
        <v>18</v>
      </c>
      <c r="K28" s="417"/>
      <c r="L28" s="13"/>
      <c r="M28" s="14"/>
      <c r="N28" s="15">
        <f t="shared" si="2"/>
        <v>0</v>
      </c>
      <c r="O28" s="460"/>
      <c r="P28" s="460"/>
    </row>
    <row r="29" spans="1:16" ht="19.5" customHeight="1" x14ac:dyDescent="0.3">
      <c r="A29" s="455"/>
      <c r="B29" s="445"/>
      <c r="C29" s="446"/>
      <c r="D29" s="446"/>
      <c r="E29" s="446"/>
      <c r="F29" s="446"/>
      <c r="G29" s="446"/>
      <c r="H29" s="448"/>
      <c r="I29" s="448"/>
      <c r="J29" s="382" t="s">
        <v>19</v>
      </c>
      <c r="K29" s="417"/>
      <c r="L29" s="13"/>
      <c r="M29" s="14"/>
      <c r="N29" s="15">
        <f t="shared" si="2"/>
        <v>0</v>
      </c>
      <c r="O29" s="460"/>
      <c r="P29" s="460"/>
    </row>
    <row r="30" spans="1:16" ht="19.5" customHeight="1" x14ac:dyDescent="0.3">
      <c r="A30" s="455"/>
      <c r="B30" s="445"/>
      <c r="C30" s="16"/>
      <c r="D30" s="17"/>
      <c r="E30" s="17"/>
      <c r="F30" s="18"/>
      <c r="G30" s="18"/>
      <c r="H30" s="448"/>
      <c r="I30" s="448"/>
      <c r="J30" s="382" t="s">
        <v>20</v>
      </c>
      <c r="K30" s="417"/>
      <c r="L30" s="13"/>
      <c r="M30" s="14"/>
      <c r="N30" s="15">
        <f t="shared" si="2"/>
        <v>0</v>
      </c>
      <c r="O30" s="460"/>
      <c r="P30" s="460"/>
    </row>
    <row r="31" spans="1:16" ht="19.5" customHeight="1" thickBot="1" x14ac:dyDescent="0.35">
      <c r="A31" s="456"/>
      <c r="B31" s="451"/>
      <c r="C31" s="453" t="s">
        <v>21</v>
      </c>
      <c r="D31" s="379"/>
      <c r="E31" s="379"/>
      <c r="F31" s="454"/>
      <c r="G31" s="19">
        <f>SUM(G24:G30)</f>
        <v>21600</v>
      </c>
      <c r="H31" s="449"/>
      <c r="I31" s="449"/>
      <c r="J31" s="378" t="s">
        <v>22</v>
      </c>
      <c r="K31" s="379"/>
      <c r="L31" s="379"/>
      <c r="M31" s="454"/>
      <c r="N31" s="20">
        <f>SUM(N24:N30)</f>
        <v>0</v>
      </c>
      <c r="O31" s="461"/>
      <c r="P31" s="461"/>
    </row>
    <row r="32" spans="1:16" ht="19.5" customHeight="1" x14ac:dyDescent="0.3">
      <c r="A32" s="436" t="s">
        <v>25</v>
      </c>
      <c r="B32" s="450">
        <v>44438</v>
      </c>
      <c r="C32" s="452" t="s">
        <v>14</v>
      </c>
      <c r="D32" s="452">
        <v>180</v>
      </c>
      <c r="E32" s="452">
        <f>+D32/2</f>
        <v>90</v>
      </c>
      <c r="F32" s="444">
        <v>120</v>
      </c>
      <c r="G32" s="444">
        <f>+D32*F32</f>
        <v>21600</v>
      </c>
      <c r="H32" s="447" t="s">
        <v>15</v>
      </c>
      <c r="I32" s="447" t="s">
        <v>64</v>
      </c>
      <c r="J32" s="458" t="s">
        <v>16</v>
      </c>
      <c r="K32" s="10">
        <v>3</v>
      </c>
      <c r="L32" s="10"/>
      <c r="M32" s="11"/>
      <c r="N32" s="12">
        <f t="shared" ref="N32:N38" si="3">+L32*M32</f>
        <v>0</v>
      </c>
      <c r="O32" s="459"/>
      <c r="P32" s="459"/>
    </row>
    <row r="33" spans="1:16" ht="19.5" customHeight="1" x14ac:dyDescent="0.3">
      <c r="A33" s="455"/>
      <c r="B33" s="445"/>
      <c r="C33" s="445"/>
      <c r="D33" s="445"/>
      <c r="E33" s="445"/>
      <c r="F33" s="445"/>
      <c r="G33" s="445"/>
      <c r="H33" s="448"/>
      <c r="I33" s="448"/>
      <c r="J33" s="445"/>
      <c r="K33" s="13">
        <v>6</v>
      </c>
      <c r="L33" s="13"/>
      <c r="M33" s="14"/>
      <c r="N33" s="15">
        <f t="shared" si="3"/>
        <v>0</v>
      </c>
      <c r="O33" s="460"/>
      <c r="P33" s="460"/>
    </row>
    <row r="34" spans="1:16" ht="19.5" customHeight="1" x14ac:dyDescent="0.3">
      <c r="A34" s="455"/>
      <c r="B34" s="445"/>
      <c r="C34" s="445"/>
      <c r="D34" s="445"/>
      <c r="E34" s="445"/>
      <c r="F34" s="445"/>
      <c r="G34" s="445"/>
      <c r="H34" s="448"/>
      <c r="I34" s="448"/>
      <c r="J34" s="446"/>
      <c r="K34" s="13">
        <v>9</v>
      </c>
      <c r="L34" s="53"/>
      <c r="M34" s="14"/>
      <c r="N34" s="15">
        <f t="shared" si="3"/>
        <v>0</v>
      </c>
      <c r="O34" s="460"/>
      <c r="P34" s="460"/>
    </row>
    <row r="35" spans="1:16" ht="19.5" customHeight="1" x14ac:dyDescent="0.3">
      <c r="A35" s="455"/>
      <c r="B35" s="445"/>
      <c r="C35" s="445"/>
      <c r="D35" s="445"/>
      <c r="E35" s="445"/>
      <c r="F35" s="445"/>
      <c r="G35" s="445"/>
      <c r="H35" s="448"/>
      <c r="I35" s="448"/>
      <c r="J35" s="382" t="s">
        <v>17</v>
      </c>
      <c r="K35" s="417"/>
      <c r="L35" s="13"/>
      <c r="M35" s="14"/>
      <c r="N35" s="15">
        <f t="shared" si="3"/>
        <v>0</v>
      </c>
      <c r="O35" s="460"/>
      <c r="P35" s="460"/>
    </row>
    <row r="36" spans="1:16" ht="19.5" customHeight="1" x14ac:dyDescent="0.3">
      <c r="A36" s="455"/>
      <c r="B36" s="445"/>
      <c r="C36" s="445"/>
      <c r="D36" s="445"/>
      <c r="E36" s="445"/>
      <c r="F36" s="445"/>
      <c r="G36" s="445"/>
      <c r="H36" s="448"/>
      <c r="I36" s="448"/>
      <c r="J36" s="382" t="s">
        <v>18</v>
      </c>
      <c r="K36" s="417"/>
      <c r="L36" s="13"/>
      <c r="M36" s="14"/>
      <c r="N36" s="15">
        <f t="shared" si="3"/>
        <v>0</v>
      </c>
      <c r="O36" s="460"/>
      <c r="P36" s="460"/>
    </row>
    <row r="37" spans="1:16" ht="19.5" customHeight="1" x14ac:dyDescent="0.3">
      <c r="A37" s="455"/>
      <c r="B37" s="445"/>
      <c r="C37" s="446"/>
      <c r="D37" s="446"/>
      <c r="E37" s="446"/>
      <c r="F37" s="446"/>
      <c r="G37" s="446"/>
      <c r="H37" s="448"/>
      <c r="I37" s="448"/>
      <c r="J37" s="382" t="s">
        <v>19</v>
      </c>
      <c r="K37" s="417"/>
      <c r="L37" s="13"/>
      <c r="M37" s="14"/>
      <c r="N37" s="15">
        <f t="shared" si="3"/>
        <v>0</v>
      </c>
      <c r="O37" s="460"/>
      <c r="P37" s="460"/>
    </row>
    <row r="38" spans="1:16" ht="19.5" customHeight="1" x14ac:dyDescent="0.3">
      <c r="A38" s="455"/>
      <c r="B38" s="445"/>
      <c r="C38" s="16"/>
      <c r="D38" s="17"/>
      <c r="E38" s="17"/>
      <c r="F38" s="18"/>
      <c r="G38" s="18"/>
      <c r="H38" s="448"/>
      <c r="I38" s="448"/>
      <c r="J38" s="382" t="s">
        <v>20</v>
      </c>
      <c r="K38" s="417"/>
      <c r="L38" s="13"/>
      <c r="M38" s="14"/>
      <c r="N38" s="15">
        <f t="shared" si="3"/>
        <v>0</v>
      </c>
      <c r="O38" s="460"/>
      <c r="P38" s="460"/>
    </row>
    <row r="39" spans="1:16" ht="19.5" customHeight="1" thickBot="1" x14ac:dyDescent="0.35">
      <c r="A39" s="456"/>
      <c r="B39" s="451"/>
      <c r="C39" s="453" t="s">
        <v>21</v>
      </c>
      <c r="D39" s="379"/>
      <c r="E39" s="379"/>
      <c r="F39" s="454"/>
      <c r="G39" s="19">
        <f>SUM(G32:G38)</f>
        <v>21600</v>
      </c>
      <c r="H39" s="449"/>
      <c r="I39" s="449"/>
      <c r="J39" s="378" t="s">
        <v>22</v>
      </c>
      <c r="K39" s="379"/>
      <c r="L39" s="379"/>
      <c r="M39" s="454"/>
      <c r="N39" s="20">
        <f>SUM(N32:N38)</f>
        <v>0</v>
      </c>
      <c r="O39" s="461"/>
      <c r="P39" s="461"/>
    </row>
    <row r="40" spans="1:16" ht="19.5" customHeight="1" x14ac:dyDescent="0.3">
      <c r="A40" s="462" t="s">
        <v>26</v>
      </c>
      <c r="B40" s="464">
        <v>44453</v>
      </c>
      <c r="C40" s="452" t="s">
        <v>14</v>
      </c>
      <c r="D40" s="452">
        <v>180</v>
      </c>
      <c r="E40" s="452">
        <f>+D40/2</f>
        <v>90</v>
      </c>
      <c r="F40" s="444">
        <v>120</v>
      </c>
      <c r="G40" s="444">
        <f>+D40*F40</f>
        <v>21600</v>
      </c>
      <c r="H40" s="447" t="s">
        <v>27</v>
      </c>
      <c r="I40" s="447" t="s">
        <v>61</v>
      </c>
      <c r="J40" s="458" t="s">
        <v>16</v>
      </c>
      <c r="K40" s="10">
        <v>3</v>
      </c>
      <c r="L40" s="10"/>
      <c r="M40" s="11"/>
      <c r="N40" s="12">
        <f t="shared" ref="N40:N46" si="4">+L40*M40</f>
        <v>0</v>
      </c>
      <c r="O40" s="459"/>
      <c r="P40" s="459"/>
    </row>
    <row r="41" spans="1:16" ht="19.5" customHeight="1" x14ac:dyDescent="0.3">
      <c r="A41" s="455"/>
      <c r="B41" s="445"/>
      <c r="C41" s="445"/>
      <c r="D41" s="445"/>
      <c r="E41" s="445"/>
      <c r="F41" s="445"/>
      <c r="G41" s="445"/>
      <c r="H41" s="448"/>
      <c r="I41" s="448"/>
      <c r="J41" s="445"/>
      <c r="K41" s="13">
        <v>6</v>
      </c>
      <c r="L41" s="13"/>
      <c r="M41" s="14"/>
      <c r="N41" s="15">
        <f t="shared" si="4"/>
        <v>0</v>
      </c>
      <c r="O41" s="460"/>
      <c r="P41" s="460"/>
    </row>
    <row r="42" spans="1:16" ht="19.5" customHeight="1" x14ac:dyDescent="0.3">
      <c r="A42" s="455"/>
      <c r="B42" s="445"/>
      <c r="C42" s="445"/>
      <c r="D42" s="445"/>
      <c r="E42" s="445"/>
      <c r="F42" s="445"/>
      <c r="G42" s="445"/>
      <c r="H42" s="448"/>
      <c r="I42" s="448"/>
      <c r="J42" s="446"/>
      <c r="K42" s="13">
        <v>9</v>
      </c>
      <c r="L42" s="13"/>
      <c r="M42" s="14"/>
      <c r="N42" s="15">
        <f t="shared" si="4"/>
        <v>0</v>
      </c>
      <c r="O42" s="460"/>
      <c r="P42" s="460"/>
    </row>
    <row r="43" spans="1:16" ht="19.5" customHeight="1" x14ac:dyDescent="0.3">
      <c r="A43" s="455"/>
      <c r="B43" s="445"/>
      <c r="C43" s="445"/>
      <c r="D43" s="445"/>
      <c r="E43" s="445"/>
      <c r="F43" s="445"/>
      <c r="G43" s="445"/>
      <c r="H43" s="448"/>
      <c r="I43" s="448"/>
      <c r="J43" s="382" t="s">
        <v>17</v>
      </c>
      <c r="K43" s="417"/>
      <c r="L43" s="13"/>
      <c r="M43" s="14"/>
      <c r="N43" s="15">
        <f t="shared" si="4"/>
        <v>0</v>
      </c>
      <c r="O43" s="460"/>
      <c r="P43" s="460"/>
    </row>
    <row r="44" spans="1:16" ht="19.5" customHeight="1" x14ac:dyDescent="0.3">
      <c r="A44" s="455"/>
      <c r="B44" s="445"/>
      <c r="C44" s="445"/>
      <c r="D44" s="445"/>
      <c r="E44" s="445"/>
      <c r="F44" s="445"/>
      <c r="G44" s="445"/>
      <c r="H44" s="448"/>
      <c r="I44" s="448"/>
      <c r="J44" s="382" t="s">
        <v>18</v>
      </c>
      <c r="K44" s="417"/>
      <c r="L44" s="13"/>
      <c r="M44" s="14"/>
      <c r="N44" s="15">
        <f t="shared" si="4"/>
        <v>0</v>
      </c>
      <c r="O44" s="460"/>
      <c r="P44" s="460"/>
    </row>
    <row r="45" spans="1:16" ht="19.5" customHeight="1" x14ac:dyDescent="0.3">
      <c r="A45" s="455"/>
      <c r="B45" s="445"/>
      <c r="C45" s="446"/>
      <c r="D45" s="446"/>
      <c r="E45" s="446"/>
      <c r="F45" s="446"/>
      <c r="G45" s="446"/>
      <c r="H45" s="448"/>
      <c r="I45" s="448"/>
      <c r="J45" s="382" t="s">
        <v>19</v>
      </c>
      <c r="K45" s="417"/>
      <c r="L45" s="13"/>
      <c r="M45" s="14"/>
      <c r="N45" s="15">
        <f t="shared" si="4"/>
        <v>0</v>
      </c>
      <c r="O45" s="460"/>
      <c r="P45" s="460"/>
    </row>
    <row r="46" spans="1:16" ht="19.5" customHeight="1" x14ac:dyDescent="0.3">
      <c r="A46" s="455"/>
      <c r="B46" s="445"/>
      <c r="C46" s="16"/>
      <c r="D46" s="17"/>
      <c r="E46" s="17"/>
      <c r="F46" s="18"/>
      <c r="G46" s="18"/>
      <c r="H46" s="448"/>
      <c r="I46" s="448"/>
      <c r="J46" s="382" t="s">
        <v>20</v>
      </c>
      <c r="K46" s="417"/>
      <c r="L46" s="13"/>
      <c r="M46" s="14"/>
      <c r="N46" s="15">
        <f t="shared" si="4"/>
        <v>0</v>
      </c>
      <c r="O46" s="460"/>
      <c r="P46" s="460"/>
    </row>
    <row r="47" spans="1:16" ht="19.5" customHeight="1" thickBot="1" x14ac:dyDescent="0.35">
      <c r="A47" s="456"/>
      <c r="B47" s="451"/>
      <c r="C47" s="453" t="s">
        <v>21</v>
      </c>
      <c r="D47" s="379"/>
      <c r="E47" s="379"/>
      <c r="F47" s="454"/>
      <c r="G47" s="19">
        <f>SUM(G40:G46)</f>
        <v>21600</v>
      </c>
      <c r="H47" s="449"/>
      <c r="I47" s="449"/>
      <c r="J47" s="378" t="s">
        <v>22</v>
      </c>
      <c r="K47" s="379"/>
      <c r="L47" s="379"/>
      <c r="M47" s="454"/>
      <c r="N47" s="20">
        <f>SUM(N40:N46)</f>
        <v>0</v>
      </c>
      <c r="O47" s="461"/>
      <c r="P47" s="461"/>
    </row>
    <row r="48" spans="1:16" ht="19.5" customHeight="1" x14ac:dyDescent="0.3">
      <c r="A48" s="462" t="s">
        <v>28</v>
      </c>
      <c r="B48" s="464">
        <v>44464</v>
      </c>
      <c r="C48" s="452" t="s">
        <v>14</v>
      </c>
      <c r="D48" s="452">
        <v>180</v>
      </c>
      <c r="E48" s="452">
        <f>+D48/2</f>
        <v>90</v>
      </c>
      <c r="F48" s="444">
        <v>120</v>
      </c>
      <c r="G48" s="444">
        <f>+D48*F48</f>
        <v>21600</v>
      </c>
      <c r="H48" s="447" t="s">
        <v>27</v>
      </c>
      <c r="I48" s="447" t="s">
        <v>61</v>
      </c>
      <c r="J48" s="458" t="s">
        <v>16</v>
      </c>
      <c r="K48" s="10">
        <v>3</v>
      </c>
      <c r="L48" s="10"/>
      <c r="M48" s="11"/>
      <c r="N48" s="12">
        <f t="shared" ref="N48:N54" si="5">+L48*M48</f>
        <v>0</v>
      </c>
      <c r="O48" s="459"/>
      <c r="P48" s="459"/>
    </row>
    <row r="49" spans="1:16" ht="19.5" customHeight="1" x14ac:dyDescent="0.3">
      <c r="A49" s="455"/>
      <c r="B49" s="445"/>
      <c r="C49" s="445"/>
      <c r="D49" s="445"/>
      <c r="E49" s="445"/>
      <c r="F49" s="445"/>
      <c r="G49" s="445"/>
      <c r="H49" s="448"/>
      <c r="I49" s="448"/>
      <c r="J49" s="445"/>
      <c r="K49" s="13">
        <v>6</v>
      </c>
      <c r="L49" s="13"/>
      <c r="M49" s="14"/>
      <c r="N49" s="15">
        <f t="shared" si="5"/>
        <v>0</v>
      </c>
      <c r="O49" s="460"/>
      <c r="P49" s="460"/>
    </row>
    <row r="50" spans="1:16" ht="19.5" customHeight="1" x14ac:dyDescent="0.3">
      <c r="A50" s="455"/>
      <c r="B50" s="445"/>
      <c r="C50" s="445"/>
      <c r="D50" s="445"/>
      <c r="E50" s="445"/>
      <c r="F50" s="445"/>
      <c r="G50" s="445"/>
      <c r="H50" s="448"/>
      <c r="I50" s="448"/>
      <c r="J50" s="446"/>
      <c r="K50" s="13">
        <v>9</v>
      </c>
      <c r="L50" s="13"/>
      <c r="M50" s="14"/>
      <c r="N50" s="15">
        <f t="shared" si="5"/>
        <v>0</v>
      </c>
      <c r="O50" s="460"/>
      <c r="P50" s="460"/>
    </row>
    <row r="51" spans="1:16" ht="19.5" customHeight="1" x14ac:dyDescent="0.3">
      <c r="A51" s="455"/>
      <c r="B51" s="445"/>
      <c r="C51" s="445"/>
      <c r="D51" s="445"/>
      <c r="E51" s="445"/>
      <c r="F51" s="445"/>
      <c r="G51" s="445"/>
      <c r="H51" s="448"/>
      <c r="I51" s="448"/>
      <c r="J51" s="382" t="s">
        <v>17</v>
      </c>
      <c r="K51" s="417"/>
      <c r="L51" s="13"/>
      <c r="M51" s="14"/>
      <c r="N51" s="15">
        <f t="shared" si="5"/>
        <v>0</v>
      </c>
      <c r="O51" s="460"/>
      <c r="P51" s="460"/>
    </row>
    <row r="52" spans="1:16" ht="19.5" customHeight="1" x14ac:dyDescent="0.3">
      <c r="A52" s="455"/>
      <c r="B52" s="445"/>
      <c r="C52" s="445"/>
      <c r="D52" s="445"/>
      <c r="E52" s="445"/>
      <c r="F52" s="445"/>
      <c r="G52" s="445"/>
      <c r="H52" s="448"/>
      <c r="I52" s="448"/>
      <c r="J52" s="382" t="s">
        <v>18</v>
      </c>
      <c r="K52" s="417"/>
      <c r="L52" s="13"/>
      <c r="M52" s="14"/>
      <c r="N52" s="15">
        <f t="shared" si="5"/>
        <v>0</v>
      </c>
      <c r="O52" s="460"/>
      <c r="P52" s="460"/>
    </row>
    <row r="53" spans="1:16" ht="19.5" customHeight="1" x14ac:dyDescent="0.3">
      <c r="A53" s="455"/>
      <c r="B53" s="445"/>
      <c r="C53" s="446"/>
      <c r="D53" s="446"/>
      <c r="E53" s="446"/>
      <c r="F53" s="446"/>
      <c r="G53" s="446"/>
      <c r="H53" s="448"/>
      <c r="I53" s="448"/>
      <c r="J53" s="382" t="s">
        <v>19</v>
      </c>
      <c r="K53" s="417"/>
      <c r="L53" s="13"/>
      <c r="M53" s="14"/>
      <c r="N53" s="15">
        <f t="shared" si="5"/>
        <v>0</v>
      </c>
      <c r="O53" s="460"/>
      <c r="P53" s="460"/>
    </row>
    <row r="54" spans="1:16" ht="19.5" customHeight="1" x14ac:dyDescent="0.3">
      <c r="A54" s="455"/>
      <c r="B54" s="445"/>
      <c r="C54" s="16"/>
      <c r="D54" s="17"/>
      <c r="E54" s="17"/>
      <c r="F54" s="18"/>
      <c r="G54" s="18"/>
      <c r="H54" s="448"/>
      <c r="I54" s="448"/>
      <c r="J54" s="382" t="s">
        <v>20</v>
      </c>
      <c r="K54" s="417"/>
      <c r="L54" s="13"/>
      <c r="M54" s="14"/>
      <c r="N54" s="15">
        <f t="shared" si="5"/>
        <v>0</v>
      </c>
      <c r="O54" s="460"/>
      <c r="P54" s="460"/>
    </row>
    <row r="55" spans="1:16" ht="19.5" customHeight="1" thickBot="1" x14ac:dyDescent="0.35">
      <c r="A55" s="456"/>
      <c r="B55" s="451"/>
      <c r="C55" s="453" t="s">
        <v>21</v>
      </c>
      <c r="D55" s="379"/>
      <c r="E55" s="379"/>
      <c r="F55" s="454"/>
      <c r="G55" s="19">
        <f>SUM(G48:G54)</f>
        <v>21600</v>
      </c>
      <c r="H55" s="449"/>
      <c r="I55" s="449"/>
      <c r="J55" s="378" t="s">
        <v>22</v>
      </c>
      <c r="K55" s="379"/>
      <c r="L55" s="379"/>
      <c r="M55" s="454"/>
      <c r="N55" s="20">
        <f>SUM(N48:N54)</f>
        <v>0</v>
      </c>
      <c r="O55" s="461"/>
      <c r="P55" s="461"/>
    </row>
    <row r="56" spans="1:16" ht="19.5" customHeight="1" x14ac:dyDescent="0.3">
      <c r="A56" s="462" t="s">
        <v>29</v>
      </c>
      <c r="B56" s="464">
        <v>44480</v>
      </c>
      <c r="C56" s="452" t="s">
        <v>14</v>
      </c>
      <c r="D56" s="452">
        <v>1760</v>
      </c>
      <c r="E56" s="452">
        <f>+D56/2</f>
        <v>880</v>
      </c>
      <c r="F56" s="444">
        <v>120</v>
      </c>
      <c r="G56" s="444">
        <f>+D56*F56</f>
        <v>211200</v>
      </c>
      <c r="H56" s="447" t="s">
        <v>27</v>
      </c>
      <c r="I56" s="447" t="s">
        <v>61</v>
      </c>
      <c r="J56" s="458" t="s">
        <v>16</v>
      </c>
      <c r="K56" s="10">
        <v>3</v>
      </c>
      <c r="L56" s="10"/>
      <c r="M56" s="11"/>
      <c r="N56" s="12">
        <f t="shared" ref="N56:N62" si="6">+L56*M56</f>
        <v>0</v>
      </c>
      <c r="O56" s="459"/>
      <c r="P56" s="459"/>
    </row>
    <row r="57" spans="1:16" ht="19.5" customHeight="1" x14ac:dyDescent="0.3">
      <c r="A57" s="455"/>
      <c r="B57" s="445"/>
      <c r="C57" s="445"/>
      <c r="D57" s="445"/>
      <c r="E57" s="445"/>
      <c r="F57" s="445"/>
      <c r="G57" s="445"/>
      <c r="H57" s="448"/>
      <c r="I57" s="448"/>
      <c r="J57" s="445"/>
      <c r="K57" s="13">
        <v>6</v>
      </c>
      <c r="L57" s="13"/>
      <c r="M57" s="14"/>
      <c r="N57" s="15">
        <f t="shared" si="6"/>
        <v>0</v>
      </c>
      <c r="O57" s="460"/>
      <c r="P57" s="460"/>
    </row>
    <row r="58" spans="1:16" ht="19.5" customHeight="1" x14ac:dyDescent="0.3">
      <c r="A58" s="455"/>
      <c r="B58" s="445"/>
      <c r="C58" s="445"/>
      <c r="D58" s="445"/>
      <c r="E58" s="445"/>
      <c r="F58" s="445"/>
      <c r="G58" s="445"/>
      <c r="H58" s="448"/>
      <c r="I58" s="448"/>
      <c r="J58" s="446"/>
      <c r="K58" s="13">
        <v>9</v>
      </c>
      <c r="L58" s="13"/>
      <c r="M58" s="14"/>
      <c r="N58" s="15">
        <f t="shared" si="6"/>
        <v>0</v>
      </c>
      <c r="O58" s="460"/>
      <c r="P58" s="460"/>
    </row>
    <row r="59" spans="1:16" ht="19.5" customHeight="1" x14ac:dyDescent="0.3">
      <c r="A59" s="455"/>
      <c r="B59" s="445"/>
      <c r="C59" s="445"/>
      <c r="D59" s="445"/>
      <c r="E59" s="445"/>
      <c r="F59" s="445"/>
      <c r="G59" s="445"/>
      <c r="H59" s="448"/>
      <c r="I59" s="448"/>
      <c r="J59" s="382" t="s">
        <v>17</v>
      </c>
      <c r="K59" s="417"/>
      <c r="L59" s="13"/>
      <c r="M59" s="14"/>
      <c r="N59" s="15">
        <f t="shared" si="6"/>
        <v>0</v>
      </c>
      <c r="O59" s="460"/>
      <c r="P59" s="460"/>
    </row>
    <row r="60" spans="1:16" ht="19.5" customHeight="1" x14ac:dyDescent="0.3">
      <c r="A60" s="455"/>
      <c r="B60" s="445"/>
      <c r="C60" s="445"/>
      <c r="D60" s="445"/>
      <c r="E60" s="445"/>
      <c r="F60" s="445"/>
      <c r="G60" s="445"/>
      <c r="H60" s="448"/>
      <c r="I60" s="448"/>
      <c r="J60" s="382" t="s">
        <v>18</v>
      </c>
      <c r="K60" s="417"/>
      <c r="L60" s="13"/>
      <c r="M60" s="14"/>
      <c r="N60" s="15">
        <f t="shared" si="6"/>
        <v>0</v>
      </c>
      <c r="O60" s="460"/>
      <c r="P60" s="460"/>
    </row>
    <row r="61" spans="1:16" ht="19.5" customHeight="1" x14ac:dyDescent="0.3">
      <c r="A61" s="455"/>
      <c r="B61" s="445"/>
      <c r="C61" s="446"/>
      <c r="D61" s="446"/>
      <c r="E61" s="446"/>
      <c r="F61" s="446"/>
      <c r="G61" s="446"/>
      <c r="H61" s="448"/>
      <c r="I61" s="448"/>
      <c r="J61" s="382" t="s">
        <v>19</v>
      </c>
      <c r="K61" s="417"/>
      <c r="L61" s="13"/>
      <c r="M61" s="14"/>
      <c r="N61" s="15">
        <f t="shared" si="6"/>
        <v>0</v>
      </c>
      <c r="O61" s="460"/>
      <c r="P61" s="460"/>
    </row>
    <row r="62" spans="1:16" ht="19.5" customHeight="1" x14ac:dyDescent="0.3">
      <c r="A62" s="455"/>
      <c r="B62" s="445"/>
      <c r="C62" s="16"/>
      <c r="D62" s="17"/>
      <c r="E62" s="17"/>
      <c r="F62" s="18"/>
      <c r="G62" s="18"/>
      <c r="H62" s="448"/>
      <c r="I62" s="448"/>
      <c r="J62" s="382" t="s">
        <v>20</v>
      </c>
      <c r="K62" s="417"/>
      <c r="L62" s="13"/>
      <c r="M62" s="14"/>
      <c r="N62" s="15">
        <f t="shared" si="6"/>
        <v>0</v>
      </c>
      <c r="O62" s="460"/>
      <c r="P62" s="460"/>
    </row>
    <row r="63" spans="1:16" ht="19.5" customHeight="1" thickBot="1" x14ac:dyDescent="0.35">
      <c r="A63" s="456"/>
      <c r="B63" s="451"/>
      <c r="C63" s="453" t="s">
        <v>21</v>
      </c>
      <c r="D63" s="379"/>
      <c r="E63" s="379"/>
      <c r="F63" s="454"/>
      <c r="G63" s="19">
        <f>SUM(G56:G62)</f>
        <v>211200</v>
      </c>
      <c r="H63" s="449"/>
      <c r="I63" s="449"/>
      <c r="J63" s="378" t="s">
        <v>22</v>
      </c>
      <c r="K63" s="379"/>
      <c r="L63" s="379"/>
      <c r="M63" s="454"/>
      <c r="N63" s="20">
        <f>SUM(N56:N62)</f>
        <v>0</v>
      </c>
      <c r="O63" s="461"/>
      <c r="P63" s="461"/>
    </row>
    <row r="64" spans="1:16" ht="19.5" customHeight="1" x14ac:dyDescent="0.3">
      <c r="A64" s="462" t="s">
        <v>30</v>
      </c>
      <c r="B64" s="464">
        <v>44490</v>
      </c>
      <c r="C64" s="452" t="s">
        <v>14</v>
      </c>
      <c r="D64" s="452">
        <v>1380</v>
      </c>
      <c r="E64" s="452">
        <f>+D64/2</f>
        <v>690</v>
      </c>
      <c r="F64" s="444">
        <v>120</v>
      </c>
      <c r="G64" s="444">
        <f>+D64*F64</f>
        <v>165600</v>
      </c>
      <c r="H64" s="447" t="s">
        <v>27</v>
      </c>
      <c r="I64" s="447" t="s">
        <v>61</v>
      </c>
      <c r="J64" s="458" t="s">
        <v>16</v>
      </c>
      <c r="K64" s="10">
        <v>3</v>
      </c>
      <c r="L64" s="10"/>
      <c r="M64" s="11"/>
      <c r="N64" s="12">
        <f t="shared" ref="N64:N70" si="7">+L64*M64</f>
        <v>0</v>
      </c>
      <c r="O64" s="459"/>
      <c r="P64" s="459"/>
    </row>
    <row r="65" spans="1:16" ht="19.5" customHeight="1" x14ac:dyDescent="0.3">
      <c r="A65" s="455"/>
      <c r="B65" s="445"/>
      <c r="C65" s="445"/>
      <c r="D65" s="445"/>
      <c r="E65" s="445"/>
      <c r="F65" s="445"/>
      <c r="G65" s="445"/>
      <c r="H65" s="448"/>
      <c r="I65" s="448"/>
      <c r="J65" s="445"/>
      <c r="K65" s="13">
        <v>6</v>
      </c>
      <c r="L65" s="13"/>
      <c r="M65" s="14"/>
      <c r="N65" s="15">
        <f t="shared" si="7"/>
        <v>0</v>
      </c>
      <c r="O65" s="460"/>
      <c r="P65" s="460"/>
    </row>
    <row r="66" spans="1:16" ht="19.5" customHeight="1" x14ac:dyDescent="0.3">
      <c r="A66" s="455"/>
      <c r="B66" s="445"/>
      <c r="C66" s="445"/>
      <c r="D66" s="445"/>
      <c r="E66" s="445"/>
      <c r="F66" s="445"/>
      <c r="G66" s="445"/>
      <c r="H66" s="448"/>
      <c r="I66" s="448"/>
      <c r="J66" s="446"/>
      <c r="K66" s="13">
        <v>9</v>
      </c>
      <c r="L66" s="13"/>
      <c r="M66" s="14"/>
      <c r="N66" s="15">
        <f t="shared" si="7"/>
        <v>0</v>
      </c>
      <c r="O66" s="460"/>
      <c r="P66" s="460"/>
    </row>
    <row r="67" spans="1:16" ht="19.5" customHeight="1" x14ac:dyDescent="0.3">
      <c r="A67" s="455"/>
      <c r="B67" s="445"/>
      <c r="C67" s="445"/>
      <c r="D67" s="445"/>
      <c r="E67" s="445"/>
      <c r="F67" s="445"/>
      <c r="G67" s="445"/>
      <c r="H67" s="448"/>
      <c r="I67" s="448"/>
      <c r="J67" s="382" t="s">
        <v>17</v>
      </c>
      <c r="K67" s="417"/>
      <c r="L67" s="13"/>
      <c r="M67" s="14"/>
      <c r="N67" s="15">
        <f t="shared" si="7"/>
        <v>0</v>
      </c>
      <c r="O67" s="460"/>
      <c r="P67" s="460"/>
    </row>
    <row r="68" spans="1:16" ht="19.5" customHeight="1" x14ac:dyDescent="0.3">
      <c r="A68" s="455"/>
      <c r="B68" s="445"/>
      <c r="C68" s="445"/>
      <c r="D68" s="445"/>
      <c r="E68" s="445"/>
      <c r="F68" s="445"/>
      <c r="G68" s="445"/>
      <c r="H68" s="448"/>
      <c r="I68" s="448"/>
      <c r="J68" s="382" t="s">
        <v>18</v>
      </c>
      <c r="K68" s="417"/>
      <c r="L68" s="13"/>
      <c r="M68" s="14"/>
      <c r="N68" s="15">
        <f t="shared" si="7"/>
        <v>0</v>
      </c>
      <c r="O68" s="460"/>
      <c r="P68" s="460"/>
    </row>
    <row r="69" spans="1:16" ht="19.5" customHeight="1" x14ac:dyDescent="0.3">
      <c r="A69" s="455"/>
      <c r="B69" s="445"/>
      <c r="C69" s="446"/>
      <c r="D69" s="446"/>
      <c r="E69" s="446"/>
      <c r="F69" s="446"/>
      <c r="G69" s="446"/>
      <c r="H69" s="448"/>
      <c r="I69" s="448"/>
      <c r="J69" s="382" t="s">
        <v>19</v>
      </c>
      <c r="K69" s="417"/>
      <c r="L69" s="13"/>
      <c r="M69" s="14"/>
      <c r="N69" s="15">
        <f t="shared" si="7"/>
        <v>0</v>
      </c>
      <c r="O69" s="460"/>
      <c r="P69" s="460"/>
    </row>
    <row r="70" spans="1:16" ht="19.5" customHeight="1" x14ac:dyDescent="0.3">
      <c r="A70" s="455"/>
      <c r="B70" s="445"/>
      <c r="C70" s="16"/>
      <c r="D70" s="17"/>
      <c r="E70" s="17"/>
      <c r="F70" s="18"/>
      <c r="G70" s="18"/>
      <c r="H70" s="448"/>
      <c r="I70" s="448"/>
      <c r="J70" s="382" t="s">
        <v>20</v>
      </c>
      <c r="K70" s="417"/>
      <c r="L70" s="13"/>
      <c r="M70" s="14"/>
      <c r="N70" s="15">
        <f t="shared" si="7"/>
        <v>0</v>
      </c>
      <c r="O70" s="460"/>
      <c r="P70" s="460"/>
    </row>
    <row r="71" spans="1:16" ht="19.5" customHeight="1" thickBot="1" x14ac:dyDescent="0.35">
      <c r="A71" s="456"/>
      <c r="B71" s="451"/>
      <c r="C71" s="453" t="s">
        <v>21</v>
      </c>
      <c r="D71" s="379"/>
      <c r="E71" s="379"/>
      <c r="F71" s="454"/>
      <c r="G71" s="19">
        <f>SUM(G64:G70)</f>
        <v>165600</v>
      </c>
      <c r="H71" s="449"/>
      <c r="I71" s="449"/>
      <c r="J71" s="378" t="s">
        <v>22</v>
      </c>
      <c r="K71" s="379"/>
      <c r="L71" s="379"/>
      <c r="M71" s="454"/>
      <c r="N71" s="20">
        <f>SUM(N64:N70)</f>
        <v>0</v>
      </c>
      <c r="O71" s="461"/>
      <c r="P71" s="461"/>
    </row>
    <row r="72" spans="1:16" ht="19.5" customHeight="1" x14ac:dyDescent="0.3">
      <c r="A72" s="462" t="s">
        <v>31</v>
      </c>
      <c r="B72" s="464">
        <v>44499</v>
      </c>
      <c r="C72" s="452" t="s">
        <v>14</v>
      </c>
      <c r="D72" s="452">
        <v>1010</v>
      </c>
      <c r="E72" s="452">
        <f>+D72/2</f>
        <v>505</v>
      </c>
      <c r="F72" s="444">
        <v>120</v>
      </c>
      <c r="G72" s="444">
        <f>+D72*F72</f>
        <v>121200</v>
      </c>
      <c r="H72" s="447" t="s">
        <v>27</v>
      </c>
      <c r="I72" s="447" t="s">
        <v>61</v>
      </c>
      <c r="J72" s="458" t="s">
        <v>16</v>
      </c>
      <c r="K72" s="10">
        <v>3</v>
      </c>
      <c r="L72" s="10"/>
      <c r="M72" s="11"/>
      <c r="N72" s="12">
        <f t="shared" ref="N72:N78" si="8">+L72*M72</f>
        <v>0</v>
      </c>
      <c r="O72" s="459"/>
      <c r="P72" s="459"/>
    </row>
    <row r="73" spans="1:16" ht="19.5" customHeight="1" x14ac:dyDescent="0.3">
      <c r="A73" s="455"/>
      <c r="B73" s="445"/>
      <c r="C73" s="445"/>
      <c r="D73" s="445"/>
      <c r="E73" s="445"/>
      <c r="F73" s="445"/>
      <c r="G73" s="445"/>
      <c r="H73" s="448"/>
      <c r="I73" s="448"/>
      <c r="J73" s="445"/>
      <c r="K73" s="13">
        <v>6</v>
      </c>
      <c r="L73" s="13"/>
      <c r="M73" s="14"/>
      <c r="N73" s="15">
        <f t="shared" si="8"/>
        <v>0</v>
      </c>
      <c r="O73" s="460"/>
      <c r="P73" s="460"/>
    </row>
    <row r="74" spans="1:16" ht="19.5" customHeight="1" x14ac:dyDescent="0.3">
      <c r="A74" s="455"/>
      <c r="B74" s="445"/>
      <c r="C74" s="445"/>
      <c r="D74" s="445"/>
      <c r="E74" s="445"/>
      <c r="F74" s="445"/>
      <c r="G74" s="445"/>
      <c r="H74" s="448"/>
      <c r="I74" s="448"/>
      <c r="J74" s="446"/>
      <c r="K74" s="13">
        <v>9</v>
      </c>
      <c r="L74" s="13"/>
      <c r="M74" s="14"/>
      <c r="N74" s="15">
        <f t="shared" si="8"/>
        <v>0</v>
      </c>
      <c r="O74" s="460"/>
      <c r="P74" s="460"/>
    </row>
    <row r="75" spans="1:16" ht="19.5" customHeight="1" x14ac:dyDescent="0.3">
      <c r="A75" s="455"/>
      <c r="B75" s="445"/>
      <c r="C75" s="445"/>
      <c r="D75" s="445"/>
      <c r="E75" s="445"/>
      <c r="F75" s="445"/>
      <c r="G75" s="445"/>
      <c r="H75" s="448"/>
      <c r="I75" s="448"/>
      <c r="J75" s="382" t="s">
        <v>17</v>
      </c>
      <c r="K75" s="417"/>
      <c r="L75" s="53"/>
      <c r="M75" s="14"/>
      <c r="N75" s="15">
        <f t="shared" si="8"/>
        <v>0</v>
      </c>
      <c r="O75" s="460"/>
      <c r="P75" s="460"/>
    </row>
    <row r="76" spans="1:16" ht="19.5" customHeight="1" x14ac:dyDescent="0.3">
      <c r="A76" s="455"/>
      <c r="B76" s="445"/>
      <c r="C76" s="445"/>
      <c r="D76" s="445"/>
      <c r="E76" s="445"/>
      <c r="F76" s="445"/>
      <c r="G76" s="445"/>
      <c r="H76" s="448"/>
      <c r="I76" s="448"/>
      <c r="J76" s="382" t="s">
        <v>18</v>
      </c>
      <c r="K76" s="417"/>
      <c r="L76" s="13"/>
      <c r="M76" s="14"/>
      <c r="N76" s="15">
        <f t="shared" si="8"/>
        <v>0</v>
      </c>
      <c r="O76" s="460"/>
      <c r="P76" s="460"/>
    </row>
    <row r="77" spans="1:16" ht="19.5" customHeight="1" x14ac:dyDescent="0.3">
      <c r="A77" s="455"/>
      <c r="B77" s="445"/>
      <c r="C77" s="446"/>
      <c r="D77" s="446"/>
      <c r="E77" s="446"/>
      <c r="F77" s="446"/>
      <c r="G77" s="446"/>
      <c r="H77" s="448"/>
      <c r="I77" s="448"/>
      <c r="J77" s="382" t="s">
        <v>19</v>
      </c>
      <c r="K77" s="417"/>
      <c r="L77" s="13"/>
      <c r="M77" s="14"/>
      <c r="N77" s="15">
        <f t="shared" si="8"/>
        <v>0</v>
      </c>
      <c r="O77" s="460"/>
      <c r="P77" s="460"/>
    </row>
    <row r="78" spans="1:16" ht="19.5" customHeight="1" x14ac:dyDescent="0.3">
      <c r="A78" s="455"/>
      <c r="B78" s="445"/>
      <c r="C78" s="16"/>
      <c r="D78" s="17"/>
      <c r="E78" s="17"/>
      <c r="F78" s="18"/>
      <c r="G78" s="18"/>
      <c r="H78" s="448"/>
      <c r="I78" s="448"/>
      <c r="J78" s="382" t="s">
        <v>20</v>
      </c>
      <c r="K78" s="417"/>
      <c r="L78" s="13"/>
      <c r="M78" s="14"/>
      <c r="N78" s="15">
        <f t="shared" si="8"/>
        <v>0</v>
      </c>
      <c r="O78" s="460"/>
      <c r="P78" s="460"/>
    </row>
    <row r="79" spans="1:16" ht="19.5" customHeight="1" thickBot="1" x14ac:dyDescent="0.35">
      <c r="A79" s="456"/>
      <c r="B79" s="451"/>
      <c r="C79" s="453" t="s">
        <v>21</v>
      </c>
      <c r="D79" s="379"/>
      <c r="E79" s="379"/>
      <c r="F79" s="454"/>
      <c r="G79" s="19">
        <f>SUM(G72:G78)</f>
        <v>121200</v>
      </c>
      <c r="H79" s="449"/>
      <c r="I79" s="449"/>
      <c r="J79" s="378" t="s">
        <v>22</v>
      </c>
      <c r="K79" s="379"/>
      <c r="L79" s="379"/>
      <c r="M79" s="454"/>
      <c r="N79" s="20">
        <f>SUM(N72:N78)</f>
        <v>0</v>
      </c>
      <c r="O79" s="461"/>
      <c r="P79" s="461"/>
    </row>
    <row r="80" spans="1:16" ht="19.5" customHeight="1" x14ac:dyDescent="0.3">
      <c r="A80" s="465" t="s">
        <v>32</v>
      </c>
      <c r="B80" s="463">
        <v>44519</v>
      </c>
      <c r="C80" s="452" t="s">
        <v>14</v>
      </c>
      <c r="D80" s="452">
        <v>1500</v>
      </c>
      <c r="E80" s="452">
        <f>+D80/2</f>
        <v>750</v>
      </c>
      <c r="F80" s="444">
        <v>120</v>
      </c>
      <c r="G80" s="444">
        <f>+D80*F80</f>
        <v>180000</v>
      </c>
      <c r="H80" s="444" t="s">
        <v>27</v>
      </c>
      <c r="I80" s="444"/>
      <c r="J80" s="458" t="s">
        <v>16</v>
      </c>
      <c r="K80" s="10">
        <v>3</v>
      </c>
      <c r="L80" s="10"/>
      <c r="M80" s="11"/>
      <c r="N80" s="12">
        <f t="shared" ref="N80:N86" si="9">+L80*M80</f>
        <v>0</v>
      </c>
      <c r="O80" s="459"/>
      <c r="P80" s="459"/>
    </row>
    <row r="81" spans="1:16" ht="19.5" customHeight="1" x14ac:dyDescent="0.3">
      <c r="A81" s="455"/>
      <c r="B81" s="445"/>
      <c r="C81" s="445"/>
      <c r="D81" s="445"/>
      <c r="E81" s="445"/>
      <c r="F81" s="445"/>
      <c r="G81" s="445"/>
      <c r="H81" s="445"/>
      <c r="I81" s="445"/>
      <c r="J81" s="445"/>
      <c r="K81" s="13">
        <v>6</v>
      </c>
      <c r="L81" s="13"/>
      <c r="M81" s="14"/>
      <c r="N81" s="15">
        <f t="shared" si="9"/>
        <v>0</v>
      </c>
      <c r="O81" s="460"/>
      <c r="P81" s="460"/>
    </row>
    <row r="82" spans="1:16" ht="19.5" customHeight="1" x14ac:dyDescent="0.3">
      <c r="A82" s="455"/>
      <c r="B82" s="445"/>
      <c r="C82" s="445"/>
      <c r="D82" s="445"/>
      <c r="E82" s="445"/>
      <c r="F82" s="445"/>
      <c r="G82" s="445"/>
      <c r="H82" s="445"/>
      <c r="I82" s="445"/>
      <c r="J82" s="446"/>
      <c r="K82" s="13">
        <v>9</v>
      </c>
      <c r="L82" s="13"/>
      <c r="M82" s="14"/>
      <c r="N82" s="15">
        <f t="shared" si="9"/>
        <v>0</v>
      </c>
      <c r="O82" s="460"/>
      <c r="P82" s="460"/>
    </row>
    <row r="83" spans="1:16" ht="19.5" customHeight="1" x14ac:dyDescent="0.3">
      <c r="A83" s="455"/>
      <c r="B83" s="445"/>
      <c r="C83" s="445"/>
      <c r="D83" s="445"/>
      <c r="E83" s="445"/>
      <c r="F83" s="445"/>
      <c r="G83" s="445"/>
      <c r="H83" s="445"/>
      <c r="I83" s="445"/>
      <c r="J83" s="382" t="s">
        <v>17</v>
      </c>
      <c r="K83" s="417"/>
      <c r="L83" s="13"/>
      <c r="M83" s="14"/>
      <c r="N83" s="15">
        <f t="shared" si="9"/>
        <v>0</v>
      </c>
      <c r="O83" s="460"/>
      <c r="P83" s="460"/>
    </row>
    <row r="84" spans="1:16" ht="19.5" customHeight="1" x14ac:dyDescent="0.3">
      <c r="A84" s="455"/>
      <c r="B84" s="445"/>
      <c r="C84" s="445"/>
      <c r="D84" s="445"/>
      <c r="E84" s="445"/>
      <c r="F84" s="445"/>
      <c r="G84" s="445"/>
      <c r="H84" s="445"/>
      <c r="I84" s="445"/>
      <c r="J84" s="382" t="s">
        <v>18</v>
      </c>
      <c r="K84" s="417"/>
      <c r="L84" s="13"/>
      <c r="M84" s="14"/>
      <c r="N84" s="15">
        <f t="shared" si="9"/>
        <v>0</v>
      </c>
      <c r="O84" s="460"/>
      <c r="P84" s="460"/>
    </row>
    <row r="85" spans="1:16" ht="19.5" customHeight="1" x14ac:dyDescent="0.3">
      <c r="A85" s="455"/>
      <c r="B85" s="445"/>
      <c r="C85" s="446"/>
      <c r="D85" s="446"/>
      <c r="E85" s="446"/>
      <c r="F85" s="446"/>
      <c r="G85" s="446"/>
      <c r="H85" s="445"/>
      <c r="I85" s="445"/>
      <c r="J85" s="382" t="s">
        <v>19</v>
      </c>
      <c r="K85" s="417"/>
      <c r="L85" s="13"/>
      <c r="M85" s="14"/>
      <c r="N85" s="15">
        <f t="shared" si="9"/>
        <v>0</v>
      </c>
      <c r="O85" s="460"/>
      <c r="P85" s="460"/>
    </row>
    <row r="86" spans="1:16" ht="19.5" customHeight="1" x14ac:dyDescent="0.3">
      <c r="A86" s="455"/>
      <c r="B86" s="445"/>
      <c r="C86" s="16"/>
      <c r="D86" s="17"/>
      <c r="E86" s="17"/>
      <c r="F86" s="18"/>
      <c r="G86" s="18"/>
      <c r="H86" s="445"/>
      <c r="I86" s="445"/>
      <c r="J86" s="382" t="s">
        <v>20</v>
      </c>
      <c r="K86" s="417"/>
      <c r="L86" s="13"/>
      <c r="M86" s="14"/>
      <c r="N86" s="15">
        <f t="shared" si="9"/>
        <v>0</v>
      </c>
      <c r="O86" s="460"/>
      <c r="P86" s="460"/>
    </row>
    <row r="87" spans="1:16" ht="19.5" customHeight="1" thickBot="1" x14ac:dyDescent="0.35">
      <c r="A87" s="456"/>
      <c r="B87" s="451"/>
      <c r="C87" s="453" t="s">
        <v>21</v>
      </c>
      <c r="D87" s="379"/>
      <c r="E87" s="379"/>
      <c r="F87" s="454"/>
      <c r="G87" s="19">
        <f>SUM(G80:G86)</f>
        <v>180000</v>
      </c>
      <c r="H87" s="451"/>
      <c r="I87" s="451"/>
      <c r="J87" s="378" t="s">
        <v>22</v>
      </c>
      <c r="K87" s="379"/>
      <c r="L87" s="379"/>
      <c r="M87" s="454"/>
      <c r="N87" s="20">
        <f>SUM(N80:N86)</f>
        <v>0</v>
      </c>
      <c r="O87" s="461"/>
      <c r="P87" s="461"/>
    </row>
    <row r="88" spans="1:16" ht="19.5" customHeight="1" x14ac:dyDescent="0.3">
      <c r="A88" s="465" t="s">
        <v>33</v>
      </c>
      <c r="B88" s="450">
        <v>44527</v>
      </c>
      <c r="C88" s="452" t="s">
        <v>14</v>
      </c>
      <c r="D88" s="452">
        <v>1600</v>
      </c>
      <c r="E88" s="452">
        <f>+D88/2</f>
        <v>800</v>
      </c>
      <c r="F88" s="444">
        <v>120</v>
      </c>
      <c r="G88" s="444">
        <f>+D88*F88</f>
        <v>192000</v>
      </c>
      <c r="H88" s="444" t="s">
        <v>27</v>
      </c>
      <c r="I88" s="444"/>
      <c r="J88" s="458" t="s">
        <v>16</v>
      </c>
      <c r="K88" s="10">
        <v>3</v>
      </c>
      <c r="L88" s="10"/>
      <c r="M88" s="11"/>
      <c r="N88" s="12">
        <f t="shared" ref="N88:N94" si="10">+L88*M88</f>
        <v>0</v>
      </c>
      <c r="O88" s="459"/>
      <c r="P88" s="459"/>
    </row>
    <row r="89" spans="1:16" ht="19.5" customHeight="1" x14ac:dyDescent="0.3">
      <c r="A89" s="455"/>
      <c r="B89" s="445"/>
      <c r="C89" s="445"/>
      <c r="D89" s="445"/>
      <c r="E89" s="445"/>
      <c r="F89" s="445"/>
      <c r="G89" s="445"/>
      <c r="H89" s="445"/>
      <c r="I89" s="445"/>
      <c r="J89" s="445"/>
      <c r="K89" s="13">
        <v>6</v>
      </c>
      <c r="L89" s="13"/>
      <c r="M89" s="14"/>
      <c r="N89" s="15">
        <f t="shared" si="10"/>
        <v>0</v>
      </c>
      <c r="O89" s="460"/>
      <c r="P89" s="460"/>
    </row>
    <row r="90" spans="1:16" ht="19.5" customHeight="1" x14ac:dyDescent="0.3">
      <c r="A90" s="455"/>
      <c r="B90" s="445"/>
      <c r="C90" s="445"/>
      <c r="D90" s="445"/>
      <c r="E90" s="445"/>
      <c r="F90" s="445"/>
      <c r="G90" s="445"/>
      <c r="H90" s="445"/>
      <c r="I90" s="445"/>
      <c r="J90" s="446"/>
      <c r="K90" s="13">
        <v>9</v>
      </c>
      <c r="L90" s="13"/>
      <c r="M90" s="14"/>
      <c r="N90" s="15">
        <f t="shared" si="10"/>
        <v>0</v>
      </c>
      <c r="O90" s="460"/>
      <c r="P90" s="460"/>
    </row>
    <row r="91" spans="1:16" ht="19.5" customHeight="1" x14ac:dyDescent="0.3">
      <c r="A91" s="455"/>
      <c r="B91" s="445"/>
      <c r="C91" s="445"/>
      <c r="D91" s="445"/>
      <c r="E91" s="445"/>
      <c r="F91" s="445"/>
      <c r="G91" s="445"/>
      <c r="H91" s="445"/>
      <c r="I91" s="445"/>
      <c r="J91" s="382" t="s">
        <v>17</v>
      </c>
      <c r="K91" s="417"/>
      <c r="L91" s="13"/>
      <c r="M91" s="14"/>
      <c r="N91" s="15">
        <f t="shared" si="10"/>
        <v>0</v>
      </c>
      <c r="O91" s="460"/>
      <c r="P91" s="460"/>
    </row>
    <row r="92" spans="1:16" ht="19.5" customHeight="1" x14ac:dyDescent="0.3">
      <c r="A92" s="455"/>
      <c r="B92" s="445"/>
      <c r="C92" s="445"/>
      <c r="D92" s="445"/>
      <c r="E92" s="445"/>
      <c r="F92" s="445"/>
      <c r="G92" s="445"/>
      <c r="H92" s="445"/>
      <c r="I92" s="445"/>
      <c r="J92" s="382" t="s">
        <v>18</v>
      </c>
      <c r="K92" s="417"/>
      <c r="L92" s="13"/>
      <c r="M92" s="14"/>
      <c r="N92" s="15">
        <f t="shared" si="10"/>
        <v>0</v>
      </c>
      <c r="O92" s="460"/>
      <c r="P92" s="460"/>
    </row>
    <row r="93" spans="1:16" ht="19.5" customHeight="1" x14ac:dyDescent="0.3">
      <c r="A93" s="455"/>
      <c r="B93" s="445"/>
      <c r="C93" s="446"/>
      <c r="D93" s="446"/>
      <c r="E93" s="446"/>
      <c r="F93" s="446"/>
      <c r="G93" s="446"/>
      <c r="H93" s="445"/>
      <c r="I93" s="445"/>
      <c r="J93" s="382" t="s">
        <v>19</v>
      </c>
      <c r="K93" s="417"/>
      <c r="L93" s="13"/>
      <c r="M93" s="14"/>
      <c r="N93" s="15">
        <f t="shared" si="10"/>
        <v>0</v>
      </c>
      <c r="O93" s="460"/>
      <c r="P93" s="460"/>
    </row>
    <row r="94" spans="1:16" ht="19.5" customHeight="1" x14ac:dyDescent="0.3">
      <c r="A94" s="455"/>
      <c r="B94" s="445"/>
      <c r="C94" s="16"/>
      <c r="D94" s="17"/>
      <c r="E94" s="17"/>
      <c r="F94" s="18"/>
      <c r="G94" s="18"/>
      <c r="H94" s="445"/>
      <c r="I94" s="445"/>
      <c r="J94" s="382" t="s">
        <v>20</v>
      </c>
      <c r="K94" s="417"/>
      <c r="L94" s="13"/>
      <c r="M94" s="14"/>
      <c r="N94" s="15">
        <f t="shared" si="10"/>
        <v>0</v>
      </c>
      <c r="O94" s="460"/>
      <c r="P94" s="460"/>
    </row>
    <row r="95" spans="1:16" ht="19.5" customHeight="1" thickBot="1" x14ac:dyDescent="0.35">
      <c r="A95" s="456"/>
      <c r="B95" s="451"/>
      <c r="C95" s="453" t="s">
        <v>21</v>
      </c>
      <c r="D95" s="379"/>
      <c r="E95" s="379"/>
      <c r="F95" s="454"/>
      <c r="G95" s="19">
        <f>SUM(G88:G94)</f>
        <v>192000</v>
      </c>
      <c r="H95" s="451"/>
      <c r="I95" s="451"/>
      <c r="J95" s="378" t="s">
        <v>22</v>
      </c>
      <c r="K95" s="379"/>
      <c r="L95" s="379"/>
      <c r="M95" s="454"/>
      <c r="N95" s="20">
        <f>SUM(N88:N94)</f>
        <v>0</v>
      </c>
      <c r="O95" s="461"/>
      <c r="P95" s="461"/>
    </row>
    <row r="96" spans="1:16" ht="19.5" customHeight="1" x14ac:dyDescent="0.3">
      <c r="A96" s="465" t="s">
        <v>34</v>
      </c>
      <c r="B96" s="450">
        <v>44542</v>
      </c>
      <c r="C96" s="452" t="s">
        <v>14</v>
      </c>
      <c r="D96" s="452">
        <v>1600</v>
      </c>
      <c r="E96" s="452">
        <f>+D96/2</f>
        <v>800</v>
      </c>
      <c r="F96" s="444">
        <v>120</v>
      </c>
      <c r="G96" s="444">
        <f>+D96*F96</f>
        <v>192000</v>
      </c>
      <c r="H96" s="444" t="s">
        <v>27</v>
      </c>
      <c r="I96" s="444">
        <f>+G103+G95+G87</f>
        <v>564000</v>
      </c>
      <c r="J96" s="458" t="s">
        <v>16</v>
      </c>
      <c r="K96" s="10">
        <v>3</v>
      </c>
      <c r="L96" s="10"/>
      <c r="M96" s="11"/>
      <c r="N96" s="12">
        <f t="shared" ref="N96:N102" si="11">+L96*M96</f>
        <v>0</v>
      </c>
      <c r="O96" s="459"/>
      <c r="P96" s="459"/>
    </row>
    <row r="97" spans="1:16" ht="19.5" customHeight="1" x14ac:dyDescent="0.3">
      <c r="A97" s="455"/>
      <c r="B97" s="445"/>
      <c r="C97" s="445"/>
      <c r="D97" s="445"/>
      <c r="E97" s="445"/>
      <c r="F97" s="445"/>
      <c r="G97" s="445"/>
      <c r="H97" s="445"/>
      <c r="I97" s="445"/>
      <c r="J97" s="445"/>
      <c r="K97" s="13">
        <v>6</v>
      </c>
      <c r="L97" s="13"/>
      <c r="M97" s="14"/>
      <c r="N97" s="15">
        <f t="shared" si="11"/>
        <v>0</v>
      </c>
      <c r="O97" s="460"/>
      <c r="P97" s="460"/>
    </row>
    <row r="98" spans="1:16" ht="19.5" customHeight="1" x14ac:dyDescent="0.3">
      <c r="A98" s="455"/>
      <c r="B98" s="445"/>
      <c r="C98" s="445"/>
      <c r="D98" s="445"/>
      <c r="E98" s="445"/>
      <c r="F98" s="445"/>
      <c r="G98" s="445"/>
      <c r="H98" s="445"/>
      <c r="I98" s="445"/>
      <c r="J98" s="446"/>
      <c r="K98" s="13">
        <v>9</v>
      </c>
      <c r="L98" s="13"/>
      <c r="M98" s="14"/>
      <c r="N98" s="15">
        <f t="shared" si="11"/>
        <v>0</v>
      </c>
      <c r="O98" s="460"/>
      <c r="P98" s="460"/>
    </row>
    <row r="99" spans="1:16" ht="19.5" customHeight="1" x14ac:dyDescent="0.3">
      <c r="A99" s="455"/>
      <c r="B99" s="445"/>
      <c r="C99" s="445"/>
      <c r="D99" s="445"/>
      <c r="E99" s="445"/>
      <c r="F99" s="445"/>
      <c r="G99" s="445"/>
      <c r="H99" s="445"/>
      <c r="I99" s="445"/>
      <c r="J99" s="382" t="s">
        <v>17</v>
      </c>
      <c r="K99" s="417"/>
      <c r="L99" s="13"/>
      <c r="M99" s="14"/>
      <c r="N99" s="15">
        <f t="shared" si="11"/>
        <v>0</v>
      </c>
      <c r="O99" s="460"/>
      <c r="P99" s="460"/>
    </row>
    <row r="100" spans="1:16" ht="19.5" customHeight="1" x14ac:dyDescent="0.3">
      <c r="A100" s="455"/>
      <c r="B100" s="445"/>
      <c r="C100" s="445"/>
      <c r="D100" s="445"/>
      <c r="E100" s="445"/>
      <c r="F100" s="445"/>
      <c r="G100" s="445"/>
      <c r="H100" s="445"/>
      <c r="I100" s="445"/>
      <c r="J100" s="382" t="s">
        <v>18</v>
      </c>
      <c r="K100" s="417"/>
      <c r="L100" s="13"/>
      <c r="M100" s="14"/>
      <c r="N100" s="15">
        <f t="shared" si="11"/>
        <v>0</v>
      </c>
      <c r="O100" s="460"/>
      <c r="P100" s="460"/>
    </row>
    <row r="101" spans="1:16" ht="19.5" customHeight="1" x14ac:dyDescent="0.3">
      <c r="A101" s="455"/>
      <c r="B101" s="445"/>
      <c r="C101" s="446"/>
      <c r="D101" s="446"/>
      <c r="E101" s="446"/>
      <c r="F101" s="446"/>
      <c r="G101" s="446"/>
      <c r="H101" s="445"/>
      <c r="I101" s="445"/>
      <c r="J101" s="382" t="s">
        <v>19</v>
      </c>
      <c r="K101" s="417"/>
      <c r="L101" s="13"/>
      <c r="M101" s="14"/>
      <c r="N101" s="15">
        <f t="shared" si="11"/>
        <v>0</v>
      </c>
      <c r="O101" s="460"/>
      <c r="P101" s="460"/>
    </row>
    <row r="102" spans="1:16" ht="19.5" customHeight="1" x14ac:dyDescent="0.3">
      <c r="A102" s="455"/>
      <c r="B102" s="445"/>
      <c r="C102" s="16"/>
      <c r="D102" s="17"/>
      <c r="E102" s="17"/>
      <c r="F102" s="18"/>
      <c r="G102" s="18"/>
      <c r="H102" s="445"/>
      <c r="I102" s="445"/>
      <c r="J102" s="382" t="s">
        <v>20</v>
      </c>
      <c r="K102" s="417"/>
      <c r="L102" s="13"/>
      <c r="M102" s="14"/>
      <c r="N102" s="15">
        <f t="shared" si="11"/>
        <v>0</v>
      </c>
      <c r="O102" s="460"/>
      <c r="P102" s="460"/>
    </row>
    <row r="103" spans="1:16" ht="19.5" customHeight="1" thickBot="1" x14ac:dyDescent="0.35">
      <c r="A103" s="456"/>
      <c r="B103" s="451"/>
      <c r="C103" s="453" t="s">
        <v>21</v>
      </c>
      <c r="D103" s="379"/>
      <c r="E103" s="379"/>
      <c r="F103" s="454"/>
      <c r="G103" s="19">
        <f>SUM(G96:G102)</f>
        <v>192000</v>
      </c>
      <c r="H103" s="451"/>
      <c r="I103" s="451"/>
      <c r="J103" s="378" t="s">
        <v>22</v>
      </c>
      <c r="K103" s="379"/>
      <c r="L103" s="379"/>
      <c r="M103" s="454"/>
      <c r="N103" s="20">
        <f>SUM(N96:N102)</f>
        <v>0</v>
      </c>
      <c r="O103" s="461"/>
      <c r="P103" s="461"/>
    </row>
    <row r="104" spans="1:16" ht="26.25" customHeight="1" x14ac:dyDescent="0.3">
      <c r="A104" s="21"/>
      <c r="B104" s="22"/>
      <c r="C104" s="496" t="s">
        <v>35</v>
      </c>
      <c r="D104" s="482"/>
      <c r="E104" s="482"/>
      <c r="F104" s="483"/>
      <c r="G104" s="23"/>
      <c r="H104" s="24"/>
      <c r="I104" s="25"/>
      <c r="J104" s="481" t="s">
        <v>36</v>
      </c>
      <c r="K104" s="482"/>
      <c r="L104" s="482"/>
      <c r="M104" s="483"/>
      <c r="N104" s="23"/>
      <c r="O104" s="26"/>
      <c r="P104" s="27"/>
    </row>
    <row r="105" spans="1:16" ht="15" customHeight="1" thickBot="1" x14ac:dyDescent="0.35">
      <c r="A105" s="28"/>
      <c r="B105" s="29"/>
      <c r="C105" s="30"/>
      <c r="D105" s="31"/>
      <c r="E105" s="31"/>
      <c r="F105" s="32"/>
      <c r="G105" s="33"/>
      <c r="H105" s="34"/>
      <c r="I105" s="34"/>
      <c r="J105" s="35"/>
      <c r="K105" s="36"/>
      <c r="L105" s="36"/>
      <c r="M105" s="37"/>
      <c r="N105" s="38"/>
      <c r="O105" s="39"/>
      <c r="P105" s="39"/>
    </row>
    <row r="106" spans="1:16" ht="19.5" customHeight="1" x14ac:dyDescent="0.3">
      <c r="A106" s="494" t="s">
        <v>37</v>
      </c>
      <c r="B106" s="472">
        <v>44593</v>
      </c>
      <c r="C106" s="452" t="s">
        <v>14</v>
      </c>
      <c r="D106" s="452">
        <v>1410</v>
      </c>
      <c r="E106" s="452">
        <f>+D106/2</f>
        <v>705</v>
      </c>
      <c r="F106" s="444">
        <v>150</v>
      </c>
      <c r="G106" s="444">
        <f>+D106*F106</f>
        <v>211500</v>
      </c>
      <c r="H106" s="447" t="s">
        <v>27</v>
      </c>
      <c r="I106" s="447" t="s">
        <v>61</v>
      </c>
      <c r="J106" s="458" t="s">
        <v>16</v>
      </c>
      <c r="K106" s="10">
        <v>3</v>
      </c>
      <c r="L106" s="10">
        <v>0</v>
      </c>
      <c r="M106" s="11">
        <v>12500</v>
      </c>
      <c r="N106" s="12">
        <f t="shared" ref="N106:N112" si="12">+L106*M106</f>
        <v>0</v>
      </c>
      <c r="O106" s="459" t="s">
        <v>27</v>
      </c>
      <c r="P106" s="459"/>
    </row>
    <row r="107" spans="1:16" ht="19.5" customHeight="1" x14ac:dyDescent="0.3">
      <c r="A107" s="476"/>
      <c r="B107" s="473"/>
      <c r="C107" s="445"/>
      <c r="D107" s="445"/>
      <c r="E107" s="445"/>
      <c r="F107" s="445"/>
      <c r="G107" s="445"/>
      <c r="H107" s="448"/>
      <c r="I107" s="448"/>
      <c r="J107" s="445"/>
      <c r="K107" s="13">
        <v>6</v>
      </c>
      <c r="L107" s="13">
        <v>0</v>
      </c>
      <c r="M107" s="14">
        <v>15000</v>
      </c>
      <c r="N107" s="15">
        <f t="shared" si="12"/>
        <v>0</v>
      </c>
      <c r="O107" s="460"/>
      <c r="P107" s="460"/>
    </row>
    <row r="108" spans="1:16" ht="19.5" customHeight="1" x14ac:dyDescent="0.3">
      <c r="A108" s="476"/>
      <c r="B108" s="473"/>
      <c r="C108" s="445"/>
      <c r="D108" s="445"/>
      <c r="E108" s="445"/>
      <c r="F108" s="445"/>
      <c r="G108" s="445"/>
      <c r="H108" s="448"/>
      <c r="I108" s="448"/>
      <c r="J108" s="446"/>
      <c r="K108" s="13">
        <v>9</v>
      </c>
      <c r="L108" s="13">
        <v>0</v>
      </c>
      <c r="M108" s="14">
        <v>17500</v>
      </c>
      <c r="N108" s="15">
        <f t="shared" si="12"/>
        <v>0</v>
      </c>
      <c r="O108" s="460"/>
      <c r="P108" s="460"/>
    </row>
    <row r="109" spans="1:16" ht="19.5" customHeight="1" x14ac:dyDescent="0.3">
      <c r="A109" s="476"/>
      <c r="B109" s="473"/>
      <c r="C109" s="445"/>
      <c r="D109" s="445"/>
      <c r="E109" s="445"/>
      <c r="F109" s="445"/>
      <c r="G109" s="445"/>
      <c r="H109" s="448"/>
      <c r="I109" s="448"/>
      <c r="J109" s="382" t="s">
        <v>17</v>
      </c>
      <c r="K109" s="417"/>
      <c r="L109" s="13">
        <v>50</v>
      </c>
      <c r="M109" s="14">
        <v>4500</v>
      </c>
      <c r="N109" s="15">
        <f t="shared" si="12"/>
        <v>225000</v>
      </c>
      <c r="O109" s="460"/>
      <c r="P109" s="460"/>
    </row>
    <row r="110" spans="1:16" ht="19.5" customHeight="1" x14ac:dyDescent="0.3">
      <c r="A110" s="476"/>
      <c r="B110" s="473"/>
      <c r="C110" s="445"/>
      <c r="D110" s="445"/>
      <c r="E110" s="445"/>
      <c r="F110" s="445"/>
      <c r="G110" s="445"/>
      <c r="H110" s="448"/>
      <c r="I110" s="448"/>
      <c r="J110" s="382" t="s">
        <v>18</v>
      </c>
      <c r="K110" s="417"/>
      <c r="L110" s="13">
        <v>0</v>
      </c>
      <c r="M110" s="14">
        <v>1250</v>
      </c>
      <c r="N110" s="15">
        <f t="shared" si="12"/>
        <v>0</v>
      </c>
      <c r="O110" s="460"/>
      <c r="P110" s="460"/>
    </row>
    <row r="111" spans="1:16" ht="19.5" customHeight="1" x14ac:dyDescent="0.3">
      <c r="A111" s="476"/>
      <c r="B111" s="473"/>
      <c r="C111" s="446"/>
      <c r="D111" s="446"/>
      <c r="E111" s="446"/>
      <c r="F111" s="446"/>
      <c r="G111" s="446"/>
      <c r="H111" s="448"/>
      <c r="I111" s="448"/>
      <c r="J111" s="382" t="s">
        <v>19</v>
      </c>
      <c r="K111" s="417"/>
      <c r="L111" s="13">
        <v>0</v>
      </c>
      <c r="M111" s="14">
        <v>40000</v>
      </c>
      <c r="N111" s="15">
        <f t="shared" si="12"/>
        <v>0</v>
      </c>
      <c r="O111" s="460"/>
      <c r="P111" s="460"/>
    </row>
    <row r="112" spans="1:16" ht="19.5" customHeight="1" x14ac:dyDescent="0.3">
      <c r="A112" s="476"/>
      <c r="B112" s="473"/>
      <c r="C112" s="16"/>
      <c r="D112" s="17"/>
      <c r="E112" s="17"/>
      <c r="F112" s="18"/>
      <c r="G112" s="18"/>
      <c r="H112" s="448"/>
      <c r="I112" s="448"/>
      <c r="J112" s="382" t="s">
        <v>20</v>
      </c>
      <c r="K112" s="417"/>
      <c r="L112" s="13">
        <v>0</v>
      </c>
      <c r="M112" s="14">
        <v>0</v>
      </c>
      <c r="N112" s="15">
        <f t="shared" si="12"/>
        <v>0</v>
      </c>
      <c r="O112" s="460"/>
      <c r="P112" s="460"/>
    </row>
    <row r="113" spans="1:16" ht="19.5" customHeight="1" thickBot="1" x14ac:dyDescent="0.35">
      <c r="A113" s="477"/>
      <c r="B113" s="474"/>
      <c r="C113" s="453" t="s">
        <v>21</v>
      </c>
      <c r="D113" s="379"/>
      <c r="E113" s="379"/>
      <c r="F113" s="454"/>
      <c r="G113" s="19">
        <f>SUM(G106:G112)</f>
        <v>211500</v>
      </c>
      <c r="H113" s="449"/>
      <c r="I113" s="449"/>
      <c r="J113" s="378" t="s">
        <v>22</v>
      </c>
      <c r="K113" s="379"/>
      <c r="L113" s="379"/>
      <c r="M113" s="454"/>
      <c r="N113" s="20">
        <f>SUM(N106:N112)</f>
        <v>225000</v>
      </c>
      <c r="O113" s="461"/>
      <c r="P113" s="461"/>
    </row>
    <row r="114" spans="1:16" ht="19.5" customHeight="1" x14ac:dyDescent="0.3">
      <c r="A114" s="523" t="s">
        <v>38</v>
      </c>
      <c r="B114" s="466">
        <v>44599</v>
      </c>
      <c r="C114" s="469" t="s">
        <v>14</v>
      </c>
      <c r="D114" s="469">
        <v>2400</v>
      </c>
      <c r="E114" s="469">
        <f>+D114/2</f>
        <v>1200</v>
      </c>
      <c r="F114" s="471">
        <v>150</v>
      </c>
      <c r="G114" s="471">
        <f>+D114*F114</f>
        <v>360000</v>
      </c>
      <c r="H114" s="478" t="s">
        <v>65</v>
      </c>
      <c r="I114" s="471"/>
      <c r="J114" s="458" t="s">
        <v>16</v>
      </c>
      <c r="K114" s="10">
        <v>3</v>
      </c>
      <c r="L114" s="10">
        <v>0</v>
      </c>
      <c r="M114" s="11">
        <v>12500</v>
      </c>
      <c r="N114" s="12">
        <f t="shared" ref="N114:N119" si="13">+L114*M114</f>
        <v>0</v>
      </c>
      <c r="O114" s="459" t="s">
        <v>27</v>
      </c>
      <c r="P114" s="459"/>
    </row>
    <row r="115" spans="1:16" ht="19.5" customHeight="1" x14ac:dyDescent="0.3">
      <c r="A115" s="524"/>
      <c r="B115" s="467"/>
      <c r="C115" s="467"/>
      <c r="D115" s="467"/>
      <c r="E115" s="467"/>
      <c r="F115" s="467"/>
      <c r="G115" s="467"/>
      <c r="H115" s="479"/>
      <c r="I115" s="467"/>
      <c r="J115" s="445"/>
      <c r="K115" s="13">
        <v>6</v>
      </c>
      <c r="L115" s="13">
        <v>0</v>
      </c>
      <c r="M115" s="14">
        <v>15000</v>
      </c>
      <c r="N115" s="15">
        <f t="shared" si="13"/>
        <v>0</v>
      </c>
      <c r="O115" s="460"/>
      <c r="P115" s="460"/>
    </row>
    <row r="116" spans="1:16" ht="19.5" customHeight="1" x14ac:dyDescent="0.3">
      <c r="A116" s="524"/>
      <c r="B116" s="467"/>
      <c r="C116" s="467"/>
      <c r="D116" s="467"/>
      <c r="E116" s="467"/>
      <c r="F116" s="467"/>
      <c r="G116" s="467"/>
      <c r="H116" s="479"/>
      <c r="I116" s="467"/>
      <c r="J116" s="446"/>
      <c r="K116" s="13">
        <v>9</v>
      </c>
      <c r="L116" s="13">
        <v>0</v>
      </c>
      <c r="M116" s="14">
        <v>17500</v>
      </c>
      <c r="N116" s="15">
        <f t="shared" si="13"/>
        <v>0</v>
      </c>
      <c r="O116" s="460"/>
      <c r="P116" s="460"/>
    </row>
    <row r="117" spans="1:16" ht="19.5" customHeight="1" x14ac:dyDescent="0.3">
      <c r="A117" s="524"/>
      <c r="B117" s="467"/>
      <c r="C117" s="467"/>
      <c r="D117" s="467"/>
      <c r="E117" s="467"/>
      <c r="F117" s="467"/>
      <c r="G117" s="467"/>
      <c r="H117" s="479"/>
      <c r="I117" s="467"/>
      <c r="J117" s="382" t="s">
        <v>17</v>
      </c>
      <c r="K117" s="417"/>
      <c r="L117" s="13">
        <v>16</v>
      </c>
      <c r="M117" s="14">
        <v>4500</v>
      </c>
      <c r="N117" s="15">
        <f t="shared" si="13"/>
        <v>72000</v>
      </c>
      <c r="O117" s="460"/>
      <c r="P117" s="460"/>
    </row>
    <row r="118" spans="1:16" ht="19.5" customHeight="1" x14ac:dyDescent="0.3">
      <c r="A118" s="524"/>
      <c r="B118" s="467"/>
      <c r="C118" s="467"/>
      <c r="D118" s="467"/>
      <c r="E118" s="467"/>
      <c r="F118" s="467"/>
      <c r="G118" s="467"/>
      <c r="H118" s="479"/>
      <c r="I118" s="467"/>
      <c r="J118" s="382" t="s">
        <v>18</v>
      </c>
      <c r="K118" s="417"/>
      <c r="L118" s="13">
        <v>208</v>
      </c>
      <c r="M118" s="14">
        <v>1250</v>
      </c>
      <c r="N118" s="15">
        <f t="shared" si="13"/>
        <v>260000</v>
      </c>
      <c r="O118" s="460"/>
      <c r="P118" s="460"/>
    </row>
    <row r="119" spans="1:16" ht="19.5" customHeight="1" x14ac:dyDescent="0.3">
      <c r="A119" s="524"/>
      <c r="B119" s="467"/>
      <c r="C119" s="470"/>
      <c r="D119" s="470"/>
      <c r="E119" s="470"/>
      <c r="F119" s="470"/>
      <c r="G119" s="470"/>
      <c r="H119" s="479"/>
      <c r="I119" s="467"/>
      <c r="J119" s="382" t="s">
        <v>19</v>
      </c>
      <c r="K119" s="417"/>
      <c r="L119" s="13">
        <v>0</v>
      </c>
      <c r="M119" s="14">
        <v>40000</v>
      </c>
      <c r="N119" s="15">
        <f t="shared" si="13"/>
        <v>0</v>
      </c>
      <c r="O119" s="460"/>
      <c r="P119" s="460"/>
    </row>
    <row r="120" spans="1:16" ht="19.5" customHeight="1" x14ac:dyDescent="0.3">
      <c r="A120" s="524"/>
      <c r="B120" s="467"/>
      <c r="C120" s="61"/>
      <c r="D120" s="62"/>
      <c r="E120" s="62"/>
      <c r="F120" s="63"/>
      <c r="G120" s="63"/>
      <c r="H120" s="479"/>
      <c r="I120" s="467"/>
      <c r="J120" s="382" t="s">
        <v>20</v>
      </c>
      <c r="K120" s="417"/>
      <c r="L120" s="13" t="s">
        <v>39</v>
      </c>
      <c r="M120" s="14"/>
      <c r="N120" s="15">
        <v>100000</v>
      </c>
      <c r="O120" s="460"/>
      <c r="P120" s="460"/>
    </row>
    <row r="121" spans="1:16" ht="19.5" customHeight="1" thickBot="1" x14ac:dyDescent="0.35">
      <c r="A121" s="525"/>
      <c r="B121" s="468"/>
      <c r="C121" s="453" t="s">
        <v>21</v>
      </c>
      <c r="D121" s="379"/>
      <c r="E121" s="379"/>
      <c r="F121" s="454"/>
      <c r="G121" s="19">
        <f>SUM(G114:G120)</f>
        <v>360000</v>
      </c>
      <c r="H121" s="480"/>
      <c r="I121" s="468"/>
      <c r="J121" s="378" t="s">
        <v>22</v>
      </c>
      <c r="K121" s="379"/>
      <c r="L121" s="379"/>
      <c r="M121" s="454"/>
      <c r="N121" s="20">
        <f>SUM(N114:N120)</f>
        <v>432000</v>
      </c>
      <c r="O121" s="461"/>
      <c r="P121" s="461"/>
    </row>
    <row r="122" spans="1:16" ht="19.5" customHeight="1" x14ac:dyDescent="0.3">
      <c r="A122" s="465" t="s">
        <v>40</v>
      </c>
      <c r="B122" s="450">
        <v>44609</v>
      </c>
      <c r="C122" s="452" t="s">
        <v>14</v>
      </c>
      <c r="D122" s="452">
        <v>1200</v>
      </c>
      <c r="E122" s="452">
        <f>+D122/2</f>
        <v>600</v>
      </c>
      <c r="F122" s="444">
        <v>150</v>
      </c>
      <c r="G122" s="444">
        <f>+D122*F122</f>
        <v>180000</v>
      </c>
      <c r="H122" s="444" t="s">
        <v>27</v>
      </c>
      <c r="I122" s="444"/>
      <c r="J122" s="458" t="s">
        <v>16</v>
      </c>
      <c r="K122" s="10">
        <v>3</v>
      </c>
      <c r="L122" s="10">
        <v>2</v>
      </c>
      <c r="M122" s="11">
        <v>12500</v>
      </c>
      <c r="N122" s="12">
        <f t="shared" ref="N122:N128" si="14">+L122*M122</f>
        <v>25000</v>
      </c>
      <c r="O122" s="459" t="s">
        <v>27</v>
      </c>
      <c r="P122" s="459"/>
    </row>
    <row r="123" spans="1:16" ht="19.5" customHeight="1" x14ac:dyDescent="0.3">
      <c r="A123" s="455"/>
      <c r="B123" s="445"/>
      <c r="C123" s="445"/>
      <c r="D123" s="445"/>
      <c r="E123" s="445"/>
      <c r="F123" s="445"/>
      <c r="G123" s="445"/>
      <c r="H123" s="445"/>
      <c r="I123" s="445"/>
      <c r="J123" s="445"/>
      <c r="K123" s="13">
        <v>6</v>
      </c>
      <c r="L123" s="13">
        <v>0</v>
      </c>
      <c r="M123" s="14">
        <v>15000</v>
      </c>
      <c r="N123" s="15">
        <f t="shared" si="14"/>
        <v>0</v>
      </c>
      <c r="O123" s="460"/>
      <c r="P123" s="460"/>
    </row>
    <row r="124" spans="1:16" ht="19.5" customHeight="1" x14ac:dyDescent="0.3">
      <c r="A124" s="455"/>
      <c r="B124" s="445"/>
      <c r="C124" s="445"/>
      <c r="D124" s="445"/>
      <c r="E124" s="445"/>
      <c r="F124" s="445"/>
      <c r="G124" s="445"/>
      <c r="H124" s="445"/>
      <c r="I124" s="445"/>
      <c r="J124" s="446"/>
      <c r="K124" s="13">
        <v>9</v>
      </c>
      <c r="L124" s="13">
        <v>2</v>
      </c>
      <c r="M124" s="14">
        <v>17500</v>
      </c>
      <c r="N124" s="15">
        <f t="shared" si="14"/>
        <v>35000</v>
      </c>
      <c r="O124" s="460"/>
      <c r="P124" s="460"/>
    </row>
    <row r="125" spans="1:16" ht="19.5" customHeight="1" x14ac:dyDescent="0.3">
      <c r="A125" s="455"/>
      <c r="B125" s="445"/>
      <c r="C125" s="445"/>
      <c r="D125" s="445"/>
      <c r="E125" s="445"/>
      <c r="F125" s="445"/>
      <c r="G125" s="445"/>
      <c r="H125" s="445"/>
      <c r="I125" s="445"/>
      <c r="J125" s="382" t="s">
        <v>17</v>
      </c>
      <c r="K125" s="417"/>
      <c r="L125" s="13">
        <v>14</v>
      </c>
      <c r="M125" s="14">
        <v>4500</v>
      </c>
      <c r="N125" s="15">
        <f t="shared" si="14"/>
        <v>63000</v>
      </c>
      <c r="O125" s="460"/>
      <c r="P125" s="460"/>
    </row>
    <row r="126" spans="1:16" ht="19.5" customHeight="1" x14ac:dyDescent="0.3">
      <c r="A126" s="455"/>
      <c r="B126" s="445"/>
      <c r="C126" s="445"/>
      <c r="D126" s="445"/>
      <c r="E126" s="445"/>
      <c r="F126" s="445"/>
      <c r="G126" s="445"/>
      <c r="H126" s="445"/>
      <c r="I126" s="445"/>
      <c r="J126" s="382" t="s">
        <v>18</v>
      </c>
      <c r="K126" s="417"/>
      <c r="L126" s="13">
        <v>0</v>
      </c>
      <c r="M126" s="14">
        <v>1250</v>
      </c>
      <c r="N126" s="15">
        <f t="shared" si="14"/>
        <v>0</v>
      </c>
      <c r="O126" s="460"/>
      <c r="P126" s="460"/>
    </row>
    <row r="127" spans="1:16" ht="19.5" customHeight="1" x14ac:dyDescent="0.3">
      <c r="A127" s="455"/>
      <c r="B127" s="445"/>
      <c r="C127" s="446"/>
      <c r="D127" s="446"/>
      <c r="E127" s="446"/>
      <c r="F127" s="446"/>
      <c r="G127" s="446"/>
      <c r="H127" s="445"/>
      <c r="I127" s="445"/>
      <c r="J127" s="382" t="s">
        <v>19</v>
      </c>
      <c r="K127" s="417"/>
      <c r="L127" s="13">
        <v>0</v>
      </c>
      <c r="M127" s="14">
        <v>40000</v>
      </c>
      <c r="N127" s="15">
        <f t="shared" si="14"/>
        <v>0</v>
      </c>
      <c r="O127" s="460"/>
      <c r="P127" s="460"/>
    </row>
    <row r="128" spans="1:16" ht="19.5" customHeight="1" x14ac:dyDescent="0.3">
      <c r="A128" s="455"/>
      <c r="B128" s="445"/>
      <c r="C128" s="16"/>
      <c r="D128" s="17"/>
      <c r="E128" s="17"/>
      <c r="F128" s="18"/>
      <c r="G128" s="18"/>
      <c r="H128" s="445"/>
      <c r="I128" s="445"/>
      <c r="J128" s="382" t="s">
        <v>20</v>
      </c>
      <c r="K128" s="417"/>
      <c r="L128" s="13">
        <v>0</v>
      </c>
      <c r="M128" s="14">
        <v>0</v>
      </c>
      <c r="N128" s="15">
        <f t="shared" si="14"/>
        <v>0</v>
      </c>
      <c r="O128" s="460"/>
      <c r="P128" s="460"/>
    </row>
    <row r="129" spans="1:16" ht="19.5" customHeight="1" thickBot="1" x14ac:dyDescent="0.35">
      <c r="A129" s="456"/>
      <c r="B129" s="451"/>
      <c r="C129" s="453" t="s">
        <v>21</v>
      </c>
      <c r="D129" s="379"/>
      <c r="E129" s="379"/>
      <c r="F129" s="454"/>
      <c r="G129" s="19">
        <f>SUM(G122:G128)</f>
        <v>180000</v>
      </c>
      <c r="H129" s="451"/>
      <c r="I129" s="451"/>
      <c r="J129" s="378" t="s">
        <v>22</v>
      </c>
      <c r="K129" s="379"/>
      <c r="L129" s="379"/>
      <c r="M129" s="454"/>
      <c r="N129" s="20">
        <f>SUM(N122:N128)</f>
        <v>123000</v>
      </c>
      <c r="O129" s="461"/>
      <c r="P129" s="461"/>
    </row>
    <row r="130" spans="1:16" ht="19.5" customHeight="1" x14ac:dyDescent="0.3">
      <c r="A130" s="465" t="s">
        <v>41</v>
      </c>
      <c r="B130" s="450">
        <v>44620</v>
      </c>
      <c r="C130" s="452" t="s">
        <v>14</v>
      </c>
      <c r="D130" s="452">
        <v>1500</v>
      </c>
      <c r="E130" s="452">
        <f>+D130/2</f>
        <v>750</v>
      </c>
      <c r="F130" s="444">
        <v>150</v>
      </c>
      <c r="G130" s="444">
        <f>+D130*F130</f>
        <v>225000</v>
      </c>
      <c r="H130" s="444" t="s">
        <v>27</v>
      </c>
      <c r="I130" s="444"/>
      <c r="J130" s="458" t="s">
        <v>16</v>
      </c>
      <c r="K130" s="10">
        <v>3</v>
      </c>
      <c r="L130" s="10">
        <v>2</v>
      </c>
      <c r="M130" s="11">
        <v>12500</v>
      </c>
      <c r="N130" s="12">
        <f t="shared" ref="N130:N136" si="15">+L130*M130</f>
        <v>25000</v>
      </c>
      <c r="O130" s="459" t="s">
        <v>27</v>
      </c>
      <c r="P130" s="459"/>
    </row>
    <row r="131" spans="1:16" ht="19.5" customHeight="1" x14ac:dyDescent="0.3">
      <c r="A131" s="455"/>
      <c r="B131" s="445"/>
      <c r="C131" s="445"/>
      <c r="D131" s="445"/>
      <c r="E131" s="445"/>
      <c r="F131" s="445"/>
      <c r="G131" s="445"/>
      <c r="H131" s="445"/>
      <c r="I131" s="445"/>
      <c r="J131" s="445"/>
      <c r="K131" s="13">
        <v>6</v>
      </c>
      <c r="L131" s="13">
        <v>0</v>
      </c>
      <c r="M131" s="14">
        <v>15000</v>
      </c>
      <c r="N131" s="15">
        <f t="shared" si="15"/>
        <v>0</v>
      </c>
      <c r="O131" s="460"/>
      <c r="P131" s="460"/>
    </row>
    <row r="132" spans="1:16" ht="19.5" customHeight="1" x14ac:dyDescent="0.3">
      <c r="A132" s="455"/>
      <c r="B132" s="445"/>
      <c r="C132" s="445"/>
      <c r="D132" s="445"/>
      <c r="E132" s="445"/>
      <c r="F132" s="445"/>
      <c r="G132" s="445"/>
      <c r="H132" s="445"/>
      <c r="I132" s="445"/>
      <c r="J132" s="446"/>
      <c r="K132" s="13">
        <v>9</v>
      </c>
      <c r="L132" s="13">
        <v>2</v>
      </c>
      <c r="M132" s="14">
        <v>17500</v>
      </c>
      <c r="N132" s="15">
        <f t="shared" si="15"/>
        <v>35000</v>
      </c>
      <c r="O132" s="460"/>
      <c r="P132" s="460"/>
    </row>
    <row r="133" spans="1:16" ht="19.5" customHeight="1" x14ac:dyDescent="0.3">
      <c r="A133" s="455"/>
      <c r="B133" s="445"/>
      <c r="C133" s="445"/>
      <c r="D133" s="445"/>
      <c r="E133" s="445"/>
      <c r="F133" s="445"/>
      <c r="G133" s="445"/>
      <c r="H133" s="445"/>
      <c r="I133" s="445"/>
      <c r="J133" s="382" t="s">
        <v>17</v>
      </c>
      <c r="K133" s="417"/>
      <c r="L133" s="13">
        <v>14</v>
      </c>
      <c r="M133" s="14">
        <v>4500</v>
      </c>
      <c r="N133" s="15">
        <f t="shared" si="15"/>
        <v>63000</v>
      </c>
      <c r="O133" s="460"/>
      <c r="P133" s="460"/>
    </row>
    <row r="134" spans="1:16" ht="19.5" customHeight="1" x14ac:dyDescent="0.3">
      <c r="A134" s="455"/>
      <c r="B134" s="445"/>
      <c r="C134" s="445"/>
      <c r="D134" s="445"/>
      <c r="E134" s="445"/>
      <c r="F134" s="445"/>
      <c r="G134" s="445"/>
      <c r="H134" s="445"/>
      <c r="I134" s="445"/>
      <c r="J134" s="382" t="s">
        <v>18</v>
      </c>
      <c r="K134" s="417"/>
      <c r="L134" s="13">
        <v>270</v>
      </c>
      <c r="M134" s="14">
        <v>1250</v>
      </c>
      <c r="N134" s="15">
        <f t="shared" si="15"/>
        <v>337500</v>
      </c>
      <c r="O134" s="460"/>
      <c r="P134" s="460"/>
    </row>
    <row r="135" spans="1:16" ht="19.5" customHeight="1" x14ac:dyDescent="0.3">
      <c r="A135" s="455"/>
      <c r="B135" s="445"/>
      <c r="C135" s="446"/>
      <c r="D135" s="446"/>
      <c r="E135" s="446"/>
      <c r="F135" s="446"/>
      <c r="G135" s="446"/>
      <c r="H135" s="445"/>
      <c r="I135" s="445"/>
      <c r="J135" s="382" t="s">
        <v>19</v>
      </c>
      <c r="K135" s="417"/>
      <c r="L135" s="13">
        <v>0</v>
      </c>
      <c r="M135" s="14">
        <v>40000</v>
      </c>
      <c r="N135" s="15">
        <f t="shared" si="15"/>
        <v>0</v>
      </c>
      <c r="O135" s="460"/>
      <c r="P135" s="460"/>
    </row>
    <row r="136" spans="1:16" ht="19.5" customHeight="1" x14ac:dyDescent="0.3">
      <c r="A136" s="455"/>
      <c r="B136" s="445"/>
      <c r="C136" s="16"/>
      <c r="D136" s="17"/>
      <c r="E136" s="17"/>
      <c r="F136" s="18"/>
      <c r="G136" s="18"/>
      <c r="H136" s="445"/>
      <c r="I136" s="445"/>
      <c r="J136" s="382" t="s">
        <v>20</v>
      </c>
      <c r="K136" s="417"/>
      <c r="L136" s="13">
        <v>0</v>
      </c>
      <c r="M136" s="14">
        <v>0</v>
      </c>
      <c r="N136" s="15">
        <f t="shared" si="15"/>
        <v>0</v>
      </c>
      <c r="O136" s="460"/>
      <c r="P136" s="460"/>
    </row>
    <row r="137" spans="1:16" ht="19.5" customHeight="1" thickBot="1" x14ac:dyDescent="0.35">
      <c r="A137" s="456"/>
      <c r="B137" s="451"/>
      <c r="C137" s="453" t="s">
        <v>21</v>
      </c>
      <c r="D137" s="379"/>
      <c r="E137" s="379"/>
      <c r="F137" s="454"/>
      <c r="G137" s="19">
        <f>SUM(G130:G136)</f>
        <v>225000</v>
      </c>
      <c r="H137" s="451"/>
      <c r="I137" s="451"/>
      <c r="J137" s="378" t="s">
        <v>22</v>
      </c>
      <c r="K137" s="379"/>
      <c r="L137" s="379"/>
      <c r="M137" s="454"/>
      <c r="N137" s="20">
        <f>SUM(N130:N136)</f>
        <v>460500</v>
      </c>
      <c r="O137" s="461"/>
      <c r="P137" s="461"/>
    </row>
    <row r="138" spans="1:16" ht="19.5" customHeight="1" x14ac:dyDescent="0.3">
      <c r="A138" s="495" t="s">
        <v>42</v>
      </c>
      <c r="B138" s="472">
        <v>44622</v>
      </c>
      <c r="C138" s="452" t="s">
        <v>14</v>
      </c>
      <c r="D138" s="452">
        <v>1500</v>
      </c>
      <c r="E138" s="452">
        <f>+D138/2</f>
        <v>750</v>
      </c>
      <c r="F138" s="444">
        <v>150</v>
      </c>
      <c r="G138" s="444">
        <f>+D138*F138</f>
        <v>225000</v>
      </c>
      <c r="H138" s="444" t="s">
        <v>27</v>
      </c>
      <c r="I138" s="444" t="s">
        <v>61</v>
      </c>
      <c r="J138" s="458" t="s">
        <v>16</v>
      </c>
      <c r="K138" s="10">
        <v>3</v>
      </c>
      <c r="L138" s="10">
        <v>0</v>
      </c>
      <c r="M138" s="11">
        <v>12500</v>
      </c>
      <c r="N138" s="12">
        <f t="shared" ref="N138:N144" si="16">+L138*M138</f>
        <v>0</v>
      </c>
      <c r="O138" s="459" t="s">
        <v>27</v>
      </c>
      <c r="P138" s="459"/>
    </row>
    <row r="139" spans="1:16" ht="19.5" customHeight="1" x14ac:dyDescent="0.3">
      <c r="A139" s="476"/>
      <c r="B139" s="473"/>
      <c r="C139" s="445"/>
      <c r="D139" s="445"/>
      <c r="E139" s="445"/>
      <c r="F139" s="445"/>
      <c r="G139" s="445"/>
      <c r="H139" s="445"/>
      <c r="I139" s="445"/>
      <c r="J139" s="445"/>
      <c r="K139" s="13">
        <v>6</v>
      </c>
      <c r="L139" s="13">
        <v>0</v>
      </c>
      <c r="M139" s="14">
        <v>15000</v>
      </c>
      <c r="N139" s="15">
        <f t="shared" si="16"/>
        <v>0</v>
      </c>
      <c r="O139" s="460"/>
      <c r="P139" s="460"/>
    </row>
    <row r="140" spans="1:16" ht="19.5" customHeight="1" x14ac:dyDescent="0.3">
      <c r="A140" s="476"/>
      <c r="B140" s="473"/>
      <c r="C140" s="445"/>
      <c r="D140" s="445"/>
      <c r="E140" s="445"/>
      <c r="F140" s="445"/>
      <c r="G140" s="445"/>
      <c r="H140" s="445"/>
      <c r="I140" s="445"/>
      <c r="J140" s="446"/>
      <c r="K140" s="13">
        <v>9</v>
      </c>
      <c r="L140" s="13">
        <v>0</v>
      </c>
      <c r="M140" s="14">
        <v>17500</v>
      </c>
      <c r="N140" s="15">
        <f t="shared" si="16"/>
        <v>0</v>
      </c>
      <c r="O140" s="460"/>
      <c r="P140" s="460"/>
    </row>
    <row r="141" spans="1:16" ht="19.5" customHeight="1" x14ac:dyDescent="0.3">
      <c r="A141" s="476"/>
      <c r="B141" s="473"/>
      <c r="C141" s="445"/>
      <c r="D141" s="445"/>
      <c r="E141" s="445"/>
      <c r="F141" s="445"/>
      <c r="G141" s="445"/>
      <c r="H141" s="445"/>
      <c r="I141" s="445"/>
      <c r="J141" s="382" t="s">
        <v>17</v>
      </c>
      <c r="K141" s="417"/>
      <c r="L141" s="13">
        <v>0</v>
      </c>
      <c r="M141" s="14">
        <v>4500</v>
      </c>
      <c r="N141" s="15">
        <f t="shared" si="16"/>
        <v>0</v>
      </c>
      <c r="O141" s="460"/>
      <c r="P141" s="460"/>
    </row>
    <row r="142" spans="1:16" ht="19.5" customHeight="1" x14ac:dyDescent="0.3">
      <c r="A142" s="476"/>
      <c r="B142" s="473"/>
      <c r="C142" s="445"/>
      <c r="D142" s="445"/>
      <c r="E142" s="445"/>
      <c r="F142" s="445"/>
      <c r="G142" s="445"/>
      <c r="H142" s="445"/>
      <c r="I142" s="445"/>
      <c r="J142" s="382" t="s">
        <v>18</v>
      </c>
      <c r="K142" s="417"/>
      <c r="L142" s="13">
        <v>0</v>
      </c>
      <c r="M142" s="14">
        <v>1250</v>
      </c>
      <c r="N142" s="15">
        <f t="shared" si="16"/>
        <v>0</v>
      </c>
      <c r="O142" s="460"/>
      <c r="P142" s="460"/>
    </row>
    <row r="143" spans="1:16" ht="19.5" customHeight="1" x14ac:dyDescent="0.3">
      <c r="A143" s="476"/>
      <c r="B143" s="473"/>
      <c r="C143" s="446"/>
      <c r="D143" s="446"/>
      <c r="E143" s="446"/>
      <c r="F143" s="446"/>
      <c r="G143" s="446"/>
      <c r="H143" s="445"/>
      <c r="I143" s="445"/>
      <c r="J143" s="382" t="s">
        <v>19</v>
      </c>
      <c r="K143" s="417"/>
      <c r="L143" s="13">
        <v>0</v>
      </c>
      <c r="M143" s="14">
        <v>40000</v>
      </c>
      <c r="N143" s="15">
        <f t="shared" si="16"/>
        <v>0</v>
      </c>
      <c r="O143" s="460"/>
      <c r="P143" s="460"/>
    </row>
    <row r="144" spans="1:16" ht="19.5" customHeight="1" x14ac:dyDescent="0.3">
      <c r="A144" s="476"/>
      <c r="B144" s="473"/>
      <c r="C144" s="16"/>
      <c r="D144" s="17"/>
      <c r="E144" s="17"/>
      <c r="F144" s="18"/>
      <c r="G144" s="18"/>
      <c r="H144" s="445"/>
      <c r="I144" s="445"/>
      <c r="J144" s="382" t="s">
        <v>20</v>
      </c>
      <c r="K144" s="417"/>
      <c r="L144" s="13">
        <v>0</v>
      </c>
      <c r="M144" s="14">
        <v>0</v>
      </c>
      <c r="N144" s="15">
        <f t="shared" si="16"/>
        <v>0</v>
      </c>
      <c r="O144" s="460"/>
      <c r="P144" s="460"/>
    </row>
    <row r="145" spans="1:16" ht="19.5" customHeight="1" thickBot="1" x14ac:dyDescent="0.35">
      <c r="A145" s="477"/>
      <c r="B145" s="474"/>
      <c r="C145" s="453" t="s">
        <v>21</v>
      </c>
      <c r="D145" s="379"/>
      <c r="E145" s="379"/>
      <c r="F145" s="454"/>
      <c r="G145" s="19">
        <f>SUM(G138:G144)</f>
        <v>225000</v>
      </c>
      <c r="H145" s="451"/>
      <c r="I145" s="451"/>
      <c r="J145" s="378" t="s">
        <v>22</v>
      </c>
      <c r="K145" s="379"/>
      <c r="L145" s="379"/>
      <c r="M145" s="454"/>
      <c r="N145" s="20">
        <f>SUM(N138:N144)</f>
        <v>0</v>
      </c>
      <c r="O145" s="461"/>
      <c r="P145" s="461"/>
    </row>
    <row r="146" spans="1:16" ht="19.5" customHeight="1" x14ac:dyDescent="0.3">
      <c r="A146" s="465" t="s">
        <v>24</v>
      </c>
      <c r="B146" s="450">
        <v>44632</v>
      </c>
      <c r="C146" s="452" t="s">
        <v>14</v>
      </c>
      <c r="D146" s="452">
        <v>1500</v>
      </c>
      <c r="E146" s="452">
        <f>+D146/2</f>
        <v>750</v>
      </c>
      <c r="F146" s="444">
        <v>150</v>
      </c>
      <c r="G146" s="444">
        <f>+D146*F146</f>
        <v>225000</v>
      </c>
      <c r="H146" s="444" t="s">
        <v>27</v>
      </c>
      <c r="I146" s="444"/>
      <c r="J146" s="458" t="s">
        <v>16</v>
      </c>
      <c r="K146" s="10">
        <v>3</v>
      </c>
      <c r="L146" s="10">
        <v>2</v>
      </c>
      <c r="M146" s="11">
        <v>12500</v>
      </c>
      <c r="N146" s="12">
        <f t="shared" ref="N146:N152" si="17">+L146*M146</f>
        <v>25000</v>
      </c>
      <c r="O146" s="459" t="s">
        <v>27</v>
      </c>
      <c r="P146" s="459"/>
    </row>
    <row r="147" spans="1:16" ht="19.5" customHeight="1" x14ac:dyDescent="0.3">
      <c r="A147" s="455"/>
      <c r="B147" s="445"/>
      <c r="C147" s="445"/>
      <c r="D147" s="445"/>
      <c r="E147" s="445"/>
      <c r="F147" s="445"/>
      <c r="G147" s="445"/>
      <c r="H147" s="445"/>
      <c r="I147" s="445"/>
      <c r="J147" s="445"/>
      <c r="K147" s="13">
        <v>6</v>
      </c>
      <c r="L147" s="13">
        <v>0</v>
      </c>
      <c r="M147" s="14">
        <v>15000</v>
      </c>
      <c r="N147" s="15">
        <f t="shared" si="17"/>
        <v>0</v>
      </c>
      <c r="O147" s="460"/>
      <c r="P147" s="460"/>
    </row>
    <row r="148" spans="1:16" ht="19.5" customHeight="1" x14ac:dyDescent="0.3">
      <c r="A148" s="455"/>
      <c r="B148" s="445"/>
      <c r="C148" s="445"/>
      <c r="D148" s="445"/>
      <c r="E148" s="445"/>
      <c r="F148" s="445"/>
      <c r="G148" s="445"/>
      <c r="H148" s="445"/>
      <c r="I148" s="445"/>
      <c r="J148" s="446"/>
      <c r="K148" s="13">
        <v>9</v>
      </c>
      <c r="L148" s="13">
        <v>2</v>
      </c>
      <c r="M148" s="14">
        <v>17500</v>
      </c>
      <c r="N148" s="15">
        <f t="shared" si="17"/>
        <v>35000</v>
      </c>
      <c r="O148" s="460"/>
      <c r="P148" s="460"/>
    </row>
    <row r="149" spans="1:16" ht="19.5" customHeight="1" x14ac:dyDescent="0.3">
      <c r="A149" s="455"/>
      <c r="B149" s="445"/>
      <c r="C149" s="445"/>
      <c r="D149" s="445"/>
      <c r="E149" s="445"/>
      <c r="F149" s="445"/>
      <c r="G149" s="445"/>
      <c r="H149" s="445"/>
      <c r="I149" s="445"/>
      <c r="J149" s="382" t="s">
        <v>17</v>
      </c>
      <c r="K149" s="417"/>
      <c r="L149" s="13">
        <v>14</v>
      </c>
      <c r="M149" s="14">
        <v>4500</v>
      </c>
      <c r="N149" s="15">
        <f t="shared" si="17"/>
        <v>63000</v>
      </c>
      <c r="O149" s="460"/>
      <c r="P149" s="460"/>
    </row>
    <row r="150" spans="1:16" ht="19.5" customHeight="1" x14ac:dyDescent="0.3">
      <c r="A150" s="455"/>
      <c r="B150" s="445"/>
      <c r="C150" s="445"/>
      <c r="D150" s="445"/>
      <c r="E150" s="445"/>
      <c r="F150" s="445"/>
      <c r="G150" s="445"/>
      <c r="H150" s="445"/>
      <c r="I150" s="445"/>
      <c r="J150" s="382" t="s">
        <v>18</v>
      </c>
      <c r="K150" s="417"/>
      <c r="L150" s="13">
        <v>0</v>
      </c>
      <c r="M150" s="14">
        <v>1250</v>
      </c>
      <c r="N150" s="15">
        <f t="shared" si="17"/>
        <v>0</v>
      </c>
      <c r="O150" s="460"/>
      <c r="P150" s="460"/>
    </row>
    <row r="151" spans="1:16" ht="19.5" customHeight="1" x14ac:dyDescent="0.3">
      <c r="A151" s="455"/>
      <c r="B151" s="445"/>
      <c r="C151" s="446"/>
      <c r="D151" s="446"/>
      <c r="E151" s="446"/>
      <c r="F151" s="446"/>
      <c r="G151" s="446"/>
      <c r="H151" s="445"/>
      <c r="I151" s="445"/>
      <c r="J151" s="382" t="s">
        <v>19</v>
      </c>
      <c r="K151" s="417"/>
      <c r="L151" s="13">
        <v>1</v>
      </c>
      <c r="M151" s="14">
        <v>40000</v>
      </c>
      <c r="N151" s="15">
        <f t="shared" si="17"/>
        <v>40000</v>
      </c>
      <c r="O151" s="460"/>
      <c r="P151" s="460"/>
    </row>
    <row r="152" spans="1:16" ht="19.5" customHeight="1" x14ac:dyDescent="0.3">
      <c r="A152" s="455"/>
      <c r="B152" s="445"/>
      <c r="C152" s="16"/>
      <c r="D152" s="17"/>
      <c r="E152" s="17"/>
      <c r="F152" s="18"/>
      <c r="G152" s="18"/>
      <c r="H152" s="445"/>
      <c r="I152" s="445"/>
      <c r="J152" s="382" t="s">
        <v>20</v>
      </c>
      <c r="K152" s="417"/>
      <c r="L152" s="13">
        <v>0</v>
      </c>
      <c r="M152" s="14">
        <v>0</v>
      </c>
      <c r="N152" s="15">
        <f t="shared" si="17"/>
        <v>0</v>
      </c>
      <c r="O152" s="460"/>
      <c r="P152" s="460"/>
    </row>
    <row r="153" spans="1:16" ht="19.5" customHeight="1" thickBot="1" x14ac:dyDescent="0.35">
      <c r="A153" s="456"/>
      <c r="B153" s="451"/>
      <c r="C153" s="453" t="s">
        <v>21</v>
      </c>
      <c r="D153" s="379"/>
      <c r="E153" s="379"/>
      <c r="F153" s="454"/>
      <c r="G153" s="19">
        <f>SUM(G146:G152)</f>
        <v>225000</v>
      </c>
      <c r="H153" s="451"/>
      <c r="I153" s="451"/>
      <c r="J153" s="378" t="s">
        <v>22</v>
      </c>
      <c r="K153" s="379"/>
      <c r="L153" s="379"/>
      <c r="M153" s="454"/>
      <c r="N153" s="20">
        <f>SUM(N146:N152)</f>
        <v>163000</v>
      </c>
      <c r="O153" s="461"/>
      <c r="P153" s="461"/>
    </row>
    <row r="154" spans="1:16" ht="19.5" customHeight="1" x14ac:dyDescent="0.3">
      <c r="A154" s="465" t="s">
        <v>43</v>
      </c>
      <c r="B154" s="450">
        <v>44642</v>
      </c>
      <c r="C154" s="452" t="s">
        <v>14</v>
      </c>
      <c r="D154" s="452">
        <v>1500</v>
      </c>
      <c r="E154" s="452">
        <f>+D154/2</f>
        <v>750</v>
      </c>
      <c r="F154" s="444">
        <v>150</v>
      </c>
      <c r="G154" s="444">
        <f>+D154*F154</f>
        <v>225000</v>
      </c>
      <c r="H154" s="444" t="s">
        <v>27</v>
      </c>
      <c r="I154" s="444"/>
      <c r="J154" s="458" t="s">
        <v>16</v>
      </c>
      <c r="K154" s="10">
        <v>3</v>
      </c>
      <c r="L154" s="10">
        <v>0</v>
      </c>
      <c r="M154" s="11">
        <v>12500</v>
      </c>
      <c r="N154" s="12">
        <f t="shared" ref="N154:N160" si="18">+L154*M154</f>
        <v>0</v>
      </c>
      <c r="O154" s="459" t="s">
        <v>27</v>
      </c>
      <c r="P154" s="459"/>
    </row>
    <row r="155" spans="1:16" ht="19.5" customHeight="1" x14ac:dyDescent="0.3">
      <c r="A155" s="455"/>
      <c r="B155" s="445"/>
      <c r="C155" s="445"/>
      <c r="D155" s="445"/>
      <c r="E155" s="445"/>
      <c r="F155" s="445"/>
      <c r="G155" s="445"/>
      <c r="H155" s="445"/>
      <c r="I155" s="445"/>
      <c r="J155" s="445"/>
      <c r="K155" s="13">
        <v>6</v>
      </c>
      <c r="L155" s="13">
        <v>2</v>
      </c>
      <c r="M155" s="14">
        <v>15000</v>
      </c>
      <c r="N155" s="15">
        <f t="shared" si="18"/>
        <v>30000</v>
      </c>
      <c r="O155" s="460"/>
      <c r="P155" s="460"/>
    </row>
    <row r="156" spans="1:16" ht="19.5" customHeight="1" x14ac:dyDescent="0.3">
      <c r="A156" s="455"/>
      <c r="B156" s="445"/>
      <c r="C156" s="445"/>
      <c r="D156" s="445"/>
      <c r="E156" s="445"/>
      <c r="F156" s="445"/>
      <c r="G156" s="445"/>
      <c r="H156" s="445"/>
      <c r="I156" s="445"/>
      <c r="J156" s="446"/>
      <c r="K156" s="13">
        <v>9</v>
      </c>
      <c r="L156" s="13">
        <v>2</v>
      </c>
      <c r="M156" s="14">
        <v>17500</v>
      </c>
      <c r="N156" s="15">
        <f t="shared" si="18"/>
        <v>35000</v>
      </c>
      <c r="O156" s="460"/>
      <c r="P156" s="460"/>
    </row>
    <row r="157" spans="1:16" ht="19.5" customHeight="1" x14ac:dyDescent="0.3">
      <c r="A157" s="455"/>
      <c r="B157" s="445"/>
      <c r="C157" s="445"/>
      <c r="D157" s="445"/>
      <c r="E157" s="445"/>
      <c r="F157" s="445"/>
      <c r="G157" s="445"/>
      <c r="H157" s="445"/>
      <c r="I157" s="445"/>
      <c r="J157" s="382" t="s">
        <v>17</v>
      </c>
      <c r="K157" s="417"/>
      <c r="L157" s="13">
        <v>14</v>
      </c>
      <c r="M157" s="14">
        <v>4500</v>
      </c>
      <c r="N157" s="15">
        <f t="shared" si="18"/>
        <v>63000</v>
      </c>
      <c r="O157" s="460"/>
      <c r="P157" s="460"/>
    </row>
    <row r="158" spans="1:16" ht="19.5" customHeight="1" x14ac:dyDescent="0.3">
      <c r="A158" s="455"/>
      <c r="B158" s="445"/>
      <c r="C158" s="445"/>
      <c r="D158" s="445"/>
      <c r="E158" s="445"/>
      <c r="F158" s="445"/>
      <c r="G158" s="445"/>
      <c r="H158" s="445"/>
      <c r="I158" s="445"/>
      <c r="J158" s="382" t="s">
        <v>18</v>
      </c>
      <c r="K158" s="417"/>
      <c r="L158" s="13">
        <v>0</v>
      </c>
      <c r="M158" s="14">
        <v>1250</v>
      </c>
      <c r="N158" s="15">
        <f t="shared" si="18"/>
        <v>0</v>
      </c>
      <c r="O158" s="460"/>
      <c r="P158" s="460"/>
    </row>
    <row r="159" spans="1:16" ht="19.5" customHeight="1" x14ac:dyDescent="0.3">
      <c r="A159" s="455"/>
      <c r="B159" s="445"/>
      <c r="C159" s="446"/>
      <c r="D159" s="446"/>
      <c r="E159" s="446"/>
      <c r="F159" s="446"/>
      <c r="G159" s="446"/>
      <c r="H159" s="445"/>
      <c r="I159" s="445"/>
      <c r="J159" s="382" t="s">
        <v>19</v>
      </c>
      <c r="K159" s="417"/>
      <c r="L159" s="13">
        <v>1</v>
      </c>
      <c r="M159" s="14">
        <v>40000</v>
      </c>
      <c r="N159" s="15">
        <f t="shared" si="18"/>
        <v>40000</v>
      </c>
      <c r="O159" s="460"/>
      <c r="P159" s="460"/>
    </row>
    <row r="160" spans="1:16" ht="19.5" customHeight="1" x14ac:dyDescent="0.3">
      <c r="A160" s="455"/>
      <c r="B160" s="445"/>
      <c r="C160" s="16"/>
      <c r="D160" s="17"/>
      <c r="E160" s="17"/>
      <c r="F160" s="18"/>
      <c r="G160" s="18"/>
      <c r="H160" s="445"/>
      <c r="I160" s="445"/>
      <c r="J160" s="382" t="s">
        <v>20</v>
      </c>
      <c r="K160" s="417"/>
      <c r="L160" s="13">
        <v>0</v>
      </c>
      <c r="M160" s="14">
        <v>0</v>
      </c>
      <c r="N160" s="15">
        <f t="shared" si="18"/>
        <v>0</v>
      </c>
      <c r="O160" s="460"/>
      <c r="P160" s="460"/>
    </row>
    <row r="161" spans="1:16" ht="19.5" customHeight="1" thickBot="1" x14ac:dyDescent="0.35">
      <c r="A161" s="456"/>
      <c r="B161" s="451"/>
      <c r="C161" s="453" t="s">
        <v>21</v>
      </c>
      <c r="D161" s="379"/>
      <c r="E161" s="379"/>
      <c r="F161" s="454"/>
      <c r="G161" s="19">
        <f>SUM(G154:G160)</f>
        <v>225000</v>
      </c>
      <c r="H161" s="451"/>
      <c r="I161" s="451"/>
      <c r="J161" s="378" t="s">
        <v>22</v>
      </c>
      <c r="K161" s="379"/>
      <c r="L161" s="379"/>
      <c r="M161" s="454"/>
      <c r="N161" s="20">
        <f>SUM(N154:N160)</f>
        <v>168000</v>
      </c>
      <c r="O161" s="461"/>
      <c r="P161" s="461"/>
    </row>
    <row r="162" spans="1:16" ht="19.5" customHeight="1" x14ac:dyDescent="0.3">
      <c r="A162" s="475" t="s">
        <v>44</v>
      </c>
      <c r="B162" s="472">
        <v>44646</v>
      </c>
      <c r="C162" s="452" t="s">
        <v>14</v>
      </c>
      <c r="D162" s="452">
        <v>1000</v>
      </c>
      <c r="E162" s="452">
        <f>+D162/2</f>
        <v>500</v>
      </c>
      <c r="F162" s="444">
        <v>150</v>
      </c>
      <c r="G162" s="444">
        <f>+D162*F162</f>
        <v>150000</v>
      </c>
      <c r="H162" s="444" t="s">
        <v>27</v>
      </c>
      <c r="I162" s="444" t="s">
        <v>61</v>
      </c>
      <c r="J162" s="458" t="s">
        <v>16</v>
      </c>
      <c r="K162" s="10">
        <v>3</v>
      </c>
      <c r="L162" s="10">
        <v>0</v>
      </c>
      <c r="M162" s="11">
        <v>12500</v>
      </c>
      <c r="N162" s="12">
        <f t="shared" ref="N162:N168" si="19">+L162*M162</f>
        <v>0</v>
      </c>
      <c r="O162" s="459" t="s">
        <v>27</v>
      </c>
      <c r="P162" s="459"/>
    </row>
    <row r="163" spans="1:16" ht="19.5" customHeight="1" x14ac:dyDescent="0.3">
      <c r="A163" s="476"/>
      <c r="B163" s="473"/>
      <c r="C163" s="445"/>
      <c r="D163" s="445"/>
      <c r="E163" s="445"/>
      <c r="F163" s="445"/>
      <c r="G163" s="445"/>
      <c r="H163" s="445"/>
      <c r="I163" s="445"/>
      <c r="J163" s="445"/>
      <c r="K163" s="13">
        <v>6</v>
      </c>
      <c r="L163" s="13">
        <v>0</v>
      </c>
      <c r="M163" s="14">
        <v>15000</v>
      </c>
      <c r="N163" s="15">
        <f t="shared" si="19"/>
        <v>0</v>
      </c>
      <c r="O163" s="460"/>
      <c r="P163" s="460"/>
    </row>
    <row r="164" spans="1:16" ht="19.5" customHeight="1" x14ac:dyDescent="0.3">
      <c r="A164" s="476"/>
      <c r="B164" s="473"/>
      <c r="C164" s="445"/>
      <c r="D164" s="445"/>
      <c r="E164" s="445"/>
      <c r="F164" s="445"/>
      <c r="G164" s="445"/>
      <c r="H164" s="445"/>
      <c r="I164" s="445"/>
      <c r="J164" s="446"/>
      <c r="K164" s="13">
        <v>9</v>
      </c>
      <c r="L164" s="13">
        <v>0</v>
      </c>
      <c r="M164" s="14">
        <v>17500</v>
      </c>
      <c r="N164" s="15">
        <f t="shared" si="19"/>
        <v>0</v>
      </c>
      <c r="O164" s="460"/>
      <c r="P164" s="460"/>
    </row>
    <row r="165" spans="1:16" ht="19.5" customHeight="1" x14ac:dyDescent="0.3">
      <c r="A165" s="476"/>
      <c r="B165" s="473"/>
      <c r="C165" s="445"/>
      <c r="D165" s="445"/>
      <c r="E165" s="445"/>
      <c r="F165" s="445"/>
      <c r="G165" s="445"/>
      <c r="H165" s="445"/>
      <c r="I165" s="445"/>
      <c r="J165" s="382" t="s">
        <v>17</v>
      </c>
      <c r="K165" s="417"/>
      <c r="L165" s="13">
        <v>0</v>
      </c>
      <c r="M165" s="14">
        <v>4500</v>
      </c>
      <c r="N165" s="15">
        <f t="shared" si="19"/>
        <v>0</v>
      </c>
      <c r="O165" s="460"/>
      <c r="P165" s="460"/>
    </row>
    <row r="166" spans="1:16" ht="19.5" customHeight="1" x14ac:dyDescent="0.3">
      <c r="A166" s="476"/>
      <c r="B166" s="473"/>
      <c r="C166" s="445"/>
      <c r="D166" s="445"/>
      <c r="E166" s="445"/>
      <c r="F166" s="445"/>
      <c r="G166" s="445"/>
      <c r="H166" s="445"/>
      <c r="I166" s="445"/>
      <c r="J166" s="382" t="s">
        <v>18</v>
      </c>
      <c r="K166" s="417"/>
      <c r="L166" s="13">
        <v>0</v>
      </c>
      <c r="M166" s="14">
        <v>1250</v>
      </c>
      <c r="N166" s="15">
        <f t="shared" si="19"/>
        <v>0</v>
      </c>
      <c r="O166" s="460"/>
      <c r="P166" s="460"/>
    </row>
    <row r="167" spans="1:16" ht="19.5" customHeight="1" x14ac:dyDescent="0.3">
      <c r="A167" s="476"/>
      <c r="B167" s="473"/>
      <c r="C167" s="446"/>
      <c r="D167" s="446"/>
      <c r="E167" s="446"/>
      <c r="F167" s="446"/>
      <c r="G167" s="446"/>
      <c r="H167" s="445"/>
      <c r="I167" s="445"/>
      <c r="J167" s="382" t="s">
        <v>19</v>
      </c>
      <c r="K167" s="417"/>
      <c r="L167" s="13">
        <v>0</v>
      </c>
      <c r="M167" s="14">
        <v>40000</v>
      </c>
      <c r="N167" s="15">
        <f t="shared" si="19"/>
        <v>0</v>
      </c>
      <c r="O167" s="460"/>
      <c r="P167" s="460"/>
    </row>
    <row r="168" spans="1:16" ht="19.5" customHeight="1" x14ac:dyDescent="0.3">
      <c r="A168" s="476"/>
      <c r="B168" s="473"/>
      <c r="C168" s="16"/>
      <c r="D168" s="17"/>
      <c r="E168" s="17"/>
      <c r="F168" s="18"/>
      <c r="G168" s="18"/>
      <c r="H168" s="445"/>
      <c r="I168" s="445"/>
      <c r="J168" s="382" t="s">
        <v>20</v>
      </c>
      <c r="K168" s="417"/>
      <c r="L168" s="13">
        <v>0</v>
      </c>
      <c r="M168" s="14">
        <v>0</v>
      </c>
      <c r="N168" s="15">
        <f t="shared" si="19"/>
        <v>0</v>
      </c>
      <c r="O168" s="460"/>
      <c r="P168" s="460"/>
    </row>
    <row r="169" spans="1:16" ht="19.5" customHeight="1" thickBot="1" x14ac:dyDescent="0.35">
      <c r="A169" s="477"/>
      <c r="B169" s="474"/>
      <c r="C169" s="453" t="s">
        <v>21</v>
      </c>
      <c r="D169" s="379"/>
      <c r="E169" s="379"/>
      <c r="F169" s="454"/>
      <c r="G169" s="19">
        <f>SUM(G162:G168)</f>
        <v>150000</v>
      </c>
      <c r="H169" s="451"/>
      <c r="I169" s="451"/>
      <c r="J169" s="378" t="s">
        <v>22</v>
      </c>
      <c r="K169" s="379"/>
      <c r="L169" s="379"/>
      <c r="M169" s="454"/>
      <c r="N169" s="20">
        <f>SUM(N162:N168)</f>
        <v>0</v>
      </c>
      <c r="O169" s="461"/>
      <c r="P169" s="461"/>
    </row>
    <row r="170" spans="1:16" ht="19.5" customHeight="1" x14ac:dyDescent="0.3">
      <c r="A170" s="465" t="s">
        <v>45</v>
      </c>
      <c r="B170" s="450">
        <v>44657</v>
      </c>
      <c r="C170" s="452" t="s">
        <v>14</v>
      </c>
      <c r="D170" s="452">
        <v>1900</v>
      </c>
      <c r="E170" s="452">
        <f>+D170/2</f>
        <v>950</v>
      </c>
      <c r="F170" s="444">
        <v>150</v>
      </c>
      <c r="G170" s="444">
        <f>+D170*F170</f>
        <v>285000</v>
      </c>
      <c r="H170" s="444" t="s">
        <v>27</v>
      </c>
      <c r="I170" s="444"/>
      <c r="J170" s="458" t="s">
        <v>16</v>
      </c>
      <c r="K170" s="10">
        <v>3</v>
      </c>
      <c r="L170" s="10">
        <v>0</v>
      </c>
      <c r="M170" s="11">
        <v>12500</v>
      </c>
      <c r="N170" s="12">
        <f t="shared" ref="N170:N175" si="20">+L170*M170</f>
        <v>0</v>
      </c>
      <c r="O170" s="459" t="s">
        <v>27</v>
      </c>
      <c r="P170" s="459"/>
    </row>
    <row r="171" spans="1:16" ht="19.5" customHeight="1" x14ac:dyDescent="0.3">
      <c r="A171" s="455"/>
      <c r="B171" s="445"/>
      <c r="C171" s="445"/>
      <c r="D171" s="445"/>
      <c r="E171" s="445"/>
      <c r="F171" s="445"/>
      <c r="G171" s="445"/>
      <c r="H171" s="445"/>
      <c r="I171" s="445"/>
      <c r="J171" s="445"/>
      <c r="K171" s="13">
        <v>6</v>
      </c>
      <c r="L171" s="13">
        <v>2</v>
      </c>
      <c r="M171" s="14">
        <v>15000</v>
      </c>
      <c r="N171" s="15">
        <f t="shared" si="20"/>
        <v>30000</v>
      </c>
      <c r="O171" s="460"/>
      <c r="P171" s="460"/>
    </row>
    <row r="172" spans="1:16" ht="19.5" customHeight="1" x14ac:dyDescent="0.3">
      <c r="A172" s="455"/>
      <c r="B172" s="445"/>
      <c r="C172" s="445"/>
      <c r="D172" s="445"/>
      <c r="E172" s="445"/>
      <c r="F172" s="445"/>
      <c r="G172" s="445"/>
      <c r="H172" s="445"/>
      <c r="I172" s="445"/>
      <c r="J172" s="446"/>
      <c r="K172" s="13">
        <v>9</v>
      </c>
      <c r="L172" s="13">
        <v>2</v>
      </c>
      <c r="M172" s="14">
        <v>17500</v>
      </c>
      <c r="N172" s="15">
        <f t="shared" si="20"/>
        <v>35000</v>
      </c>
      <c r="O172" s="460"/>
      <c r="P172" s="460"/>
    </row>
    <row r="173" spans="1:16" ht="19.5" customHeight="1" x14ac:dyDescent="0.3">
      <c r="A173" s="455"/>
      <c r="B173" s="445"/>
      <c r="C173" s="445"/>
      <c r="D173" s="445"/>
      <c r="E173" s="445"/>
      <c r="F173" s="445"/>
      <c r="G173" s="445"/>
      <c r="H173" s="445"/>
      <c r="I173" s="445"/>
      <c r="J173" s="382" t="s">
        <v>17</v>
      </c>
      <c r="K173" s="417"/>
      <c r="L173" s="13">
        <v>14</v>
      </c>
      <c r="M173" s="14">
        <v>4500</v>
      </c>
      <c r="N173" s="15">
        <f t="shared" si="20"/>
        <v>63000</v>
      </c>
      <c r="O173" s="460"/>
      <c r="P173" s="460"/>
    </row>
    <row r="174" spans="1:16" ht="19.5" customHeight="1" x14ac:dyDescent="0.3">
      <c r="A174" s="455"/>
      <c r="B174" s="445"/>
      <c r="C174" s="445"/>
      <c r="D174" s="445"/>
      <c r="E174" s="445"/>
      <c r="F174" s="445"/>
      <c r="G174" s="445"/>
      <c r="H174" s="445"/>
      <c r="I174" s="445"/>
      <c r="J174" s="382" t="s">
        <v>18</v>
      </c>
      <c r="K174" s="417"/>
      <c r="L174" s="13">
        <v>310</v>
      </c>
      <c r="M174" s="14">
        <v>1250</v>
      </c>
      <c r="N174" s="15">
        <f t="shared" si="20"/>
        <v>387500</v>
      </c>
      <c r="O174" s="460"/>
      <c r="P174" s="460"/>
    </row>
    <row r="175" spans="1:16" ht="19.5" customHeight="1" x14ac:dyDescent="0.3">
      <c r="A175" s="455"/>
      <c r="B175" s="445"/>
      <c r="C175" s="446"/>
      <c r="D175" s="446"/>
      <c r="E175" s="446"/>
      <c r="F175" s="446"/>
      <c r="G175" s="446"/>
      <c r="H175" s="445"/>
      <c r="I175" s="445"/>
      <c r="J175" s="382" t="s">
        <v>19</v>
      </c>
      <c r="K175" s="417"/>
      <c r="L175" s="13">
        <v>1</v>
      </c>
      <c r="M175" s="14">
        <v>40000</v>
      </c>
      <c r="N175" s="15">
        <f t="shared" si="20"/>
        <v>40000</v>
      </c>
      <c r="O175" s="460"/>
      <c r="P175" s="460"/>
    </row>
    <row r="176" spans="1:16" ht="19.5" customHeight="1" x14ac:dyDescent="0.3">
      <c r="A176" s="455"/>
      <c r="B176" s="445"/>
      <c r="C176" s="40" t="s">
        <v>59</v>
      </c>
      <c r="D176" s="17">
        <v>1</v>
      </c>
      <c r="E176" s="17"/>
      <c r="F176" s="18">
        <v>40000</v>
      </c>
      <c r="G176" s="18">
        <f>+F176</f>
        <v>40000</v>
      </c>
      <c r="H176" s="445"/>
      <c r="I176" s="445"/>
      <c r="J176" s="382" t="s">
        <v>20</v>
      </c>
      <c r="K176" s="417"/>
      <c r="L176" s="13" t="s">
        <v>46</v>
      </c>
      <c r="M176" s="14">
        <v>0</v>
      </c>
      <c r="N176" s="15">
        <v>600000</v>
      </c>
      <c r="O176" s="460"/>
      <c r="P176" s="460"/>
    </row>
    <row r="177" spans="1:16" ht="19.5" customHeight="1" thickBot="1" x14ac:dyDescent="0.35">
      <c r="A177" s="456"/>
      <c r="B177" s="451"/>
      <c r="C177" s="453" t="s">
        <v>21</v>
      </c>
      <c r="D177" s="379"/>
      <c r="E177" s="379"/>
      <c r="F177" s="454"/>
      <c r="G177" s="19">
        <f>SUM(G170:G176)</f>
        <v>325000</v>
      </c>
      <c r="H177" s="451"/>
      <c r="I177" s="451"/>
      <c r="J177" s="378" t="s">
        <v>22</v>
      </c>
      <c r="K177" s="379"/>
      <c r="L177" s="379"/>
      <c r="M177" s="454"/>
      <c r="N177" s="20">
        <f>SUM(N170:N176)</f>
        <v>1155500</v>
      </c>
      <c r="O177" s="461"/>
      <c r="P177" s="461"/>
    </row>
    <row r="178" spans="1:16" ht="19.5" customHeight="1" x14ac:dyDescent="0.3">
      <c r="A178" s="465" t="s">
        <v>47</v>
      </c>
      <c r="B178" s="450">
        <v>44660</v>
      </c>
      <c r="C178" s="452" t="s">
        <v>14</v>
      </c>
      <c r="D178" s="452">
        <v>1500</v>
      </c>
      <c r="E178" s="452">
        <f>+D178/2</f>
        <v>750</v>
      </c>
      <c r="F178" s="444">
        <v>150</v>
      </c>
      <c r="G178" s="444">
        <f>+D178*F178</f>
        <v>225000</v>
      </c>
      <c r="H178" s="444" t="s">
        <v>27</v>
      </c>
      <c r="I178" s="444"/>
      <c r="J178" s="458" t="s">
        <v>16</v>
      </c>
      <c r="K178" s="10">
        <v>3</v>
      </c>
      <c r="L178" s="10">
        <v>0</v>
      </c>
      <c r="M178" s="11">
        <v>12500</v>
      </c>
      <c r="N178" s="12">
        <f t="shared" ref="N178:N184" si="21">+L178*M178</f>
        <v>0</v>
      </c>
      <c r="O178" s="459" t="s">
        <v>27</v>
      </c>
      <c r="P178" s="459"/>
    </row>
    <row r="179" spans="1:16" ht="19.5" customHeight="1" x14ac:dyDescent="0.3">
      <c r="A179" s="455"/>
      <c r="B179" s="445"/>
      <c r="C179" s="445"/>
      <c r="D179" s="445"/>
      <c r="E179" s="445"/>
      <c r="F179" s="445"/>
      <c r="G179" s="445"/>
      <c r="H179" s="445"/>
      <c r="I179" s="445"/>
      <c r="J179" s="445"/>
      <c r="K179" s="13">
        <v>6</v>
      </c>
      <c r="L179" s="13">
        <v>2</v>
      </c>
      <c r="M179" s="14">
        <v>15000</v>
      </c>
      <c r="N179" s="15">
        <f t="shared" si="21"/>
        <v>30000</v>
      </c>
      <c r="O179" s="460"/>
      <c r="P179" s="460"/>
    </row>
    <row r="180" spans="1:16" ht="19.5" customHeight="1" x14ac:dyDescent="0.3">
      <c r="A180" s="455"/>
      <c r="B180" s="445"/>
      <c r="C180" s="445"/>
      <c r="D180" s="445"/>
      <c r="E180" s="445"/>
      <c r="F180" s="445"/>
      <c r="G180" s="445"/>
      <c r="H180" s="445"/>
      <c r="I180" s="445"/>
      <c r="J180" s="446"/>
      <c r="K180" s="13">
        <v>9</v>
      </c>
      <c r="L180" s="13">
        <v>2</v>
      </c>
      <c r="M180" s="14">
        <v>17500</v>
      </c>
      <c r="N180" s="15">
        <f t="shared" si="21"/>
        <v>35000</v>
      </c>
      <c r="O180" s="460"/>
      <c r="P180" s="460"/>
    </row>
    <row r="181" spans="1:16" ht="19.5" customHeight="1" x14ac:dyDescent="0.3">
      <c r="A181" s="455"/>
      <c r="B181" s="445"/>
      <c r="C181" s="445"/>
      <c r="D181" s="445"/>
      <c r="E181" s="445"/>
      <c r="F181" s="445"/>
      <c r="G181" s="445"/>
      <c r="H181" s="445"/>
      <c r="I181" s="445"/>
      <c r="J181" s="382" t="s">
        <v>17</v>
      </c>
      <c r="K181" s="417"/>
      <c r="L181" s="13">
        <v>14</v>
      </c>
      <c r="M181" s="14">
        <v>4500</v>
      </c>
      <c r="N181" s="15">
        <f t="shared" si="21"/>
        <v>63000</v>
      </c>
      <c r="O181" s="460"/>
      <c r="P181" s="460"/>
    </row>
    <row r="182" spans="1:16" ht="19.5" customHeight="1" x14ac:dyDescent="0.3">
      <c r="A182" s="455"/>
      <c r="B182" s="445"/>
      <c r="C182" s="445"/>
      <c r="D182" s="445"/>
      <c r="E182" s="445"/>
      <c r="F182" s="445"/>
      <c r="G182" s="445"/>
      <c r="H182" s="445"/>
      <c r="I182" s="445"/>
      <c r="J182" s="382" t="s">
        <v>18</v>
      </c>
      <c r="K182" s="417"/>
      <c r="L182" s="13">
        <v>0</v>
      </c>
      <c r="M182" s="14">
        <v>1250</v>
      </c>
      <c r="N182" s="15">
        <f t="shared" si="21"/>
        <v>0</v>
      </c>
      <c r="O182" s="460"/>
      <c r="P182" s="460"/>
    </row>
    <row r="183" spans="1:16" ht="19.5" customHeight="1" x14ac:dyDescent="0.3">
      <c r="A183" s="455"/>
      <c r="B183" s="445"/>
      <c r="C183" s="446"/>
      <c r="D183" s="446"/>
      <c r="E183" s="446"/>
      <c r="F183" s="446"/>
      <c r="G183" s="446"/>
      <c r="H183" s="445"/>
      <c r="I183" s="445"/>
      <c r="J183" s="382" t="s">
        <v>19</v>
      </c>
      <c r="K183" s="417"/>
      <c r="L183" s="13">
        <v>1</v>
      </c>
      <c r="M183" s="14">
        <v>40000</v>
      </c>
      <c r="N183" s="15">
        <f t="shared" si="21"/>
        <v>40000</v>
      </c>
      <c r="O183" s="460"/>
      <c r="P183" s="460"/>
    </row>
    <row r="184" spans="1:16" ht="19.5" customHeight="1" x14ac:dyDescent="0.3">
      <c r="A184" s="455"/>
      <c r="B184" s="445"/>
      <c r="C184" s="16"/>
      <c r="D184" s="17"/>
      <c r="E184" s="17"/>
      <c r="F184" s="18"/>
      <c r="G184" s="18"/>
      <c r="H184" s="445"/>
      <c r="I184" s="445"/>
      <c r="J184" s="382" t="s">
        <v>20</v>
      </c>
      <c r="K184" s="417"/>
      <c r="L184" s="13">
        <v>0</v>
      </c>
      <c r="M184" s="14">
        <v>0</v>
      </c>
      <c r="N184" s="15">
        <f t="shared" si="21"/>
        <v>0</v>
      </c>
      <c r="O184" s="460"/>
      <c r="P184" s="460"/>
    </row>
    <row r="185" spans="1:16" ht="19.5" customHeight="1" thickBot="1" x14ac:dyDescent="0.35">
      <c r="A185" s="456"/>
      <c r="B185" s="451"/>
      <c r="C185" s="453" t="s">
        <v>21</v>
      </c>
      <c r="D185" s="379"/>
      <c r="E185" s="379"/>
      <c r="F185" s="454"/>
      <c r="G185" s="19">
        <f>SUM(G178:G184)</f>
        <v>225000</v>
      </c>
      <c r="H185" s="451"/>
      <c r="I185" s="451"/>
      <c r="J185" s="378" t="s">
        <v>22</v>
      </c>
      <c r="K185" s="379"/>
      <c r="L185" s="379"/>
      <c r="M185" s="454"/>
      <c r="N185" s="20">
        <f>SUM(N178:N184)</f>
        <v>168000</v>
      </c>
      <c r="O185" s="461"/>
      <c r="P185" s="461"/>
    </row>
    <row r="186" spans="1:16" ht="19.5" customHeight="1" x14ac:dyDescent="0.3">
      <c r="A186" s="465" t="s">
        <v>30</v>
      </c>
      <c r="B186" s="450">
        <v>44671</v>
      </c>
      <c r="C186" s="452" t="s">
        <v>14</v>
      </c>
      <c r="D186" s="452">
        <v>1800</v>
      </c>
      <c r="E186" s="452">
        <f>+D186/2</f>
        <v>900</v>
      </c>
      <c r="F186" s="444">
        <v>230</v>
      </c>
      <c r="G186" s="444">
        <f>+D186*F186</f>
        <v>414000</v>
      </c>
      <c r="H186" s="444" t="s">
        <v>27</v>
      </c>
      <c r="I186" s="444"/>
      <c r="J186" s="458" t="s">
        <v>16</v>
      </c>
      <c r="K186" s="10">
        <v>3</v>
      </c>
      <c r="L186" s="10">
        <v>0</v>
      </c>
      <c r="M186" s="11">
        <v>12500</v>
      </c>
      <c r="N186" s="12">
        <f t="shared" ref="N186:N192" si="22">+L186*M186</f>
        <v>0</v>
      </c>
      <c r="O186" s="459" t="s">
        <v>27</v>
      </c>
      <c r="P186" s="459"/>
    </row>
    <row r="187" spans="1:16" ht="19.5" customHeight="1" x14ac:dyDescent="0.3">
      <c r="A187" s="455"/>
      <c r="B187" s="445"/>
      <c r="C187" s="445"/>
      <c r="D187" s="445"/>
      <c r="E187" s="445"/>
      <c r="F187" s="445"/>
      <c r="G187" s="445"/>
      <c r="H187" s="445"/>
      <c r="I187" s="445"/>
      <c r="J187" s="445"/>
      <c r="K187" s="13">
        <v>6</v>
      </c>
      <c r="L187" s="13">
        <v>2</v>
      </c>
      <c r="M187" s="14">
        <v>15000</v>
      </c>
      <c r="N187" s="15">
        <f t="shared" si="22"/>
        <v>30000</v>
      </c>
      <c r="O187" s="460"/>
      <c r="P187" s="460"/>
    </row>
    <row r="188" spans="1:16" ht="19.5" customHeight="1" x14ac:dyDescent="0.3">
      <c r="A188" s="455"/>
      <c r="B188" s="445"/>
      <c r="C188" s="445"/>
      <c r="D188" s="445"/>
      <c r="E188" s="445"/>
      <c r="F188" s="445"/>
      <c r="G188" s="445"/>
      <c r="H188" s="445"/>
      <c r="I188" s="445"/>
      <c r="J188" s="446"/>
      <c r="K188" s="13">
        <v>9</v>
      </c>
      <c r="L188" s="13">
        <v>2</v>
      </c>
      <c r="M188" s="14">
        <v>17500</v>
      </c>
      <c r="N188" s="15">
        <f t="shared" si="22"/>
        <v>35000</v>
      </c>
      <c r="O188" s="460"/>
      <c r="P188" s="460"/>
    </row>
    <row r="189" spans="1:16" ht="19.5" customHeight="1" x14ac:dyDescent="0.3">
      <c r="A189" s="455"/>
      <c r="B189" s="445"/>
      <c r="C189" s="445"/>
      <c r="D189" s="445"/>
      <c r="E189" s="445"/>
      <c r="F189" s="445"/>
      <c r="G189" s="445"/>
      <c r="H189" s="445"/>
      <c r="I189" s="445"/>
      <c r="J189" s="382" t="s">
        <v>17</v>
      </c>
      <c r="K189" s="417"/>
      <c r="L189" s="13">
        <v>14</v>
      </c>
      <c r="M189" s="14">
        <v>4500</v>
      </c>
      <c r="N189" s="15">
        <f t="shared" si="22"/>
        <v>63000</v>
      </c>
      <c r="O189" s="460"/>
      <c r="P189" s="460"/>
    </row>
    <row r="190" spans="1:16" ht="19.5" customHeight="1" x14ac:dyDescent="0.3">
      <c r="A190" s="455"/>
      <c r="B190" s="445"/>
      <c r="C190" s="445"/>
      <c r="D190" s="445"/>
      <c r="E190" s="445"/>
      <c r="F190" s="445"/>
      <c r="G190" s="445"/>
      <c r="H190" s="445"/>
      <c r="I190" s="445"/>
      <c r="J190" s="382" t="s">
        <v>18</v>
      </c>
      <c r="K190" s="417"/>
      <c r="L190" s="13">
        <v>290</v>
      </c>
      <c r="M190" s="14">
        <v>1250</v>
      </c>
      <c r="N190" s="15">
        <f t="shared" si="22"/>
        <v>362500</v>
      </c>
      <c r="O190" s="460"/>
      <c r="P190" s="460"/>
    </row>
    <row r="191" spans="1:16" ht="19.5" customHeight="1" x14ac:dyDescent="0.3">
      <c r="A191" s="455"/>
      <c r="B191" s="445"/>
      <c r="C191" s="446"/>
      <c r="D191" s="446"/>
      <c r="E191" s="446"/>
      <c r="F191" s="446"/>
      <c r="G191" s="446"/>
      <c r="H191" s="445"/>
      <c r="I191" s="445"/>
      <c r="J191" s="382" t="s">
        <v>19</v>
      </c>
      <c r="K191" s="417"/>
      <c r="L191" s="13">
        <v>1</v>
      </c>
      <c r="M191" s="14">
        <v>40000</v>
      </c>
      <c r="N191" s="15">
        <f t="shared" si="22"/>
        <v>40000</v>
      </c>
      <c r="O191" s="460"/>
      <c r="P191" s="460"/>
    </row>
    <row r="192" spans="1:16" ht="19.5" customHeight="1" x14ac:dyDescent="0.3">
      <c r="A192" s="455"/>
      <c r="B192" s="445"/>
      <c r="C192" s="16"/>
      <c r="D192" s="17"/>
      <c r="E192" s="17"/>
      <c r="F192" s="18"/>
      <c r="G192" s="18"/>
      <c r="H192" s="445"/>
      <c r="I192" s="445"/>
      <c r="J192" s="382" t="s">
        <v>20</v>
      </c>
      <c r="K192" s="417"/>
      <c r="L192" s="13">
        <v>0</v>
      </c>
      <c r="M192" s="14">
        <v>0</v>
      </c>
      <c r="N192" s="15">
        <f t="shared" si="22"/>
        <v>0</v>
      </c>
      <c r="O192" s="460"/>
      <c r="P192" s="460"/>
    </row>
    <row r="193" spans="1:16" ht="19.5" customHeight="1" thickBot="1" x14ac:dyDescent="0.35">
      <c r="A193" s="456"/>
      <c r="B193" s="451"/>
      <c r="C193" s="453" t="s">
        <v>21</v>
      </c>
      <c r="D193" s="379"/>
      <c r="E193" s="379"/>
      <c r="F193" s="454"/>
      <c r="G193" s="19">
        <f>SUM(G186:G192)</f>
        <v>414000</v>
      </c>
      <c r="H193" s="451"/>
      <c r="I193" s="451"/>
      <c r="J193" s="378" t="s">
        <v>22</v>
      </c>
      <c r="K193" s="379"/>
      <c r="L193" s="379"/>
      <c r="M193" s="454"/>
      <c r="N193" s="20">
        <f>SUM(N186:N192)</f>
        <v>530500</v>
      </c>
      <c r="O193" s="461"/>
      <c r="P193" s="461"/>
    </row>
    <row r="194" spans="1:16" ht="19.5" customHeight="1" x14ac:dyDescent="0.3">
      <c r="A194" s="465" t="s">
        <v>48</v>
      </c>
      <c r="B194" s="450">
        <v>44677</v>
      </c>
      <c r="C194" s="452" t="s">
        <v>14</v>
      </c>
      <c r="D194" s="452">
        <v>1850</v>
      </c>
      <c r="E194" s="452">
        <f>+D194/2</f>
        <v>925</v>
      </c>
      <c r="F194" s="444">
        <v>230</v>
      </c>
      <c r="G194" s="444">
        <f>+D194*F194</f>
        <v>425500</v>
      </c>
      <c r="H194" s="444" t="s">
        <v>27</v>
      </c>
      <c r="I194" s="444"/>
      <c r="J194" s="458" t="s">
        <v>16</v>
      </c>
      <c r="K194" s="10">
        <v>3</v>
      </c>
      <c r="L194" s="10">
        <v>0</v>
      </c>
      <c r="M194" s="11">
        <v>12500</v>
      </c>
      <c r="N194" s="12">
        <f t="shared" ref="N194:N200" si="23">+L194*M194</f>
        <v>0</v>
      </c>
      <c r="O194" s="459" t="s">
        <v>27</v>
      </c>
      <c r="P194" s="459"/>
    </row>
    <row r="195" spans="1:16" ht="19.5" customHeight="1" x14ac:dyDescent="0.3">
      <c r="A195" s="455"/>
      <c r="B195" s="445"/>
      <c r="C195" s="445"/>
      <c r="D195" s="445"/>
      <c r="E195" s="445"/>
      <c r="F195" s="445"/>
      <c r="G195" s="445"/>
      <c r="H195" s="445"/>
      <c r="I195" s="445"/>
      <c r="J195" s="445"/>
      <c r="K195" s="13">
        <v>6</v>
      </c>
      <c r="L195" s="13">
        <v>0</v>
      </c>
      <c r="M195" s="14">
        <v>15000</v>
      </c>
      <c r="N195" s="15">
        <f t="shared" si="23"/>
        <v>0</v>
      </c>
      <c r="O195" s="460"/>
      <c r="P195" s="460"/>
    </row>
    <row r="196" spans="1:16" ht="19.5" customHeight="1" x14ac:dyDescent="0.3">
      <c r="A196" s="455"/>
      <c r="B196" s="445"/>
      <c r="C196" s="445"/>
      <c r="D196" s="445"/>
      <c r="E196" s="445"/>
      <c r="F196" s="445"/>
      <c r="G196" s="445"/>
      <c r="H196" s="445"/>
      <c r="I196" s="445"/>
      <c r="J196" s="446"/>
      <c r="K196" s="13">
        <v>9</v>
      </c>
      <c r="L196" s="13">
        <v>0</v>
      </c>
      <c r="M196" s="14">
        <v>17500</v>
      </c>
      <c r="N196" s="15">
        <f t="shared" si="23"/>
        <v>0</v>
      </c>
      <c r="O196" s="460"/>
      <c r="P196" s="460"/>
    </row>
    <row r="197" spans="1:16" ht="19.5" customHeight="1" x14ac:dyDescent="0.3">
      <c r="A197" s="455"/>
      <c r="B197" s="445"/>
      <c r="C197" s="445"/>
      <c r="D197" s="445"/>
      <c r="E197" s="445"/>
      <c r="F197" s="445"/>
      <c r="G197" s="445"/>
      <c r="H197" s="445"/>
      <c r="I197" s="445"/>
      <c r="J197" s="382" t="s">
        <v>17</v>
      </c>
      <c r="K197" s="417"/>
      <c r="L197" s="13">
        <v>14</v>
      </c>
      <c r="M197" s="14">
        <v>4500</v>
      </c>
      <c r="N197" s="15">
        <f t="shared" si="23"/>
        <v>63000</v>
      </c>
      <c r="O197" s="460"/>
      <c r="P197" s="460"/>
    </row>
    <row r="198" spans="1:16" ht="19.5" customHeight="1" x14ac:dyDescent="0.3">
      <c r="A198" s="455"/>
      <c r="B198" s="445"/>
      <c r="C198" s="445"/>
      <c r="D198" s="445"/>
      <c r="E198" s="445"/>
      <c r="F198" s="445"/>
      <c r="G198" s="445"/>
      <c r="H198" s="445"/>
      <c r="I198" s="445"/>
      <c r="J198" s="382" t="s">
        <v>18</v>
      </c>
      <c r="K198" s="417"/>
      <c r="L198" s="13">
        <v>310</v>
      </c>
      <c r="M198" s="14">
        <v>2000</v>
      </c>
      <c r="N198" s="15">
        <f t="shared" si="23"/>
        <v>620000</v>
      </c>
      <c r="O198" s="460"/>
      <c r="P198" s="460"/>
    </row>
    <row r="199" spans="1:16" ht="19.5" customHeight="1" x14ac:dyDescent="0.3">
      <c r="A199" s="455"/>
      <c r="B199" s="445"/>
      <c r="C199" s="446"/>
      <c r="D199" s="446"/>
      <c r="E199" s="446"/>
      <c r="F199" s="446"/>
      <c r="G199" s="446"/>
      <c r="H199" s="445"/>
      <c r="I199" s="445"/>
      <c r="J199" s="382" t="s">
        <v>19</v>
      </c>
      <c r="K199" s="417"/>
      <c r="L199" s="13">
        <v>1</v>
      </c>
      <c r="M199" s="14">
        <v>20000</v>
      </c>
      <c r="N199" s="15">
        <f t="shared" si="23"/>
        <v>20000</v>
      </c>
      <c r="O199" s="460"/>
      <c r="P199" s="460"/>
    </row>
    <row r="200" spans="1:16" ht="19.5" customHeight="1" x14ac:dyDescent="0.3">
      <c r="A200" s="455"/>
      <c r="B200" s="445"/>
      <c r="C200" s="40" t="s">
        <v>59</v>
      </c>
      <c r="D200" s="17">
        <v>1</v>
      </c>
      <c r="E200" s="17"/>
      <c r="F200" s="18">
        <v>40000</v>
      </c>
      <c r="G200" s="18">
        <f>+F200</f>
        <v>40000</v>
      </c>
      <c r="H200" s="445"/>
      <c r="I200" s="445"/>
      <c r="J200" s="382" t="s">
        <v>20</v>
      </c>
      <c r="K200" s="417"/>
      <c r="L200" s="13"/>
      <c r="M200" s="14">
        <v>0</v>
      </c>
      <c r="N200" s="15">
        <f t="shared" si="23"/>
        <v>0</v>
      </c>
      <c r="O200" s="460"/>
      <c r="P200" s="460"/>
    </row>
    <row r="201" spans="1:16" ht="19.5" customHeight="1" thickBot="1" x14ac:dyDescent="0.35">
      <c r="A201" s="456"/>
      <c r="B201" s="451"/>
      <c r="C201" s="453" t="s">
        <v>21</v>
      </c>
      <c r="D201" s="379"/>
      <c r="E201" s="379"/>
      <c r="F201" s="454"/>
      <c r="G201" s="19">
        <f>SUM(G194:G200)</f>
        <v>465500</v>
      </c>
      <c r="H201" s="451"/>
      <c r="I201" s="451"/>
      <c r="J201" s="378" t="s">
        <v>22</v>
      </c>
      <c r="K201" s="379"/>
      <c r="L201" s="379"/>
      <c r="M201" s="454"/>
      <c r="N201" s="20">
        <f>SUM(N194:N200)</f>
        <v>703000</v>
      </c>
      <c r="O201" s="461"/>
      <c r="P201" s="461"/>
    </row>
    <row r="202" spans="1:16" ht="19.5" customHeight="1" x14ac:dyDescent="0.3">
      <c r="A202" s="465" t="s">
        <v>49</v>
      </c>
      <c r="B202" s="450">
        <v>44685</v>
      </c>
      <c r="C202" s="452" t="s">
        <v>14</v>
      </c>
      <c r="D202" s="452">
        <v>1900</v>
      </c>
      <c r="E202" s="452">
        <f>+D202/2</f>
        <v>950</v>
      </c>
      <c r="F202" s="444">
        <v>230</v>
      </c>
      <c r="G202" s="444">
        <f>+D202*F202</f>
        <v>437000</v>
      </c>
      <c r="H202" s="444" t="s">
        <v>27</v>
      </c>
      <c r="I202" s="444"/>
      <c r="J202" s="458" t="s">
        <v>16</v>
      </c>
      <c r="K202" s="10">
        <v>3</v>
      </c>
      <c r="L202" s="10">
        <v>0</v>
      </c>
      <c r="M202" s="11">
        <v>12500</v>
      </c>
      <c r="N202" s="12">
        <f t="shared" ref="N202:N207" si="24">+L202*M202</f>
        <v>0</v>
      </c>
      <c r="O202" s="459" t="s">
        <v>27</v>
      </c>
      <c r="P202" s="459"/>
    </row>
    <row r="203" spans="1:16" ht="19.5" customHeight="1" x14ac:dyDescent="0.3">
      <c r="A203" s="455"/>
      <c r="B203" s="445"/>
      <c r="C203" s="445"/>
      <c r="D203" s="445"/>
      <c r="E203" s="445"/>
      <c r="F203" s="445"/>
      <c r="G203" s="445"/>
      <c r="H203" s="445"/>
      <c r="I203" s="445"/>
      <c r="J203" s="445"/>
      <c r="K203" s="13">
        <v>6</v>
      </c>
      <c r="L203" s="13">
        <v>0</v>
      </c>
      <c r="M203" s="14">
        <v>15000</v>
      </c>
      <c r="N203" s="15">
        <f t="shared" si="24"/>
        <v>0</v>
      </c>
      <c r="O203" s="460"/>
      <c r="P203" s="460"/>
    </row>
    <row r="204" spans="1:16" ht="19.5" customHeight="1" x14ac:dyDescent="0.3">
      <c r="A204" s="455"/>
      <c r="B204" s="445"/>
      <c r="C204" s="445"/>
      <c r="D204" s="445"/>
      <c r="E204" s="445"/>
      <c r="F204" s="445"/>
      <c r="G204" s="445"/>
      <c r="H204" s="445"/>
      <c r="I204" s="445"/>
      <c r="J204" s="446"/>
      <c r="K204" s="13">
        <v>9</v>
      </c>
      <c r="L204" s="13">
        <v>0</v>
      </c>
      <c r="M204" s="14">
        <v>17500</v>
      </c>
      <c r="N204" s="15">
        <f t="shared" si="24"/>
        <v>0</v>
      </c>
      <c r="O204" s="460"/>
      <c r="P204" s="460"/>
    </row>
    <row r="205" spans="1:16" ht="19.5" customHeight="1" x14ac:dyDescent="0.3">
      <c r="A205" s="455"/>
      <c r="B205" s="445"/>
      <c r="C205" s="445"/>
      <c r="D205" s="445"/>
      <c r="E205" s="445"/>
      <c r="F205" s="445"/>
      <c r="G205" s="445"/>
      <c r="H205" s="445"/>
      <c r="I205" s="445"/>
      <c r="J205" s="382" t="s">
        <v>17</v>
      </c>
      <c r="K205" s="417"/>
      <c r="L205" s="13">
        <v>14</v>
      </c>
      <c r="M205" s="14">
        <v>4500</v>
      </c>
      <c r="N205" s="15">
        <f t="shared" si="24"/>
        <v>63000</v>
      </c>
      <c r="O205" s="460"/>
      <c r="P205" s="460"/>
    </row>
    <row r="206" spans="1:16" ht="19.5" customHeight="1" x14ac:dyDescent="0.3">
      <c r="A206" s="455"/>
      <c r="B206" s="445"/>
      <c r="C206" s="445"/>
      <c r="D206" s="445"/>
      <c r="E206" s="445"/>
      <c r="F206" s="445"/>
      <c r="G206" s="445"/>
      <c r="H206" s="445"/>
      <c r="I206" s="445"/>
      <c r="J206" s="382" t="s">
        <v>18</v>
      </c>
      <c r="K206" s="417"/>
      <c r="L206" s="13">
        <v>310</v>
      </c>
      <c r="M206" s="14">
        <v>2000</v>
      </c>
      <c r="N206" s="15">
        <f t="shared" si="24"/>
        <v>620000</v>
      </c>
      <c r="O206" s="460"/>
      <c r="P206" s="460"/>
    </row>
    <row r="207" spans="1:16" ht="19.5" customHeight="1" x14ac:dyDescent="0.3">
      <c r="A207" s="455"/>
      <c r="B207" s="445"/>
      <c r="C207" s="446"/>
      <c r="D207" s="446"/>
      <c r="E207" s="446"/>
      <c r="F207" s="446"/>
      <c r="G207" s="446"/>
      <c r="H207" s="445"/>
      <c r="I207" s="445"/>
      <c r="J207" s="382" t="s">
        <v>19</v>
      </c>
      <c r="K207" s="417"/>
      <c r="L207" s="13">
        <v>1</v>
      </c>
      <c r="M207" s="14">
        <v>20000</v>
      </c>
      <c r="N207" s="15">
        <f t="shared" si="24"/>
        <v>20000</v>
      </c>
      <c r="O207" s="460"/>
      <c r="P207" s="460"/>
    </row>
    <row r="208" spans="1:16" ht="19.5" customHeight="1" x14ac:dyDescent="0.3">
      <c r="A208" s="455"/>
      <c r="B208" s="445"/>
      <c r="C208" s="40" t="s">
        <v>59</v>
      </c>
      <c r="D208" s="17">
        <v>1</v>
      </c>
      <c r="E208" s="17"/>
      <c r="F208" s="18">
        <v>40000</v>
      </c>
      <c r="G208" s="18">
        <f>+F208</f>
        <v>40000</v>
      </c>
      <c r="H208" s="445"/>
      <c r="I208" s="445"/>
      <c r="J208" s="382" t="s">
        <v>20</v>
      </c>
      <c r="K208" s="417"/>
      <c r="L208" s="13" t="s">
        <v>50</v>
      </c>
      <c r="M208" s="14">
        <v>100000</v>
      </c>
      <c r="N208" s="15">
        <f>M208</f>
        <v>100000</v>
      </c>
      <c r="O208" s="460"/>
      <c r="P208" s="460"/>
    </row>
    <row r="209" spans="1:16" ht="19.5" customHeight="1" thickBot="1" x14ac:dyDescent="0.35">
      <c r="A209" s="456"/>
      <c r="B209" s="451"/>
      <c r="C209" s="453" t="s">
        <v>21</v>
      </c>
      <c r="D209" s="379"/>
      <c r="E209" s="379"/>
      <c r="F209" s="454"/>
      <c r="G209" s="19">
        <f>SUM(G202:G208)</f>
        <v>477000</v>
      </c>
      <c r="H209" s="451"/>
      <c r="I209" s="451"/>
      <c r="J209" s="378" t="s">
        <v>22</v>
      </c>
      <c r="K209" s="379"/>
      <c r="L209" s="379"/>
      <c r="M209" s="454"/>
      <c r="N209" s="20">
        <f>SUM(N202:N208)</f>
        <v>803000</v>
      </c>
      <c r="O209" s="461"/>
      <c r="P209" s="461"/>
    </row>
    <row r="210" spans="1:16" ht="19.5" customHeight="1" x14ac:dyDescent="0.3">
      <c r="A210" s="516" t="s">
        <v>51</v>
      </c>
      <c r="B210" s="450">
        <v>44689</v>
      </c>
      <c r="C210" s="452" t="s">
        <v>14</v>
      </c>
      <c r="D210" s="452">
        <v>1500</v>
      </c>
      <c r="E210" s="452">
        <f>+D210/2</f>
        <v>750</v>
      </c>
      <c r="F210" s="444">
        <v>230</v>
      </c>
      <c r="G210" s="444">
        <f>+D210*F210</f>
        <v>345000</v>
      </c>
      <c r="H210" s="444" t="s">
        <v>27</v>
      </c>
      <c r="I210" s="444"/>
      <c r="J210" s="458" t="s">
        <v>16</v>
      </c>
      <c r="K210" s="10">
        <v>3</v>
      </c>
      <c r="L210" s="10">
        <v>0</v>
      </c>
      <c r="M210" s="11">
        <v>12500</v>
      </c>
      <c r="N210" s="12">
        <f t="shared" ref="N210:N216" si="25">+L210*M210</f>
        <v>0</v>
      </c>
      <c r="O210" s="459" t="s">
        <v>27</v>
      </c>
      <c r="P210" s="459"/>
    </row>
    <row r="211" spans="1:16" ht="19.5" customHeight="1" x14ac:dyDescent="0.3">
      <c r="A211" s="517"/>
      <c r="B211" s="445"/>
      <c r="C211" s="445"/>
      <c r="D211" s="445"/>
      <c r="E211" s="445"/>
      <c r="F211" s="445"/>
      <c r="G211" s="445"/>
      <c r="H211" s="445"/>
      <c r="I211" s="445"/>
      <c r="J211" s="445"/>
      <c r="K211" s="13">
        <v>6</v>
      </c>
      <c r="L211" s="13">
        <v>0</v>
      </c>
      <c r="M211" s="14">
        <v>15000</v>
      </c>
      <c r="N211" s="15">
        <f t="shared" si="25"/>
        <v>0</v>
      </c>
      <c r="O211" s="460"/>
      <c r="P211" s="460"/>
    </row>
    <row r="212" spans="1:16" ht="19.5" customHeight="1" x14ac:dyDescent="0.3">
      <c r="A212" s="517"/>
      <c r="B212" s="445"/>
      <c r="C212" s="445"/>
      <c r="D212" s="445"/>
      <c r="E212" s="445"/>
      <c r="F212" s="445"/>
      <c r="G212" s="445"/>
      <c r="H212" s="445"/>
      <c r="I212" s="445"/>
      <c r="J212" s="446"/>
      <c r="K212" s="13">
        <v>9</v>
      </c>
      <c r="L212" s="13">
        <v>0</v>
      </c>
      <c r="M212" s="14">
        <v>17500</v>
      </c>
      <c r="N212" s="15">
        <f t="shared" si="25"/>
        <v>0</v>
      </c>
      <c r="O212" s="460"/>
      <c r="P212" s="460"/>
    </row>
    <row r="213" spans="1:16" ht="19.5" customHeight="1" x14ac:dyDescent="0.3">
      <c r="A213" s="517"/>
      <c r="B213" s="445"/>
      <c r="C213" s="445"/>
      <c r="D213" s="445"/>
      <c r="E213" s="445"/>
      <c r="F213" s="445"/>
      <c r="G213" s="445"/>
      <c r="H213" s="445"/>
      <c r="I213" s="445"/>
      <c r="J213" s="382" t="s">
        <v>17</v>
      </c>
      <c r="K213" s="417"/>
      <c r="L213" s="13">
        <v>14</v>
      </c>
      <c r="M213" s="14">
        <v>4500</v>
      </c>
      <c r="N213" s="15">
        <f t="shared" si="25"/>
        <v>63000</v>
      </c>
      <c r="O213" s="460"/>
      <c r="P213" s="460"/>
    </row>
    <row r="214" spans="1:16" ht="19.5" customHeight="1" x14ac:dyDescent="0.3">
      <c r="A214" s="517"/>
      <c r="B214" s="445"/>
      <c r="C214" s="445"/>
      <c r="D214" s="445"/>
      <c r="E214" s="445"/>
      <c r="F214" s="445"/>
      <c r="G214" s="445"/>
      <c r="H214" s="445"/>
      <c r="I214" s="445"/>
      <c r="J214" s="382" t="s">
        <v>18</v>
      </c>
      <c r="K214" s="417"/>
      <c r="L214" s="13">
        <v>0</v>
      </c>
      <c r="M214" s="14">
        <v>2000</v>
      </c>
      <c r="N214" s="15">
        <f t="shared" si="25"/>
        <v>0</v>
      </c>
      <c r="O214" s="460"/>
      <c r="P214" s="460"/>
    </row>
    <row r="215" spans="1:16" ht="19.5" customHeight="1" x14ac:dyDescent="0.3">
      <c r="A215" s="517"/>
      <c r="B215" s="445"/>
      <c r="C215" s="446"/>
      <c r="D215" s="446"/>
      <c r="E215" s="446"/>
      <c r="F215" s="446"/>
      <c r="G215" s="446"/>
      <c r="H215" s="445"/>
      <c r="I215" s="445"/>
      <c r="J215" s="382" t="s">
        <v>19</v>
      </c>
      <c r="K215" s="417"/>
      <c r="L215" s="13">
        <v>1</v>
      </c>
      <c r="M215" s="14">
        <v>20000</v>
      </c>
      <c r="N215" s="15">
        <f t="shared" si="25"/>
        <v>20000</v>
      </c>
      <c r="O215" s="460"/>
      <c r="P215" s="460"/>
    </row>
    <row r="216" spans="1:16" ht="19.5" customHeight="1" x14ac:dyDescent="0.3">
      <c r="A216" s="517"/>
      <c r="B216" s="445"/>
      <c r="C216" s="16"/>
      <c r="D216" s="17"/>
      <c r="E216" s="17"/>
      <c r="F216" s="18"/>
      <c r="G216" s="18"/>
      <c r="H216" s="445"/>
      <c r="I216" s="445"/>
      <c r="J216" s="382" t="s">
        <v>20</v>
      </c>
      <c r="K216" s="417"/>
      <c r="L216" s="13">
        <v>0</v>
      </c>
      <c r="M216" s="14">
        <v>0</v>
      </c>
      <c r="N216" s="15">
        <f t="shared" si="25"/>
        <v>0</v>
      </c>
      <c r="O216" s="460"/>
      <c r="P216" s="460"/>
    </row>
    <row r="217" spans="1:16" ht="19.5" customHeight="1" thickBot="1" x14ac:dyDescent="0.35">
      <c r="A217" s="518"/>
      <c r="B217" s="497"/>
      <c r="C217" s="502" t="s">
        <v>21</v>
      </c>
      <c r="D217" s="420"/>
      <c r="E217" s="420"/>
      <c r="F217" s="421"/>
      <c r="G217" s="44">
        <f>SUM(G210:G216)</f>
        <v>345000</v>
      </c>
      <c r="H217" s="497"/>
      <c r="I217" s="497"/>
      <c r="J217" s="419" t="s">
        <v>22</v>
      </c>
      <c r="K217" s="420"/>
      <c r="L217" s="420"/>
      <c r="M217" s="421"/>
      <c r="N217" s="41">
        <f>SUM(N210:N216)</f>
        <v>83000</v>
      </c>
      <c r="O217" s="493"/>
      <c r="P217" s="493"/>
    </row>
    <row r="218" spans="1:16" ht="19.5" customHeight="1" x14ac:dyDescent="0.3">
      <c r="A218" s="402" t="s">
        <v>51</v>
      </c>
      <c r="B218" s="405">
        <v>44717</v>
      </c>
      <c r="C218" s="503" t="s">
        <v>14</v>
      </c>
      <c r="D218" s="503">
        <v>1470</v>
      </c>
      <c r="E218" s="509">
        <f>+D218/2</f>
        <v>735</v>
      </c>
      <c r="F218" s="505">
        <v>230</v>
      </c>
      <c r="G218" s="507">
        <f>+D218*F218</f>
        <v>338100</v>
      </c>
      <c r="H218" s="512" t="s">
        <v>27</v>
      </c>
      <c r="I218" s="514"/>
      <c r="J218" s="491" t="s">
        <v>17</v>
      </c>
      <c r="K218" s="492"/>
      <c r="L218" s="46">
        <v>14</v>
      </c>
      <c r="M218" s="47">
        <v>4500</v>
      </c>
      <c r="N218" s="48">
        <f>+L218*M218</f>
        <v>63000</v>
      </c>
      <c r="O218" s="486" t="s">
        <v>27</v>
      </c>
      <c r="P218" s="488"/>
    </row>
    <row r="219" spans="1:16" ht="19.5" customHeight="1" x14ac:dyDescent="0.3">
      <c r="A219" s="403"/>
      <c r="B219" s="406"/>
      <c r="C219" s="504"/>
      <c r="D219" s="504"/>
      <c r="E219" s="510"/>
      <c r="F219" s="506"/>
      <c r="G219" s="508"/>
      <c r="H219" s="393"/>
      <c r="I219" s="499"/>
      <c r="J219" s="382" t="s">
        <v>18</v>
      </c>
      <c r="K219" s="417"/>
      <c r="L219" s="13">
        <v>260</v>
      </c>
      <c r="M219" s="14">
        <v>2000</v>
      </c>
      <c r="N219" s="15">
        <f>+L219*M219</f>
        <v>520000</v>
      </c>
      <c r="O219" s="375"/>
      <c r="P219" s="489"/>
    </row>
    <row r="220" spans="1:16" ht="19.5" customHeight="1" x14ac:dyDescent="0.3">
      <c r="A220" s="403"/>
      <c r="B220" s="406"/>
      <c r="C220" s="504"/>
      <c r="D220" s="504"/>
      <c r="E220" s="511"/>
      <c r="F220" s="506"/>
      <c r="G220" s="508"/>
      <c r="H220" s="393"/>
      <c r="I220" s="499"/>
      <c r="J220" s="382" t="s">
        <v>19</v>
      </c>
      <c r="K220" s="417"/>
      <c r="L220" s="13">
        <v>1</v>
      </c>
      <c r="M220" s="14">
        <v>20000</v>
      </c>
      <c r="N220" s="15">
        <f>+L220*M220</f>
        <v>20000</v>
      </c>
      <c r="O220" s="375"/>
      <c r="P220" s="489"/>
    </row>
    <row r="221" spans="1:16" ht="19.5" customHeight="1" x14ac:dyDescent="0.3">
      <c r="A221" s="403"/>
      <c r="B221" s="406"/>
      <c r="C221" s="54" t="s">
        <v>55</v>
      </c>
      <c r="D221" s="54">
        <v>2</v>
      </c>
      <c r="E221" s="54"/>
      <c r="F221" s="43">
        <v>55000</v>
      </c>
      <c r="G221" s="56">
        <f>+D221*F221</f>
        <v>110000</v>
      </c>
      <c r="H221" s="393"/>
      <c r="I221" s="499"/>
      <c r="J221" s="382" t="s">
        <v>57</v>
      </c>
      <c r="K221" s="417"/>
      <c r="L221" s="13">
        <v>1</v>
      </c>
      <c r="M221" s="14">
        <v>55000</v>
      </c>
      <c r="N221" s="15">
        <f>+L221*M221</f>
        <v>55000</v>
      </c>
      <c r="O221" s="375"/>
      <c r="P221" s="489"/>
    </row>
    <row r="222" spans="1:16" ht="19.5" customHeight="1" x14ac:dyDescent="0.3">
      <c r="A222" s="403"/>
      <c r="B222" s="406"/>
      <c r="C222" s="54" t="s">
        <v>56</v>
      </c>
      <c r="D222" s="54">
        <v>3</v>
      </c>
      <c r="E222" s="54"/>
      <c r="F222" s="45">
        <v>12500</v>
      </c>
      <c r="G222" s="57">
        <f>+D222*F222</f>
        <v>37500</v>
      </c>
      <c r="H222" s="393"/>
      <c r="I222" s="499"/>
      <c r="J222" s="382" t="s">
        <v>20</v>
      </c>
      <c r="K222" s="417"/>
      <c r="L222" s="13"/>
      <c r="M222" s="14">
        <v>0</v>
      </c>
      <c r="N222" s="15">
        <f>+L222*M222</f>
        <v>0</v>
      </c>
      <c r="O222" s="375"/>
      <c r="P222" s="489"/>
    </row>
    <row r="223" spans="1:16" ht="19.5" customHeight="1" thickBot="1" x14ac:dyDescent="0.35">
      <c r="A223" s="404"/>
      <c r="B223" s="519"/>
      <c r="C223" s="399" t="s">
        <v>21</v>
      </c>
      <c r="D223" s="400"/>
      <c r="E223" s="400"/>
      <c r="F223" s="401"/>
      <c r="G223" s="58">
        <f>SUM(G218:G222)</f>
        <v>485600</v>
      </c>
      <c r="H223" s="513"/>
      <c r="I223" s="515"/>
      <c r="J223" s="484" t="s">
        <v>22</v>
      </c>
      <c r="K223" s="485"/>
      <c r="L223" s="485"/>
      <c r="M223" s="418"/>
      <c r="N223" s="49">
        <f>SUM(N218:N222)</f>
        <v>658000</v>
      </c>
      <c r="O223" s="487"/>
      <c r="P223" s="490"/>
    </row>
    <row r="224" spans="1:16" ht="19.5" customHeight="1" x14ac:dyDescent="0.3">
      <c r="A224" s="402" t="s">
        <v>41</v>
      </c>
      <c r="B224" s="405">
        <v>44726</v>
      </c>
      <c r="C224" s="503" t="s">
        <v>14</v>
      </c>
      <c r="D224" s="503">
        <v>1470</v>
      </c>
      <c r="E224" s="503">
        <f>+D224/2</f>
        <v>735</v>
      </c>
      <c r="F224" s="505">
        <v>230</v>
      </c>
      <c r="G224" s="507">
        <f>+D224*F224</f>
        <v>338100</v>
      </c>
      <c r="H224" s="393" t="s">
        <v>27</v>
      </c>
      <c r="I224" s="498"/>
      <c r="J224" s="491" t="s">
        <v>17</v>
      </c>
      <c r="K224" s="492"/>
      <c r="L224" s="46">
        <v>14</v>
      </c>
      <c r="M224" s="47">
        <v>4500</v>
      </c>
      <c r="N224" s="48">
        <f>+L224*M224</f>
        <v>63000</v>
      </c>
      <c r="O224" s="377" t="s">
        <v>27</v>
      </c>
      <c r="P224" s="377"/>
    </row>
    <row r="225" spans="1:16" ht="19.5" customHeight="1" x14ac:dyDescent="0.3">
      <c r="A225" s="403"/>
      <c r="B225" s="406"/>
      <c r="C225" s="504"/>
      <c r="D225" s="504"/>
      <c r="E225" s="504"/>
      <c r="F225" s="506"/>
      <c r="G225" s="508"/>
      <c r="H225" s="393"/>
      <c r="I225" s="498"/>
      <c r="J225" s="382" t="s">
        <v>18</v>
      </c>
      <c r="K225" s="417"/>
      <c r="L225" s="13">
        <v>260</v>
      </c>
      <c r="M225" s="14">
        <v>2000</v>
      </c>
      <c r="N225" s="15">
        <f>+L225*M225</f>
        <v>520000</v>
      </c>
      <c r="O225" s="377"/>
      <c r="P225" s="377"/>
    </row>
    <row r="226" spans="1:16" ht="19.5" customHeight="1" x14ac:dyDescent="0.3">
      <c r="A226" s="403"/>
      <c r="B226" s="406"/>
      <c r="C226" s="504"/>
      <c r="D226" s="504"/>
      <c r="E226" s="504"/>
      <c r="F226" s="506"/>
      <c r="G226" s="508"/>
      <c r="H226" s="393"/>
      <c r="I226" s="498"/>
      <c r="J226" s="382" t="s">
        <v>19</v>
      </c>
      <c r="K226" s="417"/>
      <c r="L226" s="13">
        <v>1</v>
      </c>
      <c r="M226" s="14">
        <v>20000</v>
      </c>
      <c r="N226" s="15">
        <f>+L226*M226</f>
        <v>20000</v>
      </c>
      <c r="O226" s="377"/>
      <c r="P226" s="377"/>
    </row>
    <row r="227" spans="1:16" ht="19.5" customHeight="1" x14ac:dyDescent="0.3">
      <c r="A227" s="403"/>
      <c r="B227" s="406"/>
      <c r="C227" s="54" t="s">
        <v>55</v>
      </c>
      <c r="D227" s="54">
        <v>2</v>
      </c>
      <c r="E227" s="54"/>
      <c r="F227" s="43">
        <v>55000</v>
      </c>
      <c r="G227" s="56">
        <f>+D227*F227</f>
        <v>110000</v>
      </c>
      <c r="H227" s="393"/>
      <c r="I227" s="499"/>
      <c r="J227" s="382" t="s">
        <v>57</v>
      </c>
      <c r="K227" s="417"/>
      <c r="L227" s="13">
        <v>1</v>
      </c>
      <c r="M227" s="14">
        <v>55000</v>
      </c>
      <c r="N227" s="15">
        <f>+L227*M227</f>
        <v>55000</v>
      </c>
      <c r="O227" s="375"/>
      <c r="P227" s="375"/>
    </row>
    <row r="228" spans="1:16" ht="19.5" customHeight="1" x14ac:dyDescent="0.3">
      <c r="A228" s="403"/>
      <c r="B228" s="406"/>
      <c r="C228" s="54" t="s">
        <v>56</v>
      </c>
      <c r="D228" s="54">
        <v>3</v>
      </c>
      <c r="E228" s="54"/>
      <c r="F228" s="45">
        <v>12500</v>
      </c>
      <c r="G228" s="57">
        <f>+D228*F228</f>
        <v>37500</v>
      </c>
      <c r="H228" s="393"/>
      <c r="I228" s="498"/>
      <c r="J228" s="382" t="s">
        <v>20</v>
      </c>
      <c r="K228" s="417"/>
      <c r="L228" s="13"/>
      <c r="M228" s="14">
        <v>0</v>
      </c>
      <c r="N228" s="15">
        <f>+L228*M228</f>
        <v>0</v>
      </c>
      <c r="O228" s="377"/>
      <c r="P228" s="377"/>
    </row>
    <row r="229" spans="1:16" ht="19.5" customHeight="1" thickBot="1" x14ac:dyDescent="0.35">
      <c r="A229" s="404"/>
      <c r="B229" s="407"/>
      <c r="C229" s="399" t="s">
        <v>21</v>
      </c>
      <c r="D229" s="400"/>
      <c r="E229" s="400"/>
      <c r="F229" s="401"/>
      <c r="G229" s="58">
        <f>SUM(G224:G228)</f>
        <v>485600</v>
      </c>
      <c r="H229" s="394"/>
      <c r="I229" s="500"/>
      <c r="J229" s="378" t="s">
        <v>22</v>
      </c>
      <c r="K229" s="379"/>
      <c r="L229" s="379"/>
      <c r="M229" s="454"/>
      <c r="N229" s="20">
        <f>SUM(N224:N228)</f>
        <v>658000</v>
      </c>
      <c r="O229" s="376"/>
      <c r="P229" s="376"/>
    </row>
    <row r="230" spans="1:16" ht="19.5" customHeight="1" x14ac:dyDescent="0.3">
      <c r="A230" s="402" t="s">
        <v>52</v>
      </c>
      <c r="B230" s="405">
        <v>44737</v>
      </c>
      <c r="C230" s="503" t="s">
        <v>14</v>
      </c>
      <c r="D230" s="503">
        <v>1470</v>
      </c>
      <c r="E230" s="509">
        <f>+D230/2</f>
        <v>735</v>
      </c>
      <c r="F230" s="505">
        <v>230</v>
      </c>
      <c r="G230" s="507">
        <f>+D230*F230</f>
        <v>338100</v>
      </c>
      <c r="H230" s="393" t="s">
        <v>27</v>
      </c>
      <c r="I230" s="501"/>
      <c r="J230" s="491" t="s">
        <v>17</v>
      </c>
      <c r="K230" s="492"/>
      <c r="L230" s="46">
        <v>14</v>
      </c>
      <c r="M230" s="47">
        <v>4500</v>
      </c>
      <c r="N230" s="48">
        <f>+L230*M230</f>
        <v>63000</v>
      </c>
      <c r="O230" s="377" t="s">
        <v>27</v>
      </c>
      <c r="P230" s="377"/>
    </row>
    <row r="231" spans="1:16" ht="19.5" customHeight="1" x14ac:dyDescent="0.3">
      <c r="A231" s="403"/>
      <c r="B231" s="406"/>
      <c r="C231" s="504"/>
      <c r="D231" s="504"/>
      <c r="E231" s="510"/>
      <c r="F231" s="506"/>
      <c r="G231" s="508"/>
      <c r="H231" s="393"/>
      <c r="I231" s="498"/>
      <c r="J231" s="382" t="s">
        <v>18</v>
      </c>
      <c r="K231" s="417"/>
      <c r="L231" s="13">
        <v>275</v>
      </c>
      <c r="M231" s="14">
        <v>2000</v>
      </c>
      <c r="N231" s="15">
        <f>+L231*M231</f>
        <v>550000</v>
      </c>
      <c r="O231" s="377"/>
      <c r="P231" s="377"/>
    </row>
    <row r="232" spans="1:16" ht="19.5" customHeight="1" x14ac:dyDescent="0.3">
      <c r="A232" s="403"/>
      <c r="B232" s="406"/>
      <c r="C232" s="504"/>
      <c r="D232" s="504"/>
      <c r="E232" s="511"/>
      <c r="F232" s="506"/>
      <c r="G232" s="508"/>
      <c r="H232" s="393"/>
      <c r="I232" s="498"/>
      <c r="J232" s="382" t="s">
        <v>19</v>
      </c>
      <c r="K232" s="417"/>
      <c r="L232" s="13">
        <v>1</v>
      </c>
      <c r="M232" s="14">
        <v>20000</v>
      </c>
      <c r="N232" s="15">
        <f>+L232*M232</f>
        <v>20000</v>
      </c>
      <c r="O232" s="377"/>
      <c r="P232" s="377"/>
    </row>
    <row r="233" spans="1:16" ht="19.5" customHeight="1" x14ac:dyDescent="0.3">
      <c r="A233" s="403"/>
      <c r="B233" s="406"/>
      <c r="C233" s="54" t="s">
        <v>55</v>
      </c>
      <c r="D233" s="54">
        <v>2</v>
      </c>
      <c r="E233" s="54"/>
      <c r="F233" s="43">
        <v>55000</v>
      </c>
      <c r="G233" s="56">
        <f>+D233*F233</f>
        <v>110000</v>
      </c>
      <c r="H233" s="393"/>
      <c r="I233" s="499"/>
      <c r="J233" s="382" t="s">
        <v>57</v>
      </c>
      <c r="K233" s="417"/>
      <c r="L233" s="13">
        <v>1</v>
      </c>
      <c r="M233" s="14">
        <v>55000</v>
      </c>
      <c r="N233" s="15">
        <f>+L233*M233</f>
        <v>55000</v>
      </c>
      <c r="O233" s="375"/>
      <c r="P233" s="375"/>
    </row>
    <row r="234" spans="1:16" ht="19.5" customHeight="1" x14ac:dyDescent="0.3">
      <c r="A234" s="403"/>
      <c r="B234" s="406"/>
      <c r="C234" s="54" t="s">
        <v>56</v>
      </c>
      <c r="D234" s="54">
        <v>3</v>
      </c>
      <c r="E234" s="54"/>
      <c r="F234" s="45">
        <v>12500</v>
      </c>
      <c r="G234" s="57">
        <f>+D234*F234</f>
        <v>37500</v>
      </c>
      <c r="H234" s="393"/>
      <c r="I234" s="498"/>
      <c r="J234" s="382" t="s">
        <v>20</v>
      </c>
      <c r="K234" s="417"/>
      <c r="L234" s="13"/>
      <c r="M234" s="14">
        <v>0</v>
      </c>
      <c r="N234" s="15">
        <f>+L234*M234</f>
        <v>0</v>
      </c>
      <c r="O234" s="377"/>
      <c r="P234" s="377"/>
    </row>
    <row r="235" spans="1:16" ht="19.5" customHeight="1" thickBot="1" x14ac:dyDescent="0.35">
      <c r="A235" s="404"/>
      <c r="B235" s="407"/>
      <c r="C235" s="522" t="s">
        <v>21</v>
      </c>
      <c r="D235" s="485"/>
      <c r="E235" s="485"/>
      <c r="F235" s="418"/>
      <c r="G235" s="59">
        <f>SUM(G230:G234)</f>
        <v>485600</v>
      </c>
      <c r="H235" s="394"/>
      <c r="I235" s="500"/>
      <c r="J235" s="378" t="s">
        <v>22</v>
      </c>
      <c r="K235" s="379"/>
      <c r="L235" s="379"/>
      <c r="M235" s="454"/>
      <c r="N235" s="20">
        <f>SUM(N230:N234)</f>
        <v>688000</v>
      </c>
      <c r="O235" s="376"/>
      <c r="P235" s="376"/>
    </row>
    <row r="236" spans="1:16" ht="19.5" customHeight="1" x14ac:dyDescent="0.3">
      <c r="A236" s="402" t="s">
        <v>53</v>
      </c>
      <c r="B236" s="405">
        <v>44741</v>
      </c>
      <c r="C236" s="387" t="s">
        <v>54</v>
      </c>
      <c r="D236" s="387">
        <v>2300</v>
      </c>
      <c r="E236" s="387">
        <f>+D236/2</f>
        <v>1150</v>
      </c>
      <c r="F236" s="389">
        <v>230</v>
      </c>
      <c r="G236" s="391">
        <f>+D236*F236</f>
        <v>529000</v>
      </c>
      <c r="H236" s="393" t="s">
        <v>27</v>
      </c>
      <c r="I236" s="498"/>
      <c r="J236" s="382" t="s">
        <v>17</v>
      </c>
      <c r="K236" s="417"/>
      <c r="L236" s="46">
        <v>14</v>
      </c>
      <c r="M236" s="47">
        <v>5000</v>
      </c>
      <c r="N236" s="48">
        <f>+L236*M236</f>
        <v>70000</v>
      </c>
      <c r="O236" s="377" t="s">
        <v>27</v>
      </c>
      <c r="P236" s="377"/>
    </row>
    <row r="237" spans="1:16" ht="19.5" customHeight="1" x14ac:dyDescent="0.3">
      <c r="A237" s="403"/>
      <c r="B237" s="406"/>
      <c r="C237" s="388"/>
      <c r="D237" s="388"/>
      <c r="E237" s="388"/>
      <c r="F237" s="390"/>
      <c r="G237" s="392"/>
      <c r="H237" s="393"/>
      <c r="I237" s="498"/>
      <c r="J237" s="382" t="s">
        <v>18</v>
      </c>
      <c r="K237" s="417"/>
      <c r="L237" s="13">
        <v>850</v>
      </c>
      <c r="M237" s="14">
        <v>2000</v>
      </c>
      <c r="N237" s="15">
        <f>+L237*M237</f>
        <v>1700000</v>
      </c>
      <c r="O237" s="377"/>
      <c r="P237" s="377"/>
    </row>
    <row r="238" spans="1:16" ht="19.5" customHeight="1" x14ac:dyDescent="0.3">
      <c r="A238" s="403"/>
      <c r="B238" s="406"/>
      <c r="C238" s="54" t="s">
        <v>55</v>
      </c>
      <c r="D238" s="54">
        <v>2</v>
      </c>
      <c r="E238" s="54"/>
      <c r="F238" s="43">
        <v>55000</v>
      </c>
      <c r="G238" s="56">
        <f>+D238*F238</f>
        <v>110000</v>
      </c>
      <c r="H238" s="393"/>
      <c r="I238" s="498"/>
      <c r="J238" s="382" t="s">
        <v>19</v>
      </c>
      <c r="K238" s="417"/>
      <c r="L238" s="13">
        <v>1</v>
      </c>
      <c r="M238" s="14">
        <v>20000</v>
      </c>
      <c r="N238" s="15">
        <f>+L238*M238</f>
        <v>20000</v>
      </c>
      <c r="O238" s="377"/>
      <c r="P238" s="377"/>
    </row>
    <row r="239" spans="1:16" ht="19.5" customHeight="1" x14ac:dyDescent="0.3">
      <c r="A239" s="403"/>
      <c r="B239" s="406"/>
      <c r="C239" s="54" t="s">
        <v>56</v>
      </c>
      <c r="D239" s="54">
        <v>3</v>
      </c>
      <c r="E239" s="54"/>
      <c r="F239" s="45">
        <v>12500</v>
      </c>
      <c r="G239" s="57">
        <f>+D239*F239</f>
        <v>37500</v>
      </c>
      <c r="H239" s="393"/>
      <c r="I239" s="499"/>
      <c r="J239" s="382" t="s">
        <v>57</v>
      </c>
      <c r="K239" s="417"/>
      <c r="L239" s="13">
        <v>1</v>
      </c>
      <c r="M239" s="14">
        <v>55000</v>
      </c>
      <c r="N239" s="15">
        <f>+L239*M239</f>
        <v>55000</v>
      </c>
      <c r="O239" s="375"/>
      <c r="P239" s="375"/>
    </row>
    <row r="240" spans="1:16" ht="19.5" customHeight="1" x14ac:dyDescent="0.3">
      <c r="A240" s="403"/>
      <c r="B240" s="406"/>
      <c r="C240" s="40" t="s">
        <v>59</v>
      </c>
      <c r="D240" s="54">
        <v>1</v>
      </c>
      <c r="E240" s="55"/>
      <c r="F240" s="18">
        <v>40000</v>
      </c>
      <c r="G240" s="57">
        <f>+D240*F240</f>
        <v>40000</v>
      </c>
      <c r="H240" s="393"/>
      <c r="I240" s="498"/>
      <c r="J240" s="382" t="s">
        <v>60</v>
      </c>
      <c r="K240" s="417"/>
      <c r="L240" s="13">
        <v>1</v>
      </c>
      <c r="M240" s="14">
        <v>350000</v>
      </c>
      <c r="N240" s="15">
        <f>+L240*M240</f>
        <v>350000</v>
      </c>
      <c r="O240" s="377"/>
      <c r="P240" s="377"/>
    </row>
    <row r="241" spans="1:16" ht="19.5" customHeight="1" thickBot="1" x14ac:dyDescent="0.35">
      <c r="A241" s="404"/>
      <c r="B241" s="407"/>
      <c r="C241" s="522" t="s">
        <v>21</v>
      </c>
      <c r="D241" s="485"/>
      <c r="E241" s="485"/>
      <c r="F241" s="418"/>
      <c r="G241" s="59">
        <f>SUM(G236:G240)</f>
        <v>716500</v>
      </c>
      <c r="H241" s="394"/>
      <c r="I241" s="500"/>
      <c r="J241" s="378" t="s">
        <v>22</v>
      </c>
      <c r="K241" s="379"/>
      <c r="L241" s="379"/>
      <c r="M241" s="454"/>
      <c r="N241" s="20">
        <f>SUM(N236:N240)</f>
        <v>2195000</v>
      </c>
      <c r="O241" s="376"/>
      <c r="P241" s="376"/>
    </row>
    <row r="242" spans="1:16" ht="19.5" customHeight="1" x14ac:dyDescent="0.3">
      <c r="A242" s="402" t="s">
        <v>58</v>
      </c>
      <c r="B242" s="405">
        <v>44751</v>
      </c>
      <c r="C242" s="387" t="s">
        <v>54</v>
      </c>
      <c r="D242" s="387">
        <v>1880</v>
      </c>
      <c r="E242" s="387">
        <f>+D242/2</f>
        <v>940</v>
      </c>
      <c r="F242" s="389">
        <v>230</v>
      </c>
      <c r="G242" s="391">
        <f>+D242*F242</f>
        <v>432400</v>
      </c>
      <c r="H242" s="393" t="s">
        <v>27</v>
      </c>
      <c r="I242" s="428"/>
      <c r="J242" s="382" t="s">
        <v>17</v>
      </c>
      <c r="K242" s="417"/>
      <c r="L242" s="46">
        <v>14</v>
      </c>
      <c r="M242" s="47">
        <v>5000</v>
      </c>
      <c r="N242" s="48">
        <f>+L242*M242</f>
        <v>70000</v>
      </c>
      <c r="O242" s="377" t="s">
        <v>27</v>
      </c>
      <c r="P242" s="377" t="s">
        <v>27</v>
      </c>
    </row>
    <row r="243" spans="1:16" ht="19.5" customHeight="1" x14ac:dyDescent="0.3">
      <c r="A243" s="403"/>
      <c r="B243" s="406"/>
      <c r="C243" s="388"/>
      <c r="D243" s="388"/>
      <c r="E243" s="388"/>
      <c r="F243" s="390"/>
      <c r="G243" s="392"/>
      <c r="H243" s="393"/>
      <c r="I243" s="429"/>
      <c r="J243" s="382" t="s">
        <v>18</v>
      </c>
      <c r="K243" s="417"/>
      <c r="L243" s="13">
        <v>275</v>
      </c>
      <c r="M243" s="14">
        <v>2000</v>
      </c>
      <c r="N243" s="15">
        <f>+L243*M243</f>
        <v>550000</v>
      </c>
      <c r="O243" s="377"/>
      <c r="P243" s="377"/>
    </row>
    <row r="244" spans="1:16" ht="19.5" customHeight="1" x14ac:dyDescent="0.3">
      <c r="A244" s="403"/>
      <c r="B244" s="406"/>
      <c r="C244" s="54" t="s">
        <v>55</v>
      </c>
      <c r="D244" s="54">
        <v>2</v>
      </c>
      <c r="E244" s="54"/>
      <c r="F244" s="43">
        <v>55000</v>
      </c>
      <c r="G244" s="56">
        <f>+D244*F244</f>
        <v>110000</v>
      </c>
      <c r="H244" s="393"/>
      <c r="I244" s="429"/>
      <c r="J244" s="382" t="s">
        <v>19</v>
      </c>
      <c r="K244" s="417"/>
      <c r="L244" s="13">
        <v>1</v>
      </c>
      <c r="M244" s="14">
        <v>20000</v>
      </c>
      <c r="N244" s="15">
        <f>+L244*M244</f>
        <v>20000</v>
      </c>
      <c r="O244" s="377"/>
      <c r="P244" s="377"/>
    </row>
    <row r="245" spans="1:16" ht="19.5" customHeight="1" x14ac:dyDescent="0.3">
      <c r="A245" s="403"/>
      <c r="B245" s="406"/>
      <c r="C245" s="54" t="s">
        <v>56</v>
      </c>
      <c r="D245" s="54">
        <v>3</v>
      </c>
      <c r="E245" s="54"/>
      <c r="F245" s="45">
        <v>12500</v>
      </c>
      <c r="G245" s="57">
        <f>+D245*F245</f>
        <v>37500</v>
      </c>
      <c r="H245" s="393"/>
      <c r="I245" s="397"/>
      <c r="J245" s="382" t="s">
        <v>57</v>
      </c>
      <c r="K245" s="417"/>
      <c r="L245" s="13">
        <v>1</v>
      </c>
      <c r="M245" s="14">
        <v>55000</v>
      </c>
      <c r="N245" s="15">
        <f>+L245*M245</f>
        <v>55000</v>
      </c>
      <c r="O245" s="375"/>
      <c r="P245" s="375"/>
    </row>
    <row r="246" spans="1:16" ht="14.4" x14ac:dyDescent="0.3">
      <c r="A246" s="403"/>
      <c r="B246" s="406"/>
      <c r="C246" s="51"/>
      <c r="D246" s="52"/>
      <c r="E246" s="52"/>
      <c r="F246" s="50"/>
      <c r="G246" s="60"/>
      <c r="H246" s="393"/>
      <c r="I246" s="429"/>
      <c r="J246" s="382" t="s">
        <v>20</v>
      </c>
      <c r="K246" s="417"/>
      <c r="L246" s="13"/>
      <c r="M246" s="14">
        <v>0</v>
      </c>
      <c r="N246" s="15">
        <f>+L246*M246</f>
        <v>0</v>
      </c>
      <c r="O246" s="377"/>
      <c r="P246" s="377"/>
    </row>
    <row r="247" spans="1:16" thickBot="1" x14ac:dyDescent="0.35">
      <c r="A247" s="404"/>
      <c r="B247" s="407"/>
      <c r="C247" s="399" t="s">
        <v>21</v>
      </c>
      <c r="D247" s="400"/>
      <c r="E247" s="400"/>
      <c r="F247" s="418"/>
      <c r="G247" s="59">
        <f>SUM(G242:G246)</f>
        <v>579900</v>
      </c>
      <c r="H247" s="394"/>
      <c r="I247" s="398"/>
      <c r="J247" s="378" t="s">
        <v>22</v>
      </c>
      <c r="K247" s="379"/>
      <c r="L247" s="379"/>
      <c r="M247" s="454"/>
      <c r="N247" s="20">
        <f>SUM(N242:N246)</f>
        <v>695000</v>
      </c>
      <c r="O247" s="376"/>
      <c r="P247" s="376"/>
    </row>
    <row r="248" spans="1:16" ht="14.4" x14ac:dyDescent="0.3">
      <c r="A248" s="402" t="s">
        <v>66</v>
      </c>
      <c r="B248" s="405">
        <v>44763</v>
      </c>
      <c r="C248" s="387" t="s">
        <v>54</v>
      </c>
      <c r="D248" s="387">
        <v>1590</v>
      </c>
      <c r="E248" s="387">
        <f>+D248/2</f>
        <v>795</v>
      </c>
      <c r="F248" s="389">
        <v>230</v>
      </c>
      <c r="G248" s="391">
        <f>+D248*F248</f>
        <v>365700</v>
      </c>
      <c r="H248" s="393" t="s">
        <v>27</v>
      </c>
      <c r="I248" s="428"/>
      <c r="J248" s="382" t="s">
        <v>17</v>
      </c>
      <c r="K248" s="417"/>
      <c r="L248" s="46">
        <v>14</v>
      </c>
      <c r="M248" s="47">
        <v>5000</v>
      </c>
      <c r="N248" s="48">
        <f>+L248*M248</f>
        <v>70000</v>
      </c>
      <c r="O248" s="377" t="s">
        <v>27</v>
      </c>
      <c r="P248" s="377"/>
    </row>
    <row r="249" spans="1:16" ht="14.4" x14ac:dyDescent="0.3">
      <c r="A249" s="403"/>
      <c r="B249" s="406"/>
      <c r="C249" s="388"/>
      <c r="D249" s="388"/>
      <c r="E249" s="388"/>
      <c r="F249" s="390"/>
      <c r="G249" s="392"/>
      <c r="H249" s="393"/>
      <c r="I249" s="429"/>
      <c r="J249" s="382" t="s">
        <v>18</v>
      </c>
      <c r="K249" s="417"/>
      <c r="L249" s="13">
        <v>275</v>
      </c>
      <c r="M249" s="14">
        <v>2000</v>
      </c>
      <c r="N249" s="15">
        <f>+L249*M249</f>
        <v>550000</v>
      </c>
      <c r="O249" s="377"/>
      <c r="P249" s="377"/>
    </row>
    <row r="250" spans="1:16" ht="14.4" x14ac:dyDescent="0.3">
      <c r="A250" s="403"/>
      <c r="B250" s="406"/>
      <c r="C250" s="54" t="s">
        <v>55</v>
      </c>
      <c r="D250" s="54">
        <v>2</v>
      </c>
      <c r="E250" s="54"/>
      <c r="F250" s="43">
        <v>55000</v>
      </c>
      <c r="G250" s="56">
        <f>+D250*F250</f>
        <v>110000</v>
      </c>
      <c r="H250" s="393"/>
      <c r="I250" s="429"/>
      <c r="J250" s="382" t="s">
        <v>19</v>
      </c>
      <c r="K250" s="417"/>
      <c r="L250" s="13">
        <v>1</v>
      </c>
      <c r="M250" s="14">
        <v>20000</v>
      </c>
      <c r="N250" s="15">
        <f>+L250*M250</f>
        <v>20000</v>
      </c>
      <c r="O250" s="377"/>
      <c r="P250" s="377"/>
    </row>
    <row r="251" spans="1:16" ht="14.4" x14ac:dyDescent="0.3">
      <c r="A251" s="403"/>
      <c r="B251" s="406"/>
      <c r="C251" s="54" t="s">
        <v>56</v>
      </c>
      <c r="D251" s="54">
        <v>3</v>
      </c>
      <c r="E251" s="54"/>
      <c r="F251" s="45">
        <v>12500</v>
      </c>
      <c r="G251" s="57">
        <f>+D251*F251</f>
        <v>37500</v>
      </c>
      <c r="H251" s="393"/>
      <c r="I251" s="397"/>
      <c r="J251" s="382" t="s">
        <v>57</v>
      </c>
      <c r="K251" s="417"/>
      <c r="L251" s="13">
        <v>1</v>
      </c>
      <c r="M251" s="14">
        <v>55000</v>
      </c>
      <c r="N251" s="15">
        <f>+L251*M251</f>
        <v>55000</v>
      </c>
      <c r="O251" s="375"/>
      <c r="P251" s="375"/>
    </row>
    <row r="252" spans="1:16" ht="14.4" x14ac:dyDescent="0.3">
      <c r="A252" s="403"/>
      <c r="B252" s="406"/>
      <c r="C252" s="51"/>
      <c r="D252" s="52"/>
      <c r="E252" s="52"/>
      <c r="F252" s="50"/>
      <c r="G252" s="60"/>
      <c r="H252" s="393"/>
      <c r="I252" s="429"/>
      <c r="J252" s="382" t="s">
        <v>20</v>
      </c>
      <c r="K252" s="417"/>
      <c r="L252" s="13"/>
      <c r="M252" s="14">
        <v>0</v>
      </c>
      <c r="N252" s="15">
        <f>+L252*M252</f>
        <v>0</v>
      </c>
      <c r="O252" s="377"/>
      <c r="P252" s="377"/>
    </row>
    <row r="253" spans="1:16" thickBot="1" x14ac:dyDescent="0.35">
      <c r="A253" s="404"/>
      <c r="B253" s="407"/>
      <c r="C253" s="399" t="s">
        <v>21</v>
      </c>
      <c r="D253" s="400"/>
      <c r="E253" s="400"/>
      <c r="F253" s="418"/>
      <c r="G253" s="59">
        <f>SUM(G248:G252)</f>
        <v>513200</v>
      </c>
      <c r="H253" s="394"/>
      <c r="I253" s="398"/>
      <c r="J253" s="378" t="s">
        <v>22</v>
      </c>
      <c r="K253" s="379"/>
      <c r="L253" s="379"/>
      <c r="M253" s="454"/>
      <c r="N253" s="20">
        <f>SUM(N248:N252)</f>
        <v>695000</v>
      </c>
      <c r="O253" s="376"/>
      <c r="P253" s="376"/>
    </row>
    <row r="254" spans="1:16" ht="14.4" x14ac:dyDescent="0.3">
      <c r="A254" s="402" t="s">
        <v>68</v>
      </c>
      <c r="B254" s="405">
        <v>44779</v>
      </c>
      <c r="C254" s="387" t="s">
        <v>54</v>
      </c>
      <c r="D254" s="387">
        <f>+E254*2</f>
        <v>1670</v>
      </c>
      <c r="E254" s="387">
        <v>835</v>
      </c>
      <c r="F254" s="389">
        <v>230</v>
      </c>
      <c r="G254" s="391">
        <f>+D254*F254</f>
        <v>384100</v>
      </c>
      <c r="H254" s="393" t="s">
        <v>27</v>
      </c>
      <c r="I254" s="428"/>
      <c r="J254" s="382" t="s">
        <v>17</v>
      </c>
      <c r="K254" s="417"/>
      <c r="L254" s="46">
        <v>14</v>
      </c>
      <c r="M254" s="47">
        <v>5000</v>
      </c>
      <c r="N254" s="48">
        <f>+L254*M254</f>
        <v>70000</v>
      </c>
      <c r="O254" s="377" t="s">
        <v>27</v>
      </c>
      <c r="P254" s="377"/>
    </row>
    <row r="255" spans="1:16" ht="14.4" x14ac:dyDescent="0.3">
      <c r="A255" s="403"/>
      <c r="B255" s="406"/>
      <c r="C255" s="388"/>
      <c r="D255" s="388"/>
      <c r="E255" s="388"/>
      <c r="F255" s="390"/>
      <c r="G255" s="392"/>
      <c r="H255" s="393"/>
      <c r="I255" s="429"/>
      <c r="J255" s="382" t="s">
        <v>18</v>
      </c>
      <c r="K255" s="417"/>
      <c r="L255" s="13">
        <v>275</v>
      </c>
      <c r="M255" s="14">
        <v>2000</v>
      </c>
      <c r="N255" s="15">
        <f>+L255*M255</f>
        <v>550000</v>
      </c>
      <c r="O255" s="377"/>
      <c r="P255" s="377"/>
    </row>
    <row r="256" spans="1:16" ht="14.4" x14ac:dyDescent="0.3">
      <c r="A256" s="403"/>
      <c r="B256" s="406"/>
      <c r="C256" s="54" t="s">
        <v>55</v>
      </c>
      <c r="D256" s="54">
        <v>2</v>
      </c>
      <c r="E256" s="54"/>
      <c r="F256" s="43">
        <v>55000</v>
      </c>
      <c r="G256" s="56">
        <f>+D256*F256</f>
        <v>110000</v>
      </c>
      <c r="H256" s="393"/>
      <c r="I256" s="429"/>
      <c r="J256" s="382" t="s">
        <v>19</v>
      </c>
      <c r="K256" s="417"/>
      <c r="L256" s="13">
        <v>1</v>
      </c>
      <c r="M256" s="14">
        <v>20000</v>
      </c>
      <c r="N256" s="15">
        <f>+L256*M256</f>
        <v>20000</v>
      </c>
      <c r="O256" s="377"/>
      <c r="P256" s="377"/>
    </row>
    <row r="257" spans="1:16" ht="14.4" x14ac:dyDescent="0.3">
      <c r="A257" s="403"/>
      <c r="B257" s="406"/>
      <c r="C257" s="54" t="s">
        <v>56</v>
      </c>
      <c r="D257" s="54">
        <v>3</v>
      </c>
      <c r="E257" s="54"/>
      <c r="F257" s="45">
        <v>12500</v>
      </c>
      <c r="G257" s="57">
        <f>+D257*F257</f>
        <v>37500</v>
      </c>
      <c r="H257" s="393"/>
      <c r="I257" s="397"/>
      <c r="J257" s="382" t="s">
        <v>57</v>
      </c>
      <c r="K257" s="417"/>
      <c r="L257" s="13">
        <v>1</v>
      </c>
      <c r="M257" s="14">
        <v>55000</v>
      </c>
      <c r="N257" s="15">
        <f>+L257*M257</f>
        <v>55000</v>
      </c>
      <c r="O257" s="375"/>
      <c r="P257" s="375"/>
    </row>
    <row r="258" spans="1:16" ht="14.4" x14ac:dyDescent="0.3">
      <c r="A258" s="403"/>
      <c r="B258" s="406"/>
      <c r="C258" s="51"/>
      <c r="D258" s="52"/>
      <c r="E258" s="52"/>
      <c r="F258" s="50"/>
      <c r="G258" s="60"/>
      <c r="H258" s="393"/>
      <c r="I258" s="429"/>
      <c r="J258" s="382" t="s">
        <v>20</v>
      </c>
      <c r="K258" s="417"/>
      <c r="L258" s="13"/>
      <c r="M258" s="14">
        <v>0</v>
      </c>
      <c r="N258" s="15">
        <f>+L258*M258</f>
        <v>0</v>
      </c>
      <c r="O258" s="377"/>
      <c r="P258" s="377"/>
    </row>
    <row r="259" spans="1:16" thickBot="1" x14ac:dyDescent="0.35">
      <c r="A259" s="404"/>
      <c r="B259" s="407"/>
      <c r="C259" s="399" t="s">
        <v>21</v>
      </c>
      <c r="D259" s="400"/>
      <c r="E259" s="400"/>
      <c r="F259" s="418"/>
      <c r="G259" s="59">
        <f>SUM(G254:G258)</f>
        <v>531600</v>
      </c>
      <c r="H259" s="394"/>
      <c r="I259" s="398"/>
      <c r="J259" s="378" t="s">
        <v>22</v>
      </c>
      <c r="K259" s="379"/>
      <c r="L259" s="379"/>
      <c r="M259" s="454"/>
      <c r="N259" s="20">
        <f>SUM(N254:N258)</f>
        <v>695000</v>
      </c>
      <c r="O259" s="376"/>
      <c r="P259" s="376"/>
    </row>
    <row r="260" spans="1:16" ht="19.5" customHeight="1" x14ac:dyDescent="0.3">
      <c r="A260" s="402" t="s">
        <v>69</v>
      </c>
      <c r="B260" s="405">
        <v>44783</v>
      </c>
      <c r="C260" s="387" t="s">
        <v>54</v>
      </c>
      <c r="D260" s="387">
        <f>+E260*2</f>
        <v>2320</v>
      </c>
      <c r="E260" s="387">
        <v>1160</v>
      </c>
      <c r="F260" s="389">
        <v>230</v>
      </c>
      <c r="G260" s="391">
        <f>+D260*F260</f>
        <v>533600</v>
      </c>
      <c r="H260" s="393" t="s">
        <v>27</v>
      </c>
      <c r="I260" s="428"/>
      <c r="J260" s="382" t="s">
        <v>17</v>
      </c>
      <c r="K260" s="417"/>
      <c r="L260" s="46">
        <v>20</v>
      </c>
      <c r="M260" s="47">
        <v>5000</v>
      </c>
      <c r="N260" s="48">
        <f>+L260*M260</f>
        <v>100000</v>
      </c>
      <c r="O260" s="377" t="s">
        <v>27</v>
      </c>
      <c r="P260" s="377"/>
    </row>
    <row r="261" spans="1:16" ht="19.5" customHeight="1" x14ac:dyDescent="0.3">
      <c r="A261" s="403"/>
      <c r="B261" s="406"/>
      <c r="C261" s="388"/>
      <c r="D261" s="388"/>
      <c r="E261" s="388"/>
      <c r="F261" s="390"/>
      <c r="G261" s="392"/>
      <c r="H261" s="393"/>
      <c r="I261" s="429"/>
      <c r="J261" s="382" t="s">
        <v>18</v>
      </c>
      <c r="K261" s="417"/>
      <c r="L261" s="13">
        <v>275</v>
      </c>
      <c r="M261" s="14">
        <v>2000</v>
      </c>
      <c r="N261" s="15">
        <f>+L261*M261</f>
        <v>550000</v>
      </c>
      <c r="O261" s="377"/>
      <c r="P261" s="377"/>
    </row>
    <row r="262" spans="1:16" ht="19.5" customHeight="1" x14ac:dyDescent="0.3">
      <c r="A262" s="403"/>
      <c r="B262" s="406"/>
      <c r="C262" s="54" t="s">
        <v>55</v>
      </c>
      <c r="D262" s="54">
        <v>2</v>
      </c>
      <c r="E262" s="54"/>
      <c r="F262" s="43">
        <v>55000</v>
      </c>
      <c r="G262" s="56">
        <f>+D262*F262</f>
        <v>110000</v>
      </c>
      <c r="H262" s="393"/>
      <c r="I262" s="429"/>
      <c r="J262" s="382" t="s">
        <v>19</v>
      </c>
      <c r="K262" s="417"/>
      <c r="L262" s="13">
        <v>1</v>
      </c>
      <c r="M262" s="14">
        <v>20000</v>
      </c>
      <c r="N262" s="15">
        <f>+L262*M262</f>
        <v>20000</v>
      </c>
      <c r="O262" s="377"/>
      <c r="P262" s="377"/>
    </row>
    <row r="263" spans="1:16" ht="19.5" customHeight="1" x14ac:dyDescent="0.3">
      <c r="A263" s="403"/>
      <c r="B263" s="406"/>
      <c r="C263" s="54" t="s">
        <v>56</v>
      </c>
      <c r="D263" s="54">
        <v>3</v>
      </c>
      <c r="E263" s="54"/>
      <c r="F263" s="45">
        <v>12500</v>
      </c>
      <c r="G263" s="57">
        <f>+D263*F263</f>
        <v>37500</v>
      </c>
      <c r="H263" s="393"/>
      <c r="I263" s="397"/>
      <c r="J263" s="382" t="s">
        <v>57</v>
      </c>
      <c r="K263" s="417"/>
      <c r="L263" s="13">
        <v>1</v>
      </c>
      <c r="M263" s="14">
        <v>55000</v>
      </c>
      <c r="N263" s="15">
        <f>+L263*M263</f>
        <v>55000</v>
      </c>
      <c r="O263" s="375"/>
      <c r="P263" s="375"/>
    </row>
    <row r="264" spans="1:16" ht="19.5" customHeight="1" x14ac:dyDescent="0.3">
      <c r="A264" s="403"/>
      <c r="B264" s="406"/>
      <c r="C264" s="40" t="s">
        <v>71</v>
      </c>
      <c r="D264" s="54">
        <v>1</v>
      </c>
      <c r="E264" s="52"/>
      <c r="F264" s="50">
        <v>40000</v>
      </c>
      <c r="G264" s="57">
        <f>+D264*F264</f>
        <v>40000</v>
      </c>
      <c r="H264" s="393"/>
      <c r="I264" s="429"/>
      <c r="J264" s="382" t="s">
        <v>60</v>
      </c>
      <c r="K264" s="417"/>
      <c r="L264" s="13">
        <v>1</v>
      </c>
      <c r="M264" s="14">
        <v>450000</v>
      </c>
      <c r="N264" s="15">
        <f>+L264*M264</f>
        <v>450000</v>
      </c>
      <c r="O264" s="377"/>
      <c r="P264" s="377"/>
    </row>
    <row r="265" spans="1:16" ht="19.5" customHeight="1" x14ac:dyDescent="0.3">
      <c r="A265" s="403"/>
      <c r="B265" s="406"/>
      <c r="C265" s="40" t="s">
        <v>72</v>
      </c>
      <c r="D265" s="54">
        <v>1</v>
      </c>
      <c r="E265" s="52"/>
      <c r="F265" s="50">
        <v>60000</v>
      </c>
      <c r="G265" s="57">
        <f>+D265*F265</f>
        <v>60000</v>
      </c>
      <c r="H265" s="393"/>
      <c r="I265" s="397"/>
      <c r="J265" s="422"/>
      <c r="K265" s="423"/>
      <c r="L265" s="423"/>
      <c r="M265" s="423"/>
      <c r="N265" s="424"/>
      <c r="O265" s="375"/>
      <c r="P265" s="375"/>
    </row>
    <row r="266" spans="1:16" ht="19.5" customHeight="1" x14ac:dyDescent="0.3">
      <c r="A266" s="403"/>
      <c r="B266" s="406"/>
      <c r="C266" s="66" t="s">
        <v>70</v>
      </c>
      <c r="D266" s="54">
        <v>35</v>
      </c>
      <c r="E266" s="52"/>
      <c r="F266" s="50">
        <v>2000</v>
      </c>
      <c r="G266" s="57">
        <f>+D266*F266</f>
        <v>70000</v>
      </c>
      <c r="H266" s="393"/>
      <c r="I266" s="397"/>
      <c r="J266" s="425"/>
      <c r="K266" s="426"/>
      <c r="L266" s="426"/>
      <c r="M266" s="426"/>
      <c r="N266" s="427"/>
      <c r="O266" s="375"/>
      <c r="P266" s="375"/>
    </row>
    <row r="267" spans="1:16" ht="19.2" customHeight="1" thickBot="1" x14ac:dyDescent="0.35">
      <c r="A267" s="404"/>
      <c r="B267" s="407"/>
      <c r="C267" s="399" t="s">
        <v>21</v>
      </c>
      <c r="D267" s="400"/>
      <c r="E267" s="400"/>
      <c r="F267" s="418"/>
      <c r="G267" s="59">
        <f>SUM(G260:G266)</f>
        <v>851100</v>
      </c>
      <c r="H267" s="394"/>
      <c r="I267" s="398"/>
      <c r="J267" s="419" t="s">
        <v>22</v>
      </c>
      <c r="K267" s="420"/>
      <c r="L267" s="420"/>
      <c r="M267" s="421"/>
      <c r="N267" s="41">
        <f>SUM(N260:N264)</f>
        <v>1175000</v>
      </c>
      <c r="O267" s="376"/>
      <c r="P267" s="376"/>
    </row>
    <row r="268" spans="1:16" ht="19.5" customHeight="1" x14ac:dyDescent="0.3">
      <c r="A268" s="402" t="s">
        <v>73</v>
      </c>
      <c r="B268" s="405">
        <v>44791</v>
      </c>
      <c r="C268" s="387" t="s">
        <v>54</v>
      </c>
      <c r="D268" s="387">
        <f>+E268*2</f>
        <v>1730</v>
      </c>
      <c r="E268" s="387">
        <v>865</v>
      </c>
      <c r="F268" s="389">
        <v>230</v>
      </c>
      <c r="G268" s="391">
        <f>+D268*F268</f>
        <v>397900</v>
      </c>
      <c r="H268" s="393" t="s">
        <v>27</v>
      </c>
      <c r="I268" s="395"/>
      <c r="J268" s="372" t="s">
        <v>17</v>
      </c>
      <c r="K268" s="373"/>
      <c r="L268" s="67">
        <v>14</v>
      </c>
      <c r="M268" s="68">
        <v>5000</v>
      </c>
      <c r="N268" s="68">
        <f>+L268*M268</f>
        <v>70000</v>
      </c>
      <c r="O268" s="374" t="s">
        <v>27</v>
      </c>
      <c r="P268" s="377"/>
    </row>
    <row r="269" spans="1:16" ht="19.5" customHeight="1" x14ac:dyDescent="0.3">
      <c r="A269" s="403"/>
      <c r="B269" s="406"/>
      <c r="C269" s="388"/>
      <c r="D269" s="388"/>
      <c r="E269" s="388"/>
      <c r="F269" s="390"/>
      <c r="G269" s="392"/>
      <c r="H269" s="393"/>
      <c r="I269" s="396"/>
      <c r="J269" s="372" t="s">
        <v>18</v>
      </c>
      <c r="K269" s="373"/>
      <c r="L269" s="67">
        <v>275</v>
      </c>
      <c r="M269" s="68">
        <v>2000</v>
      </c>
      <c r="N269" s="68">
        <f>+L269*M269</f>
        <v>550000</v>
      </c>
      <c r="O269" s="374"/>
      <c r="P269" s="377"/>
    </row>
    <row r="270" spans="1:16" ht="19.5" customHeight="1" x14ac:dyDescent="0.3">
      <c r="A270" s="403"/>
      <c r="B270" s="406"/>
      <c r="C270" s="54" t="s">
        <v>55</v>
      </c>
      <c r="D270" s="54">
        <v>2</v>
      </c>
      <c r="E270" s="54"/>
      <c r="F270" s="43">
        <v>55000</v>
      </c>
      <c r="G270" s="56">
        <f>+D270*F270</f>
        <v>110000</v>
      </c>
      <c r="H270" s="393"/>
      <c r="I270" s="396"/>
      <c r="J270" s="372" t="s">
        <v>19</v>
      </c>
      <c r="K270" s="373"/>
      <c r="L270" s="67">
        <v>1</v>
      </c>
      <c r="M270" s="68">
        <v>20000</v>
      </c>
      <c r="N270" s="68">
        <f>+L270*M270</f>
        <v>20000</v>
      </c>
      <c r="O270" s="374"/>
      <c r="P270" s="377"/>
    </row>
    <row r="271" spans="1:16" ht="19.5" customHeight="1" x14ac:dyDescent="0.3">
      <c r="A271" s="403"/>
      <c r="B271" s="406"/>
      <c r="C271" s="54" t="s">
        <v>56</v>
      </c>
      <c r="D271" s="54">
        <v>1</v>
      </c>
      <c r="E271" s="54"/>
      <c r="F271" s="45">
        <v>12500</v>
      </c>
      <c r="G271" s="57">
        <f>+D271*F271</f>
        <v>12500</v>
      </c>
      <c r="H271" s="393"/>
      <c r="I271" s="396"/>
      <c r="J271" s="372" t="s">
        <v>57</v>
      </c>
      <c r="K271" s="373"/>
      <c r="L271" s="67">
        <v>1</v>
      </c>
      <c r="M271" s="68">
        <v>55000</v>
      </c>
      <c r="N271" s="68">
        <f>+L271*M271</f>
        <v>55000</v>
      </c>
      <c r="O271" s="374"/>
      <c r="P271" s="375"/>
    </row>
    <row r="272" spans="1:16" ht="19.5" customHeight="1" x14ac:dyDescent="0.3">
      <c r="A272" s="403"/>
      <c r="B272" s="406"/>
      <c r="C272" s="408"/>
      <c r="D272" s="409"/>
      <c r="E272" s="409"/>
      <c r="F272" s="409"/>
      <c r="G272" s="410"/>
      <c r="H272" s="393"/>
      <c r="I272" s="396"/>
      <c r="J272" s="384" t="s">
        <v>76</v>
      </c>
      <c r="K272" s="384"/>
      <c r="L272" s="384"/>
      <c r="M272" s="384"/>
      <c r="N272" s="71">
        <f>SUM(N268:N271)</f>
        <v>695000</v>
      </c>
      <c r="O272" s="374"/>
      <c r="P272" s="375"/>
    </row>
    <row r="273" spans="1:16" ht="19.95" customHeight="1" x14ac:dyDescent="0.3">
      <c r="A273" s="403"/>
      <c r="B273" s="406"/>
      <c r="C273" s="411"/>
      <c r="D273" s="412"/>
      <c r="E273" s="412"/>
      <c r="F273" s="412"/>
      <c r="G273" s="413"/>
      <c r="H273" s="393"/>
      <c r="I273" s="396"/>
      <c r="J273" s="385" t="s">
        <v>74</v>
      </c>
      <c r="K273" s="386"/>
      <c r="L273" s="69">
        <v>30</v>
      </c>
      <c r="M273" s="70">
        <v>2600</v>
      </c>
      <c r="N273" s="72">
        <f>L273*M273</f>
        <v>78000</v>
      </c>
      <c r="O273" s="374"/>
      <c r="P273" s="375"/>
    </row>
    <row r="274" spans="1:16" ht="19.5" customHeight="1" x14ac:dyDescent="0.3">
      <c r="A274" s="403"/>
      <c r="B274" s="406"/>
      <c r="C274" s="411"/>
      <c r="D274" s="412"/>
      <c r="E274" s="412"/>
      <c r="F274" s="412"/>
      <c r="G274" s="413"/>
      <c r="H274" s="393"/>
      <c r="I274" s="397"/>
      <c r="J274" s="382" t="s">
        <v>75</v>
      </c>
      <c r="K274" s="383"/>
      <c r="L274" s="67">
        <v>21</v>
      </c>
      <c r="M274" s="68">
        <v>10400</v>
      </c>
      <c r="N274" s="73">
        <f>L274*M274</f>
        <v>218400</v>
      </c>
      <c r="O274" s="375"/>
      <c r="P274" s="375"/>
    </row>
    <row r="275" spans="1:16" ht="19.5" customHeight="1" x14ac:dyDescent="0.3">
      <c r="A275" s="403"/>
      <c r="B275" s="406"/>
      <c r="C275" s="414"/>
      <c r="D275" s="415"/>
      <c r="E275" s="415"/>
      <c r="F275" s="415"/>
      <c r="G275" s="416"/>
      <c r="H275" s="393"/>
      <c r="I275" s="397"/>
      <c r="J275" s="384" t="s">
        <v>77</v>
      </c>
      <c r="K275" s="384"/>
      <c r="L275" s="384"/>
      <c r="M275" s="384"/>
      <c r="N275" s="71">
        <f>SUM(N273:N274)</f>
        <v>296400</v>
      </c>
      <c r="O275" s="375"/>
      <c r="P275" s="375"/>
    </row>
    <row r="276" spans="1:16" ht="19.2" customHeight="1" thickBot="1" x14ac:dyDescent="0.35">
      <c r="A276" s="404"/>
      <c r="B276" s="407"/>
      <c r="C276" s="399" t="s">
        <v>21</v>
      </c>
      <c r="D276" s="400"/>
      <c r="E276" s="400"/>
      <c r="F276" s="401"/>
      <c r="G276" s="58">
        <f>SUM(G268:G271)</f>
        <v>520400</v>
      </c>
      <c r="H276" s="394"/>
      <c r="I276" s="398"/>
      <c r="J276" s="378" t="s">
        <v>78</v>
      </c>
      <c r="K276" s="379"/>
      <c r="L276" s="380"/>
      <c r="M276" s="381"/>
      <c r="N276" s="20">
        <f>+N272-N275</f>
        <v>398600</v>
      </c>
      <c r="O276" s="376"/>
      <c r="P276" s="376"/>
    </row>
    <row r="277" spans="1:16" ht="19.95" customHeight="1" x14ac:dyDescent="0.3">
      <c r="A277" s="402" t="s">
        <v>79</v>
      </c>
      <c r="B277" s="405">
        <v>44800</v>
      </c>
      <c r="C277" s="387" t="s">
        <v>54</v>
      </c>
      <c r="D277" s="387">
        <f>+E277*2</f>
        <v>1730</v>
      </c>
      <c r="E277" s="387">
        <v>865</v>
      </c>
      <c r="F277" s="389">
        <v>230</v>
      </c>
      <c r="G277" s="391">
        <f>+D277*F277</f>
        <v>397900</v>
      </c>
      <c r="H277" s="393" t="s">
        <v>27</v>
      </c>
      <c r="I277" s="395"/>
      <c r="J277" s="382" t="s">
        <v>17</v>
      </c>
      <c r="K277" s="417"/>
      <c r="L277" s="46">
        <v>14</v>
      </c>
      <c r="M277" s="47">
        <v>5000</v>
      </c>
      <c r="N277" s="48">
        <f>+L277*M277</f>
        <v>70000</v>
      </c>
      <c r="O277" s="374" t="s">
        <v>27</v>
      </c>
      <c r="P277" s="377"/>
    </row>
    <row r="278" spans="1:16" ht="19.95" customHeight="1" x14ac:dyDescent="0.3">
      <c r="A278" s="403"/>
      <c r="B278" s="406"/>
      <c r="C278" s="388"/>
      <c r="D278" s="388"/>
      <c r="E278" s="388"/>
      <c r="F278" s="390"/>
      <c r="G278" s="392"/>
      <c r="H278" s="393"/>
      <c r="I278" s="396"/>
      <c r="J278" s="382" t="s">
        <v>18</v>
      </c>
      <c r="K278" s="417"/>
      <c r="L278" s="13">
        <v>275</v>
      </c>
      <c r="M278" s="14">
        <v>2000</v>
      </c>
      <c r="N278" s="15">
        <f>+L278*M278</f>
        <v>550000</v>
      </c>
      <c r="O278" s="374"/>
      <c r="P278" s="377"/>
    </row>
    <row r="279" spans="1:16" ht="19.95" customHeight="1" x14ac:dyDescent="0.3">
      <c r="A279" s="403"/>
      <c r="B279" s="406"/>
      <c r="C279" s="54" t="s">
        <v>55</v>
      </c>
      <c r="D279" s="54">
        <v>2</v>
      </c>
      <c r="E279" s="54"/>
      <c r="F279" s="43">
        <v>55000</v>
      </c>
      <c r="G279" s="56">
        <f>+D279*F279</f>
        <v>110000</v>
      </c>
      <c r="H279" s="393"/>
      <c r="I279" s="396"/>
      <c r="J279" s="382" t="s">
        <v>19</v>
      </c>
      <c r="K279" s="417"/>
      <c r="L279" s="13">
        <v>1</v>
      </c>
      <c r="M279" s="14">
        <v>20000</v>
      </c>
      <c r="N279" s="15">
        <f>+L279*M279</f>
        <v>20000</v>
      </c>
      <c r="O279" s="374"/>
      <c r="P279" s="377"/>
    </row>
    <row r="280" spans="1:16" ht="19.95" customHeight="1" x14ac:dyDescent="0.3">
      <c r="A280" s="403"/>
      <c r="B280" s="406"/>
      <c r="C280" s="54" t="s">
        <v>56</v>
      </c>
      <c r="D280" s="54">
        <v>1</v>
      </c>
      <c r="E280" s="54"/>
      <c r="F280" s="45">
        <v>12500</v>
      </c>
      <c r="G280" s="57">
        <f>+D280*F280</f>
        <v>12500</v>
      </c>
      <c r="H280" s="393"/>
      <c r="I280" s="396"/>
      <c r="J280" s="382" t="s">
        <v>57</v>
      </c>
      <c r="K280" s="417"/>
      <c r="L280" s="13">
        <v>1</v>
      </c>
      <c r="M280" s="14">
        <v>55000</v>
      </c>
      <c r="N280" s="15">
        <f>+L280*M280</f>
        <v>55000</v>
      </c>
      <c r="O280" s="374"/>
      <c r="P280" s="375"/>
    </row>
    <row r="281" spans="1:16" ht="19.95" customHeight="1" thickBot="1" x14ac:dyDescent="0.35">
      <c r="A281" s="404"/>
      <c r="B281" s="407"/>
      <c r="C281" s="399" t="s">
        <v>21</v>
      </c>
      <c r="D281" s="400"/>
      <c r="E281" s="400"/>
      <c r="F281" s="418"/>
      <c r="G281" s="59">
        <f>SUM(G277:G280)</f>
        <v>520400</v>
      </c>
      <c r="H281" s="394"/>
      <c r="I281" s="398"/>
      <c r="J281" s="378" t="s">
        <v>78</v>
      </c>
      <c r="K281" s="379"/>
      <c r="L281" s="380"/>
      <c r="M281" s="381"/>
      <c r="N281" s="20">
        <f>SUM(N277:N280)</f>
        <v>695000</v>
      </c>
      <c r="O281" s="376"/>
      <c r="P281" s="376"/>
    </row>
    <row r="282" spans="1:16" ht="15" customHeight="1" x14ac:dyDescent="0.3">
      <c r="A282" s="28"/>
      <c r="B282" s="29"/>
      <c r="C282" s="30"/>
      <c r="D282" s="31"/>
      <c r="E282" s="31"/>
      <c r="F282" s="32"/>
      <c r="G282" s="33"/>
      <c r="H282" s="34"/>
      <c r="I282" s="34"/>
      <c r="J282" s="35"/>
      <c r="K282" s="36"/>
      <c r="L282" s="36"/>
      <c r="M282" s="37"/>
      <c r="N282" s="38"/>
      <c r="O282" s="39"/>
      <c r="P282" s="39"/>
    </row>
    <row r="283" spans="1:16" ht="15.75" customHeight="1" x14ac:dyDescent="0.3"/>
    <row r="284" spans="1:16" ht="15.75" customHeight="1" x14ac:dyDescent="0.3"/>
    <row r="285" spans="1:16" ht="15.75" customHeight="1" x14ac:dyDescent="0.3"/>
    <row r="286" spans="1:16" ht="15.75" customHeight="1" x14ac:dyDescent="0.3"/>
    <row r="287" spans="1:16" ht="15.75" customHeight="1" x14ac:dyDescent="0.3"/>
    <row r="288" spans="1:16" ht="15.75" customHeight="1" x14ac:dyDescent="0.3">
      <c r="F288" s="65"/>
    </row>
    <row r="289" spans="4:7" ht="15.75" customHeight="1" x14ac:dyDescent="0.3"/>
    <row r="290" spans="4:7" ht="15.75" customHeight="1" x14ac:dyDescent="0.3"/>
    <row r="291" spans="4:7" ht="15.75" customHeight="1" x14ac:dyDescent="0.3"/>
    <row r="292" spans="4:7" ht="15.75" customHeight="1" x14ac:dyDescent="0.3"/>
    <row r="293" spans="4:7" ht="15.75" customHeight="1" x14ac:dyDescent="0.3"/>
    <row r="294" spans="4:7" ht="15.75" customHeight="1" x14ac:dyDescent="0.3"/>
    <row r="295" spans="4:7" ht="15.75" customHeight="1" x14ac:dyDescent="0.3"/>
    <row r="296" spans="4:7" ht="15.75" customHeight="1" x14ac:dyDescent="0.3"/>
    <row r="297" spans="4:7" ht="15.75" customHeight="1" x14ac:dyDescent="0.3"/>
    <row r="298" spans="4:7" ht="15.75" customHeight="1" x14ac:dyDescent="0.3"/>
    <row r="299" spans="4:7" ht="15.75" customHeight="1" x14ac:dyDescent="0.3"/>
    <row r="300" spans="4:7" ht="15.75" customHeight="1" x14ac:dyDescent="0.3"/>
    <row r="301" spans="4:7" ht="15.75" customHeight="1" x14ac:dyDescent="0.3">
      <c r="D301" s="520" t="str">
        <f>+A114</f>
        <v>Talleres - Belgrano</v>
      </c>
      <c r="E301" s="520"/>
      <c r="F301" s="521"/>
      <c r="G301" s="42">
        <v>432000</v>
      </c>
    </row>
    <row r="302" spans="4:7" ht="15.75" customHeight="1" x14ac:dyDescent="0.3">
      <c r="D302" s="520" t="str">
        <f>+A122</f>
        <v>Talleres - Union</v>
      </c>
      <c r="E302" s="520"/>
      <c r="F302" s="521"/>
      <c r="G302" s="42">
        <v>123000</v>
      </c>
    </row>
    <row r="303" spans="4:7" ht="15.75" customHeight="1" x14ac:dyDescent="0.3">
      <c r="D303" s="520" t="str">
        <f>+A130</f>
        <v>Talleres - Newell´s</v>
      </c>
      <c r="E303" s="520"/>
      <c r="F303" s="521"/>
      <c r="G303" s="42">
        <v>460500</v>
      </c>
    </row>
    <row r="304" spans="4:7" ht="15.75" customHeight="1" x14ac:dyDescent="0.3">
      <c r="D304" s="520" t="str">
        <f>+A146</f>
        <v>Talleres - San Lorenzo</v>
      </c>
      <c r="E304" s="520"/>
      <c r="F304" s="521"/>
      <c r="G304" s="42">
        <v>163000</v>
      </c>
    </row>
    <row r="305" spans="4:7" ht="15.75" customHeight="1" x14ac:dyDescent="0.3">
      <c r="D305" s="520" t="str">
        <f>+A154</f>
        <v>Talleres - Godoy Cruz</v>
      </c>
      <c r="E305" s="520"/>
      <c r="F305" s="521"/>
      <c r="G305" s="42">
        <v>168000</v>
      </c>
    </row>
    <row r="306" spans="4:7" ht="15.75" customHeight="1" x14ac:dyDescent="0.3">
      <c r="D306" s="520" t="str">
        <f>+A170</f>
        <v>Talleres - U. Catolica</v>
      </c>
      <c r="E306" s="520"/>
      <c r="F306" s="521"/>
      <c r="G306" s="42">
        <v>555500</v>
      </c>
    </row>
    <row r="307" spans="4:7" ht="15.75" customHeight="1" x14ac:dyDescent="0.3">
      <c r="D307" s="520" t="str">
        <f>+A178</f>
        <v>Talleres - Defensa y Justicia</v>
      </c>
      <c r="E307" s="520"/>
      <c r="F307" s="521"/>
      <c r="G307" s="42">
        <v>168000</v>
      </c>
    </row>
    <row r="308" spans="4:7" ht="15.75" customHeight="1" x14ac:dyDescent="0.3">
      <c r="G308" s="42">
        <f>SUM(G301:G307)</f>
        <v>2070000</v>
      </c>
    </row>
    <row r="309" spans="4:7" ht="15.75" customHeight="1" x14ac:dyDescent="0.3"/>
    <row r="310" spans="4:7" ht="15.75" customHeight="1" x14ac:dyDescent="0.3"/>
    <row r="311" spans="4:7" ht="15.75" customHeight="1" x14ac:dyDescent="0.3"/>
    <row r="312" spans="4:7" ht="15.75" customHeight="1" x14ac:dyDescent="0.3"/>
    <row r="313" spans="4:7" ht="15.75" customHeight="1" x14ac:dyDescent="0.3"/>
    <row r="314" spans="4:7" ht="15.75" customHeight="1" x14ac:dyDescent="0.3"/>
    <row r="315" spans="4:7" ht="15.75" customHeight="1" x14ac:dyDescent="0.3"/>
    <row r="316" spans="4:7" ht="15.75" customHeight="1" x14ac:dyDescent="0.3"/>
    <row r="317" spans="4:7" ht="15.75" customHeight="1" x14ac:dyDescent="0.3"/>
    <row r="318" spans="4:7" ht="15.75" customHeight="1" x14ac:dyDescent="0.3"/>
    <row r="319" spans="4:7" ht="15.75" customHeight="1" x14ac:dyDescent="0.3"/>
    <row r="320" spans="4:7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</sheetData>
  <mergeCells count="667">
    <mergeCell ref="P277:P281"/>
    <mergeCell ref="J278:K278"/>
    <mergeCell ref="J279:K279"/>
    <mergeCell ref="J280:K280"/>
    <mergeCell ref="C281:F281"/>
    <mergeCell ref="J281:M281"/>
    <mergeCell ref="C277:C278"/>
    <mergeCell ref="D277:D278"/>
    <mergeCell ref="E277:E278"/>
    <mergeCell ref="F277:F278"/>
    <mergeCell ref="G277:G278"/>
    <mergeCell ref="H277:H281"/>
    <mergeCell ref="I277:I281"/>
    <mergeCell ref="J277:K277"/>
    <mergeCell ref="O277:O281"/>
    <mergeCell ref="G254:G255"/>
    <mergeCell ref="H254:H259"/>
    <mergeCell ref="I254:I259"/>
    <mergeCell ref="J254:K254"/>
    <mergeCell ref="O254:O259"/>
    <mergeCell ref="P254:P259"/>
    <mergeCell ref="J255:K255"/>
    <mergeCell ref="J256:K256"/>
    <mergeCell ref="J257:K257"/>
    <mergeCell ref="J258:K258"/>
    <mergeCell ref="J259:M259"/>
    <mergeCell ref="O248:O253"/>
    <mergeCell ref="P248:P253"/>
    <mergeCell ref="J249:K249"/>
    <mergeCell ref="J250:K250"/>
    <mergeCell ref="J251:K251"/>
    <mergeCell ref="J252:K252"/>
    <mergeCell ref="C253:F253"/>
    <mergeCell ref="J253:M253"/>
    <mergeCell ref="E194:E199"/>
    <mergeCell ref="E202:E207"/>
    <mergeCell ref="E210:E215"/>
    <mergeCell ref="O242:O247"/>
    <mergeCell ref="P242:P247"/>
    <mergeCell ref="J243:K243"/>
    <mergeCell ref="J244:K244"/>
    <mergeCell ref="J245:K245"/>
    <mergeCell ref="J246:K246"/>
    <mergeCell ref="J247:M247"/>
    <mergeCell ref="J239:K239"/>
    <mergeCell ref="J221:K221"/>
    <mergeCell ref="J227:K227"/>
    <mergeCell ref="G224:G226"/>
    <mergeCell ref="C224:C226"/>
    <mergeCell ref="D224:D226"/>
    <mergeCell ref="F224:F226"/>
    <mergeCell ref="C235:F235"/>
    <mergeCell ref="C229:F229"/>
    <mergeCell ref="E224:E226"/>
    <mergeCell ref="E230:E232"/>
    <mergeCell ref="C201:F201"/>
    <mergeCell ref="A186:A193"/>
    <mergeCell ref="B194:B201"/>
    <mergeCell ref="E16:E21"/>
    <mergeCell ref="E24:E29"/>
    <mergeCell ref="E32:E37"/>
    <mergeCell ref="E40:E45"/>
    <mergeCell ref="E48:E53"/>
    <mergeCell ref="E56:E61"/>
    <mergeCell ref="E64:E69"/>
    <mergeCell ref="E72:E77"/>
    <mergeCell ref="E80:E85"/>
    <mergeCell ref="C210:C215"/>
    <mergeCell ref="D210:D215"/>
    <mergeCell ref="F210:F215"/>
    <mergeCell ref="A114:A121"/>
    <mergeCell ref="B122:B129"/>
    <mergeCell ref="C122:C127"/>
    <mergeCell ref="D122:D127"/>
    <mergeCell ref="G248:G249"/>
    <mergeCell ref="H248:H253"/>
    <mergeCell ref="I248:I253"/>
    <mergeCell ref="J248:K248"/>
    <mergeCell ref="H236:H241"/>
    <mergeCell ref="I236:I241"/>
    <mergeCell ref="A248:A253"/>
    <mergeCell ref="B248:B253"/>
    <mergeCell ref="C248:C249"/>
    <mergeCell ref="D248:D249"/>
    <mergeCell ref="E248:E249"/>
    <mergeCell ref="F248:F249"/>
    <mergeCell ref="C247:F247"/>
    <mergeCell ref="E242:E243"/>
    <mergeCell ref="G242:G243"/>
    <mergeCell ref="H242:H247"/>
    <mergeCell ref="I242:I247"/>
    <mergeCell ref="J242:K242"/>
    <mergeCell ref="E236:E237"/>
    <mergeCell ref="C236:C237"/>
    <mergeCell ref="D236:D237"/>
    <mergeCell ref="F236:F237"/>
    <mergeCell ref="G236:G237"/>
    <mergeCell ref="D306:F306"/>
    <mergeCell ref="D307:F307"/>
    <mergeCell ref="C241:F241"/>
    <mergeCell ref="D301:F301"/>
    <mergeCell ref="D302:F302"/>
    <mergeCell ref="D303:F303"/>
    <mergeCell ref="D304:F304"/>
    <mergeCell ref="D305:F305"/>
    <mergeCell ref="A236:A241"/>
    <mergeCell ref="B236:B241"/>
    <mergeCell ref="A242:A247"/>
    <mergeCell ref="B242:B247"/>
    <mergeCell ref="C242:C243"/>
    <mergeCell ref="D242:D243"/>
    <mergeCell ref="F242:F243"/>
    <mergeCell ref="A254:A259"/>
    <mergeCell ref="B254:B259"/>
    <mergeCell ref="C254:C255"/>
    <mergeCell ref="D254:D255"/>
    <mergeCell ref="E254:E255"/>
    <mergeCell ref="F254:F255"/>
    <mergeCell ref="C259:F259"/>
    <mergeCell ref="A277:A281"/>
    <mergeCell ref="B277:B281"/>
    <mergeCell ref="I202:I209"/>
    <mergeCell ref="A224:A229"/>
    <mergeCell ref="B224:B229"/>
    <mergeCell ref="C230:C232"/>
    <mergeCell ref="D230:D232"/>
    <mergeCell ref="F230:F232"/>
    <mergeCell ref="G230:G232"/>
    <mergeCell ref="A230:A235"/>
    <mergeCell ref="B230:B235"/>
    <mergeCell ref="E218:E220"/>
    <mergeCell ref="H218:H223"/>
    <mergeCell ref="I218:I223"/>
    <mergeCell ref="A210:A217"/>
    <mergeCell ref="C223:F223"/>
    <mergeCell ref="A218:A223"/>
    <mergeCell ref="B218:B223"/>
    <mergeCell ref="C218:C220"/>
    <mergeCell ref="D218:D220"/>
    <mergeCell ref="F218:F220"/>
    <mergeCell ref="G218:G220"/>
    <mergeCell ref="H210:H217"/>
    <mergeCell ref="H230:H235"/>
    <mergeCell ref="A202:A209"/>
    <mergeCell ref="B210:B217"/>
    <mergeCell ref="G210:G215"/>
    <mergeCell ref="C217:F217"/>
    <mergeCell ref="A194:A201"/>
    <mergeCell ref="B202:B209"/>
    <mergeCell ref="C202:C207"/>
    <mergeCell ref="D202:D207"/>
    <mergeCell ref="F202:F207"/>
    <mergeCell ref="G202:G207"/>
    <mergeCell ref="C209:F209"/>
    <mergeCell ref="G186:G191"/>
    <mergeCell ref="C193:F193"/>
    <mergeCell ref="E186:E191"/>
    <mergeCell ref="H194:H201"/>
    <mergeCell ref="H202:H209"/>
    <mergeCell ref="H146:H153"/>
    <mergeCell ref="I146:I153"/>
    <mergeCell ref="J146:J148"/>
    <mergeCell ref="H154:H161"/>
    <mergeCell ref="I154:I161"/>
    <mergeCell ref="J154:J156"/>
    <mergeCell ref="H186:H193"/>
    <mergeCell ref="I186:I193"/>
    <mergeCell ref="J202:J204"/>
    <mergeCell ref="I194:I201"/>
    <mergeCell ref="J194:J196"/>
    <mergeCell ref="H170:H177"/>
    <mergeCell ref="G162:G167"/>
    <mergeCell ref="G146:G151"/>
    <mergeCell ref="C153:F153"/>
    <mergeCell ref="C194:C199"/>
    <mergeCell ref="D194:D199"/>
    <mergeCell ref="F194:F199"/>
    <mergeCell ref="G194:G199"/>
    <mergeCell ref="I210:I217"/>
    <mergeCell ref="J210:J212"/>
    <mergeCell ref="H224:H229"/>
    <mergeCell ref="I224:I229"/>
    <mergeCell ref="J240:K240"/>
    <mergeCell ref="J232:K232"/>
    <mergeCell ref="J234:K234"/>
    <mergeCell ref="J235:M235"/>
    <mergeCell ref="J236:K236"/>
    <mergeCell ref="J237:K237"/>
    <mergeCell ref="J238:K238"/>
    <mergeCell ref="J233:K233"/>
    <mergeCell ref="I230:I235"/>
    <mergeCell ref="G122:G127"/>
    <mergeCell ref="C129:F129"/>
    <mergeCell ref="A122:A129"/>
    <mergeCell ref="B130:B137"/>
    <mergeCell ref="C130:C135"/>
    <mergeCell ref="D130:D135"/>
    <mergeCell ref="F130:F135"/>
    <mergeCell ref="G130:G135"/>
    <mergeCell ref="C137:F137"/>
    <mergeCell ref="A130:A137"/>
    <mergeCell ref="B186:B193"/>
    <mergeCell ref="C186:C191"/>
    <mergeCell ref="D186:D191"/>
    <mergeCell ref="F186:F191"/>
    <mergeCell ref="A88:A95"/>
    <mergeCell ref="A96:A103"/>
    <mergeCell ref="B96:B103"/>
    <mergeCell ref="C96:C101"/>
    <mergeCell ref="D96:D101"/>
    <mergeCell ref="F96:F101"/>
    <mergeCell ref="A106:A113"/>
    <mergeCell ref="E88:E93"/>
    <mergeCell ref="C145:F145"/>
    <mergeCell ref="A154:A161"/>
    <mergeCell ref="B162:B169"/>
    <mergeCell ref="C162:C167"/>
    <mergeCell ref="D162:D167"/>
    <mergeCell ref="F162:F167"/>
    <mergeCell ref="C169:F169"/>
    <mergeCell ref="A138:A145"/>
    <mergeCell ref="B146:B153"/>
    <mergeCell ref="F122:F127"/>
    <mergeCell ref="C103:F103"/>
    <mergeCell ref="C104:F104"/>
    <mergeCell ref="B106:B113"/>
    <mergeCell ref="C106:C111"/>
    <mergeCell ref="D106:D111"/>
    <mergeCell ref="F106:F111"/>
    <mergeCell ref="C113:F113"/>
    <mergeCell ref="E146:E151"/>
    <mergeCell ref="E114:E119"/>
    <mergeCell ref="E122:E127"/>
    <mergeCell ref="E130:E135"/>
    <mergeCell ref="E96:E101"/>
    <mergeCell ref="E106:E111"/>
    <mergeCell ref="O236:O241"/>
    <mergeCell ref="P236:P241"/>
    <mergeCell ref="J216:K216"/>
    <mergeCell ref="J217:M217"/>
    <mergeCell ref="O218:O223"/>
    <mergeCell ref="P218:P223"/>
    <mergeCell ref="J218:K218"/>
    <mergeCell ref="J219:K219"/>
    <mergeCell ref="J220:K220"/>
    <mergeCell ref="J224:K224"/>
    <mergeCell ref="J225:K225"/>
    <mergeCell ref="J226:K226"/>
    <mergeCell ref="J228:K228"/>
    <mergeCell ref="J229:M229"/>
    <mergeCell ref="J230:K230"/>
    <mergeCell ref="J231:K231"/>
    <mergeCell ref="J241:M241"/>
    <mergeCell ref="O210:O217"/>
    <mergeCell ref="P210:P217"/>
    <mergeCell ref="J213:K213"/>
    <mergeCell ref="J214:K214"/>
    <mergeCell ref="J215:K215"/>
    <mergeCell ref="O186:O193"/>
    <mergeCell ref="O224:O229"/>
    <mergeCell ref="P224:P229"/>
    <mergeCell ref="P186:P193"/>
    <mergeCell ref="J189:K189"/>
    <mergeCell ref="J190:K190"/>
    <mergeCell ref="J191:K191"/>
    <mergeCell ref="J192:K192"/>
    <mergeCell ref="J193:M193"/>
    <mergeCell ref="J186:J188"/>
    <mergeCell ref="O230:O235"/>
    <mergeCell ref="P230:P235"/>
    <mergeCell ref="O194:O201"/>
    <mergeCell ref="P194:P201"/>
    <mergeCell ref="J197:K197"/>
    <mergeCell ref="J198:K198"/>
    <mergeCell ref="J199:K199"/>
    <mergeCell ref="J200:K200"/>
    <mergeCell ref="J201:M201"/>
    <mergeCell ref="O202:O209"/>
    <mergeCell ref="P202:P209"/>
    <mergeCell ref="J205:K205"/>
    <mergeCell ref="J206:K206"/>
    <mergeCell ref="J207:K207"/>
    <mergeCell ref="J208:K208"/>
    <mergeCell ref="J209:M209"/>
    <mergeCell ref="P170:P177"/>
    <mergeCell ref="J173:K173"/>
    <mergeCell ref="J174:K174"/>
    <mergeCell ref="J175:K175"/>
    <mergeCell ref="J176:K176"/>
    <mergeCell ref="J177:M177"/>
    <mergeCell ref="J170:J172"/>
    <mergeCell ref="J162:J164"/>
    <mergeCell ref="O178:O185"/>
    <mergeCell ref="P178:P185"/>
    <mergeCell ref="J181:K181"/>
    <mergeCell ref="J182:K182"/>
    <mergeCell ref="J183:K183"/>
    <mergeCell ref="J184:K184"/>
    <mergeCell ref="J185:M185"/>
    <mergeCell ref="J178:J180"/>
    <mergeCell ref="P146:P153"/>
    <mergeCell ref="J152:K152"/>
    <mergeCell ref="J153:M153"/>
    <mergeCell ref="J157:K157"/>
    <mergeCell ref="J158:K158"/>
    <mergeCell ref="J159:K159"/>
    <mergeCell ref="J160:K160"/>
    <mergeCell ref="J161:M161"/>
    <mergeCell ref="O162:O169"/>
    <mergeCell ref="P162:P169"/>
    <mergeCell ref="J165:K165"/>
    <mergeCell ref="J166:K166"/>
    <mergeCell ref="J167:K167"/>
    <mergeCell ref="J168:K168"/>
    <mergeCell ref="J169:M169"/>
    <mergeCell ref="P130:P137"/>
    <mergeCell ref="J222:K222"/>
    <mergeCell ref="J223:M223"/>
    <mergeCell ref="J137:M137"/>
    <mergeCell ref="J141:K141"/>
    <mergeCell ref="J111:K111"/>
    <mergeCell ref="J112:K112"/>
    <mergeCell ref="J117:K117"/>
    <mergeCell ref="J118:K118"/>
    <mergeCell ref="J119:K119"/>
    <mergeCell ref="J120:K120"/>
    <mergeCell ref="J121:M121"/>
    <mergeCell ref="J150:K150"/>
    <mergeCell ref="J151:K151"/>
    <mergeCell ref="O138:O145"/>
    <mergeCell ref="P138:P145"/>
    <mergeCell ref="J142:K142"/>
    <mergeCell ref="J143:K143"/>
    <mergeCell ref="J144:K144"/>
    <mergeCell ref="J145:M145"/>
    <mergeCell ref="J149:K149"/>
    <mergeCell ref="O154:O161"/>
    <mergeCell ref="P154:P161"/>
    <mergeCell ref="O146:O153"/>
    <mergeCell ref="P88:P95"/>
    <mergeCell ref="J91:K91"/>
    <mergeCell ref="J92:K92"/>
    <mergeCell ref="J93:K93"/>
    <mergeCell ref="O106:O113"/>
    <mergeCell ref="O114:O121"/>
    <mergeCell ref="P114:P121"/>
    <mergeCell ref="O122:O129"/>
    <mergeCell ref="P122:P129"/>
    <mergeCell ref="O96:O103"/>
    <mergeCell ref="P96:P103"/>
    <mergeCell ref="J99:K99"/>
    <mergeCell ref="J100:K100"/>
    <mergeCell ref="J101:K101"/>
    <mergeCell ref="J102:K102"/>
    <mergeCell ref="J103:M103"/>
    <mergeCell ref="J104:M104"/>
    <mergeCell ref="P106:P113"/>
    <mergeCell ref="J109:K109"/>
    <mergeCell ref="J110:K110"/>
    <mergeCell ref="J113:M113"/>
    <mergeCell ref="J114:J116"/>
    <mergeCell ref="J106:J108"/>
    <mergeCell ref="J122:J124"/>
    <mergeCell ref="P72:P79"/>
    <mergeCell ref="J75:K75"/>
    <mergeCell ref="J76:K76"/>
    <mergeCell ref="J77:K77"/>
    <mergeCell ref="J78:K78"/>
    <mergeCell ref="J79:M79"/>
    <mergeCell ref="O80:O87"/>
    <mergeCell ref="P80:P87"/>
    <mergeCell ref="J83:K83"/>
    <mergeCell ref="J84:K84"/>
    <mergeCell ref="J85:K85"/>
    <mergeCell ref="J86:K86"/>
    <mergeCell ref="J87:M87"/>
    <mergeCell ref="O72:O79"/>
    <mergeCell ref="P56:P63"/>
    <mergeCell ref="J59:K59"/>
    <mergeCell ref="J60:K60"/>
    <mergeCell ref="J61:K61"/>
    <mergeCell ref="J62:K62"/>
    <mergeCell ref="J63:M63"/>
    <mergeCell ref="O64:O71"/>
    <mergeCell ref="P64:P71"/>
    <mergeCell ref="J67:K67"/>
    <mergeCell ref="J68:K68"/>
    <mergeCell ref="J69:K69"/>
    <mergeCell ref="J70:K70"/>
    <mergeCell ref="J71:M71"/>
    <mergeCell ref="O56:O63"/>
    <mergeCell ref="I72:I79"/>
    <mergeCell ref="J72:J74"/>
    <mergeCell ref="H96:H103"/>
    <mergeCell ref="I96:I103"/>
    <mergeCell ref="J96:J98"/>
    <mergeCell ref="J94:K94"/>
    <mergeCell ref="J95:M95"/>
    <mergeCell ref="H88:H95"/>
    <mergeCell ref="I88:I95"/>
    <mergeCell ref="J88:J90"/>
    <mergeCell ref="I170:I177"/>
    <mergeCell ref="I162:I169"/>
    <mergeCell ref="I122:I129"/>
    <mergeCell ref="H130:H137"/>
    <mergeCell ref="I130:I137"/>
    <mergeCell ref="H178:H185"/>
    <mergeCell ref="I178:I185"/>
    <mergeCell ref="O88:O95"/>
    <mergeCell ref="O130:O137"/>
    <mergeCell ref="O170:O177"/>
    <mergeCell ref="J138:J140"/>
    <mergeCell ref="H138:H145"/>
    <mergeCell ref="I138:I145"/>
    <mergeCell ref="H114:H121"/>
    <mergeCell ref="I114:I121"/>
    <mergeCell ref="F170:F175"/>
    <mergeCell ref="G170:G175"/>
    <mergeCell ref="C177:F177"/>
    <mergeCell ref="H162:H169"/>
    <mergeCell ref="A170:A177"/>
    <mergeCell ref="B178:B185"/>
    <mergeCell ref="C178:C183"/>
    <mergeCell ref="D178:D183"/>
    <mergeCell ref="F178:F183"/>
    <mergeCell ref="G178:G183"/>
    <mergeCell ref="C185:F185"/>
    <mergeCell ref="E162:E167"/>
    <mergeCell ref="E170:E175"/>
    <mergeCell ref="E178:E183"/>
    <mergeCell ref="A178:A185"/>
    <mergeCell ref="A162:A169"/>
    <mergeCell ref="B170:B177"/>
    <mergeCell ref="C170:C175"/>
    <mergeCell ref="D170:D175"/>
    <mergeCell ref="A146:A153"/>
    <mergeCell ref="B154:B161"/>
    <mergeCell ref="C154:C159"/>
    <mergeCell ref="D154:D159"/>
    <mergeCell ref="F154:F159"/>
    <mergeCell ref="G154:G159"/>
    <mergeCell ref="C161:F161"/>
    <mergeCell ref="B138:B145"/>
    <mergeCell ref="C138:C143"/>
    <mergeCell ref="D138:D143"/>
    <mergeCell ref="E138:E143"/>
    <mergeCell ref="E154:E159"/>
    <mergeCell ref="C146:C151"/>
    <mergeCell ref="D146:D151"/>
    <mergeCell ref="F146:F151"/>
    <mergeCell ref="F56:F61"/>
    <mergeCell ref="G56:G61"/>
    <mergeCell ref="C63:F63"/>
    <mergeCell ref="J53:K53"/>
    <mergeCell ref="J54:K54"/>
    <mergeCell ref="H48:H55"/>
    <mergeCell ref="I48:I55"/>
    <mergeCell ref="J48:J50"/>
    <mergeCell ref="F138:F143"/>
    <mergeCell ref="G138:G143"/>
    <mergeCell ref="H80:H87"/>
    <mergeCell ref="I80:I87"/>
    <mergeCell ref="J80:J82"/>
    <mergeCell ref="H56:H63"/>
    <mergeCell ref="I56:I63"/>
    <mergeCell ref="J56:J58"/>
    <mergeCell ref="C114:C119"/>
    <mergeCell ref="D114:D119"/>
    <mergeCell ref="F114:F119"/>
    <mergeCell ref="G114:G119"/>
    <mergeCell ref="H64:H71"/>
    <mergeCell ref="I64:I71"/>
    <mergeCell ref="J64:J66"/>
    <mergeCell ref="H72:H79"/>
    <mergeCell ref="A32:A39"/>
    <mergeCell ref="B40:B47"/>
    <mergeCell ref="C40:C45"/>
    <mergeCell ref="D40:D45"/>
    <mergeCell ref="F40:F45"/>
    <mergeCell ref="G40:G45"/>
    <mergeCell ref="C47:F47"/>
    <mergeCell ref="A40:A47"/>
    <mergeCell ref="B48:B55"/>
    <mergeCell ref="C48:C53"/>
    <mergeCell ref="D48:D53"/>
    <mergeCell ref="F48:F53"/>
    <mergeCell ref="G48:G53"/>
    <mergeCell ref="C55:F55"/>
    <mergeCell ref="G32:G37"/>
    <mergeCell ref="C39:F39"/>
    <mergeCell ref="A48:A55"/>
    <mergeCell ref="B56:B63"/>
    <mergeCell ref="B88:B95"/>
    <mergeCell ref="C88:C93"/>
    <mergeCell ref="D88:D93"/>
    <mergeCell ref="F88:F93"/>
    <mergeCell ref="G88:G93"/>
    <mergeCell ref="C95:F95"/>
    <mergeCell ref="J135:K135"/>
    <mergeCell ref="J136:K136"/>
    <mergeCell ref="J125:K125"/>
    <mergeCell ref="J126:K126"/>
    <mergeCell ref="J127:K127"/>
    <mergeCell ref="J128:K128"/>
    <mergeCell ref="J129:M129"/>
    <mergeCell ref="J133:K133"/>
    <mergeCell ref="J134:K134"/>
    <mergeCell ref="J130:J132"/>
    <mergeCell ref="B114:B121"/>
    <mergeCell ref="C121:F121"/>
    <mergeCell ref="I106:I113"/>
    <mergeCell ref="H122:H129"/>
    <mergeCell ref="G96:G101"/>
    <mergeCell ref="G106:G111"/>
    <mergeCell ref="H106:H113"/>
    <mergeCell ref="A72:A79"/>
    <mergeCell ref="B80:B87"/>
    <mergeCell ref="C80:C85"/>
    <mergeCell ref="D80:D85"/>
    <mergeCell ref="F80:F85"/>
    <mergeCell ref="G80:G85"/>
    <mergeCell ref="C87:F87"/>
    <mergeCell ref="A56:A63"/>
    <mergeCell ref="B64:B71"/>
    <mergeCell ref="C64:C69"/>
    <mergeCell ref="D64:D69"/>
    <mergeCell ref="F64:F69"/>
    <mergeCell ref="G64:G69"/>
    <mergeCell ref="C71:F71"/>
    <mergeCell ref="A64:A71"/>
    <mergeCell ref="B72:B79"/>
    <mergeCell ref="C72:C77"/>
    <mergeCell ref="D72:D77"/>
    <mergeCell ref="F72:F77"/>
    <mergeCell ref="G72:G77"/>
    <mergeCell ref="C79:F79"/>
    <mergeCell ref="A80:A87"/>
    <mergeCell ref="C56:C61"/>
    <mergeCell ref="D56:D61"/>
    <mergeCell ref="O48:O55"/>
    <mergeCell ref="P48:P55"/>
    <mergeCell ref="J51:K51"/>
    <mergeCell ref="J52:K52"/>
    <mergeCell ref="J55:M55"/>
    <mergeCell ref="O40:O47"/>
    <mergeCell ref="P40:P47"/>
    <mergeCell ref="J43:K43"/>
    <mergeCell ref="J44:K44"/>
    <mergeCell ref="J47:M47"/>
    <mergeCell ref="J30:K30"/>
    <mergeCell ref="J31:M31"/>
    <mergeCell ref="I24:I31"/>
    <mergeCell ref="J24:J26"/>
    <mergeCell ref="O24:O31"/>
    <mergeCell ref="P24:P31"/>
    <mergeCell ref="J27:K27"/>
    <mergeCell ref="J28:K28"/>
    <mergeCell ref="J29:K29"/>
    <mergeCell ref="J37:K37"/>
    <mergeCell ref="J38:K38"/>
    <mergeCell ref="I32:I39"/>
    <mergeCell ref="J32:J34"/>
    <mergeCell ref="O32:O39"/>
    <mergeCell ref="P32:P39"/>
    <mergeCell ref="J35:K35"/>
    <mergeCell ref="J36:K36"/>
    <mergeCell ref="J39:M39"/>
    <mergeCell ref="A16:A23"/>
    <mergeCell ref="B16:B23"/>
    <mergeCell ref="C16:C21"/>
    <mergeCell ref="D16:D21"/>
    <mergeCell ref="F16:F21"/>
    <mergeCell ref="C23:F23"/>
    <mergeCell ref="J45:K45"/>
    <mergeCell ref="J46:K46"/>
    <mergeCell ref="H40:H47"/>
    <mergeCell ref="I40:I47"/>
    <mergeCell ref="J40:J42"/>
    <mergeCell ref="B24:B31"/>
    <mergeCell ref="C24:C29"/>
    <mergeCell ref="D24:D29"/>
    <mergeCell ref="F24:F29"/>
    <mergeCell ref="G24:G29"/>
    <mergeCell ref="H24:H31"/>
    <mergeCell ref="C31:F31"/>
    <mergeCell ref="H32:H39"/>
    <mergeCell ref="A24:A31"/>
    <mergeCell ref="B32:B39"/>
    <mergeCell ref="C32:C37"/>
    <mergeCell ref="D32:D37"/>
    <mergeCell ref="F32:F37"/>
    <mergeCell ref="G16:G21"/>
    <mergeCell ref="H16:H23"/>
    <mergeCell ref="I16:I23"/>
    <mergeCell ref="J7:K7"/>
    <mergeCell ref="J8:J10"/>
    <mergeCell ref="O8:O15"/>
    <mergeCell ref="P8:P15"/>
    <mergeCell ref="O16:O23"/>
    <mergeCell ref="P16:P23"/>
    <mergeCell ref="J11:K11"/>
    <mergeCell ref="J12:K12"/>
    <mergeCell ref="I8:I15"/>
    <mergeCell ref="J22:K22"/>
    <mergeCell ref="J23:M23"/>
    <mergeCell ref="J16:J18"/>
    <mergeCell ref="J19:K19"/>
    <mergeCell ref="J20:K20"/>
    <mergeCell ref="J21:K21"/>
    <mergeCell ref="A1:P4"/>
    <mergeCell ref="A6:A7"/>
    <mergeCell ref="B6:B7"/>
    <mergeCell ref="C6:I6"/>
    <mergeCell ref="J6:P6"/>
    <mergeCell ref="G8:G13"/>
    <mergeCell ref="H8:H15"/>
    <mergeCell ref="B8:B15"/>
    <mergeCell ref="C8:C13"/>
    <mergeCell ref="D8:D13"/>
    <mergeCell ref="F8:F13"/>
    <mergeCell ref="C15:F15"/>
    <mergeCell ref="A8:A15"/>
    <mergeCell ref="J13:K13"/>
    <mergeCell ref="J14:K14"/>
    <mergeCell ref="J15:M15"/>
    <mergeCell ref="E8:E13"/>
    <mergeCell ref="A260:A267"/>
    <mergeCell ref="B260:B267"/>
    <mergeCell ref="C260:C261"/>
    <mergeCell ref="D260:D261"/>
    <mergeCell ref="E260:E261"/>
    <mergeCell ref="F260:F261"/>
    <mergeCell ref="G260:G261"/>
    <mergeCell ref="H260:H267"/>
    <mergeCell ref="I260:I267"/>
    <mergeCell ref="J260:K260"/>
    <mergeCell ref="O260:O267"/>
    <mergeCell ref="P260:P267"/>
    <mergeCell ref="J261:K261"/>
    <mergeCell ref="J262:K262"/>
    <mergeCell ref="J263:K263"/>
    <mergeCell ref="J264:K264"/>
    <mergeCell ref="C267:F267"/>
    <mergeCell ref="J267:M267"/>
    <mergeCell ref="J265:N266"/>
    <mergeCell ref="C268:C269"/>
    <mergeCell ref="D268:D269"/>
    <mergeCell ref="E268:E269"/>
    <mergeCell ref="F268:F269"/>
    <mergeCell ref="G268:G269"/>
    <mergeCell ref="H268:H276"/>
    <mergeCell ref="I268:I276"/>
    <mergeCell ref="C276:F276"/>
    <mergeCell ref="A268:A276"/>
    <mergeCell ref="B268:B276"/>
    <mergeCell ref="C272:G275"/>
    <mergeCell ref="J268:K268"/>
    <mergeCell ref="O268:O276"/>
    <mergeCell ref="P268:P276"/>
    <mergeCell ref="J269:K269"/>
    <mergeCell ref="J270:K270"/>
    <mergeCell ref="J271:K271"/>
    <mergeCell ref="J276:M276"/>
    <mergeCell ref="J274:K274"/>
    <mergeCell ref="J272:M272"/>
    <mergeCell ref="J273:K273"/>
    <mergeCell ref="J275:M275"/>
  </mergeCells>
  <pageMargins left="0.11811023622047245" right="0.11811023622047245" top="0.15748031496062992" bottom="0.15748031496062992" header="0" footer="0"/>
  <pageSetup scale="6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6"/>
  <sheetViews>
    <sheetView zoomScale="90" zoomScaleNormal="90" workbookViewId="0">
      <pane xSplit="2" ySplit="149" topLeftCell="C150" activePane="bottomRight" state="frozen"/>
      <selection pane="topRight" activeCell="C1" sqref="C1"/>
      <selection pane="bottomLeft" activeCell="A150" sqref="A150"/>
      <selection pane="bottomRight" activeCell="B174" sqref="B174:B181"/>
    </sheetView>
  </sheetViews>
  <sheetFormatPr baseColWidth="10" defaultColWidth="14.44140625" defaultRowHeight="15" customHeight="1" x14ac:dyDescent="0.3"/>
  <cols>
    <col min="1" max="1" width="31" customWidth="1"/>
    <col min="2" max="2" width="11.5546875" bestFit="1" customWidth="1"/>
    <col min="3" max="3" width="17.88671875" customWidth="1"/>
    <col min="4" max="4" width="8.44140625" customWidth="1"/>
    <col min="5" max="5" width="13.44140625" customWidth="1"/>
    <col min="6" max="6" width="13.88671875" customWidth="1"/>
    <col min="7" max="7" width="15.44140625" customWidth="1"/>
    <col min="8" max="8" width="12" customWidth="1"/>
    <col min="9" max="9" width="0.109375" customWidth="1"/>
    <col min="10" max="15" width="15.6640625" customWidth="1"/>
    <col min="16" max="16" width="15.33203125" customWidth="1"/>
    <col min="17" max="27" width="10.6640625" customWidth="1"/>
  </cols>
  <sheetData>
    <row r="1" spans="1:27" ht="15" customHeight="1" x14ac:dyDescent="0.3">
      <c r="A1" s="430" t="s">
        <v>80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2"/>
    </row>
    <row r="2" spans="1:27" ht="15" customHeight="1" x14ac:dyDescent="0.3">
      <c r="A2" s="433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5"/>
    </row>
    <row r="3" spans="1:27" ht="15" customHeight="1" x14ac:dyDescent="0.3">
      <c r="A3" s="433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5"/>
    </row>
    <row r="4" spans="1:27" ht="15" customHeight="1" x14ac:dyDescent="0.3">
      <c r="A4" s="433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5"/>
    </row>
    <row r="5" spans="1:27" ht="15" customHeight="1" thickBot="1" x14ac:dyDescent="0.35">
      <c r="A5" s="95" t="s">
        <v>67</v>
      </c>
      <c r="B5" s="95"/>
      <c r="C5" s="95"/>
      <c r="D5" s="96"/>
      <c r="E5" s="96"/>
      <c r="F5" s="96"/>
      <c r="G5" s="96"/>
      <c r="H5" s="96"/>
      <c r="I5" s="96"/>
      <c r="J5" s="95"/>
      <c r="K5" s="95"/>
      <c r="L5" s="95"/>
      <c r="M5" s="96"/>
      <c r="N5" s="96"/>
      <c r="O5" s="96" t="s">
        <v>1</v>
      </c>
      <c r="P5" s="101">
        <v>2023</v>
      </c>
    </row>
    <row r="6" spans="1:27" ht="13.95" customHeight="1" thickBot="1" x14ac:dyDescent="0.35">
      <c r="A6" s="540" t="s">
        <v>3</v>
      </c>
      <c r="B6" s="542" t="s">
        <v>4</v>
      </c>
      <c r="C6" s="543" t="s">
        <v>5</v>
      </c>
      <c r="D6" s="544"/>
      <c r="E6" s="544"/>
      <c r="F6" s="544"/>
      <c r="G6" s="544"/>
      <c r="H6" s="544"/>
      <c r="I6" s="545"/>
      <c r="J6" s="546" t="s">
        <v>6</v>
      </c>
      <c r="K6" s="547"/>
      <c r="L6" s="547"/>
      <c r="M6" s="547"/>
      <c r="N6" s="547"/>
      <c r="O6" s="547"/>
      <c r="P6" s="548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6" customHeight="1" thickBot="1" x14ac:dyDescent="0.35">
      <c r="A7" s="541"/>
      <c r="B7" s="439"/>
      <c r="C7" s="107" t="s">
        <v>7</v>
      </c>
      <c r="D7" s="108" t="s">
        <v>62</v>
      </c>
      <c r="E7" s="108" t="s">
        <v>63</v>
      </c>
      <c r="F7" s="108" t="s">
        <v>9</v>
      </c>
      <c r="G7" s="109" t="s">
        <v>10</v>
      </c>
      <c r="H7" s="110" t="s">
        <v>11</v>
      </c>
      <c r="I7" s="109" t="s">
        <v>12</v>
      </c>
      <c r="J7" s="549" t="s">
        <v>7</v>
      </c>
      <c r="K7" s="454"/>
      <c r="L7" s="7" t="s">
        <v>8</v>
      </c>
      <c r="M7" s="7" t="s">
        <v>9</v>
      </c>
      <c r="N7" s="8" t="s">
        <v>10</v>
      </c>
      <c r="O7" s="8" t="s">
        <v>11</v>
      </c>
      <c r="P7" s="102" t="s">
        <v>12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9.5" hidden="1" customHeight="1" x14ac:dyDescent="0.3">
      <c r="A8" s="402" t="s">
        <v>38</v>
      </c>
      <c r="B8" s="405">
        <v>44947</v>
      </c>
      <c r="C8" s="550" t="s">
        <v>54</v>
      </c>
      <c r="D8" s="552">
        <f>+E8*2</f>
        <v>0</v>
      </c>
      <c r="E8" s="552">
        <v>0</v>
      </c>
      <c r="F8" s="556">
        <v>290</v>
      </c>
      <c r="G8" s="557">
        <f>+D8*F8</f>
        <v>0</v>
      </c>
      <c r="H8" s="393" t="s">
        <v>83</v>
      </c>
      <c r="I8" s="526"/>
      <c r="J8" s="531" t="s">
        <v>17</v>
      </c>
      <c r="K8" s="417"/>
      <c r="L8" s="46">
        <v>18</v>
      </c>
      <c r="M8" s="47">
        <v>7500</v>
      </c>
      <c r="N8" s="48">
        <f>+L8*M8</f>
        <v>135000</v>
      </c>
      <c r="O8" s="375" t="s">
        <v>27</v>
      </c>
      <c r="P8" s="489"/>
    </row>
    <row r="9" spans="1:27" ht="19.5" hidden="1" customHeight="1" x14ac:dyDescent="0.3">
      <c r="A9" s="403"/>
      <c r="B9" s="406"/>
      <c r="C9" s="551"/>
      <c r="D9" s="388"/>
      <c r="E9" s="388"/>
      <c r="F9" s="390"/>
      <c r="G9" s="392"/>
      <c r="H9" s="393"/>
      <c r="I9" s="527"/>
      <c r="J9" s="531" t="s">
        <v>18</v>
      </c>
      <c r="K9" s="417"/>
      <c r="L9" s="13">
        <v>370</v>
      </c>
      <c r="M9" s="14">
        <v>2500</v>
      </c>
      <c r="N9" s="15">
        <f>+L9*M9</f>
        <v>925000</v>
      </c>
      <c r="O9" s="375"/>
      <c r="P9" s="489"/>
    </row>
    <row r="10" spans="1:27" ht="19.5" hidden="1" customHeight="1" x14ac:dyDescent="0.3">
      <c r="A10" s="403"/>
      <c r="B10" s="406"/>
      <c r="C10" s="98" t="s">
        <v>55</v>
      </c>
      <c r="D10" s="54">
        <v>0</v>
      </c>
      <c r="E10" s="54"/>
      <c r="F10" s="45">
        <v>70000</v>
      </c>
      <c r="G10" s="57"/>
      <c r="H10" s="393"/>
      <c r="I10" s="527"/>
      <c r="J10" s="531" t="s">
        <v>19</v>
      </c>
      <c r="K10" s="417"/>
      <c r="L10" s="13">
        <v>0</v>
      </c>
      <c r="M10" s="14">
        <v>32000</v>
      </c>
      <c r="N10" s="15">
        <f>+L10*M10</f>
        <v>0</v>
      </c>
      <c r="O10" s="375"/>
      <c r="P10" s="489"/>
    </row>
    <row r="11" spans="1:27" ht="19.5" hidden="1" customHeight="1" x14ac:dyDescent="0.3">
      <c r="A11" s="403"/>
      <c r="B11" s="406"/>
      <c r="C11" s="98" t="s">
        <v>81</v>
      </c>
      <c r="D11" s="54">
        <v>0</v>
      </c>
      <c r="E11" s="54"/>
      <c r="F11" s="43">
        <v>55000</v>
      </c>
      <c r="G11" s="56">
        <f>+D11*F11</f>
        <v>0</v>
      </c>
      <c r="H11" s="393"/>
      <c r="I11" s="527"/>
      <c r="J11" s="531" t="s">
        <v>57</v>
      </c>
      <c r="K11" s="417"/>
      <c r="L11" s="13">
        <v>0</v>
      </c>
      <c r="M11" s="14">
        <v>68000</v>
      </c>
      <c r="N11" s="15">
        <f>+L11*M11</f>
        <v>0</v>
      </c>
      <c r="O11" s="375"/>
      <c r="P11" s="489"/>
    </row>
    <row r="12" spans="1:27" ht="19.5" hidden="1" customHeight="1" x14ac:dyDescent="0.3">
      <c r="A12" s="403"/>
      <c r="B12" s="406"/>
      <c r="C12" s="98" t="s">
        <v>82</v>
      </c>
      <c r="D12" s="54">
        <v>0</v>
      </c>
      <c r="E12" s="54"/>
      <c r="F12" s="45">
        <v>20000</v>
      </c>
      <c r="G12" s="57">
        <f>+D12*F12</f>
        <v>0</v>
      </c>
      <c r="H12" s="393"/>
      <c r="I12" s="527"/>
      <c r="J12" s="531" t="s">
        <v>60</v>
      </c>
      <c r="K12" s="417"/>
      <c r="L12" s="13">
        <v>0</v>
      </c>
      <c r="M12" s="14">
        <v>750000</v>
      </c>
      <c r="N12" s="15">
        <f>+L12*M12</f>
        <v>0</v>
      </c>
      <c r="O12" s="375"/>
      <c r="P12" s="489"/>
    </row>
    <row r="13" spans="1:27" ht="19.5" hidden="1" customHeight="1" x14ac:dyDescent="0.3">
      <c r="A13" s="403"/>
      <c r="B13" s="406"/>
      <c r="C13" s="99" t="s">
        <v>71</v>
      </c>
      <c r="D13" s="54">
        <v>0</v>
      </c>
      <c r="E13" s="52"/>
      <c r="F13" s="50">
        <v>50000</v>
      </c>
      <c r="G13" s="57">
        <f>+D13*F13</f>
        <v>0</v>
      </c>
      <c r="H13" s="393"/>
      <c r="I13" s="527"/>
      <c r="J13" s="553"/>
      <c r="K13" s="423"/>
      <c r="L13" s="423"/>
      <c r="M13" s="423"/>
      <c r="N13" s="424"/>
      <c r="O13" s="375"/>
      <c r="P13" s="489"/>
    </row>
    <row r="14" spans="1:27" ht="19.5" hidden="1" customHeight="1" x14ac:dyDescent="0.3">
      <c r="A14" s="403"/>
      <c r="B14" s="406"/>
      <c r="C14" s="99" t="s">
        <v>72</v>
      </c>
      <c r="D14" s="54">
        <v>0</v>
      </c>
      <c r="E14" s="52"/>
      <c r="F14" s="50">
        <v>75000</v>
      </c>
      <c r="G14" s="57">
        <f>+D14*F14</f>
        <v>0</v>
      </c>
      <c r="H14" s="393"/>
      <c r="I14" s="527"/>
      <c r="J14" s="553"/>
      <c r="K14" s="423"/>
      <c r="L14" s="423"/>
      <c r="M14" s="423"/>
      <c r="N14" s="424"/>
      <c r="O14" s="375"/>
      <c r="P14" s="489"/>
    </row>
    <row r="15" spans="1:27" ht="19.2" hidden="1" customHeight="1" thickBot="1" x14ac:dyDescent="0.35">
      <c r="A15" s="403"/>
      <c r="B15" s="406"/>
      <c r="C15" s="554" t="s">
        <v>21</v>
      </c>
      <c r="D15" s="555"/>
      <c r="E15" s="555"/>
      <c r="F15" s="421"/>
      <c r="G15" s="78">
        <f>SUM(G8:G14)</f>
        <v>0</v>
      </c>
      <c r="H15" s="393"/>
      <c r="I15" s="527"/>
      <c r="J15" s="538" t="s">
        <v>22</v>
      </c>
      <c r="K15" s="420"/>
      <c r="L15" s="420"/>
      <c r="M15" s="421"/>
      <c r="N15" s="41">
        <f>SUM(N8:N12)</f>
        <v>1060000</v>
      </c>
      <c r="O15" s="375"/>
      <c r="P15" s="489"/>
    </row>
    <row r="16" spans="1:27" ht="19.5" hidden="1" customHeight="1" x14ac:dyDescent="0.3">
      <c r="A16" s="402" t="str">
        <f>+A8</f>
        <v>Talleres - Belgrano</v>
      </c>
      <c r="B16" s="405">
        <f>+B8</f>
        <v>44947</v>
      </c>
      <c r="C16" s="559"/>
      <c r="D16" s="560"/>
      <c r="E16" s="560"/>
      <c r="F16" s="561"/>
      <c r="G16" s="565">
        <f ca="1">SUM(G10:G16)</f>
        <v>0</v>
      </c>
      <c r="H16" s="91"/>
      <c r="I16" s="105"/>
      <c r="J16" s="558" t="s">
        <v>85</v>
      </c>
      <c r="K16" s="492"/>
      <c r="L16" s="46">
        <v>370</v>
      </c>
      <c r="M16" s="47">
        <v>2500</v>
      </c>
      <c r="N16" s="85">
        <f>+L16*M16</f>
        <v>925000</v>
      </c>
      <c r="O16" s="76"/>
      <c r="P16" s="74"/>
    </row>
    <row r="17" spans="1:16" ht="19.2" hidden="1" customHeight="1" thickBot="1" x14ac:dyDescent="0.35">
      <c r="A17" s="404"/>
      <c r="B17" s="407"/>
      <c r="C17" s="562"/>
      <c r="D17" s="563"/>
      <c r="E17" s="563"/>
      <c r="F17" s="564"/>
      <c r="G17" s="566"/>
      <c r="H17" s="92"/>
      <c r="I17" s="106"/>
      <c r="J17" s="535" t="s">
        <v>22</v>
      </c>
      <c r="K17" s="485"/>
      <c r="L17" s="485"/>
      <c r="M17" s="418"/>
      <c r="N17" s="86">
        <f>+N16</f>
        <v>925000</v>
      </c>
      <c r="O17" s="77"/>
      <c r="P17" s="75"/>
    </row>
    <row r="18" spans="1:16" ht="19.5" hidden="1" customHeight="1" x14ac:dyDescent="0.3">
      <c r="A18" s="403" t="s">
        <v>84</v>
      </c>
      <c r="B18" s="406">
        <v>44954</v>
      </c>
      <c r="C18" s="100" t="s">
        <v>54</v>
      </c>
      <c r="D18" s="79">
        <f>+E18*2</f>
        <v>2200</v>
      </c>
      <c r="E18" s="79">
        <v>1100</v>
      </c>
      <c r="F18" s="80">
        <v>290</v>
      </c>
      <c r="G18" s="81">
        <f t="shared" ref="G18:G23" si="0">+D18*F18</f>
        <v>638000</v>
      </c>
      <c r="H18" s="393" t="s">
        <v>83</v>
      </c>
      <c r="I18" s="526"/>
      <c r="J18" s="529" t="s">
        <v>17</v>
      </c>
      <c r="K18" s="530"/>
      <c r="L18" s="82">
        <v>18</v>
      </c>
      <c r="M18" s="83">
        <v>7500</v>
      </c>
      <c r="N18" s="84">
        <f>+L18*M18</f>
        <v>135000</v>
      </c>
      <c r="O18" s="375"/>
      <c r="P18" s="489"/>
    </row>
    <row r="19" spans="1:16" ht="19.5" hidden="1" customHeight="1" x14ac:dyDescent="0.3">
      <c r="A19" s="403"/>
      <c r="B19" s="406"/>
      <c r="C19" s="98" t="s">
        <v>55</v>
      </c>
      <c r="D19" s="54">
        <v>2</v>
      </c>
      <c r="E19" s="54"/>
      <c r="F19" s="45">
        <v>70000</v>
      </c>
      <c r="G19" s="90">
        <f t="shared" si="0"/>
        <v>140000</v>
      </c>
      <c r="H19" s="393"/>
      <c r="I19" s="527"/>
      <c r="J19" s="531" t="s">
        <v>18</v>
      </c>
      <c r="K19" s="417"/>
      <c r="L19" s="13">
        <v>630</v>
      </c>
      <c r="M19" s="14">
        <v>2500</v>
      </c>
      <c r="N19" s="15">
        <f>+L19*M19</f>
        <v>1575000</v>
      </c>
      <c r="O19" s="375"/>
      <c r="P19" s="489"/>
    </row>
    <row r="20" spans="1:16" ht="19.5" hidden="1" customHeight="1" x14ac:dyDescent="0.3">
      <c r="A20" s="403"/>
      <c r="B20" s="406"/>
      <c r="C20" s="98" t="s">
        <v>81</v>
      </c>
      <c r="D20" s="54">
        <v>0</v>
      </c>
      <c r="E20" s="54"/>
      <c r="F20" s="43">
        <v>55000</v>
      </c>
      <c r="G20" s="56">
        <f t="shared" si="0"/>
        <v>0</v>
      </c>
      <c r="H20" s="393"/>
      <c r="I20" s="527"/>
      <c r="J20" s="531" t="s">
        <v>19</v>
      </c>
      <c r="K20" s="417"/>
      <c r="L20" s="13">
        <v>1</v>
      </c>
      <c r="M20" s="14">
        <v>32000</v>
      </c>
      <c r="N20" s="15">
        <f>+L20*M20</f>
        <v>32000</v>
      </c>
      <c r="O20" s="375"/>
      <c r="P20" s="489"/>
    </row>
    <row r="21" spans="1:16" ht="19.5" hidden="1" customHeight="1" x14ac:dyDescent="0.3">
      <c r="A21" s="403"/>
      <c r="B21" s="406"/>
      <c r="C21" s="98" t="s">
        <v>82</v>
      </c>
      <c r="D21" s="54">
        <v>0</v>
      </c>
      <c r="E21" s="54"/>
      <c r="F21" s="45">
        <v>20000</v>
      </c>
      <c r="G21" s="57">
        <f t="shared" si="0"/>
        <v>0</v>
      </c>
      <c r="H21" s="393"/>
      <c r="I21" s="527"/>
      <c r="J21" s="531" t="s">
        <v>57</v>
      </c>
      <c r="K21" s="417"/>
      <c r="L21" s="13">
        <v>1</v>
      </c>
      <c r="M21" s="14">
        <v>68000</v>
      </c>
      <c r="N21" s="15">
        <f>+L21*M21</f>
        <v>68000</v>
      </c>
      <c r="O21" s="375"/>
      <c r="P21" s="489"/>
    </row>
    <row r="22" spans="1:16" ht="19.5" hidden="1" customHeight="1" x14ac:dyDescent="0.3">
      <c r="A22" s="403"/>
      <c r="B22" s="406"/>
      <c r="C22" s="99" t="s">
        <v>71</v>
      </c>
      <c r="D22" s="54">
        <v>0</v>
      </c>
      <c r="E22" s="52"/>
      <c r="F22" s="50">
        <v>50000</v>
      </c>
      <c r="G22" s="57">
        <f t="shared" si="0"/>
        <v>0</v>
      </c>
      <c r="H22" s="393"/>
      <c r="I22" s="527"/>
      <c r="J22" s="531" t="s">
        <v>60</v>
      </c>
      <c r="K22" s="417"/>
      <c r="L22" s="13">
        <v>0</v>
      </c>
      <c r="M22" s="14">
        <v>750000</v>
      </c>
      <c r="N22" s="15">
        <f>+L22*M22</f>
        <v>0</v>
      </c>
      <c r="O22" s="375"/>
      <c r="P22" s="489"/>
    </row>
    <row r="23" spans="1:16" ht="19.5" hidden="1" customHeight="1" x14ac:dyDescent="0.3">
      <c r="A23" s="403"/>
      <c r="B23" s="406"/>
      <c r="C23" s="99" t="s">
        <v>72</v>
      </c>
      <c r="D23" s="54">
        <v>0</v>
      </c>
      <c r="E23" s="52"/>
      <c r="F23" s="50">
        <v>75000</v>
      </c>
      <c r="G23" s="57">
        <f t="shared" si="0"/>
        <v>0</v>
      </c>
      <c r="H23" s="393"/>
      <c r="I23" s="527"/>
      <c r="J23" s="532"/>
      <c r="K23" s="533"/>
      <c r="L23" s="533"/>
      <c r="M23" s="533"/>
      <c r="N23" s="534"/>
      <c r="O23" s="375"/>
      <c r="P23" s="489"/>
    </row>
    <row r="24" spans="1:16" ht="19.2" hidden="1" customHeight="1" thickBot="1" x14ac:dyDescent="0.35">
      <c r="A24" s="404"/>
      <c r="B24" s="407"/>
      <c r="C24" s="539" t="s">
        <v>21</v>
      </c>
      <c r="D24" s="400"/>
      <c r="E24" s="400"/>
      <c r="F24" s="418"/>
      <c r="G24" s="59">
        <f>SUM(G18:G23)</f>
        <v>778000</v>
      </c>
      <c r="H24" s="513"/>
      <c r="I24" s="528"/>
      <c r="J24" s="538" t="s">
        <v>22</v>
      </c>
      <c r="K24" s="420"/>
      <c r="L24" s="420"/>
      <c r="M24" s="421"/>
      <c r="N24" s="41">
        <f>SUM(N18:N22)</f>
        <v>1810000</v>
      </c>
      <c r="O24" s="376"/>
      <c r="P24" s="537"/>
    </row>
    <row r="25" spans="1:16" ht="19.95" hidden="1" customHeight="1" thickBot="1" x14ac:dyDescent="0.35">
      <c r="A25" s="403" t="s">
        <v>86</v>
      </c>
      <c r="B25" s="406">
        <v>44969</v>
      </c>
      <c r="C25" s="79" t="s">
        <v>54</v>
      </c>
      <c r="D25" s="79">
        <f>+E25*2</f>
        <v>2200</v>
      </c>
      <c r="E25" s="79">
        <v>1100</v>
      </c>
      <c r="F25" s="80">
        <v>290</v>
      </c>
      <c r="G25" s="97">
        <f t="shared" ref="G25:G31" si="1">+D25*F25</f>
        <v>638000</v>
      </c>
      <c r="H25" s="393" t="s">
        <v>83</v>
      </c>
      <c r="I25" s="526"/>
      <c r="J25" s="529" t="s">
        <v>17</v>
      </c>
      <c r="K25" s="530"/>
      <c r="L25" s="82">
        <v>18</v>
      </c>
      <c r="M25" s="83">
        <v>7500</v>
      </c>
      <c r="N25" s="84">
        <f>+L25*M25</f>
        <v>135000</v>
      </c>
      <c r="O25" s="375"/>
      <c r="P25" s="489"/>
    </row>
    <row r="26" spans="1:16" ht="19.95" hidden="1" customHeight="1" x14ac:dyDescent="0.3">
      <c r="A26" s="403"/>
      <c r="B26" s="406"/>
      <c r="C26" s="54" t="s">
        <v>55</v>
      </c>
      <c r="D26" s="54">
        <v>2</v>
      </c>
      <c r="E26" s="54"/>
      <c r="F26" s="45">
        <v>70000</v>
      </c>
      <c r="G26" s="89">
        <f t="shared" si="1"/>
        <v>140000</v>
      </c>
      <c r="H26" s="393"/>
      <c r="I26" s="527"/>
      <c r="J26" s="531" t="s">
        <v>18</v>
      </c>
      <c r="K26" s="417"/>
      <c r="L26" s="13">
        <v>0</v>
      </c>
      <c r="M26" s="14">
        <v>2500</v>
      </c>
      <c r="N26" s="15">
        <f>+L26*M26</f>
        <v>0</v>
      </c>
      <c r="O26" s="375"/>
      <c r="P26" s="489"/>
    </row>
    <row r="27" spans="1:16" ht="19.95" hidden="1" customHeight="1" x14ac:dyDescent="0.3">
      <c r="A27" s="403"/>
      <c r="B27" s="406"/>
      <c r="C27" s="54" t="s">
        <v>81</v>
      </c>
      <c r="D27" s="54">
        <v>0</v>
      </c>
      <c r="E27" s="54"/>
      <c r="F27" s="43">
        <v>55000</v>
      </c>
      <c r="G27" s="56">
        <f t="shared" si="1"/>
        <v>0</v>
      </c>
      <c r="H27" s="393"/>
      <c r="I27" s="527"/>
      <c r="J27" s="531" t="s">
        <v>19</v>
      </c>
      <c r="K27" s="417"/>
      <c r="L27" s="13">
        <v>1</v>
      </c>
      <c r="M27" s="14">
        <v>32000</v>
      </c>
      <c r="N27" s="15">
        <f>+L27*M27</f>
        <v>32000</v>
      </c>
      <c r="O27" s="375"/>
      <c r="P27" s="489"/>
    </row>
    <row r="28" spans="1:16" ht="19.95" hidden="1" customHeight="1" x14ac:dyDescent="0.3">
      <c r="A28" s="403"/>
      <c r="B28" s="406"/>
      <c r="C28" s="54" t="s">
        <v>82</v>
      </c>
      <c r="D28" s="54">
        <v>0</v>
      </c>
      <c r="E28" s="54"/>
      <c r="F28" s="45">
        <v>20000</v>
      </c>
      <c r="G28" s="57">
        <f t="shared" si="1"/>
        <v>0</v>
      </c>
      <c r="H28" s="393"/>
      <c r="I28" s="527"/>
      <c r="J28" s="531" t="s">
        <v>57</v>
      </c>
      <c r="K28" s="417"/>
      <c r="L28" s="13">
        <v>1</v>
      </c>
      <c r="M28" s="14">
        <v>68000</v>
      </c>
      <c r="N28" s="15">
        <f>+L28*M28</f>
        <v>68000</v>
      </c>
      <c r="O28" s="375"/>
      <c r="P28" s="489"/>
    </row>
    <row r="29" spans="1:16" ht="19.95" hidden="1" customHeight="1" x14ac:dyDescent="0.3">
      <c r="A29" s="403"/>
      <c r="B29" s="406"/>
      <c r="C29" s="104" t="s">
        <v>71</v>
      </c>
      <c r="D29" s="54">
        <v>0</v>
      </c>
      <c r="E29" s="52"/>
      <c r="F29" s="50">
        <v>50000</v>
      </c>
      <c r="G29" s="57">
        <f t="shared" si="1"/>
        <v>0</v>
      </c>
      <c r="H29" s="393"/>
      <c r="I29" s="527"/>
      <c r="J29" s="531" t="s">
        <v>60</v>
      </c>
      <c r="K29" s="417"/>
      <c r="L29" s="13">
        <v>0</v>
      </c>
      <c r="M29" s="14">
        <v>750000</v>
      </c>
      <c r="N29" s="15">
        <f>+L29*M29</f>
        <v>0</v>
      </c>
      <c r="O29" s="375"/>
      <c r="P29" s="489"/>
    </row>
    <row r="30" spans="1:16" ht="19.95" hidden="1" customHeight="1" x14ac:dyDescent="0.3">
      <c r="A30" s="403"/>
      <c r="B30" s="406"/>
      <c r="C30" s="104" t="s">
        <v>72</v>
      </c>
      <c r="D30" s="54">
        <v>0</v>
      </c>
      <c r="E30" s="52"/>
      <c r="F30" s="50">
        <v>75000</v>
      </c>
      <c r="G30" s="57">
        <f t="shared" si="1"/>
        <v>0</v>
      </c>
      <c r="H30" s="393"/>
      <c r="I30" s="527"/>
      <c r="J30" s="532"/>
      <c r="K30" s="533"/>
      <c r="L30" s="533"/>
      <c r="M30" s="533"/>
      <c r="N30" s="534"/>
      <c r="O30" s="375"/>
      <c r="P30" s="489"/>
    </row>
    <row r="31" spans="1:16" ht="19.95" hidden="1" customHeight="1" x14ac:dyDescent="0.3">
      <c r="A31" s="403"/>
      <c r="B31" s="406"/>
      <c r="C31" s="104" t="s">
        <v>18</v>
      </c>
      <c r="D31" s="54">
        <v>560</v>
      </c>
      <c r="E31" s="52"/>
      <c r="F31" s="50">
        <v>2500</v>
      </c>
      <c r="G31" s="57">
        <f t="shared" si="1"/>
        <v>1400000</v>
      </c>
      <c r="H31" s="393"/>
      <c r="I31" s="527"/>
      <c r="J31" s="103"/>
      <c r="K31" s="93"/>
      <c r="L31" s="93"/>
      <c r="M31" s="93"/>
      <c r="N31" s="94"/>
      <c r="O31" s="375"/>
      <c r="P31" s="489"/>
    </row>
    <row r="32" spans="1:16" ht="19.95" hidden="1" customHeight="1" thickBot="1" x14ac:dyDescent="0.35">
      <c r="A32" s="404"/>
      <c r="B32" s="407"/>
      <c r="C32" s="399" t="s">
        <v>21</v>
      </c>
      <c r="D32" s="400"/>
      <c r="E32" s="400"/>
      <c r="F32" s="418"/>
      <c r="G32" s="59">
        <f>SUM(G25:G31)</f>
        <v>2178000</v>
      </c>
      <c r="H32" s="394"/>
      <c r="I32" s="536"/>
      <c r="J32" s="535" t="s">
        <v>22</v>
      </c>
      <c r="K32" s="485"/>
      <c r="L32" s="485"/>
      <c r="M32" s="418"/>
      <c r="N32" s="49">
        <f>SUM(N25:N29)</f>
        <v>235000</v>
      </c>
      <c r="O32" s="487"/>
      <c r="P32" s="490"/>
    </row>
    <row r="33" spans="1:16" ht="19.95" hidden="1" customHeight="1" x14ac:dyDescent="0.3">
      <c r="A33" s="402" t="s">
        <v>87</v>
      </c>
      <c r="B33" s="405">
        <v>44976</v>
      </c>
      <c r="C33" s="87" t="s">
        <v>54</v>
      </c>
      <c r="D33" s="87">
        <v>1850</v>
      </c>
      <c r="E33" s="87">
        <f>+D33/2</f>
        <v>925</v>
      </c>
      <c r="F33" s="88">
        <v>290</v>
      </c>
      <c r="G33" s="89">
        <f t="shared" ref="G33:G38" si="2">+D33*F33</f>
        <v>536500</v>
      </c>
      <c r="H33" s="393"/>
      <c r="I33" s="526"/>
      <c r="J33" s="529" t="s">
        <v>17</v>
      </c>
      <c r="K33" s="530"/>
      <c r="L33" s="82">
        <v>18</v>
      </c>
      <c r="M33" s="83">
        <v>7500</v>
      </c>
      <c r="N33" s="84">
        <f>+L33*M33</f>
        <v>135000</v>
      </c>
      <c r="O33" s="375"/>
      <c r="P33" s="489"/>
    </row>
    <row r="34" spans="1:16" ht="19.95" hidden="1" customHeight="1" x14ac:dyDescent="0.3">
      <c r="A34" s="403"/>
      <c r="B34" s="406"/>
      <c r="C34" s="54" t="s">
        <v>55</v>
      </c>
      <c r="D34" s="54">
        <v>2</v>
      </c>
      <c r="E34" s="54"/>
      <c r="F34" s="45">
        <v>70000</v>
      </c>
      <c r="G34" s="90">
        <f t="shared" si="2"/>
        <v>140000</v>
      </c>
      <c r="H34" s="393"/>
      <c r="I34" s="527"/>
      <c r="J34" s="531" t="s">
        <v>18</v>
      </c>
      <c r="K34" s="417"/>
      <c r="L34" s="13">
        <v>65</v>
      </c>
      <c r="M34" s="14">
        <v>2500</v>
      </c>
      <c r="N34" s="15">
        <f>+L34*M34</f>
        <v>162500</v>
      </c>
      <c r="O34" s="375"/>
      <c r="P34" s="489"/>
    </row>
    <row r="35" spans="1:16" ht="19.95" hidden="1" customHeight="1" x14ac:dyDescent="0.3">
      <c r="A35" s="403"/>
      <c r="B35" s="406"/>
      <c r="C35" s="54" t="s">
        <v>81</v>
      </c>
      <c r="D35" s="54">
        <v>0</v>
      </c>
      <c r="E35" s="54"/>
      <c r="F35" s="43">
        <v>55000</v>
      </c>
      <c r="G35" s="56">
        <f t="shared" si="2"/>
        <v>0</v>
      </c>
      <c r="H35" s="393"/>
      <c r="I35" s="527"/>
      <c r="J35" s="531" t="s">
        <v>19</v>
      </c>
      <c r="K35" s="417"/>
      <c r="L35" s="13">
        <v>0</v>
      </c>
      <c r="M35" s="14">
        <v>32000</v>
      </c>
      <c r="N35" s="15">
        <f>+L35*M35</f>
        <v>0</v>
      </c>
      <c r="O35" s="375"/>
      <c r="P35" s="489"/>
    </row>
    <row r="36" spans="1:16" ht="19.95" hidden="1" customHeight="1" x14ac:dyDescent="0.3">
      <c r="A36" s="403"/>
      <c r="B36" s="406"/>
      <c r="C36" s="54" t="s">
        <v>82</v>
      </c>
      <c r="D36" s="54">
        <v>0</v>
      </c>
      <c r="E36" s="54"/>
      <c r="F36" s="45">
        <v>20000</v>
      </c>
      <c r="G36" s="57">
        <f t="shared" si="2"/>
        <v>0</v>
      </c>
      <c r="H36" s="393"/>
      <c r="I36" s="527"/>
      <c r="J36" s="531" t="s">
        <v>57</v>
      </c>
      <c r="K36" s="417"/>
      <c r="L36" s="13">
        <v>1</v>
      </c>
      <c r="M36" s="14">
        <v>68000</v>
      </c>
      <c r="N36" s="15">
        <f>+L36*M36</f>
        <v>68000</v>
      </c>
      <c r="O36" s="375"/>
      <c r="P36" s="489"/>
    </row>
    <row r="37" spans="1:16" ht="19.95" hidden="1" customHeight="1" x14ac:dyDescent="0.3">
      <c r="A37" s="403"/>
      <c r="B37" s="406"/>
      <c r="C37" s="104" t="s">
        <v>71</v>
      </c>
      <c r="D37" s="54">
        <v>0</v>
      </c>
      <c r="E37" s="52"/>
      <c r="F37" s="50">
        <v>50000</v>
      </c>
      <c r="G37" s="57">
        <f t="shared" si="2"/>
        <v>0</v>
      </c>
      <c r="H37" s="393"/>
      <c r="I37" s="527"/>
      <c r="J37" s="531" t="s">
        <v>60</v>
      </c>
      <c r="K37" s="417"/>
      <c r="L37" s="13">
        <v>0</v>
      </c>
      <c r="M37" s="14">
        <v>750000</v>
      </c>
      <c r="N37" s="15">
        <f>+L37*M37</f>
        <v>0</v>
      </c>
      <c r="O37" s="375"/>
      <c r="P37" s="489"/>
    </row>
    <row r="38" spans="1:16" ht="19.95" hidden="1" customHeight="1" x14ac:dyDescent="0.3">
      <c r="A38" s="403"/>
      <c r="B38" s="406"/>
      <c r="C38" s="104" t="s">
        <v>72</v>
      </c>
      <c r="D38" s="54">
        <v>0</v>
      </c>
      <c r="E38" s="52"/>
      <c r="F38" s="50">
        <v>75000</v>
      </c>
      <c r="G38" s="57">
        <f t="shared" si="2"/>
        <v>0</v>
      </c>
      <c r="H38" s="393"/>
      <c r="I38" s="527"/>
      <c r="J38" s="532"/>
      <c r="K38" s="533"/>
      <c r="L38" s="533"/>
      <c r="M38" s="533"/>
      <c r="N38" s="534"/>
      <c r="O38" s="375"/>
      <c r="P38" s="489"/>
    </row>
    <row r="39" spans="1:16" ht="19.95" hidden="1" customHeight="1" thickBot="1" x14ac:dyDescent="0.35">
      <c r="A39" s="404"/>
      <c r="B39" s="407"/>
      <c r="C39" s="399" t="s">
        <v>21</v>
      </c>
      <c r="D39" s="400"/>
      <c r="E39" s="400"/>
      <c r="F39" s="418"/>
      <c r="G39" s="59">
        <f>SUM(G33:G38)</f>
        <v>676500</v>
      </c>
      <c r="H39" s="513"/>
      <c r="I39" s="528"/>
      <c r="J39" s="535" t="s">
        <v>22</v>
      </c>
      <c r="K39" s="485"/>
      <c r="L39" s="485"/>
      <c r="M39" s="418"/>
      <c r="N39" s="49">
        <f>SUM(N33:N37)</f>
        <v>365500</v>
      </c>
      <c r="O39" s="487"/>
      <c r="P39" s="490"/>
    </row>
    <row r="40" spans="1:16" ht="19.95" hidden="1" customHeight="1" x14ac:dyDescent="0.3">
      <c r="A40" s="402" t="s">
        <v>69</v>
      </c>
      <c r="B40" s="405">
        <v>44990</v>
      </c>
      <c r="C40" s="87" t="s">
        <v>54</v>
      </c>
      <c r="D40" s="87">
        <f>+E40*2</f>
        <v>1900</v>
      </c>
      <c r="E40" s="87">
        <v>950</v>
      </c>
      <c r="F40" s="88">
        <v>290</v>
      </c>
      <c r="G40" s="89">
        <f t="shared" ref="G40:G45" si="3">+D40*F40</f>
        <v>551000</v>
      </c>
      <c r="H40" s="393"/>
      <c r="I40" s="526"/>
      <c r="J40" s="529" t="s">
        <v>17</v>
      </c>
      <c r="K40" s="530"/>
      <c r="L40" s="82">
        <v>18</v>
      </c>
      <c r="M40" s="83">
        <v>7500</v>
      </c>
      <c r="N40" s="84">
        <f>+L40*M40</f>
        <v>135000</v>
      </c>
      <c r="O40" s="375"/>
      <c r="P40" s="489"/>
    </row>
    <row r="41" spans="1:16" ht="19.95" hidden="1" customHeight="1" x14ac:dyDescent="0.3">
      <c r="A41" s="403"/>
      <c r="B41" s="406"/>
      <c r="C41" s="54" t="s">
        <v>55</v>
      </c>
      <c r="D41" s="54">
        <v>2</v>
      </c>
      <c r="E41" s="54"/>
      <c r="F41" s="45">
        <v>70000</v>
      </c>
      <c r="G41" s="90">
        <f t="shared" si="3"/>
        <v>140000</v>
      </c>
      <c r="H41" s="393"/>
      <c r="I41" s="527"/>
      <c r="J41" s="531" t="s">
        <v>18</v>
      </c>
      <c r="K41" s="417"/>
      <c r="L41" s="13">
        <v>275</v>
      </c>
      <c r="M41" s="14">
        <v>2500</v>
      </c>
      <c r="N41" s="15">
        <f>+L41*M41</f>
        <v>687500</v>
      </c>
      <c r="O41" s="375"/>
      <c r="P41" s="489"/>
    </row>
    <row r="42" spans="1:16" ht="19.95" hidden="1" customHeight="1" x14ac:dyDescent="0.3">
      <c r="A42" s="403"/>
      <c r="B42" s="406"/>
      <c r="C42" s="54" t="s">
        <v>81</v>
      </c>
      <c r="D42" s="54">
        <v>0</v>
      </c>
      <c r="E42" s="54"/>
      <c r="F42" s="43">
        <v>55000</v>
      </c>
      <c r="G42" s="56">
        <f t="shared" si="3"/>
        <v>0</v>
      </c>
      <c r="H42" s="393"/>
      <c r="I42" s="527"/>
      <c r="J42" s="531" t="s">
        <v>19</v>
      </c>
      <c r="K42" s="417"/>
      <c r="L42" s="13">
        <v>0</v>
      </c>
      <c r="M42" s="14">
        <v>32000</v>
      </c>
      <c r="N42" s="15">
        <f>+L42*M42</f>
        <v>0</v>
      </c>
      <c r="O42" s="375"/>
      <c r="P42" s="489"/>
    </row>
    <row r="43" spans="1:16" ht="19.95" hidden="1" customHeight="1" x14ac:dyDescent="0.3">
      <c r="A43" s="403"/>
      <c r="B43" s="406"/>
      <c r="C43" s="54" t="s">
        <v>82</v>
      </c>
      <c r="D43" s="54">
        <v>0</v>
      </c>
      <c r="E43" s="54"/>
      <c r="F43" s="45">
        <v>20000</v>
      </c>
      <c r="G43" s="57">
        <f t="shared" si="3"/>
        <v>0</v>
      </c>
      <c r="H43" s="393"/>
      <c r="I43" s="527"/>
      <c r="J43" s="531" t="s">
        <v>57</v>
      </c>
      <c r="K43" s="417"/>
      <c r="L43" s="13">
        <v>1</v>
      </c>
      <c r="M43" s="14">
        <v>68000</v>
      </c>
      <c r="N43" s="15">
        <f>+L43*M43</f>
        <v>68000</v>
      </c>
      <c r="O43" s="375"/>
      <c r="P43" s="489"/>
    </row>
    <row r="44" spans="1:16" ht="19.95" hidden="1" customHeight="1" x14ac:dyDescent="0.3">
      <c r="A44" s="403"/>
      <c r="B44" s="406"/>
      <c r="C44" s="104" t="s">
        <v>71</v>
      </c>
      <c r="D44" s="54">
        <v>0</v>
      </c>
      <c r="E44" s="52"/>
      <c r="F44" s="50">
        <v>50000</v>
      </c>
      <c r="G44" s="57">
        <f t="shared" si="3"/>
        <v>0</v>
      </c>
      <c r="H44" s="393"/>
      <c r="I44" s="527"/>
      <c r="J44" s="531" t="s">
        <v>60</v>
      </c>
      <c r="K44" s="417"/>
      <c r="L44" s="13">
        <v>0</v>
      </c>
      <c r="M44" s="14">
        <v>750000</v>
      </c>
      <c r="N44" s="15">
        <f>+L44*M44</f>
        <v>0</v>
      </c>
      <c r="O44" s="375"/>
      <c r="P44" s="489"/>
    </row>
    <row r="45" spans="1:16" ht="19.95" hidden="1" customHeight="1" x14ac:dyDescent="0.3">
      <c r="A45" s="403"/>
      <c r="B45" s="406"/>
      <c r="C45" s="104" t="s">
        <v>72</v>
      </c>
      <c r="D45" s="54">
        <v>0</v>
      </c>
      <c r="E45" s="52"/>
      <c r="F45" s="50">
        <v>75000</v>
      </c>
      <c r="G45" s="57">
        <f t="shared" si="3"/>
        <v>0</v>
      </c>
      <c r="H45" s="393"/>
      <c r="I45" s="527"/>
      <c r="J45" s="532"/>
      <c r="K45" s="533"/>
      <c r="L45" s="533"/>
      <c r="M45" s="533"/>
      <c r="N45" s="534"/>
      <c r="O45" s="375"/>
      <c r="P45" s="489"/>
    </row>
    <row r="46" spans="1:16" ht="19.95" hidden="1" customHeight="1" thickBot="1" x14ac:dyDescent="0.35">
      <c r="A46" s="404"/>
      <c r="B46" s="407"/>
      <c r="C46" s="399" t="s">
        <v>21</v>
      </c>
      <c r="D46" s="400"/>
      <c r="E46" s="400"/>
      <c r="F46" s="418"/>
      <c r="G46" s="59">
        <f>SUM(G40:G45)</f>
        <v>691000</v>
      </c>
      <c r="H46" s="513"/>
      <c r="I46" s="528"/>
      <c r="J46" s="535" t="s">
        <v>22</v>
      </c>
      <c r="K46" s="485"/>
      <c r="L46" s="485"/>
      <c r="M46" s="418"/>
      <c r="N46" s="49">
        <f>SUM(N40:N44)</f>
        <v>890500</v>
      </c>
      <c r="O46" s="487"/>
      <c r="P46" s="490"/>
    </row>
    <row r="47" spans="1:16" ht="19.95" hidden="1" customHeight="1" x14ac:dyDescent="0.3">
      <c r="A47" s="402" t="s">
        <v>66</v>
      </c>
      <c r="B47" s="405">
        <v>45004</v>
      </c>
      <c r="C47" s="87" t="s">
        <v>54</v>
      </c>
      <c r="D47" s="87">
        <f>+E47*2</f>
        <v>1900</v>
      </c>
      <c r="E47" s="87">
        <v>950</v>
      </c>
      <c r="F47" s="88">
        <v>290</v>
      </c>
      <c r="G47" s="89">
        <f t="shared" ref="G47:G52" si="4">+D47*F47</f>
        <v>551000</v>
      </c>
      <c r="H47" s="393"/>
      <c r="I47" s="526"/>
      <c r="J47" s="529" t="s">
        <v>17</v>
      </c>
      <c r="K47" s="530"/>
      <c r="L47" s="82">
        <v>18</v>
      </c>
      <c r="M47" s="83">
        <v>7500</v>
      </c>
      <c r="N47" s="84">
        <f>+L47*M47</f>
        <v>135000</v>
      </c>
      <c r="O47" s="375"/>
      <c r="P47" s="489"/>
    </row>
    <row r="48" spans="1:16" ht="19.95" hidden="1" customHeight="1" x14ac:dyDescent="0.3">
      <c r="A48" s="403"/>
      <c r="B48" s="406"/>
      <c r="C48" s="54" t="s">
        <v>55</v>
      </c>
      <c r="D48" s="54">
        <v>2</v>
      </c>
      <c r="E48" s="54"/>
      <c r="F48" s="45">
        <v>70000</v>
      </c>
      <c r="G48" s="90">
        <f t="shared" si="4"/>
        <v>140000</v>
      </c>
      <c r="H48" s="393"/>
      <c r="I48" s="527"/>
      <c r="J48" s="531" t="s">
        <v>18</v>
      </c>
      <c r="K48" s="417"/>
      <c r="L48" s="13">
        <v>275</v>
      </c>
      <c r="M48" s="14">
        <v>2500</v>
      </c>
      <c r="N48" s="15">
        <f>+L48*M48</f>
        <v>687500</v>
      </c>
      <c r="O48" s="375"/>
      <c r="P48" s="489"/>
    </row>
    <row r="49" spans="1:16" ht="19.95" hidden="1" customHeight="1" x14ac:dyDescent="0.3">
      <c r="A49" s="403"/>
      <c r="B49" s="406"/>
      <c r="C49" s="54" t="s">
        <v>81</v>
      </c>
      <c r="D49" s="54">
        <v>0</v>
      </c>
      <c r="E49" s="54"/>
      <c r="F49" s="43">
        <v>55000</v>
      </c>
      <c r="G49" s="56">
        <f t="shared" si="4"/>
        <v>0</v>
      </c>
      <c r="H49" s="393"/>
      <c r="I49" s="527"/>
      <c r="J49" s="531" t="s">
        <v>19</v>
      </c>
      <c r="K49" s="417"/>
      <c r="L49" s="13">
        <v>1</v>
      </c>
      <c r="M49" s="14">
        <v>32000</v>
      </c>
      <c r="N49" s="15">
        <f>+L49*M49</f>
        <v>32000</v>
      </c>
      <c r="O49" s="375"/>
      <c r="P49" s="489"/>
    </row>
    <row r="50" spans="1:16" ht="19.95" hidden="1" customHeight="1" x14ac:dyDescent="0.3">
      <c r="A50" s="403"/>
      <c r="B50" s="406"/>
      <c r="C50" s="54" t="s">
        <v>82</v>
      </c>
      <c r="D50" s="54">
        <v>0</v>
      </c>
      <c r="E50" s="54"/>
      <c r="F50" s="45">
        <v>20000</v>
      </c>
      <c r="G50" s="57">
        <f t="shared" si="4"/>
        <v>0</v>
      </c>
      <c r="H50" s="393"/>
      <c r="I50" s="527"/>
      <c r="J50" s="531" t="s">
        <v>57</v>
      </c>
      <c r="K50" s="417"/>
      <c r="L50" s="13">
        <v>1</v>
      </c>
      <c r="M50" s="14">
        <v>68000</v>
      </c>
      <c r="N50" s="15">
        <f>+L50*M50</f>
        <v>68000</v>
      </c>
      <c r="O50" s="375"/>
      <c r="P50" s="489"/>
    </row>
    <row r="51" spans="1:16" ht="19.95" hidden="1" customHeight="1" x14ac:dyDescent="0.3">
      <c r="A51" s="403"/>
      <c r="B51" s="406"/>
      <c r="C51" s="104" t="s">
        <v>71</v>
      </c>
      <c r="D51" s="54">
        <v>0</v>
      </c>
      <c r="E51" s="52"/>
      <c r="F51" s="50">
        <v>50000</v>
      </c>
      <c r="G51" s="57">
        <f t="shared" si="4"/>
        <v>0</v>
      </c>
      <c r="H51" s="393"/>
      <c r="I51" s="527"/>
      <c r="J51" s="531" t="s">
        <v>60</v>
      </c>
      <c r="K51" s="417"/>
      <c r="L51" s="13">
        <v>0</v>
      </c>
      <c r="M51" s="14">
        <v>750000</v>
      </c>
      <c r="N51" s="15">
        <f>+L51*M51</f>
        <v>0</v>
      </c>
      <c r="O51" s="375"/>
      <c r="P51" s="489"/>
    </row>
    <row r="52" spans="1:16" ht="19.95" hidden="1" customHeight="1" x14ac:dyDescent="0.3">
      <c r="A52" s="403"/>
      <c r="B52" s="406"/>
      <c r="C52" s="104" t="s">
        <v>72</v>
      </c>
      <c r="D52" s="54">
        <v>0</v>
      </c>
      <c r="E52" s="52"/>
      <c r="F52" s="50">
        <v>75000</v>
      </c>
      <c r="G52" s="57">
        <f t="shared" si="4"/>
        <v>0</v>
      </c>
      <c r="H52" s="393"/>
      <c r="I52" s="527"/>
      <c r="J52" s="532"/>
      <c r="K52" s="533"/>
      <c r="L52" s="533"/>
      <c r="M52" s="533"/>
      <c r="N52" s="534"/>
      <c r="O52" s="375"/>
      <c r="P52" s="489"/>
    </row>
    <row r="53" spans="1:16" ht="19.95" hidden="1" customHeight="1" thickBot="1" x14ac:dyDescent="0.35">
      <c r="A53" s="404"/>
      <c r="B53" s="407"/>
      <c r="C53" s="399" t="s">
        <v>21</v>
      </c>
      <c r="D53" s="400"/>
      <c r="E53" s="400"/>
      <c r="F53" s="418"/>
      <c r="G53" s="59">
        <f>SUM(G47:G52)</f>
        <v>691000</v>
      </c>
      <c r="H53" s="513"/>
      <c r="I53" s="528"/>
      <c r="J53" s="535" t="s">
        <v>22</v>
      </c>
      <c r="K53" s="485"/>
      <c r="L53" s="485"/>
      <c r="M53" s="418"/>
      <c r="N53" s="49">
        <f>SUM(N47:N51)</f>
        <v>922500</v>
      </c>
      <c r="O53" s="487"/>
      <c r="P53" s="490"/>
    </row>
    <row r="54" spans="1:16" ht="19.95" hidden="1" customHeight="1" x14ac:dyDescent="0.3">
      <c r="A54" s="402" t="s">
        <v>88</v>
      </c>
      <c r="B54" s="405">
        <v>45023</v>
      </c>
      <c r="C54" s="87" t="s">
        <v>54</v>
      </c>
      <c r="D54" s="87">
        <f>+E54*2</f>
        <v>1900</v>
      </c>
      <c r="E54" s="87">
        <v>950</v>
      </c>
      <c r="F54" s="88">
        <v>290</v>
      </c>
      <c r="G54" s="90">
        <f t="shared" ref="G54:G60" si="5">+D54*F54</f>
        <v>551000</v>
      </c>
      <c r="H54" s="393"/>
      <c r="I54" s="526"/>
      <c r="J54" s="529" t="s">
        <v>17</v>
      </c>
      <c r="K54" s="530"/>
      <c r="L54" s="82">
        <v>18</v>
      </c>
      <c r="M54" s="83">
        <v>7500</v>
      </c>
      <c r="N54" s="84">
        <f t="shared" ref="N54:N59" si="6">+L54*M54</f>
        <v>135000</v>
      </c>
      <c r="O54" s="375"/>
      <c r="P54" s="489"/>
    </row>
    <row r="55" spans="1:16" ht="19.95" hidden="1" customHeight="1" x14ac:dyDescent="0.3">
      <c r="A55" s="403"/>
      <c r="B55" s="406"/>
      <c r="C55" s="54" t="s">
        <v>89</v>
      </c>
      <c r="D55" s="54">
        <v>200</v>
      </c>
      <c r="E55" s="54">
        <v>100</v>
      </c>
      <c r="F55" s="45">
        <v>550</v>
      </c>
      <c r="G55" s="56">
        <f t="shared" si="5"/>
        <v>110000</v>
      </c>
      <c r="H55" s="393"/>
      <c r="I55" s="526"/>
      <c r="J55" s="531" t="s">
        <v>18</v>
      </c>
      <c r="K55" s="417"/>
      <c r="L55" s="13">
        <v>275</v>
      </c>
      <c r="M55" s="14">
        <v>2500</v>
      </c>
      <c r="N55" s="15">
        <f t="shared" si="6"/>
        <v>687500</v>
      </c>
      <c r="O55" s="375"/>
      <c r="P55" s="489"/>
    </row>
    <row r="56" spans="1:16" ht="19.95" hidden="1" customHeight="1" x14ac:dyDescent="0.3">
      <c r="A56" s="403"/>
      <c r="B56" s="406"/>
      <c r="C56" s="54" t="s">
        <v>55</v>
      </c>
      <c r="D56" s="54">
        <v>2</v>
      </c>
      <c r="E56" s="54"/>
      <c r="F56" s="45">
        <v>70000</v>
      </c>
      <c r="G56" s="90">
        <f t="shared" si="5"/>
        <v>140000</v>
      </c>
      <c r="H56" s="393"/>
      <c r="I56" s="527"/>
      <c r="J56" s="531" t="s">
        <v>19</v>
      </c>
      <c r="K56" s="417"/>
      <c r="L56" s="13">
        <v>1</v>
      </c>
      <c r="M56" s="14">
        <v>32000</v>
      </c>
      <c r="N56" s="15">
        <f t="shared" si="6"/>
        <v>32000</v>
      </c>
      <c r="O56" s="375"/>
      <c r="P56" s="489"/>
    </row>
    <row r="57" spans="1:16" ht="19.95" hidden="1" customHeight="1" x14ac:dyDescent="0.3">
      <c r="A57" s="403"/>
      <c r="B57" s="406"/>
      <c r="C57" s="54" t="s">
        <v>81</v>
      </c>
      <c r="D57" s="54">
        <v>0</v>
      </c>
      <c r="E57" s="54"/>
      <c r="F57" s="43">
        <v>55000</v>
      </c>
      <c r="G57" s="56">
        <f t="shared" si="5"/>
        <v>0</v>
      </c>
      <c r="H57" s="393"/>
      <c r="I57" s="527"/>
      <c r="J57" s="531" t="s">
        <v>57</v>
      </c>
      <c r="K57" s="417"/>
      <c r="L57" s="13">
        <v>1</v>
      </c>
      <c r="M57" s="14">
        <v>68000</v>
      </c>
      <c r="N57" s="15">
        <f t="shared" si="6"/>
        <v>68000</v>
      </c>
      <c r="O57" s="375"/>
      <c r="P57" s="489"/>
    </row>
    <row r="58" spans="1:16" ht="19.95" hidden="1" customHeight="1" x14ac:dyDescent="0.3">
      <c r="A58" s="403"/>
      <c r="B58" s="406"/>
      <c r="C58" s="54" t="s">
        <v>82</v>
      </c>
      <c r="D58" s="54">
        <v>0</v>
      </c>
      <c r="E58" s="54"/>
      <c r="F58" s="45">
        <v>20000</v>
      </c>
      <c r="G58" s="57">
        <f t="shared" si="5"/>
        <v>0</v>
      </c>
      <c r="H58" s="393"/>
      <c r="I58" s="527"/>
      <c r="J58" s="531" t="s">
        <v>90</v>
      </c>
      <c r="K58" s="417"/>
      <c r="L58" s="13">
        <v>1</v>
      </c>
      <c r="M58" s="14">
        <v>40000</v>
      </c>
      <c r="N58" s="15">
        <f t="shared" si="6"/>
        <v>40000</v>
      </c>
      <c r="O58" s="375"/>
      <c r="P58" s="489"/>
    </row>
    <row r="59" spans="1:16" ht="19.95" hidden="1" customHeight="1" x14ac:dyDescent="0.3">
      <c r="A59" s="403"/>
      <c r="B59" s="406"/>
      <c r="C59" s="104" t="s">
        <v>71</v>
      </c>
      <c r="D59" s="54">
        <v>0</v>
      </c>
      <c r="E59" s="52"/>
      <c r="F59" s="50">
        <v>50000</v>
      </c>
      <c r="G59" s="57">
        <f t="shared" si="5"/>
        <v>0</v>
      </c>
      <c r="H59" s="393"/>
      <c r="I59" s="527"/>
      <c r="J59" s="531" t="s">
        <v>60</v>
      </c>
      <c r="K59" s="417"/>
      <c r="L59" s="13">
        <v>0</v>
      </c>
      <c r="M59" s="14">
        <v>750000</v>
      </c>
      <c r="N59" s="15">
        <f t="shared" si="6"/>
        <v>0</v>
      </c>
      <c r="O59" s="375"/>
      <c r="P59" s="489"/>
    </row>
    <row r="60" spans="1:16" ht="19.95" hidden="1" customHeight="1" x14ac:dyDescent="0.3">
      <c r="A60" s="403"/>
      <c r="B60" s="406"/>
      <c r="C60" s="104" t="s">
        <v>72</v>
      </c>
      <c r="D60" s="54">
        <v>0</v>
      </c>
      <c r="E60" s="52"/>
      <c r="F60" s="50">
        <v>75000</v>
      </c>
      <c r="G60" s="57">
        <f t="shared" si="5"/>
        <v>0</v>
      </c>
      <c r="H60" s="393"/>
      <c r="I60" s="527"/>
      <c r="J60" s="532"/>
      <c r="K60" s="533"/>
      <c r="L60" s="533"/>
      <c r="M60" s="533"/>
      <c r="N60" s="534"/>
      <c r="O60" s="375"/>
      <c r="P60" s="489"/>
    </row>
    <row r="61" spans="1:16" ht="19.95" hidden="1" customHeight="1" thickBot="1" x14ac:dyDescent="0.35">
      <c r="A61" s="404"/>
      <c r="B61" s="407"/>
      <c r="C61" s="399" t="s">
        <v>21</v>
      </c>
      <c r="D61" s="400"/>
      <c r="E61" s="400"/>
      <c r="F61" s="418"/>
      <c r="G61" s="59">
        <f>SUM(G54:G60)</f>
        <v>801000</v>
      </c>
      <c r="H61" s="513"/>
      <c r="I61" s="528"/>
      <c r="J61" s="535" t="s">
        <v>22</v>
      </c>
      <c r="K61" s="485"/>
      <c r="L61" s="485"/>
      <c r="M61" s="418"/>
      <c r="N61" s="49">
        <f>SUM(N54:N59)</f>
        <v>962500</v>
      </c>
      <c r="O61" s="487"/>
      <c r="P61" s="490"/>
    </row>
    <row r="62" spans="1:16" ht="19.95" hidden="1" customHeight="1" x14ac:dyDescent="0.3">
      <c r="A62" s="402" t="s">
        <v>24</v>
      </c>
      <c r="B62" s="405">
        <v>45032</v>
      </c>
      <c r="C62" s="87" t="s">
        <v>54</v>
      </c>
      <c r="D62" s="87">
        <f>+E62*2</f>
        <v>2650</v>
      </c>
      <c r="E62" s="87">
        <v>1325</v>
      </c>
      <c r="F62" s="88">
        <v>290</v>
      </c>
      <c r="G62" s="90">
        <f t="shared" ref="G62:G68" si="7">+D62*F62</f>
        <v>768500</v>
      </c>
      <c r="H62" s="393"/>
      <c r="I62" s="526"/>
      <c r="J62" s="529" t="s">
        <v>17</v>
      </c>
      <c r="K62" s="530"/>
      <c r="L62" s="82">
        <v>18</v>
      </c>
      <c r="M62" s="83">
        <v>7500</v>
      </c>
      <c r="N62" s="84">
        <f t="shared" ref="N62:N67" si="8">+L62*M62</f>
        <v>135000</v>
      </c>
      <c r="O62" s="375"/>
      <c r="P62" s="489"/>
    </row>
    <row r="63" spans="1:16" ht="19.95" hidden="1" customHeight="1" x14ac:dyDescent="0.3">
      <c r="A63" s="403"/>
      <c r="B63" s="406"/>
      <c r="C63" s="54" t="s">
        <v>89</v>
      </c>
      <c r="D63" s="54">
        <v>200</v>
      </c>
      <c r="E63" s="54">
        <v>100</v>
      </c>
      <c r="F63" s="45">
        <v>550</v>
      </c>
      <c r="G63" s="56">
        <f t="shared" si="7"/>
        <v>110000</v>
      </c>
      <c r="H63" s="393"/>
      <c r="I63" s="526"/>
      <c r="J63" s="531" t="s">
        <v>18</v>
      </c>
      <c r="K63" s="417"/>
      <c r="L63" s="13">
        <v>630</v>
      </c>
      <c r="M63" s="14">
        <v>2500</v>
      </c>
      <c r="N63" s="15">
        <f t="shared" si="8"/>
        <v>1575000</v>
      </c>
      <c r="O63" s="375"/>
      <c r="P63" s="489"/>
    </row>
    <row r="64" spans="1:16" ht="19.95" hidden="1" customHeight="1" x14ac:dyDescent="0.3">
      <c r="A64" s="403"/>
      <c r="B64" s="406"/>
      <c r="C64" s="54" t="s">
        <v>55</v>
      </c>
      <c r="D64" s="54">
        <v>2</v>
      </c>
      <c r="E64" s="54"/>
      <c r="F64" s="45">
        <v>70000</v>
      </c>
      <c r="G64" s="90">
        <f t="shared" si="7"/>
        <v>140000</v>
      </c>
      <c r="H64" s="393"/>
      <c r="I64" s="527"/>
      <c r="J64" s="531" t="s">
        <v>19</v>
      </c>
      <c r="K64" s="417"/>
      <c r="L64" s="13">
        <v>1</v>
      </c>
      <c r="M64" s="14">
        <v>32000</v>
      </c>
      <c r="N64" s="15">
        <f t="shared" si="8"/>
        <v>32000</v>
      </c>
      <c r="O64" s="375"/>
      <c r="P64" s="489"/>
    </row>
    <row r="65" spans="1:16" ht="19.95" hidden="1" customHeight="1" x14ac:dyDescent="0.3">
      <c r="A65" s="403"/>
      <c r="B65" s="406"/>
      <c r="C65" s="54" t="s">
        <v>81</v>
      </c>
      <c r="D65" s="54">
        <v>0</v>
      </c>
      <c r="E65" s="54"/>
      <c r="F65" s="43">
        <v>55000</v>
      </c>
      <c r="G65" s="56">
        <f t="shared" si="7"/>
        <v>0</v>
      </c>
      <c r="H65" s="393"/>
      <c r="I65" s="527"/>
      <c r="J65" s="531" t="s">
        <v>57</v>
      </c>
      <c r="K65" s="417"/>
      <c r="L65" s="13">
        <v>1</v>
      </c>
      <c r="M65" s="14">
        <v>68000</v>
      </c>
      <c r="N65" s="15">
        <f t="shared" si="8"/>
        <v>68000</v>
      </c>
      <c r="O65" s="375"/>
      <c r="P65" s="489"/>
    </row>
    <row r="66" spans="1:16" ht="19.95" hidden="1" customHeight="1" x14ac:dyDescent="0.3">
      <c r="A66" s="403"/>
      <c r="B66" s="406"/>
      <c r="C66" s="54" t="s">
        <v>82</v>
      </c>
      <c r="D66" s="54">
        <v>0</v>
      </c>
      <c r="E66" s="54"/>
      <c r="F66" s="45">
        <v>20000</v>
      </c>
      <c r="G66" s="57">
        <f t="shared" si="7"/>
        <v>0</v>
      </c>
      <c r="H66" s="393"/>
      <c r="I66" s="527"/>
      <c r="J66" s="531" t="s">
        <v>90</v>
      </c>
      <c r="K66" s="417"/>
      <c r="L66" s="13">
        <v>1</v>
      </c>
      <c r="M66" s="14">
        <v>40000</v>
      </c>
      <c r="N66" s="15">
        <f t="shared" si="8"/>
        <v>40000</v>
      </c>
      <c r="O66" s="375"/>
      <c r="P66" s="489"/>
    </row>
    <row r="67" spans="1:16" ht="19.95" hidden="1" customHeight="1" x14ac:dyDescent="0.3">
      <c r="A67" s="403"/>
      <c r="B67" s="406"/>
      <c r="C67" s="104" t="s">
        <v>71</v>
      </c>
      <c r="D67" s="54">
        <v>0</v>
      </c>
      <c r="E67" s="52"/>
      <c r="F67" s="50">
        <v>50000</v>
      </c>
      <c r="G67" s="57">
        <f t="shared" si="7"/>
        <v>0</v>
      </c>
      <c r="H67" s="393"/>
      <c r="I67" s="527"/>
      <c r="J67" s="531" t="s">
        <v>60</v>
      </c>
      <c r="K67" s="417"/>
      <c r="L67" s="13">
        <v>0</v>
      </c>
      <c r="M67" s="14">
        <v>750000</v>
      </c>
      <c r="N67" s="15">
        <f t="shared" si="8"/>
        <v>0</v>
      </c>
      <c r="O67" s="375"/>
      <c r="P67" s="489"/>
    </row>
    <row r="68" spans="1:16" ht="19.95" hidden="1" customHeight="1" x14ac:dyDescent="0.3">
      <c r="A68" s="403"/>
      <c r="B68" s="406"/>
      <c r="C68" s="104" t="s">
        <v>72</v>
      </c>
      <c r="D68" s="54">
        <v>0</v>
      </c>
      <c r="E68" s="52"/>
      <c r="F68" s="50">
        <v>75000</v>
      </c>
      <c r="G68" s="57">
        <f t="shared" si="7"/>
        <v>0</v>
      </c>
      <c r="H68" s="393"/>
      <c r="I68" s="527"/>
      <c r="J68" s="532"/>
      <c r="K68" s="533"/>
      <c r="L68" s="533"/>
      <c r="M68" s="533"/>
      <c r="N68" s="534"/>
      <c r="O68" s="375"/>
      <c r="P68" s="489"/>
    </row>
    <row r="69" spans="1:16" ht="19.95" hidden="1" customHeight="1" thickBot="1" x14ac:dyDescent="0.35">
      <c r="A69" s="404"/>
      <c r="B69" s="407"/>
      <c r="C69" s="399" t="s">
        <v>21</v>
      </c>
      <c r="D69" s="400"/>
      <c r="E69" s="400"/>
      <c r="F69" s="418"/>
      <c r="G69" s="59">
        <f>SUM(G62:G68)</f>
        <v>1018500</v>
      </c>
      <c r="H69" s="513"/>
      <c r="I69" s="528"/>
      <c r="J69" s="535" t="s">
        <v>22</v>
      </c>
      <c r="K69" s="485"/>
      <c r="L69" s="485"/>
      <c r="M69" s="418"/>
      <c r="N69" s="49">
        <f>SUM(N62:N67)</f>
        <v>1850000</v>
      </c>
      <c r="O69" s="487"/>
      <c r="P69" s="490"/>
    </row>
    <row r="70" spans="1:16" ht="19.95" hidden="1" customHeight="1" x14ac:dyDescent="0.3">
      <c r="A70" s="402" t="s">
        <v>28</v>
      </c>
      <c r="B70" s="405">
        <v>45046</v>
      </c>
      <c r="C70" s="87" t="s">
        <v>54</v>
      </c>
      <c r="D70" s="87">
        <f>+E70*2</f>
        <v>2650</v>
      </c>
      <c r="E70" s="87">
        <v>1325</v>
      </c>
      <c r="F70" s="88">
        <v>290</v>
      </c>
      <c r="G70" s="90">
        <f t="shared" ref="G70:G76" si="9">+D70*F70</f>
        <v>768500</v>
      </c>
      <c r="H70" s="393"/>
      <c r="I70" s="526"/>
      <c r="J70" s="529" t="s">
        <v>17</v>
      </c>
      <c r="K70" s="530"/>
      <c r="L70" s="82">
        <v>18</v>
      </c>
      <c r="M70" s="83">
        <v>7500</v>
      </c>
      <c r="N70" s="84">
        <f t="shared" ref="N70:N75" si="10">+L70*M70</f>
        <v>135000</v>
      </c>
      <c r="O70" s="375"/>
      <c r="P70" s="489"/>
    </row>
    <row r="71" spans="1:16" ht="19.95" hidden="1" customHeight="1" x14ac:dyDescent="0.3">
      <c r="A71" s="403"/>
      <c r="B71" s="406"/>
      <c r="C71" s="54" t="s">
        <v>89</v>
      </c>
      <c r="D71" s="54">
        <v>200</v>
      </c>
      <c r="E71" s="54">
        <v>100</v>
      </c>
      <c r="F71" s="45">
        <v>550</v>
      </c>
      <c r="G71" s="56">
        <f t="shared" si="9"/>
        <v>110000</v>
      </c>
      <c r="H71" s="393"/>
      <c r="I71" s="526"/>
      <c r="J71" s="531" t="s">
        <v>18</v>
      </c>
      <c r="K71" s="417"/>
      <c r="L71" s="13">
        <v>630</v>
      </c>
      <c r="M71" s="14">
        <v>2500</v>
      </c>
      <c r="N71" s="15">
        <f t="shared" si="10"/>
        <v>1575000</v>
      </c>
      <c r="O71" s="375"/>
      <c r="P71" s="489"/>
    </row>
    <row r="72" spans="1:16" ht="19.95" hidden="1" customHeight="1" x14ac:dyDescent="0.3">
      <c r="A72" s="403"/>
      <c r="B72" s="406"/>
      <c r="C72" s="54" t="s">
        <v>55</v>
      </c>
      <c r="D72" s="54">
        <v>2</v>
      </c>
      <c r="E72" s="54"/>
      <c r="F72" s="45">
        <v>70000</v>
      </c>
      <c r="G72" s="90">
        <f t="shared" si="9"/>
        <v>140000</v>
      </c>
      <c r="H72" s="393"/>
      <c r="I72" s="527"/>
      <c r="J72" s="531" t="s">
        <v>19</v>
      </c>
      <c r="K72" s="417"/>
      <c r="L72" s="13">
        <v>1</v>
      </c>
      <c r="M72" s="14">
        <v>32000</v>
      </c>
      <c r="N72" s="15">
        <f t="shared" si="10"/>
        <v>32000</v>
      </c>
      <c r="O72" s="375"/>
      <c r="P72" s="489"/>
    </row>
    <row r="73" spans="1:16" ht="19.95" hidden="1" customHeight="1" x14ac:dyDescent="0.3">
      <c r="A73" s="403"/>
      <c r="B73" s="406"/>
      <c r="C73" s="54" t="s">
        <v>81</v>
      </c>
      <c r="D73" s="54">
        <v>0</v>
      </c>
      <c r="E73" s="54"/>
      <c r="F73" s="43">
        <v>55000</v>
      </c>
      <c r="G73" s="56">
        <f t="shared" si="9"/>
        <v>0</v>
      </c>
      <c r="H73" s="393"/>
      <c r="I73" s="527"/>
      <c r="J73" s="531" t="s">
        <v>57</v>
      </c>
      <c r="K73" s="417"/>
      <c r="L73" s="13">
        <v>0</v>
      </c>
      <c r="M73" s="14">
        <v>68000</v>
      </c>
      <c r="N73" s="15">
        <f t="shared" si="10"/>
        <v>0</v>
      </c>
      <c r="O73" s="375"/>
      <c r="P73" s="489"/>
    </row>
    <row r="74" spans="1:16" ht="19.95" hidden="1" customHeight="1" x14ac:dyDescent="0.3">
      <c r="A74" s="403"/>
      <c r="B74" s="406"/>
      <c r="C74" s="54" t="s">
        <v>82</v>
      </c>
      <c r="D74" s="54">
        <v>0</v>
      </c>
      <c r="E74" s="54"/>
      <c r="F74" s="45">
        <v>20000</v>
      </c>
      <c r="G74" s="57">
        <f t="shared" si="9"/>
        <v>0</v>
      </c>
      <c r="H74" s="393"/>
      <c r="I74" s="527"/>
      <c r="J74" s="531" t="s">
        <v>90</v>
      </c>
      <c r="K74" s="417"/>
      <c r="L74" s="13">
        <v>1</v>
      </c>
      <c r="M74" s="14">
        <v>40000</v>
      </c>
      <c r="N74" s="15">
        <f t="shared" si="10"/>
        <v>40000</v>
      </c>
      <c r="O74" s="375"/>
      <c r="P74" s="489"/>
    </row>
    <row r="75" spans="1:16" ht="19.95" hidden="1" customHeight="1" x14ac:dyDescent="0.3">
      <c r="A75" s="403"/>
      <c r="B75" s="406"/>
      <c r="C75" s="104" t="s">
        <v>71</v>
      </c>
      <c r="D75" s="54">
        <v>0</v>
      </c>
      <c r="E75" s="52"/>
      <c r="F75" s="50">
        <v>50000</v>
      </c>
      <c r="G75" s="57">
        <f t="shared" si="9"/>
        <v>0</v>
      </c>
      <c r="H75" s="393"/>
      <c r="I75" s="527"/>
      <c r="J75" s="531" t="s">
        <v>60</v>
      </c>
      <c r="K75" s="417"/>
      <c r="L75" s="13">
        <v>0</v>
      </c>
      <c r="M75" s="14">
        <v>750000</v>
      </c>
      <c r="N75" s="15">
        <f t="shared" si="10"/>
        <v>0</v>
      </c>
      <c r="O75" s="375"/>
      <c r="P75" s="489"/>
    </row>
    <row r="76" spans="1:16" ht="14.4" hidden="1" x14ac:dyDescent="0.3">
      <c r="A76" s="403"/>
      <c r="B76" s="406"/>
      <c r="C76" s="104" t="s">
        <v>72</v>
      </c>
      <c r="D76" s="54">
        <v>0</v>
      </c>
      <c r="E76" s="52"/>
      <c r="F76" s="50">
        <v>75000</v>
      </c>
      <c r="G76" s="57">
        <f t="shared" si="9"/>
        <v>0</v>
      </c>
      <c r="H76" s="393"/>
      <c r="I76" s="527"/>
      <c r="J76" s="532"/>
      <c r="K76" s="533"/>
      <c r="L76" s="533"/>
      <c r="M76" s="533"/>
      <c r="N76" s="534"/>
      <c r="O76" s="375"/>
      <c r="P76" s="489"/>
    </row>
    <row r="77" spans="1:16" hidden="1" thickBot="1" x14ac:dyDescent="0.35">
      <c r="A77" s="404"/>
      <c r="B77" s="407"/>
      <c r="C77" s="399" t="s">
        <v>21</v>
      </c>
      <c r="D77" s="400"/>
      <c r="E77" s="400"/>
      <c r="F77" s="418"/>
      <c r="G77" s="59">
        <f>SUM(G70:G76)</f>
        <v>1018500</v>
      </c>
      <c r="H77" s="513"/>
      <c r="I77" s="528"/>
      <c r="J77" s="535" t="s">
        <v>22</v>
      </c>
      <c r="K77" s="485"/>
      <c r="L77" s="485"/>
      <c r="M77" s="418"/>
      <c r="N77" s="49">
        <f>SUM(N70:N75)</f>
        <v>1782000</v>
      </c>
      <c r="O77" s="487"/>
      <c r="P77" s="490"/>
    </row>
    <row r="78" spans="1:16" ht="14.4" hidden="1" x14ac:dyDescent="0.3">
      <c r="A78" s="402" t="s">
        <v>30</v>
      </c>
      <c r="B78" s="405">
        <v>45060</v>
      </c>
      <c r="C78" s="87" t="s">
        <v>54</v>
      </c>
      <c r="D78" s="87">
        <f>+E78*2</f>
        <v>2650</v>
      </c>
      <c r="E78" s="87">
        <v>1325</v>
      </c>
      <c r="F78" s="88">
        <v>365</v>
      </c>
      <c r="G78" s="90">
        <f t="shared" ref="G78:G84" si="11">+D78*F78</f>
        <v>967250</v>
      </c>
      <c r="H78" s="393"/>
      <c r="I78" s="526"/>
      <c r="J78" s="529" t="s">
        <v>17</v>
      </c>
      <c r="K78" s="530"/>
      <c r="L78" s="82">
        <v>18</v>
      </c>
      <c r="M78" s="83">
        <v>8200</v>
      </c>
      <c r="N78" s="84">
        <f t="shared" ref="N78:N83" si="12">+L78*M78</f>
        <v>147600</v>
      </c>
      <c r="O78" s="375"/>
      <c r="P78" s="489"/>
    </row>
    <row r="79" spans="1:16" ht="14.4" hidden="1" x14ac:dyDescent="0.3">
      <c r="A79" s="403"/>
      <c r="B79" s="406"/>
      <c r="C79" s="54" t="s">
        <v>89</v>
      </c>
      <c r="D79" s="54">
        <v>200</v>
      </c>
      <c r="E79" s="54">
        <v>100</v>
      </c>
      <c r="F79" s="45">
        <v>550</v>
      </c>
      <c r="G79" s="56">
        <f t="shared" si="11"/>
        <v>110000</v>
      </c>
      <c r="H79" s="393"/>
      <c r="I79" s="526"/>
      <c r="J79" s="531" t="s">
        <v>18</v>
      </c>
      <c r="K79" s="417"/>
      <c r="L79" s="13">
        <v>730</v>
      </c>
      <c r="M79" s="14">
        <v>3000</v>
      </c>
      <c r="N79" s="15">
        <f t="shared" si="12"/>
        <v>2190000</v>
      </c>
      <c r="O79" s="375"/>
      <c r="P79" s="489"/>
    </row>
    <row r="80" spans="1:16" ht="14.4" hidden="1" x14ac:dyDescent="0.3">
      <c r="A80" s="403"/>
      <c r="B80" s="406"/>
      <c r="C80" s="54" t="s">
        <v>55</v>
      </c>
      <c r="D80" s="54">
        <v>2</v>
      </c>
      <c r="E80" s="54"/>
      <c r="F80" s="45">
        <v>85000</v>
      </c>
      <c r="G80" s="90">
        <f t="shared" si="11"/>
        <v>170000</v>
      </c>
      <c r="H80" s="393"/>
      <c r="I80" s="527"/>
      <c r="J80" s="531" t="s">
        <v>19</v>
      </c>
      <c r="K80" s="417"/>
      <c r="L80" s="13">
        <v>1</v>
      </c>
      <c r="M80" s="14">
        <v>37000</v>
      </c>
      <c r="N80" s="15">
        <f t="shared" si="12"/>
        <v>37000</v>
      </c>
      <c r="O80" s="375"/>
      <c r="P80" s="489"/>
    </row>
    <row r="81" spans="1:16" ht="14.4" hidden="1" x14ac:dyDescent="0.3">
      <c r="A81" s="403"/>
      <c r="B81" s="406"/>
      <c r="C81" s="54" t="s">
        <v>81</v>
      </c>
      <c r="D81" s="54">
        <v>0</v>
      </c>
      <c r="E81" s="54"/>
      <c r="F81" s="43">
        <v>56000</v>
      </c>
      <c r="G81" s="56">
        <f t="shared" si="11"/>
        <v>0</v>
      </c>
      <c r="H81" s="393"/>
      <c r="I81" s="527"/>
      <c r="J81" s="531" t="s">
        <v>57</v>
      </c>
      <c r="K81" s="417"/>
      <c r="L81" s="13">
        <v>1</v>
      </c>
      <c r="M81" s="14">
        <v>75000</v>
      </c>
      <c r="N81" s="15">
        <f t="shared" si="12"/>
        <v>75000</v>
      </c>
      <c r="O81" s="375"/>
      <c r="P81" s="489"/>
    </row>
    <row r="82" spans="1:16" ht="14.4" hidden="1" x14ac:dyDescent="0.3">
      <c r="A82" s="403"/>
      <c r="B82" s="406"/>
      <c r="C82" s="54" t="s">
        <v>82</v>
      </c>
      <c r="D82" s="54">
        <v>0</v>
      </c>
      <c r="E82" s="54"/>
      <c r="F82" s="45">
        <v>24000</v>
      </c>
      <c r="G82" s="57">
        <f t="shared" si="11"/>
        <v>0</v>
      </c>
      <c r="H82" s="393"/>
      <c r="I82" s="527"/>
      <c r="J82" s="531" t="s">
        <v>90</v>
      </c>
      <c r="K82" s="417"/>
      <c r="L82" s="13">
        <v>1</v>
      </c>
      <c r="M82" s="14">
        <v>40000</v>
      </c>
      <c r="N82" s="15">
        <f t="shared" si="12"/>
        <v>40000</v>
      </c>
      <c r="O82" s="375"/>
      <c r="P82" s="489"/>
    </row>
    <row r="83" spans="1:16" ht="14.4" hidden="1" x14ac:dyDescent="0.3">
      <c r="A83" s="403"/>
      <c r="B83" s="406"/>
      <c r="C83" s="104" t="s">
        <v>71</v>
      </c>
      <c r="D83" s="54">
        <v>0</v>
      </c>
      <c r="E83" s="52"/>
      <c r="F83" s="50">
        <v>50000</v>
      </c>
      <c r="G83" s="57">
        <f t="shared" si="11"/>
        <v>0</v>
      </c>
      <c r="H83" s="393"/>
      <c r="I83" s="527"/>
      <c r="J83" s="531" t="s">
        <v>60</v>
      </c>
      <c r="K83" s="417"/>
      <c r="L83" s="13">
        <v>0</v>
      </c>
      <c r="M83" s="14">
        <v>750000</v>
      </c>
      <c r="N83" s="15">
        <f t="shared" si="12"/>
        <v>0</v>
      </c>
      <c r="O83" s="375"/>
      <c r="P83" s="489"/>
    </row>
    <row r="84" spans="1:16" ht="14.4" hidden="1" x14ac:dyDescent="0.3">
      <c r="A84" s="403"/>
      <c r="B84" s="406"/>
      <c r="C84" s="104" t="s">
        <v>72</v>
      </c>
      <c r="D84" s="54">
        <v>0</v>
      </c>
      <c r="E84" s="52"/>
      <c r="F84" s="50">
        <v>75000</v>
      </c>
      <c r="G84" s="57">
        <f t="shared" si="11"/>
        <v>0</v>
      </c>
      <c r="H84" s="393"/>
      <c r="I84" s="527"/>
      <c r="J84" s="532"/>
      <c r="K84" s="533"/>
      <c r="L84" s="533"/>
      <c r="M84" s="533"/>
      <c r="N84" s="534"/>
      <c r="O84" s="375"/>
      <c r="P84" s="489"/>
    </row>
    <row r="85" spans="1:16" hidden="1" thickBot="1" x14ac:dyDescent="0.35">
      <c r="A85" s="404"/>
      <c r="B85" s="407"/>
      <c r="C85" s="399" t="s">
        <v>21</v>
      </c>
      <c r="D85" s="400"/>
      <c r="E85" s="400"/>
      <c r="F85" s="418"/>
      <c r="G85" s="59">
        <f>SUM(G78:G84)</f>
        <v>1247250</v>
      </c>
      <c r="H85" s="513"/>
      <c r="I85" s="528"/>
      <c r="J85" s="535" t="s">
        <v>22</v>
      </c>
      <c r="K85" s="485"/>
      <c r="L85" s="485"/>
      <c r="M85" s="418"/>
      <c r="N85" s="49">
        <f>SUM(N78:N83)</f>
        <v>2489600</v>
      </c>
      <c r="O85" s="487"/>
      <c r="P85" s="490"/>
    </row>
    <row r="86" spans="1:16" ht="14.4" hidden="1" x14ac:dyDescent="0.3">
      <c r="A86" s="402" t="s">
        <v>125</v>
      </c>
      <c r="B86" s="405">
        <v>45074</v>
      </c>
      <c r="C86" s="87" t="s">
        <v>54</v>
      </c>
      <c r="D86" s="87">
        <f>+E86*2</f>
        <v>2000</v>
      </c>
      <c r="E86" s="87">
        <v>1000</v>
      </c>
      <c r="F86" s="88">
        <v>365</v>
      </c>
      <c r="G86" s="90">
        <f t="shared" ref="G86:G92" si="13">+D86*F86</f>
        <v>730000</v>
      </c>
      <c r="H86" s="393"/>
      <c r="I86" s="526"/>
      <c r="J86" s="529" t="s">
        <v>17</v>
      </c>
      <c r="K86" s="530"/>
      <c r="L86" s="82">
        <v>18</v>
      </c>
      <c r="M86" s="83">
        <v>8200</v>
      </c>
      <c r="N86" s="84">
        <f t="shared" ref="N86:N91" si="14">+L86*M86</f>
        <v>147600</v>
      </c>
      <c r="O86" s="375"/>
      <c r="P86" s="489"/>
    </row>
    <row r="87" spans="1:16" ht="14.4" hidden="1" x14ac:dyDescent="0.3">
      <c r="A87" s="403"/>
      <c r="B87" s="406"/>
      <c r="C87" s="54" t="s">
        <v>89</v>
      </c>
      <c r="D87" s="54">
        <v>0</v>
      </c>
      <c r="E87" s="54"/>
      <c r="F87" s="43">
        <v>550</v>
      </c>
      <c r="G87" s="56">
        <f t="shared" si="13"/>
        <v>0</v>
      </c>
      <c r="H87" s="393"/>
      <c r="I87" s="526"/>
      <c r="J87" s="531" t="s">
        <v>18</v>
      </c>
      <c r="K87" s="417"/>
      <c r="L87" s="13">
        <v>275</v>
      </c>
      <c r="M87" s="14">
        <v>3000</v>
      </c>
      <c r="N87" s="15">
        <f t="shared" si="14"/>
        <v>825000</v>
      </c>
      <c r="O87" s="375"/>
      <c r="P87" s="489"/>
    </row>
    <row r="88" spans="1:16" ht="14.4" hidden="1" x14ac:dyDescent="0.3">
      <c r="A88" s="403"/>
      <c r="B88" s="406"/>
      <c r="C88" s="54" t="s">
        <v>55</v>
      </c>
      <c r="D88" s="54">
        <v>2</v>
      </c>
      <c r="E88" s="54"/>
      <c r="F88" s="43">
        <v>85000</v>
      </c>
      <c r="G88" s="90">
        <f t="shared" si="13"/>
        <v>170000</v>
      </c>
      <c r="H88" s="393"/>
      <c r="I88" s="527"/>
      <c r="J88" s="531" t="s">
        <v>19</v>
      </c>
      <c r="K88" s="417"/>
      <c r="L88" s="13">
        <v>1</v>
      </c>
      <c r="M88" s="14">
        <v>37000</v>
      </c>
      <c r="N88" s="15">
        <f t="shared" si="14"/>
        <v>37000</v>
      </c>
      <c r="O88" s="375"/>
      <c r="P88" s="489"/>
    </row>
    <row r="89" spans="1:16" ht="14.4" hidden="1" x14ac:dyDescent="0.3">
      <c r="A89" s="403"/>
      <c r="B89" s="406"/>
      <c r="C89" s="54" t="s">
        <v>81</v>
      </c>
      <c r="D89" s="54">
        <v>0</v>
      </c>
      <c r="E89" s="54"/>
      <c r="F89" s="43">
        <v>56000</v>
      </c>
      <c r="G89" s="56">
        <f t="shared" si="13"/>
        <v>0</v>
      </c>
      <c r="H89" s="393"/>
      <c r="I89" s="527"/>
      <c r="J89" s="531" t="s">
        <v>57</v>
      </c>
      <c r="K89" s="417"/>
      <c r="L89" s="13">
        <v>1</v>
      </c>
      <c r="M89" s="14">
        <v>75000</v>
      </c>
      <c r="N89" s="15">
        <f t="shared" si="14"/>
        <v>75000</v>
      </c>
      <c r="O89" s="375"/>
      <c r="P89" s="489"/>
    </row>
    <row r="90" spans="1:16" ht="14.4" hidden="1" x14ac:dyDescent="0.3">
      <c r="A90" s="403"/>
      <c r="B90" s="406"/>
      <c r="C90" s="54" t="s">
        <v>82</v>
      </c>
      <c r="D90" s="54">
        <v>0</v>
      </c>
      <c r="E90" s="54"/>
      <c r="F90" s="43">
        <v>24000</v>
      </c>
      <c r="G90" s="56">
        <f t="shared" si="13"/>
        <v>0</v>
      </c>
      <c r="H90" s="393"/>
      <c r="I90" s="527"/>
      <c r="J90" s="531" t="s">
        <v>90</v>
      </c>
      <c r="K90" s="417"/>
      <c r="L90" s="13">
        <v>0</v>
      </c>
      <c r="M90" s="14">
        <v>40000</v>
      </c>
      <c r="N90" s="15">
        <f t="shared" si="14"/>
        <v>0</v>
      </c>
      <c r="O90" s="375"/>
      <c r="P90" s="489"/>
    </row>
    <row r="91" spans="1:16" ht="14.4" hidden="1" x14ac:dyDescent="0.3">
      <c r="A91" s="403"/>
      <c r="B91" s="406"/>
      <c r="C91" s="104" t="s">
        <v>71</v>
      </c>
      <c r="D91" s="54">
        <v>0</v>
      </c>
      <c r="E91" s="146"/>
      <c r="F91" s="147">
        <v>50000</v>
      </c>
      <c r="G91" s="56">
        <f t="shared" si="13"/>
        <v>0</v>
      </c>
      <c r="H91" s="393"/>
      <c r="I91" s="527"/>
      <c r="J91" s="531" t="s">
        <v>60</v>
      </c>
      <c r="K91" s="417"/>
      <c r="L91" s="13">
        <v>0</v>
      </c>
      <c r="M91" s="14">
        <v>750000</v>
      </c>
      <c r="N91" s="15">
        <f t="shared" si="14"/>
        <v>0</v>
      </c>
      <c r="O91" s="375"/>
      <c r="P91" s="489"/>
    </row>
    <row r="92" spans="1:16" ht="14.4" hidden="1" x14ac:dyDescent="0.3">
      <c r="A92" s="403"/>
      <c r="B92" s="406"/>
      <c r="C92" s="104" t="s">
        <v>72</v>
      </c>
      <c r="D92" s="54">
        <v>0</v>
      </c>
      <c r="E92" s="146"/>
      <c r="F92" s="147">
        <v>75000</v>
      </c>
      <c r="G92" s="56">
        <f t="shared" si="13"/>
        <v>0</v>
      </c>
      <c r="H92" s="393"/>
      <c r="I92" s="527"/>
      <c r="J92" s="532"/>
      <c r="K92" s="533"/>
      <c r="L92" s="533"/>
      <c r="M92" s="533"/>
      <c r="N92" s="534"/>
      <c r="O92" s="375"/>
      <c r="P92" s="489"/>
    </row>
    <row r="93" spans="1:16" hidden="1" thickBot="1" x14ac:dyDescent="0.35">
      <c r="A93" s="404"/>
      <c r="B93" s="407"/>
      <c r="C93" s="399" t="s">
        <v>21</v>
      </c>
      <c r="D93" s="400"/>
      <c r="E93" s="400"/>
      <c r="F93" s="418"/>
      <c r="G93" s="59">
        <f>SUM(G86:G92)</f>
        <v>900000</v>
      </c>
      <c r="H93" s="513"/>
      <c r="I93" s="528"/>
      <c r="J93" s="535" t="s">
        <v>22</v>
      </c>
      <c r="K93" s="485"/>
      <c r="L93" s="485"/>
      <c r="M93" s="418"/>
      <c r="N93" s="49">
        <f>SUM(N86:N91)</f>
        <v>1084600</v>
      </c>
      <c r="O93" s="487"/>
      <c r="P93" s="490"/>
    </row>
    <row r="94" spans="1:16" ht="14.4" hidden="1" x14ac:dyDescent="0.3">
      <c r="A94" s="402" t="s">
        <v>13</v>
      </c>
      <c r="B94" s="405">
        <v>45087</v>
      </c>
      <c r="C94" s="87" t="s">
        <v>54</v>
      </c>
      <c r="D94" s="87">
        <f>+E94*2</f>
        <v>2000</v>
      </c>
      <c r="E94" s="87">
        <v>1000</v>
      </c>
      <c r="F94" s="88">
        <v>365</v>
      </c>
      <c r="G94" s="90">
        <f t="shared" ref="G94:G100" si="15">+D94*F94</f>
        <v>730000</v>
      </c>
      <c r="H94" s="393"/>
      <c r="I94" s="526"/>
      <c r="J94" s="529" t="s">
        <v>17</v>
      </c>
      <c r="K94" s="530"/>
      <c r="L94" s="82">
        <v>18</v>
      </c>
      <c r="M94" s="83">
        <v>8200</v>
      </c>
      <c r="N94" s="84">
        <f t="shared" ref="N94:N99" si="16">+L94*M94</f>
        <v>147600</v>
      </c>
      <c r="O94" s="375"/>
      <c r="P94" s="489"/>
    </row>
    <row r="95" spans="1:16" ht="14.4" hidden="1" x14ac:dyDescent="0.3">
      <c r="A95" s="403"/>
      <c r="B95" s="406"/>
      <c r="C95" s="54" t="s">
        <v>89</v>
      </c>
      <c r="D95" s="54">
        <v>0</v>
      </c>
      <c r="E95" s="54"/>
      <c r="F95" s="43">
        <v>550</v>
      </c>
      <c r="G95" s="56">
        <f t="shared" si="15"/>
        <v>0</v>
      </c>
      <c r="H95" s="393"/>
      <c r="I95" s="526"/>
      <c r="J95" s="531" t="s">
        <v>18</v>
      </c>
      <c r="K95" s="417"/>
      <c r="L95" s="13">
        <v>275</v>
      </c>
      <c r="M95" s="14">
        <v>3000</v>
      </c>
      <c r="N95" s="15">
        <f t="shared" si="16"/>
        <v>825000</v>
      </c>
      <c r="O95" s="375"/>
      <c r="P95" s="489"/>
    </row>
    <row r="96" spans="1:16" ht="14.4" hidden="1" x14ac:dyDescent="0.3">
      <c r="A96" s="403"/>
      <c r="B96" s="406"/>
      <c r="C96" s="54" t="s">
        <v>55</v>
      </c>
      <c r="D96" s="54">
        <v>2</v>
      </c>
      <c r="E96" s="54"/>
      <c r="F96" s="43">
        <v>85000</v>
      </c>
      <c r="G96" s="90">
        <f t="shared" si="15"/>
        <v>170000</v>
      </c>
      <c r="H96" s="393"/>
      <c r="I96" s="527"/>
      <c r="J96" s="531" t="s">
        <v>19</v>
      </c>
      <c r="K96" s="417"/>
      <c r="L96" s="13">
        <v>1</v>
      </c>
      <c r="M96" s="14">
        <v>37000</v>
      </c>
      <c r="N96" s="15">
        <f t="shared" si="16"/>
        <v>37000</v>
      </c>
      <c r="O96" s="375"/>
      <c r="P96" s="489"/>
    </row>
    <row r="97" spans="1:16" ht="14.4" hidden="1" x14ac:dyDescent="0.3">
      <c r="A97" s="403"/>
      <c r="B97" s="406"/>
      <c r="C97" s="54" t="s">
        <v>81</v>
      </c>
      <c r="D97" s="54">
        <v>0</v>
      </c>
      <c r="E97" s="54"/>
      <c r="F97" s="43">
        <v>56000</v>
      </c>
      <c r="G97" s="56">
        <f t="shared" si="15"/>
        <v>0</v>
      </c>
      <c r="H97" s="393"/>
      <c r="I97" s="527"/>
      <c r="J97" s="531" t="s">
        <v>57</v>
      </c>
      <c r="K97" s="417"/>
      <c r="L97" s="13">
        <v>1</v>
      </c>
      <c r="M97" s="14">
        <v>75000</v>
      </c>
      <c r="N97" s="15">
        <f t="shared" si="16"/>
        <v>75000</v>
      </c>
      <c r="O97" s="375"/>
      <c r="P97" s="489"/>
    </row>
    <row r="98" spans="1:16" ht="14.4" hidden="1" x14ac:dyDescent="0.3">
      <c r="A98" s="403"/>
      <c r="B98" s="406"/>
      <c r="C98" s="54" t="s">
        <v>82</v>
      </c>
      <c r="D98" s="54">
        <v>0</v>
      </c>
      <c r="E98" s="54"/>
      <c r="F98" s="43">
        <v>24000</v>
      </c>
      <c r="G98" s="56">
        <f t="shared" si="15"/>
        <v>0</v>
      </c>
      <c r="H98" s="393"/>
      <c r="I98" s="527"/>
      <c r="J98" s="531" t="s">
        <v>90</v>
      </c>
      <c r="K98" s="417"/>
      <c r="L98" s="13">
        <v>1</v>
      </c>
      <c r="M98" s="14">
        <v>40000</v>
      </c>
      <c r="N98" s="15">
        <f t="shared" si="16"/>
        <v>40000</v>
      </c>
      <c r="O98" s="375"/>
      <c r="P98" s="489"/>
    </row>
    <row r="99" spans="1:16" ht="14.4" hidden="1" x14ac:dyDescent="0.3">
      <c r="A99" s="403"/>
      <c r="B99" s="406"/>
      <c r="C99" s="104" t="s">
        <v>71</v>
      </c>
      <c r="D99" s="54">
        <v>0</v>
      </c>
      <c r="E99" s="146"/>
      <c r="F99" s="147">
        <v>50000</v>
      </c>
      <c r="G99" s="56">
        <f t="shared" si="15"/>
        <v>0</v>
      </c>
      <c r="H99" s="393"/>
      <c r="I99" s="527"/>
      <c r="J99" s="531" t="s">
        <v>60</v>
      </c>
      <c r="K99" s="417"/>
      <c r="L99" s="13">
        <v>0</v>
      </c>
      <c r="M99" s="14">
        <v>750000</v>
      </c>
      <c r="N99" s="15">
        <f t="shared" si="16"/>
        <v>0</v>
      </c>
      <c r="O99" s="375"/>
      <c r="P99" s="489"/>
    </row>
    <row r="100" spans="1:16" ht="14.4" hidden="1" x14ac:dyDescent="0.3">
      <c r="A100" s="403"/>
      <c r="B100" s="406"/>
      <c r="C100" s="104" t="s">
        <v>72</v>
      </c>
      <c r="D100" s="54">
        <v>0</v>
      </c>
      <c r="E100" s="146"/>
      <c r="F100" s="147">
        <v>75000</v>
      </c>
      <c r="G100" s="56">
        <f t="shared" si="15"/>
        <v>0</v>
      </c>
      <c r="H100" s="393"/>
      <c r="I100" s="527"/>
      <c r="J100" s="532"/>
      <c r="K100" s="533"/>
      <c r="L100" s="533"/>
      <c r="M100" s="533"/>
      <c r="N100" s="534"/>
      <c r="O100" s="375"/>
      <c r="P100" s="489"/>
    </row>
    <row r="101" spans="1:16" hidden="1" thickBot="1" x14ac:dyDescent="0.35">
      <c r="A101" s="404"/>
      <c r="B101" s="407"/>
      <c r="C101" s="399" t="s">
        <v>21</v>
      </c>
      <c r="D101" s="400"/>
      <c r="E101" s="400"/>
      <c r="F101" s="418"/>
      <c r="G101" s="59">
        <f>SUM(G94:G100)</f>
        <v>900000</v>
      </c>
      <c r="H101" s="513"/>
      <c r="I101" s="528"/>
      <c r="J101" s="535" t="s">
        <v>22</v>
      </c>
      <c r="K101" s="485"/>
      <c r="L101" s="485"/>
      <c r="M101" s="418"/>
      <c r="N101" s="49">
        <f>SUM(N94:N99)</f>
        <v>1124600</v>
      </c>
      <c r="O101" s="487"/>
      <c r="P101" s="490"/>
    </row>
    <row r="102" spans="1:16" ht="14.4" hidden="1" x14ac:dyDescent="0.3">
      <c r="A102" s="402" t="s">
        <v>43</v>
      </c>
      <c r="B102" s="405">
        <v>45108</v>
      </c>
      <c r="C102" s="87" t="s">
        <v>54</v>
      </c>
      <c r="D102" s="87">
        <f>+E102*2</f>
        <v>2000</v>
      </c>
      <c r="E102" s="87">
        <v>1000</v>
      </c>
      <c r="F102" s="88">
        <v>365</v>
      </c>
      <c r="G102" s="90">
        <f t="shared" ref="G102:G108" si="17">+D102*F102</f>
        <v>730000</v>
      </c>
      <c r="H102" s="393"/>
      <c r="I102" s="526"/>
      <c r="J102" s="529" t="s">
        <v>17</v>
      </c>
      <c r="K102" s="530"/>
      <c r="L102" s="82">
        <v>18</v>
      </c>
      <c r="M102" s="83">
        <v>8200</v>
      </c>
      <c r="N102" s="84">
        <f t="shared" ref="N102:N107" si="18">+L102*M102</f>
        <v>147600</v>
      </c>
      <c r="O102" s="375"/>
      <c r="P102" s="489"/>
    </row>
    <row r="103" spans="1:16" ht="14.4" hidden="1" x14ac:dyDescent="0.3">
      <c r="A103" s="403"/>
      <c r="B103" s="406"/>
      <c r="C103" s="54" t="s">
        <v>89</v>
      </c>
      <c r="D103" s="54">
        <f>+E103*2</f>
        <v>200</v>
      </c>
      <c r="E103" s="54">
        <v>100</v>
      </c>
      <c r="F103" s="43">
        <v>550</v>
      </c>
      <c r="G103" s="56">
        <f t="shared" si="17"/>
        <v>110000</v>
      </c>
      <c r="H103" s="393"/>
      <c r="I103" s="526"/>
      <c r="J103" s="531" t="s">
        <v>18</v>
      </c>
      <c r="K103" s="417"/>
      <c r="L103" s="13">
        <v>275</v>
      </c>
      <c r="M103" s="14">
        <v>3000</v>
      </c>
      <c r="N103" s="15">
        <f t="shared" si="18"/>
        <v>825000</v>
      </c>
      <c r="O103" s="375"/>
      <c r="P103" s="489"/>
    </row>
    <row r="104" spans="1:16" ht="14.4" hidden="1" x14ac:dyDescent="0.3">
      <c r="A104" s="403"/>
      <c r="B104" s="406"/>
      <c r="C104" s="54" t="s">
        <v>55</v>
      </c>
      <c r="D104" s="54">
        <v>2</v>
      </c>
      <c r="E104" s="54"/>
      <c r="F104" s="43">
        <v>85000</v>
      </c>
      <c r="G104" s="90">
        <f t="shared" si="17"/>
        <v>170000</v>
      </c>
      <c r="H104" s="393"/>
      <c r="I104" s="527"/>
      <c r="J104" s="531" t="s">
        <v>19</v>
      </c>
      <c r="K104" s="417"/>
      <c r="L104" s="13">
        <v>1</v>
      </c>
      <c r="M104" s="14">
        <v>37000</v>
      </c>
      <c r="N104" s="15">
        <f t="shared" si="18"/>
        <v>37000</v>
      </c>
      <c r="O104" s="375"/>
      <c r="P104" s="489"/>
    </row>
    <row r="105" spans="1:16" ht="14.4" hidden="1" x14ac:dyDescent="0.3">
      <c r="A105" s="403"/>
      <c r="B105" s="406"/>
      <c r="C105" s="54" t="s">
        <v>81</v>
      </c>
      <c r="D105" s="54">
        <v>0</v>
      </c>
      <c r="E105" s="54"/>
      <c r="F105" s="43">
        <v>56000</v>
      </c>
      <c r="G105" s="56">
        <f t="shared" si="17"/>
        <v>0</v>
      </c>
      <c r="H105" s="393"/>
      <c r="I105" s="527"/>
      <c r="J105" s="531" t="s">
        <v>57</v>
      </c>
      <c r="K105" s="417"/>
      <c r="L105" s="13">
        <v>1</v>
      </c>
      <c r="M105" s="14">
        <v>75000</v>
      </c>
      <c r="N105" s="15">
        <f t="shared" si="18"/>
        <v>75000</v>
      </c>
      <c r="O105" s="375"/>
      <c r="P105" s="489"/>
    </row>
    <row r="106" spans="1:16" ht="14.4" hidden="1" x14ac:dyDescent="0.3">
      <c r="A106" s="403"/>
      <c r="B106" s="406"/>
      <c r="C106" s="54" t="s">
        <v>82</v>
      </c>
      <c r="D106" s="54">
        <v>0</v>
      </c>
      <c r="E106" s="54"/>
      <c r="F106" s="43">
        <v>24000</v>
      </c>
      <c r="G106" s="56">
        <f t="shared" si="17"/>
        <v>0</v>
      </c>
      <c r="H106" s="393"/>
      <c r="I106" s="527"/>
      <c r="J106" s="531" t="s">
        <v>90</v>
      </c>
      <c r="K106" s="417"/>
      <c r="L106" s="13">
        <v>1</v>
      </c>
      <c r="M106" s="14">
        <v>40000</v>
      </c>
      <c r="N106" s="15">
        <f t="shared" si="18"/>
        <v>40000</v>
      </c>
      <c r="O106" s="375"/>
      <c r="P106" s="489"/>
    </row>
    <row r="107" spans="1:16" ht="14.4" hidden="1" x14ac:dyDescent="0.3">
      <c r="A107" s="403"/>
      <c r="B107" s="406"/>
      <c r="C107" s="104" t="s">
        <v>71</v>
      </c>
      <c r="D107" s="54">
        <v>0</v>
      </c>
      <c r="E107" s="146"/>
      <c r="F107" s="147">
        <v>50000</v>
      </c>
      <c r="G107" s="56">
        <f t="shared" si="17"/>
        <v>0</v>
      </c>
      <c r="H107" s="393"/>
      <c r="I107" s="527"/>
      <c r="J107" s="531" t="s">
        <v>60</v>
      </c>
      <c r="K107" s="417"/>
      <c r="L107" s="13">
        <v>0</v>
      </c>
      <c r="M107" s="14">
        <v>750000</v>
      </c>
      <c r="N107" s="15">
        <f t="shared" si="18"/>
        <v>0</v>
      </c>
      <c r="O107" s="375"/>
      <c r="P107" s="489"/>
    </row>
    <row r="108" spans="1:16" ht="14.4" hidden="1" x14ac:dyDescent="0.3">
      <c r="A108" s="403"/>
      <c r="B108" s="406"/>
      <c r="C108" s="104" t="s">
        <v>72</v>
      </c>
      <c r="D108" s="54">
        <v>0</v>
      </c>
      <c r="E108" s="146"/>
      <c r="F108" s="147">
        <v>75000</v>
      </c>
      <c r="G108" s="56">
        <f t="shared" si="17"/>
        <v>0</v>
      </c>
      <c r="H108" s="393"/>
      <c r="I108" s="527"/>
      <c r="J108" s="532"/>
      <c r="K108" s="533"/>
      <c r="L108" s="533"/>
      <c r="M108" s="533"/>
      <c r="N108" s="534"/>
      <c r="O108" s="375"/>
      <c r="P108" s="489"/>
    </row>
    <row r="109" spans="1:16" hidden="1" thickBot="1" x14ac:dyDescent="0.35">
      <c r="A109" s="404"/>
      <c r="B109" s="407"/>
      <c r="C109" s="399" t="s">
        <v>21</v>
      </c>
      <c r="D109" s="400"/>
      <c r="E109" s="400"/>
      <c r="F109" s="418"/>
      <c r="G109" s="59">
        <f>SUM(G102:G108)</f>
        <v>1010000</v>
      </c>
      <c r="H109" s="513"/>
      <c r="I109" s="528"/>
      <c r="J109" s="535" t="s">
        <v>22</v>
      </c>
      <c r="K109" s="485"/>
      <c r="L109" s="485"/>
      <c r="M109" s="418"/>
      <c r="N109" s="49">
        <f>SUM(N102:N107)</f>
        <v>1124600</v>
      </c>
      <c r="O109" s="487"/>
      <c r="P109" s="490"/>
    </row>
    <row r="110" spans="1:16" ht="19.95" hidden="1" customHeight="1" x14ac:dyDescent="0.3">
      <c r="A110" s="402" t="s">
        <v>40</v>
      </c>
      <c r="B110" s="405">
        <v>45117</v>
      </c>
      <c r="C110" s="87" t="s">
        <v>54</v>
      </c>
      <c r="D110" s="87">
        <f>+E110*2</f>
        <v>2000</v>
      </c>
      <c r="E110" s="87">
        <v>1000</v>
      </c>
      <c r="F110" s="88">
        <v>365</v>
      </c>
      <c r="G110" s="90">
        <f t="shared" ref="G110:G116" si="19">+D110*F110</f>
        <v>730000</v>
      </c>
      <c r="H110" s="393"/>
      <c r="I110" s="526"/>
      <c r="J110" s="529" t="s">
        <v>17</v>
      </c>
      <c r="K110" s="530"/>
      <c r="L110" s="82">
        <v>18</v>
      </c>
      <c r="M110" s="83">
        <v>8200</v>
      </c>
      <c r="N110" s="84">
        <f t="shared" ref="N110:N115" si="20">+L110*M110</f>
        <v>147600</v>
      </c>
      <c r="O110" s="375"/>
      <c r="P110" s="489"/>
    </row>
    <row r="111" spans="1:16" ht="19.95" hidden="1" customHeight="1" x14ac:dyDescent="0.3">
      <c r="A111" s="403"/>
      <c r="B111" s="406"/>
      <c r="C111" s="54" t="s">
        <v>89</v>
      </c>
      <c r="D111" s="54">
        <v>0</v>
      </c>
      <c r="E111" s="54"/>
      <c r="F111" s="43">
        <v>550</v>
      </c>
      <c r="G111" s="56">
        <f t="shared" si="19"/>
        <v>0</v>
      </c>
      <c r="H111" s="393"/>
      <c r="I111" s="526"/>
      <c r="J111" s="531" t="s">
        <v>18</v>
      </c>
      <c r="K111" s="417"/>
      <c r="L111" s="13">
        <v>275</v>
      </c>
      <c r="M111" s="14">
        <v>3000</v>
      </c>
      <c r="N111" s="15">
        <f t="shared" si="20"/>
        <v>825000</v>
      </c>
      <c r="O111" s="375"/>
      <c r="P111" s="489"/>
    </row>
    <row r="112" spans="1:16" ht="19.95" hidden="1" customHeight="1" x14ac:dyDescent="0.3">
      <c r="A112" s="403"/>
      <c r="B112" s="406"/>
      <c r="C112" s="54" t="s">
        <v>55</v>
      </c>
      <c r="D112" s="54">
        <v>2</v>
      </c>
      <c r="E112" s="54"/>
      <c r="F112" s="43">
        <v>85000</v>
      </c>
      <c r="G112" s="90">
        <f t="shared" si="19"/>
        <v>170000</v>
      </c>
      <c r="H112" s="393"/>
      <c r="I112" s="527"/>
      <c r="J112" s="531" t="s">
        <v>19</v>
      </c>
      <c r="K112" s="417"/>
      <c r="L112" s="13">
        <v>1</v>
      </c>
      <c r="M112" s="14">
        <v>37000</v>
      </c>
      <c r="N112" s="15">
        <f t="shared" si="20"/>
        <v>37000</v>
      </c>
      <c r="O112" s="375"/>
      <c r="P112" s="489"/>
    </row>
    <row r="113" spans="1:16" ht="19.95" hidden="1" customHeight="1" x14ac:dyDescent="0.3">
      <c r="A113" s="403"/>
      <c r="B113" s="406"/>
      <c r="C113" s="54" t="s">
        <v>81</v>
      </c>
      <c r="D113" s="54">
        <v>0</v>
      </c>
      <c r="E113" s="54"/>
      <c r="F113" s="43">
        <v>56000</v>
      </c>
      <c r="G113" s="56">
        <f t="shared" si="19"/>
        <v>0</v>
      </c>
      <c r="H113" s="393"/>
      <c r="I113" s="527"/>
      <c r="J113" s="531" t="s">
        <v>57</v>
      </c>
      <c r="K113" s="417"/>
      <c r="L113" s="13">
        <v>1</v>
      </c>
      <c r="M113" s="14">
        <v>75000</v>
      </c>
      <c r="N113" s="15">
        <f t="shared" si="20"/>
        <v>75000</v>
      </c>
      <c r="O113" s="375"/>
      <c r="P113" s="489"/>
    </row>
    <row r="114" spans="1:16" ht="19.95" hidden="1" customHeight="1" x14ac:dyDescent="0.3">
      <c r="A114" s="403"/>
      <c r="B114" s="406"/>
      <c r="C114" s="54" t="s">
        <v>82</v>
      </c>
      <c r="D114" s="54">
        <v>0</v>
      </c>
      <c r="E114" s="54"/>
      <c r="F114" s="43">
        <v>24000</v>
      </c>
      <c r="G114" s="56">
        <f t="shared" si="19"/>
        <v>0</v>
      </c>
      <c r="H114" s="393"/>
      <c r="I114" s="527"/>
      <c r="J114" s="531" t="s">
        <v>90</v>
      </c>
      <c r="K114" s="417"/>
      <c r="L114" s="13">
        <v>1</v>
      </c>
      <c r="M114" s="14">
        <v>40000</v>
      </c>
      <c r="N114" s="15">
        <f t="shared" si="20"/>
        <v>40000</v>
      </c>
      <c r="O114" s="375"/>
      <c r="P114" s="489"/>
    </row>
    <row r="115" spans="1:16" ht="19.95" hidden="1" customHeight="1" x14ac:dyDescent="0.3">
      <c r="A115" s="403"/>
      <c r="B115" s="406"/>
      <c r="C115" s="104" t="s">
        <v>71</v>
      </c>
      <c r="D115" s="54">
        <v>0</v>
      </c>
      <c r="E115" s="146"/>
      <c r="F115" s="147">
        <v>50000</v>
      </c>
      <c r="G115" s="56">
        <f t="shared" si="19"/>
        <v>0</v>
      </c>
      <c r="H115" s="393"/>
      <c r="I115" s="527"/>
      <c r="J115" s="531" t="s">
        <v>60</v>
      </c>
      <c r="K115" s="417"/>
      <c r="L115" s="13">
        <v>0</v>
      </c>
      <c r="M115" s="14">
        <v>750000</v>
      </c>
      <c r="N115" s="15">
        <f t="shared" si="20"/>
        <v>0</v>
      </c>
      <c r="O115" s="375"/>
      <c r="P115" s="489"/>
    </row>
    <row r="116" spans="1:16" ht="19.95" hidden="1" customHeight="1" x14ac:dyDescent="0.3">
      <c r="A116" s="403"/>
      <c r="B116" s="406"/>
      <c r="C116" s="104" t="s">
        <v>72</v>
      </c>
      <c r="D116" s="54">
        <v>0</v>
      </c>
      <c r="E116" s="146"/>
      <c r="F116" s="147">
        <v>75000</v>
      </c>
      <c r="G116" s="56">
        <f t="shared" si="19"/>
        <v>0</v>
      </c>
      <c r="H116" s="393"/>
      <c r="I116" s="527"/>
      <c r="J116" s="532"/>
      <c r="K116" s="533"/>
      <c r="L116" s="533"/>
      <c r="M116" s="533"/>
      <c r="N116" s="534"/>
      <c r="O116" s="375"/>
      <c r="P116" s="489"/>
    </row>
    <row r="117" spans="1:16" hidden="1" thickBot="1" x14ac:dyDescent="0.35">
      <c r="A117" s="404"/>
      <c r="B117" s="407"/>
      <c r="C117" s="399" t="s">
        <v>21</v>
      </c>
      <c r="D117" s="400"/>
      <c r="E117" s="400"/>
      <c r="F117" s="418"/>
      <c r="G117" s="59">
        <f>SUM(G110:G116)</f>
        <v>900000</v>
      </c>
      <c r="H117" s="513"/>
      <c r="I117" s="528"/>
      <c r="J117" s="535" t="s">
        <v>22</v>
      </c>
      <c r="K117" s="485"/>
      <c r="L117" s="485"/>
      <c r="M117" s="418"/>
      <c r="N117" s="49">
        <f>SUM(N110:N115)</f>
        <v>1124600</v>
      </c>
      <c r="O117" s="487"/>
      <c r="P117" s="490"/>
    </row>
    <row r="118" spans="1:16" ht="14.4" hidden="1" x14ac:dyDescent="0.3">
      <c r="A118" s="402" t="s">
        <v>130</v>
      </c>
      <c r="B118" s="405">
        <v>45131</v>
      </c>
      <c r="C118" s="87" t="s">
        <v>54</v>
      </c>
      <c r="D118" s="87">
        <f>+E118*2</f>
        <v>2000</v>
      </c>
      <c r="E118" s="87">
        <v>1000</v>
      </c>
      <c r="F118" s="88">
        <v>365</v>
      </c>
      <c r="G118" s="90">
        <f t="shared" ref="G118:G124" si="21">+D118*F118</f>
        <v>730000</v>
      </c>
      <c r="H118" s="393"/>
      <c r="I118" s="526"/>
      <c r="J118" s="529" t="s">
        <v>17</v>
      </c>
      <c r="K118" s="530"/>
      <c r="L118" s="82">
        <v>18</v>
      </c>
      <c r="M118" s="83">
        <v>8200</v>
      </c>
      <c r="N118" s="84">
        <f t="shared" ref="N118:N123" si="22">+L118*M118</f>
        <v>147600</v>
      </c>
      <c r="O118" s="375"/>
      <c r="P118" s="489"/>
    </row>
    <row r="119" spans="1:16" ht="14.4" hidden="1" x14ac:dyDescent="0.3">
      <c r="A119" s="403"/>
      <c r="B119" s="406"/>
      <c r="C119" s="54" t="s">
        <v>89</v>
      </c>
      <c r="D119" s="54">
        <v>200</v>
      </c>
      <c r="E119" s="54">
        <v>100</v>
      </c>
      <c r="F119" s="43">
        <v>550</v>
      </c>
      <c r="G119" s="56">
        <f t="shared" si="21"/>
        <v>110000</v>
      </c>
      <c r="H119" s="393"/>
      <c r="I119" s="526"/>
      <c r="J119" s="531" t="s">
        <v>18</v>
      </c>
      <c r="K119" s="417"/>
      <c r="L119" s="13">
        <v>275</v>
      </c>
      <c r="M119" s="14">
        <v>3000</v>
      </c>
      <c r="N119" s="15">
        <f t="shared" si="22"/>
        <v>825000</v>
      </c>
      <c r="O119" s="375"/>
      <c r="P119" s="489"/>
    </row>
    <row r="120" spans="1:16" ht="14.4" hidden="1" x14ac:dyDescent="0.3">
      <c r="A120" s="403"/>
      <c r="B120" s="406"/>
      <c r="C120" s="54" t="s">
        <v>55</v>
      </c>
      <c r="D120" s="54">
        <v>2</v>
      </c>
      <c r="E120" s="54"/>
      <c r="F120" s="43">
        <v>85000</v>
      </c>
      <c r="G120" s="90">
        <f t="shared" si="21"/>
        <v>170000</v>
      </c>
      <c r="H120" s="393"/>
      <c r="I120" s="527"/>
      <c r="J120" s="531" t="s">
        <v>19</v>
      </c>
      <c r="K120" s="417"/>
      <c r="L120" s="13">
        <v>1</v>
      </c>
      <c r="M120" s="14">
        <v>37000</v>
      </c>
      <c r="N120" s="15">
        <f t="shared" si="22"/>
        <v>37000</v>
      </c>
      <c r="O120" s="375"/>
      <c r="P120" s="489"/>
    </row>
    <row r="121" spans="1:16" ht="14.4" hidden="1" x14ac:dyDescent="0.3">
      <c r="A121" s="403"/>
      <c r="B121" s="406"/>
      <c r="C121" s="54" t="s">
        <v>81</v>
      </c>
      <c r="D121" s="54">
        <v>0</v>
      </c>
      <c r="E121" s="54"/>
      <c r="F121" s="43">
        <v>56000</v>
      </c>
      <c r="G121" s="56">
        <f t="shared" si="21"/>
        <v>0</v>
      </c>
      <c r="H121" s="393"/>
      <c r="I121" s="527"/>
      <c r="J121" s="531" t="s">
        <v>57</v>
      </c>
      <c r="K121" s="417"/>
      <c r="L121" s="13">
        <v>1</v>
      </c>
      <c r="M121" s="14">
        <v>75000</v>
      </c>
      <c r="N121" s="15">
        <f t="shared" si="22"/>
        <v>75000</v>
      </c>
      <c r="O121" s="375"/>
      <c r="P121" s="489"/>
    </row>
    <row r="122" spans="1:16" ht="14.4" hidden="1" x14ac:dyDescent="0.3">
      <c r="A122" s="403"/>
      <c r="B122" s="406"/>
      <c r="C122" s="54" t="s">
        <v>82</v>
      </c>
      <c r="D122" s="54">
        <v>0</v>
      </c>
      <c r="E122" s="54"/>
      <c r="F122" s="43">
        <v>24000</v>
      </c>
      <c r="G122" s="56">
        <f t="shared" si="21"/>
        <v>0</v>
      </c>
      <c r="H122" s="393"/>
      <c r="I122" s="527"/>
      <c r="J122" s="531" t="s">
        <v>90</v>
      </c>
      <c r="K122" s="417"/>
      <c r="L122" s="13">
        <v>0</v>
      </c>
      <c r="M122" s="14">
        <v>40000</v>
      </c>
      <c r="N122" s="15">
        <f t="shared" si="22"/>
        <v>0</v>
      </c>
      <c r="O122" s="375"/>
      <c r="P122" s="489"/>
    </row>
    <row r="123" spans="1:16" ht="14.4" hidden="1" x14ac:dyDescent="0.3">
      <c r="A123" s="403"/>
      <c r="B123" s="406"/>
      <c r="C123" s="104" t="s">
        <v>71</v>
      </c>
      <c r="D123" s="54">
        <v>0</v>
      </c>
      <c r="E123" s="146"/>
      <c r="F123" s="147">
        <v>50000</v>
      </c>
      <c r="G123" s="56">
        <f t="shared" si="21"/>
        <v>0</v>
      </c>
      <c r="H123" s="393"/>
      <c r="I123" s="527"/>
      <c r="J123" s="531" t="s">
        <v>60</v>
      </c>
      <c r="K123" s="417"/>
      <c r="L123" s="13">
        <v>0</v>
      </c>
      <c r="M123" s="14">
        <v>750000</v>
      </c>
      <c r="N123" s="15">
        <f t="shared" si="22"/>
        <v>0</v>
      </c>
      <c r="O123" s="375"/>
      <c r="P123" s="489"/>
    </row>
    <row r="124" spans="1:16" ht="14.4" hidden="1" x14ac:dyDescent="0.3">
      <c r="A124" s="403"/>
      <c r="B124" s="406"/>
      <c r="C124" s="104" t="s">
        <v>72</v>
      </c>
      <c r="D124" s="54">
        <v>0</v>
      </c>
      <c r="E124" s="146"/>
      <c r="F124" s="147">
        <v>75000</v>
      </c>
      <c r="G124" s="56">
        <f t="shared" si="21"/>
        <v>0</v>
      </c>
      <c r="H124" s="393"/>
      <c r="I124" s="527"/>
      <c r="J124" s="532"/>
      <c r="K124" s="533"/>
      <c r="L124" s="533"/>
      <c r="M124" s="533"/>
      <c r="N124" s="534"/>
      <c r="O124" s="375"/>
      <c r="P124" s="489"/>
    </row>
    <row r="125" spans="1:16" hidden="1" thickBot="1" x14ac:dyDescent="0.35">
      <c r="A125" s="404"/>
      <c r="B125" s="407"/>
      <c r="C125" s="399" t="s">
        <v>21</v>
      </c>
      <c r="D125" s="400"/>
      <c r="E125" s="400"/>
      <c r="F125" s="418"/>
      <c r="G125" s="59">
        <f>SUM(G118:G124)</f>
        <v>1010000</v>
      </c>
      <c r="H125" s="513"/>
      <c r="I125" s="528"/>
      <c r="J125" s="535" t="s">
        <v>22</v>
      </c>
      <c r="K125" s="485"/>
      <c r="L125" s="485"/>
      <c r="M125" s="418"/>
      <c r="N125" s="49">
        <f>SUM(N118:N123)</f>
        <v>1084600</v>
      </c>
      <c r="O125" s="487"/>
      <c r="P125" s="490"/>
    </row>
    <row r="126" spans="1:16" ht="19.95" hidden="1" customHeight="1" x14ac:dyDescent="0.3">
      <c r="A126" s="402" t="s">
        <v>31</v>
      </c>
      <c r="B126" s="405">
        <v>45164</v>
      </c>
      <c r="C126" s="87" t="s">
        <v>54</v>
      </c>
      <c r="D126" s="87">
        <f>+E126*2</f>
        <v>1972</v>
      </c>
      <c r="E126" s="87">
        <v>986</v>
      </c>
      <c r="F126" s="88">
        <v>600</v>
      </c>
      <c r="G126" s="90">
        <f t="shared" ref="G126:G132" si="23">+D126*F126</f>
        <v>1183200</v>
      </c>
      <c r="H126" s="393"/>
      <c r="I126" s="526"/>
      <c r="J126" s="529" t="s">
        <v>17</v>
      </c>
      <c r="K126" s="530"/>
      <c r="L126" s="82">
        <v>18</v>
      </c>
      <c r="M126" s="83">
        <v>12500</v>
      </c>
      <c r="N126" s="84">
        <f t="shared" ref="N126:N131" si="24">+L126*M126</f>
        <v>225000</v>
      </c>
      <c r="O126" s="375"/>
      <c r="P126" s="489"/>
    </row>
    <row r="127" spans="1:16" ht="19.95" hidden="1" customHeight="1" x14ac:dyDescent="0.3">
      <c r="A127" s="403"/>
      <c r="B127" s="406"/>
      <c r="C127" s="54" t="s">
        <v>89</v>
      </c>
      <c r="D127" s="54">
        <f>+E127*2</f>
        <v>600</v>
      </c>
      <c r="E127" s="54">
        <v>300</v>
      </c>
      <c r="F127" s="43">
        <v>1200</v>
      </c>
      <c r="G127" s="56">
        <f t="shared" si="23"/>
        <v>720000</v>
      </c>
      <c r="H127" s="393"/>
      <c r="I127" s="526"/>
      <c r="J127" s="531" t="s">
        <v>18</v>
      </c>
      <c r="K127" s="417"/>
      <c r="L127" s="13">
        <v>290</v>
      </c>
      <c r="M127" s="14">
        <v>4700</v>
      </c>
      <c r="N127" s="15">
        <f t="shared" si="24"/>
        <v>1363000</v>
      </c>
      <c r="O127" s="375"/>
      <c r="P127" s="489"/>
    </row>
    <row r="128" spans="1:16" ht="19.95" hidden="1" customHeight="1" x14ac:dyDescent="0.3">
      <c r="A128" s="403"/>
      <c r="B128" s="406"/>
      <c r="C128" s="54" t="s">
        <v>55</v>
      </c>
      <c r="D128" s="54">
        <v>2</v>
      </c>
      <c r="E128" s="54"/>
      <c r="F128" s="43">
        <v>130000</v>
      </c>
      <c r="G128" s="90">
        <f t="shared" si="23"/>
        <v>260000</v>
      </c>
      <c r="H128" s="393"/>
      <c r="I128" s="527"/>
      <c r="J128" s="531" t="s">
        <v>19</v>
      </c>
      <c r="K128" s="417"/>
      <c r="L128" s="13">
        <v>1</v>
      </c>
      <c r="M128" s="14">
        <v>48000</v>
      </c>
      <c r="N128" s="15">
        <f t="shared" si="24"/>
        <v>48000</v>
      </c>
      <c r="O128" s="375"/>
      <c r="P128" s="489"/>
    </row>
    <row r="129" spans="1:16" ht="19.95" hidden="1" customHeight="1" x14ac:dyDescent="0.3">
      <c r="A129" s="403"/>
      <c r="B129" s="406"/>
      <c r="C129" s="54" t="s">
        <v>81</v>
      </c>
      <c r="D129" s="54">
        <v>0</v>
      </c>
      <c r="E129" s="54"/>
      <c r="F129" s="43">
        <v>85000</v>
      </c>
      <c r="G129" s="56">
        <f t="shared" si="23"/>
        <v>0</v>
      </c>
      <c r="H129" s="393"/>
      <c r="I129" s="527"/>
      <c r="J129" s="531" t="s">
        <v>57</v>
      </c>
      <c r="K129" s="417"/>
      <c r="L129" s="13">
        <v>1</v>
      </c>
      <c r="M129" s="14">
        <v>98000</v>
      </c>
      <c r="N129" s="15">
        <f t="shared" si="24"/>
        <v>98000</v>
      </c>
      <c r="O129" s="375"/>
      <c r="P129" s="489"/>
    </row>
    <row r="130" spans="1:16" ht="19.95" hidden="1" customHeight="1" x14ac:dyDescent="0.3">
      <c r="A130" s="403"/>
      <c r="B130" s="406"/>
      <c r="C130" s="54" t="s">
        <v>82</v>
      </c>
      <c r="D130" s="54">
        <v>0</v>
      </c>
      <c r="E130" s="54"/>
      <c r="F130" s="43">
        <v>35000</v>
      </c>
      <c r="G130" s="56">
        <f t="shared" si="23"/>
        <v>0</v>
      </c>
      <c r="H130" s="393"/>
      <c r="I130" s="527"/>
      <c r="J130" s="531" t="s">
        <v>90</v>
      </c>
      <c r="K130" s="417"/>
      <c r="L130" s="13">
        <v>1</v>
      </c>
      <c r="M130" s="14">
        <v>55000</v>
      </c>
      <c r="N130" s="15">
        <f t="shared" si="24"/>
        <v>55000</v>
      </c>
      <c r="O130" s="375"/>
      <c r="P130" s="489"/>
    </row>
    <row r="131" spans="1:16" ht="19.95" hidden="1" customHeight="1" x14ac:dyDescent="0.3">
      <c r="A131" s="403"/>
      <c r="B131" s="406"/>
      <c r="C131" s="104" t="s">
        <v>71</v>
      </c>
      <c r="D131" s="54">
        <v>0</v>
      </c>
      <c r="E131" s="146"/>
      <c r="F131" s="147">
        <v>50000</v>
      </c>
      <c r="G131" s="56">
        <f t="shared" si="23"/>
        <v>0</v>
      </c>
      <c r="H131" s="393"/>
      <c r="I131" s="527"/>
      <c r="J131" s="531" t="s">
        <v>60</v>
      </c>
      <c r="K131" s="417"/>
      <c r="L131" s="13">
        <v>0</v>
      </c>
      <c r="M131" s="14">
        <v>750000</v>
      </c>
      <c r="N131" s="15">
        <f t="shared" si="24"/>
        <v>0</v>
      </c>
      <c r="O131" s="375"/>
      <c r="P131" s="489"/>
    </row>
    <row r="132" spans="1:16" ht="19.95" hidden="1" customHeight="1" x14ac:dyDescent="0.3">
      <c r="A132" s="403"/>
      <c r="B132" s="406"/>
      <c r="C132" s="104" t="s">
        <v>72</v>
      </c>
      <c r="D132" s="54">
        <v>0</v>
      </c>
      <c r="E132" s="146"/>
      <c r="F132" s="147">
        <v>75000</v>
      </c>
      <c r="G132" s="56">
        <f t="shared" si="23"/>
        <v>0</v>
      </c>
      <c r="H132" s="393"/>
      <c r="I132" s="527"/>
      <c r="J132" s="532"/>
      <c r="K132" s="533"/>
      <c r="L132" s="533"/>
      <c r="M132" s="533"/>
      <c r="N132" s="534"/>
      <c r="O132" s="375"/>
      <c r="P132" s="489"/>
    </row>
    <row r="133" spans="1:16" ht="19.95" hidden="1" customHeight="1" thickBot="1" x14ac:dyDescent="0.35">
      <c r="A133" s="404"/>
      <c r="B133" s="407"/>
      <c r="C133" s="399" t="s">
        <v>21</v>
      </c>
      <c r="D133" s="400"/>
      <c r="E133" s="400"/>
      <c r="F133" s="418"/>
      <c r="G133" s="59">
        <f>SUM(G126:G132)</f>
        <v>2163200</v>
      </c>
      <c r="H133" s="513"/>
      <c r="I133" s="528"/>
      <c r="J133" s="535" t="s">
        <v>22</v>
      </c>
      <c r="K133" s="485"/>
      <c r="L133" s="485"/>
      <c r="M133" s="418"/>
      <c r="N133" s="49">
        <f>SUM(N126:N131)</f>
        <v>1789000</v>
      </c>
      <c r="O133" s="487"/>
      <c r="P133" s="490"/>
    </row>
    <row r="134" spans="1:16" ht="19.95" hidden="1" customHeight="1" x14ac:dyDescent="0.3">
      <c r="A134" s="402" t="s">
        <v>131</v>
      </c>
      <c r="B134" s="405">
        <v>45185</v>
      </c>
      <c r="C134" s="87" t="s">
        <v>54</v>
      </c>
      <c r="D134" s="87">
        <f>+E134*2</f>
        <v>2000</v>
      </c>
      <c r="E134" s="87">
        <v>1000</v>
      </c>
      <c r="F134" s="88">
        <v>600</v>
      </c>
      <c r="G134" s="90">
        <f t="shared" ref="G134:G140" si="25">+D134*F134</f>
        <v>1200000</v>
      </c>
      <c r="H134" s="393"/>
      <c r="I134" s="526"/>
      <c r="J134" s="529" t="s">
        <v>17</v>
      </c>
      <c r="K134" s="530"/>
      <c r="L134" s="82">
        <v>18</v>
      </c>
      <c r="M134" s="83">
        <v>12500</v>
      </c>
      <c r="N134" s="84">
        <f t="shared" ref="N134:N139" si="26">+L134*M134</f>
        <v>225000</v>
      </c>
      <c r="O134" s="375"/>
      <c r="P134" s="489"/>
    </row>
    <row r="135" spans="1:16" ht="19.95" hidden="1" customHeight="1" x14ac:dyDescent="0.3">
      <c r="A135" s="403"/>
      <c r="B135" s="406"/>
      <c r="C135" s="54" t="s">
        <v>89</v>
      </c>
      <c r="D135" s="54">
        <f>+E135*2</f>
        <v>0</v>
      </c>
      <c r="E135" s="54">
        <v>0</v>
      </c>
      <c r="F135" s="43">
        <v>1200</v>
      </c>
      <c r="G135" s="56">
        <f t="shared" si="25"/>
        <v>0</v>
      </c>
      <c r="H135" s="393"/>
      <c r="I135" s="526"/>
      <c r="J135" s="531" t="s">
        <v>18</v>
      </c>
      <c r="K135" s="417"/>
      <c r="L135" s="13">
        <v>700</v>
      </c>
      <c r="M135" s="14">
        <v>4700</v>
      </c>
      <c r="N135" s="15">
        <f t="shared" si="26"/>
        <v>3290000</v>
      </c>
      <c r="O135" s="375"/>
      <c r="P135" s="489"/>
    </row>
    <row r="136" spans="1:16" ht="19.95" hidden="1" customHeight="1" x14ac:dyDescent="0.3">
      <c r="A136" s="403"/>
      <c r="B136" s="406"/>
      <c r="C136" s="54" t="s">
        <v>55</v>
      </c>
      <c r="D136" s="54">
        <v>2</v>
      </c>
      <c r="E136" s="54"/>
      <c r="F136" s="43">
        <v>130000</v>
      </c>
      <c r="G136" s="90">
        <f t="shared" si="25"/>
        <v>260000</v>
      </c>
      <c r="H136" s="393"/>
      <c r="I136" s="527"/>
      <c r="J136" s="531" t="s">
        <v>19</v>
      </c>
      <c r="K136" s="417"/>
      <c r="L136" s="13">
        <v>1</v>
      </c>
      <c r="M136" s="14">
        <v>48000</v>
      </c>
      <c r="N136" s="15">
        <f t="shared" si="26"/>
        <v>48000</v>
      </c>
      <c r="O136" s="375"/>
      <c r="P136" s="489"/>
    </row>
    <row r="137" spans="1:16" ht="19.95" hidden="1" customHeight="1" x14ac:dyDescent="0.3">
      <c r="A137" s="403"/>
      <c r="B137" s="406"/>
      <c r="C137" s="54" t="s">
        <v>81</v>
      </c>
      <c r="D137" s="54">
        <v>0</v>
      </c>
      <c r="E137" s="54"/>
      <c r="F137" s="43">
        <v>85000</v>
      </c>
      <c r="G137" s="56">
        <f t="shared" si="25"/>
        <v>0</v>
      </c>
      <c r="H137" s="393"/>
      <c r="I137" s="527"/>
      <c r="J137" s="531" t="s">
        <v>57</v>
      </c>
      <c r="K137" s="417"/>
      <c r="L137" s="13">
        <v>1</v>
      </c>
      <c r="M137" s="14">
        <v>98000</v>
      </c>
      <c r="N137" s="15">
        <f t="shared" si="26"/>
        <v>98000</v>
      </c>
      <c r="O137" s="375"/>
      <c r="P137" s="489"/>
    </row>
    <row r="138" spans="1:16" ht="19.95" hidden="1" customHeight="1" x14ac:dyDescent="0.3">
      <c r="A138" s="403"/>
      <c r="B138" s="406"/>
      <c r="C138" s="54" t="s">
        <v>82</v>
      </c>
      <c r="D138" s="54">
        <v>0</v>
      </c>
      <c r="E138" s="54"/>
      <c r="F138" s="43">
        <v>35000</v>
      </c>
      <c r="G138" s="56">
        <f t="shared" si="25"/>
        <v>0</v>
      </c>
      <c r="H138" s="393"/>
      <c r="I138" s="527"/>
      <c r="J138" s="531" t="s">
        <v>90</v>
      </c>
      <c r="K138" s="417"/>
      <c r="L138" s="13">
        <v>2</v>
      </c>
      <c r="M138" s="14">
        <v>55000</v>
      </c>
      <c r="N138" s="15">
        <f t="shared" si="26"/>
        <v>110000</v>
      </c>
      <c r="O138" s="375"/>
      <c r="P138" s="489"/>
    </row>
    <row r="139" spans="1:16" ht="19.95" hidden="1" customHeight="1" x14ac:dyDescent="0.3">
      <c r="A139" s="403"/>
      <c r="B139" s="406"/>
      <c r="C139" s="104" t="s">
        <v>71</v>
      </c>
      <c r="D139" s="54">
        <v>0</v>
      </c>
      <c r="E139" s="146"/>
      <c r="F139" s="147">
        <v>50000</v>
      </c>
      <c r="G139" s="56">
        <f t="shared" si="25"/>
        <v>0</v>
      </c>
      <c r="H139" s="393"/>
      <c r="I139" s="527"/>
      <c r="J139" s="531" t="s">
        <v>60</v>
      </c>
      <c r="K139" s="417"/>
      <c r="L139" s="13">
        <v>0</v>
      </c>
      <c r="M139" s="14">
        <v>750000</v>
      </c>
      <c r="N139" s="15">
        <f t="shared" si="26"/>
        <v>0</v>
      </c>
      <c r="O139" s="375"/>
      <c r="P139" s="489"/>
    </row>
    <row r="140" spans="1:16" ht="19.95" hidden="1" customHeight="1" x14ac:dyDescent="0.3">
      <c r="A140" s="403"/>
      <c r="B140" s="406"/>
      <c r="C140" s="104" t="s">
        <v>72</v>
      </c>
      <c r="D140" s="54">
        <v>0</v>
      </c>
      <c r="E140" s="146"/>
      <c r="F140" s="147">
        <v>75000</v>
      </c>
      <c r="G140" s="56">
        <f t="shared" si="25"/>
        <v>0</v>
      </c>
      <c r="H140" s="393"/>
      <c r="I140" s="527"/>
      <c r="J140" s="532"/>
      <c r="K140" s="533"/>
      <c r="L140" s="533"/>
      <c r="M140" s="533"/>
      <c r="N140" s="534"/>
      <c r="O140" s="375"/>
      <c r="P140" s="489"/>
    </row>
    <row r="141" spans="1:16" ht="19.95" hidden="1" customHeight="1" thickBot="1" x14ac:dyDescent="0.35">
      <c r="A141" s="404"/>
      <c r="B141" s="407"/>
      <c r="C141" s="399" t="s">
        <v>21</v>
      </c>
      <c r="D141" s="400"/>
      <c r="E141" s="400"/>
      <c r="F141" s="418"/>
      <c r="G141" s="59">
        <f>SUM(G134:G140)</f>
        <v>1460000</v>
      </c>
      <c r="H141" s="513"/>
      <c r="I141" s="528"/>
      <c r="J141" s="535" t="s">
        <v>22</v>
      </c>
      <c r="K141" s="485"/>
      <c r="L141" s="485"/>
      <c r="M141" s="418"/>
      <c r="N141" s="49">
        <f>SUM(N134:N139)</f>
        <v>3771000</v>
      </c>
      <c r="O141" s="487"/>
      <c r="P141" s="490"/>
    </row>
    <row r="142" spans="1:16" ht="20.100000000000001" hidden="1" customHeight="1" x14ac:dyDescent="0.3">
      <c r="A142" s="402" t="s">
        <v>88</v>
      </c>
      <c r="B142" s="405">
        <v>45194</v>
      </c>
      <c r="C142" s="87" t="s">
        <v>54</v>
      </c>
      <c r="D142" s="87">
        <f>+E142*2</f>
        <v>1972</v>
      </c>
      <c r="E142" s="87">
        <v>986</v>
      </c>
      <c r="F142" s="88">
        <v>600</v>
      </c>
      <c r="G142" s="90">
        <f t="shared" ref="G142:G148" si="27">+D142*F142</f>
        <v>1183200</v>
      </c>
      <c r="H142" s="393"/>
      <c r="I142" s="526"/>
      <c r="J142" s="529" t="s">
        <v>17</v>
      </c>
      <c r="K142" s="530"/>
      <c r="L142" s="82">
        <v>18</v>
      </c>
      <c r="M142" s="83">
        <v>12500</v>
      </c>
      <c r="N142" s="84">
        <f t="shared" ref="N142:N147" si="28">+L142*M142</f>
        <v>225000</v>
      </c>
      <c r="O142" s="375"/>
      <c r="P142" s="489"/>
    </row>
    <row r="143" spans="1:16" ht="20.100000000000001" hidden="1" customHeight="1" x14ac:dyDescent="0.3">
      <c r="A143" s="403"/>
      <c r="B143" s="406"/>
      <c r="C143" s="54" t="s">
        <v>89</v>
      </c>
      <c r="D143" s="54">
        <f>+E143*2</f>
        <v>600</v>
      </c>
      <c r="E143" s="54">
        <v>300</v>
      </c>
      <c r="F143" s="43">
        <v>1200</v>
      </c>
      <c r="G143" s="56">
        <f t="shared" si="27"/>
        <v>720000</v>
      </c>
      <c r="H143" s="393"/>
      <c r="I143" s="526"/>
      <c r="J143" s="531" t="s">
        <v>18</v>
      </c>
      <c r="K143" s="417"/>
      <c r="L143" s="13">
        <v>290</v>
      </c>
      <c r="M143" s="14">
        <v>4700</v>
      </c>
      <c r="N143" s="15">
        <f t="shared" si="28"/>
        <v>1363000</v>
      </c>
      <c r="O143" s="375"/>
      <c r="P143" s="489"/>
    </row>
    <row r="144" spans="1:16" ht="20.100000000000001" hidden="1" customHeight="1" x14ac:dyDescent="0.3">
      <c r="A144" s="403"/>
      <c r="B144" s="406"/>
      <c r="C144" s="54" t="s">
        <v>55</v>
      </c>
      <c r="D144" s="54">
        <v>2</v>
      </c>
      <c r="E144" s="54"/>
      <c r="F144" s="43">
        <v>130000</v>
      </c>
      <c r="G144" s="90">
        <f t="shared" si="27"/>
        <v>260000</v>
      </c>
      <c r="H144" s="393"/>
      <c r="I144" s="527"/>
      <c r="J144" s="531" t="s">
        <v>19</v>
      </c>
      <c r="K144" s="417"/>
      <c r="L144" s="13">
        <v>1</v>
      </c>
      <c r="M144" s="14">
        <v>48000</v>
      </c>
      <c r="N144" s="15">
        <f t="shared" si="28"/>
        <v>48000</v>
      </c>
      <c r="O144" s="375"/>
      <c r="P144" s="489"/>
    </row>
    <row r="145" spans="1:16" ht="20.100000000000001" hidden="1" customHeight="1" x14ac:dyDescent="0.3">
      <c r="A145" s="403"/>
      <c r="B145" s="406"/>
      <c r="C145" s="54" t="s">
        <v>81</v>
      </c>
      <c r="D145" s="54">
        <v>0</v>
      </c>
      <c r="E145" s="54"/>
      <c r="F145" s="43">
        <v>85000</v>
      </c>
      <c r="G145" s="56">
        <f t="shared" si="27"/>
        <v>0</v>
      </c>
      <c r="H145" s="393"/>
      <c r="I145" s="527"/>
      <c r="J145" s="531" t="s">
        <v>57</v>
      </c>
      <c r="K145" s="417"/>
      <c r="L145" s="13">
        <v>1</v>
      </c>
      <c r="M145" s="14">
        <v>98000</v>
      </c>
      <c r="N145" s="15">
        <f t="shared" si="28"/>
        <v>98000</v>
      </c>
      <c r="O145" s="375"/>
      <c r="P145" s="489"/>
    </row>
    <row r="146" spans="1:16" ht="20.100000000000001" hidden="1" customHeight="1" x14ac:dyDescent="0.3">
      <c r="A146" s="403"/>
      <c r="B146" s="406"/>
      <c r="C146" s="54" t="s">
        <v>82</v>
      </c>
      <c r="D146" s="54">
        <v>0</v>
      </c>
      <c r="E146" s="54"/>
      <c r="F146" s="43">
        <v>35000</v>
      </c>
      <c r="G146" s="56">
        <f t="shared" si="27"/>
        <v>0</v>
      </c>
      <c r="H146" s="393"/>
      <c r="I146" s="527"/>
      <c r="J146" s="531" t="s">
        <v>90</v>
      </c>
      <c r="K146" s="417"/>
      <c r="L146" s="13">
        <v>2</v>
      </c>
      <c r="M146" s="14">
        <v>55000</v>
      </c>
      <c r="N146" s="15">
        <f t="shared" si="28"/>
        <v>110000</v>
      </c>
      <c r="O146" s="375"/>
      <c r="P146" s="489"/>
    </row>
    <row r="147" spans="1:16" ht="20.100000000000001" hidden="1" customHeight="1" x14ac:dyDescent="0.3">
      <c r="A147" s="403"/>
      <c r="B147" s="406"/>
      <c r="C147" s="104" t="s">
        <v>71</v>
      </c>
      <c r="D147" s="54">
        <v>0</v>
      </c>
      <c r="E147" s="146"/>
      <c r="F147" s="147">
        <v>50000</v>
      </c>
      <c r="G147" s="56">
        <f t="shared" si="27"/>
        <v>0</v>
      </c>
      <c r="H147" s="393"/>
      <c r="I147" s="527"/>
      <c r="J147" s="531" t="s">
        <v>60</v>
      </c>
      <c r="K147" s="417"/>
      <c r="L147" s="13">
        <v>0</v>
      </c>
      <c r="M147" s="14">
        <v>750000</v>
      </c>
      <c r="N147" s="15">
        <f t="shared" si="28"/>
        <v>0</v>
      </c>
      <c r="O147" s="375"/>
      <c r="P147" s="489"/>
    </row>
    <row r="148" spans="1:16" ht="20.100000000000001" hidden="1" customHeight="1" x14ac:dyDescent="0.3">
      <c r="A148" s="403"/>
      <c r="B148" s="406"/>
      <c r="C148" s="104" t="s">
        <v>72</v>
      </c>
      <c r="D148" s="54">
        <v>0</v>
      </c>
      <c r="E148" s="146"/>
      <c r="F148" s="147">
        <v>75000</v>
      </c>
      <c r="G148" s="56">
        <f t="shared" si="27"/>
        <v>0</v>
      </c>
      <c r="H148" s="393"/>
      <c r="I148" s="527"/>
      <c r="J148" s="532"/>
      <c r="K148" s="533"/>
      <c r="L148" s="533"/>
      <c r="M148" s="533"/>
      <c r="N148" s="534"/>
      <c r="O148" s="375"/>
      <c r="P148" s="489"/>
    </row>
    <row r="149" spans="1:16" ht="3.6" hidden="1" customHeight="1" thickBot="1" x14ac:dyDescent="0.35">
      <c r="A149" s="404"/>
      <c r="B149" s="407"/>
      <c r="C149" s="399" t="s">
        <v>21</v>
      </c>
      <c r="D149" s="400"/>
      <c r="E149" s="400"/>
      <c r="F149" s="418"/>
      <c r="G149" s="59">
        <f>SUM(G142:G148)</f>
        <v>2163200</v>
      </c>
      <c r="H149" s="513"/>
      <c r="I149" s="528"/>
      <c r="J149" s="535" t="s">
        <v>22</v>
      </c>
      <c r="K149" s="485"/>
      <c r="L149" s="485"/>
      <c r="M149" s="418"/>
      <c r="N149" s="49">
        <f>SUM(N142:N147)</f>
        <v>1844000</v>
      </c>
      <c r="O149" s="487"/>
      <c r="P149" s="490"/>
    </row>
    <row r="150" spans="1:16" ht="14.4" x14ac:dyDescent="0.3">
      <c r="A150" s="402" t="s">
        <v>38</v>
      </c>
      <c r="B150" s="405">
        <v>45200</v>
      </c>
      <c r="C150" s="87" t="s">
        <v>54</v>
      </c>
      <c r="D150" s="87">
        <f>+E150*2</f>
        <v>2252</v>
      </c>
      <c r="E150" s="87">
        <v>1126</v>
      </c>
      <c r="F150" s="88">
        <v>600</v>
      </c>
      <c r="G150" s="90">
        <f t="shared" ref="G150:G156" si="29">+D150*F150</f>
        <v>1351200</v>
      </c>
      <c r="H150" s="393"/>
      <c r="I150" s="526"/>
      <c r="J150" s="529" t="s">
        <v>17</v>
      </c>
      <c r="K150" s="530"/>
      <c r="L150" s="82">
        <v>18</v>
      </c>
      <c r="M150" s="83">
        <v>12500</v>
      </c>
      <c r="N150" s="84">
        <f t="shared" ref="N150:N155" si="30">+L150*M150</f>
        <v>225000</v>
      </c>
      <c r="O150" s="375"/>
      <c r="P150" s="489"/>
    </row>
    <row r="151" spans="1:16" ht="14.4" x14ac:dyDescent="0.3">
      <c r="A151" s="403"/>
      <c r="B151" s="406"/>
      <c r="C151" s="54" t="s">
        <v>89</v>
      </c>
      <c r="D151" s="54">
        <f>+E151*2</f>
        <v>0</v>
      </c>
      <c r="E151" s="54">
        <v>0</v>
      </c>
      <c r="F151" s="43">
        <v>1200</v>
      </c>
      <c r="G151" s="56">
        <f t="shared" si="29"/>
        <v>0</v>
      </c>
      <c r="H151" s="393"/>
      <c r="I151" s="526"/>
      <c r="J151" s="531" t="s">
        <v>18</v>
      </c>
      <c r="K151" s="417"/>
      <c r="L151" s="13">
        <v>290</v>
      </c>
      <c r="M151" s="14">
        <v>4700</v>
      </c>
      <c r="N151" s="15">
        <f t="shared" si="30"/>
        <v>1363000</v>
      </c>
      <c r="O151" s="375"/>
      <c r="P151" s="489"/>
    </row>
    <row r="152" spans="1:16" ht="14.4" x14ac:dyDescent="0.3">
      <c r="A152" s="403"/>
      <c r="B152" s="406"/>
      <c r="C152" s="54" t="s">
        <v>55</v>
      </c>
      <c r="D152" s="54">
        <v>2</v>
      </c>
      <c r="E152" s="54"/>
      <c r="F152" s="43">
        <v>130000</v>
      </c>
      <c r="G152" s="90">
        <f t="shared" si="29"/>
        <v>260000</v>
      </c>
      <c r="H152" s="393"/>
      <c r="I152" s="527"/>
      <c r="J152" s="531" t="s">
        <v>19</v>
      </c>
      <c r="K152" s="417"/>
      <c r="L152" s="13">
        <v>1</v>
      </c>
      <c r="M152" s="14">
        <v>48000</v>
      </c>
      <c r="N152" s="15">
        <f t="shared" si="30"/>
        <v>48000</v>
      </c>
      <c r="O152" s="375"/>
      <c r="P152" s="489"/>
    </row>
    <row r="153" spans="1:16" ht="14.4" x14ac:dyDescent="0.3">
      <c r="A153" s="403"/>
      <c r="B153" s="406"/>
      <c r="C153" s="54" t="s">
        <v>81</v>
      </c>
      <c r="D153" s="54">
        <v>1</v>
      </c>
      <c r="E153" s="54"/>
      <c r="F153" s="43">
        <v>85000</v>
      </c>
      <c r="G153" s="56">
        <f t="shared" si="29"/>
        <v>85000</v>
      </c>
      <c r="H153" s="393"/>
      <c r="I153" s="527"/>
      <c r="J153" s="531" t="s">
        <v>57</v>
      </c>
      <c r="K153" s="417"/>
      <c r="L153" s="13">
        <v>1</v>
      </c>
      <c r="M153" s="14">
        <v>98000</v>
      </c>
      <c r="N153" s="15">
        <f t="shared" si="30"/>
        <v>98000</v>
      </c>
      <c r="O153" s="375"/>
      <c r="P153" s="489"/>
    </row>
    <row r="154" spans="1:16" ht="14.4" x14ac:dyDescent="0.3">
      <c r="A154" s="403"/>
      <c r="B154" s="406"/>
      <c r="C154" s="54" t="s">
        <v>82</v>
      </c>
      <c r="D154" s="54">
        <v>0</v>
      </c>
      <c r="E154" s="54"/>
      <c r="F154" s="43">
        <v>35000</v>
      </c>
      <c r="G154" s="56">
        <f t="shared" si="29"/>
        <v>0</v>
      </c>
      <c r="H154" s="393"/>
      <c r="I154" s="527"/>
      <c r="J154" s="531" t="s">
        <v>90</v>
      </c>
      <c r="K154" s="417"/>
      <c r="L154" s="13">
        <v>2</v>
      </c>
      <c r="M154" s="14">
        <v>55000</v>
      </c>
      <c r="N154" s="15">
        <f t="shared" si="30"/>
        <v>110000</v>
      </c>
      <c r="O154" s="375"/>
      <c r="P154" s="489"/>
    </row>
    <row r="155" spans="1:16" ht="14.4" x14ac:dyDescent="0.3">
      <c r="A155" s="403"/>
      <c r="B155" s="406"/>
      <c r="C155" s="104" t="s">
        <v>71</v>
      </c>
      <c r="D155" s="54">
        <v>0</v>
      </c>
      <c r="E155" s="146"/>
      <c r="F155" s="147">
        <v>50000</v>
      </c>
      <c r="G155" s="56">
        <f t="shared" si="29"/>
        <v>0</v>
      </c>
      <c r="H155" s="393"/>
      <c r="I155" s="527"/>
      <c r="J155" s="531" t="s">
        <v>60</v>
      </c>
      <c r="K155" s="417"/>
      <c r="L155" s="13">
        <v>0</v>
      </c>
      <c r="M155" s="14">
        <v>750000</v>
      </c>
      <c r="N155" s="15">
        <f t="shared" si="30"/>
        <v>0</v>
      </c>
      <c r="O155" s="375"/>
      <c r="P155" s="489"/>
    </row>
    <row r="156" spans="1:16" ht="14.4" x14ac:dyDescent="0.3">
      <c r="A156" s="403"/>
      <c r="B156" s="406"/>
      <c r="C156" s="104" t="s">
        <v>72</v>
      </c>
      <c r="D156" s="54">
        <v>0</v>
      </c>
      <c r="E156" s="146"/>
      <c r="F156" s="147">
        <v>75000</v>
      </c>
      <c r="G156" s="56">
        <f t="shared" si="29"/>
        <v>0</v>
      </c>
      <c r="H156" s="393"/>
      <c r="I156" s="527"/>
      <c r="J156" s="532"/>
      <c r="K156" s="533"/>
      <c r="L156" s="533"/>
      <c r="M156" s="533"/>
      <c r="N156" s="534"/>
      <c r="O156" s="375"/>
      <c r="P156" s="489"/>
    </row>
    <row r="157" spans="1:16" thickBot="1" x14ac:dyDescent="0.35">
      <c r="A157" s="404"/>
      <c r="B157" s="407"/>
      <c r="C157" s="399" t="s">
        <v>21</v>
      </c>
      <c r="D157" s="400"/>
      <c r="E157" s="400"/>
      <c r="F157" s="418"/>
      <c r="G157" s="59">
        <f>SUM(G150:G156)</f>
        <v>1696200</v>
      </c>
      <c r="H157" s="513"/>
      <c r="I157" s="528"/>
      <c r="J157" s="535" t="s">
        <v>22</v>
      </c>
      <c r="K157" s="485"/>
      <c r="L157" s="485"/>
      <c r="M157" s="418"/>
      <c r="N157" s="49">
        <f>SUM(N150:N155)</f>
        <v>1844000</v>
      </c>
      <c r="O157" s="487"/>
      <c r="P157" s="490"/>
    </row>
    <row r="158" spans="1:16" s="164" customFormat="1" ht="14.4" x14ac:dyDescent="0.3">
      <c r="A158" s="402" t="s">
        <v>13</v>
      </c>
      <c r="B158" s="405">
        <v>45219</v>
      </c>
      <c r="C158" s="160" t="s">
        <v>54</v>
      </c>
      <c r="D158" s="160">
        <f>+E158*2</f>
        <v>2000</v>
      </c>
      <c r="E158" s="160">
        <v>1000</v>
      </c>
      <c r="F158" s="161">
        <v>600</v>
      </c>
      <c r="G158" s="162">
        <f t="shared" ref="G158:G164" si="31">+D158*F158</f>
        <v>1200000</v>
      </c>
      <c r="H158" s="393"/>
      <c r="I158" s="526"/>
      <c r="J158" s="529" t="s">
        <v>17</v>
      </c>
      <c r="K158" s="530"/>
      <c r="L158" s="82">
        <v>18</v>
      </c>
      <c r="M158" s="83">
        <v>12500</v>
      </c>
      <c r="N158" s="84">
        <f t="shared" ref="N158:N163" si="32">+L158*M158</f>
        <v>225000</v>
      </c>
      <c r="O158" s="375"/>
      <c r="P158" s="489"/>
    </row>
    <row r="159" spans="1:16" s="164" customFormat="1" ht="14.4" x14ac:dyDescent="0.3">
      <c r="A159" s="403"/>
      <c r="B159" s="406"/>
      <c r="C159" s="163" t="s">
        <v>89</v>
      </c>
      <c r="D159" s="163">
        <f>+E159*2</f>
        <v>0</v>
      </c>
      <c r="E159" s="163">
        <v>0</v>
      </c>
      <c r="F159" s="43">
        <v>1200</v>
      </c>
      <c r="G159" s="56">
        <f t="shared" si="31"/>
        <v>0</v>
      </c>
      <c r="H159" s="393"/>
      <c r="I159" s="526"/>
      <c r="J159" s="531" t="s">
        <v>18</v>
      </c>
      <c r="K159" s="417"/>
      <c r="L159" s="13">
        <v>290</v>
      </c>
      <c r="M159" s="14">
        <v>4700</v>
      </c>
      <c r="N159" s="15">
        <f t="shared" si="32"/>
        <v>1363000</v>
      </c>
      <c r="O159" s="375"/>
      <c r="P159" s="489"/>
    </row>
    <row r="160" spans="1:16" s="164" customFormat="1" ht="14.4" x14ac:dyDescent="0.3">
      <c r="A160" s="403"/>
      <c r="B160" s="406"/>
      <c r="C160" s="163" t="s">
        <v>55</v>
      </c>
      <c r="D160" s="163">
        <v>2</v>
      </c>
      <c r="E160" s="163"/>
      <c r="F160" s="43">
        <v>130000</v>
      </c>
      <c r="G160" s="162">
        <f t="shared" si="31"/>
        <v>260000</v>
      </c>
      <c r="H160" s="393"/>
      <c r="I160" s="527"/>
      <c r="J160" s="531" t="s">
        <v>19</v>
      </c>
      <c r="K160" s="417"/>
      <c r="L160" s="13">
        <v>1</v>
      </c>
      <c r="M160" s="14">
        <v>48000</v>
      </c>
      <c r="N160" s="15">
        <f t="shared" si="32"/>
        <v>48000</v>
      </c>
      <c r="O160" s="375"/>
      <c r="P160" s="489"/>
    </row>
    <row r="161" spans="1:16" s="164" customFormat="1" ht="14.4" x14ac:dyDescent="0.3">
      <c r="A161" s="403"/>
      <c r="B161" s="406"/>
      <c r="C161" s="163" t="s">
        <v>81</v>
      </c>
      <c r="D161" s="163">
        <v>1</v>
      </c>
      <c r="E161" s="163"/>
      <c r="F161" s="43">
        <v>85000</v>
      </c>
      <c r="G161" s="56">
        <f t="shared" si="31"/>
        <v>85000</v>
      </c>
      <c r="H161" s="393"/>
      <c r="I161" s="527"/>
      <c r="J161" s="531" t="s">
        <v>57</v>
      </c>
      <c r="K161" s="417"/>
      <c r="L161" s="13">
        <v>1</v>
      </c>
      <c r="M161" s="14">
        <v>98000</v>
      </c>
      <c r="N161" s="15">
        <f t="shared" si="32"/>
        <v>98000</v>
      </c>
      <c r="O161" s="375"/>
      <c r="P161" s="489"/>
    </row>
    <row r="162" spans="1:16" s="164" customFormat="1" ht="14.4" x14ac:dyDescent="0.3">
      <c r="A162" s="403"/>
      <c r="B162" s="406"/>
      <c r="C162" s="163" t="s">
        <v>82</v>
      </c>
      <c r="D162" s="163">
        <v>0</v>
      </c>
      <c r="E162" s="163"/>
      <c r="F162" s="43">
        <v>35000</v>
      </c>
      <c r="G162" s="56">
        <f t="shared" si="31"/>
        <v>0</v>
      </c>
      <c r="H162" s="393"/>
      <c r="I162" s="527"/>
      <c r="J162" s="531" t="s">
        <v>90</v>
      </c>
      <c r="K162" s="417"/>
      <c r="L162" s="13">
        <v>2</v>
      </c>
      <c r="M162" s="14">
        <v>55000</v>
      </c>
      <c r="N162" s="15">
        <f t="shared" si="32"/>
        <v>110000</v>
      </c>
      <c r="O162" s="375"/>
      <c r="P162" s="489"/>
    </row>
    <row r="163" spans="1:16" s="164" customFormat="1" ht="14.4" x14ac:dyDescent="0.3">
      <c r="A163" s="403"/>
      <c r="B163" s="406"/>
      <c r="C163" s="104" t="s">
        <v>71</v>
      </c>
      <c r="D163" s="163">
        <v>0</v>
      </c>
      <c r="E163" s="146"/>
      <c r="F163" s="147">
        <v>50000</v>
      </c>
      <c r="G163" s="56">
        <f t="shared" si="31"/>
        <v>0</v>
      </c>
      <c r="H163" s="393"/>
      <c r="I163" s="527"/>
      <c r="J163" s="531" t="s">
        <v>60</v>
      </c>
      <c r="K163" s="417"/>
      <c r="L163" s="13">
        <v>0</v>
      </c>
      <c r="M163" s="14">
        <v>750000</v>
      </c>
      <c r="N163" s="15">
        <f t="shared" si="32"/>
        <v>0</v>
      </c>
      <c r="O163" s="375"/>
      <c r="P163" s="489"/>
    </row>
    <row r="164" spans="1:16" s="164" customFormat="1" ht="14.4" x14ac:dyDescent="0.3">
      <c r="A164" s="403"/>
      <c r="B164" s="406"/>
      <c r="C164" s="104" t="s">
        <v>72</v>
      </c>
      <c r="D164" s="163">
        <v>0</v>
      </c>
      <c r="E164" s="146"/>
      <c r="F164" s="147">
        <v>75000</v>
      </c>
      <c r="G164" s="56">
        <f t="shared" si="31"/>
        <v>0</v>
      </c>
      <c r="H164" s="393"/>
      <c r="I164" s="527"/>
      <c r="J164" s="532"/>
      <c r="K164" s="533"/>
      <c r="L164" s="533"/>
      <c r="M164" s="533"/>
      <c r="N164" s="534"/>
      <c r="O164" s="375"/>
      <c r="P164" s="489"/>
    </row>
    <row r="165" spans="1:16" s="164" customFormat="1" thickBot="1" x14ac:dyDescent="0.35">
      <c r="A165" s="404"/>
      <c r="B165" s="407"/>
      <c r="C165" s="399" t="s">
        <v>21</v>
      </c>
      <c r="D165" s="400"/>
      <c r="E165" s="400"/>
      <c r="F165" s="418"/>
      <c r="G165" s="59">
        <f>SUM(G158:G164)</f>
        <v>1545000</v>
      </c>
      <c r="H165" s="513"/>
      <c r="I165" s="528"/>
      <c r="J165" s="535" t="s">
        <v>22</v>
      </c>
      <c r="K165" s="485"/>
      <c r="L165" s="485"/>
      <c r="M165" s="418"/>
      <c r="N165" s="49">
        <f>SUM(N158:N163)</f>
        <v>1844000</v>
      </c>
      <c r="O165" s="487"/>
      <c r="P165" s="490"/>
    </row>
    <row r="166" spans="1:16" s="174" customFormat="1" ht="14.4" x14ac:dyDescent="0.3">
      <c r="A166" s="402" t="s">
        <v>66</v>
      </c>
      <c r="B166" s="405">
        <v>45229</v>
      </c>
      <c r="C166" s="170" t="s">
        <v>54</v>
      </c>
      <c r="D166" s="170">
        <f>+E166*2</f>
        <v>2000</v>
      </c>
      <c r="E166" s="170">
        <v>1000</v>
      </c>
      <c r="F166" s="171">
        <v>600</v>
      </c>
      <c r="G166" s="173">
        <f t="shared" ref="G166:G172" si="33">+D166*F166</f>
        <v>1200000</v>
      </c>
      <c r="H166" s="393"/>
      <c r="I166" s="526"/>
      <c r="J166" s="529" t="s">
        <v>17</v>
      </c>
      <c r="K166" s="530"/>
      <c r="L166" s="82">
        <v>18</v>
      </c>
      <c r="M166" s="83">
        <v>12500</v>
      </c>
      <c r="N166" s="84">
        <f t="shared" ref="N166:N171" si="34">+L166*M166</f>
        <v>225000</v>
      </c>
      <c r="O166" s="375"/>
      <c r="P166" s="489"/>
    </row>
    <row r="167" spans="1:16" s="174" customFormat="1" ht="14.4" x14ac:dyDescent="0.3">
      <c r="A167" s="403"/>
      <c r="B167" s="406"/>
      <c r="C167" s="172" t="s">
        <v>89</v>
      </c>
      <c r="D167" s="172">
        <f>+E167*2</f>
        <v>600</v>
      </c>
      <c r="E167" s="172">
        <v>300</v>
      </c>
      <c r="F167" s="43">
        <v>1200</v>
      </c>
      <c r="G167" s="56">
        <f t="shared" si="33"/>
        <v>720000</v>
      </c>
      <c r="H167" s="393"/>
      <c r="I167" s="526"/>
      <c r="J167" s="531" t="s">
        <v>18</v>
      </c>
      <c r="K167" s="417"/>
      <c r="L167" s="13">
        <v>290</v>
      </c>
      <c r="M167" s="14">
        <v>4700</v>
      </c>
      <c r="N167" s="15">
        <f t="shared" si="34"/>
        <v>1363000</v>
      </c>
      <c r="O167" s="375"/>
      <c r="P167" s="489"/>
    </row>
    <row r="168" spans="1:16" s="174" customFormat="1" ht="14.4" x14ac:dyDescent="0.3">
      <c r="A168" s="403"/>
      <c r="B168" s="406"/>
      <c r="C168" s="172" t="s">
        <v>55</v>
      </c>
      <c r="D168" s="172">
        <v>2</v>
      </c>
      <c r="E168" s="172"/>
      <c r="F168" s="43">
        <v>130000</v>
      </c>
      <c r="G168" s="173">
        <f t="shared" si="33"/>
        <v>260000</v>
      </c>
      <c r="H168" s="393"/>
      <c r="I168" s="527"/>
      <c r="J168" s="531" t="s">
        <v>19</v>
      </c>
      <c r="K168" s="417"/>
      <c r="L168" s="13">
        <v>1</v>
      </c>
      <c r="M168" s="14">
        <v>48000</v>
      </c>
      <c r="N168" s="15">
        <f t="shared" si="34"/>
        <v>48000</v>
      </c>
      <c r="O168" s="375"/>
      <c r="P168" s="489"/>
    </row>
    <row r="169" spans="1:16" s="174" customFormat="1" ht="14.4" x14ac:dyDescent="0.3">
      <c r="A169" s="403"/>
      <c r="B169" s="406"/>
      <c r="C169" s="172" t="s">
        <v>81</v>
      </c>
      <c r="D169" s="172">
        <v>1</v>
      </c>
      <c r="E169" s="172"/>
      <c r="F169" s="43">
        <v>85000</v>
      </c>
      <c r="G169" s="56">
        <f t="shared" si="33"/>
        <v>85000</v>
      </c>
      <c r="H169" s="393"/>
      <c r="I169" s="527"/>
      <c r="J169" s="531" t="s">
        <v>57</v>
      </c>
      <c r="K169" s="417"/>
      <c r="L169" s="13">
        <v>1</v>
      </c>
      <c r="M169" s="14">
        <v>98000</v>
      </c>
      <c r="N169" s="15">
        <f t="shared" si="34"/>
        <v>98000</v>
      </c>
      <c r="O169" s="375"/>
      <c r="P169" s="489"/>
    </row>
    <row r="170" spans="1:16" s="174" customFormat="1" ht="14.4" x14ac:dyDescent="0.3">
      <c r="A170" s="403"/>
      <c r="B170" s="406"/>
      <c r="C170" s="172" t="s">
        <v>82</v>
      </c>
      <c r="D170" s="172">
        <v>0</v>
      </c>
      <c r="E170" s="172"/>
      <c r="F170" s="43">
        <v>35000</v>
      </c>
      <c r="G170" s="56">
        <f t="shared" si="33"/>
        <v>0</v>
      </c>
      <c r="H170" s="393"/>
      <c r="I170" s="527"/>
      <c r="J170" s="531" t="s">
        <v>90</v>
      </c>
      <c r="K170" s="417"/>
      <c r="L170" s="13">
        <v>2</v>
      </c>
      <c r="M170" s="14">
        <v>55000</v>
      </c>
      <c r="N170" s="15">
        <f t="shared" si="34"/>
        <v>110000</v>
      </c>
      <c r="O170" s="375"/>
      <c r="P170" s="489"/>
    </row>
    <row r="171" spans="1:16" s="174" customFormat="1" ht="14.4" x14ac:dyDescent="0.3">
      <c r="A171" s="403"/>
      <c r="B171" s="406"/>
      <c r="C171" s="104" t="s">
        <v>71</v>
      </c>
      <c r="D171" s="172">
        <v>0</v>
      </c>
      <c r="E171" s="146"/>
      <c r="F171" s="147">
        <v>50000</v>
      </c>
      <c r="G171" s="56">
        <f t="shared" si="33"/>
        <v>0</v>
      </c>
      <c r="H171" s="393"/>
      <c r="I171" s="527"/>
      <c r="J171" s="531" t="s">
        <v>60</v>
      </c>
      <c r="K171" s="417"/>
      <c r="L171" s="13">
        <v>0</v>
      </c>
      <c r="M171" s="14">
        <v>750000</v>
      </c>
      <c r="N171" s="15">
        <f t="shared" si="34"/>
        <v>0</v>
      </c>
      <c r="O171" s="375"/>
      <c r="P171" s="489"/>
    </row>
    <row r="172" spans="1:16" s="174" customFormat="1" ht="14.4" x14ac:dyDescent="0.3">
      <c r="A172" s="403"/>
      <c r="B172" s="406"/>
      <c r="C172" s="104" t="s">
        <v>72</v>
      </c>
      <c r="D172" s="172">
        <v>0</v>
      </c>
      <c r="E172" s="146"/>
      <c r="F172" s="147">
        <v>75000</v>
      </c>
      <c r="G172" s="56">
        <f t="shared" si="33"/>
        <v>0</v>
      </c>
      <c r="H172" s="393"/>
      <c r="I172" s="527"/>
      <c r="J172" s="532"/>
      <c r="K172" s="533"/>
      <c r="L172" s="533"/>
      <c r="M172" s="533"/>
      <c r="N172" s="534"/>
      <c r="O172" s="375"/>
      <c r="P172" s="489"/>
    </row>
    <row r="173" spans="1:16" s="174" customFormat="1" thickBot="1" x14ac:dyDescent="0.35">
      <c r="A173" s="404"/>
      <c r="B173" s="407"/>
      <c r="C173" s="399" t="s">
        <v>21</v>
      </c>
      <c r="D173" s="400"/>
      <c r="E173" s="400"/>
      <c r="F173" s="418"/>
      <c r="G173" s="59">
        <f>SUM(G166:G172)</f>
        <v>2265000</v>
      </c>
      <c r="H173" s="513"/>
      <c r="I173" s="528"/>
      <c r="J173" s="535" t="s">
        <v>22</v>
      </c>
      <c r="K173" s="485"/>
      <c r="L173" s="485"/>
      <c r="M173" s="418"/>
      <c r="N173" s="49">
        <f>SUM(N166:N171)</f>
        <v>1844000</v>
      </c>
      <c r="O173" s="487"/>
      <c r="P173" s="490"/>
    </row>
    <row r="174" spans="1:16" s="169" customFormat="1" ht="20.100000000000001" customHeight="1" x14ac:dyDescent="0.3">
      <c r="A174" s="402" t="s">
        <v>34</v>
      </c>
      <c r="B174" s="405">
        <v>45256</v>
      </c>
      <c r="C174" s="165" t="s">
        <v>54</v>
      </c>
      <c r="D174" s="165">
        <f>+E174*2</f>
        <v>2000</v>
      </c>
      <c r="E174" s="165">
        <v>1000</v>
      </c>
      <c r="F174" s="166">
        <v>600</v>
      </c>
      <c r="G174" s="168">
        <f t="shared" ref="G174:G180" si="35">+D174*F174</f>
        <v>1200000</v>
      </c>
      <c r="H174" s="393"/>
      <c r="I174" s="526"/>
      <c r="J174" s="529" t="s">
        <v>17</v>
      </c>
      <c r="K174" s="530"/>
      <c r="L174" s="82">
        <v>18</v>
      </c>
      <c r="M174" s="83">
        <v>12500</v>
      </c>
      <c r="N174" s="84">
        <f t="shared" ref="N174:N179" si="36">+L174*M174</f>
        <v>225000</v>
      </c>
      <c r="O174" s="375"/>
      <c r="P174" s="489"/>
    </row>
    <row r="175" spans="1:16" s="169" customFormat="1" ht="20.100000000000001" customHeight="1" x14ac:dyDescent="0.3">
      <c r="A175" s="403"/>
      <c r="B175" s="406"/>
      <c r="C175" s="167" t="s">
        <v>89</v>
      </c>
      <c r="D175" s="167">
        <f>+E175*2</f>
        <v>600</v>
      </c>
      <c r="E175" s="167">
        <v>300</v>
      </c>
      <c r="F175" s="43">
        <v>1200</v>
      </c>
      <c r="G175" s="56">
        <f t="shared" si="35"/>
        <v>720000</v>
      </c>
      <c r="H175" s="393"/>
      <c r="I175" s="526"/>
      <c r="J175" s="531" t="s">
        <v>18</v>
      </c>
      <c r="K175" s="417"/>
      <c r="L175" s="13">
        <v>290</v>
      </c>
      <c r="M175" s="14">
        <v>4700</v>
      </c>
      <c r="N175" s="15">
        <f t="shared" si="36"/>
        <v>1363000</v>
      </c>
      <c r="O175" s="375"/>
      <c r="P175" s="489"/>
    </row>
    <row r="176" spans="1:16" s="169" customFormat="1" ht="20.100000000000001" customHeight="1" x14ac:dyDescent="0.3">
      <c r="A176" s="403"/>
      <c r="B176" s="406"/>
      <c r="C176" s="167" t="s">
        <v>55</v>
      </c>
      <c r="D176" s="167">
        <v>2</v>
      </c>
      <c r="E176" s="167"/>
      <c r="F176" s="43">
        <v>130000</v>
      </c>
      <c r="G176" s="168">
        <f t="shared" si="35"/>
        <v>260000</v>
      </c>
      <c r="H176" s="393"/>
      <c r="I176" s="527"/>
      <c r="J176" s="531" t="s">
        <v>19</v>
      </c>
      <c r="K176" s="417"/>
      <c r="L176" s="13">
        <v>1</v>
      </c>
      <c r="M176" s="14">
        <v>48000</v>
      </c>
      <c r="N176" s="15">
        <f t="shared" si="36"/>
        <v>48000</v>
      </c>
      <c r="O176" s="375"/>
      <c r="P176" s="489"/>
    </row>
    <row r="177" spans="1:16" s="169" customFormat="1" ht="20.100000000000001" customHeight="1" x14ac:dyDescent="0.3">
      <c r="A177" s="403"/>
      <c r="B177" s="406"/>
      <c r="C177" s="167" t="s">
        <v>81</v>
      </c>
      <c r="D177" s="167">
        <v>1</v>
      </c>
      <c r="E177" s="167"/>
      <c r="F177" s="43">
        <v>85000</v>
      </c>
      <c r="G177" s="56">
        <f t="shared" si="35"/>
        <v>85000</v>
      </c>
      <c r="H177" s="393"/>
      <c r="I177" s="527"/>
      <c r="J177" s="531" t="s">
        <v>57</v>
      </c>
      <c r="K177" s="417"/>
      <c r="L177" s="13">
        <v>1</v>
      </c>
      <c r="M177" s="14">
        <v>98000</v>
      </c>
      <c r="N177" s="15">
        <f t="shared" si="36"/>
        <v>98000</v>
      </c>
      <c r="O177" s="375"/>
      <c r="P177" s="489"/>
    </row>
    <row r="178" spans="1:16" s="169" customFormat="1" ht="20.100000000000001" customHeight="1" x14ac:dyDescent="0.3">
      <c r="A178" s="403"/>
      <c r="B178" s="406"/>
      <c r="C178" s="167" t="s">
        <v>82</v>
      </c>
      <c r="D178" s="167">
        <v>0</v>
      </c>
      <c r="E178" s="167"/>
      <c r="F178" s="43">
        <v>35000</v>
      </c>
      <c r="G178" s="56">
        <f t="shared" si="35"/>
        <v>0</v>
      </c>
      <c r="H178" s="393"/>
      <c r="I178" s="527"/>
      <c r="J178" s="531" t="s">
        <v>90</v>
      </c>
      <c r="K178" s="417"/>
      <c r="L178" s="13">
        <v>2</v>
      </c>
      <c r="M178" s="14">
        <v>55000</v>
      </c>
      <c r="N178" s="15">
        <f t="shared" si="36"/>
        <v>110000</v>
      </c>
      <c r="O178" s="375"/>
      <c r="P178" s="489"/>
    </row>
    <row r="179" spans="1:16" s="169" customFormat="1" ht="19.95" customHeight="1" x14ac:dyDescent="0.3">
      <c r="A179" s="403"/>
      <c r="B179" s="406"/>
      <c r="C179" s="104" t="s">
        <v>71</v>
      </c>
      <c r="D179" s="167">
        <v>0</v>
      </c>
      <c r="E179" s="146"/>
      <c r="F179" s="147">
        <v>50000</v>
      </c>
      <c r="G179" s="56">
        <f t="shared" si="35"/>
        <v>0</v>
      </c>
      <c r="H179" s="393"/>
      <c r="I179" s="527"/>
      <c r="J179" s="531" t="s">
        <v>60</v>
      </c>
      <c r="K179" s="417"/>
      <c r="L179" s="13">
        <v>0</v>
      </c>
      <c r="M179" s="14">
        <v>750000</v>
      </c>
      <c r="N179" s="15">
        <f t="shared" si="36"/>
        <v>0</v>
      </c>
      <c r="O179" s="375"/>
      <c r="P179" s="489"/>
    </row>
    <row r="180" spans="1:16" s="169" customFormat="1" ht="19.95" hidden="1" customHeight="1" x14ac:dyDescent="0.3">
      <c r="A180" s="403"/>
      <c r="B180" s="406"/>
      <c r="C180" s="104" t="s">
        <v>72</v>
      </c>
      <c r="D180" s="167">
        <v>0</v>
      </c>
      <c r="E180" s="146"/>
      <c r="F180" s="147">
        <v>75000</v>
      </c>
      <c r="G180" s="56">
        <f t="shared" si="35"/>
        <v>0</v>
      </c>
      <c r="H180" s="393"/>
      <c r="I180" s="527"/>
      <c r="J180" s="532"/>
      <c r="K180" s="533"/>
      <c r="L180" s="533"/>
      <c r="M180" s="533"/>
      <c r="N180" s="534"/>
      <c r="O180" s="375"/>
      <c r="P180" s="489"/>
    </row>
    <row r="181" spans="1:16" s="169" customFormat="1" ht="19.95" customHeight="1" thickBot="1" x14ac:dyDescent="0.35">
      <c r="A181" s="404"/>
      <c r="B181" s="407"/>
      <c r="C181" s="399" t="s">
        <v>21</v>
      </c>
      <c r="D181" s="400"/>
      <c r="E181" s="400"/>
      <c r="F181" s="418"/>
      <c r="G181" s="59">
        <f>SUM(G174:G180)</f>
        <v>2265000</v>
      </c>
      <c r="H181" s="513"/>
      <c r="I181" s="528"/>
      <c r="J181" s="535" t="s">
        <v>22</v>
      </c>
      <c r="K181" s="485"/>
      <c r="L181" s="485"/>
      <c r="M181" s="418"/>
      <c r="N181" s="49">
        <f>SUM(N174:N179)</f>
        <v>1844000</v>
      </c>
      <c r="O181" s="487"/>
      <c r="P181" s="490"/>
    </row>
    <row r="182" spans="1:16" ht="15" customHeight="1" x14ac:dyDescent="0.3">
      <c r="A182" s="28"/>
      <c r="B182" s="29"/>
      <c r="C182" s="30"/>
      <c r="D182" s="31"/>
      <c r="E182" s="31"/>
      <c r="F182" s="32"/>
      <c r="G182" s="33"/>
      <c r="H182" s="34"/>
      <c r="I182" s="34"/>
      <c r="J182" s="35"/>
      <c r="K182" s="36"/>
      <c r="L182" s="36"/>
      <c r="M182" s="37"/>
      <c r="N182" s="38"/>
      <c r="O182" s="39"/>
      <c r="P182" s="39"/>
    </row>
    <row r="183" spans="1:16" ht="15.75" customHeight="1" x14ac:dyDescent="0.3"/>
    <row r="184" spans="1:16" ht="15.75" customHeight="1" x14ac:dyDescent="0.3"/>
    <row r="185" spans="1:16" ht="15.75" customHeight="1" x14ac:dyDescent="0.3"/>
    <row r="186" spans="1:16" ht="15.75" customHeight="1" x14ac:dyDescent="0.3"/>
    <row r="187" spans="1:16" ht="15.75" customHeight="1" x14ac:dyDescent="0.3"/>
    <row r="188" spans="1:16" ht="15.75" customHeight="1" x14ac:dyDescent="0.3">
      <c r="F188" s="65"/>
      <c r="G188" s="142"/>
    </row>
    <row r="189" spans="1:16" ht="15.75" customHeight="1" x14ac:dyDescent="0.3"/>
    <row r="190" spans="1:16" ht="15.75" customHeight="1" x14ac:dyDescent="0.3"/>
    <row r="191" spans="1:16" ht="15.75" customHeight="1" x14ac:dyDescent="0.3"/>
    <row r="192" spans="1:16" ht="15.75" customHeight="1" x14ac:dyDescent="0.3"/>
    <row r="193" spans="4:7" ht="15.75" customHeight="1" x14ac:dyDescent="0.3"/>
    <row r="194" spans="4:7" ht="15.75" customHeight="1" x14ac:dyDescent="0.3"/>
    <row r="195" spans="4:7" ht="15.75" customHeight="1" x14ac:dyDescent="0.3"/>
    <row r="196" spans="4:7" ht="15.75" customHeight="1" x14ac:dyDescent="0.3"/>
    <row r="197" spans="4:7" ht="15.75" customHeight="1" x14ac:dyDescent="0.3"/>
    <row r="198" spans="4:7" ht="15.75" customHeight="1" x14ac:dyDescent="0.3"/>
    <row r="199" spans="4:7" ht="15.75" customHeight="1" x14ac:dyDescent="0.3"/>
    <row r="200" spans="4:7" ht="15.75" customHeight="1" x14ac:dyDescent="0.3"/>
    <row r="201" spans="4:7" ht="15.75" customHeight="1" x14ac:dyDescent="0.3">
      <c r="D201" s="520"/>
      <c r="E201" s="520"/>
      <c r="F201" s="521"/>
      <c r="G201" s="42"/>
    </row>
    <row r="202" spans="4:7" ht="15.75" customHeight="1" x14ac:dyDescent="0.3">
      <c r="D202" s="520"/>
      <c r="E202" s="520"/>
      <c r="F202" s="521"/>
      <c r="G202" s="42"/>
    </row>
    <row r="203" spans="4:7" ht="15.75" customHeight="1" x14ac:dyDescent="0.3">
      <c r="D203" s="520"/>
      <c r="E203" s="520"/>
      <c r="F203" s="521"/>
      <c r="G203" s="42"/>
    </row>
    <row r="204" spans="4:7" ht="15.75" customHeight="1" x14ac:dyDescent="0.3">
      <c r="D204" s="520"/>
      <c r="E204" s="520"/>
      <c r="F204" s="521"/>
      <c r="G204" s="42"/>
    </row>
    <row r="205" spans="4:7" ht="15.75" customHeight="1" x14ac:dyDescent="0.3">
      <c r="D205" s="520"/>
      <c r="E205" s="520"/>
      <c r="F205" s="521"/>
      <c r="G205" s="42"/>
    </row>
    <row r="206" spans="4:7" ht="15.75" customHeight="1" x14ac:dyDescent="0.3">
      <c r="D206" s="520"/>
      <c r="E206" s="520"/>
      <c r="F206" s="521"/>
      <c r="G206" s="42"/>
    </row>
    <row r="207" spans="4:7" ht="15.75" customHeight="1" x14ac:dyDescent="0.3">
      <c r="D207" s="520"/>
      <c r="E207" s="520"/>
      <c r="F207" s="521"/>
      <c r="G207" s="42"/>
    </row>
    <row r="208" spans="4:7" ht="15.75" customHeight="1" x14ac:dyDescent="0.3">
      <c r="G208" s="42"/>
    </row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</sheetData>
  <mergeCells count="349">
    <mergeCell ref="A158:A165"/>
    <mergeCell ref="B158:B165"/>
    <mergeCell ref="H158:H165"/>
    <mergeCell ref="I158:I165"/>
    <mergeCell ref="J158:K158"/>
    <mergeCell ref="O158:O165"/>
    <mergeCell ref="P158:P165"/>
    <mergeCell ref="J159:K159"/>
    <mergeCell ref="J160:K160"/>
    <mergeCell ref="J161:K161"/>
    <mergeCell ref="J162:K162"/>
    <mergeCell ref="J163:K163"/>
    <mergeCell ref="J164:N164"/>
    <mergeCell ref="C165:F165"/>
    <mergeCell ref="J165:M165"/>
    <mergeCell ref="A142:A149"/>
    <mergeCell ref="B142:B149"/>
    <mergeCell ref="H142:H149"/>
    <mergeCell ref="I142:I149"/>
    <mergeCell ref="J142:K142"/>
    <mergeCell ref="O142:O149"/>
    <mergeCell ref="P142:P149"/>
    <mergeCell ref="J143:K143"/>
    <mergeCell ref="J144:K144"/>
    <mergeCell ref="J145:K145"/>
    <mergeCell ref="J146:K146"/>
    <mergeCell ref="J147:K147"/>
    <mergeCell ref="J148:N148"/>
    <mergeCell ref="C149:F149"/>
    <mergeCell ref="J149:M149"/>
    <mergeCell ref="A110:A117"/>
    <mergeCell ref="B110:B117"/>
    <mergeCell ref="H110:H117"/>
    <mergeCell ref="I110:I117"/>
    <mergeCell ref="J110:K110"/>
    <mergeCell ref="O110:O117"/>
    <mergeCell ref="P110:P117"/>
    <mergeCell ref="J111:K111"/>
    <mergeCell ref="J112:K112"/>
    <mergeCell ref="J113:K113"/>
    <mergeCell ref="J114:K114"/>
    <mergeCell ref="J115:K115"/>
    <mergeCell ref="J116:N116"/>
    <mergeCell ref="C117:F117"/>
    <mergeCell ref="J117:M117"/>
    <mergeCell ref="A86:A93"/>
    <mergeCell ref="B86:B93"/>
    <mergeCell ref="H86:H93"/>
    <mergeCell ref="I86:I93"/>
    <mergeCell ref="J86:K86"/>
    <mergeCell ref="O86:O93"/>
    <mergeCell ref="P86:P93"/>
    <mergeCell ref="J87:K87"/>
    <mergeCell ref="J88:K88"/>
    <mergeCell ref="J89:K89"/>
    <mergeCell ref="J90:K90"/>
    <mergeCell ref="J91:K91"/>
    <mergeCell ref="J92:N92"/>
    <mergeCell ref="C93:F93"/>
    <mergeCell ref="J93:M93"/>
    <mergeCell ref="A70:A77"/>
    <mergeCell ref="B70:B77"/>
    <mergeCell ref="H70:H77"/>
    <mergeCell ref="I70:I77"/>
    <mergeCell ref="J70:K70"/>
    <mergeCell ref="O70:O77"/>
    <mergeCell ref="P70:P77"/>
    <mergeCell ref="J71:K71"/>
    <mergeCell ref="J72:K72"/>
    <mergeCell ref="J73:K73"/>
    <mergeCell ref="J74:K74"/>
    <mergeCell ref="J75:K75"/>
    <mergeCell ref="J76:N76"/>
    <mergeCell ref="C77:F77"/>
    <mergeCell ref="J77:M77"/>
    <mergeCell ref="A54:A61"/>
    <mergeCell ref="B54:B61"/>
    <mergeCell ref="H54:H61"/>
    <mergeCell ref="I54:I61"/>
    <mergeCell ref="J54:K54"/>
    <mergeCell ref="O54:O61"/>
    <mergeCell ref="P54:P61"/>
    <mergeCell ref="J56:K56"/>
    <mergeCell ref="J57:K57"/>
    <mergeCell ref="J58:K58"/>
    <mergeCell ref="J59:K59"/>
    <mergeCell ref="J60:N60"/>
    <mergeCell ref="C61:F61"/>
    <mergeCell ref="J61:M61"/>
    <mergeCell ref="J55:K55"/>
    <mergeCell ref="A33:A39"/>
    <mergeCell ref="B33:B39"/>
    <mergeCell ref="H33:H39"/>
    <mergeCell ref="I33:I39"/>
    <mergeCell ref="J33:K33"/>
    <mergeCell ref="C39:F39"/>
    <mergeCell ref="O33:O39"/>
    <mergeCell ref="P33:P39"/>
    <mergeCell ref="J34:K34"/>
    <mergeCell ref="J35:K35"/>
    <mergeCell ref="J36:K36"/>
    <mergeCell ref="J37:K37"/>
    <mergeCell ref="J38:N38"/>
    <mergeCell ref="J39:M39"/>
    <mergeCell ref="D207:F207"/>
    <mergeCell ref="J10:K10"/>
    <mergeCell ref="J13:N13"/>
    <mergeCell ref="D201:F201"/>
    <mergeCell ref="D202:F202"/>
    <mergeCell ref="D203:F203"/>
    <mergeCell ref="D204:F204"/>
    <mergeCell ref="D205:F205"/>
    <mergeCell ref="D206:F206"/>
    <mergeCell ref="C15:F15"/>
    <mergeCell ref="J15:M15"/>
    <mergeCell ref="I8:I15"/>
    <mergeCell ref="J8:K8"/>
    <mergeCell ref="F8:F9"/>
    <mergeCell ref="G8:G9"/>
    <mergeCell ref="H8:H15"/>
    <mergeCell ref="J16:K16"/>
    <mergeCell ref="J17:M17"/>
    <mergeCell ref="C16:F17"/>
    <mergeCell ref="G16:G17"/>
    <mergeCell ref="A18:A24"/>
    <mergeCell ref="B18:B24"/>
    <mergeCell ref="H18:H24"/>
    <mergeCell ref="I18:I24"/>
    <mergeCell ref="C24:F24"/>
    <mergeCell ref="A1:P4"/>
    <mergeCell ref="A6:A7"/>
    <mergeCell ref="B6:B7"/>
    <mergeCell ref="C6:I6"/>
    <mergeCell ref="J6:P6"/>
    <mergeCell ref="J7:K7"/>
    <mergeCell ref="A8:A15"/>
    <mergeCell ref="B8:B15"/>
    <mergeCell ref="C8:C9"/>
    <mergeCell ref="D8:D9"/>
    <mergeCell ref="E8:E9"/>
    <mergeCell ref="O8:O15"/>
    <mergeCell ref="P8:P15"/>
    <mergeCell ref="J9:K9"/>
    <mergeCell ref="J11:K11"/>
    <mergeCell ref="J12:K12"/>
    <mergeCell ref="J14:N14"/>
    <mergeCell ref="A16:A17"/>
    <mergeCell ref="B16:B17"/>
    <mergeCell ref="O18:O24"/>
    <mergeCell ref="P18:P24"/>
    <mergeCell ref="J20:K20"/>
    <mergeCell ref="J21:K21"/>
    <mergeCell ref="J22:K22"/>
    <mergeCell ref="J23:N23"/>
    <mergeCell ref="J24:M24"/>
    <mergeCell ref="J18:K18"/>
    <mergeCell ref="J19:K19"/>
    <mergeCell ref="O25:O32"/>
    <mergeCell ref="P25:P32"/>
    <mergeCell ref="J26:K26"/>
    <mergeCell ref="J27:K27"/>
    <mergeCell ref="J28:K28"/>
    <mergeCell ref="J29:K29"/>
    <mergeCell ref="J30:N30"/>
    <mergeCell ref="J32:M32"/>
    <mergeCell ref="A25:A32"/>
    <mergeCell ref="B25:B32"/>
    <mergeCell ref="H25:H32"/>
    <mergeCell ref="I25:I32"/>
    <mergeCell ref="J25:K25"/>
    <mergeCell ref="C32:F32"/>
    <mergeCell ref="O40:O46"/>
    <mergeCell ref="P40:P46"/>
    <mergeCell ref="J41:K41"/>
    <mergeCell ref="J42:K42"/>
    <mergeCell ref="J43:K43"/>
    <mergeCell ref="J44:K44"/>
    <mergeCell ref="J45:N45"/>
    <mergeCell ref="J46:M46"/>
    <mergeCell ref="A40:A46"/>
    <mergeCell ref="B40:B46"/>
    <mergeCell ref="H40:H46"/>
    <mergeCell ref="I40:I46"/>
    <mergeCell ref="J40:K40"/>
    <mergeCell ref="C46:F46"/>
    <mergeCell ref="O47:O53"/>
    <mergeCell ref="P47:P53"/>
    <mergeCell ref="J48:K48"/>
    <mergeCell ref="J49:K49"/>
    <mergeCell ref="J50:K50"/>
    <mergeCell ref="J51:K51"/>
    <mergeCell ref="J52:N52"/>
    <mergeCell ref="J53:M53"/>
    <mergeCell ref="A47:A53"/>
    <mergeCell ref="B47:B53"/>
    <mergeCell ref="H47:H53"/>
    <mergeCell ref="I47:I53"/>
    <mergeCell ref="J47:K47"/>
    <mergeCell ref="C53:F53"/>
    <mergeCell ref="A62:A69"/>
    <mergeCell ref="B62:B69"/>
    <mergeCell ref="H62:H69"/>
    <mergeCell ref="I62:I69"/>
    <mergeCell ref="J62:K62"/>
    <mergeCell ref="O62:O69"/>
    <mergeCell ref="P62:P69"/>
    <mergeCell ref="J63:K63"/>
    <mergeCell ref="J64:K64"/>
    <mergeCell ref="J65:K65"/>
    <mergeCell ref="J66:K66"/>
    <mergeCell ref="J67:K67"/>
    <mergeCell ref="J68:N68"/>
    <mergeCell ref="C69:F69"/>
    <mergeCell ref="J69:M69"/>
    <mergeCell ref="A78:A85"/>
    <mergeCell ref="B78:B85"/>
    <mergeCell ref="H78:H85"/>
    <mergeCell ref="I78:I85"/>
    <mergeCell ref="J78:K78"/>
    <mergeCell ref="O78:O85"/>
    <mergeCell ref="P78:P85"/>
    <mergeCell ref="J79:K79"/>
    <mergeCell ref="J80:K80"/>
    <mergeCell ref="J81:K81"/>
    <mergeCell ref="J82:K82"/>
    <mergeCell ref="J83:K83"/>
    <mergeCell ref="J84:N84"/>
    <mergeCell ref="C85:F85"/>
    <mergeCell ref="J85:M85"/>
    <mergeCell ref="A94:A101"/>
    <mergeCell ref="B94:B101"/>
    <mergeCell ref="H94:H101"/>
    <mergeCell ref="I94:I101"/>
    <mergeCell ref="J94:K94"/>
    <mergeCell ref="O94:O101"/>
    <mergeCell ref="P94:P101"/>
    <mergeCell ref="J95:K95"/>
    <mergeCell ref="J96:K96"/>
    <mergeCell ref="J97:K97"/>
    <mergeCell ref="J98:K98"/>
    <mergeCell ref="J99:K99"/>
    <mergeCell ref="J100:N100"/>
    <mergeCell ref="C101:F101"/>
    <mergeCell ref="J101:M101"/>
    <mergeCell ref="A102:A109"/>
    <mergeCell ref="B102:B109"/>
    <mergeCell ref="H102:H109"/>
    <mergeCell ref="I102:I109"/>
    <mergeCell ref="J102:K102"/>
    <mergeCell ref="O102:O109"/>
    <mergeCell ref="P102:P109"/>
    <mergeCell ref="J103:K103"/>
    <mergeCell ref="J104:K104"/>
    <mergeCell ref="J105:K105"/>
    <mergeCell ref="J106:K106"/>
    <mergeCell ref="J107:K107"/>
    <mergeCell ref="J108:N108"/>
    <mergeCell ref="C109:F109"/>
    <mergeCell ref="J109:M109"/>
    <mergeCell ref="A118:A125"/>
    <mergeCell ref="B118:B125"/>
    <mergeCell ref="H118:H125"/>
    <mergeCell ref="I118:I125"/>
    <mergeCell ref="J118:K118"/>
    <mergeCell ref="O118:O125"/>
    <mergeCell ref="P118:P125"/>
    <mergeCell ref="J119:K119"/>
    <mergeCell ref="J120:K120"/>
    <mergeCell ref="J121:K121"/>
    <mergeCell ref="J122:K122"/>
    <mergeCell ref="J123:K123"/>
    <mergeCell ref="J124:N124"/>
    <mergeCell ref="C125:F125"/>
    <mergeCell ref="J125:M125"/>
    <mergeCell ref="A126:A133"/>
    <mergeCell ref="B126:B133"/>
    <mergeCell ref="H126:H133"/>
    <mergeCell ref="I126:I133"/>
    <mergeCell ref="J126:K126"/>
    <mergeCell ref="O126:O133"/>
    <mergeCell ref="P126:P133"/>
    <mergeCell ref="J127:K127"/>
    <mergeCell ref="J128:K128"/>
    <mergeCell ref="J129:K129"/>
    <mergeCell ref="J130:K130"/>
    <mergeCell ref="J131:K131"/>
    <mergeCell ref="J132:N132"/>
    <mergeCell ref="C133:F133"/>
    <mergeCell ref="J133:M133"/>
    <mergeCell ref="A134:A141"/>
    <mergeCell ref="B134:B141"/>
    <mergeCell ref="H134:H141"/>
    <mergeCell ref="I134:I141"/>
    <mergeCell ref="J134:K134"/>
    <mergeCell ref="O134:O141"/>
    <mergeCell ref="P134:P141"/>
    <mergeCell ref="J135:K135"/>
    <mergeCell ref="J136:K136"/>
    <mergeCell ref="J137:K137"/>
    <mergeCell ref="J138:K138"/>
    <mergeCell ref="J139:K139"/>
    <mergeCell ref="J140:N140"/>
    <mergeCell ref="C141:F141"/>
    <mergeCell ref="J141:M141"/>
    <mergeCell ref="A150:A157"/>
    <mergeCell ref="B150:B157"/>
    <mergeCell ref="H150:H157"/>
    <mergeCell ref="I150:I157"/>
    <mergeCell ref="J150:K150"/>
    <mergeCell ref="O150:O157"/>
    <mergeCell ref="P150:P157"/>
    <mergeCell ref="J151:K151"/>
    <mergeCell ref="J152:K152"/>
    <mergeCell ref="J153:K153"/>
    <mergeCell ref="J154:K154"/>
    <mergeCell ref="J155:K155"/>
    <mergeCell ref="J156:N156"/>
    <mergeCell ref="C157:F157"/>
    <mergeCell ref="J157:M157"/>
    <mergeCell ref="A174:A181"/>
    <mergeCell ref="B174:B181"/>
    <mergeCell ref="H174:H181"/>
    <mergeCell ref="I174:I181"/>
    <mergeCell ref="J174:K174"/>
    <mergeCell ref="O174:O181"/>
    <mergeCell ref="P174:P181"/>
    <mergeCell ref="J175:K175"/>
    <mergeCell ref="J176:K176"/>
    <mergeCell ref="J177:K177"/>
    <mergeCell ref="J178:K178"/>
    <mergeCell ref="J179:K179"/>
    <mergeCell ref="J180:N180"/>
    <mergeCell ref="C181:F181"/>
    <mergeCell ref="J181:M181"/>
    <mergeCell ref="A166:A173"/>
    <mergeCell ref="B166:B173"/>
    <mergeCell ref="H166:H173"/>
    <mergeCell ref="I166:I173"/>
    <mergeCell ref="J166:K166"/>
    <mergeCell ref="O166:O173"/>
    <mergeCell ref="P166:P173"/>
    <mergeCell ref="J167:K167"/>
    <mergeCell ref="J168:K168"/>
    <mergeCell ref="J169:K169"/>
    <mergeCell ref="J170:K170"/>
    <mergeCell ref="J171:K171"/>
    <mergeCell ref="J172:N172"/>
    <mergeCell ref="C173:F173"/>
    <mergeCell ref="J173:M173"/>
  </mergeCells>
  <phoneticPr fontId="22" type="noConversion"/>
  <pageMargins left="0.11811023622047245" right="0.11811023622047245" top="0.15748031496062992" bottom="0.15748031496062992" header="0" footer="0"/>
  <pageSetup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0"/>
  <sheetViews>
    <sheetView topLeftCell="A210" zoomScale="90" zoomScaleNormal="90" workbookViewId="0">
      <selection activeCell="C231" sqref="C231"/>
    </sheetView>
  </sheetViews>
  <sheetFormatPr baseColWidth="10" defaultColWidth="14.44140625" defaultRowHeight="15" customHeight="1" x14ac:dyDescent="0.3"/>
  <cols>
    <col min="1" max="1" width="14.6640625" customWidth="1"/>
    <col min="2" max="2" width="31" customWidth="1"/>
    <col min="3" max="3" width="20.6640625" customWidth="1"/>
    <col min="4" max="5" width="15.6640625" customWidth="1"/>
    <col min="6" max="8" width="20.6640625" customWidth="1"/>
    <col min="9" max="9" width="2.5546875" customWidth="1"/>
    <col min="10" max="10" width="10.6640625" customWidth="1"/>
    <col min="11" max="11" width="13.77734375" bestFit="1" customWidth="1"/>
    <col min="12" max="19" width="10.6640625" customWidth="1"/>
  </cols>
  <sheetData>
    <row r="1" spans="1:8" ht="15" customHeight="1" x14ac:dyDescent="0.3">
      <c r="A1" s="569" t="s">
        <v>113</v>
      </c>
      <c r="B1" s="570"/>
      <c r="C1" s="570"/>
      <c r="D1" s="570"/>
      <c r="E1" s="570"/>
      <c r="F1" s="570"/>
      <c r="G1" s="570"/>
      <c r="H1" s="571"/>
    </row>
    <row r="2" spans="1:8" ht="15" customHeight="1" x14ac:dyDescent="0.3">
      <c r="A2" s="572"/>
      <c r="B2" s="573"/>
      <c r="C2" s="573"/>
      <c r="D2" s="573"/>
      <c r="E2" s="573"/>
      <c r="F2" s="573"/>
      <c r="G2" s="573"/>
      <c r="H2" s="574"/>
    </row>
    <row r="3" spans="1:8" ht="15" customHeight="1" thickBot="1" x14ac:dyDescent="0.35">
      <c r="A3" s="575"/>
      <c r="B3" s="576"/>
      <c r="C3" s="576"/>
      <c r="D3" s="576"/>
      <c r="E3" s="576"/>
      <c r="F3" s="576"/>
      <c r="G3" s="576"/>
      <c r="H3" s="577"/>
    </row>
    <row r="4" spans="1:8" ht="15.6" customHeight="1" thickBot="1" x14ac:dyDescent="0.35">
      <c r="A4" s="578" t="s">
        <v>134</v>
      </c>
      <c r="B4" s="579"/>
      <c r="C4" s="579"/>
      <c r="D4" s="579"/>
      <c r="E4" s="579"/>
      <c r="F4" s="579"/>
      <c r="G4" s="579"/>
      <c r="H4" s="580"/>
    </row>
    <row r="5" spans="1:8" s="111" customFormat="1" ht="15.6" customHeight="1" thickBot="1" x14ac:dyDescent="0.35">
      <c r="A5" s="134" t="s">
        <v>91</v>
      </c>
      <c r="B5" s="135" t="s">
        <v>3</v>
      </c>
      <c r="C5" s="135" t="s">
        <v>4</v>
      </c>
      <c r="D5" s="581" t="s">
        <v>7</v>
      </c>
      <c r="E5" s="582"/>
      <c r="F5" s="135" t="s">
        <v>114</v>
      </c>
      <c r="G5" s="135" t="s">
        <v>92</v>
      </c>
      <c r="H5" s="136" t="s">
        <v>93</v>
      </c>
    </row>
    <row r="6" spans="1:8" ht="19.95" customHeight="1" x14ac:dyDescent="0.3">
      <c r="A6" s="403">
        <v>1</v>
      </c>
      <c r="B6" s="403" t="s">
        <v>38</v>
      </c>
      <c r="C6" s="406">
        <v>44947</v>
      </c>
      <c r="D6" s="583" t="s">
        <v>94</v>
      </c>
      <c r="E6" s="584"/>
      <c r="F6" s="132">
        <f>370+370</f>
        <v>740</v>
      </c>
      <c r="G6" s="133">
        <v>50</v>
      </c>
      <c r="H6" s="114">
        <f t="shared" ref="H6:H12" si="0">+F6*G6</f>
        <v>37000</v>
      </c>
    </row>
    <row r="7" spans="1:8" ht="19.95" customHeight="1" x14ac:dyDescent="0.3">
      <c r="A7" s="403"/>
      <c r="B7" s="403"/>
      <c r="C7" s="406"/>
      <c r="D7" s="567" t="s">
        <v>96</v>
      </c>
      <c r="E7" s="568"/>
      <c r="F7" s="112">
        <v>0</v>
      </c>
      <c r="G7" s="113">
        <v>2000</v>
      </c>
      <c r="H7" s="114">
        <f t="shared" si="0"/>
        <v>0</v>
      </c>
    </row>
    <row r="8" spans="1:8" ht="19.95" customHeight="1" x14ac:dyDescent="0.3">
      <c r="A8" s="403"/>
      <c r="B8" s="403"/>
      <c r="C8" s="406"/>
      <c r="D8" s="567" t="s">
        <v>97</v>
      </c>
      <c r="E8" s="568"/>
      <c r="F8" s="112">
        <v>0</v>
      </c>
      <c r="G8" s="113">
        <v>8000</v>
      </c>
      <c r="H8" s="114">
        <f t="shared" si="0"/>
        <v>0</v>
      </c>
    </row>
    <row r="9" spans="1:8" ht="19.95" customHeight="1" x14ac:dyDescent="0.3">
      <c r="A9" s="403"/>
      <c r="B9" s="403"/>
      <c r="C9" s="406"/>
      <c r="D9" s="567" t="s">
        <v>95</v>
      </c>
      <c r="E9" s="568" t="s">
        <v>54</v>
      </c>
      <c r="F9" s="112">
        <v>0</v>
      </c>
      <c r="G9" s="113">
        <v>10</v>
      </c>
      <c r="H9" s="114">
        <f t="shared" si="0"/>
        <v>0</v>
      </c>
    </row>
    <row r="10" spans="1:8" ht="19.95" customHeight="1" x14ac:dyDescent="0.3">
      <c r="A10" s="403"/>
      <c r="B10" s="403"/>
      <c r="C10" s="406"/>
      <c r="D10" s="567" t="s">
        <v>98</v>
      </c>
      <c r="E10" s="568" t="s">
        <v>55</v>
      </c>
      <c r="F10" s="112">
        <v>0</v>
      </c>
      <c r="G10" s="113">
        <v>10000</v>
      </c>
      <c r="H10" s="114">
        <f t="shared" si="0"/>
        <v>0</v>
      </c>
    </row>
    <row r="11" spans="1:8" ht="19.95" customHeight="1" x14ac:dyDescent="0.3">
      <c r="A11" s="403"/>
      <c r="B11" s="403"/>
      <c r="C11" s="406"/>
      <c r="D11" s="567" t="s">
        <v>99</v>
      </c>
      <c r="E11" s="568" t="s">
        <v>81</v>
      </c>
      <c r="F11" s="112">
        <v>0</v>
      </c>
      <c r="G11" s="113">
        <v>5000</v>
      </c>
      <c r="H11" s="114">
        <f t="shared" si="0"/>
        <v>0</v>
      </c>
    </row>
    <row r="12" spans="1:8" ht="19.95" customHeight="1" x14ac:dyDescent="0.3">
      <c r="A12" s="403"/>
      <c r="B12" s="403"/>
      <c r="C12" s="406"/>
      <c r="D12" s="567" t="s">
        <v>115</v>
      </c>
      <c r="E12" s="568" t="s">
        <v>82</v>
      </c>
      <c r="F12" s="112">
        <v>0</v>
      </c>
      <c r="G12" s="113">
        <v>5000</v>
      </c>
      <c r="H12" s="114">
        <f t="shared" si="0"/>
        <v>0</v>
      </c>
    </row>
    <row r="13" spans="1:8" ht="19.95" customHeight="1" thickBot="1" x14ac:dyDescent="0.35">
      <c r="A13" s="404"/>
      <c r="B13" s="403"/>
      <c r="C13" s="406"/>
      <c r="D13" s="535" t="s">
        <v>22</v>
      </c>
      <c r="E13" s="485"/>
      <c r="F13" s="485"/>
      <c r="G13" s="418"/>
      <c r="H13" s="115">
        <f>SUM(H6:H12)</f>
        <v>37000</v>
      </c>
    </row>
    <row r="14" spans="1:8" ht="6.6" customHeight="1" thickBot="1" x14ac:dyDescent="0.35">
      <c r="A14" s="116">
        <v>1</v>
      </c>
      <c r="B14" s="117"/>
      <c r="C14" s="118"/>
      <c r="D14" s="119"/>
      <c r="E14" s="120"/>
      <c r="F14" s="120"/>
      <c r="G14" s="121"/>
      <c r="H14" s="122"/>
    </row>
    <row r="15" spans="1:8" ht="19.95" customHeight="1" x14ac:dyDescent="0.3">
      <c r="A15" s="403">
        <v>2</v>
      </c>
      <c r="B15" s="402" t="s">
        <v>84</v>
      </c>
      <c r="C15" s="405">
        <v>44954</v>
      </c>
      <c r="D15" s="567" t="s">
        <v>94</v>
      </c>
      <c r="E15" s="568"/>
      <c r="F15" s="112">
        <v>630</v>
      </c>
      <c r="G15" s="113">
        <v>50</v>
      </c>
      <c r="H15" s="114">
        <f t="shared" ref="H15:H21" si="1">+F15*G15</f>
        <v>31500</v>
      </c>
    </row>
    <row r="16" spans="1:8" ht="19.95" customHeight="1" x14ac:dyDescent="0.3">
      <c r="A16" s="403"/>
      <c r="B16" s="403"/>
      <c r="C16" s="406"/>
      <c r="D16" s="567" t="s">
        <v>96</v>
      </c>
      <c r="E16" s="568"/>
      <c r="F16" s="112">
        <v>1</v>
      </c>
      <c r="G16" s="113">
        <v>2000</v>
      </c>
      <c r="H16" s="114">
        <f t="shared" si="1"/>
        <v>2000</v>
      </c>
    </row>
    <row r="17" spans="1:8" ht="19.95" customHeight="1" x14ac:dyDescent="0.3">
      <c r="A17" s="403"/>
      <c r="B17" s="403"/>
      <c r="C17" s="406"/>
      <c r="D17" s="567" t="s">
        <v>97</v>
      </c>
      <c r="E17" s="568"/>
      <c r="F17" s="112">
        <v>1</v>
      </c>
      <c r="G17" s="113">
        <v>8000</v>
      </c>
      <c r="H17" s="114">
        <f t="shared" si="1"/>
        <v>8000</v>
      </c>
    </row>
    <row r="18" spans="1:8" ht="19.95" customHeight="1" x14ac:dyDescent="0.3">
      <c r="A18" s="403"/>
      <c r="B18" s="403"/>
      <c r="C18" s="406"/>
      <c r="D18" s="567" t="s">
        <v>95</v>
      </c>
      <c r="E18" s="568" t="s">
        <v>54</v>
      </c>
      <c r="F18" s="112">
        <v>2200</v>
      </c>
      <c r="G18" s="113">
        <v>10</v>
      </c>
      <c r="H18" s="114">
        <f t="shared" si="1"/>
        <v>22000</v>
      </c>
    </row>
    <row r="19" spans="1:8" ht="19.95" customHeight="1" x14ac:dyDescent="0.3">
      <c r="A19" s="403"/>
      <c r="B19" s="403"/>
      <c r="C19" s="406"/>
      <c r="D19" s="567" t="s">
        <v>98</v>
      </c>
      <c r="E19" s="568" t="s">
        <v>55</v>
      </c>
      <c r="F19" s="112">
        <v>2</v>
      </c>
      <c r="G19" s="113">
        <v>10000</v>
      </c>
      <c r="H19" s="114">
        <f t="shared" si="1"/>
        <v>20000</v>
      </c>
    </row>
    <row r="20" spans="1:8" ht="19.95" customHeight="1" x14ac:dyDescent="0.3">
      <c r="A20" s="403"/>
      <c r="B20" s="403"/>
      <c r="C20" s="406"/>
      <c r="D20" s="567" t="s">
        <v>99</v>
      </c>
      <c r="E20" s="568" t="s">
        <v>81</v>
      </c>
      <c r="F20" s="112">
        <v>0</v>
      </c>
      <c r="G20" s="113">
        <v>5000</v>
      </c>
      <c r="H20" s="114">
        <f t="shared" si="1"/>
        <v>0</v>
      </c>
    </row>
    <row r="21" spans="1:8" ht="19.95" customHeight="1" x14ac:dyDescent="0.3">
      <c r="A21" s="403"/>
      <c r="B21" s="403"/>
      <c r="C21" s="406"/>
      <c r="D21" s="567" t="s">
        <v>115</v>
      </c>
      <c r="E21" s="568" t="s">
        <v>82</v>
      </c>
      <c r="F21" s="112">
        <v>0</v>
      </c>
      <c r="G21" s="113">
        <v>5000</v>
      </c>
      <c r="H21" s="114">
        <f t="shared" si="1"/>
        <v>0</v>
      </c>
    </row>
    <row r="22" spans="1:8" ht="19.95" customHeight="1" thickBot="1" x14ac:dyDescent="0.35">
      <c r="A22" s="404"/>
      <c r="B22" s="403"/>
      <c r="C22" s="406"/>
      <c r="D22" s="535" t="s">
        <v>22</v>
      </c>
      <c r="E22" s="485"/>
      <c r="F22" s="485"/>
      <c r="G22" s="418"/>
      <c r="H22" s="115">
        <f>SUM(H15:H21)</f>
        <v>83500</v>
      </c>
    </row>
    <row r="23" spans="1:8" ht="6.6" customHeight="1" thickBot="1" x14ac:dyDescent="0.35">
      <c r="A23" s="116">
        <v>1</v>
      </c>
      <c r="B23" s="117"/>
      <c r="C23" s="118"/>
      <c r="D23" s="35"/>
      <c r="E23" s="36"/>
      <c r="F23" s="36"/>
      <c r="G23" s="37"/>
      <c r="H23" s="122"/>
    </row>
    <row r="24" spans="1:8" s="126" customFormat="1" ht="19.95" customHeight="1" thickBot="1" x14ac:dyDescent="0.35">
      <c r="A24" s="123">
        <v>3</v>
      </c>
      <c r="B24" s="124" t="s">
        <v>100</v>
      </c>
      <c r="C24" s="125">
        <v>44961</v>
      </c>
      <c r="D24" s="588" t="s">
        <v>101</v>
      </c>
      <c r="E24" s="588"/>
      <c r="F24" s="588"/>
      <c r="G24" s="588"/>
      <c r="H24" s="127">
        <v>50000</v>
      </c>
    </row>
    <row r="25" spans="1:8" ht="6.6" customHeight="1" thickBot="1" x14ac:dyDescent="0.35">
      <c r="A25" s="116">
        <v>1</v>
      </c>
      <c r="B25" s="117"/>
      <c r="C25" s="118"/>
      <c r="D25" s="119"/>
      <c r="E25" s="120"/>
      <c r="F25" s="120"/>
      <c r="G25" s="121"/>
      <c r="H25" s="122"/>
    </row>
    <row r="26" spans="1:8" ht="19.95" customHeight="1" x14ac:dyDescent="0.3">
      <c r="A26" s="403">
        <v>4</v>
      </c>
      <c r="B26" s="403" t="s">
        <v>86</v>
      </c>
      <c r="C26" s="406">
        <v>44969</v>
      </c>
      <c r="D26" s="567" t="s">
        <v>94</v>
      </c>
      <c r="E26" s="568"/>
      <c r="F26" s="112">
        <v>560</v>
      </c>
      <c r="G26" s="113">
        <v>50</v>
      </c>
      <c r="H26" s="114">
        <f t="shared" ref="H26:H32" si="2">+F26*G26</f>
        <v>28000</v>
      </c>
    </row>
    <row r="27" spans="1:8" ht="19.95" customHeight="1" x14ac:dyDescent="0.3">
      <c r="A27" s="403"/>
      <c r="B27" s="403"/>
      <c r="C27" s="406"/>
      <c r="D27" s="567" t="s">
        <v>96</v>
      </c>
      <c r="E27" s="568"/>
      <c r="F27" s="112">
        <v>1</v>
      </c>
      <c r="G27" s="113">
        <v>2000</v>
      </c>
      <c r="H27" s="114">
        <f t="shared" si="2"/>
        <v>2000</v>
      </c>
    </row>
    <row r="28" spans="1:8" ht="19.95" customHeight="1" x14ac:dyDescent="0.3">
      <c r="A28" s="403"/>
      <c r="B28" s="403"/>
      <c r="C28" s="406"/>
      <c r="D28" s="567" t="s">
        <v>97</v>
      </c>
      <c r="E28" s="568"/>
      <c r="F28" s="112">
        <v>1</v>
      </c>
      <c r="G28" s="113">
        <v>8000</v>
      </c>
      <c r="H28" s="114">
        <f t="shared" si="2"/>
        <v>8000</v>
      </c>
    </row>
    <row r="29" spans="1:8" ht="19.95" customHeight="1" x14ac:dyDescent="0.3">
      <c r="A29" s="403"/>
      <c r="B29" s="403"/>
      <c r="C29" s="406"/>
      <c r="D29" s="567" t="s">
        <v>95</v>
      </c>
      <c r="E29" s="568" t="s">
        <v>54</v>
      </c>
      <c r="F29" s="112">
        <v>2200</v>
      </c>
      <c r="G29" s="113">
        <v>10</v>
      </c>
      <c r="H29" s="114">
        <f t="shared" si="2"/>
        <v>22000</v>
      </c>
    </row>
    <row r="30" spans="1:8" ht="19.95" customHeight="1" x14ac:dyDescent="0.3">
      <c r="A30" s="403"/>
      <c r="B30" s="403"/>
      <c r="C30" s="406"/>
      <c r="D30" s="567" t="s">
        <v>98</v>
      </c>
      <c r="E30" s="568" t="s">
        <v>55</v>
      </c>
      <c r="F30" s="112">
        <v>2</v>
      </c>
      <c r="G30" s="113">
        <v>10000</v>
      </c>
      <c r="H30" s="114">
        <f t="shared" si="2"/>
        <v>20000</v>
      </c>
    </row>
    <row r="31" spans="1:8" ht="19.95" customHeight="1" x14ac:dyDescent="0.3">
      <c r="A31" s="403"/>
      <c r="B31" s="403"/>
      <c r="C31" s="406"/>
      <c r="D31" s="567" t="s">
        <v>99</v>
      </c>
      <c r="E31" s="568" t="s">
        <v>81</v>
      </c>
      <c r="F31" s="112">
        <v>0</v>
      </c>
      <c r="G31" s="113">
        <v>5000</v>
      </c>
      <c r="H31" s="114">
        <f t="shared" si="2"/>
        <v>0</v>
      </c>
    </row>
    <row r="32" spans="1:8" ht="19.95" customHeight="1" x14ac:dyDescent="0.3">
      <c r="A32" s="403"/>
      <c r="B32" s="403"/>
      <c r="C32" s="406"/>
      <c r="D32" s="567" t="s">
        <v>115</v>
      </c>
      <c r="E32" s="568" t="s">
        <v>82</v>
      </c>
      <c r="F32" s="112">
        <v>0</v>
      </c>
      <c r="G32" s="113">
        <v>5000</v>
      </c>
      <c r="H32" s="114">
        <f t="shared" si="2"/>
        <v>0</v>
      </c>
    </row>
    <row r="33" spans="1:8" ht="19.95" customHeight="1" thickBot="1" x14ac:dyDescent="0.35">
      <c r="A33" s="404"/>
      <c r="B33" s="404"/>
      <c r="C33" s="407"/>
      <c r="D33" s="535" t="s">
        <v>22</v>
      </c>
      <c r="E33" s="485"/>
      <c r="F33" s="485"/>
      <c r="G33" s="418"/>
      <c r="H33" s="115">
        <f>SUM(H26:H32)</f>
        <v>80000</v>
      </c>
    </row>
    <row r="34" spans="1:8" ht="6.6" customHeight="1" thickBot="1" x14ac:dyDescent="0.35">
      <c r="A34" s="116">
        <v>1</v>
      </c>
      <c r="B34" s="117"/>
      <c r="C34" s="118"/>
      <c r="D34" s="119"/>
      <c r="E34" s="120"/>
      <c r="F34" s="120"/>
      <c r="G34" s="121"/>
      <c r="H34" s="122"/>
    </row>
    <row r="35" spans="1:8" ht="19.95" customHeight="1" x14ac:dyDescent="0.3">
      <c r="A35" s="403">
        <v>5</v>
      </c>
      <c r="B35" s="403" t="s">
        <v>87</v>
      </c>
      <c r="C35" s="406">
        <v>44976</v>
      </c>
      <c r="D35" s="567" t="s">
        <v>94</v>
      </c>
      <c r="E35" s="568"/>
      <c r="F35" s="112">
        <v>65</v>
      </c>
      <c r="G35" s="113">
        <v>50</v>
      </c>
      <c r="H35" s="114">
        <f t="shared" ref="H35:H41" si="3">+F35*G35</f>
        <v>3250</v>
      </c>
    </row>
    <row r="36" spans="1:8" ht="19.95" customHeight="1" x14ac:dyDescent="0.3">
      <c r="A36" s="403"/>
      <c r="B36" s="403"/>
      <c r="C36" s="406"/>
      <c r="D36" s="567" t="s">
        <v>96</v>
      </c>
      <c r="E36" s="568"/>
      <c r="F36" s="112">
        <v>0</v>
      </c>
      <c r="G36" s="113">
        <v>2000</v>
      </c>
      <c r="H36" s="114">
        <f t="shared" si="3"/>
        <v>0</v>
      </c>
    </row>
    <row r="37" spans="1:8" ht="19.95" customHeight="1" x14ac:dyDescent="0.3">
      <c r="A37" s="403"/>
      <c r="B37" s="403"/>
      <c r="C37" s="406"/>
      <c r="D37" s="567" t="s">
        <v>97</v>
      </c>
      <c r="E37" s="568"/>
      <c r="F37" s="112">
        <v>1</v>
      </c>
      <c r="G37" s="113">
        <v>8000</v>
      </c>
      <c r="H37" s="114">
        <f t="shared" si="3"/>
        <v>8000</v>
      </c>
    </row>
    <row r="38" spans="1:8" ht="19.95" customHeight="1" x14ac:dyDescent="0.3">
      <c r="A38" s="403"/>
      <c r="B38" s="403"/>
      <c r="C38" s="406"/>
      <c r="D38" s="567" t="s">
        <v>95</v>
      </c>
      <c r="E38" s="568" t="s">
        <v>54</v>
      </c>
      <c r="F38" s="112">
        <v>1850</v>
      </c>
      <c r="G38" s="113">
        <v>10</v>
      </c>
      <c r="H38" s="114">
        <f t="shared" si="3"/>
        <v>18500</v>
      </c>
    </row>
    <row r="39" spans="1:8" ht="19.95" customHeight="1" x14ac:dyDescent="0.3">
      <c r="A39" s="403"/>
      <c r="B39" s="403"/>
      <c r="C39" s="406"/>
      <c r="D39" s="567" t="s">
        <v>98</v>
      </c>
      <c r="E39" s="568" t="s">
        <v>55</v>
      </c>
      <c r="F39" s="112">
        <v>2</v>
      </c>
      <c r="G39" s="113">
        <v>10000</v>
      </c>
      <c r="H39" s="114">
        <f t="shared" si="3"/>
        <v>20000</v>
      </c>
    </row>
    <row r="40" spans="1:8" ht="19.95" customHeight="1" x14ac:dyDescent="0.3">
      <c r="A40" s="403"/>
      <c r="B40" s="403"/>
      <c r="C40" s="406"/>
      <c r="D40" s="567" t="s">
        <v>99</v>
      </c>
      <c r="E40" s="568" t="s">
        <v>81</v>
      </c>
      <c r="F40" s="112">
        <v>0</v>
      </c>
      <c r="G40" s="113">
        <v>5000</v>
      </c>
      <c r="H40" s="114">
        <f t="shared" si="3"/>
        <v>0</v>
      </c>
    </row>
    <row r="41" spans="1:8" ht="19.95" customHeight="1" x14ac:dyDescent="0.3">
      <c r="A41" s="403"/>
      <c r="B41" s="403"/>
      <c r="C41" s="406"/>
      <c r="D41" s="567" t="s">
        <v>115</v>
      </c>
      <c r="E41" s="568" t="s">
        <v>82</v>
      </c>
      <c r="F41" s="112">
        <v>0</v>
      </c>
      <c r="G41" s="113">
        <v>5000</v>
      </c>
      <c r="H41" s="114">
        <f t="shared" si="3"/>
        <v>0</v>
      </c>
    </row>
    <row r="42" spans="1:8" ht="19.95" customHeight="1" thickBot="1" x14ac:dyDescent="0.35">
      <c r="A42" s="404"/>
      <c r="B42" s="404"/>
      <c r="C42" s="407"/>
      <c r="D42" s="535" t="s">
        <v>22</v>
      </c>
      <c r="E42" s="485"/>
      <c r="F42" s="485"/>
      <c r="G42" s="418"/>
      <c r="H42" s="115">
        <f>SUM(H35:H41)</f>
        <v>49750</v>
      </c>
    </row>
    <row r="43" spans="1:8" ht="6.6" customHeight="1" thickBot="1" x14ac:dyDescent="0.35">
      <c r="A43" s="116">
        <v>1</v>
      </c>
      <c r="B43" s="117"/>
      <c r="C43" s="118"/>
      <c r="D43" s="119"/>
      <c r="E43" s="120"/>
      <c r="F43" s="120"/>
      <c r="G43" s="121"/>
      <c r="H43" s="122"/>
    </row>
    <row r="44" spans="1:8" s="126" customFormat="1" ht="19.95" customHeight="1" thickBot="1" x14ac:dyDescent="0.35">
      <c r="A44" s="123">
        <v>6</v>
      </c>
      <c r="B44" s="124" t="s">
        <v>102</v>
      </c>
      <c r="C44" s="125">
        <v>44981</v>
      </c>
      <c r="D44" s="588" t="s">
        <v>101</v>
      </c>
      <c r="E44" s="588"/>
      <c r="F44" s="588"/>
      <c r="G44" s="588"/>
      <c r="H44" s="127">
        <v>50000</v>
      </c>
    </row>
    <row r="45" spans="1:8" ht="6.6" customHeight="1" thickBot="1" x14ac:dyDescent="0.35">
      <c r="A45" s="116">
        <v>1</v>
      </c>
      <c r="B45" s="117"/>
      <c r="C45" s="118"/>
      <c r="D45" s="119"/>
      <c r="E45" s="120"/>
      <c r="F45" s="120"/>
      <c r="G45" s="121"/>
      <c r="H45" s="122"/>
    </row>
    <row r="46" spans="1:8" ht="19.95" customHeight="1" x14ac:dyDescent="0.3">
      <c r="A46" s="403">
        <v>7</v>
      </c>
      <c r="B46" s="403" t="s">
        <v>69</v>
      </c>
      <c r="C46" s="406">
        <v>44990</v>
      </c>
      <c r="D46" s="567" t="s">
        <v>94</v>
      </c>
      <c r="E46" s="568"/>
      <c r="F46" s="112">
        <v>275</v>
      </c>
      <c r="G46" s="113">
        <v>50</v>
      </c>
      <c r="H46" s="114">
        <f t="shared" ref="H46:H52" si="4">+F46*G46</f>
        <v>13750</v>
      </c>
    </row>
    <row r="47" spans="1:8" ht="19.95" customHeight="1" x14ac:dyDescent="0.3">
      <c r="A47" s="403"/>
      <c r="B47" s="403"/>
      <c r="C47" s="406"/>
      <c r="D47" s="567" t="s">
        <v>96</v>
      </c>
      <c r="E47" s="568"/>
      <c r="F47" s="112">
        <v>0</v>
      </c>
      <c r="G47" s="113">
        <v>2000</v>
      </c>
      <c r="H47" s="114">
        <f t="shared" si="4"/>
        <v>0</v>
      </c>
    </row>
    <row r="48" spans="1:8" ht="19.95" customHeight="1" x14ac:dyDescent="0.3">
      <c r="A48" s="403"/>
      <c r="B48" s="403"/>
      <c r="C48" s="406"/>
      <c r="D48" s="567" t="s">
        <v>97</v>
      </c>
      <c r="E48" s="568"/>
      <c r="F48" s="112">
        <v>1</v>
      </c>
      <c r="G48" s="113">
        <v>8000</v>
      </c>
      <c r="H48" s="114">
        <f t="shared" si="4"/>
        <v>8000</v>
      </c>
    </row>
    <row r="49" spans="1:8" ht="19.95" customHeight="1" x14ac:dyDescent="0.3">
      <c r="A49" s="403"/>
      <c r="B49" s="403"/>
      <c r="C49" s="406"/>
      <c r="D49" s="567" t="s">
        <v>95</v>
      </c>
      <c r="E49" s="568" t="s">
        <v>54</v>
      </c>
      <c r="F49" s="112">
        <v>1900</v>
      </c>
      <c r="G49" s="113">
        <v>10</v>
      </c>
      <c r="H49" s="114">
        <f t="shared" si="4"/>
        <v>19000</v>
      </c>
    </row>
    <row r="50" spans="1:8" ht="19.95" customHeight="1" x14ac:dyDescent="0.3">
      <c r="A50" s="403"/>
      <c r="B50" s="403"/>
      <c r="C50" s="406"/>
      <c r="D50" s="567" t="s">
        <v>98</v>
      </c>
      <c r="E50" s="568" t="s">
        <v>55</v>
      </c>
      <c r="F50" s="112">
        <v>2</v>
      </c>
      <c r="G50" s="113">
        <v>10000</v>
      </c>
      <c r="H50" s="114">
        <f t="shared" si="4"/>
        <v>20000</v>
      </c>
    </row>
    <row r="51" spans="1:8" ht="19.95" customHeight="1" x14ac:dyDescent="0.3">
      <c r="A51" s="403"/>
      <c r="B51" s="403"/>
      <c r="C51" s="406"/>
      <c r="D51" s="567" t="s">
        <v>99</v>
      </c>
      <c r="E51" s="568" t="s">
        <v>81</v>
      </c>
      <c r="F51" s="112">
        <v>0</v>
      </c>
      <c r="G51" s="113">
        <v>5000</v>
      </c>
      <c r="H51" s="114">
        <f t="shared" si="4"/>
        <v>0</v>
      </c>
    </row>
    <row r="52" spans="1:8" ht="19.95" customHeight="1" x14ac:dyDescent="0.3">
      <c r="A52" s="403"/>
      <c r="B52" s="403"/>
      <c r="C52" s="406"/>
      <c r="D52" s="567" t="s">
        <v>115</v>
      </c>
      <c r="E52" s="568" t="s">
        <v>82</v>
      </c>
      <c r="F52" s="112">
        <v>0</v>
      </c>
      <c r="G52" s="113">
        <v>5000</v>
      </c>
      <c r="H52" s="114">
        <f t="shared" si="4"/>
        <v>0</v>
      </c>
    </row>
    <row r="53" spans="1:8" ht="19.95" customHeight="1" thickBot="1" x14ac:dyDescent="0.35">
      <c r="A53" s="404"/>
      <c r="B53" s="404"/>
      <c r="C53" s="407"/>
      <c r="D53" s="535" t="s">
        <v>22</v>
      </c>
      <c r="E53" s="485"/>
      <c r="F53" s="485"/>
      <c r="G53" s="418"/>
      <c r="H53" s="115">
        <f>SUM(H46:H52)</f>
        <v>60750</v>
      </c>
    </row>
    <row r="54" spans="1:8" ht="6.6" customHeight="1" thickBot="1" x14ac:dyDescent="0.35">
      <c r="A54" s="116">
        <v>1</v>
      </c>
      <c r="B54" s="117"/>
      <c r="C54" s="118"/>
      <c r="D54" s="119"/>
      <c r="E54" s="120"/>
      <c r="F54" s="120"/>
      <c r="G54" s="121"/>
      <c r="H54" s="122"/>
    </row>
    <row r="55" spans="1:8" s="126" customFormat="1" ht="19.95" customHeight="1" thickBot="1" x14ac:dyDescent="0.35">
      <c r="A55" s="123">
        <v>8</v>
      </c>
      <c r="B55" s="124" t="s">
        <v>103</v>
      </c>
      <c r="C55" s="125">
        <v>44996</v>
      </c>
      <c r="D55" s="588" t="s">
        <v>101</v>
      </c>
      <c r="E55" s="588"/>
      <c r="F55" s="588"/>
      <c r="G55" s="588"/>
      <c r="H55" s="127">
        <v>50000</v>
      </c>
    </row>
    <row r="56" spans="1:8" ht="6.6" customHeight="1" thickBot="1" x14ac:dyDescent="0.35">
      <c r="A56" s="116">
        <v>1</v>
      </c>
      <c r="B56" s="117"/>
      <c r="C56" s="118"/>
      <c r="D56" s="119"/>
      <c r="E56" s="120"/>
      <c r="F56" s="120"/>
      <c r="G56" s="121"/>
      <c r="H56" s="122"/>
    </row>
    <row r="57" spans="1:8" ht="19.95" customHeight="1" x14ac:dyDescent="0.3">
      <c r="A57" s="403">
        <v>9</v>
      </c>
      <c r="B57" s="403" t="s">
        <v>66</v>
      </c>
      <c r="C57" s="406">
        <v>45004</v>
      </c>
      <c r="D57" s="567" t="s">
        <v>94</v>
      </c>
      <c r="E57" s="568"/>
      <c r="F57" s="112">
        <v>275</v>
      </c>
      <c r="G57" s="113">
        <v>50</v>
      </c>
      <c r="H57" s="114">
        <f t="shared" ref="H57:H63" si="5">+F57*G57</f>
        <v>13750</v>
      </c>
    </row>
    <row r="58" spans="1:8" ht="19.95" customHeight="1" x14ac:dyDescent="0.3">
      <c r="A58" s="403"/>
      <c r="B58" s="403"/>
      <c r="C58" s="406"/>
      <c r="D58" s="567" t="s">
        <v>96</v>
      </c>
      <c r="E58" s="568"/>
      <c r="F58" s="112">
        <v>1</v>
      </c>
      <c r="G58" s="113">
        <v>2000</v>
      </c>
      <c r="H58" s="114">
        <f t="shared" si="5"/>
        <v>2000</v>
      </c>
    </row>
    <row r="59" spans="1:8" ht="19.95" customHeight="1" x14ac:dyDescent="0.3">
      <c r="A59" s="403"/>
      <c r="B59" s="403"/>
      <c r="C59" s="406"/>
      <c r="D59" s="567" t="s">
        <v>97</v>
      </c>
      <c r="E59" s="568"/>
      <c r="F59" s="112">
        <v>1</v>
      </c>
      <c r="G59" s="113">
        <v>8000</v>
      </c>
      <c r="H59" s="114">
        <f t="shared" si="5"/>
        <v>8000</v>
      </c>
    </row>
    <row r="60" spans="1:8" ht="19.95" customHeight="1" x14ac:dyDescent="0.3">
      <c r="A60" s="403"/>
      <c r="B60" s="403"/>
      <c r="C60" s="406"/>
      <c r="D60" s="567" t="s">
        <v>95</v>
      </c>
      <c r="E60" s="568" t="s">
        <v>54</v>
      </c>
      <c r="F60" s="112">
        <v>1900</v>
      </c>
      <c r="G60" s="113">
        <v>10</v>
      </c>
      <c r="H60" s="114">
        <f t="shared" si="5"/>
        <v>19000</v>
      </c>
    </row>
    <row r="61" spans="1:8" ht="19.95" customHeight="1" x14ac:dyDescent="0.3">
      <c r="A61" s="403"/>
      <c r="B61" s="403"/>
      <c r="C61" s="406"/>
      <c r="D61" s="567" t="s">
        <v>98</v>
      </c>
      <c r="E61" s="568" t="s">
        <v>55</v>
      </c>
      <c r="F61" s="112">
        <v>2</v>
      </c>
      <c r="G61" s="113">
        <v>10000</v>
      </c>
      <c r="H61" s="114">
        <f t="shared" si="5"/>
        <v>20000</v>
      </c>
    </row>
    <row r="62" spans="1:8" ht="19.95" customHeight="1" x14ac:dyDescent="0.3">
      <c r="A62" s="403"/>
      <c r="B62" s="403"/>
      <c r="C62" s="406"/>
      <c r="D62" s="567" t="s">
        <v>99</v>
      </c>
      <c r="E62" s="568" t="s">
        <v>81</v>
      </c>
      <c r="F62" s="112">
        <v>0</v>
      </c>
      <c r="G62" s="113">
        <v>5000</v>
      </c>
      <c r="H62" s="114">
        <f t="shared" si="5"/>
        <v>0</v>
      </c>
    </row>
    <row r="63" spans="1:8" ht="19.95" customHeight="1" x14ac:dyDescent="0.3">
      <c r="A63" s="403"/>
      <c r="B63" s="403"/>
      <c r="C63" s="406"/>
      <c r="D63" s="567" t="s">
        <v>115</v>
      </c>
      <c r="E63" s="568" t="s">
        <v>82</v>
      </c>
      <c r="F63" s="112">
        <v>0</v>
      </c>
      <c r="G63" s="113">
        <v>5000</v>
      </c>
      <c r="H63" s="114">
        <f t="shared" si="5"/>
        <v>0</v>
      </c>
    </row>
    <row r="64" spans="1:8" ht="19.95" customHeight="1" thickBot="1" x14ac:dyDescent="0.35">
      <c r="A64" s="404"/>
      <c r="B64" s="404"/>
      <c r="C64" s="407"/>
      <c r="D64" s="535" t="s">
        <v>22</v>
      </c>
      <c r="E64" s="485"/>
      <c r="F64" s="485"/>
      <c r="G64" s="418"/>
      <c r="H64" s="115">
        <f>SUM(H57:H63)</f>
        <v>62750</v>
      </c>
    </row>
    <row r="65" spans="1:8" ht="6.6" customHeight="1" thickBot="1" x14ac:dyDescent="0.35">
      <c r="A65" s="116">
        <v>1</v>
      </c>
      <c r="B65" s="117"/>
      <c r="C65" s="118"/>
      <c r="D65" s="119"/>
      <c r="E65" s="120"/>
      <c r="F65" s="120"/>
      <c r="G65" s="121"/>
      <c r="H65" s="122"/>
    </row>
    <row r="66" spans="1:8" s="126" customFormat="1" ht="19.95" customHeight="1" thickBot="1" x14ac:dyDescent="0.35">
      <c r="A66" s="123">
        <v>10</v>
      </c>
      <c r="B66" s="124" t="s">
        <v>104</v>
      </c>
      <c r="C66" s="125">
        <v>45019</v>
      </c>
      <c r="D66" s="588" t="s">
        <v>101</v>
      </c>
      <c r="E66" s="588"/>
      <c r="F66" s="588"/>
      <c r="G66" s="588"/>
      <c r="H66" s="127">
        <v>50000</v>
      </c>
    </row>
    <row r="67" spans="1:8" ht="6.6" customHeight="1" thickBot="1" x14ac:dyDescent="0.35">
      <c r="A67" s="116">
        <v>1</v>
      </c>
      <c r="B67" s="117"/>
      <c r="C67" s="118"/>
      <c r="D67" s="119"/>
      <c r="E67" s="120"/>
      <c r="F67" s="120"/>
      <c r="G67" s="121"/>
      <c r="H67" s="122"/>
    </row>
    <row r="68" spans="1:8" ht="19.95" customHeight="1" x14ac:dyDescent="0.3">
      <c r="A68" s="403">
        <v>11</v>
      </c>
      <c r="B68" s="403" t="s">
        <v>88</v>
      </c>
      <c r="C68" s="406">
        <v>45023</v>
      </c>
      <c r="D68" s="567" t="s">
        <v>94</v>
      </c>
      <c r="E68" s="568"/>
      <c r="F68" s="112">
        <v>275</v>
      </c>
      <c r="G68" s="113">
        <v>50</v>
      </c>
      <c r="H68" s="114">
        <f t="shared" ref="H68:H74" si="6">+F68*G68</f>
        <v>13750</v>
      </c>
    </row>
    <row r="69" spans="1:8" ht="19.95" customHeight="1" x14ac:dyDescent="0.3">
      <c r="A69" s="403"/>
      <c r="B69" s="403"/>
      <c r="C69" s="406"/>
      <c r="D69" s="567" t="s">
        <v>96</v>
      </c>
      <c r="E69" s="568"/>
      <c r="F69" s="112">
        <v>1</v>
      </c>
      <c r="G69" s="113">
        <v>2000</v>
      </c>
      <c r="H69" s="114">
        <f t="shared" si="6"/>
        <v>2000</v>
      </c>
    </row>
    <row r="70" spans="1:8" ht="19.95" customHeight="1" x14ac:dyDescent="0.3">
      <c r="A70" s="403"/>
      <c r="B70" s="403"/>
      <c r="C70" s="406"/>
      <c r="D70" s="567" t="s">
        <v>97</v>
      </c>
      <c r="E70" s="568"/>
      <c r="F70" s="112">
        <v>1</v>
      </c>
      <c r="G70" s="113">
        <v>8000</v>
      </c>
      <c r="H70" s="114">
        <f t="shared" si="6"/>
        <v>8000</v>
      </c>
    </row>
    <row r="71" spans="1:8" ht="19.95" customHeight="1" x14ac:dyDescent="0.3">
      <c r="A71" s="403"/>
      <c r="B71" s="403"/>
      <c r="C71" s="406"/>
      <c r="D71" s="567" t="s">
        <v>95</v>
      </c>
      <c r="E71" s="568" t="s">
        <v>54</v>
      </c>
      <c r="F71" s="112">
        <v>1900</v>
      </c>
      <c r="G71" s="113">
        <v>10</v>
      </c>
      <c r="H71" s="114">
        <f t="shared" si="6"/>
        <v>19000</v>
      </c>
    </row>
    <row r="72" spans="1:8" ht="19.95" customHeight="1" x14ac:dyDescent="0.3">
      <c r="A72" s="403"/>
      <c r="B72" s="403"/>
      <c r="C72" s="406"/>
      <c r="D72" s="567" t="s">
        <v>98</v>
      </c>
      <c r="E72" s="568" t="s">
        <v>55</v>
      </c>
      <c r="F72" s="112">
        <v>2</v>
      </c>
      <c r="G72" s="113">
        <v>10000</v>
      </c>
      <c r="H72" s="114">
        <f t="shared" si="6"/>
        <v>20000</v>
      </c>
    </row>
    <row r="73" spans="1:8" ht="19.95" customHeight="1" x14ac:dyDescent="0.3">
      <c r="A73" s="403"/>
      <c r="B73" s="403"/>
      <c r="C73" s="406"/>
      <c r="D73" s="567" t="s">
        <v>99</v>
      </c>
      <c r="E73" s="568" t="s">
        <v>81</v>
      </c>
      <c r="F73" s="112">
        <v>0</v>
      </c>
      <c r="G73" s="113">
        <v>5000</v>
      </c>
      <c r="H73" s="114">
        <f t="shared" si="6"/>
        <v>0</v>
      </c>
    </row>
    <row r="74" spans="1:8" ht="19.95" customHeight="1" x14ac:dyDescent="0.3">
      <c r="A74" s="403"/>
      <c r="B74" s="403"/>
      <c r="C74" s="406"/>
      <c r="D74" s="567" t="s">
        <v>115</v>
      </c>
      <c r="E74" s="568" t="s">
        <v>82</v>
      </c>
      <c r="F74" s="112">
        <v>0</v>
      </c>
      <c r="G74" s="113">
        <v>5000</v>
      </c>
      <c r="H74" s="114">
        <f t="shared" si="6"/>
        <v>0</v>
      </c>
    </row>
    <row r="75" spans="1:8" ht="19.95" customHeight="1" thickBot="1" x14ac:dyDescent="0.35">
      <c r="A75" s="404"/>
      <c r="B75" s="404"/>
      <c r="C75" s="407"/>
      <c r="D75" s="535" t="s">
        <v>22</v>
      </c>
      <c r="E75" s="485"/>
      <c r="F75" s="485"/>
      <c r="G75" s="418"/>
      <c r="H75" s="115">
        <f>SUM(H68:H74)</f>
        <v>62750</v>
      </c>
    </row>
    <row r="76" spans="1:8" ht="6.6" customHeight="1" thickBot="1" x14ac:dyDescent="0.35">
      <c r="A76" s="116">
        <v>1</v>
      </c>
      <c r="B76" s="117"/>
      <c r="C76" s="118"/>
      <c r="D76" s="119"/>
      <c r="E76" s="120"/>
      <c r="F76" s="120"/>
      <c r="G76" s="121"/>
      <c r="H76" s="122"/>
    </row>
    <row r="77" spans="1:8" ht="19.95" customHeight="1" x14ac:dyDescent="0.3">
      <c r="A77" s="403">
        <v>12</v>
      </c>
      <c r="B77" s="403" t="s">
        <v>24</v>
      </c>
      <c r="C77" s="406">
        <v>45032</v>
      </c>
      <c r="D77" s="567" t="s">
        <v>94</v>
      </c>
      <c r="E77" s="568"/>
      <c r="F77" s="112">
        <v>630</v>
      </c>
      <c r="G77" s="113">
        <v>50</v>
      </c>
      <c r="H77" s="114">
        <f t="shared" ref="H77:H83" si="7">+F77*G77</f>
        <v>31500</v>
      </c>
    </row>
    <row r="78" spans="1:8" ht="19.95" customHeight="1" x14ac:dyDescent="0.3">
      <c r="A78" s="403"/>
      <c r="B78" s="403"/>
      <c r="C78" s="406"/>
      <c r="D78" s="567" t="s">
        <v>96</v>
      </c>
      <c r="E78" s="568"/>
      <c r="F78" s="112">
        <v>1</v>
      </c>
      <c r="G78" s="113">
        <v>2000</v>
      </c>
      <c r="H78" s="114">
        <f t="shared" si="7"/>
        <v>2000</v>
      </c>
    </row>
    <row r="79" spans="1:8" ht="19.95" customHeight="1" x14ac:dyDescent="0.3">
      <c r="A79" s="403"/>
      <c r="B79" s="403"/>
      <c r="C79" s="406"/>
      <c r="D79" s="567" t="s">
        <v>97</v>
      </c>
      <c r="E79" s="568"/>
      <c r="F79" s="112">
        <v>1</v>
      </c>
      <c r="G79" s="113">
        <v>8000</v>
      </c>
      <c r="H79" s="114">
        <f t="shared" si="7"/>
        <v>8000</v>
      </c>
    </row>
    <row r="80" spans="1:8" ht="19.95" customHeight="1" x14ac:dyDescent="0.3">
      <c r="A80" s="403"/>
      <c r="B80" s="403"/>
      <c r="C80" s="406"/>
      <c r="D80" s="567" t="s">
        <v>95</v>
      </c>
      <c r="E80" s="568" t="s">
        <v>54</v>
      </c>
      <c r="F80" s="112">
        <v>2650</v>
      </c>
      <c r="G80" s="113">
        <v>10</v>
      </c>
      <c r="H80" s="114">
        <f t="shared" si="7"/>
        <v>26500</v>
      </c>
    </row>
    <row r="81" spans="1:8" ht="19.95" customHeight="1" x14ac:dyDescent="0.3">
      <c r="A81" s="403"/>
      <c r="B81" s="403"/>
      <c r="C81" s="406"/>
      <c r="D81" s="567" t="s">
        <v>98</v>
      </c>
      <c r="E81" s="568" t="s">
        <v>55</v>
      </c>
      <c r="F81" s="112">
        <v>2</v>
      </c>
      <c r="G81" s="113">
        <v>10000</v>
      </c>
      <c r="H81" s="114">
        <f t="shared" si="7"/>
        <v>20000</v>
      </c>
    </row>
    <row r="82" spans="1:8" ht="19.95" customHeight="1" x14ac:dyDescent="0.3">
      <c r="A82" s="403"/>
      <c r="B82" s="403"/>
      <c r="C82" s="406"/>
      <c r="D82" s="567" t="s">
        <v>99</v>
      </c>
      <c r="E82" s="568" t="s">
        <v>81</v>
      </c>
      <c r="F82" s="112">
        <v>0</v>
      </c>
      <c r="G82" s="113">
        <v>5000</v>
      </c>
      <c r="H82" s="114">
        <f t="shared" si="7"/>
        <v>0</v>
      </c>
    </row>
    <row r="83" spans="1:8" ht="19.95" customHeight="1" x14ac:dyDescent="0.3">
      <c r="A83" s="403"/>
      <c r="B83" s="403"/>
      <c r="C83" s="406"/>
      <c r="D83" s="567" t="s">
        <v>115</v>
      </c>
      <c r="E83" s="568" t="s">
        <v>82</v>
      </c>
      <c r="F83" s="112">
        <v>0</v>
      </c>
      <c r="G83" s="113">
        <v>5000</v>
      </c>
      <c r="H83" s="114">
        <f t="shared" si="7"/>
        <v>0</v>
      </c>
    </row>
    <row r="84" spans="1:8" ht="19.95" customHeight="1" thickBot="1" x14ac:dyDescent="0.35">
      <c r="A84" s="404"/>
      <c r="B84" s="404"/>
      <c r="C84" s="407"/>
      <c r="D84" s="535" t="s">
        <v>22</v>
      </c>
      <c r="E84" s="485"/>
      <c r="F84" s="485"/>
      <c r="G84" s="418"/>
      <c r="H84" s="115">
        <f>SUM(H77:H83)</f>
        <v>88000</v>
      </c>
    </row>
    <row r="85" spans="1:8" ht="6.6" customHeight="1" thickBot="1" x14ac:dyDescent="0.35">
      <c r="A85" s="116">
        <v>1</v>
      </c>
      <c r="B85" s="117"/>
      <c r="C85" s="118"/>
      <c r="D85" s="119"/>
      <c r="E85" s="120"/>
      <c r="F85" s="120"/>
      <c r="G85" s="121"/>
      <c r="H85" s="122"/>
    </row>
    <row r="86" spans="1:8" ht="6.6" customHeight="1" thickBot="1" x14ac:dyDescent="0.35">
      <c r="A86" s="116">
        <v>1</v>
      </c>
      <c r="B86" s="117"/>
      <c r="C86" s="118"/>
      <c r="D86" s="119"/>
      <c r="E86" s="120"/>
      <c r="F86" s="120"/>
      <c r="G86" s="121"/>
      <c r="H86" s="122"/>
    </row>
    <row r="87" spans="1:8" ht="15.75" customHeight="1" x14ac:dyDescent="0.3">
      <c r="A87" s="403">
        <v>13</v>
      </c>
      <c r="B87" s="402" t="s">
        <v>28</v>
      </c>
      <c r="C87" s="405">
        <v>45046</v>
      </c>
      <c r="D87" s="567" t="s">
        <v>94</v>
      </c>
      <c r="E87" s="568"/>
      <c r="F87" s="112">
        <v>630</v>
      </c>
      <c r="G87" s="113">
        <v>50</v>
      </c>
      <c r="H87" s="114">
        <f t="shared" ref="H87:H93" si="8">+F87*G87</f>
        <v>31500</v>
      </c>
    </row>
    <row r="88" spans="1:8" ht="15.75" customHeight="1" x14ac:dyDescent="0.3">
      <c r="A88" s="403"/>
      <c r="B88" s="403"/>
      <c r="C88" s="406"/>
      <c r="D88" s="567" t="s">
        <v>96</v>
      </c>
      <c r="E88" s="568"/>
      <c r="F88" s="112">
        <v>1</v>
      </c>
      <c r="G88" s="113">
        <v>2000</v>
      </c>
      <c r="H88" s="114">
        <f t="shared" si="8"/>
        <v>2000</v>
      </c>
    </row>
    <row r="89" spans="1:8" ht="15.75" customHeight="1" x14ac:dyDescent="0.3">
      <c r="A89" s="403"/>
      <c r="B89" s="403"/>
      <c r="C89" s="406"/>
      <c r="D89" s="567" t="s">
        <v>97</v>
      </c>
      <c r="E89" s="568"/>
      <c r="F89" s="112">
        <v>0</v>
      </c>
      <c r="G89" s="113">
        <v>8000</v>
      </c>
      <c r="H89" s="114">
        <f t="shared" si="8"/>
        <v>0</v>
      </c>
    </row>
    <row r="90" spans="1:8" ht="15.75" customHeight="1" x14ac:dyDescent="0.3">
      <c r="A90" s="403"/>
      <c r="B90" s="403"/>
      <c r="C90" s="406"/>
      <c r="D90" s="567" t="s">
        <v>95</v>
      </c>
      <c r="E90" s="568" t="s">
        <v>54</v>
      </c>
      <c r="F90" s="112">
        <v>2650</v>
      </c>
      <c r="G90" s="113">
        <v>10</v>
      </c>
      <c r="H90" s="114">
        <f t="shared" si="8"/>
        <v>26500</v>
      </c>
    </row>
    <row r="91" spans="1:8" ht="15.75" customHeight="1" x14ac:dyDescent="0.3">
      <c r="A91" s="403"/>
      <c r="B91" s="403"/>
      <c r="C91" s="406"/>
      <c r="D91" s="567" t="s">
        <v>98</v>
      </c>
      <c r="E91" s="568" t="s">
        <v>55</v>
      </c>
      <c r="F91" s="112">
        <v>2</v>
      </c>
      <c r="G91" s="113">
        <v>10000</v>
      </c>
      <c r="H91" s="114">
        <f t="shared" si="8"/>
        <v>20000</v>
      </c>
    </row>
    <row r="92" spans="1:8" ht="15.75" customHeight="1" x14ac:dyDescent="0.3">
      <c r="A92" s="403"/>
      <c r="B92" s="403"/>
      <c r="C92" s="406"/>
      <c r="D92" s="567" t="s">
        <v>99</v>
      </c>
      <c r="E92" s="568" t="s">
        <v>81</v>
      </c>
      <c r="F92" s="112">
        <v>0</v>
      </c>
      <c r="G92" s="113">
        <v>5000</v>
      </c>
      <c r="H92" s="114">
        <f t="shared" si="8"/>
        <v>0</v>
      </c>
    </row>
    <row r="93" spans="1:8" ht="15.75" customHeight="1" x14ac:dyDescent="0.3">
      <c r="A93" s="403"/>
      <c r="B93" s="403"/>
      <c r="C93" s="406"/>
      <c r="D93" s="567" t="s">
        <v>115</v>
      </c>
      <c r="E93" s="568" t="s">
        <v>82</v>
      </c>
      <c r="F93" s="112">
        <v>0</v>
      </c>
      <c r="G93" s="113">
        <v>5000</v>
      </c>
      <c r="H93" s="114">
        <f t="shared" si="8"/>
        <v>0</v>
      </c>
    </row>
    <row r="94" spans="1:8" ht="15.75" customHeight="1" thickBot="1" x14ac:dyDescent="0.35">
      <c r="A94" s="404"/>
      <c r="B94" s="404"/>
      <c r="C94" s="407"/>
      <c r="D94" s="535" t="s">
        <v>22</v>
      </c>
      <c r="E94" s="485"/>
      <c r="F94" s="485"/>
      <c r="G94" s="418"/>
      <c r="H94" s="115">
        <f>SUM(H87:H93)</f>
        <v>80000</v>
      </c>
    </row>
    <row r="95" spans="1:8" ht="15.75" customHeight="1" thickBot="1" x14ac:dyDescent="0.35">
      <c r="A95" s="116"/>
      <c r="B95" s="117"/>
      <c r="C95" s="118"/>
      <c r="D95" s="119"/>
      <c r="E95" s="120"/>
      <c r="F95" s="120"/>
      <c r="G95" s="121"/>
      <c r="H95" s="122"/>
    </row>
    <row r="96" spans="1:8" ht="15.75" customHeight="1" x14ac:dyDescent="0.3">
      <c r="A96" s="403">
        <v>14</v>
      </c>
      <c r="B96" s="402" t="s">
        <v>30</v>
      </c>
      <c r="C96" s="405">
        <v>45060</v>
      </c>
      <c r="D96" s="567" t="s">
        <v>94</v>
      </c>
      <c r="E96" s="568"/>
      <c r="F96" s="112">
        <v>730</v>
      </c>
      <c r="G96" s="113">
        <v>50</v>
      </c>
      <c r="H96" s="114">
        <f t="shared" ref="H96:H102" si="9">+F96*G96</f>
        <v>36500</v>
      </c>
    </row>
    <row r="97" spans="1:8" ht="15.75" customHeight="1" x14ac:dyDescent="0.3">
      <c r="A97" s="403"/>
      <c r="B97" s="403"/>
      <c r="C97" s="406"/>
      <c r="D97" s="567" t="s">
        <v>96</v>
      </c>
      <c r="E97" s="568"/>
      <c r="F97" s="112">
        <v>1</v>
      </c>
      <c r="G97" s="113">
        <v>2000</v>
      </c>
      <c r="H97" s="114">
        <f t="shared" si="9"/>
        <v>2000</v>
      </c>
    </row>
    <row r="98" spans="1:8" ht="15.75" customHeight="1" x14ac:dyDescent="0.3">
      <c r="A98" s="403"/>
      <c r="B98" s="403"/>
      <c r="C98" s="406"/>
      <c r="D98" s="567" t="s">
        <v>97</v>
      </c>
      <c r="E98" s="568"/>
      <c r="F98" s="112">
        <v>1</v>
      </c>
      <c r="G98" s="113">
        <v>8000</v>
      </c>
      <c r="H98" s="114">
        <f t="shared" si="9"/>
        <v>8000</v>
      </c>
    </row>
    <row r="99" spans="1:8" ht="15.75" customHeight="1" x14ac:dyDescent="0.3">
      <c r="A99" s="403"/>
      <c r="B99" s="403"/>
      <c r="C99" s="406"/>
      <c r="D99" s="567" t="s">
        <v>95</v>
      </c>
      <c r="E99" s="568" t="s">
        <v>54</v>
      </c>
      <c r="F99" s="112">
        <v>2650</v>
      </c>
      <c r="G99" s="113">
        <v>10</v>
      </c>
      <c r="H99" s="114">
        <f t="shared" si="9"/>
        <v>26500</v>
      </c>
    </row>
    <row r="100" spans="1:8" ht="15.75" customHeight="1" x14ac:dyDescent="0.3">
      <c r="A100" s="403"/>
      <c r="B100" s="403"/>
      <c r="C100" s="406"/>
      <c r="D100" s="567" t="s">
        <v>98</v>
      </c>
      <c r="E100" s="568" t="s">
        <v>55</v>
      </c>
      <c r="F100" s="112">
        <v>2</v>
      </c>
      <c r="G100" s="113">
        <v>10000</v>
      </c>
      <c r="H100" s="114">
        <f t="shared" si="9"/>
        <v>20000</v>
      </c>
    </row>
    <row r="101" spans="1:8" ht="15.75" customHeight="1" x14ac:dyDescent="0.3">
      <c r="A101" s="403"/>
      <c r="B101" s="403"/>
      <c r="C101" s="406"/>
      <c r="D101" s="567" t="s">
        <v>99</v>
      </c>
      <c r="E101" s="568" t="s">
        <v>81</v>
      </c>
      <c r="F101" s="112">
        <v>0</v>
      </c>
      <c r="G101" s="113">
        <v>5000</v>
      </c>
      <c r="H101" s="114">
        <f t="shared" si="9"/>
        <v>0</v>
      </c>
    </row>
    <row r="102" spans="1:8" ht="15.75" customHeight="1" x14ac:dyDescent="0.3">
      <c r="A102" s="403"/>
      <c r="B102" s="403"/>
      <c r="C102" s="406"/>
      <c r="D102" s="567" t="s">
        <v>115</v>
      </c>
      <c r="E102" s="568" t="s">
        <v>82</v>
      </c>
      <c r="F102" s="112">
        <v>0</v>
      </c>
      <c r="G102" s="113">
        <v>5000</v>
      </c>
      <c r="H102" s="114">
        <f t="shared" si="9"/>
        <v>0</v>
      </c>
    </row>
    <row r="103" spans="1:8" ht="15.75" customHeight="1" thickBot="1" x14ac:dyDescent="0.35">
      <c r="A103" s="404"/>
      <c r="B103" s="404"/>
      <c r="C103" s="407"/>
      <c r="D103" s="535" t="s">
        <v>22</v>
      </c>
      <c r="E103" s="485"/>
      <c r="F103" s="485"/>
      <c r="G103" s="418"/>
      <c r="H103" s="115">
        <f>SUM(H96:H102)</f>
        <v>93000</v>
      </c>
    </row>
    <row r="104" spans="1:8" ht="15.75" customHeight="1" thickBot="1" x14ac:dyDescent="0.35">
      <c r="A104" s="116">
        <v>1</v>
      </c>
      <c r="B104" s="117"/>
      <c r="C104" s="118"/>
      <c r="D104" s="119"/>
      <c r="E104" s="120"/>
      <c r="F104" s="120"/>
      <c r="G104" s="121"/>
      <c r="H104" s="122"/>
    </row>
    <row r="105" spans="1:8" ht="15.75" customHeight="1" x14ac:dyDescent="0.3">
      <c r="A105" s="403">
        <v>15</v>
      </c>
      <c r="B105" s="402" t="s">
        <v>125</v>
      </c>
      <c r="C105" s="405">
        <v>45074</v>
      </c>
      <c r="D105" s="567" t="s">
        <v>94</v>
      </c>
      <c r="E105" s="568"/>
      <c r="F105" s="112">
        <v>275</v>
      </c>
      <c r="G105" s="113">
        <v>50</v>
      </c>
      <c r="H105" s="114">
        <f t="shared" ref="H105:H111" si="10">+F105*G105</f>
        <v>13750</v>
      </c>
    </row>
    <row r="106" spans="1:8" ht="15.75" customHeight="1" x14ac:dyDescent="0.3">
      <c r="A106" s="403"/>
      <c r="B106" s="403"/>
      <c r="C106" s="406"/>
      <c r="D106" s="567" t="s">
        <v>96</v>
      </c>
      <c r="E106" s="568"/>
      <c r="F106" s="112">
        <v>1</v>
      </c>
      <c r="G106" s="113">
        <v>2000</v>
      </c>
      <c r="H106" s="114">
        <f t="shared" si="10"/>
        <v>2000</v>
      </c>
    </row>
    <row r="107" spans="1:8" ht="15.75" customHeight="1" x14ac:dyDescent="0.3">
      <c r="A107" s="403"/>
      <c r="B107" s="403"/>
      <c r="C107" s="406"/>
      <c r="D107" s="567" t="s">
        <v>97</v>
      </c>
      <c r="E107" s="568"/>
      <c r="F107" s="112">
        <v>1</v>
      </c>
      <c r="G107" s="113">
        <v>8000</v>
      </c>
      <c r="H107" s="114">
        <f t="shared" si="10"/>
        <v>8000</v>
      </c>
    </row>
    <row r="108" spans="1:8" ht="15.75" customHeight="1" x14ac:dyDescent="0.3">
      <c r="A108" s="403"/>
      <c r="B108" s="403"/>
      <c r="C108" s="406"/>
      <c r="D108" s="567" t="s">
        <v>95</v>
      </c>
      <c r="E108" s="568" t="s">
        <v>54</v>
      </c>
      <c r="F108" s="112">
        <v>2000</v>
      </c>
      <c r="G108" s="113">
        <v>10</v>
      </c>
      <c r="H108" s="114">
        <f t="shared" si="10"/>
        <v>20000</v>
      </c>
    </row>
    <row r="109" spans="1:8" ht="15.75" customHeight="1" x14ac:dyDescent="0.3">
      <c r="A109" s="403"/>
      <c r="B109" s="403"/>
      <c r="C109" s="406"/>
      <c r="D109" s="567" t="s">
        <v>98</v>
      </c>
      <c r="E109" s="568" t="s">
        <v>55</v>
      </c>
      <c r="F109" s="112">
        <v>2</v>
      </c>
      <c r="G109" s="113">
        <v>10000</v>
      </c>
      <c r="H109" s="114">
        <f t="shared" si="10"/>
        <v>20000</v>
      </c>
    </row>
    <row r="110" spans="1:8" ht="15.75" customHeight="1" x14ac:dyDescent="0.3">
      <c r="A110" s="403"/>
      <c r="B110" s="403"/>
      <c r="C110" s="406"/>
      <c r="D110" s="567" t="s">
        <v>99</v>
      </c>
      <c r="E110" s="568" t="s">
        <v>81</v>
      </c>
      <c r="F110" s="112">
        <v>0</v>
      </c>
      <c r="G110" s="113">
        <v>5000</v>
      </c>
      <c r="H110" s="114">
        <f t="shared" si="10"/>
        <v>0</v>
      </c>
    </row>
    <row r="111" spans="1:8" ht="15.75" customHeight="1" x14ac:dyDescent="0.3">
      <c r="A111" s="403"/>
      <c r="B111" s="403"/>
      <c r="C111" s="406"/>
      <c r="D111" s="567" t="s">
        <v>115</v>
      </c>
      <c r="E111" s="568" t="s">
        <v>82</v>
      </c>
      <c r="F111" s="112">
        <v>0</v>
      </c>
      <c r="G111" s="113">
        <v>5000</v>
      </c>
      <c r="H111" s="114">
        <f t="shared" si="10"/>
        <v>0</v>
      </c>
    </row>
    <row r="112" spans="1:8" ht="15.75" customHeight="1" thickBot="1" x14ac:dyDescent="0.35">
      <c r="A112" s="404"/>
      <c r="B112" s="404"/>
      <c r="C112" s="407"/>
      <c r="D112" s="535" t="s">
        <v>22</v>
      </c>
      <c r="E112" s="485"/>
      <c r="F112" s="485"/>
      <c r="G112" s="418"/>
      <c r="H112" s="115">
        <f>SUM(H105:H111)</f>
        <v>63750</v>
      </c>
    </row>
    <row r="113" spans="1:8" ht="15.75" customHeight="1" thickBot="1" x14ac:dyDescent="0.35">
      <c r="A113" s="116">
        <v>1</v>
      </c>
      <c r="B113" s="117"/>
      <c r="C113" s="118"/>
      <c r="D113" s="119"/>
      <c r="E113" s="120"/>
      <c r="F113" s="120"/>
      <c r="G113" s="121"/>
      <c r="H113" s="122"/>
    </row>
    <row r="114" spans="1:8" ht="15.75" customHeight="1" x14ac:dyDescent="0.3">
      <c r="A114" s="403">
        <v>16</v>
      </c>
      <c r="B114" s="402" t="s">
        <v>13</v>
      </c>
      <c r="C114" s="405">
        <v>45087</v>
      </c>
      <c r="D114" s="567" t="s">
        <v>94</v>
      </c>
      <c r="E114" s="568"/>
      <c r="F114" s="112">
        <v>275</v>
      </c>
      <c r="G114" s="113">
        <v>50</v>
      </c>
      <c r="H114" s="114">
        <f t="shared" ref="H114:H120" si="11">+F114*G114</f>
        <v>13750</v>
      </c>
    </row>
    <row r="115" spans="1:8" ht="15.75" customHeight="1" x14ac:dyDescent="0.3">
      <c r="A115" s="403"/>
      <c r="B115" s="403"/>
      <c r="C115" s="406"/>
      <c r="D115" s="567" t="s">
        <v>96</v>
      </c>
      <c r="E115" s="568"/>
      <c r="F115" s="112">
        <v>1</v>
      </c>
      <c r="G115" s="113">
        <v>2000</v>
      </c>
      <c r="H115" s="114">
        <f t="shared" si="11"/>
        <v>2000</v>
      </c>
    </row>
    <row r="116" spans="1:8" ht="15.75" customHeight="1" x14ac:dyDescent="0.3">
      <c r="A116" s="403"/>
      <c r="B116" s="403"/>
      <c r="C116" s="406"/>
      <c r="D116" s="567" t="s">
        <v>97</v>
      </c>
      <c r="E116" s="568"/>
      <c r="F116" s="112">
        <v>1</v>
      </c>
      <c r="G116" s="113">
        <v>8000</v>
      </c>
      <c r="H116" s="114">
        <f t="shared" si="11"/>
        <v>8000</v>
      </c>
    </row>
    <row r="117" spans="1:8" ht="15.75" customHeight="1" x14ac:dyDescent="0.3">
      <c r="A117" s="403"/>
      <c r="B117" s="403"/>
      <c r="C117" s="406"/>
      <c r="D117" s="567" t="s">
        <v>95</v>
      </c>
      <c r="E117" s="568" t="s">
        <v>54</v>
      </c>
      <c r="F117" s="112">
        <v>2000</v>
      </c>
      <c r="G117" s="113">
        <v>10</v>
      </c>
      <c r="H117" s="114">
        <f t="shared" si="11"/>
        <v>20000</v>
      </c>
    </row>
    <row r="118" spans="1:8" ht="15.75" customHeight="1" x14ac:dyDescent="0.3">
      <c r="A118" s="403"/>
      <c r="B118" s="403"/>
      <c r="C118" s="406"/>
      <c r="D118" s="567" t="s">
        <v>98</v>
      </c>
      <c r="E118" s="568" t="s">
        <v>55</v>
      </c>
      <c r="F118" s="112">
        <v>2</v>
      </c>
      <c r="G118" s="113">
        <v>10000</v>
      </c>
      <c r="H118" s="114">
        <f t="shared" si="11"/>
        <v>20000</v>
      </c>
    </row>
    <row r="119" spans="1:8" ht="15.75" customHeight="1" x14ac:dyDescent="0.3">
      <c r="A119" s="403"/>
      <c r="B119" s="403"/>
      <c r="C119" s="406"/>
      <c r="D119" s="567" t="s">
        <v>99</v>
      </c>
      <c r="E119" s="568" t="s">
        <v>81</v>
      </c>
      <c r="F119" s="112">
        <v>0</v>
      </c>
      <c r="G119" s="113">
        <v>5000</v>
      </c>
      <c r="H119" s="114">
        <f t="shared" si="11"/>
        <v>0</v>
      </c>
    </row>
    <row r="120" spans="1:8" ht="15.75" customHeight="1" x14ac:dyDescent="0.3">
      <c r="A120" s="403"/>
      <c r="B120" s="403"/>
      <c r="C120" s="406"/>
      <c r="D120" s="567" t="s">
        <v>115</v>
      </c>
      <c r="E120" s="568" t="s">
        <v>82</v>
      </c>
      <c r="F120" s="112">
        <v>0</v>
      </c>
      <c r="G120" s="113">
        <v>5000</v>
      </c>
      <c r="H120" s="114">
        <f t="shared" si="11"/>
        <v>0</v>
      </c>
    </row>
    <row r="121" spans="1:8" ht="15.75" customHeight="1" thickBot="1" x14ac:dyDescent="0.35">
      <c r="A121" s="404"/>
      <c r="B121" s="404"/>
      <c r="C121" s="407"/>
      <c r="D121" s="535" t="s">
        <v>22</v>
      </c>
      <c r="E121" s="485"/>
      <c r="F121" s="485"/>
      <c r="G121" s="418"/>
      <c r="H121" s="115">
        <f>SUM(H114:H120)</f>
        <v>63750</v>
      </c>
    </row>
    <row r="122" spans="1:8" ht="15.75" customHeight="1" thickBot="1" x14ac:dyDescent="0.35">
      <c r="A122" s="116">
        <v>1</v>
      </c>
      <c r="B122" s="117"/>
      <c r="C122" s="118"/>
      <c r="D122" s="119"/>
      <c r="E122" s="120"/>
      <c r="F122" s="120"/>
      <c r="G122" s="121"/>
      <c r="H122" s="122"/>
    </row>
    <row r="123" spans="1:8" ht="15.75" customHeight="1" x14ac:dyDescent="0.3">
      <c r="A123" s="403">
        <v>17</v>
      </c>
      <c r="B123" s="402" t="s">
        <v>43</v>
      </c>
      <c r="C123" s="405">
        <v>45108</v>
      </c>
      <c r="D123" s="567" t="s">
        <v>94</v>
      </c>
      <c r="E123" s="568"/>
      <c r="F123" s="112">
        <v>275</v>
      </c>
      <c r="G123" s="113">
        <v>50</v>
      </c>
      <c r="H123" s="114">
        <f t="shared" ref="H123:H129" si="12">+F123*G123</f>
        <v>13750</v>
      </c>
    </row>
    <row r="124" spans="1:8" ht="15.75" customHeight="1" x14ac:dyDescent="0.3">
      <c r="A124" s="403"/>
      <c r="B124" s="403"/>
      <c r="C124" s="406"/>
      <c r="D124" s="567" t="s">
        <v>96</v>
      </c>
      <c r="E124" s="568"/>
      <c r="F124" s="112">
        <v>1</v>
      </c>
      <c r="G124" s="113">
        <v>2000</v>
      </c>
      <c r="H124" s="114">
        <f t="shared" si="12"/>
        <v>2000</v>
      </c>
    </row>
    <row r="125" spans="1:8" ht="15.75" customHeight="1" x14ac:dyDescent="0.3">
      <c r="A125" s="403"/>
      <c r="B125" s="403"/>
      <c r="C125" s="406"/>
      <c r="D125" s="567" t="s">
        <v>97</v>
      </c>
      <c r="E125" s="568"/>
      <c r="F125" s="112">
        <v>1</v>
      </c>
      <c r="G125" s="113">
        <v>8000</v>
      </c>
      <c r="H125" s="114">
        <f t="shared" si="12"/>
        <v>8000</v>
      </c>
    </row>
    <row r="126" spans="1:8" ht="15.75" customHeight="1" x14ac:dyDescent="0.3">
      <c r="A126" s="403"/>
      <c r="B126" s="403"/>
      <c r="C126" s="406"/>
      <c r="D126" s="567" t="s">
        <v>95</v>
      </c>
      <c r="E126" s="568" t="s">
        <v>54</v>
      </c>
      <c r="F126" s="112">
        <v>2000</v>
      </c>
      <c r="G126" s="113">
        <v>10</v>
      </c>
      <c r="H126" s="114">
        <f t="shared" si="12"/>
        <v>20000</v>
      </c>
    </row>
    <row r="127" spans="1:8" ht="15.75" customHeight="1" x14ac:dyDescent="0.3">
      <c r="A127" s="403"/>
      <c r="B127" s="403"/>
      <c r="C127" s="406"/>
      <c r="D127" s="567" t="s">
        <v>98</v>
      </c>
      <c r="E127" s="568" t="s">
        <v>55</v>
      </c>
      <c r="F127" s="112">
        <v>2</v>
      </c>
      <c r="G127" s="113">
        <v>10000</v>
      </c>
      <c r="H127" s="114">
        <f t="shared" si="12"/>
        <v>20000</v>
      </c>
    </row>
    <row r="128" spans="1:8" ht="15.75" customHeight="1" x14ac:dyDescent="0.3">
      <c r="A128" s="403"/>
      <c r="B128" s="403"/>
      <c r="C128" s="406"/>
      <c r="D128" s="567" t="s">
        <v>99</v>
      </c>
      <c r="E128" s="568" t="s">
        <v>81</v>
      </c>
      <c r="F128" s="112">
        <v>0</v>
      </c>
      <c r="G128" s="113">
        <v>5000</v>
      </c>
      <c r="H128" s="114">
        <f t="shared" si="12"/>
        <v>0</v>
      </c>
    </row>
    <row r="129" spans="1:8" ht="15.75" customHeight="1" x14ac:dyDescent="0.3">
      <c r="A129" s="403"/>
      <c r="B129" s="403"/>
      <c r="C129" s="406"/>
      <c r="D129" s="567" t="s">
        <v>115</v>
      </c>
      <c r="E129" s="568" t="s">
        <v>82</v>
      </c>
      <c r="F129" s="112">
        <v>0</v>
      </c>
      <c r="G129" s="113">
        <v>5000</v>
      </c>
      <c r="H129" s="114">
        <f t="shared" si="12"/>
        <v>0</v>
      </c>
    </row>
    <row r="130" spans="1:8" ht="15.75" customHeight="1" thickBot="1" x14ac:dyDescent="0.35">
      <c r="A130" s="404"/>
      <c r="B130" s="404"/>
      <c r="C130" s="407"/>
      <c r="D130" s="535" t="s">
        <v>22</v>
      </c>
      <c r="E130" s="485"/>
      <c r="F130" s="485"/>
      <c r="G130" s="418"/>
      <c r="H130" s="115">
        <f>SUM(H123:H129)</f>
        <v>63750</v>
      </c>
    </row>
    <row r="131" spans="1:8" thickBot="1" x14ac:dyDescent="0.35">
      <c r="A131" s="116">
        <v>1</v>
      </c>
      <c r="B131" s="117"/>
      <c r="C131" s="118"/>
      <c r="D131" s="119"/>
      <c r="E131" s="120"/>
      <c r="F131" s="120"/>
      <c r="G131" s="121"/>
      <c r="H131" s="122"/>
    </row>
    <row r="132" spans="1:8" ht="14.4" x14ac:dyDescent="0.3">
      <c r="A132" s="403">
        <v>18</v>
      </c>
      <c r="B132" s="402" t="s">
        <v>40</v>
      </c>
      <c r="C132" s="405">
        <v>45117</v>
      </c>
      <c r="D132" s="567" t="s">
        <v>94</v>
      </c>
      <c r="E132" s="568"/>
      <c r="F132" s="112">
        <v>275</v>
      </c>
      <c r="G132" s="113">
        <v>50</v>
      </c>
      <c r="H132" s="114">
        <f t="shared" ref="H132:H138" si="13">+F132*G132</f>
        <v>13750</v>
      </c>
    </row>
    <row r="133" spans="1:8" ht="14.4" x14ac:dyDescent="0.3">
      <c r="A133" s="403"/>
      <c r="B133" s="403"/>
      <c r="C133" s="406"/>
      <c r="D133" s="567" t="s">
        <v>96</v>
      </c>
      <c r="E133" s="568"/>
      <c r="F133" s="112">
        <v>1</v>
      </c>
      <c r="G133" s="113">
        <v>2000</v>
      </c>
      <c r="H133" s="114">
        <f t="shared" si="13"/>
        <v>2000</v>
      </c>
    </row>
    <row r="134" spans="1:8" ht="14.4" x14ac:dyDescent="0.3">
      <c r="A134" s="403"/>
      <c r="B134" s="403"/>
      <c r="C134" s="406"/>
      <c r="D134" s="567" t="s">
        <v>97</v>
      </c>
      <c r="E134" s="568"/>
      <c r="F134" s="112">
        <v>1</v>
      </c>
      <c r="G134" s="113">
        <v>8000</v>
      </c>
      <c r="H134" s="114">
        <f t="shared" si="13"/>
        <v>8000</v>
      </c>
    </row>
    <row r="135" spans="1:8" ht="14.4" x14ac:dyDescent="0.3">
      <c r="A135" s="403"/>
      <c r="B135" s="403"/>
      <c r="C135" s="406"/>
      <c r="D135" s="567" t="s">
        <v>95</v>
      </c>
      <c r="E135" s="568" t="s">
        <v>54</v>
      </c>
      <c r="F135" s="112">
        <v>2000</v>
      </c>
      <c r="G135" s="113">
        <v>10</v>
      </c>
      <c r="H135" s="114">
        <f t="shared" si="13"/>
        <v>20000</v>
      </c>
    </row>
    <row r="136" spans="1:8" ht="14.4" x14ac:dyDescent="0.3">
      <c r="A136" s="403"/>
      <c r="B136" s="403"/>
      <c r="C136" s="406"/>
      <c r="D136" s="567" t="s">
        <v>98</v>
      </c>
      <c r="E136" s="568" t="s">
        <v>55</v>
      </c>
      <c r="F136" s="112">
        <v>2</v>
      </c>
      <c r="G136" s="113">
        <v>10000</v>
      </c>
      <c r="H136" s="114">
        <f t="shared" si="13"/>
        <v>20000</v>
      </c>
    </row>
    <row r="137" spans="1:8" ht="14.4" x14ac:dyDescent="0.3">
      <c r="A137" s="403"/>
      <c r="B137" s="403"/>
      <c r="C137" s="406"/>
      <c r="D137" s="567" t="s">
        <v>99</v>
      </c>
      <c r="E137" s="568" t="s">
        <v>81</v>
      </c>
      <c r="F137" s="112">
        <v>0</v>
      </c>
      <c r="G137" s="113">
        <v>5000</v>
      </c>
      <c r="H137" s="114">
        <f t="shared" si="13"/>
        <v>0</v>
      </c>
    </row>
    <row r="138" spans="1:8" ht="14.4" x14ac:dyDescent="0.3">
      <c r="A138" s="403"/>
      <c r="B138" s="403"/>
      <c r="C138" s="406"/>
      <c r="D138" s="567" t="s">
        <v>115</v>
      </c>
      <c r="E138" s="568" t="s">
        <v>82</v>
      </c>
      <c r="F138" s="112">
        <v>0</v>
      </c>
      <c r="G138" s="113">
        <v>5000</v>
      </c>
      <c r="H138" s="114">
        <f t="shared" si="13"/>
        <v>0</v>
      </c>
    </row>
    <row r="139" spans="1:8" thickBot="1" x14ac:dyDescent="0.35">
      <c r="A139" s="404"/>
      <c r="B139" s="404"/>
      <c r="C139" s="407"/>
      <c r="D139" s="535" t="s">
        <v>22</v>
      </c>
      <c r="E139" s="485"/>
      <c r="F139" s="485"/>
      <c r="G139" s="418"/>
      <c r="H139" s="115">
        <f>SUM(H132:H138)</f>
        <v>63750</v>
      </c>
    </row>
    <row r="140" spans="1:8" thickBot="1" x14ac:dyDescent="0.35">
      <c r="A140" s="116">
        <v>1</v>
      </c>
      <c r="B140" s="117"/>
      <c r="C140" s="118"/>
      <c r="D140" s="119"/>
      <c r="E140" s="120"/>
      <c r="F140" s="120"/>
      <c r="G140" s="121"/>
      <c r="H140" s="122"/>
    </row>
    <row r="141" spans="1:8" ht="14.4" x14ac:dyDescent="0.3">
      <c r="A141" s="403">
        <v>19</v>
      </c>
      <c r="B141" s="402" t="s">
        <v>130</v>
      </c>
      <c r="C141" s="405">
        <v>45131</v>
      </c>
      <c r="D141" s="567" t="s">
        <v>94</v>
      </c>
      <c r="E141" s="568"/>
      <c r="F141" s="112">
        <v>275</v>
      </c>
      <c r="G141" s="113">
        <v>50</v>
      </c>
      <c r="H141" s="114">
        <f t="shared" ref="H141:H147" si="14">+F141*G141</f>
        <v>13750</v>
      </c>
    </row>
    <row r="142" spans="1:8" ht="14.4" x14ac:dyDescent="0.3">
      <c r="A142" s="403"/>
      <c r="B142" s="403"/>
      <c r="C142" s="406"/>
      <c r="D142" s="567" t="s">
        <v>96</v>
      </c>
      <c r="E142" s="568"/>
      <c r="F142" s="112">
        <v>1</v>
      </c>
      <c r="G142" s="113">
        <v>2000</v>
      </c>
      <c r="H142" s="114">
        <f t="shared" si="14"/>
        <v>2000</v>
      </c>
    </row>
    <row r="143" spans="1:8" ht="14.4" x14ac:dyDescent="0.3">
      <c r="A143" s="403"/>
      <c r="B143" s="403"/>
      <c r="C143" s="406"/>
      <c r="D143" s="567" t="s">
        <v>97</v>
      </c>
      <c r="E143" s="568"/>
      <c r="F143" s="112">
        <v>1</v>
      </c>
      <c r="G143" s="113">
        <v>8000</v>
      </c>
      <c r="H143" s="114">
        <f t="shared" si="14"/>
        <v>8000</v>
      </c>
    </row>
    <row r="144" spans="1:8" ht="14.4" x14ac:dyDescent="0.3">
      <c r="A144" s="403"/>
      <c r="B144" s="403"/>
      <c r="C144" s="406"/>
      <c r="D144" s="567" t="s">
        <v>95</v>
      </c>
      <c r="E144" s="568" t="s">
        <v>54</v>
      </c>
      <c r="F144" s="112">
        <v>2000</v>
      </c>
      <c r="G144" s="113">
        <v>10</v>
      </c>
      <c r="H144" s="114">
        <f t="shared" si="14"/>
        <v>20000</v>
      </c>
    </row>
    <row r="145" spans="1:11" ht="14.4" x14ac:dyDescent="0.3">
      <c r="A145" s="403"/>
      <c r="B145" s="403"/>
      <c r="C145" s="406"/>
      <c r="D145" s="567" t="s">
        <v>98</v>
      </c>
      <c r="E145" s="568" t="s">
        <v>55</v>
      </c>
      <c r="F145" s="112">
        <v>2</v>
      </c>
      <c r="G145" s="113">
        <v>10000</v>
      </c>
      <c r="H145" s="114">
        <f t="shared" si="14"/>
        <v>20000</v>
      </c>
    </row>
    <row r="146" spans="1:11" ht="14.4" x14ac:dyDescent="0.3">
      <c r="A146" s="403"/>
      <c r="B146" s="403"/>
      <c r="C146" s="406"/>
      <c r="D146" s="567" t="s">
        <v>99</v>
      </c>
      <c r="E146" s="568" t="s">
        <v>81</v>
      </c>
      <c r="F146" s="112">
        <v>0</v>
      </c>
      <c r="G146" s="113">
        <v>5000</v>
      </c>
      <c r="H146" s="114">
        <f t="shared" si="14"/>
        <v>0</v>
      </c>
    </row>
    <row r="147" spans="1:11" ht="14.4" x14ac:dyDescent="0.3">
      <c r="A147" s="403"/>
      <c r="B147" s="403"/>
      <c r="C147" s="406"/>
      <c r="D147" s="567" t="s">
        <v>115</v>
      </c>
      <c r="E147" s="568" t="s">
        <v>82</v>
      </c>
      <c r="F147" s="112">
        <v>0</v>
      </c>
      <c r="G147" s="113">
        <v>5000</v>
      </c>
      <c r="H147" s="114">
        <f t="shared" si="14"/>
        <v>0</v>
      </c>
    </row>
    <row r="148" spans="1:11" thickBot="1" x14ac:dyDescent="0.35">
      <c r="A148" s="404"/>
      <c r="B148" s="404"/>
      <c r="C148" s="407"/>
      <c r="D148" s="535" t="s">
        <v>22</v>
      </c>
      <c r="E148" s="485"/>
      <c r="F148" s="485"/>
      <c r="G148" s="418"/>
      <c r="H148" s="115">
        <f>SUM(H141:H147)</f>
        <v>63750</v>
      </c>
    </row>
    <row r="149" spans="1:11" thickBot="1" x14ac:dyDescent="0.35">
      <c r="A149" s="116">
        <v>1</v>
      </c>
      <c r="B149" s="117"/>
      <c r="C149" s="118"/>
      <c r="D149" s="119"/>
      <c r="E149" s="120"/>
      <c r="F149" s="120"/>
      <c r="G149" s="121"/>
      <c r="H149" s="122"/>
    </row>
    <row r="150" spans="1:11" ht="14.4" x14ac:dyDescent="0.3">
      <c r="A150" s="600">
        <v>20</v>
      </c>
      <c r="B150" s="603" t="s">
        <v>132</v>
      </c>
      <c r="C150" s="606">
        <v>45164</v>
      </c>
      <c r="D150" s="567" t="s">
        <v>94</v>
      </c>
      <c r="E150" s="568"/>
      <c r="F150" s="112">
        <v>290</v>
      </c>
      <c r="G150" s="113">
        <v>100</v>
      </c>
      <c r="H150" s="114">
        <f t="shared" ref="H150:H157" si="15">+F150*G150</f>
        <v>29000</v>
      </c>
    </row>
    <row r="151" spans="1:11" ht="14.4" x14ac:dyDescent="0.3">
      <c r="A151" s="601"/>
      <c r="B151" s="604"/>
      <c r="C151" s="607"/>
      <c r="D151" s="567" t="s">
        <v>96</v>
      </c>
      <c r="E151" s="568"/>
      <c r="F151" s="112">
        <v>1</v>
      </c>
      <c r="G151" s="113">
        <v>4000</v>
      </c>
      <c r="H151" s="114">
        <f t="shared" si="15"/>
        <v>4000</v>
      </c>
    </row>
    <row r="152" spans="1:11" ht="14.4" x14ac:dyDescent="0.3">
      <c r="A152" s="601"/>
      <c r="B152" s="604"/>
      <c r="C152" s="607"/>
      <c r="D152" s="567" t="s">
        <v>97</v>
      </c>
      <c r="E152" s="568"/>
      <c r="F152" s="112">
        <v>1</v>
      </c>
      <c r="G152" s="113">
        <v>12000</v>
      </c>
      <c r="H152" s="114">
        <f t="shared" si="15"/>
        <v>12000</v>
      </c>
    </row>
    <row r="153" spans="1:11" ht="14.4" x14ac:dyDescent="0.3">
      <c r="A153" s="601"/>
      <c r="B153" s="604"/>
      <c r="C153" s="607"/>
      <c r="D153" s="567" t="s">
        <v>95</v>
      </c>
      <c r="E153" s="568" t="s">
        <v>54</v>
      </c>
      <c r="F153" s="112">
        <v>1972</v>
      </c>
      <c r="G153" s="113">
        <v>20</v>
      </c>
      <c r="H153" s="114">
        <f t="shared" si="15"/>
        <v>39440</v>
      </c>
    </row>
    <row r="154" spans="1:11" ht="14.4" x14ac:dyDescent="0.3">
      <c r="A154" s="601"/>
      <c r="B154" s="604"/>
      <c r="C154" s="607"/>
      <c r="D154" s="567" t="s">
        <v>98</v>
      </c>
      <c r="E154" s="568" t="s">
        <v>55</v>
      </c>
      <c r="F154" s="112">
        <v>2</v>
      </c>
      <c r="G154" s="113">
        <v>18000</v>
      </c>
      <c r="H154" s="114">
        <f t="shared" si="15"/>
        <v>36000</v>
      </c>
    </row>
    <row r="155" spans="1:11" ht="14.4" x14ac:dyDescent="0.3">
      <c r="A155" s="601"/>
      <c r="B155" s="604"/>
      <c r="C155" s="607"/>
      <c r="D155" s="567" t="s">
        <v>99</v>
      </c>
      <c r="E155" s="568" t="s">
        <v>81</v>
      </c>
      <c r="F155" s="112">
        <v>0</v>
      </c>
      <c r="G155" s="113">
        <v>8000</v>
      </c>
      <c r="H155" s="114">
        <f t="shared" si="15"/>
        <v>0</v>
      </c>
    </row>
    <row r="156" spans="1:11" ht="14.4" x14ac:dyDescent="0.3">
      <c r="A156" s="601"/>
      <c r="B156" s="604"/>
      <c r="C156" s="607"/>
      <c r="D156" s="567" t="s">
        <v>115</v>
      </c>
      <c r="E156" s="568" t="s">
        <v>82</v>
      </c>
      <c r="F156" s="112">
        <v>0</v>
      </c>
      <c r="G156" s="113">
        <v>7500</v>
      </c>
      <c r="H156" s="114">
        <f t="shared" si="15"/>
        <v>0</v>
      </c>
    </row>
    <row r="157" spans="1:11" ht="14.4" x14ac:dyDescent="0.3">
      <c r="A157" s="601"/>
      <c r="B157" s="604"/>
      <c r="C157" s="607"/>
      <c r="D157" s="567" t="s">
        <v>133</v>
      </c>
      <c r="E157" s="568" t="s">
        <v>82</v>
      </c>
      <c r="F157" s="112">
        <v>1</v>
      </c>
      <c r="G157" s="156">
        <v>5000</v>
      </c>
      <c r="H157" s="157">
        <f t="shared" si="15"/>
        <v>5000</v>
      </c>
    </row>
    <row r="158" spans="1:11" thickBot="1" x14ac:dyDescent="0.35">
      <c r="A158" s="602"/>
      <c r="B158" s="605"/>
      <c r="C158" s="608"/>
      <c r="D158" s="535" t="s">
        <v>22</v>
      </c>
      <c r="E158" s="485"/>
      <c r="F158" s="485"/>
      <c r="G158" s="418"/>
      <c r="H158" s="115">
        <f>SUM(H150:H157)</f>
        <v>125440</v>
      </c>
      <c r="J158">
        <v>48000</v>
      </c>
      <c r="K158" s="142">
        <f>+H158+J158</f>
        <v>173440</v>
      </c>
    </row>
    <row r="159" spans="1:11" thickBot="1" x14ac:dyDescent="0.35">
      <c r="A159" s="116">
        <v>1</v>
      </c>
      <c r="B159" s="117"/>
      <c r="C159" s="118"/>
      <c r="D159" s="119"/>
      <c r="E159" s="120"/>
      <c r="F159" s="120"/>
      <c r="G159" s="121"/>
      <c r="H159" s="122"/>
    </row>
    <row r="160" spans="1:11" ht="14.4" x14ac:dyDescent="0.3">
      <c r="A160" s="403">
        <v>21</v>
      </c>
      <c r="B160" s="402" t="s">
        <v>131</v>
      </c>
      <c r="C160" s="405">
        <v>45185</v>
      </c>
      <c r="D160" s="567" t="s">
        <v>94</v>
      </c>
      <c r="E160" s="568"/>
      <c r="F160" s="112">
        <v>700</v>
      </c>
      <c r="G160" s="113">
        <v>100</v>
      </c>
      <c r="H160" s="114">
        <f t="shared" ref="H160:H167" si="16">+F160*G160</f>
        <v>70000</v>
      </c>
    </row>
    <row r="161" spans="1:8" ht="14.4" x14ac:dyDescent="0.3">
      <c r="A161" s="403"/>
      <c r="B161" s="403"/>
      <c r="C161" s="406"/>
      <c r="D161" s="567" t="s">
        <v>96</v>
      </c>
      <c r="E161" s="568"/>
      <c r="F161" s="112">
        <v>1</v>
      </c>
      <c r="G161" s="113">
        <v>4000</v>
      </c>
      <c r="H161" s="114">
        <f t="shared" si="16"/>
        <v>4000</v>
      </c>
    </row>
    <row r="162" spans="1:8" ht="14.4" x14ac:dyDescent="0.3">
      <c r="A162" s="403"/>
      <c r="B162" s="403"/>
      <c r="C162" s="406"/>
      <c r="D162" s="567" t="s">
        <v>97</v>
      </c>
      <c r="E162" s="568"/>
      <c r="F162" s="112">
        <v>1</v>
      </c>
      <c r="G162" s="113">
        <v>12000</v>
      </c>
      <c r="H162" s="114">
        <f t="shared" si="16"/>
        <v>12000</v>
      </c>
    </row>
    <row r="163" spans="1:8" ht="14.4" x14ac:dyDescent="0.3">
      <c r="A163" s="403"/>
      <c r="B163" s="403"/>
      <c r="C163" s="406"/>
      <c r="D163" s="567" t="s">
        <v>95</v>
      </c>
      <c r="E163" s="568" t="s">
        <v>54</v>
      </c>
      <c r="F163" s="112">
        <v>2000</v>
      </c>
      <c r="G163" s="113">
        <v>20</v>
      </c>
      <c r="H163" s="114">
        <f t="shared" si="16"/>
        <v>40000</v>
      </c>
    </row>
    <row r="164" spans="1:8" ht="14.4" x14ac:dyDescent="0.3">
      <c r="A164" s="403"/>
      <c r="B164" s="403"/>
      <c r="C164" s="406"/>
      <c r="D164" s="567" t="s">
        <v>98</v>
      </c>
      <c r="E164" s="568" t="s">
        <v>55</v>
      </c>
      <c r="F164" s="112">
        <v>2</v>
      </c>
      <c r="G164" s="113">
        <v>18000</v>
      </c>
      <c r="H164" s="114">
        <f t="shared" si="16"/>
        <v>36000</v>
      </c>
    </row>
    <row r="165" spans="1:8" ht="14.4" x14ac:dyDescent="0.3">
      <c r="A165" s="403"/>
      <c r="B165" s="403"/>
      <c r="C165" s="406"/>
      <c r="D165" s="567" t="s">
        <v>99</v>
      </c>
      <c r="E165" s="568" t="s">
        <v>81</v>
      </c>
      <c r="F165" s="112">
        <v>0</v>
      </c>
      <c r="G165" s="113">
        <v>8000</v>
      </c>
      <c r="H165" s="114">
        <f t="shared" si="16"/>
        <v>0</v>
      </c>
    </row>
    <row r="166" spans="1:8" ht="14.4" x14ac:dyDescent="0.3">
      <c r="A166" s="403"/>
      <c r="B166" s="403"/>
      <c r="C166" s="406"/>
      <c r="D166" s="567" t="s">
        <v>115</v>
      </c>
      <c r="E166" s="568" t="s">
        <v>82</v>
      </c>
      <c r="F166" s="112">
        <v>0</v>
      </c>
      <c r="G166" s="113">
        <v>7500</v>
      </c>
      <c r="H166" s="114">
        <f t="shared" si="16"/>
        <v>0</v>
      </c>
    </row>
    <row r="167" spans="1:8" ht="14.4" x14ac:dyDescent="0.3">
      <c r="A167" s="403"/>
      <c r="B167" s="403"/>
      <c r="C167" s="406"/>
      <c r="D167" s="567" t="s">
        <v>133</v>
      </c>
      <c r="E167" s="568" t="s">
        <v>82</v>
      </c>
      <c r="F167" s="112">
        <v>2</v>
      </c>
      <c r="G167" s="156">
        <v>5000</v>
      </c>
      <c r="H167" s="157">
        <f t="shared" si="16"/>
        <v>10000</v>
      </c>
    </row>
    <row r="168" spans="1:8" thickBot="1" x14ac:dyDescent="0.35">
      <c r="A168" s="404"/>
      <c r="B168" s="404"/>
      <c r="C168" s="407"/>
      <c r="D168" s="535" t="s">
        <v>22</v>
      </c>
      <c r="E168" s="485"/>
      <c r="F168" s="485"/>
      <c r="G168" s="418"/>
      <c r="H168" s="115">
        <f>SUM(H160:H167)</f>
        <v>172000</v>
      </c>
    </row>
    <row r="169" spans="1:8" thickBot="1" x14ac:dyDescent="0.35">
      <c r="A169" s="116">
        <v>1</v>
      </c>
      <c r="B169" s="117"/>
      <c r="C169" s="118"/>
      <c r="D169" s="119"/>
      <c r="E169" s="120"/>
      <c r="F169" s="120"/>
      <c r="G169" s="121"/>
      <c r="H169" s="122"/>
    </row>
    <row r="170" spans="1:8" ht="14.4" x14ac:dyDescent="0.3">
      <c r="A170" s="403">
        <v>22</v>
      </c>
      <c r="B170" s="402" t="s">
        <v>88</v>
      </c>
      <c r="C170" s="405">
        <v>45194</v>
      </c>
      <c r="D170" s="567" t="s">
        <v>94</v>
      </c>
      <c r="E170" s="568"/>
      <c r="F170" s="112">
        <v>290</v>
      </c>
      <c r="G170" s="113">
        <v>100</v>
      </c>
      <c r="H170" s="114">
        <f t="shared" ref="H170:H177" si="17">+F170*G170</f>
        <v>29000</v>
      </c>
    </row>
    <row r="171" spans="1:8" ht="14.4" x14ac:dyDescent="0.3">
      <c r="A171" s="403"/>
      <c r="B171" s="403"/>
      <c r="C171" s="406"/>
      <c r="D171" s="567" t="s">
        <v>96</v>
      </c>
      <c r="E171" s="568"/>
      <c r="F171" s="112">
        <v>1</v>
      </c>
      <c r="G171" s="113">
        <v>4000</v>
      </c>
      <c r="H171" s="114">
        <f t="shared" si="17"/>
        <v>4000</v>
      </c>
    </row>
    <row r="172" spans="1:8" ht="14.4" x14ac:dyDescent="0.3">
      <c r="A172" s="403"/>
      <c r="B172" s="403"/>
      <c r="C172" s="406"/>
      <c r="D172" s="567" t="s">
        <v>97</v>
      </c>
      <c r="E172" s="568"/>
      <c r="F172" s="112">
        <v>1</v>
      </c>
      <c r="G172" s="113">
        <v>12000</v>
      </c>
      <c r="H172" s="114">
        <f t="shared" si="17"/>
        <v>12000</v>
      </c>
    </row>
    <row r="173" spans="1:8" ht="14.4" x14ac:dyDescent="0.3">
      <c r="A173" s="403"/>
      <c r="B173" s="403"/>
      <c r="C173" s="406"/>
      <c r="D173" s="567" t="s">
        <v>95</v>
      </c>
      <c r="E173" s="568" t="s">
        <v>54</v>
      </c>
      <c r="F173" s="112">
        <v>1972</v>
      </c>
      <c r="G173" s="113">
        <v>20</v>
      </c>
      <c r="H173" s="114">
        <f t="shared" si="17"/>
        <v>39440</v>
      </c>
    </row>
    <row r="174" spans="1:8" ht="14.4" x14ac:dyDescent="0.3">
      <c r="A174" s="403"/>
      <c r="B174" s="403"/>
      <c r="C174" s="406"/>
      <c r="D174" s="567" t="s">
        <v>98</v>
      </c>
      <c r="E174" s="568" t="s">
        <v>55</v>
      </c>
      <c r="F174" s="112">
        <v>2</v>
      </c>
      <c r="G174" s="113">
        <v>18000</v>
      </c>
      <c r="H174" s="114">
        <f t="shared" si="17"/>
        <v>36000</v>
      </c>
    </row>
    <row r="175" spans="1:8" ht="14.4" x14ac:dyDescent="0.3">
      <c r="A175" s="403"/>
      <c r="B175" s="403"/>
      <c r="C175" s="406"/>
      <c r="D175" s="567" t="s">
        <v>99</v>
      </c>
      <c r="E175" s="568" t="s">
        <v>81</v>
      </c>
      <c r="F175" s="112">
        <v>0</v>
      </c>
      <c r="G175" s="113">
        <v>8000</v>
      </c>
      <c r="H175" s="114">
        <f t="shared" si="17"/>
        <v>0</v>
      </c>
    </row>
    <row r="176" spans="1:8" ht="14.4" x14ac:dyDescent="0.3">
      <c r="A176" s="403"/>
      <c r="B176" s="403"/>
      <c r="C176" s="406"/>
      <c r="D176" s="567" t="s">
        <v>115</v>
      </c>
      <c r="E176" s="568" t="s">
        <v>82</v>
      </c>
      <c r="F176" s="112">
        <v>0</v>
      </c>
      <c r="G176" s="113">
        <v>7500</v>
      </c>
      <c r="H176" s="114">
        <f t="shared" si="17"/>
        <v>0</v>
      </c>
    </row>
    <row r="177" spans="1:11" ht="14.4" x14ac:dyDescent="0.3">
      <c r="A177" s="403"/>
      <c r="B177" s="403"/>
      <c r="C177" s="406"/>
      <c r="D177" s="567" t="s">
        <v>133</v>
      </c>
      <c r="E177" s="568" t="s">
        <v>82</v>
      </c>
      <c r="F177" s="112">
        <v>2</v>
      </c>
      <c r="G177" s="156">
        <v>5000</v>
      </c>
      <c r="H177" s="157">
        <f t="shared" si="17"/>
        <v>10000</v>
      </c>
    </row>
    <row r="178" spans="1:11" thickBot="1" x14ac:dyDescent="0.35">
      <c r="A178" s="404"/>
      <c r="B178" s="404"/>
      <c r="C178" s="407"/>
      <c r="D178" s="535" t="s">
        <v>22</v>
      </c>
      <c r="E178" s="485"/>
      <c r="F178" s="485"/>
      <c r="G178" s="418"/>
      <c r="H178" s="115">
        <f>SUM(H170:H177)</f>
        <v>130440</v>
      </c>
      <c r="J178" s="175">
        <v>48000</v>
      </c>
      <c r="K178" s="142">
        <f>+H178+J178</f>
        <v>178440</v>
      </c>
    </row>
    <row r="179" spans="1:11" thickBot="1" x14ac:dyDescent="0.35">
      <c r="A179" s="116">
        <v>1</v>
      </c>
      <c r="B179" s="117"/>
      <c r="C179" s="118"/>
      <c r="D179" s="119"/>
      <c r="E179" s="120"/>
      <c r="F179" s="120"/>
      <c r="G179" s="121"/>
      <c r="H179" s="122"/>
    </row>
    <row r="180" spans="1:11" ht="14.4" x14ac:dyDescent="0.3">
      <c r="A180" s="403">
        <v>23</v>
      </c>
      <c r="B180" s="402" t="s">
        <v>38</v>
      </c>
      <c r="C180" s="405">
        <v>45200</v>
      </c>
      <c r="D180" s="567" t="s">
        <v>94</v>
      </c>
      <c r="E180" s="568"/>
      <c r="F180" s="112">
        <v>290</v>
      </c>
      <c r="G180" s="113">
        <v>100</v>
      </c>
      <c r="H180" s="114">
        <f t="shared" ref="H180:H187" si="18">+F180*G180</f>
        <v>29000</v>
      </c>
    </row>
    <row r="181" spans="1:11" ht="14.4" x14ac:dyDescent="0.3">
      <c r="A181" s="403"/>
      <c r="B181" s="403"/>
      <c r="C181" s="406"/>
      <c r="D181" s="567" t="s">
        <v>96</v>
      </c>
      <c r="E181" s="568"/>
      <c r="F181" s="112">
        <v>1</v>
      </c>
      <c r="G181" s="113">
        <v>4000</v>
      </c>
      <c r="H181" s="114">
        <f t="shared" si="18"/>
        <v>4000</v>
      </c>
    </row>
    <row r="182" spans="1:11" ht="14.4" x14ac:dyDescent="0.3">
      <c r="A182" s="403"/>
      <c r="B182" s="403"/>
      <c r="C182" s="406"/>
      <c r="D182" s="567" t="s">
        <v>97</v>
      </c>
      <c r="E182" s="568"/>
      <c r="F182" s="112">
        <v>1</v>
      </c>
      <c r="G182" s="113">
        <v>12000</v>
      </c>
      <c r="H182" s="114">
        <f t="shared" si="18"/>
        <v>12000</v>
      </c>
    </row>
    <row r="183" spans="1:11" ht="14.4" x14ac:dyDescent="0.3">
      <c r="A183" s="403"/>
      <c r="B183" s="403"/>
      <c r="C183" s="406"/>
      <c r="D183" s="567" t="s">
        <v>95</v>
      </c>
      <c r="E183" s="568" t="s">
        <v>54</v>
      </c>
      <c r="F183" s="112">
        <v>2252</v>
      </c>
      <c r="G183" s="113">
        <v>20</v>
      </c>
      <c r="H183" s="114">
        <f t="shared" si="18"/>
        <v>45040</v>
      </c>
    </row>
    <row r="184" spans="1:11" ht="14.4" x14ac:dyDescent="0.3">
      <c r="A184" s="403"/>
      <c r="B184" s="403"/>
      <c r="C184" s="406"/>
      <c r="D184" s="567" t="s">
        <v>98</v>
      </c>
      <c r="E184" s="568" t="s">
        <v>55</v>
      </c>
      <c r="F184" s="112">
        <v>2</v>
      </c>
      <c r="G184" s="113">
        <v>18000</v>
      </c>
      <c r="H184" s="114">
        <f t="shared" si="18"/>
        <v>36000</v>
      </c>
    </row>
    <row r="185" spans="1:11" ht="14.4" x14ac:dyDescent="0.3">
      <c r="A185" s="403"/>
      <c r="B185" s="403"/>
      <c r="C185" s="406"/>
      <c r="D185" s="567" t="s">
        <v>99</v>
      </c>
      <c r="E185" s="568" t="s">
        <v>81</v>
      </c>
      <c r="F185" s="112">
        <v>1</v>
      </c>
      <c r="G185" s="113">
        <v>8000</v>
      </c>
      <c r="H185" s="114">
        <f t="shared" si="18"/>
        <v>8000</v>
      </c>
    </row>
    <row r="186" spans="1:11" ht="14.4" x14ac:dyDescent="0.3">
      <c r="A186" s="403"/>
      <c r="B186" s="403"/>
      <c r="C186" s="406"/>
      <c r="D186" s="567" t="s">
        <v>115</v>
      </c>
      <c r="E186" s="568" t="s">
        <v>82</v>
      </c>
      <c r="F186" s="112">
        <v>0</v>
      </c>
      <c r="G186" s="113">
        <v>7500</v>
      </c>
      <c r="H186" s="114">
        <f t="shared" si="18"/>
        <v>0</v>
      </c>
    </row>
    <row r="187" spans="1:11" ht="14.4" x14ac:dyDescent="0.3">
      <c r="A187" s="403"/>
      <c r="B187" s="403"/>
      <c r="C187" s="406"/>
      <c r="D187" s="567" t="s">
        <v>133</v>
      </c>
      <c r="E187" s="568" t="s">
        <v>82</v>
      </c>
      <c r="F187" s="112">
        <v>2</v>
      </c>
      <c r="G187" s="156">
        <v>5000</v>
      </c>
      <c r="H187" s="157">
        <f t="shared" si="18"/>
        <v>10000</v>
      </c>
    </row>
    <row r="188" spans="1:11" thickBot="1" x14ac:dyDescent="0.35">
      <c r="A188" s="404"/>
      <c r="B188" s="404"/>
      <c r="C188" s="407"/>
      <c r="D188" s="535" t="s">
        <v>22</v>
      </c>
      <c r="E188" s="485"/>
      <c r="F188" s="485"/>
      <c r="G188" s="418"/>
      <c r="H188" s="115">
        <f>SUM(H180:H187)</f>
        <v>144040</v>
      </c>
    </row>
    <row r="189" spans="1:11" thickBot="1" x14ac:dyDescent="0.35">
      <c r="A189" s="116">
        <v>1</v>
      </c>
      <c r="B189" s="117"/>
      <c r="C189" s="118"/>
      <c r="D189" s="119"/>
      <c r="E189" s="120"/>
      <c r="F189" s="120"/>
      <c r="G189" s="121"/>
      <c r="H189" s="122"/>
    </row>
    <row r="190" spans="1:11" s="174" customFormat="1" ht="14.4" x14ac:dyDescent="0.3">
      <c r="A190" s="403">
        <v>24</v>
      </c>
      <c r="B190" s="402" t="s">
        <v>13</v>
      </c>
      <c r="C190" s="405">
        <v>45219</v>
      </c>
      <c r="D190" s="567" t="s">
        <v>94</v>
      </c>
      <c r="E190" s="568"/>
      <c r="F190" s="112">
        <v>290</v>
      </c>
      <c r="G190" s="113">
        <v>100</v>
      </c>
      <c r="H190" s="114">
        <f t="shared" ref="H190:H197" si="19">+F190*G190</f>
        <v>29000</v>
      </c>
    </row>
    <row r="191" spans="1:11" s="174" customFormat="1" ht="14.4" x14ac:dyDescent="0.3">
      <c r="A191" s="403"/>
      <c r="B191" s="403"/>
      <c r="C191" s="406"/>
      <c r="D191" s="567" t="s">
        <v>96</v>
      </c>
      <c r="E191" s="568"/>
      <c r="F191" s="112">
        <v>1</v>
      </c>
      <c r="G191" s="113">
        <v>4000</v>
      </c>
      <c r="H191" s="114">
        <f t="shared" si="19"/>
        <v>4000</v>
      </c>
    </row>
    <row r="192" spans="1:11" s="174" customFormat="1" ht="14.4" x14ac:dyDescent="0.3">
      <c r="A192" s="403"/>
      <c r="B192" s="403"/>
      <c r="C192" s="406"/>
      <c r="D192" s="567" t="s">
        <v>97</v>
      </c>
      <c r="E192" s="568"/>
      <c r="F192" s="112">
        <v>1</v>
      </c>
      <c r="G192" s="113">
        <v>12000</v>
      </c>
      <c r="H192" s="114">
        <f t="shared" si="19"/>
        <v>12000</v>
      </c>
    </row>
    <row r="193" spans="1:11" s="174" customFormat="1" ht="14.4" x14ac:dyDescent="0.3">
      <c r="A193" s="403"/>
      <c r="B193" s="403"/>
      <c r="C193" s="406"/>
      <c r="D193" s="567" t="s">
        <v>95</v>
      </c>
      <c r="E193" s="568" t="s">
        <v>54</v>
      </c>
      <c r="F193" s="112">
        <v>2000</v>
      </c>
      <c r="G193" s="113">
        <v>20</v>
      </c>
      <c r="H193" s="114">
        <f t="shared" si="19"/>
        <v>40000</v>
      </c>
    </row>
    <row r="194" spans="1:11" s="174" customFormat="1" ht="14.4" x14ac:dyDescent="0.3">
      <c r="A194" s="403"/>
      <c r="B194" s="403"/>
      <c r="C194" s="406"/>
      <c r="D194" s="567" t="s">
        <v>98</v>
      </c>
      <c r="E194" s="568" t="s">
        <v>55</v>
      </c>
      <c r="F194" s="112">
        <v>2</v>
      </c>
      <c r="G194" s="113">
        <v>18000</v>
      </c>
      <c r="H194" s="114">
        <f t="shared" si="19"/>
        <v>36000</v>
      </c>
    </row>
    <row r="195" spans="1:11" s="174" customFormat="1" ht="14.4" x14ac:dyDescent="0.3">
      <c r="A195" s="403"/>
      <c r="B195" s="403"/>
      <c r="C195" s="406"/>
      <c r="D195" s="567" t="s">
        <v>99</v>
      </c>
      <c r="E195" s="568" t="s">
        <v>81</v>
      </c>
      <c r="F195" s="112">
        <v>1</v>
      </c>
      <c r="G195" s="113">
        <v>8000</v>
      </c>
      <c r="H195" s="114">
        <f t="shared" si="19"/>
        <v>8000</v>
      </c>
    </row>
    <row r="196" spans="1:11" s="174" customFormat="1" ht="14.4" x14ac:dyDescent="0.3">
      <c r="A196" s="403"/>
      <c r="B196" s="403"/>
      <c r="C196" s="406"/>
      <c r="D196" s="567" t="s">
        <v>115</v>
      </c>
      <c r="E196" s="568" t="s">
        <v>82</v>
      </c>
      <c r="F196" s="112">
        <v>0</v>
      </c>
      <c r="G196" s="113">
        <v>7500</v>
      </c>
      <c r="H196" s="114">
        <f t="shared" si="19"/>
        <v>0</v>
      </c>
    </row>
    <row r="197" spans="1:11" s="174" customFormat="1" ht="14.4" x14ac:dyDescent="0.3">
      <c r="A197" s="403"/>
      <c r="B197" s="403"/>
      <c r="C197" s="406"/>
      <c r="D197" s="567" t="s">
        <v>133</v>
      </c>
      <c r="E197" s="568" t="s">
        <v>82</v>
      </c>
      <c r="F197" s="112">
        <v>2</v>
      </c>
      <c r="G197" s="156">
        <v>5000</v>
      </c>
      <c r="H197" s="157">
        <f t="shared" si="19"/>
        <v>10000</v>
      </c>
    </row>
    <row r="198" spans="1:11" s="174" customFormat="1" thickBot="1" x14ac:dyDescent="0.35">
      <c r="A198" s="404"/>
      <c r="B198" s="404"/>
      <c r="C198" s="407"/>
      <c r="D198" s="535" t="s">
        <v>22</v>
      </c>
      <c r="E198" s="485"/>
      <c r="F198" s="485"/>
      <c r="G198" s="418"/>
      <c r="H198" s="115">
        <f>SUM(H190:H197)</f>
        <v>139000</v>
      </c>
    </row>
    <row r="199" spans="1:11" s="174" customFormat="1" thickBot="1" x14ac:dyDescent="0.35">
      <c r="A199" s="176"/>
      <c r="B199" s="176"/>
      <c r="C199" s="177"/>
      <c r="D199" s="36"/>
      <c r="E199" s="36"/>
      <c r="F199" s="36"/>
      <c r="G199" s="36"/>
      <c r="H199" s="178"/>
    </row>
    <row r="200" spans="1:11" s="174" customFormat="1" ht="14.4" x14ac:dyDescent="0.3">
      <c r="A200" s="403">
        <v>25</v>
      </c>
      <c r="B200" s="402" t="s">
        <v>66</v>
      </c>
      <c r="C200" s="405">
        <v>45229</v>
      </c>
      <c r="D200" s="567" t="s">
        <v>94</v>
      </c>
      <c r="E200" s="568"/>
      <c r="F200" s="112">
        <v>290</v>
      </c>
      <c r="G200" s="113">
        <v>100</v>
      </c>
      <c r="H200" s="114">
        <f t="shared" ref="H200:H207" si="20">+F200*G200</f>
        <v>29000</v>
      </c>
    </row>
    <row r="201" spans="1:11" s="174" customFormat="1" ht="14.4" x14ac:dyDescent="0.3">
      <c r="A201" s="403"/>
      <c r="B201" s="403"/>
      <c r="C201" s="406"/>
      <c r="D201" s="567" t="s">
        <v>96</v>
      </c>
      <c r="E201" s="568"/>
      <c r="F201" s="112">
        <v>1</v>
      </c>
      <c r="G201" s="113">
        <v>4000</v>
      </c>
      <c r="H201" s="114">
        <f t="shared" si="20"/>
        <v>4000</v>
      </c>
    </row>
    <row r="202" spans="1:11" s="174" customFormat="1" ht="14.4" x14ac:dyDescent="0.3">
      <c r="A202" s="403"/>
      <c r="B202" s="403"/>
      <c r="C202" s="406"/>
      <c r="D202" s="567" t="s">
        <v>97</v>
      </c>
      <c r="E202" s="568"/>
      <c r="F202" s="112">
        <v>1</v>
      </c>
      <c r="G202" s="113">
        <v>12000</v>
      </c>
      <c r="H202" s="114">
        <f t="shared" si="20"/>
        <v>12000</v>
      </c>
    </row>
    <row r="203" spans="1:11" s="174" customFormat="1" ht="14.4" x14ac:dyDescent="0.3">
      <c r="A203" s="403"/>
      <c r="B203" s="403"/>
      <c r="C203" s="406"/>
      <c r="D203" s="567" t="s">
        <v>95</v>
      </c>
      <c r="E203" s="568" t="s">
        <v>54</v>
      </c>
      <c r="F203" s="112">
        <v>2000</v>
      </c>
      <c r="G203" s="113">
        <v>20</v>
      </c>
      <c r="H203" s="114">
        <f t="shared" si="20"/>
        <v>40000</v>
      </c>
    </row>
    <row r="204" spans="1:11" s="174" customFormat="1" ht="14.4" x14ac:dyDescent="0.3">
      <c r="A204" s="403"/>
      <c r="B204" s="403"/>
      <c r="C204" s="406"/>
      <c r="D204" s="567" t="s">
        <v>98</v>
      </c>
      <c r="E204" s="568" t="s">
        <v>55</v>
      </c>
      <c r="F204" s="112">
        <v>2</v>
      </c>
      <c r="G204" s="113">
        <v>18000</v>
      </c>
      <c r="H204" s="114">
        <f t="shared" si="20"/>
        <v>36000</v>
      </c>
    </row>
    <row r="205" spans="1:11" s="174" customFormat="1" ht="14.4" x14ac:dyDescent="0.3">
      <c r="A205" s="403"/>
      <c r="B205" s="403"/>
      <c r="C205" s="406"/>
      <c r="D205" s="567" t="s">
        <v>99</v>
      </c>
      <c r="E205" s="568" t="s">
        <v>81</v>
      </c>
      <c r="F205" s="112">
        <v>1</v>
      </c>
      <c r="G205" s="113">
        <v>8000</v>
      </c>
      <c r="H205" s="114">
        <f t="shared" si="20"/>
        <v>8000</v>
      </c>
    </row>
    <row r="206" spans="1:11" s="174" customFormat="1" ht="14.4" x14ac:dyDescent="0.3">
      <c r="A206" s="403"/>
      <c r="B206" s="403"/>
      <c r="C206" s="406"/>
      <c r="D206" s="567" t="s">
        <v>115</v>
      </c>
      <c r="E206" s="568" t="s">
        <v>82</v>
      </c>
      <c r="F206" s="112">
        <v>0</v>
      </c>
      <c r="G206" s="113">
        <v>7500</v>
      </c>
      <c r="H206" s="114">
        <f t="shared" si="20"/>
        <v>0</v>
      </c>
    </row>
    <row r="207" spans="1:11" s="174" customFormat="1" ht="14.4" x14ac:dyDescent="0.3">
      <c r="A207" s="403"/>
      <c r="B207" s="403"/>
      <c r="C207" s="406"/>
      <c r="D207" s="567" t="s">
        <v>133</v>
      </c>
      <c r="E207" s="568" t="s">
        <v>82</v>
      </c>
      <c r="F207" s="112">
        <v>2</v>
      </c>
      <c r="G207" s="156">
        <v>5000</v>
      </c>
      <c r="H207" s="157">
        <f t="shared" si="20"/>
        <v>10000</v>
      </c>
    </row>
    <row r="208" spans="1:11" s="174" customFormat="1" thickBot="1" x14ac:dyDescent="0.35">
      <c r="A208" s="404"/>
      <c r="B208" s="404"/>
      <c r="C208" s="407"/>
      <c r="D208" s="535" t="s">
        <v>22</v>
      </c>
      <c r="E208" s="485"/>
      <c r="F208" s="485"/>
      <c r="G208" s="418"/>
      <c r="H208" s="115">
        <f>SUM(H200:H207)</f>
        <v>139000</v>
      </c>
      <c r="J208" s="175">
        <v>48000</v>
      </c>
      <c r="K208" s="142">
        <f>+H208+J208</f>
        <v>187000</v>
      </c>
    </row>
    <row r="209" spans="1:8" s="174" customFormat="1" thickBot="1" x14ac:dyDescent="0.35">
      <c r="A209" s="176"/>
      <c r="B209" s="176"/>
      <c r="C209" s="177"/>
      <c r="D209" s="36"/>
      <c r="E209" s="36"/>
      <c r="F209" s="36"/>
      <c r="G209" s="36"/>
      <c r="H209" s="178"/>
    </row>
    <row r="210" spans="1:8" s="174" customFormat="1" ht="14.4" x14ac:dyDescent="0.3">
      <c r="A210" s="403">
        <v>26</v>
      </c>
      <c r="B210" s="402" t="s">
        <v>34</v>
      </c>
      <c r="C210" s="405">
        <v>45256</v>
      </c>
      <c r="D210" s="567" t="s">
        <v>94</v>
      </c>
      <c r="E210" s="568"/>
      <c r="F210" s="112">
        <v>290</v>
      </c>
      <c r="G210" s="113">
        <v>100</v>
      </c>
      <c r="H210" s="114">
        <f t="shared" ref="H210:H217" si="21">+F210*G210</f>
        <v>29000</v>
      </c>
    </row>
    <row r="211" spans="1:8" s="174" customFormat="1" ht="14.4" x14ac:dyDescent="0.3">
      <c r="A211" s="403"/>
      <c r="B211" s="403"/>
      <c r="C211" s="406"/>
      <c r="D211" s="567" t="s">
        <v>96</v>
      </c>
      <c r="E211" s="568"/>
      <c r="F211" s="112">
        <v>1</v>
      </c>
      <c r="G211" s="113">
        <v>4000</v>
      </c>
      <c r="H211" s="114">
        <f t="shared" si="21"/>
        <v>4000</v>
      </c>
    </row>
    <row r="212" spans="1:8" s="174" customFormat="1" ht="14.4" x14ac:dyDescent="0.3">
      <c r="A212" s="403"/>
      <c r="B212" s="403"/>
      <c r="C212" s="406"/>
      <c r="D212" s="567" t="s">
        <v>97</v>
      </c>
      <c r="E212" s="568"/>
      <c r="F212" s="112">
        <v>1</v>
      </c>
      <c r="G212" s="113">
        <v>12000</v>
      </c>
      <c r="H212" s="114">
        <f t="shared" si="21"/>
        <v>12000</v>
      </c>
    </row>
    <row r="213" spans="1:8" s="174" customFormat="1" ht="14.4" x14ac:dyDescent="0.3">
      <c r="A213" s="403"/>
      <c r="B213" s="403"/>
      <c r="C213" s="406"/>
      <c r="D213" s="567" t="s">
        <v>95</v>
      </c>
      <c r="E213" s="568" t="s">
        <v>54</v>
      </c>
      <c r="F213" s="112">
        <v>2000</v>
      </c>
      <c r="G213" s="113">
        <v>20</v>
      </c>
      <c r="H213" s="114">
        <f t="shared" si="21"/>
        <v>40000</v>
      </c>
    </row>
    <row r="214" spans="1:8" s="174" customFormat="1" ht="14.4" x14ac:dyDescent="0.3">
      <c r="A214" s="403"/>
      <c r="B214" s="403"/>
      <c r="C214" s="406"/>
      <c r="D214" s="567" t="s">
        <v>98</v>
      </c>
      <c r="E214" s="568" t="s">
        <v>55</v>
      </c>
      <c r="F214" s="112">
        <v>2</v>
      </c>
      <c r="G214" s="113">
        <v>18000</v>
      </c>
      <c r="H214" s="114">
        <f t="shared" si="21"/>
        <v>36000</v>
      </c>
    </row>
    <row r="215" spans="1:8" s="174" customFormat="1" ht="14.4" x14ac:dyDescent="0.3">
      <c r="A215" s="403"/>
      <c r="B215" s="403"/>
      <c r="C215" s="406"/>
      <c r="D215" s="567" t="s">
        <v>99</v>
      </c>
      <c r="E215" s="568" t="s">
        <v>81</v>
      </c>
      <c r="F215" s="112">
        <v>1</v>
      </c>
      <c r="G215" s="113">
        <v>8000</v>
      </c>
      <c r="H215" s="114">
        <f t="shared" si="21"/>
        <v>8000</v>
      </c>
    </row>
    <row r="216" spans="1:8" s="174" customFormat="1" ht="14.4" x14ac:dyDescent="0.3">
      <c r="A216" s="403"/>
      <c r="B216" s="403"/>
      <c r="C216" s="406"/>
      <c r="D216" s="567" t="s">
        <v>115</v>
      </c>
      <c r="E216" s="568" t="s">
        <v>82</v>
      </c>
      <c r="F216" s="112">
        <v>0</v>
      </c>
      <c r="G216" s="113">
        <v>7500</v>
      </c>
      <c r="H216" s="114">
        <f t="shared" si="21"/>
        <v>0</v>
      </c>
    </row>
    <row r="217" spans="1:8" s="174" customFormat="1" ht="14.4" x14ac:dyDescent="0.3">
      <c r="A217" s="403"/>
      <c r="B217" s="403"/>
      <c r="C217" s="406"/>
      <c r="D217" s="567" t="s">
        <v>133</v>
      </c>
      <c r="E217" s="568" t="s">
        <v>82</v>
      </c>
      <c r="F217" s="112">
        <v>2</v>
      </c>
      <c r="G217" s="156">
        <v>5000</v>
      </c>
      <c r="H217" s="157">
        <f t="shared" si="21"/>
        <v>10000</v>
      </c>
    </row>
    <row r="218" spans="1:8" s="174" customFormat="1" thickBot="1" x14ac:dyDescent="0.35">
      <c r="A218" s="404"/>
      <c r="B218" s="404"/>
      <c r="C218" s="407"/>
      <c r="D218" s="535" t="s">
        <v>22</v>
      </c>
      <c r="E218" s="485"/>
      <c r="F218" s="485"/>
      <c r="G218" s="418"/>
      <c r="H218" s="115">
        <f>SUM(H210:H217)</f>
        <v>139000</v>
      </c>
    </row>
    <row r="219" spans="1:8" s="174" customFormat="1" ht="14.4" x14ac:dyDescent="0.3">
      <c r="A219" s="176"/>
      <c r="B219" s="176"/>
      <c r="C219" s="177"/>
      <c r="D219" s="36"/>
      <c r="E219" s="36"/>
      <c r="F219" s="36"/>
      <c r="G219" s="36"/>
      <c r="H219" s="178"/>
    </row>
    <row r="220" spans="1:8" ht="14.4" x14ac:dyDescent="0.3">
      <c r="A220" s="152"/>
      <c r="B220" s="152"/>
      <c r="C220" s="153"/>
      <c r="D220" s="154"/>
      <c r="E220" s="154"/>
      <c r="F220" s="154"/>
      <c r="G220" s="154"/>
      <c r="H220" s="155"/>
    </row>
    <row r="221" spans="1:8" ht="17.399999999999999" customHeight="1" x14ac:dyDescent="0.3">
      <c r="A221" s="589" t="s">
        <v>108</v>
      </c>
      <c r="B221" s="589"/>
      <c r="C221" s="589"/>
      <c r="E221" s="598" t="s">
        <v>108</v>
      </c>
      <c r="F221" s="598"/>
      <c r="G221" s="598"/>
      <c r="H221" s="598"/>
    </row>
    <row r="222" spans="1:8" ht="15.75" customHeight="1" x14ac:dyDescent="0.3">
      <c r="A222" s="590" t="s">
        <v>109</v>
      </c>
      <c r="B222" s="590"/>
      <c r="C222" s="590"/>
      <c r="E222" s="597" t="s">
        <v>64</v>
      </c>
      <c r="F222" s="597"/>
      <c r="G222" s="597"/>
      <c r="H222" s="597"/>
    </row>
    <row r="223" spans="1:8" ht="15.75" customHeight="1" x14ac:dyDescent="0.3">
      <c r="A223" s="129" t="s">
        <v>105</v>
      </c>
      <c r="B223" s="129" t="s">
        <v>106</v>
      </c>
      <c r="C223" s="129" t="s">
        <v>107</v>
      </c>
      <c r="E223" s="139" t="s">
        <v>117</v>
      </c>
      <c r="F223" s="129" t="s">
        <v>105</v>
      </c>
      <c r="G223" s="129" t="s">
        <v>106</v>
      </c>
      <c r="H223" s="129" t="s">
        <v>107</v>
      </c>
    </row>
    <row r="224" spans="1:8" ht="15.75" customHeight="1" x14ac:dyDescent="0.3">
      <c r="A224" s="130">
        <v>45013</v>
      </c>
      <c r="B224" s="128" t="s">
        <v>116</v>
      </c>
      <c r="C224" s="131">
        <v>200000</v>
      </c>
      <c r="E224" s="126">
        <v>1</v>
      </c>
      <c r="F224" s="140">
        <f>+C6</f>
        <v>44947</v>
      </c>
      <c r="G224" s="137" t="str">
        <f>+B6</f>
        <v>Talleres - Belgrano</v>
      </c>
      <c r="H224" s="131">
        <f>+H9+H10+H11+H12</f>
        <v>0</v>
      </c>
    </row>
    <row r="225" spans="1:8" ht="15.75" customHeight="1" x14ac:dyDescent="0.3">
      <c r="A225" s="130">
        <v>45109</v>
      </c>
      <c r="B225" s="148" t="s">
        <v>126</v>
      </c>
      <c r="C225" s="131">
        <v>710000</v>
      </c>
      <c r="E225" s="126">
        <v>2</v>
      </c>
      <c r="F225" s="141">
        <f>+C15</f>
        <v>44954</v>
      </c>
      <c r="G225" s="126" t="str">
        <f>+B15</f>
        <v>Talleres - Independencia</v>
      </c>
      <c r="H225" s="65">
        <f>+H18+H19+H20+H21</f>
        <v>42000</v>
      </c>
    </row>
    <row r="226" spans="1:8" ht="15.75" customHeight="1" x14ac:dyDescent="0.3">
      <c r="A226" s="130">
        <v>45109</v>
      </c>
      <c r="B226" s="148" t="s">
        <v>127</v>
      </c>
      <c r="C226" s="131">
        <v>290000</v>
      </c>
      <c r="E226" s="126">
        <v>3</v>
      </c>
      <c r="F226" s="141">
        <f>+C24</f>
        <v>44961</v>
      </c>
      <c r="G226" s="126" t="str">
        <f>+B24</f>
        <v>Belgrano - River</v>
      </c>
      <c r="H226" s="142">
        <f>+H24</f>
        <v>50000</v>
      </c>
    </row>
    <row r="227" spans="1:8" ht="15.75" customHeight="1" x14ac:dyDescent="0.3">
      <c r="C227" s="131"/>
      <c r="E227" s="126">
        <v>4</v>
      </c>
      <c r="F227" s="138">
        <f>+C26</f>
        <v>44969</v>
      </c>
      <c r="G227" s="111" t="str">
        <f>+B26</f>
        <v>Talleres - Boca</v>
      </c>
      <c r="H227" s="65">
        <f>+H29+H30+H31+H32</f>
        <v>42000</v>
      </c>
    </row>
    <row r="228" spans="1:8" ht="15.75" customHeight="1" x14ac:dyDescent="0.3">
      <c r="A228" s="585" t="s">
        <v>110</v>
      </c>
      <c r="B228" s="585"/>
      <c r="C228" s="65">
        <f>SUM(C224:C227)</f>
        <v>1200000</v>
      </c>
      <c r="E228" s="126">
        <v>5</v>
      </c>
      <c r="F228" s="138">
        <f>+C35</f>
        <v>44976</v>
      </c>
      <c r="G228" s="111" t="str">
        <f>+B35</f>
        <v>Talleres - Central</v>
      </c>
      <c r="H228" s="65">
        <f>+H38+H39+H40+H41</f>
        <v>38500</v>
      </c>
    </row>
    <row r="229" spans="1:8" ht="15.75" customHeight="1" x14ac:dyDescent="0.3">
      <c r="A229" s="586" t="s">
        <v>123</v>
      </c>
      <c r="B229" s="586"/>
      <c r="C229" s="586"/>
      <c r="E229" s="126">
        <v>6</v>
      </c>
      <c r="F229" s="138">
        <f>+C44</f>
        <v>44981</v>
      </c>
      <c r="G229" s="111" t="str">
        <f>+B44</f>
        <v>Belgrano - Tigres</v>
      </c>
      <c r="H229" s="142">
        <f>+H44</f>
        <v>50000</v>
      </c>
    </row>
    <row r="230" spans="1:8" ht="15.75" customHeight="1" x14ac:dyDescent="0.3">
      <c r="A230" s="129" t="s">
        <v>105</v>
      </c>
      <c r="B230" s="129" t="s">
        <v>106</v>
      </c>
      <c r="C230" s="129" t="s">
        <v>107</v>
      </c>
      <c r="E230" s="126">
        <v>7</v>
      </c>
      <c r="F230" s="138">
        <f>+C46</f>
        <v>44990</v>
      </c>
      <c r="G230" s="111" t="str">
        <f>+B46</f>
        <v>Talleres - Velez</v>
      </c>
      <c r="H230" s="65">
        <f>+H49+H50+H51+H52</f>
        <v>39000</v>
      </c>
    </row>
    <row r="231" spans="1:8" ht="15.75" customHeight="1" x14ac:dyDescent="0.3">
      <c r="A231" s="150" t="s">
        <v>129</v>
      </c>
      <c r="B231" s="128" t="s">
        <v>112</v>
      </c>
      <c r="C231" s="131">
        <f>+H13+H22+H24+H33+H42+H44+H53+H55+H64+H66+H75+H84+H94+H103+H112+H121+H130+H139+H148+H158+H168+H178+H188+H198+H208+H218</f>
        <v>2205170</v>
      </c>
      <c r="E231" s="126">
        <v>8</v>
      </c>
      <c r="F231" s="138">
        <f>+C55</f>
        <v>44996</v>
      </c>
      <c r="G231" s="111" t="str">
        <f>+B55</f>
        <v>Belgrano - Lanus</v>
      </c>
      <c r="H231" s="142">
        <f>+H55</f>
        <v>50000</v>
      </c>
    </row>
    <row r="232" spans="1:8" ht="15.75" customHeight="1" x14ac:dyDescent="0.3">
      <c r="C232" s="131"/>
      <c r="E232" s="126">
        <v>9</v>
      </c>
      <c r="F232" s="138">
        <f>+C57</f>
        <v>45004</v>
      </c>
      <c r="G232" s="111" t="str">
        <f>+B57</f>
        <v>Talleres - Banfield</v>
      </c>
      <c r="H232" s="65">
        <f>+H60+H61+H62+H63</f>
        <v>39000</v>
      </c>
    </row>
    <row r="233" spans="1:8" ht="15.75" customHeight="1" x14ac:dyDescent="0.3">
      <c r="A233" s="585" t="s">
        <v>124</v>
      </c>
      <c r="B233" s="585"/>
      <c r="C233" s="65">
        <f>SUM(C231:C232)</f>
        <v>2205170</v>
      </c>
      <c r="E233" s="126">
        <v>10</v>
      </c>
      <c r="F233" s="138">
        <f>+C66</f>
        <v>45019</v>
      </c>
      <c r="G233" s="111" t="str">
        <f>+B66</f>
        <v>Belgrano - Sarmiento</v>
      </c>
      <c r="H233" s="142">
        <f>+H66</f>
        <v>50000</v>
      </c>
    </row>
    <row r="234" spans="1:8" ht="15.75" customHeight="1" x14ac:dyDescent="0.3">
      <c r="A234" s="587" t="s">
        <v>111</v>
      </c>
      <c r="B234" s="587"/>
      <c r="C234" s="159">
        <f>+C233-C228</f>
        <v>1005170</v>
      </c>
      <c r="E234" s="126">
        <v>11</v>
      </c>
      <c r="F234" s="138">
        <f>+C68</f>
        <v>45023</v>
      </c>
      <c r="G234" s="111" t="str">
        <f>+B68</f>
        <v>Talleres - Barracas</v>
      </c>
      <c r="H234" s="65">
        <f>+H71+H72+H73+H74</f>
        <v>39000</v>
      </c>
    </row>
    <row r="235" spans="1:8" ht="15.75" customHeight="1" x14ac:dyDescent="0.3">
      <c r="A235" s="151"/>
      <c r="B235" s="151"/>
      <c r="C235" s="65"/>
      <c r="E235" s="126">
        <v>12</v>
      </c>
      <c r="F235" s="138">
        <f>+C77</f>
        <v>45032</v>
      </c>
      <c r="G235" s="111" t="str">
        <f>+B77</f>
        <v>Talleres - San Lorenzo</v>
      </c>
      <c r="H235" s="65">
        <f>+H80+H81+H82+H83</f>
        <v>46500</v>
      </c>
    </row>
    <row r="236" spans="1:8" ht="15.75" customHeight="1" x14ac:dyDescent="0.3">
      <c r="A236" s="151"/>
      <c r="B236" s="151"/>
      <c r="C236" s="65"/>
      <c r="E236" s="126">
        <v>13</v>
      </c>
      <c r="F236" s="138">
        <f>+C87</f>
        <v>45046</v>
      </c>
      <c r="G236" s="111" t="str">
        <f>+B87</f>
        <v>Talleres - Rosario Central</v>
      </c>
      <c r="H236" s="65">
        <f>+H90+H91+H92+H93</f>
        <v>46500</v>
      </c>
    </row>
    <row r="237" spans="1:8" ht="15.75" customHeight="1" x14ac:dyDescent="0.3">
      <c r="A237" s="151"/>
      <c r="B237" s="151"/>
      <c r="C237" s="65"/>
      <c r="E237" s="126">
        <v>14</v>
      </c>
      <c r="F237" s="138">
        <f>+C96</f>
        <v>45060</v>
      </c>
      <c r="G237" s="111" t="str">
        <f>+B96</f>
        <v>Talleres - River</v>
      </c>
      <c r="H237" s="65">
        <f>+H99+H100+H101+H102</f>
        <v>46500</v>
      </c>
    </row>
    <row r="238" spans="1:8" ht="15.75" customHeight="1" x14ac:dyDescent="0.3">
      <c r="A238" s="151"/>
      <c r="B238" s="151"/>
      <c r="C238" s="65"/>
      <c r="E238" s="126">
        <v>15</v>
      </c>
      <c r="F238" s="138">
        <f>+C105</f>
        <v>45074</v>
      </c>
      <c r="G238" s="111" t="str">
        <f>+B105</f>
        <v>Talleres - Argentinos JR</v>
      </c>
      <c r="H238" s="65">
        <f>+H108+H109+H110+H111</f>
        <v>40000</v>
      </c>
    </row>
    <row r="239" spans="1:8" ht="15.75" customHeight="1" x14ac:dyDescent="0.3">
      <c r="E239" s="126">
        <v>16</v>
      </c>
      <c r="F239" s="138">
        <f>+C114</f>
        <v>45087</v>
      </c>
      <c r="G239" s="111" t="str">
        <f>+B114</f>
        <v>Talleres - Arsenal</v>
      </c>
      <c r="H239" s="65">
        <f>+H117+H118+H119+H120</f>
        <v>40000</v>
      </c>
    </row>
    <row r="240" spans="1:8" ht="15.75" customHeight="1" x14ac:dyDescent="0.3">
      <c r="E240" s="126">
        <v>17</v>
      </c>
      <c r="F240" s="138">
        <f>+C123</f>
        <v>45108</v>
      </c>
      <c r="G240" s="111" t="str">
        <f>+B123</f>
        <v>Talleres - Godoy Cruz</v>
      </c>
      <c r="H240" s="65">
        <f>+H126+H127+H128+H129</f>
        <v>40000</v>
      </c>
    </row>
    <row r="241" spans="5:8" ht="15.75" customHeight="1" x14ac:dyDescent="0.3">
      <c r="E241" s="126">
        <v>18</v>
      </c>
      <c r="F241" s="138">
        <v>45117</v>
      </c>
      <c r="G241" s="111" t="str">
        <f>+B132</f>
        <v>Talleres - Union</v>
      </c>
      <c r="H241" s="65">
        <f>+H135+H136</f>
        <v>40000</v>
      </c>
    </row>
    <row r="242" spans="5:8" ht="15.75" customHeight="1" x14ac:dyDescent="0.3">
      <c r="E242" s="126">
        <v>19</v>
      </c>
      <c r="F242" s="138">
        <v>45131</v>
      </c>
      <c r="G242" s="111" t="str">
        <f>+B141</f>
        <v>Talleres - Gimnasia</v>
      </c>
      <c r="H242" s="65">
        <f>+H144+H145</f>
        <v>40000</v>
      </c>
    </row>
    <row r="243" spans="5:8" ht="15.75" customHeight="1" x14ac:dyDescent="0.3">
      <c r="E243" s="126">
        <v>20</v>
      </c>
      <c r="F243" s="138">
        <v>45166</v>
      </c>
      <c r="G243" t="str">
        <f>+B150</f>
        <v xml:space="preserve">Talleres - Huracan </v>
      </c>
      <c r="H243" s="65">
        <f>+H153+H154</f>
        <v>75440</v>
      </c>
    </row>
    <row r="244" spans="5:8" ht="15.75" customHeight="1" x14ac:dyDescent="0.3">
      <c r="E244" s="126">
        <v>21</v>
      </c>
      <c r="F244" s="138">
        <v>45185</v>
      </c>
      <c r="G244" s="111" t="str">
        <f>+B160</f>
        <v>Talleres - Instituto</v>
      </c>
      <c r="H244" s="65">
        <f>+H163+H164</f>
        <v>76000</v>
      </c>
    </row>
    <row r="245" spans="5:8" ht="15.75" customHeight="1" x14ac:dyDescent="0.3">
      <c r="E245" s="126">
        <v>22</v>
      </c>
      <c r="F245" s="138">
        <v>45194</v>
      </c>
      <c r="G245" s="111" t="str">
        <f>+B170</f>
        <v>Talleres - Barracas</v>
      </c>
      <c r="H245" s="65">
        <f>+H173+H174</f>
        <v>75440</v>
      </c>
    </row>
    <row r="246" spans="5:8" ht="15.75" customHeight="1" x14ac:dyDescent="0.3">
      <c r="E246" s="126">
        <v>23</v>
      </c>
      <c r="F246" s="138">
        <v>45200</v>
      </c>
      <c r="G246" s="111" t="str">
        <f>+B180</f>
        <v>Talleres - Belgrano</v>
      </c>
      <c r="H246" s="65">
        <f>+H183+H184+H185</f>
        <v>89040</v>
      </c>
    </row>
    <row r="247" spans="5:8" s="174" customFormat="1" ht="15.75" customHeight="1" x14ac:dyDescent="0.3">
      <c r="E247" s="126">
        <v>24</v>
      </c>
      <c r="F247" s="138">
        <v>45219</v>
      </c>
      <c r="G247" s="138" t="str">
        <f>+B190</f>
        <v>Talleres - Arsenal</v>
      </c>
      <c r="H247" s="65">
        <f>+H193+H194+H195</f>
        <v>84000</v>
      </c>
    </row>
    <row r="248" spans="5:8" s="174" customFormat="1" ht="15.75" customHeight="1" x14ac:dyDescent="0.3">
      <c r="E248" s="126">
        <v>25</v>
      </c>
      <c r="F248" s="138">
        <v>45229</v>
      </c>
      <c r="G248" s="111" t="str">
        <f>+B200</f>
        <v>Talleres - Banfield</v>
      </c>
      <c r="H248" s="65">
        <f>+H193+H194+H195</f>
        <v>84000</v>
      </c>
    </row>
    <row r="249" spans="5:8" s="174" customFormat="1" ht="15.75" customHeight="1" x14ac:dyDescent="0.3">
      <c r="E249" s="126">
        <v>26</v>
      </c>
      <c r="F249" s="138">
        <v>45256</v>
      </c>
      <c r="G249" s="111" t="str">
        <f>+B210</f>
        <v>Talleres - Independiente</v>
      </c>
      <c r="H249" s="65">
        <f>+H213+H214+H215</f>
        <v>84000</v>
      </c>
    </row>
    <row r="250" spans="5:8" ht="14.4" x14ac:dyDescent="0.3">
      <c r="E250" s="585" t="s">
        <v>118</v>
      </c>
      <c r="F250" s="585"/>
      <c r="G250" s="585"/>
      <c r="H250" s="143">
        <f>SUM(H224:H249)</f>
        <v>1346920</v>
      </c>
    </row>
    <row r="251" spans="5:8" ht="15.75" customHeight="1" x14ac:dyDescent="0.3">
      <c r="E251" s="599" t="s">
        <v>120</v>
      </c>
      <c r="F251" s="592"/>
      <c r="G251" s="592"/>
      <c r="H251" s="131">
        <v>200000</v>
      </c>
    </row>
    <row r="252" spans="5:8" ht="15.75" customHeight="1" x14ac:dyDescent="0.3">
      <c r="E252" s="591" t="s">
        <v>128</v>
      </c>
      <c r="F252" s="592"/>
      <c r="G252" s="592"/>
      <c r="H252" s="131">
        <f>+C225</f>
        <v>710000</v>
      </c>
    </row>
    <row r="253" spans="5:8" ht="15.75" customHeight="1" x14ac:dyDescent="0.3">
      <c r="E253" s="593" t="s">
        <v>119</v>
      </c>
      <c r="F253" s="593"/>
      <c r="G253" s="593"/>
      <c r="H253" s="149">
        <f>+H250-H251-H252</f>
        <v>436920</v>
      </c>
    </row>
    <row r="254" spans="5:8" ht="15.75" customHeight="1" x14ac:dyDescent="0.3">
      <c r="E254" s="596" t="s">
        <v>61</v>
      </c>
      <c r="F254" s="596"/>
      <c r="G254" s="596"/>
      <c r="H254" s="596"/>
    </row>
    <row r="255" spans="5:8" ht="15.75" customHeight="1" x14ac:dyDescent="0.3">
      <c r="E255" s="129" t="s">
        <v>117</v>
      </c>
      <c r="F255" s="129" t="s">
        <v>105</v>
      </c>
      <c r="G255" s="129" t="s">
        <v>106</v>
      </c>
      <c r="H255" s="129" t="s">
        <v>107</v>
      </c>
    </row>
    <row r="256" spans="5:8" ht="15.75" customHeight="1" x14ac:dyDescent="0.3">
      <c r="E256" s="126">
        <v>1</v>
      </c>
      <c r="F256" s="140">
        <v>44947</v>
      </c>
      <c r="G256" s="137" t="s">
        <v>38</v>
      </c>
      <c r="H256" s="131">
        <f>+H6+H7+H8</f>
        <v>37000</v>
      </c>
    </row>
    <row r="257" spans="5:8" ht="15.75" customHeight="1" x14ac:dyDescent="0.3">
      <c r="E257" s="126">
        <v>2</v>
      </c>
      <c r="F257" s="141">
        <v>44954</v>
      </c>
      <c r="G257" s="126" t="s">
        <v>84</v>
      </c>
      <c r="H257" s="131">
        <f>+H15+H16+H17</f>
        <v>41500</v>
      </c>
    </row>
    <row r="258" spans="5:8" ht="15.75" customHeight="1" x14ac:dyDescent="0.3">
      <c r="E258" s="126">
        <v>3</v>
      </c>
      <c r="F258" s="141">
        <v>44961</v>
      </c>
      <c r="G258" s="126" t="s">
        <v>100</v>
      </c>
      <c r="H258" s="131">
        <v>0</v>
      </c>
    </row>
    <row r="259" spans="5:8" ht="15.75" customHeight="1" x14ac:dyDescent="0.3">
      <c r="E259" s="126">
        <v>4</v>
      </c>
      <c r="F259" s="138">
        <v>44969</v>
      </c>
      <c r="G259" s="111" t="s">
        <v>86</v>
      </c>
      <c r="H259" s="131">
        <f>+H26+H27+H28</f>
        <v>38000</v>
      </c>
    </row>
    <row r="260" spans="5:8" ht="15.75" customHeight="1" x14ac:dyDescent="0.3">
      <c r="E260" s="126">
        <v>5</v>
      </c>
      <c r="F260" s="138">
        <v>44976</v>
      </c>
      <c r="G260" s="111" t="s">
        <v>87</v>
      </c>
      <c r="H260" s="131">
        <f>+H35+H36+H37</f>
        <v>11250</v>
      </c>
    </row>
    <row r="261" spans="5:8" ht="15.75" customHeight="1" x14ac:dyDescent="0.3">
      <c r="E261" s="126">
        <v>6</v>
      </c>
      <c r="F261" s="138">
        <v>44981</v>
      </c>
      <c r="G261" s="111" t="s">
        <v>102</v>
      </c>
      <c r="H261" s="131">
        <v>0</v>
      </c>
    </row>
    <row r="262" spans="5:8" ht="15.75" customHeight="1" x14ac:dyDescent="0.3">
      <c r="E262" s="126">
        <v>7</v>
      </c>
      <c r="F262" s="138">
        <v>44990</v>
      </c>
      <c r="G262" s="111" t="s">
        <v>69</v>
      </c>
      <c r="H262" s="131">
        <f>+H46+H47+H48</f>
        <v>21750</v>
      </c>
    </row>
    <row r="263" spans="5:8" ht="15.75" customHeight="1" x14ac:dyDescent="0.3">
      <c r="E263" s="126">
        <v>8</v>
      </c>
      <c r="F263" s="138">
        <v>44996</v>
      </c>
      <c r="G263" s="111" t="s">
        <v>103</v>
      </c>
      <c r="H263" s="131">
        <v>0</v>
      </c>
    </row>
    <row r="264" spans="5:8" ht="15.75" customHeight="1" x14ac:dyDescent="0.3">
      <c r="E264" s="126">
        <v>9</v>
      </c>
      <c r="F264" s="138">
        <v>45004</v>
      </c>
      <c r="G264" s="111" t="s">
        <v>66</v>
      </c>
      <c r="H264" s="131">
        <f>+H57+H58+H59</f>
        <v>23750</v>
      </c>
    </row>
    <row r="265" spans="5:8" ht="14.4" x14ac:dyDescent="0.3">
      <c r="E265" s="126">
        <v>10</v>
      </c>
      <c r="F265" s="138">
        <v>45019</v>
      </c>
      <c r="G265" s="111" t="s">
        <v>104</v>
      </c>
      <c r="H265" s="131">
        <v>0</v>
      </c>
    </row>
    <row r="266" spans="5:8" ht="15.75" customHeight="1" x14ac:dyDescent="0.3">
      <c r="E266" s="126">
        <v>11</v>
      </c>
      <c r="F266" s="138">
        <v>45023</v>
      </c>
      <c r="G266" s="111" t="s">
        <v>88</v>
      </c>
      <c r="H266" s="131">
        <f>+H68+H69+H70</f>
        <v>23750</v>
      </c>
    </row>
    <row r="267" spans="5:8" ht="14.4" x14ac:dyDescent="0.3">
      <c r="E267" s="126">
        <v>12</v>
      </c>
      <c r="F267" s="138">
        <v>45032</v>
      </c>
      <c r="G267" s="111" t="s">
        <v>24</v>
      </c>
      <c r="H267" s="131">
        <f>+H77+H78+H79</f>
        <v>41500</v>
      </c>
    </row>
    <row r="268" spans="5:8" ht="15.6" customHeight="1" x14ac:dyDescent="0.3">
      <c r="E268" s="126">
        <v>13</v>
      </c>
      <c r="F268" s="138">
        <v>45046</v>
      </c>
      <c r="G268" s="111" t="s">
        <v>28</v>
      </c>
      <c r="H268" s="131">
        <f>+H87+H88+H89</f>
        <v>33500</v>
      </c>
    </row>
    <row r="269" spans="5:8" ht="15.75" customHeight="1" x14ac:dyDescent="0.3">
      <c r="E269" s="126">
        <v>14</v>
      </c>
      <c r="F269" s="138">
        <v>45060</v>
      </c>
      <c r="G269" s="111" t="s">
        <v>30</v>
      </c>
      <c r="H269" s="131">
        <f>+H96+H97+H98</f>
        <v>46500</v>
      </c>
    </row>
    <row r="270" spans="5:8" ht="15.75" customHeight="1" x14ac:dyDescent="0.3">
      <c r="E270" s="126">
        <v>15</v>
      </c>
      <c r="F270" s="138">
        <v>45074</v>
      </c>
      <c r="G270" s="111" t="s">
        <v>125</v>
      </c>
      <c r="H270" s="131">
        <f>+H105+H106+H107</f>
        <v>23750</v>
      </c>
    </row>
    <row r="271" spans="5:8" ht="15.75" customHeight="1" x14ac:dyDescent="0.3">
      <c r="E271" s="126">
        <v>16</v>
      </c>
      <c r="F271" s="138">
        <v>45087</v>
      </c>
      <c r="G271" s="111" t="s">
        <v>13</v>
      </c>
      <c r="H271" s="131">
        <f>+H114+H115+H116</f>
        <v>23750</v>
      </c>
    </row>
    <row r="272" spans="5:8" ht="15.75" customHeight="1" x14ac:dyDescent="0.3">
      <c r="E272" s="126">
        <v>17</v>
      </c>
      <c r="F272" s="138">
        <v>45108</v>
      </c>
      <c r="G272" s="111" t="s">
        <v>43</v>
      </c>
      <c r="H272" s="131">
        <f>+H123+H124+H125</f>
        <v>23750</v>
      </c>
    </row>
    <row r="273" spans="5:8" ht="15.75" customHeight="1" x14ac:dyDescent="0.3">
      <c r="E273" s="126">
        <v>18</v>
      </c>
      <c r="F273" s="138">
        <v>45117</v>
      </c>
      <c r="G273" s="111" t="s">
        <v>40</v>
      </c>
      <c r="H273" s="131">
        <f>+H132+H133+H134</f>
        <v>23750</v>
      </c>
    </row>
    <row r="274" spans="5:8" ht="15.75" customHeight="1" x14ac:dyDescent="0.3">
      <c r="E274" s="126">
        <v>19</v>
      </c>
      <c r="F274" s="138">
        <v>45131</v>
      </c>
      <c r="G274" s="111" t="s">
        <v>130</v>
      </c>
      <c r="H274" s="131">
        <f>+H141+H142+H143</f>
        <v>23750</v>
      </c>
    </row>
    <row r="275" spans="5:8" ht="15.75" customHeight="1" x14ac:dyDescent="0.3">
      <c r="E275" s="126">
        <v>20</v>
      </c>
      <c r="F275" s="138">
        <v>45166</v>
      </c>
      <c r="G275" s="111" t="s">
        <v>132</v>
      </c>
      <c r="H275" s="131">
        <f>+H150+H151+H152+H157</f>
        <v>50000</v>
      </c>
    </row>
    <row r="276" spans="5:8" ht="15.75" customHeight="1" x14ac:dyDescent="0.3">
      <c r="E276" s="126">
        <v>21</v>
      </c>
      <c r="F276" s="138">
        <v>45185</v>
      </c>
      <c r="G276" s="111" t="s">
        <v>131</v>
      </c>
      <c r="H276" s="131">
        <f>+H160+H161+H162+H167</f>
        <v>96000</v>
      </c>
    </row>
    <row r="277" spans="5:8" ht="15.75" customHeight="1" x14ac:dyDescent="0.3">
      <c r="E277" s="126">
        <v>22</v>
      </c>
      <c r="F277" s="138">
        <v>45194</v>
      </c>
      <c r="G277" s="111" t="s">
        <v>88</v>
      </c>
      <c r="H277" s="65">
        <f>+H170+H171+H172+H177</f>
        <v>55000</v>
      </c>
    </row>
    <row r="278" spans="5:8" ht="15.75" customHeight="1" x14ac:dyDescent="0.3">
      <c r="E278" s="126">
        <v>23</v>
      </c>
      <c r="F278" s="138">
        <v>45200</v>
      </c>
      <c r="G278" s="111" t="s">
        <v>38</v>
      </c>
      <c r="H278" s="131">
        <f>+H180+H181+H182+H187</f>
        <v>55000</v>
      </c>
    </row>
    <row r="279" spans="5:8" s="174" customFormat="1" ht="15.75" customHeight="1" x14ac:dyDescent="0.3">
      <c r="E279" s="126">
        <v>24</v>
      </c>
      <c r="F279" s="138">
        <v>45219</v>
      </c>
      <c r="G279" s="111" t="s">
        <v>13</v>
      </c>
      <c r="H279" s="131">
        <f>+H190+H191+H192+H197</f>
        <v>55000</v>
      </c>
    </row>
    <row r="280" spans="5:8" s="174" customFormat="1" ht="15.75" customHeight="1" x14ac:dyDescent="0.3">
      <c r="E280" s="126">
        <v>25</v>
      </c>
      <c r="F280" s="138">
        <v>45229</v>
      </c>
      <c r="G280" s="111" t="s">
        <v>66</v>
      </c>
      <c r="H280" s="131">
        <f>+H200+H201+H202+H207</f>
        <v>55000</v>
      </c>
    </row>
    <row r="281" spans="5:8" s="174" customFormat="1" ht="15.75" customHeight="1" x14ac:dyDescent="0.3">
      <c r="E281" s="126">
        <v>26</v>
      </c>
      <c r="F281" s="179">
        <v>45256</v>
      </c>
      <c r="G281" s="111" t="s">
        <v>34</v>
      </c>
      <c r="H281" s="131">
        <f>+H210+H211+H212+H217</f>
        <v>55000</v>
      </c>
    </row>
    <row r="282" spans="5:8" ht="15.75" customHeight="1" x14ac:dyDescent="0.3">
      <c r="E282" s="585" t="s">
        <v>118</v>
      </c>
      <c r="F282" s="585"/>
      <c r="G282" s="585"/>
      <c r="H282" s="143">
        <f>SUM(H256:H281)</f>
        <v>858250</v>
      </c>
    </row>
    <row r="283" spans="5:8" ht="15.75" customHeight="1" x14ac:dyDescent="0.3">
      <c r="E283" s="591" t="s">
        <v>128</v>
      </c>
      <c r="F283" s="592"/>
      <c r="G283" s="592"/>
      <c r="H283" s="131">
        <f>+C226</f>
        <v>290000</v>
      </c>
    </row>
    <row r="284" spans="5:8" ht="15.75" customHeight="1" x14ac:dyDescent="0.3">
      <c r="E284" s="593" t="s">
        <v>119</v>
      </c>
      <c r="F284" s="593"/>
      <c r="G284" s="593"/>
      <c r="H284" s="144">
        <f>+H282-H283</f>
        <v>568250</v>
      </c>
    </row>
    <row r="285" spans="5:8" ht="15.75" customHeight="1" x14ac:dyDescent="0.3"/>
    <row r="286" spans="5:8" ht="15.75" customHeight="1" x14ac:dyDescent="0.3">
      <c r="E286" s="594" t="s">
        <v>121</v>
      </c>
      <c r="F286" s="594"/>
      <c r="G286" s="594"/>
      <c r="H286" s="145">
        <f>+H250+H282</f>
        <v>2205170</v>
      </c>
    </row>
    <row r="287" spans="5:8" ht="15.75" customHeight="1" x14ac:dyDescent="0.3"/>
    <row r="288" spans="5:8" ht="15.75" customHeight="1" x14ac:dyDescent="0.3">
      <c r="E288" s="595" t="s">
        <v>122</v>
      </c>
      <c r="F288" s="595"/>
      <c r="G288" s="595"/>
      <c r="H288" s="158">
        <f>+H253+H284</f>
        <v>1005170</v>
      </c>
    </row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</sheetData>
  <mergeCells count="274">
    <mergeCell ref="A180:A188"/>
    <mergeCell ref="B180:B188"/>
    <mergeCell ref="C180:C188"/>
    <mergeCell ref="D180:E180"/>
    <mergeCell ref="D181:E181"/>
    <mergeCell ref="D182:E182"/>
    <mergeCell ref="D183:E183"/>
    <mergeCell ref="D184:E184"/>
    <mergeCell ref="D185:E185"/>
    <mergeCell ref="D186:E186"/>
    <mergeCell ref="D188:G188"/>
    <mergeCell ref="D187:E187"/>
    <mergeCell ref="A170:A178"/>
    <mergeCell ref="B170:B178"/>
    <mergeCell ref="C170:C178"/>
    <mergeCell ref="D170:E170"/>
    <mergeCell ref="D171:E171"/>
    <mergeCell ref="D172:E172"/>
    <mergeCell ref="D173:E173"/>
    <mergeCell ref="D174:E174"/>
    <mergeCell ref="D175:E175"/>
    <mergeCell ref="D176:E176"/>
    <mergeCell ref="D178:G178"/>
    <mergeCell ref="D177:E177"/>
    <mergeCell ref="A160:A168"/>
    <mergeCell ref="B160:B168"/>
    <mergeCell ref="C160:C168"/>
    <mergeCell ref="D160:E160"/>
    <mergeCell ref="D161:E161"/>
    <mergeCell ref="D162:E162"/>
    <mergeCell ref="D163:E163"/>
    <mergeCell ref="D164:E164"/>
    <mergeCell ref="D165:E165"/>
    <mergeCell ref="D166:E166"/>
    <mergeCell ref="D168:G168"/>
    <mergeCell ref="D167:E167"/>
    <mergeCell ref="A150:A158"/>
    <mergeCell ref="B150:B158"/>
    <mergeCell ref="C150:C158"/>
    <mergeCell ref="D150:E150"/>
    <mergeCell ref="D151:E151"/>
    <mergeCell ref="D152:E152"/>
    <mergeCell ref="D153:E153"/>
    <mergeCell ref="D154:E154"/>
    <mergeCell ref="D155:E155"/>
    <mergeCell ref="D156:E156"/>
    <mergeCell ref="D158:G158"/>
    <mergeCell ref="D157:E157"/>
    <mergeCell ref="A141:A148"/>
    <mergeCell ref="B141:B148"/>
    <mergeCell ref="C141:C148"/>
    <mergeCell ref="D141:E141"/>
    <mergeCell ref="D142:E142"/>
    <mergeCell ref="D143:E143"/>
    <mergeCell ref="D144:E144"/>
    <mergeCell ref="D145:E145"/>
    <mergeCell ref="D146:E146"/>
    <mergeCell ref="D147:E147"/>
    <mergeCell ref="D148:G148"/>
    <mergeCell ref="E282:G282"/>
    <mergeCell ref="E283:G283"/>
    <mergeCell ref="E284:G284"/>
    <mergeCell ref="E286:G286"/>
    <mergeCell ref="E288:G288"/>
    <mergeCell ref="E254:H254"/>
    <mergeCell ref="E222:H222"/>
    <mergeCell ref="E221:H221"/>
    <mergeCell ref="E250:G250"/>
    <mergeCell ref="E251:G251"/>
    <mergeCell ref="E253:G253"/>
    <mergeCell ref="E252:G252"/>
    <mergeCell ref="A228:B228"/>
    <mergeCell ref="A229:C229"/>
    <mergeCell ref="A233:B233"/>
    <mergeCell ref="A234:B234"/>
    <mergeCell ref="D24:G24"/>
    <mergeCell ref="D44:G44"/>
    <mergeCell ref="D55:G55"/>
    <mergeCell ref="D66:G66"/>
    <mergeCell ref="A221:C221"/>
    <mergeCell ref="A222:C222"/>
    <mergeCell ref="D80:E80"/>
    <mergeCell ref="D81:E81"/>
    <mergeCell ref="D82:E82"/>
    <mergeCell ref="D83:E83"/>
    <mergeCell ref="D84:G84"/>
    <mergeCell ref="D72:E72"/>
    <mergeCell ref="D73:E73"/>
    <mergeCell ref="D74:E74"/>
    <mergeCell ref="D75:G75"/>
    <mergeCell ref="A77:A84"/>
    <mergeCell ref="B77:B84"/>
    <mergeCell ref="C77:C84"/>
    <mergeCell ref="D77:E77"/>
    <mergeCell ref="D78:E78"/>
    <mergeCell ref="A57:A64"/>
    <mergeCell ref="B57:B64"/>
    <mergeCell ref="C57:C64"/>
    <mergeCell ref="D57:E57"/>
    <mergeCell ref="D58:E58"/>
    <mergeCell ref="D59:E59"/>
    <mergeCell ref="D60:E60"/>
    <mergeCell ref="D61:E61"/>
    <mergeCell ref="D79:E79"/>
    <mergeCell ref="D62:E62"/>
    <mergeCell ref="D63:E63"/>
    <mergeCell ref="D64:G64"/>
    <mergeCell ref="A68:A75"/>
    <mergeCell ref="B68:B75"/>
    <mergeCell ref="C68:C75"/>
    <mergeCell ref="D68:E68"/>
    <mergeCell ref="D69:E69"/>
    <mergeCell ref="D70:E70"/>
    <mergeCell ref="D71:E71"/>
    <mergeCell ref="D21:E21"/>
    <mergeCell ref="D22:G22"/>
    <mergeCell ref="D42:G42"/>
    <mergeCell ref="A46:A53"/>
    <mergeCell ref="B46:B53"/>
    <mergeCell ref="C46:C53"/>
    <mergeCell ref="D46:E46"/>
    <mergeCell ref="D47:E47"/>
    <mergeCell ref="D48:E48"/>
    <mergeCell ref="D49:E49"/>
    <mergeCell ref="D50:E50"/>
    <mergeCell ref="D51:E51"/>
    <mergeCell ref="A35:A42"/>
    <mergeCell ref="B35:B42"/>
    <mergeCell ref="C35:C42"/>
    <mergeCell ref="D35:E35"/>
    <mergeCell ref="D36:E36"/>
    <mergeCell ref="D37:E37"/>
    <mergeCell ref="D38:E38"/>
    <mergeCell ref="D39:E39"/>
    <mergeCell ref="D40:E40"/>
    <mergeCell ref="D41:E41"/>
    <mergeCell ref="D52:E52"/>
    <mergeCell ref="D53:G53"/>
    <mergeCell ref="A26:A33"/>
    <mergeCell ref="B26:B33"/>
    <mergeCell ref="C26:C33"/>
    <mergeCell ref="D26:E26"/>
    <mergeCell ref="D27:E27"/>
    <mergeCell ref="D10:E10"/>
    <mergeCell ref="D11:E11"/>
    <mergeCell ref="D12:E12"/>
    <mergeCell ref="D13:G13"/>
    <mergeCell ref="A15:A22"/>
    <mergeCell ref="B15:B22"/>
    <mergeCell ref="C15:C22"/>
    <mergeCell ref="D15:E15"/>
    <mergeCell ref="D16:E16"/>
    <mergeCell ref="D17:E17"/>
    <mergeCell ref="D28:E28"/>
    <mergeCell ref="D29:E29"/>
    <mergeCell ref="D30:E30"/>
    <mergeCell ref="D31:E31"/>
    <mergeCell ref="D32:E32"/>
    <mergeCell ref="D33:G33"/>
    <mergeCell ref="D18:E18"/>
    <mergeCell ref="D19:E19"/>
    <mergeCell ref="D20:E20"/>
    <mergeCell ref="A1:H3"/>
    <mergeCell ref="A4:H4"/>
    <mergeCell ref="D5:E5"/>
    <mergeCell ref="A6:A13"/>
    <mergeCell ref="B6:B13"/>
    <mergeCell ref="C6:C13"/>
    <mergeCell ref="D6:E6"/>
    <mergeCell ref="D7:E7"/>
    <mergeCell ref="D8:E8"/>
    <mergeCell ref="D9:E9"/>
    <mergeCell ref="A87:A94"/>
    <mergeCell ref="B87:B94"/>
    <mergeCell ref="C87:C94"/>
    <mergeCell ref="D87:E87"/>
    <mergeCell ref="D88:E88"/>
    <mergeCell ref="D89:E89"/>
    <mergeCell ref="D90:E90"/>
    <mergeCell ref="D91:E91"/>
    <mergeCell ref="D92:E92"/>
    <mergeCell ref="D93:E93"/>
    <mergeCell ref="D94:G94"/>
    <mergeCell ref="A96:A103"/>
    <mergeCell ref="B96:B103"/>
    <mergeCell ref="C96:C103"/>
    <mergeCell ref="D96:E96"/>
    <mergeCell ref="D97:E97"/>
    <mergeCell ref="D98:E98"/>
    <mergeCell ref="D99:E99"/>
    <mergeCell ref="D100:E100"/>
    <mergeCell ref="D101:E101"/>
    <mergeCell ref="D102:E102"/>
    <mergeCell ref="D103:G103"/>
    <mergeCell ref="A105:A112"/>
    <mergeCell ref="B105:B112"/>
    <mergeCell ref="C105:C112"/>
    <mergeCell ref="D105:E105"/>
    <mergeCell ref="D106:E106"/>
    <mergeCell ref="D107:E107"/>
    <mergeCell ref="D108:E108"/>
    <mergeCell ref="D109:E109"/>
    <mergeCell ref="D110:E110"/>
    <mergeCell ref="D111:E111"/>
    <mergeCell ref="D112:G112"/>
    <mergeCell ref="A114:A121"/>
    <mergeCell ref="B114:B121"/>
    <mergeCell ref="C114:C121"/>
    <mergeCell ref="D114:E114"/>
    <mergeCell ref="D115:E115"/>
    <mergeCell ref="D116:E116"/>
    <mergeCell ref="D117:E117"/>
    <mergeCell ref="D118:E118"/>
    <mergeCell ref="D119:E119"/>
    <mergeCell ref="D120:E120"/>
    <mergeCell ref="D121:G121"/>
    <mergeCell ref="A123:A130"/>
    <mergeCell ref="B123:B130"/>
    <mergeCell ref="C123:C130"/>
    <mergeCell ref="D123:E123"/>
    <mergeCell ref="D124:E124"/>
    <mergeCell ref="D125:E125"/>
    <mergeCell ref="D126:E126"/>
    <mergeCell ref="D127:E127"/>
    <mergeCell ref="D128:E128"/>
    <mergeCell ref="D129:E129"/>
    <mergeCell ref="D130:G130"/>
    <mergeCell ref="A132:A139"/>
    <mergeCell ref="B132:B139"/>
    <mergeCell ref="C132:C139"/>
    <mergeCell ref="D132:E132"/>
    <mergeCell ref="D133:E133"/>
    <mergeCell ref="D134:E134"/>
    <mergeCell ref="D135:E135"/>
    <mergeCell ref="D136:E136"/>
    <mergeCell ref="D137:E137"/>
    <mergeCell ref="D138:E138"/>
    <mergeCell ref="D139:G139"/>
    <mergeCell ref="A190:A198"/>
    <mergeCell ref="B190:B198"/>
    <mergeCell ref="C190:C198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G198"/>
    <mergeCell ref="A200:A208"/>
    <mergeCell ref="B200:B208"/>
    <mergeCell ref="C200:C208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G208"/>
    <mergeCell ref="A210:A218"/>
    <mergeCell ref="B210:B218"/>
    <mergeCell ref="C210:C218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G218"/>
  </mergeCells>
  <pageMargins left="0.31496062992125984" right="0.11811023622047245" top="0.15748031496062992" bottom="0.15748031496062992" header="0" footer="0"/>
  <pageSetup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9"/>
  <sheetViews>
    <sheetView topLeftCell="A76" zoomScale="90" zoomScaleNormal="90" workbookViewId="0">
      <selection activeCell="C97" sqref="C97"/>
    </sheetView>
  </sheetViews>
  <sheetFormatPr baseColWidth="10" defaultColWidth="14.44140625" defaultRowHeight="15" customHeight="1" x14ac:dyDescent="0.3"/>
  <cols>
    <col min="1" max="1" width="14.6640625" style="175" customWidth="1"/>
    <col min="2" max="2" width="31" style="175" customWidth="1"/>
    <col min="3" max="3" width="20.6640625" style="175" customWidth="1"/>
    <col min="4" max="5" width="15.6640625" style="175" customWidth="1"/>
    <col min="6" max="8" width="20.6640625" style="175" customWidth="1"/>
    <col min="9" max="9" width="2.5546875" style="175" customWidth="1"/>
    <col min="10" max="10" width="10.6640625" style="175" customWidth="1"/>
    <col min="11" max="11" width="13.77734375" style="175" bestFit="1" customWidth="1"/>
    <col min="12" max="19" width="10.6640625" style="175" customWidth="1"/>
    <col min="20" max="16384" width="14.44140625" style="175"/>
  </cols>
  <sheetData>
    <row r="1" spans="1:11" ht="15" customHeight="1" x14ac:dyDescent="0.3">
      <c r="A1" s="569" t="s">
        <v>113</v>
      </c>
      <c r="B1" s="570"/>
      <c r="C1" s="570"/>
      <c r="D1" s="570"/>
      <c r="E1" s="570"/>
      <c r="F1" s="570"/>
      <c r="G1" s="570"/>
      <c r="H1" s="571"/>
    </row>
    <row r="2" spans="1:11" ht="15" customHeight="1" x14ac:dyDescent="0.3">
      <c r="A2" s="572"/>
      <c r="B2" s="573"/>
      <c r="C2" s="573"/>
      <c r="D2" s="573"/>
      <c r="E2" s="573"/>
      <c r="F2" s="573"/>
      <c r="G2" s="573"/>
      <c r="H2" s="574"/>
    </row>
    <row r="3" spans="1:11" ht="15" customHeight="1" thickBot="1" x14ac:dyDescent="0.35">
      <c r="A3" s="575"/>
      <c r="B3" s="576"/>
      <c r="C3" s="576"/>
      <c r="D3" s="576"/>
      <c r="E3" s="576"/>
      <c r="F3" s="576"/>
      <c r="G3" s="576"/>
      <c r="H3" s="577"/>
    </row>
    <row r="4" spans="1:11" ht="15.6" customHeight="1" thickBot="1" x14ac:dyDescent="0.35">
      <c r="A4" s="578" t="s">
        <v>134</v>
      </c>
      <c r="B4" s="579"/>
      <c r="C4" s="579"/>
      <c r="D4" s="579"/>
      <c r="E4" s="579"/>
      <c r="F4" s="579"/>
      <c r="G4" s="579"/>
      <c r="H4" s="580"/>
    </row>
    <row r="5" spans="1:11" ht="14.4" x14ac:dyDescent="0.3">
      <c r="A5" s="600">
        <v>20</v>
      </c>
      <c r="B5" s="603" t="s">
        <v>132</v>
      </c>
      <c r="C5" s="606">
        <v>45164</v>
      </c>
      <c r="D5" s="567" t="s">
        <v>94</v>
      </c>
      <c r="E5" s="568"/>
      <c r="F5" s="112">
        <v>290</v>
      </c>
      <c r="G5" s="113">
        <v>100</v>
      </c>
      <c r="H5" s="114">
        <f t="shared" ref="H5:H13" si="0">+F5*G5</f>
        <v>29000</v>
      </c>
    </row>
    <row r="6" spans="1:11" ht="14.4" x14ac:dyDescent="0.3">
      <c r="A6" s="601"/>
      <c r="B6" s="604"/>
      <c r="C6" s="607"/>
      <c r="D6" s="567" t="s">
        <v>96</v>
      </c>
      <c r="E6" s="568"/>
      <c r="F6" s="112">
        <v>1</v>
      </c>
      <c r="G6" s="113">
        <v>4000</v>
      </c>
      <c r="H6" s="114">
        <f t="shared" si="0"/>
        <v>4000</v>
      </c>
    </row>
    <row r="7" spans="1:11" ht="14.4" x14ac:dyDescent="0.3">
      <c r="A7" s="601"/>
      <c r="B7" s="604"/>
      <c r="C7" s="607"/>
      <c r="D7" s="567" t="s">
        <v>97</v>
      </c>
      <c r="E7" s="568"/>
      <c r="F7" s="112">
        <v>1</v>
      </c>
      <c r="G7" s="113">
        <v>12000</v>
      </c>
      <c r="H7" s="114">
        <f t="shared" si="0"/>
        <v>12000</v>
      </c>
    </row>
    <row r="8" spans="1:11" ht="14.4" x14ac:dyDescent="0.3">
      <c r="A8" s="601"/>
      <c r="B8" s="604"/>
      <c r="C8" s="607"/>
      <c r="D8" s="567" t="s">
        <v>95</v>
      </c>
      <c r="E8" s="568" t="s">
        <v>54</v>
      </c>
      <c r="F8" s="112">
        <f>1972</f>
        <v>1972</v>
      </c>
      <c r="G8" s="113">
        <v>20</v>
      </c>
      <c r="H8" s="114">
        <f t="shared" si="0"/>
        <v>39440</v>
      </c>
    </row>
    <row r="9" spans="1:11" ht="14.4" x14ac:dyDescent="0.3">
      <c r="A9" s="601"/>
      <c r="B9" s="604"/>
      <c r="C9" s="607"/>
      <c r="D9" s="567" t="s">
        <v>135</v>
      </c>
      <c r="E9" s="568" t="s">
        <v>54</v>
      </c>
      <c r="F9" s="112">
        <v>600</v>
      </c>
      <c r="G9" s="113">
        <v>80</v>
      </c>
      <c r="H9" s="114">
        <f t="shared" si="0"/>
        <v>48000</v>
      </c>
    </row>
    <row r="10" spans="1:11" ht="14.4" x14ac:dyDescent="0.3">
      <c r="A10" s="601"/>
      <c r="B10" s="604"/>
      <c r="C10" s="607"/>
      <c r="D10" s="567" t="s">
        <v>98</v>
      </c>
      <c r="E10" s="568" t="s">
        <v>55</v>
      </c>
      <c r="F10" s="112">
        <v>2</v>
      </c>
      <c r="G10" s="113">
        <v>18000</v>
      </c>
      <c r="H10" s="114">
        <f t="shared" si="0"/>
        <v>36000</v>
      </c>
    </row>
    <row r="11" spans="1:11" ht="14.4" x14ac:dyDescent="0.3">
      <c r="A11" s="601"/>
      <c r="B11" s="604"/>
      <c r="C11" s="607"/>
      <c r="D11" s="567" t="s">
        <v>99</v>
      </c>
      <c r="E11" s="568" t="s">
        <v>81</v>
      </c>
      <c r="F11" s="112">
        <v>0</v>
      </c>
      <c r="G11" s="113">
        <v>8000</v>
      </c>
      <c r="H11" s="114">
        <f t="shared" si="0"/>
        <v>0</v>
      </c>
    </row>
    <row r="12" spans="1:11" ht="14.4" x14ac:dyDescent="0.3">
      <c r="A12" s="601"/>
      <c r="B12" s="604"/>
      <c r="C12" s="607"/>
      <c r="D12" s="567" t="s">
        <v>115</v>
      </c>
      <c r="E12" s="568" t="s">
        <v>82</v>
      </c>
      <c r="F12" s="112">
        <v>0</v>
      </c>
      <c r="G12" s="113">
        <v>7500</v>
      </c>
      <c r="H12" s="114">
        <f t="shared" si="0"/>
        <v>0</v>
      </c>
    </row>
    <row r="13" spans="1:11" ht="14.4" x14ac:dyDescent="0.3">
      <c r="A13" s="601"/>
      <c r="B13" s="604"/>
      <c r="C13" s="607"/>
      <c r="D13" s="567" t="s">
        <v>133</v>
      </c>
      <c r="E13" s="568" t="s">
        <v>82</v>
      </c>
      <c r="F13" s="112">
        <v>1</v>
      </c>
      <c r="G13" s="156">
        <v>5000</v>
      </c>
      <c r="H13" s="157">
        <f t="shared" si="0"/>
        <v>5000</v>
      </c>
    </row>
    <row r="14" spans="1:11" thickBot="1" x14ac:dyDescent="0.35">
      <c r="A14" s="602"/>
      <c r="B14" s="605"/>
      <c r="C14" s="608"/>
      <c r="D14" s="535" t="s">
        <v>22</v>
      </c>
      <c r="E14" s="485"/>
      <c r="F14" s="485"/>
      <c r="G14" s="418"/>
      <c r="H14" s="185">
        <f>SUM(H5:H13)</f>
        <v>173440</v>
      </c>
      <c r="K14" s="142"/>
    </row>
    <row r="15" spans="1:11" thickBot="1" x14ac:dyDescent="0.35">
      <c r="A15" s="116">
        <v>1</v>
      </c>
      <c r="B15" s="117"/>
      <c r="C15" s="118"/>
      <c r="D15" s="119"/>
      <c r="E15" s="120"/>
      <c r="F15" s="120"/>
      <c r="G15" s="121"/>
      <c r="H15" s="122"/>
    </row>
    <row r="16" spans="1:11" ht="14.4" x14ac:dyDescent="0.3">
      <c r="A16" s="403">
        <v>21</v>
      </c>
      <c r="B16" s="402" t="s">
        <v>131</v>
      </c>
      <c r="C16" s="405">
        <v>45185</v>
      </c>
      <c r="D16" s="567" t="s">
        <v>94</v>
      </c>
      <c r="E16" s="568"/>
      <c r="F16" s="112">
        <v>700</v>
      </c>
      <c r="G16" s="113">
        <v>100</v>
      </c>
      <c r="H16" s="114">
        <f t="shared" ref="H16:H23" si="1">+F16*G16</f>
        <v>70000</v>
      </c>
    </row>
    <row r="17" spans="1:8" ht="14.4" x14ac:dyDescent="0.3">
      <c r="A17" s="403"/>
      <c r="B17" s="403"/>
      <c r="C17" s="406"/>
      <c r="D17" s="567" t="s">
        <v>96</v>
      </c>
      <c r="E17" s="568"/>
      <c r="F17" s="112">
        <v>1</v>
      </c>
      <c r="G17" s="113">
        <v>4000</v>
      </c>
      <c r="H17" s="114">
        <f t="shared" si="1"/>
        <v>4000</v>
      </c>
    </row>
    <row r="18" spans="1:8" ht="14.4" x14ac:dyDescent="0.3">
      <c r="A18" s="403"/>
      <c r="B18" s="403"/>
      <c r="C18" s="406"/>
      <c r="D18" s="567" t="s">
        <v>97</v>
      </c>
      <c r="E18" s="568"/>
      <c r="F18" s="112">
        <v>1</v>
      </c>
      <c r="G18" s="113">
        <v>12000</v>
      </c>
      <c r="H18" s="114">
        <f t="shared" si="1"/>
        <v>12000</v>
      </c>
    </row>
    <row r="19" spans="1:8" ht="14.4" x14ac:dyDescent="0.3">
      <c r="A19" s="403"/>
      <c r="B19" s="403"/>
      <c r="C19" s="406"/>
      <c r="D19" s="567" t="s">
        <v>95</v>
      </c>
      <c r="E19" s="568" t="s">
        <v>54</v>
      </c>
      <c r="F19" s="112">
        <v>2000</v>
      </c>
      <c r="G19" s="113">
        <v>20</v>
      </c>
      <c r="H19" s="114">
        <f t="shared" si="1"/>
        <v>40000</v>
      </c>
    </row>
    <row r="20" spans="1:8" ht="14.4" x14ac:dyDescent="0.3">
      <c r="A20" s="403"/>
      <c r="B20" s="403"/>
      <c r="C20" s="406"/>
      <c r="D20" s="567" t="s">
        <v>98</v>
      </c>
      <c r="E20" s="568" t="s">
        <v>55</v>
      </c>
      <c r="F20" s="112">
        <v>2</v>
      </c>
      <c r="G20" s="113">
        <v>18000</v>
      </c>
      <c r="H20" s="114">
        <f t="shared" si="1"/>
        <v>36000</v>
      </c>
    </row>
    <row r="21" spans="1:8" ht="14.4" x14ac:dyDescent="0.3">
      <c r="A21" s="403"/>
      <c r="B21" s="403"/>
      <c r="C21" s="406"/>
      <c r="D21" s="567" t="s">
        <v>99</v>
      </c>
      <c r="E21" s="568" t="s">
        <v>81</v>
      </c>
      <c r="F21" s="112">
        <v>0</v>
      </c>
      <c r="G21" s="113">
        <v>8000</v>
      </c>
      <c r="H21" s="114">
        <f t="shared" si="1"/>
        <v>0</v>
      </c>
    </row>
    <row r="22" spans="1:8" ht="14.4" x14ac:dyDescent="0.3">
      <c r="A22" s="403"/>
      <c r="B22" s="403"/>
      <c r="C22" s="406"/>
      <c r="D22" s="567" t="s">
        <v>115</v>
      </c>
      <c r="E22" s="568" t="s">
        <v>82</v>
      </c>
      <c r="F22" s="112">
        <v>0</v>
      </c>
      <c r="G22" s="113">
        <v>7500</v>
      </c>
      <c r="H22" s="114">
        <f t="shared" si="1"/>
        <v>0</v>
      </c>
    </row>
    <row r="23" spans="1:8" ht="14.4" x14ac:dyDescent="0.3">
      <c r="A23" s="403"/>
      <c r="B23" s="403"/>
      <c r="C23" s="406"/>
      <c r="D23" s="567" t="s">
        <v>133</v>
      </c>
      <c r="E23" s="568" t="s">
        <v>82</v>
      </c>
      <c r="F23" s="112">
        <v>2</v>
      </c>
      <c r="G23" s="156">
        <v>5000</v>
      </c>
      <c r="H23" s="157">
        <f t="shared" si="1"/>
        <v>10000</v>
      </c>
    </row>
    <row r="24" spans="1:8" thickBot="1" x14ac:dyDescent="0.35">
      <c r="A24" s="404"/>
      <c r="B24" s="404"/>
      <c r="C24" s="407"/>
      <c r="D24" s="535" t="s">
        <v>22</v>
      </c>
      <c r="E24" s="485"/>
      <c r="F24" s="485"/>
      <c r="G24" s="418"/>
      <c r="H24" s="185">
        <f>SUM(H16:H23)</f>
        <v>172000</v>
      </c>
    </row>
    <row r="25" spans="1:8" thickBot="1" x14ac:dyDescent="0.35">
      <c r="A25" s="116">
        <v>1</v>
      </c>
      <c r="B25" s="117"/>
      <c r="C25" s="118"/>
      <c r="D25" s="119"/>
      <c r="E25" s="120"/>
      <c r="F25" s="120"/>
      <c r="G25" s="121"/>
      <c r="H25" s="122"/>
    </row>
    <row r="26" spans="1:8" ht="14.4" x14ac:dyDescent="0.3">
      <c r="A26" s="403">
        <v>22</v>
      </c>
      <c r="B26" s="402" t="s">
        <v>88</v>
      </c>
      <c r="C26" s="405">
        <v>45194</v>
      </c>
      <c r="D26" s="567" t="s">
        <v>94</v>
      </c>
      <c r="E26" s="568"/>
      <c r="F26" s="112">
        <v>290</v>
      </c>
      <c r="G26" s="113">
        <v>100</v>
      </c>
      <c r="H26" s="114">
        <f t="shared" ref="H26:H34" si="2">+F26*G26</f>
        <v>29000</v>
      </c>
    </row>
    <row r="27" spans="1:8" ht="14.4" x14ac:dyDescent="0.3">
      <c r="A27" s="403"/>
      <c r="B27" s="403"/>
      <c r="C27" s="406"/>
      <c r="D27" s="567" t="s">
        <v>96</v>
      </c>
      <c r="E27" s="568"/>
      <c r="F27" s="112">
        <v>1</v>
      </c>
      <c r="G27" s="113">
        <v>4000</v>
      </c>
      <c r="H27" s="114">
        <f t="shared" si="2"/>
        <v>4000</v>
      </c>
    </row>
    <row r="28" spans="1:8" ht="14.4" x14ac:dyDescent="0.3">
      <c r="A28" s="403"/>
      <c r="B28" s="403"/>
      <c r="C28" s="406"/>
      <c r="D28" s="567" t="s">
        <v>97</v>
      </c>
      <c r="E28" s="568"/>
      <c r="F28" s="112">
        <v>1</v>
      </c>
      <c r="G28" s="113">
        <v>12000</v>
      </c>
      <c r="H28" s="114">
        <f t="shared" si="2"/>
        <v>12000</v>
      </c>
    </row>
    <row r="29" spans="1:8" ht="14.4" x14ac:dyDescent="0.3">
      <c r="A29" s="403"/>
      <c r="B29" s="403"/>
      <c r="C29" s="406"/>
      <c r="D29" s="567" t="s">
        <v>95</v>
      </c>
      <c r="E29" s="568" t="s">
        <v>54</v>
      </c>
      <c r="F29" s="112">
        <v>1972</v>
      </c>
      <c r="G29" s="113">
        <v>20</v>
      </c>
      <c r="H29" s="114">
        <f t="shared" si="2"/>
        <v>39440</v>
      </c>
    </row>
    <row r="30" spans="1:8" ht="14.4" x14ac:dyDescent="0.3">
      <c r="A30" s="403"/>
      <c r="B30" s="403"/>
      <c r="C30" s="406"/>
      <c r="D30" s="567" t="s">
        <v>135</v>
      </c>
      <c r="E30" s="568" t="s">
        <v>54</v>
      </c>
      <c r="F30" s="112">
        <v>600</v>
      </c>
      <c r="G30" s="113">
        <v>80</v>
      </c>
      <c r="H30" s="114">
        <f t="shared" si="2"/>
        <v>48000</v>
      </c>
    </row>
    <row r="31" spans="1:8" ht="14.4" x14ac:dyDescent="0.3">
      <c r="A31" s="403"/>
      <c r="B31" s="403"/>
      <c r="C31" s="406"/>
      <c r="D31" s="567" t="s">
        <v>98</v>
      </c>
      <c r="E31" s="568" t="s">
        <v>55</v>
      </c>
      <c r="F31" s="112">
        <v>2</v>
      </c>
      <c r="G31" s="113">
        <v>18000</v>
      </c>
      <c r="H31" s="114">
        <f t="shared" si="2"/>
        <v>36000</v>
      </c>
    </row>
    <row r="32" spans="1:8" ht="14.4" x14ac:dyDescent="0.3">
      <c r="A32" s="403"/>
      <c r="B32" s="403"/>
      <c r="C32" s="406"/>
      <c r="D32" s="567" t="s">
        <v>99</v>
      </c>
      <c r="E32" s="568" t="s">
        <v>81</v>
      </c>
      <c r="F32" s="112">
        <v>0</v>
      </c>
      <c r="G32" s="113">
        <v>8000</v>
      </c>
      <c r="H32" s="114">
        <f t="shared" si="2"/>
        <v>0</v>
      </c>
    </row>
    <row r="33" spans="1:11" ht="14.4" x14ac:dyDescent="0.3">
      <c r="A33" s="403"/>
      <c r="B33" s="403"/>
      <c r="C33" s="406"/>
      <c r="D33" s="567" t="s">
        <v>115</v>
      </c>
      <c r="E33" s="568" t="s">
        <v>82</v>
      </c>
      <c r="F33" s="112">
        <v>0</v>
      </c>
      <c r="G33" s="113">
        <v>7500</v>
      </c>
      <c r="H33" s="114">
        <f t="shared" si="2"/>
        <v>0</v>
      </c>
    </row>
    <row r="34" spans="1:11" ht="14.4" x14ac:dyDescent="0.3">
      <c r="A34" s="403"/>
      <c r="B34" s="403"/>
      <c r="C34" s="406"/>
      <c r="D34" s="567" t="s">
        <v>133</v>
      </c>
      <c r="E34" s="568" t="s">
        <v>82</v>
      </c>
      <c r="F34" s="112">
        <v>2</v>
      </c>
      <c r="G34" s="156">
        <v>5000</v>
      </c>
      <c r="H34" s="157">
        <f t="shared" si="2"/>
        <v>10000</v>
      </c>
    </row>
    <row r="35" spans="1:11" thickBot="1" x14ac:dyDescent="0.35">
      <c r="A35" s="404"/>
      <c r="B35" s="404"/>
      <c r="C35" s="407"/>
      <c r="D35" s="535" t="s">
        <v>22</v>
      </c>
      <c r="E35" s="485"/>
      <c r="F35" s="485"/>
      <c r="G35" s="418"/>
      <c r="H35" s="185">
        <f>SUM(H26:H34)</f>
        <v>178440</v>
      </c>
      <c r="K35" s="142"/>
    </row>
    <row r="36" spans="1:11" thickBot="1" x14ac:dyDescent="0.35">
      <c r="A36" s="116">
        <v>1</v>
      </c>
      <c r="B36" s="117"/>
      <c r="C36" s="118"/>
      <c r="D36" s="119"/>
      <c r="E36" s="120"/>
      <c r="F36" s="120"/>
      <c r="G36" s="121"/>
      <c r="H36" s="122"/>
    </row>
    <row r="37" spans="1:11" ht="14.4" x14ac:dyDescent="0.3">
      <c r="A37" s="403">
        <v>23</v>
      </c>
      <c r="B37" s="402" t="s">
        <v>38</v>
      </c>
      <c r="C37" s="405">
        <v>45200</v>
      </c>
      <c r="D37" s="567" t="s">
        <v>94</v>
      </c>
      <c r="E37" s="568"/>
      <c r="F37" s="112">
        <v>290</v>
      </c>
      <c r="G37" s="113">
        <v>100</v>
      </c>
      <c r="H37" s="114">
        <f t="shared" ref="H37:H44" si="3">+F37*G37</f>
        <v>29000</v>
      </c>
    </row>
    <row r="38" spans="1:11" ht="14.4" x14ac:dyDescent="0.3">
      <c r="A38" s="403"/>
      <c r="B38" s="403"/>
      <c r="C38" s="406"/>
      <c r="D38" s="567" t="s">
        <v>96</v>
      </c>
      <c r="E38" s="568"/>
      <c r="F38" s="112">
        <v>1</v>
      </c>
      <c r="G38" s="113">
        <v>4000</v>
      </c>
      <c r="H38" s="114">
        <f t="shared" si="3"/>
        <v>4000</v>
      </c>
    </row>
    <row r="39" spans="1:11" ht="14.4" x14ac:dyDescent="0.3">
      <c r="A39" s="403"/>
      <c r="B39" s="403"/>
      <c r="C39" s="406"/>
      <c r="D39" s="567" t="s">
        <v>97</v>
      </c>
      <c r="E39" s="568"/>
      <c r="F39" s="112">
        <v>1</v>
      </c>
      <c r="G39" s="113">
        <v>12000</v>
      </c>
      <c r="H39" s="114">
        <f t="shared" si="3"/>
        <v>12000</v>
      </c>
    </row>
    <row r="40" spans="1:11" ht="14.4" x14ac:dyDescent="0.3">
      <c r="A40" s="403"/>
      <c r="B40" s="403"/>
      <c r="C40" s="406"/>
      <c r="D40" s="567" t="s">
        <v>95</v>
      </c>
      <c r="E40" s="568" t="s">
        <v>54</v>
      </c>
      <c r="F40" s="112">
        <v>2252</v>
      </c>
      <c r="G40" s="113">
        <v>20</v>
      </c>
      <c r="H40" s="114">
        <f t="shared" si="3"/>
        <v>45040</v>
      </c>
    </row>
    <row r="41" spans="1:11" ht="14.4" x14ac:dyDescent="0.3">
      <c r="A41" s="403"/>
      <c r="B41" s="403"/>
      <c r="C41" s="406"/>
      <c r="D41" s="567" t="s">
        <v>98</v>
      </c>
      <c r="E41" s="568" t="s">
        <v>55</v>
      </c>
      <c r="F41" s="112">
        <v>2</v>
      </c>
      <c r="G41" s="113">
        <v>18000</v>
      </c>
      <c r="H41" s="114">
        <f t="shared" si="3"/>
        <v>36000</v>
      </c>
    </row>
    <row r="42" spans="1:11" ht="14.4" x14ac:dyDescent="0.3">
      <c r="A42" s="403"/>
      <c r="B42" s="403"/>
      <c r="C42" s="406"/>
      <c r="D42" s="567" t="s">
        <v>99</v>
      </c>
      <c r="E42" s="568" t="s">
        <v>81</v>
      </c>
      <c r="F42" s="112">
        <v>1</v>
      </c>
      <c r="G42" s="113">
        <v>8000</v>
      </c>
      <c r="H42" s="114">
        <f t="shared" si="3"/>
        <v>8000</v>
      </c>
    </row>
    <row r="43" spans="1:11" ht="14.4" x14ac:dyDescent="0.3">
      <c r="A43" s="403"/>
      <c r="B43" s="403"/>
      <c r="C43" s="406"/>
      <c r="D43" s="567" t="s">
        <v>115</v>
      </c>
      <c r="E43" s="568" t="s">
        <v>82</v>
      </c>
      <c r="F43" s="112">
        <v>0</v>
      </c>
      <c r="G43" s="113">
        <v>7500</v>
      </c>
      <c r="H43" s="114">
        <f t="shared" si="3"/>
        <v>0</v>
      </c>
    </row>
    <row r="44" spans="1:11" ht="14.4" x14ac:dyDescent="0.3">
      <c r="A44" s="403"/>
      <c r="B44" s="403"/>
      <c r="C44" s="406"/>
      <c r="D44" s="567" t="s">
        <v>133</v>
      </c>
      <c r="E44" s="568" t="s">
        <v>82</v>
      </c>
      <c r="F44" s="112">
        <v>2</v>
      </c>
      <c r="G44" s="156">
        <v>5000</v>
      </c>
      <c r="H44" s="157">
        <f t="shared" si="3"/>
        <v>10000</v>
      </c>
    </row>
    <row r="45" spans="1:11" thickBot="1" x14ac:dyDescent="0.35">
      <c r="A45" s="404"/>
      <c r="B45" s="404"/>
      <c r="C45" s="407"/>
      <c r="D45" s="535" t="s">
        <v>22</v>
      </c>
      <c r="E45" s="485"/>
      <c r="F45" s="485"/>
      <c r="G45" s="418"/>
      <c r="H45" s="185">
        <f>SUM(H37:H44)</f>
        <v>144040</v>
      </c>
    </row>
    <row r="46" spans="1:11" thickBot="1" x14ac:dyDescent="0.35">
      <c r="A46" s="116">
        <v>1</v>
      </c>
      <c r="B46" s="117"/>
      <c r="C46" s="118"/>
      <c r="D46" s="119"/>
      <c r="E46" s="120"/>
      <c r="F46" s="120"/>
      <c r="G46" s="121"/>
      <c r="H46" s="122"/>
    </row>
    <row r="47" spans="1:11" ht="14.4" x14ac:dyDescent="0.3">
      <c r="A47" s="403">
        <v>24</v>
      </c>
      <c r="B47" s="402" t="s">
        <v>13</v>
      </c>
      <c r="C47" s="405">
        <v>45219</v>
      </c>
      <c r="D47" s="567" t="s">
        <v>94</v>
      </c>
      <c r="E47" s="568"/>
      <c r="F47" s="112">
        <v>290</v>
      </c>
      <c r="G47" s="113">
        <v>100</v>
      </c>
      <c r="H47" s="114">
        <f t="shared" ref="H47:H54" si="4">+F47*G47</f>
        <v>29000</v>
      </c>
    </row>
    <row r="48" spans="1:11" ht="14.4" x14ac:dyDescent="0.3">
      <c r="A48" s="403"/>
      <c r="B48" s="403"/>
      <c r="C48" s="406"/>
      <c r="D48" s="567" t="s">
        <v>96</v>
      </c>
      <c r="E48" s="568"/>
      <c r="F48" s="112">
        <v>1</v>
      </c>
      <c r="G48" s="113">
        <v>4000</v>
      </c>
      <c r="H48" s="114">
        <f t="shared" si="4"/>
        <v>4000</v>
      </c>
    </row>
    <row r="49" spans="1:8" ht="14.4" x14ac:dyDescent="0.3">
      <c r="A49" s="403"/>
      <c r="B49" s="403"/>
      <c r="C49" s="406"/>
      <c r="D49" s="567" t="s">
        <v>97</v>
      </c>
      <c r="E49" s="568"/>
      <c r="F49" s="112">
        <v>1</v>
      </c>
      <c r="G49" s="113">
        <v>12000</v>
      </c>
      <c r="H49" s="114">
        <f t="shared" si="4"/>
        <v>12000</v>
      </c>
    </row>
    <row r="50" spans="1:8" ht="14.4" x14ac:dyDescent="0.3">
      <c r="A50" s="403"/>
      <c r="B50" s="403"/>
      <c r="C50" s="406"/>
      <c r="D50" s="567" t="s">
        <v>95</v>
      </c>
      <c r="E50" s="568" t="s">
        <v>54</v>
      </c>
      <c r="F50" s="112">
        <v>2042</v>
      </c>
      <c r="G50" s="113">
        <v>20</v>
      </c>
      <c r="H50" s="114">
        <f t="shared" si="4"/>
        <v>40840</v>
      </c>
    </row>
    <row r="51" spans="1:8" ht="14.4" x14ac:dyDescent="0.3">
      <c r="A51" s="403"/>
      <c r="B51" s="403"/>
      <c r="C51" s="406"/>
      <c r="D51" s="567" t="s">
        <v>98</v>
      </c>
      <c r="E51" s="568" t="s">
        <v>55</v>
      </c>
      <c r="F51" s="112">
        <v>2</v>
      </c>
      <c r="G51" s="113">
        <v>18000</v>
      </c>
      <c r="H51" s="114">
        <f t="shared" si="4"/>
        <v>36000</v>
      </c>
    </row>
    <row r="52" spans="1:8" ht="14.4" x14ac:dyDescent="0.3">
      <c r="A52" s="403"/>
      <c r="B52" s="403"/>
      <c r="C52" s="406"/>
      <c r="D52" s="567" t="s">
        <v>99</v>
      </c>
      <c r="E52" s="568" t="s">
        <v>81</v>
      </c>
      <c r="F52" s="112">
        <v>1</v>
      </c>
      <c r="G52" s="113">
        <v>8000</v>
      </c>
      <c r="H52" s="114">
        <f t="shared" si="4"/>
        <v>8000</v>
      </c>
    </row>
    <row r="53" spans="1:8" ht="14.4" x14ac:dyDescent="0.3">
      <c r="A53" s="403"/>
      <c r="B53" s="403"/>
      <c r="C53" s="406"/>
      <c r="D53" s="567" t="s">
        <v>115</v>
      </c>
      <c r="E53" s="568" t="s">
        <v>82</v>
      </c>
      <c r="F53" s="112">
        <v>0</v>
      </c>
      <c r="G53" s="113">
        <v>7500</v>
      </c>
      <c r="H53" s="114">
        <f t="shared" si="4"/>
        <v>0</v>
      </c>
    </row>
    <row r="54" spans="1:8" ht="14.4" x14ac:dyDescent="0.3">
      <c r="A54" s="403"/>
      <c r="B54" s="403"/>
      <c r="C54" s="406"/>
      <c r="D54" s="567" t="s">
        <v>133</v>
      </c>
      <c r="E54" s="568" t="s">
        <v>82</v>
      </c>
      <c r="F54" s="112">
        <v>2</v>
      </c>
      <c r="G54" s="156">
        <v>5000</v>
      </c>
      <c r="H54" s="157">
        <f t="shared" si="4"/>
        <v>10000</v>
      </c>
    </row>
    <row r="55" spans="1:8" thickBot="1" x14ac:dyDescent="0.35">
      <c r="A55" s="404"/>
      <c r="B55" s="404"/>
      <c r="C55" s="407"/>
      <c r="D55" s="535" t="s">
        <v>22</v>
      </c>
      <c r="E55" s="485"/>
      <c r="F55" s="485"/>
      <c r="G55" s="418"/>
      <c r="H55" s="185">
        <f>SUM(H47:H54)</f>
        <v>139840</v>
      </c>
    </row>
    <row r="56" spans="1:8" thickBot="1" x14ac:dyDescent="0.35">
      <c r="A56" s="176"/>
      <c r="B56" s="176"/>
      <c r="C56" s="177"/>
      <c r="D56" s="36"/>
      <c r="E56" s="36"/>
      <c r="F56" s="36"/>
      <c r="G56" s="36"/>
      <c r="H56" s="178"/>
    </row>
    <row r="57" spans="1:8" ht="14.4" x14ac:dyDescent="0.3">
      <c r="A57" s="403">
        <v>25</v>
      </c>
      <c r="B57" s="402" t="s">
        <v>66</v>
      </c>
      <c r="C57" s="405">
        <v>45229</v>
      </c>
      <c r="D57" s="567" t="s">
        <v>94</v>
      </c>
      <c r="E57" s="568"/>
      <c r="F57" s="112">
        <v>290</v>
      </c>
      <c r="G57" s="113">
        <v>100</v>
      </c>
      <c r="H57" s="114">
        <f t="shared" ref="H57:H65" si="5">+F57*G57</f>
        <v>29000</v>
      </c>
    </row>
    <row r="58" spans="1:8" ht="14.4" x14ac:dyDescent="0.3">
      <c r="A58" s="403"/>
      <c r="B58" s="403"/>
      <c r="C58" s="406"/>
      <c r="D58" s="567" t="s">
        <v>96</v>
      </c>
      <c r="E58" s="568"/>
      <c r="F58" s="112">
        <v>1</v>
      </c>
      <c r="G58" s="113">
        <v>4000</v>
      </c>
      <c r="H58" s="114">
        <f t="shared" si="5"/>
        <v>4000</v>
      </c>
    </row>
    <row r="59" spans="1:8" ht="14.4" x14ac:dyDescent="0.3">
      <c r="A59" s="403"/>
      <c r="B59" s="403"/>
      <c r="C59" s="406"/>
      <c r="D59" s="567" t="s">
        <v>97</v>
      </c>
      <c r="E59" s="568"/>
      <c r="F59" s="112">
        <v>1</v>
      </c>
      <c r="G59" s="113">
        <v>12000</v>
      </c>
      <c r="H59" s="114">
        <f t="shared" si="5"/>
        <v>12000</v>
      </c>
    </row>
    <row r="60" spans="1:8" ht="14.4" x14ac:dyDescent="0.3">
      <c r="A60" s="403"/>
      <c r="B60" s="403"/>
      <c r="C60" s="406"/>
      <c r="D60" s="567" t="s">
        <v>95</v>
      </c>
      <c r="E60" s="568" t="s">
        <v>54</v>
      </c>
      <c r="F60" s="112">
        <v>2042</v>
      </c>
      <c r="G60" s="113">
        <v>20</v>
      </c>
      <c r="H60" s="114">
        <f t="shared" si="5"/>
        <v>40840</v>
      </c>
    </row>
    <row r="61" spans="1:8" ht="14.4" x14ac:dyDescent="0.3">
      <c r="A61" s="403"/>
      <c r="B61" s="403"/>
      <c r="C61" s="406"/>
      <c r="D61" s="567" t="s">
        <v>135</v>
      </c>
      <c r="E61" s="568" t="s">
        <v>54</v>
      </c>
      <c r="F61" s="112">
        <v>600</v>
      </c>
      <c r="G61" s="113">
        <v>80</v>
      </c>
      <c r="H61" s="114">
        <f t="shared" si="5"/>
        <v>48000</v>
      </c>
    </row>
    <row r="62" spans="1:8" ht="14.4" x14ac:dyDescent="0.3">
      <c r="A62" s="403"/>
      <c r="B62" s="403"/>
      <c r="C62" s="406"/>
      <c r="D62" s="567" t="s">
        <v>98</v>
      </c>
      <c r="E62" s="568" t="s">
        <v>55</v>
      </c>
      <c r="F62" s="112">
        <v>2</v>
      </c>
      <c r="G62" s="113">
        <v>18000</v>
      </c>
      <c r="H62" s="114">
        <f t="shared" si="5"/>
        <v>36000</v>
      </c>
    </row>
    <row r="63" spans="1:8" ht="14.4" x14ac:dyDescent="0.3">
      <c r="A63" s="403"/>
      <c r="B63" s="403"/>
      <c r="C63" s="406"/>
      <c r="D63" s="567" t="s">
        <v>99</v>
      </c>
      <c r="E63" s="568" t="s">
        <v>81</v>
      </c>
      <c r="F63" s="112">
        <v>1</v>
      </c>
      <c r="G63" s="113">
        <v>8000</v>
      </c>
      <c r="H63" s="114">
        <f t="shared" si="5"/>
        <v>8000</v>
      </c>
    </row>
    <row r="64" spans="1:8" ht="14.4" x14ac:dyDescent="0.3">
      <c r="A64" s="403"/>
      <c r="B64" s="403"/>
      <c r="C64" s="406"/>
      <c r="D64" s="567" t="s">
        <v>115</v>
      </c>
      <c r="E64" s="568" t="s">
        <v>82</v>
      </c>
      <c r="F64" s="112">
        <v>0</v>
      </c>
      <c r="G64" s="113">
        <v>7500</v>
      </c>
      <c r="H64" s="114">
        <f t="shared" si="5"/>
        <v>0</v>
      </c>
    </row>
    <row r="65" spans="1:11" ht="14.4" x14ac:dyDescent="0.3">
      <c r="A65" s="403"/>
      <c r="B65" s="403"/>
      <c r="C65" s="406"/>
      <c r="D65" s="567" t="s">
        <v>133</v>
      </c>
      <c r="E65" s="568" t="s">
        <v>82</v>
      </c>
      <c r="F65" s="112">
        <v>2</v>
      </c>
      <c r="G65" s="156">
        <v>5000</v>
      </c>
      <c r="H65" s="157">
        <f t="shared" si="5"/>
        <v>10000</v>
      </c>
    </row>
    <row r="66" spans="1:11" thickBot="1" x14ac:dyDescent="0.35">
      <c r="A66" s="404"/>
      <c r="B66" s="404"/>
      <c r="C66" s="407"/>
      <c r="D66" s="535" t="s">
        <v>22</v>
      </c>
      <c r="E66" s="485"/>
      <c r="F66" s="485"/>
      <c r="G66" s="418"/>
      <c r="H66" s="185">
        <f>SUM(H57:H65)</f>
        <v>187840</v>
      </c>
      <c r="K66" s="142"/>
    </row>
    <row r="67" spans="1:11" thickBot="1" x14ac:dyDescent="0.35">
      <c r="A67" s="176"/>
      <c r="B67" s="176"/>
      <c r="C67" s="177"/>
      <c r="D67" s="36"/>
      <c r="E67" s="36"/>
      <c r="F67" s="36"/>
      <c r="G67" s="36"/>
      <c r="H67" s="178"/>
    </row>
    <row r="68" spans="1:11" ht="14.4" x14ac:dyDescent="0.3">
      <c r="A68" s="403">
        <v>26</v>
      </c>
      <c r="B68" s="402" t="s">
        <v>34</v>
      </c>
      <c r="C68" s="405">
        <v>45256</v>
      </c>
      <c r="D68" s="567" t="s">
        <v>94</v>
      </c>
      <c r="E68" s="568"/>
      <c r="F68" s="112">
        <v>290</v>
      </c>
      <c r="G68" s="113">
        <v>100</v>
      </c>
      <c r="H68" s="114">
        <f t="shared" ref="H68:H76" si="6">+F68*G68</f>
        <v>29000</v>
      </c>
    </row>
    <row r="69" spans="1:11" ht="14.4" x14ac:dyDescent="0.3">
      <c r="A69" s="403"/>
      <c r="B69" s="403"/>
      <c r="C69" s="406"/>
      <c r="D69" s="567" t="s">
        <v>96</v>
      </c>
      <c r="E69" s="568"/>
      <c r="F69" s="112">
        <v>1</v>
      </c>
      <c r="G69" s="113">
        <v>4000</v>
      </c>
      <c r="H69" s="114">
        <f t="shared" si="6"/>
        <v>4000</v>
      </c>
    </row>
    <row r="70" spans="1:11" ht="14.4" x14ac:dyDescent="0.3">
      <c r="A70" s="403"/>
      <c r="B70" s="403"/>
      <c r="C70" s="406"/>
      <c r="D70" s="567" t="s">
        <v>97</v>
      </c>
      <c r="E70" s="568"/>
      <c r="F70" s="112">
        <v>1</v>
      </c>
      <c r="G70" s="113">
        <v>12000</v>
      </c>
      <c r="H70" s="114">
        <f t="shared" si="6"/>
        <v>12000</v>
      </c>
    </row>
    <row r="71" spans="1:11" ht="14.4" x14ac:dyDescent="0.3">
      <c r="A71" s="403"/>
      <c r="B71" s="403"/>
      <c r="C71" s="406"/>
      <c r="D71" s="567" t="s">
        <v>95</v>
      </c>
      <c r="E71" s="568" t="s">
        <v>54</v>
      </c>
      <c r="F71" s="112">
        <v>2042</v>
      </c>
      <c r="G71" s="113">
        <v>20</v>
      </c>
      <c r="H71" s="114">
        <f t="shared" si="6"/>
        <v>40840</v>
      </c>
    </row>
    <row r="72" spans="1:11" ht="14.4" x14ac:dyDescent="0.3">
      <c r="A72" s="403"/>
      <c r="B72" s="403"/>
      <c r="C72" s="406"/>
      <c r="D72" s="567" t="s">
        <v>135</v>
      </c>
      <c r="E72" s="568" t="s">
        <v>54</v>
      </c>
      <c r="F72" s="112">
        <v>600</v>
      </c>
      <c r="G72" s="113">
        <v>80</v>
      </c>
      <c r="H72" s="114">
        <f t="shared" si="6"/>
        <v>48000</v>
      </c>
    </row>
    <row r="73" spans="1:11" ht="14.4" x14ac:dyDescent="0.3">
      <c r="A73" s="403"/>
      <c r="B73" s="403"/>
      <c r="C73" s="406"/>
      <c r="D73" s="567" t="s">
        <v>98</v>
      </c>
      <c r="E73" s="568" t="s">
        <v>55</v>
      </c>
      <c r="F73" s="112">
        <v>2</v>
      </c>
      <c r="G73" s="113">
        <v>18000</v>
      </c>
      <c r="H73" s="114">
        <f t="shared" si="6"/>
        <v>36000</v>
      </c>
    </row>
    <row r="74" spans="1:11" ht="14.4" x14ac:dyDescent="0.3">
      <c r="A74" s="403"/>
      <c r="B74" s="403"/>
      <c r="C74" s="406"/>
      <c r="D74" s="567" t="s">
        <v>99</v>
      </c>
      <c r="E74" s="568" t="s">
        <v>81</v>
      </c>
      <c r="F74" s="112">
        <v>1</v>
      </c>
      <c r="G74" s="113">
        <v>8000</v>
      </c>
      <c r="H74" s="114">
        <f t="shared" si="6"/>
        <v>8000</v>
      </c>
    </row>
    <row r="75" spans="1:11" ht="14.4" x14ac:dyDescent="0.3">
      <c r="A75" s="403"/>
      <c r="B75" s="403"/>
      <c r="C75" s="406"/>
      <c r="D75" s="567" t="s">
        <v>115</v>
      </c>
      <c r="E75" s="568" t="s">
        <v>82</v>
      </c>
      <c r="F75" s="112">
        <v>0</v>
      </c>
      <c r="G75" s="113">
        <v>7500</v>
      </c>
      <c r="H75" s="114">
        <f t="shared" si="6"/>
        <v>0</v>
      </c>
    </row>
    <row r="76" spans="1:11" ht="14.4" x14ac:dyDescent="0.3">
      <c r="A76" s="403"/>
      <c r="B76" s="403"/>
      <c r="C76" s="406"/>
      <c r="D76" s="567" t="s">
        <v>133</v>
      </c>
      <c r="E76" s="568" t="s">
        <v>82</v>
      </c>
      <c r="F76" s="112">
        <v>2</v>
      </c>
      <c r="G76" s="156">
        <v>5000</v>
      </c>
      <c r="H76" s="157">
        <f t="shared" si="6"/>
        <v>10000</v>
      </c>
    </row>
    <row r="77" spans="1:11" thickBot="1" x14ac:dyDescent="0.35">
      <c r="A77" s="404"/>
      <c r="B77" s="404"/>
      <c r="C77" s="407"/>
      <c r="D77" s="535" t="s">
        <v>22</v>
      </c>
      <c r="E77" s="485"/>
      <c r="F77" s="485"/>
      <c r="G77" s="418"/>
      <c r="H77" s="185">
        <f>SUM(H68:H76)</f>
        <v>187840</v>
      </c>
    </row>
    <row r="78" spans="1:11" ht="14.4" x14ac:dyDescent="0.3">
      <c r="A78" s="176"/>
      <c r="B78" s="176"/>
      <c r="C78" s="177"/>
      <c r="D78" s="36"/>
      <c r="E78" s="36"/>
      <c r="F78" s="36"/>
      <c r="G78" s="36"/>
      <c r="H78" s="178"/>
    </row>
    <row r="79" spans="1:11" ht="14.4" x14ac:dyDescent="0.3">
      <c r="A79" s="152"/>
      <c r="B79" s="152"/>
      <c r="C79" s="153"/>
      <c r="D79" s="154"/>
      <c r="E79" s="154"/>
      <c r="F79" s="154"/>
      <c r="G79" s="154"/>
      <c r="H79" s="155"/>
    </row>
    <row r="80" spans="1:11" ht="17.399999999999999" customHeight="1" x14ac:dyDescent="0.3">
      <c r="A80" s="589" t="s">
        <v>108</v>
      </c>
      <c r="B80" s="589"/>
      <c r="C80" s="589"/>
      <c r="E80" s="598" t="s">
        <v>108</v>
      </c>
      <c r="F80" s="598"/>
      <c r="G80" s="598"/>
      <c r="H80" s="598"/>
    </row>
    <row r="81" spans="1:8" ht="15.75" customHeight="1" x14ac:dyDescent="0.3">
      <c r="A81" s="590" t="s">
        <v>109</v>
      </c>
      <c r="B81" s="590"/>
      <c r="C81" s="590"/>
      <c r="E81" s="597" t="s">
        <v>64</v>
      </c>
      <c r="F81" s="597"/>
      <c r="G81" s="597"/>
      <c r="H81" s="597"/>
    </row>
    <row r="82" spans="1:8" ht="15.75" customHeight="1" x14ac:dyDescent="0.3">
      <c r="A82" s="129" t="s">
        <v>105</v>
      </c>
      <c r="B82" s="129" t="s">
        <v>106</v>
      </c>
      <c r="C82" s="129" t="s">
        <v>107</v>
      </c>
      <c r="E82" s="139" t="s">
        <v>117</v>
      </c>
      <c r="F82" s="129" t="s">
        <v>105</v>
      </c>
      <c r="G82" s="129" t="s">
        <v>106</v>
      </c>
      <c r="H82" s="129" t="s">
        <v>107</v>
      </c>
    </row>
    <row r="83" spans="1:8" ht="15.75" customHeight="1" x14ac:dyDescent="0.3">
      <c r="A83" s="130">
        <v>45218</v>
      </c>
      <c r="B83" s="194" t="s">
        <v>141</v>
      </c>
      <c r="C83" s="131">
        <v>600000</v>
      </c>
      <c r="E83" s="126">
        <v>20</v>
      </c>
      <c r="F83" s="138">
        <v>45166</v>
      </c>
      <c r="G83" s="111" t="str">
        <f>+B5</f>
        <v xml:space="preserve">Talleres - Huracan </v>
      </c>
      <c r="H83" s="65">
        <f>+H8+H10+H9</f>
        <v>123440</v>
      </c>
    </row>
    <row r="84" spans="1:8" ht="15.75" customHeight="1" x14ac:dyDescent="0.3">
      <c r="A84" s="130">
        <v>45218</v>
      </c>
      <c r="B84" s="194" t="s">
        <v>142</v>
      </c>
      <c r="C84" s="131">
        <v>150000</v>
      </c>
      <c r="E84" s="126">
        <v>21</v>
      </c>
      <c r="F84" s="138">
        <v>45185</v>
      </c>
      <c r="G84" s="111" t="str">
        <f>+B16</f>
        <v>Talleres - Instituto</v>
      </c>
      <c r="H84" s="65">
        <f>+H19+H20</f>
        <v>76000</v>
      </c>
    </row>
    <row r="85" spans="1:8" ht="15.75" customHeight="1" x14ac:dyDescent="0.3">
      <c r="A85" s="130">
        <v>45274</v>
      </c>
      <c r="B85" s="194" t="s">
        <v>141</v>
      </c>
      <c r="C85" s="131">
        <v>150000</v>
      </c>
      <c r="E85" s="126">
        <v>22</v>
      </c>
      <c r="F85" s="138">
        <v>45194</v>
      </c>
      <c r="G85" s="111" t="str">
        <f>+B26</f>
        <v>Talleres - Barracas</v>
      </c>
      <c r="H85" s="65">
        <f>+H29+H31+H30</f>
        <v>123440</v>
      </c>
    </row>
    <row r="86" spans="1:8" ht="15.75" customHeight="1" x14ac:dyDescent="0.3">
      <c r="A86" s="130">
        <v>45274</v>
      </c>
      <c r="B86" s="194" t="s">
        <v>142</v>
      </c>
      <c r="C86" s="131">
        <v>350000</v>
      </c>
      <c r="E86" s="126">
        <v>23</v>
      </c>
      <c r="F86" s="138">
        <v>45200</v>
      </c>
      <c r="G86" s="111" t="str">
        <f>+B37</f>
        <v>Talleres - Belgrano</v>
      </c>
      <c r="H86" s="65">
        <f>+H40+H41+H42</f>
        <v>89040</v>
      </c>
    </row>
    <row r="87" spans="1:8" ht="15.75" customHeight="1" x14ac:dyDescent="0.3">
      <c r="A87" s="130">
        <v>45275</v>
      </c>
      <c r="B87" s="194" t="s">
        <v>141</v>
      </c>
      <c r="C87" s="131">
        <v>250000</v>
      </c>
      <c r="E87" s="126">
        <v>24</v>
      </c>
      <c r="F87" s="138">
        <v>45219</v>
      </c>
      <c r="G87" s="138" t="str">
        <f>+B47</f>
        <v>Talleres - Arsenal</v>
      </c>
      <c r="H87" s="65">
        <f>+H50+H51+H52</f>
        <v>84840</v>
      </c>
    </row>
    <row r="88" spans="1:8" ht="15.75" customHeight="1" x14ac:dyDescent="0.3">
      <c r="A88" s="130">
        <v>45293</v>
      </c>
      <c r="B88" s="194" t="s">
        <v>141</v>
      </c>
      <c r="C88" s="131">
        <v>100000</v>
      </c>
      <c r="E88" s="126">
        <v>25</v>
      </c>
      <c r="F88" s="138">
        <v>45229</v>
      </c>
      <c r="G88" s="111" t="str">
        <f>+B57</f>
        <v>Talleres - Banfield</v>
      </c>
      <c r="H88" s="65">
        <f>+H61+H62+H63+H60</f>
        <v>132840</v>
      </c>
    </row>
    <row r="89" spans="1:8" ht="15.75" customHeight="1" x14ac:dyDescent="0.3">
      <c r="A89" s="585" t="s">
        <v>110</v>
      </c>
      <c r="B89" s="585"/>
      <c r="C89" s="65">
        <f>SUM(C83:C88)</f>
        <v>1600000</v>
      </c>
      <c r="E89" s="126">
        <v>26</v>
      </c>
      <c r="F89" s="138">
        <v>45256</v>
      </c>
      <c r="G89" s="111" t="str">
        <f>+B68</f>
        <v>Talleres - Independiente</v>
      </c>
      <c r="H89" s="65">
        <f>+H71+H73+H74+H72</f>
        <v>132840</v>
      </c>
    </row>
    <row r="90" spans="1:8" ht="15.75" customHeight="1" x14ac:dyDescent="0.3">
      <c r="E90" s="585" t="s">
        <v>118</v>
      </c>
      <c r="F90" s="585"/>
      <c r="G90" s="585"/>
      <c r="H90" s="143">
        <f>SUM(H83:H89)</f>
        <v>762440</v>
      </c>
    </row>
    <row r="91" spans="1:8" ht="15.75" customHeight="1" x14ac:dyDescent="0.3">
      <c r="E91" s="599"/>
      <c r="F91" s="592"/>
      <c r="G91" s="592"/>
      <c r="H91" s="131"/>
    </row>
    <row r="92" spans="1:8" ht="15.75" customHeight="1" x14ac:dyDescent="0.3">
      <c r="A92" s="586" t="s">
        <v>123</v>
      </c>
      <c r="B92" s="586"/>
      <c r="C92" s="586"/>
      <c r="E92" s="593" t="s">
        <v>119</v>
      </c>
      <c r="F92" s="593"/>
      <c r="G92" s="593"/>
      <c r="H92" s="187">
        <f>+H90-H91</f>
        <v>762440</v>
      </c>
    </row>
    <row r="93" spans="1:8" ht="15.75" customHeight="1" x14ac:dyDescent="0.3">
      <c r="A93" s="129" t="s">
        <v>105</v>
      </c>
      <c r="B93" s="129" t="s">
        <v>106</v>
      </c>
      <c r="C93" s="129" t="s">
        <v>107</v>
      </c>
      <c r="E93" s="188"/>
      <c r="F93" s="188"/>
      <c r="G93" s="188"/>
      <c r="H93" s="189"/>
    </row>
    <row r="94" spans="1:8" ht="15.75" customHeight="1" x14ac:dyDescent="0.3">
      <c r="A94" s="186" t="s">
        <v>136</v>
      </c>
      <c r="B94" s="128" t="s">
        <v>112</v>
      </c>
      <c r="C94" s="131">
        <f>+H14+H24+H35+H45+H55+H66+H77</f>
        <v>1183440</v>
      </c>
      <c r="E94" s="596" t="s">
        <v>61</v>
      </c>
      <c r="F94" s="596"/>
      <c r="G94" s="596"/>
      <c r="H94" s="596"/>
    </row>
    <row r="95" spans="1:8" ht="15.75" customHeight="1" x14ac:dyDescent="0.3">
      <c r="B95" s="194" t="s">
        <v>140</v>
      </c>
      <c r="C95" s="131">
        <v>320000</v>
      </c>
      <c r="E95" s="129" t="s">
        <v>117</v>
      </c>
      <c r="F95" s="129" t="s">
        <v>105</v>
      </c>
      <c r="G95" s="129" t="s">
        <v>106</v>
      </c>
      <c r="H95" s="129" t="s">
        <v>107</v>
      </c>
    </row>
    <row r="96" spans="1:8" ht="15.75" customHeight="1" x14ac:dyDescent="0.3">
      <c r="E96" s="126">
        <v>20</v>
      </c>
      <c r="F96" s="138">
        <v>45166</v>
      </c>
      <c r="G96" s="111" t="s">
        <v>132</v>
      </c>
      <c r="H96" s="131">
        <f>+H5+H6+H7+H13</f>
        <v>50000</v>
      </c>
    </row>
    <row r="97" spans="1:11" ht="15.75" customHeight="1" x14ac:dyDescent="0.3">
      <c r="A97" s="585" t="s">
        <v>124</v>
      </c>
      <c r="B97" s="585"/>
      <c r="C97" s="65">
        <f>SUM(C94:C95)</f>
        <v>1503440</v>
      </c>
      <c r="E97" s="126">
        <v>21</v>
      </c>
      <c r="F97" s="138">
        <v>45185</v>
      </c>
      <c r="G97" s="111" t="s">
        <v>131</v>
      </c>
      <c r="H97" s="131">
        <f>+H16+H17+H18+H23</f>
        <v>96000</v>
      </c>
    </row>
    <row r="98" spans="1:11" ht="15.75" customHeight="1" x14ac:dyDescent="0.3">
      <c r="A98" s="587" t="s">
        <v>111</v>
      </c>
      <c r="B98" s="587"/>
      <c r="C98" s="195">
        <f>+C97-C89</f>
        <v>-96560</v>
      </c>
      <c r="E98" s="126">
        <v>22</v>
      </c>
      <c r="F98" s="138">
        <v>45194</v>
      </c>
      <c r="G98" s="111" t="s">
        <v>88</v>
      </c>
      <c r="H98" s="65">
        <f>+H26+H27+H28+H34</f>
        <v>55000</v>
      </c>
    </row>
    <row r="99" spans="1:11" ht="15.75" customHeight="1" x14ac:dyDescent="0.3">
      <c r="E99" s="126">
        <v>23</v>
      </c>
      <c r="F99" s="138">
        <v>45200</v>
      </c>
      <c r="G99" s="111" t="s">
        <v>38</v>
      </c>
      <c r="H99" s="131">
        <f>+H37+H38+H39+H44</f>
        <v>55000</v>
      </c>
    </row>
    <row r="100" spans="1:11" ht="15.75" customHeight="1" x14ac:dyDescent="0.3">
      <c r="A100" s="198" t="s">
        <v>145</v>
      </c>
      <c r="B100" s="196" t="s">
        <v>143</v>
      </c>
      <c r="C100" s="197">
        <f>+C85+C87+C88+C83</f>
        <v>1100000</v>
      </c>
      <c r="E100" s="126">
        <v>24</v>
      </c>
      <c r="F100" s="138">
        <v>45219</v>
      </c>
      <c r="G100" s="111" t="s">
        <v>13</v>
      </c>
      <c r="H100" s="131">
        <f>+H47+H48+H49+H54</f>
        <v>55000</v>
      </c>
    </row>
    <row r="101" spans="1:11" ht="15.75" customHeight="1" x14ac:dyDescent="0.3">
      <c r="A101" s="198" t="s">
        <v>145</v>
      </c>
      <c r="B101" s="196" t="s">
        <v>144</v>
      </c>
      <c r="C101" s="197">
        <f>+C86+C84</f>
        <v>500000</v>
      </c>
      <c r="E101" s="126">
        <v>25</v>
      </c>
      <c r="F101" s="138">
        <v>45229</v>
      </c>
      <c r="G101" s="111" t="s">
        <v>66</v>
      </c>
      <c r="H101" s="131">
        <f>+H57+H58+H59+H65</f>
        <v>55000</v>
      </c>
    </row>
    <row r="102" spans="1:11" ht="15.75" customHeight="1" x14ac:dyDescent="0.3">
      <c r="C102" s="65"/>
      <c r="E102" s="126">
        <v>26</v>
      </c>
      <c r="F102" s="179">
        <v>45256</v>
      </c>
      <c r="G102" s="111" t="s">
        <v>34</v>
      </c>
      <c r="H102" s="131">
        <f>+H68+H69+H70+H76</f>
        <v>55000</v>
      </c>
    </row>
    <row r="103" spans="1:11" ht="15.75" customHeight="1" x14ac:dyDescent="0.3">
      <c r="E103" s="585" t="s">
        <v>118</v>
      </c>
      <c r="F103" s="585"/>
      <c r="G103" s="585"/>
      <c r="H103" s="143">
        <f>SUM(H96:H102)</f>
        <v>421000</v>
      </c>
    </row>
    <row r="104" spans="1:11" ht="15.75" customHeight="1" x14ac:dyDescent="0.3">
      <c r="E104" s="609" t="s">
        <v>146</v>
      </c>
      <c r="F104" s="592"/>
      <c r="G104" s="592"/>
      <c r="H104" s="131">
        <v>320000</v>
      </c>
    </row>
    <row r="105" spans="1:11" ht="15.75" customHeight="1" x14ac:dyDescent="0.3">
      <c r="E105" s="593" t="s">
        <v>119</v>
      </c>
      <c r="F105" s="593"/>
      <c r="G105" s="593"/>
      <c r="H105" s="144">
        <f>+H103+H104</f>
        <v>741000</v>
      </c>
    </row>
    <row r="106" spans="1:11" ht="15.75" customHeight="1" x14ac:dyDescent="0.3"/>
    <row r="107" spans="1:11" ht="15.75" customHeight="1" x14ac:dyDescent="0.3">
      <c r="E107" s="594" t="s">
        <v>121</v>
      </c>
      <c r="F107" s="594"/>
      <c r="G107" s="594"/>
      <c r="H107" s="145">
        <f>+H90+H105</f>
        <v>1503440</v>
      </c>
    </row>
    <row r="108" spans="1:11" ht="15.75" customHeight="1" x14ac:dyDescent="0.3"/>
    <row r="109" spans="1:11" ht="14.4" x14ac:dyDescent="0.3">
      <c r="E109" s="595" t="s">
        <v>122</v>
      </c>
      <c r="F109" s="595"/>
      <c r="G109" s="595"/>
      <c r="H109" s="158">
        <f>+H92+H105</f>
        <v>1503440</v>
      </c>
    </row>
    <row r="110" spans="1:11" ht="15.75" customHeight="1" x14ac:dyDescent="0.3">
      <c r="K110" s="65"/>
    </row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4.4" x14ac:dyDescent="0.3"/>
    <row r="125" ht="15.75" customHeight="1" x14ac:dyDescent="0.3"/>
    <row r="126" ht="14.4" x14ac:dyDescent="0.3"/>
    <row r="127" ht="15.6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</sheetData>
  <mergeCells count="107">
    <mergeCell ref="E103:G103"/>
    <mergeCell ref="E104:G104"/>
    <mergeCell ref="E105:G105"/>
    <mergeCell ref="E107:G107"/>
    <mergeCell ref="E109:G109"/>
    <mergeCell ref="E90:G90"/>
    <mergeCell ref="E91:G91"/>
    <mergeCell ref="E92:G92"/>
    <mergeCell ref="A89:B89"/>
    <mergeCell ref="A92:C92"/>
    <mergeCell ref="D71:E71"/>
    <mergeCell ref="D73:E73"/>
    <mergeCell ref="D74:E74"/>
    <mergeCell ref="D75:E75"/>
    <mergeCell ref="D76:E76"/>
    <mergeCell ref="D77:G77"/>
    <mergeCell ref="E94:H94"/>
    <mergeCell ref="A68:A77"/>
    <mergeCell ref="B68:B77"/>
    <mergeCell ref="C68:C77"/>
    <mergeCell ref="D68:E68"/>
    <mergeCell ref="D69:E69"/>
    <mergeCell ref="D70:E70"/>
    <mergeCell ref="A80:C80"/>
    <mergeCell ref="E80:H80"/>
    <mergeCell ref="A81:C81"/>
    <mergeCell ref="E81:H81"/>
    <mergeCell ref="D55:G55"/>
    <mergeCell ref="A57:A66"/>
    <mergeCell ref="B57:B66"/>
    <mergeCell ref="C57:C66"/>
    <mergeCell ref="D57:E57"/>
    <mergeCell ref="D58:E58"/>
    <mergeCell ref="D59:E59"/>
    <mergeCell ref="D60:E60"/>
    <mergeCell ref="D62:E62"/>
    <mergeCell ref="A47:A55"/>
    <mergeCell ref="B47:B55"/>
    <mergeCell ref="C47:C55"/>
    <mergeCell ref="D47:E47"/>
    <mergeCell ref="D48:E48"/>
    <mergeCell ref="D49:E49"/>
    <mergeCell ref="D50:E50"/>
    <mergeCell ref="D51:E51"/>
    <mergeCell ref="D52:E52"/>
    <mergeCell ref="D53:E53"/>
    <mergeCell ref="D63:E63"/>
    <mergeCell ref="D64:E64"/>
    <mergeCell ref="D65:E65"/>
    <mergeCell ref="D66:G66"/>
    <mergeCell ref="D42:E42"/>
    <mergeCell ref="D43:E43"/>
    <mergeCell ref="D44:E44"/>
    <mergeCell ref="D45:G45"/>
    <mergeCell ref="D32:E32"/>
    <mergeCell ref="D33:E33"/>
    <mergeCell ref="D34:E34"/>
    <mergeCell ref="D35:G35"/>
    <mergeCell ref="D54:E54"/>
    <mergeCell ref="C37:C45"/>
    <mergeCell ref="D37:E37"/>
    <mergeCell ref="D38:E38"/>
    <mergeCell ref="D39:E39"/>
    <mergeCell ref="D23:E23"/>
    <mergeCell ref="D24:G24"/>
    <mergeCell ref="A26:A35"/>
    <mergeCell ref="B26:B35"/>
    <mergeCell ref="C26:C35"/>
    <mergeCell ref="D26:E26"/>
    <mergeCell ref="D27:E27"/>
    <mergeCell ref="D28:E28"/>
    <mergeCell ref="D29:E29"/>
    <mergeCell ref="D31:E31"/>
    <mergeCell ref="A16:A24"/>
    <mergeCell ref="B16:B24"/>
    <mergeCell ref="C16:C24"/>
    <mergeCell ref="D16:E16"/>
    <mergeCell ref="D17:E17"/>
    <mergeCell ref="D18:E18"/>
    <mergeCell ref="D19:E19"/>
    <mergeCell ref="D20:E20"/>
    <mergeCell ref="D40:E40"/>
    <mergeCell ref="D41:E41"/>
    <mergeCell ref="A1:H3"/>
    <mergeCell ref="A4:H4"/>
    <mergeCell ref="A98:B98"/>
    <mergeCell ref="A97:B97"/>
    <mergeCell ref="A5:A14"/>
    <mergeCell ref="B5:B14"/>
    <mergeCell ref="C5:C14"/>
    <mergeCell ref="D5:E5"/>
    <mergeCell ref="D6:E6"/>
    <mergeCell ref="D7:E7"/>
    <mergeCell ref="D72:E72"/>
    <mergeCell ref="D61:E61"/>
    <mergeCell ref="D30:E30"/>
    <mergeCell ref="D21:E21"/>
    <mergeCell ref="D22:E22"/>
    <mergeCell ref="D8:E8"/>
    <mergeCell ref="D10:E10"/>
    <mergeCell ref="D11:E11"/>
    <mergeCell ref="D12:E12"/>
    <mergeCell ref="D13:E13"/>
    <mergeCell ref="D14:G14"/>
    <mergeCell ref="D9:E9"/>
    <mergeCell ref="A37:A45"/>
    <mergeCell ref="B37:B45"/>
  </mergeCells>
  <pageMargins left="0.31496062992125984" right="0.11811023622047245" top="0.15748031496062992" bottom="0.15748031496062992" header="0" footer="0"/>
  <pageSetup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79"/>
  <sheetViews>
    <sheetView zoomScale="90" zoomScaleNormal="90" workbookViewId="0">
      <pane xSplit="2" ySplit="7" topLeftCell="C8" activePane="bottomRight" state="frozen"/>
      <selection pane="topRight" activeCell="C1" sqref="C1"/>
      <selection pane="bottomLeft" activeCell="A150" sqref="A150"/>
      <selection pane="bottomRight" activeCell="P59" sqref="P59"/>
    </sheetView>
  </sheetViews>
  <sheetFormatPr baseColWidth="10" defaultColWidth="14.44140625" defaultRowHeight="15" customHeight="1" x14ac:dyDescent="0.3"/>
  <cols>
    <col min="1" max="1" width="31" style="184" customWidth="1"/>
    <col min="2" max="2" width="11.6640625" style="184" bestFit="1" customWidth="1"/>
    <col min="3" max="3" width="22.21875" style="184" bestFit="1" customWidth="1"/>
    <col min="4" max="4" width="8.6640625" style="184" customWidth="1"/>
    <col min="5" max="5" width="13.33203125" style="184" customWidth="1"/>
    <col min="6" max="6" width="13.77734375" style="184" customWidth="1"/>
    <col min="7" max="7" width="16.77734375" style="184" bestFit="1" customWidth="1"/>
    <col min="8" max="8" width="12.109375" style="184" customWidth="1"/>
    <col min="9" max="9" width="8.88671875" style="184" customWidth="1"/>
    <col min="10" max="11" width="15.6640625" style="184" customWidth="1"/>
    <col min="12" max="12" width="10.33203125" style="184" customWidth="1"/>
    <col min="13" max="13" width="15.44140625" style="184" customWidth="1"/>
    <col min="14" max="14" width="15.6640625" style="184" customWidth="1"/>
    <col min="15" max="15" width="12.109375" style="184" customWidth="1"/>
    <col min="16" max="16" width="15.6640625" style="184" customWidth="1"/>
    <col min="17" max="27" width="10.6640625" style="184" customWidth="1"/>
    <col min="28" max="16384" width="14.44140625" style="184"/>
  </cols>
  <sheetData>
    <row r="1" spans="1:27" ht="15" customHeight="1" x14ac:dyDescent="0.3">
      <c r="A1" s="430" t="s">
        <v>137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2"/>
    </row>
    <row r="2" spans="1:27" ht="15" customHeight="1" x14ac:dyDescent="0.3">
      <c r="A2" s="433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5"/>
    </row>
    <row r="3" spans="1:27" ht="15" customHeight="1" x14ac:dyDescent="0.3">
      <c r="A3" s="433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5"/>
    </row>
    <row r="4" spans="1:27" ht="15" customHeight="1" x14ac:dyDescent="0.3">
      <c r="A4" s="433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5"/>
    </row>
    <row r="5" spans="1:27" ht="15.6" customHeight="1" thickBot="1" x14ac:dyDescent="0.35">
      <c r="A5" s="95" t="s">
        <v>67</v>
      </c>
      <c r="B5" s="95"/>
      <c r="C5" s="95"/>
      <c r="D5" s="96"/>
      <c r="E5" s="96"/>
      <c r="F5" s="96"/>
      <c r="G5" s="96"/>
      <c r="H5" s="96"/>
      <c r="I5" s="96"/>
      <c r="J5" s="95"/>
      <c r="K5" s="95"/>
      <c r="L5" s="95"/>
      <c r="M5" s="96"/>
      <c r="N5" s="96"/>
      <c r="O5" s="96" t="s">
        <v>1</v>
      </c>
      <c r="P5" s="101">
        <v>2024</v>
      </c>
    </row>
    <row r="6" spans="1:27" ht="13.95" customHeight="1" thickBot="1" x14ac:dyDescent="0.35">
      <c r="A6" s="540" t="s">
        <v>3</v>
      </c>
      <c r="B6" s="542" t="s">
        <v>4</v>
      </c>
      <c r="C6" s="629" t="s">
        <v>5</v>
      </c>
      <c r="D6" s="630"/>
      <c r="E6" s="630"/>
      <c r="F6" s="630"/>
      <c r="G6" s="630"/>
      <c r="H6" s="630"/>
      <c r="I6" s="631"/>
      <c r="J6" s="546" t="s">
        <v>6</v>
      </c>
      <c r="K6" s="627"/>
      <c r="L6" s="627"/>
      <c r="M6" s="627"/>
      <c r="N6" s="627"/>
      <c r="O6" s="627"/>
      <c r="P6" s="628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thickBot="1" x14ac:dyDescent="0.35">
      <c r="A7" s="633"/>
      <c r="B7" s="632"/>
      <c r="C7" s="107" t="s">
        <v>7</v>
      </c>
      <c r="D7" s="108" t="s">
        <v>62</v>
      </c>
      <c r="E7" s="108" t="s">
        <v>63</v>
      </c>
      <c r="F7" s="108" t="s">
        <v>9</v>
      </c>
      <c r="G7" s="109" t="s">
        <v>10</v>
      </c>
      <c r="H7" s="110" t="s">
        <v>11</v>
      </c>
      <c r="I7" s="109" t="s">
        <v>12</v>
      </c>
      <c r="J7" s="549" t="s">
        <v>7</v>
      </c>
      <c r="K7" s="626"/>
      <c r="L7" s="7" t="s">
        <v>8</v>
      </c>
      <c r="M7" s="7" t="s">
        <v>9</v>
      </c>
      <c r="N7" s="8" t="s">
        <v>12</v>
      </c>
      <c r="O7" s="8" t="s">
        <v>11</v>
      </c>
      <c r="P7" s="102" t="s">
        <v>148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4" x14ac:dyDescent="0.3">
      <c r="A8" s="402" t="s">
        <v>130</v>
      </c>
      <c r="B8" s="405">
        <v>45317</v>
      </c>
      <c r="C8" s="180" t="s">
        <v>54</v>
      </c>
      <c r="D8" s="180">
        <f>+E8*2</f>
        <v>2000</v>
      </c>
      <c r="E8" s="180">
        <v>1000</v>
      </c>
      <c r="F8" s="181">
        <v>1800</v>
      </c>
      <c r="G8" s="183">
        <f t="shared" ref="G8:G14" si="0">+D8*F8</f>
        <v>3600000</v>
      </c>
      <c r="H8" s="393"/>
      <c r="I8" s="526"/>
      <c r="J8" s="529" t="s">
        <v>17</v>
      </c>
      <c r="K8" s="530"/>
      <c r="L8" s="82">
        <v>18</v>
      </c>
      <c r="M8" s="83">
        <v>24000</v>
      </c>
      <c r="N8" s="84">
        <f t="shared" ref="N8:N13" si="1">+L8*M8</f>
        <v>432000</v>
      </c>
      <c r="O8" s="375"/>
      <c r="P8" s="489"/>
    </row>
    <row r="9" spans="1:27" ht="14.4" x14ac:dyDescent="0.3">
      <c r="A9" s="403"/>
      <c r="B9" s="406"/>
      <c r="C9" s="182" t="s">
        <v>89</v>
      </c>
      <c r="D9" s="182">
        <f>+E9*2</f>
        <v>600</v>
      </c>
      <c r="E9" s="182">
        <v>300</v>
      </c>
      <c r="F9" s="43">
        <v>3600</v>
      </c>
      <c r="G9" s="56">
        <f t="shared" si="0"/>
        <v>2160000</v>
      </c>
      <c r="H9" s="393"/>
      <c r="I9" s="526"/>
      <c r="J9" s="531" t="s">
        <v>18</v>
      </c>
      <c r="K9" s="417"/>
      <c r="L9" s="13">
        <v>290</v>
      </c>
      <c r="M9" s="14">
        <v>9000</v>
      </c>
      <c r="N9" s="15">
        <f t="shared" si="1"/>
        <v>2610000</v>
      </c>
      <c r="O9" s="375"/>
      <c r="P9" s="489"/>
    </row>
    <row r="10" spans="1:27" ht="14.4" x14ac:dyDescent="0.3">
      <c r="A10" s="403"/>
      <c r="B10" s="406"/>
      <c r="C10" s="182" t="s">
        <v>55</v>
      </c>
      <c r="D10" s="182">
        <v>2</v>
      </c>
      <c r="E10" s="182"/>
      <c r="F10" s="43">
        <v>275000</v>
      </c>
      <c r="G10" s="183">
        <f t="shared" si="0"/>
        <v>550000</v>
      </c>
      <c r="H10" s="393"/>
      <c r="I10" s="527"/>
      <c r="J10" s="531" t="s">
        <v>19</v>
      </c>
      <c r="K10" s="417"/>
      <c r="L10" s="13">
        <v>1</v>
      </c>
      <c r="M10" s="14">
        <v>85000</v>
      </c>
      <c r="N10" s="15">
        <f t="shared" si="1"/>
        <v>85000</v>
      </c>
      <c r="O10" s="375"/>
      <c r="P10" s="489"/>
    </row>
    <row r="11" spans="1:27" ht="14.4" x14ac:dyDescent="0.3">
      <c r="A11" s="403"/>
      <c r="B11" s="406"/>
      <c r="C11" s="182" t="s">
        <v>81</v>
      </c>
      <c r="D11" s="182">
        <v>1</v>
      </c>
      <c r="E11" s="182"/>
      <c r="F11" s="43">
        <v>180000</v>
      </c>
      <c r="G11" s="56">
        <f t="shared" si="0"/>
        <v>180000</v>
      </c>
      <c r="H11" s="393"/>
      <c r="I11" s="527"/>
      <c r="J11" s="531" t="s">
        <v>57</v>
      </c>
      <c r="K11" s="417"/>
      <c r="L11" s="13">
        <v>1</v>
      </c>
      <c r="M11" s="14">
        <v>160000</v>
      </c>
      <c r="N11" s="15">
        <f t="shared" si="1"/>
        <v>160000</v>
      </c>
      <c r="O11" s="375"/>
      <c r="P11" s="489"/>
    </row>
    <row r="12" spans="1:27" ht="14.4" x14ac:dyDescent="0.3">
      <c r="A12" s="403"/>
      <c r="B12" s="406"/>
      <c r="C12" s="182" t="s">
        <v>82</v>
      </c>
      <c r="D12" s="182">
        <v>0</v>
      </c>
      <c r="E12" s="182"/>
      <c r="F12" s="43">
        <v>70000</v>
      </c>
      <c r="G12" s="56">
        <f t="shared" si="0"/>
        <v>0</v>
      </c>
      <c r="H12" s="393"/>
      <c r="I12" s="527"/>
      <c r="J12" s="531" t="s">
        <v>90</v>
      </c>
      <c r="K12" s="417"/>
      <c r="L12" s="13">
        <v>2</v>
      </c>
      <c r="M12" s="14">
        <v>95000</v>
      </c>
      <c r="N12" s="15">
        <f t="shared" si="1"/>
        <v>190000</v>
      </c>
      <c r="O12" s="375"/>
      <c r="P12" s="489"/>
    </row>
    <row r="13" spans="1:27" ht="14.4" x14ac:dyDescent="0.3">
      <c r="A13" s="403"/>
      <c r="B13" s="406"/>
      <c r="C13" s="104" t="s">
        <v>71</v>
      </c>
      <c r="D13" s="182">
        <v>0</v>
      </c>
      <c r="E13" s="146"/>
      <c r="F13" s="147">
        <v>80000</v>
      </c>
      <c r="G13" s="56">
        <f t="shared" si="0"/>
        <v>0</v>
      </c>
      <c r="H13" s="393"/>
      <c r="I13" s="527"/>
      <c r="J13" s="531" t="s">
        <v>60</v>
      </c>
      <c r="K13" s="417"/>
      <c r="L13" s="13">
        <v>0</v>
      </c>
      <c r="M13" s="14">
        <v>3700000</v>
      </c>
      <c r="N13" s="15">
        <f t="shared" si="1"/>
        <v>0</v>
      </c>
      <c r="O13" s="375"/>
      <c r="P13" s="489"/>
    </row>
    <row r="14" spans="1:27" ht="14.4" x14ac:dyDescent="0.3">
      <c r="A14" s="403"/>
      <c r="B14" s="406"/>
      <c r="C14" s="104" t="s">
        <v>72</v>
      </c>
      <c r="D14" s="182">
        <v>0</v>
      </c>
      <c r="E14" s="146"/>
      <c r="F14" s="147">
        <v>75000</v>
      </c>
      <c r="G14" s="56">
        <f t="shared" si="0"/>
        <v>0</v>
      </c>
      <c r="H14" s="393"/>
      <c r="I14" s="527"/>
      <c r="J14" s="532"/>
      <c r="K14" s="533"/>
      <c r="L14" s="533"/>
      <c r="M14" s="533"/>
      <c r="N14" s="534"/>
      <c r="O14" s="375"/>
      <c r="P14" s="489"/>
    </row>
    <row r="15" spans="1:27" thickBot="1" x14ac:dyDescent="0.35">
      <c r="A15" s="404"/>
      <c r="B15" s="407"/>
      <c r="C15" s="399" t="s">
        <v>21</v>
      </c>
      <c r="D15" s="400"/>
      <c r="E15" s="400"/>
      <c r="F15" s="418"/>
      <c r="G15" s="59">
        <f>SUM(G8:G14)</f>
        <v>6490000</v>
      </c>
      <c r="H15" s="513"/>
      <c r="I15" s="528"/>
      <c r="J15" s="535" t="s">
        <v>22</v>
      </c>
      <c r="K15" s="485"/>
      <c r="L15" s="485"/>
      <c r="M15" s="418"/>
      <c r="N15" s="49">
        <f>SUM(N8:N13)</f>
        <v>3477000</v>
      </c>
      <c r="O15" s="487"/>
      <c r="P15" s="489"/>
    </row>
    <row r="16" spans="1:27" s="203" customFormat="1" ht="14.4" x14ac:dyDescent="0.3">
      <c r="A16" s="402" t="s">
        <v>28</v>
      </c>
      <c r="B16" s="405">
        <v>45325</v>
      </c>
      <c r="C16" s="199" t="s">
        <v>54</v>
      </c>
      <c r="D16" s="199">
        <f>+E16*2</f>
        <v>2000</v>
      </c>
      <c r="E16" s="199">
        <v>1000</v>
      </c>
      <c r="F16" s="200">
        <v>1800</v>
      </c>
      <c r="G16" s="202">
        <f t="shared" ref="G16:G22" si="2">+D16*F16</f>
        <v>3600000</v>
      </c>
      <c r="H16" s="393"/>
      <c r="I16" s="526"/>
      <c r="J16" s="610" t="s">
        <v>17</v>
      </c>
      <c r="K16" s="611"/>
      <c r="L16" s="210">
        <v>18</v>
      </c>
      <c r="M16" s="211">
        <v>24000</v>
      </c>
      <c r="N16" s="212">
        <f t="shared" ref="N16:N21" si="3">+L16*M16</f>
        <v>432000</v>
      </c>
      <c r="O16" s="624"/>
      <c r="P16" s="15">
        <v>0</v>
      </c>
    </row>
    <row r="17" spans="1:16" s="203" customFormat="1" ht="14.4" x14ac:dyDescent="0.3">
      <c r="A17" s="403"/>
      <c r="B17" s="406"/>
      <c r="C17" s="201" t="s">
        <v>89</v>
      </c>
      <c r="D17" s="201">
        <f>+E17*2</f>
        <v>600</v>
      </c>
      <c r="E17" s="201">
        <v>300</v>
      </c>
      <c r="F17" s="43">
        <v>3600</v>
      </c>
      <c r="G17" s="56">
        <f t="shared" si="2"/>
        <v>2160000</v>
      </c>
      <c r="H17" s="393"/>
      <c r="I17" s="526"/>
      <c r="J17" s="610" t="s">
        <v>18</v>
      </c>
      <c r="K17" s="611"/>
      <c r="L17" s="210">
        <v>290</v>
      </c>
      <c r="M17" s="211">
        <v>9000</v>
      </c>
      <c r="N17" s="212">
        <f t="shared" si="3"/>
        <v>2610000</v>
      </c>
      <c r="O17" s="612"/>
      <c r="P17" s="15">
        <v>0</v>
      </c>
    </row>
    <row r="18" spans="1:16" s="203" customFormat="1" ht="14.4" x14ac:dyDescent="0.3">
      <c r="A18" s="403"/>
      <c r="B18" s="406"/>
      <c r="C18" s="201" t="s">
        <v>55</v>
      </c>
      <c r="D18" s="201">
        <v>2</v>
      </c>
      <c r="E18" s="201"/>
      <c r="F18" s="43">
        <v>275000</v>
      </c>
      <c r="G18" s="202">
        <f t="shared" si="2"/>
        <v>550000</v>
      </c>
      <c r="H18" s="393"/>
      <c r="I18" s="527"/>
      <c r="J18" s="610" t="s">
        <v>19</v>
      </c>
      <c r="K18" s="611"/>
      <c r="L18" s="210">
        <v>1</v>
      </c>
      <c r="M18" s="211">
        <v>85000</v>
      </c>
      <c r="N18" s="212">
        <f t="shared" si="3"/>
        <v>85000</v>
      </c>
      <c r="O18" s="612"/>
      <c r="P18" s="15">
        <v>0</v>
      </c>
    </row>
    <row r="19" spans="1:16" s="203" customFormat="1" ht="14.4" x14ac:dyDescent="0.3">
      <c r="A19" s="403"/>
      <c r="B19" s="406"/>
      <c r="C19" s="201" t="s">
        <v>81</v>
      </c>
      <c r="D19" s="201">
        <v>1</v>
      </c>
      <c r="E19" s="201"/>
      <c r="F19" s="43">
        <v>180000</v>
      </c>
      <c r="G19" s="56">
        <f t="shared" si="2"/>
        <v>180000</v>
      </c>
      <c r="H19" s="393"/>
      <c r="I19" s="527"/>
      <c r="J19" s="610" t="s">
        <v>57</v>
      </c>
      <c r="K19" s="611"/>
      <c r="L19" s="210">
        <v>1</v>
      </c>
      <c r="M19" s="211">
        <v>160000</v>
      </c>
      <c r="N19" s="212">
        <f t="shared" si="3"/>
        <v>160000</v>
      </c>
      <c r="O19" s="612"/>
      <c r="P19" s="15">
        <v>0</v>
      </c>
    </row>
    <row r="20" spans="1:16" s="203" customFormat="1" ht="14.4" x14ac:dyDescent="0.3">
      <c r="A20" s="403"/>
      <c r="B20" s="406"/>
      <c r="C20" s="201" t="s">
        <v>82</v>
      </c>
      <c r="D20" s="201">
        <v>0</v>
      </c>
      <c r="E20" s="201"/>
      <c r="F20" s="43">
        <v>70000</v>
      </c>
      <c r="G20" s="56">
        <f t="shared" si="2"/>
        <v>0</v>
      </c>
      <c r="H20" s="393"/>
      <c r="I20" s="527"/>
      <c r="J20" s="610" t="s">
        <v>90</v>
      </c>
      <c r="K20" s="611"/>
      <c r="L20" s="210">
        <v>2</v>
      </c>
      <c r="M20" s="211">
        <v>95000</v>
      </c>
      <c r="N20" s="212">
        <v>0</v>
      </c>
      <c r="O20" s="612"/>
      <c r="P20" s="15">
        <f>+L20*M20</f>
        <v>190000</v>
      </c>
    </row>
    <row r="21" spans="1:16" s="203" customFormat="1" ht="14.4" x14ac:dyDescent="0.3">
      <c r="A21" s="403"/>
      <c r="B21" s="406"/>
      <c r="C21" s="104" t="s">
        <v>71</v>
      </c>
      <c r="D21" s="201">
        <v>0</v>
      </c>
      <c r="E21" s="146"/>
      <c r="F21" s="147">
        <v>80000</v>
      </c>
      <c r="G21" s="56">
        <f t="shared" si="2"/>
        <v>0</v>
      </c>
      <c r="H21" s="393"/>
      <c r="I21" s="527"/>
      <c r="J21" s="610" t="s">
        <v>60</v>
      </c>
      <c r="K21" s="611"/>
      <c r="L21" s="210">
        <v>0</v>
      </c>
      <c r="M21" s="211">
        <v>3700000</v>
      </c>
      <c r="N21" s="212">
        <f t="shared" si="3"/>
        <v>0</v>
      </c>
      <c r="O21" s="612"/>
      <c r="P21" s="15">
        <v>0</v>
      </c>
    </row>
    <row r="22" spans="1:16" s="203" customFormat="1" ht="14.4" x14ac:dyDescent="0.3">
      <c r="A22" s="403"/>
      <c r="B22" s="406"/>
      <c r="C22" s="104" t="s">
        <v>72</v>
      </c>
      <c r="D22" s="201">
        <v>0</v>
      </c>
      <c r="E22" s="146"/>
      <c r="F22" s="147">
        <v>75000</v>
      </c>
      <c r="G22" s="56">
        <f t="shared" si="2"/>
        <v>0</v>
      </c>
      <c r="H22" s="393"/>
      <c r="I22" s="527"/>
      <c r="J22" s="532"/>
      <c r="K22" s="533"/>
      <c r="L22" s="533"/>
      <c r="M22" s="533"/>
      <c r="N22" s="534"/>
      <c r="O22" s="612"/>
      <c r="P22" s="209"/>
    </row>
    <row r="23" spans="1:16" s="203" customFormat="1" thickBot="1" x14ac:dyDescent="0.35">
      <c r="A23" s="404"/>
      <c r="B23" s="407"/>
      <c r="C23" s="399" t="s">
        <v>21</v>
      </c>
      <c r="D23" s="400"/>
      <c r="E23" s="400"/>
      <c r="F23" s="418"/>
      <c r="G23" s="59">
        <f>SUM(G16:G22)</f>
        <v>6490000</v>
      </c>
      <c r="H23" s="513"/>
      <c r="I23" s="528"/>
      <c r="J23" s="535" t="s">
        <v>22</v>
      </c>
      <c r="K23" s="485"/>
      <c r="L23" s="485"/>
      <c r="M23" s="418"/>
      <c r="N23" s="49">
        <f>SUM(N16:N21)</f>
        <v>3287000</v>
      </c>
      <c r="O23" s="625"/>
      <c r="P23" s="214">
        <f>SUM(P16:P22)</f>
        <v>190000</v>
      </c>
    </row>
    <row r="24" spans="1:16" s="208" customFormat="1" ht="14.4" x14ac:dyDescent="0.3">
      <c r="A24" s="402" t="s">
        <v>149</v>
      </c>
      <c r="B24" s="405">
        <v>45337</v>
      </c>
      <c r="C24" s="204" t="s">
        <v>54</v>
      </c>
      <c r="D24" s="204">
        <f>+E24*2</f>
        <v>2000</v>
      </c>
      <c r="E24" s="204">
        <v>1000</v>
      </c>
      <c r="F24" s="205">
        <v>1800</v>
      </c>
      <c r="G24" s="206">
        <f t="shared" ref="G24:G30" si="4">+D24*F24</f>
        <v>3600000</v>
      </c>
      <c r="H24" s="393"/>
      <c r="I24" s="526"/>
      <c r="J24" s="610" t="s">
        <v>17</v>
      </c>
      <c r="K24" s="611"/>
      <c r="L24" s="210">
        <v>18</v>
      </c>
      <c r="M24" s="211">
        <v>24000</v>
      </c>
      <c r="N24" s="212">
        <f>+L24*M24</f>
        <v>432000</v>
      </c>
      <c r="O24" s="612"/>
      <c r="P24" s="15">
        <v>0</v>
      </c>
    </row>
    <row r="25" spans="1:16" s="208" customFormat="1" ht="20.100000000000001" customHeight="1" x14ac:dyDescent="0.3">
      <c r="A25" s="403"/>
      <c r="B25" s="406"/>
      <c r="C25" s="207" t="s">
        <v>89</v>
      </c>
      <c r="D25" s="207">
        <v>0</v>
      </c>
      <c r="E25" s="207">
        <v>0</v>
      </c>
      <c r="F25" s="43">
        <v>3600</v>
      </c>
      <c r="G25" s="56">
        <f t="shared" si="4"/>
        <v>0</v>
      </c>
      <c r="H25" s="393"/>
      <c r="I25" s="526"/>
      <c r="J25" s="610" t="s">
        <v>18</v>
      </c>
      <c r="K25" s="611"/>
      <c r="L25" s="210">
        <v>290</v>
      </c>
      <c r="M25" s="211">
        <v>9000</v>
      </c>
      <c r="N25" s="212">
        <f>+L25*M25</f>
        <v>2610000</v>
      </c>
      <c r="O25" s="612"/>
      <c r="P25" s="15">
        <v>0</v>
      </c>
    </row>
    <row r="26" spans="1:16" s="208" customFormat="1" ht="20.100000000000001" customHeight="1" x14ac:dyDescent="0.3">
      <c r="A26" s="403"/>
      <c r="B26" s="406"/>
      <c r="C26" s="207" t="s">
        <v>55</v>
      </c>
      <c r="D26" s="207">
        <v>2</v>
      </c>
      <c r="E26" s="207"/>
      <c r="F26" s="43">
        <v>275000</v>
      </c>
      <c r="G26" s="206">
        <f t="shared" si="4"/>
        <v>550000</v>
      </c>
      <c r="H26" s="393"/>
      <c r="I26" s="527"/>
      <c r="J26" s="610" t="s">
        <v>19</v>
      </c>
      <c r="K26" s="611"/>
      <c r="L26" s="210">
        <v>1</v>
      </c>
      <c r="M26" s="211">
        <v>85000</v>
      </c>
      <c r="N26" s="212">
        <f>+L26*M26</f>
        <v>85000</v>
      </c>
      <c r="O26" s="612"/>
      <c r="P26" s="15">
        <v>0</v>
      </c>
    </row>
    <row r="27" spans="1:16" s="208" customFormat="1" ht="20.100000000000001" customHeight="1" x14ac:dyDescent="0.3">
      <c r="A27" s="403"/>
      <c r="B27" s="406"/>
      <c r="C27" s="207" t="s">
        <v>81</v>
      </c>
      <c r="D27" s="207">
        <v>1</v>
      </c>
      <c r="E27" s="207"/>
      <c r="F27" s="43">
        <v>180000</v>
      </c>
      <c r="G27" s="56">
        <f t="shared" si="4"/>
        <v>180000</v>
      </c>
      <c r="H27" s="393"/>
      <c r="I27" s="527"/>
      <c r="J27" s="610" t="s">
        <v>57</v>
      </c>
      <c r="K27" s="611"/>
      <c r="L27" s="210">
        <v>1</v>
      </c>
      <c r="M27" s="211">
        <v>160000</v>
      </c>
      <c r="N27" s="212">
        <f>+L27*M27</f>
        <v>160000</v>
      </c>
      <c r="O27" s="612"/>
      <c r="P27" s="15">
        <v>0</v>
      </c>
    </row>
    <row r="28" spans="1:16" s="208" customFormat="1" ht="20.100000000000001" customHeight="1" x14ac:dyDescent="0.3">
      <c r="A28" s="403"/>
      <c r="B28" s="406"/>
      <c r="C28" s="207" t="s">
        <v>82</v>
      </c>
      <c r="D28" s="207">
        <v>0</v>
      </c>
      <c r="E28" s="207"/>
      <c r="F28" s="43">
        <v>70000</v>
      </c>
      <c r="G28" s="56">
        <f t="shared" si="4"/>
        <v>0</v>
      </c>
      <c r="H28" s="393"/>
      <c r="I28" s="527"/>
      <c r="J28" s="610" t="s">
        <v>90</v>
      </c>
      <c r="K28" s="611"/>
      <c r="L28" s="210">
        <v>2</v>
      </c>
      <c r="M28" s="211">
        <v>95000</v>
      </c>
      <c r="N28" s="212">
        <v>0</v>
      </c>
      <c r="O28" s="375"/>
      <c r="P28" s="15">
        <f>+L28*M28</f>
        <v>190000</v>
      </c>
    </row>
    <row r="29" spans="1:16" s="208" customFormat="1" ht="19.95" customHeight="1" x14ac:dyDescent="0.3">
      <c r="A29" s="403"/>
      <c r="B29" s="406"/>
      <c r="C29" s="104" t="s">
        <v>71</v>
      </c>
      <c r="D29" s="207">
        <v>0</v>
      </c>
      <c r="E29" s="146"/>
      <c r="F29" s="147">
        <v>80000</v>
      </c>
      <c r="G29" s="56">
        <f t="shared" si="4"/>
        <v>0</v>
      </c>
      <c r="H29" s="393"/>
      <c r="I29" s="527"/>
      <c r="J29" s="610" t="s">
        <v>60</v>
      </c>
      <c r="K29" s="611"/>
      <c r="L29" s="210">
        <v>0</v>
      </c>
      <c r="M29" s="211">
        <v>3700000</v>
      </c>
      <c r="N29" s="212">
        <f>+L29*M29</f>
        <v>0</v>
      </c>
      <c r="O29" s="612"/>
      <c r="P29" s="15">
        <v>0</v>
      </c>
    </row>
    <row r="30" spans="1:16" s="208" customFormat="1" ht="19.95" customHeight="1" x14ac:dyDescent="0.3">
      <c r="A30" s="403"/>
      <c r="B30" s="406"/>
      <c r="C30" s="104" t="s">
        <v>72</v>
      </c>
      <c r="D30" s="207">
        <v>0</v>
      </c>
      <c r="E30" s="146"/>
      <c r="F30" s="147">
        <v>75000</v>
      </c>
      <c r="G30" s="56">
        <f t="shared" si="4"/>
        <v>0</v>
      </c>
      <c r="H30" s="393"/>
      <c r="I30" s="527"/>
      <c r="J30" s="532"/>
      <c r="K30" s="533"/>
      <c r="L30" s="533"/>
      <c r="M30" s="533"/>
      <c r="N30" s="534"/>
      <c r="O30" s="375"/>
      <c r="P30" s="209"/>
    </row>
    <row r="31" spans="1:16" s="208" customFormat="1" ht="19.95" customHeight="1" thickBot="1" x14ac:dyDescent="0.35">
      <c r="A31" s="404"/>
      <c r="B31" s="407"/>
      <c r="C31" s="399" t="s">
        <v>21</v>
      </c>
      <c r="D31" s="400"/>
      <c r="E31" s="400"/>
      <c r="F31" s="418"/>
      <c r="G31" s="59">
        <f>SUM(G24:G30)</f>
        <v>4330000</v>
      </c>
      <c r="H31" s="513"/>
      <c r="I31" s="528"/>
      <c r="J31" s="535" t="s">
        <v>22</v>
      </c>
      <c r="K31" s="485"/>
      <c r="L31" s="485"/>
      <c r="M31" s="418"/>
      <c r="N31" s="49">
        <f>SUM(N24:N29)</f>
        <v>3287000</v>
      </c>
      <c r="O31" s="487"/>
      <c r="P31" s="213">
        <f>SUM(P24:P30)</f>
        <v>190000</v>
      </c>
    </row>
    <row r="32" spans="1:16" s="219" customFormat="1" ht="14.4" x14ac:dyDescent="0.3">
      <c r="A32" s="402" t="s">
        <v>30</v>
      </c>
      <c r="B32" s="405">
        <v>45353</v>
      </c>
      <c r="C32" s="215" t="s">
        <v>54</v>
      </c>
      <c r="D32" s="215">
        <v>2500</v>
      </c>
      <c r="E32" s="215">
        <v>1250</v>
      </c>
      <c r="F32" s="216">
        <v>1800</v>
      </c>
      <c r="G32" s="218">
        <f t="shared" ref="G32:G38" si="5">+D32*F32</f>
        <v>4500000</v>
      </c>
      <c r="H32" s="393"/>
      <c r="I32" s="526"/>
      <c r="J32" s="610" t="s">
        <v>17</v>
      </c>
      <c r="K32" s="611"/>
      <c r="L32" s="210">
        <v>18</v>
      </c>
      <c r="M32" s="211">
        <v>24000</v>
      </c>
      <c r="N32" s="212">
        <f>+L32*M32</f>
        <v>432000</v>
      </c>
      <c r="O32" s="612"/>
      <c r="P32" s="15">
        <v>0</v>
      </c>
    </row>
    <row r="33" spans="1:16" s="219" customFormat="1" ht="20.100000000000001" customHeight="1" x14ac:dyDescent="0.3">
      <c r="A33" s="403"/>
      <c r="B33" s="406"/>
      <c r="C33" s="217" t="s">
        <v>89</v>
      </c>
      <c r="D33" s="217">
        <v>600</v>
      </c>
      <c r="E33" s="217">
        <v>0</v>
      </c>
      <c r="F33" s="43">
        <v>3600</v>
      </c>
      <c r="G33" s="56">
        <f t="shared" si="5"/>
        <v>2160000</v>
      </c>
      <c r="H33" s="393"/>
      <c r="I33" s="526"/>
      <c r="J33" s="610" t="s">
        <v>18</v>
      </c>
      <c r="K33" s="611"/>
      <c r="L33" s="210">
        <v>750</v>
      </c>
      <c r="M33" s="211">
        <v>9000</v>
      </c>
      <c r="N33" s="212">
        <f>290*M33</f>
        <v>2610000</v>
      </c>
      <c r="O33" s="612"/>
      <c r="P33" s="15">
        <f>460*M33</f>
        <v>4140000</v>
      </c>
    </row>
    <row r="34" spans="1:16" s="219" customFormat="1" ht="20.100000000000001" customHeight="1" x14ac:dyDescent="0.3">
      <c r="A34" s="403"/>
      <c r="B34" s="406"/>
      <c r="C34" s="217" t="s">
        <v>55</v>
      </c>
      <c r="D34" s="217">
        <v>2</v>
      </c>
      <c r="E34" s="217"/>
      <c r="F34" s="43">
        <v>275000</v>
      </c>
      <c r="G34" s="218">
        <f t="shared" si="5"/>
        <v>550000</v>
      </c>
      <c r="H34" s="393"/>
      <c r="I34" s="527"/>
      <c r="J34" s="610" t="s">
        <v>19</v>
      </c>
      <c r="K34" s="611"/>
      <c r="L34" s="210">
        <v>1</v>
      </c>
      <c r="M34" s="211">
        <v>85000</v>
      </c>
      <c r="N34" s="212">
        <f>+L34*M34</f>
        <v>85000</v>
      </c>
      <c r="O34" s="612"/>
      <c r="P34" s="15">
        <v>0</v>
      </c>
    </row>
    <row r="35" spans="1:16" s="219" customFormat="1" ht="20.100000000000001" customHeight="1" x14ac:dyDescent="0.3">
      <c r="A35" s="403"/>
      <c r="B35" s="406"/>
      <c r="C35" s="217" t="s">
        <v>81</v>
      </c>
      <c r="D35" s="217">
        <v>0</v>
      </c>
      <c r="E35" s="217"/>
      <c r="F35" s="43">
        <v>180000</v>
      </c>
      <c r="G35" s="56">
        <f t="shared" si="5"/>
        <v>0</v>
      </c>
      <c r="H35" s="393"/>
      <c r="I35" s="527"/>
      <c r="J35" s="610" t="s">
        <v>57</v>
      </c>
      <c r="K35" s="611"/>
      <c r="L35" s="210">
        <v>1</v>
      </c>
      <c r="M35" s="211">
        <v>160000</v>
      </c>
      <c r="N35" s="212">
        <f>+L35*M35</f>
        <v>160000</v>
      </c>
      <c r="O35" s="612"/>
      <c r="P35" s="15">
        <v>0</v>
      </c>
    </row>
    <row r="36" spans="1:16" s="219" customFormat="1" ht="20.100000000000001" customHeight="1" x14ac:dyDescent="0.3">
      <c r="A36" s="403"/>
      <c r="B36" s="406"/>
      <c r="C36" s="217" t="s">
        <v>82</v>
      </c>
      <c r="D36" s="217">
        <v>0</v>
      </c>
      <c r="E36" s="217"/>
      <c r="F36" s="43">
        <v>70000</v>
      </c>
      <c r="G36" s="56">
        <f t="shared" si="5"/>
        <v>0</v>
      </c>
      <c r="H36" s="393"/>
      <c r="I36" s="527"/>
      <c r="J36" s="610" t="s">
        <v>90</v>
      </c>
      <c r="K36" s="611"/>
      <c r="L36" s="210">
        <v>2</v>
      </c>
      <c r="M36" s="211">
        <v>95000</v>
      </c>
      <c r="N36" s="212">
        <v>0</v>
      </c>
      <c r="O36" s="375"/>
      <c r="P36" s="15">
        <f>+L36*M36</f>
        <v>190000</v>
      </c>
    </row>
    <row r="37" spans="1:16" s="219" customFormat="1" ht="19.95" customHeight="1" x14ac:dyDescent="0.3">
      <c r="A37" s="403"/>
      <c r="B37" s="406"/>
      <c r="C37" s="104" t="s">
        <v>71</v>
      </c>
      <c r="D37" s="217">
        <v>0</v>
      </c>
      <c r="E37" s="146"/>
      <c r="F37" s="147">
        <v>80000</v>
      </c>
      <c r="G37" s="56">
        <f t="shared" si="5"/>
        <v>0</v>
      </c>
      <c r="H37" s="393"/>
      <c r="I37" s="527"/>
      <c r="J37" s="610" t="s">
        <v>60</v>
      </c>
      <c r="K37" s="611"/>
      <c r="L37" s="210">
        <v>0</v>
      </c>
      <c r="M37" s="211">
        <v>3700000</v>
      </c>
      <c r="N37" s="212">
        <f>+L37*M37</f>
        <v>0</v>
      </c>
      <c r="O37" s="612"/>
      <c r="P37" s="15">
        <v>0</v>
      </c>
    </row>
    <row r="38" spans="1:16" s="219" customFormat="1" ht="14.4" customHeight="1" x14ac:dyDescent="0.3">
      <c r="A38" s="403"/>
      <c r="B38" s="406"/>
      <c r="C38" s="104" t="s">
        <v>72</v>
      </c>
      <c r="D38" s="217">
        <v>0</v>
      </c>
      <c r="E38" s="146"/>
      <c r="F38" s="147">
        <v>75000</v>
      </c>
      <c r="G38" s="56">
        <f t="shared" si="5"/>
        <v>0</v>
      </c>
      <c r="H38" s="393"/>
      <c r="I38" s="527"/>
      <c r="J38" s="532"/>
      <c r="K38" s="533"/>
      <c r="L38" s="533"/>
      <c r="M38" s="533"/>
      <c r="N38" s="534"/>
      <c r="O38" s="375"/>
      <c r="P38" s="209"/>
    </row>
    <row r="39" spans="1:16" s="219" customFormat="1" ht="19.95" customHeight="1" thickBot="1" x14ac:dyDescent="0.35">
      <c r="A39" s="404"/>
      <c r="B39" s="407"/>
      <c r="C39" s="399" t="s">
        <v>21</v>
      </c>
      <c r="D39" s="400"/>
      <c r="E39" s="400"/>
      <c r="F39" s="418"/>
      <c r="G39" s="59">
        <f>SUM(G32:G38)</f>
        <v>7210000</v>
      </c>
      <c r="H39" s="513"/>
      <c r="I39" s="528"/>
      <c r="J39" s="535" t="s">
        <v>22</v>
      </c>
      <c r="K39" s="485"/>
      <c r="L39" s="485"/>
      <c r="M39" s="418"/>
      <c r="N39" s="49">
        <f>SUM(N32:N37)</f>
        <v>3287000</v>
      </c>
      <c r="O39" s="487"/>
      <c r="P39" s="213">
        <f>SUM(P32:P38)</f>
        <v>4330000</v>
      </c>
    </row>
    <row r="40" spans="1:16" s="224" customFormat="1" ht="14.4" x14ac:dyDescent="0.3">
      <c r="A40" s="402" t="s">
        <v>151</v>
      </c>
      <c r="B40" s="405">
        <v>45361</v>
      </c>
      <c r="C40" s="220" t="s">
        <v>54</v>
      </c>
      <c r="D40" s="220">
        <v>2200</v>
      </c>
      <c r="E40" s="220">
        <v>1100</v>
      </c>
      <c r="F40" s="221">
        <v>1800</v>
      </c>
      <c r="G40" s="223">
        <f t="shared" ref="G40:G46" si="6">+D40*F40</f>
        <v>3960000</v>
      </c>
      <c r="H40" s="393"/>
      <c r="I40" s="526"/>
      <c r="J40" s="610" t="s">
        <v>17</v>
      </c>
      <c r="K40" s="611"/>
      <c r="L40" s="210">
        <v>18</v>
      </c>
      <c r="M40" s="211">
        <v>24000</v>
      </c>
      <c r="N40" s="212">
        <f>+L40*M40</f>
        <v>432000</v>
      </c>
      <c r="O40" s="612"/>
      <c r="P40" s="15">
        <v>0</v>
      </c>
    </row>
    <row r="41" spans="1:16" s="224" customFormat="1" ht="20.100000000000001" customHeight="1" x14ac:dyDescent="0.3">
      <c r="A41" s="403"/>
      <c r="B41" s="406"/>
      <c r="C41" s="222" t="s">
        <v>89</v>
      </c>
      <c r="D41" s="222">
        <v>0</v>
      </c>
      <c r="E41" s="222">
        <v>0</v>
      </c>
      <c r="F41" s="43">
        <v>3600</v>
      </c>
      <c r="G41" s="56">
        <f t="shared" si="6"/>
        <v>0</v>
      </c>
      <c r="H41" s="393"/>
      <c r="I41" s="526"/>
      <c r="J41" s="610" t="s">
        <v>18</v>
      </c>
      <c r="K41" s="611"/>
      <c r="L41" s="210">
        <v>290</v>
      </c>
      <c r="M41" s="211">
        <v>9000</v>
      </c>
      <c r="N41" s="212">
        <f>290*M41</f>
        <v>2610000</v>
      </c>
      <c r="O41" s="612"/>
      <c r="P41" s="15">
        <v>0</v>
      </c>
    </row>
    <row r="42" spans="1:16" s="224" customFormat="1" ht="20.100000000000001" customHeight="1" x14ac:dyDescent="0.3">
      <c r="A42" s="403"/>
      <c r="B42" s="406"/>
      <c r="C42" s="222" t="s">
        <v>55</v>
      </c>
      <c r="D42" s="222">
        <v>2</v>
      </c>
      <c r="E42" s="222"/>
      <c r="F42" s="43">
        <v>275000</v>
      </c>
      <c r="G42" s="223">
        <f t="shared" si="6"/>
        <v>550000</v>
      </c>
      <c r="H42" s="393"/>
      <c r="I42" s="527"/>
      <c r="J42" s="610" t="s">
        <v>19</v>
      </c>
      <c r="K42" s="611"/>
      <c r="L42" s="210">
        <v>1</v>
      </c>
      <c r="M42" s="211">
        <v>85000</v>
      </c>
      <c r="N42" s="212">
        <f>+L42*M42</f>
        <v>85000</v>
      </c>
      <c r="O42" s="612"/>
      <c r="P42" s="15">
        <v>0</v>
      </c>
    </row>
    <row r="43" spans="1:16" s="224" customFormat="1" ht="20.100000000000001" customHeight="1" x14ac:dyDescent="0.3">
      <c r="A43" s="403"/>
      <c r="B43" s="406"/>
      <c r="C43" s="222" t="s">
        <v>81</v>
      </c>
      <c r="D43" s="222">
        <v>1</v>
      </c>
      <c r="E43" s="222"/>
      <c r="F43" s="43">
        <v>180000</v>
      </c>
      <c r="G43" s="56">
        <f t="shared" si="6"/>
        <v>180000</v>
      </c>
      <c r="H43" s="393"/>
      <c r="I43" s="527"/>
      <c r="J43" s="610" t="s">
        <v>57</v>
      </c>
      <c r="K43" s="611"/>
      <c r="L43" s="210">
        <v>1</v>
      </c>
      <c r="M43" s="211">
        <v>160000</v>
      </c>
      <c r="N43" s="212">
        <f>+L43*M43</f>
        <v>160000</v>
      </c>
      <c r="O43" s="612"/>
      <c r="P43" s="15">
        <v>0</v>
      </c>
    </row>
    <row r="44" spans="1:16" s="224" customFormat="1" ht="20.100000000000001" customHeight="1" x14ac:dyDescent="0.3">
      <c r="A44" s="403"/>
      <c r="B44" s="406"/>
      <c r="C44" s="222" t="s">
        <v>82</v>
      </c>
      <c r="D44" s="222">
        <v>0</v>
      </c>
      <c r="E44" s="222"/>
      <c r="F44" s="43">
        <v>70000</v>
      </c>
      <c r="G44" s="56">
        <f t="shared" si="6"/>
        <v>0</v>
      </c>
      <c r="H44" s="393"/>
      <c r="I44" s="527"/>
      <c r="J44" s="610" t="s">
        <v>90</v>
      </c>
      <c r="K44" s="611"/>
      <c r="L44" s="210">
        <v>2</v>
      </c>
      <c r="M44" s="211">
        <v>95000</v>
      </c>
      <c r="N44" s="212">
        <v>0</v>
      </c>
      <c r="O44" s="375"/>
      <c r="P44" s="15">
        <f>+L44*M44</f>
        <v>190000</v>
      </c>
    </row>
    <row r="45" spans="1:16" s="224" customFormat="1" ht="19.95" customHeight="1" x14ac:dyDescent="0.3">
      <c r="A45" s="403"/>
      <c r="B45" s="406"/>
      <c r="C45" s="104" t="s">
        <v>71</v>
      </c>
      <c r="D45" s="222">
        <v>0</v>
      </c>
      <c r="E45" s="146"/>
      <c r="F45" s="147">
        <v>80000</v>
      </c>
      <c r="G45" s="56">
        <f t="shared" si="6"/>
        <v>0</v>
      </c>
      <c r="H45" s="393"/>
      <c r="I45" s="527"/>
      <c r="J45" s="610" t="s">
        <v>60</v>
      </c>
      <c r="K45" s="611"/>
      <c r="L45" s="210">
        <v>0</v>
      </c>
      <c r="M45" s="211">
        <v>3700000</v>
      </c>
      <c r="N45" s="212">
        <f>+L45*M45</f>
        <v>0</v>
      </c>
      <c r="O45" s="612"/>
      <c r="P45" s="15">
        <v>0</v>
      </c>
    </row>
    <row r="46" spans="1:16" s="224" customFormat="1" ht="14.4" customHeight="1" x14ac:dyDescent="0.3">
      <c r="A46" s="403"/>
      <c r="B46" s="406"/>
      <c r="C46" s="104" t="s">
        <v>72</v>
      </c>
      <c r="D46" s="222">
        <v>0</v>
      </c>
      <c r="E46" s="146"/>
      <c r="F46" s="147">
        <v>75000</v>
      </c>
      <c r="G46" s="56">
        <f t="shared" si="6"/>
        <v>0</v>
      </c>
      <c r="H46" s="393"/>
      <c r="I46" s="527"/>
      <c r="J46" s="532"/>
      <c r="K46" s="533"/>
      <c r="L46" s="533"/>
      <c r="M46" s="533"/>
      <c r="N46" s="534"/>
      <c r="O46" s="375"/>
      <c r="P46" s="209"/>
    </row>
    <row r="47" spans="1:16" s="224" customFormat="1" ht="19.95" customHeight="1" thickBot="1" x14ac:dyDescent="0.35">
      <c r="A47" s="404"/>
      <c r="B47" s="407"/>
      <c r="C47" s="399" t="s">
        <v>21</v>
      </c>
      <c r="D47" s="400"/>
      <c r="E47" s="400"/>
      <c r="F47" s="418"/>
      <c r="G47" s="59">
        <f>SUM(G40:G46)</f>
        <v>4690000</v>
      </c>
      <c r="H47" s="513"/>
      <c r="I47" s="528"/>
      <c r="J47" s="535" t="s">
        <v>22</v>
      </c>
      <c r="K47" s="485"/>
      <c r="L47" s="485"/>
      <c r="M47" s="418"/>
      <c r="N47" s="49">
        <f>SUM(N40:N45)</f>
        <v>3287000</v>
      </c>
      <c r="O47" s="487"/>
      <c r="P47" s="213">
        <f>SUM(P40:P46)</f>
        <v>190000</v>
      </c>
    </row>
    <row r="48" spans="1:16" s="229" customFormat="1" ht="14.4" x14ac:dyDescent="0.3">
      <c r="A48" s="402" t="s">
        <v>152</v>
      </c>
      <c r="B48" s="405">
        <v>45381</v>
      </c>
      <c r="C48" s="225" t="s">
        <v>54</v>
      </c>
      <c r="D48" s="225">
        <v>2200</v>
      </c>
      <c r="E48" s="225">
        <v>1100</v>
      </c>
      <c r="F48" s="226">
        <v>1800</v>
      </c>
      <c r="G48" s="228">
        <f t="shared" ref="G48:G54" si="7">+D48*F48</f>
        <v>3960000</v>
      </c>
      <c r="H48" s="393"/>
      <c r="I48" s="526"/>
      <c r="J48" s="610" t="s">
        <v>17</v>
      </c>
      <c r="K48" s="611"/>
      <c r="L48" s="210">
        <v>18</v>
      </c>
      <c r="M48" s="211">
        <v>24000</v>
      </c>
      <c r="N48" s="212">
        <f>+L48*M48</f>
        <v>432000</v>
      </c>
      <c r="O48" s="612"/>
      <c r="P48" s="15">
        <v>0</v>
      </c>
    </row>
    <row r="49" spans="1:16" s="229" customFormat="1" ht="20.100000000000001" customHeight="1" x14ac:dyDescent="0.3">
      <c r="A49" s="403"/>
      <c r="B49" s="406"/>
      <c r="C49" s="227" t="s">
        <v>89</v>
      </c>
      <c r="D49" s="227">
        <v>0</v>
      </c>
      <c r="E49" s="227">
        <v>0</v>
      </c>
      <c r="F49" s="43">
        <v>3600</v>
      </c>
      <c r="G49" s="56">
        <f t="shared" si="7"/>
        <v>0</v>
      </c>
      <c r="H49" s="393"/>
      <c r="I49" s="526"/>
      <c r="J49" s="610" t="s">
        <v>18</v>
      </c>
      <c r="K49" s="611"/>
      <c r="L49" s="210">
        <v>290</v>
      </c>
      <c r="M49" s="211">
        <v>9000</v>
      </c>
      <c r="N49" s="212">
        <f>290*M49</f>
        <v>2610000</v>
      </c>
      <c r="O49" s="612"/>
      <c r="P49" s="15">
        <v>0</v>
      </c>
    </row>
    <row r="50" spans="1:16" s="229" customFormat="1" ht="20.100000000000001" customHeight="1" x14ac:dyDescent="0.3">
      <c r="A50" s="403"/>
      <c r="B50" s="406"/>
      <c r="C50" s="227" t="s">
        <v>55</v>
      </c>
      <c r="D50" s="227">
        <v>2</v>
      </c>
      <c r="E50" s="227"/>
      <c r="F50" s="43">
        <v>275000</v>
      </c>
      <c r="G50" s="228">
        <f t="shared" si="7"/>
        <v>550000</v>
      </c>
      <c r="H50" s="393"/>
      <c r="I50" s="527"/>
      <c r="J50" s="610" t="s">
        <v>19</v>
      </c>
      <c r="K50" s="611"/>
      <c r="L50" s="210">
        <v>1</v>
      </c>
      <c r="M50" s="211">
        <v>85000</v>
      </c>
      <c r="N50" s="212">
        <f>+L50*M50</f>
        <v>85000</v>
      </c>
      <c r="O50" s="612"/>
      <c r="P50" s="15">
        <v>0</v>
      </c>
    </row>
    <row r="51" spans="1:16" s="229" customFormat="1" ht="20.100000000000001" customHeight="1" x14ac:dyDescent="0.3">
      <c r="A51" s="403"/>
      <c r="B51" s="406"/>
      <c r="C51" s="227" t="s">
        <v>81</v>
      </c>
      <c r="D51" s="227">
        <v>1</v>
      </c>
      <c r="E51" s="227"/>
      <c r="F51" s="43">
        <v>180000</v>
      </c>
      <c r="G51" s="56">
        <f t="shared" si="7"/>
        <v>180000</v>
      </c>
      <c r="H51" s="393"/>
      <c r="I51" s="527"/>
      <c r="J51" s="610" t="s">
        <v>57</v>
      </c>
      <c r="K51" s="611"/>
      <c r="L51" s="210">
        <v>1</v>
      </c>
      <c r="M51" s="211">
        <v>160000</v>
      </c>
      <c r="N51" s="212">
        <f>+L51*M51</f>
        <v>160000</v>
      </c>
      <c r="O51" s="612"/>
      <c r="P51" s="15">
        <v>0</v>
      </c>
    </row>
    <row r="52" spans="1:16" s="229" customFormat="1" ht="20.100000000000001" customHeight="1" x14ac:dyDescent="0.3">
      <c r="A52" s="403"/>
      <c r="B52" s="406"/>
      <c r="C52" s="227" t="s">
        <v>82</v>
      </c>
      <c r="D52" s="227">
        <v>0</v>
      </c>
      <c r="E52" s="227"/>
      <c r="F52" s="43">
        <v>70000</v>
      </c>
      <c r="G52" s="56">
        <f t="shared" si="7"/>
        <v>0</v>
      </c>
      <c r="H52" s="393"/>
      <c r="I52" s="527"/>
      <c r="J52" s="610" t="s">
        <v>90</v>
      </c>
      <c r="K52" s="611"/>
      <c r="L52" s="210">
        <v>2</v>
      </c>
      <c r="M52" s="211">
        <v>95000</v>
      </c>
      <c r="N52" s="212">
        <v>0</v>
      </c>
      <c r="O52" s="375"/>
      <c r="P52" s="15">
        <f>+L52*M52</f>
        <v>190000</v>
      </c>
    </row>
    <row r="53" spans="1:16" s="229" customFormat="1" ht="19.95" customHeight="1" x14ac:dyDescent="0.3">
      <c r="A53" s="403"/>
      <c r="B53" s="406"/>
      <c r="C53" s="104" t="s">
        <v>71</v>
      </c>
      <c r="D53" s="227">
        <v>0</v>
      </c>
      <c r="E53" s="146"/>
      <c r="F53" s="147">
        <v>80000</v>
      </c>
      <c r="G53" s="56">
        <f t="shared" si="7"/>
        <v>0</v>
      </c>
      <c r="H53" s="393"/>
      <c r="I53" s="527"/>
      <c r="J53" s="610" t="s">
        <v>60</v>
      </c>
      <c r="K53" s="611"/>
      <c r="L53" s="210">
        <v>0</v>
      </c>
      <c r="M53" s="211">
        <v>3700000</v>
      </c>
      <c r="N53" s="212">
        <f>+L53*M53</f>
        <v>0</v>
      </c>
      <c r="O53" s="612"/>
      <c r="P53" s="15">
        <v>0</v>
      </c>
    </row>
    <row r="54" spans="1:16" s="229" customFormat="1" ht="14.4" customHeight="1" x14ac:dyDescent="0.3">
      <c r="A54" s="403"/>
      <c r="B54" s="406"/>
      <c r="C54" s="104" t="s">
        <v>72</v>
      </c>
      <c r="D54" s="227">
        <v>0</v>
      </c>
      <c r="E54" s="146"/>
      <c r="F54" s="147">
        <v>75000</v>
      </c>
      <c r="G54" s="56">
        <f t="shared" si="7"/>
        <v>0</v>
      </c>
      <c r="H54" s="393"/>
      <c r="I54" s="527"/>
      <c r="J54" s="532"/>
      <c r="K54" s="533"/>
      <c r="L54" s="533"/>
      <c r="M54" s="533"/>
      <c r="N54" s="534"/>
      <c r="O54" s="375"/>
      <c r="P54" s="209"/>
    </row>
    <row r="55" spans="1:16" s="229" customFormat="1" ht="19.95" customHeight="1" thickBot="1" x14ac:dyDescent="0.35">
      <c r="A55" s="404"/>
      <c r="B55" s="407"/>
      <c r="C55" s="399" t="s">
        <v>21</v>
      </c>
      <c r="D55" s="400"/>
      <c r="E55" s="400"/>
      <c r="F55" s="418"/>
      <c r="G55" s="59">
        <f>SUM(G48:G54)</f>
        <v>4690000</v>
      </c>
      <c r="H55" s="513"/>
      <c r="I55" s="528"/>
      <c r="J55" s="535" t="s">
        <v>22</v>
      </c>
      <c r="K55" s="485"/>
      <c r="L55" s="485"/>
      <c r="M55" s="418"/>
      <c r="N55" s="49">
        <f>SUM(N48:N53)</f>
        <v>3287000</v>
      </c>
      <c r="O55" s="487"/>
      <c r="P55" s="213">
        <f>SUM(P48:P54)</f>
        <v>190000</v>
      </c>
    </row>
    <row r="56" spans="1:16" s="229" customFormat="1" ht="14.4" x14ac:dyDescent="0.3">
      <c r="A56" s="402" t="s">
        <v>153</v>
      </c>
      <c r="B56" s="405">
        <v>45386</v>
      </c>
      <c r="C56" s="225" t="s">
        <v>54</v>
      </c>
      <c r="D56" s="225">
        <v>2200</v>
      </c>
      <c r="E56" s="225">
        <v>1100</v>
      </c>
      <c r="F56" s="226">
        <v>1800</v>
      </c>
      <c r="G56" s="228">
        <f>+D56*F56</f>
        <v>3960000</v>
      </c>
      <c r="H56" s="393"/>
      <c r="I56" s="526"/>
      <c r="J56" s="610" t="s">
        <v>17</v>
      </c>
      <c r="K56" s="611"/>
      <c r="L56" s="210">
        <v>18</v>
      </c>
      <c r="M56" s="211">
        <v>24000</v>
      </c>
      <c r="N56" s="212">
        <f>+L56*M56</f>
        <v>432000</v>
      </c>
      <c r="O56" s="612"/>
      <c r="P56" s="15">
        <v>0</v>
      </c>
    </row>
    <row r="57" spans="1:16" s="229" customFormat="1" ht="20.100000000000001" customHeight="1" x14ac:dyDescent="0.3">
      <c r="A57" s="403"/>
      <c r="B57" s="406"/>
      <c r="C57" s="227" t="s">
        <v>89</v>
      </c>
      <c r="D57" s="227">
        <v>600</v>
      </c>
      <c r="E57" s="227">
        <v>300</v>
      </c>
      <c r="F57" s="43">
        <v>3600</v>
      </c>
      <c r="G57" s="56">
        <f>+D57*F57</f>
        <v>2160000</v>
      </c>
      <c r="H57" s="393"/>
      <c r="I57" s="526"/>
      <c r="J57" s="610" t="s">
        <v>18</v>
      </c>
      <c r="K57" s="611"/>
      <c r="L57" s="210">
        <v>290</v>
      </c>
      <c r="M57" s="211">
        <v>9000</v>
      </c>
      <c r="N57" s="212">
        <f>L57*M57</f>
        <v>2610000</v>
      </c>
      <c r="O57" s="612"/>
      <c r="P57" s="15">
        <v>0</v>
      </c>
    </row>
    <row r="58" spans="1:16" s="231" customFormat="1" ht="20.100000000000001" customHeight="1" x14ac:dyDescent="0.3">
      <c r="A58" s="403"/>
      <c r="B58" s="406"/>
      <c r="C58" s="230"/>
      <c r="D58" s="230"/>
      <c r="E58" s="230"/>
      <c r="F58" s="43"/>
      <c r="G58" s="56"/>
      <c r="H58" s="393"/>
      <c r="I58" s="526"/>
      <c r="J58" s="610" t="s">
        <v>18</v>
      </c>
      <c r="K58" s="611"/>
      <c r="L58" s="210">
        <v>210</v>
      </c>
      <c r="M58" s="211">
        <v>9000</v>
      </c>
      <c r="N58" s="212"/>
      <c r="O58" s="612"/>
      <c r="P58" s="15">
        <f>+L58*M58</f>
        <v>1890000</v>
      </c>
    </row>
    <row r="59" spans="1:16" s="229" customFormat="1" ht="20.100000000000001" customHeight="1" x14ac:dyDescent="0.3">
      <c r="A59" s="403"/>
      <c r="B59" s="406"/>
      <c r="C59" s="227" t="s">
        <v>55</v>
      </c>
      <c r="D59" s="227">
        <v>2</v>
      </c>
      <c r="E59" s="227"/>
      <c r="F59" s="43">
        <v>275000</v>
      </c>
      <c r="G59" s="228">
        <f>+D59*F59</f>
        <v>550000</v>
      </c>
      <c r="H59" s="393"/>
      <c r="I59" s="527"/>
      <c r="J59" s="610" t="s">
        <v>19</v>
      </c>
      <c r="K59" s="611"/>
      <c r="L59" s="210">
        <v>1</v>
      </c>
      <c r="M59" s="211">
        <v>85000</v>
      </c>
      <c r="N59" s="212">
        <f>+L59*M59</f>
        <v>85000</v>
      </c>
      <c r="O59" s="612"/>
      <c r="P59" s="15">
        <v>0</v>
      </c>
    </row>
    <row r="60" spans="1:16" s="229" customFormat="1" ht="20.100000000000001" customHeight="1" x14ac:dyDescent="0.3">
      <c r="A60" s="403"/>
      <c r="B60" s="406"/>
      <c r="C60" s="227" t="s">
        <v>81</v>
      </c>
      <c r="D60" s="227">
        <v>1</v>
      </c>
      <c r="E60" s="227"/>
      <c r="F60" s="43">
        <v>180000</v>
      </c>
      <c r="G60" s="56">
        <f>+D60*F60</f>
        <v>180000</v>
      </c>
      <c r="H60" s="393"/>
      <c r="I60" s="527"/>
      <c r="J60" s="610" t="s">
        <v>57</v>
      </c>
      <c r="K60" s="611"/>
      <c r="L60" s="210">
        <v>1</v>
      </c>
      <c r="M60" s="211">
        <v>160000</v>
      </c>
      <c r="N60" s="212">
        <f>+L60*M60</f>
        <v>160000</v>
      </c>
      <c r="O60" s="612"/>
      <c r="P60" s="15">
        <v>0</v>
      </c>
    </row>
    <row r="61" spans="1:16" s="229" customFormat="1" ht="20.100000000000001" customHeight="1" x14ac:dyDescent="0.3">
      <c r="A61" s="403"/>
      <c r="B61" s="406"/>
      <c r="C61" s="227" t="s">
        <v>82</v>
      </c>
      <c r="D61" s="227">
        <v>0</v>
      </c>
      <c r="E61" s="227"/>
      <c r="F61" s="43">
        <v>70000</v>
      </c>
      <c r="G61" s="56">
        <f>+D61*F61</f>
        <v>0</v>
      </c>
      <c r="H61" s="393"/>
      <c r="I61" s="527"/>
      <c r="J61" s="610" t="s">
        <v>90</v>
      </c>
      <c r="K61" s="611"/>
      <c r="L61" s="210">
        <v>2</v>
      </c>
      <c r="M61" s="211">
        <v>95000</v>
      </c>
      <c r="N61" s="212">
        <v>0</v>
      </c>
      <c r="O61" s="375"/>
      <c r="P61" s="15">
        <f>+L61*M61</f>
        <v>190000</v>
      </c>
    </row>
    <row r="62" spans="1:16" s="229" customFormat="1" ht="19.95" customHeight="1" x14ac:dyDescent="0.3">
      <c r="A62" s="403"/>
      <c r="B62" s="406"/>
      <c r="C62" s="104" t="s">
        <v>71</v>
      </c>
      <c r="D62" s="227">
        <v>2</v>
      </c>
      <c r="E62" s="146"/>
      <c r="F62" s="147">
        <v>80000</v>
      </c>
      <c r="G62" s="56">
        <f>+D62*F62</f>
        <v>160000</v>
      </c>
      <c r="H62" s="393"/>
      <c r="I62" s="527"/>
      <c r="J62" s="610" t="s">
        <v>60</v>
      </c>
      <c r="K62" s="611"/>
      <c r="L62" s="210">
        <v>0</v>
      </c>
      <c r="M62" s="211">
        <v>3700000</v>
      </c>
      <c r="N62" s="212">
        <f>+L62*M62</f>
        <v>0</v>
      </c>
      <c r="O62" s="612"/>
      <c r="P62" s="15">
        <v>0</v>
      </c>
    </row>
    <row r="63" spans="1:16" s="229" customFormat="1" ht="14.4" customHeight="1" x14ac:dyDescent="0.3">
      <c r="A63" s="403"/>
      <c r="B63" s="406"/>
      <c r="C63" s="104" t="s">
        <v>72</v>
      </c>
      <c r="D63" s="227">
        <v>0</v>
      </c>
      <c r="E63" s="146"/>
      <c r="F63" s="147">
        <v>75000</v>
      </c>
      <c r="G63" s="56">
        <f>+D63*F63</f>
        <v>0</v>
      </c>
      <c r="H63" s="393"/>
      <c r="I63" s="527"/>
      <c r="J63" s="532"/>
      <c r="K63" s="533"/>
      <c r="L63" s="533"/>
      <c r="M63" s="533"/>
      <c r="N63" s="534"/>
      <c r="O63" s="375"/>
      <c r="P63" s="209"/>
    </row>
    <row r="64" spans="1:16" s="229" customFormat="1" ht="19.95" customHeight="1" thickBot="1" x14ac:dyDescent="0.35">
      <c r="A64" s="404"/>
      <c r="B64" s="407"/>
      <c r="C64" s="399" t="s">
        <v>21</v>
      </c>
      <c r="D64" s="400"/>
      <c r="E64" s="400"/>
      <c r="F64" s="418"/>
      <c r="G64" s="59">
        <f>SUM(G56:G63)</f>
        <v>7010000</v>
      </c>
      <c r="H64" s="513"/>
      <c r="I64" s="528"/>
      <c r="J64" s="535" t="s">
        <v>22</v>
      </c>
      <c r="K64" s="485"/>
      <c r="L64" s="485"/>
      <c r="M64" s="418"/>
      <c r="N64" s="49">
        <f>SUM(N56:N62)</f>
        <v>3287000</v>
      </c>
      <c r="O64" s="487"/>
      <c r="P64" s="213">
        <f>SUM(P56:P63)</f>
        <v>2080000</v>
      </c>
    </row>
    <row r="65" spans="1:16" s="229" customFormat="1" ht="14.4" x14ac:dyDescent="0.3">
      <c r="A65" s="402" t="s">
        <v>154</v>
      </c>
      <c r="B65" s="405">
        <v>45388</v>
      </c>
      <c r="C65" s="225" t="s">
        <v>54</v>
      </c>
      <c r="D65" s="225">
        <v>2200</v>
      </c>
      <c r="E65" s="225">
        <v>1100</v>
      </c>
      <c r="F65" s="226">
        <v>1800</v>
      </c>
      <c r="G65" s="228">
        <f t="shared" ref="G65:G71" si="8">+D65*F65</f>
        <v>3960000</v>
      </c>
      <c r="H65" s="393"/>
      <c r="I65" s="526"/>
      <c r="J65" s="610" t="s">
        <v>17</v>
      </c>
      <c r="K65" s="611"/>
      <c r="L65" s="210">
        <v>18</v>
      </c>
      <c r="M65" s="211">
        <v>24000</v>
      </c>
      <c r="N65" s="212">
        <f>+L65*M65</f>
        <v>432000</v>
      </c>
      <c r="O65" s="612"/>
      <c r="P65" s="15">
        <v>0</v>
      </c>
    </row>
    <row r="66" spans="1:16" s="229" customFormat="1" ht="20.100000000000001" customHeight="1" x14ac:dyDescent="0.3">
      <c r="A66" s="403"/>
      <c r="B66" s="406"/>
      <c r="C66" s="227" t="s">
        <v>89</v>
      </c>
      <c r="D66" s="227">
        <v>0</v>
      </c>
      <c r="E66" s="227">
        <v>0</v>
      </c>
      <c r="F66" s="43">
        <v>3600</v>
      </c>
      <c r="G66" s="56">
        <f t="shared" si="8"/>
        <v>0</v>
      </c>
      <c r="H66" s="393"/>
      <c r="I66" s="526"/>
      <c r="J66" s="610" t="s">
        <v>18</v>
      </c>
      <c r="K66" s="611"/>
      <c r="L66" s="210">
        <v>290</v>
      </c>
      <c r="M66" s="211">
        <v>9000</v>
      </c>
      <c r="N66" s="212">
        <f>290*M66</f>
        <v>2610000</v>
      </c>
      <c r="O66" s="612"/>
      <c r="P66" s="15">
        <v>0</v>
      </c>
    </row>
    <row r="67" spans="1:16" s="229" customFormat="1" ht="20.100000000000001" customHeight="1" x14ac:dyDescent="0.3">
      <c r="A67" s="403"/>
      <c r="B67" s="406"/>
      <c r="C67" s="227" t="s">
        <v>55</v>
      </c>
      <c r="D67" s="227">
        <v>2</v>
      </c>
      <c r="E67" s="227"/>
      <c r="F67" s="43">
        <v>275000</v>
      </c>
      <c r="G67" s="228">
        <f t="shared" si="8"/>
        <v>550000</v>
      </c>
      <c r="H67" s="393"/>
      <c r="I67" s="527"/>
      <c r="J67" s="610" t="s">
        <v>19</v>
      </c>
      <c r="K67" s="611"/>
      <c r="L67" s="210">
        <v>1</v>
      </c>
      <c r="M67" s="211">
        <v>85000</v>
      </c>
      <c r="N67" s="212">
        <f>+L67*M67</f>
        <v>85000</v>
      </c>
      <c r="O67" s="612"/>
      <c r="P67" s="15">
        <v>0</v>
      </c>
    </row>
    <row r="68" spans="1:16" s="229" customFormat="1" ht="20.100000000000001" customHeight="1" x14ac:dyDescent="0.3">
      <c r="A68" s="403"/>
      <c r="B68" s="406"/>
      <c r="C68" s="227" t="s">
        <v>81</v>
      </c>
      <c r="D68" s="227">
        <v>1</v>
      </c>
      <c r="E68" s="227"/>
      <c r="F68" s="43">
        <v>180000</v>
      </c>
      <c r="G68" s="56">
        <f t="shared" si="8"/>
        <v>180000</v>
      </c>
      <c r="H68" s="393"/>
      <c r="I68" s="527"/>
      <c r="J68" s="610" t="s">
        <v>57</v>
      </c>
      <c r="K68" s="611"/>
      <c r="L68" s="210">
        <v>1</v>
      </c>
      <c r="M68" s="211">
        <v>160000</v>
      </c>
      <c r="N68" s="212">
        <f>+L68*M68</f>
        <v>160000</v>
      </c>
      <c r="O68" s="612"/>
      <c r="P68" s="15">
        <v>0</v>
      </c>
    </row>
    <row r="69" spans="1:16" s="229" customFormat="1" ht="20.100000000000001" customHeight="1" x14ac:dyDescent="0.3">
      <c r="A69" s="403"/>
      <c r="B69" s="406"/>
      <c r="C69" s="227" t="s">
        <v>82</v>
      </c>
      <c r="D69" s="227">
        <v>0</v>
      </c>
      <c r="E69" s="227"/>
      <c r="F69" s="43">
        <v>70000</v>
      </c>
      <c r="G69" s="56">
        <f t="shared" si="8"/>
        <v>0</v>
      </c>
      <c r="H69" s="393"/>
      <c r="I69" s="527"/>
      <c r="J69" s="610" t="s">
        <v>90</v>
      </c>
      <c r="K69" s="611"/>
      <c r="L69" s="210">
        <v>0</v>
      </c>
      <c r="M69" s="211">
        <v>95000</v>
      </c>
      <c r="N69" s="212">
        <v>0</v>
      </c>
      <c r="O69" s="375"/>
      <c r="P69" s="15">
        <f>+L69*M69</f>
        <v>0</v>
      </c>
    </row>
    <row r="70" spans="1:16" s="229" customFormat="1" ht="19.95" customHeight="1" x14ac:dyDescent="0.3">
      <c r="A70" s="403"/>
      <c r="B70" s="406"/>
      <c r="C70" s="104" t="s">
        <v>71</v>
      </c>
      <c r="D70" s="227">
        <v>0</v>
      </c>
      <c r="E70" s="146"/>
      <c r="F70" s="147">
        <v>80000</v>
      </c>
      <c r="G70" s="56">
        <f t="shared" si="8"/>
        <v>0</v>
      </c>
      <c r="H70" s="393"/>
      <c r="I70" s="527"/>
      <c r="J70" s="610" t="s">
        <v>60</v>
      </c>
      <c r="K70" s="611"/>
      <c r="L70" s="210">
        <v>0</v>
      </c>
      <c r="M70" s="211">
        <v>3700000</v>
      </c>
      <c r="N70" s="212">
        <f>+L70*M70</f>
        <v>0</v>
      </c>
      <c r="O70" s="612"/>
      <c r="P70" s="15">
        <v>0</v>
      </c>
    </row>
    <row r="71" spans="1:16" s="229" customFormat="1" ht="14.4" customHeight="1" x14ac:dyDescent="0.3">
      <c r="A71" s="403"/>
      <c r="B71" s="406"/>
      <c r="C71" s="104" t="s">
        <v>72</v>
      </c>
      <c r="D71" s="227">
        <v>0</v>
      </c>
      <c r="E71" s="146"/>
      <c r="F71" s="147">
        <v>75000</v>
      </c>
      <c r="G71" s="56">
        <f t="shared" si="8"/>
        <v>0</v>
      </c>
      <c r="H71" s="393"/>
      <c r="I71" s="527"/>
      <c r="J71" s="532"/>
      <c r="K71" s="533"/>
      <c r="L71" s="533"/>
      <c r="M71" s="533"/>
      <c r="N71" s="534"/>
      <c r="O71" s="375"/>
      <c r="P71" s="209"/>
    </row>
    <row r="72" spans="1:16" s="229" customFormat="1" ht="19.95" customHeight="1" thickBot="1" x14ac:dyDescent="0.35">
      <c r="A72" s="404"/>
      <c r="B72" s="407"/>
      <c r="C72" s="399" t="s">
        <v>21</v>
      </c>
      <c r="D72" s="400"/>
      <c r="E72" s="400"/>
      <c r="F72" s="418"/>
      <c r="G72" s="59">
        <f>SUM(G65:G71)</f>
        <v>4690000</v>
      </c>
      <c r="H72" s="513"/>
      <c r="I72" s="528"/>
      <c r="J72" s="535" t="s">
        <v>22</v>
      </c>
      <c r="K72" s="485"/>
      <c r="L72" s="485"/>
      <c r="M72" s="418"/>
      <c r="N72" s="49">
        <f>SUM(N65:N70)</f>
        <v>3287000</v>
      </c>
      <c r="O72" s="487"/>
      <c r="P72" s="213">
        <f>SUM(P65:P71)</f>
        <v>0</v>
      </c>
    </row>
    <row r="73" spans="1:16" s="236" customFormat="1" ht="19.95" customHeight="1" x14ac:dyDescent="0.3">
      <c r="A73" s="402" t="s">
        <v>155</v>
      </c>
      <c r="B73" s="405">
        <v>45420</v>
      </c>
      <c r="C73" s="232" t="s">
        <v>54</v>
      </c>
      <c r="D73" s="232">
        <v>2200</v>
      </c>
      <c r="E73" s="232">
        <v>1100</v>
      </c>
      <c r="F73" s="233">
        <v>2450</v>
      </c>
      <c r="G73" s="234">
        <f t="shared" ref="G73:G79" si="9">+D73*F73</f>
        <v>5390000</v>
      </c>
      <c r="H73" s="393"/>
      <c r="I73" s="526"/>
      <c r="J73" s="610" t="s">
        <v>17</v>
      </c>
      <c r="K73" s="611"/>
      <c r="L73" s="210">
        <v>18</v>
      </c>
      <c r="M73" s="211">
        <v>24000</v>
      </c>
      <c r="N73" s="212">
        <f>+L73*M73</f>
        <v>432000</v>
      </c>
      <c r="O73" s="612"/>
      <c r="P73" s="15">
        <v>0</v>
      </c>
    </row>
    <row r="74" spans="1:16" s="236" customFormat="1" ht="20.100000000000001" customHeight="1" x14ac:dyDescent="0.3">
      <c r="A74" s="403"/>
      <c r="B74" s="406"/>
      <c r="C74" s="235" t="s">
        <v>89</v>
      </c>
      <c r="D74" s="235">
        <v>600</v>
      </c>
      <c r="E74" s="235">
        <v>0</v>
      </c>
      <c r="F74" s="43">
        <v>4680</v>
      </c>
      <c r="G74" s="56">
        <f t="shared" si="9"/>
        <v>2808000</v>
      </c>
      <c r="H74" s="393"/>
      <c r="I74" s="526"/>
      <c r="J74" s="610" t="s">
        <v>156</v>
      </c>
      <c r="K74" s="611"/>
      <c r="L74" s="210">
        <v>290</v>
      </c>
      <c r="M74" s="211">
        <v>9000</v>
      </c>
      <c r="N74" s="212">
        <f>290*M74</f>
        <v>2610000</v>
      </c>
      <c r="O74" s="612"/>
      <c r="P74" s="15">
        <v>0</v>
      </c>
    </row>
    <row r="75" spans="1:16" s="236" customFormat="1" ht="20.100000000000001" customHeight="1" x14ac:dyDescent="0.3">
      <c r="A75" s="403"/>
      <c r="B75" s="406"/>
      <c r="C75" s="235" t="s">
        <v>55</v>
      </c>
      <c r="D75" s="235">
        <v>2</v>
      </c>
      <c r="E75" s="235"/>
      <c r="F75" s="43">
        <v>343750</v>
      </c>
      <c r="G75" s="56">
        <f t="shared" si="9"/>
        <v>687500</v>
      </c>
      <c r="H75" s="393"/>
      <c r="I75" s="526"/>
      <c r="J75" s="610" t="s">
        <v>156</v>
      </c>
      <c r="K75" s="611"/>
      <c r="L75" s="210">
        <v>210</v>
      </c>
      <c r="M75" s="211">
        <v>9000</v>
      </c>
      <c r="N75" s="212">
        <v>0</v>
      </c>
      <c r="O75" s="612"/>
      <c r="P75" s="15">
        <f>+L75*M75</f>
        <v>1890000</v>
      </c>
    </row>
    <row r="76" spans="1:16" s="236" customFormat="1" ht="20.100000000000001" customHeight="1" x14ac:dyDescent="0.3">
      <c r="A76" s="403"/>
      <c r="B76" s="406"/>
      <c r="C76" s="235" t="s">
        <v>81</v>
      </c>
      <c r="D76" s="235">
        <v>1</v>
      </c>
      <c r="E76" s="235"/>
      <c r="F76" s="43">
        <v>225000</v>
      </c>
      <c r="G76" s="234">
        <f t="shared" si="9"/>
        <v>225000</v>
      </c>
      <c r="H76" s="393"/>
      <c r="I76" s="527"/>
      <c r="J76" s="610" t="s">
        <v>157</v>
      </c>
      <c r="K76" s="611"/>
      <c r="L76" s="210">
        <v>1</v>
      </c>
      <c r="M76" s="211">
        <v>85000</v>
      </c>
      <c r="N76" s="212">
        <f>+L76*M76</f>
        <v>85000</v>
      </c>
      <c r="O76" s="612"/>
      <c r="P76" s="15">
        <v>0</v>
      </c>
    </row>
    <row r="77" spans="1:16" s="236" customFormat="1" ht="20.100000000000001" customHeight="1" x14ac:dyDescent="0.3">
      <c r="A77" s="403"/>
      <c r="B77" s="406"/>
      <c r="C77" s="235" t="s">
        <v>82</v>
      </c>
      <c r="D77" s="235">
        <v>0</v>
      </c>
      <c r="E77" s="235"/>
      <c r="F77" s="43">
        <v>91000</v>
      </c>
      <c r="G77" s="56">
        <f t="shared" si="9"/>
        <v>0</v>
      </c>
      <c r="H77" s="393"/>
      <c r="I77" s="527"/>
      <c r="J77" s="610" t="s">
        <v>158</v>
      </c>
      <c r="K77" s="611"/>
      <c r="L77" s="210">
        <v>1</v>
      </c>
      <c r="M77" s="211">
        <v>160000</v>
      </c>
      <c r="N77" s="212">
        <f>+L77*M77</f>
        <v>160000</v>
      </c>
      <c r="O77" s="612"/>
      <c r="P77" s="15">
        <v>0</v>
      </c>
    </row>
    <row r="78" spans="1:16" s="236" customFormat="1" ht="20.100000000000001" customHeight="1" x14ac:dyDescent="0.3">
      <c r="A78" s="403"/>
      <c r="B78" s="406"/>
      <c r="C78" s="235" t="s">
        <v>161</v>
      </c>
      <c r="D78" s="235">
        <v>2</v>
      </c>
      <c r="E78" s="235"/>
      <c r="F78" s="43">
        <v>105000</v>
      </c>
      <c r="G78" s="56">
        <f t="shared" si="9"/>
        <v>210000</v>
      </c>
      <c r="H78" s="393"/>
      <c r="I78" s="527"/>
      <c r="J78" s="610" t="s">
        <v>159</v>
      </c>
      <c r="K78" s="611"/>
      <c r="L78" s="210">
        <v>4</v>
      </c>
      <c r="M78" s="211">
        <v>125000</v>
      </c>
      <c r="N78" s="212">
        <v>0</v>
      </c>
      <c r="O78" s="612"/>
      <c r="P78" s="15">
        <f>+L78*M78</f>
        <v>500000</v>
      </c>
    </row>
    <row r="79" spans="1:16" s="236" customFormat="1" ht="20.100000000000001" customHeight="1" x14ac:dyDescent="0.3">
      <c r="A79" s="403"/>
      <c r="B79" s="406"/>
      <c r="C79" s="235" t="s">
        <v>160</v>
      </c>
      <c r="D79" s="235">
        <v>80</v>
      </c>
      <c r="E79" s="235"/>
      <c r="F79" s="43">
        <v>9000</v>
      </c>
      <c r="G79" s="56">
        <f t="shared" si="9"/>
        <v>720000</v>
      </c>
      <c r="H79" s="393"/>
      <c r="I79" s="527"/>
      <c r="J79" s="610"/>
      <c r="K79" s="613"/>
      <c r="L79" s="613"/>
      <c r="M79" s="613"/>
      <c r="N79" s="614"/>
      <c r="O79" s="375"/>
      <c r="P79" s="15">
        <f>+L79*M79</f>
        <v>0</v>
      </c>
    </row>
    <row r="80" spans="1:16" s="236" customFormat="1" ht="19.95" customHeight="1" thickBot="1" x14ac:dyDescent="0.35">
      <c r="A80" s="404"/>
      <c r="B80" s="407"/>
      <c r="C80" s="399" t="s">
        <v>21</v>
      </c>
      <c r="D80" s="400"/>
      <c r="E80" s="400"/>
      <c r="F80" s="418"/>
      <c r="G80" s="59">
        <f>SUM(G73:G79)</f>
        <v>10040500</v>
      </c>
      <c r="H80" s="513"/>
      <c r="I80" s="528"/>
      <c r="J80" s="535" t="s">
        <v>22</v>
      </c>
      <c r="K80" s="485"/>
      <c r="L80" s="485"/>
      <c r="M80" s="418"/>
      <c r="N80" s="49">
        <f>SUM(N73:N79)</f>
        <v>3287000</v>
      </c>
      <c r="O80" s="487"/>
      <c r="P80" s="213">
        <f>SUM(P73:P79)</f>
        <v>2390000</v>
      </c>
    </row>
    <row r="81" spans="1:16" s="241" customFormat="1" ht="19.95" customHeight="1" x14ac:dyDescent="0.3">
      <c r="A81" s="402" t="s">
        <v>162</v>
      </c>
      <c r="B81" s="405">
        <v>45426</v>
      </c>
      <c r="C81" s="237" t="s">
        <v>54</v>
      </c>
      <c r="D81" s="237">
        <v>2200</v>
      </c>
      <c r="E81" s="237">
        <v>1100</v>
      </c>
      <c r="F81" s="238">
        <v>2450</v>
      </c>
      <c r="G81" s="240">
        <f t="shared" ref="G81:G87" si="10">+D81*F81</f>
        <v>5390000</v>
      </c>
      <c r="H81" s="393"/>
      <c r="I81" s="526"/>
      <c r="J81" s="610" t="s">
        <v>17</v>
      </c>
      <c r="K81" s="611"/>
      <c r="L81" s="210">
        <v>18</v>
      </c>
      <c r="M81" s="211">
        <v>24000</v>
      </c>
      <c r="N81" s="212">
        <f>+L81*M81</f>
        <v>432000</v>
      </c>
      <c r="O81" s="612"/>
      <c r="P81" s="242">
        <v>0</v>
      </c>
    </row>
    <row r="82" spans="1:16" s="241" customFormat="1" ht="19.95" customHeight="1" x14ac:dyDescent="0.3">
      <c r="A82" s="403"/>
      <c r="B82" s="406"/>
      <c r="C82" s="239" t="s">
        <v>89</v>
      </c>
      <c r="D82" s="239">
        <v>0</v>
      </c>
      <c r="E82" s="239">
        <v>0</v>
      </c>
      <c r="F82" s="43">
        <v>4680</v>
      </c>
      <c r="G82" s="56">
        <f t="shared" si="10"/>
        <v>0</v>
      </c>
      <c r="H82" s="393"/>
      <c r="I82" s="526"/>
      <c r="J82" s="610" t="s">
        <v>156</v>
      </c>
      <c r="K82" s="611"/>
      <c r="L82" s="210">
        <v>290</v>
      </c>
      <c r="M82" s="211">
        <v>9000</v>
      </c>
      <c r="N82" s="212">
        <f>290*M82</f>
        <v>2610000</v>
      </c>
      <c r="O82" s="612"/>
      <c r="P82" s="243">
        <v>0</v>
      </c>
    </row>
    <row r="83" spans="1:16" s="241" customFormat="1" ht="19.95" customHeight="1" x14ac:dyDescent="0.3">
      <c r="A83" s="403"/>
      <c r="B83" s="406"/>
      <c r="C83" s="239" t="s">
        <v>55</v>
      </c>
      <c r="D83" s="239">
        <v>2</v>
      </c>
      <c r="E83" s="239"/>
      <c r="F83" s="43">
        <v>343750</v>
      </c>
      <c r="G83" s="240">
        <f t="shared" si="10"/>
        <v>687500</v>
      </c>
      <c r="H83" s="393"/>
      <c r="I83" s="527"/>
      <c r="J83" s="610" t="s">
        <v>156</v>
      </c>
      <c r="K83" s="611"/>
      <c r="L83" s="210">
        <v>210</v>
      </c>
      <c r="M83" s="211">
        <v>9000</v>
      </c>
      <c r="N83" s="212">
        <v>0</v>
      </c>
      <c r="O83" s="612"/>
      <c r="P83" s="243">
        <f>+L83*M83</f>
        <v>1890000</v>
      </c>
    </row>
    <row r="84" spans="1:16" s="241" customFormat="1" ht="19.95" customHeight="1" x14ac:dyDescent="0.3">
      <c r="A84" s="403"/>
      <c r="B84" s="406"/>
      <c r="C84" s="239" t="s">
        <v>81</v>
      </c>
      <c r="D84" s="239">
        <v>1</v>
      </c>
      <c r="E84" s="239"/>
      <c r="F84" s="43">
        <v>225000</v>
      </c>
      <c r="G84" s="56">
        <f t="shared" si="10"/>
        <v>225000</v>
      </c>
      <c r="H84" s="393"/>
      <c r="I84" s="527"/>
      <c r="J84" s="610" t="s">
        <v>157</v>
      </c>
      <c r="K84" s="611"/>
      <c r="L84" s="210">
        <v>1</v>
      </c>
      <c r="M84" s="211">
        <v>85000</v>
      </c>
      <c r="N84" s="212">
        <f>+L84*M84</f>
        <v>85000</v>
      </c>
      <c r="O84" s="612"/>
      <c r="P84" s="243">
        <v>0</v>
      </c>
    </row>
    <row r="85" spans="1:16" s="241" customFormat="1" ht="19.95" customHeight="1" x14ac:dyDescent="0.3">
      <c r="A85" s="403"/>
      <c r="B85" s="406"/>
      <c r="C85" s="239" t="s">
        <v>82</v>
      </c>
      <c r="D85" s="239">
        <v>0</v>
      </c>
      <c r="E85" s="239"/>
      <c r="F85" s="43">
        <v>91000</v>
      </c>
      <c r="G85" s="56">
        <f t="shared" si="10"/>
        <v>0</v>
      </c>
      <c r="H85" s="393"/>
      <c r="I85" s="527"/>
      <c r="J85" s="610" t="s">
        <v>158</v>
      </c>
      <c r="K85" s="611"/>
      <c r="L85" s="210">
        <v>1</v>
      </c>
      <c r="M85" s="211">
        <v>160000</v>
      </c>
      <c r="N85" s="212">
        <f>+L85*M85</f>
        <v>160000</v>
      </c>
      <c r="O85" s="612"/>
      <c r="P85" s="243">
        <v>0</v>
      </c>
    </row>
    <row r="86" spans="1:16" s="241" customFormat="1" ht="19.95" customHeight="1" x14ac:dyDescent="0.3">
      <c r="A86" s="403"/>
      <c r="B86" s="406"/>
      <c r="C86" s="104" t="s">
        <v>161</v>
      </c>
      <c r="D86" s="239">
        <v>2</v>
      </c>
      <c r="E86" s="146"/>
      <c r="F86" s="147">
        <v>105000</v>
      </c>
      <c r="G86" s="56">
        <f t="shared" si="10"/>
        <v>210000</v>
      </c>
      <c r="H86" s="393"/>
      <c r="I86" s="527"/>
      <c r="J86" s="610" t="s">
        <v>159</v>
      </c>
      <c r="K86" s="615"/>
      <c r="L86" s="210">
        <v>4</v>
      </c>
      <c r="M86" s="211">
        <v>125000</v>
      </c>
      <c r="N86" s="212">
        <v>0</v>
      </c>
      <c r="O86" s="612"/>
      <c r="P86" s="243">
        <f>+L86*M86</f>
        <v>500000</v>
      </c>
    </row>
    <row r="87" spans="1:16" s="241" customFormat="1" ht="19.95" customHeight="1" x14ac:dyDescent="0.3">
      <c r="A87" s="403"/>
      <c r="B87" s="406"/>
      <c r="C87" s="104" t="s">
        <v>160</v>
      </c>
      <c r="D87" s="239">
        <v>150</v>
      </c>
      <c r="E87" s="146"/>
      <c r="F87" s="147">
        <v>9000</v>
      </c>
      <c r="G87" s="56">
        <f t="shared" si="10"/>
        <v>1350000</v>
      </c>
      <c r="H87" s="393"/>
      <c r="I87" s="527"/>
      <c r="J87" s="532"/>
      <c r="K87" s="533"/>
      <c r="L87" s="533"/>
      <c r="M87" s="533"/>
      <c r="N87" s="534"/>
      <c r="O87" s="612"/>
      <c r="P87" s="244"/>
    </row>
    <row r="88" spans="1:16" s="241" customFormat="1" ht="19.95" customHeight="1" thickBot="1" x14ac:dyDescent="0.35">
      <c r="A88" s="404"/>
      <c r="B88" s="407"/>
      <c r="C88" s="399" t="s">
        <v>21</v>
      </c>
      <c r="D88" s="400"/>
      <c r="E88" s="400"/>
      <c r="F88" s="418"/>
      <c r="G88" s="59">
        <f>SUM(G81:G87)</f>
        <v>7862500</v>
      </c>
      <c r="H88" s="513"/>
      <c r="I88" s="528"/>
      <c r="J88" s="535" t="s">
        <v>22</v>
      </c>
      <c r="K88" s="485"/>
      <c r="L88" s="485"/>
      <c r="M88" s="418"/>
      <c r="N88" s="49">
        <f>SUM(N81:N86)</f>
        <v>3287000</v>
      </c>
      <c r="O88" s="487"/>
      <c r="P88" s="213">
        <f>SUM(P81:P87)</f>
        <v>2390000</v>
      </c>
    </row>
    <row r="89" spans="1:16" s="249" customFormat="1" ht="19.95" customHeight="1" x14ac:dyDescent="0.3">
      <c r="A89" s="402" t="s">
        <v>151</v>
      </c>
      <c r="B89" s="405">
        <v>45431</v>
      </c>
      <c r="C89" s="245" t="s">
        <v>54</v>
      </c>
      <c r="D89" s="245">
        <v>2200</v>
      </c>
      <c r="E89" s="245">
        <v>1100</v>
      </c>
      <c r="F89" s="246">
        <v>2450</v>
      </c>
      <c r="G89" s="248">
        <f t="shared" ref="G89:G95" si="11">+D89*F89</f>
        <v>5390000</v>
      </c>
      <c r="H89" s="393"/>
      <c r="I89" s="526"/>
      <c r="J89" s="610" t="s">
        <v>17</v>
      </c>
      <c r="K89" s="611"/>
      <c r="L89" s="210">
        <v>18</v>
      </c>
      <c r="M89" s="211">
        <v>24000</v>
      </c>
      <c r="N89" s="212">
        <f>+L89*M89</f>
        <v>432000</v>
      </c>
      <c r="O89" s="612"/>
      <c r="P89" s="242">
        <v>0</v>
      </c>
    </row>
    <row r="90" spans="1:16" s="249" customFormat="1" ht="19.95" customHeight="1" x14ac:dyDescent="0.3">
      <c r="A90" s="403"/>
      <c r="B90" s="406"/>
      <c r="C90" s="247" t="s">
        <v>89</v>
      </c>
      <c r="D90" s="247">
        <v>0</v>
      </c>
      <c r="E90" s="247">
        <v>0</v>
      </c>
      <c r="F90" s="43">
        <v>4680</v>
      </c>
      <c r="G90" s="56">
        <f t="shared" si="11"/>
        <v>0</v>
      </c>
      <c r="H90" s="393"/>
      <c r="I90" s="526"/>
      <c r="J90" s="610" t="s">
        <v>156</v>
      </c>
      <c r="K90" s="611"/>
      <c r="L90" s="210">
        <v>290</v>
      </c>
      <c r="M90" s="211">
        <v>9000</v>
      </c>
      <c r="N90" s="212">
        <f>+L90*M90</f>
        <v>2610000</v>
      </c>
      <c r="O90" s="612"/>
      <c r="P90" s="243">
        <v>0</v>
      </c>
    </row>
    <row r="91" spans="1:16" s="249" customFormat="1" ht="19.95" customHeight="1" x14ac:dyDescent="0.3">
      <c r="A91" s="403"/>
      <c r="B91" s="406"/>
      <c r="C91" s="247" t="s">
        <v>55</v>
      </c>
      <c r="D91" s="247">
        <v>2</v>
      </c>
      <c r="E91" s="247"/>
      <c r="F91" s="43">
        <v>343750</v>
      </c>
      <c r="G91" s="248">
        <f t="shared" si="11"/>
        <v>687500</v>
      </c>
      <c r="H91" s="393"/>
      <c r="I91" s="527"/>
      <c r="J91" s="610" t="s">
        <v>157</v>
      </c>
      <c r="K91" s="611"/>
      <c r="L91" s="210">
        <v>1</v>
      </c>
      <c r="M91" s="211">
        <v>85000</v>
      </c>
      <c r="N91" s="212">
        <f>+L91*M91</f>
        <v>85000</v>
      </c>
      <c r="O91" s="612"/>
      <c r="P91" s="243">
        <v>0</v>
      </c>
    </row>
    <row r="92" spans="1:16" s="249" customFormat="1" ht="19.95" customHeight="1" x14ac:dyDescent="0.3">
      <c r="A92" s="403"/>
      <c r="B92" s="406"/>
      <c r="C92" s="247" t="s">
        <v>81</v>
      </c>
      <c r="D92" s="247">
        <v>1</v>
      </c>
      <c r="E92" s="247"/>
      <c r="F92" s="43">
        <v>225000</v>
      </c>
      <c r="G92" s="56">
        <f t="shared" si="11"/>
        <v>225000</v>
      </c>
      <c r="H92" s="393"/>
      <c r="I92" s="527"/>
      <c r="J92" s="610" t="s">
        <v>158</v>
      </c>
      <c r="K92" s="611"/>
      <c r="L92" s="210">
        <v>1</v>
      </c>
      <c r="M92" s="211">
        <v>160000</v>
      </c>
      <c r="N92" s="212">
        <f>+L92*M92</f>
        <v>160000</v>
      </c>
      <c r="O92" s="612"/>
      <c r="P92" s="243">
        <v>0</v>
      </c>
    </row>
    <row r="93" spans="1:16" s="249" customFormat="1" ht="19.95" customHeight="1" x14ac:dyDescent="0.3">
      <c r="A93" s="403"/>
      <c r="B93" s="406"/>
      <c r="C93" s="247" t="s">
        <v>82</v>
      </c>
      <c r="D93" s="247">
        <v>0</v>
      </c>
      <c r="E93" s="247"/>
      <c r="F93" s="43">
        <v>91000</v>
      </c>
      <c r="G93" s="56">
        <f t="shared" si="11"/>
        <v>0</v>
      </c>
      <c r="H93" s="393"/>
      <c r="I93" s="527"/>
      <c r="J93" s="610" t="s">
        <v>159</v>
      </c>
      <c r="K93" s="615"/>
      <c r="L93" s="210">
        <v>0</v>
      </c>
      <c r="M93" s="211">
        <v>125000</v>
      </c>
      <c r="N93" s="212">
        <f>+L93*M93</f>
        <v>0</v>
      </c>
      <c r="O93" s="612"/>
      <c r="P93" s="243">
        <v>0</v>
      </c>
    </row>
    <row r="94" spans="1:16" s="249" customFormat="1" ht="19.95" customHeight="1" x14ac:dyDescent="0.3">
      <c r="A94" s="403"/>
      <c r="B94" s="406"/>
      <c r="C94" s="104" t="s">
        <v>161</v>
      </c>
      <c r="D94" s="247">
        <v>0</v>
      </c>
      <c r="E94" s="146"/>
      <c r="F94" s="147">
        <v>105000</v>
      </c>
      <c r="G94" s="56">
        <f t="shared" si="11"/>
        <v>0</v>
      </c>
      <c r="H94" s="393"/>
      <c r="I94" s="527"/>
      <c r="J94" s="618"/>
      <c r="K94" s="619"/>
      <c r="L94" s="619"/>
      <c r="M94" s="619"/>
      <c r="N94" s="620"/>
      <c r="O94" s="612"/>
      <c r="P94" s="243">
        <f>+L94*M94</f>
        <v>0</v>
      </c>
    </row>
    <row r="95" spans="1:16" s="249" customFormat="1" ht="19.95" customHeight="1" x14ac:dyDescent="0.3">
      <c r="A95" s="403"/>
      <c r="B95" s="406"/>
      <c r="C95" s="104" t="s">
        <v>160</v>
      </c>
      <c r="D95" s="247">
        <v>0</v>
      </c>
      <c r="E95" s="146"/>
      <c r="F95" s="147">
        <v>9000</v>
      </c>
      <c r="G95" s="56">
        <f t="shared" si="11"/>
        <v>0</v>
      </c>
      <c r="H95" s="393"/>
      <c r="I95" s="527"/>
      <c r="J95" s="621"/>
      <c r="K95" s="622"/>
      <c r="L95" s="622"/>
      <c r="M95" s="622"/>
      <c r="N95" s="623"/>
      <c r="O95" s="612"/>
      <c r="P95" s="244"/>
    </row>
    <row r="96" spans="1:16" s="249" customFormat="1" ht="19.95" customHeight="1" thickBot="1" x14ac:dyDescent="0.35">
      <c r="A96" s="404"/>
      <c r="B96" s="407"/>
      <c r="C96" s="399" t="s">
        <v>21</v>
      </c>
      <c r="D96" s="616"/>
      <c r="E96" s="616"/>
      <c r="F96" s="617"/>
      <c r="G96" s="59">
        <f>SUM(G89:G95)</f>
        <v>6302500</v>
      </c>
      <c r="H96" s="513"/>
      <c r="I96" s="528"/>
      <c r="J96" s="535" t="s">
        <v>22</v>
      </c>
      <c r="K96" s="485"/>
      <c r="L96" s="485"/>
      <c r="M96" s="418"/>
      <c r="N96" s="49">
        <f>SUM(N89:N94)</f>
        <v>3287000</v>
      </c>
      <c r="O96" s="487"/>
      <c r="P96" s="213">
        <f>SUM(P89:P95)</f>
        <v>0</v>
      </c>
    </row>
    <row r="97" spans="1:16" s="254" customFormat="1" ht="19.95" customHeight="1" x14ac:dyDescent="0.3">
      <c r="A97" s="402" t="s">
        <v>26</v>
      </c>
      <c r="B97" s="405" t="s">
        <v>168</v>
      </c>
      <c r="C97" s="250" t="s">
        <v>54</v>
      </c>
      <c r="D97" s="250">
        <v>2600</v>
      </c>
      <c r="E97" s="250">
        <v>1300</v>
      </c>
      <c r="F97" s="251">
        <v>2450</v>
      </c>
      <c r="G97" s="253">
        <f t="shared" ref="G97:G104" si="12">+D97*F97</f>
        <v>6370000</v>
      </c>
      <c r="H97" s="393"/>
      <c r="I97" s="526"/>
      <c r="J97" s="610" t="s">
        <v>17</v>
      </c>
      <c r="K97" s="611"/>
      <c r="L97" s="210">
        <v>18</v>
      </c>
      <c r="M97" s="211">
        <v>24000</v>
      </c>
      <c r="N97" s="212">
        <f>+L97*M97</f>
        <v>432000</v>
      </c>
      <c r="O97" s="612"/>
      <c r="P97" s="15">
        <v>0</v>
      </c>
    </row>
    <row r="98" spans="1:16" s="254" customFormat="1" ht="20.100000000000001" customHeight="1" x14ac:dyDescent="0.3">
      <c r="A98" s="403"/>
      <c r="B98" s="406"/>
      <c r="C98" s="252" t="s">
        <v>169</v>
      </c>
      <c r="D98" s="252">
        <v>600</v>
      </c>
      <c r="E98" s="252">
        <v>0</v>
      </c>
      <c r="F98" s="43">
        <v>4680</v>
      </c>
      <c r="G98" s="56">
        <f t="shared" si="12"/>
        <v>2808000</v>
      </c>
      <c r="H98" s="393"/>
      <c r="I98" s="526"/>
      <c r="J98" s="610" t="s">
        <v>156</v>
      </c>
      <c r="K98" s="611"/>
      <c r="L98" s="210">
        <v>290</v>
      </c>
      <c r="M98" s="211">
        <v>9000</v>
      </c>
      <c r="N98" s="212">
        <f>290*M98</f>
        <v>2610000</v>
      </c>
      <c r="O98" s="612"/>
      <c r="P98" s="15">
        <v>0</v>
      </c>
    </row>
    <row r="99" spans="1:16" s="254" customFormat="1" ht="20.100000000000001" customHeight="1" x14ac:dyDescent="0.3">
      <c r="A99" s="403"/>
      <c r="B99" s="406"/>
      <c r="C99" s="252" t="s">
        <v>170</v>
      </c>
      <c r="D99" s="252">
        <v>600</v>
      </c>
      <c r="E99" s="252">
        <v>0</v>
      </c>
      <c r="F99" s="43">
        <v>4680</v>
      </c>
      <c r="G99" s="56">
        <f t="shared" si="12"/>
        <v>2808000</v>
      </c>
      <c r="H99" s="393"/>
      <c r="I99" s="526"/>
      <c r="J99" s="255"/>
      <c r="K99" s="256"/>
      <c r="L99" s="210"/>
      <c r="M99" s="211"/>
      <c r="N99" s="212"/>
      <c r="O99" s="612"/>
      <c r="P99" s="15"/>
    </row>
    <row r="100" spans="1:16" s="254" customFormat="1" ht="20.100000000000001" customHeight="1" x14ac:dyDescent="0.3">
      <c r="A100" s="403"/>
      <c r="B100" s="406"/>
      <c r="C100" s="252" t="s">
        <v>55</v>
      </c>
      <c r="D100" s="252">
        <v>2</v>
      </c>
      <c r="E100" s="252"/>
      <c r="F100" s="43">
        <v>343750</v>
      </c>
      <c r="G100" s="56">
        <f t="shared" si="12"/>
        <v>687500</v>
      </c>
      <c r="H100" s="393"/>
      <c r="I100" s="526"/>
      <c r="J100" s="610" t="s">
        <v>156</v>
      </c>
      <c r="K100" s="611"/>
      <c r="L100" s="210">
        <v>210</v>
      </c>
      <c r="M100" s="211">
        <v>9000</v>
      </c>
      <c r="N100" s="212">
        <v>0</v>
      </c>
      <c r="O100" s="612"/>
      <c r="P100" s="15">
        <f>+L100*M100</f>
        <v>1890000</v>
      </c>
    </row>
    <row r="101" spans="1:16" s="254" customFormat="1" ht="20.100000000000001" customHeight="1" x14ac:dyDescent="0.3">
      <c r="A101" s="403"/>
      <c r="B101" s="406"/>
      <c r="C101" s="252" t="s">
        <v>81</v>
      </c>
      <c r="D101" s="252">
        <v>1</v>
      </c>
      <c r="E101" s="252"/>
      <c r="F101" s="43">
        <v>225000</v>
      </c>
      <c r="G101" s="253">
        <f t="shared" si="12"/>
        <v>225000</v>
      </c>
      <c r="H101" s="393"/>
      <c r="I101" s="527"/>
      <c r="J101" s="610" t="s">
        <v>157</v>
      </c>
      <c r="K101" s="611"/>
      <c r="L101" s="210">
        <v>1</v>
      </c>
      <c r="M101" s="211">
        <v>85000</v>
      </c>
      <c r="N101" s="212">
        <f>+L101*M101</f>
        <v>85000</v>
      </c>
      <c r="O101" s="612"/>
      <c r="P101" s="15">
        <v>0</v>
      </c>
    </row>
    <row r="102" spans="1:16" s="254" customFormat="1" ht="20.100000000000001" customHeight="1" x14ac:dyDescent="0.3">
      <c r="A102" s="403"/>
      <c r="B102" s="406"/>
      <c r="C102" s="252" t="s">
        <v>82</v>
      </c>
      <c r="D102" s="252">
        <v>0</v>
      </c>
      <c r="E102" s="252"/>
      <c r="F102" s="43">
        <v>91000</v>
      </c>
      <c r="G102" s="56">
        <f t="shared" si="12"/>
        <v>0</v>
      </c>
      <c r="H102" s="393"/>
      <c r="I102" s="527"/>
      <c r="J102" s="610" t="s">
        <v>158</v>
      </c>
      <c r="K102" s="611"/>
      <c r="L102" s="210">
        <v>1</v>
      </c>
      <c r="M102" s="211">
        <v>160000</v>
      </c>
      <c r="N102" s="212">
        <f>+L102*M102</f>
        <v>160000</v>
      </c>
      <c r="O102" s="612"/>
      <c r="P102" s="15">
        <v>0</v>
      </c>
    </row>
    <row r="103" spans="1:16" s="254" customFormat="1" ht="20.100000000000001" customHeight="1" x14ac:dyDescent="0.3">
      <c r="A103" s="403"/>
      <c r="B103" s="406"/>
      <c r="C103" s="252" t="s">
        <v>161</v>
      </c>
      <c r="D103" s="252">
        <v>0</v>
      </c>
      <c r="E103" s="252"/>
      <c r="F103" s="43">
        <v>105000</v>
      </c>
      <c r="G103" s="56">
        <f t="shared" si="12"/>
        <v>0</v>
      </c>
      <c r="H103" s="393"/>
      <c r="I103" s="527"/>
      <c r="J103" s="610" t="s">
        <v>159</v>
      </c>
      <c r="K103" s="611"/>
      <c r="L103" s="210">
        <v>4</v>
      </c>
      <c r="M103" s="211">
        <v>125000</v>
      </c>
      <c r="N103" s="212">
        <v>0</v>
      </c>
      <c r="O103" s="612"/>
      <c r="P103" s="15">
        <f>+L103*M103</f>
        <v>500000</v>
      </c>
    </row>
    <row r="104" spans="1:16" s="254" customFormat="1" ht="20.100000000000001" customHeight="1" x14ac:dyDescent="0.3">
      <c r="A104" s="403"/>
      <c r="B104" s="406"/>
      <c r="C104" s="252" t="s">
        <v>160</v>
      </c>
      <c r="D104" s="252">
        <v>0</v>
      </c>
      <c r="E104" s="252"/>
      <c r="F104" s="43">
        <v>9000</v>
      </c>
      <c r="G104" s="56">
        <f t="shared" si="12"/>
        <v>0</v>
      </c>
      <c r="H104" s="393"/>
      <c r="I104" s="527"/>
      <c r="J104" s="610"/>
      <c r="K104" s="613"/>
      <c r="L104" s="613"/>
      <c r="M104" s="613"/>
      <c r="N104" s="614"/>
      <c r="O104" s="375"/>
      <c r="P104" s="15">
        <f>+L104*M104</f>
        <v>0</v>
      </c>
    </row>
    <row r="105" spans="1:16" s="254" customFormat="1" ht="19.95" customHeight="1" thickBot="1" x14ac:dyDescent="0.35">
      <c r="A105" s="404"/>
      <c r="B105" s="407"/>
      <c r="C105" s="399" t="s">
        <v>21</v>
      </c>
      <c r="D105" s="400"/>
      <c r="E105" s="400"/>
      <c r="F105" s="418"/>
      <c r="G105" s="59">
        <f>SUM(G97:G104)</f>
        <v>12898500</v>
      </c>
      <c r="H105" s="513"/>
      <c r="I105" s="528"/>
      <c r="J105" s="535" t="s">
        <v>22</v>
      </c>
      <c r="K105" s="485"/>
      <c r="L105" s="485"/>
      <c r="M105" s="418"/>
      <c r="N105" s="49">
        <f>SUM(N97:N104)</f>
        <v>3287000</v>
      </c>
      <c r="O105" s="487"/>
      <c r="P105" s="213">
        <f>SUM(P97:P104)</f>
        <v>2390000</v>
      </c>
    </row>
    <row r="106" spans="1:16" s="262" customFormat="1" ht="19.95" customHeight="1" x14ac:dyDescent="0.3">
      <c r="A106" s="402" t="s">
        <v>47</v>
      </c>
      <c r="B106" s="405">
        <v>45497</v>
      </c>
      <c r="C106" s="258" t="s">
        <v>54</v>
      </c>
      <c r="D106" s="258">
        <v>2600</v>
      </c>
      <c r="E106" s="258">
        <v>1300</v>
      </c>
      <c r="F106" s="259">
        <v>2450</v>
      </c>
      <c r="G106" s="261">
        <f t="shared" ref="G106:G112" si="13">+D106*F106</f>
        <v>6370000</v>
      </c>
      <c r="H106" s="393"/>
      <c r="I106" s="526"/>
      <c r="J106" s="610" t="s">
        <v>17</v>
      </c>
      <c r="K106" s="611"/>
      <c r="L106" s="210">
        <v>18</v>
      </c>
      <c r="M106" s="211">
        <v>24000</v>
      </c>
      <c r="N106" s="212">
        <f>+L106*M106</f>
        <v>432000</v>
      </c>
      <c r="O106" s="612"/>
      <c r="P106" s="15">
        <v>0</v>
      </c>
    </row>
    <row r="107" spans="1:16" s="262" customFormat="1" ht="20.100000000000001" customHeight="1" x14ac:dyDescent="0.3">
      <c r="A107" s="403"/>
      <c r="B107" s="406"/>
      <c r="C107" s="260" t="s">
        <v>171</v>
      </c>
      <c r="D107" s="260">
        <v>600</v>
      </c>
      <c r="E107" s="260">
        <v>0</v>
      </c>
      <c r="F107" s="43">
        <v>4680</v>
      </c>
      <c r="G107" s="56">
        <f t="shared" si="13"/>
        <v>2808000</v>
      </c>
      <c r="H107" s="393"/>
      <c r="I107" s="526"/>
      <c r="J107" s="610" t="s">
        <v>156</v>
      </c>
      <c r="K107" s="611"/>
      <c r="L107" s="210">
        <v>290</v>
      </c>
      <c r="M107" s="211">
        <v>9000</v>
      </c>
      <c r="N107" s="212">
        <f>290*M107</f>
        <v>2610000</v>
      </c>
      <c r="O107" s="612"/>
      <c r="P107" s="15">
        <v>0</v>
      </c>
    </row>
    <row r="108" spans="1:16" s="262" customFormat="1" ht="20.100000000000001" customHeight="1" x14ac:dyDescent="0.3">
      <c r="A108" s="403"/>
      <c r="B108" s="406"/>
      <c r="C108" s="260" t="s">
        <v>55</v>
      </c>
      <c r="D108" s="260">
        <v>2</v>
      </c>
      <c r="E108" s="260"/>
      <c r="F108" s="43">
        <v>343750</v>
      </c>
      <c r="G108" s="56">
        <f t="shared" si="13"/>
        <v>687500</v>
      </c>
      <c r="H108" s="393"/>
      <c r="I108" s="526"/>
      <c r="J108" s="610" t="s">
        <v>156</v>
      </c>
      <c r="K108" s="611"/>
      <c r="L108" s="210">
        <v>210</v>
      </c>
      <c r="M108" s="211">
        <v>9000</v>
      </c>
      <c r="N108" s="212">
        <v>0</v>
      </c>
      <c r="O108" s="612"/>
      <c r="P108" s="15">
        <f>+L108*M108</f>
        <v>1890000</v>
      </c>
    </row>
    <row r="109" spans="1:16" s="262" customFormat="1" ht="20.100000000000001" customHeight="1" x14ac:dyDescent="0.3">
      <c r="A109" s="403"/>
      <c r="B109" s="406"/>
      <c r="C109" s="260" t="s">
        <v>81</v>
      </c>
      <c r="D109" s="260">
        <v>1</v>
      </c>
      <c r="E109" s="260"/>
      <c r="F109" s="43">
        <v>225000</v>
      </c>
      <c r="G109" s="261">
        <f t="shared" si="13"/>
        <v>225000</v>
      </c>
      <c r="H109" s="393"/>
      <c r="I109" s="527"/>
      <c r="J109" s="610" t="s">
        <v>157</v>
      </c>
      <c r="K109" s="611"/>
      <c r="L109" s="210">
        <v>1</v>
      </c>
      <c r="M109" s="211">
        <v>85000</v>
      </c>
      <c r="N109" s="212">
        <f>+L109*M109</f>
        <v>85000</v>
      </c>
      <c r="O109" s="612"/>
      <c r="P109" s="15">
        <v>0</v>
      </c>
    </row>
    <row r="110" spans="1:16" s="262" customFormat="1" ht="20.100000000000001" customHeight="1" x14ac:dyDescent="0.3">
      <c r="A110" s="403"/>
      <c r="B110" s="406"/>
      <c r="C110" s="260" t="s">
        <v>82</v>
      </c>
      <c r="D110" s="260">
        <v>0</v>
      </c>
      <c r="E110" s="260"/>
      <c r="F110" s="43">
        <v>91000</v>
      </c>
      <c r="G110" s="56">
        <f t="shared" si="13"/>
        <v>0</v>
      </c>
      <c r="H110" s="393"/>
      <c r="I110" s="527"/>
      <c r="J110" s="610" t="s">
        <v>158</v>
      </c>
      <c r="K110" s="611"/>
      <c r="L110" s="210">
        <v>1</v>
      </c>
      <c r="M110" s="211">
        <v>160000</v>
      </c>
      <c r="N110" s="212">
        <f>+L110*M110</f>
        <v>160000</v>
      </c>
      <c r="O110" s="612"/>
      <c r="P110" s="15">
        <v>0</v>
      </c>
    </row>
    <row r="111" spans="1:16" s="262" customFormat="1" ht="20.100000000000001" customHeight="1" x14ac:dyDescent="0.3">
      <c r="A111" s="403"/>
      <c r="B111" s="406"/>
      <c r="C111" s="260" t="s">
        <v>161</v>
      </c>
      <c r="D111" s="260">
        <v>0</v>
      </c>
      <c r="E111" s="260"/>
      <c r="F111" s="43">
        <v>105000</v>
      </c>
      <c r="G111" s="56">
        <f t="shared" si="13"/>
        <v>0</v>
      </c>
      <c r="H111" s="393"/>
      <c r="I111" s="527"/>
      <c r="J111" s="610" t="s">
        <v>159</v>
      </c>
      <c r="K111" s="611"/>
      <c r="L111" s="210">
        <v>4</v>
      </c>
      <c r="M111" s="211">
        <v>125000</v>
      </c>
      <c r="N111" s="212">
        <v>0</v>
      </c>
      <c r="O111" s="612"/>
      <c r="P111" s="15">
        <f>+L111*M111</f>
        <v>500000</v>
      </c>
    </row>
    <row r="112" spans="1:16" s="262" customFormat="1" ht="20.100000000000001" customHeight="1" x14ac:dyDescent="0.3">
      <c r="A112" s="403"/>
      <c r="B112" s="406"/>
      <c r="C112" s="260" t="s">
        <v>160</v>
      </c>
      <c r="D112" s="260">
        <v>0</v>
      </c>
      <c r="E112" s="260"/>
      <c r="F112" s="43">
        <v>9000</v>
      </c>
      <c r="G112" s="56">
        <f t="shared" si="13"/>
        <v>0</v>
      </c>
      <c r="H112" s="393"/>
      <c r="I112" s="527"/>
      <c r="J112" s="610"/>
      <c r="K112" s="613"/>
      <c r="L112" s="613"/>
      <c r="M112" s="613"/>
      <c r="N112" s="614"/>
      <c r="O112" s="375"/>
      <c r="P112" s="15">
        <f>+L112*M112</f>
        <v>0</v>
      </c>
    </row>
    <row r="113" spans="1:16" s="262" customFormat="1" ht="19.95" customHeight="1" thickBot="1" x14ac:dyDescent="0.35">
      <c r="A113" s="404"/>
      <c r="B113" s="407"/>
      <c r="C113" s="399" t="s">
        <v>21</v>
      </c>
      <c r="D113" s="400"/>
      <c r="E113" s="400"/>
      <c r="F113" s="418"/>
      <c r="G113" s="59">
        <f>SUM(G106:G112)</f>
        <v>10090500</v>
      </c>
      <c r="H113" s="513"/>
      <c r="I113" s="528"/>
      <c r="J113" s="535" t="s">
        <v>22</v>
      </c>
      <c r="K113" s="485"/>
      <c r="L113" s="485"/>
      <c r="M113" s="418"/>
      <c r="N113" s="49">
        <f>SUM(N106:N112)</f>
        <v>3287000</v>
      </c>
      <c r="O113" s="487"/>
      <c r="P113" s="213">
        <f>SUM(P106:P112)</f>
        <v>2390000</v>
      </c>
    </row>
    <row r="114" spans="1:16" s="262" customFormat="1" ht="19.95" customHeight="1" x14ac:dyDescent="0.3">
      <c r="A114" s="402" t="s">
        <v>131</v>
      </c>
      <c r="B114" s="405">
        <v>45507</v>
      </c>
      <c r="C114" s="258" t="s">
        <v>54</v>
      </c>
      <c r="D114" s="258">
        <v>2600</v>
      </c>
      <c r="E114" s="258">
        <v>1300</v>
      </c>
      <c r="F114" s="259">
        <v>2450</v>
      </c>
      <c r="G114" s="261">
        <f t="shared" ref="G114:G119" si="14">+D114*F114</f>
        <v>6370000</v>
      </c>
      <c r="H114" s="393"/>
      <c r="I114" s="526"/>
      <c r="J114" s="610" t="s">
        <v>17</v>
      </c>
      <c r="K114" s="611"/>
      <c r="L114" s="210">
        <v>18</v>
      </c>
      <c r="M114" s="211">
        <v>24000</v>
      </c>
      <c r="N114" s="212">
        <f>+L114*M114</f>
        <v>432000</v>
      </c>
      <c r="O114" s="612"/>
      <c r="P114" s="15">
        <v>0</v>
      </c>
    </row>
    <row r="115" spans="1:16" s="262" customFormat="1" ht="20.100000000000001" customHeight="1" x14ac:dyDescent="0.3">
      <c r="A115" s="403"/>
      <c r="B115" s="406"/>
      <c r="C115" s="260" t="s">
        <v>55</v>
      </c>
      <c r="D115" s="260">
        <v>2</v>
      </c>
      <c r="E115" s="260"/>
      <c r="F115" s="43">
        <v>343750</v>
      </c>
      <c r="G115" s="56">
        <f t="shared" si="14"/>
        <v>687500</v>
      </c>
      <c r="H115" s="393"/>
      <c r="I115" s="526"/>
      <c r="J115" s="610" t="s">
        <v>156</v>
      </c>
      <c r="K115" s="611"/>
      <c r="L115" s="210">
        <v>290</v>
      </c>
      <c r="M115" s="211">
        <v>9000</v>
      </c>
      <c r="N115" s="212">
        <f>290*M115</f>
        <v>2610000</v>
      </c>
      <c r="O115" s="612"/>
      <c r="P115" s="15">
        <f>+L115*M115</f>
        <v>2610000</v>
      </c>
    </row>
    <row r="116" spans="1:16" s="262" customFormat="1" ht="20.100000000000001" customHeight="1" x14ac:dyDescent="0.3">
      <c r="A116" s="403"/>
      <c r="B116" s="406"/>
      <c r="C116" s="260" t="s">
        <v>81</v>
      </c>
      <c r="D116" s="260">
        <v>1</v>
      </c>
      <c r="E116" s="260"/>
      <c r="F116" s="43">
        <v>225000</v>
      </c>
      <c r="G116" s="261">
        <f t="shared" si="14"/>
        <v>225000</v>
      </c>
      <c r="H116" s="393"/>
      <c r="I116" s="527"/>
      <c r="J116" s="610" t="s">
        <v>156</v>
      </c>
      <c r="K116" s="611"/>
      <c r="L116" s="210">
        <v>210</v>
      </c>
      <c r="M116" s="211">
        <v>9000</v>
      </c>
      <c r="N116" s="212">
        <v>0</v>
      </c>
      <c r="O116" s="612"/>
      <c r="P116" s="15">
        <v>0</v>
      </c>
    </row>
    <row r="117" spans="1:16" s="262" customFormat="1" ht="20.100000000000001" customHeight="1" x14ac:dyDescent="0.3">
      <c r="A117" s="403"/>
      <c r="B117" s="406"/>
      <c r="C117" s="260" t="s">
        <v>82</v>
      </c>
      <c r="D117" s="260">
        <v>0</v>
      </c>
      <c r="E117" s="260"/>
      <c r="F117" s="43">
        <v>91000</v>
      </c>
      <c r="G117" s="56">
        <f t="shared" si="14"/>
        <v>0</v>
      </c>
      <c r="H117" s="393"/>
      <c r="I117" s="527"/>
      <c r="J117" s="610" t="s">
        <v>157</v>
      </c>
      <c r="K117" s="611"/>
      <c r="L117" s="210">
        <v>1</v>
      </c>
      <c r="M117" s="211">
        <v>85000</v>
      </c>
      <c r="N117" s="212">
        <f>+L117*M117</f>
        <v>85000</v>
      </c>
      <c r="O117" s="612"/>
      <c r="P117" s="15">
        <v>0</v>
      </c>
    </row>
    <row r="118" spans="1:16" s="262" customFormat="1" ht="20.100000000000001" customHeight="1" x14ac:dyDescent="0.3">
      <c r="A118" s="403"/>
      <c r="B118" s="406"/>
      <c r="C118" s="260" t="s">
        <v>161</v>
      </c>
      <c r="D118" s="260">
        <v>0</v>
      </c>
      <c r="E118" s="260"/>
      <c r="F118" s="43">
        <v>105000</v>
      </c>
      <c r="G118" s="56">
        <f t="shared" si="14"/>
        <v>0</v>
      </c>
      <c r="H118" s="393"/>
      <c r="I118" s="527"/>
      <c r="J118" s="610" t="s">
        <v>158</v>
      </c>
      <c r="K118" s="611"/>
      <c r="L118" s="210">
        <v>1</v>
      </c>
      <c r="M118" s="211">
        <v>160000</v>
      </c>
      <c r="N118" s="212">
        <f>+L118*M118</f>
        <v>160000</v>
      </c>
      <c r="O118" s="612"/>
      <c r="P118" s="15">
        <f>+L118*M118</f>
        <v>160000</v>
      </c>
    </row>
    <row r="119" spans="1:16" s="262" customFormat="1" ht="20.100000000000001" customHeight="1" x14ac:dyDescent="0.3">
      <c r="A119" s="403"/>
      <c r="B119" s="406"/>
      <c r="C119" s="260" t="s">
        <v>160</v>
      </c>
      <c r="D119" s="260">
        <v>0</v>
      </c>
      <c r="E119" s="260"/>
      <c r="F119" s="43">
        <v>9000</v>
      </c>
      <c r="G119" s="56">
        <f t="shared" si="14"/>
        <v>0</v>
      </c>
      <c r="H119" s="393"/>
      <c r="I119" s="527"/>
      <c r="J119" s="610" t="s">
        <v>159</v>
      </c>
      <c r="K119" s="611"/>
      <c r="L119" s="210">
        <v>4</v>
      </c>
      <c r="M119" s="211">
        <v>125000</v>
      </c>
      <c r="N119" s="212">
        <v>0</v>
      </c>
      <c r="O119" s="375"/>
      <c r="P119" s="15">
        <f>+L119*M119</f>
        <v>500000</v>
      </c>
    </row>
    <row r="120" spans="1:16" s="262" customFormat="1" ht="19.95" customHeight="1" thickBot="1" x14ac:dyDescent="0.35">
      <c r="A120" s="404"/>
      <c r="B120" s="407"/>
      <c r="C120" s="399" t="s">
        <v>21</v>
      </c>
      <c r="D120" s="400"/>
      <c r="E120" s="400"/>
      <c r="F120" s="418"/>
      <c r="G120" s="59">
        <f>SUM(G114:G119)</f>
        <v>7282500</v>
      </c>
      <c r="H120" s="513"/>
      <c r="I120" s="528"/>
      <c r="J120" s="535" t="s">
        <v>22</v>
      </c>
      <c r="K120" s="485"/>
      <c r="L120" s="485"/>
      <c r="M120" s="418"/>
      <c r="N120" s="49">
        <f>SUM(N114:N119)</f>
        <v>3287000</v>
      </c>
      <c r="O120" s="487"/>
      <c r="P120" s="213">
        <f>SUM(P114:P119)</f>
        <v>3270000</v>
      </c>
    </row>
    <row r="121" spans="1:16" s="267" customFormat="1" ht="19.95" customHeight="1" x14ac:dyDescent="0.3">
      <c r="A121" s="402" t="s">
        <v>30</v>
      </c>
      <c r="B121" s="405">
        <v>45518</v>
      </c>
      <c r="C121" s="263" t="s">
        <v>54</v>
      </c>
      <c r="D121" s="263">
        <v>2600</v>
      </c>
      <c r="E121" s="263">
        <v>1300</v>
      </c>
      <c r="F121" s="264">
        <v>2450</v>
      </c>
      <c r="G121" s="265">
        <f t="shared" ref="G121:G126" si="15">+D121*F121</f>
        <v>6370000</v>
      </c>
      <c r="H121" s="393"/>
      <c r="I121" s="526"/>
      <c r="J121" s="610" t="s">
        <v>17</v>
      </c>
      <c r="K121" s="611"/>
      <c r="L121" s="210">
        <v>18</v>
      </c>
      <c r="M121" s="211">
        <v>24000</v>
      </c>
      <c r="N121" s="212">
        <f>+L121*M121</f>
        <v>432000</v>
      </c>
      <c r="O121" s="612"/>
      <c r="P121" s="15">
        <v>0</v>
      </c>
    </row>
    <row r="122" spans="1:16" s="267" customFormat="1" ht="20.100000000000001" customHeight="1" x14ac:dyDescent="0.3">
      <c r="A122" s="403"/>
      <c r="B122" s="406"/>
      <c r="C122" s="266" t="s">
        <v>55</v>
      </c>
      <c r="D122" s="266">
        <v>2</v>
      </c>
      <c r="E122" s="266"/>
      <c r="F122" s="43">
        <v>343750</v>
      </c>
      <c r="G122" s="56">
        <f t="shared" si="15"/>
        <v>687500</v>
      </c>
      <c r="H122" s="393"/>
      <c r="I122" s="526"/>
      <c r="J122" s="610" t="s">
        <v>156</v>
      </c>
      <c r="K122" s="611"/>
      <c r="L122" s="210">
        <v>290</v>
      </c>
      <c r="M122" s="211">
        <v>9000</v>
      </c>
      <c r="N122" s="212">
        <f>290*M122</f>
        <v>2610000</v>
      </c>
      <c r="O122" s="612"/>
      <c r="P122" s="15">
        <f>+L122*M122</f>
        <v>2610000</v>
      </c>
    </row>
    <row r="123" spans="1:16" s="267" customFormat="1" ht="20.100000000000001" customHeight="1" x14ac:dyDescent="0.3">
      <c r="A123" s="403"/>
      <c r="B123" s="406"/>
      <c r="C123" s="266" t="s">
        <v>81</v>
      </c>
      <c r="D123" s="266">
        <v>1</v>
      </c>
      <c r="E123" s="266"/>
      <c r="F123" s="43">
        <v>225000</v>
      </c>
      <c r="G123" s="265">
        <f t="shared" si="15"/>
        <v>225000</v>
      </c>
      <c r="H123" s="393"/>
      <c r="I123" s="527"/>
      <c r="J123" s="610" t="s">
        <v>156</v>
      </c>
      <c r="K123" s="611"/>
      <c r="L123" s="210">
        <v>210</v>
      </c>
      <c r="M123" s="211">
        <v>9000</v>
      </c>
      <c r="N123" s="212">
        <v>0</v>
      </c>
      <c r="O123" s="612"/>
      <c r="P123" s="15">
        <v>0</v>
      </c>
    </row>
    <row r="124" spans="1:16" s="267" customFormat="1" ht="20.100000000000001" customHeight="1" x14ac:dyDescent="0.3">
      <c r="A124" s="403"/>
      <c r="B124" s="406"/>
      <c r="C124" s="266" t="s">
        <v>82</v>
      </c>
      <c r="D124" s="266">
        <v>0</v>
      </c>
      <c r="E124" s="266"/>
      <c r="F124" s="43">
        <v>91000</v>
      </c>
      <c r="G124" s="56">
        <f t="shared" si="15"/>
        <v>0</v>
      </c>
      <c r="H124" s="393"/>
      <c r="I124" s="527"/>
      <c r="J124" s="610" t="s">
        <v>157</v>
      </c>
      <c r="K124" s="611"/>
      <c r="L124" s="210">
        <v>1</v>
      </c>
      <c r="M124" s="211">
        <v>85000</v>
      </c>
      <c r="N124" s="212">
        <f>+L124*M124</f>
        <v>85000</v>
      </c>
      <c r="O124" s="612"/>
      <c r="P124" s="15">
        <v>0</v>
      </c>
    </row>
    <row r="125" spans="1:16" s="267" customFormat="1" ht="20.100000000000001" customHeight="1" x14ac:dyDescent="0.3">
      <c r="A125" s="403"/>
      <c r="B125" s="406"/>
      <c r="C125" s="266" t="s">
        <v>161</v>
      </c>
      <c r="D125" s="266">
        <v>0</v>
      </c>
      <c r="E125" s="266"/>
      <c r="F125" s="43">
        <v>105000</v>
      </c>
      <c r="G125" s="56">
        <f t="shared" si="15"/>
        <v>0</v>
      </c>
      <c r="H125" s="393"/>
      <c r="I125" s="527"/>
      <c r="J125" s="610" t="s">
        <v>158</v>
      </c>
      <c r="K125" s="611"/>
      <c r="L125" s="210">
        <v>1</v>
      </c>
      <c r="M125" s="211">
        <v>160000</v>
      </c>
      <c r="N125" s="212">
        <f>+L125*M125</f>
        <v>160000</v>
      </c>
      <c r="O125" s="612"/>
      <c r="P125" s="15">
        <f>+L125*M125</f>
        <v>160000</v>
      </c>
    </row>
    <row r="126" spans="1:16" s="267" customFormat="1" ht="20.100000000000001" customHeight="1" x14ac:dyDescent="0.3">
      <c r="A126" s="403"/>
      <c r="B126" s="406"/>
      <c r="C126" s="266" t="s">
        <v>160</v>
      </c>
      <c r="D126" s="266">
        <v>0</v>
      </c>
      <c r="E126" s="266"/>
      <c r="F126" s="43">
        <v>9000</v>
      </c>
      <c r="G126" s="56">
        <f t="shared" si="15"/>
        <v>0</v>
      </c>
      <c r="H126" s="393"/>
      <c r="I126" s="527"/>
      <c r="J126" s="610" t="s">
        <v>159</v>
      </c>
      <c r="K126" s="611"/>
      <c r="L126" s="210">
        <v>4</v>
      </c>
      <c r="M126" s="211">
        <v>125000</v>
      </c>
      <c r="N126" s="212">
        <v>0</v>
      </c>
      <c r="O126" s="375"/>
      <c r="P126" s="15">
        <f>+L126*M126</f>
        <v>500000</v>
      </c>
    </row>
    <row r="127" spans="1:16" s="267" customFormat="1" ht="19.95" customHeight="1" thickBot="1" x14ac:dyDescent="0.35">
      <c r="A127" s="404"/>
      <c r="B127" s="407"/>
      <c r="C127" s="399" t="s">
        <v>21</v>
      </c>
      <c r="D127" s="400"/>
      <c r="E127" s="400"/>
      <c r="F127" s="418"/>
      <c r="G127" s="59">
        <f>SUM(G121:G126)</f>
        <v>7282500</v>
      </c>
      <c r="H127" s="513"/>
      <c r="I127" s="528"/>
      <c r="J127" s="535" t="s">
        <v>22</v>
      </c>
      <c r="K127" s="485"/>
      <c r="L127" s="485"/>
      <c r="M127" s="418"/>
      <c r="N127" s="49">
        <f>SUM(N121:N126)</f>
        <v>3287000</v>
      </c>
      <c r="O127" s="487"/>
      <c r="P127" s="213">
        <f>SUM(P121:P126)</f>
        <v>3270000</v>
      </c>
    </row>
    <row r="128" spans="1:16" s="267" customFormat="1" ht="19.95" customHeight="1" x14ac:dyDescent="0.3">
      <c r="A128" s="402" t="s">
        <v>34</v>
      </c>
      <c r="B128" s="405">
        <v>45521</v>
      </c>
      <c r="C128" s="263" t="s">
        <v>54</v>
      </c>
      <c r="D128" s="263">
        <v>2600</v>
      </c>
      <c r="E128" s="263">
        <v>1300</v>
      </c>
      <c r="F128" s="264">
        <v>2450</v>
      </c>
      <c r="G128" s="265">
        <f t="shared" ref="G128:G133" si="16">+D128*F128</f>
        <v>6370000</v>
      </c>
      <c r="H128" s="393"/>
      <c r="I128" s="526"/>
      <c r="J128" s="610" t="s">
        <v>17</v>
      </c>
      <c r="K128" s="611"/>
      <c r="L128" s="210">
        <v>18</v>
      </c>
      <c r="M128" s="211">
        <v>24000</v>
      </c>
      <c r="N128" s="212">
        <f>+L128*M128</f>
        <v>432000</v>
      </c>
      <c r="O128" s="612"/>
      <c r="P128" s="15">
        <v>0</v>
      </c>
    </row>
    <row r="129" spans="1:16" s="267" customFormat="1" ht="20.100000000000001" customHeight="1" x14ac:dyDescent="0.3">
      <c r="A129" s="403"/>
      <c r="B129" s="406"/>
      <c r="C129" s="266" t="s">
        <v>55</v>
      </c>
      <c r="D129" s="266">
        <v>2</v>
      </c>
      <c r="E129" s="266"/>
      <c r="F129" s="43">
        <v>343750</v>
      </c>
      <c r="G129" s="56">
        <f t="shared" si="16"/>
        <v>687500</v>
      </c>
      <c r="H129" s="393"/>
      <c r="I129" s="526"/>
      <c r="J129" s="610" t="s">
        <v>156</v>
      </c>
      <c r="K129" s="611"/>
      <c r="L129" s="210">
        <v>290</v>
      </c>
      <c r="M129" s="211">
        <v>9000</v>
      </c>
      <c r="N129" s="212">
        <f>290*M129</f>
        <v>2610000</v>
      </c>
      <c r="O129" s="612"/>
      <c r="P129" s="15">
        <f>+L129*M129</f>
        <v>2610000</v>
      </c>
    </row>
    <row r="130" spans="1:16" s="267" customFormat="1" ht="20.100000000000001" customHeight="1" x14ac:dyDescent="0.3">
      <c r="A130" s="403"/>
      <c r="B130" s="406"/>
      <c r="C130" s="266" t="s">
        <v>81</v>
      </c>
      <c r="D130" s="266">
        <v>1</v>
      </c>
      <c r="E130" s="266"/>
      <c r="F130" s="43">
        <v>225000</v>
      </c>
      <c r="G130" s="265">
        <f t="shared" si="16"/>
        <v>225000</v>
      </c>
      <c r="H130" s="393"/>
      <c r="I130" s="527"/>
      <c r="J130" s="610" t="s">
        <v>156</v>
      </c>
      <c r="K130" s="611"/>
      <c r="L130" s="210">
        <v>210</v>
      </c>
      <c r="M130" s="211">
        <v>9000</v>
      </c>
      <c r="N130" s="212">
        <v>0</v>
      </c>
      <c r="O130" s="612"/>
      <c r="P130" s="15">
        <v>0</v>
      </c>
    </row>
    <row r="131" spans="1:16" s="267" customFormat="1" ht="20.100000000000001" customHeight="1" x14ac:dyDescent="0.3">
      <c r="A131" s="403"/>
      <c r="B131" s="406"/>
      <c r="C131" s="266" t="s">
        <v>82</v>
      </c>
      <c r="D131" s="266">
        <v>0</v>
      </c>
      <c r="E131" s="266"/>
      <c r="F131" s="43">
        <v>91000</v>
      </c>
      <c r="G131" s="56">
        <f t="shared" si="16"/>
        <v>0</v>
      </c>
      <c r="H131" s="393"/>
      <c r="I131" s="527"/>
      <c r="J131" s="610" t="s">
        <v>157</v>
      </c>
      <c r="K131" s="611"/>
      <c r="L131" s="210">
        <v>1</v>
      </c>
      <c r="M131" s="211">
        <v>85000</v>
      </c>
      <c r="N131" s="212">
        <f>+L131*M131</f>
        <v>85000</v>
      </c>
      <c r="O131" s="612"/>
      <c r="P131" s="15">
        <v>0</v>
      </c>
    </row>
    <row r="132" spans="1:16" s="267" customFormat="1" ht="20.100000000000001" customHeight="1" x14ac:dyDescent="0.3">
      <c r="A132" s="403"/>
      <c r="B132" s="406"/>
      <c r="C132" s="266" t="s">
        <v>161</v>
      </c>
      <c r="D132" s="266">
        <v>0</v>
      </c>
      <c r="E132" s="266"/>
      <c r="F132" s="43">
        <v>105000</v>
      </c>
      <c r="G132" s="56">
        <f t="shared" si="16"/>
        <v>0</v>
      </c>
      <c r="H132" s="393"/>
      <c r="I132" s="527"/>
      <c r="J132" s="610" t="s">
        <v>158</v>
      </c>
      <c r="K132" s="611"/>
      <c r="L132" s="210">
        <v>1</v>
      </c>
      <c r="M132" s="211">
        <v>160000</v>
      </c>
      <c r="N132" s="212">
        <f>+L132*M132</f>
        <v>160000</v>
      </c>
      <c r="O132" s="612"/>
      <c r="P132" s="15">
        <f>+L132*M132</f>
        <v>160000</v>
      </c>
    </row>
    <row r="133" spans="1:16" s="267" customFormat="1" ht="20.100000000000001" customHeight="1" x14ac:dyDescent="0.3">
      <c r="A133" s="403"/>
      <c r="B133" s="406"/>
      <c r="C133" s="266" t="s">
        <v>160</v>
      </c>
      <c r="D133" s="266">
        <v>0</v>
      </c>
      <c r="E133" s="266"/>
      <c r="F133" s="43">
        <v>9000</v>
      </c>
      <c r="G133" s="56">
        <f t="shared" si="16"/>
        <v>0</v>
      </c>
      <c r="H133" s="393"/>
      <c r="I133" s="527"/>
      <c r="J133" s="610" t="s">
        <v>159</v>
      </c>
      <c r="K133" s="611"/>
      <c r="L133" s="210">
        <v>4</v>
      </c>
      <c r="M133" s="211">
        <v>125000</v>
      </c>
      <c r="N133" s="212">
        <v>0</v>
      </c>
      <c r="O133" s="375"/>
      <c r="P133" s="15">
        <f>+L133*M133</f>
        <v>500000</v>
      </c>
    </row>
    <row r="134" spans="1:16" s="267" customFormat="1" ht="19.95" customHeight="1" thickBot="1" x14ac:dyDescent="0.35">
      <c r="A134" s="404"/>
      <c r="B134" s="407"/>
      <c r="C134" s="399" t="s">
        <v>21</v>
      </c>
      <c r="D134" s="400"/>
      <c r="E134" s="400"/>
      <c r="F134" s="418"/>
      <c r="G134" s="59">
        <f>SUM(G128:G133)</f>
        <v>7282500</v>
      </c>
      <c r="H134" s="513"/>
      <c r="I134" s="528"/>
      <c r="J134" s="535" t="s">
        <v>22</v>
      </c>
      <c r="K134" s="485"/>
      <c r="L134" s="485"/>
      <c r="M134" s="418"/>
      <c r="N134" s="49">
        <f>SUM(N128:N133)</f>
        <v>3287000</v>
      </c>
      <c r="O134" s="487"/>
      <c r="P134" s="213">
        <f>SUM(P128:P133)</f>
        <v>3270000</v>
      </c>
    </row>
    <row r="135" spans="1:16" s="267" customFormat="1" ht="19.95" customHeight="1" x14ac:dyDescent="0.3">
      <c r="A135" s="402" t="s">
        <v>172</v>
      </c>
      <c r="B135" s="405">
        <v>45535</v>
      </c>
      <c r="C135" s="263" t="s">
        <v>54</v>
      </c>
      <c r="D135" s="263">
        <v>2600</v>
      </c>
      <c r="E135" s="263">
        <v>1300</v>
      </c>
      <c r="F135" s="264">
        <v>2450</v>
      </c>
      <c r="G135" s="265">
        <f t="shared" ref="G135:G141" si="17">+D135*F135</f>
        <v>6370000</v>
      </c>
      <c r="H135" s="393"/>
      <c r="I135" s="526"/>
      <c r="J135" s="610" t="s">
        <v>17</v>
      </c>
      <c r="K135" s="611"/>
      <c r="L135" s="210">
        <v>18</v>
      </c>
      <c r="M135" s="211">
        <v>24000</v>
      </c>
      <c r="N135" s="212">
        <f>+L135*M135</f>
        <v>432000</v>
      </c>
      <c r="O135" s="612"/>
      <c r="P135" s="15">
        <v>0</v>
      </c>
    </row>
    <row r="136" spans="1:16" s="267" customFormat="1" ht="20.100000000000001" customHeight="1" x14ac:dyDescent="0.3">
      <c r="A136" s="403"/>
      <c r="B136" s="406"/>
      <c r="C136" s="266" t="s">
        <v>173</v>
      </c>
      <c r="D136" s="266">
        <v>600</v>
      </c>
      <c r="E136" s="266">
        <v>0</v>
      </c>
      <c r="F136" s="43">
        <v>4680</v>
      </c>
      <c r="G136" s="56">
        <f t="shared" si="17"/>
        <v>2808000</v>
      </c>
      <c r="H136" s="393"/>
      <c r="I136" s="526"/>
      <c r="J136" s="610" t="s">
        <v>156</v>
      </c>
      <c r="K136" s="611"/>
      <c r="L136" s="210">
        <v>290</v>
      </c>
      <c r="M136" s="211">
        <v>9000</v>
      </c>
      <c r="N136" s="212">
        <f>290*M136</f>
        <v>2610000</v>
      </c>
      <c r="O136" s="612"/>
      <c r="P136" s="15">
        <v>0</v>
      </c>
    </row>
    <row r="137" spans="1:16" s="267" customFormat="1" ht="20.100000000000001" customHeight="1" x14ac:dyDescent="0.3">
      <c r="A137" s="403"/>
      <c r="B137" s="406"/>
      <c r="C137" s="266" t="s">
        <v>55</v>
      </c>
      <c r="D137" s="266">
        <v>2</v>
      </c>
      <c r="E137" s="266"/>
      <c r="F137" s="43">
        <v>343750</v>
      </c>
      <c r="G137" s="56">
        <f t="shared" si="17"/>
        <v>687500</v>
      </c>
      <c r="H137" s="393"/>
      <c r="I137" s="526"/>
      <c r="J137" s="610" t="s">
        <v>156</v>
      </c>
      <c r="K137" s="611"/>
      <c r="L137" s="210">
        <v>210</v>
      </c>
      <c r="M137" s="211">
        <v>9000</v>
      </c>
      <c r="N137" s="212">
        <v>0</v>
      </c>
      <c r="O137" s="612"/>
      <c r="P137" s="15">
        <f>+L137*M137</f>
        <v>1890000</v>
      </c>
    </row>
    <row r="138" spans="1:16" s="267" customFormat="1" ht="20.100000000000001" customHeight="1" x14ac:dyDescent="0.3">
      <c r="A138" s="403"/>
      <c r="B138" s="406"/>
      <c r="C138" s="266" t="s">
        <v>81</v>
      </c>
      <c r="D138" s="266">
        <v>1</v>
      </c>
      <c r="E138" s="266"/>
      <c r="F138" s="43">
        <v>225000</v>
      </c>
      <c r="G138" s="265">
        <f t="shared" si="17"/>
        <v>225000</v>
      </c>
      <c r="H138" s="393"/>
      <c r="I138" s="527"/>
      <c r="J138" s="610" t="s">
        <v>157</v>
      </c>
      <c r="K138" s="611"/>
      <c r="L138" s="210">
        <v>1</v>
      </c>
      <c r="M138" s="211">
        <v>85000</v>
      </c>
      <c r="N138" s="212">
        <f>+L138*M138</f>
        <v>85000</v>
      </c>
      <c r="O138" s="612"/>
      <c r="P138" s="15">
        <v>0</v>
      </c>
    </row>
    <row r="139" spans="1:16" s="267" customFormat="1" ht="20.100000000000001" customHeight="1" x14ac:dyDescent="0.3">
      <c r="A139" s="403"/>
      <c r="B139" s="406"/>
      <c r="C139" s="266" t="s">
        <v>82</v>
      </c>
      <c r="D139" s="266">
        <v>0</v>
      </c>
      <c r="E139" s="266"/>
      <c r="F139" s="43">
        <v>91000</v>
      </c>
      <c r="G139" s="56">
        <f t="shared" si="17"/>
        <v>0</v>
      </c>
      <c r="H139" s="393"/>
      <c r="I139" s="527"/>
      <c r="J139" s="610" t="s">
        <v>158</v>
      </c>
      <c r="K139" s="611"/>
      <c r="L139" s="210">
        <v>1</v>
      </c>
      <c r="M139" s="211">
        <v>160000</v>
      </c>
      <c r="N139" s="212">
        <f>+L139*M139</f>
        <v>160000</v>
      </c>
      <c r="O139" s="612"/>
      <c r="P139" s="15">
        <v>0</v>
      </c>
    </row>
    <row r="140" spans="1:16" s="267" customFormat="1" ht="20.100000000000001" customHeight="1" x14ac:dyDescent="0.3">
      <c r="A140" s="403"/>
      <c r="B140" s="406"/>
      <c r="C140" s="266" t="s">
        <v>161</v>
      </c>
      <c r="D140" s="266">
        <v>0</v>
      </c>
      <c r="E140" s="266"/>
      <c r="F140" s="43">
        <v>105000</v>
      </c>
      <c r="G140" s="56">
        <f t="shared" si="17"/>
        <v>0</v>
      </c>
      <c r="H140" s="393"/>
      <c r="I140" s="527"/>
      <c r="J140" s="610" t="s">
        <v>159</v>
      </c>
      <c r="K140" s="611"/>
      <c r="L140" s="210">
        <v>4</v>
      </c>
      <c r="M140" s="211">
        <v>125000</v>
      </c>
      <c r="N140" s="212">
        <v>0</v>
      </c>
      <c r="O140" s="612"/>
      <c r="P140" s="15">
        <f>+L140*M140</f>
        <v>500000</v>
      </c>
    </row>
    <row r="141" spans="1:16" s="267" customFormat="1" ht="20.100000000000001" customHeight="1" x14ac:dyDescent="0.3">
      <c r="A141" s="403"/>
      <c r="B141" s="406"/>
      <c r="C141" s="266" t="s">
        <v>160</v>
      </c>
      <c r="D141" s="266">
        <v>0</v>
      </c>
      <c r="E141" s="266"/>
      <c r="F141" s="43">
        <v>9000</v>
      </c>
      <c r="G141" s="56">
        <f t="shared" si="17"/>
        <v>0</v>
      </c>
      <c r="H141" s="393"/>
      <c r="I141" s="527"/>
      <c r="J141" s="610"/>
      <c r="K141" s="613"/>
      <c r="L141" s="613"/>
      <c r="M141" s="613"/>
      <c r="N141" s="614"/>
      <c r="O141" s="375"/>
      <c r="P141" s="15">
        <f>+L141*M141</f>
        <v>0</v>
      </c>
    </row>
    <row r="142" spans="1:16" s="267" customFormat="1" ht="19.95" customHeight="1" thickBot="1" x14ac:dyDescent="0.35">
      <c r="A142" s="404"/>
      <c r="B142" s="407"/>
      <c r="C142" s="399" t="s">
        <v>21</v>
      </c>
      <c r="D142" s="400"/>
      <c r="E142" s="400"/>
      <c r="F142" s="418"/>
      <c r="G142" s="59">
        <f>SUM(G135:G141)</f>
        <v>10090500</v>
      </c>
      <c r="H142" s="513"/>
      <c r="I142" s="528"/>
      <c r="J142" s="535" t="s">
        <v>22</v>
      </c>
      <c r="K142" s="485"/>
      <c r="L142" s="485"/>
      <c r="M142" s="418"/>
      <c r="N142" s="49">
        <f>SUM(N135:N141)</f>
        <v>3287000</v>
      </c>
      <c r="O142" s="487"/>
      <c r="P142" s="213">
        <f>SUM(P135:P141)</f>
        <v>2390000</v>
      </c>
    </row>
    <row r="143" spans="1:16" s="272" customFormat="1" ht="19.95" customHeight="1" x14ac:dyDescent="0.3">
      <c r="A143" s="402" t="s">
        <v>79</v>
      </c>
      <c r="B143" s="405">
        <v>45557</v>
      </c>
      <c r="C143" s="268" t="s">
        <v>54</v>
      </c>
      <c r="D143" s="268">
        <v>2600</v>
      </c>
      <c r="E143" s="268">
        <v>1300</v>
      </c>
      <c r="F143" s="269">
        <v>2450</v>
      </c>
      <c r="G143" s="270">
        <f t="shared" ref="G143:G148" si="18">+D143*F143</f>
        <v>6370000</v>
      </c>
      <c r="H143" s="393"/>
      <c r="I143" s="526"/>
      <c r="J143" s="610" t="s">
        <v>17</v>
      </c>
      <c r="K143" s="611"/>
      <c r="L143" s="210">
        <v>18</v>
      </c>
      <c r="M143" s="211">
        <v>24000</v>
      </c>
      <c r="N143" s="212">
        <f>+L143*M143</f>
        <v>432000</v>
      </c>
      <c r="O143" s="612"/>
      <c r="P143" s="15">
        <v>0</v>
      </c>
    </row>
    <row r="144" spans="1:16" s="272" customFormat="1" ht="20.100000000000001" customHeight="1" x14ac:dyDescent="0.3">
      <c r="A144" s="403"/>
      <c r="B144" s="406"/>
      <c r="C144" s="271" t="s">
        <v>55</v>
      </c>
      <c r="D144" s="271">
        <v>2</v>
      </c>
      <c r="E144" s="271"/>
      <c r="F144" s="43">
        <v>343750</v>
      </c>
      <c r="G144" s="56">
        <f t="shared" si="18"/>
        <v>687500</v>
      </c>
      <c r="H144" s="393"/>
      <c r="I144" s="526"/>
      <c r="J144" s="610" t="s">
        <v>156</v>
      </c>
      <c r="K144" s="611"/>
      <c r="L144" s="210">
        <v>290</v>
      </c>
      <c r="M144" s="211">
        <v>9000</v>
      </c>
      <c r="N144" s="212">
        <f>290*M144</f>
        <v>2610000</v>
      </c>
      <c r="O144" s="612"/>
      <c r="P144" s="15">
        <f>+L144*M144</f>
        <v>2610000</v>
      </c>
    </row>
    <row r="145" spans="1:16" s="272" customFormat="1" ht="20.100000000000001" customHeight="1" x14ac:dyDescent="0.3">
      <c r="A145" s="403"/>
      <c r="B145" s="406"/>
      <c r="C145" s="271" t="s">
        <v>81</v>
      </c>
      <c r="D145" s="271">
        <v>1</v>
      </c>
      <c r="E145" s="271"/>
      <c r="F145" s="43">
        <v>225000</v>
      </c>
      <c r="G145" s="270">
        <f t="shared" si="18"/>
        <v>225000</v>
      </c>
      <c r="H145" s="393"/>
      <c r="I145" s="527"/>
      <c r="J145" s="610" t="s">
        <v>156</v>
      </c>
      <c r="K145" s="611"/>
      <c r="L145" s="210">
        <v>210</v>
      </c>
      <c r="M145" s="211">
        <v>9000</v>
      </c>
      <c r="N145" s="212">
        <v>0</v>
      </c>
      <c r="O145" s="612"/>
      <c r="P145" s="15">
        <v>0</v>
      </c>
    </row>
    <row r="146" spans="1:16" s="272" customFormat="1" ht="20.100000000000001" customHeight="1" x14ac:dyDescent="0.3">
      <c r="A146" s="403"/>
      <c r="B146" s="406"/>
      <c r="C146" s="271" t="s">
        <v>82</v>
      </c>
      <c r="D146" s="271">
        <v>0</v>
      </c>
      <c r="E146" s="271"/>
      <c r="F146" s="43">
        <v>91000</v>
      </c>
      <c r="G146" s="56">
        <f t="shared" si="18"/>
        <v>0</v>
      </c>
      <c r="H146" s="393"/>
      <c r="I146" s="527"/>
      <c r="J146" s="610" t="s">
        <v>157</v>
      </c>
      <c r="K146" s="611"/>
      <c r="L146" s="210">
        <v>1</v>
      </c>
      <c r="M146" s="211">
        <v>85000</v>
      </c>
      <c r="N146" s="212">
        <f>+L146*M146</f>
        <v>85000</v>
      </c>
      <c r="O146" s="612"/>
      <c r="P146" s="15">
        <v>0</v>
      </c>
    </row>
    <row r="147" spans="1:16" s="272" customFormat="1" ht="20.100000000000001" customHeight="1" x14ac:dyDescent="0.3">
      <c r="A147" s="403"/>
      <c r="B147" s="406"/>
      <c r="C147" s="271" t="s">
        <v>161</v>
      </c>
      <c r="D147" s="271">
        <v>0</v>
      </c>
      <c r="E147" s="271"/>
      <c r="F147" s="43">
        <v>105000</v>
      </c>
      <c r="G147" s="56">
        <f t="shared" si="18"/>
        <v>0</v>
      </c>
      <c r="H147" s="393"/>
      <c r="I147" s="527"/>
      <c r="J147" s="610" t="s">
        <v>158</v>
      </c>
      <c r="K147" s="611"/>
      <c r="L147" s="210">
        <v>1</v>
      </c>
      <c r="M147" s="211">
        <v>160000</v>
      </c>
      <c r="N147" s="212">
        <f>+L147*M147</f>
        <v>160000</v>
      </c>
      <c r="O147" s="612"/>
      <c r="P147" s="15">
        <f>+L147*M147</f>
        <v>160000</v>
      </c>
    </row>
    <row r="148" spans="1:16" s="272" customFormat="1" ht="20.100000000000001" customHeight="1" x14ac:dyDescent="0.3">
      <c r="A148" s="403"/>
      <c r="B148" s="406"/>
      <c r="C148" s="271" t="s">
        <v>160</v>
      </c>
      <c r="D148" s="271">
        <v>0</v>
      </c>
      <c r="E148" s="271"/>
      <c r="F148" s="43">
        <v>9000</v>
      </c>
      <c r="G148" s="56">
        <f t="shared" si="18"/>
        <v>0</v>
      </c>
      <c r="H148" s="393"/>
      <c r="I148" s="527"/>
      <c r="J148" s="610" t="s">
        <v>159</v>
      </c>
      <c r="K148" s="611"/>
      <c r="L148" s="210">
        <v>4</v>
      </c>
      <c r="M148" s="211">
        <v>125000</v>
      </c>
      <c r="N148" s="212">
        <v>0</v>
      </c>
      <c r="O148" s="375"/>
      <c r="P148" s="15">
        <f>+L148*M148</f>
        <v>500000</v>
      </c>
    </row>
    <row r="149" spans="1:16" s="272" customFormat="1" ht="19.95" customHeight="1" thickBot="1" x14ac:dyDescent="0.35">
      <c r="A149" s="404"/>
      <c r="B149" s="407"/>
      <c r="C149" s="399" t="s">
        <v>21</v>
      </c>
      <c r="D149" s="400"/>
      <c r="E149" s="400"/>
      <c r="F149" s="418"/>
      <c r="G149" s="59">
        <f>SUM(G143:G148)</f>
        <v>7282500</v>
      </c>
      <c r="H149" s="513"/>
      <c r="I149" s="528"/>
      <c r="J149" s="535" t="s">
        <v>22</v>
      </c>
      <c r="K149" s="485"/>
      <c r="L149" s="485"/>
      <c r="M149" s="418"/>
      <c r="N149" s="49">
        <f>SUM(N143:N148)</f>
        <v>3287000</v>
      </c>
      <c r="O149" s="487"/>
      <c r="P149" s="213">
        <f>SUM(P143:P148)</f>
        <v>3270000</v>
      </c>
    </row>
    <row r="150" spans="1:16" s="277" customFormat="1" ht="19.95" customHeight="1" x14ac:dyDescent="0.3">
      <c r="A150" s="402" t="s">
        <v>38</v>
      </c>
      <c r="B150" s="405">
        <v>45571</v>
      </c>
      <c r="C150" s="273" t="s">
        <v>54</v>
      </c>
      <c r="D150" s="273">
        <v>2600</v>
      </c>
      <c r="E150" s="273">
        <v>1300</v>
      </c>
      <c r="F150" s="274">
        <v>2450</v>
      </c>
      <c r="G150" s="276">
        <f t="shared" ref="G150:G156" si="19">+D150*F150</f>
        <v>6370000</v>
      </c>
      <c r="H150" s="393"/>
      <c r="I150" s="526"/>
      <c r="J150" s="610" t="s">
        <v>17</v>
      </c>
      <c r="K150" s="611"/>
      <c r="L150" s="210">
        <v>18</v>
      </c>
      <c r="M150" s="211">
        <v>24000</v>
      </c>
      <c r="N150" s="212">
        <f>+L150*M150</f>
        <v>432000</v>
      </c>
      <c r="O150" s="612"/>
      <c r="P150" s="15">
        <v>0</v>
      </c>
    </row>
    <row r="151" spans="1:16" s="277" customFormat="1" ht="20.100000000000001" customHeight="1" x14ac:dyDescent="0.3">
      <c r="A151" s="403"/>
      <c r="B151" s="406"/>
      <c r="C151" s="275" t="s">
        <v>176</v>
      </c>
      <c r="D151" s="275">
        <v>600</v>
      </c>
      <c r="E151" s="275">
        <v>0</v>
      </c>
      <c r="F151" s="43">
        <v>4680</v>
      </c>
      <c r="G151" s="56">
        <f t="shared" si="19"/>
        <v>2808000</v>
      </c>
      <c r="H151" s="393"/>
      <c r="I151" s="526"/>
      <c r="J151" s="610" t="s">
        <v>156</v>
      </c>
      <c r="K151" s="611"/>
      <c r="L151" s="210">
        <v>290</v>
      </c>
      <c r="M151" s="211">
        <v>9000</v>
      </c>
      <c r="N151" s="212">
        <f>290*M151</f>
        <v>2610000</v>
      </c>
      <c r="O151" s="612"/>
      <c r="P151" s="15">
        <v>0</v>
      </c>
    </row>
    <row r="152" spans="1:16" s="277" customFormat="1" ht="20.100000000000001" customHeight="1" x14ac:dyDescent="0.3">
      <c r="A152" s="403"/>
      <c r="B152" s="406"/>
      <c r="C152" s="275" t="s">
        <v>55</v>
      </c>
      <c r="D152" s="275">
        <v>2</v>
      </c>
      <c r="E152" s="275"/>
      <c r="F152" s="43">
        <v>343750</v>
      </c>
      <c r="G152" s="56">
        <f t="shared" si="19"/>
        <v>687500</v>
      </c>
      <c r="H152" s="393"/>
      <c r="I152" s="526"/>
      <c r="J152" s="610" t="s">
        <v>156</v>
      </c>
      <c r="K152" s="611"/>
      <c r="L152" s="210">
        <v>210</v>
      </c>
      <c r="M152" s="211">
        <v>9000</v>
      </c>
      <c r="N152" s="212">
        <v>0</v>
      </c>
      <c r="O152" s="612"/>
      <c r="P152" s="15">
        <f>+L152*M152</f>
        <v>1890000</v>
      </c>
    </row>
    <row r="153" spans="1:16" s="277" customFormat="1" ht="20.100000000000001" customHeight="1" x14ac:dyDescent="0.3">
      <c r="A153" s="403"/>
      <c r="B153" s="406"/>
      <c r="C153" s="275" t="s">
        <v>81</v>
      </c>
      <c r="D153" s="275">
        <v>1</v>
      </c>
      <c r="E153" s="275"/>
      <c r="F153" s="43">
        <v>225000</v>
      </c>
      <c r="G153" s="276">
        <f t="shared" si="19"/>
        <v>225000</v>
      </c>
      <c r="H153" s="393"/>
      <c r="I153" s="527"/>
      <c r="J153" s="610" t="s">
        <v>157</v>
      </c>
      <c r="K153" s="611"/>
      <c r="L153" s="210">
        <v>1</v>
      </c>
      <c r="M153" s="211">
        <v>85000</v>
      </c>
      <c r="N153" s="212">
        <f>+L153*M153</f>
        <v>85000</v>
      </c>
      <c r="O153" s="612"/>
      <c r="P153" s="15">
        <v>0</v>
      </c>
    </row>
    <row r="154" spans="1:16" s="277" customFormat="1" ht="20.100000000000001" customHeight="1" x14ac:dyDescent="0.3">
      <c r="A154" s="403"/>
      <c r="B154" s="406"/>
      <c r="C154" s="275" t="s">
        <v>82</v>
      </c>
      <c r="D154" s="275">
        <v>0</v>
      </c>
      <c r="E154" s="275"/>
      <c r="F154" s="43">
        <v>91000</v>
      </c>
      <c r="G154" s="56">
        <f t="shared" si="19"/>
        <v>0</v>
      </c>
      <c r="H154" s="393"/>
      <c r="I154" s="527"/>
      <c r="J154" s="610" t="s">
        <v>158</v>
      </c>
      <c r="K154" s="611"/>
      <c r="L154" s="210">
        <v>1</v>
      </c>
      <c r="M154" s="211">
        <v>160000</v>
      </c>
      <c r="N154" s="212">
        <f>+L154*M154</f>
        <v>160000</v>
      </c>
      <c r="O154" s="612"/>
      <c r="P154" s="15">
        <v>0</v>
      </c>
    </row>
    <row r="155" spans="1:16" s="277" customFormat="1" ht="20.100000000000001" customHeight="1" x14ac:dyDescent="0.3">
      <c r="A155" s="403"/>
      <c r="B155" s="406"/>
      <c r="C155" s="275" t="s">
        <v>161</v>
      </c>
      <c r="D155" s="275">
        <v>0</v>
      </c>
      <c r="E155" s="275"/>
      <c r="F155" s="43">
        <v>105000</v>
      </c>
      <c r="G155" s="56">
        <f t="shared" si="19"/>
        <v>0</v>
      </c>
      <c r="H155" s="393"/>
      <c r="I155" s="527"/>
      <c r="J155" s="610" t="s">
        <v>159</v>
      </c>
      <c r="K155" s="611"/>
      <c r="L155" s="210">
        <v>4</v>
      </c>
      <c r="M155" s="211">
        <v>125000</v>
      </c>
      <c r="N155" s="212">
        <v>0</v>
      </c>
      <c r="O155" s="612"/>
      <c r="P155" s="15">
        <f>+L155*M155</f>
        <v>500000</v>
      </c>
    </row>
    <row r="156" spans="1:16" s="277" customFormat="1" ht="20.100000000000001" customHeight="1" x14ac:dyDescent="0.3">
      <c r="A156" s="403"/>
      <c r="B156" s="406"/>
      <c r="C156" s="275" t="s">
        <v>160</v>
      </c>
      <c r="D156" s="275">
        <v>0</v>
      </c>
      <c r="E156" s="275"/>
      <c r="F156" s="43">
        <v>9000</v>
      </c>
      <c r="G156" s="56">
        <f t="shared" si="19"/>
        <v>0</v>
      </c>
      <c r="H156" s="393"/>
      <c r="I156" s="527"/>
      <c r="J156" s="610"/>
      <c r="K156" s="613"/>
      <c r="L156" s="613"/>
      <c r="M156" s="613"/>
      <c r="N156" s="614"/>
      <c r="O156" s="375"/>
      <c r="P156" s="15">
        <f>+L156*M156</f>
        <v>0</v>
      </c>
    </row>
    <row r="157" spans="1:16" s="277" customFormat="1" ht="19.95" customHeight="1" thickBot="1" x14ac:dyDescent="0.35">
      <c r="A157" s="404"/>
      <c r="B157" s="407"/>
      <c r="C157" s="399" t="s">
        <v>21</v>
      </c>
      <c r="D157" s="400"/>
      <c r="E157" s="400"/>
      <c r="F157" s="418"/>
      <c r="G157" s="59">
        <f>SUM(G150:G156)</f>
        <v>10090500</v>
      </c>
      <c r="H157" s="513"/>
      <c r="I157" s="528"/>
      <c r="J157" s="535" t="s">
        <v>22</v>
      </c>
      <c r="K157" s="485"/>
      <c r="L157" s="485"/>
      <c r="M157" s="418"/>
      <c r="N157" s="49">
        <f>SUM(N150:N156)</f>
        <v>3287000</v>
      </c>
      <c r="O157" s="487"/>
      <c r="P157" s="213">
        <f>SUM(P150:P156)</f>
        <v>2390000</v>
      </c>
    </row>
    <row r="158" spans="1:16" s="277" customFormat="1" ht="19.95" customHeight="1" x14ac:dyDescent="0.3">
      <c r="A158" s="402" t="s">
        <v>174</v>
      </c>
      <c r="B158" s="405">
        <v>45592</v>
      </c>
      <c r="C158" s="273" t="s">
        <v>54</v>
      </c>
      <c r="D158" s="273">
        <v>2600</v>
      </c>
      <c r="E158" s="273">
        <v>1300</v>
      </c>
      <c r="F158" s="274">
        <v>2450</v>
      </c>
      <c r="G158" s="276">
        <f t="shared" ref="G158:G163" si="20">+D158*F158</f>
        <v>6370000</v>
      </c>
      <c r="H158" s="393"/>
      <c r="I158" s="526"/>
      <c r="J158" s="610" t="s">
        <v>17</v>
      </c>
      <c r="K158" s="611"/>
      <c r="L158" s="210">
        <v>18</v>
      </c>
      <c r="M158" s="211">
        <v>24000</v>
      </c>
      <c r="N158" s="212">
        <f>+L158*M158</f>
        <v>432000</v>
      </c>
      <c r="O158" s="612"/>
      <c r="P158" s="15">
        <v>0</v>
      </c>
    </row>
    <row r="159" spans="1:16" s="277" customFormat="1" ht="20.100000000000001" customHeight="1" x14ac:dyDescent="0.3">
      <c r="A159" s="403"/>
      <c r="B159" s="406"/>
      <c r="C159" s="275" t="s">
        <v>55</v>
      </c>
      <c r="D159" s="275">
        <v>2</v>
      </c>
      <c r="E159" s="275"/>
      <c r="F159" s="43">
        <v>343750</v>
      </c>
      <c r="G159" s="56">
        <f t="shared" si="20"/>
        <v>687500</v>
      </c>
      <c r="H159" s="393"/>
      <c r="I159" s="526"/>
      <c r="J159" s="610" t="s">
        <v>156</v>
      </c>
      <c r="K159" s="611"/>
      <c r="L159" s="210">
        <v>290</v>
      </c>
      <c r="M159" s="211">
        <v>9000</v>
      </c>
      <c r="N159" s="212">
        <f>290*M159</f>
        <v>2610000</v>
      </c>
      <c r="O159" s="612"/>
      <c r="P159" s="15">
        <f>+L159*M159</f>
        <v>2610000</v>
      </c>
    </row>
    <row r="160" spans="1:16" s="277" customFormat="1" ht="20.100000000000001" customHeight="1" x14ac:dyDescent="0.3">
      <c r="A160" s="403"/>
      <c r="B160" s="406"/>
      <c r="C160" s="275" t="s">
        <v>81</v>
      </c>
      <c r="D160" s="275">
        <v>1</v>
      </c>
      <c r="E160" s="275"/>
      <c r="F160" s="43">
        <v>225000</v>
      </c>
      <c r="G160" s="276">
        <f t="shared" si="20"/>
        <v>225000</v>
      </c>
      <c r="H160" s="393"/>
      <c r="I160" s="527"/>
      <c r="J160" s="610" t="s">
        <v>156</v>
      </c>
      <c r="K160" s="611"/>
      <c r="L160" s="210">
        <v>210</v>
      </c>
      <c r="M160" s="211">
        <v>9000</v>
      </c>
      <c r="N160" s="212">
        <v>0</v>
      </c>
      <c r="O160" s="612"/>
      <c r="P160" s="15">
        <v>0</v>
      </c>
    </row>
    <row r="161" spans="1:16" s="277" customFormat="1" ht="20.100000000000001" customHeight="1" x14ac:dyDescent="0.3">
      <c r="A161" s="403"/>
      <c r="B161" s="406"/>
      <c r="C161" s="275" t="s">
        <v>82</v>
      </c>
      <c r="D161" s="275">
        <v>0</v>
      </c>
      <c r="E161" s="275"/>
      <c r="F161" s="43">
        <v>91000</v>
      </c>
      <c r="G161" s="56">
        <f t="shared" si="20"/>
        <v>0</v>
      </c>
      <c r="H161" s="393"/>
      <c r="I161" s="527"/>
      <c r="J161" s="610" t="s">
        <v>157</v>
      </c>
      <c r="K161" s="611"/>
      <c r="L161" s="210">
        <v>1</v>
      </c>
      <c r="M161" s="211">
        <v>85000</v>
      </c>
      <c r="N161" s="212">
        <f>+L161*M161</f>
        <v>85000</v>
      </c>
      <c r="O161" s="612"/>
      <c r="P161" s="15">
        <v>0</v>
      </c>
    </row>
    <row r="162" spans="1:16" s="277" customFormat="1" ht="20.100000000000001" customHeight="1" x14ac:dyDescent="0.3">
      <c r="A162" s="403"/>
      <c r="B162" s="406"/>
      <c r="C162" s="275" t="s">
        <v>161</v>
      </c>
      <c r="D162" s="275">
        <v>0</v>
      </c>
      <c r="E162" s="275"/>
      <c r="F162" s="43">
        <v>105000</v>
      </c>
      <c r="G162" s="56">
        <f t="shared" si="20"/>
        <v>0</v>
      </c>
      <c r="H162" s="393"/>
      <c r="I162" s="527"/>
      <c r="J162" s="610" t="s">
        <v>158</v>
      </c>
      <c r="K162" s="611"/>
      <c r="L162" s="210">
        <v>1</v>
      </c>
      <c r="M162" s="211">
        <v>160000</v>
      </c>
      <c r="N162" s="212">
        <f>+L162*M162</f>
        <v>160000</v>
      </c>
      <c r="O162" s="612"/>
      <c r="P162" s="15">
        <f>+L162*M162</f>
        <v>160000</v>
      </c>
    </row>
    <row r="163" spans="1:16" s="277" customFormat="1" ht="20.100000000000001" customHeight="1" x14ac:dyDescent="0.3">
      <c r="A163" s="403"/>
      <c r="B163" s="406"/>
      <c r="C163" s="275" t="s">
        <v>160</v>
      </c>
      <c r="D163" s="275">
        <v>0</v>
      </c>
      <c r="E163" s="275"/>
      <c r="F163" s="43">
        <v>9000</v>
      </c>
      <c r="G163" s="56">
        <f t="shared" si="20"/>
        <v>0</v>
      </c>
      <c r="H163" s="393"/>
      <c r="I163" s="527"/>
      <c r="J163" s="610" t="s">
        <v>159</v>
      </c>
      <c r="K163" s="611"/>
      <c r="L163" s="210">
        <v>4</v>
      </c>
      <c r="M163" s="211">
        <v>125000</v>
      </c>
      <c r="N163" s="212">
        <v>0</v>
      </c>
      <c r="O163" s="375"/>
      <c r="P163" s="15">
        <f>+L163*M163</f>
        <v>500000</v>
      </c>
    </row>
    <row r="164" spans="1:16" s="277" customFormat="1" ht="19.95" customHeight="1" thickBot="1" x14ac:dyDescent="0.35">
      <c r="A164" s="404"/>
      <c r="B164" s="407"/>
      <c r="C164" s="399" t="s">
        <v>21</v>
      </c>
      <c r="D164" s="400"/>
      <c r="E164" s="400"/>
      <c r="F164" s="418"/>
      <c r="G164" s="59">
        <f>SUM(G158:G163)</f>
        <v>7282500</v>
      </c>
      <c r="H164" s="513"/>
      <c r="I164" s="528"/>
      <c r="J164" s="535" t="s">
        <v>22</v>
      </c>
      <c r="K164" s="485"/>
      <c r="L164" s="485"/>
      <c r="M164" s="418"/>
      <c r="N164" s="49">
        <f>SUM(N158:N163)</f>
        <v>3287000</v>
      </c>
      <c r="O164" s="487"/>
      <c r="P164" s="213">
        <f>SUM(P158:P163)</f>
        <v>3270000</v>
      </c>
    </row>
    <row r="165" spans="1:16" s="277" customFormat="1" ht="19.95" customHeight="1" x14ac:dyDescent="0.3">
      <c r="A165" s="402" t="s">
        <v>175</v>
      </c>
      <c r="B165" s="405">
        <v>45603</v>
      </c>
      <c r="C165" s="273" t="s">
        <v>54</v>
      </c>
      <c r="D165" s="273">
        <v>2600</v>
      </c>
      <c r="E165" s="273">
        <v>1300</v>
      </c>
      <c r="F165" s="274">
        <v>2450</v>
      </c>
      <c r="G165" s="276">
        <f t="shared" ref="G165:G171" si="21">+D165*F165</f>
        <v>6370000</v>
      </c>
      <c r="H165" s="393"/>
      <c r="I165" s="526"/>
      <c r="J165" s="610" t="s">
        <v>17</v>
      </c>
      <c r="K165" s="611"/>
      <c r="L165" s="210">
        <v>18</v>
      </c>
      <c r="M165" s="211">
        <v>24000</v>
      </c>
      <c r="N165" s="212">
        <f>+L165*M165</f>
        <v>432000</v>
      </c>
      <c r="O165" s="612"/>
      <c r="P165" s="15">
        <v>0</v>
      </c>
    </row>
    <row r="166" spans="1:16" s="277" customFormat="1" ht="20.100000000000001" customHeight="1" x14ac:dyDescent="0.3">
      <c r="A166" s="403"/>
      <c r="B166" s="406"/>
      <c r="C166" s="275" t="s">
        <v>177</v>
      </c>
      <c r="D166" s="275">
        <v>600</v>
      </c>
      <c r="E166" s="275">
        <v>0</v>
      </c>
      <c r="F166" s="43">
        <v>4680</v>
      </c>
      <c r="G166" s="56">
        <f t="shared" si="21"/>
        <v>2808000</v>
      </c>
      <c r="H166" s="393"/>
      <c r="I166" s="526"/>
      <c r="J166" s="610" t="s">
        <v>156</v>
      </c>
      <c r="K166" s="611"/>
      <c r="L166" s="210">
        <v>290</v>
      </c>
      <c r="M166" s="211">
        <v>9000</v>
      </c>
      <c r="N166" s="212">
        <f>290*M166</f>
        <v>2610000</v>
      </c>
      <c r="O166" s="612"/>
      <c r="P166" s="15">
        <v>0</v>
      </c>
    </row>
    <row r="167" spans="1:16" s="277" customFormat="1" ht="20.100000000000001" customHeight="1" x14ac:dyDescent="0.3">
      <c r="A167" s="403"/>
      <c r="B167" s="406"/>
      <c r="C167" s="275" t="s">
        <v>55</v>
      </c>
      <c r="D167" s="275">
        <v>2</v>
      </c>
      <c r="E167" s="275"/>
      <c r="F167" s="43">
        <v>343750</v>
      </c>
      <c r="G167" s="56">
        <f t="shared" si="21"/>
        <v>687500</v>
      </c>
      <c r="H167" s="393"/>
      <c r="I167" s="526"/>
      <c r="J167" s="610" t="s">
        <v>156</v>
      </c>
      <c r="K167" s="611"/>
      <c r="L167" s="210">
        <v>210</v>
      </c>
      <c r="M167" s="211">
        <v>9000</v>
      </c>
      <c r="N167" s="212">
        <v>0</v>
      </c>
      <c r="O167" s="612"/>
      <c r="P167" s="15">
        <f>+L167*M167</f>
        <v>1890000</v>
      </c>
    </row>
    <row r="168" spans="1:16" s="277" customFormat="1" ht="20.100000000000001" customHeight="1" x14ac:dyDescent="0.3">
      <c r="A168" s="403"/>
      <c r="B168" s="406"/>
      <c r="C168" s="275" t="s">
        <v>81</v>
      </c>
      <c r="D168" s="275">
        <v>1</v>
      </c>
      <c r="E168" s="275"/>
      <c r="F168" s="43">
        <v>225000</v>
      </c>
      <c r="G168" s="276">
        <f t="shared" si="21"/>
        <v>225000</v>
      </c>
      <c r="H168" s="393"/>
      <c r="I168" s="527"/>
      <c r="J168" s="610" t="s">
        <v>157</v>
      </c>
      <c r="K168" s="611"/>
      <c r="L168" s="210">
        <v>1</v>
      </c>
      <c r="M168" s="211">
        <v>85000</v>
      </c>
      <c r="N168" s="212">
        <f>+L168*M168</f>
        <v>85000</v>
      </c>
      <c r="O168" s="612"/>
      <c r="P168" s="15">
        <v>0</v>
      </c>
    </row>
    <row r="169" spans="1:16" s="277" customFormat="1" ht="20.100000000000001" customHeight="1" x14ac:dyDescent="0.3">
      <c r="A169" s="403"/>
      <c r="B169" s="406"/>
      <c r="C169" s="275" t="s">
        <v>82</v>
      </c>
      <c r="D169" s="275">
        <v>0</v>
      </c>
      <c r="E169" s="275"/>
      <c r="F169" s="43">
        <v>91000</v>
      </c>
      <c r="G169" s="56">
        <f t="shared" si="21"/>
        <v>0</v>
      </c>
      <c r="H169" s="393"/>
      <c r="I169" s="527"/>
      <c r="J169" s="610" t="s">
        <v>158</v>
      </c>
      <c r="K169" s="611"/>
      <c r="L169" s="210">
        <v>1</v>
      </c>
      <c r="M169" s="211">
        <v>160000</v>
      </c>
      <c r="N169" s="212">
        <f>+L169*M169</f>
        <v>160000</v>
      </c>
      <c r="O169" s="612"/>
      <c r="P169" s="15">
        <v>0</v>
      </c>
    </row>
    <row r="170" spans="1:16" s="277" customFormat="1" ht="20.100000000000001" customHeight="1" x14ac:dyDescent="0.3">
      <c r="A170" s="403"/>
      <c r="B170" s="406"/>
      <c r="C170" s="275" t="s">
        <v>161</v>
      </c>
      <c r="D170" s="275">
        <v>0</v>
      </c>
      <c r="E170" s="275"/>
      <c r="F170" s="43">
        <v>105000</v>
      </c>
      <c r="G170" s="56">
        <f t="shared" si="21"/>
        <v>0</v>
      </c>
      <c r="H170" s="393"/>
      <c r="I170" s="527"/>
      <c r="J170" s="610" t="s">
        <v>159</v>
      </c>
      <c r="K170" s="611"/>
      <c r="L170" s="210">
        <v>4</v>
      </c>
      <c r="M170" s="211">
        <v>125000</v>
      </c>
      <c r="N170" s="212">
        <v>0</v>
      </c>
      <c r="O170" s="612"/>
      <c r="P170" s="15">
        <f>+L170*M170</f>
        <v>500000</v>
      </c>
    </row>
    <row r="171" spans="1:16" s="277" customFormat="1" ht="20.100000000000001" customHeight="1" x14ac:dyDescent="0.3">
      <c r="A171" s="403"/>
      <c r="B171" s="406"/>
      <c r="C171" s="275" t="s">
        <v>160</v>
      </c>
      <c r="D171" s="275">
        <v>0</v>
      </c>
      <c r="E171" s="275"/>
      <c r="F171" s="43">
        <v>9000</v>
      </c>
      <c r="G171" s="56">
        <f t="shared" si="21"/>
        <v>0</v>
      </c>
      <c r="H171" s="393"/>
      <c r="I171" s="527"/>
      <c r="J171" s="610"/>
      <c r="K171" s="613"/>
      <c r="L171" s="613"/>
      <c r="M171" s="613"/>
      <c r="N171" s="614"/>
      <c r="O171" s="375"/>
      <c r="P171" s="15">
        <f>+L171*M171</f>
        <v>0</v>
      </c>
    </row>
    <row r="172" spans="1:16" s="277" customFormat="1" ht="19.95" customHeight="1" thickBot="1" x14ac:dyDescent="0.35">
      <c r="A172" s="404"/>
      <c r="B172" s="407"/>
      <c r="C172" s="399" t="s">
        <v>21</v>
      </c>
      <c r="D172" s="400"/>
      <c r="E172" s="400"/>
      <c r="F172" s="418"/>
      <c r="G172" s="59">
        <f>SUM(G165:G171)</f>
        <v>10090500</v>
      </c>
      <c r="H172" s="513"/>
      <c r="I172" s="528"/>
      <c r="J172" s="535" t="s">
        <v>22</v>
      </c>
      <c r="K172" s="485"/>
      <c r="L172" s="485"/>
      <c r="M172" s="418"/>
      <c r="N172" s="49">
        <f>SUM(N165:N171)</f>
        <v>3287000</v>
      </c>
      <c r="O172" s="487"/>
      <c r="P172" s="213">
        <f>SUM(P165:P171)</f>
        <v>2390000</v>
      </c>
    </row>
    <row r="173" spans="1:16" s="277" customFormat="1" ht="19.95" customHeight="1" x14ac:dyDescent="0.3">
      <c r="A173" s="402" t="s">
        <v>51</v>
      </c>
      <c r="B173" s="405">
        <v>45617</v>
      </c>
      <c r="C173" s="273" t="s">
        <v>54</v>
      </c>
      <c r="D173" s="273">
        <v>2600</v>
      </c>
      <c r="E173" s="273">
        <v>1300</v>
      </c>
      <c r="F173" s="274">
        <v>2450</v>
      </c>
      <c r="G173" s="276">
        <f t="shared" ref="G173:G178" si="22">+D173*F173</f>
        <v>6370000</v>
      </c>
      <c r="H173" s="393"/>
      <c r="I173" s="526"/>
      <c r="J173" s="610" t="s">
        <v>17</v>
      </c>
      <c r="K173" s="611"/>
      <c r="L173" s="210">
        <v>18</v>
      </c>
      <c r="M173" s="211">
        <v>24000</v>
      </c>
      <c r="N173" s="212">
        <f>+L173*M173</f>
        <v>432000</v>
      </c>
      <c r="O173" s="612"/>
      <c r="P173" s="15">
        <v>0</v>
      </c>
    </row>
    <row r="174" spans="1:16" s="277" customFormat="1" ht="20.100000000000001" customHeight="1" x14ac:dyDescent="0.3">
      <c r="A174" s="403"/>
      <c r="B174" s="406"/>
      <c r="C174" s="275" t="s">
        <v>55</v>
      </c>
      <c r="D174" s="275">
        <v>2</v>
      </c>
      <c r="E174" s="275"/>
      <c r="F174" s="43">
        <v>343750</v>
      </c>
      <c r="G174" s="56">
        <f t="shared" si="22"/>
        <v>687500</v>
      </c>
      <c r="H174" s="393"/>
      <c r="I174" s="526"/>
      <c r="J174" s="610" t="s">
        <v>156</v>
      </c>
      <c r="K174" s="611"/>
      <c r="L174" s="210">
        <v>290</v>
      </c>
      <c r="M174" s="211">
        <v>9000</v>
      </c>
      <c r="N174" s="212">
        <f>290*M174</f>
        <v>2610000</v>
      </c>
      <c r="O174" s="612"/>
      <c r="P174" s="15">
        <f>+L174*M174</f>
        <v>2610000</v>
      </c>
    </row>
    <row r="175" spans="1:16" s="277" customFormat="1" ht="20.100000000000001" customHeight="1" x14ac:dyDescent="0.3">
      <c r="A175" s="403"/>
      <c r="B175" s="406"/>
      <c r="C175" s="275" t="s">
        <v>81</v>
      </c>
      <c r="D175" s="275">
        <v>1</v>
      </c>
      <c r="E175" s="275"/>
      <c r="F175" s="43">
        <v>225000</v>
      </c>
      <c r="G175" s="276">
        <f t="shared" si="22"/>
        <v>225000</v>
      </c>
      <c r="H175" s="393"/>
      <c r="I175" s="527"/>
      <c r="J175" s="610" t="s">
        <v>156</v>
      </c>
      <c r="K175" s="611"/>
      <c r="L175" s="210">
        <v>210</v>
      </c>
      <c r="M175" s="211">
        <v>9000</v>
      </c>
      <c r="N175" s="212">
        <v>0</v>
      </c>
      <c r="O175" s="612"/>
      <c r="P175" s="15">
        <v>0</v>
      </c>
    </row>
    <row r="176" spans="1:16" s="277" customFormat="1" ht="20.100000000000001" customHeight="1" x14ac:dyDescent="0.3">
      <c r="A176" s="403"/>
      <c r="B176" s="406"/>
      <c r="C176" s="275" t="s">
        <v>82</v>
      </c>
      <c r="D176" s="275">
        <v>0</v>
      </c>
      <c r="E176" s="275"/>
      <c r="F176" s="43">
        <v>91000</v>
      </c>
      <c r="G176" s="56">
        <f t="shared" si="22"/>
        <v>0</v>
      </c>
      <c r="H176" s="393"/>
      <c r="I176" s="527"/>
      <c r="J176" s="610" t="s">
        <v>157</v>
      </c>
      <c r="K176" s="611"/>
      <c r="L176" s="210">
        <v>1</v>
      </c>
      <c r="M176" s="211">
        <v>85000</v>
      </c>
      <c r="N176" s="212">
        <f>+L176*M176</f>
        <v>85000</v>
      </c>
      <c r="O176" s="612"/>
      <c r="P176" s="15">
        <v>0</v>
      </c>
    </row>
    <row r="177" spans="1:16" s="277" customFormat="1" ht="20.100000000000001" customHeight="1" x14ac:dyDescent="0.3">
      <c r="A177" s="403"/>
      <c r="B177" s="406"/>
      <c r="C177" s="275" t="s">
        <v>161</v>
      </c>
      <c r="D177" s="275">
        <v>0</v>
      </c>
      <c r="E177" s="275"/>
      <c r="F177" s="43">
        <v>105000</v>
      </c>
      <c r="G177" s="56">
        <f t="shared" si="22"/>
        <v>0</v>
      </c>
      <c r="H177" s="393"/>
      <c r="I177" s="527"/>
      <c r="J177" s="610" t="s">
        <v>158</v>
      </c>
      <c r="K177" s="611"/>
      <c r="L177" s="210">
        <v>1</v>
      </c>
      <c r="M177" s="211">
        <v>160000</v>
      </c>
      <c r="N177" s="212">
        <f>+L177*M177</f>
        <v>160000</v>
      </c>
      <c r="O177" s="612"/>
      <c r="P177" s="15">
        <f>+L177*M177</f>
        <v>160000</v>
      </c>
    </row>
    <row r="178" spans="1:16" s="277" customFormat="1" ht="20.100000000000001" customHeight="1" x14ac:dyDescent="0.3">
      <c r="A178" s="403"/>
      <c r="B178" s="406"/>
      <c r="C178" s="275" t="s">
        <v>160</v>
      </c>
      <c r="D178" s="275">
        <v>0</v>
      </c>
      <c r="E178" s="275"/>
      <c r="F178" s="43">
        <v>9000</v>
      </c>
      <c r="G178" s="56">
        <f t="shared" si="22"/>
        <v>0</v>
      </c>
      <c r="H178" s="393"/>
      <c r="I178" s="527"/>
      <c r="J178" s="610" t="s">
        <v>159</v>
      </c>
      <c r="K178" s="611"/>
      <c r="L178" s="210">
        <v>4</v>
      </c>
      <c r="M178" s="211">
        <v>125000</v>
      </c>
      <c r="N178" s="212">
        <v>0</v>
      </c>
      <c r="O178" s="375"/>
      <c r="P178" s="15">
        <f>+L178*M178</f>
        <v>500000</v>
      </c>
    </row>
    <row r="179" spans="1:16" s="277" customFormat="1" ht="19.95" customHeight="1" thickBot="1" x14ac:dyDescent="0.35">
      <c r="A179" s="404"/>
      <c r="B179" s="407"/>
      <c r="C179" s="399" t="s">
        <v>21</v>
      </c>
      <c r="D179" s="400"/>
      <c r="E179" s="400"/>
      <c r="F179" s="418"/>
      <c r="G179" s="59">
        <f>SUM(G173:G178)</f>
        <v>7282500</v>
      </c>
      <c r="H179" s="513"/>
      <c r="I179" s="528"/>
      <c r="J179" s="535" t="s">
        <v>22</v>
      </c>
      <c r="K179" s="485"/>
      <c r="L179" s="485"/>
      <c r="M179" s="418"/>
      <c r="N179" s="49">
        <f>SUM(N173:N178)</f>
        <v>3287000</v>
      </c>
      <c r="O179" s="487"/>
      <c r="P179" s="213">
        <f>SUM(P173:P178)</f>
        <v>3270000</v>
      </c>
    </row>
    <row r="180" spans="1:16" s="277" customFormat="1" ht="19.95" customHeight="1" x14ac:dyDescent="0.3">
      <c r="A180" s="402" t="s">
        <v>178</v>
      </c>
      <c r="B180" s="405">
        <v>45628</v>
      </c>
      <c r="C180" s="273" t="s">
        <v>54</v>
      </c>
      <c r="D180" s="273">
        <v>2600</v>
      </c>
      <c r="E180" s="273">
        <v>1300</v>
      </c>
      <c r="F180" s="274">
        <v>2450</v>
      </c>
      <c r="G180" s="276">
        <f t="shared" ref="G180:G186" si="23">+D180*F180</f>
        <v>6370000</v>
      </c>
      <c r="H180" s="393"/>
      <c r="I180" s="526"/>
      <c r="J180" s="610" t="s">
        <v>17</v>
      </c>
      <c r="K180" s="611"/>
      <c r="L180" s="210">
        <v>18</v>
      </c>
      <c r="M180" s="211">
        <v>24000</v>
      </c>
      <c r="N180" s="212">
        <f>+L180*M180</f>
        <v>432000</v>
      </c>
      <c r="O180" s="612"/>
      <c r="P180" s="15">
        <v>0</v>
      </c>
    </row>
    <row r="181" spans="1:16" s="277" customFormat="1" ht="20.100000000000001" customHeight="1" x14ac:dyDescent="0.3">
      <c r="A181" s="403"/>
      <c r="B181" s="406"/>
      <c r="C181" s="275" t="s">
        <v>179</v>
      </c>
      <c r="D181" s="275">
        <v>600</v>
      </c>
      <c r="E181" s="275">
        <v>0</v>
      </c>
      <c r="F181" s="43">
        <v>4680</v>
      </c>
      <c r="G181" s="56">
        <f t="shared" si="23"/>
        <v>2808000</v>
      </c>
      <c r="H181" s="393"/>
      <c r="I181" s="526"/>
      <c r="J181" s="610" t="s">
        <v>156</v>
      </c>
      <c r="K181" s="611"/>
      <c r="L181" s="210">
        <v>290</v>
      </c>
      <c r="M181" s="211">
        <v>9000</v>
      </c>
      <c r="N181" s="212">
        <f>290*M181</f>
        <v>2610000</v>
      </c>
      <c r="O181" s="612"/>
      <c r="P181" s="15">
        <v>0</v>
      </c>
    </row>
    <row r="182" spans="1:16" s="277" customFormat="1" ht="20.100000000000001" customHeight="1" x14ac:dyDescent="0.3">
      <c r="A182" s="403"/>
      <c r="B182" s="406"/>
      <c r="C182" s="275" t="s">
        <v>55</v>
      </c>
      <c r="D182" s="275">
        <v>2</v>
      </c>
      <c r="E182" s="275"/>
      <c r="F182" s="43">
        <v>343750</v>
      </c>
      <c r="G182" s="56">
        <f t="shared" si="23"/>
        <v>687500</v>
      </c>
      <c r="H182" s="393"/>
      <c r="I182" s="526"/>
      <c r="J182" s="610" t="s">
        <v>156</v>
      </c>
      <c r="K182" s="611"/>
      <c r="L182" s="210">
        <v>210</v>
      </c>
      <c r="M182" s="211">
        <v>9000</v>
      </c>
      <c r="N182" s="212">
        <v>0</v>
      </c>
      <c r="O182" s="612"/>
      <c r="P182" s="15">
        <f>+L182*M182</f>
        <v>1890000</v>
      </c>
    </row>
    <row r="183" spans="1:16" s="277" customFormat="1" ht="20.100000000000001" customHeight="1" x14ac:dyDescent="0.3">
      <c r="A183" s="403"/>
      <c r="B183" s="406"/>
      <c r="C183" s="275" t="s">
        <v>81</v>
      </c>
      <c r="D183" s="275">
        <v>1</v>
      </c>
      <c r="E183" s="275"/>
      <c r="F183" s="43">
        <v>225000</v>
      </c>
      <c r="G183" s="276">
        <f t="shared" si="23"/>
        <v>225000</v>
      </c>
      <c r="H183" s="393"/>
      <c r="I183" s="527"/>
      <c r="J183" s="610" t="s">
        <v>157</v>
      </c>
      <c r="K183" s="611"/>
      <c r="L183" s="210">
        <v>1</v>
      </c>
      <c r="M183" s="211">
        <v>85000</v>
      </c>
      <c r="N183" s="212">
        <f>+L183*M183</f>
        <v>85000</v>
      </c>
      <c r="O183" s="612"/>
      <c r="P183" s="15">
        <v>0</v>
      </c>
    </row>
    <row r="184" spans="1:16" s="277" customFormat="1" ht="20.100000000000001" customHeight="1" x14ac:dyDescent="0.3">
      <c r="A184" s="403"/>
      <c r="B184" s="406"/>
      <c r="C184" s="275" t="s">
        <v>82</v>
      </c>
      <c r="D184" s="275">
        <v>0</v>
      </c>
      <c r="E184" s="275"/>
      <c r="F184" s="43">
        <v>91000</v>
      </c>
      <c r="G184" s="56">
        <f t="shared" si="23"/>
        <v>0</v>
      </c>
      <c r="H184" s="393"/>
      <c r="I184" s="527"/>
      <c r="J184" s="610" t="s">
        <v>158</v>
      </c>
      <c r="K184" s="611"/>
      <c r="L184" s="210">
        <v>1</v>
      </c>
      <c r="M184" s="211">
        <v>160000</v>
      </c>
      <c r="N184" s="212">
        <f>+L184*M184</f>
        <v>160000</v>
      </c>
      <c r="O184" s="612"/>
      <c r="P184" s="15">
        <v>0</v>
      </c>
    </row>
    <row r="185" spans="1:16" s="277" customFormat="1" ht="20.100000000000001" customHeight="1" x14ac:dyDescent="0.3">
      <c r="A185" s="403"/>
      <c r="B185" s="406"/>
      <c r="C185" s="275" t="s">
        <v>161</v>
      </c>
      <c r="D185" s="275">
        <v>0</v>
      </c>
      <c r="E185" s="275"/>
      <c r="F185" s="43">
        <v>105000</v>
      </c>
      <c r="G185" s="56">
        <f t="shared" si="23"/>
        <v>0</v>
      </c>
      <c r="H185" s="393"/>
      <c r="I185" s="527"/>
      <c r="J185" s="610" t="s">
        <v>159</v>
      </c>
      <c r="K185" s="611"/>
      <c r="L185" s="210">
        <v>4</v>
      </c>
      <c r="M185" s="211">
        <v>125000</v>
      </c>
      <c r="N185" s="212">
        <v>0</v>
      </c>
      <c r="O185" s="612"/>
      <c r="P185" s="15">
        <f>+L185*M185</f>
        <v>500000</v>
      </c>
    </row>
    <row r="186" spans="1:16" s="277" customFormat="1" ht="20.100000000000001" customHeight="1" x14ac:dyDescent="0.3">
      <c r="A186" s="403"/>
      <c r="B186" s="406"/>
      <c r="C186" s="275" t="s">
        <v>160</v>
      </c>
      <c r="D186" s="275">
        <v>0</v>
      </c>
      <c r="E186" s="275"/>
      <c r="F186" s="43">
        <v>9000</v>
      </c>
      <c r="G186" s="56">
        <f t="shared" si="23"/>
        <v>0</v>
      </c>
      <c r="H186" s="393"/>
      <c r="I186" s="527"/>
      <c r="J186" s="610"/>
      <c r="K186" s="613"/>
      <c r="L186" s="613"/>
      <c r="M186" s="613"/>
      <c r="N186" s="614"/>
      <c r="O186" s="375"/>
      <c r="P186" s="15">
        <f>+L186*M186</f>
        <v>0</v>
      </c>
    </row>
    <row r="187" spans="1:16" s="277" customFormat="1" ht="19.95" customHeight="1" thickBot="1" x14ac:dyDescent="0.35">
      <c r="A187" s="404"/>
      <c r="B187" s="407"/>
      <c r="C187" s="399" t="s">
        <v>21</v>
      </c>
      <c r="D187" s="400"/>
      <c r="E187" s="400"/>
      <c r="F187" s="418"/>
      <c r="G187" s="59">
        <f>SUM(G180:G186)</f>
        <v>10090500</v>
      </c>
      <c r="H187" s="513"/>
      <c r="I187" s="528"/>
      <c r="J187" s="535" t="s">
        <v>22</v>
      </c>
      <c r="K187" s="485"/>
      <c r="L187" s="485"/>
      <c r="M187" s="418"/>
      <c r="N187" s="49">
        <f>SUM(N180:N186)</f>
        <v>3287000</v>
      </c>
      <c r="O187" s="487"/>
      <c r="P187" s="213">
        <f>SUM(P180:P186)</f>
        <v>2390000</v>
      </c>
    </row>
    <row r="188" spans="1:16" s="277" customFormat="1" ht="19.95" customHeight="1" x14ac:dyDescent="0.3">
      <c r="A188" s="402" t="s">
        <v>180</v>
      </c>
      <c r="B188" s="405">
        <v>45641</v>
      </c>
      <c r="C188" s="273" t="s">
        <v>54</v>
      </c>
      <c r="D188" s="273">
        <v>2600</v>
      </c>
      <c r="E188" s="273">
        <v>1300</v>
      </c>
      <c r="F188" s="274">
        <v>2450</v>
      </c>
      <c r="G188" s="276">
        <f t="shared" ref="G188:G193" si="24">+D188*F188</f>
        <v>6370000</v>
      </c>
      <c r="H188" s="393"/>
      <c r="I188" s="526"/>
      <c r="J188" s="610" t="s">
        <v>17</v>
      </c>
      <c r="K188" s="611"/>
      <c r="L188" s="210">
        <v>18</v>
      </c>
      <c r="M188" s="211">
        <v>24000</v>
      </c>
      <c r="N188" s="212">
        <f>+L188*M188</f>
        <v>432000</v>
      </c>
      <c r="O188" s="612"/>
      <c r="P188" s="15">
        <v>0</v>
      </c>
    </row>
    <row r="189" spans="1:16" s="277" customFormat="1" ht="20.100000000000001" customHeight="1" x14ac:dyDescent="0.3">
      <c r="A189" s="403"/>
      <c r="B189" s="406"/>
      <c r="C189" s="275" t="s">
        <v>55</v>
      </c>
      <c r="D189" s="275">
        <v>2</v>
      </c>
      <c r="E189" s="275"/>
      <c r="F189" s="43">
        <v>343750</v>
      </c>
      <c r="G189" s="56">
        <f t="shared" si="24"/>
        <v>687500</v>
      </c>
      <c r="H189" s="393"/>
      <c r="I189" s="526"/>
      <c r="J189" s="610" t="s">
        <v>156</v>
      </c>
      <c r="K189" s="611"/>
      <c r="L189" s="210">
        <v>290</v>
      </c>
      <c r="M189" s="211">
        <v>9000</v>
      </c>
      <c r="N189" s="212">
        <f>290*M189</f>
        <v>2610000</v>
      </c>
      <c r="O189" s="612"/>
      <c r="P189" s="15">
        <f>+L189*M189</f>
        <v>2610000</v>
      </c>
    </row>
    <row r="190" spans="1:16" s="277" customFormat="1" ht="20.100000000000001" customHeight="1" x14ac:dyDescent="0.3">
      <c r="A190" s="403"/>
      <c r="B190" s="406"/>
      <c r="C190" s="275" t="s">
        <v>81</v>
      </c>
      <c r="D190" s="275">
        <v>1</v>
      </c>
      <c r="E190" s="275"/>
      <c r="F190" s="43">
        <v>225000</v>
      </c>
      <c r="G190" s="276">
        <f t="shared" si="24"/>
        <v>225000</v>
      </c>
      <c r="H190" s="393"/>
      <c r="I190" s="527"/>
      <c r="J190" s="610" t="s">
        <v>156</v>
      </c>
      <c r="K190" s="611"/>
      <c r="L190" s="210">
        <v>210</v>
      </c>
      <c r="M190" s="211">
        <v>9000</v>
      </c>
      <c r="N190" s="212">
        <v>0</v>
      </c>
      <c r="O190" s="612"/>
      <c r="P190" s="15">
        <v>0</v>
      </c>
    </row>
    <row r="191" spans="1:16" s="277" customFormat="1" ht="20.100000000000001" customHeight="1" x14ac:dyDescent="0.3">
      <c r="A191" s="403"/>
      <c r="B191" s="406"/>
      <c r="C191" s="275" t="s">
        <v>82</v>
      </c>
      <c r="D191" s="275">
        <v>0</v>
      </c>
      <c r="E191" s="275"/>
      <c r="F191" s="43">
        <v>91000</v>
      </c>
      <c r="G191" s="56">
        <f t="shared" si="24"/>
        <v>0</v>
      </c>
      <c r="H191" s="393"/>
      <c r="I191" s="527"/>
      <c r="J191" s="610" t="s">
        <v>157</v>
      </c>
      <c r="K191" s="611"/>
      <c r="L191" s="210">
        <v>1</v>
      </c>
      <c r="M191" s="211">
        <v>85000</v>
      </c>
      <c r="N191" s="212">
        <f>+L191*M191</f>
        <v>85000</v>
      </c>
      <c r="O191" s="612"/>
      <c r="P191" s="15">
        <v>0</v>
      </c>
    </row>
    <row r="192" spans="1:16" s="277" customFormat="1" ht="20.100000000000001" customHeight="1" x14ac:dyDescent="0.3">
      <c r="A192" s="403"/>
      <c r="B192" s="406"/>
      <c r="C192" s="275" t="s">
        <v>161</v>
      </c>
      <c r="D192" s="275">
        <v>0</v>
      </c>
      <c r="E192" s="275"/>
      <c r="F192" s="43">
        <v>105000</v>
      </c>
      <c r="G192" s="56">
        <f t="shared" si="24"/>
        <v>0</v>
      </c>
      <c r="H192" s="393"/>
      <c r="I192" s="527"/>
      <c r="J192" s="610" t="s">
        <v>158</v>
      </c>
      <c r="K192" s="611"/>
      <c r="L192" s="210">
        <v>1</v>
      </c>
      <c r="M192" s="211">
        <v>160000</v>
      </c>
      <c r="N192" s="212">
        <f>+L192*M192</f>
        <v>160000</v>
      </c>
      <c r="O192" s="612"/>
      <c r="P192" s="15">
        <f>+L192*M192</f>
        <v>160000</v>
      </c>
    </row>
    <row r="193" spans="1:16" s="277" customFormat="1" ht="20.100000000000001" customHeight="1" x14ac:dyDescent="0.3">
      <c r="A193" s="403"/>
      <c r="B193" s="406"/>
      <c r="C193" s="275" t="s">
        <v>160</v>
      </c>
      <c r="D193" s="275">
        <v>0</v>
      </c>
      <c r="E193" s="275"/>
      <c r="F193" s="43">
        <v>9000</v>
      </c>
      <c r="G193" s="56">
        <f t="shared" si="24"/>
        <v>0</v>
      </c>
      <c r="H193" s="393"/>
      <c r="I193" s="527"/>
      <c r="J193" s="610" t="s">
        <v>159</v>
      </c>
      <c r="K193" s="611"/>
      <c r="L193" s="210">
        <v>4</v>
      </c>
      <c r="M193" s="211">
        <v>125000</v>
      </c>
      <c r="N193" s="212">
        <v>0</v>
      </c>
      <c r="O193" s="375"/>
      <c r="P193" s="15">
        <f>+L193*M193</f>
        <v>500000</v>
      </c>
    </row>
    <row r="194" spans="1:16" s="277" customFormat="1" ht="19.95" customHeight="1" thickBot="1" x14ac:dyDescent="0.35">
      <c r="A194" s="404"/>
      <c r="B194" s="407"/>
      <c r="C194" s="399" t="s">
        <v>21</v>
      </c>
      <c r="D194" s="400"/>
      <c r="E194" s="400"/>
      <c r="F194" s="418"/>
      <c r="G194" s="59">
        <f>SUM(G188:G193)</f>
        <v>7282500</v>
      </c>
      <c r="H194" s="513"/>
      <c r="I194" s="528"/>
      <c r="J194" s="535" t="s">
        <v>22</v>
      </c>
      <c r="K194" s="485"/>
      <c r="L194" s="485"/>
      <c r="M194" s="418"/>
      <c r="N194" s="49">
        <f>SUM(N188:N193)</f>
        <v>3287000</v>
      </c>
      <c r="O194" s="487"/>
      <c r="P194" s="213">
        <f>SUM(P188:P193)</f>
        <v>3270000</v>
      </c>
    </row>
    <row r="195" spans="1:16" ht="15" customHeight="1" x14ac:dyDescent="0.3">
      <c r="A195" s="28"/>
      <c r="B195" s="29"/>
      <c r="C195" s="30"/>
      <c r="D195" s="31"/>
      <c r="E195" s="31"/>
      <c r="F195" s="32"/>
      <c r="G195" s="33"/>
      <c r="H195" s="34"/>
      <c r="I195" s="34"/>
      <c r="J195" s="35"/>
      <c r="K195" s="36"/>
      <c r="L195" s="36"/>
      <c r="M195" s="37"/>
      <c r="N195" s="38"/>
      <c r="O195" s="39"/>
      <c r="P195" s="39"/>
    </row>
    <row r="196" spans="1:16" ht="15.75" customHeight="1" x14ac:dyDescent="0.3"/>
    <row r="197" spans="1:16" ht="15.75" customHeight="1" x14ac:dyDescent="0.3"/>
    <row r="198" spans="1:16" ht="15.75" customHeight="1" x14ac:dyDescent="0.3"/>
    <row r="199" spans="1:16" ht="15.75" customHeight="1" x14ac:dyDescent="0.3"/>
    <row r="200" spans="1:16" ht="15.75" customHeight="1" x14ac:dyDescent="0.3"/>
    <row r="201" spans="1:16" ht="15.75" customHeight="1" x14ac:dyDescent="0.3">
      <c r="F201" s="65"/>
      <c r="G201" s="142"/>
    </row>
    <row r="202" spans="1:16" ht="15.75" customHeight="1" x14ac:dyDescent="0.3"/>
    <row r="203" spans="1:16" ht="15.75" customHeight="1" x14ac:dyDescent="0.3"/>
    <row r="204" spans="1:16" ht="15.75" customHeight="1" x14ac:dyDescent="0.3"/>
    <row r="205" spans="1:16" ht="15.75" customHeight="1" x14ac:dyDescent="0.3"/>
    <row r="206" spans="1:16" ht="15.75" customHeight="1" x14ac:dyDescent="0.3"/>
    <row r="207" spans="1:16" ht="15.75" customHeight="1" x14ac:dyDescent="0.3"/>
    <row r="208" spans="1:16" ht="15.75" customHeight="1" x14ac:dyDescent="0.3"/>
    <row r="209" spans="4:7" ht="15.75" customHeight="1" x14ac:dyDescent="0.3"/>
    <row r="210" spans="4:7" ht="15.75" customHeight="1" x14ac:dyDescent="0.3"/>
    <row r="211" spans="4:7" ht="15.75" customHeight="1" x14ac:dyDescent="0.3"/>
    <row r="212" spans="4:7" ht="15.75" customHeight="1" x14ac:dyDescent="0.3"/>
    <row r="213" spans="4:7" ht="15.75" customHeight="1" x14ac:dyDescent="0.3"/>
    <row r="214" spans="4:7" ht="15.75" customHeight="1" x14ac:dyDescent="0.3">
      <c r="D214" s="520"/>
      <c r="E214" s="520"/>
      <c r="F214" s="521"/>
      <c r="G214" s="42"/>
    </row>
    <row r="215" spans="4:7" ht="15.75" customHeight="1" x14ac:dyDescent="0.3">
      <c r="D215" s="520"/>
      <c r="E215" s="520"/>
      <c r="F215" s="521"/>
      <c r="G215" s="42"/>
    </row>
    <row r="216" spans="4:7" ht="15.75" customHeight="1" x14ac:dyDescent="0.3">
      <c r="D216" s="520"/>
      <c r="E216" s="520"/>
      <c r="F216" s="521"/>
      <c r="G216" s="42"/>
    </row>
    <row r="217" spans="4:7" ht="15.75" customHeight="1" x14ac:dyDescent="0.3">
      <c r="D217" s="520"/>
      <c r="E217" s="520"/>
      <c r="F217" s="521"/>
      <c r="G217" s="42"/>
    </row>
    <row r="218" spans="4:7" ht="15.75" customHeight="1" x14ac:dyDescent="0.3">
      <c r="D218" s="520"/>
      <c r="E218" s="520"/>
      <c r="F218" s="521"/>
      <c r="G218" s="42"/>
    </row>
    <row r="219" spans="4:7" ht="15.75" customHeight="1" x14ac:dyDescent="0.3">
      <c r="D219" s="520"/>
      <c r="E219" s="520"/>
      <c r="F219" s="521"/>
      <c r="G219" s="42"/>
    </row>
    <row r="220" spans="4:7" ht="15.75" customHeight="1" x14ac:dyDescent="0.3">
      <c r="D220" s="520"/>
      <c r="E220" s="520"/>
      <c r="F220" s="521"/>
      <c r="G220" s="42"/>
    </row>
    <row r="221" spans="4:7" ht="15.75" customHeight="1" x14ac:dyDescent="0.3">
      <c r="G221" s="42"/>
    </row>
    <row r="222" spans="4:7" ht="15.75" customHeight="1" x14ac:dyDescent="0.3"/>
    <row r="223" spans="4:7" ht="15.75" customHeight="1" x14ac:dyDescent="0.3"/>
    <row r="224" spans="4:7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mergeCells count="343">
    <mergeCell ref="O135:O142"/>
    <mergeCell ref="J136:K136"/>
    <mergeCell ref="J137:K137"/>
    <mergeCell ref="J138:K138"/>
    <mergeCell ref="J139:K139"/>
    <mergeCell ref="J140:K140"/>
    <mergeCell ref="J141:N141"/>
    <mergeCell ref="C142:F142"/>
    <mergeCell ref="J142:M142"/>
    <mergeCell ref="A143:A149"/>
    <mergeCell ref="A128:A134"/>
    <mergeCell ref="B128:B134"/>
    <mergeCell ref="H128:H134"/>
    <mergeCell ref="I128:I134"/>
    <mergeCell ref="J128:K128"/>
    <mergeCell ref="O128:O134"/>
    <mergeCell ref="J129:K129"/>
    <mergeCell ref="J130:K130"/>
    <mergeCell ref="J131:K131"/>
    <mergeCell ref="J132:K132"/>
    <mergeCell ref="J133:K133"/>
    <mergeCell ref="C134:F134"/>
    <mergeCell ref="J134:M134"/>
    <mergeCell ref="B143:B149"/>
    <mergeCell ref="H143:H149"/>
    <mergeCell ref="I143:I149"/>
    <mergeCell ref="O143:O149"/>
    <mergeCell ref="C149:F149"/>
    <mergeCell ref="J149:M149"/>
    <mergeCell ref="A135:A142"/>
    <mergeCell ref="B135:B142"/>
    <mergeCell ref="H135:H142"/>
    <mergeCell ref="I135:I142"/>
    <mergeCell ref="A121:A127"/>
    <mergeCell ref="B121:B127"/>
    <mergeCell ref="H121:H127"/>
    <mergeCell ref="I121:I127"/>
    <mergeCell ref="J121:K121"/>
    <mergeCell ref="O121:O127"/>
    <mergeCell ref="J122:K122"/>
    <mergeCell ref="J123:K123"/>
    <mergeCell ref="J124:K124"/>
    <mergeCell ref="J125:K125"/>
    <mergeCell ref="J126:K126"/>
    <mergeCell ref="C127:F127"/>
    <mergeCell ref="J127:M127"/>
    <mergeCell ref="A73:A80"/>
    <mergeCell ref="B73:B80"/>
    <mergeCell ref="H73:H80"/>
    <mergeCell ref="I73:I80"/>
    <mergeCell ref="J73:K73"/>
    <mergeCell ref="O73:O80"/>
    <mergeCell ref="J74:K74"/>
    <mergeCell ref="J76:K76"/>
    <mergeCell ref="J77:K77"/>
    <mergeCell ref="C80:F80"/>
    <mergeCell ref="J80:M80"/>
    <mergeCell ref="J75:K75"/>
    <mergeCell ref="J78:K78"/>
    <mergeCell ref="J79:N79"/>
    <mergeCell ref="A24:A31"/>
    <mergeCell ref="B24:B31"/>
    <mergeCell ref="H24:H31"/>
    <mergeCell ref="I24:I31"/>
    <mergeCell ref="J24:K24"/>
    <mergeCell ref="C31:F31"/>
    <mergeCell ref="O24:O31"/>
    <mergeCell ref="J25:K25"/>
    <mergeCell ref="J26:K26"/>
    <mergeCell ref="J27:K27"/>
    <mergeCell ref="J28:K28"/>
    <mergeCell ref="J29:K29"/>
    <mergeCell ref="J30:N30"/>
    <mergeCell ref="J31:M31"/>
    <mergeCell ref="A1:P4"/>
    <mergeCell ref="J12:K12"/>
    <mergeCell ref="J13:K13"/>
    <mergeCell ref="J14:N14"/>
    <mergeCell ref="J15:M15"/>
    <mergeCell ref="A8:A15"/>
    <mergeCell ref="B8:B15"/>
    <mergeCell ref="H8:H15"/>
    <mergeCell ref="I8:I15"/>
    <mergeCell ref="J8:K8"/>
    <mergeCell ref="J6:P6"/>
    <mergeCell ref="C6:I6"/>
    <mergeCell ref="B6:B7"/>
    <mergeCell ref="A6:A7"/>
    <mergeCell ref="P8:P15"/>
    <mergeCell ref="O8:O15"/>
    <mergeCell ref="D220:F220"/>
    <mergeCell ref="J7:K7"/>
    <mergeCell ref="D214:F214"/>
    <mergeCell ref="D215:F215"/>
    <mergeCell ref="D216:F216"/>
    <mergeCell ref="D217:F217"/>
    <mergeCell ref="D218:F218"/>
    <mergeCell ref="D219:F219"/>
    <mergeCell ref="J22:N22"/>
    <mergeCell ref="C23:F23"/>
    <mergeCell ref="J23:M23"/>
    <mergeCell ref="C15:F15"/>
    <mergeCell ref="J9:K9"/>
    <mergeCell ref="J10:K10"/>
    <mergeCell ref="J11:K11"/>
    <mergeCell ref="J58:K58"/>
    <mergeCell ref="J147:K147"/>
    <mergeCell ref="J148:K148"/>
    <mergeCell ref="J135:K135"/>
    <mergeCell ref="J143:K143"/>
    <mergeCell ref="J144:K144"/>
    <mergeCell ref="J145:K145"/>
    <mergeCell ref="J146:K146"/>
    <mergeCell ref="O16:O23"/>
    <mergeCell ref="J17:K17"/>
    <mergeCell ref="J18:K18"/>
    <mergeCell ref="J19:K19"/>
    <mergeCell ref="J20:K20"/>
    <mergeCell ref="J21:K21"/>
    <mergeCell ref="A16:A23"/>
    <mergeCell ref="B16:B23"/>
    <mergeCell ref="H16:H23"/>
    <mergeCell ref="I16:I23"/>
    <mergeCell ref="J16:K16"/>
    <mergeCell ref="O32:O39"/>
    <mergeCell ref="J33:K33"/>
    <mergeCell ref="J34:K34"/>
    <mergeCell ref="J35:K35"/>
    <mergeCell ref="J36:K36"/>
    <mergeCell ref="J37:K37"/>
    <mergeCell ref="J38:N38"/>
    <mergeCell ref="J39:M39"/>
    <mergeCell ref="A32:A39"/>
    <mergeCell ref="B32:B39"/>
    <mergeCell ref="H32:H39"/>
    <mergeCell ref="I32:I39"/>
    <mergeCell ref="J32:K32"/>
    <mergeCell ref="C39:F39"/>
    <mergeCell ref="O40:O47"/>
    <mergeCell ref="J41:K41"/>
    <mergeCell ref="J42:K42"/>
    <mergeCell ref="J43:K43"/>
    <mergeCell ref="J44:K44"/>
    <mergeCell ref="J45:K45"/>
    <mergeCell ref="J46:N46"/>
    <mergeCell ref="J47:M47"/>
    <mergeCell ref="A40:A47"/>
    <mergeCell ref="B40:B47"/>
    <mergeCell ref="H40:H47"/>
    <mergeCell ref="I40:I47"/>
    <mergeCell ref="J40:K40"/>
    <mergeCell ref="C47:F47"/>
    <mergeCell ref="O48:O55"/>
    <mergeCell ref="J49:K49"/>
    <mergeCell ref="J50:K50"/>
    <mergeCell ref="J51:K51"/>
    <mergeCell ref="J52:K52"/>
    <mergeCell ref="J53:K53"/>
    <mergeCell ref="J54:N54"/>
    <mergeCell ref="J55:M55"/>
    <mergeCell ref="A48:A55"/>
    <mergeCell ref="B48:B55"/>
    <mergeCell ref="H48:H55"/>
    <mergeCell ref="I48:I55"/>
    <mergeCell ref="J48:K48"/>
    <mergeCell ref="C55:F55"/>
    <mergeCell ref="O56:O64"/>
    <mergeCell ref="J57:K57"/>
    <mergeCell ref="J59:K59"/>
    <mergeCell ref="J60:K60"/>
    <mergeCell ref="J61:K61"/>
    <mergeCell ref="J62:K62"/>
    <mergeCell ref="J63:N63"/>
    <mergeCell ref="J64:M64"/>
    <mergeCell ref="A56:A64"/>
    <mergeCell ref="B56:B64"/>
    <mergeCell ref="H56:H64"/>
    <mergeCell ref="I56:I64"/>
    <mergeCell ref="J56:K56"/>
    <mergeCell ref="C64:F64"/>
    <mergeCell ref="O65:O72"/>
    <mergeCell ref="J66:K66"/>
    <mergeCell ref="J67:K67"/>
    <mergeCell ref="J68:K68"/>
    <mergeCell ref="J69:K69"/>
    <mergeCell ref="J70:K70"/>
    <mergeCell ref="J71:N71"/>
    <mergeCell ref="J72:M72"/>
    <mergeCell ref="A65:A72"/>
    <mergeCell ref="B65:B72"/>
    <mergeCell ref="H65:H72"/>
    <mergeCell ref="I65:I72"/>
    <mergeCell ref="J65:K65"/>
    <mergeCell ref="C72:F72"/>
    <mergeCell ref="A81:A88"/>
    <mergeCell ref="B81:B88"/>
    <mergeCell ref="H81:H88"/>
    <mergeCell ref="I81:I88"/>
    <mergeCell ref="J81:K81"/>
    <mergeCell ref="O81:O88"/>
    <mergeCell ref="J82:K82"/>
    <mergeCell ref="J83:K83"/>
    <mergeCell ref="J84:K84"/>
    <mergeCell ref="J85:K85"/>
    <mergeCell ref="J86:K86"/>
    <mergeCell ref="J87:N87"/>
    <mergeCell ref="C88:F88"/>
    <mergeCell ref="J88:M88"/>
    <mergeCell ref="A89:A96"/>
    <mergeCell ref="B89:B96"/>
    <mergeCell ref="H89:H96"/>
    <mergeCell ref="I89:I96"/>
    <mergeCell ref="J89:K89"/>
    <mergeCell ref="O89:O96"/>
    <mergeCell ref="J90:K90"/>
    <mergeCell ref="J91:K91"/>
    <mergeCell ref="J92:K92"/>
    <mergeCell ref="J93:K93"/>
    <mergeCell ref="C96:F96"/>
    <mergeCell ref="J96:M96"/>
    <mergeCell ref="J94:N95"/>
    <mergeCell ref="A97:A105"/>
    <mergeCell ref="B97:B105"/>
    <mergeCell ref="H97:H105"/>
    <mergeCell ref="I97:I105"/>
    <mergeCell ref="J97:K97"/>
    <mergeCell ref="O97:O105"/>
    <mergeCell ref="J98:K98"/>
    <mergeCell ref="J100:K100"/>
    <mergeCell ref="J101:K101"/>
    <mergeCell ref="J102:K102"/>
    <mergeCell ref="C105:F105"/>
    <mergeCell ref="J105:M105"/>
    <mergeCell ref="J103:K103"/>
    <mergeCell ref="J104:N104"/>
    <mergeCell ref="A106:A113"/>
    <mergeCell ref="B106:B113"/>
    <mergeCell ref="H106:H113"/>
    <mergeCell ref="I106:I113"/>
    <mergeCell ref="J106:K106"/>
    <mergeCell ref="O106:O113"/>
    <mergeCell ref="J107:K107"/>
    <mergeCell ref="J108:K108"/>
    <mergeCell ref="J109:K109"/>
    <mergeCell ref="J110:K110"/>
    <mergeCell ref="J111:K111"/>
    <mergeCell ref="J112:N112"/>
    <mergeCell ref="C113:F113"/>
    <mergeCell ref="J113:M113"/>
    <mergeCell ref="A114:A120"/>
    <mergeCell ref="B114:B120"/>
    <mergeCell ref="H114:H120"/>
    <mergeCell ref="I114:I120"/>
    <mergeCell ref="J114:K114"/>
    <mergeCell ref="O114:O120"/>
    <mergeCell ref="J115:K115"/>
    <mergeCell ref="J116:K116"/>
    <mergeCell ref="J117:K117"/>
    <mergeCell ref="J118:K118"/>
    <mergeCell ref="C120:F120"/>
    <mergeCell ref="J120:M120"/>
    <mergeCell ref="J119:K119"/>
    <mergeCell ref="A150:A157"/>
    <mergeCell ref="B150:B157"/>
    <mergeCell ref="H150:H157"/>
    <mergeCell ref="I150:I157"/>
    <mergeCell ref="J150:K150"/>
    <mergeCell ref="O150:O157"/>
    <mergeCell ref="J151:K151"/>
    <mergeCell ref="J152:K152"/>
    <mergeCell ref="J153:K153"/>
    <mergeCell ref="J154:K154"/>
    <mergeCell ref="J155:K155"/>
    <mergeCell ref="J156:N156"/>
    <mergeCell ref="C157:F157"/>
    <mergeCell ref="J157:M157"/>
    <mergeCell ref="A158:A164"/>
    <mergeCell ref="B158:B164"/>
    <mergeCell ref="H158:H164"/>
    <mergeCell ref="I158:I164"/>
    <mergeCell ref="J158:K158"/>
    <mergeCell ref="O158:O164"/>
    <mergeCell ref="J159:K159"/>
    <mergeCell ref="J160:K160"/>
    <mergeCell ref="J161:K161"/>
    <mergeCell ref="J162:K162"/>
    <mergeCell ref="J163:K163"/>
    <mergeCell ref="C164:F164"/>
    <mergeCell ref="J164:M164"/>
    <mergeCell ref="A165:A172"/>
    <mergeCell ref="B165:B172"/>
    <mergeCell ref="H165:H172"/>
    <mergeCell ref="I165:I172"/>
    <mergeCell ref="J165:K165"/>
    <mergeCell ref="O165:O172"/>
    <mergeCell ref="J166:K166"/>
    <mergeCell ref="J167:K167"/>
    <mergeCell ref="J168:K168"/>
    <mergeCell ref="J169:K169"/>
    <mergeCell ref="J170:K170"/>
    <mergeCell ref="J171:N171"/>
    <mergeCell ref="C172:F172"/>
    <mergeCell ref="J172:M172"/>
    <mergeCell ref="A173:A179"/>
    <mergeCell ref="B173:B179"/>
    <mergeCell ref="H173:H179"/>
    <mergeCell ref="I173:I179"/>
    <mergeCell ref="J173:K173"/>
    <mergeCell ref="O173:O179"/>
    <mergeCell ref="J174:K174"/>
    <mergeCell ref="J175:K175"/>
    <mergeCell ref="J176:K176"/>
    <mergeCell ref="J177:K177"/>
    <mergeCell ref="J178:K178"/>
    <mergeCell ref="C179:F179"/>
    <mergeCell ref="J179:M179"/>
    <mergeCell ref="A180:A187"/>
    <mergeCell ref="B180:B187"/>
    <mergeCell ref="H180:H187"/>
    <mergeCell ref="I180:I187"/>
    <mergeCell ref="J180:K180"/>
    <mergeCell ref="O180:O187"/>
    <mergeCell ref="J181:K181"/>
    <mergeCell ref="J182:K182"/>
    <mergeCell ref="J183:K183"/>
    <mergeCell ref="J184:K184"/>
    <mergeCell ref="J185:K185"/>
    <mergeCell ref="J186:N186"/>
    <mergeCell ref="C187:F187"/>
    <mergeCell ref="J187:M187"/>
    <mergeCell ref="A188:A194"/>
    <mergeCell ref="B188:B194"/>
    <mergeCell ref="H188:H194"/>
    <mergeCell ref="I188:I194"/>
    <mergeCell ref="J188:K188"/>
    <mergeCell ref="O188:O194"/>
    <mergeCell ref="J189:K189"/>
    <mergeCell ref="J190:K190"/>
    <mergeCell ref="J191:K191"/>
    <mergeCell ref="J192:K192"/>
    <mergeCell ref="J193:K193"/>
    <mergeCell ref="C194:F194"/>
    <mergeCell ref="J194:M194"/>
  </mergeCells>
  <pageMargins left="0.11811023622047245" right="0.11811023622047245" top="0.15748031496062992" bottom="0.15748031496062992" header="0" footer="0"/>
  <pageSetup scale="62" orientation="landscape" r:id="rId1"/>
  <ignoredErrors>
    <ignoredError sqref="G2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61"/>
  <sheetViews>
    <sheetView topLeftCell="A290" zoomScale="90" zoomScaleNormal="90" workbookViewId="0">
      <selection activeCell="C298" activeCellId="4" sqref="C291 C292 C293 C296 C298"/>
    </sheetView>
  </sheetViews>
  <sheetFormatPr baseColWidth="10" defaultColWidth="14.44140625" defaultRowHeight="15" customHeight="1" x14ac:dyDescent="0.3"/>
  <cols>
    <col min="1" max="1" width="14.6640625" style="278" customWidth="1"/>
    <col min="2" max="2" width="31" style="278" customWidth="1"/>
    <col min="3" max="3" width="20.6640625" style="278" customWidth="1"/>
    <col min="4" max="5" width="15.6640625" style="278" customWidth="1"/>
    <col min="6" max="6" width="20.6640625" style="278" customWidth="1"/>
    <col min="7" max="7" width="25.44140625" style="278" bestFit="1" customWidth="1"/>
    <col min="8" max="8" width="20.6640625" style="278" customWidth="1"/>
    <col min="9" max="9" width="2.5546875" style="278" customWidth="1"/>
    <col min="10" max="10" width="10.6640625" style="278" customWidth="1"/>
    <col min="11" max="11" width="13.77734375" style="278" bestFit="1" customWidth="1"/>
    <col min="12" max="19" width="10.6640625" style="278" customWidth="1"/>
    <col min="20" max="16384" width="14.44140625" style="278"/>
  </cols>
  <sheetData>
    <row r="1" spans="1:8" ht="15" customHeight="1" x14ac:dyDescent="0.3">
      <c r="A1" s="569" t="s">
        <v>138</v>
      </c>
      <c r="B1" s="570"/>
      <c r="C1" s="570"/>
      <c r="D1" s="570"/>
      <c r="E1" s="570"/>
      <c r="F1" s="570"/>
      <c r="G1" s="570"/>
      <c r="H1" s="571"/>
    </row>
    <row r="2" spans="1:8" ht="15" customHeight="1" x14ac:dyDescent="0.3">
      <c r="A2" s="572"/>
      <c r="B2" s="573"/>
      <c r="C2" s="573"/>
      <c r="D2" s="573"/>
      <c r="E2" s="573"/>
      <c r="F2" s="573"/>
      <c r="G2" s="573"/>
      <c r="H2" s="574"/>
    </row>
    <row r="3" spans="1:8" ht="15" customHeight="1" thickBot="1" x14ac:dyDescent="0.35">
      <c r="A3" s="575"/>
      <c r="B3" s="576"/>
      <c r="C3" s="576"/>
      <c r="D3" s="576"/>
      <c r="E3" s="576"/>
      <c r="F3" s="576"/>
      <c r="G3" s="576"/>
      <c r="H3" s="577"/>
    </row>
    <row r="4" spans="1:8" ht="15.6" customHeight="1" thickBot="1" x14ac:dyDescent="0.35">
      <c r="A4" s="578"/>
      <c r="B4" s="579"/>
      <c r="C4" s="579"/>
      <c r="D4" s="579"/>
      <c r="E4" s="579"/>
      <c r="F4" s="579"/>
      <c r="G4" s="579"/>
      <c r="H4" s="580"/>
    </row>
    <row r="5" spans="1:8" s="111" customFormat="1" ht="15.6" customHeight="1" thickBot="1" x14ac:dyDescent="0.35">
      <c r="A5" s="134" t="s">
        <v>91</v>
      </c>
      <c r="B5" s="135" t="s">
        <v>3</v>
      </c>
      <c r="C5" s="135" t="s">
        <v>4</v>
      </c>
      <c r="D5" s="581" t="s">
        <v>7</v>
      </c>
      <c r="E5" s="582"/>
      <c r="F5" s="135" t="s">
        <v>114</v>
      </c>
      <c r="G5" s="135" t="s">
        <v>92</v>
      </c>
      <c r="H5" s="136" t="s">
        <v>93</v>
      </c>
    </row>
    <row r="6" spans="1:8" ht="14.4" x14ac:dyDescent="0.3">
      <c r="A6" s="403">
        <v>1</v>
      </c>
      <c r="B6" s="402" t="s">
        <v>139</v>
      </c>
      <c r="C6" s="405">
        <v>45317</v>
      </c>
      <c r="D6" s="634" t="s">
        <v>94</v>
      </c>
      <c r="E6" s="635"/>
      <c r="F6" s="190">
        <v>290</v>
      </c>
      <c r="G6" s="191">
        <v>400</v>
      </c>
      <c r="H6" s="192">
        <f t="shared" ref="H6:H15" si="0">+F6*G6</f>
        <v>116000</v>
      </c>
    </row>
    <row r="7" spans="1:8" ht="14.4" x14ac:dyDescent="0.3">
      <c r="A7" s="403"/>
      <c r="B7" s="403"/>
      <c r="C7" s="406"/>
      <c r="D7" s="634" t="s">
        <v>96</v>
      </c>
      <c r="E7" s="635"/>
      <c r="F7" s="190">
        <v>1</v>
      </c>
      <c r="G7" s="191">
        <v>10000</v>
      </c>
      <c r="H7" s="192">
        <f t="shared" si="0"/>
        <v>10000</v>
      </c>
    </row>
    <row r="8" spans="1:8" ht="14.4" x14ac:dyDescent="0.3">
      <c r="A8" s="403"/>
      <c r="B8" s="403"/>
      <c r="C8" s="406"/>
      <c r="D8" s="634" t="s">
        <v>97</v>
      </c>
      <c r="E8" s="635"/>
      <c r="F8" s="190">
        <v>1</v>
      </c>
      <c r="G8" s="191">
        <v>20000</v>
      </c>
      <c r="H8" s="192">
        <f t="shared" si="0"/>
        <v>20000</v>
      </c>
    </row>
    <row r="9" spans="1:8" ht="14.4" x14ac:dyDescent="0.3">
      <c r="A9" s="403"/>
      <c r="B9" s="403"/>
      <c r="C9" s="406"/>
      <c r="D9" s="567" t="s">
        <v>95</v>
      </c>
      <c r="E9" s="568" t="s">
        <v>54</v>
      </c>
      <c r="F9" s="112">
        <v>2000</v>
      </c>
      <c r="G9" s="113">
        <v>90</v>
      </c>
      <c r="H9" s="114">
        <f t="shared" si="0"/>
        <v>180000</v>
      </c>
    </row>
    <row r="10" spans="1:8" ht="14.4" x14ac:dyDescent="0.3">
      <c r="A10" s="403"/>
      <c r="B10" s="403"/>
      <c r="C10" s="406"/>
      <c r="D10" s="567" t="s">
        <v>135</v>
      </c>
      <c r="E10" s="568" t="s">
        <v>54</v>
      </c>
      <c r="F10" s="112">
        <v>600</v>
      </c>
      <c r="G10" s="113">
        <v>90</v>
      </c>
      <c r="H10" s="114">
        <f t="shared" si="0"/>
        <v>54000</v>
      </c>
    </row>
    <row r="11" spans="1:8" ht="14.4" x14ac:dyDescent="0.3">
      <c r="A11" s="403"/>
      <c r="B11" s="403"/>
      <c r="C11" s="406"/>
      <c r="D11" s="567" t="s">
        <v>98</v>
      </c>
      <c r="E11" s="568" t="s">
        <v>55</v>
      </c>
      <c r="F11" s="112">
        <v>2</v>
      </c>
      <c r="G11" s="113">
        <v>35000</v>
      </c>
      <c r="H11" s="114">
        <f t="shared" si="0"/>
        <v>70000</v>
      </c>
    </row>
    <row r="12" spans="1:8" ht="14.4" x14ac:dyDescent="0.3">
      <c r="A12" s="403"/>
      <c r="B12" s="403"/>
      <c r="C12" s="406"/>
      <c r="D12" s="567" t="s">
        <v>99</v>
      </c>
      <c r="E12" s="568" t="s">
        <v>81</v>
      </c>
      <c r="F12" s="112">
        <v>1</v>
      </c>
      <c r="G12" s="113">
        <v>20000</v>
      </c>
      <c r="H12" s="114">
        <f t="shared" si="0"/>
        <v>20000</v>
      </c>
    </row>
    <row r="13" spans="1:8" ht="14.4" x14ac:dyDescent="0.3">
      <c r="A13" s="403"/>
      <c r="B13" s="403"/>
      <c r="C13" s="406"/>
      <c r="D13" s="567" t="s">
        <v>115</v>
      </c>
      <c r="E13" s="568" t="s">
        <v>82</v>
      </c>
      <c r="F13" s="112">
        <v>0</v>
      </c>
      <c r="G13" s="113">
        <v>14000</v>
      </c>
      <c r="H13" s="114">
        <f t="shared" si="0"/>
        <v>0</v>
      </c>
    </row>
    <row r="14" spans="1:8" ht="14.4" x14ac:dyDescent="0.3">
      <c r="A14" s="403"/>
      <c r="B14" s="403"/>
      <c r="C14" s="406"/>
      <c r="D14" s="634" t="s">
        <v>133</v>
      </c>
      <c r="E14" s="635" t="s">
        <v>82</v>
      </c>
      <c r="F14" s="190">
        <v>0</v>
      </c>
      <c r="G14" s="193">
        <v>12500</v>
      </c>
      <c r="H14" s="192">
        <f t="shared" si="0"/>
        <v>0</v>
      </c>
    </row>
    <row r="15" spans="1:8" ht="14.4" x14ac:dyDescent="0.3">
      <c r="A15" s="403"/>
      <c r="B15" s="403"/>
      <c r="C15" s="406"/>
      <c r="D15" s="634" t="s">
        <v>50</v>
      </c>
      <c r="E15" s="635"/>
      <c r="F15" s="190">
        <v>0</v>
      </c>
      <c r="G15" s="193">
        <v>250000</v>
      </c>
      <c r="H15" s="192">
        <f t="shared" si="0"/>
        <v>0</v>
      </c>
    </row>
    <row r="16" spans="1:8" thickBot="1" x14ac:dyDescent="0.35">
      <c r="A16" s="404"/>
      <c r="B16" s="404"/>
      <c r="C16" s="407"/>
      <c r="D16" s="535" t="s">
        <v>22</v>
      </c>
      <c r="E16" s="485"/>
      <c r="F16" s="485"/>
      <c r="G16" s="418"/>
      <c r="H16" s="115">
        <f>SUM(H6:H15)</f>
        <v>470000</v>
      </c>
    </row>
    <row r="17" spans="1:8" ht="14.4" x14ac:dyDescent="0.3">
      <c r="A17" s="403">
        <v>2</v>
      </c>
      <c r="B17" s="402" t="s">
        <v>28</v>
      </c>
      <c r="C17" s="405">
        <v>45325</v>
      </c>
      <c r="D17" s="634" t="s">
        <v>94</v>
      </c>
      <c r="E17" s="635"/>
      <c r="F17" s="190">
        <v>290</v>
      </c>
      <c r="G17" s="191">
        <v>400</v>
      </c>
      <c r="H17" s="192">
        <f t="shared" ref="H17:H26" si="1">+F17*G17</f>
        <v>116000</v>
      </c>
    </row>
    <row r="18" spans="1:8" ht="14.4" x14ac:dyDescent="0.3">
      <c r="A18" s="403"/>
      <c r="B18" s="403"/>
      <c r="C18" s="406"/>
      <c r="D18" s="634" t="s">
        <v>96</v>
      </c>
      <c r="E18" s="635"/>
      <c r="F18" s="190">
        <v>1</v>
      </c>
      <c r="G18" s="191">
        <v>10000</v>
      </c>
      <c r="H18" s="192">
        <f t="shared" si="1"/>
        <v>10000</v>
      </c>
    </row>
    <row r="19" spans="1:8" ht="14.4" x14ac:dyDescent="0.3">
      <c r="A19" s="403"/>
      <c r="B19" s="403"/>
      <c r="C19" s="406"/>
      <c r="D19" s="634" t="s">
        <v>97</v>
      </c>
      <c r="E19" s="635"/>
      <c r="F19" s="190">
        <v>1</v>
      </c>
      <c r="G19" s="191">
        <v>20000</v>
      </c>
      <c r="H19" s="192">
        <f t="shared" si="1"/>
        <v>20000</v>
      </c>
    </row>
    <row r="20" spans="1:8" ht="14.4" x14ac:dyDescent="0.3">
      <c r="A20" s="403"/>
      <c r="B20" s="403"/>
      <c r="C20" s="406"/>
      <c r="D20" s="567" t="s">
        <v>95</v>
      </c>
      <c r="E20" s="568" t="s">
        <v>54</v>
      </c>
      <c r="F20" s="112">
        <v>2000</v>
      </c>
      <c r="G20" s="113">
        <v>90</v>
      </c>
      <c r="H20" s="114">
        <f t="shared" si="1"/>
        <v>180000</v>
      </c>
    </row>
    <row r="21" spans="1:8" ht="14.4" x14ac:dyDescent="0.3">
      <c r="A21" s="403"/>
      <c r="B21" s="403"/>
      <c r="C21" s="406"/>
      <c r="D21" s="567" t="s">
        <v>135</v>
      </c>
      <c r="E21" s="568" t="s">
        <v>54</v>
      </c>
      <c r="F21" s="112">
        <v>600</v>
      </c>
      <c r="G21" s="113">
        <v>90</v>
      </c>
      <c r="H21" s="114">
        <f t="shared" si="1"/>
        <v>54000</v>
      </c>
    </row>
    <row r="22" spans="1:8" ht="14.4" x14ac:dyDescent="0.3">
      <c r="A22" s="403"/>
      <c r="B22" s="403"/>
      <c r="C22" s="406"/>
      <c r="D22" s="567" t="s">
        <v>98</v>
      </c>
      <c r="E22" s="568" t="s">
        <v>55</v>
      </c>
      <c r="F22" s="112">
        <v>2</v>
      </c>
      <c r="G22" s="113">
        <v>35000</v>
      </c>
      <c r="H22" s="114">
        <f t="shared" si="1"/>
        <v>70000</v>
      </c>
    </row>
    <row r="23" spans="1:8" ht="14.4" x14ac:dyDescent="0.3">
      <c r="A23" s="403"/>
      <c r="B23" s="403"/>
      <c r="C23" s="406"/>
      <c r="D23" s="567" t="s">
        <v>99</v>
      </c>
      <c r="E23" s="568" t="s">
        <v>81</v>
      </c>
      <c r="F23" s="112">
        <v>1</v>
      </c>
      <c r="G23" s="113">
        <v>20000</v>
      </c>
      <c r="H23" s="114">
        <f t="shared" si="1"/>
        <v>20000</v>
      </c>
    </row>
    <row r="24" spans="1:8" ht="14.4" x14ac:dyDescent="0.3">
      <c r="A24" s="403"/>
      <c r="B24" s="403"/>
      <c r="C24" s="406"/>
      <c r="D24" s="567" t="s">
        <v>115</v>
      </c>
      <c r="E24" s="568" t="s">
        <v>82</v>
      </c>
      <c r="F24" s="112">
        <v>0</v>
      </c>
      <c r="G24" s="113">
        <v>14000</v>
      </c>
      <c r="H24" s="114">
        <f t="shared" si="1"/>
        <v>0</v>
      </c>
    </row>
    <row r="25" spans="1:8" ht="14.4" x14ac:dyDescent="0.3">
      <c r="A25" s="403"/>
      <c r="B25" s="403"/>
      <c r="C25" s="406"/>
      <c r="D25" s="634" t="s">
        <v>133</v>
      </c>
      <c r="E25" s="635" t="s">
        <v>82</v>
      </c>
      <c r="F25" s="190">
        <v>2</v>
      </c>
      <c r="G25" s="193">
        <v>12500</v>
      </c>
      <c r="H25" s="192">
        <f t="shared" si="1"/>
        <v>25000</v>
      </c>
    </row>
    <row r="26" spans="1:8" ht="14.4" x14ac:dyDescent="0.3">
      <c r="A26" s="403"/>
      <c r="B26" s="403"/>
      <c r="C26" s="406"/>
      <c r="D26" s="634" t="s">
        <v>50</v>
      </c>
      <c r="E26" s="635"/>
      <c r="F26" s="190">
        <v>0</v>
      </c>
      <c r="G26" s="193">
        <v>250000</v>
      </c>
      <c r="H26" s="192">
        <f t="shared" si="1"/>
        <v>0</v>
      </c>
    </row>
    <row r="27" spans="1:8" thickBot="1" x14ac:dyDescent="0.35">
      <c r="A27" s="404"/>
      <c r="B27" s="404"/>
      <c r="C27" s="407"/>
      <c r="D27" s="535" t="s">
        <v>22</v>
      </c>
      <c r="E27" s="485"/>
      <c r="F27" s="485"/>
      <c r="G27" s="418"/>
      <c r="H27" s="115">
        <f>SUM(H17:H26)</f>
        <v>495000</v>
      </c>
    </row>
    <row r="28" spans="1:8" ht="14.4" x14ac:dyDescent="0.3">
      <c r="A28" s="403">
        <v>3</v>
      </c>
      <c r="B28" s="402" t="s">
        <v>149</v>
      </c>
      <c r="C28" s="405">
        <v>45337</v>
      </c>
      <c r="D28" s="634" t="s">
        <v>94</v>
      </c>
      <c r="E28" s="635"/>
      <c r="F28" s="190">
        <v>290</v>
      </c>
      <c r="G28" s="191">
        <v>400</v>
      </c>
      <c r="H28" s="192">
        <f t="shared" ref="H28:H37" si="2">+F28*G28</f>
        <v>116000</v>
      </c>
    </row>
    <row r="29" spans="1:8" ht="14.4" x14ac:dyDescent="0.3">
      <c r="A29" s="403"/>
      <c r="B29" s="403"/>
      <c r="C29" s="406"/>
      <c r="D29" s="634" t="s">
        <v>96</v>
      </c>
      <c r="E29" s="635"/>
      <c r="F29" s="190">
        <v>1</v>
      </c>
      <c r="G29" s="191">
        <v>10000</v>
      </c>
      <c r="H29" s="192">
        <f t="shared" si="2"/>
        <v>10000</v>
      </c>
    </row>
    <row r="30" spans="1:8" ht="14.4" x14ac:dyDescent="0.3">
      <c r="A30" s="403"/>
      <c r="B30" s="403"/>
      <c r="C30" s="406"/>
      <c r="D30" s="634" t="s">
        <v>97</v>
      </c>
      <c r="E30" s="635"/>
      <c r="F30" s="190">
        <v>1</v>
      </c>
      <c r="G30" s="191">
        <v>20000</v>
      </c>
      <c r="H30" s="192">
        <f t="shared" si="2"/>
        <v>20000</v>
      </c>
    </row>
    <row r="31" spans="1:8" ht="14.4" x14ac:dyDescent="0.3">
      <c r="A31" s="403"/>
      <c r="B31" s="403"/>
      <c r="C31" s="406"/>
      <c r="D31" s="567" t="s">
        <v>95</v>
      </c>
      <c r="E31" s="568" t="s">
        <v>54</v>
      </c>
      <c r="F31" s="112">
        <v>2000</v>
      </c>
      <c r="G31" s="113">
        <v>90</v>
      </c>
      <c r="H31" s="114">
        <f t="shared" si="2"/>
        <v>180000</v>
      </c>
    </row>
    <row r="32" spans="1:8" ht="14.4" x14ac:dyDescent="0.3">
      <c r="A32" s="403"/>
      <c r="B32" s="403"/>
      <c r="C32" s="406"/>
      <c r="D32" s="567" t="s">
        <v>135</v>
      </c>
      <c r="E32" s="568" t="s">
        <v>54</v>
      </c>
      <c r="F32" s="112">
        <v>0</v>
      </c>
      <c r="G32" s="113">
        <v>90</v>
      </c>
      <c r="H32" s="114">
        <f t="shared" si="2"/>
        <v>0</v>
      </c>
    </row>
    <row r="33" spans="1:8" ht="14.4" x14ac:dyDescent="0.3">
      <c r="A33" s="403"/>
      <c r="B33" s="403"/>
      <c r="C33" s="406"/>
      <c r="D33" s="567" t="s">
        <v>98</v>
      </c>
      <c r="E33" s="568" t="s">
        <v>55</v>
      </c>
      <c r="F33" s="112">
        <v>2</v>
      </c>
      <c r="G33" s="113">
        <v>35000</v>
      </c>
      <c r="H33" s="114">
        <f t="shared" si="2"/>
        <v>70000</v>
      </c>
    </row>
    <row r="34" spans="1:8" ht="14.4" x14ac:dyDescent="0.3">
      <c r="A34" s="403"/>
      <c r="B34" s="403"/>
      <c r="C34" s="406"/>
      <c r="D34" s="567" t="s">
        <v>99</v>
      </c>
      <c r="E34" s="568" t="s">
        <v>81</v>
      </c>
      <c r="F34" s="112">
        <v>1</v>
      </c>
      <c r="G34" s="113">
        <v>20000</v>
      </c>
      <c r="H34" s="114">
        <f t="shared" si="2"/>
        <v>20000</v>
      </c>
    </row>
    <row r="35" spans="1:8" ht="14.4" x14ac:dyDescent="0.3">
      <c r="A35" s="403"/>
      <c r="B35" s="403"/>
      <c r="C35" s="406"/>
      <c r="D35" s="567" t="s">
        <v>115</v>
      </c>
      <c r="E35" s="568" t="s">
        <v>82</v>
      </c>
      <c r="F35" s="112">
        <v>0</v>
      </c>
      <c r="G35" s="113">
        <v>14000</v>
      </c>
      <c r="H35" s="114">
        <f t="shared" si="2"/>
        <v>0</v>
      </c>
    </row>
    <row r="36" spans="1:8" ht="14.4" x14ac:dyDescent="0.3">
      <c r="A36" s="403"/>
      <c r="B36" s="403"/>
      <c r="C36" s="406"/>
      <c r="D36" s="634" t="s">
        <v>133</v>
      </c>
      <c r="E36" s="635" t="s">
        <v>82</v>
      </c>
      <c r="F36" s="190">
        <v>2</v>
      </c>
      <c r="G36" s="193">
        <v>12500</v>
      </c>
      <c r="H36" s="192">
        <f t="shared" si="2"/>
        <v>25000</v>
      </c>
    </row>
    <row r="37" spans="1:8" ht="14.4" x14ac:dyDescent="0.3">
      <c r="A37" s="403"/>
      <c r="B37" s="403"/>
      <c r="C37" s="406"/>
      <c r="D37" s="634" t="s">
        <v>50</v>
      </c>
      <c r="E37" s="635"/>
      <c r="F37" s="190">
        <v>0</v>
      </c>
      <c r="G37" s="193">
        <v>250000</v>
      </c>
      <c r="H37" s="192">
        <f t="shared" si="2"/>
        <v>0</v>
      </c>
    </row>
    <row r="38" spans="1:8" thickBot="1" x14ac:dyDescent="0.35">
      <c r="A38" s="404"/>
      <c r="B38" s="404"/>
      <c r="C38" s="407"/>
      <c r="D38" s="535" t="s">
        <v>22</v>
      </c>
      <c r="E38" s="485"/>
      <c r="F38" s="485"/>
      <c r="G38" s="418"/>
      <c r="H38" s="115">
        <f>SUM(H28:H37)</f>
        <v>441000</v>
      </c>
    </row>
    <row r="39" spans="1:8" ht="14.4" x14ac:dyDescent="0.3">
      <c r="A39" s="403">
        <v>4</v>
      </c>
      <c r="B39" s="402" t="s">
        <v>30</v>
      </c>
      <c r="C39" s="405">
        <v>45353</v>
      </c>
      <c r="D39" s="634" t="s">
        <v>94</v>
      </c>
      <c r="E39" s="635"/>
      <c r="F39" s="190">
        <v>460</v>
      </c>
      <c r="G39" s="191">
        <v>400</v>
      </c>
      <c r="H39" s="192">
        <f t="shared" ref="H39:H48" si="3">+F39*G39</f>
        <v>184000</v>
      </c>
    </row>
    <row r="40" spans="1:8" ht="14.4" x14ac:dyDescent="0.3">
      <c r="A40" s="403"/>
      <c r="B40" s="403"/>
      <c r="C40" s="406"/>
      <c r="D40" s="634" t="s">
        <v>96</v>
      </c>
      <c r="E40" s="635"/>
      <c r="F40" s="190">
        <v>1</v>
      </c>
      <c r="G40" s="191">
        <v>10000</v>
      </c>
      <c r="H40" s="192">
        <f t="shared" si="3"/>
        <v>10000</v>
      </c>
    </row>
    <row r="41" spans="1:8" ht="14.4" x14ac:dyDescent="0.3">
      <c r="A41" s="403"/>
      <c r="B41" s="403"/>
      <c r="C41" s="406"/>
      <c r="D41" s="634" t="s">
        <v>97</v>
      </c>
      <c r="E41" s="635"/>
      <c r="F41" s="190">
        <v>1</v>
      </c>
      <c r="G41" s="191">
        <v>20000</v>
      </c>
      <c r="H41" s="192">
        <f t="shared" si="3"/>
        <v>20000</v>
      </c>
    </row>
    <row r="42" spans="1:8" ht="14.4" x14ac:dyDescent="0.3">
      <c r="A42" s="403"/>
      <c r="B42" s="403"/>
      <c r="C42" s="406"/>
      <c r="D42" s="567" t="s">
        <v>95</v>
      </c>
      <c r="E42" s="568" t="s">
        <v>54</v>
      </c>
      <c r="F42" s="112">
        <v>2500</v>
      </c>
      <c r="G42" s="113">
        <v>90</v>
      </c>
      <c r="H42" s="114">
        <f t="shared" si="3"/>
        <v>225000</v>
      </c>
    </row>
    <row r="43" spans="1:8" ht="14.4" x14ac:dyDescent="0.3">
      <c r="A43" s="403"/>
      <c r="B43" s="403"/>
      <c r="C43" s="406"/>
      <c r="D43" s="567" t="s">
        <v>135</v>
      </c>
      <c r="E43" s="568" t="s">
        <v>54</v>
      </c>
      <c r="F43" s="112">
        <v>600</v>
      </c>
      <c r="G43" s="113">
        <v>90</v>
      </c>
      <c r="H43" s="114">
        <f t="shared" si="3"/>
        <v>54000</v>
      </c>
    </row>
    <row r="44" spans="1:8" ht="14.4" x14ac:dyDescent="0.3">
      <c r="A44" s="403"/>
      <c r="B44" s="403"/>
      <c r="C44" s="406"/>
      <c r="D44" s="567" t="s">
        <v>98</v>
      </c>
      <c r="E44" s="568" t="s">
        <v>55</v>
      </c>
      <c r="F44" s="112">
        <v>2</v>
      </c>
      <c r="G44" s="113">
        <v>35000</v>
      </c>
      <c r="H44" s="114">
        <f t="shared" si="3"/>
        <v>70000</v>
      </c>
    </row>
    <row r="45" spans="1:8" ht="14.4" x14ac:dyDescent="0.3">
      <c r="A45" s="403"/>
      <c r="B45" s="403"/>
      <c r="C45" s="406"/>
      <c r="D45" s="567" t="s">
        <v>99</v>
      </c>
      <c r="E45" s="568" t="s">
        <v>81</v>
      </c>
      <c r="F45" s="112">
        <v>0</v>
      </c>
      <c r="G45" s="113">
        <v>20000</v>
      </c>
      <c r="H45" s="114">
        <f t="shared" si="3"/>
        <v>0</v>
      </c>
    </row>
    <row r="46" spans="1:8" ht="14.4" x14ac:dyDescent="0.3">
      <c r="A46" s="403"/>
      <c r="B46" s="403"/>
      <c r="C46" s="406"/>
      <c r="D46" s="567" t="s">
        <v>115</v>
      </c>
      <c r="E46" s="568" t="s">
        <v>82</v>
      </c>
      <c r="F46" s="112">
        <v>0</v>
      </c>
      <c r="G46" s="113">
        <v>14000</v>
      </c>
      <c r="H46" s="114">
        <f t="shared" si="3"/>
        <v>0</v>
      </c>
    </row>
    <row r="47" spans="1:8" ht="14.4" x14ac:dyDescent="0.3">
      <c r="A47" s="403"/>
      <c r="B47" s="403"/>
      <c r="C47" s="406"/>
      <c r="D47" s="634" t="s">
        <v>133</v>
      </c>
      <c r="E47" s="635" t="s">
        <v>82</v>
      </c>
      <c r="F47" s="190">
        <v>2</v>
      </c>
      <c r="G47" s="193">
        <v>12500</v>
      </c>
      <c r="H47" s="192">
        <f t="shared" si="3"/>
        <v>25000</v>
      </c>
    </row>
    <row r="48" spans="1:8" ht="14.4" x14ac:dyDescent="0.3">
      <c r="A48" s="403"/>
      <c r="B48" s="403"/>
      <c r="C48" s="406"/>
      <c r="D48" s="634" t="s">
        <v>50</v>
      </c>
      <c r="E48" s="635"/>
      <c r="F48" s="190">
        <v>0</v>
      </c>
      <c r="G48" s="193">
        <v>250000</v>
      </c>
      <c r="H48" s="192">
        <f t="shared" si="3"/>
        <v>0</v>
      </c>
    </row>
    <row r="49" spans="1:8" thickBot="1" x14ac:dyDescent="0.35">
      <c r="A49" s="404"/>
      <c r="B49" s="404"/>
      <c r="C49" s="407"/>
      <c r="D49" s="535" t="s">
        <v>22</v>
      </c>
      <c r="E49" s="485"/>
      <c r="F49" s="485"/>
      <c r="G49" s="418"/>
      <c r="H49" s="115">
        <f>SUM(H39:H48)</f>
        <v>588000</v>
      </c>
    </row>
    <row r="50" spans="1:8" ht="14.4" x14ac:dyDescent="0.3">
      <c r="A50" s="403">
        <v>5</v>
      </c>
      <c r="B50" s="402" t="s">
        <v>150</v>
      </c>
      <c r="C50" s="405">
        <v>45361</v>
      </c>
      <c r="D50" s="634" t="s">
        <v>94</v>
      </c>
      <c r="E50" s="635"/>
      <c r="F50" s="190">
        <v>290</v>
      </c>
      <c r="G50" s="191">
        <v>400</v>
      </c>
      <c r="H50" s="192">
        <f t="shared" ref="H50:H59" si="4">+F50*G50</f>
        <v>116000</v>
      </c>
    </row>
    <row r="51" spans="1:8" ht="14.4" x14ac:dyDescent="0.3">
      <c r="A51" s="403"/>
      <c r="B51" s="403"/>
      <c r="C51" s="406"/>
      <c r="D51" s="634" t="s">
        <v>96</v>
      </c>
      <c r="E51" s="635"/>
      <c r="F51" s="190">
        <v>1</v>
      </c>
      <c r="G51" s="191">
        <v>10000</v>
      </c>
      <c r="H51" s="192">
        <f t="shared" si="4"/>
        <v>10000</v>
      </c>
    </row>
    <row r="52" spans="1:8" ht="14.4" x14ac:dyDescent="0.3">
      <c r="A52" s="403"/>
      <c r="B52" s="403"/>
      <c r="C52" s="406"/>
      <c r="D52" s="634" t="s">
        <v>97</v>
      </c>
      <c r="E52" s="635"/>
      <c r="F52" s="190">
        <v>1</v>
      </c>
      <c r="G52" s="191">
        <v>20000</v>
      </c>
      <c r="H52" s="192">
        <f t="shared" si="4"/>
        <v>20000</v>
      </c>
    </row>
    <row r="53" spans="1:8" ht="14.4" x14ac:dyDescent="0.3">
      <c r="A53" s="403"/>
      <c r="B53" s="403"/>
      <c r="C53" s="406"/>
      <c r="D53" s="567" t="s">
        <v>95</v>
      </c>
      <c r="E53" s="568" t="s">
        <v>54</v>
      </c>
      <c r="F53" s="112">
        <v>2200</v>
      </c>
      <c r="G53" s="113">
        <v>90</v>
      </c>
      <c r="H53" s="114">
        <f t="shared" si="4"/>
        <v>198000</v>
      </c>
    </row>
    <row r="54" spans="1:8" ht="14.4" x14ac:dyDescent="0.3">
      <c r="A54" s="403"/>
      <c r="B54" s="403"/>
      <c r="C54" s="406"/>
      <c r="D54" s="567" t="s">
        <v>135</v>
      </c>
      <c r="E54" s="568" t="s">
        <v>54</v>
      </c>
      <c r="F54" s="112">
        <v>0</v>
      </c>
      <c r="G54" s="113">
        <v>90</v>
      </c>
      <c r="H54" s="114">
        <f t="shared" si="4"/>
        <v>0</v>
      </c>
    </row>
    <row r="55" spans="1:8" ht="14.4" x14ac:dyDescent="0.3">
      <c r="A55" s="403"/>
      <c r="B55" s="403"/>
      <c r="C55" s="406"/>
      <c r="D55" s="567" t="s">
        <v>98</v>
      </c>
      <c r="E55" s="568" t="s">
        <v>55</v>
      </c>
      <c r="F55" s="112">
        <v>2</v>
      </c>
      <c r="G55" s="113">
        <v>35000</v>
      </c>
      <c r="H55" s="114">
        <f t="shared" si="4"/>
        <v>70000</v>
      </c>
    </row>
    <row r="56" spans="1:8" ht="14.4" x14ac:dyDescent="0.3">
      <c r="A56" s="403"/>
      <c r="B56" s="403"/>
      <c r="C56" s="406"/>
      <c r="D56" s="567" t="s">
        <v>99</v>
      </c>
      <c r="E56" s="568" t="s">
        <v>81</v>
      </c>
      <c r="F56" s="112">
        <v>1</v>
      </c>
      <c r="G56" s="113">
        <v>20000</v>
      </c>
      <c r="H56" s="114">
        <f t="shared" si="4"/>
        <v>20000</v>
      </c>
    </row>
    <row r="57" spans="1:8" ht="14.4" x14ac:dyDescent="0.3">
      <c r="A57" s="403"/>
      <c r="B57" s="403"/>
      <c r="C57" s="406"/>
      <c r="D57" s="567" t="s">
        <v>115</v>
      </c>
      <c r="E57" s="568" t="s">
        <v>82</v>
      </c>
      <c r="F57" s="112">
        <v>0</v>
      </c>
      <c r="G57" s="113">
        <v>14000</v>
      </c>
      <c r="H57" s="114">
        <f t="shared" si="4"/>
        <v>0</v>
      </c>
    </row>
    <row r="58" spans="1:8" ht="14.4" x14ac:dyDescent="0.3">
      <c r="A58" s="403"/>
      <c r="B58" s="403"/>
      <c r="C58" s="406"/>
      <c r="D58" s="634" t="s">
        <v>133</v>
      </c>
      <c r="E58" s="635" t="s">
        <v>82</v>
      </c>
      <c r="F58" s="190">
        <v>2</v>
      </c>
      <c r="G58" s="193">
        <v>12500</v>
      </c>
      <c r="H58" s="192">
        <f t="shared" si="4"/>
        <v>25000</v>
      </c>
    </row>
    <row r="59" spans="1:8" ht="14.4" x14ac:dyDescent="0.3">
      <c r="A59" s="403"/>
      <c r="B59" s="403"/>
      <c r="C59" s="406"/>
      <c r="D59" s="634" t="s">
        <v>50</v>
      </c>
      <c r="E59" s="635"/>
      <c r="F59" s="190">
        <v>0</v>
      </c>
      <c r="G59" s="193">
        <v>250000</v>
      </c>
      <c r="H59" s="192">
        <f t="shared" si="4"/>
        <v>0</v>
      </c>
    </row>
    <row r="60" spans="1:8" thickBot="1" x14ac:dyDescent="0.35">
      <c r="A60" s="404"/>
      <c r="B60" s="404"/>
      <c r="C60" s="407"/>
      <c r="D60" s="535" t="s">
        <v>22</v>
      </c>
      <c r="E60" s="485"/>
      <c r="F60" s="485"/>
      <c r="G60" s="418"/>
      <c r="H60" s="115">
        <f>SUM(H50:H59)</f>
        <v>459000</v>
      </c>
    </row>
    <row r="61" spans="1:8" ht="14.4" x14ac:dyDescent="0.3">
      <c r="A61" s="403">
        <v>6</v>
      </c>
      <c r="B61" s="402" t="s">
        <v>152</v>
      </c>
      <c r="C61" s="405">
        <v>45381</v>
      </c>
      <c r="D61" s="634" t="s">
        <v>94</v>
      </c>
      <c r="E61" s="635"/>
      <c r="F61" s="190">
        <v>290</v>
      </c>
      <c r="G61" s="191">
        <v>400</v>
      </c>
      <c r="H61" s="192">
        <f t="shared" ref="H61:H70" si="5">+F61*G61</f>
        <v>116000</v>
      </c>
    </row>
    <row r="62" spans="1:8" ht="14.4" x14ac:dyDescent="0.3">
      <c r="A62" s="403"/>
      <c r="B62" s="403"/>
      <c r="C62" s="406"/>
      <c r="D62" s="634" t="s">
        <v>96</v>
      </c>
      <c r="E62" s="635"/>
      <c r="F62" s="190">
        <v>1</v>
      </c>
      <c r="G62" s="191">
        <v>10000</v>
      </c>
      <c r="H62" s="192">
        <f t="shared" si="5"/>
        <v>10000</v>
      </c>
    </row>
    <row r="63" spans="1:8" ht="14.4" x14ac:dyDescent="0.3">
      <c r="A63" s="403"/>
      <c r="B63" s="403"/>
      <c r="C63" s="406"/>
      <c r="D63" s="634" t="s">
        <v>97</v>
      </c>
      <c r="E63" s="635"/>
      <c r="F63" s="190">
        <v>1</v>
      </c>
      <c r="G63" s="191">
        <v>20000</v>
      </c>
      <c r="H63" s="192">
        <f t="shared" si="5"/>
        <v>20000</v>
      </c>
    </row>
    <row r="64" spans="1:8" ht="14.4" x14ac:dyDescent="0.3">
      <c r="A64" s="403"/>
      <c r="B64" s="403"/>
      <c r="C64" s="406"/>
      <c r="D64" s="567" t="s">
        <v>95</v>
      </c>
      <c r="E64" s="568" t="s">
        <v>54</v>
      </c>
      <c r="F64" s="112">
        <v>2200</v>
      </c>
      <c r="G64" s="113">
        <v>90</v>
      </c>
      <c r="H64" s="114">
        <f t="shared" si="5"/>
        <v>198000</v>
      </c>
    </row>
    <row r="65" spans="1:8" ht="14.4" x14ac:dyDescent="0.3">
      <c r="A65" s="403"/>
      <c r="B65" s="403"/>
      <c r="C65" s="406"/>
      <c r="D65" s="567" t="s">
        <v>135</v>
      </c>
      <c r="E65" s="568" t="s">
        <v>54</v>
      </c>
      <c r="F65" s="112">
        <v>0</v>
      </c>
      <c r="G65" s="113">
        <v>90</v>
      </c>
      <c r="H65" s="114">
        <f t="shared" si="5"/>
        <v>0</v>
      </c>
    </row>
    <row r="66" spans="1:8" ht="14.4" x14ac:dyDescent="0.3">
      <c r="A66" s="403"/>
      <c r="B66" s="403"/>
      <c r="C66" s="406"/>
      <c r="D66" s="567" t="s">
        <v>98</v>
      </c>
      <c r="E66" s="568" t="s">
        <v>55</v>
      </c>
      <c r="F66" s="112">
        <v>2</v>
      </c>
      <c r="G66" s="113">
        <v>35000</v>
      </c>
      <c r="H66" s="114">
        <f t="shared" si="5"/>
        <v>70000</v>
      </c>
    </row>
    <row r="67" spans="1:8" ht="14.4" x14ac:dyDescent="0.3">
      <c r="A67" s="403"/>
      <c r="B67" s="403"/>
      <c r="C67" s="406"/>
      <c r="D67" s="567" t="s">
        <v>99</v>
      </c>
      <c r="E67" s="568" t="s">
        <v>81</v>
      </c>
      <c r="F67" s="112">
        <v>1</v>
      </c>
      <c r="G67" s="113">
        <v>20000</v>
      </c>
      <c r="H67" s="114">
        <f t="shared" si="5"/>
        <v>20000</v>
      </c>
    </row>
    <row r="68" spans="1:8" ht="14.4" x14ac:dyDescent="0.3">
      <c r="A68" s="403"/>
      <c r="B68" s="403"/>
      <c r="C68" s="406"/>
      <c r="D68" s="567" t="s">
        <v>115</v>
      </c>
      <c r="E68" s="568" t="s">
        <v>82</v>
      </c>
      <c r="F68" s="112">
        <v>0</v>
      </c>
      <c r="G68" s="113">
        <v>14000</v>
      </c>
      <c r="H68" s="114">
        <f t="shared" si="5"/>
        <v>0</v>
      </c>
    </row>
    <row r="69" spans="1:8" ht="14.4" x14ac:dyDescent="0.3">
      <c r="A69" s="403"/>
      <c r="B69" s="403"/>
      <c r="C69" s="406"/>
      <c r="D69" s="634" t="s">
        <v>133</v>
      </c>
      <c r="E69" s="635" t="s">
        <v>82</v>
      </c>
      <c r="F69" s="190">
        <v>2</v>
      </c>
      <c r="G69" s="193">
        <v>12500</v>
      </c>
      <c r="H69" s="192">
        <f t="shared" si="5"/>
        <v>25000</v>
      </c>
    </row>
    <row r="70" spans="1:8" ht="14.4" x14ac:dyDescent="0.3">
      <c r="A70" s="403"/>
      <c r="B70" s="403"/>
      <c r="C70" s="406"/>
      <c r="D70" s="634" t="s">
        <v>50</v>
      </c>
      <c r="E70" s="635"/>
      <c r="F70" s="190">
        <v>0</v>
      </c>
      <c r="G70" s="193">
        <v>250000</v>
      </c>
      <c r="H70" s="192">
        <f t="shared" si="5"/>
        <v>0</v>
      </c>
    </row>
    <row r="71" spans="1:8" thickBot="1" x14ac:dyDescent="0.35">
      <c r="A71" s="404"/>
      <c r="B71" s="404"/>
      <c r="C71" s="407"/>
      <c r="D71" s="535" t="s">
        <v>22</v>
      </c>
      <c r="E71" s="485"/>
      <c r="F71" s="485"/>
      <c r="G71" s="418"/>
      <c r="H71" s="115">
        <f>SUM(H61:H70)</f>
        <v>459000</v>
      </c>
    </row>
    <row r="72" spans="1:8" ht="14.4" x14ac:dyDescent="0.3">
      <c r="A72" s="403">
        <v>7</v>
      </c>
      <c r="B72" s="402" t="s">
        <v>153</v>
      </c>
      <c r="C72" s="405">
        <v>45386</v>
      </c>
      <c r="D72" s="634" t="s">
        <v>94</v>
      </c>
      <c r="E72" s="635"/>
      <c r="F72" s="190">
        <v>500</v>
      </c>
      <c r="G72" s="191">
        <v>400</v>
      </c>
      <c r="H72" s="192">
        <f t="shared" ref="H72:H81" si="6">+F72*G72</f>
        <v>200000</v>
      </c>
    </row>
    <row r="73" spans="1:8" ht="14.4" x14ac:dyDescent="0.3">
      <c r="A73" s="403"/>
      <c r="B73" s="403"/>
      <c r="C73" s="406"/>
      <c r="D73" s="634" t="s">
        <v>96</v>
      </c>
      <c r="E73" s="635"/>
      <c r="F73" s="190">
        <v>1</v>
      </c>
      <c r="G73" s="191">
        <v>10000</v>
      </c>
      <c r="H73" s="192">
        <f t="shared" si="6"/>
        <v>10000</v>
      </c>
    </row>
    <row r="74" spans="1:8" ht="14.4" x14ac:dyDescent="0.3">
      <c r="A74" s="403"/>
      <c r="B74" s="403"/>
      <c r="C74" s="406"/>
      <c r="D74" s="634" t="s">
        <v>97</v>
      </c>
      <c r="E74" s="635"/>
      <c r="F74" s="190">
        <v>1</v>
      </c>
      <c r="G74" s="191">
        <v>20000</v>
      </c>
      <c r="H74" s="192">
        <f t="shared" si="6"/>
        <v>20000</v>
      </c>
    </row>
    <row r="75" spans="1:8" ht="14.4" x14ac:dyDescent="0.3">
      <c r="A75" s="403"/>
      <c r="B75" s="403"/>
      <c r="C75" s="406"/>
      <c r="D75" s="567" t="s">
        <v>95</v>
      </c>
      <c r="E75" s="568" t="s">
        <v>54</v>
      </c>
      <c r="F75" s="112">
        <v>2200</v>
      </c>
      <c r="G75" s="113">
        <v>90</v>
      </c>
      <c r="H75" s="114">
        <f t="shared" si="6"/>
        <v>198000</v>
      </c>
    </row>
    <row r="76" spans="1:8" ht="14.4" x14ac:dyDescent="0.3">
      <c r="A76" s="403"/>
      <c r="B76" s="403"/>
      <c r="C76" s="406"/>
      <c r="D76" s="567" t="s">
        <v>135</v>
      </c>
      <c r="E76" s="568" t="s">
        <v>54</v>
      </c>
      <c r="F76" s="112">
        <v>600</v>
      </c>
      <c r="G76" s="113">
        <v>90</v>
      </c>
      <c r="H76" s="114">
        <f t="shared" si="6"/>
        <v>54000</v>
      </c>
    </row>
    <row r="77" spans="1:8" ht="14.4" x14ac:dyDescent="0.3">
      <c r="A77" s="403"/>
      <c r="B77" s="403"/>
      <c r="C77" s="406"/>
      <c r="D77" s="567" t="s">
        <v>98</v>
      </c>
      <c r="E77" s="568" t="s">
        <v>55</v>
      </c>
      <c r="F77" s="112">
        <v>2</v>
      </c>
      <c r="G77" s="113">
        <v>35000</v>
      </c>
      <c r="H77" s="114">
        <f t="shared" si="6"/>
        <v>70000</v>
      </c>
    </row>
    <row r="78" spans="1:8" ht="14.4" x14ac:dyDescent="0.3">
      <c r="A78" s="403"/>
      <c r="B78" s="403"/>
      <c r="C78" s="406"/>
      <c r="D78" s="567" t="s">
        <v>99</v>
      </c>
      <c r="E78" s="568" t="s">
        <v>81</v>
      </c>
      <c r="F78" s="112">
        <v>1</v>
      </c>
      <c r="G78" s="113">
        <v>20000</v>
      </c>
      <c r="H78" s="114">
        <f t="shared" si="6"/>
        <v>20000</v>
      </c>
    </row>
    <row r="79" spans="1:8" ht="14.4" x14ac:dyDescent="0.3">
      <c r="A79" s="403"/>
      <c r="B79" s="403"/>
      <c r="C79" s="406"/>
      <c r="D79" s="567" t="s">
        <v>163</v>
      </c>
      <c r="E79" s="568" t="s">
        <v>82</v>
      </c>
      <c r="F79" s="112">
        <v>2</v>
      </c>
      <c r="G79" s="113">
        <v>14000</v>
      </c>
      <c r="H79" s="114">
        <f t="shared" si="6"/>
        <v>28000</v>
      </c>
    </row>
    <row r="80" spans="1:8" ht="14.4" x14ac:dyDescent="0.3">
      <c r="A80" s="403"/>
      <c r="B80" s="403"/>
      <c r="C80" s="406"/>
      <c r="D80" s="634" t="s">
        <v>133</v>
      </c>
      <c r="E80" s="635" t="s">
        <v>82</v>
      </c>
      <c r="F80" s="190">
        <v>2</v>
      </c>
      <c r="G80" s="193">
        <v>12500</v>
      </c>
      <c r="H80" s="192">
        <f t="shared" si="6"/>
        <v>25000</v>
      </c>
    </row>
    <row r="81" spans="1:8" ht="14.4" x14ac:dyDescent="0.3">
      <c r="A81" s="403"/>
      <c r="B81" s="403"/>
      <c r="C81" s="406"/>
      <c r="D81" s="634" t="s">
        <v>50</v>
      </c>
      <c r="E81" s="635"/>
      <c r="F81" s="190">
        <v>0</v>
      </c>
      <c r="G81" s="193">
        <v>250000</v>
      </c>
      <c r="H81" s="192">
        <f t="shared" si="6"/>
        <v>0</v>
      </c>
    </row>
    <row r="82" spans="1:8" thickBot="1" x14ac:dyDescent="0.35">
      <c r="A82" s="404"/>
      <c r="B82" s="404"/>
      <c r="C82" s="407"/>
      <c r="D82" s="535" t="s">
        <v>22</v>
      </c>
      <c r="E82" s="485"/>
      <c r="F82" s="485"/>
      <c r="G82" s="418"/>
      <c r="H82" s="115">
        <f>SUM(H72:H81)</f>
        <v>625000</v>
      </c>
    </row>
    <row r="83" spans="1:8" ht="14.4" x14ac:dyDescent="0.3">
      <c r="A83" s="403">
        <v>8</v>
      </c>
      <c r="B83" s="402" t="s">
        <v>154</v>
      </c>
      <c r="C83" s="405">
        <v>45388</v>
      </c>
      <c r="D83" s="634" t="s">
        <v>94</v>
      </c>
      <c r="E83" s="635"/>
      <c r="F83" s="190">
        <v>290</v>
      </c>
      <c r="G83" s="191">
        <v>400</v>
      </c>
      <c r="H83" s="192">
        <f t="shared" ref="H83:H92" si="7">+F83*G83</f>
        <v>116000</v>
      </c>
    </row>
    <row r="84" spans="1:8" ht="14.4" x14ac:dyDescent="0.3">
      <c r="A84" s="403"/>
      <c r="B84" s="403"/>
      <c r="C84" s="406"/>
      <c r="D84" s="634" t="s">
        <v>96</v>
      </c>
      <c r="E84" s="635"/>
      <c r="F84" s="190">
        <v>1</v>
      </c>
      <c r="G84" s="191">
        <v>10000</v>
      </c>
      <c r="H84" s="192">
        <f t="shared" si="7"/>
        <v>10000</v>
      </c>
    </row>
    <row r="85" spans="1:8" ht="14.4" x14ac:dyDescent="0.3">
      <c r="A85" s="403"/>
      <c r="B85" s="403"/>
      <c r="C85" s="406"/>
      <c r="D85" s="634" t="s">
        <v>97</v>
      </c>
      <c r="E85" s="635"/>
      <c r="F85" s="190">
        <v>1</v>
      </c>
      <c r="G85" s="191">
        <v>20000</v>
      </c>
      <c r="H85" s="192">
        <f t="shared" si="7"/>
        <v>20000</v>
      </c>
    </row>
    <row r="86" spans="1:8" ht="14.4" x14ac:dyDescent="0.3">
      <c r="A86" s="403"/>
      <c r="B86" s="403"/>
      <c r="C86" s="406"/>
      <c r="D86" s="567" t="s">
        <v>95</v>
      </c>
      <c r="E86" s="568" t="s">
        <v>54</v>
      </c>
      <c r="F86" s="112">
        <v>2200</v>
      </c>
      <c r="G86" s="113">
        <v>90</v>
      </c>
      <c r="H86" s="114">
        <f t="shared" si="7"/>
        <v>198000</v>
      </c>
    </row>
    <row r="87" spans="1:8" ht="14.4" x14ac:dyDescent="0.3">
      <c r="A87" s="403"/>
      <c r="B87" s="403"/>
      <c r="C87" s="406"/>
      <c r="D87" s="567" t="s">
        <v>135</v>
      </c>
      <c r="E87" s="568" t="s">
        <v>54</v>
      </c>
      <c r="F87" s="112">
        <v>0</v>
      </c>
      <c r="G87" s="113">
        <v>90</v>
      </c>
      <c r="H87" s="114">
        <f t="shared" si="7"/>
        <v>0</v>
      </c>
    </row>
    <row r="88" spans="1:8" ht="14.4" x14ac:dyDescent="0.3">
      <c r="A88" s="403"/>
      <c r="B88" s="403"/>
      <c r="C88" s="406"/>
      <c r="D88" s="567" t="s">
        <v>98</v>
      </c>
      <c r="E88" s="568" t="s">
        <v>55</v>
      </c>
      <c r="F88" s="112">
        <v>2</v>
      </c>
      <c r="G88" s="113">
        <v>35000</v>
      </c>
      <c r="H88" s="114">
        <f t="shared" si="7"/>
        <v>70000</v>
      </c>
    </row>
    <row r="89" spans="1:8" ht="14.4" x14ac:dyDescent="0.3">
      <c r="A89" s="403"/>
      <c r="B89" s="403"/>
      <c r="C89" s="406"/>
      <c r="D89" s="567" t="s">
        <v>99</v>
      </c>
      <c r="E89" s="568" t="s">
        <v>81</v>
      </c>
      <c r="F89" s="112">
        <v>1</v>
      </c>
      <c r="G89" s="113">
        <v>20000</v>
      </c>
      <c r="H89" s="114">
        <f t="shared" si="7"/>
        <v>20000</v>
      </c>
    </row>
    <row r="90" spans="1:8" ht="14.4" x14ac:dyDescent="0.3">
      <c r="A90" s="403"/>
      <c r="B90" s="403"/>
      <c r="C90" s="406"/>
      <c r="D90" s="567" t="s">
        <v>115</v>
      </c>
      <c r="E90" s="568" t="s">
        <v>82</v>
      </c>
      <c r="F90" s="112">
        <v>0</v>
      </c>
      <c r="G90" s="113">
        <v>14000</v>
      </c>
      <c r="H90" s="114">
        <f t="shared" si="7"/>
        <v>0</v>
      </c>
    </row>
    <row r="91" spans="1:8" ht="14.4" x14ac:dyDescent="0.3">
      <c r="A91" s="403"/>
      <c r="B91" s="403"/>
      <c r="C91" s="406"/>
      <c r="D91" s="634" t="s">
        <v>133</v>
      </c>
      <c r="E91" s="635" t="s">
        <v>82</v>
      </c>
      <c r="F91" s="190">
        <v>0</v>
      </c>
      <c r="G91" s="193">
        <v>12500</v>
      </c>
      <c r="H91" s="192">
        <f t="shared" si="7"/>
        <v>0</v>
      </c>
    </row>
    <row r="92" spans="1:8" ht="14.4" x14ac:dyDescent="0.3">
      <c r="A92" s="403"/>
      <c r="B92" s="403"/>
      <c r="C92" s="406"/>
      <c r="D92" s="634" t="s">
        <v>50</v>
      </c>
      <c r="E92" s="635"/>
      <c r="F92" s="190">
        <v>0</v>
      </c>
      <c r="G92" s="193">
        <v>250000</v>
      </c>
      <c r="H92" s="192">
        <f t="shared" si="7"/>
        <v>0</v>
      </c>
    </row>
    <row r="93" spans="1:8" thickBot="1" x14ac:dyDescent="0.35">
      <c r="A93" s="404"/>
      <c r="B93" s="404"/>
      <c r="C93" s="407"/>
      <c r="D93" s="535" t="s">
        <v>22</v>
      </c>
      <c r="E93" s="485"/>
      <c r="F93" s="485"/>
      <c r="G93" s="418"/>
      <c r="H93" s="115">
        <f>SUM(H83:H92)</f>
        <v>434000</v>
      </c>
    </row>
    <row r="94" spans="1:8" ht="14.4" x14ac:dyDescent="0.3">
      <c r="A94" s="403">
        <v>9</v>
      </c>
      <c r="B94" s="402" t="s">
        <v>155</v>
      </c>
      <c r="C94" s="405">
        <v>45420</v>
      </c>
      <c r="D94" s="634" t="s">
        <v>94</v>
      </c>
      <c r="E94" s="635"/>
      <c r="F94" s="190">
        <v>500</v>
      </c>
      <c r="G94" s="191">
        <v>400</v>
      </c>
      <c r="H94" s="192">
        <f t="shared" ref="H94:H104" si="8">+F94*G94</f>
        <v>200000</v>
      </c>
    </row>
    <row r="95" spans="1:8" ht="14.4" x14ac:dyDescent="0.3">
      <c r="A95" s="403"/>
      <c r="B95" s="403"/>
      <c r="C95" s="406"/>
      <c r="D95" s="634" t="s">
        <v>96</v>
      </c>
      <c r="E95" s="635"/>
      <c r="F95" s="190">
        <v>1</v>
      </c>
      <c r="G95" s="191">
        <v>10000</v>
      </c>
      <c r="H95" s="192">
        <f t="shared" si="8"/>
        <v>10000</v>
      </c>
    </row>
    <row r="96" spans="1:8" ht="14.4" x14ac:dyDescent="0.3">
      <c r="A96" s="403"/>
      <c r="B96" s="403"/>
      <c r="C96" s="406"/>
      <c r="D96" s="634" t="s">
        <v>97</v>
      </c>
      <c r="E96" s="635"/>
      <c r="F96" s="190">
        <v>1</v>
      </c>
      <c r="G96" s="191">
        <v>20000</v>
      </c>
      <c r="H96" s="192">
        <f t="shared" si="8"/>
        <v>20000</v>
      </c>
    </row>
    <row r="97" spans="1:8" ht="14.4" x14ac:dyDescent="0.3">
      <c r="A97" s="403"/>
      <c r="B97" s="403"/>
      <c r="C97" s="406"/>
      <c r="D97" s="567" t="s">
        <v>95</v>
      </c>
      <c r="E97" s="568" t="s">
        <v>54</v>
      </c>
      <c r="F97" s="112">
        <v>2200</v>
      </c>
      <c r="G97" s="113">
        <v>90</v>
      </c>
      <c r="H97" s="114">
        <f t="shared" si="8"/>
        <v>198000</v>
      </c>
    </row>
    <row r="98" spans="1:8" ht="14.4" x14ac:dyDescent="0.3">
      <c r="A98" s="403"/>
      <c r="B98" s="403"/>
      <c r="C98" s="406"/>
      <c r="D98" s="567" t="s">
        <v>135</v>
      </c>
      <c r="E98" s="568" t="s">
        <v>54</v>
      </c>
      <c r="F98" s="112">
        <v>600</v>
      </c>
      <c r="G98" s="113">
        <v>90</v>
      </c>
      <c r="H98" s="114">
        <f t="shared" si="8"/>
        <v>54000</v>
      </c>
    </row>
    <row r="99" spans="1:8" ht="14.4" x14ac:dyDescent="0.3">
      <c r="A99" s="403"/>
      <c r="B99" s="403"/>
      <c r="C99" s="406"/>
      <c r="D99" s="567" t="s">
        <v>98</v>
      </c>
      <c r="E99" s="568" t="s">
        <v>55</v>
      </c>
      <c r="F99" s="112">
        <v>2</v>
      </c>
      <c r="G99" s="113">
        <v>35000</v>
      </c>
      <c r="H99" s="114">
        <f t="shared" si="8"/>
        <v>70000</v>
      </c>
    </row>
    <row r="100" spans="1:8" ht="14.4" x14ac:dyDescent="0.3">
      <c r="A100" s="403"/>
      <c r="B100" s="403"/>
      <c r="C100" s="406"/>
      <c r="D100" s="567" t="s">
        <v>99</v>
      </c>
      <c r="E100" s="568" t="s">
        <v>81</v>
      </c>
      <c r="F100" s="112">
        <v>1</v>
      </c>
      <c r="G100" s="113">
        <v>20000</v>
      </c>
      <c r="H100" s="114">
        <f t="shared" si="8"/>
        <v>20000</v>
      </c>
    </row>
    <row r="101" spans="1:8" ht="14.4" x14ac:dyDescent="0.3">
      <c r="A101" s="403"/>
      <c r="B101" s="403"/>
      <c r="C101" s="406"/>
      <c r="D101" s="567" t="s">
        <v>163</v>
      </c>
      <c r="E101" s="568" t="s">
        <v>82</v>
      </c>
      <c r="F101" s="112">
        <v>2</v>
      </c>
      <c r="G101" s="113">
        <v>14000</v>
      </c>
      <c r="H101" s="114">
        <f t="shared" si="8"/>
        <v>28000</v>
      </c>
    </row>
    <row r="102" spans="1:8" ht="14.4" x14ac:dyDescent="0.3">
      <c r="A102" s="403"/>
      <c r="B102" s="403"/>
      <c r="C102" s="406"/>
      <c r="D102" s="567" t="s">
        <v>160</v>
      </c>
      <c r="E102" s="568" t="s">
        <v>82</v>
      </c>
      <c r="F102" s="112">
        <v>80</v>
      </c>
      <c r="G102" s="156">
        <v>400</v>
      </c>
      <c r="H102" s="114">
        <f t="shared" si="8"/>
        <v>32000</v>
      </c>
    </row>
    <row r="103" spans="1:8" ht="14.4" x14ac:dyDescent="0.3">
      <c r="A103" s="403"/>
      <c r="B103" s="403"/>
      <c r="C103" s="406"/>
      <c r="D103" s="634" t="s">
        <v>133</v>
      </c>
      <c r="E103" s="635" t="s">
        <v>82</v>
      </c>
      <c r="F103" s="190">
        <v>4</v>
      </c>
      <c r="G103" s="193">
        <v>12500</v>
      </c>
      <c r="H103" s="192">
        <f t="shared" si="8"/>
        <v>50000</v>
      </c>
    </row>
    <row r="104" spans="1:8" ht="14.4" x14ac:dyDescent="0.3">
      <c r="A104" s="403"/>
      <c r="B104" s="403"/>
      <c r="C104" s="406"/>
      <c r="D104" s="634" t="s">
        <v>50</v>
      </c>
      <c r="E104" s="635"/>
      <c r="F104" s="190">
        <v>0</v>
      </c>
      <c r="G104" s="193">
        <v>250000</v>
      </c>
      <c r="H104" s="192">
        <f t="shared" si="8"/>
        <v>0</v>
      </c>
    </row>
    <row r="105" spans="1:8" thickBot="1" x14ac:dyDescent="0.35">
      <c r="A105" s="404"/>
      <c r="B105" s="404"/>
      <c r="C105" s="407"/>
      <c r="D105" s="535" t="s">
        <v>22</v>
      </c>
      <c r="E105" s="485"/>
      <c r="F105" s="485"/>
      <c r="G105" s="418"/>
      <c r="H105" s="115">
        <f>SUM(H94:H104)</f>
        <v>682000</v>
      </c>
    </row>
    <row r="106" spans="1:8" ht="14.4" x14ac:dyDescent="0.3">
      <c r="A106" s="403">
        <v>10</v>
      </c>
      <c r="B106" s="402" t="s">
        <v>162</v>
      </c>
      <c r="C106" s="405">
        <v>45426</v>
      </c>
      <c r="D106" s="634" t="s">
        <v>94</v>
      </c>
      <c r="E106" s="635"/>
      <c r="F106" s="190">
        <v>500</v>
      </c>
      <c r="G106" s="191">
        <v>400</v>
      </c>
      <c r="H106" s="192">
        <f t="shared" ref="H106:H116" si="9">+F106*G106</f>
        <v>200000</v>
      </c>
    </row>
    <row r="107" spans="1:8" ht="14.4" x14ac:dyDescent="0.3">
      <c r="A107" s="403"/>
      <c r="B107" s="403"/>
      <c r="C107" s="406"/>
      <c r="D107" s="634" t="s">
        <v>96</v>
      </c>
      <c r="E107" s="635"/>
      <c r="F107" s="190">
        <v>1</v>
      </c>
      <c r="G107" s="191">
        <v>10000</v>
      </c>
      <c r="H107" s="192">
        <f t="shared" si="9"/>
        <v>10000</v>
      </c>
    </row>
    <row r="108" spans="1:8" ht="14.4" x14ac:dyDescent="0.3">
      <c r="A108" s="403"/>
      <c r="B108" s="403"/>
      <c r="C108" s="406"/>
      <c r="D108" s="634" t="s">
        <v>97</v>
      </c>
      <c r="E108" s="635"/>
      <c r="F108" s="190">
        <v>1</v>
      </c>
      <c r="G108" s="191">
        <v>20000</v>
      </c>
      <c r="H108" s="192">
        <f t="shared" si="9"/>
        <v>20000</v>
      </c>
    </row>
    <row r="109" spans="1:8" ht="14.4" x14ac:dyDescent="0.3">
      <c r="A109" s="403"/>
      <c r="B109" s="403"/>
      <c r="C109" s="406"/>
      <c r="D109" s="567" t="s">
        <v>95</v>
      </c>
      <c r="E109" s="568" t="s">
        <v>54</v>
      </c>
      <c r="F109" s="112">
        <v>2200</v>
      </c>
      <c r="G109" s="113">
        <v>90</v>
      </c>
      <c r="H109" s="114">
        <f t="shared" si="9"/>
        <v>198000</v>
      </c>
    </row>
    <row r="110" spans="1:8" ht="14.4" x14ac:dyDescent="0.3">
      <c r="A110" s="403"/>
      <c r="B110" s="403"/>
      <c r="C110" s="406"/>
      <c r="D110" s="567" t="s">
        <v>135</v>
      </c>
      <c r="E110" s="568" t="s">
        <v>54</v>
      </c>
      <c r="F110" s="112">
        <v>0</v>
      </c>
      <c r="G110" s="113">
        <v>90</v>
      </c>
      <c r="H110" s="114">
        <f t="shared" si="9"/>
        <v>0</v>
      </c>
    </row>
    <row r="111" spans="1:8" ht="14.4" x14ac:dyDescent="0.3">
      <c r="A111" s="403"/>
      <c r="B111" s="403"/>
      <c r="C111" s="406"/>
      <c r="D111" s="567" t="s">
        <v>98</v>
      </c>
      <c r="E111" s="568" t="s">
        <v>55</v>
      </c>
      <c r="F111" s="112">
        <v>2</v>
      </c>
      <c r="G111" s="113">
        <v>35000</v>
      </c>
      <c r="H111" s="114">
        <f t="shared" si="9"/>
        <v>70000</v>
      </c>
    </row>
    <row r="112" spans="1:8" ht="14.4" x14ac:dyDescent="0.3">
      <c r="A112" s="403"/>
      <c r="B112" s="403"/>
      <c r="C112" s="406"/>
      <c r="D112" s="567" t="s">
        <v>99</v>
      </c>
      <c r="E112" s="568" t="s">
        <v>81</v>
      </c>
      <c r="F112" s="112">
        <v>1</v>
      </c>
      <c r="G112" s="113">
        <v>20000</v>
      </c>
      <c r="H112" s="114">
        <f t="shared" si="9"/>
        <v>20000</v>
      </c>
    </row>
    <row r="113" spans="1:8" ht="14.4" x14ac:dyDescent="0.3">
      <c r="A113" s="403"/>
      <c r="B113" s="403"/>
      <c r="C113" s="406"/>
      <c r="D113" s="567" t="s">
        <v>163</v>
      </c>
      <c r="E113" s="568" t="s">
        <v>82</v>
      </c>
      <c r="F113" s="112">
        <v>2</v>
      </c>
      <c r="G113" s="113">
        <v>14000</v>
      </c>
      <c r="H113" s="114">
        <f t="shared" si="9"/>
        <v>28000</v>
      </c>
    </row>
    <row r="114" spans="1:8" ht="14.4" x14ac:dyDescent="0.3">
      <c r="A114" s="403"/>
      <c r="B114" s="403"/>
      <c r="C114" s="406"/>
      <c r="D114" s="567" t="s">
        <v>160</v>
      </c>
      <c r="E114" s="568" t="s">
        <v>82</v>
      </c>
      <c r="F114" s="112">
        <v>150</v>
      </c>
      <c r="G114" s="156">
        <v>400</v>
      </c>
      <c r="H114" s="114">
        <f t="shared" si="9"/>
        <v>60000</v>
      </c>
    </row>
    <row r="115" spans="1:8" ht="14.4" x14ac:dyDescent="0.3">
      <c r="A115" s="403"/>
      <c r="B115" s="403"/>
      <c r="C115" s="406"/>
      <c r="D115" s="634" t="s">
        <v>133</v>
      </c>
      <c r="E115" s="635" t="s">
        <v>82</v>
      </c>
      <c r="F115" s="190">
        <v>4</v>
      </c>
      <c r="G115" s="193">
        <v>12500</v>
      </c>
      <c r="H115" s="192">
        <f t="shared" si="9"/>
        <v>50000</v>
      </c>
    </row>
    <row r="116" spans="1:8" ht="14.4" x14ac:dyDescent="0.3">
      <c r="A116" s="403"/>
      <c r="B116" s="403"/>
      <c r="C116" s="406"/>
      <c r="D116" s="634" t="s">
        <v>50</v>
      </c>
      <c r="E116" s="635"/>
      <c r="F116" s="190">
        <v>0</v>
      </c>
      <c r="G116" s="193">
        <v>250000</v>
      </c>
      <c r="H116" s="192">
        <f t="shared" si="9"/>
        <v>0</v>
      </c>
    </row>
    <row r="117" spans="1:8" thickBot="1" x14ac:dyDescent="0.35">
      <c r="A117" s="404"/>
      <c r="B117" s="404"/>
      <c r="C117" s="407"/>
      <c r="D117" s="535" t="s">
        <v>22</v>
      </c>
      <c r="E117" s="485"/>
      <c r="F117" s="485"/>
      <c r="G117" s="418"/>
      <c r="H117" s="115">
        <f>SUM(H106:H116)</f>
        <v>656000</v>
      </c>
    </row>
    <row r="118" spans="1:8" ht="14.4" x14ac:dyDescent="0.3">
      <c r="A118" s="403">
        <v>11</v>
      </c>
      <c r="B118" s="402" t="s">
        <v>151</v>
      </c>
      <c r="C118" s="405">
        <v>45431</v>
      </c>
      <c r="D118" s="634" t="s">
        <v>94</v>
      </c>
      <c r="E118" s="635"/>
      <c r="F118" s="190">
        <v>290</v>
      </c>
      <c r="G118" s="191">
        <v>400</v>
      </c>
      <c r="H118" s="192">
        <f t="shared" ref="H118:H127" si="10">+F118*G118</f>
        <v>116000</v>
      </c>
    </row>
    <row r="119" spans="1:8" ht="14.4" x14ac:dyDescent="0.3">
      <c r="A119" s="403"/>
      <c r="B119" s="403"/>
      <c r="C119" s="406"/>
      <c r="D119" s="634" t="s">
        <v>96</v>
      </c>
      <c r="E119" s="635"/>
      <c r="F119" s="190">
        <v>1</v>
      </c>
      <c r="G119" s="191">
        <v>10000</v>
      </c>
      <c r="H119" s="192">
        <f t="shared" si="10"/>
        <v>10000</v>
      </c>
    </row>
    <row r="120" spans="1:8" ht="14.4" x14ac:dyDescent="0.3">
      <c r="A120" s="403"/>
      <c r="B120" s="403"/>
      <c r="C120" s="406"/>
      <c r="D120" s="634" t="s">
        <v>97</v>
      </c>
      <c r="E120" s="635"/>
      <c r="F120" s="190">
        <v>1</v>
      </c>
      <c r="G120" s="191">
        <v>20000</v>
      </c>
      <c r="H120" s="192">
        <f t="shared" si="10"/>
        <v>20000</v>
      </c>
    </row>
    <row r="121" spans="1:8" ht="14.4" x14ac:dyDescent="0.3">
      <c r="A121" s="403"/>
      <c r="B121" s="403"/>
      <c r="C121" s="406"/>
      <c r="D121" s="567" t="s">
        <v>95</v>
      </c>
      <c r="E121" s="568" t="s">
        <v>54</v>
      </c>
      <c r="F121" s="112">
        <v>2200</v>
      </c>
      <c r="G121" s="113">
        <v>90</v>
      </c>
      <c r="H121" s="114">
        <f t="shared" si="10"/>
        <v>198000</v>
      </c>
    </row>
    <row r="122" spans="1:8" ht="14.4" x14ac:dyDescent="0.3">
      <c r="A122" s="403"/>
      <c r="B122" s="403"/>
      <c r="C122" s="406"/>
      <c r="D122" s="567" t="s">
        <v>135</v>
      </c>
      <c r="E122" s="568" t="s">
        <v>54</v>
      </c>
      <c r="F122" s="112">
        <v>0</v>
      </c>
      <c r="G122" s="113">
        <v>90</v>
      </c>
      <c r="H122" s="114">
        <f t="shared" si="10"/>
        <v>0</v>
      </c>
    </row>
    <row r="123" spans="1:8" ht="14.4" x14ac:dyDescent="0.3">
      <c r="A123" s="403"/>
      <c r="B123" s="403"/>
      <c r="C123" s="406"/>
      <c r="D123" s="567" t="s">
        <v>98</v>
      </c>
      <c r="E123" s="568" t="s">
        <v>55</v>
      </c>
      <c r="F123" s="112">
        <v>2</v>
      </c>
      <c r="G123" s="113">
        <v>35000</v>
      </c>
      <c r="H123" s="114">
        <f t="shared" si="10"/>
        <v>70000</v>
      </c>
    </row>
    <row r="124" spans="1:8" ht="14.4" x14ac:dyDescent="0.3">
      <c r="A124" s="403"/>
      <c r="B124" s="403"/>
      <c r="C124" s="406"/>
      <c r="D124" s="567" t="s">
        <v>99</v>
      </c>
      <c r="E124" s="568" t="s">
        <v>81</v>
      </c>
      <c r="F124" s="112">
        <v>1</v>
      </c>
      <c r="G124" s="113">
        <v>20000</v>
      </c>
      <c r="H124" s="114">
        <f t="shared" si="10"/>
        <v>20000</v>
      </c>
    </row>
    <row r="125" spans="1:8" ht="14.4" x14ac:dyDescent="0.3">
      <c r="A125" s="403"/>
      <c r="B125" s="403"/>
      <c r="C125" s="406"/>
      <c r="D125" s="567" t="s">
        <v>115</v>
      </c>
      <c r="E125" s="568" t="s">
        <v>82</v>
      </c>
      <c r="F125" s="112">
        <v>0</v>
      </c>
      <c r="G125" s="113">
        <v>14000</v>
      </c>
      <c r="H125" s="114">
        <f t="shared" si="10"/>
        <v>0</v>
      </c>
    </row>
    <row r="126" spans="1:8" ht="14.4" x14ac:dyDescent="0.3">
      <c r="A126" s="403"/>
      <c r="B126" s="403"/>
      <c r="C126" s="406"/>
      <c r="D126" s="634" t="s">
        <v>133</v>
      </c>
      <c r="E126" s="635" t="s">
        <v>82</v>
      </c>
      <c r="F126" s="190">
        <v>0</v>
      </c>
      <c r="G126" s="193">
        <v>12500</v>
      </c>
      <c r="H126" s="192">
        <f t="shared" si="10"/>
        <v>0</v>
      </c>
    </row>
    <row r="127" spans="1:8" ht="14.4" x14ac:dyDescent="0.3">
      <c r="A127" s="403"/>
      <c r="B127" s="403"/>
      <c r="C127" s="406"/>
      <c r="D127" s="634" t="s">
        <v>50</v>
      </c>
      <c r="E127" s="635"/>
      <c r="F127" s="190">
        <v>0</v>
      </c>
      <c r="G127" s="193">
        <v>250000</v>
      </c>
      <c r="H127" s="192">
        <f t="shared" si="10"/>
        <v>0</v>
      </c>
    </row>
    <row r="128" spans="1:8" thickBot="1" x14ac:dyDescent="0.35">
      <c r="A128" s="404"/>
      <c r="B128" s="404"/>
      <c r="C128" s="407"/>
      <c r="D128" s="535" t="s">
        <v>22</v>
      </c>
      <c r="E128" s="485"/>
      <c r="F128" s="485"/>
      <c r="G128" s="418"/>
      <c r="H128" s="115">
        <f>SUM(H118:H127)</f>
        <v>434000</v>
      </c>
    </row>
    <row r="129" spans="1:8" ht="14.4" x14ac:dyDescent="0.3">
      <c r="A129" s="403">
        <v>12</v>
      </c>
      <c r="B129" s="402" t="s">
        <v>26</v>
      </c>
      <c r="C129" s="405">
        <v>45457</v>
      </c>
      <c r="D129" s="634" t="s">
        <v>94</v>
      </c>
      <c r="E129" s="635"/>
      <c r="F129" s="190">
        <v>290</v>
      </c>
      <c r="G129" s="191">
        <v>400</v>
      </c>
      <c r="H129" s="192">
        <f t="shared" ref="H129:H138" si="11">+F129*G129</f>
        <v>116000</v>
      </c>
    </row>
    <row r="130" spans="1:8" ht="14.4" x14ac:dyDescent="0.3">
      <c r="A130" s="403"/>
      <c r="B130" s="403"/>
      <c r="C130" s="406"/>
      <c r="D130" s="634" t="s">
        <v>96</v>
      </c>
      <c r="E130" s="635"/>
      <c r="F130" s="190">
        <v>1</v>
      </c>
      <c r="G130" s="191">
        <v>10000</v>
      </c>
      <c r="H130" s="192">
        <f t="shared" si="11"/>
        <v>10000</v>
      </c>
    </row>
    <row r="131" spans="1:8" ht="14.4" x14ac:dyDescent="0.3">
      <c r="A131" s="403"/>
      <c r="B131" s="403"/>
      <c r="C131" s="406"/>
      <c r="D131" s="634" t="s">
        <v>97</v>
      </c>
      <c r="E131" s="635"/>
      <c r="F131" s="190">
        <v>1</v>
      </c>
      <c r="G131" s="191">
        <v>20000</v>
      </c>
      <c r="H131" s="192">
        <f t="shared" si="11"/>
        <v>20000</v>
      </c>
    </row>
    <row r="132" spans="1:8" ht="14.4" x14ac:dyDescent="0.3">
      <c r="A132" s="403"/>
      <c r="B132" s="403"/>
      <c r="C132" s="406"/>
      <c r="D132" s="567" t="s">
        <v>95</v>
      </c>
      <c r="E132" s="568" t="s">
        <v>54</v>
      </c>
      <c r="F132" s="112">
        <v>2200</v>
      </c>
      <c r="G132" s="113">
        <v>90</v>
      </c>
      <c r="H132" s="114">
        <f t="shared" si="11"/>
        <v>198000</v>
      </c>
    </row>
    <row r="133" spans="1:8" ht="14.4" x14ac:dyDescent="0.3">
      <c r="A133" s="403"/>
      <c r="B133" s="403"/>
      <c r="C133" s="406"/>
      <c r="D133" s="567" t="s">
        <v>135</v>
      </c>
      <c r="E133" s="568" t="s">
        <v>54</v>
      </c>
      <c r="F133" s="112">
        <v>600</v>
      </c>
      <c r="G133" s="113">
        <v>90</v>
      </c>
      <c r="H133" s="114">
        <f t="shared" si="11"/>
        <v>54000</v>
      </c>
    </row>
    <row r="134" spans="1:8" ht="14.4" x14ac:dyDescent="0.3">
      <c r="A134" s="403"/>
      <c r="B134" s="403"/>
      <c r="C134" s="406"/>
      <c r="D134" s="567" t="s">
        <v>98</v>
      </c>
      <c r="E134" s="568" t="s">
        <v>55</v>
      </c>
      <c r="F134" s="112">
        <v>2</v>
      </c>
      <c r="G134" s="113">
        <v>35000</v>
      </c>
      <c r="H134" s="114">
        <f t="shared" si="11"/>
        <v>70000</v>
      </c>
    </row>
    <row r="135" spans="1:8" ht="14.4" x14ac:dyDescent="0.3">
      <c r="A135" s="403"/>
      <c r="B135" s="403"/>
      <c r="C135" s="406"/>
      <c r="D135" s="567" t="s">
        <v>99</v>
      </c>
      <c r="E135" s="568" t="s">
        <v>81</v>
      </c>
      <c r="F135" s="112">
        <v>1</v>
      </c>
      <c r="G135" s="113">
        <v>20000</v>
      </c>
      <c r="H135" s="114">
        <f t="shared" si="11"/>
        <v>20000</v>
      </c>
    </row>
    <row r="136" spans="1:8" ht="14.4" x14ac:dyDescent="0.3">
      <c r="A136" s="403"/>
      <c r="B136" s="403"/>
      <c r="C136" s="406"/>
      <c r="D136" s="567" t="s">
        <v>115</v>
      </c>
      <c r="E136" s="568" t="s">
        <v>82</v>
      </c>
      <c r="F136" s="112">
        <v>0</v>
      </c>
      <c r="G136" s="113">
        <v>14000</v>
      </c>
      <c r="H136" s="114">
        <f t="shared" si="11"/>
        <v>0</v>
      </c>
    </row>
    <row r="137" spans="1:8" ht="14.4" x14ac:dyDescent="0.3">
      <c r="A137" s="403"/>
      <c r="B137" s="403"/>
      <c r="C137" s="406"/>
      <c r="D137" s="634" t="s">
        <v>133</v>
      </c>
      <c r="E137" s="635" t="s">
        <v>82</v>
      </c>
      <c r="F137" s="190">
        <v>2</v>
      </c>
      <c r="G137" s="193">
        <v>12500</v>
      </c>
      <c r="H137" s="192">
        <f t="shared" si="11"/>
        <v>25000</v>
      </c>
    </row>
    <row r="138" spans="1:8" ht="14.4" x14ac:dyDescent="0.3">
      <c r="A138" s="403"/>
      <c r="B138" s="403"/>
      <c r="C138" s="406"/>
      <c r="D138" s="634" t="s">
        <v>50</v>
      </c>
      <c r="E138" s="638"/>
      <c r="F138" s="190">
        <v>0</v>
      </c>
      <c r="G138" s="193">
        <v>250000</v>
      </c>
      <c r="H138" s="192">
        <f t="shared" si="11"/>
        <v>0</v>
      </c>
    </row>
    <row r="139" spans="1:8" thickBot="1" x14ac:dyDescent="0.35">
      <c r="A139" s="404"/>
      <c r="B139" s="404"/>
      <c r="C139" s="407"/>
      <c r="D139" s="535" t="s">
        <v>22</v>
      </c>
      <c r="E139" s="485"/>
      <c r="F139" s="485"/>
      <c r="G139" s="418"/>
      <c r="H139" s="115">
        <f>SUM(H129:H138)</f>
        <v>513000</v>
      </c>
    </row>
    <row r="140" spans="1:8" ht="14.4" x14ac:dyDescent="0.3">
      <c r="A140" s="403">
        <v>13</v>
      </c>
      <c r="B140" s="402" t="s">
        <v>47</v>
      </c>
      <c r="C140" s="405">
        <v>45497</v>
      </c>
      <c r="D140" s="634" t="s">
        <v>94</v>
      </c>
      <c r="E140" s="635"/>
      <c r="F140" s="190">
        <v>290</v>
      </c>
      <c r="G140" s="191">
        <v>400</v>
      </c>
      <c r="H140" s="192">
        <f t="shared" ref="H140:H149" si="12">+F140*G140</f>
        <v>116000</v>
      </c>
    </row>
    <row r="141" spans="1:8" ht="14.4" x14ac:dyDescent="0.3">
      <c r="A141" s="403"/>
      <c r="B141" s="403"/>
      <c r="C141" s="406"/>
      <c r="D141" s="634" t="s">
        <v>96</v>
      </c>
      <c r="E141" s="635"/>
      <c r="F141" s="190">
        <v>1</v>
      </c>
      <c r="G141" s="191">
        <v>10000</v>
      </c>
      <c r="H141" s="192">
        <f t="shared" si="12"/>
        <v>10000</v>
      </c>
    </row>
    <row r="142" spans="1:8" ht="14.4" x14ac:dyDescent="0.3">
      <c r="A142" s="403"/>
      <c r="B142" s="403"/>
      <c r="C142" s="406"/>
      <c r="D142" s="634" t="s">
        <v>97</v>
      </c>
      <c r="E142" s="635"/>
      <c r="F142" s="190">
        <v>1</v>
      </c>
      <c r="G142" s="191">
        <v>20000</v>
      </c>
      <c r="H142" s="192">
        <f t="shared" si="12"/>
        <v>20000</v>
      </c>
    </row>
    <row r="143" spans="1:8" ht="14.4" x14ac:dyDescent="0.3">
      <c r="A143" s="403"/>
      <c r="B143" s="403"/>
      <c r="C143" s="406"/>
      <c r="D143" s="567" t="s">
        <v>95</v>
      </c>
      <c r="E143" s="568" t="s">
        <v>54</v>
      </c>
      <c r="F143" s="112">
        <v>2600</v>
      </c>
      <c r="G143" s="113">
        <v>90</v>
      </c>
      <c r="H143" s="114">
        <f t="shared" si="12"/>
        <v>234000</v>
      </c>
    </row>
    <row r="144" spans="1:8" ht="14.4" x14ac:dyDescent="0.3">
      <c r="A144" s="403"/>
      <c r="B144" s="403"/>
      <c r="C144" s="406"/>
      <c r="D144" s="567" t="s">
        <v>135</v>
      </c>
      <c r="E144" s="568" t="s">
        <v>54</v>
      </c>
      <c r="F144" s="112">
        <v>600</v>
      </c>
      <c r="G144" s="113">
        <v>90</v>
      </c>
      <c r="H144" s="114">
        <f t="shared" si="12"/>
        <v>54000</v>
      </c>
    </row>
    <row r="145" spans="1:8" ht="14.4" x14ac:dyDescent="0.3">
      <c r="A145" s="403"/>
      <c r="B145" s="403"/>
      <c r="C145" s="406"/>
      <c r="D145" s="567" t="s">
        <v>98</v>
      </c>
      <c r="E145" s="568" t="s">
        <v>55</v>
      </c>
      <c r="F145" s="112">
        <v>2</v>
      </c>
      <c r="G145" s="113">
        <v>35000</v>
      </c>
      <c r="H145" s="114">
        <f t="shared" si="12"/>
        <v>70000</v>
      </c>
    </row>
    <row r="146" spans="1:8" ht="14.4" x14ac:dyDescent="0.3">
      <c r="A146" s="403"/>
      <c r="B146" s="403"/>
      <c r="C146" s="406"/>
      <c r="D146" s="567" t="s">
        <v>99</v>
      </c>
      <c r="E146" s="568" t="s">
        <v>81</v>
      </c>
      <c r="F146" s="112">
        <v>1</v>
      </c>
      <c r="G146" s="113">
        <v>20000</v>
      </c>
      <c r="H146" s="114">
        <f t="shared" si="12"/>
        <v>20000</v>
      </c>
    </row>
    <row r="147" spans="1:8" ht="14.4" x14ac:dyDescent="0.3">
      <c r="A147" s="403"/>
      <c r="B147" s="403"/>
      <c r="C147" s="406"/>
      <c r="D147" s="567" t="s">
        <v>115</v>
      </c>
      <c r="E147" s="568" t="s">
        <v>82</v>
      </c>
      <c r="F147" s="112">
        <v>0</v>
      </c>
      <c r="G147" s="113">
        <v>14000</v>
      </c>
      <c r="H147" s="114">
        <f t="shared" si="12"/>
        <v>0</v>
      </c>
    </row>
    <row r="148" spans="1:8" ht="14.4" x14ac:dyDescent="0.3">
      <c r="A148" s="403"/>
      <c r="B148" s="403"/>
      <c r="C148" s="406"/>
      <c r="D148" s="634" t="s">
        <v>133</v>
      </c>
      <c r="E148" s="635" t="s">
        <v>82</v>
      </c>
      <c r="F148" s="190">
        <v>2</v>
      </c>
      <c r="G148" s="193">
        <v>12500</v>
      </c>
      <c r="H148" s="192">
        <f t="shared" si="12"/>
        <v>25000</v>
      </c>
    </row>
    <row r="149" spans="1:8" ht="14.4" x14ac:dyDescent="0.3">
      <c r="A149" s="403"/>
      <c r="B149" s="403"/>
      <c r="C149" s="406"/>
      <c r="D149" s="634" t="s">
        <v>181</v>
      </c>
      <c r="E149" s="635"/>
      <c r="F149" s="190">
        <v>1</v>
      </c>
      <c r="G149" s="193">
        <v>100000</v>
      </c>
      <c r="H149" s="192">
        <f t="shared" si="12"/>
        <v>100000</v>
      </c>
    </row>
    <row r="150" spans="1:8" ht="14.4" x14ac:dyDescent="0.3">
      <c r="A150" s="403"/>
      <c r="B150" s="403"/>
      <c r="C150" s="406"/>
      <c r="D150" s="634" t="s">
        <v>182</v>
      </c>
      <c r="E150" s="635"/>
      <c r="F150" s="190">
        <v>0</v>
      </c>
      <c r="G150" s="193">
        <v>0</v>
      </c>
      <c r="H150" s="192">
        <v>0</v>
      </c>
    </row>
    <row r="151" spans="1:8" thickBot="1" x14ac:dyDescent="0.35">
      <c r="A151" s="404"/>
      <c r="B151" s="404"/>
      <c r="C151" s="407"/>
      <c r="D151" s="535" t="s">
        <v>22</v>
      </c>
      <c r="E151" s="485"/>
      <c r="F151" s="485"/>
      <c r="G151" s="418"/>
      <c r="H151" s="115">
        <f>SUM(H140:H150)</f>
        <v>649000</v>
      </c>
    </row>
    <row r="152" spans="1:8" ht="14.4" x14ac:dyDescent="0.3">
      <c r="A152" s="403">
        <v>14</v>
      </c>
      <c r="B152" s="402" t="s">
        <v>131</v>
      </c>
      <c r="C152" s="405">
        <v>45507</v>
      </c>
      <c r="D152" s="634" t="s">
        <v>94</v>
      </c>
      <c r="E152" s="635"/>
      <c r="F152" s="190">
        <v>290</v>
      </c>
      <c r="G152" s="191">
        <v>400</v>
      </c>
      <c r="H152" s="192">
        <f t="shared" ref="H152:H162" si="13">+F152*G152</f>
        <v>116000</v>
      </c>
    </row>
    <row r="153" spans="1:8" ht="14.4" x14ac:dyDescent="0.3">
      <c r="A153" s="403"/>
      <c r="B153" s="403"/>
      <c r="C153" s="406"/>
      <c r="D153" s="634" t="s">
        <v>96</v>
      </c>
      <c r="E153" s="635"/>
      <c r="F153" s="190">
        <v>1</v>
      </c>
      <c r="G153" s="191">
        <v>10000</v>
      </c>
      <c r="H153" s="192">
        <f t="shared" si="13"/>
        <v>10000</v>
      </c>
    </row>
    <row r="154" spans="1:8" ht="14.4" x14ac:dyDescent="0.3">
      <c r="A154" s="403"/>
      <c r="B154" s="403"/>
      <c r="C154" s="406"/>
      <c r="D154" s="634" t="s">
        <v>97</v>
      </c>
      <c r="E154" s="635"/>
      <c r="F154" s="190">
        <v>1</v>
      </c>
      <c r="G154" s="191">
        <v>20000</v>
      </c>
      <c r="H154" s="192">
        <f t="shared" si="13"/>
        <v>20000</v>
      </c>
    </row>
    <row r="155" spans="1:8" ht="14.4" x14ac:dyDescent="0.3">
      <c r="A155" s="403"/>
      <c r="B155" s="403"/>
      <c r="C155" s="406"/>
      <c r="D155" s="567" t="s">
        <v>95</v>
      </c>
      <c r="E155" s="568" t="s">
        <v>54</v>
      </c>
      <c r="F155" s="112">
        <v>2600</v>
      </c>
      <c r="G155" s="113">
        <v>90</v>
      </c>
      <c r="H155" s="114">
        <f t="shared" si="13"/>
        <v>234000</v>
      </c>
    </row>
    <row r="156" spans="1:8" ht="14.4" x14ac:dyDescent="0.3">
      <c r="A156" s="403"/>
      <c r="B156" s="403"/>
      <c r="C156" s="406"/>
      <c r="D156" s="567" t="s">
        <v>135</v>
      </c>
      <c r="E156" s="568" t="s">
        <v>54</v>
      </c>
      <c r="F156" s="112">
        <v>600</v>
      </c>
      <c r="G156" s="113">
        <v>90</v>
      </c>
      <c r="H156" s="114">
        <f t="shared" si="13"/>
        <v>54000</v>
      </c>
    </row>
    <row r="157" spans="1:8" ht="14.4" x14ac:dyDescent="0.3">
      <c r="A157" s="403"/>
      <c r="B157" s="403"/>
      <c r="C157" s="406"/>
      <c r="D157" s="567" t="s">
        <v>98</v>
      </c>
      <c r="E157" s="568" t="s">
        <v>55</v>
      </c>
      <c r="F157" s="112">
        <v>2</v>
      </c>
      <c r="G157" s="113">
        <v>35000</v>
      </c>
      <c r="H157" s="114">
        <f t="shared" si="13"/>
        <v>70000</v>
      </c>
    </row>
    <row r="158" spans="1:8" ht="14.4" x14ac:dyDescent="0.3">
      <c r="A158" s="403"/>
      <c r="B158" s="403"/>
      <c r="C158" s="406"/>
      <c r="D158" s="567" t="s">
        <v>99</v>
      </c>
      <c r="E158" s="568" t="s">
        <v>81</v>
      </c>
      <c r="F158" s="112">
        <v>1</v>
      </c>
      <c r="G158" s="113">
        <v>20000</v>
      </c>
      <c r="H158" s="114">
        <f t="shared" si="13"/>
        <v>20000</v>
      </c>
    </row>
    <row r="159" spans="1:8" ht="14.4" x14ac:dyDescent="0.3">
      <c r="A159" s="403"/>
      <c r="B159" s="403"/>
      <c r="C159" s="406"/>
      <c r="D159" s="567" t="s">
        <v>115</v>
      </c>
      <c r="E159" s="568" t="s">
        <v>82</v>
      </c>
      <c r="F159" s="112">
        <v>0</v>
      </c>
      <c r="G159" s="113">
        <v>14000</v>
      </c>
      <c r="H159" s="114">
        <f t="shared" si="13"/>
        <v>0</v>
      </c>
    </row>
    <row r="160" spans="1:8" ht="14.4" x14ac:dyDescent="0.3">
      <c r="A160" s="403"/>
      <c r="B160" s="403"/>
      <c r="C160" s="406"/>
      <c r="D160" s="634" t="s">
        <v>133</v>
      </c>
      <c r="E160" s="635" t="s">
        <v>82</v>
      </c>
      <c r="F160" s="190">
        <v>2</v>
      </c>
      <c r="G160" s="193">
        <v>12500</v>
      </c>
      <c r="H160" s="192">
        <f t="shared" si="13"/>
        <v>25000</v>
      </c>
    </row>
    <row r="161" spans="1:8" ht="14.4" x14ac:dyDescent="0.3">
      <c r="A161" s="403"/>
      <c r="B161" s="403"/>
      <c r="C161" s="406"/>
      <c r="D161" s="634" t="s">
        <v>181</v>
      </c>
      <c r="E161" s="635"/>
      <c r="F161" s="190">
        <v>1</v>
      </c>
      <c r="G161" s="193">
        <v>25000</v>
      </c>
      <c r="H161" s="192">
        <f t="shared" si="13"/>
        <v>25000</v>
      </c>
    </row>
    <row r="162" spans="1:8" ht="14.4" x14ac:dyDescent="0.3">
      <c r="A162" s="403"/>
      <c r="B162" s="403"/>
      <c r="C162" s="406"/>
      <c r="D162" s="634" t="s">
        <v>182</v>
      </c>
      <c r="E162" s="635"/>
      <c r="F162" s="190">
        <v>1</v>
      </c>
      <c r="G162" s="193">
        <v>50000</v>
      </c>
      <c r="H162" s="192">
        <f t="shared" si="13"/>
        <v>50000</v>
      </c>
    </row>
    <row r="163" spans="1:8" thickBot="1" x14ac:dyDescent="0.35">
      <c r="A163" s="404"/>
      <c r="B163" s="404"/>
      <c r="C163" s="407"/>
      <c r="D163" s="535" t="s">
        <v>22</v>
      </c>
      <c r="E163" s="485"/>
      <c r="F163" s="485"/>
      <c r="G163" s="418"/>
      <c r="H163" s="115">
        <f>SUM(H152:H162)</f>
        <v>624000</v>
      </c>
    </row>
    <row r="164" spans="1:8" ht="14.4" x14ac:dyDescent="0.3">
      <c r="A164" s="403">
        <v>15</v>
      </c>
      <c r="B164" s="402" t="s">
        <v>30</v>
      </c>
      <c r="C164" s="405">
        <v>45518</v>
      </c>
      <c r="D164" s="634" t="s">
        <v>94</v>
      </c>
      <c r="E164" s="635"/>
      <c r="F164" s="190">
        <v>590</v>
      </c>
      <c r="G164" s="191">
        <v>400</v>
      </c>
      <c r="H164" s="192">
        <f t="shared" ref="H164:H174" si="14">+F164*G164</f>
        <v>236000</v>
      </c>
    </row>
    <row r="165" spans="1:8" ht="14.4" x14ac:dyDescent="0.3">
      <c r="A165" s="403"/>
      <c r="B165" s="403"/>
      <c r="C165" s="406"/>
      <c r="D165" s="634" t="s">
        <v>96</v>
      </c>
      <c r="E165" s="635"/>
      <c r="F165" s="190">
        <v>1</v>
      </c>
      <c r="G165" s="191">
        <v>10000</v>
      </c>
      <c r="H165" s="192">
        <f t="shared" si="14"/>
        <v>10000</v>
      </c>
    </row>
    <row r="166" spans="1:8" ht="14.4" x14ac:dyDescent="0.3">
      <c r="A166" s="403"/>
      <c r="B166" s="403"/>
      <c r="C166" s="406"/>
      <c r="D166" s="634" t="s">
        <v>97</v>
      </c>
      <c r="E166" s="635"/>
      <c r="F166" s="190">
        <v>1</v>
      </c>
      <c r="G166" s="191">
        <v>20000</v>
      </c>
      <c r="H166" s="192">
        <f t="shared" si="14"/>
        <v>20000</v>
      </c>
    </row>
    <row r="167" spans="1:8" ht="14.4" x14ac:dyDescent="0.3">
      <c r="A167" s="403"/>
      <c r="B167" s="403"/>
      <c r="C167" s="406"/>
      <c r="D167" s="567" t="s">
        <v>95</v>
      </c>
      <c r="E167" s="568" t="s">
        <v>54</v>
      </c>
      <c r="F167" s="112">
        <v>2600</v>
      </c>
      <c r="G167" s="113">
        <v>90</v>
      </c>
      <c r="H167" s="114">
        <f t="shared" si="14"/>
        <v>234000</v>
      </c>
    </row>
    <row r="168" spans="1:8" ht="14.4" x14ac:dyDescent="0.3">
      <c r="A168" s="403"/>
      <c r="B168" s="403"/>
      <c r="C168" s="406"/>
      <c r="D168" s="567" t="s">
        <v>135</v>
      </c>
      <c r="E168" s="568" t="s">
        <v>54</v>
      </c>
      <c r="F168" s="112">
        <v>0</v>
      </c>
      <c r="G168" s="113">
        <v>90</v>
      </c>
      <c r="H168" s="114">
        <f t="shared" si="14"/>
        <v>0</v>
      </c>
    </row>
    <row r="169" spans="1:8" ht="14.4" x14ac:dyDescent="0.3">
      <c r="A169" s="403"/>
      <c r="B169" s="403"/>
      <c r="C169" s="406"/>
      <c r="D169" s="567" t="s">
        <v>98</v>
      </c>
      <c r="E169" s="568" t="s">
        <v>55</v>
      </c>
      <c r="F169" s="112">
        <v>2</v>
      </c>
      <c r="G169" s="113">
        <v>35000</v>
      </c>
      <c r="H169" s="114">
        <f t="shared" si="14"/>
        <v>70000</v>
      </c>
    </row>
    <row r="170" spans="1:8" ht="14.4" x14ac:dyDescent="0.3">
      <c r="A170" s="403"/>
      <c r="B170" s="403"/>
      <c r="C170" s="406"/>
      <c r="D170" s="567" t="s">
        <v>99</v>
      </c>
      <c r="E170" s="568" t="s">
        <v>81</v>
      </c>
      <c r="F170" s="112">
        <v>1</v>
      </c>
      <c r="G170" s="113">
        <v>20000</v>
      </c>
      <c r="H170" s="114">
        <f t="shared" si="14"/>
        <v>20000</v>
      </c>
    </row>
    <row r="171" spans="1:8" ht="14.4" x14ac:dyDescent="0.3">
      <c r="A171" s="403"/>
      <c r="B171" s="403"/>
      <c r="C171" s="406"/>
      <c r="D171" s="567" t="s">
        <v>115</v>
      </c>
      <c r="E171" s="568" t="s">
        <v>82</v>
      </c>
      <c r="F171" s="112">
        <v>7</v>
      </c>
      <c r="G171" s="113">
        <v>14000</v>
      </c>
      <c r="H171" s="114">
        <f t="shared" si="14"/>
        <v>98000</v>
      </c>
    </row>
    <row r="172" spans="1:8" ht="14.4" x14ac:dyDescent="0.3">
      <c r="A172" s="403"/>
      <c r="B172" s="403"/>
      <c r="C172" s="406"/>
      <c r="D172" s="634" t="s">
        <v>133</v>
      </c>
      <c r="E172" s="635" t="s">
        <v>82</v>
      </c>
      <c r="F172" s="190">
        <v>2</v>
      </c>
      <c r="G172" s="193">
        <v>12500</v>
      </c>
      <c r="H172" s="192">
        <f t="shared" si="14"/>
        <v>25000</v>
      </c>
    </row>
    <row r="173" spans="1:8" ht="14.4" x14ac:dyDescent="0.3">
      <c r="A173" s="403"/>
      <c r="B173" s="403"/>
      <c r="C173" s="406"/>
      <c r="D173" s="634" t="s">
        <v>181</v>
      </c>
      <c r="E173" s="635"/>
      <c r="F173" s="190">
        <v>1</v>
      </c>
      <c r="G173" s="193">
        <v>25000</v>
      </c>
      <c r="H173" s="192">
        <f t="shared" si="14"/>
        <v>25000</v>
      </c>
    </row>
    <row r="174" spans="1:8" ht="14.4" x14ac:dyDescent="0.3">
      <c r="A174" s="403"/>
      <c r="B174" s="403"/>
      <c r="C174" s="406"/>
      <c r="D174" s="634" t="s">
        <v>182</v>
      </c>
      <c r="E174" s="635"/>
      <c r="F174" s="190">
        <v>1</v>
      </c>
      <c r="G174" s="193">
        <v>50000</v>
      </c>
      <c r="H174" s="192">
        <f t="shared" si="14"/>
        <v>50000</v>
      </c>
    </row>
    <row r="175" spans="1:8" thickBot="1" x14ac:dyDescent="0.35">
      <c r="A175" s="404"/>
      <c r="B175" s="404"/>
      <c r="C175" s="407"/>
      <c r="D175" s="535" t="s">
        <v>22</v>
      </c>
      <c r="E175" s="485"/>
      <c r="F175" s="485"/>
      <c r="G175" s="418"/>
      <c r="H175" s="115">
        <f>SUM(H164:H174)</f>
        <v>788000</v>
      </c>
    </row>
    <row r="176" spans="1:8" ht="14.4" x14ac:dyDescent="0.3">
      <c r="A176" s="403">
        <v>16</v>
      </c>
      <c r="B176" s="402" t="s">
        <v>34</v>
      </c>
      <c r="C176" s="405">
        <v>45521</v>
      </c>
      <c r="D176" s="634" t="s">
        <v>94</v>
      </c>
      <c r="E176" s="635"/>
      <c r="F176" s="190">
        <v>290</v>
      </c>
      <c r="G176" s="191">
        <v>400</v>
      </c>
      <c r="H176" s="192">
        <f t="shared" ref="H176:H185" si="15">+F176*G176</f>
        <v>116000</v>
      </c>
    </row>
    <row r="177" spans="1:8" ht="14.4" x14ac:dyDescent="0.3">
      <c r="A177" s="403"/>
      <c r="B177" s="403"/>
      <c r="C177" s="406"/>
      <c r="D177" s="634" t="s">
        <v>96</v>
      </c>
      <c r="E177" s="635"/>
      <c r="F177" s="190">
        <v>1</v>
      </c>
      <c r="G177" s="191">
        <v>10000</v>
      </c>
      <c r="H177" s="192">
        <f t="shared" si="15"/>
        <v>10000</v>
      </c>
    </row>
    <row r="178" spans="1:8" ht="14.4" x14ac:dyDescent="0.3">
      <c r="A178" s="403"/>
      <c r="B178" s="403"/>
      <c r="C178" s="406"/>
      <c r="D178" s="634" t="s">
        <v>97</v>
      </c>
      <c r="E178" s="635"/>
      <c r="F178" s="190">
        <v>1</v>
      </c>
      <c r="G178" s="191">
        <v>20000</v>
      </c>
      <c r="H178" s="192">
        <f t="shared" si="15"/>
        <v>20000</v>
      </c>
    </row>
    <row r="179" spans="1:8" ht="14.4" x14ac:dyDescent="0.3">
      <c r="A179" s="403"/>
      <c r="B179" s="403"/>
      <c r="C179" s="406"/>
      <c r="D179" s="567" t="s">
        <v>95</v>
      </c>
      <c r="E179" s="568" t="s">
        <v>54</v>
      </c>
      <c r="F179" s="112">
        <v>2600</v>
      </c>
      <c r="G179" s="113">
        <v>90</v>
      </c>
      <c r="H179" s="114">
        <f t="shared" si="15"/>
        <v>234000</v>
      </c>
    </row>
    <row r="180" spans="1:8" ht="14.4" x14ac:dyDescent="0.3">
      <c r="A180" s="403"/>
      <c r="B180" s="403"/>
      <c r="C180" s="406"/>
      <c r="D180" s="567" t="s">
        <v>135</v>
      </c>
      <c r="E180" s="568" t="s">
        <v>54</v>
      </c>
      <c r="F180" s="112">
        <v>0</v>
      </c>
      <c r="G180" s="113">
        <v>90</v>
      </c>
      <c r="H180" s="114">
        <f t="shared" si="15"/>
        <v>0</v>
      </c>
    </row>
    <row r="181" spans="1:8" ht="14.4" x14ac:dyDescent="0.3">
      <c r="A181" s="403"/>
      <c r="B181" s="403"/>
      <c r="C181" s="406"/>
      <c r="D181" s="567" t="s">
        <v>98</v>
      </c>
      <c r="E181" s="568" t="s">
        <v>55</v>
      </c>
      <c r="F181" s="112">
        <v>2</v>
      </c>
      <c r="G181" s="113">
        <v>35000</v>
      </c>
      <c r="H181" s="114">
        <f t="shared" si="15"/>
        <v>70000</v>
      </c>
    </row>
    <row r="182" spans="1:8" ht="14.4" x14ac:dyDescent="0.3">
      <c r="A182" s="403"/>
      <c r="B182" s="403"/>
      <c r="C182" s="406"/>
      <c r="D182" s="567" t="s">
        <v>99</v>
      </c>
      <c r="E182" s="568" t="s">
        <v>81</v>
      </c>
      <c r="F182" s="112">
        <v>1</v>
      </c>
      <c r="G182" s="113">
        <v>20000</v>
      </c>
      <c r="H182" s="114">
        <f t="shared" si="15"/>
        <v>20000</v>
      </c>
    </row>
    <row r="183" spans="1:8" ht="14.4" x14ac:dyDescent="0.3">
      <c r="A183" s="403"/>
      <c r="B183" s="403"/>
      <c r="C183" s="406"/>
      <c r="D183" s="567" t="s">
        <v>115</v>
      </c>
      <c r="E183" s="568" t="s">
        <v>82</v>
      </c>
      <c r="F183" s="112">
        <v>0</v>
      </c>
      <c r="G183" s="113">
        <v>14000</v>
      </c>
      <c r="H183" s="114">
        <f t="shared" si="15"/>
        <v>0</v>
      </c>
    </row>
    <row r="184" spans="1:8" ht="14.4" x14ac:dyDescent="0.3">
      <c r="A184" s="403"/>
      <c r="B184" s="403"/>
      <c r="C184" s="406"/>
      <c r="D184" s="634" t="s">
        <v>133</v>
      </c>
      <c r="E184" s="635" t="s">
        <v>82</v>
      </c>
      <c r="F184" s="190">
        <v>2</v>
      </c>
      <c r="G184" s="193">
        <v>12500</v>
      </c>
      <c r="H184" s="192">
        <f t="shared" si="15"/>
        <v>25000</v>
      </c>
    </row>
    <row r="185" spans="1:8" ht="14.4" x14ac:dyDescent="0.3">
      <c r="A185" s="403"/>
      <c r="B185" s="403"/>
      <c r="C185" s="406"/>
      <c r="D185" s="634" t="s">
        <v>181</v>
      </c>
      <c r="E185" s="635"/>
      <c r="F185" s="190">
        <v>1</v>
      </c>
      <c r="G185" s="193">
        <v>25000</v>
      </c>
      <c r="H185" s="192">
        <f t="shared" si="15"/>
        <v>25000</v>
      </c>
    </row>
    <row r="186" spans="1:8" ht="14.4" x14ac:dyDescent="0.3">
      <c r="A186" s="403"/>
      <c r="B186" s="403"/>
      <c r="C186" s="406"/>
      <c r="D186" s="634" t="s">
        <v>182</v>
      </c>
      <c r="E186" s="635"/>
      <c r="F186" s="190">
        <v>0</v>
      </c>
      <c r="G186" s="193">
        <v>0</v>
      </c>
      <c r="H186" s="287">
        <v>0</v>
      </c>
    </row>
    <row r="187" spans="1:8" thickBot="1" x14ac:dyDescent="0.35">
      <c r="A187" s="404"/>
      <c r="B187" s="404"/>
      <c r="C187" s="407"/>
      <c r="D187" s="535" t="s">
        <v>22</v>
      </c>
      <c r="E187" s="485"/>
      <c r="F187" s="485"/>
      <c r="G187" s="418"/>
      <c r="H187" s="115">
        <f>SUM(H176:H186)</f>
        <v>520000</v>
      </c>
    </row>
    <row r="188" spans="1:8" ht="14.4" x14ac:dyDescent="0.3">
      <c r="A188" s="403">
        <v>17</v>
      </c>
      <c r="B188" s="402" t="s">
        <v>172</v>
      </c>
      <c r="C188" s="405">
        <v>45535</v>
      </c>
      <c r="D188" s="634" t="s">
        <v>94</v>
      </c>
      <c r="E188" s="635"/>
      <c r="F188" s="190">
        <v>290</v>
      </c>
      <c r="G188" s="191">
        <v>400</v>
      </c>
      <c r="H188" s="192">
        <f t="shared" ref="H188:H197" si="16">+F188*G188</f>
        <v>116000</v>
      </c>
    </row>
    <row r="189" spans="1:8" ht="14.4" x14ac:dyDescent="0.3">
      <c r="A189" s="403"/>
      <c r="B189" s="403"/>
      <c r="C189" s="406"/>
      <c r="D189" s="634" t="s">
        <v>96</v>
      </c>
      <c r="E189" s="635"/>
      <c r="F189" s="190">
        <v>1</v>
      </c>
      <c r="G189" s="191">
        <v>10000</v>
      </c>
      <c r="H189" s="192">
        <f t="shared" si="16"/>
        <v>10000</v>
      </c>
    </row>
    <row r="190" spans="1:8" ht="14.4" x14ac:dyDescent="0.3">
      <c r="A190" s="403"/>
      <c r="B190" s="403"/>
      <c r="C190" s="406"/>
      <c r="D190" s="634" t="s">
        <v>97</v>
      </c>
      <c r="E190" s="635"/>
      <c r="F190" s="190">
        <v>1</v>
      </c>
      <c r="G190" s="191">
        <v>20000</v>
      </c>
      <c r="H190" s="192">
        <f t="shared" si="16"/>
        <v>20000</v>
      </c>
    </row>
    <row r="191" spans="1:8" ht="14.4" x14ac:dyDescent="0.3">
      <c r="A191" s="403"/>
      <c r="B191" s="403"/>
      <c r="C191" s="406"/>
      <c r="D191" s="567" t="s">
        <v>95</v>
      </c>
      <c r="E191" s="568" t="s">
        <v>54</v>
      </c>
      <c r="F191" s="112">
        <v>2600</v>
      </c>
      <c r="G191" s="113">
        <v>90</v>
      </c>
      <c r="H191" s="114">
        <f t="shared" si="16"/>
        <v>234000</v>
      </c>
    </row>
    <row r="192" spans="1:8" ht="14.4" x14ac:dyDescent="0.3">
      <c r="A192" s="403"/>
      <c r="B192" s="403"/>
      <c r="C192" s="406"/>
      <c r="D192" s="567" t="s">
        <v>135</v>
      </c>
      <c r="E192" s="568" t="s">
        <v>54</v>
      </c>
      <c r="F192" s="112">
        <v>0</v>
      </c>
      <c r="G192" s="113">
        <v>90</v>
      </c>
      <c r="H192" s="114">
        <f t="shared" si="16"/>
        <v>0</v>
      </c>
    </row>
    <row r="193" spans="1:8" ht="14.4" x14ac:dyDescent="0.3">
      <c r="A193" s="403"/>
      <c r="B193" s="403"/>
      <c r="C193" s="406"/>
      <c r="D193" s="567" t="s">
        <v>98</v>
      </c>
      <c r="E193" s="568" t="s">
        <v>55</v>
      </c>
      <c r="F193" s="112">
        <v>2</v>
      </c>
      <c r="G193" s="113">
        <v>35000</v>
      </c>
      <c r="H193" s="114">
        <f t="shared" si="16"/>
        <v>70000</v>
      </c>
    </row>
    <row r="194" spans="1:8" ht="14.4" x14ac:dyDescent="0.3">
      <c r="A194" s="403"/>
      <c r="B194" s="403"/>
      <c r="C194" s="406"/>
      <c r="D194" s="567" t="s">
        <v>99</v>
      </c>
      <c r="E194" s="568" t="s">
        <v>81</v>
      </c>
      <c r="F194" s="112">
        <v>1</v>
      </c>
      <c r="G194" s="113">
        <v>20000</v>
      </c>
      <c r="H194" s="114">
        <f t="shared" si="16"/>
        <v>20000</v>
      </c>
    </row>
    <row r="195" spans="1:8" ht="14.4" x14ac:dyDescent="0.3">
      <c r="A195" s="403"/>
      <c r="B195" s="403"/>
      <c r="C195" s="406"/>
      <c r="D195" s="567" t="s">
        <v>115</v>
      </c>
      <c r="E195" s="568" t="s">
        <v>82</v>
      </c>
      <c r="F195" s="112">
        <v>0</v>
      </c>
      <c r="G195" s="113">
        <v>14000</v>
      </c>
      <c r="H195" s="114">
        <f t="shared" si="16"/>
        <v>0</v>
      </c>
    </row>
    <row r="196" spans="1:8" ht="14.4" x14ac:dyDescent="0.3">
      <c r="A196" s="403"/>
      <c r="B196" s="403"/>
      <c r="C196" s="406"/>
      <c r="D196" s="634" t="s">
        <v>133</v>
      </c>
      <c r="E196" s="635" t="s">
        <v>82</v>
      </c>
      <c r="F196" s="190">
        <v>2</v>
      </c>
      <c r="G196" s="193">
        <v>12500</v>
      </c>
      <c r="H196" s="192">
        <f t="shared" si="16"/>
        <v>25000</v>
      </c>
    </row>
    <row r="197" spans="1:8" ht="14.4" x14ac:dyDescent="0.3">
      <c r="A197" s="403"/>
      <c r="B197" s="403"/>
      <c r="C197" s="406"/>
      <c r="D197" s="634" t="s">
        <v>181</v>
      </c>
      <c r="E197" s="635"/>
      <c r="F197" s="190">
        <v>1</v>
      </c>
      <c r="G197" s="193">
        <v>25000</v>
      </c>
      <c r="H197" s="192">
        <f t="shared" si="16"/>
        <v>25000</v>
      </c>
    </row>
    <row r="198" spans="1:8" ht="14.4" x14ac:dyDescent="0.3">
      <c r="A198" s="403"/>
      <c r="B198" s="403"/>
      <c r="C198" s="406"/>
      <c r="D198" s="634" t="s">
        <v>182</v>
      </c>
      <c r="E198" s="635"/>
      <c r="F198" s="190">
        <v>0</v>
      </c>
      <c r="G198" s="193">
        <v>0</v>
      </c>
      <c r="H198" s="287">
        <v>0</v>
      </c>
    </row>
    <row r="199" spans="1:8" thickBot="1" x14ac:dyDescent="0.35">
      <c r="A199" s="404"/>
      <c r="B199" s="404"/>
      <c r="C199" s="407"/>
      <c r="D199" s="535" t="s">
        <v>22</v>
      </c>
      <c r="E199" s="485"/>
      <c r="F199" s="485"/>
      <c r="G199" s="418"/>
      <c r="H199" s="115">
        <f>SUM(H188:H198)</f>
        <v>520000</v>
      </c>
    </row>
    <row r="200" spans="1:8" ht="14.4" x14ac:dyDescent="0.3">
      <c r="A200" s="403">
        <v>18</v>
      </c>
      <c r="B200" s="402" t="s">
        <v>79</v>
      </c>
      <c r="C200" s="405">
        <v>45557</v>
      </c>
      <c r="D200" s="634" t="s">
        <v>94</v>
      </c>
      <c r="E200" s="635"/>
      <c r="F200" s="190">
        <v>290</v>
      </c>
      <c r="G200" s="191">
        <v>400</v>
      </c>
      <c r="H200" s="192">
        <f t="shared" ref="H200:H210" si="17">+F200*G200</f>
        <v>116000</v>
      </c>
    </row>
    <row r="201" spans="1:8" ht="14.4" x14ac:dyDescent="0.3">
      <c r="A201" s="403"/>
      <c r="B201" s="403"/>
      <c r="C201" s="406"/>
      <c r="D201" s="634" t="s">
        <v>96</v>
      </c>
      <c r="E201" s="635"/>
      <c r="F201" s="190">
        <v>1</v>
      </c>
      <c r="G201" s="191">
        <v>10000</v>
      </c>
      <c r="H201" s="192">
        <f t="shared" si="17"/>
        <v>10000</v>
      </c>
    </row>
    <row r="202" spans="1:8" ht="14.4" x14ac:dyDescent="0.3">
      <c r="A202" s="403"/>
      <c r="B202" s="403"/>
      <c r="C202" s="406"/>
      <c r="D202" s="634" t="s">
        <v>97</v>
      </c>
      <c r="E202" s="635"/>
      <c r="F202" s="190">
        <v>1</v>
      </c>
      <c r="G202" s="191">
        <v>20000</v>
      </c>
      <c r="H202" s="192">
        <f t="shared" si="17"/>
        <v>20000</v>
      </c>
    </row>
    <row r="203" spans="1:8" ht="14.4" x14ac:dyDescent="0.3">
      <c r="A203" s="403"/>
      <c r="B203" s="403"/>
      <c r="C203" s="406"/>
      <c r="D203" s="567" t="s">
        <v>95</v>
      </c>
      <c r="E203" s="568" t="s">
        <v>54</v>
      </c>
      <c r="F203" s="112">
        <v>2600</v>
      </c>
      <c r="G203" s="113">
        <v>90</v>
      </c>
      <c r="H203" s="114">
        <f t="shared" si="17"/>
        <v>234000</v>
      </c>
    </row>
    <row r="204" spans="1:8" ht="14.4" x14ac:dyDescent="0.3">
      <c r="A204" s="403"/>
      <c r="B204" s="403"/>
      <c r="C204" s="406"/>
      <c r="D204" s="567" t="s">
        <v>135</v>
      </c>
      <c r="E204" s="568" t="s">
        <v>54</v>
      </c>
      <c r="F204" s="112">
        <v>600</v>
      </c>
      <c r="G204" s="113">
        <v>90</v>
      </c>
      <c r="H204" s="114">
        <f t="shared" si="17"/>
        <v>54000</v>
      </c>
    </row>
    <row r="205" spans="1:8" ht="14.4" x14ac:dyDescent="0.3">
      <c r="A205" s="403"/>
      <c r="B205" s="403"/>
      <c r="C205" s="406"/>
      <c r="D205" s="567" t="s">
        <v>98</v>
      </c>
      <c r="E205" s="568" t="s">
        <v>55</v>
      </c>
      <c r="F205" s="112">
        <v>2</v>
      </c>
      <c r="G205" s="113">
        <v>35000</v>
      </c>
      <c r="H205" s="114">
        <f t="shared" si="17"/>
        <v>70000</v>
      </c>
    </row>
    <row r="206" spans="1:8" ht="14.4" x14ac:dyDescent="0.3">
      <c r="A206" s="403"/>
      <c r="B206" s="403"/>
      <c r="C206" s="406"/>
      <c r="D206" s="567" t="s">
        <v>99</v>
      </c>
      <c r="E206" s="568" t="s">
        <v>81</v>
      </c>
      <c r="F206" s="112">
        <v>1</v>
      </c>
      <c r="G206" s="113">
        <v>20000</v>
      </c>
      <c r="H206" s="114">
        <f t="shared" si="17"/>
        <v>20000</v>
      </c>
    </row>
    <row r="207" spans="1:8" ht="14.4" x14ac:dyDescent="0.3">
      <c r="A207" s="403"/>
      <c r="B207" s="403"/>
      <c r="C207" s="406"/>
      <c r="D207" s="567" t="s">
        <v>115</v>
      </c>
      <c r="E207" s="568" t="s">
        <v>82</v>
      </c>
      <c r="F207" s="112">
        <v>0</v>
      </c>
      <c r="G207" s="113">
        <v>14000</v>
      </c>
      <c r="H207" s="114">
        <f t="shared" si="17"/>
        <v>0</v>
      </c>
    </row>
    <row r="208" spans="1:8" ht="14.4" x14ac:dyDescent="0.3">
      <c r="A208" s="403"/>
      <c r="B208" s="403"/>
      <c r="C208" s="406"/>
      <c r="D208" s="634" t="s">
        <v>133</v>
      </c>
      <c r="E208" s="635" t="s">
        <v>82</v>
      </c>
      <c r="F208" s="190">
        <v>2</v>
      </c>
      <c r="G208" s="193">
        <v>12500</v>
      </c>
      <c r="H208" s="192">
        <f t="shared" si="17"/>
        <v>25000</v>
      </c>
    </row>
    <row r="209" spans="1:8" ht="14.4" x14ac:dyDescent="0.3">
      <c r="A209" s="403"/>
      <c r="B209" s="403"/>
      <c r="C209" s="406"/>
      <c r="D209" s="634" t="s">
        <v>181</v>
      </c>
      <c r="E209" s="635"/>
      <c r="F209" s="190">
        <v>1</v>
      </c>
      <c r="G209" s="193">
        <v>25000</v>
      </c>
      <c r="H209" s="192">
        <f t="shared" si="17"/>
        <v>25000</v>
      </c>
    </row>
    <row r="210" spans="1:8" ht="14.4" x14ac:dyDescent="0.3">
      <c r="A210" s="403"/>
      <c r="B210" s="403"/>
      <c r="C210" s="406"/>
      <c r="D210" s="634" t="s">
        <v>182</v>
      </c>
      <c r="E210" s="635"/>
      <c r="F210" s="190">
        <v>1</v>
      </c>
      <c r="G210" s="193">
        <v>150000</v>
      </c>
      <c r="H210" s="192">
        <f t="shared" si="17"/>
        <v>150000</v>
      </c>
    </row>
    <row r="211" spans="1:8" thickBot="1" x14ac:dyDescent="0.35">
      <c r="A211" s="404"/>
      <c r="B211" s="404"/>
      <c r="C211" s="407"/>
      <c r="D211" s="535" t="s">
        <v>22</v>
      </c>
      <c r="E211" s="485"/>
      <c r="F211" s="485"/>
      <c r="G211" s="418"/>
      <c r="H211" s="115">
        <f>SUM(H200:H210)</f>
        <v>724000</v>
      </c>
    </row>
    <row r="212" spans="1:8" ht="14.4" x14ac:dyDescent="0.3">
      <c r="A212" s="403">
        <v>19</v>
      </c>
      <c r="B212" s="402" t="s">
        <v>38</v>
      </c>
      <c r="C212" s="405">
        <v>45571</v>
      </c>
      <c r="D212" s="634" t="s">
        <v>94</v>
      </c>
      <c r="E212" s="635"/>
      <c r="F212" s="190">
        <v>290</v>
      </c>
      <c r="G212" s="191">
        <v>400</v>
      </c>
      <c r="H212" s="192">
        <f t="shared" ref="H212:H222" si="18">+F212*G212</f>
        <v>116000</v>
      </c>
    </row>
    <row r="213" spans="1:8" ht="14.4" x14ac:dyDescent="0.3">
      <c r="A213" s="403"/>
      <c r="B213" s="403"/>
      <c r="C213" s="406"/>
      <c r="D213" s="634" t="s">
        <v>96</v>
      </c>
      <c r="E213" s="635"/>
      <c r="F213" s="190">
        <v>1</v>
      </c>
      <c r="G213" s="191">
        <v>10000</v>
      </c>
      <c r="H213" s="192">
        <f t="shared" si="18"/>
        <v>10000</v>
      </c>
    </row>
    <row r="214" spans="1:8" ht="14.4" x14ac:dyDescent="0.3">
      <c r="A214" s="403"/>
      <c r="B214" s="403"/>
      <c r="C214" s="406"/>
      <c r="D214" s="634" t="s">
        <v>97</v>
      </c>
      <c r="E214" s="635"/>
      <c r="F214" s="190">
        <v>1</v>
      </c>
      <c r="G214" s="191">
        <v>20000</v>
      </c>
      <c r="H214" s="192">
        <f t="shared" si="18"/>
        <v>20000</v>
      </c>
    </row>
    <row r="215" spans="1:8" ht="14.4" x14ac:dyDescent="0.3">
      <c r="A215" s="403"/>
      <c r="B215" s="403"/>
      <c r="C215" s="406"/>
      <c r="D215" s="567" t="s">
        <v>95</v>
      </c>
      <c r="E215" s="568" t="s">
        <v>54</v>
      </c>
      <c r="F215" s="112">
        <v>2600</v>
      </c>
      <c r="G215" s="113">
        <v>90</v>
      </c>
      <c r="H215" s="114">
        <f t="shared" si="18"/>
        <v>234000</v>
      </c>
    </row>
    <row r="216" spans="1:8" ht="14.4" x14ac:dyDescent="0.3">
      <c r="A216" s="403"/>
      <c r="B216" s="403"/>
      <c r="C216" s="406"/>
      <c r="D216" s="567" t="s">
        <v>135</v>
      </c>
      <c r="E216" s="568" t="s">
        <v>54</v>
      </c>
      <c r="F216" s="112">
        <v>600</v>
      </c>
      <c r="G216" s="113">
        <v>90</v>
      </c>
      <c r="H216" s="114">
        <f t="shared" si="18"/>
        <v>54000</v>
      </c>
    </row>
    <row r="217" spans="1:8" ht="14.4" x14ac:dyDescent="0.3">
      <c r="A217" s="403"/>
      <c r="B217" s="403"/>
      <c r="C217" s="406"/>
      <c r="D217" s="567" t="s">
        <v>98</v>
      </c>
      <c r="E217" s="568" t="s">
        <v>55</v>
      </c>
      <c r="F217" s="112">
        <v>2</v>
      </c>
      <c r="G217" s="113">
        <v>35000</v>
      </c>
      <c r="H217" s="114">
        <f t="shared" si="18"/>
        <v>70000</v>
      </c>
    </row>
    <row r="218" spans="1:8" ht="14.4" x14ac:dyDescent="0.3">
      <c r="A218" s="403"/>
      <c r="B218" s="403"/>
      <c r="C218" s="406"/>
      <c r="D218" s="567" t="s">
        <v>99</v>
      </c>
      <c r="E218" s="568" t="s">
        <v>81</v>
      </c>
      <c r="F218" s="112">
        <v>1</v>
      </c>
      <c r="G218" s="113">
        <v>20000</v>
      </c>
      <c r="H218" s="114">
        <f t="shared" si="18"/>
        <v>20000</v>
      </c>
    </row>
    <row r="219" spans="1:8" ht="14.4" x14ac:dyDescent="0.3">
      <c r="A219" s="403"/>
      <c r="B219" s="403"/>
      <c r="C219" s="406"/>
      <c r="D219" s="567" t="s">
        <v>115</v>
      </c>
      <c r="E219" s="568" t="s">
        <v>82</v>
      </c>
      <c r="F219" s="112">
        <v>0</v>
      </c>
      <c r="G219" s="113">
        <v>14000</v>
      </c>
      <c r="H219" s="114">
        <f t="shared" si="18"/>
        <v>0</v>
      </c>
    </row>
    <row r="220" spans="1:8" ht="14.4" x14ac:dyDescent="0.3">
      <c r="A220" s="403"/>
      <c r="B220" s="403"/>
      <c r="C220" s="406"/>
      <c r="D220" s="634" t="s">
        <v>133</v>
      </c>
      <c r="E220" s="635" t="s">
        <v>82</v>
      </c>
      <c r="F220" s="190">
        <v>2</v>
      </c>
      <c r="G220" s="193">
        <v>12500</v>
      </c>
      <c r="H220" s="192">
        <f t="shared" si="18"/>
        <v>25000</v>
      </c>
    </row>
    <row r="221" spans="1:8" ht="14.4" x14ac:dyDescent="0.3">
      <c r="A221" s="403"/>
      <c r="B221" s="403"/>
      <c r="C221" s="406"/>
      <c r="D221" s="634" t="s">
        <v>181</v>
      </c>
      <c r="E221" s="635"/>
      <c r="F221" s="190">
        <v>1</v>
      </c>
      <c r="G221" s="193">
        <v>25000</v>
      </c>
      <c r="H221" s="192">
        <f t="shared" si="18"/>
        <v>25000</v>
      </c>
    </row>
    <row r="222" spans="1:8" ht="14.4" x14ac:dyDescent="0.3">
      <c r="A222" s="403"/>
      <c r="B222" s="403"/>
      <c r="C222" s="406"/>
      <c r="D222" s="634" t="s">
        <v>182</v>
      </c>
      <c r="E222" s="635"/>
      <c r="F222" s="190">
        <v>1</v>
      </c>
      <c r="G222" s="193">
        <v>150000</v>
      </c>
      <c r="H222" s="192">
        <f t="shared" si="18"/>
        <v>150000</v>
      </c>
    </row>
    <row r="223" spans="1:8" thickBot="1" x14ac:dyDescent="0.35">
      <c r="A223" s="404"/>
      <c r="B223" s="404"/>
      <c r="C223" s="407"/>
      <c r="D223" s="535" t="s">
        <v>22</v>
      </c>
      <c r="E223" s="485"/>
      <c r="F223" s="485"/>
      <c r="G223" s="418"/>
      <c r="H223" s="115">
        <f>SUM(H212:H222)</f>
        <v>724000</v>
      </c>
    </row>
    <row r="224" spans="1:8" ht="14.4" x14ac:dyDescent="0.3">
      <c r="A224" s="403">
        <v>20</v>
      </c>
      <c r="B224" s="402" t="s">
        <v>174</v>
      </c>
      <c r="C224" s="405">
        <v>45592</v>
      </c>
      <c r="D224" s="634" t="s">
        <v>94</v>
      </c>
      <c r="E224" s="635"/>
      <c r="F224" s="190">
        <v>290</v>
      </c>
      <c r="G224" s="191">
        <v>400</v>
      </c>
      <c r="H224" s="192">
        <f t="shared" ref="H224:H233" si="19">+F224*G224</f>
        <v>116000</v>
      </c>
    </row>
    <row r="225" spans="1:8" ht="14.4" x14ac:dyDescent="0.3">
      <c r="A225" s="403"/>
      <c r="B225" s="403"/>
      <c r="C225" s="406"/>
      <c r="D225" s="634" t="s">
        <v>96</v>
      </c>
      <c r="E225" s="635"/>
      <c r="F225" s="190">
        <v>1</v>
      </c>
      <c r="G225" s="191">
        <v>10000</v>
      </c>
      <c r="H225" s="192">
        <f t="shared" si="19"/>
        <v>10000</v>
      </c>
    </row>
    <row r="226" spans="1:8" ht="14.4" x14ac:dyDescent="0.3">
      <c r="A226" s="403"/>
      <c r="B226" s="403"/>
      <c r="C226" s="406"/>
      <c r="D226" s="634" t="s">
        <v>97</v>
      </c>
      <c r="E226" s="635"/>
      <c r="F226" s="190">
        <v>1</v>
      </c>
      <c r="G226" s="191">
        <v>20000</v>
      </c>
      <c r="H226" s="192">
        <f t="shared" si="19"/>
        <v>20000</v>
      </c>
    </row>
    <row r="227" spans="1:8" ht="14.4" x14ac:dyDescent="0.3">
      <c r="A227" s="403"/>
      <c r="B227" s="403"/>
      <c r="C227" s="406"/>
      <c r="D227" s="567" t="s">
        <v>95</v>
      </c>
      <c r="E227" s="568" t="s">
        <v>54</v>
      </c>
      <c r="F227" s="112">
        <v>2600</v>
      </c>
      <c r="G227" s="113">
        <v>90</v>
      </c>
      <c r="H227" s="114">
        <f t="shared" si="19"/>
        <v>234000</v>
      </c>
    </row>
    <row r="228" spans="1:8" ht="14.4" x14ac:dyDescent="0.3">
      <c r="A228" s="403"/>
      <c r="B228" s="403"/>
      <c r="C228" s="406"/>
      <c r="D228" s="567" t="s">
        <v>135</v>
      </c>
      <c r="E228" s="568" t="s">
        <v>54</v>
      </c>
      <c r="F228" s="112">
        <v>0</v>
      </c>
      <c r="G228" s="113">
        <v>90</v>
      </c>
      <c r="H228" s="114">
        <f t="shared" si="19"/>
        <v>0</v>
      </c>
    </row>
    <row r="229" spans="1:8" ht="14.4" x14ac:dyDescent="0.3">
      <c r="A229" s="403"/>
      <c r="B229" s="403"/>
      <c r="C229" s="406"/>
      <c r="D229" s="567" t="s">
        <v>98</v>
      </c>
      <c r="E229" s="568" t="s">
        <v>55</v>
      </c>
      <c r="F229" s="112">
        <v>2</v>
      </c>
      <c r="G229" s="113">
        <v>35000</v>
      </c>
      <c r="H229" s="114">
        <f t="shared" si="19"/>
        <v>70000</v>
      </c>
    </row>
    <row r="230" spans="1:8" ht="14.4" x14ac:dyDescent="0.3">
      <c r="A230" s="403"/>
      <c r="B230" s="403"/>
      <c r="C230" s="406"/>
      <c r="D230" s="567" t="s">
        <v>99</v>
      </c>
      <c r="E230" s="568" t="s">
        <v>81</v>
      </c>
      <c r="F230" s="112">
        <v>1</v>
      </c>
      <c r="G230" s="113">
        <v>20000</v>
      </c>
      <c r="H230" s="114">
        <f t="shared" si="19"/>
        <v>20000</v>
      </c>
    </row>
    <row r="231" spans="1:8" ht="14.4" x14ac:dyDescent="0.3">
      <c r="A231" s="403"/>
      <c r="B231" s="403"/>
      <c r="C231" s="406"/>
      <c r="D231" s="567" t="s">
        <v>115</v>
      </c>
      <c r="E231" s="568" t="s">
        <v>82</v>
      </c>
      <c r="F231" s="112">
        <v>0</v>
      </c>
      <c r="G231" s="113">
        <v>14000</v>
      </c>
      <c r="H231" s="114">
        <f t="shared" si="19"/>
        <v>0</v>
      </c>
    </row>
    <row r="232" spans="1:8" ht="14.4" x14ac:dyDescent="0.3">
      <c r="A232" s="403"/>
      <c r="B232" s="403"/>
      <c r="C232" s="406"/>
      <c r="D232" s="634" t="s">
        <v>133</v>
      </c>
      <c r="E232" s="635" t="s">
        <v>82</v>
      </c>
      <c r="F232" s="190">
        <v>2</v>
      </c>
      <c r="G232" s="193">
        <v>12500</v>
      </c>
      <c r="H232" s="192">
        <f t="shared" si="19"/>
        <v>25000</v>
      </c>
    </row>
    <row r="233" spans="1:8" ht="14.4" x14ac:dyDescent="0.3">
      <c r="A233" s="403"/>
      <c r="B233" s="403"/>
      <c r="C233" s="406"/>
      <c r="D233" s="634" t="s">
        <v>181</v>
      </c>
      <c r="E233" s="635"/>
      <c r="F233" s="190">
        <v>1</v>
      </c>
      <c r="G233" s="193">
        <v>25000</v>
      </c>
      <c r="H233" s="192">
        <f t="shared" si="19"/>
        <v>25000</v>
      </c>
    </row>
    <row r="234" spans="1:8" ht="14.4" x14ac:dyDescent="0.3">
      <c r="A234" s="403"/>
      <c r="B234" s="403"/>
      <c r="C234" s="406"/>
      <c r="D234" s="634" t="s">
        <v>182</v>
      </c>
      <c r="E234" s="635"/>
      <c r="F234" s="190">
        <v>0</v>
      </c>
      <c r="G234" s="193">
        <v>0</v>
      </c>
      <c r="H234" s="287">
        <v>0</v>
      </c>
    </row>
    <row r="235" spans="1:8" thickBot="1" x14ac:dyDescent="0.35">
      <c r="A235" s="404"/>
      <c r="B235" s="404"/>
      <c r="C235" s="407"/>
      <c r="D235" s="535" t="s">
        <v>22</v>
      </c>
      <c r="E235" s="485"/>
      <c r="F235" s="485"/>
      <c r="G235" s="418"/>
      <c r="H235" s="115">
        <f>SUM(H224:H234)</f>
        <v>520000</v>
      </c>
    </row>
    <row r="236" spans="1:8" ht="14.4" x14ac:dyDescent="0.3">
      <c r="A236" s="403">
        <v>21</v>
      </c>
      <c r="B236" s="402" t="s">
        <v>175</v>
      </c>
      <c r="C236" s="405">
        <v>45603</v>
      </c>
      <c r="D236" s="634" t="s">
        <v>94</v>
      </c>
      <c r="E236" s="635"/>
      <c r="F236" s="190">
        <v>290</v>
      </c>
      <c r="G236" s="191">
        <v>400</v>
      </c>
      <c r="H236" s="192">
        <f t="shared" ref="H236:H245" si="20">+F236*G236</f>
        <v>116000</v>
      </c>
    </row>
    <row r="237" spans="1:8" ht="14.4" x14ac:dyDescent="0.3">
      <c r="A237" s="403"/>
      <c r="B237" s="403"/>
      <c r="C237" s="406"/>
      <c r="D237" s="634" t="s">
        <v>96</v>
      </c>
      <c r="E237" s="635"/>
      <c r="F237" s="190">
        <v>1</v>
      </c>
      <c r="G237" s="191">
        <v>10000</v>
      </c>
      <c r="H237" s="192">
        <f t="shared" si="20"/>
        <v>10000</v>
      </c>
    </row>
    <row r="238" spans="1:8" ht="14.4" x14ac:dyDescent="0.3">
      <c r="A238" s="403"/>
      <c r="B238" s="403"/>
      <c r="C238" s="406"/>
      <c r="D238" s="634" t="s">
        <v>97</v>
      </c>
      <c r="E238" s="635"/>
      <c r="F238" s="190">
        <v>1</v>
      </c>
      <c r="G238" s="191">
        <v>20000</v>
      </c>
      <c r="H238" s="192">
        <f t="shared" si="20"/>
        <v>20000</v>
      </c>
    </row>
    <row r="239" spans="1:8" ht="14.4" x14ac:dyDescent="0.3">
      <c r="A239" s="403"/>
      <c r="B239" s="403"/>
      <c r="C239" s="406"/>
      <c r="D239" s="567" t="s">
        <v>95</v>
      </c>
      <c r="E239" s="568" t="s">
        <v>54</v>
      </c>
      <c r="F239" s="112">
        <v>2600</v>
      </c>
      <c r="G239" s="113">
        <v>90</v>
      </c>
      <c r="H239" s="114">
        <f t="shared" si="20"/>
        <v>234000</v>
      </c>
    </row>
    <row r="240" spans="1:8" ht="14.4" x14ac:dyDescent="0.3">
      <c r="A240" s="403"/>
      <c r="B240" s="403"/>
      <c r="C240" s="406"/>
      <c r="D240" s="567" t="s">
        <v>135</v>
      </c>
      <c r="E240" s="568" t="s">
        <v>54</v>
      </c>
      <c r="F240" s="112">
        <v>600</v>
      </c>
      <c r="G240" s="113">
        <v>90</v>
      </c>
      <c r="H240" s="114">
        <f t="shared" si="20"/>
        <v>54000</v>
      </c>
    </row>
    <row r="241" spans="1:8" ht="14.4" x14ac:dyDescent="0.3">
      <c r="A241" s="403"/>
      <c r="B241" s="403"/>
      <c r="C241" s="406"/>
      <c r="D241" s="567" t="s">
        <v>98</v>
      </c>
      <c r="E241" s="568" t="s">
        <v>55</v>
      </c>
      <c r="F241" s="112">
        <v>2</v>
      </c>
      <c r="G241" s="113">
        <v>35000</v>
      </c>
      <c r="H241" s="114">
        <f t="shared" si="20"/>
        <v>70000</v>
      </c>
    </row>
    <row r="242" spans="1:8" ht="14.4" x14ac:dyDescent="0.3">
      <c r="A242" s="403"/>
      <c r="B242" s="403"/>
      <c r="C242" s="406"/>
      <c r="D242" s="567" t="s">
        <v>99</v>
      </c>
      <c r="E242" s="568" t="s">
        <v>81</v>
      </c>
      <c r="F242" s="112">
        <v>1</v>
      </c>
      <c r="G242" s="113">
        <v>20000</v>
      </c>
      <c r="H242" s="114">
        <f t="shared" si="20"/>
        <v>20000</v>
      </c>
    </row>
    <row r="243" spans="1:8" ht="14.4" x14ac:dyDescent="0.3">
      <c r="A243" s="403"/>
      <c r="B243" s="403"/>
      <c r="C243" s="406"/>
      <c r="D243" s="567" t="s">
        <v>115</v>
      </c>
      <c r="E243" s="568" t="s">
        <v>82</v>
      </c>
      <c r="F243" s="112">
        <v>0</v>
      </c>
      <c r="G243" s="113">
        <v>14000</v>
      </c>
      <c r="H243" s="114">
        <f t="shared" si="20"/>
        <v>0</v>
      </c>
    </row>
    <row r="244" spans="1:8" ht="14.4" x14ac:dyDescent="0.3">
      <c r="A244" s="403"/>
      <c r="B244" s="403"/>
      <c r="C244" s="406"/>
      <c r="D244" s="634" t="s">
        <v>133</v>
      </c>
      <c r="E244" s="635" t="s">
        <v>82</v>
      </c>
      <c r="F244" s="190">
        <v>2</v>
      </c>
      <c r="G244" s="193">
        <v>12500</v>
      </c>
      <c r="H244" s="192">
        <f t="shared" si="20"/>
        <v>25000</v>
      </c>
    </row>
    <row r="245" spans="1:8" ht="14.4" x14ac:dyDescent="0.3">
      <c r="A245" s="403"/>
      <c r="B245" s="403"/>
      <c r="C245" s="406"/>
      <c r="D245" s="634" t="s">
        <v>181</v>
      </c>
      <c r="E245" s="635"/>
      <c r="F245" s="190">
        <v>1</v>
      </c>
      <c r="G245" s="193">
        <v>25000</v>
      </c>
      <c r="H245" s="192">
        <f t="shared" si="20"/>
        <v>25000</v>
      </c>
    </row>
    <row r="246" spans="1:8" ht="14.4" x14ac:dyDescent="0.3">
      <c r="A246" s="403"/>
      <c r="B246" s="403"/>
      <c r="C246" s="406"/>
      <c r="D246" s="634" t="s">
        <v>182</v>
      </c>
      <c r="E246" s="635"/>
      <c r="F246" s="190">
        <v>0</v>
      </c>
      <c r="G246" s="193">
        <v>0</v>
      </c>
      <c r="H246" s="287">
        <v>0</v>
      </c>
    </row>
    <row r="247" spans="1:8" thickBot="1" x14ac:dyDescent="0.35">
      <c r="A247" s="404"/>
      <c r="B247" s="404"/>
      <c r="C247" s="407"/>
      <c r="D247" s="535" t="s">
        <v>22</v>
      </c>
      <c r="E247" s="485"/>
      <c r="F247" s="485"/>
      <c r="G247" s="418"/>
      <c r="H247" s="115">
        <f>SUM(H236:H246)</f>
        <v>574000</v>
      </c>
    </row>
    <row r="248" spans="1:8" ht="14.4" x14ac:dyDescent="0.3">
      <c r="A248" s="403">
        <v>22</v>
      </c>
      <c r="B248" s="402" t="s">
        <v>51</v>
      </c>
      <c r="C248" s="405">
        <v>45617</v>
      </c>
      <c r="D248" s="634" t="s">
        <v>94</v>
      </c>
      <c r="E248" s="635"/>
      <c r="F248" s="190">
        <v>290</v>
      </c>
      <c r="G248" s="191">
        <v>400</v>
      </c>
      <c r="H248" s="192">
        <f t="shared" ref="H248:H257" si="21">+F248*G248</f>
        <v>116000</v>
      </c>
    </row>
    <row r="249" spans="1:8" ht="14.4" x14ac:dyDescent="0.3">
      <c r="A249" s="403"/>
      <c r="B249" s="403"/>
      <c r="C249" s="406"/>
      <c r="D249" s="634" t="s">
        <v>96</v>
      </c>
      <c r="E249" s="635"/>
      <c r="F249" s="190">
        <v>1</v>
      </c>
      <c r="G249" s="191">
        <v>10000</v>
      </c>
      <c r="H249" s="192">
        <f t="shared" si="21"/>
        <v>10000</v>
      </c>
    </row>
    <row r="250" spans="1:8" ht="14.4" x14ac:dyDescent="0.3">
      <c r="A250" s="403"/>
      <c r="B250" s="403"/>
      <c r="C250" s="406"/>
      <c r="D250" s="634" t="s">
        <v>97</v>
      </c>
      <c r="E250" s="635"/>
      <c r="F250" s="190">
        <v>1</v>
      </c>
      <c r="G250" s="191">
        <v>20000</v>
      </c>
      <c r="H250" s="192">
        <f t="shared" si="21"/>
        <v>20000</v>
      </c>
    </row>
    <row r="251" spans="1:8" ht="14.4" x14ac:dyDescent="0.3">
      <c r="A251" s="403"/>
      <c r="B251" s="403"/>
      <c r="C251" s="406"/>
      <c r="D251" s="567" t="s">
        <v>95</v>
      </c>
      <c r="E251" s="568" t="s">
        <v>54</v>
      </c>
      <c r="F251" s="112">
        <v>2600</v>
      </c>
      <c r="G251" s="113">
        <v>90</v>
      </c>
      <c r="H251" s="114">
        <f t="shared" si="21"/>
        <v>234000</v>
      </c>
    </row>
    <row r="252" spans="1:8" ht="14.4" x14ac:dyDescent="0.3">
      <c r="A252" s="403"/>
      <c r="B252" s="403"/>
      <c r="C252" s="406"/>
      <c r="D252" s="567" t="s">
        <v>135</v>
      </c>
      <c r="E252" s="568" t="s">
        <v>54</v>
      </c>
      <c r="F252" s="112">
        <v>0</v>
      </c>
      <c r="G252" s="113">
        <v>90</v>
      </c>
      <c r="H252" s="114">
        <f t="shared" si="21"/>
        <v>0</v>
      </c>
    </row>
    <row r="253" spans="1:8" ht="14.4" x14ac:dyDescent="0.3">
      <c r="A253" s="403"/>
      <c r="B253" s="403"/>
      <c r="C253" s="406"/>
      <c r="D253" s="567" t="s">
        <v>98</v>
      </c>
      <c r="E253" s="568" t="s">
        <v>55</v>
      </c>
      <c r="F253" s="112">
        <v>2</v>
      </c>
      <c r="G253" s="113">
        <v>35000</v>
      </c>
      <c r="H253" s="114">
        <f t="shared" si="21"/>
        <v>70000</v>
      </c>
    </row>
    <row r="254" spans="1:8" ht="14.4" x14ac:dyDescent="0.3">
      <c r="A254" s="403"/>
      <c r="B254" s="403"/>
      <c r="C254" s="406"/>
      <c r="D254" s="567" t="s">
        <v>99</v>
      </c>
      <c r="E254" s="568" t="s">
        <v>81</v>
      </c>
      <c r="F254" s="112">
        <v>1</v>
      </c>
      <c r="G254" s="113">
        <v>20000</v>
      </c>
      <c r="H254" s="114">
        <f t="shared" si="21"/>
        <v>20000</v>
      </c>
    </row>
    <row r="255" spans="1:8" ht="14.4" x14ac:dyDescent="0.3">
      <c r="A255" s="403"/>
      <c r="B255" s="403"/>
      <c r="C255" s="406"/>
      <c r="D255" s="567" t="s">
        <v>115</v>
      </c>
      <c r="E255" s="568" t="s">
        <v>82</v>
      </c>
      <c r="F255" s="112">
        <v>0</v>
      </c>
      <c r="G255" s="113">
        <v>14000</v>
      </c>
      <c r="H255" s="114">
        <f t="shared" si="21"/>
        <v>0</v>
      </c>
    </row>
    <row r="256" spans="1:8" ht="14.4" x14ac:dyDescent="0.3">
      <c r="A256" s="403"/>
      <c r="B256" s="403"/>
      <c r="C256" s="406"/>
      <c r="D256" s="634" t="s">
        <v>133</v>
      </c>
      <c r="E256" s="635" t="s">
        <v>82</v>
      </c>
      <c r="F256" s="190">
        <v>2</v>
      </c>
      <c r="G256" s="193">
        <v>12500</v>
      </c>
      <c r="H256" s="192">
        <f t="shared" si="21"/>
        <v>25000</v>
      </c>
    </row>
    <row r="257" spans="1:8" ht="14.4" x14ac:dyDescent="0.3">
      <c r="A257" s="403"/>
      <c r="B257" s="403"/>
      <c r="C257" s="406"/>
      <c r="D257" s="634" t="s">
        <v>181</v>
      </c>
      <c r="E257" s="635"/>
      <c r="F257" s="190">
        <v>1</v>
      </c>
      <c r="G257" s="193">
        <v>25000</v>
      </c>
      <c r="H257" s="192">
        <f t="shared" si="21"/>
        <v>25000</v>
      </c>
    </row>
    <row r="258" spans="1:8" ht="14.4" x14ac:dyDescent="0.3">
      <c r="A258" s="403"/>
      <c r="B258" s="403"/>
      <c r="C258" s="406"/>
      <c r="D258" s="634" t="s">
        <v>182</v>
      </c>
      <c r="E258" s="635"/>
      <c r="F258" s="190">
        <v>0</v>
      </c>
      <c r="G258" s="193">
        <v>0</v>
      </c>
      <c r="H258" s="287">
        <v>0</v>
      </c>
    </row>
    <row r="259" spans="1:8" thickBot="1" x14ac:dyDescent="0.35">
      <c r="A259" s="404"/>
      <c r="B259" s="404"/>
      <c r="C259" s="407"/>
      <c r="D259" s="535" t="s">
        <v>22</v>
      </c>
      <c r="E259" s="485"/>
      <c r="F259" s="485"/>
      <c r="G259" s="418"/>
      <c r="H259" s="115">
        <f>SUM(H248:H258)</f>
        <v>520000</v>
      </c>
    </row>
    <row r="260" spans="1:8" ht="14.4" x14ac:dyDescent="0.3">
      <c r="A260" s="403">
        <v>23</v>
      </c>
      <c r="B260" s="402" t="s">
        <v>178</v>
      </c>
      <c r="C260" s="405">
        <v>45628</v>
      </c>
      <c r="D260" s="634" t="s">
        <v>94</v>
      </c>
      <c r="E260" s="635"/>
      <c r="F260" s="190">
        <v>290</v>
      </c>
      <c r="G260" s="191">
        <v>400</v>
      </c>
      <c r="H260" s="192">
        <f t="shared" ref="H260:H269" si="22">+F260*G260</f>
        <v>116000</v>
      </c>
    </row>
    <row r="261" spans="1:8" ht="14.4" x14ac:dyDescent="0.3">
      <c r="A261" s="403"/>
      <c r="B261" s="403"/>
      <c r="C261" s="406"/>
      <c r="D261" s="634" t="s">
        <v>96</v>
      </c>
      <c r="E261" s="635"/>
      <c r="F261" s="190">
        <v>1</v>
      </c>
      <c r="G261" s="191">
        <v>10000</v>
      </c>
      <c r="H261" s="192">
        <f t="shared" si="22"/>
        <v>10000</v>
      </c>
    </row>
    <row r="262" spans="1:8" ht="14.4" x14ac:dyDescent="0.3">
      <c r="A262" s="403"/>
      <c r="B262" s="403"/>
      <c r="C262" s="406"/>
      <c r="D262" s="634" t="s">
        <v>97</v>
      </c>
      <c r="E262" s="635"/>
      <c r="F262" s="190">
        <v>1</v>
      </c>
      <c r="G262" s="191">
        <v>20000</v>
      </c>
      <c r="H262" s="192">
        <f t="shared" si="22"/>
        <v>20000</v>
      </c>
    </row>
    <row r="263" spans="1:8" ht="14.4" x14ac:dyDescent="0.3">
      <c r="A263" s="403"/>
      <c r="B263" s="403"/>
      <c r="C263" s="406"/>
      <c r="D263" s="567" t="s">
        <v>95</v>
      </c>
      <c r="E263" s="568" t="s">
        <v>54</v>
      </c>
      <c r="F263" s="112">
        <v>2600</v>
      </c>
      <c r="G263" s="113">
        <v>90</v>
      </c>
      <c r="H263" s="114">
        <f t="shared" si="22"/>
        <v>234000</v>
      </c>
    </row>
    <row r="264" spans="1:8" ht="14.4" x14ac:dyDescent="0.3">
      <c r="A264" s="403"/>
      <c r="B264" s="403"/>
      <c r="C264" s="406"/>
      <c r="D264" s="567" t="s">
        <v>135</v>
      </c>
      <c r="E264" s="568" t="s">
        <v>54</v>
      </c>
      <c r="F264" s="112">
        <v>600</v>
      </c>
      <c r="G264" s="113">
        <v>90</v>
      </c>
      <c r="H264" s="114">
        <f t="shared" si="22"/>
        <v>54000</v>
      </c>
    </row>
    <row r="265" spans="1:8" ht="14.4" x14ac:dyDescent="0.3">
      <c r="A265" s="403"/>
      <c r="B265" s="403"/>
      <c r="C265" s="406"/>
      <c r="D265" s="567" t="s">
        <v>98</v>
      </c>
      <c r="E265" s="568" t="s">
        <v>55</v>
      </c>
      <c r="F265" s="112">
        <v>2</v>
      </c>
      <c r="G265" s="113">
        <v>35000</v>
      </c>
      <c r="H265" s="114">
        <f t="shared" si="22"/>
        <v>70000</v>
      </c>
    </row>
    <row r="266" spans="1:8" ht="14.4" x14ac:dyDescent="0.3">
      <c r="A266" s="403"/>
      <c r="B266" s="403"/>
      <c r="C266" s="406"/>
      <c r="D266" s="567" t="s">
        <v>99</v>
      </c>
      <c r="E266" s="568" t="s">
        <v>81</v>
      </c>
      <c r="F266" s="112">
        <v>1</v>
      </c>
      <c r="G266" s="113">
        <v>20000</v>
      </c>
      <c r="H266" s="114">
        <f t="shared" si="22"/>
        <v>20000</v>
      </c>
    </row>
    <row r="267" spans="1:8" ht="14.4" x14ac:dyDescent="0.3">
      <c r="A267" s="403"/>
      <c r="B267" s="403"/>
      <c r="C267" s="406"/>
      <c r="D267" s="567" t="s">
        <v>115</v>
      </c>
      <c r="E267" s="568" t="s">
        <v>82</v>
      </c>
      <c r="F267" s="112">
        <v>0</v>
      </c>
      <c r="G267" s="113">
        <v>14000</v>
      </c>
      <c r="H267" s="114">
        <f t="shared" si="22"/>
        <v>0</v>
      </c>
    </row>
    <row r="268" spans="1:8" ht="14.4" x14ac:dyDescent="0.3">
      <c r="A268" s="403"/>
      <c r="B268" s="403"/>
      <c r="C268" s="406"/>
      <c r="D268" s="634" t="s">
        <v>133</v>
      </c>
      <c r="E268" s="635" t="s">
        <v>82</v>
      </c>
      <c r="F268" s="190">
        <v>2</v>
      </c>
      <c r="G268" s="193">
        <v>12500</v>
      </c>
      <c r="H268" s="192">
        <f t="shared" si="22"/>
        <v>25000</v>
      </c>
    </row>
    <row r="269" spans="1:8" ht="14.4" x14ac:dyDescent="0.3">
      <c r="A269" s="403"/>
      <c r="B269" s="403"/>
      <c r="C269" s="406"/>
      <c r="D269" s="634" t="s">
        <v>181</v>
      </c>
      <c r="E269" s="635"/>
      <c r="F269" s="190">
        <v>1</v>
      </c>
      <c r="G269" s="193">
        <v>25000</v>
      </c>
      <c r="H269" s="192">
        <f t="shared" si="22"/>
        <v>25000</v>
      </c>
    </row>
    <row r="270" spans="1:8" ht="14.4" x14ac:dyDescent="0.3">
      <c r="A270" s="403"/>
      <c r="B270" s="403"/>
      <c r="C270" s="406"/>
      <c r="D270" s="634" t="s">
        <v>182</v>
      </c>
      <c r="E270" s="635"/>
      <c r="F270" s="190">
        <v>0</v>
      </c>
      <c r="G270" s="193">
        <v>0</v>
      </c>
      <c r="H270" s="287">
        <v>0</v>
      </c>
    </row>
    <row r="271" spans="1:8" thickBot="1" x14ac:dyDescent="0.35">
      <c r="A271" s="404"/>
      <c r="B271" s="404"/>
      <c r="C271" s="407"/>
      <c r="D271" s="535" t="s">
        <v>22</v>
      </c>
      <c r="E271" s="485"/>
      <c r="F271" s="485"/>
      <c r="G271" s="418"/>
      <c r="H271" s="115">
        <f>SUM(H260:H270)</f>
        <v>574000</v>
      </c>
    </row>
    <row r="272" spans="1:8" ht="14.4" x14ac:dyDescent="0.3">
      <c r="A272" s="403">
        <v>24</v>
      </c>
      <c r="B272" s="402" t="s">
        <v>180</v>
      </c>
      <c r="C272" s="405">
        <v>45641</v>
      </c>
      <c r="D272" s="634" t="s">
        <v>94</v>
      </c>
      <c r="E272" s="635"/>
      <c r="F272" s="190">
        <v>290</v>
      </c>
      <c r="G272" s="191">
        <v>400</v>
      </c>
      <c r="H272" s="192">
        <f t="shared" ref="H272:H281" si="23">+F272*G272</f>
        <v>116000</v>
      </c>
    </row>
    <row r="273" spans="1:8" ht="14.4" x14ac:dyDescent="0.3">
      <c r="A273" s="403"/>
      <c r="B273" s="403"/>
      <c r="C273" s="406"/>
      <c r="D273" s="634" t="s">
        <v>96</v>
      </c>
      <c r="E273" s="635"/>
      <c r="F273" s="190">
        <v>1</v>
      </c>
      <c r="G273" s="191">
        <v>10000</v>
      </c>
      <c r="H273" s="192">
        <f t="shared" si="23"/>
        <v>10000</v>
      </c>
    </row>
    <row r="274" spans="1:8" ht="14.4" x14ac:dyDescent="0.3">
      <c r="A274" s="403"/>
      <c r="B274" s="403"/>
      <c r="C274" s="406"/>
      <c r="D274" s="634" t="s">
        <v>97</v>
      </c>
      <c r="E274" s="635"/>
      <c r="F274" s="190">
        <v>1</v>
      </c>
      <c r="G274" s="191">
        <v>20000</v>
      </c>
      <c r="H274" s="192">
        <f t="shared" si="23"/>
        <v>20000</v>
      </c>
    </row>
    <row r="275" spans="1:8" ht="14.4" x14ac:dyDescent="0.3">
      <c r="A275" s="403"/>
      <c r="B275" s="403"/>
      <c r="C275" s="406"/>
      <c r="D275" s="567" t="s">
        <v>95</v>
      </c>
      <c r="E275" s="568" t="s">
        <v>54</v>
      </c>
      <c r="F275" s="112">
        <v>2600</v>
      </c>
      <c r="G275" s="113">
        <v>90</v>
      </c>
      <c r="H275" s="114">
        <f t="shared" si="23"/>
        <v>234000</v>
      </c>
    </row>
    <row r="276" spans="1:8" ht="14.4" x14ac:dyDescent="0.3">
      <c r="A276" s="403"/>
      <c r="B276" s="403"/>
      <c r="C276" s="406"/>
      <c r="D276" s="567" t="s">
        <v>135</v>
      </c>
      <c r="E276" s="568" t="s">
        <v>54</v>
      </c>
      <c r="F276" s="112">
        <v>0</v>
      </c>
      <c r="G276" s="113">
        <v>90</v>
      </c>
      <c r="H276" s="114">
        <f t="shared" si="23"/>
        <v>0</v>
      </c>
    </row>
    <row r="277" spans="1:8" ht="14.4" x14ac:dyDescent="0.3">
      <c r="A277" s="403"/>
      <c r="B277" s="403"/>
      <c r="C277" s="406"/>
      <c r="D277" s="567" t="s">
        <v>98</v>
      </c>
      <c r="E277" s="568" t="s">
        <v>55</v>
      </c>
      <c r="F277" s="112">
        <v>2</v>
      </c>
      <c r="G277" s="113">
        <v>35000</v>
      </c>
      <c r="H277" s="114">
        <f t="shared" si="23"/>
        <v>70000</v>
      </c>
    </row>
    <row r="278" spans="1:8" ht="14.4" x14ac:dyDescent="0.3">
      <c r="A278" s="403"/>
      <c r="B278" s="403"/>
      <c r="C278" s="406"/>
      <c r="D278" s="567" t="s">
        <v>99</v>
      </c>
      <c r="E278" s="568" t="s">
        <v>81</v>
      </c>
      <c r="F278" s="112">
        <v>1</v>
      </c>
      <c r="G278" s="113">
        <v>20000</v>
      </c>
      <c r="H278" s="114">
        <f t="shared" si="23"/>
        <v>20000</v>
      </c>
    </row>
    <row r="279" spans="1:8" ht="14.4" x14ac:dyDescent="0.3">
      <c r="A279" s="403"/>
      <c r="B279" s="403"/>
      <c r="C279" s="406"/>
      <c r="D279" s="567" t="s">
        <v>115</v>
      </c>
      <c r="E279" s="568" t="s">
        <v>82</v>
      </c>
      <c r="F279" s="112">
        <v>0</v>
      </c>
      <c r="G279" s="113">
        <v>14000</v>
      </c>
      <c r="H279" s="114">
        <f t="shared" si="23"/>
        <v>0</v>
      </c>
    </row>
    <row r="280" spans="1:8" ht="14.4" x14ac:dyDescent="0.3">
      <c r="A280" s="403"/>
      <c r="B280" s="403"/>
      <c r="C280" s="406"/>
      <c r="D280" s="634" t="s">
        <v>133</v>
      </c>
      <c r="E280" s="635" t="s">
        <v>82</v>
      </c>
      <c r="F280" s="190">
        <v>2</v>
      </c>
      <c r="G280" s="193">
        <v>12500</v>
      </c>
      <c r="H280" s="192">
        <f t="shared" si="23"/>
        <v>25000</v>
      </c>
    </row>
    <row r="281" spans="1:8" ht="14.4" x14ac:dyDescent="0.3">
      <c r="A281" s="403"/>
      <c r="B281" s="403"/>
      <c r="C281" s="406"/>
      <c r="D281" s="634" t="s">
        <v>181</v>
      </c>
      <c r="E281" s="635"/>
      <c r="F281" s="190">
        <v>1</v>
      </c>
      <c r="G281" s="193">
        <v>25000</v>
      </c>
      <c r="H281" s="192">
        <f t="shared" si="23"/>
        <v>25000</v>
      </c>
    </row>
    <row r="282" spans="1:8" ht="14.4" x14ac:dyDescent="0.3">
      <c r="A282" s="403"/>
      <c r="B282" s="403"/>
      <c r="C282" s="406"/>
      <c r="D282" s="634" t="s">
        <v>182</v>
      </c>
      <c r="E282" s="635"/>
      <c r="F282" s="190">
        <v>0</v>
      </c>
      <c r="G282" s="193">
        <v>0</v>
      </c>
      <c r="H282" s="287">
        <v>0</v>
      </c>
    </row>
    <row r="283" spans="1:8" thickBot="1" x14ac:dyDescent="0.35">
      <c r="A283" s="404"/>
      <c r="B283" s="404"/>
      <c r="C283" s="407"/>
      <c r="D283" s="535" t="s">
        <v>22</v>
      </c>
      <c r="E283" s="485"/>
      <c r="F283" s="485"/>
      <c r="G283" s="418"/>
      <c r="H283" s="115">
        <f>SUM(H272:H282)</f>
        <v>520000</v>
      </c>
    </row>
    <row r="284" spans="1:8" ht="14.4" x14ac:dyDescent="0.3">
      <c r="A284" s="176"/>
      <c r="B284" s="176"/>
      <c r="C284" s="177"/>
      <c r="D284" s="36"/>
      <c r="E284" s="36"/>
      <c r="F284" s="36"/>
      <c r="G284" s="36"/>
      <c r="H284" s="178"/>
    </row>
    <row r="285" spans="1:8" ht="14.4" x14ac:dyDescent="0.3">
      <c r="A285" s="152"/>
      <c r="B285" s="152"/>
      <c r="C285" s="153"/>
      <c r="D285" s="154"/>
      <c r="E285" s="154"/>
      <c r="F285" s="154"/>
      <c r="G285" s="154"/>
      <c r="H285" s="155"/>
    </row>
    <row r="286" spans="1:8" ht="17.399999999999999" customHeight="1" x14ac:dyDescent="0.3">
      <c r="A286" s="589" t="s">
        <v>108</v>
      </c>
      <c r="B286" s="589"/>
      <c r="C286" s="589"/>
      <c r="E286" s="598" t="s">
        <v>108</v>
      </c>
      <c r="F286" s="598"/>
      <c r="G286" s="598"/>
      <c r="H286" s="598"/>
    </row>
    <row r="287" spans="1:8" ht="15.75" customHeight="1" x14ac:dyDescent="0.3">
      <c r="A287" s="590" t="s">
        <v>109</v>
      </c>
      <c r="B287" s="590"/>
      <c r="C287" s="590"/>
      <c r="E287" s="597" t="s">
        <v>64</v>
      </c>
      <c r="F287" s="597"/>
      <c r="G287" s="597"/>
      <c r="H287" s="597"/>
    </row>
    <row r="288" spans="1:8" ht="15.75" customHeight="1" x14ac:dyDescent="0.3">
      <c r="A288" s="129" t="s">
        <v>105</v>
      </c>
      <c r="B288" s="129" t="s">
        <v>106</v>
      </c>
      <c r="C288" s="129" t="s">
        <v>107</v>
      </c>
      <c r="E288" s="139" t="s">
        <v>117</v>
      </c>
      <c r="F288" s="129" t="s">
        <v>105</v>
      </c>
      <c r="G288" s="129" t="s">
        <v>106</v>
      </c>
      <c r="H288" s="129" t="s">
        <v>107</v>
      </c>
    </row>
    <row r="289" spans="1:8" ht="15.75" customHeight="1" x14ac:dyDescent="0.3">
      <c r="A289" s="329">
        <v>45320</v>
      </c>
      <c r="B289" s="194" t="s">
        <v>147</v>
      </c>
      <c r="C289" s="131">
        <f>-'Rendicion Futbol 2023 - VALIDA'!C98</f>
        <v>96560</v>
      </c>
      <c r="E289" s="126">
        <v>1</v>
      </c>
      <c r="F289" s="140">
        <f>+C6</f>
        <v>45317</v>
      </c>
      <c r="G289" s="137" t="str">
        <f>+B6</f>
        <v>Talleres - Gimasia</v>
      </c>
      <c r="H289" s="131">
        <f>+H9+H10+H11+H12+H13</f>
        <v>324000</v>
      </c>
    </row>
    <row r="290" spans="1:8" ht="15.75" customHeight="1" x14ac:dyDescent="0.3">
      <c r="A290" s="329">
        <v>45384</v>
      </c>
      <c r="B290" s="257" t="s">
        <v>167</v>
      </c>
      <c r="C290" s="131">
        <v>1400000</v>
      </c>
      <c r="E290" s="126">
        <v>2</v>
      </c>
      <c r="F290" s="141">
        <v>45325</v>
      </c>
      <c r="G290" s="126" t="s">
        <v>28</v>
      </c>
      <c r="H290" s="65">
        <f>+H20+H21+H22+H23+H24</f>
        <v>324000</v>
      </c>
    </row>
    <row r="291" spans="1:8" ht="15.75" customHeight="1" x14ac:dyDescent="0.3">
      <c r="A291" s="329">
        <v>45384</v>
      </c>
      <c r="B291" s="257" t="s">
        <v>144</v>
      </c>
      <c r="C291" s="131">
        <v>1500000</v>
      </c>
      <c r="E291" s="126">
        <v>3</v>
      </c>
      <c r="F291" s="141">
        <v>45337</v>
      </c>
      <c r="G291" s="126" t="s">
        <v>149</v>
      </c>
      <c r="H291" s="142">
        <f>+H31+H32+H33+H34+H35</f>
        <v>270000</v>
      </c>
    </row>
    <row r="292" spans="1:8" ht="15.75" customHeight="1" x14ac:dyDescent="0.3">
      <c r="A292" s="329">
        <v>45456</v>
      </c>
      <c r="B292" s="257" t="s">
        <v>144</v>
      </c>
      <c r="C292" s="131">
        <v>1000000</v>
      </c>
      <c r="E292" s="126">
        <v>4</v>
      </c>
      <c r="F292" s="138">
        <v>45353</v>
      </c>
      <c r="G292" s="111" t="s">
        <v>30</v>
      </c>
      <c r="H292" s="65">
        <f>+H42+H43+H44+H45+H46</f>
        <v>349000</v>
      </c>
    </row>
    <row r="293" spans="1:8" ht="15.75" customHeight="1" x14ac:dyDescent="0.3">
      <c r="A293" s="329">
        <v>45548</v>
      </c>
      <c r="B293" s="257" t="s">
        <v>144</v>
      </c>
      <c r="C293" s="131">
        <v>750000</v>
      </c>
      <c r="E293" s="126">
        <v>5</v>
      </c>
      <c r="F293" s="138">
        <v>45361</v>
      </c>
      <c r="G293" s="111" t="s">
        <v>150</v>
      </c>
      <c r="H293" s="65">
        <f>+H53+H55+H56</f>
        <v>288000</v>
      </c>
    </row>
    <row r="294" spans="1:8" ht="15.75" customHeight="1" x14ac:dyDescent="0.3">
      <c r="A294" s="329">
        <v>45574</v>
      </c>
      <c r="B294" s="257" t="s">
        <v>167</v>
      </c>
      <c r="C294" s="131">
        <v>1625000</v>
      </c>
      <c r="E294" s="126">
        <v>6</v>
      </c>
      <c r="F294" s="138">
        <v>45381</v>
      </c>
      <c r="G294" s="111" t="s">
        <v>164</v>
      </c>
      <c r="H294" s="65">
        <f>+H64+H66+H67</f>
        <v>288000</v>
      </c>
    </row>
    <row r="295" spans="1:8" ht="15.75" customHeight="1" x14ac:dyDescent="0.3">
      <c r="A295" s="329">
        <v>45646</v>
      </c>
      <c r="B295" s="257" t="s">
        <v>167</v>
      </c>
      <c r="C295" s="131">
        <v>2200000</v>
      </c>
      <c r="E295" s="126">
        <v>7</v>
      </c>
      <c r="F295" s="138">
        <v>45386</v>
      </c>
      <c r="G295" s="111" t="s">
        <v>153</v>
      </c>
      <c r="H295" s="65">
        <f>+H75+H76+H77+H78+H79</f>
        <v>370000</v>
      </c>
    </row>
    <row r="296" spans="1:8" ht="15.75" customHeight="1" x14ac:dyDescent="0.3">
      <c r="A296" s="329">
        <v>45653</v>
      </c>
      <c r="B296" s="257" t="s">
        <v>144</v>
      </c>
      <c r="C296" s="131">
        <v>3500000</v>
      </c>
      <c r="E296" s="126">
        <v>8</v>
      </c>
      <c r="F296" s="138">
        <v>45388</v>
      </c>
      <c r="G296" s="111" t="s">
        <v>165</v>
      </c>
      <c r="H296" s="65">
        <f>+H86+H88+H89</f>
        <v>288000</v>
      </c>
    </row>
    <row r="297" spans="1:8" ht="15.75" customHeight="1" x14ac:dyDescent="0.3">
      <c r="A297" s="329">
        <v>45677</v>
      </c>
      <c r="B297" s="257" t="s">
        <v>167</v>
      </c>
      <c r="C297" s="131">
        <v>269000</v>
      </c>
      <c r="E297" s="126">
        <v>9</v>
      </c>
      <c r="F297" s="138">
        <v>45420</v>
      </c>
      <c r="G297" s="111" t="s">
        <v>166</v>
      </c>
      <c r="H297" s="65">
        <f>+H97+H98+H99+H100+H101+H102</f>
        <v>402000</v>
      </c>
    </row>
    <row r="298" spans="1:8" ht="15.75" customHeight="1" x14ac:dyDescent="0.3">
      <c r="A298" s="329">
        <v>45677</v>
      </c>
      <c r="B298" s="257" t="s">
        <v>144</v>
      </c>
      <c r="C298" s="131">
        <v>1000000</v>
      </c>
      <c r="E298" s="126">
        <v>10</v>
      </c>
      <c r="F298" s="138">
        <v>45426</v>
      </c>
      <c r="G298" s="111" t="s">
        <v>162</v>
      </c>
      <c r="H298" s="65">
        <f>+H109+H111+H112+H113+H114</f>
        <v>376000</v>
      </c>
    </row>
    <row r="299" spans="1:8" ht="15.75" customHeight="1" x14ac:dyDescent="0.3">
      <c r="A299" s="329"/>
      <c r="B299" s="257"/>
      <c r="C299" s="131"/>
      <c r="E299" s="126">
        <v>11</v>
      </c>
      <c r="F299" s="138">
        <v>45431</v>
      </c>
      <c r="G299" s="111" t="s">
        <v>150</v>
      </c>
      <c r="H299" s="65">
        <f>+H121+H123+H124</f>
        <v>288000</v>
      </c>
    </row>
    <row r="300" spans="1:8" ht="15.75" customHeight="1" x14ac:dyDescent="0.3">
      <c r="E300" s="126">
        <v>12</v>
      </c>
      <c r="F300" s="138">
        <v>45457</v>
      </c>
      <c r="G300" s="111" t="s">
        <v>26</v>
      </c>
      <c r="H300" s="65">
        <f>+H132+H133+H134+H135</f>
        <v>342000</v>
      </c>
    </row>
    <row r="301" spans="1:8" ht="15.75" customHeight="1" x14ac:dyDescent="0.3">
      <c r="A301" s="585" t="s">
        <v>110</v>
      </c>
      <c r="B301" s="585"/>
      <c r="C301" s="65">
        <f>SUM(C289:C300)</f>
        <v>13340560</v>
      </c>
      <c r="E301" s="126">
        <v>13</v>
      </c>
      <c r="F301" s="138">
        <v>45497</v>
      </c>
      <c r="G301" s="111" t="s">
        <v>47</v>
      </c>
      <c r="H301" s="65">
        <f>+H143+H144+H145+H146</f>
        <v>378000</v>
      </c>
    </row>
    <row r="302" spans="1:8" ht="15.75" customHeight="1" x14ac:dyDescent="0.3">
      <c r="A302" s="586" t="s">
        <v>123</v>
      </c>
      <c r="B302" s="586"/>
      <c r="C302" s="586"/>
      <c r="E302" s="126">
        <v>14</v>
      </c>
      <c r="F302" s="138">
        <v>45507</v>
      </c>
      <c r="G302" s="111" t="s">
        <v>131</v>
      </c>
      <c r="H302" s="65">
        <f>+H155+H156+H157+H158</f>
        <v>378000</v>
      </c>
    </row>
    <row r="303" spans="1:8" ht="15.75" customHeight="1" x14ac:dyDescent="0.3">
      <c r="A303" s="129" t="s">
        <v>105</v>
      </c>
      <c r="B303" s="129" t="s">
        <v>106</v>
      </c>
      <c r="C303" s="129" t="s">
        <v>107</v>
      </c>
      <c r="E303" s="126">
        <v>15</v>
      </c>
      <c r="F303" s="138">
        <v>45518</v>
      </c>
      <c r="G303" s="111" t="s">
        <v>30</v>
      </c>
      <c r="H303" s="65">
        <f>+H167+H169+H170+H171</f>
        <v>422000</v>
      </c>
    </row>
    <row r="304" spans="1:8" ht="15.75" customHeight="1" x14ac:dyDescent="0.3">
      <c r="A304" s="288" t="s">
        <v>183</v>
      </c>
      <c r="B304" s="128" t="s">
        <v>112</v>
      </c>
      <c r="C304" s="131">
        <f>+H349</f>
        <v>13513000</v>
      </c>
      <c r="E304" s="126">
        <v>16</v>
      </c>
      <c r="F304" s="138">
        <v>45521</v>
      </c>
      <c r="G304" s="111" t="s">
        <v>34</v>
      </c>
      <c r="H304" s="65">
        <f>+H179+H181+H182</f>
        <v>324000</v>
      </c>
    </row>
    <row r="305" spans="1:8" ht="15.75" customHeight="1" x14ac:dyDescent="0.3">
      <c r="E305" s="126">
        <v>17</v>
      </c>
      <c r="F305" s="138">
        <v>45535</v>
      </c>
      <c r="G305" s="111" t="s">
        <v>172</v>
      </c>
      <c r="H305" s="65">
        <f>+H191+H193+H194</f>
        <v>324000</v>
      </c>
    </row>
    <row r="306" spans="1:8" ht="15.75" customHeight="1" x14ac:dyDescent="0.3">
      <c r="E306" s="126">
        <v>18</v>
      </c>
      <c r="F306" s="138">
        <v>45557</v>
      </c>
      <c r="G306" s="111" t="s">
        <v>79</v>
      </c>
      <c r="H306" s="65">
        <f>+H203+H204+H205+H206</f>
        <v>378000</v>
      </c>
    </row>
    <row r="307" spans="1:8" ht="15.75" customHeight="1" x14ac:dyDescent="0.3">
      <c r="A307" s="585" t="s">
        <v>124</v>
      </c>
      <c r="B307" s="585"/>
      <c r="C307" s="65">
        <f>SUM(C304:C304)</f>
        <v>13513000</v>
      </c>
      <c r="E307" s="126">
        <v>19</v>
      </c>
      <c r="F307" s="138">
        <v>45571</v>
      </c>
      <c r="G307" s="111" t="s">
        <v>38</v>
      </c>
      <c r="H307" s="65">
        <f>+H215+H216+H217+H218</f>
        <v>378000</v>
      </c>
    </row>
    <row r="308" spans="1:8" ht="15.75" customHeight="1" x14ac:dyDescent="0.3">
      <c r="A308" s="279"/>
      <c r="B308" s="279"/>
      <c r="C308" s="65"/>
      <c r="E308" s="126">
        <v>20</v>
      </c>
      <c r="F308" s="138">
        <v>45592</v>
      </c>
      <c r="G308" s="111" t="s">
        <v>174</v>
      </c>
      <c r="H308" s="65">
        <f>+H227+H229+H230</f>
        <v>324000</v>
      </c>
    </row>
    <row r="309" spans="1:8" ht="15.75" customHeight="1" x14ac:dyDescent="0.3">
      <c r="A309" s="587" t="s">
        <v>111</v>
      </c>
      <c r="B309" s="587"/>
      <c r="C309" s="159">
        <f>+C307-C301</f>
        <v>172440</v>
      </c>
      <c r="E309" s="126">
        <v>21</v>
      </c>
      <c r="F309" s="138">
        <v>45603</v>
      </c>
      <c r="G309" s="111" t="s">
        <v>175</v>
      </c>
      <c r="H309" s="65">
        <f>+H239+H240+H241+H242</f>
        <v>378000</v>
      </c>
    </row>
    <row r="310" spans="1:8" ht="15.75" customHeight="1" x14ac:dyDescent="0.3">
      <c r="A310" s="279"/>
      <c r="B310" s="279"/>
      <c r="C310" s="65"/>
      <c r="E310" s="126">
        <v>22</v>
      </c>
      <c r="F310" s="138">
        <v>45617</v>
      </c>
      <c r="G310" s="111" t="s">
        <v>51</v>
      </c>
      <c r="H310" s="65">
        <f>+H251+H253+H254</f>
        <v>324000</v>
      </c>
    </row>
    <row r="311" spans="1:8" ht="15.75" customHeight="1" thickBot="1" x14ac:dyDescent="0.35">
      <c r="A311" s="279"/>
      <c r="B311" s="279"/>
      <c r="C311" s="65"/>
      <c r="E311" s="126">
        <v>23</v>
      </c>
      <c r="F311" s="138">
        <v>45628</v>
      </c>
      <c r="G311" s="111" t="s">
        <v>178</v>
      </c>
      <c r="H311" s="65">
        <f>+H263+H264+H265+H266</f>
        <v>378000</v>
      </c>
    </row>
    <row r="312" spans="1:8" ht="15.75" customHeight="1" thickBot="1" x14ac:dyDescent="0.35">
      <c r="A312" s="637" t="s">
        <v>64</v>
      </c>
      <c r="B312" s="289" t="s">
        <v>184</v>
      </c>
      <c r="C312" s="290">
        <f>+H315</f>
        <v>8219000</v>
      </c>
      <c r="E312" s="126">
        <v>24</v>
      </c>
      <c r="F312" s="138">
        <v>45641</v>
      </c>
      <c r="G312" s="111" t="s">
        <v>180</v>
      </c>
      <c r="H312" s="65">
        <f>+H275+H277+H278</f>
        <v>324000</v>
      </c>
    </row>
    <row r="313" spans="1:8" ht="15.75" customHeight="1" thickBot="1" x14ac:dyDescent="0.35">
      <c r="A313" s="637"/>
      <c r="B313" s="291" t="s">
        <v>144</v>
      </c>
      <c r="C313" s="292">
        <f>+C291+C292+C293+C296+C298</f>
        <v>7750000</v>
      </c>
      <c r="E313" s="585" t="s">
        <v>118</v>
      </c>
      <c r="F313" s="585"/>
      <c r="G313" s="585"/>
      <c r="H313" s="143">
        <f>SUM(H289:H312)</f>
        <v>8219000</v>
      </c>
    </row>
    <row r="314" spans="1:8" ht="15.75" customHeight="1" thickBot="1" x14ac:dyDescent="0.35">
      <c r="A314" s="637"/>
      <c r="B314" s="293" t="s">
        <v>185</v>
      </c>
      <c r="C314" s="294">
        <f>+C312-C313</f>
        <v>469000</v>
      </c>
      <c r="E314" s="599"/>
      <c r="F314" s="592"/>
      <c r="G314" s="592"/>
      <c r="H314" s="131"/>
    </row>
    <row r="315" spans="1:8" thickBot="1" x14ac:dyDescent="0.35">
      <c r="A315" s="637" t="s">
        <v>186</v>
      </c>
      <c r="B315" s="289" t="s">
        <v>187</v>
      </c>
      <c r="C315" s="290">
        <f>+H345</f>
        <v>5294000</v>
      </c>
      <c r="E315" s="593" t="s">
        <v>119</v>
      </c>
      <c r="F315" s="593"/>
      <c r="G315" s="593"/>
      <c r="H315" s="187">
        <f>+H313</f>
        <v>8219000</v>
      </c>
    </row>
    <row r="316" spans="1:8" ht="15.75" customHeight="1" thickBot="1" x14ac:dyDescent="0.35">
      <c r="A316" s="637"/>
      <c r="B316" s="291" t="s">
        <v>167</v>
      </c>
      <c r="C316" s="292">
        <f>+C290+C294+C295+C297</f>
        <v>5494000</v>
      </c>
    </row>
    <row r="317" spans="1:8" ht="15.75" customHeight="1" thickBot="1" x14ac:dyDescent="0.35">
      <c r="A317" s="637"/>
      <c r="B317" s="293" t="s">
        <v>185</v>
      </c>
      <c r="C317" s="294">
        <f>+C315-C316</f>
        <v>-200000</v>
      </c>
      <c r="E317" s="596" t="s">
        <v>61</v>
      </c>
      <c r="F317" s="596"/>
      <c r="G317" s="596"/>
      <c r="H317" s="596"/>
    </row>
    <row r="318" spans="1:8" ht="15.75" customHeight="1" x14ac:dyDescent="0.3">
      <c r="E318" s="129" t="s">
        <v>117</v>
      </c>
      <c r="F318" s="129" t="s">
        <v>105</v>
      </c>
      <c r="G318" s="129" t="s">
        <v>106</v>
      </c>
      <c r="H318" s="129" t="s">
        <v>107</v>
      </c>
    </row>
    <row r="319" spans="1:8" ht="15.75" customHeight="1" x14ac:dyDescent="0.3">
      <c r="E319" s="126">
        <v>1</v>
      </c>
      <c r="F319" s="140">
        <f>+C6</f>
        <v>45317</v>
      </c>
      <c r="G319" s="137" t="str">
        <f>+B6</f>
        <v>Talleres - Gimasia</v>
      </c>
      <c r="H319" s="131">
        <f>+H6+H7+H8+H14+H15</f>
        <v>146000</v>
      </c>
    </row>
    <row r="320" spans="1:8" ht="15.75" customHeight="1" x14ac:dyDescent="0.3">
      <c r="E320" s="126">
        <v>2</v>
      </c>
      <c r="F320" s="141">
        <v>45325</v>
      </c>
      <c r="G320" s="126" t="s">
        <v>28</v>
      </c>
      <c r="H320" s="65">
        <f>+H17+H18+H19+H25+H26</f>
        <v>171000</v>
      </c>
    </row>
    <row r="321" spans="5:8" ht="15.75" customHeight="1" x14ac:dyDescent="0.3">
      <c r="E321" s="126">
        <v>3</v>
      </c>
      <c r="F321" s="141">
        <v>45337</v>
      </c>
      <c r="G321" s="126" t="s">
        <v>149</v>
      </c>
      <c r="H321" s="65">
        <f>+H28+H29+H30+H36+H37</f>
        <v>171000</v>
      </c>
    </row>
    <row r="322" spans="5:8" ht="15.75" customHeight="1" x14ac:dyDescent="0.3">
      <c r="E322" s="126">
        <v>4</v>
      </c>
      <c r="F322" s="138">
        <v>45353</v>
      </c>
      <c r="G322" s="111" t="s">
        <v>30</v>
      </c>
      <c r="H322" s="65">
        <f>+H39+H40+H41+H47+H48</f>
        <v>239000</v>
      </c>
    </row>
    <row r="323" spans="5:8" ht="15.75" customHeight="1" x14ac:dyDescent="0.3">
      <c r="E323" s="126">
        <v>5</v>
      </c>
      <c r="F323" s="138">
        <v>45361</v>
      </c>
      <c r="G323" s="111" t="s">
        <v>150</v>
      </c>
      <c r="H323" s="65">
        <f>+H50+H51+H52+H58</f>
        <v>171000</v>
      </c>
    </row>
    <row r="324" spans="5:8" ht="15.75" customHeight="1" x14ac:dyDescent="0.3">
      <c r="E324" s="126">
        <v>6</v>
      </c>
      <c r="F324" s="138">
        <v>45381</v>
      </c>
      <c r="G324" s="111" t="s">
        <v>164</v>
      </c>
      <c r="H324" s="65">
        <f>+H61+H62+H63+H69</f>
        <v>171000</v>
      </c>
    </row>
    <row r="325" spans="5:8" ht="15.75" customHeight="1" x14ac:dyDescent="0.3">
      <c r="E325" s="126">
        <v>7</v>
      </c>
      <c r="F325" s="138">
        <v>45386</v>
      </c>
      <c r="G325" s="111" t="s">
        <v>153</v>
      </c>
      <c r="H325" s="65">
        <f>+H72+H73+H74+H80</f>
        <v>255000</v>
      </c>
    </row>
    <row r="326" spans="5:8" ht="15.75" customHeight="1" x14ac:dyDescent="0.3">
      <c r="E326" s="126">
        <v>8</v>
      </c>
      <c r="F326" s="138">
        <v>45388</v>
      </c>
      <c r="G326" s="111" t="s">
        <v>165</v>
      </c>
      <c r="H326" s="65">
        <f>+H83+H84+H85+H91</f>
        <v>146000</v>
      </c>
    </row>
    <row r="327" spans="5:8" ht="15.75" customHeight="1" x14ac:dyDescent="0.3">
      <c r="E327" s="126">
        <v>9</v>
      </c>
      <c r="F327" s="138">
        <v>45420</v>
      </c>
      <c r="G327" s="111" t="s">
        <v>166</v>
      </c>
      <c r="H327" s="65">
        <f>+H94+H95+H96+H103</f>
        <v>280000</v>
      </c>
    </row>
    <row r="328" spans="5:8" ht="15.75" customHeight="1" x14ac:dyDescent="0.3">
      <c r="E328" s="126">
        <v>10</v>
      </c>
      <c r="F328" s="138">
        <v>45426</v>
      </c>
      <c r="G328" s="111" t="s">
        <v>162</v>
      </c>
      <c r="H328" s="65">
        <f>+H106+H107+H108+H115</f>
        <v>280000</v>
      </c>
    </row>
    <row r="329" spans="5:8" ht="15.75" customHeight="1" x14ac:dyDescent="0.3">
      <c r="E329" s="126">
        <v>11</v>
      </c>
      <c r="F329" s="138">
        <v>45431</v>
      </c>
      <c r="G329" s="111" t="s">
        <v>150</v>
      </c>
      <c r="H329" s="65">
        <f>+H118+H119+H120+H126</f>
        <v>146000</v>
      </c>
    </row>
    <row r="330" spans="5:8" ht="14.4" x14ac:dyDescent="0.3">
      <c r="E330" s="126">
        <v>12</v>
      </c>
      <c r="F330" s="138">
        <v>45457</v>
      </c>
      <c r="G330" s="111" t="s">
        <v>26</v>
      </c>
      <c r="H330" s="65">
        <f>+H129+H130+H131+H137</f>
        <v>171000</v>
      </c>
    </row>
    <row r="331" spans="5:8" ht="15.75" customHeight="1" x14ac:dyDescent="0.3">
      <c r="E331" s="126">
        <v>13</v>
      </c>
      <c r="F331" s="138">
        <v>45497</v>
      </c>
      <c r="G331" s="111" t="s">
        <v>47</v>
      </c>
      <c r="H331" s="65">
        <f>+H140+H141+H142+H148+H149</f>
        <v>271000</v>
      </c>
    </row>
    <row r="332" spans="5:8" ht="14.4" x14ac:dyDescent="0.3">
      <c r="E332" s="126">
        <v>14</v>
      </c>
      <c r="F332" s="138">
        <v>45507</v>
      </c>
      <c r="G332" s="111" t="s">
        <v>131</v>
      </c>
      <c r="H332" s="65">
        <f>+H152+H153+H154+H160+H161+H162</f>
        <v>246000</v>
      </c>
    </row>
    <row r="333" spans="5:8" ht="15.6" customHeight="1" x14ac:dyDescent="0.3">
      <c r="E333" s="126">
        <v>15</v>
      </c>
      <c r="F333" s="138">
        <v>45518</v>
      </c>
      <c r="G333" s="111" t="s">
        <v>30</v>
      </c>
      <c r="H333" s="65">
        <f>+H164+H165+H166+H172+H173+H174</f>
        <v>366000</v>
      </c>
    </row>
    <row r="334" spans="5:8" ht="15.75" customHeight="1" x14ac:dyDescent="0.3">
      <c r="E334" s="126">
        <v>16</v>
      </c>
      <c r="F334" s="138">
        <v>45521</v>
      </c>
      <c r="G334" s="111" t="s">
        <v>34</v>
      </c>
      <c r="H334" s="65">
        <f>+H176+H177+H178+H184+H185</f>
        <v>196000</v>
      </c>
    </row>
    <row r="335" spans="5:8" ht="15.75" customHeight="1" x14ac:dyDescent="0.3">
      <c r="E335" s="126">
        <v>17</v>
      </c>
      <c r="F335" s="138">
        <v>45535</v>
      </c>
      <c r="G335" s="111" t="s">
        <v>172</v>
      </c>
      <c r="H335" s="65">
        <f>+H188+H189+H190+H196+H197</f>
        <v>196000</v>
      </c>
    </row>
    <row r="336" spans="5:8" ht="15.75" customHeight="1" x14ac:dyDescent="0.3">
      <c r="E336" s="126">
        <v>18</v>
      </c>
      <c r="F336" s="138">
        <v>45557</v>
      </c>
      <c r="G336" s="111" t="s">
        <v>79</v>
      </c>
      <c r="H336" s="65">
        <f>+H200+H201+H202+H208+H209+H210</f>
        <v>346000</v>
      </c>
    </row>
    <row r="337" spans="5:8" ht="15.75" customHeight="1" x14ac:dyDescent="0.3">
      <c r="E337" s="126">
        <v>19</v>
      </c>
      <c r="F337" s="138">
        <v>45571</v>
      </c>
      <c r="G337" s="111" t="s">
        <v>38</v>
      </c>
      <c r="H337" s="65">
        <f>+H212+H213+H214+H220+H221+H222</f>
        <v>346000</v>
      </c>
    </row>
    <row r="338" spans="5:8" ht="15.75" customHeight="1" x14ac:dyDescent="0.3">
      <c r="E338" s="126">
        <v>20</v>
      </c>
      <c r="F338" s="138">
        <v>45592</v>
      </c>
      <c r="G338" s="111" t="s">
        <v>174</v>
      </c>
      <c r="H338" s="65">
        <f>+H224+H225+H226+H232+H233</f>
        <v>196000</v>
      </c>
    </row>
    <row r="339" spans="5:8" ht="15.75" customHeight="1" x14ac:dyDescent="0.3">
      <c r="E339" s="126">
        <v>21</v>
      </c>
      <c r="F339" s="138">
        <v>45603</v>
      </c>
      <c r="G339" s="111" t="s">
        <v>175</v>
      </c>
      <c r="H339" s="65">
        <f>+H236+H237+H238+H244+H245</f>
        <v>196000</v>
      </c>
    </row>
    <row r="340" spans="5:8" ht="15.75" customHeight="1" x14ac:dyDescent="0.3">
      <c r="E340" s="126">
        <v>22</v>
      </c>
      <c r="F340" s="138">
        <v>45617</v>
      </c>
      <c r="G340" s="111" t="s">
        <v>51</v>
      </c>
      <c r="H340" s="65">
        <f>+H248+H249+H250+H256+H257</f>
        <v>196000</v>
      </c>
    </row>
    <row r="341" spans="5:8" ht="15.75" customHeight="1" x14ac:dyDescent="0.3">
      <c r="E341" s="126">
        <v>23</v>
      </c>
      <c r="F341" s="138">
        <v>45628</v>
      </c>
      <c r="G341" s="111" t="s">
        <v>178</v>
      </c>
      <c r="H341" s="65">
        <f>+H260+H261+H262+H268+H269</f>
        <v>196000</v>
      </c>
    </row>
    <row r="342" spans="5:8" ht="15.75" customHeight="1" x14ac:dyDescent="0.3">
      <c r="E342" s="126">
        <v>24</v>
      </c>
      <c r="F342" s="138">
        <v>45641</v>
      </c>
      <c r="G342" s="111" t="s">
        <v>180</v>
      </c>
      <c r="H342" s="65">
        <f>+H272+H273+H274+H280+H281</f>
        <v>196000</v>
      </c>
    </row>
    <row r="343" spans="5:8" ht="15.75" customHeight="1" x14ac:dyDescent="0.3">
      <c r="F343" s="279"/>
      <c r="G343" s="279" t="s">
        <v>118</v>
      </c>
      <c r="H343" s="143">
        <f>SUM(H319:H342)</f>
        <v>5294000</v>
      </c>
    </row>
    <row r="344" spans="5:8" ht="15.75" customHeight="1" x14ac:dyDescent="0.3">
      <c r="F344" s="280"/>
      <c r="G344" s="281"/>
      <c r="H344" s="131"/>
    </row>
    <row r="345" spans="5:8" ht="15.75" customHeight="1" x14ac:dyDescent="0.3">
      <c r="E345" s="593" t="s">
        <v>119</v>
      </c>
      <c r="F345" s="593"/>
      <c r="G345" s="593"/>
      <c r="H345" s="144">
        <f>+H343</f>
        <v>5294000</v>
      </c>
    </row>
    <row r="346" spans="5:8" ht="15.75" customHeight="1" x14ac:dyDescent="0.3"/>
    <row r="347" spans="5:8" ht="15.75" customHeight="1" x14ac:dyDescent="0.3">
      <c r="E347" s="636" t="s">
        <v>121</v>
      </c>
      <c r="F347" s="636"/>
      <c r="G347" s="636"/>
      <c r="H347" s="145">
        <f>+H315+H345</f>
        <v>13513000</v>
      </c>
    </row>
    <row r="348" spans="5:8" ht="15.75" customHeight="1" x14ac:dyDescent="0.3"/>
    <row r="349" spans="5:8" ht="15.75" customHeight="1" x14ac:dyDescent="0.3">
      <c r="E349" s="587" t="s">
        <v>122</v>
      </c>
      <c r="F349" s="587"/>
      <c r="G349" s="587"/>
      <c r="H349" s="158">
        <f>+H315+H345</f>
        <v>13513000</v>
      </c>
    </row>
    <row r="350" spans="5:8" ht="15.75" customHeight="1" x14ac:dyDescent="0.3"/>
    <row r="351" spans="5:8" ht="15.75" customHeight="1" x14ac:dyDescent="0.3"/>
    <row r="352" spans="5:8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</sheetData>
  <mergeCells count="370">
    <mergeCell ref="A272:A283"/>
    <mergeCell ref="B272:B283"/>
    <mergeCell ref="C272:C283"/>
    <mergeCell ref="D272:E272"/>
    <mergeCell ref="D273:E273"/>
    <mergeCell ref="D274:E274"/>
    <mergeCell ref="A260:A271"/>
    <mergeCell ref="B260:B271"/>
    <mergeCell ref="C260:C271"/>
    <mergeCell ref="D260:E260"/>
    <mergeCell ref="D261:E261"/>
    <mergeCell ref="D262:E262"/>
    <mergeCell ref="D263:E263"/>
    <mergeCell ref="D264:E264"/>
    <mergeCell ref="D265:E265"/>
    <mergeCell ref="D266:E266"/>
    <mergeCell ref="D270:E270"/>
    <mergeCell ref="D282:E282"/>
    <mergeCell ref="D281:E281"/>
    <mergeCell ref="D283:G283"/>
    <mergeCell ref="D275:E275"/>
    <mergeCell ref="D276:E276"/>
    <mergeCell ref="D277:E277"/>
    <mergeCell ref="D278:E278"/>
    <mergeCell ref="A248:A259"/>
    <mergeCell ref="B248:B259"/>
    <mergeCell ref="C248:C259"/>
    <mergeCell ref="D248:E248"/>
    <mergeCell ref="D249:E249"/>
    <mergeCell ref="D250:E250"/>
    <mergeCell ref="D251:E251"/>
    <mergeCell ref="D252:E252"/>
    <mergeCell ref="D256:E256"/>
    <mergeCell ref="D257:E257"/>
    <mergeCell ref="D259:G259"/>
    <mergeCell ref="D258:E258"/>
    <mergeCell ref="D279:E279"/>
    <mergeCell ref="D280:E280"/>
    <mergeCell ref="D267:E267"/>
    <mergeCell ref="D268:E268"/>
    <mergeCell ref="D269:E269"/>
    <mergeCell ref="D271:G271"/>
    <mergeCell ref="D242:E242"/>
    <mergeCell ref="D243:E243"/>
    <mergeCell ref="D244:E244"/>
    <mergeCell ref="D253:E253"/>
    <mergeCell ref="D254:E254"/>
    <mergeCell ref="D255:E255"/>
    <mergeCell ref="D245:E245"/>
    <mergeCell ref="D247:G247"/>
    <mergeCell ref="D246:E246"/>
    <mergeCell ref="D231:E231"/>
    <mergeCell ref="D232:E232"/>
    <mergeCell ref="D233:E233"/>
    <mergeCell ref="D235:G235"/>
    <mergeCell ref="A236:A247"/>
    <mergeCell ref="B236:B247"/>
    <mergeCell ref="C236:C247"/>
    <mergeCell ref="D236:E236"/>
    <mergeCell ref="D237:E237"/>
    <mergeCell ref="D238:E238"/>
    <mergeCell ref="A224:A235"/>
    <mergeCell ref="B224:B235"/>
    <mergeCell ref="C224:C235"/>
    <mergeCell ref="D224:E224"/>
    <mergeCell ref="D225:E225"/>
    <mergeCell ref="D226:E226"/>
    <mergeCell ref="D227:E227"/>
    <mergeCell ref="D228:E228"/>
    <mergeCell ref="D229:E229"/>
    <mergeCell ref="D230:E230"/>
    <mergeCell ref="D234:E234"/>
    <mergeCell ref="D239:E239"/>
    <mergeCell ref="D240:E240"/>
    <mergeCell ref="D241:E241"/>
    <mergeCell ref="D217:E217"/>
    <mergeCell ref="D218:E218"/>
    <mergeCell ref="D219:E219"/>
    <mergeCell ref="D220:E220"/>
    <mergeCell ref="D221:E221"/>
    <mergeCell ref="D223:G223"/>
    <mergeCell ref="D209:E209"/>
    <mergeCell ref="D211:G211"/>
    <mergeCell ref="A212:A223"/>
    <mergeCell ref="B212:B223"/>
    <mergeCell ref="C212:C223"/>
    <mergeCell ref="D212:E212"/>
    <mergeCell ref="D213:E213"/>
    <mergeCell ref="D214:E214"/>
    <mergeCell ref="D215:E215"/>
    <mergeCell ref="D216:E216"/>
    <mergeCell ref="A200:A211"/>
    <mergeCell ref="B200:B211"/>
    <mergeCell ref="C200:C211"/>
    <mergeCell ref="D210:E210"/>
    <mergeCell ref="D222:E222"/>
    <mergeCell ref="D203:E203"/>
    <mergeCell ref="D204:E204"/>
    <mergeCell ref="D205:E205"/>
    <mergeCell ref="D206:E206"/>
    <mergeCell ref="D207:E207"/>
    <mergeCell ref="D208:E208"/>
    <mergeCell ref="D195:E195"/>
    <mergeCell ref="D196:E196"/>
    <mergeCell ref="D197:E197"/>
    <mergeCell ref="D199:G199"/>
    <mergeCell ref="D200:E200"/>
    <mergeCell ref="D201:E201"/>
    <mergeCell ref="D202:E202"/>
    <mergeCell ref="D198:E198"/>
    <mergeCell ref="A188:A199"/>
    <mergeCell ref="B188:B199"/>
    <mergeCell ref="C188:C199"/>
    <mergeCell ref="D188:E188"/>
    <mergeCell ref="D189:E189"/>
    <mergeCell ref="D190:E190"/>
    <mergeCell ref="D191:E191"/>
    <mergeCell ref="D192:E192"/>
    <mergeCell ref="D193:E193"/>
    <mergeCell ref="D194:E194"/>
    <mergeCell ref="D181:E181"/>
    <mergeCell ref="D182:E182"/>
    <mergeCell ref="D183:E183"/>
    <mergeCell ref="D184:E184"/>
    <mergeCell ref="D185:E185"/>
    <mergeCell ref="D187:G187"/>
    <mergeCell ref="D173:E173"/>
    <mergeCell ref="D175:G175"/>
    <mergeCell ref="A176:A187"/>
    <mergeCell ref="B176:B187"/>
    <mergeCell ref="C176:C187"/>
    <mergeCell ref="D176:E176"/>
    <mergeCell ref="D177:E177"/>
    <mergeCell ref="D178:E178"/>
    <mergeCell ref="D179:E179"/>
    <mergeCell ref="D180:E180"/>
    <mergeCell ref="A164:A175"/>
    <mergeCell ref="B164:B175"/>
    <mergeCell ref="C164:C175"/>
    <mergeCell ref="D174:E174"/>
    <mergeCell ref="D186:E186"/>
    <mergeCell ref="D167:E167"/>
    <mergeCell ref="D168:E168"/>
    <mergeCell ref="D169:E169"/>
    <mergeCell ref="D170:E170"/>
    <mergeCell ref="D171:E171"/>
    <mergeCell ref="D172:E172"/>
    <mergeCell ref="D159:E159"/>
    <mergeCell ref="D160:E160"/>
    <mergeCell ref="D161:E161"/>
    <mergeCell ref="D163:G163"/>
    <mergeCell ref="D164:E164"/>
    <mergeCell ref="D165:E165"/>
    <mergeCell ref="D166:E166"/>
    <mergeCell ref="A152:A163"/>
    <mergeCell ref="B152:B163"/>
    <mergeCell ref="C152:C163"/>
    <mergeCell ref="D152:E152"/>
    <mergeCell ref="D153:E153"/>
    <mergeCell ref="D154:E154"/>
    <mergeCell ref="D155:E155"/>
    <mergeCell ref="D156:E156"/>
    <mergeCell ref="D157:E157"/>
    <mergeCell ref="D158:E158"/>
    <mergeCell ref="D162:E162"/>
    <mergeCell ref="D146:E146"/>
    <mergeCell ref="D147:E147"/>
    <mergeCell ref="D148:E148"/>
    <mergeCell ref="D149:E149"/>
    <mergeCell ref="D151:G151"/>
    <mergeCell ref="D138:E138"/>
    <mergeCell ref="D139:G139"/>
    <mergeCell ref="A140:A151"/>
    <mergeCell ref="B140:B151"/>
    <mergeCell ref="C140:C151"/>
    <mergeCell ref="D140:E140"/>
    <mergeCell ref="D141:E141"/>
    <mergeCell ref="D142:E142"/>
    <mergeCell ref="D143:E143"/>
    <mergeCell ref="D144:E144"/>
    <mergeCell ref="D150:E150"/>
    <mergeCell ref="E317:H317"/>
    <mergeCell ref="E345:G345"/>
    <mergeCell ref="E347:G347"/>
    <mergeCell ref="E349:G349"/>
    <mergeCell ref="A302:C302"/>
    <mergeCell ref="A307:B307"/>
    <mergeCell ref="E313:G313"/>
    <mergeCell ref="A309:B309"/>
    <mergeCell ref="E314:G314"/>
    <mergeCell ref="E315:G315"/>
    <mergeCell ref="A312:A314"/>
    <mergeCell ref="A315:A317"/>
    <mergeCell ref="A286:C286"/>
    <mergeCell ref="E286:H286"/>
    <mergeCell ref="A287:C287"/>
    <mergeCell ref="E287:H287"/>
    <mergeCell ref="A301:B301"/>
    <mergeCell ref="D122:E122"/>
    <mergeCell ref="D123:E123"/>
    <mergeCell ref="D124:E124"/>
    <mergeCell ref="D125:E125"/>
    <mergeCell ref="D126:E126"/>
    <mergeCell ref="D127:E127"/>
    <mergeCell ref="D132:E132"/>
    <mergeCell ref="D133:E133"/>
    <mergeCell ref="D134:E134"/>
    <mergeCell ref="D135:E135"/>
    <mergeCell ref="D136:E136"/>
    <mergeCell ref="D137:E137"/>
    <mergeCell ref="A129:A139"/>
    <mergeCell ref="B129:B139"/>
    <mergeCell ref="C129:C139"/>
    <mergeCell ref="D129:E129"/>
    <mergeCell ref="D130:E130"/>
    <mergeCell ref="D131:E131"/>
    <mergeCell ref="D145:E145"/>
    <mergeCell ref="D115:E115"/>
    <mergeCell ref="D116:E116"/>
    <mergeCell ref="D117:G117"/>
    <mergeCell ref="A118:A128"/>
    <mergeCell ref="B118:B128"/>
    <mergeCell ref="C118:C128"/>
    <mergeCell ref="D118:E118"/>
    <mergeCell ref="D119:E119"/>
    <mergeCell ref="D120:E120"/>
    <mergeCell ref="D121:E121"/>
    <mergeCell ref="A106:A117"/>
    <mergeCell ref="B106:B117"/>
    <mergeCell ref="C106:C117"/>
    <mergeCell ref="D128:G128"/>
    <mergeCell ref="D113:E113"/>
    <mergeCell ref="D114:E114"/>
    <mergeCell ref="D109:E109"/>
    <mergeCell ref="D110:E110"/>
    <mergeCell ref="D111:E111"/>
    <mergeCell ref="D112:E112"/>
    <mergeCell ref="D102:E102"/>
    <mergeCell ref="D103:E103"/>
    <mergeCell ref="D104:E104"/>
    <mergeCell ref="D105:G105"/>
    <mergeCell ref="D106:E106"/>
    <mergeCell ref="D107:E107"/>
    <mergeCell ref="D108:E108"/>
    <mergeCell ref="D89:E89"/>
    <mergeCell ref="D90:E90"/>
    <mergeCell ref="D91:E91"/>
    <mergeCell ref="D92:E92"/>
    <mergeCell ref="D93:G93"/>
    <mergeCell ref="A94:A105"/>
    <mergeCell ref="B94:B105"/>
    <mergeCell ref="C94:C105"/>
    <mergeCell ref="D94:E94"/>
    <mergeCell ref="D95:E95"/>
    <mergeCell ref="D82:G82"/>
    <mergeCell ref="A83:A93"/>
    <mergeCell ref="B83:B93"/>
    <mergeCell ref="C83:C93"/>
    <mergeCell ref="D83:E83"/>
    <mergeCell ref="D84:E84"/>
    <mergeCell ref="D85:E85"/>
    <mergeCell ref="D86:E86"/>
    <mergeCell ref="D87:E87"/>
    <mergeCell ref="D88:E88"/>
    <mergeCell ref="A72:A82"/>
    <mergeCell ref="B72:B82"/>
    <mergeCell ref="C72:C82"/>
    <mergeCell ref="D96:E96"/>
    <mergeCell ref="D97:E97"/>
    <mergeCell ref="D98:E98"/>
    <mergeCell ref="D99:E99"/>
    <mergeCell ref="D100:E100"/>
    <mergeCell ref="D101:E101"/>
    <mergeCell ref="D80:E80"/>
    <mergeCell ref="D81:E81"/>
    <mergeCell ref="D69:E69"/>
    <mergeCell ref="D70:E70"/>
    <mergeCell ref="D71:G71"/>
    <mergeCell ref="D72:E72"/>
    <mergeCell ref="D73:E73"/>
    <mergeCell ref="D74:E74"/>
    <mergeCell ref="D75:E75"/>
    <mergeCell ref="D56:E56"/>
    <mergeCell ref="D57:E57"/>
    <mergeCell ref="D58:E58"/>
    <mergeCell ref="D59:E59"/>
    <mergeCell ref="D60:G60"/>
    <mergeCell ref="D76:E76"/>
    <mergeCell ref="D77:E77"/>
    <mergeCell ref="D78:E78"/>
    <mergeCell ref="D79:E79"/>
    <mergeCell ref="A61:A71"/>
    <mergeCell ref="B61:B71"/>
    <mergeCell ref="C61:C71"/>
    <mergeCell ref="D61:E61"/>
    <mergeCell ref="D62:E62"/>
    <mergeCell ref="D49:G49"/>
    <mergeCell ref="A50:A60"/>
    <mergeCell ref="B50:B60"/>
    <mergeCell ref="C50:C60"/>
    <mergeCell ref="D50:E50"/>
    <mergeCell ref="D51:E51"/>
    <mergeCell ref="D52:E52"/>
    <mergeCell ref="D53:E53"/>
    <mergeCell ref="D54:E54"/>
    <mergeCell ref="D55:E55"/>
    <mergeCell ref="A39:A49"/>
    <mergeCell ref="B39:B49"/>
    <mergeCell ref="C39:C49"/>
    <mergeCell ref="D63:E63"/>
    <mergeCell ref="D64:E64"/>
    <mergeCell ref="D65:E65"/>
    <mergeCell ref="D66:E66"/>
    <mergeCell ref="D67:E67"/>
    <mergeCell ref="D68:E68"/>
    <mergeCell ref="D26:E26"/>
    <mergeCell ref="D27:G27"/>
    <mergeCell ref="D43:E43"/>
    <mergeCell ref="D44:E44"/>
    <mergeCell ref="D45:E45"/>
    <mergeCell ref="D46:E46"/>
    <mergeCell ref="D47:E47"/>
    <mergeCell ref="D48:E48"/>
    <mergeCell ref="D36:E36"/>
    <mergeCell ref="D37:E37"/>
    <mergeCell ref="D38:G38"/>
    <mergeCell ref="D39:E39"/>
    <mergeCell ref="D40:E40"/>
    <mergeCell ref="D41:E41"/>
    <mergeCell ref="D42:E42"/>
    <mergeCell ref="A28:A38"/>
    <mergeCell ref="B28:B38"/>
    <mergeCell ref="C28:C38"/>
    <mergeCell ref="D28:E28"/>
    <mergeCell ref="D29:E29"/>
    <mergeCell ref="D16:G16"/>
    <mergeCell ref="A17:A27"/>
    <mergeCell ref="B17:B27"/>
    <mergeCell ref="C17:C27"/>
    <mergeCell ref="D17:E17"/>
    <mergeCell ref="D18:E18"/>
    <mergeCell ref="D19:E19"/>
    <mergeCell ref="D20:E20"/>
    <mergeCell ref="D21:E21"/>
    <mergeCell ref="D22:E22"/>
    <mergeCell ref="D30:E30"/>
    <mergeCell ref="D31:E31"/>
    <mergeCell ref="D32:E32"/>
    <mergeCell ref="D33:E33"/>
    <mergeCell ref="D34:E34"/>
    <mergeCell ref="D35:E35"/>
    <mergeCell ref="D23:E23"/>
    <mergeCell ref="D24:E24"/>
    <mergeCell ref="D25:E25"/>
    <mergeCell ref="D10:E10"/>
    <mergeCell ref="D11:E11"/>
    <mergeCell ref="D12:E12"/>
    <mergeCell ref="D13:E13"/>
    <mergeCell ref="D14:E14"/>
    <mergeCell ref="D15:E15"/>
    <mergeCell ref="A1:H3"/>
    <mergeCell ref="A4:H4"/>
    <mergeCell ref="D5:E5"/>
    <mergeCell ref="A6:A16"/>
    <mergeCell ref="B6:B16"/>
    <mergeCell ref="C6:C16"/>
    <mergeCell ref="D6:E6"/>
    <mergeCell ref="D7:E7"/>
    <mergeCell ref="D8:E8"/>
    <mergeCell ref="D9:E9"/>
  </mergeCells>
  <pageMargins left="0.31496062992125984" right="0.11811023622047245" top="0.15748031496062992" bottom="0.15748031496062992" header="0" footer="0"/>
  <pageSetup paperSize="9" scale="6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25"/>
  <sheetViews>
    <sheetView zoomScale="90" zoomScaleNormal="90" workbookViewId="0">
      <pane xSplit="3" ySplit="7" topLeftCell="D38" activePane="bottomRight" state="frozen"/>
      <selection pane="topRight" activeCell="C1" sqref="C1"/>
      <selection pane="bottomLeft" activeCell="A150" sqref="A150"/>
      <selection pane="bottomRight" activeCell="H38" sqref="H38"/>
    </sheetView>
  </sheetViews>
  <sheetFormatPr baseColWidth="10" defaultColWidth="14.44140625" defaultRowHeight="15" customHeight="1" x14ac:dyDescent="0.3"/>
  <cols>
    <col min="1" max="1" width="14.44140625" style="286"/>
    <col min="2" max="2" width="31" style="286" customWidth="1"/>
    <col min="3" max="3" width="11.6640625" style="286" bestFit="1" customWidth="1"/>
    <col min="4" max="4" width="22.21875" style="286" customWidth="1"/>
    <col min="5" max="5" width="8.6640625" style="286" customWidth="1"/>
    <col min="6" max="6" width="13.33203125" style="286" customWidth="1"/>
    <col min="7" max="7" width="13.77734375" style="286" customWidth="1"/>
    <col min="8" max="8" width="16.77734375" style="286" customWidth="1"/>
    <col min="9" max="9" width="12.109375" style="286" customWidth="1"/>
    <col min="10" max="10" width="8.88671875" style="286" customWidth="1"/>
    <col min="11" max="12" width="15.6640625" style="286" customWidth="1"/>
    <col min="13" max="13" width="10.33203125" style="286" customWidth="1"/>
    <col min="14" max="14" width="15.44140625" style="286" customWidth="1"/>
    <col min="15" max="15" width="15.6640625" style="286" customWidth="1"/>
    <col min="16" max="16" width="12.109375" style="286" customWidth="1"/>
    <col min="17" max="17" width="15.6640625" style="286" customWidth="1"/>
    <col min="18" max="28" width="10.6640625" style="286" customWidth="1"/>
    <col min="29" max="16384" width="14.44140625" style="286"/>
  </cols>
  <sheetData>
    <row r="1" spans="1:28" ht="15" customHeight="1" x14ac:dyDescent="0.3">
      <c r="A1" s="434" t="s">
        <v>188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5"/>
    </row>
    <row r="2" spans="1:28" ht="15" customHeight="1" x14ac:dyDescent="0.3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5"/>
    </row>
    <row r="3" spans="1:28" ht="15" customHeight="1" x14ac:dyDescent="0.3">
      <c r="A3" s="434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5"/>
    </row>
    <row r="4" spans="1:28" ht="15" customHeight="1" x14ac:dyDescent="0.3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5"/>
    </row>
    <row r="5" spans="1:28" ht="15.6" customHeight="1" thickBot="1" x14ac:dyDescent="0.35">
      <c r="A5" s="639" t="s">
        <v>67</v>
      </c>
      <c r="B5" s="639"/>
      <c r="C5" s="639"/>
      <c r="D5" s="95"/>
      <c r="E5" s="96"/>
      <c r="F5" s="96"/>
      <c r="G5" s="96"/>
      <c r="H5" s="96"/>
      <c r="I5" s="96"/>
      <c r="J5" s="96"/>
      <c r="K5" s="95"/>
      <c r="L5" s="95"/>
      <c r="M5" s="95"/>
      <c r="N5" s="96"/>
      <c r="O5" s="96"/>
      <c r="P5" s="96" t="s">
        <v>1</v>
      </c>
      <c r="Q5" s="101">
        <v>2024</v>
      </c>
    </row>
    <row r="6" spans="1:28" ht="13.95" customHeight="1" thickBot="1" x14ac:dyDescent="0.35">
      <c r="A6" s="540" t="s">
        <v>200</v>
      </c>
      <c r="B6" s="540" t="s">
        <v>3</v>
      </c>
      <c r="C6" s="542" t="s">
        <v>4</v>
      </c>
      <c r="D6" s="629" t="s">
        <v>5</v>
      </c>
      <c r="E6" s="630"/>
      <c r="F6" s="630"/>
      <c r="G6" s="630"/>
      <c r="H6" s="630"/>
      <c r="I6" s="630"/>
      <c r="J6" s="631"/>
      <c r="K6" s="546" t="s">
        <v>6</v>
      </c>
      <c r="L6" s="627"/>
      <c r="M6" s="627"/>
      <c r="N6" s="627"/>
      <c r="O6" s="627"/>
      <c r="P6" s="627"/>
      <c r="Q6" s="628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thickBot="1" x14ac:dyDescent="0.35">
      <c r="A7" s="633"/>
      <c r="B7" s="633"/>
      <c r="C7" s="632"/>
      <c r="D7" s="107" t="s">
        <v>7</v>
      </c>
      <c r="E7" s="108" t="s">
        <v>62</v>
      </c>
      <c r="F7" s="108" t="s">
        <v>63</v>
      </c>
      <c r="G7" s="108" t="s">
        <v>9</v>
      </c>
      <c r="H7" s="109" t="s">
        <v>10</v>
      </c>
      <c r="I7" s="110" t="s">
        <v>11</v>
      </c>
      <c r="J7" s="109" t="s">
        <v>12</v>
      </c>
      <c r="K7" s="549" t="s">
        <v>7</v>
      </c>
      <c r="L7" s="626"/>
      <c r="M7" s="7" t="s">
        <v>8</v>
      </c>
      <c r="N7" s="7" t="s">
        <v>9</v>
      </c>
      <c r="O7" s="8" t="s">
        <v>12</v>
      </c>
      <c r="P7" s="8" t="s">
        <v>11</v>
      </c>
      <c r="Q7" s="102" t="s">
        <v>148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9.95" customHeight="1" x14ac:dyDescent="0.3">
      <c r="A8" s="402">
        <v>1</v>
      </c>
      <c r="B8" s="402" t="s">
        <v>34</v>
      </c>
      <c r="C8" s="405">
        <v>45686</v>
      </c>
      <c r="D8" s="282" t="s">
        <v>54</v>
      </c>
      <c r="E8" s="282">
        <v>2600</v>
      </c>
      <c r="F8" s="282">
        <v>1300</v>
      </c>
      <c r="G8" s="283">
        <v>3307.5</v>
      </c>
      <c r="H8" s="285">
        <f t="shared" ref="H8:H13" si="0">+E8*G8</f>
        <v>8599500</v>
      </c>
      <c r="I8" s="393"/>
      <c r="J8" s="526"/>
      <c r="K8" s="610" t="s">
        <v>17</v>
      </c>
      <c r="L8" s="611"/>
      <c r="M8" s="210">
        <v>18</v>
      </c>
      <c r="N8" s="211">
        <v>52500</v>
      </c>
      <c r="O8" s="212">
        <f t="shared" ref="O8:O13" si="1">+M8*N8</f>
        <v>945000</v>
      </c>
      <c r="P8" s="612"/>
      <c r="Q8" s="15">
        <v>0</v>
      </c>
    </row>
    <row r="9" spans="1:28" ht="20.100000000000001" customHeight="1" x14ac:dyDescent="0.3">
      <c r="A9" s="403"/>
      <c r="B9" s="403"/>
      <c r="C9" s="406"/>
      <c r="D9" s="284" t="s">
        <v>189</v>
      </c>
      <c r="E9" s="284">
        <v>600</v>
      </c>
      <c r="F9" s="284">
        <v>0</v>
      </c>
      <c r="G9" s="43">
        <v>6318</v>
      </c>
      <c r="H9" s="56">
        <f t="shared" si="0"/>
        <v>3790800</v>
      </c>
      <c r="I9" s="393"/>
      <c r="J9" s="526"/>
      <c r="K9" s="610" t="s">
        <v>156</v>
      </c>
      <c r="L9" s="611"/>
      <c r="M9" s="210">
        <v>290</v>
      </c>
      <c r="N9" s="211">
        <v>16200</v>
      </c>
      <c r="O9" s="212">
        <f t="shared" si="1"/>
        <v>4698000</v>
      </c>
      <c r="P9" s="612"/>
      <c r="Q9" s="15">
        <v>0</v>
      </c>
    </row>
    <row r="10" spans="1:28" ht="20.100000000000001" customHeight="1" x14ac:dyDescent="0.3">
      <c r="A10" s="403"/>
      <c r="B10" s="403"/>
      <c r="C10" s="406"/>
      <c r="D10" s="284" t="s">
        <v>55</v>
      </c>
      <c r="E10" s="284">
        <v>2</v>
      </c>
      <c r="F10" s="284"/>
      <c r="G10" s="43">
        <v>464062.5</v>
      </c>
      <c r="H10" s="56">
        <f t="shared" si="0"/>
        <v>928125</v>
      </c>
      <c r="I10" s="393"/>
      <c r="J10" s="526"/>
      <c r="K10" s="610" t="s">
        <v>181</v>
      </c>
      <c r="L10" s="611"/>
      <c r="M10" s="210">
        <v>1</v>
      </c>
      <c r="N10" s="211">
        <v>525000</v>
      </c>
      <c r="O10" s="212">
        <f t="shared" si="1"/>
        <v>525000</v>
      </c>
      <c r="P10" s="612"/>
      <c r="Q10" s="15">
        <v>0</v>
      </c>
    </row>
    <row r="11" spans="1:28" ht="20.100000000000001" customHeight="1" x14ac:dyDescent="0.3">
      <c r="A11" s="403"/>
      <c r="B11" s="403"/>
      <c r="C11" s="406"/>
      <c r="D11" s="284" t="s">
        <v>81</v>
      </c>
      <c r="E11" s="284">
        <v>1</v>
      </c>
      <c r="F11" s="284"/>
      <c r="G11" s="43">
        <v>303750</v>
      </c>
      <c r="H11" s="285">
        <f t="shared" si="0"/>
        <v>303750</v>
      </c>
      <c r="I11" s="393"/>
      <c r="J11" s="527"/>
      <c r="K11" s="610" t="s">
        <v>157</v>
      </c>
      <c r="L11" s="611"/>
      <c r="M11" s="210">
        <v>1</v>
      </c>
      <c r="N11" s="211">
        <v>175000</v>
      </c>
      <c r="O11" s="212">
        <f t="shared" si="1"/>
        <v>175000</v>
      </c>
      <c r="P11" s="612"/>
      <c r="Q11" s="15">
        <v>0</v>
      </c>
    </row>
    <row r="12" spans="1:28" ht="20.100000000000001" customHeight="1" x14ac:dyDescent="0.3">
      <c r="A12" s="403"/>
      <c r="B12" s="403"/>
      <c r="C12" s="406"/>
      <c r="D12" s="284" t="s">
        <v>190</v>
      </c>
      <c r="E12" s="284">
        <v>0</v>
      </c>
      <c r="F12" s="284"/>
      <c r="G12" s="43">
        <v>183750</v>
      </c>
      <c r="H12" s="56">
        <f t="shared" si="0"/>
        <v>0</v>
      </c>
      <c r="I12" s="393"/>
      <c r="J12" s="527"/>
      <c r="K12" s="610" t="s">
        <v>158</v>
      </c>
      <c r="L12" s="611"/>
      <c r="M12" s="210">
        <v>1</v>
      </c>
      <c r="N12" s="211">
        <v>350000</v>
      </c>
      <c r="O12" s="212">
        <f t="shared" si="1"/>
        <v>350000</v>
      </c>
      <c r="P12" s="612"/>
      <c r="Q12" s="15">
        <v>0</v>
      </c>
    </row>
    <row r="13" spans="1:28" ht="20.100000000000001" customHeight="1" x14ac:dyDescent="0.3">
      <c r="A13" s="403"/>
      <c r="B13" s="403"/>
      <c r="C13" s="406"/>
      <c r="D13" s="284" t="s">
        <v>160</v>
      </c>
      <c r="E13" s="284">
        <v>0</v>
      </c>
      <c r="F13" s="284"/>
      <c r="G13" s="43">
        <v>20000</v>
      </c>
      <c r="H13" s="56">
        <f t="shared" si="0"/>
        <v>0</v>
      </c>
      <c r="I13" s="393"/>
      <c r="J13" s="527"/>
      <c r="K13" s="610" t="s">
        <v>159</v>
      </c>
      <c r="L13" s="611"/>
      <c r="M13" s="210">
        <v>0</v>
      </c>
      <c r="N13" s="211">
        <v>187500</v>
      </c>
      <c r="O13" s="212">
        <f t="shared" si="1"/>
        <v>0</v>
      </c>
      <c r="P13" s="612"/>
      <c r="Q13" s="15">
        <v>0</v>
      </c>
    </row>
    <row r="14" spans="1:28" ht="19.95" customHeight="1" thickBot="1" x14ac:dyDescent="0.35">
      <c r="A14" s="404"/>
      <c r="B14" s="404"/>
      <c r="C14" s="407"/>
      <c r="D14" s="399" t="s">
        <v>21</v>
      </c>
      <c r="E14" s="400"/>
      <c r="F14" s="400"/>
      <c r="G14" s="418"/>
      <c r="H14" s="59">
        <f>SUM(H8:H13)</f>
        <v>13622175</v>
      </c>
      <c r="I14" s="513"/>
      <c r="J14" s="528"/>
      <c r="K14" s="535" t="s">
        <v>22</v>
      </c>
      <c r="L14" s="485"/>
      <c r="M14" s="485"/>
      <c r="N14" s="418"/>
      <c r="O14" s="49">
        <f>SUM(O8:O13)</f>
        <v>6693000</v>
      </c>
      <c r="P14" s="487"/>
      <c r="Q14" s="213">
        <f>SUM(Q8:Q13)</f>
        <v>0</v>
      </c>
    </row>
    <row r="15" spans="1:28" ht="19.95" customHeight="1" x14ac:dyDescent="0.3">
      <c r="A15" s="402">
        <v>2</v>
      </c>
      <c r="B15" s="402" t="s">
        <v>175</v>
      </c>
      <c r="C15" s="405">
        <v>45697</v>
      </c>
      <c r="D15" s="282" t="s">
        <v>54</v>
      </c>
      <c r="E15" s="282">
        <v>2600</v>
      </c>
      <c r="F15" s="282">
        <v>1300</v>
      </c>
      <c r="G15" s="283">
        <v>3307.5</v>
      </c>
      <c r="H15" s="285">
        <f t="shared" ref="H15:H20" si="2">+E15*G15</f>
        <v>8599500</v>
      </c>
      <c r="I15" s="393"/>
      <c r="J15" s="526"/>
      <c r="K15" s="610" t="s">
        <v>17</v>
      </c>
      <c r="L15" s="611"/>
      <c r="M15" s="210">
        <v>18</v>
      </c>
      <c r="N15" s="211">
        <v>52500</v>
      </c>
      <c r="O15" s="212">
        <f t="shared" ref="O15:O20" si="3">+M15*N15</f>
        <v>945000</v>
      </c>
      <c r="P15" s="612"/>
      <c r="Q15" s="15">
        <v>0</v>
      </c>
    </row>
    <row r="16" spans="1:28" ht="20.100000000000001" customHeight="1" x14ac:dyDescent="0.3">
      <c r="A16" s="403"/>
      <c r="B16" s="403"/>
      <c r="C16" s="406"/>
      <c r="D16" s="284" t="s">
        <v>191</v>
      </c>
      <c r="E16" s="284">
        <v>600</v>
      </c>
      <c r="F16" s="284">
        <v>0</v>
      </c>
      <c r="G16" s="43">
        <v>6318</v>
      </c>
      <c r="H16" s="56">
        <f t="shared" si="2"/>
        <v>3790800</v>
      </c>
      <c r="I16" s="393"/>
      <c r="J16" s="526"/>
      <c r="K16" s="610" t="s">
        <v>156</v>
      </c>
      <c r="L16" s="611"/>
      <c r="M16" s="210">
        <v>290</v>
      </c>
      <c r="N16" s="211">
        <v>16200</v>
      </c>
      <c r="O16" s="212">
        <f t="shared" si="3"/>
        <v>4698000</v>
      </c>
      <c r="P16" s="612"/>
      <c r="Q16" s="15">
        <v>0</v>
      </c>
    </row>
    <row r="17" spans="1:17" ht="20.100000000000001" customHeight="1" x14ac:dyDescent="0.3">
      <c r="A17" s="403"/>
      <c r="B17" s="403"/>
      <c r="C17" s="406"/>
      <c r="D17" s="284" t="s">
        <v>55</v>
      </c>
      <c r="E17" s="284">
        <v>2</v>
      </c>
      <c r="F17" s="284"/>
      <c r="G17" s="43">
        <v>464062.5</v>
      </c>
      <c r="H17" s="56">
        <f t="shared" si="2"/>
        <v>928125</v>
      </c>
      <c r="I17" s="393"/>
      <c r="J17" s="526"/>
      <c r="K17" s="610" t="s">
        <v>181</v>
      </c>
      <c r="L17" s="611"/>
      <c r="M17" s="210">
        <v>1</v>
      </c>
      <c r="N17" s="211">
        <v>525000</v>
      </c>
      <c r="O17" s="212">
        <f t="shared" si="3"/>
        <v>525000</v>
      </c>
      <c r="P17" s="612"/>
      <c r="Q17" s="15">
        <v>0</v>
      </c>
    </row>
    <row r="18" spans="1:17" ht="20.100000000000001" customHeight="1" x14ac:dyDescent="0.3">
      <c r="A18" s="403"/>
      <c r="B18" s="403"/>
      <c r="C18" s="406"/>
      <c r="D18" s="284" t="s">
        <v>81</v>
      </c>
      <c r="E18" s="284">
        <v>1</v>
      </c>
      <c r="F18" s="284"/>
      <c r="G18" s="43">
        <v>303750</v>
      </c>
      <c r="H18" s="285">
        <f t="shared" si="2"/>
        <v>303750</v>
      </c>
      <c r="I18" s="393"/>
      <c r="J18" s="527"/>
      <c r="K18" s="610" t="s">
        <v>157</v>
      </c>
      <c r="L18" s="611"/>
      <c r="M18" s="210">
        <v>1</v>
      </c>
      <c r="N18" s="211">
        <v>175000</v>
      </c>
      <c r="O18" s="212">
        <f t="shared" si="3"/>
        <v>175000</v>
      </c>
      <c r="P18" s="612"/>
      <c r="Q18" s="15">
        <v>0</v>
      </c>
    </row>
    <row r="19" spans="1:17" ht="20.100000000000001" customHeight="1" x14ac:dyDescent="0.3">
      <c r="A19" s="403"/>
      <c r="B19" s="403"/>
      <c r="C19" s="406"/>
      <c r="D19" s="284" t="s">
        <v>190</v>
      </c>
      <c r="E19" s="284">
        <v>0</v>
      </c>
      <c r="F19" s="284"/>
      <c r="G19" s="43">
        <v>183750</v>
      </c>
      <c r="H19" s="56">
        <f t="shared" si="2"/>
        <v>0</v>
      </c>
      <c r="I19" s="393"/>
      <c r="J19" s="527"/>
      <c r="K19" s="610" t="s">
        <v>158</v>
      </c>
      <c r="L19" s="611"/>
      <c r="M19" s="210">
        <v>1</v>
      </c>
      <c r="N19" s="211">
        <v>350000</v>
      </c>
      <c r="O19" s="212">
        <f t="shared" si="3"/>
        <v>350000</v>
      </c>
      <c r="P19" s="612"/>
      <c r="Q19" s="15">
        <v>0</v>
      </c>
    </row>
    <row r="20" spans="1:17" ht="20.100000000000001" customHeight="1" x14ac:dyDescent="0.3">
      <c r="A20" s="403"/>
      <c r="B20" s="403"/>
      <c r="C20" s="406"/>
      <c r="D20" s="284" t="s">
        <v>160</v>
      </c>
      <c r="E20" s="284">
        <v>0</v>
      </c>
      <c r="F20" s="284"/>
      <c r="G20" s="43">
        <v>20000</v>
      </c>
      <c r="H20" s="56">
        <f t="shared" si="2"/>
        <v>0</v>
      </c>
      <c r="I20" s="393"/>
      <c r="J20" s="527"/>
      <c r="K20" s="610" t="s">
        <v>159</v>
      </c>
      <c r="L20" s="611"/>
      <c r="M20" s="210">
        <v>3</v>
      </c>
      <c r="N20" s="211">
        <v>187500</v>
      </c>
      <c r="O20" s="212">
        <f t="shared" si="3"/>
        <v>562500</v>
      </c>
      <c r="P20" s="612"/>
      <c r="Q20" s="15">
        <v>0</v>
      </c>
    </row>
    <row r="21" spans="1:17" ht="19.95" customHeight="1" thickBot="1" x14ac:dyDescent="0.35">
      <c r="A21" s="404"/>
      <c r="B21" s="404"/>
      <c r="C21" s="407"/>
      <c r="D21" s="399" t="s">
        <v>21</v>
      </c>
      <c r="E21" s="400"/>
      <c r="F21" s="400"/>
      <c r="G21" s="418"/>
      <c r="H21" s="59">
        <f>SUM(H15:H20)</f>
        <v>13622175</v>
      </c>
      <c r="I21" s="513"/>
      <c r="J21" s="528"/>
      <c r="K21" s="535" t="s">
        <v>22</v>
      </c>
      <c r="L21" s="485"/>
      <c r="M21" s="485"/>
      <c r="N21" s="418"/>
      <c r="O21" s="49">
        <f>SUM(O15:O20)</f>
        <v>7255500</v>
      </c>
      <c r="P21" s="487"/>
      <c r="Q21" s="213">
        <f>SUM(Q15:Q20)</f>
        <v>0</v>
      </c>
    </row>
    <row r="22" spans="1:17" ht="19.95" customHeight="1" x14ac:dyDescent="0.3">
      <c r="A22" s="402">
        <v>3</v>
      </c>
      <c r="B22" s="402" t="s">
        <v>150</v>
      </c>
      <c r="C22" s="405">
        <v>45704</v>
      </c>
      <c r="D22" s="282" t="s">
        <v>54</v>
      </c>
      <c r="E22" s="282">
        <v>2600</v>
      </c>
      <c r="F22" s="282">
        <v>1300</v>
      </c>
      <c r="G22" s="283">
        <v>3307.5</v>
      </c>
      <c r="H22" s="285">
        <f t="shared" ref="H22:H27" si="4">+E22*G22</f>
        <v>8599500</v>
      </c>
      <c r="I22" s="393"/>
      <c r="J22" s="526"/>
      <c r="K22" s="610" t="s">
        <v>17</v>
      </c>
      <c r="L22" s="611"/>
      <c r="M22" s="210">
        <v>18</v>
      </c>
      <c r="N22" s="211">
        <v>52500</v>
      </c>
      <c r="O22" s="212">
        <f t="shared" ref="O22:O27" si="5">+M22*N22</f>
        <v>945000</v>
      </c>
      <c r="P22" s="612"/>
      <c r="Q22" s="15">
        <v>0</v>
      </c>
    </row>
    <row r="23" spans="1:17" ht="20.100000000000001" customHeight="1" x14ac:dyDescent="0.3">
      <c r="A23" s="403"/>
      <c r="B23" s="403"/>
      <c r="C23" s="406"/>
      <c r="D23" s="284" t="s">
        <v>191</v>
      </c>
      <c r="E23" s="284">
        <v>0</v>
      </c>
      <c r="F23" s="284">
        <v>0</v>
      </c>
      <c r="G23" s="43">
        <v>6318</v>
      </c>
      <c r="H23" s="56">
        <f t="shared" si="4"/>
        <v>0</v>
      </c>
      <c r="I23" s="393"/>
      <c r="J23" s="526"/>
      <c r="K23" s="610" t="s">
        <v>156</v>
      </c>
      <c r="L23" s="611"/>
      <c r="M23" s="210">
        <v>290</v>
      </c>
      <c r="N23" s="211">
        <v>16200</v>
      </c>
      <c r="O23" s="212">
        <f t="shared" si="5"/>
        <v>4698000</v>
      </c>
      <c r="P23" s="612"/>
      <c r="Q23" s="15">
        <v>0</v>
      </c>
    </row>
    <row r="24" spans="1:17" ht="20.100000000000001" customHeight="1" x14ac:dyDescent="0.3">
      <c r="A24" s="403"/>
      <c r="B24" s="403"/>
      <c r="C24" s="406"/>
      <c r="D24" s="284" t="s">
        <v>55</v>
      </c>
      <c r="E24" s="284">
        <v>2</v>
      </c>
      <c r="F24" s="284"/>
      <c r="G24" s="43">
        <v>464062.5</v>
      </c>
      <c r="H24" s="56">
        <f t="shared" si="4"/>
        <v>928125</v>
      </c>
      <c r="I24" s="393"/>
      <c r="J24" s="526"/>
      <c r="K24" s="610" t="s">
        <v>181</v>
      </c>
      <c r="L24" s="611"/>
      <c r="M24" s="210">
        <v>1</v>
      </c>
      <c r="N24" s="211">
        <v>525000</v>
      </c>
      <c r="O24" s="212">
        <f t="shared" si="5"/>
        <v>525000</v>
      </c>
      <c r="P24" s="612"/>
      <c r="Q24" s="15">
        <v>0</v>
      </c>
    </row>
    <row r="25" spans="1:17" ht="20.100000000000001" customHeight="1" x14ac:dyDescent="0.3">
      <c r="A25" s="403"/>
      <c r="B25" s="403"/>
      <c r="C25" s="406"/>
      <c r="D25" s="284" t="s">
        <v>81</v>
      </c>
      <c r="E25" s="284">
        <v>1</v>
      </c>
      <c r="F25" s="284"/>
      <c r="G25" s="43">
        <v>303750</v>
      </c>
      <c r="H25" s="285">
        <f t="shared" si="4"/>
        <v>303750</v>
      </c>
      <c r="I25" s="393"/>
      <c r="J25" s="527"/>
      <c r="K25" s="610" t="s">
        <v>157</v>
      </c>
      <c r="L25" s="611"/>
      <c r="M25" s="210">
        <v>1</v>
      </c>
      <c r="N25" s="211">
        <v>175000</v>
      </c>
      <c r="O25" s="212">
        <f t="shared" si="5"/>
        <v>175000</v>
      </c>
      <c r="P25" s="612"/>
      <c r="Q25" s="15">
        <v>0</v>
      </c>
    </row>
    <row r="26" spans="1:17" ht="20.100000000000001" customHeight="1" x14ac:dyDescent="0.3">
      <c r="A26" s="403"/>
      <c r="B26" s="403"/>
      <c r="C26" s="406"/>
      <c r="D26" s="284" t="s">
        <v>190</v>
      </c>
      <c r="E26" s="284">
        <v>0</v>
      </c>
      <c r="F26" s="284"/>
      <c r="G26" s="43">
        <v>183750</v>
      </c>
      <c r="H26" s="56">
        <f t="shared" si="4"/>
        <v>0</v>
      </c>
      <c r="I26" s="393"/>
      <c r="J26" s="527"/>
      <c r="K26" s="610" t="s">
        <v>158</v>
      </c>
      <c r="L26" s="611"/>
      <c r="M26" s="210">
        <v>1</v>
      </c>
      <c r="N26" s="211">
        <v>350000</v>
      </c>
      <c r="O26" s="212">
        <f t="shared" si="5"/>
        <v>350000</v>
      </c>
      <c r="P26" s="612"/>
      <c r="Q26" s="15">
        <v>0</v>
      </c>
    </row>
    <row r="27" spans="1:17" ht="20.100000000000001" customHeight="1" x14ac:dyDescent="0.3">
      <c r="A27" s="403"/>
      <c r="B27" s="403"/>
      <c r="C27" s="406"/>
      <c r="D27" s="284" t="s">
        <v>160</v>
      </c>
      <c r="E27" s="284">
        <v>0</v>
      </c>
      <c r="F27" s="284"/>
      <c r="G27" s="43">
        <v>20000</v>
      </c>
      <c r="H27" s="56">
        <f t="shared" si="4"/>
        <v>0</v>
      </c>
      <c r="I27" s="393"/>
      <c r="J27" s="527"/>
      <c r="K27" s="610" t="s">
        <v>159</v>
      </c>
      <c r="L27" s="611"/>
      <c r="M27" s="210">
        <v>3</v>
      </c>
      <c r="N27" s="211">
        <v>187500</v>
      </c>
      <c r="O27" s="212">
        <f t="shared" si="5"/>
        <v>562500</v>
      </c>
      <c r="P27" s="612"/>
      <c r="Q27" s="15">
        <v>0</v>
      </c>
    </row>
    <row r="28" spans="1:17" ht="19.95" customHeight="1" thickBot="1" x14ac:dyDescent="0.35">
      <c r="A28" s="404"/>
      <c r="B28" s="404"/>
      <c r="C28" s="407"/>
      <c r="D28" s="399" t="s">
        <v>21</v>
      </c>
      <c r="E28" s="400"/>
      <c r="F28" s="400"/>
      <c r="G28" s="418"/>
      <c r="H28" s="59">
        <f>SUM(H22:H27)</f>
        <v>9831375</v>
      </c>
      <c r="I28" s="513"/>
      <c r="J28" s="528"/>
      <c r="K28" s="535" t="s">
        <v>22</v>
      </c>
      <c r="L28" s="485"/>
      <c r="M28" s="485"/>
      <c r="N28" s="418"/>
      <c r="O28" s="49">
        <f>SUM(O22:O27)</f>
        <v>7255500</v>
      </c>
      <c r="P28" s="487"/>
      <c r="Q28" s="213">
        <f>SUM(Q22:Q27)</f>
        <v>0</v>
      </c>
    </row>
    <row r="29" spans="1:17" ht="19.95" customHeight="1" x14ac:dyDescent="0.3">
      <c r="A29" s="402">
        <v>4</v>
      </c>
      <c r="B29" s="402" t="s">
        <v>174</v>
      </c>
      <c r="C29" s="405">
        <v>45717</v>
      </c>
      <c r="D29" s="282" t="s">
        <v>54</v>
      </c>
      <c r="E29" s="282">
        <v>2600</v>
      </c>
      <c r="F29" s="282">
        <v>1300</v>
      </c>
      <c r="G29" s="283">
        <v>3307.5</v>
      </c>
      <c r="H29" s="285">
        <f t="shared" ref="H29:H34" si="6">+E29*G29</f>
        <v>8599500</v>
      </c>
      <c r="I29" s="393"/>
      <c r="J29" s="526"/>
      <c r="K29" s="610" t="s">
        <v>17</v>
      </c>
      <c r="L29" s="611"/>
      <c r="M29" s="210">
        <v>18</v>
      </c>
      <c r="N29" s="211">
        <v>52500</v>
      </c>
      <c r="O29" s="212">
        <f t="shared" ref="O29:O34" si="7">+M29*N29</f>
        <v>945000</v>
      </c>
      <c r="P29" s="612"/>
      <c r="Q29" s="15">
        <v>0</v>
      </c>
    </row>
    <row r="30" spans="1:17" ht="20.100000000000001" customHeight="1" x14ac:dyDescent="0.3">
      <c r="A30" s="403"/>
      <c r="B30" s="403"/>
      <c r="C30" s="406"/>
      <c r="D30" s="284" t="s">
        <v>192</v>
      </c>
      <c r="E30" s="284">
        <v>600</v>
      </c>
      <c r="F30" s="284">
        <v>0</v>
      </c>
      <c r="G30" s="43">
        <v>6318</v>
      </c>
      <c r="H30" s="56">
        <f t="shared" si="6"/>
        <v>3790800</v>
      </c>
      <c r="I30" s="393"/>
      <c r="J30" s="526"/>
      <c r="K30" s="610" t="s">
        <v>156</v>
      </c>
      <c r="L30" s="611"/>
      <c r="M30" s="210">
        <v>290</v>
      </c>
      <c r="N30" s="211">
        <v>16200</v>
      </c>
      <c r="O30" s="212">
        <f t="shared" si="7"/>
        <v>4698000</v>
      </c>
      <c r="P30" s="612"/>
      <c r="Q30" s="15">
        <v>0</v>
      </c>
    </row>
    <row r="31" spans="1:17" ht="20.100000000000001" customHeight="1" x14ac:dyDescent="0.3">
      <c r="A31" s="403"/>
      <c r="B31" s="403"/>
      <c r="C31" s="406"/>
      <c r="D31" s="284" t="s">
        <v>55</v>
      </c>
      <c r="E31" s="284">
        <v>2</v>
      </c>
      <c r="F31" s="284"/>
      <c r="G31" s="43">
        <v>464062.5</v>
      </c>
      <c r="H31" s="56">
        <f t="shared" si="6"/>
        <v>928125</v>
      </c>
      <c r="I31" s="393"/>
      <c r="J31" s="526"/>
      <c r="K31" s="610" t="s">
        <v>181</v>
      </c>
      <c r="L31" s="611"/>
      <c r="M31" s="210">
        <v>1</v>
      </c>
      <c r="N31" s="211">
        <v>525000</v>
      </c>
      <c r="O31" s="212">
        <f t="shared" si="7"/>
        <v>525000</v>
      </c>
      <c r="P31" s="612"/>
      <c r="Q31" s="15">
        <v>0</v>
      </c>
    </row>
    <row r="32" spans="1:17" ht="20.100000000000001" customHeight="1" x14ac:dyDescent="0.3">
      <c r="A32" s="403"/>
      <c r="B32" s="403"/>
      <c r="C32" s="406"/>
      <c r="D32" s="284" t="s">
        <v>81</v>
      </c>
      <c r="E32" s="284">
        <v>1</v>
      </c>
      <c r="F32" s="284"/>
      <c r="G32" s="43">
        <v>303750</v>
      </c>
      <c r="H32" s="285">
        <f t="shared" si="6"/>
        <v>303750</v>
      </c>
      <c r="I32" s="393"/>
      <c r="J32" s="527"/>
      <c r="K32" s="610" t="s">
        <v>157</v>
      </c>
      <c r="L32" s="611"/>
      <c r="M32" s="210">
        <v>1</v>
      </c>
      <c r="N32" s="211">
        <v>175000</v>
      </c>
      <c r="O32" s="212">
        <f t="shared" si="7"/>
        <v>175000</v>
      </c>
      <c r="P32" s="612"/>
      <c r="Q32" s="15">
        <v>0</v>
      </c>
    </row>
    <row r="33" spans="1:17" ht="20.100000000000001" customHeight="1" x14ac:dyDescent="0.3">
      <c r="A33" s="403"/>
      <c r="B33" s="403"/>
      <c r="C33" s="406"/>
      <c r="D33" s="284" t="s">
        <v>190</v>
      </c>
      <c r="E33" s="284">
        <v>0</v>
      </c>
      <c r="F33" s="284"/>
      <c r="G33" s="43">
        <v>183750</v>
      </c>
      <c r="H33" s="56">
        <f t="shared" si="6"/>
        <v>0</v>
      </c>
      <c r="I33" s="393"/>
      <c r="J33" s="527"/>
      <c r="K33" s="610" t="s">
        <v>158</v>
      </c>
      <c r="L33" s="611"/>
      <c r="M33" s="210">
        <v>1</v>
      </c>
      <c r="N33" s="211">
        <v>350000</v>
      </c>
      <c r="O33" s="212">
        <f t="shared" si="7"/>
        <v>350000</v>
      </c>
      <c r="P33" s="612"/>
      <c r="Q33" s="15">
        <v>0</v>
      </c>
    </row>
    <row r="34" spans="1:17" ht="20.100000000000001" customHeight="1" x14ac:dyDescent="0.3">
      <c r="A34" s="403"/>
      <c r="B34" s="403"/>
      <c r="C34" s="406"/>
      <c r="D34" s="284" t="s">
        <v>160</v>
      </c>
      <c r="E34" s="284">
        <v>0</v>
      </c>
      <c r="F34" s="284"/>
      <c r="G34" s="43">
        <v>20000</v>
      </c>
      <c r="H34" s="56">
        <f t="shared" si="6"/>
        <v>0</v>
      </c>
      <c r="I34" s="393"/>
      <c r="J34" s="527"/>
      <c r="K34" s="610" t="s">
        <v>159</v>
      </c>
      <c r="L34" s="611"/>
      <c r="M34" s="210">
        <v>3</v>
      </c>
      <c r="N34" s="211">
        <v>187500</v>
      </c>
      <c r="O34" s="212">
        <f t="shared" si="7"/>
        <v>562500</v>
      </c>
      <c r="P34" s="612"/>
      <c r="Q34" s="15">
        <v>0</v>
      </c>
    </row>
    <row r="35" spans="1:17" ht="19.95" customHeight="1" thickBot="1" x14ac:dyDescent="0.35">
      <c r="A35" s="404"/>
      <c r="B35" s="404"/>
      <c r="C35" s="407"/>
      <c r="D35" s="399" t="s">
        <v>21</v>
      </c>
      <c r="E35" s="400"/>
      <c r="F35" s="400"/>
      <c r="G35" s="418"/>
      <c r="H35" s="59">
        <f>SUM(H29:H34)</f>
        <v>13622175</v>
      </c>
      <c r="I35" s="513"/>
      <c r="J35" s="528"/>
      <c r="K35" s="535" t="s">
        <v>22</v>
      </c>
      <c r="L35" s="485"/>
      <c r="M35" s="485"/>
      <c r="N35" s="418"/>
      <c r="O35" s="49">
        <f>SUM(O29:O34)</f>
        <v>7255500</v>
      </c>
      <c r="P35" s="487"/>
      <c r="Q35" s="213">
        <f>SUM(Q29:Q34)</f>
        <v>0</v>
      </c>
    </row>
    <row r="36" spans="1:17" ht="19.95" customHeight="1" x14ac:dyDescent="0.3">
      <c r="A36" s="402">
        <v>5</v>
      </c>
      <c r="B36" s="402" t="s">
        <v>28</v>
      </c>
      <c r="C36" s="405">
        <v>45726</v>
      </c>
      <c r="D36" s="282" t="s">
        <v>54</v>
      </c>
      <c r="E36" s="282">
        <v>2600</v>
      </c>
      <c r="F36" s="282">
        <v>1300</v>
      </c>
      <c r="G36" s="283">
        <v>3307.5</v>
      </c>
      <c r="H36" s="285">
        <f t="shared" ref="H36:H41" si="8">+E36*G36</f>
        <v>8599500</v>
      </c>
      <c r="I36" s="393"/>
      <c r="J36" s="526"/>
      <c r="K36" s="610" t="s">
        <v>17</v>
      </c>
      <c r="L36" s="611"/>
      <c r="M36" s="210">
        <v>18</v>
      </c>
      <c r="N36" s="211">
        <v>52500</v>
      </c>
      <c r="O36" s="212">
        <f t="shared" ref="O36:O41" si="9">+M36*N36</f>
        <v>945000</v>
      </c>
      <c r="P36" s="612"/>
      <c r="Q36" s="15">
        <v>0</v>
      </c>
    </row>
    <row r="37" spans="1:17" ht="20.100000000000001" customHeight="1" x14ac:dyDescent="0.3">
      <c r="A37" s="403"/>
      <c r="B37" s="403"/>
      <c r="C37" s="406"/>
      <c r="D37" s="284" t="s">
        <v>192</v>
      </c>
      <c r="E37" s="284">
        <v>0</v>
      </c>
      <c r="F37" s="284">
        <v>0</v>
      </c>
      <c r="G37" s="43">
        <v>6318</v>
      </c>
      <c r="H37" s="56">
        <f t="shared" si="8"/>
        <v>0</v>
      </c>
      <c r="I37" s="393"/>
      <c r="J37" s="526"/>
      <c r="K37" s="610" t="s">
        <v>156</v>
      </c>
      <c r="L37" s="611"/>
      <c r="M37" s="210">
        <v>290</v>
      </c>
      <c r="N37" s="211">
        <v>16200</v>
      </c>
      <c r="O37" s="212">
        <f t="shared" si="9"/>
        <v>4698000</v>
      </c>
      <c r="P37" s="612"/>
      <c r="Q37" s="15">
        <v>0</v>
      </c>
    </row>
    <row r="38" spans="1:17" ht="20.100000000000001" customHeight="1" x14ac:dyDescent="0.3">
      <c r="A38" s="403"/>
      <c r="B38" s="403"/>
      <c r="C38" s="406"/>
      <c r="D38" s="284" t="s">
        <v>55</v>
      </c>
      <c r="E38" s="284">
        <v>2</v>
      </c>
      <c r="F38" s="284"/>
      <c r="G38" s="43">
        <v>464062.5</v>
      </c>
      <c r="H38" s="56">
        <f t="shared" si="8"/>
        <v>928125</v>
      </c>
      <c r="I38" s="393"/>
      <c r="J38" s="526"/>
      <c r="K38" s="610" t="s">
        <v>181</v>
      </c>
      <c r="L38" s="611"/>
      <c r="M38" s="210">
        <v>1</v>
      </c>
      <c r="N38" s="211">
        <v>525000</v>
      </c>
      <c r="O38" s="212">
        <f t="shared" si="9"/>
        <v>525000</v>
      </c>
      <c r="P38" s="612"/>
      <c r="Q38" s="15">
        <v>0</v>
      </c>
    </row>
    <row r="39" spans="1:17" ht="20.100000000000001" customHeight="1" x14ac:dyDescent="0.3">
      <c r="A39" s="403"/>
      <c r="B39" s="403"/>
      <c r="C39" s="406"/>
      <c r="D39" s="284" t="s">
        <v>81</v>
      </c>
      <c r="E39" s="284">
        <v>1</v>
      </c>
      <c r="F39" s="284"/>
      <c r="G39" s="43">
        <v>303750</v>
      </c>
      <c r="H39" s="285">
        <f t="shared" si="8"/>
        <v>303750</v>
      </c>
      <c r="I39" s="393"/>
      <c r="J39" s="527"/>
      <c r="K39" s="610" t="s">
        <v>157</v>
      </c>
      <c r="L39" s="611"/>
      <c r="M39" s="210">
        <v>1</v>
      </c>
      <c r="N39" s="211">
        <v>175000</v>
      </c>
      <c r="O39" s="212">
        <f t="shared" si="9"/>
        <v>175000</v>
      </c>
      <c r="P39" s="612"/>
      <c r="Q39" s="15">
        <v>0</v>
      </c>
    </row>
    <row r="40" spans="1:17" ht="20.100000000000001" customHeight="1" x14ac:dyDescent="0.3">
      <c r="A40" s="403"/>
      <c r="B40" s="403"/>
      <c r="C40" s="406"/>
      <c r="D40" s="284" t="s">
        <v>190</v>
      </c>
      <c r="E40" s="284">
        <v>0</v>
      </c>
      <c r="F40" s="284"/>
      <c r="G40" s="43">
        <v>183750</v>
      </c>
      <c r="H40" s="56">
        <f t="shared" si="8"/>
        <v>0</v>
      </c>
      <c r="I40" s="393"/>
      <c r="J40" s="527"/>
      <c r="K40" s="610" t="s">
        <v>158</v>
      </c>
      <c r="L40" s="611"/>
      <c r="M40" s="210">
        <v>1</v>
      </c>
      <c r="N40" s="211">
        <v>350000</v>
      </c>
      <c r="O40" s="212">
        <f t="shared" si="9"/>
        <v>350000</v>
      </c>
      <c r="P40" s="612"/>
      <c r="Q40" s="15">
        <v>0</v>
      </c>
    </row>
    <row r="41" spans="1:17" ht="20.100000000000001" customHeight="1" x14ac:dyDescent="0.3">
      <c r="A41" s="403"/>
      <c r="B41" s="403"/>
      <c r="C41" s="406"/>
      <c r="D41" s="284" t="s">
        <v>160</v>
      </c>
      <c r="E41" s="284">
        <v>0</v>
      </c>
      <c r="F41" s="284"/>
      <c r="G41" s="43">
        <v>20000</v>
      </c>
      <c r="H41" s="56">
        <f t="shared" si="8"/>
        <v>0</v>
      </c>
      <c r="I41" s="393"/>
      <c r="J41" s="527"/>
      <c r="K41" s="610" t="s">
        <v>159</v>
      </c>
      <c r="L41" s="611"/>
      <c r="M41" s="210">
        <v>3</v>
      </c>
      <c r="N41" s="211">
        <v>187500</v>
      </c>
      <c r="O41" s="212">
        <f t="shared" si="9"/>
        <v>562500</v>
      </c>
      <c r="P41" s="612"/>
      <c r="Q41" s="15">
        <v>0</v>
      </c>
    </row>
    <row r="42" spans="1:17" ht="19.95" customHeight="1" thickBot="1" x14ac:dyDescent="0.35">
      <c r="A42" s="404"/>
      <c r="B42" s="404"/>
      <c r="C42" s="407"/>
      <c r="D42" s="399" t="s">
        <v>21</v>
      </c>
      <c r="E42" s="400"/>
      <c r="F42" s="400"/>
      <c r="G42" s="418"/>
      <c r="H42" s="59">
        <f>SUM(H36:H41)</f>
        <v>9831375</v>
      </c>
      <c r="I42" s="513"/>
      <c r="J42" s="528"/>
      <c r="K42" s="535" t="s">
        <v>22</v>
      </c>
      <c r="L42" s="485"/>
      <c r="M42" s="485"/>
      <c r="N42" s="418"/>
      <c r="O42" s="49">
        <f>SUM(O36:O41)</f>
        <v>7255500</v>
      </c>
      <c r="P42" s="487"/>
      <c r="Q42" s="213">
        <f>SUM(Q36:Q41)</f>
        <v>0</v>
      </c>
    </row>
    <row r="43" spans="1:17" ht="19.95" customHeight="1" x14ac:dyDescent="0.3">
      <c r="A43" s="402">
        <v>6</v>
      </c>
      <c r="B43" s="402" t="s">
        <v>130</v>
      </c>
      <c r="C43" s="405">
        <v>45753</v>
      </c>
      <c r="D43" s="282" t="s">
        <v>54</v>
      </c>
      <c r="E43" s="282">
        <v>2600</v>
      </c>
      <c r="F43" s="282">
        <v>1300</v>
      </c>
      <c r="G43" s="283">
        <v>3307.5</v>
      </c>
      <c r="H43" s="285">
        <f t="shared" ref="H43:H48" si="10">+E43*G43</f>
        <v>8599500</v>
      </c>
      <c r="I43" s="393"/>
      <c r="J43" s="526"/>
      <c r="K43" s="610" t="s">
        <v>17</v>
      </c>
      <c r="L43" s="611"/>
      <c r="M43" s="210">
        <v>18</v>
      </c>
      <c r="N43" s="211">
        <v>52500</v>
      </c>
      <c r="O43" s="212">
        <f t="shared" ref="O43:O48" si="11">+M43*N43</f>
        <v>945000</v>
      </c>
      <c r="P43" s="612"/>
      <c r="Q43" s="15">
        <v>0</v>
      </c>
    </row>
    <row r="44" spans="1:17" ht="20.100000000000001" customHeight="1" x14ac:dyDescent="0.3">
      <c r="A44" s="403"/>
      <c r="B44" s="403"/>
      <c r="C44" s="406"/>
      <c r="D44" s="284" t="s">
        <v>193</v>
      </c>
      <c r="E44" s="284">
        <v>600</v>
      </c>
      <c r="F44" s="284">
        <v>0</v>
      </c>
      <c r="G44" s="43">
        <v>6318</v>
      </c>
      <c r="H44" s="56">
        <f t="shared" si="10"/>
        <v>3790800</v>
      </c>
      <c r="I44" s="393"/>
      <c r="J44" s="526"/>
      <c r="K44" s="610" t="s">
        <v>156</v>
      </c>
      <c r="L44" s="611"/>
      <c r="M44" s="210">
        <v>290</v>
      </c>
      <c r="N44" s="211">
        <v>16200</v>
      </c>
      <c r="O44" s="212">
        <f t="shared" si="11"/>
        <v>4698000</v>
      </c>
      <c r="P44" s="612"/>
      <c r="Q44" s="15">
        <v>0</v>
      </c>
    </row>
    <row r="45" spans="1:17" ht="20.100000000000001" customHeight="1" x14ac:dyDescent="0.3">
      <c r="A45" s="403"/>
      <c r="B45" s="403"/>
      <c r="C45" s="406"/>
      <c r="D45" s="284" t="s">
        <v>55</v>
      </c>
      <c r="E45" s="284">
        <v>2</v>
      </c>
      <c r="F45" s="284"/>
      <c r="G45" s="43">
        <v>464062.5</v>
      </c>
      <c r="H45" s="56">
        <f t="shared" si="10"/>
        <v>928125</v>
      </c>
      <c r="I45" s="393"/>
      <c r="J45" s="526"/>
      <c r="K45" s="610" t="s">
        <v>181</v>
      </c>
      <c r="L45" s="611"/>
      <c r="M45" s="210">
        <v>1</v>
      </c>
      <c r="N45" s="211">
        <v>525000</v>
      </c>
      <c r="O45" s="212">
        <f t="shared" si="11"/>
        <v>525000</v>
      </c>
      <c r="P45" s="612"/>
      <c r="Q45" s="15">
        <v>0</v>
      </c>
    </row>
    <row r="46" spans="1:17" ht="20.100000000000001" customHeight="1" x14ac:dyDescent="0.3">
      <c r="A46" s="403"/>
      <c r="B46" s="403"/>
      <c r="C46" s="406"/>
      <c r="D46" s="284" t="s">
        <v>81</v>
      </c>
      <c r="E46" s="284">
        <v>1</v>
      </c>
      <c r="F46" s="284"/>
      <c r="G46" s="43">
        <v>303750</v>
      </c>
      <c r="H46" s="285">
        <f t="shared" si="10"/>
        <v>303750</v>
      </c>
      <c r="I46" s="393"/>
      <c r="J46" s="527"/>
      <c r="K46" s="610" t="s">
        <v>157</v>
      </c>
      <c r="L46" s="611"/>
      <c r="M46" s="210">
        <v>1</v>
      </c>
      <c r="N46" s="211">
        <v>175000</v>
      </c>
      <c r="O46" s="212">
        <f t="shared" si="11"/>
        <v>175000</v>
      </c>
      <c r="P46" s="612"/>
      <c r="Q46" s="15">
        <v>0</v>
      </c>
    </row>
    <row r="47" spans="1:17" ht="20.100000000000001" customHeight="1" x14ac:dyDescent="0.3">
      <c r="A47" s="403"/>
      <c r="B47" s="403"/>
      <c r="C47" s="406"/>
      <c r="D47" s="284" t="s">
        <v>190</v>
      </c>
      <c r="E47" s="284">
        <v>0</v>
      </c>
      <c r="F47" s="284"/>
      <c r="G47" s="43">
        <v>183750</v>
      </c>
      <c r="H47" s="56">
        <f t="shared" si="10"/>
        <v>0</v>
      </c>
      <c r="I47" s="393"/>
      <c r="J47" s="527"/>
      <c r="K47" s="610" t="s">
        <v>158</v>
      </c>
      <c r="L47" s="611"/>
      <c r="M47" s="210">
        <v>1</v>
      </c>
      <c r="N47" s="211">
        <v>350000</v>
      </c>
      <c r="O47" s="212">
        <f t="shared" si="11"/>
        <v>350000</v>
      </c>
      <c r="P47" s="612"/>
      <c r="Q47" s="15">
        <v>0</v>
      </c>
    </row>
    <row r="48" spans="1:17" ht="20.100000000000001" customHeight="1" x14ac:dyDescent="0.3">
      <c r="A48" s="403"/>
      <c r="B48" s="403"/>
      <c r="C48" s="406"/>
      <c r="D48" s="284" t="s">
        <v>160</v>
      </c>
      <c r="E48" s="284">
        <v>0</v>
      </c>
      <c r="F48" s="284"/>
      <c r="G48" s="43">
        <v>20000</v>
      </c>
      <c r="H48" s="56">
        <f t="shared" si="10"/>
        <v>0</v>
      </c>
      <c r="I48" s="393"/>
      <c r="J48" s="527"/>
      <c r="K48" s="610" t="s">
        <v>159</v>
      </c>
      <c r="L48" s="611"/>
      <c r="M48" s="210">
        <v>3</v>
      </c>
      <c r="N48" s="211">
        <v>187500</v>
      </c>
      <c r="O48" s="212">
        <f t="shared" si="11"/>
        <v>562500</v>
      </c>
      <c r="P48" s="612"/>
      <c r="Q48" s="15">
        <v>0</v>
      </c>
    </row>
    <row r="49" spans="1:17" ht="19.95" customHeight="1" thickBot="1" x14ac:dyDescent="0.35">
      <c r="A49" s="404"/>
      <c r="B49" s="404"/>
      <c r="C49" s="407"/>
      <c r="D49" s="399" t="s">
        <v>21</v>
      </c>
      <c r="E49" s="400"/>
      <c r="F49" s="400"/>
      <c r="G49" s="418"/>
      <c r="H49" s="59">
        <f>SUM(H43:H48)</f>
        <v>13622175</v>
      </c>
      <c r="I49" s="513"/>
      <c r="J49" s="528"/>
      <c r="K49" s="535" t="s">
        <v>22</v>
      </c>
      <c r="L49" s="485"/>
      <c r="M49" s="485"/>
      <c r="N49" s="418"/>
      <c r="O49" s="49">
        <f>SUM(O43:O48)</f>
        <v>7255500</v>
      </c>
      <c r="P49" s="487"/>
      <c r="Q49" s="213">
        <f>SUM(Q43:Q48)</f>
        <v>0</v>
      </c>
    </row>
    <row r="50" spans="1:17" ht="19.95" customHeight="1" x14ac:dyDescent="0.3">
      <c r="A50" s="402">
        <v>7</v>
      </c>
      <c r="B50" s="402" t="s">
        <v>69</v>
      </c>
      <c r="C50" s="405">
        <v>45767</v>
      </c>
      <c r="D50" s="282" t="s">
        <v>54</v>
      </c>
      <c r="E50" s="282">
        <v>2600</v>
      </c>
      <c r="F50" s="282">
        <v>1300</v>
      </c>
      <c r="G50" s="283">
        <v>3307.5</v>
      </c>
      <c r="H50" s="285">
        <f t="shared" ref="H50:H55" si="12">+E50*G50</f>
        <v>8599500</v>
      </c>
      <c r="I50" s="393"/>
      <c r="J50" s="526"/>
      <c r="K50" s="610" t="s">
        <v>17</v>
      </c>
      <c r="L50" s="611"/>
      <c r="M50" s="210">
        <v>18</v>
      </c>
      <c r="N50" s="211">
        <v>52500</v>
      </c>
      <c r="O50" s="212">
        <f t="shared" ref="O50:O55" si="13">+M50*N50</f>
        <v>945000</v>
      </c>
      <c r="P50" s="612"/>
      <c r="Q50" s="15">
        <v>0</v>
      </c>
    </row>
    <row r="51" spans="1:17" ht="20.100000000000001" customHeight="1" x14ac:dyDescent="0.3">
      <c r="A51" s="403"/>
      <c r="B51" s="403"/>
      <c r="C51" s="406"/>
      <c r="D51" s="284" t="s">
        <v>193</v>
      </c>
      <c r="E51" s="284">
        <v>0</v>
      </c>
      <c r="F51" s="284">
        <v>0</v>
      </c>
      <c r="G51" s="43">
        <v>6318</v>
      </c>
      <c r="H51" s="56">
        <f t="shared" si="12"/>
        <v>0</v>
      </c>
      <c r="I51" s="393"/>
      <c r="J51" s="526"/>
      <c r="K51" s="610" t="s">
        <v>156</v>
      </c>
      <c r="L51" s="611"/>
      <c r="M51" s="210">
        <v>290</v>
      </c>
      <c r="N51" s="211">
        <v>16200</v>
      </c>
      <c r="O51" s="212">
        <f t="shared" si="13"/>
        <v>4698000</v>
      </c>
      <c r="P51" s="612"/>
      <c r="Q51" s="15">
        <v>0</v>
      </c>
    </row>
    <row r="52" spans="1:17" ht="20.100000000000001" customHeight="1" x14ac:dyDescent="0.3">
      <c r="A52" s="403"/>
      <c r="B52" s="403"/>
      <c r="C52" s="406"/>
      <c r="D52" s="284" t="s">
        <v>55</v>
      </c>
      <c r="E52" s="284">
        <v>2</v>
      </c>
      <c r="F52" s="284"/>
      <c r="G52" s="43">
        <v>464062.5</v>
      </c>
      <c r="H52" s="56">
        <f t="shared" si="12"/>
        <v>928125</v>
      </c>
      <c r="I52" s="393"/>
      <c r="J52" s="526"/>
      <c r="K52" s="610" t="s">
        <v>181</v>
      </c>
      <c r="L52" s="611"/>
      <c r="M52" s="210">
        <v>1</v>
      </c>
      <c r="N52" s="211">
        <v>525000</v>
      </c>
      <c r="O52" s="212">
        <f t="shared" si="13"/>
        <v>525000</v>
      </c>
      <c r="P52" s="612"/>
      <c r="Q52" s="15">
        <v>0</v>
      </c>
    </row>
    <row r="53" spans="1:17" ht="20.100000000000001" customHeight="1" x14ac:dyDescent="0.3">
      <c r="A53" s="403"/>
      <c r="B53" s="403"/>
      <c r="C53" s="406"/>
      <c r="D53" s="284" t="s">
        <v>81</v>
      </c>
      <c r="E53" s="284">
        <v>1</v>
      </c>
      <c r="F53" s="284"/>
      <c r="G53" s="43">
        <v>303750</v>
      </c>
      <c r="H53" s="285">
        <f t="shared" si="12"/>
        <v>303750</v>
      </c>
      <c r="I53" s="393"/>
      <c r="J53" s="527"/>
      <c r="K53" s="610" t="s">
        <v>157</v>
      </c>
      <c r="L53" s="611"/>
      <c r="M53" s="210">
        <v>1</v>
      </c>
      <c r="N53" s="211">
        <v>175000</v>
      </c>
      <c r="O53" s="212">
        <f t="shared" si="13"/>
        <v>175000</v>
      </c>
      <c r="P53" s="612"/>
      <c r="Q53" s="15">
        <v>0</v>
      </c>
    </row>
    <row r="54" spans="1:17" ht="20.100000000000001" customHeight="1" x14ac:dyDescent="0.3">
      <c r="A54" s="403"/>
      <c r="B54" s="403"/>
      <c r="C54" s="406"/>
      <c r="D54" s="284" t="s">
        <v>190</v>
      </c>
      <c r="E54" s="284">
        <v>0</v>
      </c>
      <c r="F54" s="284"/>
      <c r="G54" s="43">
        <v>183750</v>
      </c>
      <c r="H54" s="56">
        <f t="shared" si="12"/>
        <v>0</v>
      </c>
      <c r="I54" s="393"/>
      <c r="J54" s="527"/>
      <c r="K54" s="610" t="s">
        <v>158</v>
      </c>
      <c r="L54" s="611"/>
      <c r="M54" s="210">
        <v>1</v>
      </c>
      <c r="N54" s="211">
        <v>350000</v>
      </c>
      <c r="O54" s="212">
        <f t="shared" si="13"/>
        <v>350000</v>
      </c>
      <c r="P54" s="612"/>
      <c r="Q54" s="15">
        <v>0</v>
      </c>
    </row>
    <row r="55" spans="1:17" ht="20.100000000000001" customHeight="1" x14ac:dyDescent="0.3">
      <c r="A55" s="403"/>
      <c r="B55" s="403"/>
      <c r="C55" s="406"/>
      <c r="D55" s="284" t="s">
        <v>160</v>
      </c>
      <c r="E55" s="284">
        <v>0</v>
      </c>
      <c r="F55" s="284"/>
      <c r="G55" s="43">
        <v>20000</v>
      </c>
      <c r="H55" s="56">
        <f t="shared" si="12"/>
        <v>0</v>
      </c>
      <c r="I55" s="393"/>
      <c r="J55" s="527"/>
      <c r="K55" s="610" t="s">
        <v>159</v>
      </c>
      <c r="L55" s="611"/>
      <c r="M55" s="210">
        <v>3</v>
      </c>
      <c r="N55" s="211">
        <v>187500</v>
      </c>
      <c r="O55" s="212">
        <f t="shared" si="13"/>
        <v>562500</v>
      </c>
      <c r="P55" s="612"/>
      <c r="Q55" s="15">
        <v>0</v>
      </c>
    </row>
    <row r="56" spans="1:17" ht="19.95" customHeight="1" thickBot="1" x14ac:dyDescent="0.35">
      <c r="A56" s="404"/>
      <c r="B56" s="404"/>
      <c r="C56" s="407"/>
      <c r="D56" s="399" t="s">
        <v>21</v>
      </c>
      <c r="E56" s="400"/>
      <c r="F56" s="400"/>
      <c r="G56" s="418"/>
      <c r="H56" s="59">
        <f>SUM(H50:H55)</f>
        <v>9831375</v>
      </c>
      <c r="I56" s="513"/>
      <c r="J56" s="528"/>
      <c r="K56" s="535" t="s">
        <v>22</v>
      </c>
      <c r="L56" s="485"/>
      <c r="M56" s="485"/>
      <c r="N56" s="418"/>
      <c r="O56" s="49">
        <f>SUM(O50:O55)</f>
        <v>7255500</v>
      </c>
      <c r="P56" s="487"/>
      <c r="Q56" s="213">
        <f>SUM(Q50:Q55)</f>
        <v>0</v>
      </c>
    </row>
    <row r="57" spans="1:17" ht="19.95" customHeight="1" x14ac:dyDescent="0.3">
      <c r="A57" s="402">
        <v>8</v>
      </c>
      <c r="B57" s="402" t="s">
        <v>131</v>
      </c>
      <c r="C57" s="405">
        <v>45781</v>
      </c>
      <c r="D57" s="282" t="s">
        <v>54</v>
      </c>
      <c r="E57" s="282">
        <v>2600</v>
      </c>
      <c r="F57" s="282">
        <v>1300</v>
      </c>
      <c r="G57" s="283">
        <v>3307.5</v>
      </c>
      <c r="H57" s="285">
        <f t="shared" ref="H57:H62" si="14">+E57*G57</f>
        <v>8599500</v>
      </c>
      <c r="I57" s="393"/>
      <c r="J57" s="526"/>
      <c r="K57" s="610" t="s">
        <v>17</v>
      </c>
      <c r="L57" s="611"/>
      <c r="M57" s="210">
        <v>18</v>
      </c>
      <c r="N57" s="211">
        <v>52500</v>
      </c>
      <c r="O57" s="212">
        <f t="shared" ref="O57:O62" si="15">+M57*N57</f>
        <v>945000</v>
      </c>
      <c r="P57" s="612"/>
      <c r="Q57" s="15">
        <v>0</v>
      </c>
    </row>
    <row r="58" spans="1:17" ht="20.100000000000001" customHeight="1" x14ac:dyDescent="0.3">
      <c r="A58" s="403"/>
      <c r="B58" s="403"/>
      <c r="C58" s="406"/>
      <c r="D58" s="284" t="s">
        <v>194</v>
      </c>
      <c r="E58" s="284">
        <v>600</v>
      </c>
      <c r="F58" s="284">
        <v>0</v>
      </c>
      <c r="G58" s="43">
        <v>6318</v>
      </c>
      <c r="H58" s="56">
        <f t="shared" si="14"/>
        <v>3790800</v>
      </c>
      <c r="I58" s="393"/>
      <c r="J58" s="526"/>
      <c r="K58" s="610" t="s">
        <v>156</v>
      </c>
      <c r="L58" s="611"/>
      <c r="M58" s="210">
        <v>290</v>
      </c>
      <c r="N58" s="211">
        <v>16200</v>
      </c>
      <c r="O58" s="212">
        <f t="shared" si="15"/>
        <v>4698000</v>
      </c>
      <c r="P58" s="612"/>
      <c r="Q58" s="15">
        <v>0</v>
      </c>
    </row>
    <row r="59" spans="1:17" ht="20.100000000000001" customHeight="1" x14ac:dyDescent="0.3">
      <c r="A59" s="403"/>
      <c r="B59" s="403"/>
      <c r="C59" s="406"/>
      <c r="D59" s="284" t="s">
        <v>55</v>
      </c>
      <c r="E59" s="284">
        <v>2</v>
      </c>
      <c r="F59" s="284"/>
      <c r="G59" s="43">
        <v>464062.5</v>
      </c>
      <c r="H59" s="56">
        <f t="shared" si="14"/>
        <v>928125</v>
      </c>
      <c r="I59" s="393"/>
      <c r="J59" s="526"/>
      <c r="K59" s="610" t="s">
        <v>181</v>
      </c>
      <c r="L59" s="611"/>
      <c r="M59" s="210">
        <v>1</v>
      </c>
      <c r="N59" s="211">
        <v>525000</v>
      </c>
      <c r="O59" s="212">
        <f t="shared" si="15"/>
        <v>525000</v>
      </c>
      <c r="P59" s="612"/>
      <c r="Q59" s="15">
        <v>0</v>
      </c>
    </row>
    <row r="60" spans="1:17" ht="20.100000000000001" customHeight="1" x14ac:dyDescent="0.3">
      <c r="A60" s="403"/>
      <c r="B60" s="403"/>
      <c r="C60" s="406"/>
      <c r="D60" s="284" t="s">
        <v>81</v>
      </c>
      <c r="E60" s="284">
        <v>1</v>
      </c>
      <c r="F60" s="284"/>
      <c r="G60" s="43">
        <v>303750</v>
      </c>
      <c r="H60" s="285">
        <f t="shared" si="14"/>
        <v>303750</v>
      </c>
      <c r="I60" s="393"/>
      <c r="J60" s="527"/>
      <c r="K60" s="610" t="s">
        <v>157</v>
      </c>
      <c r="L60" s="611"/>
      <c r="M60" s="210">
        <v>1</v>
      </c>
      <c r="N60" s="211">
        <v>175000</v>
      </c>
      <c r="O60" s="212">
        <f t="shared" si="15"/>
        <v>175000</v>
      </c>
      <c r="P60" s="612"/>
      <c r="Q60" s="15">
        <v>0</v>
      </c>
    </row>
    <row r="61" spans="1:17" ht="20.100000000000001" customHeight="1" x14ac:dyDescent="0.3">
      <c r="A61" s="403"/>
      <c r="B61" s="403"/>
      <c r="C61" s="406"/>
      <c r="D61" s="284" t="s">
        <v>190</v>
      </c>
      <c r="E61" s="284">
        <v>0</v>
      </c>
      <c r="F61" s="284"/>
      <c r="G61" s="43">
        <v>183750</v>
      </c>
      <c r="H61" s="56">
        <f t="shared" si="14"/>
        <v>0</v>
      </c>
      <c r="I61" s="393"/>
      <c r="J61" s="527"/>
      <c r="K61" s="610" t="s">
        <v>158</v>
      </c>
      <c r="L61" s="611"/>
      <c r="M61" s="210">
        <v>1</v>
      </c>
      <c r="N61" s="211">
        <v>350000</v>
      </c>
      <c r="O61" s="212">
        <f t="shared" si="15"/>
        <v>350000</v>
      </c>
      <c r="P61" s="612"/>
      <c r="Q61" s="15">
        <v>0</v>
      </c>
    </row>
    <row r="62" spans="1:17" ht="20.100000000000001" customHeight="1" x14ac:dyDescent="0.3">
      <c r="A62" s="403"/>
      <c r="B62" s="403"/>
      <c r="C62" s="406"/>
      <c r="D62" s="284" t="s">
        <v>160</v>
      </c>
      <c r="E62" s="284">
        <v>0</v>
      </c>
      <c r="F62" s="284"/>
      <c r="G62" s="43">
        <v>20000</v>
      </c>
      <c r="H62" s="56">
        <f t="shared" si="14"/>
        <v>0</v>
      </c>
      <c r="I62" s="393"/>
      <c r="J62" s="527"/>
      <c r="K62" s="610" t="s">
        <v>159</v>
      </c>
      <c r="L62" s="611"/>
      <c r="M62" s="210">
        <v>3</v>
      </c>
      <c r="N62" s="211">
        <v>187500</v>
      </c>
      <c r="O62" s="212">
        <f t="shared" si="15"/>
        <v>562500</v>
      </c>
      <c r="P62" s="612"/>
      <c r="Q62" s="15">
        <v>0</v>
      </c>
    </row>
    <row r="63" spans="1:17" ht="19.95" customHeight="1" thickBot="1" x14ac:dyDescent="0.35">
      <c r="A63" s="404"/>
      <c r="B63" s="404"/>
      <c r="C63" s="407"/>
      <c r="D63" s="399" t="s">
        <v>21</v>
      </c>
      <c r="E63" s="400"/>
      <c r="F63" s="400"/>
      <c r="G63" s="418"/>
      <c r="H63" s="59">
        <f>SUM(H57:H62)</f>
        <v>13622175</v>
      </c>
      <c r="I63" s="513"/>
      <c r="J63" s="528"/>
      <c r="K63" s="535" t="s">
        <v>22</v>
      </c>
      <c r="L63" s="485"/>
      <c r="M63" s="485"/>
      <c r="N63" s="418"/>
      <c r="O63" s="49">
        <f>SUM(O57:O62)</f>
        <v>7255500</v>
      </c>
      <c r="P63" s="487"/>
      <c r="Q63" s="213">
        <f>SUM(Q57:Q62)</f>
        <v>0</v>
      </c>
    </row>
    <row r="64" spans="1:17" ht="19.95" customHeight="1" x14ac:dyDescent="0.3">
      <c r="A64" s="402">
        <v>9</v>
      </c>
      <c r="B64" s="402" t="s">
        <v>195</v>
      </c>
      <c r="C64" s="405" t="s">
        <v>196</v>
      </c>
      <c r="D64" s="282" t="s">
        <v>54</v>
      </c>
      <c r="E64" s="282">
        <v>2600</v>
      </c>
      <c r="F64" s="282">
        <v>1300</v>
      </c>
      <c r="G64" s="283">
        <v>3307.5</v>
      </c>
      <c r="H64" s="285">
        <f t="shared" ref="H64:H69" si="16">+E64*G64</f>
        <v>8599500</v>
      </c>
      <c r="I64" s="393"/>
      <c r="J64" s="526"/>
      <c r="K64" s="610" t="s">
        <v>17</v>
      </c>
      <c r="L64" s="611"/>
      <c r="M64" s="210">
        <v>18</v>
      </c>
      <c r="N64" s="211">
        <v>52500</v>
      </c>
      <c r="O64" s="212">
        <f t="shared" ref="O64:O69" si="17">+M64*N64</f>
        <v>945000</v>
      </c>
      <c r="P64" s="612"/>
      <c r="Q64" s="15">
        <v>0</v>
      </c>
    </row>
    <row r="65" spans="1:17" ht="20.100000000000001" customHeight="1" x14ac:dyDescent="0.3">
      <c r="A65" s="403"/>
      <c r="B65" s="403"/>
      <c r="C65" s="406"/>
      <c r="D65" s="284" t="s">
        <v>197</v>
      </c>
      <c r="E65" s="284">
        <v>0</v>
      </c>
      <c r="F65" s="284">
        <v>0</v>
      </c>
      <c r="G65" s="43">
        <v>6318</v>
      </c>
      <c r="H65" s="56">
        <f t="shared" si="16"/>
        <v>0</v>
      </c>
      <c r="I65" s="393"/>
      <c r="J65" s="526"/>
      <c r="K65" s="610" t="s">
        <v>156</v>
      </c>
      <c r="L65" s="611"/>
      <c r="M65" s="210">
        <v>290</v>
      </c>
      <c r="N65" s="211">
        <v>16200</v>
      </c>
      <c r="O65" s="212">
        <f t="shared" si="17"/>
        <v>4698000</v>
      </c>
      <c r="P65" s="612"/>
      <c r="Q65" s="15">
        <v>0</v>
      </c>
    </row>
    <row r="66" spans="1:17" ht="20.100000000000001" customHeight="1" x14ac:dyDescent="0.3">
      <c r="A66" s="403"/>
      <c r="B66" s="403"/>
      <c r="C66" s="406"/>
      <c r="D66" s="284" t="s">
        <v>55</v>
      </c>
      <c r="E66" s="284">
        <v>2</v>
      </c>
      <c r="F66" s="284"/>
      <c r="G66" s="43">
        <v>464062.5</v>
      </c>
      <c r="H66" s="56">
        <f t="shared" si="16"/>
        <v>928125</v>
      </c>
      <c r="I66" s="393"/>
      <c r="J66" s="526"/>
      <c r="K66" s="610" t="s">
        <v>181</v>
      </c>
      <c r="L66" s="611"/>
      <c r="M66" s="210">
        <v>1</v>
      </c>
      <c r="N66" s="211">
        <v>525000</v>
      </c>
      <c r="O66" s="212">
        <f t="shared" si="17"/>
        <v>525000</v>
      </c>
      <c r="P66" s="612"/>
      <c r="Q66" s="15">
        <v>0</v>
      </c>
    </row>
    <row r="67" spans="1:17" ht="20.100000000000001" customHeight="1" x14ac:dyDescent="0.3">
      <c r="A67" s="403"/>
      <c r="B67" s="403"/>
      <c r="C67" s="406"/>
      <c r="D67" s="284" t="s">
        <v>81</v>
      </c>
      <c r="E67" s="284">
        <v>1</v>
      </c>
      <c r="F67" s="284"/>
      <c r="G67" s="43">
        <v>303750</v>
      </c>
      <c r="H67" s="285">
        <f t="shared" si="16"/>
        <v>303750</v>
      </c>
      <c r="I67" s="393"/>
      <c r="J67" s="527"/>
      <c r="K67" s="610" t="s">
        <v>157</v>
      </c>
      <c r="L67" s="611"/>
      <c r="M67" s="210">
        <v>1</v>
      </c>
      <c r="N67" s="211">
        <v>175000</v>
      </c>
      <c r="O67" s="212">
        <f t="shared" si="17"/>
        <v>175000</v>
      </c>
      <c r="P67" s="612"/>
      <c r="Q67" s="15">
        <v>0</v>
      </c>
    </row>
    <row r="68" spans="1:17" ht="20.100000000000001" customHeight="1" x14ac:dyDescent="0.3">
      <c r="A68" s="403"/>
      <c r="B68" s="403"/>
      <c r="C68" s="406"/>
      <c r="D68" s="284" t="s">
        <v>190</v>
      </c>
      <c r="E68" s="284">
        <v>0</v>
      </c>
      <c r="F68" s="284"/>
      <c r="G68" s="43">
        <v>183750</v>
      </c>
      <c r="H68" s="56">
        <f t="shared" si="16"/>
        <v>0</v>
      </c>
      <c r="I68" s="393"/>
      <c r="J68" s="527"/>
      <c r="K68" s="610" t="s">
        <v>158</v>
      </c>
      <c r="L68" s="611"/>
      <c r="M68" s="210">
        <v>1</v>
      </c>
      <c r="N68" s="211">
        <v>350000</v>
      </c>
      <c r="O68" s="212">
        <f t="shared" si="17"/>
        <v>350000</v>
      </c>
      <c r="P68" s="612"/>
      <c r="Q68" s="15">
        <v>0</v>
      </c>
    </row>
    <row r="69" spans="1:17" ht="20.100000000000001" customHeight="1" x14ac:dyDescent="0.3">
      <c r="A69" s="403"/>
      <c r="B69" s="403"/>
      <c r="C69" s="406"/>
      <c r="D69" s="284" t="s">
        <v>160</v>
      </c>
      <c r="E69" s="284">
        <v>0</v>
      </c>
      <c r="F69" s="284"/>
      <c r="G69" s="43">
        <v>20000</v>
      </c>
      <c r="H69" s="56">
        <f t="shared" si="16"/>
        <v>0</v>
      </c>
      <c r="I69" s="393"/>
      <c r="J69" s="527"/>
      <c r="K69" s="610" t="s">
        <v>159</v>
      </c>
      <c r="L69" s="611"/>
      <c r="M69" s="210">
        <v>3</v>
      </c>
      <c r="N69" s="211">
        <v>187500</v>
      </c>
      <c r="O69" s="212">
        <f t="shared" si="17"/>
        <v>562500</v>
      </c>
      <c r="P69" s="612"/>
      <c r="Q69" s="15">
        <v>0</v>
      </c>
    </row>
    <row r="70" spans="1:17" ht="19.95" customHeight="1" thickBot="1" x14ac:dyDescent="0.35">
      <c r="A70" s="404"/>
      <c r="B70" s="404"/>
      <c r="C70" s="407"/>
      <c r="D70" s="399" t="s">
        <v>21</v>
      </c>
      <c r="E70" s="400"/>
      <c r="F70" s="400"/>
      <c r="G70" s="418"/>
      <c r="H70" s="59">
        <f>SUM(H64:H69)</f>
        <v>9831375</v>
      </c>
      <c r="I70" s="513"/>
      <c r="J70" s="528"/>
      <c r="K70" s="535" t="s">
        <v>22</v>
      </c>
      <c r="L70" s="485"/>
      <c r="M70" s="485"/>
      <c r="N70" s="418"/>
      <c r="O70" s="49">
        <f>SUM(O64:O69)</f>
        <v>7255500</v>
      </c>
      <c r="P70" s="487"/>
      <c r="Q70" s="213">
        <f>SUM(Q64:Q69)</f>
        <v>0</v>
      </c>
    </row>
    <row r="71" spans="1:17" ht="19.95" customHeight="1" x14ac:dyDescent="0.3">
      <c r="A71" s="402">
        <v>10</v>
      </c>
      <c r="B71" s="402" t="s">
        <v>198</v>
      </c>
      <c r="C71" s="405" t="s">
        <v>196</v>
      </c>
      <c r="D71" s="282" t="s">
        <v>54</v>
      </c>
      <c r="E71" s="282">
        <v>2600</v>
      </c>
      <c r="F71" s="282">
        <v>1300</v>
      </c>
      <c r="G71" s="283">
        <v>3307.5</v>
      </c>
      <c r="H71" s="285">
        <f t="shared" ref="H71:H76" si="18">+E71*G71</f>
        <v>8599500</v>
      </c>
      <c r="I71" s="393"/>
      <c r="J71" s="526"/>
      <c r="K71" s="610" t="s">
        <v>17</v>
      </c>
      <c r="L71" s="611"/>
      <c r="M71" s="210">
        <v>18</v>
      </c>
      <c r="N71" s="211">
        <v>52500</v>
      </c>
      <c r="O71" s="212">
        <f t="shared" ref="O71:O76" si="19">+M71*N71</f>
        <v>945000</v>
      </c>
      <c r="P71" s="612"/>
      <c r="Q71" s="15">
        <v>0</v>
      </c>
    </row>
    <row r="72" spans="1:17" ht="20.100000000000001" customHeight="1" x14ac:dyDescent="0.3">
      <c r="A72" s="403"/>
      <c r="B72" s="403"/>
      <c r="C72" s="406"/>
      <c r="D72" s="284" t="s">
        <v>197</v>
      </c>
      <c r="E72" s="284">
        <v>0</v>
      </c>
      <c r="F72" s="284">
        <v>0</v>
      </c>
      <c r="G72" s="43">
        <v>6318</v>
      </c>
      <c r="H72" s="56">
        <f t="shared" si="18"/>
        <v>0</v>
      </c>
      <c r="I72" s="393"/>
      <c r="J72" s="526"/>
      <c r="K72" s="610" t="s">
        <v>156</v>
      </c>
      <c r="L72" s="611"/>
      <c r="M72" s="210">
        <v>290</v>
      </c>
      <c r="N72" s="211">
        <v>16200</v>
      </c>
      <c r="O72" s="212">
        <f t="shared" si="19"/>
        <v>4698000</v>
      </c>
      <c r="P72" s="612"/>
      <c r="Q72" s="15">
        <v>0</v>
      </c>
    </row>
    <row r="73" spans="1:17" ht="20.100000000000001" customHeight="1" x14ac:dyDescent="0.3">
      <c r="A73" s="403"/>
      <c r="B73" s="403"/>
      <c r="C73" s="406"/>
      <c r="D73" s="284" t="s">
        <v>55</v>
      </c>
      <c r="E73" s="284">
        <v>2</v>
      </c>
      <c r="F73" s="284"/>
      <c r="G73" s="43">
        <v>464062.5</v>
      </c>
      <c r="H73" s="56">
        <f t="shared" si="18"/>
        <v>928125</v>
      </c>
      <c r="I73" s="393"/>
      <c r="J73" s="526"/>
      <c r="K73" s="610" t="s">
        <v>181</v>
      </c>
      <c r="L73" s="611"/>
      <c r="M73" s="210">
        <v>1</v>
      </c>
      <c r="N73" s="211">
        <v>525000</v>
      </c>
      <c r="O73" s="212">
        <f t="shared" si="19"/>
        <v>525000</v>
      </c>
      <c r="P73" s="612"/>
      <c r="Q73" s="15">
        <v>0</v>
      </c>
    </row>
    <row r="74" spans="1:17" ht="20.100000000000001" customHeight="1" x14ac:dyDescent="0.3">
      <c r="A74" s="403"/>
      <c r="B74" s="403"/>
      <c r="C74" s="406"/>
      <c r="D74" s="284" t="s">
        <v>81</v>
      </c>
      <c r="E74" s="284">
        <v>1</v>
      </c>
      <c r="F74" s="284"/>
      <c r="G74" s="43">
        <v>303750</v>
      </c>
      <c r="H74" s="285">
        <f t="shared" si="18"/>
        <v>303750</v>
      </c>
      <c r="I74" s="393"/>
      <c r="J74" s="527"/>
      <c r="K74" s="610" t="s">
        <v>157</v>
      </c>
      <c r="L74" s="611"/>
      <c r="M74" s="210">
        <v>1</v>
      </c>
      <c r="N74" s="211">
        <v>175000</v>
      </c>
      <c r="O74" s="212">
        <f t="shared" si="19"/>
        <v>175000</v>
      </c>
      <c r="P74" s="612"/>
      <c r="Q74" s="15">
        <v>0</v>
      </c>
    </row>
    <row r="75" spans="1:17" ht="20.100000000000001" customHeight="1" x14ac:dyDescent="0.3">
      <c r="A75" s="403"/>
      <c r="B75" s="403"/>
      <c r="C75" s="406"/>
      <c r="D75" s="284" t="s">
        <v>190</v>
      </c>
      <c r="E75" s="284">
        <v>0</v>
      </c>
      <c r="F75" s="284"/>
      <c r="G75" s="43">
        <v>183750</v>
      </c>
      <c r="H75" s="56">
        <f t="shared" si="18"/>
        <v>0</v>
      </c>
      <c r="I75" s="393"/>
      <c r="J75" s="527"/>
      <c r="K75" s="610" t="s">
        <v>158</v>
      </c>
      <c r="L75" s="611"/>
      <c r="M75" s="210">
        <v>1</v>
      </c>
      <c r="N75" s="211">
        <v>350000</v>
      </c>
      <c r="O75" s="212">
        <f t="shared" si="19"/>
        <v>350000</v>
      </c>
      <c r="P75" s="612"/>
      <c r="Q75" s="15">
        <v>0</v>
      </c>
    </row>
    <row r="76" spans="1:17" ht="20.100000000000001" customHeight="1" x14ac:dyDescent="0.3">
      <c r="A76" s="403"/>
      <c r="B76" s="403"/>
      <c r="C76" s="406"/>
      <c r="D76" s="284" t="s">
        <v>160</v>
      </c>
      <c r="E76" s="284">
        <v>0</v>
      </c>
      <c r="F76" s="284"/>
      <c r="G76" s="43">
        <v>20000</v>
      </c>
      <c r="H76" s="56">
        <f t="shared" si="18"/>
        <v>0</v>
      </c>
      <c r="I76" s="393"/>
      <c r="J76" s="527"/>
      <c r="K76" s="610" t="s">
        <v>159</v>
      </c>
      <c r="L76" s="611"/>
      <c r="M76" s="210">
        <v>3</v>
      </c>
      <c r="N76" s="211">
        <v>187500</v>
      </c>
      <c r="O76" s="212">
        <f t="shared" si="19"/>
        <v>562500</v>
      </c>
      <c r="P76" s="612"/>
      <c r="Q76" s="15">
        <v>0</v>
      </c>
    </row>
    <row r="77" spans="1:17" ht="19.95" customHeight="1" thickBot="1" x14ac:dyDescent="0.35">
      <c r="A77" s="404"/>
      <c r="B77" s="404"/>
      <c r="C77" s="407"/>
      <c r="D77" s="399" t="s">
        <v>21</v>
      </c>
      <c r="E77" s="400"/>
      <c r="F77" s="400"/>
      <c r="G77" s="418"/>
      <c r="H77" s="59">
        <f>SUM(H71:H76)</f>
        <v>9831375</v>
      </c>
      <c r="I77" s="513"/>
      <c r="J77" s="528"/>
      <c r="K77" s="535" t="s">
        <v>22</v>
      </c>
      <c r="L77" s="485"/>
      <c r="M77" s="485"/>
      <c r="N77" s="418"/>
      <c r="O77" s="49">
        <f>SUM(O71:O76)</f>
        <v>7255500</v>
      </c>
      <c r="P77" s="487"/>
      <c r="Q77" s="213">
        <f>SUM(Q71:Q76)</f>
        <v>0</v>
      </c>
    </row>
    <row r="78" spans="1:17" ht="19.95" customHeight="1" x14ac:dyDescent="0.3">
      <c r="A78" s="402">
        <v>11</v>
      </c>
      <c r="B78" s="402" t="s">
        <v>199</v>
      </c>
      <c r="C78" s="405" t="s">
        <v>196</v>
      </c>
      <c r="D78" s="282" t="s">
        <v>54</v>
      </c>
      <c r="E78" s="282">
        <v>2600</v>
      </c>
      <c r="F78" s="282">
        <v>1300</v>
      </c>
      <c r="G78" s="283">
        <v>3307.5</v>
      </c>
      <c r="H78" s="285">
        <f t="shared" ref="H78:H83" si="20">+E78*G78</f>
        <v>8599500</v>
      </c>
      <c r="I78" s="393"/>
      <c r="J78" s="526"/>
      <c r="K78" s="610" t="s">
        <v>17</v>
      </c>
      <c r="L78" s="611"/>
      <c r="M78" s="210">
        <v>18</v>
      </c>
      <c r="N78" s="211">
        <v>52500</v>
      </c>
      <c r="O78" s="212">
        <f t="shared" ref="O78:O83" si="21">+M78*N78</f>
        <v>945000</v>
      </c>
      <c r="P78" s="612"/>
      <c r="Q78" s="15">
        <v>0</v>
      </c>
    </row>
    <row r="79" spans="1:17" ht="20.100000000000001" customHeight="1" x14ac:dyDescent="0.3">
      <c r="A79" s="403"/>
      <c r="B79" s="403"/>
      <c r="C79" s="406"/>
      <c r="D79" s="284" t="s">
        <v>169</v>
      </c>
      <c r="E79" s="284">
        <v>600</v>
      </c>
      <c r="F79" s="284">
        <v>0</v>
      </c>
      <c r="G79" s="43">
        <v>6318</v>
      </c>
      <c r="H79" s="56">
        <f t="shared" si="20"/>
        <v>3790800</v>
      </c>
      <c r="I79" s="393"/>
      <c r="J79" s="526"/>
      <c r="K79" s="610" t="s">
        <v>156</v>
      </c>
      <c r="L79" s="611"/>
      <c r="M79" s="210">
        <v>290</v>
      </c>
      <c r="N79" s="211">
        <v>16200</v>
      </c>
      <c r="O79" s="212">
        <f t="shared" si="21"/>
        <v>4698000</v>
      </c>
      <c r="P79" s="612"/>
      <c r="Q79" s="15">
        <v>0</v>
      </c>
    </row>
    <row r="80" spans="1:17" ht="20.100000000000001" customHeight="1" x14ac:dyDescent="0.3">
      <c r="A80" s="403"/>
      <c r="B80" s="403"/>
      <c r="C80" s="406"/>
      <c r="D80" s="284" t="s">
        <v>55</v>
      </c>
      <c r="E80" s="284">
        <v>2</v>
      </c>
      <c r="F80" s="284"/>
      <c r="G80" s="43">
        <v>464062.5</v>
      </c>
      <c r="H80" s="56">
        <f t="shared" si="20"/>
        <v>928125</v>
      </c>
      <c r="I80" s="393"/>
      <c r="J80" s="526"/>
      <c r="K80" s="610" t="s">
        <v>181</v>
      </c>
      <c r="L80" s="611"/>
      <c r="M80" s="210">
        <v>1</v>
      </c>
      <c r="N80" s="211">
        <v>525000</v>
      </c>
      <c r="O80" s="212">
        <f t="shared" si="21"/>
        <v>525000</v>
      </c>
      <c r="P80" s="612"/>
      <c r="Q80" s="15">
        <v>0</v>
      </c>
    </row>
    <row r="81" spans="1:17" ht="20.100000000000001" customHeight="1" x14ac:dyDescent="0.3">
      <c r="A81" s="403"/>
      <c r="B81" s="403"/>
      <c r="C81" s="406"/>
      <c r="D81" s="284" t="s">
        <v>81</v>
      </c>
      <c r="E81" s="284">
        <v>1</v>
      </c>
      <c r="F81" s="284"/>
      <c r="G81" s="43">
        <v>303750</v>
      </c>
      <c r="H81" s="285">
        <f t="shared" si="20"/>
        <v>303750</v>
      </c>
      <c r="I81" s="393"/>
      <c r="J81" s="527"/>
      <c r="K81" s="610" t="s">
        <v>157</v>
      </c>
      <c r="L81" s="611"/>
      <c r="M81" s="210">
        <v>1</v>
      </c>
      <c r="N81" s="211">
        <v>175000</v>
      </c>
      <c r="O81" s="212">
        <f t="shared" si="21"/>
        <v>175000</v>
      </c>
      <c r="P81" s="612"/>
      <c r="Q81" s="15">
        <v>0</v>
      </c>
    </row>
    <row r="82" spans="1:17" ht="20.100000000000001" customHeight="1" x14ac:dyDescent="0.3">
      <c r="A82" s="403"/>
      <c r="B82" s="403"/>
      <c r="C82" s="406"/>
      <c r="D82" s="284" t="s">
        <v>190</v>
      </c>
      <c r="E82" s="284">
        <v>0</v>
      </c>
      <c r="F82" s="284"/>
      <c r="G82" s="43">
        <v>183750</v>
      </c>
      <c r="H82" s="56">
        <f t="shared" si="20"/>
        <v>0</v>
      </c>
      <c r="I82" s="393"/>
      <c r="J82" s="527"/>
      <c r="K82" s="610" t="s">
        <v>158</v>
      </c>
      <c r="L82" s="611"/>
      <c r="M82" s="210">
        <v>1</v>
      </c>
      <c r="N82" s="211">
        <v>350000</v>
      </c>
      <c r="O82" s="212">
        <f t="shared" si="21"/>
        <v>350000</v>
      </c>
      <c r="P82" s="612"/>
      <c r="Q82" s="15">
        <v>0</v>
      </c>
    </row>
    <row r="83" spans="1:17" ht="20.100000000000001" customHeight="1" x14ac:dyDescent="0.3">
      <c r="A83" s="403"/>
      <c r="B83" s="403"/>
      <c r="C83" s="406"/>
      <c r="D83" s="284" t="s">
        <v>160</v>
      </c>
      <c r="E83" s="284">
        <v>0</v>
      </c>
      <c r="F83" s="284"/>
      <c r="G83" s="43">
        <v>20000</v>
      </c>
      <c r="H83" s="56">
        <f t="shared" si="20"/>
        <v>0</v>
      </c>
      <c r="I83" s="393"/>
      <c r="J83" s="527"/>
      <c r="K83" s="610" t="s">
        <v>159</v>
      </c>
      <c r="L83" s="611"/>
      <c r="M83" s="210">
        <v>3</v>
      </c>
      <c r="N83" s="211">
        <v>187500</v>
      </c>
      <c r="O83" s="212">
        <f t="shared" si="21"/>
        <v>562500</v>
      </c>
      <c r="P83" s="612"/>
      <c r="Q83" s="15">
        <v>0</v>
      </c>
    </row>
    <row r="84" spans="1:17" ht="19.95" customHeight="1" thickBot="1" x14ac:dyDescent="0.35">
      <c r="A84" s="404"/>
      <c r="B84" s="404"/>
      <c r="C84" s="407"/>
      <c r="D84" s="399" t="s">
        <v>21</v>
      </c>
      <c r="E84" s="400"/>
      <c r="F84" s="400"/>
      <c r="G84" s="418"/>
      <c r="H84" s="59">
        <f>SUM(H78:H83)</f>
        <v>13622175</v>
      </c>
      <c r="I84" s="513"/>
      <c r="J84" s="528"/>
      <c r="K84" s="535" t="s">
        <v>22</v>
      </c>
      <c r="L84" s="485"/>
      <c r="M84" s="485"/>
      <c r="N84" s="418"/>
      <c r="O84" s="49">
        <f>SUM(O78:O83)</f>
        <v>7255500</v>
      </c>
      <c r="P84" s="487"/>
      <c r="Q84" s="213">
        <f>SUM(Q78:Q83)</f>
        <v>0</v>
      </c>
    </row>
    <row r="85" spans="1:17" s="341" customFormat="1" ht="19.95" customHeight="1" x14ac:dyDescent="0.3">
      <c r="A85" s="402">
        <v>12</v>
      </c>
      <c r="B85" s="402" t="s">
        <v>24</v>
      </c>
      <c r="C85" s="405">
        <v>45849</v>
      </c>
      <c r="D85" s="337" t="s">
        <v>54</v>
      </c>
      <c r="E85" s="337">
        <v>2400</v>
      </c>
      <c r="F85" s="337">
        <v>1200</v>
      </c>
      <c r="G85" s="338">
        <v>3307.5</v>
      </c>
      <c r="H85" s="340">
        <f t="shared" ref="H85:H90" si="22">+E85*G85</f>
        <v>7938000</v>
      </c>
      <c r="I85" s="393"/>
      <c r="J85" s="526"/>
      <c r="K85" s="610" t="s">
        <v>17</v>
      </c>
      <c r="L85" s="611"/>
      <c r="M85" s="210">
        <v>14</v>
      </c>
      <c r="N85" s="211">
        <v>52500</v>
      </c>
      <c r="O85" s="212">
        <f t="shared" ref="O85:O90" si="23">+M85*N85</f>
        <v>735000</v>
      </c>
      <c r="P85" s="612"/>
      <c r="Q85" s="15">
        <v>0</v>
      </c>
    </row>
    <row r="86" spans="1:17" s="341" customFormat="1" ht="20.100000000000001" customHeight="1" x14ac:dyDescent="0.3">
      <c r="A86" s="403"/>
      <c r="B86" s="403"/>
      <c r="C86" s="406"/>
      <c r="D86" s="339" t="s">
        <v>170</v>
      </c>
      <c r="E86" s="339">
        <v>600</v>
      </c>
      <c r="F86" s="339">
        <v>0</v>
      </c>
      <c r="G86" s="43">
        <v>6318</v>
      </c>
      <c r="H86" s="56">
        <f t="shared" si="22"/>
        <v>3790800</v>
      </c>
      <c r="I86" s="393"/>
      <c r="J86" s="526"/>
      <c r="K86" s="610" t="s">
        <v>156</v>
      </c>
      <c r="L86" s="611"/>
      <c r="M86" s="210">
        <v>290</v>
      </c>
      <c r="N86" s="211">
        <v>16200</v>
      </c>
      <c r="O86" s="212">
        <f t="shared" si="23"/>
        <v>4698000</v>
      </c>
      <c r="P86" s="612"/>
      <c r="Q86" s="15">
        <v>0</v>
      </c>
    </row>
    <row r="87" spans="1:17" s="341" customFormat="1" ht="20.100000000000001" customHeight="1" x14ac:dyDescent="0.3">
      <c r="A87" s="403"/>
      <c r="B87" s="403"/>
      <c r="C87" s="406"/>
      <c r="D87" s="339" t="s">
        <v>55</v>
      </c>
      <c r="E87" s="339">
        <v>2</v>
      </c>
      <c r="F87" s="339"/>
      <c r="G87" s="43">
        <v>464062.5</v>
      </c>
      <c r="H87" s="56">
        <f t="shared" si="22"/>
        <v>928125</v>
      </c>
      <c r="I87" s="393"/>
      <c r="J87" s="526"/>
      <c r="K87" s="610" t="s">
        <v>181</v>
      </c>
      <c r="L87" s="611"/>
      <c r="M87" s="210">
        <v>1</v>
      </c>
      <c r="N87" s="211">
        <v>525000</v>
      </c>
      <c r="O87" s="212">
        <f t="shared" si="23"/>
        <v>525000</v>
      </c>
      <c r="P87" s="612"/>
      <c r="Q87" s="15">
        <v>0</v>
      </c>
    </row>
    <row r="88" spans="1:17" s="341" customFormat="1" ht="20.100000000000001" customHeight="1" x14ac:dyDescent="0.3">
      <c r="A88" s="403"/>
      <c r="B88" s="403"/>
      <c r="C88" s="406"/>
      <c r="D88" s="339" t="s">
        <v>81</v>
      </c>
      <c r="E88" s="339">
        <v>1</v>
      </c>
      <c r="F88" s="339"/>
      <c r="G88" s="43">
        <v>303750</v>
      </c>
      <c r="H88" s="340">
        <f t="shared" si="22"/>
        <v>303750</v>
      </c>
      <c r="I88" s="393"/>
      <c r="J88" s="527"/>
      <c r="K88" s="610" t="s">
        <v>157</v>
      </c>
      <c r="L88" s="611"/>
      <c r="M88" s="210">
        <v>1</v>
      </c>
      <c r="N88" s="211">
        <v>175000</v>
      </c>
      <c r="O88" s="212">
        <f t="shared" si="23"/>
        <v>175000</v>
      </c>
      <c r="P88" s="612"/>
      <c r="Q88" s="15">
        <v>0</v>
      </c>
    </row>
    <row r="89" spans="1:17" s="341" customFormat="1" ht="20.100000000000001" customHeight="1" x14ac:dyDescent="0.3">
      <c r="A89" s="403"/>
      <c r="B89" s="403"/>
      <c r="C89" s="406"/>
      <c r="D89" s="339" t="s">
        <v>190</v>
      </c>
      <c r="E89" s="339">
        <v>0</v>
      </c>
      <c r="F89" s="339"/>
      <c r="G89" s="43">
        <v>183750</v>
      </c>
      <c r="H89" s="56">
        <f t="shared" si="22"/>
        <v>0</v>
      </c>
      <c r="I89" s="393"/>
      <c r="J89" s="527"/>
      <c r="K89" s="610" t="s">
        <v>158</v>
      </c>
      <c r="L89" s="611"/>
      <c r="M89" s="210">
        <v>1</v>
      </c>
      <c r="N89" s="211">
        <v>350000</v>
      </c>
      <c r="O89" s="212">
        <f t="shared" si="23"/>
        <v>350000</v>
      </c>
      <c r="P89" s="612"/>
      <c r="Q89" s="15">
        <v>0</v>
      </c>
    </row>
    <row r="90" spans="1:17" s="341" customFormat="1" ht="20.100000000000001" customHeight="1" x14ac:dyDescent="0.3">
      <c r="A90" s="403"/>
      <c r="B90" s="403"/>
      <c r="C90" s="406"/>
      <c r="D90" s="339" t="s">
        <v>160</v>
      </c>
      <c r="E90" s="339">
        <v>0</v>
      </c>
      <c r="F90" s="339"/>
      <c r="G90" s="43">
        <v>20000</v>
      </c>
      <c r="H90" s="56">
        <f t="shared" si="22"/>
        <v>0</v>
      </c>
      <c r="I90" s="393"/>
      <c r="J90" s="527"/>
      <c r="K90" s="610" t="s">
        <v>159</v>
      </c>
      <c r="L90" s="611"/>
      <c r="M90" s="210">
        <v>3</v>
      </c>
      <c r="N90" s="211">
        <v>187500</v>
      </c>
      <c r="O90" s="212">
        <f t="shared" si="23"/>
        <v>562500</v>
      </c>
      <c r="P90" s="612"/>
      <c r="Q90" s="15">
        <v>0</v>
      </c>
    </row>
    <row r="91" spans="1:17" s="341" customFormat="1" ht="19.95" customHeight="1" thickBot="1" x14ac:dyDescent="0.35">
      <c r="A91" s="404"/>
      <c r="B91" s="404"/>
      <c r="C91" s="407"/>
      <c r="D91" s="399" t="s">
        <v>21</v>
      </c>
      <c r="E91" s="400"/>
      <c r="F91" s="400"/>
      <c r="G91" s="418"/>
      <c r="H91" s="59">
        <f>SUM(H85:H90)</f>
        <v>12960675</v>
      </c>
      <c r="I91" s="513"/>
      <c r="J91" s="528"/>
      <c r="K91" s="535" t="s">
        <v>22</v>
      </c>
      <c r="L91" s="485"/>
      <c r="M91" s="485"/>
      <c r="N91" s="418"/>
      <c r="O91" s="49">
        <f>SUM(O85:O90)</f>
        <v>7045500</v>
      </c>
      <c r="P91" s="487"/>
      <c r="Q91" s="213">
        <f>SUM(Q85:Q90)</f>
        <v>0</v>
      </c>
    </row>
    <row r="92" spans="1:17" s="341" customFormat="1" ht="19.95" customHeight="1" x14ac:dyDescent="0.3">
      <c r="A92" s="402">
        <v>13</v>
      </c>
      <c r="B92" s="402" t="s">
        <v>43</v>
      </c>
      <c r="C92" s="405">
        <v>45865</v>
      </c>
      <c r="D92" s="337" t="s">
        <v>54</v>
      </c>
      <c r="E92" s="337">
        <v>2400</v>
      </c>
      <c r="F92" s="337">
        <v>1200</v>
      </c>
      <c r="G92" s="338">
        <v>3307.5</v>
      </c>
      <c r="H92" s="340">
        <f t="shared" ref="H92:H97" si="24">+E92*G92</f>
        <v>7938000</v>
      </c>
      <c r="I92" s="393"/>
      <c r="J92" s="526"/>
      <c r="K92" s="610" t="s">
        <v>17</v>
      </c>
      <c r="L92" s="611"/>
      <c r="M92" s="210">
        <v>14</v>
      </c>
      <c r="N92" s="211">
        <v>52500</v>
      </c>
      <c r="O92" s="212">
        <f t="shared" ref="O92:O97" si="25">+M92*N92</f>
        <v>735000</v>
      </c>
      <c r="P92" s="612"/>
      <c r="Q92" s="15">
        <v>0</v>
      </c>
    </row>
    <row r="93" spans="1:17" s="341" customFormat="1" ht="20.100000000000001" customHeight="1" x14ac:dyDescent="0.3">
      <c r="A93" s="403"/>
      <c r="B93" s="403"/>
      <c r="C93" s="406"/>
      <c r="D93" s="339" t="s">
        <v>170</v>
      </c>
      <c r="E93" s="339">
        <v>0</v>
      </c>
      <c r="F93" s="339">
        <v>0</v>
      </c>
      <c r="G93" s="43">
        <v>6318</v>
      </c>
      <c r="H93" s="56">
        <f t="shared" si="24"/>
        <v>0</v>
      </c>
      <c r="I93" s="393"/>
      <c r="J93" s="526"/>
      <c r="K93" s="610" t="s">
        <v>156</v>
      </c>
      <c r="L93" s="611"/>
      <c r="M93" s="210">
        <v>290</v>
      </c>
      <c r="N93" s="211">
        <v>16200</v>
      </c>
      <c r="O93" s="212">
        <f t="shared" si="25"/>
        <v>4698000</v>
      </c>
      <c r="P93" s="612"/>
      <c r="Q93" s="15">
        <v>0</v>
      </c>
    </row>
    <row r="94" spans="1:17" s="341" customFormat="1" ht="20.100000000000001" customHeight="1" x14ac:dyDescent="0.3">
      <c r="A94" s="403"/>
      <c r="B94" s="403"/>
      <c r="C94" s="406"/>
      <c r="D94" s="339" t="s">
        <v>55</v>
      </c>
      <c r="E94" s="339">
        <v>2</v>
      </c>
      <c r="F94" s="339"/>
      <c r="G94" s="43">
        <v>464062.5</v>
      </c>
      <c r="H94" s="56">
        <f t="shared" si="24"/>
        <v>928125</v>
      </c>
      <c r="I94" s="393"/>
      <c r="J94" s="526"/>
      <c r="K94" s="610" t="s">
        <v>181</v>
      </c>
      <c r="L94" s="611"/>
      <c r="M94" s="210">
        <v>1</v>
      </c>
      <c r="N94" s="211">
        <v>525000</v>
      </c>
      <c r="O94" s="212">
        <f t="shared" si="25"/>
        <v>525000</v>
      </c>
      <c r="P94" s="612"/>
      <c r="Q94" s="15">
        <v>0</v>
      </c>
    </row>
    <row r="95" spans="1:17" s="341" customFormat="1" ht="20.100000000000001" customHeight="1" x14ac:dyDescent="0.3">
      <c r="A95" s="403"/>
      <c r="B95" s="403"/>
      <c r="C95" s="406"/>
      <c r="D95" s="339" t="s">
        <v>81</v>
      </c>
      <c r="E95" s="339">
        <v>1</v>
      </c>
      <c r="F95" s="339"/>
      <c r="G95" s="43">
        <v>303750</v>
      </c>
      <c r="H95" s="340">
        <f t="shared" si="24"/>
        <v>303750</v>
      </c>
      <c r="I95" s="393"/>
      <c r="J95" s="527"/>
      <c r="K95" s="610" t="s">
        <v>157</v>
      </c>
      <c r="L95" s="611"/>
      <c r="M95" s="210">
        <v>1</v>
      </c>
      <c r="N95" s="211">
        <v>175000</v>
      </c>
      <c r="O95" s="212">
        <f t="shared" si="25"/>
        <v>175000</v>
      </c>
      <c r="P95" s="612"/>
      <c r="Q95" s="15">
        <v>0</v>
      </c>
    </row>
    <row r="96" spans="1:17" s="341" customFormat="1" ht="20.100000000000001" customHeight="1" x14ac:dyDescent="0.3">
      <c r="A96" s="403"/>
      <c r="B96" s="403"/>
      <c r="C96" s="406"/>
      <c r="D96" s="339" t="s">
        <v>190</v>
      </c>
      <c r="E96" s="339">
        <v>0</v>
      </c>
      <c r="F96" s="339"/>
      <c r="G96" s="43">
        <v>183750</v>
      </c>
      <c r="H96" s="56">
        <f t="shared" si="24"/>
        <v>0</v>
      </c>
      <c r="I96" s="393"/>
      <c r="J96" s="527"/>
      <c r="K96" s="610" t="s">
        <v>158</v>
      </c>
      <c r="L96" s="611"/>
      <c r="M96" s="210">
        <v>1</v>
      </c>
      <c r="N96" s="211">
        <v>350000</v>
      </c>
      <c r="O96" s="212">
        <f t="shared" si="25"/>
        <v>350000</v>
      </c>
      <c r="P96" s="612"/>
      <c r="Q96" s="15">
        <v>0</v>
      </c>
    </row>
    <row r="97" spans="1:17" s="341" customFormat="1" ht="20.100000000000001" customHeight="1" x14ac:dyDescent="0.3">
      <c r="A97" s="403"/>
      <c r="B97" s="403"/>
      <c r="C97" s="406"/>
      <c r="D97" s="339" t="s">
        <v>160</v>
      </c>
      <c r="E97" s="339">
        <v>0</v>
      </c>
      <c r="F97" s="339"/>
      <c r="G97" s="43">
        <v>20000</v>
      </c>
      <c r="H97" s="56">
        <f t="shared" si="24"/>
        <v>0</v>
      </c>
      <c r="I97" s="393"/>
      <c r="J97" s="527"/>
      <c r="K97" s="610" t="s">
        <v>159</v>
      </c>
      <c r="L97" s="611"/>
      <c r="M97" s="210">
        <v>3</v>
      </c>
      <c r="N97" s="211">
        <v>187500</v>
      </c>
      <c r="O97" s="212">
        <f t="shared" si="25"/>
        <v>562500</v>
      </c>
      <c r="P97" s="612"/>
      <c r="Q97" s="15">
        <v>0</v>
      </c>
    </row>
    <row r="98" spans="1:17" s="341" customFormat="1" ht="19.95" customHeight="1" thickBot="1" x14ac:dyDescent="0.35">
      <c r="A98" s="404"/>
      <c r="B98" s="404"/>
      <c r="C98" s="407"/>
      <c r="D98" s="399" t="s">
        <v>21</v>
      </c>
      <c r="E98" s="400"/>
      <c r="F98" s="400"/>
      <c r="G98" s="418"/>
      <c r="H98" s="59">
        <f>SUM(H92:H97)</f>
        <v>9169875</v>
      </c>
      <c r="I98" s="513"/>
      <c r="J98" s="528"/>
      <c r="K98" s="535" t="s">
        <v>22</v>
      </c>
      <c r="L98" s="485"/>
      <c r="M98" s="485"/>
      <c r="N98" s="418"/>
      <c r="O98" s="49">
        <f>SUM(O92:O97)</f>
        <v>7045500</v>
      </c>
      <c r="P98" s="487"/>
      <c r="Q98" s="213">
        <f>SUM(Q92:Q97)</f>
        <v>0</v>
      </c>
    </row>
    <row r="99" spans="1:17" s="341" customFormat="1" ht="19.95" customHeight="1" x14ac:dyDescent="0.3">
      <c r="A99" s="402">
        <v>14</v>
      </c>
      <c r="B99" s="402" t="s">
        <v>219</v>
      </c>
      <c r="C99" s="405">
        <v>45886</v>
      </c>
      <c r="D99" s="337" t="s">
        <v>54</v>
      </c>
      <c r="E99" s="337">
        <v>2400</v>
      </c>
      <c r="F99" s="337">
        <v>1200</v>
      </c>
      <c r="G99" s="338">
        <v>3307.5</v>
      </c>
      <c r="H99" s="340">
        <f t="shared" ref="H99:H104" si="26">+E99*G99</f>
        <v>7938000</v>
      </c>
      <c r="I99" s="393"/>
      <c r="J99" s="526"/>
      <c r="K99" s="610" t="s">
        <v>17</v>
      </c>
      <c r="L99" s="611"/>
      <c r="M99" s="210">
        <v>14</v>
      </c>
      <c r="N99" s="211">
        <v>52500</v>
      </c>
      <c r="O99" s="212">
        <f t="shared" ref="O99:O104" si="27">+M99*N99</f>
        <v>735000</v>
      </c>
      <c r="P99" s="612"/>
      <c r="Q99" s="15">
        <v>0</v>
      </c>
    </row>
    <row r="100" spans="1:17" s="341" customFormat="1" ht="20.100000000000001" customHeight="1" x14ac:dyDescent="0.3">
      <c r="A100" s="403"/>
      <c r="B100" s="403"/>
      <c r="C100" s="406"/>
      <c r="D100" s="339" t="s">
        <v>171</v>
      </c>
      <c r="E100" s="339">
        <v>600</v>
      </c>
      <c r="F100" s="339">
        <v>0</v>
      </c>
      <c r="G100" s="43">
        <v>6318</v>
      </c>
      <c r="H100" s="56">
        <f t="shared" si="26"/>
        <v>3790800</v>
      </c>
      <c r="I100" s="393"/>
      <c r="J100" s="526"/>
      <c r="K100" s="610" t="s">
        <v>156</v>
      </c>
      <c r="L100" s="611"/>
      <c r="M100" s="210">
        <v>290</v>
      </c>
      <c r="N100" s="211">
        <v>16200</v>
      </c>
      <c r="O100" s="212">
        <f t="shared" si="27"/>
        <v>4698000</v>
      </c>
      <c r="P100" s="612"/>
      <c r="Q100" s="15">
        <v>0</v>
      </c>
    </row>
    <row r="101" spans="1:17" s="341" customFormat="1" ht="20.100000000000001" customHeight="1" x14ac:dyDescent="0.3">
      <c r="A101" s="403"/>
      <c r="B101" s="403"/>
      <c r="C101" s="406"/>
      <c r="D101" s="339" t="s">
        <v>55</v>
      </c>
      <c r="E101" s="339">
        <v>2</v>
      </c>
      <c r="F101" s="339"/>
      <c r="G101" s="43">
        <v>464062.5</v>
      </c>
      <c r="H101" s="56">
        <f t="shared" si="26"/>
        <v>928125</v>
      </c>
      <c r="I101" s="393"/>
      <c r="J101" s="526"/>
      <c r="K101" s="610" t="s">
        <v>181</v>
      </c>
      <c r="L101" s="611"/>
      <c r="M101" s="210">
        <v>1</v>
      </c>
      <c r="N101" s="211">
        <v>525000</v>
      </c>
      <c r="O101" s="212">
        <f t="shared" si="27"/>
        <v>525000</v>
      </c>
      <c r="P101" s="612"/>
      <c r="Q101" s="15">
        <v>0</v>
      </c>
    </row>
    <row r="102" spans="1:17" s="341" customFormat="1" ht="20.100000000000001" customHeight="1" x14ac:dyDescent="0.3">
      <c r="A102" s="403"/>
      <c r="B102" s="403"/>
      <c r="C102" s="406"/>
      <c r="D102" s="339" t="s">
        <v>81</v>
      </c>
      <c r="E102" s="339">
        <v>1</v>
      </c>
      <c r="F102" s="339"/>
      <c r="G102" s="43">
        <v>303750</v>
      </c>
      <c r="H102" s="340">
        <f t="shared" si="26"/>
        <v>303750</v>
      </c>
      <c r="I102" s="393"/>
      <c r="J102" s="527"/>
      <c r="K102" s="610" t="s">
        <v>157</v>
      </c>
      <c r="L102" s="611"/>
      <c r="M102" s="210">
        <v>1</v>
      </c>
      <c r="N102" s="211">
        <v>175000</v>
      </c>
      <c r="O102" s="212">
        <f t="shared" si="27"/>
        <v>175000</v>
      </c>
      <c r="P102" s="612"/>
      <c r="Q102" s="15">
        <v>0</v>
      </c>
    </row>
    <row r="103" spans="1:17" s="341" customFormat="1" ht="20.100000000000001" customHeight="1" x14ac:dyDescent="0.3">
      <c r="A103" s="403"/>
      <c r="B103" s="403"/>
      <c r="C103" s="406"/>
      <c r="D103" s="339" t="s">
        <v>190</v>
      </c>
      <c r="E103" s="339">
        <v>0</v>
      </c>
      <c r="F103" s="339"/>
      <c r="G103" s="43">
        <v>183750</v>
      </c>
      <c r="H103" s="56">
        <f t="shared" si="26"/>
        <v>0</v>
      </c>
      <c r="I103" s="393"/>
      <c r="J103" s="527"/>
      <c r="K103" s="610" t="s">
        <v>158</v>
      </c>
      <c r="L103" s="611"/>
      <c r="M103" s="210">
        <v>1</v>
      </c>
      <c r="N103" s="211">
        <v>350000</v>
      </c>
      <c r="O103" s="212">
        <f t="shared" si="27"/>
        <v>350000</v>
      </c>
      <c r="P103" s="612"/>
      <c r="Q103" s="15">
        <v>0</v>
      </c>
    </row>
    <row r="104" spans="1:17" s="341" customFormat="1" ht="20.100000000000001" customHeight="1" x14ac:dyDescent="0.3">
      <c r="A104" s="403"/>
      <c r="B104" s="403"/>
      <c r="C104" s="406"/>
      <c r="D104" s="339" t="s">
        <v>160</v>
      </c>
      <c r="E104" s="339">
        <v>0</v>
      </c>
      <c r="F104" s="339"/>
      <c r="G104" s="43">
        <v>20000</v>
      </c>
      <c r="H104" s="56">
        <f t="shared" si="26"/>
        <v>0</v>
      </c>
      <c r="I104" s="393"/>
      <c r="J104" s="527"/>
      <c r="K104" s="610" t="s">
        <v>159</v>
      </c>
      <c r="L104" s="611"/>
      <c r="M104" s="210">
        <v>3</v>
      </c>
      <c r="N104" s="211">
        <v>187500</v>
      </c>
      <c r="O104" s="212">
        <f t="shared" si="27"/>
        <v>562500</v>
      </c>
      <c r="P104" s="612"/>
      <c r="Q104" s="15">
        <v>0</v>
      </c>
    </row>
    <row r="105" spans="1:17" s="341" customFormat="1" ht="19.95" customHeight="1" thickBot="1" x14ac:dyDescent="0.35">
      <c r="A105" s="404"/>
      <c r="B105" s="404"/>
      <c r="C105" s="407"/>
      <c r="D105" s="399" t="s">
        <v>21</v>
      </c>
      <c r="E105" s="400"/>
      <c r="F105" s="400"/>
      <c r="G105" s="418"/>
      <c r="H105" s="59">
        <f>SUM(H99:H104)</f>
        <v>12960675</v>
      </c>
      <c r="I105" s="513"/>
      <c r="J105" s="528"/>
      <c r="K105" s="535" t="s">
        <v>22</v>
      </c>
      <c r="L105" s="485"/>
      <c r="M105" s="485"/>
      <c r="N105" s="418"/>
      <c r="O105" s="49">
        <f>SUM(O99:O104)</f>
        <v>7045500</v>
      </c>
      <c r="P105" s="487"/>
      <c r="Q105" s="213">
        <f>SUM(Q99:Q104)</f>
        <v>0</v>
      </c>
    </row>
    <row r="106" spans="1:17" s="341" customFormat="1" ht="19.95" customHeight="1" x14ac:dyDescent="0.3">
      <c r="A106" s="402">
        <v>15</v>
      </c>
      <c r="B106" s="402" t="s">
        <v>220</v>
      </c>
      <c r="C106" s="405">
        <v>45900</v>
      </c>
      <c r="D106" s="337" t="s">
        <v>54</v>
      </c>
      <c r="E106" s="337">
        <v>2400</v>
      </c>
      <c r="F106" s="337">
        <v>1200</v>
      </c>
      <c r="G106" s="338">
        <v>3307.5</v>
      </c>
      <c r="H106" s="340">
        <f t="shared" ref="H106:H111" si="28">+E106*G106</f>
        <v>7938000</v>
      </c>
      <c r="I106" s="393"/>
      <c r="J106" s="526"/>
      <c r="K106" s="610" t="s">
        <v>17</v>
      </c>
      <c r="L106" s="611"/>
      <c r="M106" s="210">
        <v>14</v>
      </c>
      <c r="N106" s="211">
        <v>52500</v>
      </c>
      <c r="O106" s="212">
        <f t="shared" ref="O106:O111" si="29">+M106*N106</f>
        <v>735000</v>
      </c>
      <c r="P106" s="612"/>
      <c r="Q106" s="15">
        <v>0</v>
      </c>
    </row>
    <row r="107" spans="1:17" s="341" customFormat="1" ht="20.100000000000001" customHeight="1" x14ac:dyDescent="0.3">
      <c r="A107" s="403"/>
      <c r="B107" s="403"/>
      <c r="C107" s="406"/>
      <c r="D107" s="339" t="s">
        <v>171</v>
      </c>
      <c r="E107" s="339">
        <v>0</v>
      </c>
      <c r="F107" s="339">
        <v>0</v>
      </c>
      <c r="G107" s="43">
        <v>6318</v>
      </c>
      <c r="H107" s="56">
        <f t="shared" si="28"/>
        <v>0</v>
      </c>
      <c r="I107" s="393"/>
      <c r="J107" s="526"/>
      <c r="K107" s="610" t="s">
        <v>156</v>
      </c>
      <c r="L107" s="611"/>
      <c r="M107" s="210">
        <v>290</v>
      </c>
      <c r="N107" s="211">
        <v>16200</v>
      </c>
      <c r="O107" s="212">
        <f t="shared" si="29"/>
        <v>4698000</v>
      </c>
      <c r="P107" s="612"/>
      <c r="Q107" s="15">
        <v>0</v>
      </c>
    </row>
    <row r="108" spans="1:17" s="341" customFormat="1" ht="20.100000000000001" customHeight="1" x14ac:dyDescent="0.3">
      <c r="A108" s="403"/>
      <c r="B108" s="403"/>
      <c r="C108" s="406"/>
      <c r="D108" s="339" t="s">
        <v>55</v>
      </c>
      <c r="E108" s="339">
        <v>2</v>
      </c>
      <c r="F108" s="339"/>
      <c r="G108" s="43">
        <v>464062.5</v>
      </c>
      <c r="H108" s="56">
        <f t="shared" si="28"/>
        <v>928125</v>
      </c>
      <c r="I108" s="393"/>
      <c r="J108" s="526"/>
      <c r="K108" s="610" t="s">
        <v>181</v>
      </c>
      <c r="L108" s="611"/>
      <c r="M108" s="210">
        <v>1</v>
      </c>
      <c r="N108" s="211">
        <v>525000</v>
      </c>
      <c r="O108" s="212">
        <f t="shared" si="29"/>
        <v>525000</v>
      </c>
      <c r="P108" s="612"/>
      <c r="Q108" s="15">
        <v>0</v>
      </c>
    </row>
    <row r="109" spans="1:17" s="341" customFormat="1" ht="20.100000000000001" customHeight="1" x14ac:dyDescent="0.3">
      <c r="A109" s="403"/>
      <c r="B109" s="403"/>
      <c r="C109" s="406"/>
      <c r="D109" s="339" t="s">
        <v>81</v>
      </c>
      <c r="E109" s="339">
        <v>1</v>
      </c>
      <c r="F109" s="339"/>
      <c r="G109" s="43">
        <v>303750</v>
      </c>
      <c r="H109" s="340">
        <f t="shared" si="28"/>
        <v>303750</v>
      </c>
      <c r="I109" s="393"/>
      <c r="J109" s="527"/>
      <c r="K109" s="610" t="s">
        <v>157</v>
      </c>
      <c r="L109" s="611"/>
      <c r="M109" s="210">
        <v>1</v>
      </c>
      <c r="N109" s="211">
        <v>175000</v>
      </c>
      <c r="O109" s="212">
        <f t="shared" si="29"/>
        <v>175000</v>
      </c>
      <c r="P109" s="612"/>
      <c r="Q109" s="15">
        <v>0</v>
      </c>
    </row>
    <row r="110" spans="1:17" s="341" customFormat="1" ht="20.100000000000001" customHeight="1" x14ac:dyDescent="0.3">
      <c r="A110" s="403"/>
      <c r="B110" s="403"/>
      <c r="C110" s="406"/>
      <c r="D110" s="339" t="s">
        <v>190</v>
      </c>
      <c r="E110" s="339">
        <v>0</v>
      </c>
      <c r="F110" s="339"/>
      <c r="G110" s="43">
        <v>183750</v>
      </c>
      <c r="H110" s="56">
        <f t="shared" si="28"/>
        <v>0</v>
      </c>
      <c r="I110" s="393"/>
      <c r="J110" s="527"/>
      <c r="K110" s="610" t="s">
        <v>158</v>
      </c>
      <c r="L110" s="611"/>
      <c r="M110" s="210">
        <v>1</v>
      </c>
      <c r="N110" s="211">
        <v>350000</v>
      </c>
      <c r="O110" s="212">
        <f t="shared" si="29"/>
        <v>350000</v>
      </c>
      <c r="P110" s="612"/>
      <c r="Q110" s="15">
        <v>0</v>
      </c>
    </row>
    <row r="111" spans="1:17" s="341" customFormat="1" ht="20.100000000000001" customHeight="1" x14ac:dyDescent="0.3">
      <c r="A111" s="403"/>
      <c r="B111" s="403"/>
      <c r="C111" s="406"/>
      <c r="D111" s="339" t="s">
        <v>160</v>
      </c>
      <c r="E111" s="339">
        <v>0</v>
      </c>
      <c r="F111" s="339"/>
      <c r="G111" s="43">
        <v>20000</v>
      </c>
      <c r="H111" s="56">
        <f t="shared" si="28"/>
        <v>0</v>
      </c>
      <c r="I111" s="393"/>
      <c r="J111" s="527"/>
      <c r="K111" s="610" t="s">
        <v>159</v>
      </c>
      <c r="L111" s="611"/>
      <c r="M111" s="210">
        <v>3</v>
      </c>
      <c r="N111" s="211">
        <v>187500</v>
      </c>
      <c r="O111" s="212">
        <f t="shared" si="29"/>
        <v>562500</v>
      </c>
      <c r="P111" s="612"/>
      <c r="Q111" s="15">
        <v>0</v>
      </c>
    </row>
    <row r="112" spans="1:17" s="341" customFormat="1" ht="19.95" customHeight="1" thickBot="1" x14ac:dyDescent="0.35">
      <c r="A112" s="404"/>
      <c r="B112" s="404"/>
      <c r="C112" s="407"/>
      <c r="D112" s="399" t="s">
        <v>21</v>
      </c>
      <c r="E112" s="400"/>
      <c r="F112" s="400"/>
      <c r="G112" s="418"/>
      <c r="H112" s="59">
        <f>SUM(H106:H111)</f>
        <v>9169875</v>
      </c>
      <c r="I112" s="513"/>
      <c r="J112" s="528"/>
      <c r="K112" s="535" t="s">
        <v>22</v>
      </c>
      <c r="L112" s="485"/>
      <c r="M112" s="485"/>
      <c r="N112" s="418"/>
      <c r="O112" s="49">
        <f>SUM(O106:O111)</f>
        <v>7045500</v>
      </c>
      <c r="P112" s="487"/>
      <c r="Q112" s="213">
        <f>SUM(Q106:Q111)</f>
        <v>0</v>
      </c>
    </row>
    <row r="113" spans="1:17" s="341" customFormat="1" ht="19.95" customHeight="1" x14ac:dyDescent="0.3">
      <c r="A113" s="402">
        <v>16</v>
      </c>
      <c r="B113" s="402" t="s">
        <v>51</v>
      </c>
      <c r="C113" s="405">
        <v>45928</v>
      </c>
      <c r="D113" s="337" t="s">
        <v>54</v>
      </c>
      <c r="E113" s="337">
        <v>2400</v>
      </c>
      <c r="F113" s="337">
        <v>1200</v>
      </c>
      <c r="G113" s="338">
        <v>3307.5</v>
      </c>
      <c r="H113" s="340">
        <f t="shared" ref="H113:H118" si="30">+E113*G113</f>
        <v>7938000</v>
      </c>
      <c r="I113" s="393"/>
      <c r="J113" s="526"/>
      <c r="K113" s="610" t="s">
        <v>17</v>
      </c>
      <c r="L113" s="611"/>
      <c r="M113" s="210">
        <v>14</v>
      </c>
      <c r="N113" s="211">
        <v>52500</v>
      </c>
      <c r="O113" s="212">
        <f t="shared" ref="O113:O118" si="31">+M113*N113</f>
        <v>735000</v>
      </c>
      <c r="P113" s="612"/>
      <c r="Q113" s="15">
        <v>0</v>
      </c>
    </row>
    <row r="114" spans="1:17" s="341" customFormat="1" ht="20.100000000000001" customHeight="1" x14ac:dyDescent="0.3">
      <c r="A114" s="403"/>
      <c r="B114" s="403"/>
      <c r="C114" s="406"/>
      <c r="D114" s="339" t="s">
        <v>173</v>
      </c>
      <c r="E114" s="339">
        <v>600</v>
      </c>
      <c r="F114" s="339">
        <v>0</v>
      </c>
      <c r="G114" s="43">
        <v>6318</v>
      </c>
      <c r="H114" s="56">
        <f t="shared" si="30"/>
        <v>3790800</v>
      </c>
      <c r="I114" s="393"/>
      <c r="J114" s="526"/>
      <c r="K114" s="610" t="s">
        <v>156</v>
      </c>
      <c r="L114" s="611"/>
      <c r="M114" s="210">
        <v>290</v>
      </c>
      <c r="N114" s="211">
        <v>16200</v>
      </c>
      <c r="O114" s="212">
        <f t="shared" si="31"/>
        <v>4698000</v>
      </c>
      <c r="P114" s="612"/>
      <c r="Q114" s="15">
        <v>0</v>
      </c>
    </row>
    <row r="115" spans="1:17" s="341" customFormat="1" ht="20.100000000000001" customHeight="1" x14ac:dyDescent="0.3">
      <c r="A115" s="403"/>
      <c r="B115" s="403"/>
      <c r="C115" s="406"/>
      <c r="D115" s="339" t="s">
        <v>55</v>
      </c>
      <c r="E115" s="339">
        <v>2</v>
      </c>
      <c r="F115" s="339"/>
      <c r="G115" s="43">
        <v>464062.5</v>
      </c>
      <c r="H115" s="56">
        <f t="shared" si="30"/>
        <v>928125</v>
      </c>
      <c r="I115" s="393"/>
      <c r="J115" s="526"/>
      <c r="K115" s="610" t="s">
        <v>181</v>
      </c>
      <c r="L115" s="611"/>
      <c r="M115" s="210">
        <v>1</v>
      </c>
      <c r="N115" s="211">
        <v>525000</v>
      </c>
      <c r="O115" s="212">
        <f t="shared" si="31"/>
        <v>525000</v>
      </c>
      <c r="P115" s="612"/>
      <c r="Q115" s="15">
        <v>0</v>
      </c>
    </row>
    <row r="116" spans="1:17" s="341" customFormat="1" ht="20.100000000000001" customHeight="1" x14ac:dyDescent="0.3">
      <c r="A116" s="403"/>
      <c r="B116" s="403"/>
      <c r="C116" s="406"/>
      <c r="D116" s="339" t="s">
        <v>81</v>
      </c>
      <c r="E116" s="339">
        <v>1</v>
      </c>
      <c r="F116" s="339"/>
      <c r="G116" s="43">
        <v>303750</v>
      </c>
      <c r="H116" s="340">
        <f t="shared" si="30"/>
        <v>303750</v>
      </c>
      <c r="I116" s="393"/>
      <c r="J116" s="527"/>
      <c r="K116" s="610" t="s">
        <v>157</v>
      </c>
      <c r="L116" s="611"/>
      <c r="M116" s="210">
        <v>1</v>
      </c>
      <c r="N116" s="211">
        <v>175000</v>
      </c>
      <c r="O116" s="212">
        <f t="shared" si="31"/>
        <v>175000</v>
      </c>
      <c r="P116" s="612"/>
      <c r="Q116" s="15">
        <v>0</v>
      </c>
    </row>
    <row r="117" spans="1:17" s="341" customFormat="1" ht="20.100000000000001" customHeight="1" x14ac:dyDescent="0.3">
      <c r="A117" s="403"/>
      <c r="B117" s="403"/>
      <c r="C117" s="406"/>
      <c r="D117" s="339" t="s">
        <v>190</v>
      </c>
      <c r="E117" s="339">
        <v>0</v>
      </c>
      <c r="F117" s="339"/>
      <c r="G117" s="43">
        <v>183750</v>
      </c>
      <c r="H117" s="56">
        <f t="shared" si="30"/>
        <v>0</v>
      </c>
      <c r="I117" s="393"/>
      <c r="J117" s="527"/>
      <c r="K117" s="610" t="s">
        <v>158</v>
      </c>
      <c r="L117" s="611"/>
      <c r="M117" s="210">
        <v>1</v>
      </c>
      <c r="N117" s="211">
        <v>350000</v>
      </c>
      <c r="O117" s="212">
        <f t="shared" si="31"/>
        <v>350000</v>
      </c>
      <c r="P117" s="612"/>
      <c r="Q117" s="15">
        <v>0</v>
      </c>
    </row>
    <row r="118" spans="1:17" s="341" customFormat="1" ht="20.100000000000001" customHeight="1" x14ac:dyDescent="0.3">
      <c r="A118" s="403"/>
      <c r="B118" s="403"/>
      <c r="C118" s="406"/>
      <c r="D118" s="339" t="s">
        <v>160</v>
      </c>
      <c r="E118" s="339">
        <v>0</v>
      </c>
      <c r="F118" s="339"/>
      <c r="G118" s="43">
        <v>20000</v>
      </c>
      <c r="H118" s="56">
        <f t="shared" si="30"/>
        <v>0</v>
      </c>
      <c r="I118" s="393"/>
      <c r="J118" s="527"/>
      <c r="K118" s="610" t="s">
        <v>159</v>
      </c>
      <c r="L118" s="611"/>
      <c r="M118" s="210">
        <v>3</v>
      </c>
      <c r="N118" s="211">
        <v>187500</v>
      </c>
      <c r="O118" s="212">
        <f t="shared" si="31"/>
        <v>562500</v>
      </c>
      <c r="P118" s="612"/>
      <c r="Q118" s="15">
        <v>0</v>
      </c>
    </row>
    <row r="119" spans="1:17" s="341" customFormat="1" ht="19.95" customHeight="1" thickBot="1" x14ac:dyDescent="0.35">
      <c r="A119" s="404"/>
      <c r="B119" s="404"/>
      <c r="C119" s="407"/>
      <c r="D119" s="399" t="s">
        <v>21</v>
      </c>
      <c r="E119" s="400"/>
      <c r="F119" s="400"/>
      <c r="G119" s="418"/>
      <c r="H119" s="59">
        <f>SUM(H113:H118)</f>
        <v>12960675</v>
      </c>
      <c r="I119" s="513"/>
      <c r="J119" s="528"/>
      <c r="K119" s="535" t="s">
        <v>22</v>
      </c>
      <c r="L119" s="485"/>
      <c r="M119" s="485"/>
      <c r="N119" s="418"/>
      <c r="O119" s="49">
        <f>SUM(O113:O118)</f>
        <v>7045500</v>
      </c>
      <c r="P119" s="487"/>
      <c r="Q119" s="213">
        <f>SUM(Q113:Q118)</f>
        <v>0</v>
      </c>
    </row>
    <row r="120" spans="1:17" s="341" customFormat="1" ht="19.95" customHeight="1" x14ac:dyDescent="0.3">
      <c r="A120" s="402">
        <v>17</v>
      </c>
      <c r="B120" s="402" t="s">
        <v>38</v>
      </c>
      <c r="C120" s="405">
        <v>45935</v>
      </c>
      <c r="D120" s="337" t="s">
        <v>54</v>
      </c>
      <c r="E120" s="337">
        <v>2400</v>
      </c>
      <c r="F120" s="337">
        <v>1200</v>
      </c>
      <c r="G120" s="338">
        <v>3307.5</v>
      </c>
      <c r="H120" s="340">
        <f t="shared" ref="H120:H125" si="32">+E120*G120</f>
        <v>7938000</v>
      </c>
      <c r="I120" s="393"/>
      <c r="J120" s="526"/>
      <c r="K120" s="610" t="s">
        <v>17</v>
      </c>
      <c r="L120" s="611"/>
      <c r="M120" s="210">
        <v>14</v>
      </c>
      <c r="N120" s="211">
        <v>52500</v>
      </c>
      <c r="O120" s="212">
        <f t="shared" ref="O120:O125" si="33">+M120*N120</f>
        <v>735000</v>
      </c>
      <c r="P120" s="612"/>
      <c r="Q120" s="15">
        <v>0</v>
      </c>
    </row>
    <row r="121" spans="1:17" s="341" customFormat="1" ht="20.100000000000001" customHeight="1" x14ac:dyDescent="0.3">
      <c r="A121" s="403"/>
      <c r="B121" s="403"/>
      <c r="C121" s="406"/>
      <c r="D121" s="339" t="s">
        <v>176</v>
      </c>
      <c r="E121" s="339">
        <v>600</v>
      </c>
      <c r="F121" s="339">
        <v>0</v>
      </c>
      <c r="G121" s="43">
        <v>6318</v>
      </c>
      <c r="H121" s="56">
        <f t="shared" si="32"/>
        <v>3790800</v>
      </c>
      <c r="I121" s="393"/>
      <c r="J121" s="526"/>
      <c r="K121" s="610" t="s">
        <v>156</v>
      </c>
      <c r="L121" s="611"/>
      <c r="M121" s="210">
        <v>290</v>
      </c>
      <c r="N121" s="211">
        <v>16200</v>
      </c>
      <c r="O121" s="212">
        <f t="shared" si="33"/>
        <v>4698000</v>
      </c>
      <c r="P121" s="612"/>
      <c r="Q121" s="15">
        <v>0</v>
      </c>
    </row>
    <row r="122" spans="1:17" s="341" customFormat="1" ht="20.100000000000001" customHeight="1" x14ac:dyDescent="0.3">
      <c r="A122" s="403"/>
      <c r="B122" s="403"/>
      <c r="C122" s="406"/>
      <c r="D122" s="339" t="s">
        <v>55</v>
      </c>
      <c r="E122" s="339">
        <v>2</v>
      </c>
      <c r="F122" s="339"/>
      <c r="G122" s="43">
        <v>464062.5</v>
      </c>
      <c r="H122" s="56">
        <f t="shared" si="32"/>
        <v>928125</v>
      </c>
      <c r="I122" s="393"/>
      <c r="J122" s="526"/>
      <c r="K122" s="610" t="s">
        <v>181</v>
      </c>
      <c r="L122" s="611"/>
      <c r="M122" s="210">
        <v>1</v>
      </c>
      <c r="N122" s="211">
        <v>525000</v>
      </c>
      <c r="O122" s="212">
        <f t="shared" si="33"/>
        <v>525000</v>
      </c>
      <c r="P122" s="612"/>
      <c r="Q122" s="15">
        <v>0</v>
      </c>
    </row>
    <row r="123" spans="1:17" s="341" customFormat="1" ht="20.100000000000001" customHeight="1" x14ac:dyDescent="0.3">
      <c r="A123" s="403"/>
      <c r="B123" s="403"/>
      <c r="C123" s="406"/>
      <c r="D123" s="339" t="s">
        <v>81</v>
      </c>
      <c r="E123" s="339">
        <v>1</v>
      </c>
      <c r="F123" s="339"/>
      <c r="G123" s="43">
        <v>303750</v>
      </c>
      <c r="H123" s="340">
        <f t="shared" si="32"/>
        <v>303750</v>
      </c>
      <c r="I123" s="393"/>
      <c r="J123" s="527"/>
      <c r="K123" s="610" t="s">
        <v>157</v>
      </c>
      <c r="L123" s="611"/>
      <c r="M123" s="210">
        <v>1</v>
      </c>
      <c r="N123" s="211">
        <v>175000</v>
      </c>
      <c r="O123" s="212">
        <f t="shared" si="33"/>
        <v>175000</v>
      </c>
      <c r="P123" s="612"/>
      <c r="Q123" s="15">
        <v>0</v>
      </c>
    </row>
    <row r="124" spans="1:17" s="341" customFormat="1" ht="20.100000000000001" customHeight="1" x14ac:dyDescent="0.3">
      <c r="A124" s="403"/>
      <c r="B124" s="403"/>
      <c r="C124" s="406"/>
      <c r="D124" s="339" t="s">
        <v>190</v>
      </c>
      <c r="E124" s="339">
        <v>0</v>
      </c>
      <c r="F124" s="339"/>
      <c r="G124" s="43">
        <v>183750</v>
      </c>
      <c r="H124" s="56">
        <f t="shared" si="32"/>
        <v>0</v>
      </c>
      <c r="I124" s="393"/>
      <c r="J124" s="527"/>
      <c r="K124" s="610" t="s">
        <v>158</v>
      </c>
      <c r="L124" s="611"/>
      <c r="M124" s="210">
        <v>1</v>
      </c>
      <c r="N124" s="211">
        <v>350000</v>
      </c>
      <c r="O124" s="212">
        <f t="shared" si="33"/>
        <v>350000</v>
      </c>
      <c r="P124" s="612"/>
      <c r="Q124" s="15">
        <v>0</v>
      </c>
    </row>
    <row r="125" spans="1:17" s="341" customFormat="1" ht="20.100000000000001" customHeight="1" x14ac:dyDescent="0.3">
      <c r="A125" s="403"/>
      <c r="B125" s="403"/>
      <c r="C125" s="406"/>
      <c r="D125" s="339" t="s">
        <v>160</v>
      </c>
      <c r="E125" s="339">
        <v>0</v>
      </c>
      <c r="F125" s="339"/>
      <c r="G125" s="43">
        <v>20000</v>
      </c>
      <c r="H125" s="56">
        <f t="shared" si="32"/>
        <v>0</v>
      </c>
      <c r="I125" s="393"/>
      <c r="J125" s="527"/>
      <c r="K125" s="610" t="s">
        <v>159</v>
      </c>
      <c r="L125" s="611"/>
      <c r="M125" s="210">
        <v>3</v>
      </c>
      <c r="N125" s="211">
        <v>187500</v>
      </c>
      <c r="O125" s="212">
        <f t="shared" si="33"/>
        <v>562500</v>
      </c>
      <c r="P125" s="612"/>
      <c r="Q125" s="15">
        <v>0</v>
      </c>
    </row>
    <row r="126" spans="1:17" s="341" customFormat="1" ht="19.95" customHeight="1" thickBot="1" x14ac:dyDescent="0.35">
      <c r="A126" s="404"/>
      <c r="B126" s="404"/>
      <c r="C126" s="407"/>
      <c r="D126" s="399" t="s">
        <v>21</v>
      </c>
      <c r="E126" s="400"/>
      <c r="F126" s="400"/>
      <c r="G126" s="418"/>
      <c r="H126" s="59">
        <f>SUM(H120:H125)</f>
        <v>12960675</v>
      </c>
      <c r="I126" s="513"/>
      <c r="J126" s="528"/>
      <c r="K126" s="535" t="s">
        <v>22</v>
      </c>
      <c r="L126" s="485"/>
      <c r="M126" s="485"/>
      <c r="N126" s="418"/>
      <c r="O126" s="49">
        <f>SUM(O120:O125)</f>
        <v>7045500</v>
      </c>
      <c r="P126" s="487"/>
      <c r="Q126" s="213">
        <f>SUM(Q120:Q125)</f>
        <v>0</v>
      </c>
    </row>
    <row r="127" spans="1:17" s="341" customFormat="1" ht="19.95" customHeight="1" x14ac:dyDescent="0.3">
      <c r="A127" s="402">
        <v>18</v>
      </c>
      <c r="B127" s="402" t="s">
        <v>221</v>
      </c>
      <c r="C127" s="405">
        <v>45949</v>
      </c>
      <c r="D127" s="337" t="s">
        <v>54</v>
      </c>
      <c r="E127" s="337">
        <v>2400</v>
      </c>
      <c r="F127" s="337">
        <v>1200</v>
      </c>
      <c r="G127" s="338">
        <v>3307.5</v>
      </c>
      <c r="H127" s="340">
        <f t="shared" ref="H127:H132" si="34">+E127*G127</f>
        <v>7938000</v>
      </c>
      <c r="I127" s="393"/>
      <c r="J127" s="526"/>
      <c r="K127" s="610" t="s">
        <v>17</v>
      </c>
      <c r="L127" s="611"/>
      <c r="M127" s="210">
        <v>14</v>
      </c>
      <c r="N127" s="211">
        <v>52500</v>
      </c>
      <c r="O127" s="212">
        <f t="shared" ref="O127:O132" si="35">+M127*N127</f>
        <v>735000</v>
      </c>
      <c r="P127" s="612"/>
      <c r="Q127" s="15">
        <v>0</v>
      </c>
    </row>
    <row r="128" spans="1:17" s="341" customFormat="1" ht="20.100000000000001" customHeight="1" x14ac:dyDescent="0.3">
      <c r="A128" s="403"/>
      <c r="B128" s="403"/>
      <c r="C128" s="406"/>
      <c r="D128" s="339" t="s">
        <v>176</v>
      </c>
      <c r="E128" s="339">
        <v>0</v>
      </c>
      <c r="F128" s="339">
        <v>0</v>
      </c>
      <c r="G128" s="43">
        <v>6318</v>
      </c>
      <c r="H128" s="56">
        <f t="shared" si="34"/>
        <v>0</v>
      </c>
      <c r="I128" s="393"/>
      <c r="J128" s="526"/>
      <c r="K128" s="610" t="s">
        <v>156</v>
      </c>
      <c r="L128" s="611"/>
      <c r="M128" s="210">
        <v>290</v>
      </c>
      <c r="N128" s="211">
        <v>16200</v>
      </c>
      <c r="O128" s="212">
        <f t="shared" si="35"/>
        <v>4698000</v>
      </c>
      <c r="P128" s="612"/>
      <c r="Q128" s="15">
        <v>0</v>
      </c>
    </row>
    <row r="129" spans="1:17" s="341" customFormat="1" ht="20.100000000000001" customHeight="1" x14ac:dyDescent="0.3">
      <c r="A129" s="403"/>
      <c r="B129" s="403"/>
      <c r="C129" s="406"/>
      <c r="D129" s="339" t="s">
        <v>55</v>
      </c>
      <c r="E129" s="339">
        <v>2</v>
      </c>
      <c r="F129" s="339"/>
      <c r="G129" s="43">
        <v>464062.5</v>
      </c>
      <c r="H129" s="56">
        <f t="shared" si="34"/>
        <v>928125</v>
      </c>
      <c r="I129" s="393"/>
      <c r="J129" s="526"/>
      <c r="K129" s="610" t="s">
        <v>181</v>
      </c>
      <c r="L129" s="611"/>
      <c r="M129" s="210">
        <v>1</v>
      </c>
      <c r="N129" s="211">
        <v>525000</v>
      </c>
      <c r="O129" s="212">
        <f t="shared" si="35"/>
        <v>525000</v>
      </c>
      <c r="P129" s="612"/>
      <c r="Q129" s="15">
        <v>0</v>
      </c>
    </row>
    <row r="130" spans="1:17" s="341" customFormat="1" ht="20.100000000000001" customHeight="1" x14ac:dyDescent="0.3">
      <c r="A130" s="403"/>
      <c r="B130" s="403"/>
      <c r="C130" s="406"/>
      <c r="D130" s="339" t="s">
        <v>81</v>
      </c>
      <c r="E130" s="339">
        <v>1</v>
      </c>
      <c r="F130" s="339"/>
      <c r="G130" s="43">
        <v>303750</v>
      </c>
      <c r="H130" s="340">
        <f t="shared" si="34"/>
        <v>303750</v>
      </c>
      <c r="I130" s="393"/>
      <c r="J130" s="527"/>
      <c r="K130" s="610" t="s">
        <v>157</v>
      </c>
      <c r="L130" s="611"/>
      <c r="M130" s="210">
        <v>1</v>
      </c>
      <c r="N130" s="211">
        <v>175000</v>
      </c>
      <c r="O130" s="212">
        <f t="shared" si="35"/>
        <v>175000</v>
      </c>
      <c r="P130" s="612"/>
      <c r="Q130" s="15">
        <v>0</v>
      </c>
    </row>
    <row r="131" spans="1:17" s="341" customFormat="1" ht="20.100000000000001" customHeight="1" x14ac:dyDescent="0.3">
      <c r="A131" s="403"/>
      <c r="B131" s="403"/>
      <c r="C131" s="406"/>
      <c r="D131" s="339" t="s">
        <v>190</v>
      </c>
      <c r="E131" s="339">
        <v>0</v>
      </c>
      <c r="F131" s="339"/>
      <c r="G131" s="43">
        <v>183750</v>
      </c>
      <c r="H131" s="56">
        <f t="shared" si="34"/>
        <v>0</v>
      </c>
      <c r="I131" s="393"/>
      <c r="J131" s="527"/>
      <c r="K131" s="610" t="s">
        <v>158</v>
      </c>
      <c r="L131" s="611"/>
      <c r="M131" s="210">
        <v>1</v>
      </c>
      <c r="N131" s="211">
        <v>350000</v>
      </c>
      <c r="O131" s="212">
        <f t="shared" si="35"/>
        <v>350000</v>
      </c>
      <c r="P131" s="612"/>
      <c r="Q131" s="15">
        <v>0</v>
      </c>
    </row>
    <row r="132" spans="1:17" s="341" customFormat="1" ht="20.100000000000001" customHeight="1" x14ac:dyDescent="0.3">
      <c r="A132" s="403"/>
      <c r="B132" s="403"/>
      <c r="C132" s="406"/>
      <c r="D132" s="339" t="s">
        <v>160</v>
      </c>
      <c r="E132" s="339">
        <v>0</v>
      </c>
      <c r="F132" s="339"/>
      <c r="G132" s="43">
        <v>20000</v>
      </c>
      <c r="H132" s="56">
        <f t="shared" si="34"/>
        <v>0</v>
      </c>
      <c r="I132" s="393"/>
      <c r="J132" s="527"/>
      <c r="K132" s="610" t="s">
        <v>159</v>
      </c>
      <c r="L132" s="611"/>
      <c r="M132" s="210">
        <v>3</v>
      </c>
      <c r="N132" s="211">
        <v>187500</v>
      </c>
      <c r="O132" s="212">
        <f t="shared" si="35"/>
        <v>562500</v>
      </c>
      <c r="P132" s="612"/>
      <c r="Q132" s="15">
        <v>0</v>
      </c>
    </row>
    <row r="133" spans="1:17" s="341" customFormat="1" ht="19.95" customHeight="1" thickBot="1" x14ac:dyDescent="0.35">
      <c r="A133" s="404"/>
      <c r="B133" s="404"/>
      <c r="C133" s="407"/>
      <c r="D133" s="399" t="s">
        <v>21</v>
      </c>
      <c r="E133" s="400"/>
      <c r="F133" s="400"/>
      <c r="G133" s="418"/>
      <c r="H133" s="59">
        <f>SUM(H127:H132)</f>
        <v>9169875</v>
      </c>
      <c r="I133" s="513"/>
      <c r="J133" s="528"/>
      <c r="K133" s="535" t="s">
        <v>22</v>
      </c>
      <c r="L133" s="485"/>
      <c r="M133" s="485"/>
      <c r="N133" s="418"/>
      <c r="O133" s="49">
        <f>SUM(O127:O132)</f>
        <v>7045500</v>
      </c>
      <c r="P133" s="487"/>
      <c r="Q133" s="213">
        <f>SUM(Q127:Q132)</f>
        <v>0</v>
      </c>
    </row>
    <row r="134" spans="1:17" s="341" customFormat="1" ht="19.95" customHeight="1" x14ac:dyDescent="0.3">
      <c r="A134" s="402">
        <v>19</v>
      </c>
      <c r="B134" s="402" t="s">
        <v>26</v>
      </c>
      <c r="C134" s="405">
        <v>45970</v>
      </c>
      <c r="D134" s="337" t="s">
        <v>54</v>
      </c>
      <c r="E134" s="337">
        <v>2400</v>
      </c>
      <c r="F134" s="337">
        <v>1200</v>
      </c>
      <c r="G134" s="338">
        <v>3307.5</v>
      </c>
      <c r="H134" s="340">
        <f t="shared" ref="H134:H139" si="36">+E134*G134</f>
        <v>7938000</v>
      </c>
      <c r="I134" s="393"/>
      <c r="J134" s="526"/>
      <c r="K134" s="610" t="s">
        <v>17</v>
      </c>
      <c r="L134" s="611"/>
      <c r="M134" s="210">
        <v>14</v>
      </c>
      <c r="N134" s="211">
        <v>52500</v>
      </c>
      <c r="O134" s="212">
        <f t="shared" ref="O134:O139" si="37">+M134*N134</f>
        <v>735000</v>
      </c>
      <c r="P134" s="612"/>
      <c r="Q134" s="15">
        <v>0</v>
      </c>
    </row>
    <row r="135" spans="1:17" s="341" customFormat="1" ht="20.100000000000001" customHeight="1" x14ac:dyDescent="0.3">
      <c r="A135" s="403"/>
      <c r="B135" s="403"/>
      <c r="C135" s="406"/>
      <c r="D135" s="339" t="s">
        <v>177</v>
      </c>
      <c r="E135" s="339">
        <v>600</v>
      </c>
      <c r="F135" s="339">
        <v>0</v>
      </c>
      <c r="G135" s="43">
        <v>6318</v>
      </c>
      <c r="H135" s="56">
        <f t="shared" si="36"/>
        <v>3790800</v>
      </c>
      <c r="I135" s="393"/>
      <c r="J135" s="526"/>
      <c r="K135" s="610" t="s">
        <v>156</v>
      </c>
      <c r="L135" s="611"/>
      <c r="M135" s="210">
        <v>290</v>
      </c>
      <c r="N135" s="211">
        <v>16200</v>
      </c>
      <c r="O135" s="212">
        <f t="shared" si="37"/>
        <v>4698000</v>
      </c>
      <c r="P135" s="612"/>
      <c r="Q135" s="15">
        <v>0</v>
      </c>
    </row>
    <row r="136" spans="1:17" s="341" customFormat="1" ht="20.100000000000001" customHeight="1" x14ac:dyDescent="0.3">
      <c r="A136" s="403"/>
      <c r="B136" s="403"/>
      <c r="C136" s="406"/>
      <c r="D136" s="339" t="s">
        <v>55</v>
      </c>
      <c r="E136" s="339">
        <v>2</v>
      </c>
      <c r="F136" s="339"/>
      <c r="G136" s="43">
        <v>464062.5</v>
      </c>
      <c r="H136" s="56">
        <f t="shared" si="36"/>
        <v>928125</v>
      </c>
      <c r="I136" s="393"/>
      <c r="J136" s="526"/>
      <c r="K136" s="610" t="s">
        <v>181</v>
      </c>
      <c r="L136" s="611"/>
      <c r="M136" s="210">
        <v>1</v>
      </c>
      <c r="N136" s="211">
        <v>525000</v>
      </c>
      <c r="O136" s="212">
        <f t="shared" si="37"/>
        <v>525000</v>
      </c>
      <c r="P136" s="612"/>
      <c r="Q136" s="15">
        <v>0</v>
      </c>
    </row>
    <row r="137" spans="1:17" s="341" customFormat="1" ht="20.100000000000001" customHeight="1" x14ac:dyDescent="0.3">
      <c r="A137" s="403"/>
      <c r="B137" s="403"/>
      <c r="C137" s="406"/>
      <c r="D137" s="339" t="s">
        <v>81</v>
      </c>
      <c r="E137" s="339">
        <v>1</v>
      </c>
      <c r="F137" s="339"/>
      <c r="G137" s="43">
        <v>303750</v>
      </c>
      <c r="H137" s="340">
        <f t="shared" si="36"/>
        <v>303750</v>
      </c>
      <c r="I137" s="393"/>
      <c r="J137" s="527"/>
      <c r="K137" s="610" t="s">
        <v>157</v>
      </c>
      <c r="L137" s="611"/>
      <c r="M137" s="210">
        <v>1</v>
      </c>
      <c r="N137" s="211">
        <v>175000</v>
      </c>
      <c r="O137" s="212">
        <f t="shared" si="37"/>
        <v>175000</v>
      </c>
      <c r="P137" s="612"/>
      <c r="Q137" s="15">
        <v>0</v>
      </c>
    </row>
    <row r="138" spans="1:17" s="341" customFormat="1" ht="20.100000000000001" customHeight="1" x14ac:dyDescent="0.3">
      <c r="A138" s="403"/>
      <c r="B138" s="403"/>
      <c r="C138" s="406"/>
      <c r="D138" s="339" t="s">
        <v>190</v>
      </c>
      <c r="E138" s="339">
        <v>0</v>
      </c>
      <c r="F138" s="339"/>
      <c r="G138" s="43">
        <v>183750</v>
      </c>
      <c r="H138" s="56">
        <f t="shared" si="36"/>
        <v>0</v>
      </c>
      <c r="I138" s="393"/>
      <c r="J138" s="527"/>
      <c r="K138" s="610" t="s">
        <v>158</v>
      </c>
      <c r="L138" s="611"/>
      <c r="M138" s="210">
        <v>1</v>
      </c>
      <c r="N138" s="211">
        <v>350000</v>
      </c>
      <c r="O138" s="212">
        <f t="shared" si="37"/>
        <v>350000</v>
      </c>
      <c r="P138" s="612"/>
      <c r="Q138" s="15">
        <v>0</v>
      </c>
    </row>
    <row r="139" spans="1:17" s="341" customFormat="1" ht="20.100000000000001" customHeight="1" x14ac:dyDescent="0.3">
      <c r="A139" s="403"/>
      <c r="B139" s="403"/>
      <c r="C139" s="406"/>
      <c r="D139" s="339" t="s">
        <v>160</v>
      </c>
      <c r="E139" s="339">
        <v>0</v>
      </c>
      <c r="F139" s="339"/>
      <c r="G139" s="43">
        <v>20000</v>
      </c>
      <c r="H139" s="56">
        <f t="shared" si="36"/>
        <v>0</v>
      </c>
      <c r="I139" s="393"/>
      <c r="J139" s="527"/>
      <c r="K139" s="610" t="s">
        <v>159</v>
      </c>
      <c r="L139" s="611"/>
      <c r="M139" s="210">
        <v>3</v>
      </c>
      <c r="N139" s="211">
        <v>187500</v>
      </c>
      <c r="O139" s="212">
        <f t="shared" si="37"/>
        <v>562500</v>
      </c>
      <c r="P139" s="612"/>
      <c r="Q139" s="15">
        <v>0</v>
      </c>
    </row>
    <row r="140" spans="1:17" s="341" customFormat="1" ht="19.95" customHeight="1" thickBot="1" x14ac:dyDescent="0.35">
      <c r="A140" s="404"/>
      <c r="B140" s="404"/>
      <c r="C140" s="407"/>
      <c r="D140" s="399" t="s">
        <v>21</v>
      </c>
      <c r="E140" s="400"/>
      <c r="F140" s="400"/>
      <c r="G140" s="418"/>
      <c r="H140" s="59">
        <f>SUM(H134:H139)</f>
        <v>12960675</v>
      </c>
      <c r="I140" s="513"/>
      <c r="J140" s="528"/>
      <c r="K140" s="535" t="s">
        <v>22</v>
      </c>
      <c r="L140" s="485"/>
      <c r="M140" s="485"/>
      <c r="N140" s="418"/>
      <c r="O140" s="49">
        <f>SUM(O134:O139)</f>
        <v>7045500</v>
      </c>
      <c r="P140" s="487"/>
      <c r="Q140" s="213">
        <f>SUM(Q134:Q139)</f>
        <v>0</v>
      </c>
    </row>
    <row r="141" spans="1:17" ht="15" customHeight="1" x14ac:dyDescent="0.3">
      <c r="A141" s="28"/>
      <c r="B141" s="28"/>
      <c r="C141" s="29"/>
      <c r="D141" s="30"/>
      <c r="E141" s="31"/>
      <c r="F141" s="31"/>
      <c r="G141" s="32"/>
      <c r="H141" s="33"/>
      <c r="I141" s="34"/>
      <c r="J141" s="34"/>
      <c r="K141" s="35"/>
      <c r="L141" s="36"/>
      <c r="M141" s="36"/>
      <c r="N141" s="37"/>
      <c r="O141" s="38"/>
      <c r="P141" s="39"/>
      <c r="Q141" s="39"/>
    </row>
    <row r="142" spans="1:17" ht="15.75" customHeight="1" x14ac:dyDescent="0.3"/>
    <row r="143" spans="1:17" ht="15.75" customHeight="1" x14ac:dyDescent="0.3"/>
    <row r="144" spans="1:17" ht="15.75" customHeight="1" x14ac:dyDescent="0.3"/>
    <row r="145" spans="5:8" ht="15.75" customHeight="1" x14ac:dyDescent="0.3"/>
    <row r="146" spans="5:8" ht="15.75" customHeight="1" x14ac:dyDescent="0.3"/>
    <row r="147" spans="5:8" ht="15.75" customHeight="1" x14ac:dyDescent="0.3">
      <c r="G147" s="65"/>
      <c r="H147" s="142"/>
    </row>
    <row r="148" spans="5:8" ht="15.75" customHeight="1" x14ac:dyDescent="0.3"/>
    <row r="149" spans="5:8" ht="15.75" customHeight="1" x14ac:dyDescent="0.3"/>
    <row r="150" spans="5:8" ht="15.75" customHeight="1" x14ac:dyDescent="0.3"/>
    <row r="151" spans="5:8" ht="15.75" customHeight="1" x14ac:dyDescent="0.3"/>
    <row r="152" spans="5:8" ht="15.75" customHeight="1" x14ac:dyDescent="0.3"/>
    <row r="153" spans="5:8" ht="15.75" customHeight="1" x14ac:dyDescent="0.3"/>
    <row r="154" spans="5:8" ht="15.75" customHeight="1" x14ac:dyDescent="0.3"/>
    <row r="155" spans="5:8" ht="15.75" customHeight="1" x14ac:dyDescent="0.3"/>
    <row r="156" spans="5:8" ht="15.75" customHeight="1" x14ac:dyDescent="0.3"/>
    <row r="157" spans="5:8" ht="15.75" customHeight="1" x14ac:dyDescent="0.3"/>
    <row r="158" spans="5:8" ht="15.75" customHeight="1" x14ac:dyDescent="0.3"/>
    <row r="159" spans="5:8" ht="15.75" customHeight="1" x14ac:dyDescent="0.3"/>
    <row r="160" spans="5:8" ht="15.75" customHeight="1" x14ac:dyDescent="0.3">
      <c r="E160" s="520"/>
      <c r="F160" s="520"/>
      <c r="G160" s="521"/>
      <c r="H160" s="42"/>
    </row>
    <row r="161" spans="5:8" ht="15.75" customHeight="1" x14ac:dyDescent="0.3">
      <c r="E161" s="520"/>
      <c r="F161" s="520"/>
      <c r="G161" s="521"/>
      <c r="H161" s="42"/>
    </row>
    <row r="162" spans="5:8" ht="15.75" customHeight="1" x14ac:dyDescent="0.3">
      <c r="E162" s="520"/>
      <c r="F162" s="520"/>
      <c r="G162" s="521"/>
      <c r="H162" s="42"/>
    </row>
    <row r="163" spans="5:8" ht="15.75" customHeight="1" x14ac:dyDescent="0.3">
      <c r="E163" s="520"/>
      <c r="F163" s="520"/>
      <c r="G163" s="521"/>
      <c r="H163" s="42"/>
    </row>
    <row r="164" spans="5:8" ht="15.75" customHeight="1" x14ac:dyDescent="0.3">
      <c r="E164" s="520"/>
      <c r="F164" s="520"/>
      <c r="G164" s="521"/>
      <c r="H164" s="42"/>
    </row>
    <row r="165" spans="5:8" ht="15.75" customHeight="1" x14ac:dyDescent="0.3">
      <c r="E165" s="520"/>
      <c r="F165" s="520"/>
      <c r="G165" s="521"/>
      <c r="H165" s="42"/>
    </row>
    <row r="166" spans="5:8" ht="15.75" customHeight="1" x14ac:dyDescent="0.3">
      <c r="E166" s="520"/>
      <c r="F166" s="520"/>
      <c r="G166" s="521"/>
      <c r="H166" s="42"/>
    </row>
    <row r="167" spans="5:8" ht="15.75" customHeight="1" x14ac:dyDescent="0.3">
      <c r="H167" s="42"/>
    </row>
    <row r="168" spans="5:8" ht="15.75" customHeight="1" x14ac:dyDescent="0.3"/>
    <row r="169" spans="5:8" ht="15.75" customHeight="1" x14ac:dyDescent="0.3"/>
    <row r="170" spans="5:8" ht="15.75" customHeight="1" x14ac:dyDescent="0.3"/>
    <row r="171" spans="5:8" ht="15.75" customHeight="1" x14ac:dyDescent="0.3"/>
    <row r="172" spans="5:8" ht="15.75" customHeight="1" x14ac:dyDescent="0.3"/>
    <row r="173" spans="5:8" ht="15.75" customHeight="1" x14ac:dyDescent="0.3"/>
    <row r="174" spans="5:8" ht="15.75" customHeight="1" x14ac:dyDescent="0.3"/>
    <row r="175" spans="5:8" ht="15.75" customHeight="1" x14ac:dyDescent="0.3"/>
    <row r="176" spans="5:8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</sheetData>
  <mergeCells count="281">
    <mergeCell ref="A1:Q4"/>
    <mergeCell ref="A5:C5"/>
    <mergeCell ref="A6:A7"/>
    <mergeCell ref="K25:L25"/>
    <mergeCell ref="K26:L26"/>
    <mergeCell ref="K27:L27"/>
    <mergeCell ref="K29:L29"/>
    <mergeCell ref="P22:P28"/>
    <mergeCell ref="K24:L24"/>
    <mergeCell ref="A8:A14"/>
    <mergeCell ref="A15:A21"/>
    <mergeCell ref="B6:B7"/>
    <mergeCell ref="C6:C7"/>
    <mergeCell ref="D6:J6"/>
    <mergeCell ref="K6:Q6"/>
    <mergeCell ref="K7:L7"/>
    <mergeCell ref="P8:P14"/>
    <mergeCell ref="K9:L9"/>
    <mergeCell ref="K10:L10"/>
    <mergeCell ref="K11:L11"/>
    <mergeCell ref="K12:L12"/>
    <mergeCell ref="K13:L13"/>
    <mergeCell ref="K14:N14"/>
    <mergeCell ref="B8:B14"/>
    <mergeCell ref="C8:C14"/>
    <mergeCell ref="I8:I14"/>
    <mergeCell ref="J8:J14"/>
    <mergeCell ref="K8:L8"/>
    <mergeCell ref="D14:G14"/>
    <mergeCell ref="B15:B21"/>
    <mergeCell ref="C15:C21"/>
    <mergeCell ref="I15:I21"/>
    <mergeCell ref="J15:J21"/>
    <mergeCell ref="K15:L15"/>
    <mergeCell ref="P15:P21"/>
    <mergeCell ref="K16:L16"/>
    <mergeCell ref="K17:L17"/>
    <mergeCell ref="K18:L18"/>
    <mergeCell ref="K19:L19"/>
    <mergeCell ref="K20:L20"/>
    <mergeCell ref="D21:G21"/>
    <mergeCell ref="K21:N21"/>
    <mergeCell ref="E160:G160"/>
    <mergeCell ref="P36:P42"/>
    <mergeCell ref="K42:N42"/>
    <mergeCell ref="I29:I35"/>
    <mergeCell ref="J29:J35"/>
    <mergeCell ref="P29:P35"/>
    <mergeCell ref="K30:L30"/>
    <mergeCell ref="K31:L31"/>
    <mergeCell ref="K35:N35"/>
    <mergeCell ref="K41:L41"/>
    <mergeCell ref="K37:L37"/>
    <mergeCell ref="K40:L40"/>
    <mergeCell ref="K32:L32"/>
    <mergeCell ref="K33:L33"/>
    <mergeCell ref="K34:L34"/>
    <mergeCell ref="K36:L36"/>
    <mergeCell ref="I22:I28"/>
    <mergeCell ref="J22:J28"/>
    <mergeCell ref="K22:L22"/>
    <mergeCell ref="K23:L23"/>
    <mergeCell ref="K28:N28"/>
    <mergeCell ref="K81:L81"/>
    <mergeCell ref="K82:L82"/>
    <mergeCell ref="K83:L83"/>
    <mergeCell ref="K74:L74"/>
    <mergeCell ref="K75:L75"/>
    <mergeCell ref="K76:L76"/>
    <mergeCell ref="K78:L78"/>
    <mergeCell ref="K73:L73"/>
    <mergeCell ref="K65:L65"/>
    <mergeCell ref="K66:L66"/>
    <mergeCell ref="K67:L67"/>
    <mergeCell ref="K68:L68"/>
    <mergeCell ref="K69:L69"/>
    <mergeCell ref="I36:I42"/>
    <mergeCell ref="J36:J42"/>
    <mergeCell ref="K38:L38"/>
    <mergeCell ref="K39:L39"/>
    <mergeCell ref="I43:I49"/>
    <mergeCell ref="J43:J49"/>
    <mergeCell ref="E163:G163"/>
    <mergeCell ref="E164:G164"/>
    <mergeCell ref="E165:G165"/>
    <mergeCell ref="E166:G166"/>
    <mergeCell ref="B22:B28"/>
    <mergeCell ref="C22:C28"/>
    <mergeCell ref="D28:G28"/>
    <mergeCell ref="B29:B35"/>
    <mergeCell ref="C29:C35"/>
    <mergeCell ref="B36:B42"/>
    <mergeCell ref="C36:C42"/>
    <mergeCell ref="D42:G42"/>
    <mergeCell ref="D35:G35"/>
    <mergeCell ref="B43:B49"/>
    <mergeCell ref="C43:C49"/>
    <mergeCell ref="B50:B56"/>
    <mergeCell ref="C50:C56"/>
    <mergeCell ref="B64:B70"/>
    <mergeCell ref="C64:C70"/>
    <mergeCell ref="B71:B77"/>
    <mergeCell ref="C71:C77"/>
    <mergeCell ref="E161:G161"/>
    <mergeCell ref="E162:G162"/>
    <mergeCell ref="P43:P49"/>
    <mergeCell ref="K46:L46"/>
    <mergeCell ref="K47:L47"/>
    <mergeCell ref="D49:G49"/>
    <mergeCell ref="K49:N49"/>
    <mergeCell ref="K48:L48"/>
    <mergeCell ref="K43:L43"/>
    <mergeCell ref="K44:L44"/>
    <mergeCell ref="K45:L45"/>
    <mergeCell ref="I50:I56"/>
    <mergeCell ref="J50:J56"/>
    <mergeCell ref="P50:P56"/>
    <mergeCell ref="K54:L54"/>
    <mergeCell ref="K55:L55"/>
    <mergeCell ref="D56:G56"/>
    <mergeCell ref="K56:N56"/>
    <mergeCell ref="K53:L53"/>
    <mergeCell ref="K50:L50"/>
    <mergeCell ref="K51:L51"/>
    <mergeCell ref="K52:L52"/>
    <mergeCell ref="I64:I70"/>
    <mergeCell ref="J64:J70"/>
    <mergeCell ref="K64:L64"/>
    <mergeCell ref="P64:P70"/>
    <mergeCell ref="D70:G70"/>
    <mergeCell ref="K70:N70"/>
    <mergeCell ref="B57:B63"/>
    <mergeCell ref="C57:C63"/>
    <mergeCell ref="I57:I63"/>
    <mergeCell ref="J57:J63"/>
    <mergeCell ref="P57:P63"/>
    <mergeCell ref="D63:G63"/>
    <mergeCell ref="K63:N63"/>
    <mergeCell ref="K57:L57"/>
    <mergeCell ref="K58:L58"/>
    <mergeCell ref="K59:L59"/>
    <mergeCell ref="K60:L60"/>
    <mergeCell ref="K61:L61"/>
    <mergeCell ref="K62:L62"/>
    <mergeCell ref="I71:I77"/>
    <mergeCell ref="J71:J77"/>
    <mergeCell ref="K71:L71"/>
    <mergeCell ref="P71:P77"/>
    <mergeCell ref="K72:L72"/>
    <mergeCell ref="D77:G77"/>
    <mergeCell ref="K77:N77"/>
    <mergeCell ref="B78:B84"/>
    <mergeCell ref="C78:C84"/>
    <mergeCell ref="I78:I84"/>
    <mergeCell ref="J78:J84"/>
    <mergeCell ref="P78:P84"/>
    <mergeCell ref="K79:L79"/>
    <mergeCell ref="K80:L80"/>
    <mergeCell ref="D84:G84"/>
    <mergeCell ref="K84:N84"/>
    <mergeCell ref="A64:A70"/>
    <mergeCell ref="A71:A77"/>
    <mergeCell ref="A78:A84"/>
    <mergeCell ref="A22:A28"/>
    <mergeCell ref="A29:A35"/>
    <mergeCell ref="A36:A42"/>
    <mergeCell ref="A43:A49"/>
    <mergeCell ref="A50:A56"/>
    <mergeCell ref="A57:A63"/>
    <mergeCell ref="A85:A91"/>
    <mergeCell ref="B85:B91"/>
    <mergeCell ref="C85:C91"/>
    <mergeCell ref="I85:I91"/>
    <mergeCell ref="J85:J91"/>
    <mergeCell ref="K85:L85"/>
    <mergeCell ref="P85:P91"/>
    <mergeCell ref="K86:L86"/>
    <mergeCell ref="K87:L87"/>
    <mergeCell ref="K88:L88"/>
    <mergeCell ref="K89:L89"/>
    <mergeCell ref="K90:L90"/>
    <mergeCell ref="D91:G91"/>
    <mergeCell ref="K91:N91"/>
    <mergeCell ref="A92:A98"/>
    <mergeCell ref="B92:B98"/>
    <mergeCell ref="C92:C98"/>
    <mergeCell ref="I92:I98"/>
    <mergeCell ref="J92:J98"/>
    <mergeCell ref="K92:L92"/>
    <mergeCell ref="P92:P98"/>
    <mergeCell ref="K93:L93"/>
    <mergeCell ref="K94:L94"/>
    <mergeCell ref="K95:L95"/>
    <mergeCell ref="K96:L96"/>
    <mergeCell ref="K97:L97"/>
    <mergeCell ref="D98:G98"/>
    <mergeCell ref="K98:N98"/>
    <mergeCell ref="A99:A105"/>
    <mergeCell ref="B99:B105"/>
    <mergeCell ref="C99:C105"/>
    <mergeCell ref="I99:I105"/>
    <mergeCell ref="J99:J105"/>
    <mergeCell ref="K99:L99"/>
    <mergeCell ref="P99:P105"/>
    <mergeCell ref="K100:L100"/>
    <mergeCell ref="K101:L101"/>
    <mergeCell ref="K102:L102"/>
    <mergeCell ref="K103:L103"/>
    <mergeCell ref="K104:L104"/>
    <mergeCell ref="D105:G105"/>
    <mergeCell ref="K105:N105"/>
    <mergeCell ref="A106:A112"/>
    <mergeCell ref="B106:B112"/>
    <mergeCell ref="C106:C112"/>
    <mergeCell ref="I106:I112"/>
    <mergeCell ref="J106:J112"/>
    <mergeCell ref="K106:L106"/>
    <mergeCell ref="P106:P112"/>
    <mergeCell ref="K107:L107"/>
    <mergeCell ref="K108:L108"/>
    <mergeCell ref="K109:L109"/>
    <mergeCell ref="K110:L110"/>
    <mergeCell ref="K111:L111"/>
    <mergeCell ref="D112:G112"/>
    <mergeCell ref="K112:N112"/>
    <mergeCell ref="A113:A119"/>
    <mergeCell ref="B113:B119"/>
    <mergeCell ref="C113:C119"/>
    <mergeCell ref="I113:I119"/>
    <mergeCell ref="J113:J119"/>
    <mergeCell ref="K113:L113"/>
    <mergeCell ref="P113:P119"/>
    <mergeCell ref="K114:L114"/>
    <mergeCell ref="K115:L115"/>
    <mergeCell ref="K116:L116"/>
    <mergeCell ref="K117:L117"/>
    <mergeCell ref="K118:L118"/>
    <mergeCell ref="D119:G119"/>
    <mergeCell ref="K119:N119"/>
    <mergeCell ref="A120:A126"/>
    <mergeCell ref="B120:B126"/>
    <mergeCell ref="C120:C126"/>
    <mergeCell ref="I120:I126"/>
    <mergeCell ref="J120:J126"/>
    <mergeCell ref="K120:L120"/>
    <mergeCell ref="P120:P126"/>
    <mergeCell ref="K121:L121"/>
    <mergeCell ref="K122:L122"/>
    <mergeCell ref="K123:L123"/>
    <mergeCell ref="K124:L124"/>
    <mergeCell ref="K125:L125"/>
    <mergeCell ref="D126:G126"/>
    <mergeCell ref="K126:N126"/>
    <mergeCell ref="A127:A133"/>
    <mergeCell ref="B127:B133"/>
    <mergeCell ref="C127:C133"/>
    <mergeCell ref="I127:I133"/>
    <mergeCell ref="J127:J133"/>
    <mergeCell ref="K127:L127"/>
    <mergeCell ref="P127:P133"/>
    <mergeCell ref="K128:L128"/>
    <mergeCell ref="K129:L129"/>
    <mergeCell ref="K130:L130"/>
    <mergeCell ref="K131:L131"/>
    <mergeCell ref="K132:L132"/>
    <mergeCell ref="D133:G133"/>
    <mergeCell ref="K133:N133"/>
    <mergeCell ref="A134:A140"/>
    <mergeCell ref="B134:B140"/>
    <mergeCell ref="C134:C140"/>
    <mergeCell ref="I134:I140"/>
    <mergeCell ref="J134:J140"/>
    <mergeCell ref="K134:L134"/>
    <mergeCell ref="P134:P140"/>
    <mergeCell ref="K135:L135"/>
    <mergeCell ref="K136:L136"/>
    <mergeCell ref="K137:L137"/>
    <mergeCell ref="K138:L138"/>
    <mergeCell ref="K139:L139"/>
    <mergeCell ref="D140:G140"/>
    <mergeCell ref="K140:N140"/>
  </mergeCells>
  <pageMargins left="0.11811023622047245" right="0.11811023622047245" top="0.15748031496062992" bottom="0.15748031496062992" header="0" footer="0"/>
  <pageSetup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14"/>
  <sheetViews>
    <sheetView zoomScale="90" zoomScaleNormal="90" workbookViewId="0">
      <selection activeCell="D96" sqref="D96:G105"/>
    </sheetView>
  </sheetViews>
  <sheetFormatPr baseColWidth="10" defaultColWidth="14.44140625" defaultRowHeight="15" customHeight="1" x14ac:dyDescent="0.3"/>
  <cols>
    <col min="1" max="1" width="14.6640625" style="316" customWidth="1"/>
    <col min="2" max="2" width="31" style="316" customWidth="1"/>
    <col min="3" max="3" width="20.6640625" style="316" customWidth="1"/>
    <col min="4" max="5" width="15.6640625" style="316" customWidth="1"/>
    <col min="6" max="6" width="20.6640625" style="316" customWidth="1"/>
    <col min="7" max="7" width="30.88671875" style="316" bestFit="1" customWidth="1"/>
    <col min="8" max="8" width="20.6640625" style="316" customWidth="1"/>
    <col min="9" max="9" width="2.5546875" style="316" customWidth="1"/>
    <col min="10" max="10" width="10.6640625" style="316" customWidth="1"/>
    <col min="11" max="11" width="13.77734375" style="316" bestFit="1" customWidth="1"/>
    <col min="12" max="19" width="10.6640625" style="316" customWidth="1"/>
    <col min="20" max="16384" width="14.44140625" style="316"/>
  </cols>
  <sheetData>
    <row r="1" spans="1:10" ht="15" customHeight="1" x14ac:dyDescent="0.3">
      <c r="A1" s="569" t="s">
        <v>216</v>
      </c>
      <c r="B1" s="570"/>
      <c r="C1" s="570"/>
      <c r="D1" s="570"/>
      <c r="E1" s="570"/>
      <c r="F1" s="570"/>
      <c r="G1" s="570"/>
      <c r="H1" s="571"/>
    </row>
    <row r="2" spans="1:10" ht="15" customHeight="1" x14ac:dyDescent="0.3">
      <c r="A2" s="572"/>
      <c r="B2" s="573"/>
      <c r="C2" s="573"/>
      <c r="D2" s="573"/>
      <c r="E2" s="573"/>
      <c r="F2" s="573"/>
      <c r="G2" s="573"/>
      <c r="H2" s="574"/>
    </row>
    <row r="3" spans="1:10" ht="15" customHeight="1" thickBot="1" x14ac:dyDescent="0.35">
      <c r="A3" s="575"/>
      <c r="B3" s="576"/>
      <c r="C3" s="576"/>
      <c r="D3" s="576"/>
      <c r="E3" s="576"/>
      <c r="F3" s="576"/>
      <c r="G3" s="576"/>
      <c r="H3" s="577"/>
    </row>
    <row r="4" spans="1:10" ht="15.6" customHeight="1" thickBot="1" x14ac:dyDescent="0.35">
      <c r="A4" s="578"/>
      <c r="B4" s="579"/>
      <c r="C4" s="579"/>
      <c r="D4" s="579"/>
      <c r="E4" s="579"/>
      <c r="F4" s="579"/>
      <c r="G4" s="579"/>
      <c r="H4" s="580"/>
    </row>
    <row r="5" spans="1:10" s="111" customFormat="1" ht="15.6" customHeight="1" thickBot="1" x14ac:dyDescent="0.35">
      <c r="A5" s="134" t="s">
        <v>91</v>
      </c>
      <c r="B5" s="135" t="s">
        <v>3</v>
      </c>
      <c r="C5" s="135" t="s">
        <v>4</v>
      </c>
      <c r="D5" s="581" t="s">
        <v>7</v>
      </c>
      <c r="E5" s="582"/>
      <c r="F5" s="135" t="s">
        <v>114</v>
      </c>
      <c r="G5" s="135" t="s">
        <v>92</v>
      </c>
      <c r="H5" s="136" t="s">
        <v>93</v>
      </c>
    </row>
    <row r="6" spans="1:10" ht="14.4" customHeight="1" x14ac:dyDescent="0.3">
      <c r="A6" s="403">
        <v>1</v>
      </c>
      <c r="B6" s="402" t="s">
        <v>34</v>
      </c>
      <c r="C6" s="405">
        <v>45686</v>
      </c>
      <c r="D6" s="634" t="s">
        <v>94</v>
      </c>
      <c r="E6" s="635"/>
      <c r="F6" s="190">
        <v>290</v>
      </c>
      <c r="G6" s="191">
        <v>650</v>
      </c>
      <c r="H6" s="192">
        <f t="shared" ref="H6:H15" si="0">+F6*G6</f>
        <v>188500</v>
      </c>
      <c r="J6" s="328"/>
    </row>
    <row r="7" spans="1:10" ht="14.4" x14ac:dyDescent="0.3">
      <c r="A7" s="403"/>
      <c r="B7" s="403"/>
      <c r="C7" s="406"/>
      <c r="D7" s="634" t="s">
        <v>96</v>
      </c>
      <c r="E7" s="635"/>
      <c r="F7" s="190">
        <v>1</v>
      </c>
      <c r="G7" s="191">
        <v>25000</v>
      </c>
      <c r="H7" s="192">
        <f t="shared" si="0"/>
        <v>25000</v>
      </c>
      <c r="J7" s="328"/>
    </row>
    <row r="8" spans="1:10" ht="14.4" x14ac:dyDescent="0.3">
      <c r="A8" s="403"/>
      <c r="B8" s="403"/>
      <c r="C8" s="406"/>
      <c r="D8" s="634" t="s">
        <v>97</v>
      </c>
      <c r="E8" s="635"/>
      <c r="F8" s="190">
        <v>1</v>
      </c>
      <c r="G8" s="191">
        <v>35000</v>
      </c>
      <c r="H8" s="192">
        <f t="shared" si="0"/>
        <v>35000</v>
      </c>
      <c r="J8" s="328"/>
    </row>
    <row r="9" spans="1:10" ht="14.4" x14ac:dyDescent="0.3">
      <c r="A9" s="403"/>
      <c r="B9" s="403"/>
      <c r="C9" s="406"/>
      <c r="D9" s="567" t="s">
        <v>95</v>
      </c>
      <c r="E9" s="568" t="s">
        <v>54</v>
      </c>
      <c r="F9" s="112">
        <v>2600</v>
      </c>
      <c r="G9" s="113">
        <v>150</v>
      </c>
      <c r="H9" s="114">
        <f t="shared" si="0"/>
        <v>390000</v>
      </c>
      <c r="J9" s="328"/>
    </row>
    <row r="10" spans="1:10" ht="14.4" x14ac:dyDescent="0.3">
      <c r="A10" s="403"/>
      <c r="B10" s="403"/>
      <c r="C10" s="406"/>
      <c r="D10" s="567" t="s">
        <v>135</v>
      </c>
      <c r="E10" s="568" t="s">
        <v>54</v>
      </c>
      <c r="F10" s="112">
        <v>600</v>
      </c>
      <c r="G10" s="113">
        <v>150</v>
      </c>
      <c r="H10" s="114">
        <f t="shared" si="0"/>
        <v>90000</v>
      </c>
      <c r="J10" s="328"/>
    </row>
    <row r="11" spans="1:10" ht="14.4" x14ac:dyDescent="0.3">
      <c r="A11" s="403"/>
      <c r="B11" s="403"/>
      <c r="C11" s="406"/>
      <c r="D11" s="567" t="s">
        <v>98</v>
      </c>
      <c r="E11" s="568" t="s">
        <v>55</v>
      </c>
      <c r="F11" s="112">
        <v>2</v>
      </c>
      <c r="G11" s="113">
        <v>55000</v>
      </c>
      <c r="H11" s="114">
        <f t="shared" si="0"/>
        <v>110000</v>
      </c>
      <c r="J11" s="328"/>
    </row>
    <row r="12" spans="1:10" ht="14.4" x14ac:dyDescent="0.3">
      <c r="A12" s="403"/>
      <c r="B12" s="403"/>
      <c r="C12" s="406"/>
      <c r="D12" s="567" t="s">
        <v>99</v>
      </c>
      <c r="E12" s="568" t="s">
        <v>81</v>
      </c>
      <c r="F12" s="112">
        <v>1</v>
      </c>
      <c r="G12" s="113">
        <v>35000</v>
      </c>
      <c r="H12" s="114">
        <f t="shared" si="0"/>
        <v>35000</v>
      </c>
      <c r="J12" s="328"/>
    </row>
    <row r="13" spans="1:10" ht="14.4" x14ac:dyDescent="0.3">
      <c r="A13" s="403"/>
      <c r="B13" s="403"/>
      <c r="C13" s="406"/>
      <c r="D13" s="567" t="s">
        <v>115</v>
      </c>
      <c r="E13" s="568" t="s">
        <v>82</v>
      </c>
      <c r="F13" s="112">
        <v>0</v>
      </c>
      <c r="G13" s="113">
        <v>25000</v>
      </c>
      <c r="H13" s="114">
        <f t="shared" si="0"/>
        <v>0</v>
      </c>
      <c r="J13" s="328"/>
    </row>
    <row r="14" spans="1:10" ht="14.4" x14ac:dyDescent="0.3">
      <c r="A14" s="403"/>
      <c r="B14" s="403"/>
      <c r="C14" s="406"/>
      <c r="D14" s="634" t="s">
        <v>133</v>
      </c>
      <c r="E14" s="635" t="s">
        <v>82</v>
      </c>
      <c r="F14" s="190">
        <v>0</v>
      </c>
      <c r="G14" s="193">
        <v>18000</v>
      </c>
      <c r="H14" s="192">
        <f t="shared" si="0"/>
        <v>0</v>
      </c>
      <c r="J14" s="328"/>
    </row>
    <row r="15" spans="1:10" ht="14.4" x14ac:dyDescent="0.3">
      <c r="A15" s="403"/>
      <c r="B15" s="403"/>
      <c r="C15" s="406"/>
      <c r="D15" s="634" t="s">
        <v>181</v>
      </c>
      <c r="E15" s="635"/>
      <c r="F15" s="190">
        <v>1</v>
      </c>
      <c r="G15" s="193">
        <v>70000</v>
      </c>
      <c r="H15" s="192">
        <f t="shared" si="0"/>
        <v>70000</v>
      </c>
      <c r="J15" s="328"/>
    </row>
    <row r="16" spans="1:10" thickBot="1" x14ac:dyDescent="0.35">
      <c r="A16" s="404"/>
      <c r="B16" s="404"/>
      <c r="C16" s="407"/>
      <c r="D16" s="535" t="s">
        <v>22</v>
      </c>
      <c r="E16" s="485"/>
      <c r="F16" s="485"/>
      <c r="G16" s="418"/>
      <c r="H16" s="115">
        <f>SUM(H6:H15)</f>
        <v>943500</v>
      </c>
    </row>
    <row r="17" spans="1:8" s="328" customFormat="1" ht="14.4" customHeight="1" x14ac:dyDescent="0.3">
      <c r="A17" s="403">
        <v>2</v>
      </c>
      <c r="B17" s="402" t="s">
        <v>175</v>
      </c>
      <c r="C17" s="405">
        <v>45697</v>
      </c>
      <c r="D17" s="634" t="s">
        <v>94</v>
      </c>
      <c r="E17" s="635"/>
      <c r="F17" s="190">
        <v>290</v>
      </c>
      <c r="G17" s="191">
        <v>650</v>
      </c>
      <c r="H17" s="192">
        <f t="shared" ref="H17:H26" si="1">+F17*G17</f>
        <v>188500</v>
      </c>
    </row>
    <row r="18" spans="1:8" s="328" customFormat="1" ht="14.4" x14ac:dyDescent="0.3">
      <c r="A18" s="403"/>
      <c r="B18" s="403"/>
      <c r="C18" s="406"/>
      <c r="D18" s="634" t="s">
        <v>96</v>
      </c>
      <c r="E18" s="635"/>
      <c r="F18" s="190">
        <v>1</v>
      </c>
      <c r="G18" s="191">
        <v>25000</v>
      </c>
      <c r="H18" s="192">
        <f t="shared" si="1"/>
        <v>25000</v>
      </c>
    </row>
    <row r="19" spans="1:8" s="328" customFormat="1" ht="14.4" x14ac:dyDescent="0.3">
      <c r="A19" s="403"/>
      <c r="B19" s="403"/>
      <c r="C19" s="406"/>
      <c r="D19" s="634" t="s">
        <v>97</v>
      </c>
      <c r="E19" s="635"/>
      <c r="F19" s="190">
        <v>1</v>
      </c>
      <c r="G19" s="191">
        <v>35000</v>
      </c>
      <c r="H19" s="192">
        <f t="shared" si="1"/>
        <v>35000</v>
      </c>
    </row>
    <row r="20" spans="1:8" s="328" customFormat="1" ht="14.4" x14ac:dyDescent="0.3">
      <c r="A20" s="403"/>
      <c r="B20" s="403"/>
      <c r="C20" s="406"/>
      <c r="D20" s="567" t="s">
        <v>95</v>
      </c>
      <c r="E20" s="568" t="s">
        <v>54</v>
      </c>
      <c r="F20" s="112">
        <v>2600</v>
      </c>
      <c r="G20" s="113">
        <v>150</v>
      </c>
      <c r="H20" s="114">
        <f t="shared" si="1"/>
        <v>390000</v>
      </c>
    </row>
    <row r="21" spans="1:8" s="328" customFormat="1" ht="14.4" x14ac:dyDescent="0.3">
      <c r="A21" s="403"/>
      <c r="B21" s="403"/>
      <c r="C21" s="406"/>
      <c r="D21" s="567" t="s">
        <v>135</v>
      </c>
      <c r="E21" s="568" t="s">
        <v>54</v>
      </c>
      <c r="F21" s="112">
        <v>600</v>
      </c>
      <c r="G21" s="113">
        <v>150</v>
      </c>
      <c r="H21" s="114">
        <f t="shared" si="1"/>
        <v>90000</v>
      </c>
    </row>
    <row r="22" spans="1:8" s="328" customFormat="1" ht="14.4" x14ac:dyDescent="0.3">
      <c r="A22" s="403"/>
      <c r="B22" s="403"/>
      <c r="C22" s="406"/>
      <c r="D22" s="567" t="s">
        <v>98</v>
      </c>
      <c r="E22" s="568" t="s">
        <v>55</v>
      </c>
      <c r="F22" s="112">
        <v>2</v>
      </c>
      <c r="G22" s="113">
        <v>55000</v>
      </c>
      <c r="H22" s="114">
        <f t="shared" si="1"/>
        <v>110000</v>
      </c>
    </row>
    <row r="23" spans="1:8" s="328" customFormat="1" ht="14.4" x14ac:dyDescent="0.3">
      <c r="A23" s="403"/>
      <c r="B23" s="403"/>
      <c r="C23" s="406"/>
      <c r="D23" s="567" t="s">
        <v>99</v>
      </c>
      <c r="E23" s="568" t="s">
        <v>81</v>
      </c>
      <c r="F23" s="112">
        <v>1</v>
      </c>
      <c r="G23" s="113">
        <v>35000</v>
      </c>
      <c r="H23" s="114">
        <f t="shared" si="1"/>
        <v>35000</v>
      </c>
    </row>
    <row r="24" spans="1:8" s="328" customFormat="1" ht="14.4" x14ac:dyDescent="0.3">
      <c r="A24" s="403"/>
      <c r="B24" s="403"/>
      <c r="C24" s="406"/>
      <c r="D24" s="567" t="s">
        <v>115</v>
      </c>
      <c r="E24" s="568" t="s">
        <v>82</v>
      </c>
      <c r="F24" s="112">
        <v>0</v>
      </c>
      <c r="G24" s="113">
        <v>25000</v>
      </c>
      <c r="H24" s="114">
        <f t="shared" si="1"/>
        <v>0</v>
      </c>
    </row>
    <row r="25" spans="1:8" s="328" customFormat="1" ht="14.4" x14ac:dyDescent="0.3">
      <c r="A25" s="403"/>
      <c r="B25" s="403"/>
      <c r="C25" s="406"/>
      <c r="D25" s="634" t="s">
        <v>133</v>
      </c>
      <c r="E25" s="635" t="s">
        <v>82</v>
      </c>
      <c r="F25" s="190">
        <v>3</v>
      </c>
      <c r="G25" s="193">
        <v>18000</v>
      </c>
      <c r="H25" s="192">
        <f t="shared" si="1"/>
        <v>54000</v>
      </c>
    </row>
    <row r="26" spans="1:8" s="328" customFormat="1" ht="14.4" x14ac:dyDescent="0.3">
      <c r="A26" s="403"/>
      <c r="B26" s="403"/>
      <c r="C26" s="406"/>
      <c r="D26" s="634" t="s">
        <v>181</v>
      </c>
      <c r="E26" s="635"/>
      <c r="F26" s="190">
        <v>1</v>
      </c>
      <c r="G26" s="193">
        <v>70000</v>
      </c>
      <c r="H26" s="192">
        <f t="shared" si="1"/>
        <v>70000</v>
      </c>
    </row>
    <row r="27" spans="1:8" s="328" customFormat="1" thickBot="1" x14ac:dyDescent="0.35">
      <c r="A27" s="404"/>
      <c r="B27" s="404"/>
      <c r="C27" s="407"/>
      <c r="D27" s="535" t="s">
        <v>22</v>
      </c>
      <c r="E27" s="485"/>
      <c r="F27" s="485"/>
      <c r="G27" s="418"/>
      <c r="H27" s="115">
        <f>SUM(H17:H26)</f>
        <v>997500</v>
      </c>
    </row>
    <row r="28" spans="1:8" s="328" customFormat="1" ht="14.4" customHeight="1" x14ac:dyDescent="0.3">
      <c r="A28" s="403">
        <v>3</v>
      </c>
      <c r="B28" s="402" t="s">
        <v>150</v>
      </c>
      <c r="C28" s="405">
        <v>45704</v>
      </c>
      <c r="D28" s="634" t="s">
        <v>94</v>
      </c>
      <c r="E28" s="635"/>
      <c r="F28" s="190">
        <v>290</v>
      </c>
      <c r="G28" s="191">
        <v>650</v>
      </c>
      <c r="H28" s="192">
        <f t="shared" ref="H28:H37" si="2">+F28*G28</f>
        <v>188500</v>
      </c>
    </row>
    <row r="29" spans="1:8" s="328" customFormat="1" ht="14.4" x14ac:dyDescent="0.3">
      <c r="A29" s="403"/>
      <c r="B29" s="403"/>
      <c r="C29" s="406"/>
      <c r="D29" s="634" t="s">
        <v>96</v>
      </c>
      <c r="E29" s="635"/>
      <c r="F29" s="190">
        <v>1</v>
      </c>
      <c r="G29" s="191">
        <v>25000</v>
      </c>
      <c r="H29" s="192">
        <f t="shared" si="2"/>
        <v>25000</v>
      </c>
    </row>
    <row r="30" spans="1:8" s="328" customFormat="1" ht="14.4" x14ac:dyDescent="0.3">
      <c r="A30" s="403"/>
      <c r="B30" s="403"/>
      <c r="C30" s="406"/>
      <c r="D30" s="634" t="s">
        <v>97</v>
      </c>
      <c r="E30" s="635"/>
      <c r="F30" s="190">
        <v>1</v>
      </c>
      <c r="G30" s="191">
        <v>35000</v>
      </c>
      <c r="H30" s="192">
        <f t="shared" si="2"/>
        <v>35000</v>
      </c>
    </row>
    <row r="31" spans="1:8" s="328" customFormat="1" ht="14.4" x14ac:dyDescent="0.3">
      <c r="A31" s="403"/>
      <c r="B31" s="403"/>
      <c r="C31" s="406"/>
      <c r="D31" s="567" t="s">
        <v>95</v>
      </c>
      <c r="E31" s="568" t="s">
        <v>54</v>
      </c>
      <c r="F31" s="112">
        <v>2600</v>
      </c>
      <c r="G31" s="113">
        <v>150</v>
      </c>
      <c r="H31" s="114">
        <f t="shared" si="2"/>
        <v>390000</v>
      </c>
    </row>
    <row r="32" spans="1:8" s="328" customFormat="1" ht="14.4" x14ac:dyDescent="0.3">
      <c r="A32" s="403"/>
      <c r="B32" s="403"/>
      <c r="C32" s="406"/>
      <c r="D32" s="567" t="s">
        <v>135</v>
      </c>
      <c r="E32" s="568" t="s">
        <v>54</v>
      </c>
      <c r="F32" s="112">
        <v>0</v>
      </c>
      <c r="G32" s="113">
        <v>150</v>
      </c>
      <c r="H32" s="114">
        <f t="shared" si="2"/>
        <v>0</v>
      </c>
    </row>
    <row r="33" spans="1:8" s="328" customFormat="1" ht="14.4" x14ac:dyDescent="0.3">
      <c r="A33" s="403"/>
      <c r="B33" s="403"/>
      <c r="C33" s="406"/>
      <c r="D33" s="567" t="s">
        <v>98</v>
      </c>
      <c r="E33" s="568" t="s">
        <v>55</v>
      </c>
      <c r="F33" s="112">
        <v>2</v>
      </c>
      <c r="G33" s="113">
        <v>55000</v>
      </c>
      <c r="H33" s="114">
        <f t="shared" si="2"/>
        <v>110000</v>
      </c>
    </row>
    <row r="34" spans="1:8" s="328" customFormat="1" ht="14.4" x14ac:dyDescent="0.3">
      <c r="A34" s="403"/>
      <c r="B34" s="403"/>
      <c r="C34" s="406"/>
      <c r="D34" s="567" t="s">
        <v>99</v>
      </c>
      <c r="E34" s="568" t="s">
        <v>81</v>
      </c>
      <c r="F34" s="112">
        <v>1</v>
      </c>
      <c r="G34" s="113">
        <v>35000</v>
      </c>
      <c r="H34" s="114">
        <f t="shared" si="2"/>
        <v>35000</v>
      </c>
    </row>
    <row r="35" spans="1:8" s="328" customFormat="1" ht="14.4" x14ac:dyDescent="0.3">
      <c r="A35" s="403"/>
      <c r="B35" s="403"/>
      <c r="C35" s="406"/>
      <c r="D35" s="567" t="s">
        <v>115</v>
      </c>
      <c r="E35" s="568" t="s">
        <v>82</v>
      </c>
      <c r="F35" s="112">
        <v>0</v>
      </c>
      <c r="G35" s="113">
        <v>25000</v>
      </c>
      <c r="H35" s="114">
        <f t="shared" si="2"/>
        <v>0</v>
      </c>
    </row>
    <row r="36" spans="1:8" s="328" customFormat="1" ht="14.4" x14ac:dyDescent="0.3">
      <c r="A36" s="403"/>
      <c r="B36" s="403"/>
      <c r="C36" s="406"/>
      <c r="D36" s="634" t="s">
        <v>133</v>
      </c>
      <c r="E36" s="635" t="s">
        <v>82</v>
      </c>
      <c r="F36" s="190">
        <v>3</v>
      </c>
      <c r="G36" s="193">
        <v>18000</v>
      </c>
      <c r="H36" s="192">
        <f t="shared" si="2"/>
        <v>54000</v>
      </c>
    </row>
    <row r="37" spans="1:8" s="328" customFormat="1" ht="14.4" x14ac:dyDescent="0.3">
      <c r="A37" s="403"/>
      <c r="B37" s="403"/>
      <c r="C37" s="406"/>
      <c r="D37" s="634" t="s">
        <v>181</v>
      </c>
      <c r="E37" s="635"/>
      <c r="F37" s="190">
        <v>1</v>
      </c>
      <c r="G37" s="193">
        <v>70000</v>
      </c>
      <c r="H37" s="192">
        <f t="shared" si="2"/>
        <v>70000</v>
      </c>
    </row>
    <row r="38" spans="1:8" s="328" customFormat="1" thickBot="1" x14ac:dyDescent="0.35">
      <c r="A38" s="404"/>
      <c r="B38" s="404"/>
      <c r="C38" s="407"/>
      <c r="D38" s="535" t="s">
        <v>22</v>
      </c>
      <c r="E38" s="485"/>
      <c r="F38" s="485"/>
      <c r="G38" s="418"/>
      <c r="H38" s="115">
        <f>SUM(H28:H37)</f>
        <v>907500</v>
      </c>
    </row>
    <row r="39" spans="1:8" s="328" customFormat="1" ht="14.4" customHeight="1" x14ac:dyDescent="0.3">
      <c r="A39" s="403">
        <v>4</v>
      </c>
      <c r="B39" s="402" t="s">
        <v>174</v>
      </c>
      <c r="C39" s="405">
        <v>45717</v>
      </c>
      <c r="D39" s="634" t="s">
        <v>94</v>
      </c>
      <c r="E39" s="635"/>
      <c r="F39" s="190">
        <v>290</v>
      </c>
      <c r="G39" s="191">
        <v>650</v>
      </c>
      <c r="H39" s="192">
        <f t="shared" ref="H39:H48" si="3">+F39*G39</f>
        <v>188500</v>
      </c>
    </row>
    <row r="40" spans="1:8" s="328" customFormat="1" ht="14.4" x14ac:dyDescent="0.3">
      <c r="A40" s="403"/>
      <c r="B40" s="403"/>
      <c r="C40" s="406"/>
      <c r="D40" s="634" t="s">
        <v>96</v>
      </c>
      <c r="E40" s="635"/>
      <c r="F40" s="190">
        <v>1</v>
      </c>
      <c r="G40" s="191">
        <v>25000</v>
      </c>
      <c r="H40" s="192">
        <f t="shared" si="3"/>
        <v>25000</v>
      </c>
    </row>
    <row r="41" spans="1:8" s="328" customFormat="1" ht="14.4" x14ac:dyDescent="0.3">
      <c r="A41" s="403"/>
      <c r="B41" s="403"/>
      <c r="C41" s="406"/>
      <c r="D41" s="634" t="s">
        <v>97</v>
      </c>
      <c r="E41" s="635"/>
      <c r="F41" s="190">
        <v>1</v>
      </c>
      <c r="G41" s="191">
        <v>35000</v>
      </c>
      <c r="H41" s="192">
        <f t="shared" si="3"/>
        <v>35000</v>
      </c>
    </row>
    <row r="42" spans="1:8" s="328" customFormat="1" ht="14.4" x14ac:dyDescent="0.3">
      <c r="A42" s="403"/>
      <c r="B42" s="403"/>
      <c r="C42" s="406"/>
      <c r="D42" s="567" t="s">
        <v>95</v>
      </c>
      <c r="E42" s="568" t="s">
        <v>54</v>
      </c>
      <c r="F42" s="112">
        <v>2600</v>
      </c>
      <c r="G42" s="113">
        <v>150</v>
      </c>
      <c r="H42" s="114">
        <f t="shared" si="3"/>
        <v>390000</v>
      </c>
    </row>
    <row r="43" spans="1:8" s="328" customFormat="1" ht="14.4" x14ac:dyDescent="0.3">
      <c r="A43" s="403"/>
      <c r="B43" s="403"/>
      <c r="C43" s="406"/>
      <c r="D43" s="567" t="s">
        <v>135</v>
      </c>
      <c r="E43" s="568" t="s">
        <v>54</v>
      </c>
      <c r="F43" s="112">
        <v>600</v>
      </c>
      <c r="G43" s="113">
        <v>150</v>
      </c>
      <c r="H43" s="114">
        <f t="shared" si="3"/>
        <v>90000</v>
      </c>
    </row>
    <row r="44" spans="1:8" s="328" customFormat="1" ht="14.4" x14ac:dyDescent="0.3">
      <c r="A44" s="403"/>
      <c r="B44" s="403"/>
      <c r="C44" s="406"/>
      <c r="D44" s="567" t="s">
        <v>98</v>
      </c>
      <c r="E44" s="568" t="s">
        <v>55</v>
      </c>
      <c r="F44" s="112">
        <v>2</v>
      </c>
      <c r="G44" s="113">
        <v>55000</v>
      </c>
      <c r="H44" s="114">
        <f t="shared" si="3"/>
        <v>110000</v>
      </c>
    </row>
    <row r="45" spans="1:8" s="328" customFormat="1" ht="14.4" x14ac:dyDescent="0.3">
      <c r="A45" s="403"/>
      <c r="B45" s="403"/>
      <c r="C45" s="406"/>
      <c r="D45" s="567" t="s">
        <v>99</v>
      </c>
      <c r="E45" s="568" t="s">
        <v>81</v>
      </c>
      <c r="F45" s="112">
        <v>1</v>
      </c>
      <c r="G45" s="113">
        <v>35000</v>
      </c>
      <c r="H45" s="114">
        <f t="shared" si="3"/>
        <v>35000</v>
      </c>
    </row>
    <row r="46" spans="1:8" s="328" customFormat="1" ht="14.4" x14ac:dyDescent="0.3">
      <c r="A46" s="403"/>
      <c r="B46" s="403"/>
      <c r="C46" s="406"/>
      <c r="D46" s="567" t="s">
        <v>115</v>
      </c>
      <c r="E46" s="568" t="s">
        <v>82</v>
      </c>
      <c r="F46" s="112">
        <v>0</v>
      </c>
      <c r="G46" s="113">
        <v>25000</v>
      </c>
      <c r="H46" s="114">
        <f t="shared" si="3"/>
        <v>0</v>
      </c>
    </row>
    <row r="47" spans="1:8" s="328" customFormat="1" ht="14.4" x14ac:dyDescent="0.3">
      <c r="A47" s="403"/>
      <c r="B47" s="403"/>
      <c r="C47" s="406"/>
      <c r="D47" s="634" t="s">
        <v>133</v>
      </c>
      <c r="E47" s="635" t="s">
        <v>82</v>
      </c>
      <c r="F47" s="190">
        <v>3</v>
      </c>
      <c r="G47" s="193">
        <v>18000</v>
      </c>
      <c r="H47" s="192">
        <f t="shared" si="3"/>
        <v>54000</v>
      </c>
    </row>
    <row r="48" spans="1:8" s="328" customFormat="1" ht="14.4" x14ac:dyDescent="0.3">
      <c r="A48" s="403"/>
      <c r="B48" s="403"/>
      <c r="C48" s="406"/>
      <c r="D48" s="634" t="s">
        <v>181</v>
      </c>
      <c r="E48" s="635"/>
      <c r="F48" s="190">
        <v>1</v>
      </c>
      <c r="G48" s="193">
        <v>70000</v>
      </c>
      <c r="H48" s="192">
        <f t="shared" si="3"/>
        <v>70000</v>
      </c>
    </row>
    <row r="49" spans="1:8" s="328" customFormat="1" thickBot="1" x14ac:dyDescent="0.35">
      <c r="A49" s="404"/>
      <c r="B49" s="404"/>
      <c r="C49" s="407"/>
      <c r="D49" s="535" t="s">
        <v>22</v>
      </c>
      <c r="E49" s="485"/>
      <c r="F49" s="485"/>
      <c r="G49" s="418"/>
      <c r="H49" s="115">
        <f>SUM(H39:H48)</f>
        <v>997500</v>
      </c>
    </row>
    <row r="50" spans="1:8" s="328" customFormat="1" ht="14.4" customHeight="1" x14ac:dyDescent="0.3">
      <c r="A50" s="403">
        <v>5</v>
      </c>
      <c r="B50" s="402" t="s">
        <v>28</v>
      </c>
      <c r="C50" s="405">
        <v>45726</v>
      </c>
      <c r="D50" s="634" t="s">
        <v>94</v>
      </c>
      <c r="E50" s="635"/>
      <c r="F50" s="190">
        <v>290</v>
      </c>
      <c r="G50" s="191">
        <v>650</v>
      </c>
      <c r="H50" s="192">
        <f t="shared" ref="H50:H59" si="4">+F50*G50</f>
        <v>188500</v>
      </c>
    </row>
    <row r="51" spans="1:8" s="328" customFormat="1" ht="14.4" x14ac:dyDescent="0.3">
      <c r="A51" s="403"/>
      <c r="B51" s="403"/>
      <c r="C51" s="406"/>
      <c r="D51" s="634" t="s">
        <v>96</v>
      </c>
      <c r="E51" s="635"/>
      <c r="F51" s="190">
        <v>1</v>
      </c>
      <c r="G51" s="191">
        <v>25000</v>
      </c>
      <c r="H51" s="192">
        <f t="shared" si="4"/>
        <v>25000</v>
      </c>
    </row>
    <row r="52" spans="1:8" s="328" customFormat="1" ht="14.4" x14ac:dyDescent="0.3">
      <c r="A52" s="403"/>
      <c r="B52" s="403"/>
      <c r="C52" s="406"/>
      <c r="D52" s="634" t="s">
        <v>97</v>
      </c>
      <c r="E52" s="635"/>
      <c r="F52" s="190">
        <v>1</v>
      </c>
      <c r="G52" s="191">
        <v>35000</v>
      </c>
      <c r="H52" s="192">
        <f t="shared" si="4"/>
        <v>35000</v>
      </c>
    </row>
    <row r="53" spans="1:8" s="328" customFormat="1" ht="14.4" x14ac:dyDescent="0.3">
      <c r="A53" s="403"/>
      <c r="B53" s="403"/>
      <c r="C53" s="406"/>
      <c r="D53" s="567" t="s">
        <v>95</v>
      </c>
      <c r="E53" s="568" t="s">
        <v>54</v>
      </c>
      <c r="F53" s="112">
        <v>2600</v>
      </c>
      <c r="G53" s="113">
        <v>150</v>
      </c>
      <c r="H53" s="114">
        <f t="shared" si="4"/>
        <v>390000</v>
      </c>
    </row>
    <row r="54" spans="1:8" s="328" customFormat="1" ht="14.4" x14ac:dyDescent="0.3">
      <c r="A54" s="403"/>
      <c r="B54" s="403"/>
      <c r="C54" s="406"/>
      <c r="D54" s="567" t="s">
        <v>135</v>
      </c>
      <c r="E54" s="568" t="s">
        <v>54</v>
      </c>
      <c r="F54" s="112">
        <v>0</v>
      </c>
      <c r="G54" s="113">
        <v>150</v>
      </c>
      <c r="H54" s="114">
        <f t="shared" si="4"/>
        <v>0</v>
      </c>
    </row>
    <row r="55" spans="1:8" s="328" customFormat="1" ht="14.4" x14ac:dyDescent="0.3">
      <c r="A55" s="403"/>
      <c r="B55" s="403"/>
      <c r="C55" s="406"/>
      <c r="D55" s="567" t="s">
        <v>98</v>
      </c>
      <c r="E55" s="568" t="s">
        <v>55</v>
      </c>
      <c r="F55" s="112">
        <v>2</v>
      </c>
      <c r="G55" s="113">
        <v>55000</v>
      </c>
      <c r="H55" s="114">
        <f t="shared" si="4"/>
        <v>110000</v>
      </c>
    </row>
    <row r="56" spans="1:8" s="328" customFormat="1" ht="14.4" x14ac:dyDescent="0.3">
      <c r="A56" s="403"/>
      <c r="B56" s="403"/>
      <c r="C56" s="406"/>
      <c r="D56" s="567" t="s">
        <v>99</v>
      </c>
      <c r="E56" s="568" t="s">
        <v>81</v>
      </c>
      <c r="F56" s="112">
        <v>1</v>
      </c>
      <c r="G56" s="113">
        <v>35000</v>
      </c>
      <c r="H56" s="114">
        <f t="shared" si="4"/>
        <v>35000</v>
      </c>
    </row>
    <row r="57" spans="1:8" s="328" customFormat="1" ht="14.4" x14ac:dyDescent="0.3">
      <c r="A57" s="403"/>
      <c r="B57" s="403"/>
      <c r="C57" s="406"/>
      <c r="D57" s="567" t="s">
        <v>115</v>
      </c>
      <c r="E57" s="568" t="s">
        <v>82</v>
      </c>
      <c r="F57" s="112">
        <v>0</v>
      </c>
      <c r="G57" s="113">
        <v>25000</v>
      </c>
      <c r="H57" s="114">
        <f t="shared" si="4"/>
        <v>0</v>
      </c>
    </row>
    <row r="58" spans="1:8" s="328" customFormat="1" ht="14.4" x14ac:dyDescent="0.3">
      <c r="A58" s="403"/>
      <c r="B58" s="403"/>
      <c r="C58" s="406"/>
      <c r="D58" s="634" t="s">
        <v>133</v>
      </c>
      <c r="E58" s="635" t="s">
        <v>82</v>
      </c>
      <c r="F58" s="190">
        <v>3</v>
      </c>
      <c r="G58" s="193">
        <v>18000</v>
      </c>
      <c r="H58" s="192">
        <f t="shared" si="4"/>
        <v>54000</v>
      </c>
    </row>
    <row r="59" spans="1:8" s="328" customFormat="1" ht="14.4" x14ac:dyDescent="0.3">
      <c r="A59" s="403"/>
      <c r="B59" s="403"/>
      <c r="C59" s="406"/>
      <c r="D59" s="634" t="s">
        <v>181</v>
      </c>
      <c r="E59" s="635"/>
      <c r="F59" s="190">
        <v>1</v>
      </c>
      <c r="G59" s="193">
        <v>70000</v>
      </c>
      <c r="H59" s="192">
        <f t="shared" si="4"/>
        <v>70000</v>
      </c>
    </row>
    <row r="60" spans="1:8" s="328" customFormat="1" thickBot="1" x14ac:dyDescent="0.35">
      <c r="A60" s="404"/>
      <c r="B60" s="404"/>
      <c r="C60" s="407"/>
      <c r="D60" s="535" t="s">
        <v>22</v>
      </c>
      <c r="E60" s="485"/>
      <c r="F60" s="485"/>
      <c r="G60" s="418"/>
      <c r="H60" s="115">
        <f>SUM(H50:H59)</f>
        <v>907500</v>
      </c>
    </row>
    <row r="61" spans="1:8" s="328" customFormat="1" ht="14.4" customHeight="1" x14ac:dyDescent="0.3">
      <c r="A61" s="403">
        <v>6</v>
      </c>
      <c r="B61" s="402" t="s">
        <v>214</v>
      </c>
      <c r="C61" s="405">
        <v>45749</v>
      </c>
      <c r="D61" s="634" t="s">
        <v>94</v>
      </c>
      <c r="E61" s="635"/>
      <c r="F61" s="190">
        <v>290</v>
      </c>
      <c r="G61" s="191">
        <v>650</v>
      </c>
      <c r="H61" s="192">
        <f t="shared" ref="H61:H72" si="5">+F61*G61</f>
        <v>188500</v>
      </c>
    </row>
    <row r="62" spans="1:8" s="328" customFormat="1" ht="14.4" x14ac:dyDescent="0.3">
      <c r="A62" s="403"/>
      <c r="B62" s="403"/>
      <c r="C62" s="406"/>
      <c r="D62" s="634" t="s">
        <v>96</v>
      </c>
      <c r="E62" s="635"/>
      <c r="F62" s="190">
        <v>1</v>
      </c>
      <c r="G62" s="191">
        <v>25000</v>
      </c>
      <c r="H62" s="192">
        <f t="shared" si="5"/>
        <v>25000</v>
      </c>
    </row>
    <row r="63" spans="1:8" s="328" customFormat="1" ht="14.4" x14ac:dyDescent="0.3">
      <c r="A63" s="403"/>
      <c r="B63" s="403"/>
      <c r="C63" s="406"/>
      <c r="D63" s="634" t="s">
        <v>97</v>
      </c>
      <c r="E63" s="635"/>
      <c r="F63" s="190">
        <v>1</v>
      </c>
      <c r="G63" s="191">
        <v>35000</v>
      </c>
      <c r="H63" s="192">
        <f t="shared" si="5"/>
        <v>35000</v>
      </c>
    </row>
    <row r="64" spans="1:8" s="336" customFormat="1" ht="14.4" x14ac:dyDescent="0.3">
      <c r="A64" s="403"/>
      <c r="B64" s="403"/>
      <c r="C64" s="406"/>
      <c r="D64" s="567" t="s">
        <v>218</v>
      </c>
      <c r="E64" s="640"/>
      <c r="F64" s="112">
        <v>415</v>
      </c>
      <c r="G64" s="113">
        <v>900</v>
      </c>
      <c r="H64" s="114">
        <f>+F64*G64</f>
        <v>373500</v>
      </c>
    </row>
    <row r="65" spans="1:8" s="336" customFormat="1" ht="14.4" x14ac:dyDescent="0.3">
      <c r="A65" s="403"/>
      <c r="B65" s="403"/>
      <c r="C65" s="406"/>
      <c r="D65" s="567" t="s">
        <v>204</v>
      </c>
      <c r="E65" s="640"/>
      <c r="F65" s="112">
        <v>70</v>
      </c>
      <c r="G65" s="113">
        <v>400</v>
      </c>
      <c r="H65" s="114">
        <f>+F65*G65</f>
        <v>28000</v>
      </c>
    </row>
    <row r="66" spans="1:8" s="328" customFormat="1" ht="14.4" x14ac:dyDescent="0.3">
      <c r="A66" s="403"/>
      <c r="B66" s="403"/>
      <c r="C66" s="406"/>
      <c r="D66" s="567" t="s">
        <v>95</v>
      </c>
      <c r="E66" s="568" t="s">
        <v>54</v>
      </c>
      <c r="F66" s="112">
        <v>2600</v>
      </c>
      <c r="G66" s="113">
        <v>150</v>
      </c>
      <c r="H66" s="114">
        <f>+F66*G66</f>
        <v>390000</v>
      </c>
    </row>
    <row r="67" spans="1:8" s="328" customFormat="1" ht="14.4" x14ac:dyDescent="0.3">
      <c r="A67" s="403"/>
      <c r="B67" s="403"/>
      <c r="C67" s="406"/>
      <c r="D67" s="567" t="s">
        <v>135</v>
      </c>
      <c r="E67" s="568" t="s">
        <v>54</v>
      </c>
      <c r="F67" s="112">
        <v>0</v>
      </c>
      <c r="G67" s="113">
        <v>150</v>
      </c>
      <c r="H67" s="114">
        <f t="shared" si="5"/>
        <v>0</v>
      </c>
    </row>
    <row r="68" spans="1:8" s="328" customFormat="1" ht="14.4" x14ac:dyDescent="0.3">
      <c r="A68" s="403"/>
      <c r="B68" s="403"/>
      <c r="C68" s="406"/>
      <c r="D68" s="567" t="s">
        <v>98</v>
      </c>
      <c r="E68" s="568" t="s">
        <v>55</v>
      </c>
      <c r="F68" s="112">
        <v>2</v>
      </c>
      <c r="G68" s="113">
        <v>55000</v>
      </c>
      <c r="H68" s="114">
        <f t="shared" si="5"/>
        <v>110000</v>
      </c>
    </row>
    <row r="69" spans="1:8" s="328" customFormat="1" ht="14.4" x14ac:dyDescent="0.3">
      <c r="A69" s="403"/>
      <c r="B69" s="403"/>
      <c r="C69" s="406"/>
      <c r="D69" s="567" t="s">
        <v>99</v>
      </c>
      <c r="E69" s="568" t="s">
        <v>81</v>
      </c>
      <c r="F69" s="112">
        <v>1</v>
      </c>
      <c r="G69" s="113">
        <v>35000</v>
      </c>
      <c r="H69" s="114">
        <f t="shared" si="5"/>
        <v>35000</v>
      </c>
    </row>
    <row r="70" spans="1:8" s="328" customFormat="1" ht="14.4" x14ac:dyDescent="0.3">
      <c r="A70" s="403"/>
      <c r="B70" s="403"/>
      <c r="C70" s="406"/>
      <c r="D70" s="567" t="s">
        <v>115</v>
      </c>
      <c r="E70" s="568" t="s">
        <v>82</v>
      </c>
      <c r="F70" s="112">
        <v>2</v>
      </c>
      <c r="G70" s="113">
        <v>25000</v>
      </c>
      <c r="H70" s="114">
        <f t="shared" si="5"/>
        <v>50000</v>
      </c>
    </row>
    <row r="71" spans="1:8" s="328" customFormat="1" ht="14.4" x14ac:dyDescent="0.3">
      <c r="A71" s="403"/>
      <c r="B71" s="403"/>
      <c r="C71" s="406"/>
      <c r="D71" s="634" t="s">
        <v>133</v>
      </c>
      <c r="E71" s="635" t="s">
        <v>82</v>
      </c>
      <c r="F71" s="190">
        <v>3</v>
      </c>
      <c r="G71" s="193">
        <v>18000</v>
      </c>
      <c r="H71" s="192">
        <f t="shared" si="5"/>
        <v>54000</v>
      </c>
    </row>
    <row r="72" spans="1:8" s="328" customFormat="1" ht="14.4" x14ac:dyDescent="0.3">
      <c r="A72" s="403"/>
      <c r="B72" s="403"/>
      <c r="C72" s="406"/>
      <c r="D72" s="634" t="s">
        <v>181</v>
      </c>
      <c r="E72" s="635"/>
      <c r="F72" s="190">
        <v>1</v>
      </c>
      <c r="G72" s="193">
        <v>70000</v>
      </c>
      <c r="H72" s="192">
        <f t="shared" si="5"/>
        <v>70000</v>
      </c>
    </row>
    <row r="73" spans="1:8" s="328" customFormat="1" thickBot="1" x14ac:dyDescent="0.35">
      <c r="A73" s="404"/>
      <c r="B73" s="404"/>
      <c r="C73" s="407"/>
      <c r="D73" s="535" t="s">
        <v>22</v>
      </c>
      <c r="E73" s="485"/>
      <c r="F73" s="485"/>
      <c r="G73" s="418"/>
      <c r="H73" s="115">
        <f>SUM(H61:H72)</f>
        <v>1359000</v>
      </c>
    </row>
    <row r="74" spans="1:8" s="328" customFormat="1" ht="14.4" customHeight="1" x14ac:dyDescent="0.3">
      <c r="A74" s="403">
        <v>7</v>
      </c>
      <c r="B74" s="402" t="s">
        <v>130</v>
      </c>
      <c r="C74" s="405">
        <v>45753</v>
      </c>
      <c r="D74" s="634" t="s">
        <v>94</v>
      </c>
      <c r="E74" s="635"/>
      <c r="F74" s="190">
        <v>290</v>
      </c>
      <c r="G74" s="191">
        <v>650</v>
      </c>
      <c r="H74" s="192">
        <f t="shared" ref="H74:H83" si="6">+F74*G74</f>
        <v>188500</v>
      </c>
    </row>
    <row r="75" spans="1:8" s="328" customFormat="1" ht="14.4" x14ac:dyDescent="0.3">
      <c r="A75" s="403"/>
      <c r="B75" s="403"/>
      <c r="C75" s="406"/>
      <c r="D75" s="634" t="s">
        <v>96</v>
      </c>
      <c r="E75" s="635"/>
      <c r="F75" s="190">
        <v>1</v>
      </c>
      <c r="G75" s="191">
        <v>25000</v>
      </c>
      <c r="H75" s="192">
        <f t="shared" si="6"/>
        <v>25000</v>
      </c>
    </row>
    <row r="76" spans="1:8" s="328" customFormat="1" ht="14.4" x14ac:dyDescent="0.3">
      <c r="A76" s="403"/>
      <c r="B76" s="403"/>
      <c r="C76" s="406"/>
      <c r="D76" s="634" t="s">
        <v>97</v>
      </c>
      <c r="E76" s="635"/>
      <c r="F76" s="190">
        <v>1</v>
      </c>
      <c r="G76" s="191">
        <v>35000</v>
      </c>
      <c r="H76" s="192">
        <f t="shared" si="6"/>
        <v>35000</v>
      </c>
    </row>
    <row r="77" spans="1:8" s="328" customFormat="1" ht="14.4" x14ac:dyDescent="0.3">
      <c r="A77" s="403"/>
      <c r="B77" s="403"/>
      <c r="C77" s="406"/>
      <c r="D77" s="567" t="s">
        <v>95</v>
      </c>
      <c r="E77" s="568" t="s">
        <v>54</v>
      </c>
      <c r="F77" s="112">
        <v>2600</v>
      </c>
      <c r="G77" s="113">
        <v>150</v>
      </c>
      <c r="H77" s="114">
        <f t="shared" si="6"/>
        <v>390000</v>
      </c>
    </row>
    <row r="78" spans="1:8" s="328" customFormat="1" ht="14.4" x14ac:dyDescent="0.3">
      <c r="A78" s="403"/>
      <c r="B78" s="403"/>
      <c r="C78" s="406"/>
      <c r="D78" s="567" t="s">
        <v>135</v>
      </c>
      <c r="E78" s="568" t="s">
        <v>54</v>
      </c>
      <c r="F78" s="112">
        <v>600</v>
      </c>
      <c r="G78" s="113">
        <v>150</v>
      </c>
      <c r="H78" s="114">
        <f t="shared" si="6"/>
        <v>90000</v>
      </c>
    </row>
    <row r="79" spans="1:8" s="328" customFormat="1" ht="14.4" x14ac:dyDescent="0.3">
      <c r="A79" s="403"/>
      <c r="B79" s="403"/>
      <c r="C79" s="406"/>
      <c r="D79" s="567" t="s">
        <v>98</v>
      </c>
      <c r="E79" s="568" t="s">
        <v>55</v>
      </c>
      <c r="F79" s="112">
        <v>2</v>
      </c>
      <c r="G79" s="113">
        <v>55000</v>
      </c>
      <c r="H79" s="114">
        <f t="shared" si="6"/>
        <v>110000</v>
      </c>
    </row>
    <row r="80" spans="1:8" s="328" customFormat="1" ht="14.4" x14ac:dyDescent="0.3">
      <c r="A80" s="403"/>
      <c r="B80" s="403"/>
      <c r="C80" s="406"/>
      <c r="D80" s="567" t="s">
        <v>99</v>
      </c>
      <c r="E80" s="568" t="s">
        <v>81</v>
      </c>
      <c r="F80" s="112">
        <v>1</v>
      </c>
      <c r="G80" s="113">
        <v>35000</v>
      </c>
      <c r="H80" s="114">
        <f t="shared" si="6"/>
        <v>35000</v>
      </c>
    </row>
    <row r="81" spans="1:8" s="328" customFormat="1" ht="14.4" x14ac:dyDescent="0.3">
      <c r="A81" s="403"/>
      <c r="B81" s="403"/>
      <c r="C81" s="406"/>
      <c r="D81" s="567" t="s">
        <v>115</v>
      </c>
      <c r="E81" s="568" t="s">
        <v>82</v>
      </c>
      <c r="F81" s="112">
        <v>0</v>
      </c>
      <c r="G81" s="113">
        <v>25000</v>
      </c>
      <c r="H81" s="114">
        <f t="shared" si="6"/>
        <v>0</v>
      </c>
    </row>
    <row r="82" spans="1:8" s="328" customFormat="1" ht="14.4" x14ac:dyDescent="0.3">
      <c r="A82" s="403"/>
      <c r="B82" s="403"/>
      <c r="C82" s="406"/>
      <c r="D82" s="634" t="s">
        <v>133</v>
      </c>
      <c r="E82" s="635" t="s">
        <v>82</v>
      </c>
      <c r="F82" s="190">
        <v>3</v>
      </c>
      <c r="G82" s="193">
        <v>18000</v>
      </c>
      <c r="H82" s="192">
        <f t="shared" si="6"/>
        <v>54000</v>
      </c>
    </row>
    <row r="83" spans="1:8" s="328" customFormat="1" ht="14.4" x14ac:dyDescent="0.3">
      <c r="A83" s="403"/>
      <c r="B83" s="403"/>
      <c r="C83" s="406"/>
      <c r="D83" s="634" t="s">
        <v>181</v>
      </c>
      <c r="E83" s="635"/>
      <c r="F83" s="190">
        <v>1</v>
      </c>
      <c r="G83" s="193">
        <v>70000</v>
      </c>
      <c r="H83" s="192">
        <f t="shared" si="6"/>
        <v>70000</v>
      </c>
    </row>
    <row r="84" spans="1:8" s="328" customFormat="1" thickBot="1" x14ac:dyDescent="0.35">
      <c r="A84" s="404"/>
      <c r="B84" s="404"/>
      <c r="C84" s="407"/>
      <c r="D84" s="535" t="s">
        <v>22</v>
      </c>
      <c r="E84" s="485"/>
      <c r="F84" s="485"/>
      <c r="G84" s="418"/>
      <c r="H84" s="115">
        <f>SUM(H74:H83)</f>
        <v>997500</v>
      </c>
    </row>
    <row r="85" spans="1:8" s="328" customFormat="1" ht="14.4" customHeight="1" x14ac:dyDescent="0.3">
      <c r="A85" s="403">
        <v>8</v>
      </c>
      <c r="B85" s="402" t="s">
        <v>69</v>
      </c>
      <c r="C85" s="405">
        <v>45767</v>
      </c>
      <c r="D85" s="634" t="s">
        <v>94</v>
      </c>
      <c r="E85" s="635"/>
      <c r="F85" s="190">
        <v>290</v>
      </c>
      <c r="G85" s="191">
        <v>650</v>
      </c>
      <c r="H85" s="192">
        <f t="shared" ref="H85:H94" si="7">+F85*G85</f>
        <v>188500</v>
      </c>
    </row>
    <row r="86" spans="1:8" s="328" customFormat="1" ht="14.4" x14ac:dyDescent="0.3">
      <c r="A86" s="403"/>
      <c r="B86" s="403"/>
      <c r="C86" s="406"/>
      <c r="D86" s="634" t="s">
        <v>96</v>
      </c>
      <c r="E86" s="635"/>
      <c r="F86" s="190">
        <v>1</v>
      </c>
      <c r="G86" s="191">
        <v>25000</v>
      </c>
      <c r="H86" s="192">
        <f t="shared" si="7"/>
        <v>25000</v>
      </c>
    </row>
    <row r="87" spans="1:8" s="328" customFormat="1" ht="14.4" x14ac:dyDescent="0.3">
      <c r="A87" s="403"/>
      <c r="B87" s="403"/>
      <c r="C87" s="406"/>
      <c r="D87" s="634" t="s">
        <v>97</v>
      </c>
      <c r="E87" s="635"/>
      <c r="F87" s="190">
        <v>1</v>
      </c>
      <c r="G87" s="191">
        <v>35000</v>
      </c>
      <c r="H87" s="192">
        <f t="shared" si="7"/>
        <v>35000</v>
      </c>
    </row>
    <row r="88" spans="1:8" s="328" customFormat="1" ht="14.4" x14ac:dyDescent="0.3">
      <c r="A88" s="403"/>
      <c r="B88" s="403"/>
      <c r="C88" s="406"/>
      <c r="D88" s="567" t="s">
        <v>95</v>
      </c>
      <c r="E88" s="568" t="s">
        <v>54</v>
      </c>
      <c r="F88" s="112">
        <v>2600</v>
      </c>
      <c r="G88" s="113">
        <v>150</v>
      </c>
      <c r="H88" s="114">
        <f t="shared" si="7"/>
        <v>390000</v>
      </c>
    </row>
    <row r="89" spans="1:8" s="328" customFormat="1" ht="14.4" x14ac:dyDescent="0.3">
      <c r="A89" s="403"/>
      <c r="B89" s="403"/>
      <c r="C89" s="406"/>
      <c r="D89" s="567" t="s">
        <v>135</v>
      </c>
      <c r="E89" s="568" t="s">
        <v>54</v>
      </c>
      <c r="F89" s="112">
        <v>0</v>
      </c>
      <c r="G89" s="113">
        <v>150</v>
      </c>
      <c r="H89" s="114">
        <f t="shared" si="7"/>
        <v>0</v>
      </c>
    </row>
    <row r="90" spans="1:8" s="328" customFormat="1" ht="14.4" x14ac:dyDescent="0.3">
      <c r="A90" s="403"/>
      <c r="B90" s="403"/>
      <c r="C90" s="406"/>
      <c r="D90" s="567" t="s">
        <v>98</v>
      </c>
      <c r="E90" s="568" t="s">
        <v>55</v>
      </c>
      <c r="F90" s="112">
        <v>2</v>
      </c>
      <c r="G90" s="113">
        <v>55000</v>
      </c>
      <c r="H90" s="114">
        <f t="shared" si="7"/>
        <v>110000</v>
      </c>
    </row>
    <row r="91" spans="1:8" s="328" customFormat="1" ht="14.4" x14ac:dyDescent="0.3">
      <c r="A91" s="403"/>
      <c r="B91" s="403"/>
      <c r="C91" s="406"/>
      <c r="D91" s="567" t="s">
        <v>99</v>
      </c>
      <c r="E91" s="568" t="s">
        <v>81</v>
      </c>
      <c r="F91" s="112">
        <v>1</v>
      </c>
      <c r="G91" s="113">
        <v>35000</v>
      </c>
      <c r="H91" s="114">
        <f t="shared" si="7"/>
        <v>35000</v>
      </c>
    </row>
    <row r="92" spans="1:8" s="328" customFormat="1" ht="14.4" x14ac:dyDescent="0.3">
      <c r="A92" s="403"/>
      <c r="B92" s="403"/>
      <c r="C92" s="406"/>
      <c r="D92" s="567" t="s">
        <v>115</v>
      </c>
      <c r="E92" s="568" t="s">
        <v>82</v>
      </c>
      <c r="F92" s="112">
        <v>0</v>
      </c>
      <c r="G92" s="113">
        <v>25000</v>
      </c>
      <c r="H92" s="114">
        <f t="shared" si="7"/>
        <v>0</v>
      </c>
    </row>
    <row r="93" spans="1:8" s="328" customFormat="1" ht="14.4" x14ac:dyDescent="0.3">
      <c r="A93" s="403"/>
      <c r="B93" s="403"/>
      <c r="C93" s="406"/>
      <c r="D93" s="634" t="s">
        <v>133</v>
      </c>
      <c r="E93" s="635" t="s">
        <v>82</v>
      </c>
      <c r="F93" s="190">
        <v>3</v>
      </c>
      <c r="G93" s="193">
        <v>18000</v>
      </c>
      <c r="H93" s="192">
        <f t="shared" si="7"/>
        <v>54000</v>
      </c>
    </row>
    <row r="94" spans="1:8" s="328" customFormat="1" ht="14.4" x14ac:dyDescent="0.3">
      <c r="A94" s="403"/>
      <c r="B94" s="403"/>
      <c r="C94" s="406"/>
      <c r="D94" s="634" t="s">
        <v>181</v>
      </c>
      <c r="E94" s="635"/>
      <c r="F94" s="190">
        <v>1</v>
      </c>
      <c r="G94" s="193">
        <v>70000</v>
      </c>
      <c r="H94" s="192">
        <f t="shared" si="7"/>
        <v>70000</v>
      </c>
    </row>
    <row r="95" spans="1:8" s="328" customFormat="1" thickBot="1" x14ac:dyDescent="0.35">
      <c r="A95" s="404"/>
      <c r="B95" s="404"/>
      <c r="C95" s="407"/>
      <c r="D95" s="535" t="s">
        <v>22</v>
      </c>
      <c r="E95" s="485"/>
      <c r="F95" s="485"/>
      <c r="G95" s="418"/>
      <c r="H95" s="115">
        <f>SUM(H85:H94)</f>
        <v>907500</v>
      </c>
    </row>
    <row r="96" spans="1:8" s="328" customFormat="1" ht="14.4" customHeight="1" x14ac:dyDescent="0.3">
      <c r="A96" s="403">
        <v>9</v>
      </c>
      <c r="B96" s="402" t="s">
        <v>131</v>
      </c>
      <c r="C96" s="405">
        <v>45781</v>
      </c>
      <c r="D96" s="634" t="s">
        <v>94</v>
      </c>
      <c r="E96" s="635"/>
      <c r="F96" s="190">
        <v>290</v>
      </c>
      <c r="G96" s="191">
        <v>650</v>
      </c>
      <c r="H96" s="192">
        <f t="shared" ref="H96:H105" si="8">+F96*G96</f>
        <v>188500</v>
      </c>
    </row>
    <row r="97" spans="1:8" s="328" customFormat="1" ht="14.4" x14ac:dyDescent="0.3">
      <c r="A97" s="403"/>
      <c r="B97" s="403"/>
      <c r="C97" s="406"/>
      <c r="D97" s="634" t="s">
        <v>96</v>
      </c>
      <c r="E97" s="635"/>
      <c r="F97" s="190">
        <v>1</v>
      </c>
      <c r="G97" s="191">
        <v>25000</v>
      </c>
      <c r="H97" s="192">
        <f t="shared" si="8"/>
        <v>25000</v>
      </c>
    </row>
    <row r="98" spans="1:8" s="328" customFormat="1" ht="14.4" x14ac:dyDescent="0.3">
      <c r="A98" s="403"/>
      <c r="B98" s="403"/>
      <c r="C98" s="406"/>
      <c r="D98" s="634" t="s">
        <v>97</v>
      </c>
      <c r="E98" s="635"/>
      <c r="F98" s="190">
        <v>1</v>
      </c>
      <c r="G98" s="191">
        <v>35000</v>
      </c>
      <c r="H98" s="192">
        <f t="shared" si="8"/>
        <v>35000</v>
      </c>
    </row>
    <row r="99" spans="1:8" s="328" customFormat="1" ht="14.4" x14ac:dyDescent="0.3">
      <c r="A99" s="403"/>
      <c r="B99" s="403"/>
      <c r="C99" s="406"/>
      <c r="D99" s="567" t="s">
        <v>95</v>
      </c>
      <c r="E99" s="568" t="s">
        <v>54</v>
      </c>
      <c r="F99" s="112">
        <v>2600</v>
      </c>
      <c r="G99" s="113">
        <v>150</v>
      </c>
      <c r="H99" s="114">
        <f t="shared" si="8"/>
        <v>390000</v>
      </c>
    </row>
    <row r="100" spans="1:8" s="328" customFormat="1" ht="14.4" x14ac:dyDescent="0.3">
      <c r="A100" s="403"/>
      <c r="B100" s="403"/>
      <c r="C100" s="406"/>
      <c r="D100" s="567" t="s">
        <v>135</v>
      </c>
      <c r="E100" s="568" t="s">
        <v>54</v>
      </c>
      <c r="F100" s="112">
        <v>600</v>
      </c>
      <c r="G100" s="113">
        <v>150</v>
      </c>
      <c r="H100" s="114">
        <f t="shared" si="8"/>
        <v>90000</v>
      </c>
    </row>
    <row r="101" spans="1:8" s="328" customFormat="1" ht="14.4" x14ac:dyDescent="0.3">
      <c r="A101" s="403"/>
      <c r="B101" s="403"/>
      <c r="C101" s="406"/>
      <c r="D101" s="567" t="s">
        <v>98</v>
      </c>
      <c r="E101" s="568" t="s">
        <v>55</v>
      </c>
      <c r="F101" s="112">
        <v>2</v>
      </c>
      <c r="G101" s="113">
        <v>55000</v>
      </c>
      <c r="H101" s="114">
        <f t="shared" si="8"/>
        <v>110000</v>
      </c>
    </row>
    <row r="102" spans="1:8" s="328" customFormat="1" ht="14.4" x14ac:dyDescent="0.3">
      <c r="A102" s="403"/>
      <c r="B102" s="403"/>
      <c r="C102" s="406"/>
      <c r="D102" s="567" t="s">
        <v>99</v>
      </c>
      <c r="E102" s="568" t="s">
        <v>81</v>
      </c>
      <c r="F102" s="112">
        <v>1</v>
      </c>
      <c r="G102" s="113">
        <v>35000</v>
      </c>
      <c r="H102" s="114">
        <f t="shared" si="8"/>
        <v>35000</v>
      </c>
    </row>
    <row r="103" spans="1:8" s="328" customFormat="1" ht="14.4" x14ac:dyDescent="0.3">
      <c r="A103" s="403"/>
      <c r="B103" s="403"/>
      <c r="C103" s="406"/>
      <c r="D103" s="567" t="s">
        <v>115</v>
      </c>
      <c r="E103" s="568" t="s">
        <v>82</v>
      </c>
      <c r="F103" s="112">
        <v>0</v>
      </c>
      <c r="G103" s="113">
        <v>25000</v>
      </c>
      <c r="H103" s="114">
        <f t="shared" si="8"/>
        <v>0</v>
      </c>
    </row>
    <row r="104" spans="1:8" s="328" customFormat="1" ht="14.4" x14ac:dyDescent="0.3">
      <c r="A104" s="403"/>
      <c r="B104" s="403"/>
      <c r="C104" s="406"/>
      <c r="D104" s="634" t="s">
        <v>133</v>
      </c>
      <c r="E104" s="635" t="s">
        <v>82</v>
      </c>
      <c r="F104" s="190">
        <v>3</v>
      </c>
      <c r="G104" s="193">
        <v>18000</v>
      </c>
      <c r="H104" s="192">
        <f t="shared" si="8"/>
        <v>54000</v>
      </c>
    </row>
    <row r="105" spans="1:8" s="328" customFormat="1" ht="14.4" x14ac:dyDescent="0.3">
      <c r="A105" s="403"/>
      <c r="B105" s="403"/>
      <c r="C105" s="406"/>
      <c r="D105" s="634" t="s">
        <v>181</v>
      </c>
      <c r="E105" s="635"/>
      <c r="F105" s="190">
        <v>1</v>
      </c>
      <c r="G105" s="193">
        <v>70000</v>
      </c>
      <c r="H105" s="192">
        <f t="shared" si="8"/>
        <v>70000</v>
      </c>
    </row>
    <row r="106" spans="1:8" s="328" customFormat="1" thickBot="1" x14ac:dyDescent="0.35">
      <c r="A106" s="404"/>
      <c r="B106" s="404"/>
      <c r="C106" s="407"/>
      <c r="D106" s="535" t="s">
        <v>22</v>
      </c>
      <c r="E106" s="485"/>
      <c r="F106" s="485"/>
      <c r="G106" s="418"/>
      <c r="H106" s="115">
        <f>SUM(H96:H105)</f>
        <v>997500</v>
      </c>
    </row>
    <row r="107" spans="1:8" s="328" customFormat="1" ht="14.4" customHeight="1" x14ac:dyDescent="0.3">
      <c r="A107" s="403">
        <v>10</v>
      </c>
      <c r="B107" s="402" t="s">
        <v>201</v>
      </c>
      <c r="C107" s="405">
        <v>45785</v>
      </c>
      <c r="D107" s="634" t="s">
        <v>94</v>
      </c>
      <c r="E107" s="635"/>
      <c r="F107" s="190">
        <v>290</v>
      </c>
      <c r="G107" s="191">
        <v>650</v>
      </c>
      <c r="H107" s="192">
        <f t="shared" ref="H107:H118" si="9">+F107*G107</f>
        <v>188500</v>
      </c>
    </row>
    <row r="108" spans="1:8" s="328" customFormat="1" ht="14.4" x14ac:dyDescent="0.3">
      <c r="A108" s="403"/>
      <c r="B108" s="403"/>
      <c r="C108" s="406"/>
      <c r="D108" s="634" t="s">
        <v>96</v>
      </c>
      <c r="E108" s="635"/>
      <c r="F108" s="190">
        <v>1</v>
      </c>
      <c r="G108" s="191">
        <v>25000</v>
      </c>
      <c r="H108" s="192">
        <f t="shared" si="9"/>
        <v>25000</v>
      </c>
    </row>
    <row r="109" spans="1:8" s="328" customFormat="1" ht="14.4" x14ac:dyDescent="0.3">
      <c r="A109" s="403"/>
      <c r="B109" s="403"/>
      <c r="C109" s="406"/>
      <c r="D109" s="634" t="s">
        <v>97</v>
      </c>
      <c r="E109" s="635"/>
      <c r="F109" s="190">
        <v>1</v>
      </c>
      <c r="G109" s="191">
        <v>35000</v>
      </c>
      <c r="H109" s="192">
        <f t="shared" si="9"/>
        <v>35000</v>
      </c>
    </row>
    <row r="110" spans="1:8" s="336" customFormat="1" ht="14.4" x14ac:dyDescent="0.3">
      <c r="A110" s="403"/>
      <c r="B110" s="403"/>
      <c r="C110" s="406"/>
      <c r="D110" s="567" t="s">
        <v>218</v>
      </c>
      <c r="E110" s="640"/>
      <c r="F110" s="112">
        <v>185</v>
      </c>
      <c r="G110" s="113">
        <v>900</v>
      </c>
      <c r="H110" s="114">
        <f>+F110*G110</f>
        <v>166500</v>
      </c>
    </row>
    <row r="111" spans="1:8" s="336" customFormat="1" ht="14.4" x14ac:dyDescent="0.3">
      <c r="A111" s="403"/>
      <c r="B111" s="403"/>
      <c r="C111" s="406"/>
      <c r="D111" s="567" t="s">
        <v>204</v>
      </c>
      <c r="E111" s="640"/>
      <c r="F111" s="112">
        <v>70</v>
      </c>
      <c r="G111" s="113">
        <v>400</v>
      </c>
      <c r="H111" s="114">
        <f>+F111*G111</f>
        <v>28000</v>
      </c>
    </row>
    <row r="112" spans="1:8" s="328" customFormat="1" ht="14.4" x14ac:dyDescent="0.3">
      <c r="A112" s="403"/>
      <c r="B112" s="403"/>
      <c r="C112" s="406"/>
      <c r="D112" s="567" t="s">
        <v>95</v>
      </c>
      <c r="E112" s="568" t="s">
        <v>54</v>
      </c>
      <c r="F112" s="112">
        <v>2600</v>
      </c>
      <c r="G112" s="113">
        <v>150</v>
      </c>
      <c r="H112" s="114">
        <f t="shared" si="9"/>
        <v>390000</v>
      </c>
    </row>
    <row r="113" spans="1:8" s="328" customFormat="1" ht="14.4" x14ac:dyDescent="0.3">
      <c r="A113" s="403"/>
      <c r="B113" s="403"/>
      <c r="C113" s="406"/>
      <c r="D113" s="567" t="s">
        <v>135</v>
      </c>
      <c r="E113" s="568" t="s">
        <v>54</v>
      </c>
      <c r="F113" s="112">
        <v>0</v>
      </c>
      <c r="G113" s="113">
        <v>150</v>
      </c>
      <c r="H113" s="114">
        <f t="shared" si="9"/>
        <v>0</v>
      </c>
    </row>
    <row r="114" spans="1:8" s="328" customFormat="1" ht="14.4" x14ac:dyDescent="0.3">
      <c r="A114" s="403"/>
      <c r="B114" s="403"/>
      <c r="C114" s="406"/>
      <c r="D114" s="567" t="s">
        <v>98</v>
      </c>
      <c r="E114" s="568" t="s">
        <v>55</v>
      </c>
      <c r="F114" s="112">
        <v>2</v>
      </c>
      <c r="G114" s="113">
        <v>55000</v>
      </c>
      <c r="H114" s="114">
        <f t="shared" si="9"/>
        <v>110000</v>
      </c>
    </row>
    <row r="115" spans="1:8" s="328" customFormat="1" ht="14.4" x14ac:dyDescent="0.3">
      <c r="A115" s="403"/>
      <c r="B115" s="403"/>
      <c r="C115" s="406"/>
      <c r="D115" s="567" t="s">
        <v>99</v>
      </c>
      <c r="E115" s="568" t="s">
        <v>81</v>
      </c>
      <c r="F115" s="112">
        <v>1</v>
      </c>
      <c r="G115" s="113">
        <v>35000</v>
      </c>
      <c r="H115" s="114">
        <f t="shared" si="9"/>
        <v>35000</v>
      </c>
    </row>
    <row r="116" spans="1:8" s="328" customFormat="1" ht="14.4" x14ac:dyDescent="0.3">
      <c r="A116" s="403"/>
      <c r="B116" s="403"/>
      <c r="C116" s="406"/>
      <c r="D116" s="567" t="s">
        <v>115</v>
      </c>
      <c r="E116" s="568" t="s">
        <v>82</v>
      </c>
      <c r="F116" s="112">
        <v>2</v>
      </c>
      <c r="G116" s="113">
        <v>25000</v>
      </c>
      <c r="H116" s="114">
        <f t="shared" si="9"/>
        <v>50000</v>
      </c>
    </row>
    <row r="117" spans="1:8" s="328" customFormat="1" ht="14.4" x14ac:dyDescent="0.3">
      <c r="A117" s="403"/>
      <c r="B117" s="403"/>
      <c r="C117" s="406"/>
      <c r="D117" s="634" t="s">
        <v>133</v>
      </c>
      <c r="E117" s="635" t="s">
        <v>82</v>
      </c>
      <c r="F117" s="190">
        <v>3</v>
      </c>
      <c r="G117" s="193">
        <v>18000</v>
      </c>
      <c r="H117" s="192">
        <f t="shared" si="9"/>
        <v>54000</v>
      </c>
    </row>
    <row r="118" spans="1:8" s="328" customFormat="1" ht="14.4" x14ac:dyDescent="0.3">
      <c r="A118" s="403"/>
      <c r="B118" s="403"/>
      <c r="C118" s="406"/>
      <c r="D118" s="634" t="s">
        <v>181</v>
      </c>
      <c r="E118" s="635"/>
      <c r="F118" s="190">
        <v>1</v>
      </c>
      <c r="G118" s="193">
        <v>70000</v>
      </c>
      <c r="H118" s="192">
        <f t="shared" si="9"/>
        <v>70000</v>
      </c>
    </row>
    <row r="119" spans="1:8" s="328" customFormat="1" thickBot="1" x14ac:dyDescent="0.35">
      <c r="A119" s="404"/>
      <c r="B119" s="404"/>
      <c r="C119" s="407"/>
      <c r="D119" s="535" t="s">
        <v>22</v>
      </c>
      <c r="E119" s="485"/>
      <c r="F119" s="485"/>
      <c r="G119" s="418"/>
      <c r="H119" s="115">
        <f>SUM(H107:H118)</f>
        <v>1152000</v>
      </c>
    </row>
    <row r="120" spans="1:8" s="328" customFormat="1" ht="14.4" customHeight="1" x14ac:dyDescent="0.3">
      <c r="A120" s="403">
        <v>11</v>
      </c>
      <c r="B120" s="402" t="s">
        <v>202</v>
      </c>
      <c r="C120" s="405">
        <v>45792</v>
      </c>
      <c r="D120" s="634" t="s">
        <v>94</v>
      </c>
      <c r="E120" s="635"/>
      <c r="F120" s="190">
        <v>290</v>
      </c>
      <c r="G120" s="191">
        <v>650</v>
      </c>
      <c r="H120" s="192">
        <f t="shared" ref="H120:H131" si="10">+F120*G120</f>
        <v>188500</v>
      </c>
    </row>
    <row r="121" spans="1:8" s="328" customFormat="1" ht="14.4" x14ac:dyDescent="0.3">
      <c r="A121" s="403"/>
      <c r="B121" s="403"/>
      <c r="C121" s="406"/>
      <c r="D121" s="634" t="s">
        <v>96</v>
      </c>
      <c r="E121" s="635"/>
      <c r="F121" s="190">
        <v>1</v>
      </c>
      <c r="G121" s="191">
        <v>25000</v>
      </c>
      <c r="H121" s="192">
        <f t="shared" si="10"/>
        <v>25000</v>
      </c>
    </row>
    <row r="122" spans="1:8" s="328" customFormat="1" ht="14.4" x14ac:dyDescent="0.3">
      <c r="A122" s="403"/>
      <c r="B122" s="403"/>
      <c r="C122" s="406"/>
      <c r="D122" s="634" t="s">
        <v>97</v>
      </c>
      <c r="E122" s="635"/>
      <c r="F122" s="190">
        <v>1</v>
      </c>
      <c r="G122" s="191">
        <v>35000</v>
      </c>
      <c r="H122" s="192">
        <f t="shared" si="10"/>
        <v>35000</v>
      </c>
    </row>
    <row r="123" spans="1:8" s="336" customFormat="1" ht="14.4" x14ac:dyDescent="0.3">
      <c r="A123" s="403"/>
      <c r="B123" s="403"/>
      <c r="C123" s="406"/>
      <c r="D123" s="567" t="s">
        <v>218</v>
      </c>
      <c r="E123" s="640"/>
      <c r="F123" s="112">
        <v>185</v>
      </c>
      <c r="G123" s="113">
        <v>900</v>
      </c>
      <c r="H123" s="114">
        <f>+F123*G123</f>
        <v>166500</v>
      </c>
    </row>
    <row r="124" spans="1:8" s="336" customFormat="1" ht="14.4" x14ac:dyDescent="0.3">
      <c r="A124" s="403"/>
      <c r="B124" s="403"/>
      <c r="C124" s="406"/>
      <c r="D124" s="567" t="s">
        <v>204</v>
      </c>
      <c r="E124" s="640"/>
      <c r="F124" s="112">
        <v>70</v>
      </c>
      <c r="G124" s="113">
        <v>400</v>
      </c>
      <c r="H124" s="114">
        <f>+F124*G124</f>
        <v>28000</v>
      </c>
    </row>
    <row r="125" spans="1:8" s="328" customFormat="1" ht="14.4" x14ac:dyDescent="0.3">
      <c r="A125" s="403"/>
      <c r="B125" s="403"/>
      <c r="C125" s="406"/>
      <c r="D125" s="567" t="s">
        <v>95</v>
      </c>
      <c r="E125" s="568" t="s">
        <v>54</v>
      </c>
      <c r="F125" s="112">
        <v>2600</v>
      </c>
      <c r="G125" s="113">
        <v>150</v>
      </c>
      <c r="H125" s="114">
        <f t="shared" si="10"/>
        <v>390000</v>
      </c>
    </row>
    <row r="126" spans="1:8" s="328" customFormat="1" ht="14.4" x14ac:dyDescent="0.3">
      <c r="A126" s="403"/>
      <c r="B126" s="403"/>
      <c r="C126" s="406"/>
      <c r="D126" s="567" t="s">
        <v>135</v>
      </c>
      <c r="E126" s="568" t="s">
        <v>54</v>
      </c>
      <c r="F126" s="112">
        <v>600</v>
      </c>
      <c r="G126" s="113">
        <v>150</v>
      </c>
      <c r="H126" s="114">
        <f t="shared" si="10"/>
        <v>90000</v>
      </c>
    </row>
    <row r="127" spans="1:8" s="328" customFormat="1" ht="14.4" x14ac:dyDescent="0.3">
      <c r="A127" s="403"/>
      <c r="B127" s="403"/>
      <c r="C127" s="406"/>
      <c r="D127" s="567" t="s">
        <v>98</v>
      </c>
      <c r="E127" s="568" t="s">
        <v>55</v>
      </c>
      <c r="F127" s="112">
        <v>2</v>
      </c>
      <c r="G127" s="113">
        <v>55000</v>
      </c>
      <c r="H127" s="114">
        <f t="shared" si="10"/>
        <v>110000</v>
      </c>
    </row>
    <row r="128" spans="1:8" s="328" customFormat="1" ht="14.4" x14ac:dyDescent="0.3">
      <c r="A128" s="403"/>
      <c r="B128" s="403"/>
      <c r="C128" s="406"/>
      <c r="D128" s="567" t="s">
        <v>99</v>
      </c>
      <c r="E128" s="568" t="s">
        <v>81</v>
      </c>
      <c r="F128" s="112">
        <v>1</v>
      </c>
      <c r="G128" s="113">
        <v>35000</v>
      </c>
      <c r="H128" s="114">
        <f t="shared" si="10"/>
        <v>35000</v>
      </c>
    </row>
    <row r="129" spans="1:8" s="328" customFormat="1" ht="14.4" x14ac:dyDescent="0.3">
      <c r="A129" s="403"/>
      <c r="B129" s="403"/>
      <c r="C129" s="406"/>
      <c r="D129" s="567" t="s">
        <v>115</v>
      </c>
      <c r="E129" s="568" t="s">
        <v>82</v>
      </c>
      <c r="F129" s="112">
        <v>2</v>
      </c>
      <c r="G129" s="113">
        <v>25000</v>
      </c>
      <c r="H129" s="114">
        <f t="shared" si="10"/>
        <v>50000</v>
      </c>
    </row>
    <row r="130" spans="1:8" s="328" customFormat="1" ht="14.4" x14ac:dyDescent="0.3">
      <c r="A130" s="403"/>
      <c r="B130" s="403"/>
      <c r="C130" s="406"/>
      <c r="D130" s="634" t="s">
        <v>133</v>
      </c>
      <c r="E130" s="635" t="s">
        <v>82</v>
      </c>
      <c r="F130" s="190">
        <v>3</v>
      </c>
      <c r="G130" s="193">
        <v>18000</v>
      </c>
      <c r="H130" s="192">
        <f t="shared" si="10"/>
        <v>54000</v>
      </c>
    </row>
    <row r="131" spans="1:8" s="328" customFormat="1" ht="14.4" x14ac:dyDescent="0.3">
      <c r="A131" s="403"/>
      <c r="B131" s="403"/>
      <c r="C131" s="406"/>
      <c r="D131" s="634" t="s">
        <v>181</v>
      </c>
      <c r="E131" s="635"/>
      <c r="F131" s="190">
        <v>1</v>
      </c>
      <c r="G131" s="193">
        <v>70000</v>
      </c>
      <c r="H131" s="192">
        <f t="shared" si="10"/>
        <v>70000</v>
      </c>
    </row>
    <row r="132" spans="1:8" s="328" customFormat="1" thickBot="1" x14ac:dyDescent="0.35">
      <c r="A132" s="404"/>
      <c r="B132" s="404"/>
      <c r="C132" s="407"/>
      <c r="D132" s="535" t="s">
        <v>22</v>
      </c>
      <c r="E132" s="485"/>
      <c r="F132" s="485"/>
      <c r="G132" s="418"/>
      <c r="H132" s="115">
        <f>SUM(H120:H131)</f>
        <v>1242000</v>
      </c>
    </row>
    <row r="133" spans="1:8" s="342" customFormat="1" ht="14.4" customHeight="1" x14ac:dyDescent="0.3">
      <c r="A133" s="403">
        <v>12</v>
      </c>
      <c r="B133" s="402" t="s">
        <v>24</v>
      </c>
      <c r="C133" s="405">
        <v>45849</v>
      </c>
      <c r="D133" s="634" t="s">
        <v>94</v>
      </c>
      <c r="E133" s="635"/>
      <c r="F133" s="190">
        <v>290</v>
      </c>
      <c r="G133" s="191">
        <v>650</v>
      </c>
      <c r="H133" s="192">
        <f>+F133*G133</f>
        <v>188500</v>
      </c>
    </row>
    <row r="134" spans="1:8" s="342" customFormat="1" ht="14.4" x14ac:dyDescent="0.3">
      <c r="A134" s="403"/>
      <c r="B134" s="403"/>
      <c r="C134" s="406"/>
      <c r="D134" s="634" t="s">
        <v>96</v>
      </c>
      <c r="E134" s="635"/>
      <c r="F134" s="190">
        <v>1</v>
      </c>
      <c r="G134" s="191">
        <v>25000</v>
      </c>
      <c r="H134" s="192">
        <f>+F134*G134</f>
        <v>25000</v>
      </c>
    </row>
    <row r="135" spans="1:8" s="342" customFormat="1" ht="14.4" x14ac:dyDescent="0.3">
      <c r="A135" s="403"/>
      <c r="B135" s="403"/>
      <c r="C135" s="406"/>
      <c r="D135" s="634" t="s">
        <v>97</v>
      </c>
      <c r="E135" s="635"/>
      <c r="F135" s="190">
        <v>1</v>
      </c>
      <c r="G135" s="191">
        <v>35000</v>
      </c>
      <c r="H135" s="192">
        <f>+F135*G135</f>
        <v>35000</v>
      </c>
    </row>
    <row r="136" spans="1:8" s="342" customFormat="1" ht="14.4" x14ac:dyDescent="0.3">
      <c r="A136" s="403"/>
      <c r="B136" s="403"/>
      <c r="C136" s="406"/>
      <c r="D136" s="567" t="s">
        <v>218</v>
      </c>
      <c r="E136" s="640"/>
      <c r="F136" s="112">
        <v>185</v>
      </c>
      <c r="G136" s="113">
        <v>900</v>
      </c>
      <c r="H136" s="114">
        <f>+F136*G136</f>
        <v>166500</v>
      </c>
    </row>
    <row r="137" spans="1:8" s="342" customFormat="1" ht="14.4" x14ac:dyDescent="0.3">
      <c r="A137" s="403"/>
      <c r="B137" s="403"/>
      <c r="C137" s="406"/>
      <c r="D137" s="567" t="s">
        <v>204</v>
      </c>
      <c r="E137" s="640"/>
      <c r="F137" s="112">
        <v>70</v>
      </c>
      <c r="G137" s="113">
        <v>400</v>
      </c>
      <c r="H137" s="114">
        <f>+F137*G137</f>
        <v>28000</v>
      </c>
    </row>
    <row r="138" spans="1:8" s="342" customFormat="1" ht="14.4" x14ac:dyDescent="0.3">
      <c r="A138" s="403"/>
      <c r="B138" s="403"/>
      <c r="C138" s="406"/>
      <c r="D138" s="567" t="s">
        <v>95</v>
      </c>
      <c r="E138" s="568" t="s">
        <v>54</v>
      </c>
      <c r="F138" s="112">
        <v>2600</v>
      </c>
      <c r="G138" s="113">
        <v>150</v>
      </c>
      <c r="H138" s="114">
        <f t="shared" ref="H138:H144" si="11">+F138*G138</f>
        <v>390000</v>
      </c>
    </row>
    <row r="139" spans="1:8" s="342" customFormat="1" ht="14.4" x14ac:dyDescent="0.3">
      <c r="A139" s="403"/>
      <c r="B139" s="403"/>
      <c r="C139" s="406"/>
      <c r="D139" s="567" t="s">
        <v>135</v>
      </c>
      <c r="E139" s="568" t="s">
        <v>54</v>
      </c>
      <c r="F139" s="112">
        <v>600</v>
      </c>
      <c r="G139" s="113">
        <v>150</v>
      </c>
      <c r="H139" s="114">
        <f t="shared" si="11"/>
        <v>90000</v>
      </c>
    </row>
    <row r="140" spans="1:8" s="342" customFormat="1" ht="14.4" x14ac:dyDescent="0.3">
      <c r="A140" s="403"/>
      <c r="B140" s="403"/>
      <c r="C140" s="406"/>
      <c r="D140" s="567" t="s">
        <v>98</v>
      </c>
      <c r="E140" s="568" t="s">
        <v>55</v>
      </c>
      <c r="F140" s="112">
        <v>2</v>
      </c>
      <c r="G140" s="113">
        <v>55000</v>
      </c>
      <c r="H140" s="114">
        <f t="shared" si="11"/>
        <v>110000</v>
      </c>
    </row>
    <row r="141" spans="1:8" s="342" customFormat="1" ht="14.4" x14ac:dyDescent="0.3">
      <c r="A141" s="403"/>
      <c r="B141" s="403"/>
      <c r="C141" s="406"/>
      <c r="D141" s="567" t="s">
        <v>99</v>
      </c>
      <c r="E141" s="568" t="s">
        <v>81</v>
      </c>
      <c r="F141" s="112">
        <v>1</v>
      </c>
      <c r="G141" s="113">
        <v>35000</v>
      </c>
      <c r="H141" s="114">
        <f t="shared" si="11"/>
        <v>35000</v>
      </c>
    </row>
    <row r="142" spans="1:8" s="342" customFormat="1" ht="14.4" x14ac:dyDescent="0.3">
      <c r="A142" s="403"/>
      <c r="B142" s="403"/>
      <c r="C142" s="406"/>
      <c r="D142" s="567" t="s">
        <v>115</v>
      </c>
      <c r="E142" s="568" t="s">
        <v>82</v>
      </c>
      <c r="F142" s="112">
        <v>2</v>
      </c>
      <c r="G142" s="113">
        <v>25000</v>
      </c>
      <c r="H142" s="114">
        <f t="shared" si="11"/>
        <v>50000</v>
      </c>
    </row>
    <row r="143" spans="1:8" s="342" customFormat="1" ht="14.4" x14ac:dyDescent="0.3">
      <c r="A143" s="403"/>
      <c r="B143" s="403"/>
      <c r="C143" s="406"/>
      <c r="D143" s="634" t="s">
        <v>133</v>
      </c>
      <c r="E143" s="635" t="s">
        <v>82</v>
      </c>
      <c r="F143" s="190">
        <v>3</v>
      </c>
      <c r="G143" s="193">
        <v>18000</v>
      </c>
      <c r="H143" s="192">
        <f t="shared" si="11"/>
        <v>54000</v>
      </c>
    </row>
    <row r="144" spans="1:8" s="342" customFormat="1" ht="14.4" x14ac:dyDescent="0.3">
      <c r="A144" s="403"/>
      <c r="B144" s="403"/>
      <c r="C144" s="406"/>
      <c r="D144" s="634" t="s">
        <v>181</v>
      </c>
      <c r="E144" s="635"/>
      <c r="F144" s="190">
        <v>1</v>
      </c>
      <c r="G144" s="193">
        <v>70000</v>
      </c>
      <c r="H144" s="192">
        <f t="shared" si="11"/>
        <v>70000</v>
      </c>
    </row>
    <row r="145" spans="1:8" s="342" customFormat="1" thickBot="1" x14ac:dyDescent="0.35">
      <c r="A145" s="404"/>
      <c r="B145" s="404"/>
      <c r="C145" s="407"/>
      <c r="D145" s="535" t="s">
        <v>22</v>
      </c>
      <c r="E145" s="485"/>
      <c r="F145" s="485"/>
      <c r="G145" s="418"/>
      <c r="H145" s="115">
        <f>SUM(H133:H144)</f>
        <v>1242000</v>
      </c>
    </row>
    <row r="146" spans="1:8" s="342" customFormat="1" ht="14.4" customHeight="1" x14ac:dyDescent="0.3">
      <c r="A146" s="403">
        <v>13</v>
      </c>
      <c r="B146" s="402" t="s">
        <v>43</v>
      </c>
      <c r="C146" s="405">
        <v>45865</v>
      </c>
      <c r="D146" s="634" t="s">
        <v>94</v>
      </c>
      <c r="E146" s="635"/>
      <c r="F146" s="190">
        <v>290</v>
      </c>
      <c r="G146" s="191">
        <v>650</v>
      </c>
      <c r="H146" s="192">
        <f>+F146*G146</f>
        <v>188500</v>
      </c>
    </row>
    <row r="147" spans="1:8" s="342" customFormat="1" ht="14.4" x14ac:dyDescent="0.3">
      <c r="A147" s="403"/>
      <c r="B147" s="403"/>
      <c r="C147" s="406"/>
      <c r="D147" s="634" t="s">
        <v>96</v>
      </c>
      <c r="E147" s="635"/>
      <c r="F147" s="190">
        <v>1</v>
      </c>
      <c r="G147" s="191">
        <v>25000</v>
      </c>
      <c r="H147" s="192">
        <f>+F147*G147</f>
        <v>25000</v>
      </c>
    </row>
    <row r="148" spans="1:8" s="342" customFormat="1" ht="14.4" x14ac:dyDescent="0.3">
      <c r="A148" s="403"/>
      <c r="B148" s="403"/>
      <c r="C148" s="406"/>
      <c r="D148" s="634" t="s">
        <v>97</v>
      </c>
      <c r="E148" s="635"/>
      <c r="F148" s="190">
        <v>1</v>
      </c>
      <c r="G148" s="191">
        <v>35000</v>
      </c>
      <c r="H148" s="192">
        <f>+F148*G148</f>
        <v>35000</v>
      </c>
    </row>
    <row r="149" spans="1:8" s="342" customFormat="1" ht="14.4" x14ac:dyDescent="0.3">
      <c r="A149" s="403"/>
      <c r="B149" s="403"/>
      <c r="C149" s="406"/>
      <c r="D149" s="567" t="s">
        <v>218</v>
      </c>
      <c r="E149" s="640"/>
      <c r="F149" s="112">
        <v>185</v>
      </c>
      <c r="G149" s="113">
        <v>900</v>
      </c>
      <c r="H149" s="114">
        <f>+F149*G149</f>
        <v>166500</v>
      </c>
    </row>
    <row r="150" spans="1:8" s="342" customFormat="1" ht="14.4" x14ac:dyDescent="0.3">
      <c r="A150" s="403"/>
      <c r="B150" s="403"/>
      <c r="C150" s="406"/>
      <c r="D150" s="567" t="s">
        <v>204</v>
      </c>
      <c r="E150" s="640"/>
      <c r="F150" s="112">
        <v>70</v>
      </c>
      <c r="G150" s="113">
        <v>400</v>
      </c>
      <c r="H150" s="114">
        <f>+F150*G150</f>
        <v>28000</v>
      </c>
    </row>
    <row r="151" spans="1:8" s="342" customFormat="1" ht="14.4" x14ac:dyDescent="0.3">
      <c r="A151" s="403"/>
      <c r="B151" s="403"/>
      <c r="C151" s="406"/>
      <c r="D151" s="567" t="s">
        <v>95</v>
      </c>
      <c r="E151" s="568" t="s">
        <v>54</v>
      </c>
      <c r="F151" s="112">
        <v>2600</v>
      </c>
      <c r="G151" s="113">
        <v>150</v>
      </c>
      <c r="H151" s="114">
        <f t="shared" ref="H151:H157" si="12">+F151*G151</f>
        <v>390000</v>
      </c>
    </row>
    <row r="152" spans="1:8" s="342" customFormat="1" ht="14.4" x14ac:dyDescent="0.3">
      <c r="A152" s="403"/>
      <c r="B152" s="403"/>
      <c r="C152" s="406"/>
      <c r="D152" s="567" t="s">
        <v>135</v>
      </c>
      <c r="E152" s="568" t="s">
        <v>54</v>
      </c>
      <c r="F152" s="112">
        <v>600</v>
      </c>
      <c r="G152" s="113">
        <v>150</v>
      </c>
      <c r="H152" s="114">
        <f t="shared" si="12"/>
        <v>90000</v>
      </c>
    </row>
    <row r="153" spans="1:8" s="342" customFormat="1" ht="14.4" x14ac:dyDescent="0.3">
      <c r="A153" s="403"/>
      <c r="B153" s="403"/>
      <c r="C153" s="406"/>
      <c r="D153" s="567" t="s">
        <v>98</v>
      </c>
      <c r="E153" s="568" t="s">
        <v>55</v>
      </c>
      <c r="F153" s="112">
        <v>2</v>
      </c>
      <c r="G153" s="113">
        <v>55000</v>
      </c>
      <c r="H153" s="114">
        <f t="shared" si="12"/>
        <v>110000</v>
      </c>
    </row>
    <row r="154" spans="1:8" s="342" customFormat="1" ht="14.4" x14ac:dyDescent="0.3">
      <c r="A154" s="403"/>
      <c r="B154" s="403"/>
      <c r="C154" s="406"/>
      <c r="D154" s="567" t="s">
        <v>99</v>
      </c>
      <c r="E154" s="568" t="s">
        <v>81</v>
      </c>
      <c r="F154" s="112">
        <v>1</v>
      </c>
      <c r="G154" s="113">
        <v>35000</v>
      </c>
      <c r="H154" s="114">
        <f t="shared" si="12"/>
        <v>35000</v>
      </c>
    </row>
    <row r="155" spans="1:8" s="342" customFormat="1" ht="14.4" x14ac:dyDescent="0.3">
      <c r="A155" s="403"/>
      <c r="B155" s="403"/>
      <c r="C155" s="406"/>
      <c r="D155" s="567" t="s">
        <v>115</v>
      </c>
      <c r="E155" s="568" t="s">
        <v>82</v>
      </c>
      <c r="F155" s="112">
        <v>2</v>
      </c>
      <c r="G155" s="113">
        <v>25000</v>
      </c>
      <c r="H155" s="114">
        <f t="shared" si="12"/>
        <v>50000</v>
      </c>
    </row>
    <row r="156" spans="1:8" s="342" customFormat="1" ht="14.4" x14ac:dyDescent="0.3">
      <c r="A156" s="403"/>
      <c r="B156" s="403"/>
      <c r="C156" s="406"/>
      <c r="D156" s="634" t="s">
        <v>133</v>
      </c>
      <c r="E156" s="635" t="s">
        <v>82</v>
      </c>
      <c r="F156" s="190">
        <v>3</v>
      </c>
      <c r="G156" s="193">
        <v>18000</v>
      </c>
      <c r="H156" s="192">
        <f t="shared" si="12"/>
        <v>54000</v>
      </c>
    </row>
    <row r="157" spans="1:8" s="342" customFormat="1" ht="14.4" x14ac:dyDescent="0.3">
      <c r="A157" s="403"/>
      <c r="B157" s="403"/>
      <c r="C157" s="406"/>
      <c r="D157" s="634" t="s">
        <v>181</v>
      </c>
      <c r="E157" s="635"/>
      <c r="F157" s="190">
        <v>1</v>
      </c>
      <c r="G157" s="193">
        <v>70000</v>
      </c>
      <c r="H157" s="192">
        <f t="shared" si="12"/>
        <v>70000</v>
      </c>
    </row>
    <row r="158" spans="1:8" s="342" customFormat="1" thickBot="1" x14ac:dyDescent="0.35">
      <c r="A158" s="404"/>
      <c r="B158" s="404"/>
      <c r="C158" s="407"/>
      <c r="D158" s="535" t="s">
        <v>22</v>
      </c>
      <c r="E158" s="485"/>
      <c r="F158" s="485"/>
      <c r="G158" s="418"/>
      <c r="H158" s="115">
        <f>SUM(H146:H157)</f>
        <v>1242000</v>
      </c>
    </row>
    <row r="159" spans="1:8" s="342" customFormat="1" ht="14.4" customHeight="1" x14ac:dyDescent="0.3">
      <c r="A159" s="403">
        <v>14</v>
      </c>
      <c r="B159" s="402" t="s">
        <v>219</v>
      </c>
      <c r="C159" s="405">
        <v>45887</v>
      </c>
      <c r="D159" s="634" t="s">
        <v>94</v>
      </c>
      <c r="E159" s="635"/>
      <c r="F159" s="190">
        <v>290</v>
      </c>
      <c r="G159" s="191">
        <v>650</v>
      </c>
      <c r="H159" s="192">
        <f>+F159*G159</f>
        <v>188500</v>
      </c>
    </row>
    <row r="160" spans="1:8" s="342" customFormat="1" ht="14.4" x14ac:dyDescent="0.3">
      <c r="A160" s="403"/>
      <c r="B160" s="403"/>
      <c r="C160" s="406"/>
      <c r="D160" s="634" t="s">
        <v>96</v>
      </c>
      <c r="E160" s="635"/>
      <c r="F160" s="190">
        <v>1</v>
      </c>
      <c r="G160" s="191">
        <v>25000</v>
      </c>
      <c r="H160" s="192">
        <f>+F160*G160</f>
        <v>25000</v>
      </c>
    </row>
    <row r="161" spans="1:8" s="342" customFormat="1" ht="14.4" x14ac:dyDescent="0.3">
      <c r="A161" s="403"/>
      <c r="B161" s="403"/>
      <c r="C161" s="406"/>
      <c r="D161" s="634" t="s">
        <v>97</v>
      </c>
      <c r="E161" s="635"/>
      <c r="F161" s="190">
        <v>1</v>
      </c>
      <c r="G161" s="191">
        <v>35000</v>
      </c>
      <c r="H161" s="192">
        <f>+F161*G161</f>
        <v>35000</v>
      </c>
    </row>
    <row r="162" spans="1:8" s="342" customFormat="1" ht="14.4" x14ac:dyDescent="0.3">
      <c r="A162" s="403"/>
      <c r="B162" s="403"/>
      <c r="C162" s="406"/>
      <c r="D162" s="567" t="s">
        <v>218</v>
      </c>
      <c r="E162" s="640"/>
      <c r="F162" s="112">
        <v>185</v>
      </c>
      <c r="G162" s="113">
        <v>900</v>
      </c>
      <c r="H162" s="114">
        <f>+F162*G162</f>
        <v>166500</v>
      </c>
    </row>
    <row r="163" spans="1:8" s="342" customFormat="1" ht="14.4" x14ac:dyDescent="0.3">
      <c r="A163" s="403"/>
      <c r="B163" s="403"/>
      <c r="C163" s="406"/>
      <c r="D163" s="567" t="s">
        <v>204</v>
      </c>
      <c r="E163" s="640"/>
      <c r="F163" s="112">
        <v>70</v>
      </c>
      <c r="G163" s="113">
        <v>400</v>
      </c>
      <c r="H163" s="114">
        <f>+F163*G163</f>
        <v>28000</v>
      </c>
    </row>
    <row r="164" spans="1:8" s="342" customFormat="1" ht="14.4" x14ac:dyDescent="0.3">
      <c r="A164" s="403"/>
      <c r="B164" s="403"/>
      <c r="C164" s="406"/>
      <c r="D164" s="567" t="s">
        <v>95</v>
      </c>
      <c r="E164" s="568" t="s">
        <v>54</v>
      </c>
      <c r="F164" s="112">
        <v>2600</v>
      </c>
      <c r="G164" s="113">
        <v>150</v>
      </c>
      <c r="H164" s="114">
        <f t="shared" ref="H164:H170" si="13">+F164*G164</f>
        <v>390000</v>
      </c>
    </row>
    <row r="165" spans="1:8" s="342" customFormat="1" ht="14.4" x14ac:dyDescent="0.3">
      <c r="A165" s="403"/>
      <c r="B165" s="403"/>
      <c r="C165" s="406"/>
      <c r="D165" s="567" t="s">
        <v>135</v>
      </c>
      <c r="E165" s="568" t="s">
        <v>54</v>
      </c>
      <c r="F165" s="112">
        <v>600</v>
      </c>
      <c r="G165" s="113">
        <v>150</v>
      </c>
      <c r="H165" s="114">
        <f t="shared" si="13"/>
        <v>90000</v>
      </c>
    </row>
    <row r="166" spans="1:8" s="342" customFormat="1" ht="14.4" x14ac:dyDescent="0.3">
      <c r="A166" s="403"/>
      <c r="B166" s="403"/>
      <c r="C166" s="406"/>
      <c r="D166" s="567" t="s">
        <v>98</v>
      </c>
      <c r="E166" s="568" t="s">
        <v>55</v>
      </c>
      <c r="F166" s="112">
        <v>2</v>
      </c>
      <c r="G166" s="113">
        <v>55000</v>
      </c>
      <c r="H166" s="114">
        <f t="shared" si="13"/>
        <v>110000</v>
      </c>
    </row>
    <row r="167" spans="1:8" s="342" customFormat="1" ht="14.4" x14ac:dyDescent="0.3">
      <c r="A167" s="403"/>
      <c r="B167" s="403"/>
      <c r="C167" s="406"/>
      <c r="D167" s="567" t="s">
        <v>99</v>
      </c>
      <c r="E167" s="568" t="s">
        <v>81</v>
      </c>
      <c r="F167" s="112">
        <v>1</v>
      </c>
      <c r="G167" s="113">
        <v>35000</v>
      </c>
      <c r="H167" s="114">
        <f t="shared" si="13"/>
        <v>35000</v>
      </c>
    </row>
    <row r="168" spans="1:8" s="342" customFormat="1" ht="14.4" x14ac:dyDescent="0.3">
      <c r="A168" s="403"/>
      <c r="B168" s="403"/>
      <c r="C168" s="406"/>
      <c r="D168" s="567" t="s">
        <v>115</v>
      </c>
      <c r="E168" s="568" t="s">
        <v>82</v>
      </c>
      <c r="F168" s="112">
        <v>2</v>
      </c>
      <c r="G168" s="113">
        <v>25000</v>
      </c>
      <c r="H168" s="114">
        <f t="shared" si="13"/>
        <v>50000</v>
      </c>
    </row>
    <row r="169" spans="1:8" s="342" customFormat="1" ht="14.4" x14ac:dyDescent="0.3">
      <c r="A169" s="403"/>
      <c r="B169" s="403"/>
      <c r="C169" s="406"/>
      <c r="D169" s="634" t="s">
        <v>133</v>
      </c>
      <c r="E169" s="635" t="s">
        <v>82</v>
      </c>
      <c r="F169" s="190">
        <v>3</v>
      </c>
      <c r="G169" s="193">
        <v>18000</v>
      </c>
      <c r="H169" s="192">
        <f t="shared" si="13"/>
        <v>54000</v>
      </c>
    </row>
    <row r="170" spans="1:8" s="342" customFormat="1" ht="14.4" x14ac:dyDescent="0.3">
      <c r="A170" s="403"/>
      <c r="B170" s="403"/>
      <c r="C170" s="406"/>
      <c r="D170" s="634" t="s">
        <v>181</v>
      </c>
      <c r="E170" s="635"/>
      <c r="F170" s="190">
        <v>1</v>
      </c>
      <c r="G170" s="193">
        <v>70000</v>
      </c>
      <c r="H170" s="192">
        <f t="shared" si="13"/>
        <v>70000</v>
      </c>
    </row>
    <row r="171" spans="1:8" s="342" customFormat="1" thickBot="1" x14ac:dyDescent="0.35">
      <c r="A171" s="404"/>
      <c r="B171" s="404"/>
      <c r="C171" s="407"/>
      <c r="D171" s="535" t="s">
        <v>22</v>
      </c>
      <c r="E171" s="485"/>
      <c r="F171" s="485"/>
      <c r="G171" s="418"/>
      <c r="H171" s="115">
        <f>SUM(H159:H170)</f>
        <v>1242000</v>
      </c>
    </row>
    <row r="172" spans="1:8" s="342" customFormat="1" ht="14.4" customHeight="1" x14ac:dyDescent="0.3">
      <c r="A172" s="403">
        <v>15</v>
      </c>
      <c r="B172" s="402" t="s">
        <v>220</v>
      </c>
      <c r="C172" s="405">
        <v>45900</v>
      </c>
      <c r="D172" s="634" t="s">
        <v>94</v>
      </c>
      <c r="E172" s="635"/>
      <c r="F172" s="190">
        <v>290</v>
      </c>
      <c r="G172" s="191">
        <v>650</v>
      </c>
      <c r="H172" s="192">
        <f>+F172*G172</f>
        <v>188500</v>
      </c>
    </row>
    <row r="173" spans="1:8" s="342" customFormat="1" ht="14.4" x14ac:dyDescent="0.3">
      <c r="A173" s="403"/>
      <c r="B173" s="403"/>
      <c r="C173" s="406"/>
      <c r="D173" s="634" t="s">
        <v>96</v>
      </c>
      <c r="E173" s="635"/>
      <c r="F173" s="190">
        <v>1</v>
      </c>
      <c r="G173" s="191">
        <v>25000</v>
      </c>
      <c r="H173" s="192">
        <f>+F173*G173</f>
        <v>25000</v>
      </c>
    </row>
    <row r="174" spans="1:8" s="342" customFormat="1" ht="14.4" x14ac:dyDescent="0.3">
      <c r="A174" s="403"/>
      <c r="B174" s="403"/>
      <c r="C174" s="406"/>
      <c r="D174" s="634" t="s">
        <v>97</v>
      </c>
      <c r="E174" s="635"/>
      <c r="F174" s="190">
        <v>1</v>
      </c>
      <c r="G174" s="191">
        <v>35000</v>
      </c>
      <c r="H174" s="192">
        <f>+F174*G174</f>
        <v>35000</v>
      </c>
    </row>
    <row r="175" spans="1:8" s="342" customFormat="1" ht="14.4" x14ac:dyDescent="0.3">
      <c r="A175" s="403"/>
      <c r="B175" s="403"/>
      <c r="C175" s="406"/>
      <c r="D175" s="567" t="s">
        <v>218</v>
      </c>
      <c r="E175" s="640"/>
      <c r="F175" s="112">
        <v>185</v>
      </c>
      <c r="G175" s="113">
        <v>900</v>
      </c>
      <c r="H175" s="114">
        <f>+F175*G175</f>
        <v>166500</v>
      </c>
    </row>
    <row r="176" spans="1:8" s="342" customFormat="1" ht="14.4" x14ac:dyDescent="0.3">
      <c r="A176" s="403"/>
      <c r="B176" s="403"/>
      <c r="C176" s="406"/>
      <c r="D176" s="567" t="s">
        <v>204</v>
      </c>
      <c r="E176" s="640"/>
      <c r="F176" s="112">
        <v>70</v>
      </c>
      <c r="G176" s="113">
        <v>400</v>
      </c>
      <c r="H176" s="114">
        <f>+F176*G176</f>
        <v>28000</v>
      </c>
    </row>
    <row r="177" spans="1:8" s="342" customFormat="1" ht="14.4" x14ac:dyDescent="0.3">
      <c r="A177" s="403"/>
      <c r="B177" s="403"/>
      <c r="C177" s="406"/>
      <c r="D177" s="567" t="s">
        <v>95</v>
      </c>
      <c r="E177" s="568" t="s">
        <v>54</v>
      </c>
      <c r="F177" s="112">
        <v>2600</v>
      </c>
      <c r="G177" s="113">
        <v>150</v>
      </c>
      <c r="H177" s="114">
        <f t="shared" ref="H177:H183" si="14">+F177*G177</f>
        <v>390000</v>
      </c>
    </row>
    <row r="178" spans="1:8" s="342" customFormat="1" ht="14.4" x14ac:dyDescent="0.3">
      <c r="A178" s="403"/>
      <c r="B178" s="403"/>
      <c r="C178" s="406"/>
      <c r="D178" s="567" t="s">
        <v>135</v>
      </c>
      <c r="E178" s="568" t="s">
        <v>54</v>
      </c>
      <c r="F178" s="112">
        <v>600</v>
      </c>
      <c r="G178" s="113">
        <v>150</v>
      </c>
      <c r="H178" s="114">
        <f t="shared" si="14"/>
        <v>90000</v>
      </c>
    </row>
    <row r="179" spans="1:8" s="342" customFormat="1" ht="14.4" x14ac:dyDescent="0.3">
      <c r="A179" s="403"/>
      <c r="B179" s="403"/>
      <c r="C179" s="406"/>
      <c r="D179" s="567" t="s">
        <v>98</v>
      </c>
      <c r="E179" s="568" t="s">
        <v>55</v>
      </c>
      <c r="F179" s="112">
        <v>2</v>
      </c>
      <c r="G179" s="113">
        <v>55000</v>
      </c>
      <c r="H179" s="114">
        <f t="shared" si="14"/>
        <v>110000</v>
      </c>
    </row>
    <row r="180" spans="1:8" s="342" customFormat="1" ht="14.4" x14ac:dyDescent="0.3">
      <c r="A180" s="403"/>
      <c r="B180" s="403"/>
      <c r="C180" s="406"/>
      <c r="D180" s="567" t="s">
        <v>99</v>
      </c>
      <c r="E180" s="568" t="s">
        <v>81</v>
      </c>
      <c r="F180" s="112">
        <v>1</v>
      </c>
      <c r="G180" s="113">
        <v>35000</v>
      </c>
      <c r="H180" s="114">
        <f t="shared" si="14"/>
        <v>35000</v>
      </c>
    </row>
    <row r="181" spans="1:8" s="342" customFormat="1" ht="14.4" x14ac:dyDescent="0.3">
      <c r="A181" s="403"/>
      <c r="B181" s="403"/>
      <c r="C181" s="406"/>
      <c r="D181" s="567" t="s">
        <v>115</v>
      </c>
      <c r="E181" s="568" t="s">
        <v>82</v>
      </c>
      <c r="F181" s="112">
        <v>2</v>
      </c>
      <c r="G181" s="113">
        <v>25000</v>
      </c>
      <c r="H181" s="114">
        <f t="shared" si="14"/>
        <v>50000</v>
      </c>
    </row>
    <row r="182" spans="1:8" s="342" customFormat="1" ht="14.4" x14ac:dyDescent="0.3">
      <c r="A182" s="403"/>
      <c r="B182" s="403"/>
      <c r="C182" s="406"/>
      <c r="D182" s="634" t="s">
        <v>133</v>
      </c>
      <c r="E182" s="635" t="s">
        <v>82</v>
      </c>
      <c r="F182" s="190">
        <v>3</v>
      </c>
      <c r="G182" s="193">
        <v>18000</v>
      </c>
      <c r="H182" s="192">
        <f t="shared" si="14"/>
        <v>54000</v>
      </c>
    </row>
    <row r="183" spans="1:8" s="342" customFormat="1" ht="14.4" x14ac:dyDescent="0.3">
      <c r="A183" s="403"/>
      <c r="B183" s="403"/>
      <c r="C183" s="406"/>
      <c r="D183" s="634" t="s">
        <v>181</v>
      </c>
      <c r="E183" s="635"/>
      <c r="F183" s="190">
        <v>1</v>
      </c>
      <c r="G183" s="193">
        <v>70000</v>
      </c>
      <c r="H183" s="192">
        <f t="shared" si="14"/>
        <v>70000</v>
      </c>
    </row>
    <row r="184" spans="1:8" s="342" customFormat="1" thickBot="1" x14ac:dyDescent="0.35">
      <c r="A184" s="404"/>
      <c r="B184" s="404"/>
      <c r="C184" s="407"/>
      <c r="D184" s="535" t="s">
        <v>22</v>
      </c>
      <c r="E184" s="485"/>
      <c r="F184" s="485"/>
      <c r="G184" s="418"/>
      <c r="H184" s="115">
        <f>SUM(H172:H183)</f>
        <v>1242000</v>
      </c>
    </row>
    <row r="185" spans="1:8" s="342" customFormat="1" ht="14.4" customHeight="1" x14ac:dyDescent="0.3">
      <c r="A185" s="403">
        <v>16</v>
      </c>
      <c r="B185" s="402" t="s">
        <v>51</v>
      </c>
      <c r="C185" s="405">
        <v>45927</v>
      </c>
      <c r="D185" s="634" t="s">
        <v>94</v>
      </c>
      <c r="E185" s="635"/>
      <c r="F185" s="190">
        <v>290</v>
      </c>
      <c r="G185" s="191">
        <v>650</v>
      </c>
      <c r="H185" s="192">
        <f>+F185*G185</f>
        <v>188500</v>
      </c>
    </row>
    <row r="186" spans="1:8" s="342" customFormat="1" ht="14.4" x14ac:dyDescent="0.3">
      <c r="A186" s="403"/>
      <c r="B186" s="403"/>
      <c r="C186" s="406"/>
      <c r="D186" s="634" t="s">
        <v>96</v>
      </c>
      <c r="E186" s="635"/>
      <c r="F186" s="190">
        <v>1</v>
      </c>
      <c r="G186" s="191">
        <v>25000</v>
      </c>
      <c r="H186" s="192">
        <f>+F186*G186</f>
        <v>25000</v>
      </c>
    </row>
    <row r="187" spans="1:8" s="342" customFormat="1" ht="14.4" x14ac:dyDescent="0.3">
      <c r="A187" s="403"/>
      <c r="B187" s="403"/>
      <c r="C187" s="406"/>
      <c r="D187" s="634" t="s">
        <v>97</v>
      </c>
      <c r="E187" s="635"/>
      <c r="F187" s="190">
        <v>1</v>
      </c>
      <c r="G187" s="191">
        <v>35000</v>
      </c>
      <c r="H187" s="192">
        <f>+F187*G187</f>
        <v>35000</v>
      </c>
    </row>
    <row r="188" spans="1:8" s="342" customFormat="1" ht="14.4" x14ac:dyDescent="0.3">
      <c r="A188" s="403"/>
      <c r="B188" s="403"/>
      <c r="C188" s="406"/>
      <c r="D188" s="567" t="s">
        <v>218</v>
      </c>
      <c r="E188" s="640"/>
      <c r="F188" s="112">
        <v>185</v>
      </c>
      <c r="G188" s="113">
        <v>900</v>
      </c>
      <c r="H188" s="114">
        <f>+F188*G188</f>
        <v>166500</v>
      </c>
    </row>
    <row r="189" spans="1:8" s="342" customFormat="1" ht="14.4" x14ac:dyDescent="0.3">
      <c r="A189" s="403"/>
      <c r="B189" s="403"/>
      <c r="C189" s="406"/>
      <c r="D189" s="567" t="s">
        <v>204</v>
      </c>
      <c r="E189" s="640"/>
      <c r="F189" s="112">
        <v>70</v>
      </c>
      <c r="G189" s="113">
        <v>400</v>
      </c>
      <c r="H189" s="114">
        <f>+F189*G189</f>
        <v>28000</v>
      </c>
    </row>
    <row r="190" spans="1:8" s="342" customFormat="1" ht="14.4" x14ac:dyDescent="0.3">
      <c r="A190" s="403"/>
      <c r="B190" s="403"/>
      <c r="C190" s="406"/>
      <c r="D190" s="567" t="s">
        <v>95</v>
      </c>
      <c r="E190" s="568" t="s">
        <v>54</v>
      </c>
      <c r="F190" s="112">
        <v>2600</v>
      </c>
      <c r="G190" s="113">
        <v>150</v>
      </c>
      <c r="H190" s="114">
        <f t="shared" ref="H190:H196" si="15">+F190*G190</f>
        <v>390000</v>
      </c>
    </row>
    <row r="191" spans="1:8" s="342" customFormat="1" ht="14.4" x14ac:dyDescent="0.3">
      <c r="A191" s="403"/>
      <c r="B191" s="403"/>
      <c r="C191" s="406"/>
      <c r="D191" s="567" t="s">
        <v>135</v>
      </c>
      <c r="E191" s="568" t="s">
        <v>54</v>
      </c>
      <c r="F191" s="112">
        <v>600</v>
      </c>
      <c r="G191" s="113">
        <v>150</v>
      </c>
      <c r="H191" s="114">
        <f t="shared" si="15"/>
        <v>90000</v>
      </c>
    </row>
    <row r="192" spans="1:8" s="342" customFormat="1" ht="14.4" x14ac:dyDescent="0.3">
      <c r="A192" s="403"/>
      <c r="B192" s="403"/>
      <c r="C192" s="406"/>
      <c r="D192" s="567" t="s">
        <v>98</v>
      </c>
      <c r="E192" s="568" t="s">
        <v>55</v>
      </c>
      <c r="F192" s="112">
        <v>2</v>
      </c>
      <c r="G192" s="113">
        <v>55000</v>
      </c>
      <c r="H192" s="114">
        <f t="shared" si="15"/>
        <v>110000</v>
      </c>
    </row>
    <row r="193" spans="1:8" s="342" customFormat="1" ht="14.4" x14ac:dyDescent="0.3">
      <c r="A193" s="403"/>
      <c r="B193" s="403"/>
      <c r="C193" s="406"/>
      <c r="D193" s="567" t="s">
        <v>99</v>
      </c>
      <c r="E193" s="568" t="s">
        <v>81</v>
      </c>
      <c r="F193" s="112">
        <v>1</v>
      </c>
      <c r="G193" s="113">
        <v>35000</v>
      </c>
      <c r="H193" s="114">
        <f t="shared" si="15"/>
        <v>35000</v>
      </c>
    </row>
    <row r="194" spans="1:8" s="342" customFormat="1" ht="14.4" x14ac:dyDescent="0.3">
      <c r="A194" s="403"/>
      <c r="B194" s="403"/>
      <c r="C194" s="406"/>
      <c r="D194" s="567" t="s">
        <v>115</v>
      </c>
      <c r="E194" s="568" t="s">
        <v>82</v>
      </c>
      <c r="F194" s="112">
        <v>2</v>
      </c>
      <c r="G194" s="113">
        <v>25000</v>
      </c>
      <c r="H194" s="114">
        <f t="shared" si="15"/>
        <v>50000</v>
      </c>
    </row>
    <row r="195" spans="1:8" s="342" customFormat="1" ht="14.4" x14ac:dyDescent="0.3">
      <c r="A195" s="403"/>
      <c r="B195" s="403"/>
      <c r="C195" s="406"/>
      <c r="D195" s="634" t="s">
        <v>133</v>
      </c>
      <c r="E195" s="635" t="s">
        <v>82</v>
      </c>
      <c r="F195" s="190">
        <v>3</v>
      </c>
      <c r="G195" s="193">
        <v>18000</v>
      </c>
      <c r="H195" s="192">
        <f t="shared" si="15"/>
        <v>54000</v>
      </c>
    </row>
    <row r="196" spans="1:8" s="342" customFormat="1" ht="14.4" x14ac:dyDescent="0.3">
      <c r="A196" s="403"/>
      <c r="B196" s="403"/>
      <c r="C196" s="406"/>
      <c r="D196" s="634" t="s">
        <v>181</v>
      </c>
      <c r="E196" s="635"/>
      <c r="F196" s="190">
        <v>1</v>
      </c>
      <c r="G196" s="193">
        <v>70000</v>
      </c>
      <c r="H196" s="192">
        <f t="shared" si="15"/>
        <v>70000</v>
      </c>
    </row>
    <row r="197" spans="1:8" s="342" customFormat="1" thickBot="1" x14ac:dyDescent="0.35">
      <c r="A197" s="404"/>
      <c r="B197" s="404"/>
      <c r="C197" s="407"/>
      <c r="D197" s="535" t="s">
        <v>22</v>
      </c>
      <c r="E197" s="485"/>
      <c r="F197" s="485"/>
      <c r="G197" s="418"/>
      <c r="H197" s="115">
        <f>SUM(H185:H196)</f>
        <v>1242000</v>
      </c>
    </row>
    <row r="198" spans="1:8" s="342" customFormat="1" ht="14.4" customHeight="1" x14ac:dyDescent="0.3">
      <c r="A198" s="403">
        <v>17</v>
      </c>
      <c r="B198" s="402" t="s">
        <v>38</v>
      </c>
      <c r="C198" s="405">
        <v>45935</v>
      </c>
      <c r="D198" s="634" t="s">
        <v>94</v>
      </c>
      <c r="E198" s="635"/>
      <c r="F198" s="190">
        <v>290</v>
      </c>
      <c r="G198" s="191">
        <v>650</v>
      </c>
      <c r="H198" s="192">
        <f>+F198*G198</f>
        <v>188500</v>
      </c>
    </row>
    <row r="199" spans="1:8" s="342" customFormat="1" ht="14.4" x14ac:dyDescent="0.3">
      <c r="A199" s="403"/>
      <c r="B199" s="403"/>
      <c r="C199" s="406"/>
      <c r="D199" s="634" t="s">
        <v>96</v>
      </c>
      <c r="E199" s="635"/>
      <c r="F199" s="190">
        <v>1</v>
      </c>
      <c r="G199" s="191">
        <v>25000</v>
      </c>
      <c r="H199" s="192">
        <f>+F199*G199</f>
        <v>25000</v>
      </c>
    </row>
    <row r="200" spans="1:8" s="342" customFormat="1" ht="14.4" x14ac:dyDescent="0.3">
      <c r="A200" s="403"/>
      <c r="B200" s="403"/>
      <c r="C200" s="406"/>
      <c r="D200" s="634" t="s">
        <v>97</v>
      </c>
      <c r="E200" s="635"/>
      <c r="F200" s="190">
        <v>1</v>
      </c>
      <c r="G200" s="191">
        <v>35000</v>
      </c>
      <c r="H200" s="192">
        <f>+F200*G200</f>
        <v>35000</v>
      </c>
    </row>
    <row r="201" spans="1:8" s="342" customFormat="1" ht="14.4" x14ac:dyDescent="0.3">
      <c r="A201" s="403"/>
      <c r="B201" s="403"/>
      <c r="C201" s="406"/>
      <c r="D201" s="567" t="s">
        <v>218</v>
      </c>
      <c r="E201" s="640"/>
      <c r="F201" s="112">
        <v>185</v>
      </c>
      <c r="G201" s="113">
        <v>900</v>
      </c>
      <c r="H201" s="114">
        <f>+F201*G201</f>
        <v>166500</v>
      </c>
    </row>
    <row r="202" spans="1:8" s="342" customFormat="1" ht="14.4" x14ac:dyDescent="0.3">
      <c r="A202" s="403"/>
      <c r="B202" s="403"/>
      <c r="C202" s="406"/>
      <c r="D202" s="567" t="s">
        <v>204</v>
      </c>
      <c r="E202" s="640"/>
      <c r="F202" s="112">
        <v>70</v>
      </c>
      <c r="G202" s="113">
        <v>400</v>
      </c>
      <c r="H202" s="114">
        <f>+F202*G202</f>
        <v>28000</v>
      </c>
    </row>
    <row r="203" spans="1:8" s="342" customFormat="1" ht="14.4" x14ac:dyDescent="0.3">
      <c r="A203" s="403"/>
      <c r="B203" s="403"/>
      <c r="C203" s="406"/>
      <c r="D203" s="567" t="s">
        <v>95</v>
      </c>
      <c r="E203" s="568" t="s">
        <v>54</v>
      </c>
      <c r="F203" s="112">
        <v>2600</v>
      </c>
      <c r="G203" s="113">
        <v>150</v>
      </c>
      <c r="H203" s="114">
        <f t="shared" ref="H203:H209" si="16">+F203*G203</f>
        <v>390000</v>
      </c>
    </row>
    <row r="204" spans="1:8" s="342" customFormat="1" ht="14.4" x14ac:dyDescent="0.3">
      <c r="A204" s="403"/>
      <c r="B204" s="403"/>
      <c r="C204" s="406"/>
      <c r="D204" s="567" t="s">
        <v>135</v>
      </c>
      <c r="E204" s="568" t="s">
        <v>54</v>
      </c>
      <c r="F204" s="112">
        <v>600</v>
      </c>
      <c r="G204" s="113">
        <v>150</v>
      </c>
      <c r="H204" s="114">
        <f t="shared" si="16"/>
        <v>90000</v>
      </c>
    </row>
    <row r="205" spans="1:8" s="342" customFormat="1" ht="14.4" x14ac:dyDescent="0.3">
      <c r="A205" s="403"/>
      <c r="B205" s="403"/>
      <c r="C205" s="406"/>
      <c r="D205" s="567" t="s">
        <v>98</v>
      </c>
      <c r="E205" s="568" t="s">
        <v>55</v>
      </c>
      <c r="F205" s="112">
        <v>2</v>
      </c>
      <c r="G205" s="113">
        <v>55000</v>
      </c>
      <c r="H205" s="114">
        <f t="shared" si="16"/>
        <v>110000</v>
      </c>
    </row>
    <row r="206" spans="1:8" s="342" customFormat="1" ht="14.4" x14ac:dyDescent="0.3">
      <c r="A206" s="403"/>
      <c r="B206" s="403"/>
      <c r="C206" s="406"/>
      <c r="D206" s="567" t="s">
        <v>99</v>
      </c>
      <c r="E206" s="568" t="s">
        <v>81</v>
      </c>
      <c r="F206" s="112">
        <v>1</v>
      </c>
      <c r="G206" s="113">
        <v>35000</v>
      </c>
      <c r="H206" s="114">
        <f t="shared" si="16"/>
        <v>35000</v>
      </c>
    </row>
    <row r="207" spans="1:8" s="342" customFormat="1" ht="14.4" x14ac:dyDescent="0.3">
      <c r="A207" s="403"/>
      <c r="B207" s="403"/>
      <c r="C207" s="406"/>
      <c r="D207" s="567" t="s">
        <v>115</v>
      </c>
      <c r="E207" s="568" t="s">
        <v>82</v>
      </c>
      <c r="F207" s="112">
        <v>2</v>
      </c>
      <c r="G207" s="113">
        <v>25000</v>
      </c>
      <c r="H207" s="114">
        <f t="shared" si="16"/>
        <v>50000</v>
      </c>
    </row>
    <row r="208" spans="1:8" s="342" customFormat="1" ht="14.4" x14ac:dyDescent="0.3">
      <c r="A208" s="403"/>
      <c r="B208" s="403"/>
      <c r="C208" s="406"/>
      <c r="D208" s="634" t="s">
        <v>133</v>
      </c>
      <c r="E208" s="635" t="s">
        <v>82</v>
      </c>
      <c r="F208" s="190">
        <v>3</v>
      </c>
      <c r="G208" s="193">
        <v>18000</v>
      </c>
      <c r="H208" s="192">
        <f t="shared" si="16"/>
        <v>54000</v>
      </c>
    </row>
    <row r="209" spans="1:8" s="342" customFormat="1" ht="14.4" x14ac:dyDescent="0.3">
      <c r="A209" s="403"/>
      <c r="B209" s="403"/>
      <c r="C209" s="406"/>
      <c r="D209" s="634" t="s">
        <v>181</v>
      </c>
      <c r="E209" s="635"/>
      <c r="F209" s="190">
        <v>1</v>
      </c>
      <c r="G209" s="193">
        <v>70000</v>
      </c>
      <c r="H209" s="192">
        <f t="shared" si="16"/>
        <v>70000</v>
      </c>
    </row>
    <row r="210" spans="1:8" s="342" customFormat="1" thickBot="1" x14ac:dyDescent="0.35">
      <c r="A210" s="404"/>
      <c r="B210" s="404"/>
      <c r="C210" s="407"/>
      <c r="D210" s="535" t="s">
        <v>22</v>
      </c>
      <c r="E210" s="485"/>
      <c r="F210" s="485"/>
      <c r="G210" s="418"/>
      <c r="H210" s="115">
        <f>SUM(H198:H209)</f>
        <v>1242000</v>
      </c>
    </row>
    <row r="211" spans="1:8" s="342" customFormat="1" ht="14.4" customHeight="1" x14ac:dyDescent="0.3">
      <c r="A211" s="403">
        <v>18</v>
      </c>
      <c r="B211" s="402" t="s">
        <v>221</v>
      </c>
      <c r="C211" s="405">
        <v>45948</v>
      </c>
      <c r="D211" s="634" t="s">
        <v>94</v>
      </c>
      <c r="E211" s="635"/>
      <c r="F211" s="190">
        <v>290</v>
      </c>
      <c r="G211" s="191">
        <v>650</v>
      </c>
      <c r="H211" s="192">
        <f>+F211*G211</f>
        <v>188500</v>
      </c>
    </row>
    <row r="212" spans="1:8" s="342" customFormat="1" ht="14.4" x14ac:dyDescent="0.3">
      <c r="A212" s="403"/>
      <c r="B212" s="403"/>
      <c r="C212" s="406"/>
      <c r="D212" s="634" t="s">
        <v>96</v>
      </c>
      <c r="E212" s="635"/>
      <c r="F212" s="190">
        <v>1</v>
      </c>
      <c r="G212" s="191">
        <v>25000</v>
      </c>
      <c r="H212" s="192">
        <f>+F212*G212</f>
        <v>25000</v>
      </c>
    </row>
    <row r="213" spans="1:8" s="342" customFormat="1" ht="14.4" x14ac:dyDescent="0.3">
      <c r="A213" s="403"/>
      <c r="B213" s="403"/>
      <c r="C213" s="406"/>
      <c r="D213" s="634" t="s">
        <v>97</v>
      </c>
      <c r="E213" s="635"/>
      <c r="F213" s="190">
        <v>1</v>
      </c>
      <c r="G213" s="191">
        <v>35000</v>
      </c>
      <c r="H213" s="192">
        <f>+F213*G213</f>
        <v>35000</v>
      </c>
    </row>
    <row r="214" spans="1:8" s="342" customFormat="1" ht="14.4" x14ac:dyDescent="0.3">
      <c r="A214" s="403"/>
      <c r="B214" s="403"/>
      <c r="C214" s="406"/>
      <c r="D214" s="567" t="s">
        <v>218</v>
      </c>
      <c r="E214" s="640"/>
      <c r="F214" s="112">
        <v>185</v>
      </c>
      <c r="G214" s="113">
        <v>900</v>
      </c>
      <c r="H214" s="114">
        <f>+F214*G214</f>
        <v>166500</v>
      </c>
    </row>
    <row r="215" spans="1:8" s="342" customFormat="1" ht="14.4" x14ac:dyDescent="0.3">
      <c r="A215" s="403"/>
      <c r="B215" s="403"/>
      <c r="C215" s="406"/>
      <c r="D215" s="567" t="s">
        <v>204</v>
      </c>
      <c r="E215" s="640"/>
      <c r="F215" s="112">
        <v>70</v>
      </c>
      <c r="G215" s="113">
        <v>400</v>
      </c>
      <c r="H215" s="114">
        <f>+F215*G215</f>
        <v>28000</v>
      </c>
    </row>
    <row r="216" spans="1:8" s="342" customFormat="1" ht="14.4" x14ac:dyDescent="0.3">
      <c r="A216" s="403"/>
      <c r="B216" s="403"/>
      <c r="C216" s="406"/>
      <c r="D216" s="567" t="s">
        <v>95</v>
      </c>
      <c r="E216" s="568" t="s">
        <v>54</v>
      </c>
      <c r="F216" s="112">
        <v>2600</v>
      </c>
      <c r="G216" s="113">
        <v>150</v>
      </c>
      <c r="H216" s="114">
        <f t="shared" ref="H216:H222" si="17">+F216*G216</f>
        <v>390000</v>
      </c>
    </row>
    <row r="217" spans="1:8" s="342" customFormat="1" ht="14.4" x14ac:dyDescent="0.3">
      <c r="A217" s="403"/>
      <c r="B217" s="403"/>
      <c r="C217" s="406"/>
      <c r="D217" s="567" t="s">
        <v>135</v>
      </c>
      <c r="E217" s="568" t="s">
        <v>54</v>
      </c>
      <c r="F217" s="112">
        <v>600</v>
      </c>
      <c r="G217" s="113">
        <v>150</v>
      </c>
      <c r="H217" s="114">
        <f t="shared" si="17"/>
        <v>90000</v>
      </c>
    </row>
    <row r="218" spans="1:8" s="342" customFormat="1" ht="14.4" x14ac:dyDescent="0.3">
      <c r="A218" s="403"/>
      <c r="B218" s="403"/>
      <c r="C218" s="406"/>
      <c r="D218" s="567" t="s">
        <v>98</v>
      </c>
      <c r="E218" s="568" t="s">
        <v>55</v>
      </c>
      <c r="F218" s="112">
        <v>2</v>
      </c>
      <c r="G218" s="113">
        <v>55000</v>
      </c>
      <c r="H218" s="114">
        <f t="shared" si="17"/>
        <v>110000</v>
      </c>
    </row>
    <row r="219" spans="1:8" s="342" customFormat="1" ht="14.4" x14ac:dyDescent="0.3">
      <c r="A219" s="403"/>
      <c r="B219" s="403"/>
      <c r="C219" s="406"/>
      <c r="D219" s="567" t="s">
        <v>99</v>
      </c>
      <c r="E219" s="568" t="s">
        <v>81</v>
      </c>
      <c r="F219" s="112">
        <v>1</v>
      </c>
      <c r="G219" s="113">
        <v>35000</v>
      </c>
      <c r="H219" s="114">
        <f t="shared" si="17"/>
        <v>35000</v>
      </c>
    </row>
    <row r="220" spans="1:8" s="342" customFormat="1" ht="14.4" x14ac:dyDescent="0.3">
      <c r="A220" s="403"/>
      <c r="B220" s="403"/>
      <c r="C220" s="406"/>
      <c r="D220" s="567" t="s">
        <v>115</v>
      </c>
      <c r="E220" s="568" t="s">
        <v>82</v>
      </c>
      <c r="F220" s="112">
        <v>2</v>
      </c>
      <c r="G220" s="113">
        <v>25000</v>
      </c>
      <c r="H220" s="114">
        <f t="shared" si="17"/>
        <v>50000</v>
      </c>
    </row>
    <row r="221" spans="1:8" s="342" customFormat="1" ht="14.4" x14ac:dyDescent="0.3">
      <c r="A221" s="403"/>
      <c r="B221" s="403"/>
      <c r="C221" s="406"/>
      <c r="D221" s="634" t="s">
        <v>133</v>
      </c>
      <c r="E221" s="635" t="s">
        <v>82</v>
      </c>
      <c r="F221" s="190">
        <v>3</v>
      </c>
      <c r="G221" s="193">
        <v>18000</v>
      </c>
      <c r="H221" s="192">
        <f t="shared" si="17"/>
        <v>54000</v>
      </c>
    </row>
    <row r="222" spans="1:8" s="342" customFormat="1" ht="14.4" x14ac:dyDescent="0.3">
      <c r="A222" s="403"/>
      <c r="B222" s="403"/>
      <c r="C222" s="406"/>
      <c r="D222" s="634" t="s">
        <v>181</v>
      </c>
      <c r="E222" s="635"/>
      <c r="F222" s="190">
        <v>1</v>
      </c>
      <c r="G222" s="193">
        <v>70000</v>
      </c>
      <c r="H222" s="192">
        <f t="shared" si="17"/>
        <v>70000</v>
      </c>
    </row>
    <row r="223" spans="1:8" s="342" customFormat="1" thickBot="1" x14ac:dyDescent="0.35">
      <c r="A223" s="404"/>
      <c r="B223" s="404"/>
      <c r="C223" s="407"/>
      <c r="D223" s="535" t="s">
        <v>22</v>
      </c>
      <c r="E223" s="485"/>
      <c r="F223" s="485"/>
      <c r="G223" s="418"/>
      <c r="H223" s="115">
        <f>SUM(H211:H222)</f>
        <v>1242000</v>
      </c>
    </row>
    <row r="224" spans="1:8" s="342" customFormat="1" ht="14.4" customHeight="1" x14ac:dyDescent="0.3">
      <c r="A224" s="403">
        <v>19</v>
      </c>
      <c r="B224" s="402" t="s">
        <v>26</v>
      </c>
      <c r="C224" s="405">
        <v>45969</v>
      </c>
      <c r="D224" s="634" t="s">
        <v>94</v>
      </c>
      <c r="E224" s="635"/>
      <c r="F224" s="190">
        <v>290</v>
      </c>
      <c r="G224" s="191">
        <v>650</v>
      </c>
      <c r="H224" s="192">
        <f>+F224*G224</f>
        <v>188500</v>
      </c>
    </row>
    <row r="225" spans="1:8" s="342" customFormat="1" ht="14.4" x14ac:dyDescent="0.3">
      <c r="A225" s="403"/>
      <c r="B225" s="403"/>
      <c r="C225" s="406"/>
      <c r="D225" s="634" t="s">
        <v>96</v>
      </c>
      <c r="E225" s="635"/>
      <c r="F225" s="190">
        <v>1</v>
      </c>
      <c r="G225" s="191">
        <v>25000</v>
      </c>
      <c r="H225" s="192">
        <f>+F225*G225</f>
        <v>25000</v>
      </c>
    </row>
    <row r="226" spans="1:8" s="342" customFormat="1" ht="14.4" x14ac:dyDescent="0.3">
      <c r="A226" s="403"/>
      <c r="B226" s="403"/>
      <c r="C226" s="406"/>
      <c r="D226" s="634" t="s">
        <v>97</v>
      </c>
      <c r="E226" s="635"/>
      <c r="F226" s="190">
        <v>1</v>
      </c>
      <c r="G226" s="191">
        <v>35000</v>
      </c>
      <c r="H226" s="192">
        <f>+F226*G226</f>
        <v>35000</v>
      </c>
    </row>
    <row r="227" spans="1:8" s="342" customFormat="1" ht="14.4" x14ac:dyDescent="0.3">
      <c r="A227" s="403"/>
      <c r="B227" s="403"/>
      <c r="C227" s="406"/>
      <c r="D227" s="567" t="s">
        <v>218</v>
      </c>
      <c r="E227" s="640"/>
      <c r="F227" s="112">
        <v>185</v>
      </c>
      <c r="G227" s="113">
        <v>900</v>
      </c>
      <c r="H227" s="114">
        <f>+F227*G227</f>
        <v>166500</v>
      </c>
    </row>
    <row r="228" spans="1:8" s="342" customFormat="1" ht="14.4" x14ac:dyDescent="0.3">
      <c r="A228" s="403"/>
      <c r="B228" s="403"/>
      <c r="C228" s="406"/>
      <c r="D228" s="567" t="s">
        <v>204</v>
      </c>
      <c r="E228" s="640"/>
      <c r="F228" s="112">
        <v>70</v>
      </c>
      <c r="G228" s="113">
        <v>400</v>
      </c>
      <c r="H228" s="114">
        <f>+F228*G228</f>
        <v>28000</v>
      </c>
    </row>
    <row r="229" spans="1:8" s="342" customFormat="1" ht="14.4" x14ac:dyDescent="0.3">
      <c r="A229" s="403"/>
      <c r="B229" s="403"/>
      <c r="C229" s="406"/>
      <c r="D229" s="567" t="s">
        <v>95</v>
      </c>
      <c r="E229" s="568" t="s">
        <v>54</v>
      </c>
      <c r="F229" s="112">
        <v>2600</v>
      </c>
      <c r="G229" s="113">
        <v>150</v>
      </c>
      <c r="H229" s="114">
        <f t="shared" ref="H229:H235" si="18">+F229*G229</f>
        <v>390000</v>
      </c>
    </row>
    <row r="230" spans="1:8" s="342" customFormat="1" ht="14.4" x14ac:dyDescent="0.3">
      <c r="A230" s="403"/>
      <c r="B230" s="403"/>
      <c r="C230" s="406"/>
      <c r="D230" s="567" t="s">
        <v>135</v>
      </c>
      <c r="E230" s="568" t="s">
        <v>54</v>
      </c>
      <c r="F230" s="112">
        <v>600</v>
      </c>
      <c r="G230" s="113">
        <v>150</v>
      </c>
      <c r="H230" s="114">
        <f t="shared" si="18"/>
        <v>90000</v>
      </c>
    </row>
    <row r="231" spans="1:8" s="342" customFormat="1" ht="14.4" x14ac:dyDescent="0.3">
      <c r="A231" s="403"/>
      <c r="B231" s="403"/>
      <c r="C231" s="406"/>
      <c r="D231" s="567" t="s">
        <v>98</v>
      </c>
      <c r="E231" s="568" t="s">
        <v>55</v>
      </c>
      <c r="F231" s="112">
        <v>2</v>
      </c>
      <c r="G231" s="113">
        <v>55000</v>
      </c>
      <c r="H231" s="114">
        <f t="shared" si="18"/>
        <v>110000</v>
      </c>
    </row>
    <row r="232" spans="1:8" s="342" customFormat="1" ht="14.4" x14ac:dyDescent="0.3">
      <c r="A232" s="403"/>
      <c r="B232" s="403"/>
      <c r="C232" s="406"/>
      <c r="D232" s="567" t="s">
        <v>99</v>
      </c>
      <c r="E232" s="568" t="s">
        <v>81</v>
      </c>
      <c r="F232" s="112">
        <v>1</v>
      </c>
      <c r="G232" s="113">
        <v>35000</v>
      </c>
      <c r="H232" s="114">
        <f t="shared" si="18"/>
        <v>35000</v>
      </c>
    </row>
    <row r="233" spans="1:8" s="342" customFormat="1" ht="14.4" x14ac:dyDescent="0.3">
      <c r="A233" s="403"/>
      <c r="B233" s="403"/>
      <c r="C233" s="406"/>
      <c r="D233" s="567" t="s">
        <v>115</v>
      </c>
      <c r="E233" s="568" t="s">
        <v>82</v>
      </c>
      <c r="F233" s="112">
        <v>2</v>
      </c>
      <c r="G233" s="113">
        <v>25000</v>
      </c>
      <c r="H233" s="114">
        <f t="shared" si="18"/>
        <v>50000</v>
      </c>
    </row>
    <row r="234" spans="1:8" s="342" customFormat="1" ht="14.4" x14ac:dyDescent="0.3">
      <c r="A234" s="403"/>
      <c r="B234" s="403"/>
      <c r="C234" s="406"/>
      <c r="D234" s="634" t="s">
        <v>133</v>
      </c>
      <c r="E234" s="635" t="s">
        <v>82</v>
      </c>
      <c r="F234" s="190">
        <v>3</v>
      </c>
      <c r="G234" s="193">
        <v>18000</v>
      </c>
      <c r="H234" s="192">
        <f t="shared" si="18"/>
        <v>54000</v>
      </c>
    </row>
    <row r="235" spans="1:8" s="342" customFormat="1" ht="14.4" x14ac:dyDescent="0.3">
      <c r="A235" s="403"/>
      <c r="B235" s="403"/>
      <c r="C235" s="406"/>
      <c r="D235" s="634" t="s">
        <v>181</v>
      </c>
      <c r="E235" s="635"/>
      <c r="F235" s="190">
        <v>1</v>
      </c>
      <c r="G235" s="193">
        <v>70000</v>
      </c>
      <c r="H235" s="192">
        <f t="shared" si="18"/>
        <v>70000</v>
      </c>
    </row>
    <row r="236" spans="1:8" s="342" customFormat="1" thickBot="1" x14ac:dyDescent="0.35">
      <c r="A236" s="404"/>
      <c r="B236" s="404"/>
      <c r="C236" s="407"/>
      <c r="D236" s="535" t="s">
        <v>22</v>
      </c>
      <c r="E236" s="485"/>
      <c r="F236" s="485"/>
      <c r="G236" s="418"/>
      <c r="H236" s="115">
        <f>SUM(H224:H235)</f>
        <v>1242000</v>
      </c>
    </row>
    <row r="237" spans="1:8" ht="14.4" x14ac:dyDescent="0.3">
      <c r="A237" s="176"/>
      <c r="B237" s="176"/>
      <c r="C237" s="177"/>
      <c r="D237" s="36"/>
      <c r="E237" s="36"/>
      <c r="F237" s="36"/>
      <c r="G237" s="36"/>
      <c r="H237" s="178"/>
    </row>
    <row r="238" spans="1:8" ht="14.4" x14ac:dyDescent="0.3">
      <c r="A238" s="152"/>
      <c r="B238" s="152"/>
      <c r="C238" s="153"/>
      <c r="D238" s="154"/>
      <c r="E238" s="154"/>
      <c r="F238" s="154"/>
      <c r="G238" s="154"/>
      <c r="H238" s="155"/>
    </row>
    <row r="239" spans="1:8" ht="17.399999999999999" customHeight="1" x14ac:dyDescent="0.3">
      <c r="A239" s="589" t="s">
        <v>108</v>
      </c>
      <c r="B239" s="589"/>
      <c r="C239" s="589"/>
      <c r="E239" s="598" t="s">
        <v>108</v>
      </c>
      <c r="F239" s="598"/>
      <c r="G239" s="598"/>
      <c r="H239" s="598"/>
    </row>
    <row r="240" spans="1:8" ht="15.75" customHeight="1" x14ac:dyDescent="0.3">
      <c r="A240" s="590" t="s">
        <v>109</v>
      </c>
      <c r="B240" s="590"/>
      <c r="C240" s="590"/>
      <c r="E240" s="597" t="s">
        <v>64</v>
      </c>
      <c r="F240" s="597"/>
      <c r="G240" s="597"/>
      <c r="H240" s="597"/>
    </row>
    <row r="241" spans="1:8" ht="15.75" customHeight="1" x14ac:dyDescent="0.3">
      <c r="A241" s="129" t="s">
        <v>105</v>
      </c>
      <c r="B241" s="129" t="s">
        <v>106</v>
      </c>
      <c r="C241" s="129" t="s">
        <v>107</v>
      </c>
      <c r="E241" s="139" t="s">
        <v>117</v>
      </c>
      <c r="F241" s="129" t="s">
        <v>105</v>
      </c>
      <c r="G241" s="129" t="s">
        <v>106</v>
      </c>
      <c r="H241" s="129" t="s">
        <v>107</v>
      </c>
    </row>
    <row r="242" spans="1:8" ht="15.75" customHeight="1" x14ac:dyDescent="0.3">
      <c r="A242" s="130">
        <v>45658</v>
      </c>
      <c r="B242" s="194" t="s">
        <v>147</v>
      </c>
      <c r="C242" s="131">
        <v>-172440</v>
      </c>
      <c r="E242" s="126">
        <v>1</v>
      </c>
      <c r="F242" s="140">
        <f>+C6</f>
        <v>45686</v>
      </c>
      <c r="G242" s="137" t="str">
        <f>+B6</f>
        <v>Talleres - Independiente</v>
      </c>
      <c r="H242" s="131">
        <f>+H9+H10+H11+H12+H13</f>
        <v>625000</v>
      </c>
    </row>
    <row r="243" spans="1:8" ht="15.75" customHeight="1" x14ac:dyDescent="0.3">
      <c r="A243" s="130">
        <v>45708</v>
      </c>
      <c r="B243" s="347" t="s">
        <v>144</v>
      </c>
      <c r="C243" s="131">
        <v>469000</v>
      </c>
      <c r="E243" s="126">
        <v>2</v>
      </c>
      <c r="F243" s="141">
        <f>+C17</f>
        <v>45697</v>
      </c>
      <c r="G243" s="126" t="str">
        <f>+B17</f>
        <v>Talleres - Lanús</v>
      </c>
      <c r="H243" s="65">
        <f>+H20+H21+H22+H23+H24</f>
        <v>625000</v>
      </c>
    </row>
    <row r="244" spans="1:8" ht="15.75" customHeight="1" x14ac:dyDescent="0.3">
      <c r="A244" s="130">
        <v>45820</v>
      </c>
      <c r="B244" s="347" t="s">
        <v>144</v>
      </c>
      <c r="C244" s="131">
        <v>2500000</v>
      </c>
      <c r="E244" s="126">
        <v>3</v>
      </c>
      <c r="F244" s="141">
        <f>+C28</f>
        <v>45704</v>
      </c>
      <c r="G244" s="126" t="str">
        <f>+B28</f>
        <v>Talleres - Atlético Tucumán</v>
      </c>
      <c r="H244" s="142">
        <f>+H31+H32+H33+H34+H35</f>
        <v>535000</v>
      </c>
    </row>
    <row r="245" spans="1:8" ht="15.75" customHeight="1" x14ac:dyDescent="0.3">
      <c r="A245" s="130">
        <v>45832</v>
      </c>
      <c r="B245" s="347" t="s">
        <v>144</v>
      </c>
      <c r="C245" s="131">
        <v>1500000</v>
      </c>
      <c r="E245" s="126">
        <v>4</v>
      </c>
      <c r="F245" s="138">
        <f>+C39</f>
        <v>45717</v>
      </c>
      <c r="G245" s="111" t="str">
        <f>+B39</f>
        <v>Talleres - Tigre</v>
      </c>
      <c r="H245" s="65">
        <f>+H42+H43+H44+H45+H46</f>
        <v>625000</v>
      </c>
    </row>
    <row r="246" spans="1:8" ht="15.75" customHeight="1" x14ac:dyDescent="0.3">
      <c r="A246" s="130">
        <v>45869</v>
      </c>
      <c r="B246" s="347" t="s">
        <v>144</v>
      </c>
      <c r="C246" s="131">
        <v>3365500</v>
      </c>
      <c r="E246" s="126">
        <v>5</v>
      </c>
      <c r="F246" s="138">
        <f>+C50</f>
        <v>45726</v>
      </c>
      <c r="G246" s="111" t="str">
        <f>+B50</f>
        <v>Talleres - Rosario Central</v>
      </c>
      <c r="H246" s="65">
        <f>+H53+H54+H55+H56+H57</f>
        <v>535000</v>
      </c>
    </row>
    <row r="247" spans="1:8" ht="15.75" customHeight="1" x14ac:dyDescent="0.3">
      <c r="A247" s="130">
        <v>45947</v>
      </c>
      <c r="B247" s="347" t="s">
        <v>167</v>
      </c>
      <c r="C247" s="131">
        <v>500000</v>
      </c>
      <c r="E247" s="126">
        <v>6</v>
      </c>
      <c r="F247" s="138">
        <f>+C61</f>
        <v>45749</v>
      </c>
      <c r="G247" s="111" t="str">
        <f>+B61</f>
        <v>Talleres - São Paulo (Conmebol)</v>
      </c>
      <c r="H247" s="65">
        <f>+H64+H65+H66+H67+H68+H69+H70</f>
        <v>986500</v>
      </c>
    </row>
    <row r="248" spans="1:8" ht="15.75" customHeight="1" x14ac:dyDescent="0.3">
      <c r="A248" s="130">
        <v>46006</v>
      </c>
      <c r="B248" s="347" t="s">
        <v>144</v>
      </c>
      <c r="C248" s="131">
        <v>3500000</v>
      </c>
      <c r="E248" s="126">
        <v>7</v>
      </c>
      <c r="F248" s="138">
        <f>+C74</f>
        <v>45753</v>
      </c>
      <c r="G248" s="111" t="str">
        <f>+B74</f>
        <v>Talleres - Gimnasia</v>
      </c>
      <c r="H248" s="65">
        <f>+H77+H78+H79+H80+H81</f>
        <v>625000</v>
      </c>
    </row>
    <row r="249" spans="1:8" ht="15.75" customHeight="1" x14ac:dyDescent="0.3">
      <c r="A249" s="130">
        <v>46008</v>
      </c>
      <c r="B249" s="347" t="s">
        <v>167</v>
      </c>
      <c r="C249" s="131">
        <v>3000000</v>
      </c>
      <c r="E249" s="126">
        <v>8</v>
      </c>
      <c r="F249" s="138">
        <f>+C85</f>
        <v>45767</v>
      </c>
      <c r="G249" s="111" t="str">
        <f>+B85</f>
        <v>Talleres - Velez</v>
      </c>
      <c r="H249" s="65">
        <f>+H88+H89+H90+H91+H92</f>
        <v>535000</v>
      </c>
    </row>
    <row r="250" spans="1:8" ht="15.75" customHeight="1" x14ac:dyDescent="0.3">
      <c r="A250" s="585" t="s">
        <v>110</v>
      </c>
      <c r="B250" s="585"/>
      <c r="C250" s="65">
        <f>SUM(C242:C249)</f>
        <v>14662060</v>
      </c>
      <c r="E250" s="126">
        <v>9</v>
      </c>
      <c r="F250" s="138">
        <f>+C96</f>
        <v>45781</v>
      </c>
      <c r="G250" s="111" t="str">
        <f>+B96</f>
        <v>Talleres - Instituto</v>
      </c>
      <c r="H250" s="65">
        <f>+H99+H100+H101+H102+H103</f>
        <v>625000</v>
      </c>
    </row>
    <row r="251" spans="1:8" ht="15.75" customHeight="1" x14ac:dyDescent="0.3">
      <c r="A251" s="586" t="s">
        <v>123</v>
      </c>
      <c r="B251" s="586"/>
      <c r="C251" s="586"/>
      <c r="E251" s="126">
        <v>10</v>
      </c>
      <c r="F251" s="138">
        <f>+C107</f>
        <v>45785</v>
      </c>
      <c r="G251" s="111" t="str">
        <f>+B107</f>
        <v>Talleres - Libertad (Conmebol)</v>
      </c>
      <c r="H251" s="65">
        <f>+H110+H111+H112+H113+H114+H115+H116</f>
        <v>779500</v>
      </c>
    </row>
    <row r="252" spans="1:8" ht="15.75" customHeight="1" x14ac:dyDescent="0.3">
      <c r="A252" s="129" t="s">
        <v>105</v>
      </c>
      <c r="B252" s="129" t="s">
        <v>106</v>
      </c>
      <c r="C252" s="129" t="s">
        <v>107</v>
      </c>
      <c r="E252" s="126">
        <v>11</v>
      </c>
      <c r="F252" s="138">
        <f>+C120</f>
        <v>45792</v>
      </c>
      <c r="G252" s="111" t="str">
        <f>+B120</f>
        <v>Talleres - Alianza Lima (Conmebol)</v>
      </c>
      <c r="H252" s="65">
        <f>+H123+H124+H125+H126+H127+H128+H129</f>
        <v>869500</v>
      </c>
    </row>
    <row r="253" spans="1:8" ht="15.75" customHeight="1" x14ac:dyDescent="0.3">
      <c r="A253" s="348" t="s">
        <v>222</v>
      </c>
      <c r="B253" s="128" t="s">
        <v>112</v>
      </c>
      <c r="C253" s="131">
        <f>+H292</f>
        <v>21345000</v>
      </c>
      <c r="E253" s="126">
        <v>12</v>
      </c>
      <c r="F253" s="138">
        <v>45849</v>
      </c>
      <c r="G253" s="111" t="s">
        <v>24</v>
      </c>
      <c r="H253" s="65">
        <f>+H136+H137+H138+H139+H140+H141+H142</f>
        <v>869500</v>
      </c>
    </row>
    <row r="254" spans="1:8" ht="15.75" customHeight="1" x14ac:dyDescent="0.3">
      <c r="E254" s="126">
        <v>13</v>
      </c>
      <c r="F254" s="138">
        <v>45865</v>
      </c>
      <c r="G254" s="111" t="s">
        <v>43</v>
      </c>
      <c r="H254" s="65">
        <f>+H149+H150+H151+H152+H153+H154+H155</f>
        <v>869500</v>
      </c>
    </row>
    <row r="255" spans="1:8" ht="15.75" customHeight="1" x14ac:dyDescent="0.3">
      <c r="A255" s="585" t="s">
        <v>124</v>
      </c>
      <c r="B255" s="585"/>
      <c r="C255" s="65">
        <f>SUM(C253:C253)</f>
        <v>21345000</v>
      </c>
      <c r="E255" s="126">
        <v>14</v>
      </c>
      <c r="F255" s="138">
        <v>45887</v>
      </c>
      <c r="G255" s="111" t="s">
        <v>219</v>
      </c>
      <c r="H255" s="65">
        <f>+H162+H163+H164+H165+H166+H167+H168</f>
        <v>869500</v>
      </c>
    </row>
    <row r="256" spans="1:8" ht="15.75" customHeight="1" x14ac:dyDescent="0.3">
      <c r="A256" s="317"/>
      <c r="B256" s="317"/>
      <c r="C256" s="65"/>
      <c r="E256" s="126">
        <v>15</v>
      </c>
      <c r="F256" s="138">
        <v>45900</v>
      </c>
      <c r="G256" s="111" t="s">
        <v>220</v>
      </c>
      <c r="H256" s="65">
        <f>+H175+H176+H177+H178+H179+H180+H181</f>
        <v>869500</v>
      </c>
    </row>
    <row r="257" spans="1:8" ht="15.75" customHeight="1" x14ac:dyDescent="0.3">
      <c r="A257" s="587" t="s">
        <v>111</v>
      </c>
      <c r="B257" s="587"/>
      <c r="C257" s="159">
        <f>+C255-C250</f>
        <v>6682940</v>
      </c>
      <c r="E257" s="126">
        <v>16</v>
      </c>
      <c r="F257" s="138">
        <v>45927</v>
      </c>
      <c r="G257" s="111" t="s">
        <v>51</v>
      </c>
      <c r="H257" s="65">
        <f>+H188+H189+H190+H191+H192+H193+H194</f>
        <v>869500</v>
      </c>
    </row>
    <row r="258" spans="1:8" ht="15.75" customHeight="1" x14ac:dyDescent="0.3">
      <c r="A258" s="317"/>
      <c r="B258" s="317"/>
      <c r="C258" s="65"/>
      <c r="E258" s="126">
        <v>17</v>
      </c>
      <c r="F258" s="138">
        <v>45935</v>
      </c>
      <c r="G258" s="111" t="s">
        <v>38</v>
      </c>
      <c r="H258" s="65">
        <f>+H201+H202+H203+H204+H205+H206+H207</f>
        <v>869500</v>
      </c>
    </row>
    <row r="259" spans="1:8" ht="15.75" customHeight="1" thickBot="1" x14ac:dyDescent="0.35">
      <c r="A259" s="317"/>
      <c r="B259" s="317"/>
      <c r="C259" s="65"/>
      <c r="E259" s="126">
        <v>18</v>
      </c>
      <c r="F259" s="138">
        <v>45948</v>
      </c>
      <c r="G259" s="111" t="s">
        <v>221</v>
      </c>
      <c r="H259" s="65">
        <f>+H214+H215+H216+H217+H218+H219+H220</f>
        <v>869500</v>
      </c>
    </row>
    <row r="260" spans="1:8" ht="15.75" customHeight="1" thickBot="1" x14ac:dyDescent="0.35">
      <c r="A260" s="637" t="s">
        <v>64</v>
      </c>
      <c r="B260" s="289" t="s">
        <v>184</v>
      </c>
      <c r="C260" s="290">
        <f>+H263</f>
        <v>14321500</v>
      </c>
      <c r="E260" s="126">
        <v>19</v>
      </c>
      <c r="F260" s="138">
        <v>45969</v>
      </c>
      <c r="G260" s="111" t="s">
        <v>26</v>
      </c>
      <c r="H260" s="65">
        <f>+H227+H228+H229+H230+H231+H232+H233</f>
        <v>869500</v>
      </c>
    </row>
    <row r="261" spans="1:8" ht="15.75" customHeight="1" thickBot="1" x14ac:dyDescent="0.35">
      <c r="A261" s="637"/>
      <c r="B261" s="291" t="s">
        <v>144</v>
      </c>
      <c r="C261" s="292">
        <f>+C243+C244+C245+C246+C248</f>
        <v>11334500</v>
      </c>
      <c r="E261" s="585" t="s">
        <v>118</v>
      </c>
      <c r="F261" s="585"/>
      <c r="G261" s="585"/>
      <c r="H261" s="143">
        <f>SUM(H242:H260)</f>
        <v>14321500</v>
      </c>
    </row>
    <row r="262" spans="1:8" ht="15.75" customHeight="1" thickBot="1" x14ac:dyDescent="0.35">
      <c r="A262" s="637"/>
      <c r="B262" s="293" t="s">
        <v>185</v>
      </c>
      <c r="C262" s="294">
        <f>+C260-C261</f>
        <v>2987000</v>
      </c>
      <c r="E262" s="599"/>
      <c r="F262" s="592"/>
      <c r="G262" s="592"/>
      <c r="H262" s="131"/>
    </row>
    <row r="263" spans="1:8" ht="15.75" customHeight="1" thickBot="1" x14ac:dyDescent="0.35">
      <c r="A263" s="637" t="s">
        <v>186</v>
      </c>
      <c r="B263" s="289" t="s">
        <v>187</v>
      </c>
      <c r="C263" s="290">
        <f>+H288</f>
        <v>7023500</v>
      </c>
      <c r="E263" s="593" t="s">
        <v>119</v>
      </c>
      <c r="F263" s="593"/>
      <c r="G263" s="593"/>
      <c r="H263" s="187">
        <f>+H261</f>
        <v>14321500</v>
      </c>
    </row>
    <row r="264" spans="1:8" ht="15.75" customHeight="1" thickBot="1" x14ac:dyDescent="0.35">
      <c r="A264" s="637"/>
      <c r="B264" s="291" t="s">
        <v>167</v>
      </c>
      <c r="C264" s="292">
        <f>+C242+C247+C249</f>
        <v>3327560</v>
      </c>
    </row>
    <row r="265" spans="1:8" ht="15.75" customHeight="1" thickBot="1" x14ac:dyDescent="0.35">
      <c r="A265" s="637"/>
      <c r="B265" s="293" t="s">
        <v>185</v>
      </c>
      <c r="C265" s="294">
        <f>+C263-C264</f>
        <v>3695940</v>
      </c>
      <c r="E265" s="596" t="s">
        <v>61</v>
      </c>
      <c r="F265" s="596"/>
      <c r="G265" s="596"/>
      <c r="H265" s="596"/>
    </row>
    <row r="266" spans="1:8" ht="15.75" customHeight="1" x14ac:dyDescent="0.3">
      <c r="E266" s="129" t="s">
        <v>117</v>
      </c>
      <c r="F266" s="129" t="s">
        <v>105</v>
      </c>
      <c r="G266" s="129" t="s">
        <v>106</v>
      </c>
      <c r="H266" s="129" t="s">
        <v>107</v>
      </c>
    </row>
    <row r="267" spans="1:8" ht="15.75" customHeight="1" x14ac:dyDescent="0.3">
      <c r="E267" s="126">
        <v>1</v>
      </c>
      <c r="F267" s="140">
        <f>+C6</f>
        <v>45686</v>
      </c>
      <c r="G267" s="137" t="str">
        <f>+B6</f>
        <v>Talleres - Independiente</v>
      </c>
      <c r="H267" s="131">
        <f>+H6+H7+H8+H14+H15</f>
        <v>318500</v>
      </c>
    </row>
    <row r="268" spans="1:8" ht="14.4" x14ac:dyDescent="0.3">
      <c r="E268" s="126">
        <v>2</v>
      </c>
      <c r="F268" s="141">
        <f>+C17</f>
        <v>45697</v>
      </c>
      <c r="G268" s="126" t="str">
        <f>+B17</f>
        <v>Talleres - Lanús</v>
      </c>
      <c r="H268" s="65">
        <f>+H17+H18+H19+H25+H26</f>
        <v>372500</v>
      </c>
    </row>
    <row r="269" spans="1:8" ht="15.75" customHeight="1" x14ac:dyDescent="0.3">
      <c r="E269" s="126">
        <v>3</v>
      </c>
      <c r="F269" s="141">
        <f>+C28</f>
        <v>45704</v>
      </c>
      <c r="G269" s="126" t="str">
        <f>+B28</f>
        <v>Talleres - Atlético Tucumán</v>
      </c>
      <c r="H269" s="65">
        <f>+H28+H29+H30+H36+H37</f>
        <v>372500</v>
      </c>
    </row>
    <row r="270" spans="1:8" ht="15.75" customHeight="1" x14ac:dyDescent="0.3">
      <c r="E270" s="126">
        <v>4</v>
      </c>
      <c r="F270" s="138">
        <f>+C39</f>
        <v>45717</v>
      </c>
      <c r="G270" s="111" t="str">
        <f>+B39</f>
        <v>Talleres - Tigre</v>
      </c>
      <c r="H270" s="65">
        <f>+H39+H40+H41+H47+H48</f>
        <v>372500</v>
      </c>
    </row>
    <row r="271" spans="1:8" ht="15.75" customHeight="1" x14ac:dyDescent="0.3">
      <c r="E271" s="126">
        <v>5</v>
      </c>
      <c r="F271" s="138">
        <f>+C50</f>
        <v>45726</v>
      </c>
      <c r="G271" s="111" t="str">
        <f>+B50</f>
        <v>Talleres - Rosario Central</v>
      </c>
      <c r="H271" s="65">
        <f>+H50+H51+H52+H58+H59</f>
        <v>372500</v>
      </c>
    </row>
    <row r="272" spans="1:8" ht="15.75" customHeight="1" x14ac:dyDescent="0.3">
      <c r="E272" s="126">
        <v>6</v>
      </c>
      <c r="F272" s="138">
        <f>+C61</f>
        <v>45749</v>
      </c>
      <c r="G272" s="111" t="str">
        <f>+B61</f>
        <v>Talleres - São Paulo (Conmebol)</v>
      </c>
      <c r="H272" s="65">
        <f>+H61+H62+H63+H71+H72</f>
        <v>372500</v>
      </c>
    </row>
    <row r="273" spans="5:8" ht="15.75" customHeight="1" x14ac:dyDescent="0.3">
      <c r="E273" s="126">
        <v>7</v>
      </c>
      <c r="F273" s="138">
        <f>+C74</f>
        <v>45753</v>
      </c>
      <c r="G273" s="111" t="str">
        <f>+B74</f>
        <v>Talleres - Gimnasia</v>
      </c>
      <c r="H273" s="65">
        <f>+H74+H75+H76+H82+H83</f>
        <v>372500</v>
      </c>
    </row>
    <row r="274" spans="5:8" ht="15.75" customHeight="1" x14ac:dyDescent="0.3">
      <c r="E274" s="126">
        <v>8</v>
      </c>
      <c r="F274" s="138">
        <f>+C85</f>
        <v>45767</v>
      </c>
      <c r="G274" s="111" t="str">
        <f>+B85</f>
        <v>Talleres - Velez</v>
      </c>
      <c r="H274" s="65">
        <f>+H85+H86+H87+H93+H94</f>
        <v>372500</v>
      </c>
    </row>
    <row r="275" spans="5:8" ht="15.75" customHeight="1" x14ac:dyDescent="0.3">
      <c r="E275" s="126">
        <v>9</v>
      </c>
      <c r="F275" s="138">
        <f>+C96</f>
        <v>45781</v>
      </c>
      <c r="G275" s="111" t="str">
        <f>+B96</f>
        <v>Talleres - Instituto</v>
      </c>
      <c r="H275" s="65">
        <f>+H96+H97+H98+H104+H105</f>
        <v>372500</v>
      </c>
    </row>
    <row r="276" spans="5:8" ht="15.75" customHeight="1" x14ac:dyDescent="0.3">
      <c r="E276" s="126">
        <v>10</v>
      </c>
      <c r="F276" s="138">
        <f>+C107</f>
        <v>45785</v>
      </c>
      <c r="G276" s="111" t="str">
        <f>+B107</f>
        <v>Talleres - Libertad (Conmebol)</v>
      </c>
      <c r="H276" s="65">
        <f>+H107+H108+H109+H117+H118</f>
        <v>372500</v>
      </c>
    </row>
    <row r="277" spans="5:8" ht="15.75" customHeight="1" x14ac:dyDescent="0.3">
      <c r="E277" s="126">
        <v>11</v>
      </c>
      <c r="F277" s="138">
        <f>+C120</f>
        <v>45792</v>
      </c>
      <c r="G277" s="111" t="str">
        <f>+B120</f>
        <v>Talleres - Alianza Lima (Conmebol)</v>
      </c>
      <c r="H277" s="65">
        <f>+H120+H121+H122+H130+H131</f>
        <v>372500</v>
      </c>
    </row>
    <row r="278" spans="5:8" ht="15.75" customHeight="1" x14ac:dyDescent="0.3">
      <c r="E278" s="126">
        <v>12</v>
      </c>
      <c r="F278" s="138">
        <v>45849</v>
      </c>
      <c r="G278" s="111" t="s">
        <v>24</v>
      </c>
      <c r="H278" s="65">
        <f>+H133+H134+H135+H143+H144</f>
        <v>372500</v>
      </c>
    </row>
    <row r="279" spans="5:8" ht="15.75" customHeight="1" x14ac:dyDescent="0.3">
      <c r="E279" s="126">
        <v>13</v>
      </c>
      <c r="F279" s="138">
        <v>45865</v>
      </c>
      <c r="G279" s="111" t="s">
        <v>43</v>
      </c>
      <c r="H279" s="65">
        <f>+H146+H147+H148+H156+H157</f>
        <v>372500</v>
      </c>
    </row>
    <row r="280" spans="5:8" ht="15.75" customHeight="1" x14ac:dyDescent="0.3">
      <c r="E280" s="126">
        <v>14</v>
      </c>
      <c r="F280" s="138">
        <v>45887</v>
      </c>
      <c r="G280" s="111" t="s">
        <v>219</v>
      </c>
      <c r="H280" s="65">
        <f>+H159+H160+H161+H169+H170</f>
        <v>372500</v>
      </c>
    </row>
    <row r="281" spans="5:8" ht="15.75" customHeight="1" x14ac:dyDescent="0.3">
      <c r="E281" s="126">
        <v>15</v>
      </c>
      <c r="F281" s="138">
        <v>45900</v>
      </c>
      <c r="G281" s="111" t="s">
        <v>220</v>
      </c>
      <c r="H281" s="65">
        <f>+H172+H173+H174+H182+H183</f>
        <v>372500</v>
      </c>
    </row>
    <row r="282" spans="5:8" ht="15.75" customHeight="1" x14ac:dyDescent="0.3">
      <c r="E282" s="126">
        <v>16</v>
      </c>
      <c r="F282" s="138">
        <v>45927</v>
      </c>
      <c r="G282" s="111" t="s">
        <v>51</v>
      </c>
      <c r="H282" s="65">
        <f>+H185+H186+H187+H195+H196</f>
        <v>372500</v>
      </c>
    </row>
    <row r="283" spans="5:8" ht="14.4" x14ac:dyDescent="0.3">
      <c r="E283" s="126">
        <v>17</v>
      </c>
      <c r="F283" s="138">
        <v>45935</v>
      </c>
      <c r="G283" s="111" t="s">
        <v>38</v>
      </c>
      <c r="H283" s="65">
        <f>+H198+H199+H200+H208+H209</f>
        <v>372500</v>
      </c>
    </row>
    <row r="284" spans="5:8" ht="15.75" customHeight="1" x14ac:dyDescent="0.3">
      <c r="E284" s="126">
        <v>18</v>
      </c>
      <c r="F284" s="138">
        <v>45948</v>
      </c>
      <c r="G284" s="111" t="s">
        <v>221</v>
      </c>
      <c r="H284" s="65">
        <f>+H211+H212+H213+H221+H222</f>
        <v>372500</v>
      </c>
    </row>
    <row r="285" spans="5:8" ht="14.4" x14ac:dyDescent="0.3">
      <c r="E285" s="126">
        <v>19</v>
      </c>
      <c r="F285" s="138">
        <v>45969</v>
      </c>
      <c r="G285" s="111" t="s">
        <v>26</v>
      </c>
      <c r="H285" s="65">
        <f>+H224+H225+H226+H234+H235</f>
        <v>372500</v>
      </c>
    </row>
    <row r="286" spans="5:8" ht="15.6" customHeight="1" x14ac:dyDescent="0.3">
      <c r="F286" s="317"/>
      <c r="G286" s="317" t="s">
        <v>118</v>
      </c>
      <c r="H286" s="143">
        <f>SUM(H267:H285)</f>
        <v>7023500</v>
      </c>
    </row>
    <row r="287" spans="5:8" ht="15.75" customHeight="1" x14ac:dyDescent="0.3">
      <c r="F287" s="318"/>
      <c r="G287" s="319"/>
      <c r="H287" s="131"/>
    </row>
    <row r="288" spans="5:8" ht="15.75" customHeight="1" x14ac:dyDescent="0.3">
      <c r="E288" s="593" t="s">
        <v>119</v>
      </c>
      <c r="F288" s="593"/>
      <c r="G288" s="593"/>
      <c r="H288" s="144">
        <f>+H286</f>
        <v>7023500</v>
      </c>
    </row>
    <row r="289" spans="5:8" ht="15.75" customHeight="1" x14ac:dyDescent="0.3"/>
    <row r="290" spans="5:8" ht="15.75" customHeight="1" x14ac:dyDescent="0.3">
      <c r="E290" s="636" t="s">
        <v>121</v>
      </c>
      <c r="F290" s="636"/>
      <c r="G290" s="636"/>
      <c r="H290" s="145">
        <f>+H263+H288</f>
        <v>21345000</v>
      </c>
    </row>
    <row r="291" spans="5:8" ht="15.75" customHeight="1" x14ac:dyDescent="0.3"/>
    <row r="292" spans="5:8" ht="15.75" customHeight="1" x14ac:dyDescent="0.3">
      <c r="E292" s="587" t="s">
        <v>122</v>
      </c>
      <c r="F292" s="587"/>
      <c r="G292" s="587"/>
      <c r="H292" s="158">
        <f>+H263+H288</f>
        <v>21345000</v>
      </c>
    </row>
    <row r="293" spans="5:8" ht="15.75" customHeight="1" x14ac:dyDescent="0.3"/>
    <row r="294" spans="5:8" ht="15.75" customHeight="1" x14ac:dyDescent="0.3"/>
    <row r="295" spans="5:8" ht="15.75" customHeight="1" x14ac:dyDescent="0.3"/>
    <row r="296" spans="5:8" ht="15.75" customHeight="1" x14ac:dyDescent="0.3"/>
    <row r="297" spans="5:8" ht="15.75" customHeight="1" x14ac:dyDescent="0.3"/>
    <row r="298" spans="5:8" ht="15.75" customHeight="1" x14ac:dyDescent="0.3"/>
    <row r="299" spans="5:8" ht="15.75" customHeight="1" x14ac:dyDescent="0.3"/>
    <row r="300" spans="5:8" ht="15.75" customHeight="1" x14ac:dyDescent="0.3"/>
    <row r="301" spans="5:8" ht="15.75" customHeight="1" x14ac:dyDescent="0.3"/>
    <row r="302" spans="5:8" ht="15.75" customHeight="1" x14ac:dyDescent="0.3"/>
    <row r="303" spans="5:8" ht="15.75" customHeight="1" x14ac:dyDescent="0.3"/>
    <row r="304" spans="5:8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</sheetData>
  <mergeCells count="308">
    <mergeCell ref="A240:C240"/>
    <mergeCell ref="E240:H240"/>
    <mergeCell ref="A250:B250"/>
    <mergeCell ref="A251:C251"/>
    <mergeCell ref="A255:B255"/>
    <mergeCell ref="A257:B257"/>
    <mergeCell ref="A239:C239"/>
    <mergeCell ref="E239:H239"/>
    <mergeCell ref="D132:G132"/>
    <mergeCell ref="A120:A132"/>
    <mergeCell ref="B120:B132"/>
    <mergeCell ref="C120:C132"/>
    <mergeCell ref="D120:E120"/>
    <mergeCell ref="D121:E121"/>
    <mergeCell ref="D122:E122"/>
    <mergeCell ref="D125:E125"/>
    <mergeCell ref="A146:A158"/>
    <mergeCell ref="B146:B158"/>
    <mergeCell ref="C146:C158"/>
    <mergeCell ref="D154:E154"/>
    <mergeCell ref="D158:G158"/>
    <mergeCell ref="D144:E144"/>
    <mergeCell ref="D146:E146"/>
    <mergeCell ref="D147:E147"/>
    <mergeCell ref="E288:G288"/>
    <mergeCell ref="E290:G290"/>
    <mergeCell ref="E292:G292"/>
    <mergeCell ref="A260:A262"/>
    <mergeCell ref="A263:A265"/>
    <mergeCell ref="E261:G261"/>
    <mergeCell ref="E262:G262"/>
    <mergeCell ref="E263:G263"/>
    <mergeCell ref="E265:H265"/>
    <mergeCell ref="A107:A119"/>
    <mergeCell ref="B107:B119"/>
    <mergeCell ref="C107:C119"/>
    <mergeCell ref="D119:G119"/>
    <mergeCell ref="D126:E126"/>
    <mergeCell ref="D127:E127"/>
    <mergeCell ref="D128:E128"/>
    <mergeCell ref="D129:E129"/>
    <mergeCell ref="D130:E130"/>
    <mergeCell ref="D115:E115"/>
    <mergeCell ref="D116:E116"/>
    <mergeCell ref="D117:E117"/>
    <mergeCell ref="D104:E104"/>
    <mergeCell ref="D105:E105"/>
    <mergeCell ref="D107:E107"/>
    <mergeCell ref="D108:E108"/>
    <mergeCell ref="D109:E109"/>
    <mergeCell ref="D131:E131"/>
    <mergeCell ref="D118:E118"/>
    <mergeCell ref="D103:E103"/>
    <mergeCell ref="D91:E91"/>
    <mergeCell ref="D92:E92"/>
    <mergeCell ref="D93:E93"/>
    <mergeCell ref="D94:E94"/>
    <mergeCell ref="D95:G95"/>
    <mergeCell ref="D112:E112"/>
    <mergeCell ref="D113:E113"/>
    <mergeCell ref="D114:E114"/>
    <mergeCell ref="D110:E110"/>
    <mergeCell ref="D111:E111"/>
    <mergeCell ref="D123:E123"/>
    <mergeCell ref="D124:E124"/>
    <mergeCell ref="A96:A106"/>
    <mergeCell ref="B96:B106"/>
    <mergeCell ref="C96:C106"/>
    <mergeCell ref="D96:E96"/>
    <mergeCell ref="D97:E97"/>
    <mergeCell ref="D84:G84"/>
    <mergeCell ref="A85:A95"/>
    <mergeCell ref="B85:B95"/>
    <mergeCell ref="C85:C95"/>
    <mergeCell ref="D85:E85"/>
    <mergeCell ref="D86:E86"/>
    <mergeCell ref="D87:E87"/>
    <mergeCell ref="D88:E88"/>
    <mergeCell ref="D89:E89"/>
    <mergeCell ref="D90:E90"/>
    <mergeCell ref="A74:A84"/>
    <mergeCell ref="B74:B84"/>
    <mergeCell ref="C74:C84"/>
    <mergeCell ref="D106:G106"/>
    <mergeCell ref="D98:E98"/>
    <mergeCell ref="D99:E99"/>
    <mergeCell ref="D100:E100"/>
    <mergeCell ref="D101:E101"/>
    <mergeCell ref="D102:E102"/>
    <mergeCell ref="D82:E82"/>
    <mergeCell ref="D83:E83"/>
    <mergeCell ref="D71:E71"/>
    <mergeCell ref="D72:E72"/>
    <mergeCell ref="D73:G73"/>
    <mergeCell ref="D74:E74"/>
    <mergeCell ref="D75:E75"/>
    <mergeCell ref="D76:E76"/>
    <mergeCell ref="D77:E77"/>
    <mergeCell ref="D56:E56"/>
    <mergeCell ref="D57:E57"/>
    <mergeCell ref="D58:E58"/>
    <mergeCell ref="D59:E59"/>
    <mergeCell ref="D60:G60"/>
    <mergeCell ref="D78:E78"/>
    <mergeCell ref="D79:E79"/>
    <mergeCell ref="D80:E80"/>
    <mergeCell ref="D81:E81"/>
    <mergeCell ref="D64:E64"/>
    <mergeCell ref="D65:E65"/>
    <mergeCell ref="A61:A73"/>
    <mergeCell ref="B61:B73"/>
    <mergeCell ref="C61:C73"/>
    <mergeCell ref="D61:E61"/>
    <mergeCell ref="D62:E62"/>
    <mergeCell ref="D49:G49"/>
    <mergeCell ref="A50:A60"/>
    <mergeCell ref="B50:B60"/>
    <mergeCell ref="C50:C60"/>
    <mergeCell ref="D50:E50"/>
    <mergeCell ref="D51:E51"/>
    <mergeCell ref="D52:E52"/>
    <mergeCell ref="D53:E53"/>
    <mergeCell ref="D54:E54"/>
    <mergeCell ref="D55:E55"/>
    <mergeCell ref="A39:A49"/>
    <mergeCell ref="B39:B49"/>
    <mergeCell ref="C39:C49"/>
    <mergeCell ref="D63:E63"/>
    <mergeCell ref="D66:E66"/>
    <mergeCell ref="D67:E67"/>
    <mergeCell ref="D68:E68"/>
    <mergeCell ref="D69:E69"/>
    <mergeCell ref="D70:E70"/>
    <mergeCell ref="D26:E26"/>
    <mergeCell ref="D27:G27"/>
    <mergeCell ref="D43:E43"/>
    <mergeCell ref="D44:E44"/>
    <mergeCell ref="D45:E45"/>
    <mergeCell ref="D46:E46"/>
    <mergeCell ref="D47:E47"/>
    <mergeCell ref="D48:E48"/>
    <mergeCell ref="D36:E36"/>
    <mergeCell ref="D37:E37"/>
    <mergeCell ref="D38:G38"/>
    <mergeCell ref="D39:E39"/>
    <mergeCell ref="D40:E40"/>
    <mergeCell ref="D41:E41"/>
    <mergeCell ref="D42:E42"/>
    <mergeCell ref="A28:A38"/>
    <mergeCell ref="B28:B38"/>
    <mergeCell ref="C28:C38"/>
    <mergeCell ref="D28:E28"/>
    <mergeCell ref="D29:E29"/>
    <mergeCell ref="D16:G16"/>
    <mergeCell ref="A17:A27"/>
    <mergeCell ref="B17:B27"/>
    <mergeCell ref="C17:C27"/>
    <mergeCell ref="D17:E17"/>
    <mergeCell ref="D18:E18"/>
    <mergeCell ref="D19:E19"/>
    <mergeCell ref="D20:E20"/>
    <mergeCell ref="D21:E21"/>
    <mergeCell ref="D22:E22"/>
    <mergeCell ref="D30:E30"/>
    <mergeCell ref="D31:E31"/>
    <mergeCell ref="D32:E32"/>
    <mergeCell ref="D33:E33"/>
    <mergeCell ref="D34:E34"/>
    <mergeCell ref="D35:E35"/>
    <mergeCell ref="D23:E23"/>
    <mergeCell ref="D24:E24"/>
    <mergeCell ref="D25:E25"/>
    <mergeCell ref="D10:E10"/>
    <mergeCell ref="D11:E11"/>
    <mergeCell ref="D12:E12"/>
    <mergeCell ref="D13:E13"/>
    <mergeCell ref="D14:E14"/>
    <mergeCell ref="D15:E15"/>
    <mergeCell ref="A1:H3"/>
    <mergeCell ref="A4:H4"/>
    <mergeCell ref="D5:E5"/>
    <mergeCell ref="A6:A16"/>
    <mergeCell ref="B6:B16"/>
    <mergeCell ref="C6:C16"/>
    <mergeCell ref="D6:E6"/>
    <mergeCell ref="D7:E7"/>
    <mergeCell ref="D8:E8"/>
    <mergeCell ref="D9:E9"/>
    <mergeCell ref="D148:E148"/>
    <mergeCell ref="D149:E149"/>
    <mergeCell ref="D150:E150"/>
    <mergeCell ref="D151:E151"/>
    <mergeCell ref="D152:E152"/>
    <mergeCell ref="D153:E153"/>
    <mergeCell ref="D155:E155"/>
    <mergeCell ref="D156:E156"/>
    <mergeCell ref="D157:E157"/>
    <mergeCell ref="D159:E159"/>
    <mergeCell ref="D160:E160"/>
    <mergeCell ref="D161:E161"/>
    <mergeCell ref="D162:E162"/>
    <mergeCell ref="D163:E163"/>
    <mergeCell ref="D164:E164"/>
    <mergeCell ref="A172:A184"/>
    <mergeCell ref="B172:B184"/>
    <mergeCell ref="C172:C184"/>
    <mergeCell ref="D176:E176"/>
    <mergeCell ref="D184:G184"/>
    <mergeCell ref="D166:E166"/>
    <mergeCell ref="D167:E167"/>
    <mergeCell ref="D168:E168"/>
    <mergeCell ref="D169:E169"/>
    <mergeCell ref="D170:E170"/>
    <mergeCell ref="D172:E172"/>
    <mergeCell ref="D173:E173"/>
    <mergeCell ref="D174:E174"/>
    <mergeCell ref="D175:E175"/>
    <mergeCell ref="A159:A171"/>
    <mergeCell ref="B159:B171"/>
    <mergeCell ref="C159:C171"/>
    <mergeCell ref="D165:E165"/>
    <mergeCell ref="D171:G171"/>
    <mergeCell ref="D177:E177"/>
    <mergeCell ref="D178:E178"/>
    <mergeCell ref="D179:E179"/>
    <mergeCell ref="D180:E180"/>
    <mergeCell ref="D181:E181"/>
    <mergeCell ref="D182:E182"/>
    <mergeCell ref="D183:E183"/>
    <mergeCell ref="D185:E185"/>
    <mergeCell ref="D186:E186"/>
    <mergeCell ref="A198:A210"/>
    <mergeCell ref="B198:B210"/>
    <mergeCell ref="C198:C210"/>
    <mergeCell ref="D200:E200"/>
    <mergeCell ref="D210:G210"/>
    <mergeCell ref="D190:E190"/>
    <mergeCell ref="D191:E191"/>
    <mergeCell ref="D192:E192"/>
    <mergeCell ref="D193:E193"/>
    <mergeCell ref="D194:E194"/>
    <mergeCell ref="D195:E195"/>
    <mergeCell ref="D196:E196"/>
    <mergeCell ref="D198:E198"/>
    <mergeCell ref="D199:E199"/>
    <mergeCell ref="A185:A197"/>
    <mergeCell ref="B185:B197"/>
    <mergeCell ref="C185:C197"/>
    <mergeCell ref="D189:E189"/>
    <mergeCell ref="D197:G197"/>
    <mergeCell ref="D187:E187"/>
    <mergeCell ref="D188:E188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A211:A223"/>
    <mergeCell ref="B211:B223"/>
    <mergeCell ref="C211:C223"/>
    <mergeCell ref="D211:E211"/>
    <mergeCell ref="D222:E222"/>
    <mergeCell ref="D223:G223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A224:A236"/>
    <mergeCell ref="B224:B236"/>
    <mergeCell ref="C224:C236"/>
    <mergeCell ref="D235:E235"/>
    <mergeCell ref="D236:G236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A133:A145"/>
    <mergeCell ref="B133:B145"/>
    <mergeCell ref="C133:C145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5:G145"/>
  </mergeCells>
  <printOptions horizontalCentered="1"/>
  <pageMargins left="0.31496062992125984" right="0.11811023622047245" top="0.55118110236220474" bottom="0.15748031496062992" header="0" footer="0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71"/>
  <sheetViews>
    <sheetView zoomScale="90" zoomScaleNormal="90" workbookViewId="0">
      <selection activeCell="H123" sqref="A1:H123"/>
    </sheetView>
  </sheetViews>
  <sheetFormatPr baseColWidth="10" defaultColWidth="14.44140625" defaultRowHeight="15" customHeight="1" x14ac:dyDescent="0.3"/>
  <cols>
    <col min="1" max="1" width="14.6640625" style="343" customWidth="1"/>
    <col min="2" max="2" width="31" style="343" customWidth="1"/>
    <col min="3" max="3" width="20.6640625" style="343" customWidth="1"/>
    <col min="4" max="5" width="15.6640625" style="343" customWidth="1"/>
    <col min="6" max="6" width="20.6640625" style="343" customWidth="1"/>
    <col min="7" max="7" width="30.88671875" style="343" bestFit="1" customWidth="1"/>
    <col min="8" max="8" width="20.6640625" style="343" customWidth="1"/>
    <col min="9" max="9" width="2.5546875" style="343" customWidth="1"/>
    <col min="10" max="10" width="10.6640625" style="343" customWidth="1"/>
    <col min="11" max="11" width="13.77734375" style="343" bestFit="1" customWidth="1"/>
    <col min="12" max="19" width="10.6640625" style="343" customWidth="1"/>
    <col min="20" max="16384" width="14.44140625" style="343"/>
  </cols>
  <sheetData>
    <row r="1" spans="1:8" ht="15" customHeight="1" x14ac:dyDescent="0.3">
      <c r="A1" s="569" t="s">
        <v>216</v>
      </c>
      <c r="B1" s="570"/>
      <c r="C1" s="570"/>
      <c r="D1" s="570"/>
      <c r="E1" s="570"/>
      <c r="F1" s="570"/>
      <c r="G1" s="570"/>
      <c r="H1" s="571"/>
    </row>
    <row r="2" spans="1:8" ht="15" customHeight="1" x14ac:dyDescent="0.3">
      <c r="A2" s="572"/>
      <c r="B2" s="573"/>
      <c r="C2" s="573"/>
      <c r="D2" s="573"/>
      <c r="E2" s="573"/>
      <c r="F2" s="573"/>
      <c r="G2" s="573"/>
      <c r="H2" s="574"/>
    </row>
    <row r="3" spans="1:8" ht="15" customHeight="1" thickBot="1" x14ac:dyDescent="0.35">
      <c r="A3" s="575"/>
      <c r="B3" s="576"/>
      <c r="C3" s="576"/>
      <c r="D3" s="576"/>
      <c r="E3" s="576"/>
      <c r="F3" s="576"/>
      <c r="G3" s="576"/>
      <c r="H3" s="577"/>
    </row>
    <row r="4" spans="1:8" ht="15.6" customHeight="1" thickBot="1" x14ac:dyDescent="0.35">
      <c r="A4" s="578"/>
      <c r="B4" s="579"/>
      <c r="C4" s="579"/>
      <c r="D4" s="579"/>
      <c r="E4" s="579"/>
      <c r="F4" s="579"/>
      <c r="G4" s="579"/>
      <c r="H4" s="580"/>
    </row>
    <row r="5" spans="1:8" s="111" customFormat="1" ht="15.6" customHeight="1" thickBot="1" x14ac:dyDescent="0.35">
      <c r="A5" s="134" t="s">
        <v>91</v>
      </c>
      <c r="B5" s="135" t="s">
        <v>3</v>
      </c>
      <c r="C5" s="135" t="s">
        <v>4</v>
      </c>
      <c r="D5" s="581" t="s">
        <v>7</v>
      </c>
      <c r="E5" s="582"/>
      <c r="F5" s="135" t="s">
        <v>114</v>
      </c>
      <c r="G5" s="135" t="s">
        <v>92</v>
      </c>
      <c r="H5" s="136" t="s">
        <v>93</v>
      </c>
    </row>
    <row r="6" spans="1:8" ht="14.4" customHeight="1" x14ac:dyDescent="0.3">
      <c r="A6" s="403">
        <v>1</v>
      </c>
      <c r="B6" s="402" t="s">
        <v>24</v>
      </c>
      <c r="C6" s="405">
        <v>45849</v>
      </c>
      <c r="D6" s="634" t="s">
        <v>94</v>
      </c>
      <c r="E6" s="635"/>
      <c r="F6" s="190">
        <v>290</v>
      </c>
      <c r="G6" s="191">
        <v>650</v>
      </c>
      <c r="H6" s="192">
        <f t="shared" ref="H6:H15" si="0">+F6*G6</f>
        <v>188500</v>
      </c>
    </row>
    <row r="7" spans="1:8" ht="14.4" x14ac:dyDescent="0.3">
      <c r="A7" s="403"/>
      <c r="B7" s="403"/>
      <c r="C7" s="406"/>
      <c r="D7" s="634" t="s">
        <v>96</v>
      </c>
      <c r="E7" s="635"/>
      <c r="F7" s="190">
        <v>1</v>
      </c>
      <c r="G7" s="191">
        <v>25000</v>
      </c>
      <c r="H7" s="192">
        <f t="shared" si="0"/>
        <v>25000</v>
      </c>
    </row>
    <row r="8" spans="1:8" ht="14.4" x14ac:dyDescent="0.3">
      <c r="A8" s="403"/>
      <c r="B8" s="403"/>
      <c r="C8" s="406"/>
      <c r="D8" s="634" t="s">
        <v>97</v>
      </c>
      <c r="E8" s="635"/>
      <c r="F8" s="190">
        <v>1</v>
      </c>
      <c r="G8" s="191">
        <v>35000</v>
      </c>
      <c r="H8" s="192">
        <f t="shared" si="0"/>
        <v>35000</v>
      </c>
    </row>
    <row r="9" spans="1:8" ht="14.4" x14ac:dyDescent="0.3">
      <c r="A9" s="403"/>
      <c r="B9" s="403"/>
      <c r="C9" s="406"/>
      <c r="D9" s="567" t="s">
        <v>95</v>
      </c>
      <c r="E9" s="568" t="s">
        <v>54</v>
      </c>
      <c r="F9" s="112">
        <v>2600</v>
      </c>
      <c r="G9" s="113">
        <v>150</v>
      </c>
      <c r="H9" s="114">
        <f t="shared" si="0"/>
        <v>390000</v>
      </c>
    </row>
    <row r="10" spans="1:8" ht="14.4" x14ac:dyDescent="0.3">
      <c r="A10" s="403"/>
      <c r="B10" s="403"/>
      <c r="C10" s="406"/>
      <c r="D10" s="567" t="s">
        <v>135</v>
      </c>
      <c r="E10" s="568" t="s">
        <v>54</v>
      </c>
      <c r="F10" s="112">
        <v>600</v>
      </c>
      <c r="G10" s="113">
        <v>150</v>
      </c>
      <c r="H10" s="114">
        <f t="shared" si="0"/>
        <v>90000</v>
      </c>
    </row>
    <row r="11" spans="1:8" ht="14.4" x14ac:dyDescent="0.3">
      <c r="A11" s="403"/>
      <c r="B11" s="403"/>
      <c r="C11" s="406"/>
      <c r="D11" s="567" t="s">
        <v>98</v>
      </c>
      <c r="E11" s="568" t="s">
        <v>55</v>
      </c>
      <c r="F11" s="112">
        <v>2</v>
      </c>
      <c r="G11" s="113">
        <v>55000</v>
      </c>
      <c r="H11" s="114">
        <f t="shared" si="0"/>
        <v>110000</v>
      </c>
    </row>
    <row r="12" spans="1:8" ht="14.4" x14ac:dyDescent="0.3">
      <c r="A12" s="403"/>
      <c r="B12" s="403"/>
      <c r="C12" s="406"/>
      <c r="D12" s="567" t="s">
        <v>99</v>
      </c>
      <c r="E12" s="568" t="s">
        <v>81</v>
      </c>
      <c r="F12" s="112">
        <v>1</v>
      </c>
      <c r="G12" s="113">
        <v>35000</v>
      </c>
      <c r="H12" s="114">
        <f t="shared" si="0"/>
        <v>35000</v>
      </c>
    </row>
    <row r="13" spans="1:8" ht="14.4" x14ac:dyDescent="0.3">
      <c r="A13" s="403"/>
      <c r="B13" s="403"/>
      <c r="C13" s="406"/>
      <c r="D13" s="567" t="s">
        <v>115</v>
      </c>
      <c r="E13" s="568" t="s">
        <v>82</v>
      </c>
      <c r="F13" s="112">
        <v>0</v>
      </c>
      <c r="G13" s="113">
        <v>25000</v>
      </c>
      <c r="H13" s="114">
        <f t="shared" si="0"/>
        <v>0</v>
      </c>
    </row>
    <row r="14" spans="1:8" ht="14.4" x14ac:dyDescent="0.3">
      <c r="A14" s="403"/>
      <c r="B14" s="403"/>
      <c r="C14" s="406"/>
      <c r="D14" s="634" t="s">
        <v>133</v>
      </c>
      <c r="E14" s="635" t="s">
        <v>82</v>
      </c>
      <c r="F14" s="190">
        <v>3</v>
      </c>
      <c r="G14" s="193">
        <v>18000</v>
      </c>
      <c r="H14" s="192">
        <f t="shared" si="0"/>
        <v>54000</v>
      </c>
    </row>
    <row r="15" spans="1:8" ht="14.4" x14ac:dyDescent="0.3">
      <c r="A15" s="403"/>
      <c r="B15" s="403"/>
      <c r="C15" s="406"/>
      <c r="D15" s="634" t="s">
        <v>181</v>
      </c>
      <c r="E15" s="635"/>
      <c r="F15" s="190">
        <v>1</v>
      </c>
      <c r="G15" s="193">
        <v>70000</v>
      </c>
      <c r="H15" s="192">
        <f t="shared" si="0"/>
        <v>70000</v>
      </c>
    </row>
    <row r="16" spans="1:8" thickBot="1" x14ac:dyDescent="0.35">
      <c r="A16" s="404"/>
      <c r="B16" s="404"/>
      <c r="C16" s="407"/>
      <c r="D16" s="535" t="s">
        <v>22</v>
      </c>
      <c r="E16" s="485"/>
      <c r="F16" s="485"/>
      <c r="G16" s="418"/>
      <c r="H16" s="115">
        <f>SUM(H6:H15)</f>
        <v>997500</v>
      </c>
    </row>
    <row r="17" spans="1:8" ht="14.4" customHeight="1" x14ac:dyDescent="0.3">
      <c r="A17" s="403">
        <v>2</v>
      </c>
      <c r="B17" s="402" t="s">
        <v>43</v>
      </c>
      <c r="C17" s="405">
        <v>45865</v>
      </c>
      <c r="D17" s="634" t="s">
        <v>94</v>
      </c>
      <c r="E17" s="635"/>
      <c r="F17" s="190">
        <v>290</v>
      </c>
      <c r="G17" s="191">
        <v>650</v>
      </c>
      <c r="H17" s="192">
        <f t="shared" ref="H17:H26" si="1">+F17*G17</f>
        <v>188500</v>
      </c>
    </row>
    <row r="18" spans="1:8" ht="14.4" x14ac:dyDescent="0.3">
      <c r="A18" s="403"/>
      <c r="B18" s="403"/>
      <c r="C18" s="406"/>
      <c r="D18" s="634" t="s">
        <v>96</v>
      </c>
      <c r="E18" s="635"/>
      <c r="F18" s="190">
        <v>1</v>
      </c>
      <c r="G18" s="191">
        <v>25000</v>
      </c>
      <c r="H18" s="192">
        <f t="shared" si="1"/>
        <v>25000</v>
      </c>
    </row>
    <row r="19" spans="1:8" ht="14.4" x14ac:dyDescent="0.3">
      <c r="A19" s="403"/>
      <c r="B19" s="403"/>
      <c r="C19" s="406"/>
      <c r="D19" s="634" t="s">
        <v>97</v>
      </c>
      <c r="E19" s="635"/>
      <c r="F19" s="190">
        <v>1</v>
      </c>
      <c r="G19" s="191">
        <v>35000</v>
      </c>
      <c r="H19" s="192">
        <f t="shared" si="1"/>
        <v>35000</v>
      </c>
    </row>
    <row r="20" spans="1:8" ht="14.4" x14ac:dyDescent="0.3">
      <c r="A20" s="403"/>
      <c r="B20" s="403"/>
      <c r="C20" s="406"/>
      <c r="D20" s="567" t="s">
        <v>95</v>
      </c>
      <c r="E20" s="568" t="s">
        <v>54</v>
      </c>
      <c r="F20" s="112">
        <v>2600</v>
      </c>
      <c r="G20" s="113">
        <v>150</v>
      </c>
      <c r="H20" s="114">
        <f t="shared" si="1"/>
        <v>390000</v>
      </c>
    </row>
    <row r="21" spans="1:8" ht="14.4" x14ac:dyDescent="0.3">
      <c r="A21" s="403"/>
      <c r="B21" s="403"/>
      <c r="C21" s="406"/>
      <c r="D21" s="567" t="s">
        <v>135</v>
      </c>
      <c r="E21" s="568" t="s">
        <v>54</v>
      </c>
      <c r="F21" s="112">
        <v>600</v>
      </c>
      <c r="G21" s="113">
        <v>150</v>
      </c>
      <c r="H21" s="114">
        <f t="shared" si="1"/>
        <v>90000</v>
      </c>
    </row>
    <row r="22" spans="1:8" ht="14.4" x14ac:dyDescent="0.3">
      <c r="A22" s="403"/>
      <c r="B22" s="403"/>
      <c r="C22" s="406"/>
      <c r="D22" s="567" t="s">
        <v>98</v>
      </c>
      <c r="E22" s="568" t="s">
        <v>55</v>
      </c>
      <c r="F22" s="112">
        <v>2</v>
      </c>
      <c r="G22" s="113">
        <v>55000</v>
      </c>
      <c r="H22" s="114">
        <f t="shared" si="1"/>
        <v>110000</v>
      </c>
    </row>
    <row r="23" spans="1:8" ht="14.4" x14ac:dyDescent="0.3">
      <c r="A23" s="403"/>
      <c r="B23" s="403"/>
      <c r="C23" s="406"/>
      <c r="D23" s="567" t="s">
        <v>99</v>
      </c>
      <c r="E23" s="568" t="s">
        <v>81</v>
      </c>
      <c r="F23" s="112">
        <v>1</v>
      </c>
      <c r="G23" s="113">
        <v>35000</v>
      </c>
      <c r="H23" s="114">
        <f t="shared" si="1"/>
        <v>35000</v>
      </c>
    </row>
    <row r="24" spans="1:8" ht="14.4" x14ac:dyDescent="0.3">
      <c r="A24" s="403"/>
      <c r="B24" s="403"/>
      <c r="C24" s="406"/>
      <c r="D24" s="567" t="s">
        <v>115</v>
      </c>
      <c r="E24" s="568" t="s">
        <v>82</v>
      </c>
      <c r="F24" s="112">
        <v>0</v>
      </c>
      <c r="G24" s="113">
        <v>25000</v>
      </c>
      <c r="H24" s="114">
        <f t="shared" si="1"/>
        <v>0</v>
      </c>
    </row>
    <row r="25" spans="1:8" ht="14.4" x14ac:dyDescent="0.3">
      <c r="A25" s="403"/>
      <c r="B25" s="403"/>
      <c r="C25" s="406"/>
      <c r="D25" s="634" t="s">
        <v>133</v>
      </c>
      <c r="E25" s="635" t="s">
        <v>82</v>
      </c>
      <c r="F25" s="190">
        <v>3</v>
      </c>
      <c r="G25" s="193">
        <v>18000</v>
      </c>
      <c r="H25" s="192">
        <f t="shared" si="1"/>
        <v>54000</v>
      </c>
    </row>
    <row r="26" spans="1:8" ht="14.4" x14ac:dyDescent="0.3">
      <c r="A26" s="403"/>
      <c r="B26" s="403"/>
      <c r="C26" s="406"/>
      <c r="D26" s="634" t="s">
        <v>181</v>
      </c>
      <c r="E26" s="635"/>
      <c r="F26" s="190">
        <v>1</v>
      </c>
      <c r="G26" s="193">
        <v>70000</v>
      </c>
      <c r="H26" s="192">
        <f t="shared" si="1"/>
        <v>70000</v>
      </c>
    </row>
    <row r="27" spans="1:8" thickBot="1" x14ac:dyDescent="0.35">
      <c r="A27" s="404"/>
      <c r="B27" s="404"/>
      <c r="C27" s="407"/>
      <c r="D27" s="535" t="s">
        <v>22</v>
      </c>
      <c r="E27" s="485"/>
      <c r="F27" s="485"/>
      <c r="G27" s="418"/>
      <c r="H27" s="115">
        <f>SUM(H17:H26)</f>
        <v>997500</v>
      </c>
    </row>
    <row r="28" spans="1:8" ht="14.4" customHeight="1" x14ac:dyDescent="0.3">
      <c r="A28" s="403">
        <v>3</v>
      </c>
      <c r="B28" s="402" t="s">
        <v>219</v>
      </c>
      <c r="C28" s="405">
        <v>45887</v>
      </c>
      <c r="D28" s="634" t="s">
        <v>94</v>
      </c>
      <c r="E28" s="635"/>
      <c r="F28" s="190">
        <v>290</v>
      </c>
      <c r="G28" s="191">
        <v>650</v>
      </c>
      <c r="H28" s="192">
        <f t="shared" ref="H28:H37" si="2">+F28*G28</f>
        <v>188500</v>
      </c>
    </row>
    <row r="29" spans="1:8" ht="14.4" x14ac:dyDescent="0.3">
      <c r="A29" s="403"/>
      <c r="B29" s="403"/>
      <c r="C29" s="406"/>
      <c r="D29" s="634" t="s">
        <v>96</v>
      </c>
      <c r="E29" s="635"/>
      <c r="F29" s="190">
        <v>1</v>
      </c>
      <c r="G29" s="191">
        <v>25000</v>
      </c>
      <c r="H29" s="192">
        <f t="shared" si="2"/>
        <v>25000</v>
      </c>
    </row>
    <row r="30" spans="1:8" ht="14.4" x14ac:dyDescent="0.3">
      <c r="A30" s="403"/>
      <c r="B30" s="403"/>
      <c r="C30" s="406"/>
      <c r="D30" s="634" t="s">
        <v>97</v>
      </c>
      <c r="E30" s="635"/>
      <c r="F30" s="190">
        <v>1</v>
      </c>
      <c r="G30" s="191">
        <v>35000</v>
      </c>
      <c r="H30" s="192">
        <f t="shared" si="2"/>
        <v>35000</v>
      </c>
    </row>
    <row r="31" spans="1:8" ht="14.4" x14ac:dyDescent="0.3">
      <c r="A31" s="403"/>
      <c r="B31" s="403"/>
      <c r="C31" s="406"/>
      <c r="D31" s="567" t="s">
        <v>95</v>
      </c>
      <c r="E31" s="568" t="s">
        <v>54</v>
      </c>
      <c r="F31" s="112">
        <v>2600</v>
      </c>
      <c r="G31" s="113">
        <v>150</v>
      </c>
      <c r="H31" s="114">
        <f t="shared" si="2"/>
        <v>390000</v>
      </c>
    </row>
    <row r="32" spans="1:8" ht="14.4" x14ac:dyDescent="0.3">
      <c r="A32" s="403"/>
      <c r="B32" s="403"/>
      <c r="C32" s="406"/>
      <c r="D32" s="567" t="s">
        <v>135</v>
      </c>
      <c r="E32" s="568" t="s">
        <v>54</v>
      </c>
      <c r="F32" s="112">
        <v>600</v>
      </c>
      <c r="G32" s="113">
        <v>150</v>
      </c>
      <c r="H32" s="114">
        <f t="shared" si="2"/>
        <v>90000</v>
      </c>
    </row>
    <row r="33" spans="1:8" ht="14.4" x14ac:dyDescent="0.3">
      <c r="A33" s="403"/>
      <c r="B33" s="403"/>
      <c r="C33" s="406"/>
      <c r="D33" s="567" t="s">
        <v>98</v>
      </c>
      <c r="E33" s="568" t="s">
        <v>55</v>
      </c>
      <c r="F33" s="112">
        <v>2</v>
      </c>
      <c r="G33" s="113">
        <v>55000</v>
      </c>
      <c r="H33" s="114">
        <f t="shared" si="2"/>
        <v>110000</v>
      </c>
    </row>
    <row r="34" spans="1:8" ht="14.4" x14ac:dyDescent="0.3">
      <c r="A34" s="403"/>
      <c r="B34" s="403"/>
      <c r="C34" s="406"/>
      <c r="D34" s="567" t="s">
        <v>99</v>
      </c>
      <c r="E34" s="568" t="s">
        <v>81</v>
      </c>
      <c r="F34" s="112">
        <v>1</v>
      </c>
      <c r="G34" s="113">
        <v>35000</v>
      </c>
      <c r="H34" s="114">
        <f t="shared" si="2"/>
        <v>35000</v>
      </c>
    </row>
    <row r="35" spans="1:8" ht="14.4" x14ac:dyDescent="0.3">
      <c r="A35" s="403"/>
      <c r="B35" s="403"/>
      <c r="C35" s="406"/>
      <c r="D35" s="567" t="s">
        <v>115</v>
      </c>
      <c r="E35" s="568" t="s">
        <v>82</v>
      </c>
      <c r="F35" s="112">
        <v>0</v>
      </c>
      <c r="G35" s="113">
        <v>25000</v>
      </c>
      <c r="H35" s="114">
        <f t="shared" si="2"/>
        <v>0</v>
      </c>
    </row>
    <row r="36" spans="1:8" ht="14.4" x14ac:dyDescent="0.3">
      <c r="A36" s="403"/>
      <c r="B36" s="403"/>
      <c r="C36" s="406"/>
      <c r="D36" s="634" t="s">
        <v>133</v>
      </c>
      <c r="E36" s="635" t="s">
        <v>82</v>
      </c>
      <c r="F36" s="190">
        <v>3</v>
      </c>
      <c r="G36" s="193">
        <v>18000</v>
      </c>
      <c r="H36" s="192">
        <f t="shared" si="2"/>
        <v>54000</v>
      </c>
    </row>
    <row r="37" spans="1:8" ht="14.4" x14ac:dyDescent="0.3">
      <c r="A37" s="403"/>
      <c r="B37" s="403"/>
      <c r="C37" s="406"/>
      <c r="D37" s="634" t="s">
        <v>181</v>
      </c>
      <c r="E37" s="635"/>
      <c r="F37" s="190">
        <v>1</v>
      </c>
      <c r="G37" s="193">
        <v>70000</v>
      </c>
      <c r="H37" s="192">
        <f t="shared" si="2"/>
        <v>70000</v>
      </c>
    </row>
    <row r="38" spans="1:8" thickBot="1" x14ac:dyDescent="0.35">
      <c r="A38" s="404"/>
      <c r="B38" s="404"/>
      <c r="C38" s="407"/>
      <c r="D38" s="535" t="s">
        <v>22</v>
      </c>
      <c r="E38" s="485"/>
      <c r="F38" s="485"/>
      <c r="G38" s="418"/>
      <c r="H38" s="115">
        <f>SUM(H28:H37)</f>
        <v>997500</v>
      </c>
    </row>
    <row r="39" spans="1:8" ht="14.4" customHeight="1" x14ac:dyDescent="0.3">
      <c r="A39" s="403">
        <v>4</v>
      </c>
      <c r="B39" s="402" t="s">
        <v>220</v>
      </c>
      <c r="C39" s="405">
        <v>45900</v>
      </c>
      <c r="D39" s="634" t="s">
        <v>94</v>
      </c>
      <c r="E39" s="635"/>
      <c r="F39" s="190">
        <v>290</v>
      </c>
      <c r="G39" s="191">
        <v>650</v>
      </c>
      <c r="H39" s="192">
        <f t="shared" ref="H39:H48" si="3">+F39*G39</f>
        <v>188500</v>
      </c>
    </row>
    <row r="40" spans="1:8" ht="14.4" x14ac:dyDescent="0.3">
      <c r="A40" s="403"/>
      <c r="B40" s="403"/>
      <c r="C40" s="406"/>
      <c r="D40" s="634" t="s">
        <v>96</v>
      </c>
      <c r="E40" s="635"/>
      <c r="F40" s="190">
        <v>1</v>
      </c>
      <c r="G40" s="191">
        <v>25000</v>
      </c>
      <c r="H40" s="192">
        <f t="shared" si="3"/>
        <v>25000</v>
      </c>
    </row>
    <row r="41" spans="1:8" ht="14.4" x14ac:dyDescent="0.3">
      <c r="A41" s="403"/>
      <c r="B41" s="403"/>
      <c r="C41" s="406"/>
      <c r="D41" s="634" t="s">
        <v>97</v>
      </c>
      <c r="E41" s="635"/>
      <c r="F41" s="190">
        <v>1</v>
      </c>
      <c r="G41" s="191">
        <v>35000</v>
      </c>
      <c r="H41" s="192">
        <f t="shared" si="3"/>
        <v>35000</v>
      </c>
    </row>
    <row r="42" spans="1:8" ht="14.4" x14ac:dyDescent="0.3">
      <c r="A42" s="403"/>
      <c r="B42" s="403"/>
      <c r="C42" s="406"/>
      <c r="D42" s="567" t="s">
        <v>95</v>
      </c>
      <c r="E42" s="568" t="s">
        <v>54</v>
      </c>
      <c r="F42" s="112">
        <v>2600</v>
      </c>
      <c r="G42" s="113">
        <v>150</v>
      </c>
      <c r="H42" s="114">
        <f t="shared" si="3"/>
        <v>390000</v>
      </c>
    </row>
    <row r="43" spans="1:8" ht="14.4" x14ac:dyDescent="0.3">
      <c r="A43" s="403"/>
      <c r="B43" s="403"/>
      <c r="C43" s="406"/>
      <c r="D43" s="567" t="s">
        <v>135</v>
      </c>
      <c r="E43" s="568" t="s">
        <v>54</v>
      </c>
      <c r="F43" s="112">
        <v>600</v>
      </c>
      <c r="G43" s="113">
        <v>150</v>
      </c>
      <c r="H43" s="114">
        <f t="shared" si="3"/>
        <v>90000</v>
      </c>
    </row>
    <row r="44" spans="1:8" ht="14.4" x14ac:dyDescent="0.3">
      <c r="A44" s="403"/>
      <c r="B44" s="403"/>
      <c r="C44" s="406"/>
      <c r="D44" s="567" t="s">
        <v>98</v>
      </c>
      <c r="E44" s="568" t="s">
        <v>55</v>
      </c>
      <c r="F44" s="112">
        <v>2</v>
      </c>
      <c r="G44" s="113">
        <v>55000</v>
      </c>
      <c r="H44" s="114">
        <f t="shared" si="3"/>
        <v>110000</v>
      </c>
    </row>
    <row r="45" spans="1:8" ht="14.4" x14ac:dyDescent="0.3">
      <c r="A45" s="403"/>
      <c r="B45" s="403"/>
      <c r="C45" s="406"/>
      <c r="D45" s="567" t="s">
        <v>99</v>
      </c>
      <c r="E45" s="568" t="s">
        <v>81</v>
      </c>
      <c r="F45" s="112">
        <v>1</v>
      </c>
      <c r="G45" s="113">
        <v>35000</v>
      </c>
      <c r="H45" s="114">
        <f t="shared" si="3"/>
        <v>35000</v>
      </c>
    </row>
    <row r="46" spans="1:8" ht="14.4" x14ac:dyDescent="0.3">
      <c r="A46" s="403"/>
      <c r="B46" s="403"/>
      <c r="C46" s="406"/>
      <c r="D46" s="567" t="s">
        <v>115</v>
      </c>
      <c r="E46" s="568" t="s">
        <v>82</v>
      </c>
      <c r="F46" s="112">
        <v>0</v>
      </c>
      <c r="G46" s="113">
        <v>25000</v>
      </c>
      <c r="H46" s="114">
        <f t="shared" si="3"/>
        <v>0</v>
      </c>
    </row>
    <row r="47" spans="1:8" ht="14.4" x14ac:dyDescent="0.3">
      <c r="A47" s="403"/>
      <c r="B47" s="403"/>
      <c r="C47" s="406"/>
      <c r="D47" s="634" t="s">
        <v>133</v>
      </c>
      <c r="E47" s="635" t="s">
        <v>82</v>
      </c>
      <c r="F47" s="190">
        <v>3</v>
      </c>
      <c r="G47" s="193">
        <v>18000</v>
      </c>
      <c r="H47" s="192">
        <f t="shared" si="3"/>
        <v>54000</v>
      </c>
    </row>
    <row r="48" spans="1:8" ht="14.4" x14ac:dyDescent="0.3">
      <c r="A48" s="403"/>
      <c r="B48" s="403"/>
      <c r="C48" s="406"/>
      <c r="D48" s="634" t="s">
        <v>181</v>
      </c>
      <c r="E48" s="635"/>
      <c r="F48" s="190">
        <v>1</v>
      </c>
      <c r="G48" s="193">
        <v>70000</v>
      </c>
      <c r="H48" s="192">
        <f t="shared" si="3"/>
        <v>70000</v>
      </c>
    </row>
    <row r="49" spans="1:8" thickBot="1" x14ac:dyDescent="0.35">
      <c r="A49" s="404"/>
      <c r="B49" s="404"/>
      <c r="C49" s="407"/>
      <c r="D49" s="535" t="s">
        <v>22</v>
      </c>
      <c r="E49" s="485"/>
      <c r="F49" s="485"/>
      <c r="G49" s="418"/>
      <c r="H49" s="115">
        <f>SUM(H39:H48)</f>
        <v>997500</v>
      </c>
    </row>
    <row r="50" spans="1:8" ht="14.4" customHeight="1" x14ac:dyDescent="0.3">
      <c r="A50" s="403">
        <v>5</v>
      </c>
      <c r="B50" s="402" t="s">
        <v>51</v>
      </c>
      <c r="C50" s="405">
        <v>45927</v>
      </c>
      <c r="D50" s="634" t="s">
        <v>94</v>
      </c>
      <c r="E50" s="635"/>
      <c r="F50" s="190">
        <v>290</v>
      </c>
      <c r="G50" s="191">
        <v>650</v>
      </c>
      <c r="H50" s="192">
        <f t="shared" ref="H50:H59" si="4">+F50*G50</f>
        <v>188500</v>
      </c>
    </row>
    <row r="51" spans="1:8" ht="14.4" x14ac:dyDescent="0.3">
      <c r="A51" s="403"/>
      <c r="B51" s="403"/>
      <c r="C51" s="406"/>
      <c r="D51" s="634" t="s">
        <v>96</v>
      </c>
      <c r="E51" s="635"/>
      <c r="F51" s="190">
        <v>1</v>
      </c>
      <c r="G51" s="191">
        <v>25000</v>
      </c>
      <c r="H51" s="192">
        <f t="shared" si="4"/>
        <v>25000</v>
      </c>
    </row>
    <row r="52" spans="1:8" ht="14.4" x14ac:dyDescent="0.3">
      <c r="A52" s="403"/>
      <c r="B52" s="403"/>
      <c r="C52" s="406"/>
      <c r="D52" s="634" t="s">
        <v>97</v>
      </c>
      <c r="E52" s="635"/>
      <c r="F52" s="190">
        <v>1</v>
      </c>
      <c r="G52" s="191">
        <v>35000</v>
      </c>
      <c r="H52" s="192">
        <f t="shared" si="4"/>
        <v>35000</v>
      </c>
    </row>
    <row r="53" spans="1:8" ht="14.4" x14ac:dyDescent="0.3">
      <c r="A53" s="403"/>
      <c r="B53" s="403"/>
      <c r="C53" s="406"/>
      <c r="D53" s="567" t="s">
        <v>95</v>
      </c>
      <c r="E53" s="568" t="s">
        <v>54</v>
      </c>
      <c r="F53" s="112">
        <v>2600</v>
      </c>
      <c r="G53" s="113">
        <v>150</v>
      </c>
      <c r="H53" s="114">
        <f t="shared" si="4"/>
        <v>390000</v>
      </c>
    </row>
    <row r="54" spans="1:8" ht="14.4" x14ac:dyDescent="0.3">
      <c r="A54" s="403"/>
      <c r="B54" s="403"/>
      <c r="C54" s="406"/>
      <c r="D54" s="567" t="s">
        <v>135</v>
      </c>
      <c r="E54" s="568" t="s">
        <v>54</v>
      </c>
      <c r="F54" s="112">
        <v>600</v>
      </c>
      <c r="G54" s="113">
        <v>150</v>
      </c>
      <c r="H54" s="114">
        <f t="shared" si="4"/>
        <v>90000</v>
      </c>
    </row>
    <row r="55" spans="1:8" ht="14.4" x14ac:dyDescent="0.3">
      <c r="A55" s="403"/>
      <c r="B55" s="403"/>
      <c r="C55" s="406"/>
      <c r="D55" s="567" t="s">
        <v>98</v>
      </c>
      <c r="E55" s="568" t="s">
        <v>55</v>
      </c>
      <c r="F55" s="112">
        <v>2</v>
      </c>
      <c r="G55" s="113">
        <v>55000</v>
      </c>
      <c r="H55" s="114">
        <f t="shared" si="4"/>
        <v>110000</v>
      </c>
    </row>
    <row r="56" spans="1:8" ht="14.4" x14ac:dyDescent="0.3">
      <c r="A56" s="403"/>
      <c r="B56" s="403"/>
      <c r="C56" s="406"/>
      <c r="D56" s="567" t="s">
        <v>99</v>
      </c>
      <c r="E56" s="568" t="s">
        <v>81</v>
      </c>
      <c r="F56" s="112">
        <v>1</v>
      </c>
      <c r="G56" s="113">
        <v>35000</v>
      </c>
      <c r="H56" s="114">
        <f t="shared" si="4"/>
        <v>35000</v>
      </c>
    </row>
    <row r="57" spans="1:8" ht="14.4" x14ac:dyDescent="0.3">
      <c r="A57" s="403"/>
      <c r="B57" s="403"/>
      <c r="C57" s="406"/>
      <c r="D57" s="567" t="s">
        <v>115</v>
      </c>
      <c r="E57" s="568" t="s">
        <v>82</v>
      </c>
      <c r="F57" s="112">
        <v>0</v>
      </c>
      <c r="G57" s="113">
        <v>25000</v>
      </c>
      <c r="H57" s="114">
        <f t="shared" si="4"/>
        <v>0</v>
      </c>
    </row>
    <row r="58" spans="1:8" ht="14.4" x14ac:dyDescent="0.3">
      <c r="A58" s="403"/>
      <c r="B58" s="403"/>
      <c r="C58" s="406"/>
      <c r="D58" s="634" t="s">
        <v>133</v>
      </c>
      <c r="E58" s="635" t="s">
        <v>82</v>
      </c>
      <c r="F58" s="190">
        <v>3</v>
      </c>
      <c r="G58" s="193">
        <v>18000</v>
      </c>
      <c r="H58" s="192">
        <f t="shared" si="4"/>
        <v>54000</v>
      </c>
    </row>
    <row r="59" spans="1:8" ht="14.4" x14ac:dyDescent="0.3">
      <c r="A59" s="403"/>
      <c r="B59" s="403"/>
      <c r="C59" s="406"/>
      <c r="D59" s="634" t="s">
        <v>181</v>
      </c>
      <c r="E59" s="635"/>
      <c r="F59" s="190">
        <v>1</v>
      </c>
      <c r="G59" s="193">
        <v>70000</v>
      </c>
      <c r="H59" s="192">
        <f t="shared" si="4"/>
        <v>70000</v>
      </c>
    </row>
    <row r="60" spans="1:8" thickBot="1" x14ac:dyDescent="0.35">
      <c r="A60" s="404"/>
      <c r="B60" s="404"/>
      <c r="C60" s="407"/>
      <c r="D60" s="535" t="s">
        <v>22</v>
      </c>
      <c r="E60" s="485"/>
      <c r="F60" s="485"/>
      <c r="G60" s="418"/>
      <c r="H60" s="115">
        <f>SUM(H50:H59)</f>
        <v>997500</v>
      </c>
    </row>
    <row r="61" spans="1:8" ht="14.4" customHeight="1" x14ac:dyDescent="0.3">
      <c r="A61" s="403">
        <v>6</v>
      </c>
      <c r="B61" s="402" t="s">
        <v>38</v>
      </c>
      <c r="C61" s="405">
        <v>45935</v>
      </c>
      <c r="D61" s="634" t="s">
        <v>94</v>
      </c>
      <c r="E61" s="635"/>
      <c r="F61" s="190">
        <v>290</v>
      </c>
      <c r="G61" s="191">
        <v>650</v>
      </c>
      <c r="H61" s="192">
        <f t="shared" ref="H61:H70" si="5">+F61*G61</f>
        <v>188500</v>
      </c>
    </row>
    <row r="62" spans="1:8" ht="14.4" x14ac:dyDescent="0.3">
      <c r="A62" s="403"/>
      <c r="B62" s="403"/>
      <c r="C62" s="406"/>
      <c r="D62" s="634" t="s">
        <v>96</v>
      </c>
      <c r="E62" s="635"/>
      <c r="F62" s="190">
        <v>1</v>
      </c>
      <c r="G62" s="191">
        <v>25000</v>
      </c>
      <c r="H62" s="192">
        <f t="shared" si="5"/>
        <v>25000</v>
      </c>
    </row>
    <row r="63" spans="1:8" ht="14.4" x14ac:dyDescent="0.3">
      <c r="A63" s="403"/>
      <c r="B63" s="403"/>
      <c r="C63" s="406"/>
      <c r="D63" s="634" t="s">
        <v>97</v>
      </c>
      <c r="E63" s="635"/>
      <c r="F63" s="190">
        <v>1</v>
      </c>
      <c r="G63" s="191">
        <v>35000</v>
      </c>
      <c r="H63" s="192">
        <f t="shared" si="5"/>
        <v>35000</v>
      </c>
    </row>
    <row r="64" spans="1:8" ht="14.4" x14ac:dyDescent="0.3">
      <c r="A64" s="403"/>
      <c r="B64" s="403"/>
      <c r="C64" s="406"/>
      <c r="D64" s="567" t="s">
        <v>95</v>
      </c>
      <c r="E64" s="568" t="s">
        <v>54</v>
      </c>
      <c r="F64" s="112">
        <v>2600</v>
      </c>
      <c r="G64" s="113">
        <v>150</v>
      </c>
      <c r="H64" s="114">
        <f t="shared" si="5"/>
        <v>390000</v>
      </c>
    </row>
    <row r="65" spans="1:8" ht="14.4" x14ac:dyDescent="0.3">
      <c r="A65" s="403"/>
      <c r="B65" s="403"/>
      <c r="C65" s="406"/>
      <c r="D65" s="567" t="s">
        <v>135</v>
      </c>
      <c r="E65" s="568" t="s">
        <v>54</v>
      </c>
      <c r="F65" s="112">
        <v>600</v>
      </c>
      <c r="G65" s="113">
        <v>150</v>
      </c>
      <c r="H65" s="114">
        <f t="shared" si="5"/>
        <v>90000</v>
      </c>
    </row>
    <row r="66" spans="1:8" ht="14.4" x14ac:dyDescent="0.3">
      <c r="A66" s="403"/>
      <c r="B66" s="403"/>
      <c r="C66" s="406"/>
      <c r="D66" s="567" t="s">
        <v>98</v>
      </c>
      <c r="E66" s="568" t="s">
        <v>55</v>
      </c>
      <c r="F66" s="112">
        <v>2</v>
      </c>
      <c r="G66" s="113">
        <v>55000</v>
      </c>
      <c r="H66" s="114">
        <f t="shared" si="5"/>
        <v>110000</v>
      </c>
    </row>
    <row r="67" spans="1:8" ht="14.4" x14ac:dyDescent="0.3">
      <c r="A67" s="403"/>
      <c r="B67" s="403"/>
      <c r="C67" s="406"/>
      <c r="D67" s="567" t="s">
        <v>99</v>
      </c>
      <c r="E67" s="568" t="s">
        <v>81</v>
      </c>
      <c r="F67" s="112">
        <v>1</v>
      </c>
      <c r="G67" s="113">
        <v>35000</v>
      </c>
      <c r="H67" s="114">
        <f t="shared" si="5"/>
        <v>35000</v>
      </c>
    </row>
    <row r="68" spans="1:8" ht="14.4" x14ac:dyDescent="0.3">
      <c r="A68" s="403"/>
      <c r="B68" s="403"/>
      <c r="C68" s="406"/>
      <c r="D68" s="567" t="s">
        <v>115</v>
      </c>
      <c r="E68" s="568" t="s">
        <v>82</v>
      </c>
      <c r="F68" s="112">
        <v>0</v>
      </c>
      <c r="G68" s="113">
        <v>25000</v>
      </c>
      <c r="H68" s="114">
        <f t="shared" si="5"/>
        <v>0</v>
      </c>
    </row>
    <row r="69" spans="1:8" ht="14.4" x14ac:dyDescent="0.3">
      <c r="A69" s="403"/>
      <c r="B69" s="403"/>
      <c r="C69" s="406"/>
      <c r="D69" s="634" t="s">
        <v>133</v>
      </c>
      <c r="E69" s="635" t="s">
        <v>82</v>
      </c>
      <c r="F69" s="190">
        <v>3</v>
      </c>
      <c r="G69" s="193">
        <v>18000</v>
      </c>
      <c r="H69" s="192">
        <f t="shared" si="5"/>
        <v>54000</v>
      </c>
    </row>
    <row r="70" spans="1:8" ht="14.4" x14ac:dyDescent="0.3">
      <c r="A70" s="403"/>
      <c r="B70" s="403"/>
      <c r="C70" s="406"/>
      <c r="D70" s="634" t="s">
        <v>181</v>
      </c>
      <c r="E70" s="635"/>
      <c r="F70" s="190">
        <v>1</v>
      </c>
      <c r="G70" s="193">
        <v>70000</v>
      </c>
      <c r="H70" s="192">
        <f t="shared" si="5"/>
        <v>70000</v>
      </c>
    </row>
    <row r="71" spans="1:8" thickBot="1" x14ac:dyDescent="0.35">
      <c r="A71" s="404"/>
      <c r="B71" s="404"/>
      <c r="C71" s="407"/>
      <c r="D71" s="535" t="s">
        <v>22</v>
      </c>
      <c r="E71" s="485"/>
      <c r="F71" s="485"/>
      <c r="G71" s="418"/>
      <c r="H71" s="115">
        <f>SUM(H61:H70)</f>
        <v>997500</v>
      </c>
    </row>
    <row r="72" spans="1:8" ht="14.4" customHeight="1" x14ac:dyDescent="0.3">
      <c r="A72" s="403">
        <v>7</v>
      </c>
      <c r="B72" s="402" t="s">
        <v>221</v>
      </c>
      <c r="C72" s="405">
        <v>45948</v>
      </c>
      <c r="D72" s="634" t="s">
        <v>94</v>
      </c>
      <c r="E72" s="635"/>
      <c r="F72" s="190">
        <v>290</v>
      </c>
      <c r="G72" s="191">
        <v>650</v>
      </c>
      <c r="H72" s="192">
        <f t="shared" ref="H72:H81" si="6">+F72*G72</f>
        <v>188500</v>
      </c>
    </row>
    <row r="73" spans="1:8" ht="14.4" x14ac:dyDescent="0.3">
      <c r="A73" s="403"/>
      <c r="B73" s="403"/>
      <c r="C73" s="406"/>
      <c r="D73" s="634" t="s">
        <v>96</v>
      </c>
      <c r="E73" s="635"/>
      <c r="F73" s="190">
        <v>1</v>
      </c>
      <c r="G73" s="191">
        <v>25000</v>
      </c>
      <c r="H73" s="192">
        <f t="shared" si="6"/>
        <v>25000</v>
      </c>
    </row>
    <row r="74" spans="1:8" ht="14.4" x14ac:dyDescent="0.3">
      <c r="A74" s="403"/>
      <c r="B74" s="403"/>
      <c r="C74" s="406"/>
      <c r="D74" s="634" t="s">
        <v>97</v>
      </c>
      <c r="E74" s="635"/>
      <c r="F74" s="190">
        <v>1</v>
      </c>
      <c r="G74" s="191">
        <v>35000</v>
      </c>
      <c r="H74" s="192">
        <f t="shared" si="6"/>
        <v>35000</v>
      </c>
    </row>
    <row r="75" spans="1:8" ht="14.4" x14ac:dyDescent="0.3">
      <c r="A75" s="403"/>
      <c r="B75" s="403"/>
      <c r="C75" s="406"/>
      <c r="D75" s="567" t="s">
        <v>95</v>
      </c>
      <c r="E75" s="568" t="s">
        <v>54</v>
      </c>
      <c r="F75" s="112">
        <v>2600</v>
      </c>
      <c r="G75" s="113">
        <v>150</v>
      </c>
      <c r="H75" s="114">
        <f t="shared" si="6"/>
        <v>390000</v>
      </c>
    </row>
    <row r="76" spans="1:8" ht="14.4" x14ac:dyDescent="0.3">
      <c r="A76" s="403"/>
      <c r="B76" s="403"/>
      <c r="C76" s="406"/>
      <c r="D76" s="567" t="s">
        <v>135</v>
      </c>
      <c r="E76" s="568" t="s">
        <v>54</v>
      </c>
      <c r="F76" s="112">
        <v>600</v>
      </c>
      <c r="G76" s="113">
        <v>150</v>
      </c>
      <c r="H76" s="114">
        <f t="shared" si="6"/>
        <v>90000</v>
      </c>
    </row>
    <row r="77" spans="1:8" ht="14.4" x14ac:dyDescent="0.3">
      <c r="A77" s="403"/>
      <c r="B77" s="403"/>
      <c r="C77" s="406"/>
      <c r="D77" s="567" t="s">
        <v>98</v>
      </c>
      <c r="E77" s="568" t="s">
        <v>55</v>
      </c>
      <c r="F77" s="112">
        <v>2</v>
      </c>
      <c r="G77" s="113">
        <v>55000</v>
      </c>
      <c r="H77" s="114">
        <f t="shared" si="6"/>
        <v>110000</v>
      </c>
    </row>
    <row r="78" spans="1:8" ht="14.4" x14ac:dyDescent="0.3">
      <c r="A78" s="403"/>
      <c r="B78" s="403"/>
      <c r="C78" s="406"/>
      <c r="D78" s="567" t="s">
        <v>99</v>
      </c>
      <c r="E78" s="568" t="s">
        <v>81</v>
      </c>
      <c r="F78" s="112">
        <v>1</v>
      </c>
      <c r="G78" s="113">
        <v>35000</v>
      </c>
      <c r="H78" s="114">
        <f t="shared" si="6"/>
        <v>35000</v>
      </c>
    </row>
    <row r="79" spans="1:8" ht="14.4" x14ac:dyDescent="0.3">
      <c r="A79" s="403"/>
      <c r="B79" s="403"/>
      <c r="C79" s="406"/>
      <c r="D79" s="567" t="s">
        <v>115</v>
      </c>
      <c r="E79" s="568" t="s">
        <v>82</v>
      </c>
      <c r="F79" s="112">
        <v>0</v>
      </c>
      <c r="G79" s="113">
        <v>25000</v>
      </c>
      <c r="H79" s="114">
        <f t="shared" si="6"/>
        <v>0</v>
      </c>
    </row>
    <row r="80" spans="1:8" ht="14.4" x14ac:dyDescent="0.3">
      <c r="A80" s="403"/>
      <c r="B80" s="403"/>
      <c r="C80" s="406"/>
      <c r="D80" s="634" t="s">
        <v>133</v>
      </c>
      <c r="E80" s="635" t="s">
        <v>82</v>
      </c>
      <c r="F80" s="190">
        <v>3</v>
      </c>
      <c r="G80" s="193">
        <v>18000</v>
      </c>
      <c r="H80" s="192">
        <f t="shared" si="6"/>
        <v>54000</v>
      </c>
    </row>
    <row r="81" spans="1:8" ht="14.4" x14ac:dyDescent="0.3">
      <c r="A81" s="403"/>
      <c r="B81" s="403"/>
      <c r="C81" s="406"/>
      <c r="D81" s="634" t="s">
        <v>181</v>
      </c>
      <c r="E81" s="635"/>
      <c r="F81" s="190">
        <v>1</v>
      </c>
      <c r="G81" s="193">
        <v>70000</v>
      </c>
      <c r="H81" s="192">
        <f t="shared" si="6"/>
        <v>70000</v>
      </c>
    </row>
    <row r="82" spans="1:8" thickBot="1" x14ac:dyDescent="0.35">
      <c r="A82" s="404"/>
      <c r="B82" s="404"/>
      <c r="C82" s="407"/>
      <c r="D82" s="535" t="s">
        <v>22</v>
      </c>
      <c r="E82" s="485"/>
      <c r="F82" s="485"/>
      <c r="G82" s="418"/>
      <c r="H82" s="115">
        <f>SUM(H72:H81)</f>
        <v>997500</v>
      </c>
    </row>
    <row r="83" spans="1:8" ht="14.4" customHeight="1" x14ac:dyDescent="0.3">
      <c r="A83" s="403">
        <v>8</v>
      </c>
      <c r="B83" s="402" t="s">
        <v>26</v>
      </c>
      <c r="C83" s="405">
        <v>45969</v>
      </c>
      <c r="D83" s="634" t="s">
        <v>94</v>
      </c>
      <c r="E83" s="635"/>
      <c r="F83" s="190">
        <v>290</v>
      </c>
      <c r="G83" s="191">
        <v>650</v>
      </c>
      <c r="H83" s="192">
        <f t="shared" ref="H83:H92" si="7">+F83*G83</f>
        <v>188500</v>
      </c>
    </row>
    <row r="84" spans="1:8" ht="14.4" x14ac:dyDescent="0.3">
      <c r="A84" s="403"/>
      <c r="B84" s="403"/>
      <c r="C84" s="406"/>
      <c r="D84" s="634" t="s">
        <v>96</v>
      </c>
      <c r="E84" s="635"/>
      <c r="F84" s="190">
        <v>1</v>
      </c>
      <c r="G84" s="191">
        <v>25000</v>
      </c>
      <c r="H84" s="192">
        <f t="shared" si="7"/>
        <v>25000</v>
      </c>
    </row>
    <row r="85" spans="1:8" ht="14.4" x14ac:dyDescent="0.3">
      <c r="A85" s="403"/>
      <c r="B85" s="403"/>
      <c r="C85" s="406"/>
      <c r="D85" s="634" t="s">
        <v>97</v>
      </c>
      <c r="E85" s="635"/>
      <c r="F85" s="190">
        <v>1</v>
      </c>
      <c r="G85" s="191">
        <v>35000</v>
      </c>
      <c r="H85" s="192">
        <f t="shared" si="7"/>
        <v>35000</v>
      </c>
    </row>
    <row r="86" spans="1:8" ht="14.4" x14ac:dyDescent="0.3">
      <c r="A86" s="403"/>
      <c r="B86" s="403"/>
      <c r="C86" s="406"/>
      <c r="D86" s="567" t="s">
        <v>95</v>
      </c>
      <c r="E86" s="568" t="s">
        <v>54</v>
      </c>
      <c r="F86" s="112">
        <v>2600</v>
      </c>
      <c r="G86" s="113">
        <v>150</v>
      </c>
      <c r="H86" s="114">
        <f t="shared" si="7"/>
        <v>390000</v>
      </c>
    </row>
    <row r="87" spans="1:8" ht="14.4" x14ac:dyDescent="0.3">
      <c r="A87" s="403"/>
      <c r="B87" s="403"/>
      <c r="C87" s="406"/>
      <c r="D87" s="567" t="s">
        <v>135</v>
      </c>
      <c r="E87" s="568" t="s">
        <v>54</v>
      </c>
      <c r="F87" s="112">
        <v>600</v>
      </c>
      <c r="G87" s="113">
        <v>150</v>
      </c>
      <c r="H87" s="114">
        <f t="shared" si="7"/>
        <v>90000</v>
      </c>
    </row>
    <row r="88" spans="1:8" ht="14.4" x14ac:dyDescent="0.3">
      <c r="A88" s="403"/>
      <c r="B88" s="403"/>
      <c r="C88" s="406"/>
      <c r="D88" s="567" t="s">
        <v>98</v>
      </c>
      <c r="E88" s="568" t="s">
        <v>55</v>
      </c>
      <c r="F88" s="112">
        <v>2</v>
      </c>
      <c r="G88" s="113">
        <v>55000</v>
      </c>
      <c r="H88" s="114">
        <f t="shared" si="7"/>
        <v>110000</v>
      </c>
    </row>
    <row r="89" spans="1:8" ht="14.4" x14ac:dyDescent="0.3">
      <c r="A89" s="403"/>
      <c r="B89" s="403"/>
      <c r="C89" s="406"/>
      <c r="D89" s="567" t="s">
        <v>99</v>
      </c>
      <c r="E89" s="568" t="s">
        <v>81</v>
      </c>
      <c r="F89" s="112">
        <v>1</v>
      </c>
      <c r="G89" s="113">
        <v>35000</v>
      </c>
      <c r="H89" s="114">
        <f t="shared" si="7"/>
        <v>35000</v>
      </c>
    </row>
    <row r="90" spans="1:8" ht="14.4" x14ac:dyDescent="0.3">
      <c r="A90" s="403"/>
      <c r="B90" s="403"/>
      <c r="C90" s="406"/>
      <c r="D90" s="567" t="s">
        <v>115</v>
      </c>
      <c r="E90" s="568" t="s">
        <v>82</v>
      </c>
      <c r="F90" s="112">
        <v>0</v>
      </c>
      <c r="G90" s="113">
        <v>25000</v>
      </c>
      <c r="H90" s="114">
        <f t="shared" si="7"/>
        <v>0</v>
      </c>
    </row>
    <row r="91" spans="1:8" ht="14.4" x14ac:dyDescent="0.3">
      <c r="A91" s="403"/>
      <c r="B91" s="403"/>
      <c r="C91" s="406"/>
      <c r="D91" s="634" t="s">
        <v>133</v>
      </c>
      <c r="E91" s="635" t="s">
        <v>82</v>
      </c>
      <c r="F91" s="190">
        <v>3</v>
      </c>
      <c r="G91" s="193">
        <v>18000</v>
      </c>
      <c r="H91" s="192">
        <f t="shared" si="7"/>
        <v>54000</v>
      </c>
    </row>
    <row r="92" spans="1:8" ht="14.4" x14ac:dyDescent="0.3">
      <c r="A92" s="403"/>
      <c r="B92" s="403"/>
      <c r="C92" s="406"/>
      <c r="D92" s="634" t="s">
        <v>181</v>
      </c>
      <c r="E92" s="635"/>
      <c r="F92" s="190">
        <v>1</v>
      </c>
      <c r="G92" s="193">
        <v>70000</v>
      </c>
      <c r="H92" s="192">
        <f t="shared" si="7"/>
        <v>70000</v>
      </c>
    </row>
    <row r="93" spans="1:8" thickBot="1" x14ac:dyDescent="0.35">
      <c r="A93" s="404"/>
      <c r="B93" s="404"/>
      <c r="C93" s="407"/>
      <c r="D93" s="535" t="s">
        <v>22</v>
      </c>
      <c r="E93" s="485"/>
      <c r="F93" s="485"/>
      <c r="G93" s="418"/>
      <c r="H93" s="115">
        <f>SUM(H83:H92)</f>
        <v>997500</v>
      </c>
    </row>
    <row r="94" spans="1:8" ht="14.4" x14ac:dyDescent="0.3">
      <c r="A94" s="176"/>
      <c r="B94" s="176"/>
      <c r="C94" s="177"/>
      <c r="D94" s="36"/>
      <c r="E94" s="36"/>
      <c r="F94" s="36"/>
      <c r="G94" s="36"/>
      <c r="H94" s="178"/>
    </row>
    <row r="95" spans="1:8" ht="14.4" x14ac:dyDescent="0.3">
      <c r="A95" s="152"/>
      <c r="B95" s="152"/>
      <c r="C95" s="153"/>
      <c r="D95" s="154"/>
      <c r="E95" s="154"/>
      <c r="F95" s="154"/>
      <c r="G95" s="154"/>
      <c r="H95" s="155"/>
    </row>
    <row r="96" spans="1:8" ht="17.399999999999999" customHeight="1" x14ac:dyDescent="0.3">
      <c r="A96" s="589" t="s">
        <v>108</v>
      </c>
      <c r="B96" s="589"/>
      <c r="C96" s="589"/>
      <c r="E96" s="598" t="s">
        <v>108</v>
      </c>
      <c r="F96" s="598"/>
      <c r="G96" s="598"/>
      <c r="H96" s="598"/>
    </row>
    <row r="97" spans="1:8" ht="15.75" customHeight="1" x14ac:dyDescent="0.3">
      <c r="A97" s="590" t="s">
        <v>109</v>
      </c>
      <c r="B97" s="590"/>
      <c r="C97" s="590"/>
      <c r="E97" s="597" t="s">
        <v>64</v>
      </c>
      <c r="F97" s="597"/>
      <c r="G97" s="597"/>
      <c r="H97" s="597"/>
    </row>
    <row r="98" spans="1:8" ht="15.75" customHeight="1" x14ac:dyDescent="0.3">
      <c r="A98" s="129" t="s">
        <v>105</v>
      </c>
      <c r="B98" s="129" t="s">
        <v>106</v>
      </c>
      <c r="C98" s="129" t="s">
        <v>107</v>
      </c>
      <c r="E98" s="139" t="s">
        <v>117</v>
      </c>
      <c r="F98" s="129" t="s">
        <v>105</v>
      </c>
      <c r="G98" s="129" t="s">
        <v>106</v>
      </c>
      <c r="H98" s="129" t="s">
        <v>107</v>
      </c>
    </row>
    <row r="99" spans="1:8" ht="15.75" customHeight="1" x14ac:dyDescent="0.3">
      <c r="A99" s="130">
        <v>46006</v>
      </c>
      <c r="B99" s="350" t="s">
        <v>144</v>
      </c>
      <c r="C99" s="131">
        <v>3500000</v>
      </c>
      <c r="E99" s="126">
        <v>1</v>
      </c>
      <c r="F99" s="138">
        <v>45849</v>
      </c>
      <c r="G99" s="111" t="s">
        <v>24</v>
      </c>
      <c r="H99" s="65">
        <f>+H9+H10+H11+H12+H13</f>
        <v>625000</v>
      </c>
    </row>
    <row r="100" spans="1:8" ht="15.75" customHeight="1" x14ac:dyDescent="0.3">
      <c r="A100" s="130">
        <v>46008</v>
      </c>
      <c r="B100" s="350" t="s">
        <v>167</v>
      </c>
      <c r="C100" s="131">
        <v>3000000</v>
      </c>
      <c r="E100" s="126">
        <v>2</v>
      </c>
      <c r="F100" s="138">
        <v>45865</v>
      </c>
      <c r="G100" s="111" t="s">
        <v>43</v>
      </c>
      <c r="H100" s="65">
        <f>+H20+H21+H22+H23+H24</f>
        <v>625000</v>
      </c>
    </row>
    <row r="101" spans="1:8" ht="15.75" customHeight="1" x14ac:dyDescent="0.3">
      <c r="A101" s="130">
        <v>46035</v>
      </c>
      <c r="B101" s="350" t="s">
        <v>144</v>
      </c>
      <c r="C101" s="131">
        <v>1480000</v>
      </c>
      <c r="E101" s="126">
        <v>3</v>
      </c>
      <c r="F101" s="138">
        <v>45887</v>
      </c>
      <c r="G101" s="111" t="s">
        <v>219</v>
      </c>
      <c r="H101" s="65">
        <f>+H31+H32+H33+H34+H35</f>
        <v>625000</v>
      </c>
    </row>
    <row r="102" spans="1:8" ht="15.75" customHeight="1" x14ac:dyDescent="0.3">
      <c r="A102" s="130"/>
      <c r="B102" s="347"/>
      <c r="C102" s="131"/>
      <c r="E102" s="126">
        <v>4</v>
      </c>
      <c r="F102" s="138">
        <v>45900</v>
      </c>
      <c r="G102" s="111" t="s">
        <v>220</v>
      </c>
      <c r="H102" s="65">
        <f>+H42+H43+H44+H45+H46</f>
        <v>625000</v>
      </c>
    </row>
    <row r="103" spans="1:8" ht="15.75" customHeight="1" x14ac:dyDescent="0.3">
      <c r="A103" s="130"/>
      <c r="B103" s="347"/>
      <c r="C103" s="131"/>
      <c r="E103" s="126">
        <v>5</v>
      </c>
      <c r="F103" s="138">
        <v>45927</v>
      </c>
      <c r="G103" s="111" t="s">
        <v>51</v>
      </c>
      <c r="H103" s="65">
        <f>+H53+H54+H55+H56+H57</f>
        <v>625000</v>
      </c>
    </row>
    <row r="104" spans="1:8" ht="15.75" customHeight="1" x14ac:dyDescent="0.3">
      <c r="A104" s="130"/>
      <c r="B104" s="347"/>
      <c r="C104" s="131"/>
      <c r="E104" s="126">
        <v>6</v>
      </c>
      <c r="F104" s="138">
        <v>45935</v>
      </c>
      <c r="G104" s="111" t="s">
        <v>38</v>
      </c>
      <c r="H104" s="65">
        <f>+H64+H65+H66+H67+H68</f>
        <v>625000</v>
      </c>
    </row>
    <row r="105" spans="1:8" ht="15.75" customHeight="1" x14ac:dyDescent="0.3">
      <c r="A105" s="130"/>
      <c r="B105" s="347"/>
      <c r="C105" s="131"/>
      <c r="E105" s="126">
        <v>7</v>
      </c>
      <c r="F105" s="138">
        <v>45948</v>
      </c>
      <c r="G105" s="111" t="s">
        <v>221</v>
      </c>
      <c r="H105" s="65">
        <f>+H75+H76+H77+H78+H79</f>
        <v>625000</v>
      </c>
    </row>
    <row r="106" spans="1:8" ht="15.75" customHeight="1" x14ac:dyDescent="0.3">
      <c r="A106" s="130"/>
      <c r="B106" s="347"/>
      <c r="C106" s="131"/>
      <c r="E106" s="126">
        <v>8</v>
      </c>
      <c r="F106" s="138">
        <v>45969</v>
      </c>
      <c r="G106" s="111" t="s">
        <v>26</v>
      </c>
      <c r="H106" s="65">
        <f>+H86+H87+H88+H89+H90</f>
        <v>625000</v>
      </c>
    </row>
    <row r="107" spans="1:8" ht="15.75" customHeight="1" x14ac:dyDescent="0.3">
      <c r="A107" s="585" t="s">
        <v>110</v>
      </c>
      <c r="B107" s="585"/>
      <c r="C107" s="65">
        <f>SUM(C99:C106)</f>
        <v>7980000</v>
      </c>
      <c r="E107" s="585" t="s">
        <v>118</v>
      </c>
      <c r="F107" s="585"/>
      <c r="G107" s="585"/>
      <c r="H107" s="143">
        <f>SUM(H99:H106)</f>
        <v>5000000</v>
      </c>
    </row>
    <row r="108" spans="1:8" ht="15.75" customHeight="1" x14ac:dyDescent="0.3">
      <c r="A108" s="586" t="s">
        <v>123</v>
      </c>
      <c r="B108" s="586"/>
      <c r="C108" s="586"/>
      <c r="E108" s="599"/>
      <c r="F108" s="592"/>
      <c r="G108" s="592"/>
      <c r="H108" s="131"/>
    </row>
    <row r="109" spans="1:8" ht="15.75" customHeight="1" x14ac:dyDescent="0.3">
      <c r="A109" s="129" t="s">
        <v>105</v>
      </c>
      <c r="B109" s="129" t="s">
        <v>106</v>
      </c>
      <c r="C109" s="129" t="s">
        <v>107</v>
      </c>
      <c r="E109" s="593" t="s">
        <v>119</v>
      </c>
      <c r="F109" s="593"/>
      <c r="G109" s="593"/>
      <c r="H109" s="187">
        <f>+H107</f>
        <v>5000000</v>
      </c>
    </row>
    <row r="110" spans="1:8" ht="15.75" customHeight="1" x14ac:dyDescent="0.3">
      <c r="A110" s="349" t="s">
        <v>223</v>
      </c>
      <c r="B110" s="128" t="s">
        <v>112</v>
      </c>
      <c r="C110" s="131">
        <f>+H127</f>
        <v>7980000</v>
      </c>
    </row>
    <row r="111" spans="1:8" ht="15.75" customHeight="1" x14ac:dyDescent="0.3">
      <c r="E111" s="596" t="s">
        <v>61</v>
      </c>
      <c r="F111" s="596"/>
      <c r="G111" s="596"/>
      <c r="H111" s="596"/>
    </row>
    <row r="112" spans="1:8" ht="15.75" customHeight="1" x14ac:dyDescent="0.3">
      <c r="A112" s="585" t="s">
        <v>124</v>
      </c>
      <c r="B112" s="585"/>
      <c r="C112" s="65">
        <f>SUM(C110:C110)</f>
        <v>7980000</v>
      </c>
      <c r="E112" s="129" t="s">
        <v>117</v>
      </c>
      <c r="F112" s="129" t="s">
        <v>105</v>
      </c>
      <c r="G112" s="129" t="s">
        <v>106</v>
      </c>
      <c r="H112" s="129" t="s">
        <v>107</v>
      </c>
    </row>
    <row r="113" spans="1:8" ht="15.75" customHeight="1" x14ac:dyDescent="0.3">
      <c r="A113" s="344"/>
      <c r="B113" s="344"/>
      <c r="C113" s="65"/>
      <c r="E113" s="126">
        <v>1</v>
      </c>
      <c r="F113" s="138">
        <v>45849</v>
      </c>
      <c r="G113" s="111" t="s">
        <v>24</v>
      </c>
      <c r="H113" s="65">
        <f>+H6+H7+H8+H14+H15</f>
        <v>372500</v>
      </c>
    </row>
    <row r="114" spans="1:8" ht="15.75" customHeight="1" x14ac:dyDescent="0.3">
      <c r="A114" s="587" t="s">
        <v>111</v>
      </c>
      <c r="B114" s="587"/>
      <c r="C114" s="159">
        <f>+C112-C107</f>
        <v>0</v>
      </c>
      <c r="E114" s="126">
        <v>2</v>
      </c>
      <c r="F114" s="138">
        <v>45865</v>
      </c>
      <c r="G114" s="111" t="s">
        <v>43</v>
      </c>
      <c r="H114" s="65">
        <f>+H17+H18+H19+H25+H26</f>
        <v>372500</v>
      </c>
    </row>
    <row r="115" spans="1:8" ht="15.75" customHeight="1" x14ac:dyDescent="0.3">
      <c r="A115" s="344"/>
      <c r="B115" s="344"/>
      <c r="C115" s="65"/>
      <c r="E115" s="126">
        <v>3</v>
      </c>
      <c r="F115" s="138">
        <v>45887</v>
      </c>
      <c r="G115" s="111" t="s">
        <v>219</v>
      </c>
      <c r="H115" s="65">
        <f>+H28+H29+H30+H36+H37</f>
        <v>372500</v>
      </c>
    </row>
    <row r="116" spans="1:8" ht="15.75" customHeight="1" thickBot="1" x14ac:dyDescent="0.35">
      <c r="A116" s="344"/>
      <c r="B116" s="344"/>
      <c r="C116" s="65"/>
      <c r="E116" s="126">
        <v>4</v>
      </c>
      <c r="F116" s="138">
        <v>45900</v>
      </c>
      <c r="G116" s="111" t="s">
        <v>220</v>
      </c>
      <c r="H116" s="65">
        <f>+H39+H40+H41+H47+H48</f>
        <v>372500</v>
      </c>
    </row>
    <row r="117" spans="1:8" ht="15.75" customHeight="1" thickBot="1" x14ac:dyDescent="0.35">
      <c r="A117" s="637" t="s">
        <v>64</v>
      </c>
      <c r="B117" s="289" t="s">
        <v>184</v>
      </c>
      <c r="C117" s="290">
        <f>+H109</f>
        <v>5000000</v>
      </c>
      <c r="E117" s="126">
        <v>5</v>
      </c>
      <c r="F117" s="138">
        <v>45927</v>
      </c>
      <c r="G117" s="111" t="s">
        <v>51</v>
      </c>
      <c r="H117" s="65">
        <f>+H50+H51+H52+H58+H59</f>
        <v>372500</v>
      </c>
    </row>
    <row r="118" spans="1:8" ht="15.75" customHeight="1" thickBot="1" x14ac:dyDescent="0.35">
      <c r="A118" s="637"/>
      <c r="B118" s="291" t="s">
        <v>144</v>
      </c>
      <c r="C118" s="292">
        <f>+C99+C101</f>
        <v>4980000</v>
      </c>
      <c r="E118" s="126">
        <v>6</v>
      </c>
      <c r="F118" s="138">
        <v>45935</v>
      </c>
      <c r="G118" s="111" t="s">
        <v>38</v>
      </c>
      <c r="H118" s="65">
        <f>+H61+H62+H63+H69+H70</f>
        <v>372500</v>
      </c>
    </row>
    <row r="119" spans="1:8" ht="15.75" customHeight="1" thickBot="1" x14ac:dyDescent="0.35">
      <c r="A119" s="637"/>
      <c r="B119" s="293" t="s">
        <v>185</v>
      </c>
      <c r="C119" s="294">
        <f>+C117-C118</f>
        <v>20000</v>
      </c>
      <c r="E119" s="126">
        <v>7</v>
      </c>
      <c r="F119" s="138">
        <v>45948</v>
      </c>
      <c r="G119" s="111" t="s">
        <v>221</v>
      </c>
      <c r="H119" s="65">
        <f>+H72+H73+H74+H80+H81</f>
        <v>372500</v>
      </c>
    </row>
    <row r="120" spans="1:8" ht="15.75" customHeight="1" thickBot="1" x14ac:dyDescent="0.35">
      <c r="A120" s="637" t="s">
        <v>186</v>
      </c>
      <c r="B120" s="289" t="s">
        <v>187</v>
      </c>
      <c r="C120" s="290">
        <f>+H123</f>
        <v>2980000</v>
      </c>
      <c r="E120" s="126">
        <v>8</v>
      </c>
      <c r="F120" s="138">
        <v>45969</v>
      </c>
      <c r="G120" s="111" t="s">
        <v>26</v>
      </c>
      <c r="H120" s="65">
        <f>+H83+H84+H85+H91+H92</f>
        <v>372500</v>
      </c>
    </row>
    <row r="121" spans="1:8" ht="15.75" customHeight="1" thickBot="1" x14ac:dyDescent="0.35">
      <c r="A121" s="637"/>
      <c r="B121" s="291" t="s">
        <v>167</v>
      </c>
      <c r="C121" s="292">
        <f>+C100</f>
        <v>3000000</v>
      </c>
      <c r="F121" s="344"/>
      <c r="G121" s="344" t="s">
        <v>118</v>
      </c>
      <c r="H121" s="143">
        <f>SUM(H113:H120)</f>
        <v>2980000</v>
      </c>
    </row>
    <row r="122" spans="1:8" ht="15.75" customHeight="1" thickBot="1" x14ac:dyDescent="0.35">
      <c r="A122" s="637"/>
      <c r="B122" s="293" t="s">
        <v>185</v>
      </c>
      <c r="C122" s="294">
        <f>+C120-C121</f>
        <v>-20000</v>
      </c>
      <c r="F122" s="345"/>
      <c r="G122" s="346"/>
      <c r="H122" s="131"/>
    </row>
    <row r="123" spans="1:8" ht="15.75" customHeight="1" x14ac:dyDescent="0.3">
      <c r="E123" s="593" t="s">
        <v>119</v>
      </c>
      <c r="F123" s="593"/>
      <c r="G123" s="593"/>
      <c r="H123" s="144">
        <f>+H121</f>
        <v>2980000</v>
      </c>
    </row>
    <row r="124" spans="1:8" ht="15.75" customHeight="1" x14ac:dyDescent="0.3"/>
    <row r="125" spans="1:8" ht="14.4" x14ac:dyDescent="0.3">
      <c r="E125" s="636" t="s">
        <v>121</v>
      </c>
      <c r="F125" s="636"/>
      <c r="G125" s="636"/>
      <c r="H125" s="145">
        <f>+H109+H123</f>
        <v>7980000</v>
      </c>
    </row>
    <row r="126" spans="1:8" ht="15.75" customHeight="1" x14ac:dyDescent="0.3"/>
    <row r="127" spans="1:8" ht="15.75" customHeight="1" x14ac:dyDescent="0.3">
      <c r="E127" s="587" t="s">
        <v>122</v>
      </c>
      <c r="F127" s="587"/>
      <c r="G127" s="587"/>
      <c r="H127" s="158">
        <f>+H109+H123</f>
        <v>7980000</v>
      </c>
    </row>
    <row r="128" spans="1: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4.4" x14ac:dyDescent="0.3"/>
    <row r="141" ht="15.75" customHeight="1" x14ac:dyDescent="0.3"/>
    <row r="142" ht="14.4" x14ac:dyDescent="0.3"/>
    <row r="143" ht="15.6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</sheetData>
  <mergeCells count="132">
    <mergeCell ref="E123:G123"/>
    <mergeCell ref="E125:G125"/>
    <mergeCell ref="E127:G127"/>
    <mergeCell ref="A117:A119"/>
    <mergeCell ref="E107:G107"/>
    <mergeCell ref="E108:G108"/>
    <mergeCell ref="A120:A122"/>
    <mergeCell ref="E109:G109"/>
    <mergeCell ref="E111:H111"/>
    <mergeCell ref="A97:C97"/>
    <mergeCell ref="E97:H97"/>
    <mergeCell ref="A107:B107"/>
    <mergeCell ref="A108:C108"/>
    <mergeCell ref="A112:B112"/>
    <mergeCell ref="A114:B114"/>
    <mergeCell ref="D91:E91"/>
    <mergeCell ref="D92:E92"/>
    <mergeCell ref="D93:G93"/>
    <mergeCell ref="A96:C96"/>
    <mergeCell ref="E96:H96"/>
    <mergeCell ref="A83:A93"/>
    <mergeCell ref="B83:B93"/>
    <mergeCell ref="C83:C93"/>
    <mergeCell ref="D85:E85"/>
    <mergeCell ref="D86:E86"/>
    <mergeCell ref="D87:E87"/>
    <mergeCell ref="D88:E88"/>
    <mergeCell ref="D89:E89"/>
    <mergeCell ref="D90:E90"/>
    <mergeCell ref="D83:E83"/>
    <mergeCell ref="D82:G82"/>
    <mergeCell ref="D84:E84"/>
    <mergeCell ref="A72:A82"/>
    <mergeCell ref="B72:B82"/>
    <mergeCell ref="C72:C82"/>
    <mergeCell ref="D73:E73"/>
    <mergeCell ref="D77:E77"/>
    <mergeCell ref="D78:E78"/>
    <mergeCell ref="D79:E79"/>
    <mergeCell ref="D74:E74"/>
    <mergeCell ref="D75:E75"/>
    <mergeCell ref="D76:E76"/>
    <mergeCell ref="D72:E72"/>
    <mergeCell ref="D80:E80"/>
    <mergeCell ref="D81:E81"/>
    <mergeCell ref="D61:E61"/>
    <mergeCell ref="D60:G60"/>
    <mergeCell ref="A61:A71"/>
    <mergeCell ref="B61:B71"/>
    <mergeCell ref="C61:C71"/>
    <mergeCell ref="D62:E62"/>
    <mergeCell ref="D66:E66"/>
    <mergeCell ref="D67:E67"/>
    <mergeCell ref="D68:E68"/>
    <mergeCell ref="D63:E63"/>
    <mergeCell ref="D64:E64"/>
    <mergeCell ref="D65:E65"/>
    <mergeCell ref="D69:E69"/>
    <mergeCell ref="D70:E70"/>
    <mergeCell ref="D71:G71"/>
    <mergeCell ref="D50:E50"/>
    <mergeCell ref="D49:G49"/>
    <mergeCell ref="A50:A60"/>
    <mergeCell ref="B50:B60"/>
    <mergeCell ref="C50:C60"/>
    <mergeCell ref="D51:E51"/>
    <mergeCell ref="D41:E41"/>
    <mergeCell ref="D42:E42"/>
    <mergeCell ref="D43:E43"/>
    <mergeCell ref="D44:E44"/>
    <mergeCell ref="D45:E45"/>
    <mergeCell ref="D46:E46"/>
    <mergeCell ref="D58:E58"/>
    <mergeCell ref="D59:E59"/>
    <mergeCell ref="D52:E52"/>
    <mergeCell ref="D53:E53"/>
    <mergeCell ref="D54:E54"/>
    <mergeCell ref="D55:E55"/>
    <mergeCell ref="D56:E56"/>
    <mergeCell ref="D57:E57"/>
    <mergeCell ref="D39:E39"/>
    <mergeCell ref="D38:G38"/>
    <mergeCell ref="A39:A49"/>
    <mergeCell ref="B39:B49"/>
    <mergeCell ref="C39:C49"/>
    <mergeCell ref="D40:E40"/>
    <mergeCell ref="D30:E30"/>
    <mergeCell ref="D31:E31"/>
    <mergeCell ref="D32:E32"/>
    <mergeCell ref="D33:E33"/>
    <mergeCell ref="D34:E34"/>
    <mergeCell ref="D35:E35"/>
    <mergeCell ref="D47:E47"/>
    <mergeCell ref="D48:E48"/>
    <mergeCell ref="D28:E28"/>
    <mergeCell ref="D27:G27"/>
    <mergeCell ref="A28:A38"/>
    <mergeCell ref="B28:B38"/>
    <mergeCell ref="C28:C38"/>
    <mergeCell ref="D29:E29"/>
    <mergeCell ref="D19:E19"/>
    <mergeCell ref="D20:E20"/>
    <mergeCell ref="D21:E21"/>
    <mergeCell ref="D22:E22"/>
    <mergeCell ref="D23:E23"/>
    <mergeCell ref="D24:E24"/>
    <mergeCell ref="D36:E36"/>
    <mergeCell ref="D37:E37"/>
    <mergeCell ref="A1:H3"/>
    <mergeCell ref="A4:H4"/>
    <mergeCell ref="D5:E5"/>
    <mergeCell ref="D14:E14"/>
    <mergeCell ref="D15:E15"/>
    <mergeCell ref="D17:E17"/>
    <mergeCell ref="D16:G16"/>
    <mergeCell ref="A17:A27"/>
    <mergeCell ref="B17:B27"/>
    <mergeCell ref="C17:C27"/>
    <mergeCell ref="D18:E18"/>
    <mergeCell ref="D8:E8"/>
    <mergeCell ref="D9:E9"/>
    <mergeCell ref="D10:E10"/>
    <mergeCell ref="D11:E11"/>
    <mergeCell ref="D12:E12"/>
    <mergeCell ref="D13:E13"/>
    <mergeCell ref="A6:A16"/>
    <mergeCell ref="B6:B16"/>
    <mergeCell ref="C6:C16"/>
    <mergeCell ref="D6:E6"/>
    <mergeCell ref="D7:E7"/>
    <mergeCell ref="D25:E25"/>
    <mergeCell ref="D26:E26"/>
  </mergeCells>
  <printOptions horizontalCentered="1"/>
  <pageMargins left="0.31496062992125984" right="0.11811023622047245" top="0.55118110236220474" bottom="0.15748031496062992" header="0" footer="0"/>
  <pageSetup paperSize="9" scale="5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C18" sqref="C18:C22"/>
    </sheetView>
  </sheetViews>
  <sheetFormatPr baseColWidth="10" defaultRowHeight="14.4" x14ac:dyDescent="0.3"/>
  <cols>
    <col min="1" max="1" width="22.33203125" style="126" bestFit="1" customWidth="1"/>
    <col min="2" max="2" width="31" style="126" customWidth="1"/>
    <col min="3" max="3" width="14.33203125" style="315" bestFit="1" customWidth="1"/>
    <col min="4" max="5" width="20.77734375" style="315" customWidth="1"/>
    <col min="6" max="6" width="19.21875" bestFit="1" customWidth="1"/>
    <col min="7" max="7" width="14.44140625" bestFit="1" customWidth="1"/>
  </cols>
  <sheetData>
    <row r="1" spans="1:20" s="304" customFormat="1" ht="15" customHeight="1" x14ac:dyDescent="0.3">
      <c r="A1" s="434" t="s">
        <v>188</v>
      </c>
      <c r="B1" s="434"/>
      <c r="C1" s="434"/>
      <c r="D1" s="434"/>
      <c r="E1" s="434"/>
      <c r="F1" s="434"/>
      <c r="G1" s="434"/>
      <c r="H1" s="434"/>
      <c r="I1" s="434"/>
    </row>
    <row r="2" spans="1:20" s="304" customFormat="1" ht="15" customHeight="1" x14ac:dyDescent="0.3">
      <c r="A2" s="434"/>
      <c r="B2" s="434"/>
      <c r="C2" s="434"/>
      <c r="D2" s="434"/>
      <c r="E2" s="434"/>
      <c r="F2" s="434"/>
      <c r="G2" s="434"/>
      <c r="H2" s="434"/>
      <c r="I2" s="434"/>
    </row>
    <row r="3" spans="1:20" s="304" customFormat="1" ht="15" customHeight="1" x14ac:dyDescent="0.3">
      <c r="A3" s="434"/>
      <c r="B3" s="434"/>
      <c r="C3" s="434"/>
      <c r="D3" s="434"/>
      <c r="E3" s="434"/>
      <c r="F3" s="434"/>
      <c r="G3" s="434"/>
      <c r="H3" s="434"/>
      <c r="I3" s="434"/>
    </row>
    <row r="4" spans="1:20" s="304" customFormat="1" ht="15" customHeight="1" x14ac:dyDescent="0.3">
      <c r="A4" s="434"/>
      <c r="B4" s="434"/>
      <c r="C4" s="434"/>
      <c r="D4" s="434"/>
      <c r="E4" s="434"/>
      <c r="F4" s="434"/>
      <c r="G4" s="434"/>
      <c r="H4" s="434"/>
      <c r="I4" s="434"/>
    </row>
    <row r="5" spans="1:20" s="304" customFormat="1" ht="15.6" customHeight="1" thickBot="1" x14ac:dyDescent="0.35">
      <c r="A5" s="639" t="s">
        <v>67</v>
      </c>
      <c r="B5" s="639"/>
      <c r="C5" s="639"/>
      <c r="D5" s="305"/>
      <c r="E5" s="96"/>
      <c r="F5" s="96"/>
      <c r="G5" s="96"/>
      <c r="H5" s="96"/>
      <c r="I5" s="96"/>
    </row>
    <row r="6" spans="1:20" s="304" customFormat="1" ht="13.95" customHeight="1" thickBot="1" x14ac:dyDescent="0.35">
      <c r="A6" s="540" t="s">
        <v>200</v>
      </c>
      <c r="B6" s="540" t="s">
        <v>3</v>
      </c>
      <c r="C6" s="542" t="s">
        <v>4</v>
      </c>
      <c r="D6" s="629" t="s">
        <v>5</v>
      </c>
      <c r="E6" s="630"/>
      <c r="F6" s="630"/>
      <c r="G6" s="630"/>
      <c r="H6" s="630"/>
      <c r="I6" s="631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s="304" customFormat="1" ht="15" thickBot="1" x14ac:dyDescent="0.35">
      <c r="A7" s="633"/>
      <c r="B7" s="633"/>
      <c r="C7" s="632"/>
      <c r="D7" s="107" t="s">
        <v>7</v>
      </c>
      <c r="E7" s="108" t="s">
        <v>62</v>
      </c>
      <c r="F7" s="108" t="s">
        <v>9</v>
      </c>
      <c r="G7" s="109" t="s">
        <v>10</v>
      </c>
      <c r="H7" s="110" t="s">
        <v>11</v>
      </c>
      <c r="I7" s="109" t="s">
        <v>12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s="304" customFormat="1" ht="19.95" customHeight="1" x14ac:dyDescent="0.3">
      <c r="A8" s="402">
        <v>1</v>
      </c>
      <c r="B8" s="402" t="s">
        <v>214</v>
      </c>
      <c r="C8" s="405">
        <v>45749</v>
      </c>
      <c r="D8" s="300" t="s">
        <v>203</v>
      </c>
      <c r="E8" s="300">
        <v>415</v>
      </c>
      <c r="F8" s="301">
        <v>20000</v>
      </c>
      <c r="G8" s="303">
        <f>+E8*F8</f>
        <v>8300000</v>
      </c>
      <c r="H8" s="393"/>
      <c r="I8" s="526"/>
    </row>
    <row r="9" spans="1:20" s="304" customFormat="1" ht="20.100000000000001" customHeight="1" x14ac:dyDescent="0.3">
      <c r="A9" s="403"/>
      <c r="B9" s="403"/>
      <c r="C9" s="406"/>
      <c r="D9" s="302" t="s">
        <v>204</v>
      </c>
      <c r="E9" s="302">
        <v>70</v>
      </c>
      <c r="F9" s="43">
        <v>7000</v>
      </c>
      <c r="G9" s="56">
        <f>+E9*F9</f>
        <v>490000</v>
      </c>
      <c r="H9" s="393"/>
      <c r="I9" s="526"/>
    </row>
    <row r="10" spans="1:20" s="304" customFormat="1" ht="20.100000000000001" customHeight="1" x14ac:dyDescent="0.3">
      <c r="A10" s="403"/>
      <c r="B10" s="403"/>
      <c r="C10" s="406"/>
      <c r="D10" s="302" t="s">
        <v>205</v>
      </c>
      <c r="E10" s="302">
        <v>1</v>
      </c>
      <c r="F10" s="43">
        <v>187500</v>
      </c>
      <c r="G10" s="56">
        <f>+E10*F10</f>
        <v>187500</v>
      </c>
      <c r="H10" s="393"/>
      <c r="I10" s="526"/>
    </row>
    <row r="11" spans="1:20" s="304" customFormat="1" ht="20.100000000000001" customHeight="1" x14ac:dyDescent="0.3">
      <c r="A11" s="403"/>
      <c r="B11" s="403"/>
      <c r="C11" s="406"/>
      <c r="D11" s="302" t="s">
        <v>206</v>
      </c>
      <c r="E11" s="302">
        <v>2</v>
      </c>
      <c r="F11" s="43">
        <v>183750</v>
      </c>
      <c r="G11" s="303">
        <f>+E11*F11</f>
        <v>367500</v>
      </c>
      <c r="H11" s="393"/>
      <c r="I11" s="527"/>
    </row>
    <row r="12" spans="1:20" s="304" customFormat="1" ht="19.95" customHeight="1" thickBot="1" x14ac:dyDescent="0.35">
      <c r="A12" s="404"/>
      <c r="B12" s="404"/>
      <c r="C12" s="407"/>
      <c r="D12" s="399" t="s">
        <v>21</v>
      </c>
      <c r="E12" s="400"/>
      <c r="F12" s="418"/>
      <c r="G12" s="59">
        <f>SUM(G8:G11)</f>
        <v>9345000</v>
      </c>
      <c r="H12" s="513"/>
      <c r="I12" s="528"/>
    </row>
    <row r="13" spans="1:20" s="299" customFormat="1" ht="19.95" customHeight="1" x14ac:dyDescent="0.3">
      <c r="A13" s="402">
        <v>2</v>
      </c>
      <c r="B13" s="402" t="s">
        <v>201</v>
      </c>
      <c r="C13" s="405">
        <v>45785</v>
      </c>
      <c r="D13" s="295" t="s">
        <v>203</v>
      </c>
      <c r="E13" s="295">
        <v>415</v>
      </c>
      <c r="F13" s="296">
        <v>20000</v>
      </c>
      <c r="G13" s="297">
        <f>+E13*F13</f>
        <v>8300000</v>
      </c>
      <c r="H13" s="393"/>
      <c r="I13" s="526"/>
    </row>
    <row r="14" spans="1:20" s="299" customFormat="1" ht="20.100000000000001" customHeight="1" x14ac:dyDescent="0.3">
      <c r="A14" s="403"/>
      <c r="B14" s="403"/>
      <c r="C14" s="406"/>
      <c r="D14" s="298" t="s">
        <v>204</v>
      </c>
      <c r="E14" s="298">
        <v>70</v>
      </c>
      <c r="F14" s="43">
        <v>7000</v>
      </c>
      <c r="G14" s="56">
        <f>+E14*F14</f>
        <v>490000</v>
      </c>
      <c r="H14" s="393"/>
      <c r="I14" s="526"/>
    </row>
    <row r="15" spans="1:20" s="299" customFormat="1" ht="20.100000000000001" customHeight="1" x14ac:dyDescent="0.3">
      <c r="A15" s="403"/>
      <c r="B15" s="403"/>
      <c r="C15" s="406"/>
      <c r="D15" s="298" t="s">
        <v>205</v>
      </c>
      <c r="E15" s="298">
        <v>1</v>
      </c>
      <c r="F15" s="43">
        <v>187500</v>
      </c>
      <c r="G15" s="56">
        <f>+E15*F15</f>
        <v>187500</v>
      </c>
      <c r="H15" s="393"/>
      <c r="I15" s="526"/>
    </row>
    <row r="16" spans="1:20" s="299" customFormat="1" ht="20.100000000000001" customHeight="1" x14ac:dyDescent="0.3">
      <c r="A16" s="403"/>
      <c r="B16" s="403"/>
      <c r="C16" s="406"/>
      <c r="D16" s="298" t="s">
        <v>206</v>
      </c>
      <c r="E16" s="298">
        <v>2</v>
      </c>
      <c r="F16" s="43">
        <v>183750</v>
      </c>
      <c r="G16" s="297">
        <f>+E16*F16</f>
        <v>367500</v>
      </c>
      <c r="H16" s="393"/>
      <c r="I16" s="527"/>
    </row>
    <row r="17" spans="1:9" s="299" customFormat="1" ht="19.95" customHeight="1" thickBot="1" x14ac:dyDescent="0.35">
      <c r="A17" s="404"/>
      <c r="B17" s="404"/>
      <c r="C17" s="407"/>
      <c r="D17" s="399" t="s">
        <v>21</v>
      </c>
      <c r="E17" s="400"/>
      <c r="F17" s="418"/>
      <c r="G17" s="59">
        <f>SUM(G13:G16)</f>
        <v>9345000</v>
      </c>
      <c r="H17" s="513"/>
      <c r="I17" s="528"/>
    </row>
    <row r="18" spans="1:9" s="299" customFormat="1" ht="19.95" customHeight="1" x14ac:dyDescent="0.3">
      <c r="A18" s="402">
        <v>3</v>
      </c>
      <c r="B18" s="402" t="s">
        <v>202</v>
      </c>
      <c r="C18" s="405">
        <v>45792</v>
      </c>
      <c r="D18" s="295" t="s">
        <v>203</v>
      </c>
      <c r="E18" s="295">
        <v>415</v>
      </c>
      <c r="F18" s="296">
        <v>20000</v>
      </c>
      <c r="G18" s="297">
        <f>+E18*F18</f>
        <v>8300000</v>
      </c>
      <c r="H18" s="393"/>
      <c r="I18" s="526"/>
    </row>
    <row r="19" spans="1:9" s="299" customFormat="1" ht="20.100000000000001" customHeight="1" x14ac:dyDescent="0.3">
      <c r="A19" s="403"/>
      <c r="B19" s="403"/>
      <c r="C19" s="406"/>
      <c r="D19" s="298" t="s">
        <v>204</v>
      </c>
      <c r="E19" s="298">
        <v>70</v>
      </c>
      <c r="F19" s="43">
        <v>7000</v>
      </c>
      <c r="G19" s="56">
        <f>+E19*F19</f>
        <v>490000</v>
      </c>
      <c r="H19" s="393"/>
      <c r="I19" s="526"/>
    </row>
    <row r="20" spans="1:9" s="299" customFormat="1" ht="20.100000000000001" customHeight="1" x14ac:dyDescent="0.3">
      <c r="A20" s="403"/>
      <c r="B20" s="403"/>
      <c r="C20" s="406"/>
      <c r="D20" s="298" t="s">
        <v>205</v>
      </c>
      <c r="E20" s="298">
        <v>1</v>
      </c>
      <c r="F20" s="43">
        <v>187500</v>
      </c>
      <c r="G20" s="56">
        <f>+E20*F20</f>
        <v>187500</v>
      </c>
      <c r="H20" s="393"/>
      <c r="I20" s="526"/>
    </row>
    <row r="21" spans="1:9" s="299" customFormat="1" ht="20.100000000000001" customHeight="1" x14ac:dyDescent="0.3">
      <c r="A21" s="403"/>
      <c r="B21" s="403"/>
      <c r="C21" s="406"/>
      <c r="D21" s="298" t="s">
        <v>206</v>
      </c>
      <c r="E21" s="298">
        <v>2</v>
      </c>
      <c r="F21" s="43">
        <v>183750</v>
      </c>
      <c r="G21" s="297">
        <f>+E21*F21</f>
        <v>367500</v>
      </c>
      <c r="H21" s="393"/>
      <c r="I21" s="527"/>
    </row>
    <row r="22" spans="1:9" s="299" customFormat="1" ht="19.95" customHeight="1" thickBot="1" x14ac:dyDescent="0.35">
      <c r="A22" s="404"/>
      <c r="B22" s="404"/>
      <c r="C22" s="407"/>
      <c r="D22" s="399" t="s">
        <v>21</v>
      </c>
      <c r="E22" s="400"/>
      <c r="F22" s="418"/>
      <c r="G22" s="59">
        <f>SUM(G18:G21)</f>
        <v>9345000</v>
      </c>
      <c r="H22" s="513"/>
      <c r="I22" s="528"/>
    </row>
    <row r="23" spans="1:9" s="320" customFormat="1" ht="19.95" customHeight="1" x14ac:dyDescent="0.3">
      <c r="A23" s="641"/>
      <c r="B23" s="642"/>
      <c r="C23" s="642"/>
      <c r="D23" s="642"/>
      <c r="E23" s="642"/>
      <c r="F23" s="642"/>
      <c r="G23" s="642"/>
      <c r="H23" s="642"/>
      <c r="I23" s="642"/>
    </row>
    <row r="24" spans="1:9" s="320" customFormat="1" ht="19.95" customHeight="1" thickBot="1" x14ac:dyDescent="0.35">
      <c r="A24" s="643"/>
      <c r="B24" s="644"/>
      <c r="C24" s="644"/>
      <c r="D24" s="644"/>
      <c r="E24" s="644"/>
      <c r="F24" s="644"/>
      <c r="G24" s="644"/>
      <c r="H24" s="644"/>
      <c r="I24" s="644"/>
    </row>
    <row r="25" spans="1:9" ht="30" customHeight="1" thickBot="1" x14ac:dyDescent="0.35">
      <c r="A25" s="645" t="s">
        <v>211</v>
      </c>
      <c r="B25" s="645"/>
      <c r="C25" s="645"/>
      <c r="D25" s="645"/>
      <c r="E25" s="645"/>
      <c r="F25" s="645"/>
    </row>
    <row r="26" spans="1:9" ht="30" customHeight="1" thickBot="1" x14ac:dyDescent="0.35">
      <c r="A26" s="306" t="s">
        <v>207</v>
      </c>
      <c r="B26" s="306" t="s">
        <v>4</v>
      </c>
      <c r="C26" s="311" t="s">
        <v>93</v>
      </c>
      <c r="D26" s="311" t="s">
        <v>208</v>
      </c>
      <c r="E26" s="321" t="s">
        <v>212</v>
      </c>
      <c r="F26" s="322" t="s">
        <v>213</v>
      </c>
    </row>
    <row r="27" spans="1:9" s="304" customFormat="1" ht="34.950000000000003" customHeight="1" x14ac:dyDescent="0.3">
      <c r="A27" s="307" t="s">
        <v>215</v>
      </c>
      <c r="B27" s="308">
        <v>45749</v>
      </c>
      <c r="C27" s="312">
        <v>9345000</v>
      </c>
      <c r="D27" s="326">
        <f>+C27*20%</f>
        <v>1869000</v>
      </c>
      <c r="E27" s="326">
        <f>+C27-D27</f>
        <v>7476000</v>
      </c>
      <c r="F27" s="327">
        <f>+E27*21%+E27</f>
        <v>9045960</v>
      </c>
    </row>
    <row r="28" spans="1:9" ht="34.950000000000003" customHeight="1" x14ac:dyDescent="0.3">
      <c r="A28" s="324" t="s">
        <v>209</v>
      </c>
      <c r="B28" s="325">
        <v>45785</v>
      </c>
      <c r="C28" s="326">
        <v>9345000</v>
      </c>
      <c r="D28" s="326">
        <f>+C28*20%</f>
        <v>1869000</v>
      </c>
      <c r="E28" s="326">
        <f>+C28-D28</f>
        <v>7476000</v>
      </c>
      <c r="F28" s="327">
        <f>+E28*21%+E28</f>
        <v>9045960</v>
      </c>
    </row>
    <row r="29" spans="1:9" ht="34.950000000000003" customHeight="1" thickBot="1" x14ac:dyDescent="0.35">
      <c r="A29" s="309" t="s">
        <v>210</v>
      </c>
      <c r="B29" s="310">
        <v>45792</v>
      </c>
      <c r="C29" s="313">
        <v>9345000</v>
      </c>
      <c r="D29" s="313">
        <f>+C29*20%</f>
        <v>1869000</v>
      </c>
      <c r="E29" s="313">
        <f>+C29-D29</f>
        <v>7476000</v>
      </c>
      <c r="F29" s="314">
        <f>+E29*21%+E29</f>
        <v>9045960</v>
      </c>
    </row>
    <row r="30" spans="1:9" ht="34.950000000000003" customHeight="1" thickBot="1" x14ac:dyDescent="0.35">
      <c r="A30" s="646" t="s">
        <v>36</v>
      </c>
      <c r="B30" s="647"/>
      <c r="C30" s="647"/>
      <c r="D30" s="647"/>
      <c r="E30" s="323">
        <f>SUM(E27:E29)</f>
        <v>22428000</v>
      </c>
      <c r="F30" s="323">
        <f>SUM(F27:F29)</f>
        <v>27137880</v>
      </c>
    </row>
  </sheetData>
  <mergeCells count="27">
    <mergeCell ref="A13:A17"/>
    <mergeCell ref="B13:B17"/>
    <mergeCell ref="C13:C17"/>
    <mergeCell ref="H13:H17"/>
    <mergeCell ref="I13:I17"/>
    <mergeCell ref="A1:I4"/>
    <mergeCell ref="A5:C5"/>
    <mergeCell ref="A6:A7"/>
    <mergeCell ref="B6:B7"/>
    <mergeCell ref="C6:C7"/>
    <mergeCell ref="D6:I6"/>
    <mergeCell ref="A23:I24"/>
    <mergeCell ref="A25:F25"/>
    <mergeCell ref="A30:D30"/>
    <mergeCell ref="A8:A12"/>
    <mergeCell ref="B8:B12"/>
    <mergeCell ref="C8:C12"/>
    <mergeCell ref="H8:H12"/>
    <mergeCell ref="I8:I12"/>
    <mergeCell ref="D12:F12"/>
    <mergeCell ref="A18:A22"/>
    <mergeCell ref="B18:B22"/>
    <mergeCell ref="C18:C22"/>
    <mergeCell ref="H18:H22"/>
    <mergeCell ref="I18:I22"/>
    <mergeCell ref="D22:F22"/>
    <mergeCell ref="D17:F1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sqref="A1:I15"/>
    </sheetView>
  </sheetViews>
  <sheetFormatPr baseColWidth="10" defaultRowHeight="14.4" x14ac:dyDescent="0.3"/>
  <cols>
    <col min="1" max="1" width="22.33203125" style="126" bestFit="1" customWidth="1"/>
    <col min="2" max="2" width="31" style="126" customWidth="1"/>
    <col min="3" max="3" width="14.33203125" style="315" bestFit="1" customWidth="1"/>
    <col min="4" max="5" width="20.77734375" style="315" customWidth="1"/>
    <col min="6" max="6" width="19.21875" style="334" bestFit="1" customWidth="1"/>
    <col min="7" max="7" width="14.44140625" style="334" bestFit="1" customWidth="1"/>
    <col min="8" max="16384" width="11.5546875" style="334"/>
  </cols>
  <sheetData>
    <row r="1" spans="1:20" ht="15" customHeight="1" x14ac:dyDescent="0.3">
      <c r="A1" s="434" t="s">
        <v>188</v>
      </c>
      <c r="B1" s="434"/>
      <c r="C1" s="434"/>
      <c r="D1" s="434"/>
      <c r="E1" s="434"/>
      <c r="F1" s="434"/>
      <c r="G1" s="434"/>
      <c r="H1" s="434"/>
      <c r="I1" s="434"/>
    </row>
    <row r="2" spans="1:20" ht="15" customHeight="1" x14ac:dyDescent="0.3">
      <c r="A2" s="434"/>
      <c r="B2" s="434"/>
      <c r="C2" s="434"/>
      <c r="D2" s="434"/>
      <c r="E2" s="434"/>
      <c r="F2" s="434"/>
      <c r="G2" s="434"/>
      <c r="H2" s="434"/>
      <c r="I2" s="434"/>
    </row>
    <row r="3" spans="1:20" ht="15" customHeight="1" x14ac:dyDescent="0.3">
      <c r="A3" s="434"/>
      <c r="B3" s="434"/>
      <c r="C3" s="434"/>
      <c r="D3" s="434"/>
      <c r="E3" s="434"/>
      <c r="F3" s="434"/>
      <c r="G3" s="434"/>
      <c r="H3" s="434"/>
      <c r="I3" s="434"/>
    </row>
    <row r="4" spans="1:20" ht="15" customHeight="1" x14ac:dyDescent="0.3">
      <c r="A4" s="434"/>
      <c r="B4" s="434"/>
      <c r="C4" s="434"/>
      <c r="D4" s="434"/>
      <c r="E4" s="434"/>
      <c r="F4" s="434"/>
      <c r="G4" s="434"/>
      <c r="H4" s="434"/>
      <c r="I4" s="434"/>
    </row>
    <row r="5" spans="1:20" ht="15.6" customHeight="1" thickBot="1" x14ac:dyDescent="0.35">
      <c r="A5" s="639" t="s">
        <v>67</v>
      </c>
      <c r="B5" s="639"/>
      <c r="C5" s="639"/>
      <c r="D5" s="335"/>
      <c r="E5" s="96"/>
      <c r="F5" s="96"/>
      <c r="G5" s="96"/>
      <c r="H5" s="96"/>
      <c r="I5" s="96"/>
    </row>
    <row r="6" spans="1:20" ht="13.95" customHeight="1" thickBot="1" x14ac:dyDescent="0.35">
      <c r="A6" s="540" t="s">
        <v>200</v>
      </c>
      <c r="B6" s="540" t="s">
        <v>3</v>
      </c>
      <c r="C6" s="542" t="s">
        <v>4</v>
      </c>
      <c r="D6" s="629" t="s">
        <v>5</v>
      </c>
      <c r="E6" s="630"/>
      <c r="F6" s="630"/>
      <c r="G6" s="630"/>
      <c r="H6" s="630"/>
      <c r="I6" s="631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" thickBot="1" x14ac:dyDescent="0.35">
      <c r="A7" s="633"/>
      <c r="B7" s="633"/>
      <c r="C7" s="632"/>
      <c r="D7" s="107" t="s">
        <v>7</v>
      </c>
      <c r="E7" s="108" t="s">
        <v>62</v>
      </c>
      <c r="F7" s="108" t="s">
        <v>9</v>
      </c>
      <c r="G7" s="109" t="s">
        <v>10</v>
      </c>
      <c r="H7" s="110" t="s">
        <v>11</v>
      </c>
      <c r="I7" s="109" t="s">
        <v>12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9.95" hidden="1" customHeight="1" x14ac:dyDescent="0.3">
      <c r="A8" s="402">
        <v>1</v>
      </c>
      <c r="B8" s="402" t="s">
        <v>201</v>
      </c>
      <c r="C8" s="405">
        <v>45785</v>
      </c>
      <c r="D8" s="330" t="s">
        <v>217</v>
      </c>
      <c r="E8" s="330">
        <v>185</v>
      </c>
      <c r="F8" s="331">
        <v>16200</v>
      </c>
      <c r="G8" s="332">
        <f>+E8*F8</f>
        <v>2997000</v>
      </c>
      <c r="H8" s="393"/>
      <c r="I8" s="526"/>
    </row>
    <row r="9" spans="1:20" ht="20.100000000000001" hidden="1" customHeight="1" x14ac:dyDescent="0.3">
      <c r="A9" s="403"/>
      <c r="B9" s="403"/>
      <c r="C9" s="406"/>
      <c r="D9" s="333" t="s">
        <v>204</v>
      </c>
      <c r="E9" s="333">
        <v>70</v>
      </c>
      <c r="F9" s="43">
        <v>7000</v>
      </c>
      <c r="G9" s="56">
        <f>+E9*F9</f>
        <v>490000</v>
      </c>
      <c r="H9" s="393"/>
      <c r="I9" s="526"/>
    </row>
    <row r="10" spans="1:20" ht="20.100000000000001" hidden="1" customHeight="1" x14ac:dyDescent="0.3">
      <c r="A10" s="403"/>
      <c r="B10" s="403"/>
      <c r="C10" s="406"/>
      <c r="D10" s="333" t="s">
        <v>206</v>
      </c>
      <c r="E10" s="333">
        <v>2</v>
      </c>
      <c r="F10" s="43">
        <v>183750</v>
      </c>
      <c r="G10" s="332">
        <f>+E10*F10</f>
        <v>367500</v>
      </c>
      <c r="H10" s="393"/>
      <c r="I10" s="527"/>
    </row>
    <row r="11" spans="1:20" ht="19.95" hidden="1" customHeight="1" thickBot="1" x14ac:dyDescent="0.35">
      <c r="A11" s="404"/>
      <c r="B11" s="404"/>
      <c r="C11" s="407"/>
      <c r="D11" s="399" t="s">
        <v>21</v>
      </c>
      <c r="E11" s="400"/>
      <c r="F11" s="418"/>
      <c r="G11" s="59">
        <f>SUM(G8:G10)</f>
        <v>3854500</v>
      </c>
      <c r="H11" s="513"/>
      <c r="I11" s="528"/>
    </row>
    <row r="12" spans="1:20" ht="19.95" customHeight="1" x14ac:dyDescent="0.3">
      <c r="A12" s="402">
        <v>2</v>
      </c>
      <c r="B12" s="402" t="s">
        <v>202</v>
      </c>
      <c r="C12" s="405">
        <v>45792</v>
      </c>
      <c r="D12" s="330" t="s">
        <v>217</v>
      </c>
      <c r="E12" s="330">
        <v>185</v>
      </c>
      <c r="F12" s="331">
        <v>16200</v>
      </c>
      <c r="G12" s="332">
        <f>+E12*F12</f>
        <v>2997000</v>
      </c>
      <c r="H12" s="393"/>
      <c r="I12" s="526"/>
    </row>
    <row r="13" spans="1:20" ht="20.100000000000001" customHeight="1" x14ac:dyDescent="0.3">
      <c r="A13" s="403"/>
      <c r="B13" s="403"/>
      <c r="C13" s="406"/>
      <c r="D13" s="333" t="s">
        <v>204</v>
      </c>
      <c r="E13" s="333">
        <v>70</v>
      </c>
      <c r="F13" s="43">
        <v>7000</v>
      </c>
      <c r="G13" s="56">
        <f>+E13*F13</f>
        <v>490000</v>
      </c>
      <c r="H13" s="393"/>
      <c r="I13" s="526"/>
    </row>
    <row r="14" spans="1:20" ht="20.100000000000001" customHeight="1" x14ac:dyDescent="0.3">
      <c r="A14" s="403"/>
      <c r="B14" s="403"/>
      <c r="C14" s="406"/>
      <c r="D14" s="333" t="s">
        <v>206</v>
      </c>
      <c r="E14" s="333">
        <v>2</v>
      </c>
      <c r="F14" s="43">
        <v>183750</v>
      </c>
      <c r="G14" s="332">
        <f>+E14*F14</f>
        <v>367500</v>
      </c>
      <c r="H14" s="393"/>
      <c r="I14" s="527"/>
    </row>
    <row r="15" spans="1:20" ht="19.95" customHeight="1" thickBot="1" x14ac:dyDescent="0.35">
      <c r="A15" s="404"/>
      <c r="B15" s="404"/>
      <c r="C15" s="407"/>
      <c r="D15" s="399" t="s">
        <v>21</v>
      </c>
      <c r="E15" s="400"/>
      <c r="F15" s="418"/>
      <c r="G15" s="59">
        <f>SUM(G12:G14)</f>
        <v>3854500</v>
      </c>
      <c r="H15" s="513"/>
      <c r="I15" s="528"/>
    </row>
  </sheetData>
  <mergeCells count="18">
    <mergeCell ref="A12:A15"/>
    <mergeCell ref="B12:B15"/>
    <mergeCell ref="C12:C15"/>
    <mergeCell ref="H12:H15"/>
    <mergeCell ref="I12:I15"/>
    <mergeCell ref="D15:F15"/>
    <mergeCell ref="A8:A11"/>
    <mergeCell ref="B8:B11"/>
    <mergeCell ref="C8:C11"/>
    <mergeCell ref="H8:H11"/>
    <mergeCell ref="I8:I11"/>
    <mergeCell ref="D11:F11"/>
    <mergeCell ref="A1:I4"/>
    <mergeCell ref="A5:C5"/>
    <mergeCell ref="A6:A7"/>
    <mergeCell ref="B6:B7"/>
    <mergeCell ref="C6:C7"/>
    <mergeCell ref="D6:I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1"/>
  <sheetViews>
    <sheetView zoomScale="90" zoomScaleNormal="90" workbookViewId="0">
      <pane xSplit="3" ySplit="7" topLeftCell="D47" activePane="bottomRight" state="frozen"/>
      <selection pane="topRight" activeCell="C1" sqref="C1"/>
      <selection pane="bottomLeft" activeCell="A150" sqref="A150"/>
      <selection pane="bottomRight" activeCell="C8" sqref="C8:C56"/>
    </sheetView>
  </sheetViews>
  <sheetFormatPr baseColWidth="10" defaultColWidth="14.44140625" defaultRowHeight="15" customHeight="1" x14ac:dyDescent="0.3"/>
  <cols>
    <col min="1" max="1" width="14.44140625" style="355"/>
    <col min="2" max="2" width="31" style="355" customWidth="1"/>
    <col min="3" max="3" width="11.6640625" style="355" bestFit="1" customWidth="1"/>
    <col min="4" max="4" width="22.21875" style="355" customWidth="1"/>
    <col min="5" max="5" width="8.6640625" style="355" customWidth="1"/>
    <col min="6" max="6" width="13.33203125" style="355" customWidth="1"/>
    <col min="7" max="7" width="13.77734375" style="355" customWidth="1"/>
    <col min="8" max="8" width="16.77734375" style="355" customWidth="1"/>
    <col min="9" max="9" width="12.109375" style="355" customWidth="1"/>
    <col min="10" max="10" width="8.88671875" style="355" customWidth="1"/>
    <col min="11" max="12" width="15.6640625" style="355" customWidth="1"/>
    <col min="13" max="13" width="10.33203125" style="355" customWidth="1"/>
    <col min="14" max="14" width="15.44140625" style="355" customWidth="1"/>
    <col min="15" max="15" width="16.5546875" style="355" customWidth="1"/>
    <col min="16" max="16" width="12.109375" style="355" customWidth="1"/>
    <col min="17" max="17" width="15.6640625" style="355" customWidth="1"/>
    <col min="18" max="28" width="10.6640625" style="355" customWidth="1"/>
    <col min="29" max="16384" width="14.44140625" style="355"/>
  </cols>
  <sheetData>
    <row r="1" spans="1:28" ht="15" customHeight="1" x14ac:dyDescent="0.3">
      <c r="A1" s="434" t="s">
        <v>224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5"/>
    </row>
    <row r="2" spans="1:28" ht="15" customHeight="1" x14ac:dyDescent="0.3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5"/>
    </row>
    <row r="3" spans="1:28" ht="15" customHeight="1" x14ac:dyDescent="0.3">
      <c r="A3" s="434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5"/>
    </row>
    <row r="4" spans="1:28" ht="15" customHeight="1" x14ac:dyDescent="0.3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5"/>
    </row>
    <row r="5" spans="1:28" ht="15.6" customHeight="1" thickBot="1" x14ac:dyDescent="0.35">
      <c r="A5" s="639" t="s">
        <v>67</v>
      </c>
      <c r="B5" s="639"/>
      <c r="C5" s="639"/>
      <c r="D5" s="356"/>
      <c r="E5" s="96"/>
      <c r="F5" s="96"/>
      <c r="G5" s="96"/>
      <c r="H5" s="96"/>
      <c r="I5" s="96"/>
      <c r="J5" s="96"/>
      <c r="K5" s="356"/>
      <c r="L5" s="356"/>
      <c r="M5" s="356"/>
      <c r="N5" s="96"/>
      <c r="O5" s="96"/>
      <c r="P5" s="96" t="s">
        <v>1</v>
      </c>
      <c r="Q5" s="101">
        <v>2026</v>
      </c>
    </row>
    <row r="6" spans="1:28" ht="13.95" customHeight="1" thickBot="1" x14ac:dyDescent="0.35">
      <c r="A6" s="540" t="s">
        <v>200</v>
      </c>
      <c r="B6" s="540" t="s">
        <v>3</v>
      </c>
      <c r="C6" s="542" t="s">
        <v>4</v>
      </c>
      <c r="D6" s="629" t="s">
        <v>5</v>
      </c>
      <c r="E6" s="630"/>
      <c r="F6" s="630"/>
      <c r="G6" s="630"/>
      <c r="H6" s="630"/>
      <c r="I6" s="630"/>
      <c r="J6" s="631"/>
      <c r="K6" s="546" t="s">
        <v>6</v>
      </c>
      <c r="L6" s="627"/>
      <c r="M6" s="627"/>
      <c r="N6" s="627"/>
      <c r="O6" s="627"/>
      <c r="P6" s="627"/>
      <c r="Q6" s="628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thickBot="1" x14ac:dyDescent="0.35">
      <c r="A7" s="633"/>
      <c r="B7" s="633"/>
      <c r="C7" s="632"/>
      <c r="D7" s="107" t="s">
        <v>7</v>
      </c>
      <c r="E7" s="108" t="s">
        <v>62</v>
      </c>
      <c r="F7" s="108" t="s">
        <v>63</v>
      </c>
      <c r="G7" s="108" t="s">
        <v>9</v>
      </c>
      <c r="H7" s="109" t="s">
        <v>10</v>
      </c>
      <c r="I7" s="110" t="s">
        <v>11</v>
      </c>
      <c r="J7" s="109" t="s">
        <v>12</v>
      </c>
      <c r="K7" s="549" t="s">
        <v>7</v>
      </c>
      <c r="L7" s="626"/>
      <c r="M7" s="7" t="s">
        <v>8</v>
      </c>
      <c r="N7" s="7" t="s">
        <v>9</v>
      </c>
      <c r="O7" s="8" t="s">
        <v>12</v>
      </c>
      <c r="P7" s="8" t="s">
        <v>11</v>
      </c>
      <c r="Q7" s="102" t="s">
        <v>148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9.95" customHeight="1" x14ac:dyDescent="0.3">
      <c r="A8" s="402">
        <v>1</v>
      </c>
      <c r="B8" s="402" t="s">
        <v>225</v>
      </c>
      <c r="C8" s="405">
        <v>46045</v>
      </c>
      <c r="D8" s="351" t="s">
        <v>54</v>
      </c>
      <c r="E8" s="351">
        <v>2300</v>
      </c>
      <c r="F8" s="351">
        <v>1150</v>
      </c>
      <c r="G8" s="352">
        <v>4465.12</v>
      </c>
      <c r="H8" s="354">
        <f>+E8*G8</f>
        <v>10269776</v>
      </c>
      <c r="I8" s="393"/>
      <c r="J8" s="526"/>
      <c r="K8" s="610" t="s">
        <v>17</v>
      </c>
      <c r="L8" s="611"/>
      <c r="M8" s="210">
        <v>16</v>
      </c>
      <c r="N8" s="211">
        <v>76125</v>
      </c>
      <c r="O8" s="212">
        <f t="shared" ref="O8:O13" si="0">+M8*N8</f>
        <v>1218000</v>
      </c>
      <c r="P8" s="612"/>
      <c r="Q8" s="15">
        <v>0</v>
      </c>
    </row>
    <row r="9" spans="1:28" ht="20.100000000000001" customHeight="1" x14ac:dyDescent="0.3">
      <c r="A9" s="403"/>
      <c r="B9" s="403"/>
      <c r="C9" s="406"/>
      <c r="D9" s="353" t="s">
        <v>55</v>
      </c>
      <c r="E9" s="353">
        <v>2</v>
      </c>
      <c r="F9" s="353">
        <v>0</v>
      </c>
      <c r="G9" s="43">
        <v>603281.24</v>
      </c>
      <c r="H9" s="56">
        <f>+E9*G9</f>
        <v>1206562.48</v>
      </c>
      <c r="I9" s="393"/>
      <c r="J9" s="526"/>
      <c r="K9" s="610" t="s">
        <v>156</v>
      </c>
      <c r="L9" s="611"/>
      <c r="M9" s="210">
        <v>290</v>
      </c>
      <c r="N9" s="211">
        <v>21870</v>
      </c>
      <c r="O9" s="212">
        <f t="shared" si="0"/>
        <v>6342300</v>
      </c>
      <c r="P9" s="612"/>
      <c r="Q9" s="15">
        <v>0</v>
      </c>
    </row>
    <row r="10" spans="1:28" ht="20.100000000000001" customHeight="1" x14ac:dyDescent="0.3">
      <c r="A10" s="403"/>
      <c r="B10" s="403"/>
      <c r="C10" s="406"/>
      <c r="D10" s="353" t="s">
        <v>81</v>
      </c>
      <c r="E10" s="353">
        <v>1</v>
      </c>
      <c r="F10" s="353">
        <v>0</v>
      </c>
      <c r="G10" s="43">
        <v>394875</v>
      </c>
      <c r="H10" s="56">
        <f>+E10*G10</f>
        <v>394875</v>
      </c>
      <c r="I10" s="393"/>
      <c r="J10" s="526"/>
      <c r="K10" s="610" t="s">
        <v>181</v>
      </c>
      <c r="L10" s="611"/>
      <c r="M10" s="210">
        <v>1</v>
      </c>
      <c r="N10" s="211">
        <v>708750</v>
      </c>
      <c r="O10" s="212">
        <f t="shared" si="0"/>
        <v>708750</v>
      </c>
      <c r="P10" s="612"/>
      <c r="Q10" s="15">
        <v>0</v>
      </c>
    </row>
    <row r="11" spans="1:28" ht="20.100000000000001" customHeight="1" x14ac:dyDescent="0.3">
      <c r="A11" s="403"/>
      <c r="B11" s="403"/>
      <c r="C11" s="406"/>
      <c r="D11" s="353"/>
      <c r="E11" s="353"/>
      <c r="F11" s="353"/>
      <c r="G11" s="43"/>
      <c r="H11" s="354"/>
      <c r="I11" s="393"/>
      <c r="J11" s="527"/>
      <c r="K11" s="610" t="s">
        <v>157</v>
      </c>
      <c r="L11" s="611"/>
      <c r="M11" s="210">
        <v>1</v>
      </c>
      <c r="N11" s="211">
        <v>236250</v>
      </c>
      <c r="O11" s="212">
        <f t="shared" si="0"/>
        <v>236250</v>
      </c>
      <c r="P11" s="612"/>
      <c r="Q11" s="15">
        <v>0</v>
      </c>
    </row>
    <row r="12" spans="1:28" ht="20.100000000000001" customHeight="1" x14ac:dyDescent="0.3">
      <c r="A12" s="403"/>
      <c r="B12" s="403"/>
      <c r="C12" s="406"/>
      <c r="D12" s="353"/>
      <c r="E12" s="353"/>
      <c r="F12" s="353"/>
      <c r="G12" s="43"/>
      <c r="H12" s="56"/>
      <c r="I12" s="393"/>
      <c r="J12" s="527"/>
      <c r="K12" s="610" t="s">
        <v>158</v>
      </c>
      <c r="L12" s="611"/>
      <c r="M12" s="210">
        <v>1</v>
      </c>
      <c r="N12" s="211">
        <v>472500</v>
      </c>
      <c r="O12" s="212">
        <f t="shared" si="0"/>
        <v>472500</v>
      </c>
      <c r="P12" s="612"/>
      <c r="Q12" s="15">
        <v>0</v>
      </c>
    </row>
    <row r="13" spans="1:28" ht="20.100000000000001" customHeight="1" x14ac:dyDescent="0.3">
      <c r="A13" s="403"/>
      <c r="B13" s="403"/>
      <c r="C13" s="406"/>
      <c r="D13" s="353"/>
      <c r="E13" s="353"/>
      <c r="F13" s="353"/>
      <c r="G13" s="43"/>
      <c r="H13" s="56"/>
      <c r="I13" s="393"/>
      <c r="J13" s="527"/>
      <c r="K13" s="610" t="s">
        <v>159</v>
      </c>
      <c r="L13" s="611"/>
      <c r="M13" s="210">
        <v>4</v>
      </c>
      <c r="N13" s="211">
        <v>243750</v>
      </c>
      <c r="O13" s="212">
        <f t="shared" si="0"/>
        <v>975000</v>
      </c>
      <c r="P13" s="612"/>
      <c r="Q13" s="15">
        <v>0</v>
      </c>
    </row>
    <row r="14" spans="1:28" ht="19.95" customHeight="1" thickBot="1" x14ac:dyDescent="0.35">
      <c r="A14" s="404"/>
      <c r="B14" s="404"/>
      <c r="C14" s="407"/>
      <c r="D14" s="399" t="s">
        <v>21</v>
      </c>
      <c r="E14" s="400"/>
      <c r="F14" s="400"/>
      <c r="G14" s="418"/>
      <c r="H14" s="59">
        <f>SUM(H8:H13)</f>
        <v>11871213.48</v>
      </c>
      <c r="I14" s="513"/>
      <c r="J14" s="528"/>
      <c r="K14" s="535" t="s">
        <v>22</v>
      </c>
      <c r="L14" s="485"/>
      <c r="M14" s="485"/>
      <c r="N14" s="418"/>
      <c r="O14" s="49">
        <f>SUM(O8:O13)</f>
        <v>9952800</v>
      </c>
      <c r="P14" s="487"/>
      <c r="Q14" s="213">
        <f>SUM(Q8:Q13)</f>
        <v>0</v>
      </c>
    </row>
    <row r="15" spans="1:28" ht="19.95" customHeight="1" x14ac:dyDescent="0.3">
      <c r="A15" s="402">
        <v>2</v>
      </c>
      <c r="B15" s="402" t="s">
        <v>26</v>
      </c>
      <c r="C15" s="405">
        <v>46053</v>
      </c>
      <c r="D15" s="351" t="s">
        <v>54</v>
      </c>
      <c r="E15" s="351">
        <v>2300</v>
      </c>
      <c r="F15" s="351">
        <v>1150</v>
      </c>
      <c r="G15" s="352">
        <v>4465.12</v>
      </c>
      <c r="H15" s="354">
        <f t="shared" ref="H15:H17" si="1">+E15*G15</f>
        <v>10269776</v>
      </c>
      <c r="I15" s="393"/>
      <c r="J15" s="526"/>
      <c r="K15" s="610" t="s">
        <v>17</v>
      </c>
      <c r="L15" s="611"/>
      <c r="M15" s="210">
        <v>16</v>
      </c>
      <c r="N15" s="211">
        <v>76125</v>
      </c>
      <c r="O15" s="212">
        <f t="shared" ref="O15:O20" si="2">+M15*N15</f>
        <v>1218000</v>
      </c>
      <c r="P15" s="612"/>
      <c r="Q15" s="15">
        <v>0</v>
      </c>
    </row>
    <row r="16" spans="1:28" ht="20.100000000000001" customHeight="1" x14ac:dyDescent="0.3">
      <c r="A16" s="403"/>
      <c r="B16" s="403"/>
      <c r="C16" s="406"/>
      <c r="D16" s="353" t="s">
        <v>55</v>
      </c>
      <c r="E16" s="353">
        <v>2</v>
      </c>
      <c r="F16" s="353">
        <v>0</v>
      </c>
      <c r="G16" s="43">
        <v>603281.24</v>
      </c>
      <c r="H16" s="56">
        <f t="shared" si="1"/>
        <v>1206562.48</v>
      </c>
      <c r="I16" s="393"/>
      <c r="J16" s="526"/>
      <c r="K16" s="610" t="s">
        <v>156</v>
      </c>
      <c r="L16" s="611"/>
      <c r="M16" s="210">
        <v>290</v>
      </c>
      <c r="N16" s="211">
        <v>21870</v>
      </c>
      <c r="O16" s="212">
        <f t="shared" si="2"/>
        <v>6342300</v>
      </c>
      <c r="P16" s="612"/>
      <c r="Q16" s="15">
        <v>0</v>
      </c>
    </row>
    <row r="17" spans="1:17" ht="20.100000000000001" customHeight="1" x14ac:dyDescent="0.3">
      <c r="A17" s="403"/>
      <c r="B17" s="403"/>
      <c r="C17" s="406"/>
      <c r="D17" s="353" t="s">
        <v>81</v>
      </c>
      <c r="E17" s="353">
        <v>1</v>
      </c>
      <c r="F17" s="353">
        <v>0</v>
      </c>
      <c r="G17" s="43">
        <v>394875</v>
      </c>
      <c r="H17" s="56">
        <f t="shared" si="1"/>
        <v>394875</v>
      </c>
      <c r="I17" s="393"/>
      <c r="J17" s="526"/>
      <c r="K17" s="610" t="s">
        <v>181</v>
      </c>
      <c r="L17" s="611"/>
      <c r="M17" s="210">
        <v>1</v>
      </c>
      <c r="N17" s="211">
        <v>708750</v>
      </c>
      <c r="O17" s="212">
        <f t="shared" si="2"/>
        <v>708750</v>
      </c>
      <c r="P17" s="612"/>
      <c r="Q17" s="15">
        <v>0</v>
      </c>
    </row>
    <row r="18" spans="1:17" ht="20.100000000000001" customHeight="1" x14ac:dyDescent="0.3">
      <c r="A18" s="403"/>
      <c r="B18" s="403"/>
      <c r="C18" s="406"/>
      <c r="D18" s="353"/>
      <c r="E18" s="353"/>
      <c r="F18" s="353"/>
      <c r="G18" s="43"/>
      <c r="H18" s="354"/>
      <c r="I18" s="393"/>
      <c r="J18" s="527"/>
      <c r="K18" s="610" t="s">
        <v>157</v>
      </c>
      <c r="L18" s="611"/>
      <c r="M18" s="210">
        <v>1</v>
      </c>
      <c r="N18" s="211">
        <v>236250</v>
      </c>
      <c r="O18" s="212">
        <f t="shared" si="2"/>
        <v>236250</v>
      </c>
      <c r="P18" s="612"/>
      <c r="Q18" s="15">
        <v>0</v>
      </c>
    </row>
    <row r="19" spans="1:17" ht="20.100000000000001" customHeight="1" x14ac:dyDescent="0.3">
      <c r="A19" s="403"/>
      <c r="B19" s="403"/>
      <c r="C19" s="406"/>
      <c r="D19" s="353"/>
      <c r="E19" s="353"/>
      <c r="F19" s="353"/>
      <c r="G19" s="43"/>
      <c r="H19" s="56"/>
      <c r="I19" s="393"/>
      <c r="J19" s="527"/>
      <c r="K19" s="610" t="s">
        <v>158</v>
      </c>
      <c r="L19" s="611"/>
      <c r="M19" s="210">
        <v>1</v>
      </c>
      <c r="N19" s="211">
        <v>472500</v>
      </c>
      <c r="O19" s="212">
        <f t="shared" si="2"/>
        <v>472500</v>
      </c>
      <c r="P19" s="612"/>
      <c r="Q19" s="15">
        <v>0</v>
      </c>
    </row>
    <row r="20" spans="1:17" ht="20.100000000000001" customHeight="1" x14ac:dyDescent="0.3">
      <c r="A20" s="403"/>
      <c r="B20" s="403"/>
      <c r="C20" s="406"/>
      <c r="D20" s="353"/>
      <c r="E20" s="353"/>
      <c r="F20" s="353"/>
      <c r="G20" s="43"/>
      <c r="H20" s="56"/>
      <c r="I20" s="393"/>
      <c r="J20" s="527"/>
      <c r="K20" s="610" t="s">
        <v>159</v>
      </c>
      <c r="L20" s="611"/>
      <c r="M20" s="210">
        <v>4</v>
      </c>
      <c r="N20" s="211">
        <v>243750</v>
      </c>
      <c r="O20" s="212">
        <f t="shared" si="2"/>
        <v>975000</v>
      </c>
      <c r="P20" s="612"/>
      <c r="Q20" s="15">
        <v>0</v>
      </c>
    </row>
    <row r="21" spans="1:17" ht="19.95" customHeight="1" thickBot="1" x14ac:dyDescent="0.35">
      <c r="A21" s="404"/>
      <c r="B21" s="404"/>
      <c r="C21" s="407"/>
      <c r="D21" s="399" t="s">
        <v>21</v>
      </c>
      <c r="E21" s="400"/>
      <c r="F21" s="400"/>
      <c r="G21" s="418"/>
      <c r="H21" s="59">
        <f>SUM(H15:H20)</f>
        <v>11871213.48</v>
      </c>
      <c r="I21" s="513"/>
      <c r="J21" s="528"/>
      <c r="K21" s="535" t="s">
        <v>22</v>
      </c>
      <c r="L21" s="485"/>
      <c r="M21" s="485"/>
      <c r="N21" s="418"/>
      <c r="O21" s="49">
        <f>SUM(O15:O20)</f>
        <v>9952800</v>
      </c>
      <c r="P21" s="487"/>
      <c r="Q21" s="213">
        <f>SUM(Q15:Q20)</f>
        <v>0</v>
      </c>
    </row>
    <row r="22" spans="1:17" ht="19.95" customHeight="1" x14ac:dyDescent="0.3">
      <c r="A22" s="402">
        <v>3</v>
      </c>
      <c r="B22" s="402" t="s">
        <v>226</v>
      </c>
      <c r="C22" s="405">
        <v>46067</v>
      </c>
      <c r="D22" s="351" t="s">
        <v>54</v>
      </c>
      <c r="E22" s="351">
        <v>2300</v>
      </c>
      <c r="F22" s="351">
        <v>1150</v>
      </c>
      <c r="G22" s="352">
        <v>4465.12</v>
      </c>
      <c r="H22" s="354">
        <f t="shared" ref="H22:H24" si="3">+E22*G22</f>
        <v>10269776</v>
      </c>
      <c r="I22" s="393"/>
      <c r="J22" s="526"/>
      <c r="K22" s="610" t="s">
        <v>17</v>
      </c>
      <c r="L22" s="611"/>
      <c r="M22" s="210">
        <v>16</v>
      </c>
      <c r="N22" s="211">
        <v>76125</v>
      </c>
      <c r="O22" s="212">
        <f t="shared" ref="O22:O27" si="4">+M22*N22</f>
        <v>1218000</v>
      </c>
      <c r="P22" s="612"/>
      <c r="Q22" s="15">
        <v>0</v>
      </c>
    </row>
    <row r="23" spans="1:17" ht="20.100000000000001" customHeight="1" x14ac:dyDescent="0.3">
      <c r="A23" s="403"/>
      <c r="B23" s="403"/>
      <c r="C23" s="406"/>
      <c r="D23" s="353" t="s">
        <v>55</v>
      </c>
      <c r="E23" s="353">
        <v>2</v>
      </c>
      <c r="F23" s="353">
        <v>0</v>
      </c>
      <c r="G23" s="43">
        <v>603281.24</v>
      </c>
      <c r="H23" s="56">
        <f t="shared" si="3"/>
        <v>1206562.48</v>
      </c>
      <c r="I23" s="393"/>
      <c r="J23" s="526"/>
      <c r="K23" s="610" t="s">
        <v>156</v>
      </c>
      <c r="L23" s="611"/>
      <c r="M23" s="210">
        <v>290</v>
      </c>
      <c r="N23" s="211">
        <v>21870</v>
      </c>
      <c r="O23" s="212">
        <f t="shared" si="4"/>
        <v>6342300</v>
      </c>
      <c r="P23" s="612"/>
      <c r="Q23" s="15">
        <v>0</v>
      </c>
    </row>
    <row r="24" spans="1:17" ht="20.100000000000001" customHeight="1" x14ac:dyDescent="0.3">
      <c r="A24" s="403"/>
      <c r="B24" s="403"/>
      <c r="C24" s="406"/>
      <c r="D24" s="353" t="s">
        <v>81</v>
      </c>
      <c r="E24" s="353">
        <v>1</v>
      </c>
      <c r="F24" s="353">
        <v>0</v>
      </c>
      <c r="G24" s="43">
        <v>394875</v>
      </c>
      <c r="H24" s="56">
        <f t="shared" si="3"/>
        <v>394875</v>
      </c>
      <c r="I24" s="393"/>
      <c r="J24" s="526"/>
      <c r="K24" s="610" t="s">
        <v>181</v>
      </c>
      <c r="L24" s="611"/>
      <c r="M24" s="210">
        <v>1</v>
      </c>
      <c r="N24" s="211">
        <v>708750</v>
      </c>
      <c r="O24" s="212">
        <f t="shared" si="4"/>
        <v>708750</v>
      </c>
      <c r="P24" s="612"/>
      <c r="Q24" s="15">
        <v>0</v>
      </c>
    </row>
    <row r="25" spans="1:17" ht="20.100000000000001" customHeight="1" x14ac:dyDescent="0.3">
      <c r="A25" s="403"/>
      <c r="B25" s="403"/>
      <c r="C25" s="406"/>
      <c r="D25" s="353"/>
      <c r="E25" s="353"/>
      <c r="F25" s="353"/>
      <c r="G25" s="43"/>
      <c r="H25" s="354"/>
      <c r="I25" s="393"/>
      <c r="J25" s="527"/>
      <c r="K25" s="610" t="s">
        <v>157</v>
      </c>
      <c r="L25" s="611"/>
      <c r="M25" s="210">
        <v>1</v>
      </c>
      <c r="N25" s="211">
        <v>236250</v>
      </c>
      <c r="O25" s="212">
        <f t="shared" si="4"/>
        <v>236250</v>
      </c>
      <c r="P25" s="612"/>
      <c r="Q25" s="15">
        <v>0</v>
      </c>
    </row>
    <row r="26" spans="1:17" ht="20.100000000000001" customHeight="1" x14ac:dyDescent="0.3">
      <c r="A26" s="403"/>
      <c r="B26" s="403"/>
      <c r="C26" s="406"/>
      <c r="D26" s="353"/>
      <c r="E26" s="353"/>
      <c r="F26" s="353"/>
      <c r="G26" s="43"/>
      <c r="H26" s="56"/>
      <c r="I26" s="393"/>
      <c r="J26" s="527"/>
      <c r="K26" s="610" t="s">
        <v>158</v>
      </c>
      <c r="L26" s="611"/>
      <c r="M26" s="210">
        <v>1</v>
      </c>
      <c r="N26" s="211">
        <v>472500</v>
      </c>
      <c r="O26" s="212">
        <f t="shared" si="4"/>
        <v>472500</v>
      </c>
      <c r="P26" s="612"/>
      <c r="Q26" s="15">
        <v>0</v>
      </c>
    </row>
    <row r="27" spans="1:17" ht="20.100000000000001" customHeight="1" x14ac:dyDescent="0.3">
      <c r="A27" s="403"/>
      <c r="B27" s="403"/>
      <c r="C27" s="406"/>
      <c r="D27" s="353"/>
      <c r="E27" s="353"/>
      <c r="F27" s="353"/>
      <c r="G27" s="43"/>
      <c r="H27" s="56"/>
      <c r="I27" s="393"/>
      <c r="J27" s="527"/>
      <c r="K27" s="610" t="s">
        <v>159</v>
      </c>
      <c r="L27" s="611"/>
      <c r="M27" s="210">
        <v>4</v>
      </c>
      <c r="N27" s="211">
        <v>243750</v>
      </c>
      <c r="O27" s="212">
        <f t="shared" si="4"/>
        <v>975000</v>
      </c>
      <c r="P27" s="612"/>
      <c r="Q27" s="15">
        <v>0</v>
      </c>
    </row>
    <row r="28" spans="1:17" ht="19.95" customHeight="1" thickBot="1" x14ac:dyDescent="0.35">
      <c r="A28" s="404"/>
      <c r="B28" s="404"/>
      <c r="C28" s="407"/>
      <c r="D28" s="399" t="s">
        <v>21</v>
      </c>
      <c r="E28" s="400"/>
      <c r="F28" s="400"/>
      <c r="G28" s="418"/>
      <c r="H28" s="59">
        <f>SUM(H22:H27)</f>
        <v>11871213.48</v>
      </c>
      <c r="I28" s="513"/>
      <c r="J28" s="528"/>
      <c r="K28" s="535" t="s">
        <v>22</v>
      </c>
      <c r="L28" s="485"/>
      <c r="M28" s="485"/>
      <c r="N28" s="418"/>
      <c r="O28" s="49">
        <f>SUM(O22:O27)</f>
        <v>9952800</v>
      </c>
      <c r="P28" s="487"/>
      <c r="Q28" s="213">
        <f>SUM(Q22:Q27)</f>
        <v>0</v>
      </c>
    </row>
    <row r="29" spans="1:17" ht="19.95" customHeight="1" x14ac:dyDescent="0.3">
      <c r="A29" s="402">
        <v>4</v>
      </c>
      <c r="B29" s="402" t="s">
        <v>24</v>
      </c>
      <c r="C29" s="405">
        <v>46081</v>
      </c>
      <c r="D29" s="351" t="s">
        <v>54</v>
      </c>
      <c r="E29" s="351">
        <v>2300</v>
      </c>
      <c r="F29" s="351">
        <v>1150</v>
      </c>
      <c r="G29" s="352">
        <v>4465.12</v>
      </c>
      <c r="H29" s="354">
        <f t="shared" ref="H29:H31" si="5">+E29*G29</f>
        <v>10269776</v>
      </c>
      <c r="I29" s="393"/>
      <c r="J29" s="526"/>
      <c r="K29" s="610" t="s">
        <v>17</v>
      </c>
      <c r="L29" s="611"/>
      <c r="M29" s="210">
        <v>16</v>
      </c>
      <c r="N29" s="211">
        <v>76125</v>
      </c>
      <c r="O29" s="212">
        <f t="shared" ref="O29:O34" si="6">+M29*N29</f>
        <v>1218000</v>
      </c>
      <c r="P29" s="612"/>
      <c r="Q29" s="15">
        <v>0</v>
      </c>
    </row>
    <row r="30" spans="1:17" ht="20.100000000000001" customHeight="1" x14ac:dyDescent="0.3">
      <c r="A30" s="403"/>
      <c r="B30" s="403"/>
      <c r="C30" s="406"/>
      <c r="D30" s="353" t="s">
        <v>55</v>
      </c>
      <c r="E30" s="353">
        <v>2</v>
      </c>
      <c r="F30" s="353">
        <v>0</v>
      </c>
      <c r="G30" s="43">
        <v>603281.24</v>
      </c>
      <c r="H30" s="56">
        <f t="shared" si="5"/>
        <v>1206562.48</v>
      </c>
      <c r="I30" s="393"/>
      <c r="J30" s="526"/>
      <c r="K30" s="610" t="s">
        <v>156</v>
      </c>
      <c r="L30" s="611"/>
      <c r="M30" s="210">
        <v>290</v>
      </c>
      <c r="N30" s="211">
        <v>21870</v>
      </c>
      <c r="O30" s="212">
        <f t="shared" si="6"/>
        <v>6342300</v>
      </c>
      <c r="P30" s="612"/>
      <c r="Q30" s="15">
        <v>0</v>
      </c>
    </row>
    <row r="31" spans="1:17" ht="20.100000000000001" customHeight="1" x14ac:dyDescent="0.3">
      <c r="A31" s="403"/>
      <c r="B31" s="403"/>
      <c r="C31" s="406"/>
      <c r="D31" s="353" t="s">
        <v>81</v>
      </c>
      <c r="E31" s="353">
        <v>1</v>
      </c>
      <c r="F31" s="353">
        <v>0</v>
      </c>
      <c r="G31" s="43">
        <v>394875</v>
      </c>
      <c r="H31" s="56">
        <f t="shared" si="5"/>
        <v>394875</v>
      </c>
      <c r="I31" s="393"/>
      <c r="J31" s="526"/>
      <c r="K31" s="610" t="s">
        <v>181</v>
      </c>
      <c r="L31" s="611"/>
      <c r="M31" s="210">
        <v>1</v>
      </c>
      <c r="N31" s="211">
        <v>708750</v>
      </c>
      <c r="O31" s="212">
        <f t="shared" si="6"/>
        <v>708750</v>
      </c>
      <c r="P31" s="612"/>
      <c r="Q31" s="15">
        <v>0</v>
      </c>
    </row>
    <row r="32" spans="1:17" ht="20.100000000000001" customHeight="1" x14ac:dyDescent="0.3">
      <c r="A32" s="403"/>
      <c r="B32" s="403"/>
      <c r="C32" s="406"/>
      <c r="D32" s="353"/>
      <c r="E32" s="353"/>
      <c r="F32" s="353"/>
      <c r="G32" s="43"/>
      <c r="H32" s="354"/>
      <c r="I32" s="393"/>
      <c r="J32" s="527"/>
      <c r="K32" s="610" t="s">
        <v>157</v>
      </c>
      <c r="L32" s="611"/>
      <c r="M32" s="210">
        <v>1</v>
      </c>
      <c r="N32" s="211">
        <v>236250</v>
      </c>
      <c r="O32" s="212">
        <f t="shared" si="6"/>
        <v>236250</v>
      </c>
      <c r="P32" s="612"/>
      <c r="Q32" s="15">
        <v>0</v>
      </c>
    </row>
    <row r="33" spans="1:17" ht="20.100000000000001" customHeight="1" x14ac:dyDescent="0.3">
      <c r="A33" s="403"/>
      <c r="B33" s="403"/>
      <c r="C33" s="406"/>
      <c r="D33" s="353"/>
      <c r="E33" s="353"/>
      <c r="F33" s="353"/>
      <c r="G33" s="43"/>
      <c r="H33" s="56"/>
      <c r="I33" s="393"/>
      <c r="J33" s="527"/>
      <c r="K33" s="610" t="s">
        <v>158</v>
      </c>
      <c r="L33" s="611"/>
      <c r="M33" s="210">
        <v>1</v>
      </c>
      <c r="N33" s="211">
        <v>472500</v>
      </c>
      <c r="O33" s="212">
        <f t="shared" si="6"/>
        <v>472500</v>
      </c>
      <c r="P33" s="612"/>
      <c r="Q33" s="15">
        <v>0</v>
      </c>
    </row>
    <row r="34" spans="1:17" ht="20.100000000000001" customHeight="1" x14ac:dyDescent="0.3">
      <c r="A34" s="403"/>
      <c r="B34" s="403"/>
      <c r="C34" s="406"/>
      <c r="D34" s="353"/>
      <c r="E34" s="353"/>
      <c r="F34" s="353"/>
      <c r="G34" s="43"/>
      <c r="H34" s="56"/>
      <c r="I34" s="393"/>
      <c r="J34" s="527"/>
      <c r="K34" s="610" t="s">
        <v>159</v>
      </c>
      <c r="L34" s="611"/>
      <c r="M34" s="210">
        <v>4</v>
      </c>
      <c r="N34" s="211">
        <v>243750</v>
      </c>
      <c r="O34" s="212">
        <f t="shared" si="6"/>
        <v>975000</v>
      </c>
      <c r="P34" s="612"/>
      <c r="Q34" s="15">
        <v>0</v>
      </c>
    </row>
    <row r="35" spans="1:17" ht="19.95" customHeight="1" thickBot="1" x14ac:dyDescent="0.35">
      <c r="A35" s="404"/>
      <c r="B35" s="404"/>
      <c r="C35" s="407"/>
      <c r="D35" s="399" t="s">
        <v>21</v>
      </c>
      <c r="E35" s="400"/>
      <c r="F35" s="400"/>
      <c r="G35" s="418"/>
      <c r="H35" s="59">
        <f>SUM(H29:H34)</f>
        <v>11871213.48</v>
      </c>
      <c r="I35" s="513"/>
      <c r="J35" s="528"/>
      <c r="K35" s="535" t="s">
        <v>22</v>
      </c>
      <c r="L35" s="485"/>
      <c r="M35" s="485"/>
      <c r="N35" s="418"/>
      <c r="O35" s="49">
        <f>SUM(O29:O34)</f>
        <v>9952800</v>
      </c>
      <c r="P35" s="487"/>
      <c r="Q35" s="213">
        <f>SUM(Q29:Q34)</f>
        <v>0</v>
      </c>
    </row>
    <row r="36" spans="1:17" ht="19.95" customHeight="1" x14ac:dyDescent="0.3">
      <c r="A36" s="402">
        <v>5</v>
      </c>
      <c r="B36" s="402" t="s">
        <v>131</v>
      </c>
      <c r="C36" s="405">
        <v>46093</v>
      </c>
      <c r="D36" s="351" t="s">
        <v>54</v>
      </c>
      <c r="E36" s="351">
        <v>2300</v>
      </c>
      <c r="F36" s="351">
        <v>1150</v>
      </c>
      <c r="G36" s="352">
        <v>4465.12</v>
      </c>
      <c r="H36" s="354">
        <f t="shared" ref="H36:H38" si="7">+E36*G36</f>
        <v>10269776</v>
      </c>
      <c r="I36" s="393"/>
      <c r="J36" s="526"/>
      <c r="K36" s="610" t="s">
        <v>17</v>
      </c>
      <c r="L36" s="611"/>
      <c r="M36" s="210">
        <v>16</v>
      </c>
      <c r="N36" s="211">
        <v>76125</v>
      </c>
      <c r="O36" s="212">
        <f t="shared" ref="O36:O41" si="8">+M36*N36</f>
        <v>1218000</v>
      </c>
      <c r="P36" s="612"/>
      <c r="Q36" s="15">
        <v>0</v>
      </c>
    </row>
    <row r="37" spans="1:17" ht="20.100000000000001" customHeight="1" x14ac:dyDescent="0.3">
      <c r="A37" s="403"/>
      <c r="B37" s="403"/>
      <c r="C37" s="406"/>
      <c r="D37" s="353" t="s">
        <v>55</v>
      </c>
      <c r="E37" s="353">
        <v>2</v>
      </c>
      <c r="F37" s="353">
        <v>0</v>
      </c>
      <c r="G37" s="43">
        <v>603281.24</v>
      </c>
      <c r="H37" s="56">
        <f t="shared" si="7"/>
        <v>1206562.48</v>
      </c>
      <c r="I37" s="393"/>
      <c r="J37" s="526"/>
      <c r="K37" s="610" t="s">
        <v>156</v>
      </c>
      <c r="L37" s="611"/>
      <c r="M37" s="210">
        <v>290</v>
      </c>
      <c r="N37" s="211">
        <v>21870</v>
      </c>
      <c r="O37" s="212">
        <f t="shared" si="8"/>
        <v>6342300</v>
      </c>
      <c r="P37" s="612"/>
      <c r="Q37" s="15">
        <v>0</v>
      </c>
    </row>
    <row r="38" spans="1:17" ht="20.100000000000001" customHeight="1" x14ac:dyDescent="0.3">
      <c r="A38" s="403"/>
      <c r="B38" s="403"/>
      <c r="C38" s="406"/>
      <c r="D38" s="353" t="s">
        <v>81</v>
      </c>
      <c r="E38" s="353">
        <v>1</v>
      </c>
      <c r="F38" s="353">
        <v>0</v>
      </c>
      <c r="G38" s="43">
        <v>394875</v>
      </c>
      <c r="H38" s="56">
        <f t="shared" si="7"/>
        <v>394875</v>
      </c>
      <c r="I38" s="393"/>
      <c r="J38" s="526"/>
      <c r="K38" s="610" t="s">
        <v>181</v>
      </c>
      <c r="L38" s="611"/>
      <c r="M38" s="210">
        <v>1</v>
      </c>
      <c r="N38" s="211">
        <v>708750</v>
      </c>
      <c r="O38" s="212">
        <f t="shared" si="8"/>
        <v>708750</v>
      </c>
      <c r="P38" s="612"/>
      <c r="Q38" s="15">
        <v>0</v>
      </c>
    </row>
    <row r="39" spans="1:17" ht="20.100000000000001" customHeight="1" x14ac:dyDescent="0.3">
      <c r="A39" s="403"/>
      <c r="B39" s="403"/>
      <c r="C39" s="406"/>
      <c r="D39" s="353"/>
      <c r="E39" s="353"/>
      <c r="F39" s="353"/>
      <c r="G39" s="43"/>
      <c r="H39" s="354"/>
      <c r="I39" s="393"/>
      <c r="J39" s="527"/>
      <c r="K39" s="610" t="s">
        <v>157</v>
      </c>
      <c r="L39" s="611"/>
      <c r="M39" s="210">
        <v>1</v>
      </c>
      <c r="N39" s="211">
        <v>236250</v>
      </c>
      <c r="O39" s="212">
        <f t="shared" si="8"/>
        <v>236250</v>
      </c>
      <c r="P39" s="612"/>
      <c r="Q39" s="15">
        <v>0</v>
      </c>
    </row>
    <row r="40" spans="1:17" ht="20.100000000000001" customHeight="1" x14ac:dyDescent="0.3">
      <c r="A40" s="403"/>
      <c r="B40" s="403"/>
      <c r="C40" s="406"/>
      <c r="D40" s="353"/>
      <c r="E40" s="353"/>
      <c r="F40" s="353"/>
      <c r="G40" s="43"/>
      <c r="H40" s="56"/>
      <c r="I40" s="393"/>
      <c r="J40" s="527"/>
      <c r="K40" s="610" t="s">
        <v>158</v>
      </c>
      <c r="L40" s="611"/>
      <c r="M40" s="210">
        <v>1</v>
      </c>
      <c r="N40" s="211">
        <v>472500</v>
      </c>
      <c r="O40" s="212">
        <f t="shared" si="8"/>
        <v>472500</v>
      </c>
      <c r="P40" s="612"/>
      <c r="Q40" s="15">
        <v>0</v>
      </c>
    </row>
    <row r="41" spans="1:17" ht="20.100000000000001" customHeight="1" x14ac:dyDescent="0.3">
      <c r="A41" s="403"/>
      <c r="B41" s="403"/>
      <c r="C41" s="406"/>
      <c r="D41" s="353"/>
      <c r="E41" s="353"/>
      <c r="F41" s="353"/>
      <c r="G41" s="43"/>
      <c r="H41" s="56"/>
      <c r="I41" s="393"/>
      <c r="J41" s="527"/>
      <c r="K41" s="610" t="s">
        <v>159</v>
      </c>
      <c r="L41" s="611"/>
      <c r="M41" s="210">
        <v>4</v>
      </c>
      <c r="N41" s="211">
        <v>243750</v>
      </c>
      <c r="O41" s="212">
        <f t="shared" si="8"/>
        <v>975000</v>
      </c>
      <c r="P41" s="612"/>
      <c r="Q41" s="15">
        <v>0</v>
      </c>
    </row>
    <row r="42" spans="1:17" ht="19.95" customHeight="1" thickBot="1" x14ac:dyDescent="0.35">
      <c r="A42" s="404"/>
      <c r="B42" s="404"/>
      <c r="C42" s="407"/>
      <c r="D42" s="399" t="s">
        <v>21</v>
      </c>
      <c r="E42" s="400"/>
      <c r="F42" s="400"/>
      <c r="G42" s="418"/>
      <c r="H42" s="59">
        <f>SUM(H36:H41)</f>
        <v>11871213.48</v>
      </c>
      <c r="I42" s="513"/>
      <c r="J42" s="528"/>
      <c r="K42" s="535" t="s">
        <v>22</v>
      </c>
      <c r="L42" s="485"/>
      <c r="M42" s="485"/>
      <c r="N42" s="418"/>
      <c r="O42" s="49">
        <f>SUM(O36:O41)</f>
        <v>9952800</v>
      </c>
      <c r="P42" s="487"/>
      <c r="Q42" s="213">
        <f>SUM(Q36:Q41)</f>
        <v>0</v>
      </c>
    </row>
    <row r="43" spans="1:17" ht="19.95" customHeight="1" x14ac:dyDescent="0.3">
      <c r="A43" s="402">
        <v>6</v>
      </c>
      <c r="B43" s="402" t="s">
        <v>23</v>
      </c>
      <c r="C43" s="405" t="s">
        <v>227</v>
      </c>
      <c r="D43" s="351" t="s">
        <v>54</v>
      </c>
      <c r="E43" s="351">
        <v>2300</v>
      </c>
      <c r="F43" s="351">
        <v>1150</v>
      </c>
      <c r="G43" s="352">
        <v>4465.12</v>
      </c>
      <c r="H43" s="354">
        <f t="shared" ref="H43:H45" si="9">+E43*G43</f>
        <v>10269776</v>
      </c>
      <c r="I43" s="393"/>
      <c r="J43" s="526"/>
      <c r="K43" s="610" t="s">
        <v>17</v>
      </c>
      <c r="L43" s="611"/>
      <c r="M43" s="210">
        <v>16</v>
      </c>
      <c r="N43" s="211">
        <v>76125</v>
      </c>
      <c r="O43" s="212">
        <f t="shared" ref="O43:O48" si="10">+M43*N43</f>
        <v>1218000</v>
      </c>
      <c r="P43" s="612"/>
      <c r="Q43" s="15">
        <v>0</v>
      </c>
    </row>
    <row r="44" spans="1:17" ht="20.100000000000001" customHeight="1" x14ac:dyDescent="0.3">
      <c r="A44" s="403"/>
      <c r="B44" s="403"/>
      <c r="C44" s="406"/>
      <c r="D44" s="353" t="s">
        <v>55</v>
      </c>
      <c r="E44" s="353">
        <v>2</v>
      </c>
      <c r="F44" s="353">
        <v>0</v>
      </c>
      <c r="G44" s="43">
        <v>603281.24</v>
      </c>
      <c r="H44" s="56">
        <f t="shared" si="9"/>
        <v>1206562.48</v>
      </c>
      <c r="I44" s="393"/>
      <c r="J44" s="526"/>
      <c r="K44" s="610" t="s">
        <v>156</v>
      </c>
      <c r="L44" s="611"/>
      <c r="M44" s="210">
        <v>290</v>
      </c>
      <c r="N44" s="211">
        <v>21870</v>
      </c>
      <c r="O44" s="212">
        <f t="shared" si="10"/>
        <v>6342300</v>
      </c>
      <c r="P44" s="612"/>
      <c r="Q44" s="15">
        <v>0</v>
      </c>
    </row>
    <row r="45" spans="1:17" ht="20.100000000000001" customHeight="1" x14ac:dyDescent="0.3">
      <c r="A45" s="403"/>
      <c r="B45" s="403"/>
      <c r="C45" s="406"/>
      <c r="D45" s="353" t="s">
        <v>81</v>
      </c>
      <c r="E45" s="353">
        <v>1</v>
      </c>
      <c r="F45" s="353">
        <v>0</v>
      </c>
      <c r="G45" s="43">
        <v>394875</v>
      </c>
      <c r="H45" s="56">
        <f t="shared" si="9"/>
        <v>394875</v>
      </c>
      <c r="I45" s="393"/>
      <c r="J45" s="526"/>
      <c r="K45" s="610" t="s">
        <v>181</v>
      </c>
      <c r="L45" s="611"/>
      <c r="M45" s="210">
        <v>1</v>
      </c>
      <c r="N45" s="211">
        <v>708750</v>
      </c>
      <c r="O45" s="212">
        <f t="shared" si="10"/>
        <v>708750</v>
      </c>
      <c r="P45" s="612"/>
      <c r="Q45" s="15">
        <v>0</v>
      </c>
    </row>
    <row r="46" spans="1:17" ht="20.100000000000001" customHeight="1" x14ac:dyDescent="0.3">
      <c r="A46" s="403"/>
      <c r="B46" s="403"/>
      <c r="C46" s="406"/>
      <c r="D46" s="353"/>
      <c r="E46" s="353"/>
      <c r="F46" s="353"/>
      <c r="G46" s="43"/>
      <c r="H46" s="354"/>
      <c r="I46" s="393"/>
      <c r="J46" s="527"/>
      <c r="K46" s="610" t="s">
        <v>157</v>
      </c>
      <c r="L46" s="611"/>
      <c r="M46" s="210">
        <v>1</v>
      </c>
      <c r="N46" s="211">
        <v>236250</v>
      </c>
      <c r="O46" s="212">
        <f t="shared" si="10"/>
        <v>236250</v>
      </c>
      <c r="P46" s="612"/>
      <c r="Q46" s="15">
        <v>0</v>
      </c>
    </row>
    <row r="47" spans="1:17" ht="20.100000000000001" customHeight="1" x14ac:dyDescent="0.3">
      <c r="A47" s="403"/>
      <c r="B47" s="403"/>
      <c r="C47" s="406"/>
      <c r="D47" s="353"/>
      <c r="E47" s="353"/>
      <c r="F47" s="353"/>
      <c r="G47" s="43"/>
      <c r="H47" s="56"/>
      <c r="I47" s="393"/>
      <c r="J47" s="527"/>
      <c r="K47" s="610" t="s">
        <v>158</v>
      </c>
      <c r="L47" s="611"/>
      <c r="M47" s="210">
        <v>1</v>
      </c>
      <c r="N47" s="211">
        <v>472500</v>
      </c>
      <c r="O47" s="212">
        <f t="shared" si="10"/>
        <v>472500</v>
      </c>
      <c r="P47" s="612"/>
      <c r="Q47" s="15">
        <v>0</v>
      </c>
    </row>
    <row r="48" spans="1:17" ht="20.100000000000001" customHeight="1" x14ac:dyDescent="0.3">
      <c r="A48" s="403"/>
      <c r="B48" s="403"/>
      <c r="C48" s="406"/>
      <c r="D48" s="353"/>
      <c r="E48" s="353"/>
      <c r="F48" s="353"/>
      <c r="G48" s="43"/>
      <c r="H48" s="56"/>
      <c r="I48" s="393"/>
      <c r="J48" s="527"/>
      <c r="K48" s="610" t="s">
        <v>159</v>
      </c>
      <c r="L48" s="611"/>
      <c r="M48" s="210">
        <v>4</v>
      </c>
      <c r="N48" s="211">
        <v>243750</v>
      </c>
      <c r="O48" s="212">
        <f t="shared" si="10"/>
        <v>975000</v>
      </c>
      <c r="P48" s="612"/>
      <c r="Q48" s="15">
        <v>0</v>
      </c>
    </row>
    <row r="49" spans="1:17" ht="19.95" customHeight="1" thickBot="1" x14ac:dyDescent="0.35">
      <c r="A49" s="404"/>
      <c r="B49" s="404"/>
      <c r="C49" s="407"/>
      <c r="D49" s="399" t="s">
        <v>21</v>
      </c>
      <c r="E49" s="400"/>
      <c r="F49" s="400"/>
      <c r="G49" s="418"/>
      <c r="H49" s="59">
        <f>SUM(H43:H48)</f>
        <v>11871213.48</v>
      </c>
      <c r="I49" s="513"/>
      <c r="J49" s="528"/>
      <c r="K49" s="535" t="s">
        <v>22</v>
      </c>
      <c r="L49" s="485"/>
      <c r="M49" s="485"/>
      <c r="N49" s="418"/>
      <c r="O49" s="49">
        <f>SUM(O43:O48)</f>
        <v>9952800</v>
      </c>
      <c r="P49" s="487"/>
      <c r="Q49" s="213">
        <f>SUM(Q43:Q48)</f>
        <v>0</v>
      </c>
    </row>
    <row r="50" spans="1:17" ht="19.95" customHeight="1" x14ac:dyDescent="0.3">
      <c r="A50" s="402">
        <v>7</v>
      </c>
      <c r="B50" s="402" t="s">
        <v>220</v>
      </c>
      <c r="C50" s="405" t="s">
        <v>227</v>
      </c>
      <c r="D50" s="351" t="s">
        <v>54</v>
      </c>
      <c r="E50" s="351">
        <v>2300</v>
      </c>
      <c r="F50" s="351">
        <v>1150</v>
      </c>
      <c r="G50" s="352">
        <v>4465.12</v>
      </c>
      <c r="H50" s="354">
        <f t="shared" ref="H50:H52" si="11">+E50*G50</f>
        <v>10269776</v>
      </c>
      <c r="I50" s="393"/>
      <c r="J50" s="526"/>
      <c r="K50" s="610" t="s">
        <v>17</v>
      </c>
      <c r="L50" s="611"/>
      <c r="M50" s="210">
        <v>16</v>
      </c>
      <c r="N50" s="211">
        <v>76125</v>
      </c>
      <c r="O50" s="212">
        <f t="shared" ref="O50:O55" si="12">+M50*N50</f>
        <v>1218000</v>
      </c>
      <c r="P50" s="612"/>
      <c r="Q50" s="15">
        <v>0</v>
      </c>
    </row>
    <row r="51" spans="1:17" ht="20.100000000000001" customHeight="1" x14ac:dyDescent="0.3">
      <c r="A51" s="403"/>
      <c r="B51" s="403"/>
      <c r="C51" s="406"/>
      <c r="D51" s="353" t="s">
        <v>55</v>
      </c>
      <c r="E51" s="353">
        <v>2</v>
      </c>
      <c r="F51" s="353">
        <v>0</v>
      </c>
      <c r="G51" s="43">
        <v>603281.24</v>
      </c>
      <c r="H51" s="56">
        <f t="shared" si="11"/>
        <v>1206562.48</v>
      </c>
      <c r="I51" s="393"/>
      <c r="J51" s="526"/>
      <c r="K51" s="610" t="s">
        <v>156</v>
      </c>
      <c r="L51" s="611"/>
      <c r="M51" s="210">
        <v>290</v>
      </c>
      <c r="N51" s="211">
        <v>21870</v>
      </c>
      <c r="O51" s="212">
        <f t="shared" si="12"/>
        <v>6342300</v>
      </c>
      <c r="P51" s="612"/>
      <c r="Q51" s="15">
        <v>0</v>
      </c>
    </row>
    <row r="52" spans="1:17" ht="20.100000000000001" customHeight="1" x14ac:dyDescent="0.3">
      <c r="A52" s="403"/>
      <c r="B52" s="403"/>
      <c r="C52" s="406"/>
      <c r="D52" s="353" t="s">
        <v>81</v>
      </c>
      <c r="E52" s="353">
        <v>1</v>
      </c>
      <c r="F52" s="353">
        <v>0</v>
      </c>
      <c r="G52" s="43">
        <v>394875</v>
      </c>
      <c r="H52" s="56">
        <f t="shared" si="11"/>
        <v>394875</v>
      </c>
      <c r="I52" s="393"/>
      <c r="J52" s="526"/>
      <c r="K52" s="610" t="s">
        <v>181</v>
      </c>
      <c r="L52" s="611"/>
      <c r="M52" s="210">
        <v>1</v>
      </c>
      <c r="N52" s="211">
        <v>708750</v>
      </c>
      <c r="O52" s="212">
        <f t="shared" si="12"/>
        <v>708750</v>
      </c>
      <c r="P52" s="612"/>
      <c r="Q52" s="15">
        <v>0</v>
      </c>
    </row>
    <row r="53" spans="1:17" ht="20.100000000000001" customHeight="1" x14ac:dyDescent="0.3">
      <c r="A53" s="403"/>
      <c r="B53" s="403"/>
      <c r="C53" s="406"/>
      <c r="D53" s="353"/>
      <c r="E53" s="353"/>
      <c r="F53" s="353"/>
      <c r="G53" s="43"/>
      <c r="H53" s="354"/>
      <c r="I53" s="393"/>
      <c r="J53" s="527"/>
      <c r="K53" s="610" t="s">
        <v>157</v>
      </c>
      <c r="L53" s="611"/>
      <c r="M53" s="210">
        <v>1</v>
      </c>
      <c r="N53" s="211">
        <v>236250</v>
      </c>
      <c r="O53" s="212">
        <f t="shared" si="12"/>
        <v>236250</v>
      </c>
      <c r="P53" s="612"/>
      <c r="Q53" s="15">
        <v>0</v>
      </c>
    </row>
    <row r="54" spans="1:17" ht="20.100000000000001" customHeight="1" x14ac:dyDescent="0.3">
      <c r="A54" s="403"/>
      <c r="B54" s="403"/>
      <c r="C54" s="406"/>
      <c r="D54" s="353"/>
      <c r="E54" s="353"/>
      <c r="F54" s="353"/>
      <c r="G54" s="43"/>
      <c r="H54" s="56"/>
      <c r="I54" s="393"/>
      <c r="J54" s="527"/>
      <c r="K54" s="610" t="s">
        <v>158</v>
      </c>
      <c r="L54" s="611"/>
      <c r="M54" s="210">
        <v>1</v>
      </c>
      <c r="N54" s="211">
        <v>472500</v>
      </c>
      <c r="O54" s="212">
        <f t="shared" si="12"/>
        <v>472500</v>
      </c>
      <c r="P54" s="612"/>
      <c r="Q54" s="15">
        <v>0</v>
      </c>
    </row>
    <row r="55" spans="1:17" ht="20.100000000000001" customHeight="1" x14ac:dyDescent="0.3">
      <c r="A55" s="403"/>
      <c r="B55" s="403"/>
      <c r="C55" s="406"/>
      <c r="D55" s="353"/>
      <c r="E55" s="353"/>
      <c r="F55" s="353"/>
      <c r="G55" s="43"/>
      <c r="H55" s="56"/>
      <c r="I55" s="393"/>
      <c r="J55" s="527"/>
      <c r="K55" s="610" t="s">
        <v>159</v>
      </c>
      <c r="L55" s="611"/>
      <c r="M55" s="210">
        <v>4</v>
      </c>
      <c r="N55" s="211">
        <v>243750</v>
      </c>
      <c r="O55" s="212">
        <f t="shared" si="12"/>
        <v>975000</v>
      </c>
      <c r="P55" s="612"/>
      <c r="Q55" s="15">
        <v>0</v>
      </c>
    </row>
    <row r="56" spans="1:17" ht="19.95" customHeight="1" thickBot="1" x14ac:dyDescent="0.35">
      <c r="A56" s="404"/>
      <c r="B56" s="404"/>
      <c r="C56" s="407"/>
      <c r="D56" s="399" t="s">
        <v>21</v>
      </c>
      <c r="E56" s="400"/>
      <c r="F56" s="400"/>
      <c r="G56" s="418"/>
      <c r="H56" s="59">
        <f>SUM(H50:H55)</f>
        <v>11871213.48</v>
      </c>
      <c r="I56" s="513"/>
      <c r="J56" s="528"/>
      <c r="K56" s="535" t="s">
        <v>22</v>
      </c>
      <c r="L56" s="485"/>
      <c r="M56" s="485"/>
      <c r="N56" s="418"/>
      <c r="O56" s="49">
        <f>SUM(O50:O55)</f>
        <v>9952800</v>
      </c>
      <c r="P56" s="487"/>
      <c r="Q56" s="213">
        <f>SUM(Q50:Q55)</f>
        <v>0</v>
      </c>
    </row>
    <row r="57" spans="1:17" ht="15" customHeight="1" thickBot="1" x14ac:dyDescent="0.35">
      <c r="A57" s="28"/>
      <c r="B57" s="28"/>
      <c r="C57" s="29"/>
      <c r="D57" s="30"/>
      <c r="E57" s="31"/>
      <c r="F57" s="31"/>
      <c r="G57" s="32"/>
      <c r="H57" s="33"/>
      <c r="I57" s="34"/>
      <c r="J57" s="34"/>
      <c r="K57" s="35"/>
      <c r="L57" s="36"/>
      <c r="M57" s="36"/>
      <c r="N57" s="37"/>
      <c r="O57" s="38"/>
      <c r="P57" s="39"/>
      <c r="Q57" s="39"/>
    </row>
    <row r="58" spans="1:17" ht="25.05" customHeight="1" thickBot="1" x14ac:dyDescent="0.5">
      <c r="A58" s="648" t="s">
        <v>228</v>
      </c>
      <c r="B58" s="649"/>
      <c r="C58" s="649"/>
      <c r="D58" s="649"/>
      <c r="E58" s="649"/>
      <c r="F58" s="649"/>
      <c r="G58" s="650"/>
      <c r="H58" s="363">
        <f>SUM(H56,H49,H42,H35,H28,H21,H14)</f>
        <v>83098494.360000014</v>
      </c>
      <c r="I58" s="364"/>
      <c r="J58" s="364"/>
      <c r="O58" s="363">
        <f>SUM(O56,O49,O42,O35,O28,O21,O14)</f>
        <v>69669600</v>
      </c>
    </row>
    <row r="59" spans="1:17" ht="15.75" customHeight="1" x14ac:dyDescent="0.3"/>
    <row r="60" spans="1:17" ht="15.75" customHeight="1" x14ac:dyDescent="0.3"/>
    <row r="61" spans="1:17" ht="15.75" customHeight="1" x14ac:dyDescent="0.3"/>
    <row r="62" spans="1:17" ht="15.75" customHeight="1" x14ac:dyDescent="0.3"/>
    <row r="63" spans="1:17" ht="15.75" customHeight="1" x14ac:dyDescent="0.3">
      <c r="G63" s="65"/>
      <c r="H63" s="142"/>
    </row>
    <row r="64" spans="1:17" ht="15.75" customHeight="1" x14ac:dyDescent="0.3"/>
    <row r="65" spans="5:8" ht="15.75" customHeight="1" x14ac:dyDescent="0.3"/>
    <row r="66" spans="5:8" ht="15.75" customHeight="1" x14ac:dyDescent="0.3"/>
    <row r="67" spans="5:8" ht="15.75" customHeight="1" x14ac:dyDescent="0.3"/>
    <row r="68" spans="5:8" ht="15.75" customHeight="1" x14ac:dyDescent="0.3"/>
    <row r="69" spans="5:8" ht="15.75" customHeight="1" x14ac:dyDescent="0.3"/>
    <row r="70" spans="5:8" ht="15.75" customHeight="1" x14ac:dyDescent="0.3"/>
    <row r="71" spans="5:8" ht="15.75" customHeight="1" x14ac:dyDescent="0.3"/>
    <row r="72" spans="5:8" ht="15.75" customHeight="1" x14ac:dyDescent="0.3"/>
    <row r="73" spans="5:8" ht="15.75" customHeight="1" x14ac:dyDescent="0.3"/>
    <row r="74" spans="5:8" ht="15.75" customHeight="1" x14ac:dyDescent="0.3"/>
    <row r="75" spans="5:8" ht="15.75" customHeight="1" x14ac:dyDescent="0.3"/>
    <row r="76" spans="5:8" ht="15.75" customHeight="1" x14ac:dyDescent="0.3">
      <c r="E76" s="520"/>
      <c r="F76" s="520"/>
      <c r="G76" s="521"/>
      <c r="H76" s="42"/>
    </row>
    <row r="77" spans="5:8" ht="15.75" customHeight="1" x14ac:dyDescent="0.3">
      <c r="E77" s="520"/>
      <c r="F77" s="520"/>
      <c r="G77" s="521"/>
      <c r="H77" s="42"/>
    </row>
    <row r="78" spans="5:8" ht="15.75" customHeight="1" x14ac:dyDescent="0.3">
      <c r="E78" s="520"/>
      <c r="F78" s="520"/>
      <c r="G78" s="521"/>
      <c r="H78" s="42"/>
    </row>
    <row r="79" spans="5:8" ht="15.75" customHeight="1" x14ac:dyDescent="0.3">
      <c r="E79" s="520"/>
      <c r="F79" s="520"/>
      <c r="G79" s="521"/>
      <c r="H79" s="42"/>
    </row>
    <row r="80" spans="5:8" ht="15.75" customHeight="1" x14ac:dyDescent="0.3">
      <c r="E80" s="520"/>
      <c r="F80" s="520"/>
      <c r="G80" s="521"/>
      <c r="H80" s="42"/>
    </row>
    <row r="81" spans="5:8" ht="15.75" customHeight="1" x14ac:dyDescent="0.3">
      <c r="E81" s="520"/>
      <c r="F81" s="520"/>
      <c r="G81" s="521"/>
      <c r="H81" s="42"/>
    </row>
    <row r="82" spans="5:8" ht="15.75" customHeight="1" x14ac:dyDescent="0.3">
      <c r="E82" s="520"/>
      <c r="F82" s="520"/>
      <c r="G82" s="521"/>
      <c r="H82" s="42"/>
    </row>
    <row r="83" spans="5:8" ht="15.75" customHeight="1" x14ac:dyDescent="0.3">
      <c r="H83" s="42"/>
    </row>
    <row r="84" spans="5:8" ht="15.75" customHeight="1" x14ac:dyDescent="0.3"/>
    <row r="85" spans="5:8" ht="15.75" customHeight="1" x14ac:dyDescent="0.3"/>
    <row r="86" spans="5:8" ht="15.75" customHeight="1" x14ac:dyDescent="0.3"/>
    <row r="87" spans="5:8" ht="15.75" customHeight="1" x14ac:dyDescent="0.3"/>
    <row r="88" spans="5:8" ht="15.75" customHeight="1" x14ac:dyDescent="0.3"/>
    <row r="89" spans="5:8" ht="15.75" customHeight="1" x14ac:dyDescent="0.3"/>
    <row r="90" spans="5:8" ht="15.75" customHeight="1" x14ac:dyDescent="0.3"/>
    <row r="91" spans="5:8" ht="15.75" customHeight="1" x14ac:dyDescent="0.3"/>
    <row r="92" spans="5:8" ht="15.75" customHeight="1" x14ac:dyDescent="0.3"/>
    <row r="93" spans="5:8" ht="15.75" customHeight="1" x14ac:dyDescent="0.3"/>
    <row r="94" spans="5:8" ht="15.75" customHeight="1" x14ac:dyDescent="0.3"/>
    <row r="95" spans="5:8" ht="15.75" customHeight="1" x14ac:dyDescent="0.3"/>
    <row r="96" spans="5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</sheetData>
  <mergeCells count="114">
    <mergeCell ref="A1:Q4"/>
    <mergeCell ref="A5:C5"/>
    <mergeCell ref="A6:A7"/>
    <mergeCell ref="B6:B7"/>
    <mergeCell ref="C6:C7"/>
    <mergeCell ref="D6:J6"/>
    <mergeCell ref="K6:Q6"/>
    <mergeCell ref="K7:L7"/>
    <mergeCell ref="A58:G58"/>
    <mergeCell ref="P8:P14"/>
    <mergeCell ref="K9:L9"/>
    <mergeCell ref="K10:L10"/>
    <mergeCell ref="K11:L11"/>
    <mergeCell ref="K12:L12"/>
    <mergeCell ref="K13:L13"/>
    <mergeCell ref="K14:N14"/>
    <mergeCell ref="A8:A14"/>
    <mergeCell ref="B8:B14"/>
    <mergeCell ref="C8:C14"/>
    <mergeCell ref="I8:I14"/>
    <mergeCell ref="J8:J14"/>
    <mergeCell ref="K8:L8"/>
    <mergeCell ref="D14:G14"/>
    <mergeCell ref="P15:P21"/>
    <mergeCell ref="K16:L16"/>
    <mergeCell ref="K17:L17"/>
    <mergeCell ref="K18:L18"/>
    <mergeCell ref="K19:L19"/>
    <mergeCell ref="K20:L20"/>
    <mergeCell ref="K21:N21"/>
    <mergeCell ref="A15:A21"/>
    <mergeCell ref="B15:B21"/>
    <mergeCell ref="C15:C21"/>
    <mergeCell ref="I15:I21"/>
    <mergeCell ref="J15:J21"/>
    <mergeCell ref="K15:L15"/>
    <mergeCell ref="D21:G21"/>
    <mergeCell ref="P22:P28"/>
    <mergeCell ref="K23:L23"/>
    <mergeCell ref="K24:L24"/>
    <mergeCell ref="K25:L25"/>
    <mergeCell ref="K26:L26"/>
    <mergeCell ref="K27:L27"/>
    <mergeCell ref="K28:N28"/>
    <mergeCell ref="A22:A28"/>
    <mergeCell ref="B22:B28"/>
    <mergeCell ref="C22:C28"/>
    <mergeCell ref="I22:I28"/>
    <mergeCell ref="J22:J28"/>
    <mergeCell ref="K22:L22"/>
    <mergeCell ref="D28:G28"/>
    <mergeCell ref="P29:P35"/>
    <mergeCell ref="K30:L30"/>
    <mergeCell ref="K31:L31"/>
    <mergeCell ref="K32:L32"/>
    <mergeCell ref="K33:L33"/>
    <mergeCell ref="K34:L34"/>
    <mergeCell ref="K35:N35"/>
    <mergeCell ref="A29:A35"/>
    <mergeCell ref="B29:B35"/>
    <mergeCell ref="C29:C35"/>
    <mergeCell ref="I29:I35"/>
    <mergeCell ref="J29:J35"/>
    <mergeCell ref="K29:L29"/>
    <mergeCell ref="D35:G35"/>
    <mergeCell ref="P36:P42"/>
    <mergeCell ref="K37:L37"/>
    <mergeCell ref="K38:L38"/>
    <mergeCell ref="K39:L39"/>
    <mergeCell ref="K40:L40"/>
    <mergeCell ref="K41:L41"/>
    <mergeCell ref="K42:N42"/>
    <mergeCell ref="A36:A42"/>
    <mergeCell ref="B36:B42"/>
    <mergeCell ref="C36:C42"/>
    <mergeCell ref="I36:I42"/>
    <mergeCell ref="J36:J42"/>
    <mergeCell ref="K36:L36"/>
    <mergeCell ref="D42:G42"/>
    <mergeCell ref="A50:A56"/>
    <mergeCell ref="B50:B56"/>
    <mergeCell ref="C50:C56"/>
    <mergeCell ref="I50:I56"/>
    <mergeCell ref="J50:J56"/>
    <mergeCell ref="K50:L50"/>
    <mergeCell ref="D56:G56"/>
    <mergeCell ref="P43:P49"/>
    <mergeCell ref="K44:L44"/>
    <mergeCell ref="K45:L45"/>
    <mergeCell ref="K46:L46"/>
    <mergeCell ref="K47:L47"/>
    <mergeCell ref="K48:L48"/>
    <mergeCell ref="K49:N49"/>
    <mergeCell ref="A43:A49"/>
    <mergeCell ref="B43:B49"/>
    <mergeCell ref="C43:C49"/>
    <mergeCell ref="I43:I49"/>
    <mergeCell ref="J43:J49"/>
    <mergeCell ref="K43:L43"/>
    <mergeCell ref="D49:G49"/>
    <mergeCell ref="E82:G82"/>
    <mergeCell ref="E76:G76"/>
    <mergeCell ref="E77:G77"/>
    <mergeCell ref="E78:G78"/>
    <mergeCell ref="E79:G79"/>
    <mergeCell ref="E80:G80"/>
    <mergeCell ref="E81:G81"/>
    <mergeCell ref="P50:P56"/>
    <mergeCell ref="K51:L51"/>
    <mergeCell ref="K52:L52"/>
    <mergeCell ref="K53:L53"/>
    <mergeCell ref="K54:L54"/>
    <mergeCell ref="K55:L55"/>
    <mergeCell ref="K56:N56"/>
  </mergeCells>
  <pageMargins left="0.11811023622047245" right="0.11811023622047245" top="0.15748031496062992" bottom="0.15748031496062992" header="0" footer="0"/>
  <pageSetup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5"/>
  <sheetViews>
    <sheetView tabSelected="1" zoomScale="90" zoomScaleNormal="90" workbookViewId="0">
      <pane xSplit="3" ySplit="7" topLeftCell="D8" activePane="bottomRight" state="frozen"/>
      <selection pane="topRight" activeCell="C1" sqref="C1"/>
      <selection pane="bottomLeft" activeCell="A150" sqref="A150"/>
      <selection pane="bottomRight" sqref="A1:Q21"/>
    </sheetView>
  </sheetViews>
  <sheetFormatPr baseColWidth="10" defaultColWidth="14.44140625" defaultRowHeight="15" customHeight="1" x14ac:dyDescent="0.3"/>
  <cols>
    <col min="1" max="1" width="14.44140625" style="361"/>
    <col min="2" max="2" width="31" style="361" customWidth="1"/>
    <col min="3" max="3" width="11.6640625" style="361" bestFit="1" customWidth="1"/>
    <col min="4" max="4" width="22.21875" style="361" customWidth="1"/>
    <col min="5" max="5" width="8.6640625" style="361" customWidth="1"/>
    <col min="6" max="6" width="13.33203125" style="361" customWidth="1"/>
    <col min="7" max="7" width="13.77734375" style="361" customWidth="1"/>
    <col min="8" max="8" width="16.77734375" style="361" customWidth="1"/>
    <col min="9" max="9" width="12.109375" style="361" customWidth="1"/>
    <col min="10" max="10" width="8.88671875" style="361" customWidth="1"/>
    <col min="11" max="12" width="15.6640625" style="361" hidden="1" customWidth="1"/>
    <col min="13" max="13" width="10.33203125" style="361" hidden="1" customWidth="1"/>
    <col min="14" max="14" width="15.44140625" style="361" hidden="1" customWidth="1"/>
    <col min="15" max="15" width="16.5546875" style="361" hidden="1" customWidth="1"/>
    <col min="16" max="16" width="12.109375" style="361" hidden="1" customWidth="1"/>
    <col min="17" max="17" width="15.6640625" style="361" hidden="1" customWidth="1"/>
    <col min="18" max="28" width="10.6640625" style="361" customWidth="1"/>
    <col min="29" max="16384" width="14.44140625" style="361"/>
  </cols>
  <sheetData>
    <row r="1" spans="1:28" ht="15" customHeight="1" x14ac:dyDescent="0.3">
      <c r="A1" s="434" t="s">
        <v>224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5"/>
    </row>
    <row r="2" spans="1:28" ht="15" customHeight="1" x14ac:dyDescent="0.3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5"/>
    </row>
    <row r="3" spans="1:28" ht="15" customHeight="1" x14ac:dyDescent="0.3">
      <c r="A3" s="434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5"/>
    </row>
    <row r="4" spans="1:28" ht="15" customHeight="1" x14ac:dyDescent="0.3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5"/>
    </row>
    <row r="5" spans="1:28" ht="15.6" customHeight="1" thickBot="1" x14ac:dyDescent="0.35">
      <c r="A5" s="639" t="s">
        <v>67</v>
      </c>
      <c r="B5" s="639"/>
      <c r="C5" s="639"/>
      <c r="D5" s="362"/>
      <c r="E5" s="96"/>
      <c r="F5" s="96"/>
      <c r="G5" s="96"/>
      <c r="H5" s="96"/>
      <c r="I5" s="96"/>
      <c r="J5" s="96"/>
      <c r="K5" s="362"/>
      <c r="L5" s="362"/>
      <c r="M5" s="362"/>
      <c r="N5" s="96"/>
      <c r="O5" s="96"/>
      <c r="P5" s="96" t="s">
        <v>1</v>
      </c>
      <c r="Q5" s="101">
        <v>2026</v>
      </c>
    </row>
    <row r="6" spans="1:28" ht="13.95" customHeight="1" thickBot="1" x14ac:dyDescent="0.35">
      <c r="A6" s="540" t="s">
        <v>200</v>
      </c>
      <c r="B6" s="540" t="s">
        <v>3</v>
      </c>
      <c r="C6" s="542" t="s">
        <v>4</v>
      </c>
      <c r="D6" s="629" t="s">
        <v>5</v>
      </c>
      <c r="E6" s="630"/>
      <c r="F6" s="630"/>
      <c r="G6" s="630"/>
      <c r="H6" s="630"/>
      <c r="I6" s="630"/>
      <c r="J6" s="631"/>
      <c r="K6" s="546" t="s">
        <v>6</v>
      </c>
      <c r="L6" s="627"/>
      <c r="M6" s="627"/>
      <c r="N6" s="627"/>
      <c r="O6" s="627"/>
      <c r="P6" s="627"/>
      <c r="Q6" s="628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thickBot="1" x14ac:dyDescent="0.35">
      <c r="A7" s="633"/>
      <c r="B7" s="633"/>
      <c r="C7" s="632"/>
      <c r="D7" s="107" t="s">
        <v>7</v>
      </c>
      <c r="E7" s="108" t="s">
        <v>62</v>
      </c>
      <c r="F7" s="108" t="s">
        <v>63</v>
      </c>
      <c r="G7" s="108" t="s">
        <v>9</v>
      </c>
      <c r="H7" s="109" t="s">
        <v>10</v>
      </c>
      <c r="I7" s="110" t="s">
        <v>11</v>
      </c>
      <c r="J7" s="109" t="s">
        <v>12</v>
      </c>
      <c r="K7" s="549" t="s">
        <v>7</v>
      </c>
      <c r="L7" s="626"/>
      <c r="M7" s="7" t="s">
        <v>8</v>
      </c>
      <c r="N7" s="7" t="s">
        <v>9</v>
      </c>
      <c r="O7" s="8" t="s">
        <v>12</v>
      </c>
      <c r="P7" s="8" t="s">
        <v>11</v>
      </c>
      <c r="Q7" s="102" t="s">
        <v>148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9.95" customHeight="1" x14ac:dyDescent="0.3">
      <c r="A8" s="402">
        <v>1</v>
      </c>
      <c r="B8" s="402" t="s">
        <v>164</v>
      </c>
      <c r="C8" s="405">
        <v>46233</v>
      </c>
      <c r="D8" s="357" t="s">
        <v>54</v>
      </c>
      <c r="E8" s="357">
        <v>2000</v>
      </c>
      <c r="F8" s="357">
        <v>1000</v>
      </c>
      <c r="G8" s="651">
        <v>4465.12</v>
      </c>
      <c r="H8" s="360">
        <f>+E8*G8</f>
        <v>8930240</v>
      </c>
      <c r="I8" s="393"/>
      <c r="J8" s="526"/>
      <c r="K8" s="610" t="s">
        <v>17</v>
      </c>
      <c r="L8" s="611"/>
      <c r="M8" s="210">
        <v>16</v>
      </c>
      <c r="N8" s="211">
        <v>73500</v>
      </c>
      <c r="O8" s="212">
        <f t="shared" ref="O8:O13" si="0">+M8*N8</f>
        <v>1176000</v>
      </c>
      <c r="P8" s="612"/>
      <c r="Q8" s="15">
        <v>0</v>
      </c>
    </row>
    <row r="9" spans="1:28" ht="20.100000000000001" customHeight="1" x14ac:dyDescent="0.3">
      <c r="A9" s="403"/>
      <c r="B9" s="403"/>
      <c r="C9" s="406"/>
      <c r="D9" s="359" t="s">
        <v>234</v>
      </c>
      <c r="E9" s="359">
        <v>1222</v>
      </c>
      <c r="F9" s="359">
        <v>611</v>
      </c>
      <c r="G9" s="370">
        <v>4465.12</v>
      </c>
      <c r="H9" s="56">
        <f>+E9*G9</f>
        <v>5456376.6399999997</v>
      </c>
      <c r="I9" s="393"/>
      <c r="J9" s="526"/>
      <c r="K9" s="610" t="s">
        <v>156</v>
      </c>
      <c r="L9" s="611"/>
      <c r="M9" s="210">
        <v>290</v>
      </c>
      <c r="N9" s="211">
        <v>21870</v>
      </c>
      <c r="O9" s="212">
        <f t="shared" si="0"/>
        <v>6342300</v>
      </c>
      <c r="P9" s="612"/>
      <c r="Q9" s="15">
        <v>0</v>
      </c>
    </row>
    <row r="10" spans="1:28" ht="20.100000000000001" customHeight="1" x14ac:dyDescent="0.3">
      <c r="A10" s="403"/>
      <c r="B10" s="403"/>
      <c r="C10" s="406"/>
      <c r="D10" s="369" t="s">
        <v>55</v>
      </c>
      <c r="E10" s="369">
        <v>2</v>
      </c>
      <c r="F10" s="369">
        <v>0</v>
      </c>
      <c r="G10" s="43">
        <v>603281.24</v>
      </c>
      <c r="H10" s="56">
        <f>+E10*G10</f>
        <v>1206562.48</v>
      </c>
      <c r="I10" s="393"/>
      <c r="J10" s="526"/>
      <c r="K10" s="610" t="s">
        <v>181</v>
      </c>
      <c r="L10" s="611"/>
      <c r="M10" s="210">
        <v>1</v>
      </c>
      <c r="N10" s="211">
        <v>708750</v>
      </c>
      <c r="O10" s="212">
        <f t="shared" si="0"/>
        <v>708750</v>
      </c>
      <c r="P10" s="612"/>
      <c r="Q10" s="15">
        <v>0</v>
      </c>
    </row>
    <row r="11" spans="1:28" ht="20.100000000000001" customHeight="1" x14ac:dyDescent="0.3">
      <c r="A11" s="403"/>
      <c r="B11" s="403"/>
      <c r="C11" s="406"/>
      <c r="D11" s="369" t="s">
        <v>81</v>
      </c>
      <c r="E11" s="369">
        <v>1</v>
      </c>
      <c r="F11" s="369">
        <v>0</v>
      </c>
      <c r="G11" s="43">
        <v>394875</v>
      </c>
      <c r="H11" s="56">
        <f>+E11*G11</f>
        <v>394875</v>
      </c>
      <c r="I11" s="393"/>
      <c r="J11" s="527"/>
      <c r="K11" s="610" t="s">
        <v>157</v>
      </c>
      <c r="L11" s="611"/>
      <c r="M11" s="210">
        <v>1</v>
      </c>
      <c r="N11" s="211">
        <v>236250</v>
      </c>
      <c r="O11" s="212">
        <f t="shared" si="0"/>
        <v>236250</v>
      </c>
      <c r="P11" s="612"/>
      <c r="Q11" s="15">
        <v>0</v>
      </c>
    </row>
    <row r="12" spans="1:28" ht="20.100000000000001" hidden="1" customHeight="1" x14ac:dyDescent="0.3">
      <c r="A12" s="403"/>
      <c r="B12" s="403"/>
      <c r="C12" s="406"/>
      <c r="D12" s="359"/>
      <c r="E12" s="359"/>
      <c r="F12" s="359"/>
      <c r="G12" s="43"/>
      <c r="H12" s="56"/>
      <c r="I12" s="393"/>
      <c r="J12" s="527"/>
      <c r="K12" s="610" t="s">
        <v>158</v>
      </c>
      <c r="L12" s="611"/>
      <c r="M12" s="210">
        <v>1</v>
      </c>
      <c r="N12" s="211">
        <v>472500</v>
      </c>
      <c r="O12" s="212">
        <f t="shared" si="0"/>
        <v>472500</v>
      </c>
      <c r="P12" s="612"/>
      <c r="Q12" s="15">
        <v>0</v>
      </c>
    </row>
    <row r="13" spans="1:28" ht="20.100000000000001" hidden="1" customHeight="1" x14ac:dyDescent="0.3">
      <c r="A13" s="403"/>
      <c r="B13" s="403"/>
      <c r="C13" s="406"/>
      <c r="D13" s="359"/>
      <c r="E13" s="359"/>
      <c r="F13" s="359"/>
      <c r="G13" s="43"/>
      <c r="H13" s="56"/>
      <c r="I13" s="393"/>
      <c r="J13" s="527"/>
      <c r="K13" s="610" t="s">
        <v>159</v>
      </c>
      <c r="L13" s="611"/>
      <c r="M13" s="210">
        <v>3</v>
      </c>
      <c r="N13" s="211">
        <v>243750</v>
      </c>
      <c r="O13" s="212">
        <f t="shared" si="0"/>
        <v>731250</v>
      </c>
      <c r="P13" s="612"/>
      <c r="Q13" s="15">
        <v>0</v>
      </c>
    </row>
    <row r="14" spans="1:28" ht="19.95" customHeight="1" thickBot="1" x14ac:dyDescent="0.35">
      <c r="A14" s="404"/>
      <c r="B14" s="404"/>
      <c r="C14" s="407"/>
      <c r="D14" s="399" t="s">
        <v>21</v>
      </c>
      <c r="E14" s="400"/>
      <c r="F14" s="400"/>
      <c r="G14" s="418"/>
      <c r="H14" s="59">
        <f>SUM(H8:H13)</f>
        <v>15988054.120000001</v>
      </c>
      <c r="I14" s="513"/>
      <c r="J14" s="528"/>
      <c r="K14" s="535" t="s">
        <v>22</v>
      </c>
      <c r="L14" s="485"/>
      <c r="M14" s="485"/>
      <c r="N14" s="418"/>
      <c r="O14" s="49">
        <f>SUM(O8:O13)</f>
        <v>9667050</v>
      </c>
      <c r="P14" s="487"/>
      <c r="Q14" s="213">
        <f>SUM(Q8:Q13)</f>
        <v>0</v>
      </c>
    </row>
    <row r="15" spans="1:28" ht="19.95" customHeight="1" x14ac:dyDescent="0.3">
      <c r="A15" s="402">
        <v>2</v>
      </c>
      <c r="B15" s="402" t="s">
        <v>175</v>
      </c>
      <c r="C15" s="405">
        <v>46243</v>
      </c>
      <c r="D15" s="357" t="s">
        <v>54</v>
      </c>
      <c r="E15" s="357">
        <v>2000</v>
      </c>
      <c r="F15" s="357">
        <v>1000</v>
      </c>
      <c r="G15" s="358">
        <v>4465.12</v>
      </c>
      <c r="H15" s="360">
        <f t="shared" ref="H15:H17" si="1">+E15*G15</f>
        <v>8930240</v>
      </c>
      <c r="I15" s="393"/>
      <c r="J15" s="526"/>
      <c r="K15" s="610" t="s">
        <v>17</v>
      </c>
      <c r="L15" s="611"/>
      <c r="M15" s="210">
        <v>16</v>
      </c>
      <c r="N15" s="211">
        <v>73500</v>
      </c>
      <c r="O15" s="212">
        <f t="shared" ref="O15:O20" si="2">+M15*N15</f>
        <v>1176000</v>
      </c>
      <c r="P15" s="612"/>
      <c r="Q15" s="15">
        <v>0</v>
      </c>
    </row>
    <row r="16" spans="1:28" ht="20.100000000000001" customHeight="1" x14ac:dyDescent="0.3">
      <c r="A16" s="403"/>
      <c r="B16" s="403"/>
      <c r="C16" s="406"/>
      <c r="D16" s="359" t="s">
        <v>234</v>
      </c>
      <c r="E16" s="359">
        <v>820</v>
      </c>
      <c r="F16" s="359">
        <v>410</v>
      </c>
      <c r="G16" s="43">
        <v>4465.12</v>
      </c>
      <c r="H16" s="56">
        <f t="shared" si="1"/>
        <v>3661398.4</v>
      </c>
      <c r="I16" s="393"/>
      <c r="J16" s="526"/>
      <c r="K16" s="610" t="s">
        <v>156</v>
      </c>
      <c r="L16" s="611"/>
      <c r="M16" s="210">
        <v>290</v>
      </c>
      <c r="N16" s="211">
        <v>21870</v>
      </c>
      <c r="O16" s="212">
        <f t="shared" si="2"/>
        <v>6342300</v>
      </c>
      <c r="P16" s="612"/>
      <c r="Q16" s="15">
        <v>0</v>
      </c>
    </row>
    <row r="17" spans="1:17" ht="20.100000000000001" customHeight="1" x14ac:dyDescent="0.3">
      <c r="A17" s="403"/>
      <c r="B17" s="403"/>
      <c r="C17" s="406"/>
      <c r="D17" s="369" t="s">
        <v>55</v>
      </c>
      <c r="E17" s="369">
        <v>2</v>
      </c>
      <c r="F17" s="369">
        <v>0</v>
      </c>
      <c r="G17" s="43">
        <v>603281.24</v>
      </c>
      <c r="H17" s="56">
        <f t="shared" ref="H17:H18" si="3">+E17*G17</f>
        <v>1206562.48</v>
      </c>
      <c r="I17" s="393"/>
      <c r="J17" s="526"/>
      <c r="K17" s="610" t="s">
        <v>181</v>
      </c>
      <c r="L17" s="611"/>
      <c r="M17" s="210">
        <v>1</v>
      </c>
      <c r="N17" s="211">
        <v>708750</v>
      </c>
      <c r="O17" s="212">
        <f t="shared" si="2"/>
        <v>708750</v>
      </c>
      <c r="P17" s="612"/>
      <c r="Q17" s="15">
        <v>0</v>
      </c>
    </row>
    <row r="18" spans="1:17" ht="20.100000000000001" customHeight="1" x14ac:dyDescent="0.3">
      <c r="A18" s="403"/>
      <c r="B18" s="403"/>
      <c r="C18" s="406"/>
      <c r="D18" s="369" t="s">
        <v>81</v>
      </c>
      <c r="E18" s="369">
        <v>1</v>
      </c>
      <c r="F18" s="369">
        <v>0</v>
      </c>
      <c r="G18" s="43">
        <v>394875</v>
      </c>
      <c r="H18" s="56">
        <f t="shared" si="3"/>
        <v>394875</v>
      </c>
      <c r="I18" s="393"/>
      <c r="J18" s="527"/>
      <c r="K18" s="610" t="s">
        <v>157</v>
      </c>
      <c r="L18" s="611"/>
      <c r="M18" s="210">
        <v>1</v>
      </c>
      <c r="N18" s="211">
        <v>236250</v>
      </c>
      <c r="O18" s="212">
        <f t="shared" si="2"/>
        <v>236250</v>
      </c>
      <c r="P18" s="612"/>
      <c r="Q18" s="15">
        <v>0</v>
      </c>
    </row>
    <row r="19" spans="1:17" ht="20.100000000000001" hidden="1" customHeight="1" x14ac:dyDescent="0.3">
      <c r="A19" s="403"/>
      <c r="B19" s="403"/>
      <c r="C19" s="406"/>
      <c r="D19" s="359"/>
      <c r="E19" s="359"/>
      <c r="F19" s="359"/>
      <c r="G19" s="43"/>
      <c r="H19" s="56"/>
      <c r="I19" s="393"/>
      <c r="J19" s="527"/>
      <c r="K19" s="610" t="s">
        <v>158</v>
      </c>
      <c r="L19" s="611"/>
      <c r="M19" s="210">
        <v>1</v>
      </c>
      <c r="N19" s="211">
        <v>472500</v>
      </c>
      <c r="O19" s="212">
        <f t="shared" si="2"/>
        <v>472500</v>
      </c>
      <c r="P19" s="612"/>
      <c r="Q19" s="15">
        <v>0</v>
      </c>
    </row>
    <row r="20" spans="1:17" ht="20.100000000000001" hidden="1" customHeight="1" x14ac:dyDescent="0.3">
      <c r="A20" s="403"/>
      <c r="B20" s="403"/>
      <c r="C20" s="406"/>
      <c r="D20" s="359"/>
      <c r="E20" s="359"/>
      <c r="F20" s="359"/>
      <c r="G20" s="43"/>
      <c r="H20" s="56"/>
      <c r="I20" s="393"/>
      <c r="J20" s="527"/>
      <c r="K20" s="610" t="s">
        <v>159</v>
      </c>
      <c r="L20" s="611"/>
      <c r="M20" s="210">
        <v>3</v>
      </c>
      <c r="N20" s="211">
        <v>243750</v>
      </c>
      <c r="O20" s="212">
        <f t="shared" si="2"/>
        <v>731250</v>
      </c>
      <c r="P20" s="612"/>
      <c r="Q20" s="15">
        <v>0</v>
      </c>
    </row>
    <row r="21" spans="1:17" ht="19.95" customHeight="1" thickBot="1" x14ac:dyDescent="0.35">
      <c r="A21" s="404"/>
      <c r="B21" s="404"/>
      <c r="C21" s="407"/>
      <c r="D21" s="399" t="s">
        <v>21</v>
      </c>
      <c r="E21" s="400"/>
      <c r="F21" s="400"/>
      <c r="G21" s="418"/>
      <c r="H21" s="59">
        <f>SUM(H15:H20)</f>
        <v>14193075.880000001</v>
      </c>
      <c r="I21" s="513"/>
      <c r="J21" s="528"/>
      <c r="K21" s="535" t="s">
        <v>22</v>
      </c>
      <c r="L21" s="485"/>
      <c r="M21" s="485"/>
      <c r="N21" s="418"/>
      <c r="O21" s="49">
        <f>SUM(O15:O20)</f>
        <v>9667050</v>
      </c>
      <c r="P21" s="487"/>
      <c r="Q21" s="213">
        <f>SUM(Q15:Q20)</f>
        <v>0</v>
      </c>
    </row>
    <row r="22" spans="1:17" ht="19.95" customHeight="1" x14ac:dyDescent="0.3">
      <c r="A22" s="402">
        <v>3</v>
      </c>
      <c r="B22" s="402" t="s">
        <v>28</v>
      </c>
      <c r="C22" s="405">
        <v>46257</v>
      </c>
      <c r="D22" s="357" t="s">
        <v>54</v>
      </c>
      <c r="E22" s="357">
        <v>2000</v>
      </c>
      <c r="F22" s="357">
        <v>1000</v>
      </c>
      <c r="G22" s="358">
        <v>4465.12</v>
      </c>
      <c r="H22" s="360">
        <f t="shared" ref="H22:H24" si="4">+E22*G22</f>
        <v>8930240</v>
      </c>
      <c r="I22" s="393"/>
      <c r="J22" s="526"/>
      <c r="K22" s="610" t="s">
        <v>17</v>
      </c>
      <c r="L22" s="611"/>
      <c r="M22" s="210">
        <v>16</v>
      </c>
      <c r="N22" s="211">
        <v>73500</v>
      </c>
      <c r="O22" s="212">
        <f t="shared" ref="O22:O27" si="5">+M22*N22</f>
        <v>1176000</v>
      </c>
      <c r="P22" s="612"/>
      <c r="Q22" s="15">
        <v>0</v>
      </c>
    </row>
    <row r="23" spans="1:17" ht="20.100000000000001" customHeight="1" x14ac:dyDescent="0.3">
      <c r="A23" s="403"/>
      <c r="B23" s="403"/>
      <c r="C23" s="406"/>
      <c r="D23" s="359" t="s">
        <v>55</v>
      </c>
      <c r="E23" s="359">
        <v>2</v>
      </c>
      <c r="F23" s="359">
        <v>0</v>
      </c>
      <c r="G23" s="43">
        <v>603281.24</v>
      </c>
      <c r="H23" s="56">
        <f t="shared" si="4"/>
        <v>1206562.48</v>
      </c>
      <c r="I23" s="393"/>
      <c r="J23" s="526"/>
      <c r="K23" s="610" t="s">
        <v>156</v>
      </c>
      <c r="L23" s="611"/>
      <c r="M23" s="210">
        <v>290</v>
      </c>
      <c r="N23" s="211">
        <v>21870</v>
      </c>
      <c r="O23" s="212">
        <f t="shared" si="5"/>
        <v>6342300</v>
      </c>
      <c r="P23" s="612"/>
      <c r="Q23" s="15">
        <v>0</v>
      </c>
    </row>
    <row r="24" spans="1:17" ht="20.100000000000001" customHeight="1" x14ac:dyDescent="0.3">
      <c r="A24" s="403"/>
      <c r="B24" s="403"/>
      <c r="C24" s="406"/>
      <c r="D24" s="359" t="s">
        <v>81</v>
      </c>
      <c r="E24" s="359">
        <v>1</v>
      </c>
      <c r="F24" s="359">
        <v>0</v>
      </c>
      <c r="G24" s="43">
        <v>394875</v>
      </c>
      <c r="H24" s="56">
        <f t="shared" si="4"/>
        <v>394875</v>
      </c>
      <c r="I24" s="393"/>
      <c r="J24" s="526"/>
      <c r="K24" s="610" t="s">
        <v>181</v>
      </c>
      <c r="L24" s="611"/>
      <c r="M24" s="210">
        <v>1</v>
      </c>
      <c r="N24" s="211">
        <v>708750</v>
      </c>
      <c r="O24" s="212">
        <f t="shared" si="5"/>
        <v>708750</v>
      </c>
      <c r="P24" s="612"/>
      <c r="Q24" s="15">
        <v>0</v>
      </c>
    </row>
    <row r="25" spans="1:17" ht="20.100000000000001" customHeight="1" x14ac:dyDescent="0.3">
      <c r="A25" s="403"/>
      <c r="B25" s="403"/>
      <c r="C25" s="406"/>
      <c r="D25" s="359"/>
      <c r="E25" s="359"/>
      <c r="F25" s="359"/>
      <c r="G25" s="43"/>
      <c r="H25" s="360"/>
      <c r="I25" s="393"/>
      <c r="J25" s="527"/>
      <c r="K25" s="610" t="s">
        <v>157</v>
      </c>
      <c r="L25" s="611"/>
      <c r="M25" s="210">
        <v>1</v>
      </c>
      <c r="N25" s="211">
        <v>236250</v>
      </c>
      <c r="O25" s="212">
        <f t="shared" si="5"/>
        <v>236250</v>
      </c>
      <c r="P25" s="612"/>
      <c r="Q25" s="15">
        <v>0</v>
      </c>
    </row>
    <row r="26" spans="1:17" ht="20.100000000000001" customHeight="1" x14ac:dyDescent="0.3">
      <c r="A26" s="403"/>
      <c r="B26" s="403"/>
      <c r="C26" s="406"/>
      <c r="D26" s="359"/>
      <c r="E26" s="359"/>
      <c r="F26" s="359"/>
      <c r="G26" s="43"/>
      <c r="H26" s="56"/>
      <c r="I26" s="393"/>
      <c r="J26" s="527"/>
      <c r="K26" s="610" t="s">
        <v>158</v>
      </c>
      <c r="L26" s="611"/>
      <c r="M26" s="210">
        <v>1</v>
      </c>
      <c r="N26" s="211">
        <v>472500</v>
      </c>
      <c r="O26" s="212">
        <f t="shared" si="5"/>
        <v>472500</v>
      </c>
      <c r="P26" s="612"/>
      <c r="Q26" s="15">
        <v>0</v>
      </c>
    </row>
    <row r="27" spans="1:17" ht="20.100000000000001" customHeight="1" x14ac:dyDescent="0.3">
      <c r="A27" s="403"/>
      <c r="B27" s="403"/>
      <c r="C27" s="406"/>
      <c r="D27" s="359"/>
      <c r="E27" s="359"/>
      <c r="F27" s="359"/>
      <c r="G27" s="43"/>
      <c r="H27" s="56"/>
      <c r="I27" s="393"/>
      <c r="J27" s="527"/>
      <c r="K27" s="610" t="s">
        <v>159</v>
      </c>
      <c r="L27" s="611"/>
      <c r="M27" s="210">
        <v>3</v>
      </c>
      <c r="N27" s="211">
        <v>243750</v>
      </c>
      <c r="O27" s="212">
        <f t="shared" si="5"/>
        <v>731250</v>
      </c>
      <c r="P27" s="612"/>
      <c r="Q27" s="15">
        <v>0</v>
      </c>
    </row>
    <row r="28" spans="1:17" ht="19.95" customHeight="1" thickBot="1" x14ac:dyDescent="0.35">
      <c r="A28" s="404"/>
      <c r="B28" s="404"/>
      <c r="C28" s="407"/>
      <c r="D28" s="399" t="s">
        <v>21</v>
      </c>
      <c r="E28" s="400"/>
      <c r="F28" s="400"/>
      <c r="G28" s="418"/>
      <c r="H28" s="59">
        <f>SUM(H22:H27)</f>
        <v>10531677.48</v>
      </c>
      <c r="I28" s="513"/>
      <c r="J28" s="528"/>
      <c r="K28" s="535" t="s">
        <v>22</v>
      </c>
      <c r="L28" s="485"/>
      <c r="M28" s="485"/>
      <c r="N28" s="418"/>
      <c r="O28" s="49">
        <f>SUM(O22:O27)</f>
        <v>9667050</v>
      </c>
      <c r="P28" s="487"/>
      <c r="Q28" s="213">
        <f>SUM(Q22:Q27)</f>
        <v>0</v>
      </c>
    </row>
    <row r="29" spans="1:17" ht="19.95" customHeight="1" x14ac:dyDescent="0.3">
      <c r="A29" s="402">
        <v>4</v>
      </c>
      <c r="B29" s="402" t="s">
        <v>229</v>
      </c>
      <c r="C29" s="405">
        <v>46264</v>
      </c>
      <c r="D29" s="357" t="s">
        <v>54</v>
      </c>
      <c r="E29" s="357">
        <v>2000</v>
      </c>
      <c r="F29" s="357">
        <v>1000</v>
      </c>
      <c r="G29" s="358">
        <v>4465.12</v>
      </c>
      <c r="H29" s="360">
        <f t="shared" ref="H29:H31" si="6">+E29*G29</f>
        <v>8930240</v>
      </c>
      <c r="I29" s="393"/>
      <c r="J29" s="526"/>
      <c r="K29" s="610" t="s">
        <v>17</v>
      </c>
      <c r="L29" s="611"/>
      <c r="M29" s="210">
        <v>16</v>
      </c>
      <c r="N29" s="211">
        <v>73500</v>
      </c>
      <c r="O29" s="212">
        <f t="shared" ref="O29:O34" si="7">+M29*N29</f>
        <v>1176000</v>
      </c>
      <c r="P29" s="612"/>
      <c r="Q29" s="15">
        <v>0</v>
      </c>
    </row>
    <row r="30" spans="1:17" ht="20.100000000000001" customHeight="1" x14ac:dyDescent="0.3">
      <c r="A30" s="403"/>
      <c r="B30" s="403"/>
      <c r="C30" s="406"/>
      <c r="D30" s="359" t="s">
        <v>55</v>
      </c>
      <c r="E30" s="359">
        <v>2</v>
      </c>
      <c r="F30" s="359">
        <v>0</v>
      </c>
      <c r="G30" s="43">
        <v>603281.24</v>
      </c>
      <c r="H30" s="56">
        <f t="shared" si="6"/>
        <v>1206562.48</v>
      </c>
      <c r="I30" s="393"/>
      <c r="J30" s="526"/>
      <c r="K30" s="610" t="s">
        <v>156</v>
      </c>
      <c r="L30" s="611"/>
      <c r="M30" s="210">
        <v>290</v>
      </c>
      <c r="N30" s="211">
        <v>21870</v>
      </c>
      <c r="O30" s="212">
        <f t="shared" si="7"/>
        <v>6342300</v>
      </c>
      <c r="P30" s="612"/>
      <c r="Q30" s="15">
        <v>0</v>
      </c>
    </row>
    <row r="31" spans="1:17" ht="20.100000000000001" customHeight="1" x14ac:dyDescent="0.3">
      <c r="A31" s="403"/>
      <c r="B31" s="403"/>
      <c r="C31" s="406"/>
      <c r="D31" s="359" t="s">
        <v>81</v>
      </c>
      <c r="E31" s="359">
        <v>1</v>
      </c>
      <c r="F31" s="359">
        <v>0</v>
      </c>
      <c r="G31" s="43">
        <v>394875</v>
      </c>
      <c r="H31" s="56">
        <f t="shared" si="6"/>
        <v>394875</v>
      </c>
      <c r="I31" s="393"/>
      <c r="J31" s="526"/>
      <c r="K31" s="610" t="s">
        <v>181</v>
      </c>
      <c r="L31" s="611"/>
      <c r="M31" s="210">
        <v>1</v>
      </c>
      <c r="N31" s="211">
        <v>708750</v>
      </c>
      <c r="O31" s="212">
        <f t="shared" si="7"/>
        <v>708750</v>
      </c>
      <c r="P31" s="612"/>
      <c r="Q31" s="15">
        <v>0</v>
      </c>
    </row>
    <row r="32" spans="1:17" ht="20.100000000000001" customHeight="1" x14ac:dyDescent="0.3">
      <c r="A32" s="403"/>
      <c r="B32" s="403"/>
      <c r="C32" s="406"/>
      <c r="D32" s="359"/>
      <c r="E32" s="359"/>
      <c r="F32" s="359"/>
      <c r="G32" s="43"/>
      <c r="H32" s="360"/>
      <c r="I32" s="393"/>
      <c r="J32" s="527"/>
      <c r="K32" s="610" t="s">
        <v>157</v>
      </c>
      <c r="L32" s="611"/>
      <c r="M32" s="210">
        <v>1</v>
      </c>
      <c r="N32" s="211">
        <v>236250</v>
      </c>
      <c r="O32" s="212">
        <f t="shared" si="7"/>
        <v>236250</v>
      </c>
      <c r="P32" s="612"/>
      <c r="Q32" s="15">
        <v>0</v>
      </c>
    </row>
    <row r="33" spans="1:17" ht="20.100000000000001" customHeight="1" x14ac:dyDescent="0.3">
      <c r="A33" s="403"/>
      <c r="B33" s="403"/>
      <c r="C33" s="406"/>
      <c r="D33" s="359"/>
      <c r="E33" s="359"/>
      <c r="F33" s="359"/>
      <c r="G33" s="43"/>
      <c r="H33" s="56"/>
      <c r="I33" s="393"/>
      <c r="J33" s="527"/>
      <c r="K33" s="610" t="s">
        <v>158</v>
      </c>
      <c r="L33" s="611"/>
      <c r="M33" s="210">
        <v>1</v>
      </c>
      <c r="N33" s="211">
        <v>472500</v>
      </c>
      <c r="O33" s="212">
        <f t="shared" si="7"/>
        <v>472500</v>
      </c>
      <c r="P33" s="612"/>
      <c r="Q33" s="15">
        <v>0</v>
      </c>
    </row>
    <row r="34" spans="1:17" ht="20.100000000000001" customHeight="1" x14ac:dyDescent="0.3">
      <c r="A34" s="403"/>
      <c r="B34" s="403"/>
      <c r="C34" s="406"/>
      <c r="D34" s="359"/>
      <c r="E34" s="359"/>
      <c r="F34" s="359"/>
      <c r="G34" s="43"/>
      <c r="H34" s="56"/>
      <c r="I34" s="393"/>
      <c r="J34" s="527"/>
      <c r="K34" s="610" t="s">
        <v>159</v>
      </c>
      <c r="L34" s="611"/>
      <c r="M34" s="210">
        <v>3</v>
      </c>
      <c r="N34" s="211">
        <v>243750</v>
      </c>
      <c r="O34" s="212">
        <f t="shared" si="7"/>
        <v>731250</v>
      </c>
      <c r="P34" s="612"/>
      <c r="Q34" s="15">
        <v>0</v>
      </c>
    </row>
    <row r="35" spans="1:17" ht="19.95" customHeight="1" thickBot="1" x14ac:dyDescent="0.35">
      <c r="A35" s="404"/>
      <c r="B35" s="404"/>
      <c r="C35" s="407"/>
      <c r="D35" s="399" t="s">
        <v>21</v>
      </c>
      <c r="E35" s="400"/>
      <c r="F35" s="400"/>
      <c r="G35" s="418"/>
      <c r="H35" s="59">
        <f>SUM(H29:H34)</f>
        <v>10531677.48</v>
      </c>
      <c r="I35" s="513"/>
      <c r="J35" s="528"/>
      <c r="K35" s="535" t="s">
        <v>22</v>
      </c>
      <c r="L35" s="485"/>
      <c r="M35" s="485"/>
      <c r="N35" s="418"/>
      <c r="O35" s="49">
        <f>SUM(O29:O34)</f>
        <v>9667050</v>
      </c>
      <c r="P35" s="487"/>
      <c r="Q35" s="213">
        <f>SUM(Q29:Q34)</f>
        <v>0</v>
      </c>
    </row>
    <row r="36" spans="1:17" ht="19.95" customHeight="1" x14ac:dyDescent="0.3">
      <c r="A36" s="402">
        <v>5</v>
      </c>
      <c r="B36" s="402" t="s">
        <v>230</v>
      </c>
      <c r="C36" s="405">
        <v>46278</v>
      </c>
      <c r="D36" s="357" t="s">
        <v>54</v>
      </c>
      <c r="E36" s="357">
        <v>2000</v>
      </c>
      <c r="F36" s="357">
        <v>1000</v>
      </c>
      <c r="G36" s="358">
        <v>4465.12</v>
      </c>
      <c r="H36" s="360">
        <f t="shared" ref="H36:H38" si="8">+E36*G36</f>
        <v>8930240</v>
      </c>
      <c r="I36" s="393"/>
      <c r="J36" s="526"/>
      <c r="K36" s="610" t="s">
        <v>17</v>
      </c>
      <c r="L36" s="611"/>
      <c r="M36" s="210">
        <v>16</v>
      </c>
      <c r="N36" s="211">
        <v>73500</v>
      </c>
      <c r="O36" s="212">
        <f t="shared" ref="O36:O41" si="9">+M36*N36</f>
        <v>1176000</v>
      </c>
      <c r="P36" s="612"/>
      <c r="Q36" s="15">
        <v>0</v>
      </c>
    </row>
    <row r="37" spans="1:17" ht="20.100000000000001" customHeight="1" x14ac:dyDescent="0.3">
      <c r="A37" s="403"/>
      <c r="B37" s="403"/>
      <c r="C37" s="406"/>
      <c r="D37" s="359" t="s">
        <v>55</v>
      </c>
      <c r="E37" s="359">
        <v>2</v>
      </c>
      <c r="F37" s="359">
        <v>0</v>
      </c>
      <c r="G37" s="43">
        <v>603281.24</v>
      </c>
      <c r="H37" s="56">
        <f t="shared" si="8"/>
        <v>1206562.48</v>
      </c>
      <c r="I37" s="393"/>
      <c r="J37" s="526"/>
      <c r="K37" s="610" t="s">
        <v>156</v>
      </c>
      <c r="L37" s="611"/>
      <c r="M37" s="210">
        <v>290</v>
      </c>
      <c r="N37" s="211">
        <v>21870</v>
      </c>
      <c r="O37" s="212">
        <f t="shared" si="9"/>
        <v>6342300</v>
      </c>
      <c r="P37" s="612"/>
      <c r="Q37" s="15">
        <v>0</v>
      </c>
    </row>
    <row r="38" spans="1:17" ht="20.100000000000001" customHeight="1" x14ac:dyDescent="0.3">
      <c r="A38" s="403"/>
      <c r="B38" s="403"/>
      <c r="C38" s="406"/>
      <c r="D38" s="359" t="s">
        <v>81</v>
      </c>
      <c r="E38" s="359">
        <v>1</v>
      </c>
      <c r="F38" s="359">
        <v>0</v>
      </c>
      <c r="G38" s="43">
        <v>394875</v>
      </c>
      <c r="H38" s="56">
        <f t="shared" si="8"/>
        <v>394875</v>
      </c>
      <c r="I38" s="393"/>
      <c r="J38" s="526"/>
      <c r="K38" s="610" t="s">
        <v>181</v>
      </c>
      <c r="L38" s="611"/>
      <c r="M38" s="210">
        <v>1</v>
      </c>
      <c r="N38" s="211">
        <v>708750</v>
      </c>
      <c r="O38" s="212">
        <f t="shared" si="9"/>
        <v>708750</v>
      </c>
      <c r="P38" s="612"/>
      <c r="Q38" s="15">
        <v>0</v>
      </c>
    </row>
    <row r="39" spans="1:17" ht="20.100000000000001" customHeight="1" x14ac:dyDescent="0.3">
      <c r="A39" s="403"/>
      <c r="B39" s="403"/>
      <c r="C39" s="406"/>
      <c r="D39" s="359"/>
      <c r="E39" s="359"/>
      <c r="F39" s="359"/>
      <c r="G39" s="43"/>
      <c r="H39" s="360"/>
      <c r="I39" s="393"/>
      <c r="J39" s="527"/>
      <c r="K39" s="610" t="s">
        <v>157</v>
      </c>
      <c r="L39" s="611"/>
      <c r="M39" s="210">
        <v>1</v>
      </c>
      <c r="N39" s="211">
        <v>236250</v>
      </c>
      <c r="O39" s="212">
        <f t="shared" si="9"/>
        <v>236250</v>
      </c>
      <c r="P39" s="612"/>
      <c r="Q39" s="15">
        <v>0</v>
      </c>
    </row>
    <row r="40" spans="1:17" ht="20.100000000000001" customHeight="1" x14ac:dyDescent="0.3">
      <c r="A40" s="403"/>
      <c r="B40" s="403"/>
      <c r="C40" s="406"/>
      <c r="D40" s="359"/>
      <c r="E40" s="359"/>
      <c r="F40" s="359"/>
      <c r="G40" s="43"/>
      <c r="H40" s="56"/>
      <c r="I40" s="393"/>
      <c r="J40" s="527"/>
      <c r="K40" s="610" t="s">
        <v>158</v>
      </c>
      <c r="L40" s="611"/>
      <c r="M40" s="210">
        <v>1</v>
      </c>
      <c r="N40" s="211">
        <v>472500</v>
      </c>
      <c r="O40" s="212">
        <f t="shared" si="9"/>
        <v>472500</v>
      </c>
      <c r="P40" s="612"/>
      <c r="Q40" s="15">
        <v>0</v>
      </c>
    </row>
    <row r="41" spans="1:17" ht="20.100000000000001" customHeight="1" x14ac:dyDescent="0.3">
      <c r="A41" s="403"/>
      <c r="B41" s="403"/>
      <c r="C41" s="406"/>
      <c r="D41" s="359"/>
      <c r="E41" s="359"/>
      <c r="F41" s="359"/>
      <c r="G41" s="43"/>
      <c r="H41" s="56"/>
      <c r="I41" s="393"/>
      <c r="J41" s="527"/>
      <c r="K41" s="610" t="s">
        <v>159</v>
      </c>
      <c r="L41" s="611"/>
      <c r="M41" s="210">
        <v>3</v>
      </c>
      <c r="N41" s="211">
        <v>243750</v>
      </c>
      <c r="O41" s="212">
        <f t="shared" si="9"/>
        <v>731250</v>
      </c>
      <c r="P41" s="612"/>
      <c r="Q41" s="15">
        <v>0</v>
      </c>
    </row>
    <row r="42" spans="1:17" ht="19.95" customHeight="1" thickBot="1" x14ac:dyDescent="0.35">
      <c r="A42" s="404"/>
      <c r="B42" s="404"/>
      <c r="C42" s="407"/>
      <c r="D42" s="399" t="s">
        <v>21</v>
      </c>
      <c r="E42" s="400"/>
      <c r="F42" s="400"/>
      <c r="G42" s="418"/>
      <c r="H42" s="59">
        <f>SUM(H36:H41)</f>
        <v>10531677.48</v>
      </c>
      <c r="I42" s="513"/>
      <c r="J42" s="528"/>
      <c r="K42" s="535" t="s">
        <v>22</v>
      </c>
      <c r="L42" s="485"/>
      <c r="M42" s="485"/>
      <c r="N42" s="418"/>
      <c r="O42" s="49">
        <f>SUM(O36:O41)</f>
        <v>9667050</v>
      </c>
      <c r="P42" s="487"/>
      <c r="Q42" s="213">
        <f>SUM(Q36:Q41)</f>
        <v>0</v>
      </c>
    </row>
    <row r="43" spans="1:17" ht="19.95" customHeight="1" x14ac:dyDescent="0.3">
      <c r="A43" s="402">
        <v>6</v>
      </c>
      <c r="B43" s="402" t="s">
        <v>38</v>
      </c>
      <c r="C43" s="405">
        <v>46299</v>
      </c>
      <c r="D43" s="357" t="s">
        <v>54</v>
      </c>
      <c r="E43" s="357">
        <v>2000</v>
      </c>
      <c r="F43" s="357">
        <v>1000</v>
      </c>
      <c r="G43" s="358">
        <v>4465.12</v>
      </c>
      <c r="H43" s="360">
        <f t="shared" ref="H43:H45" si="10">+E43*G43</f>
        <v>8930240</v>
      </c>
      <c r="I43" s="393"/>
      <c r="J43" s="526"/>
      <c r="K43" s="610" t="s">
        <v>17</v>
      </c>
      <c r="L43" s="611"/>
      <c r="M43" s="210">
        <v>16</v>
      </c>
      <c r="N43" s="211">
        <v>73500</v>
      </c>
      <c r="O43" s="212">
        <f t="shared" ref="O43:O48" si="11">+M43*N43</f>
        <v>1176000</v>
      </c>
      <c r="P43" s="612"/>
      <c r="Q43" s="15">
        <v>0</v>
      </c>
    </row>
    <row r="44" spans="1:17" ht="20.100000000000001" customHeight="1" x14ac:dyDescent="0.3">
      <c r="A44" s="403"/>
      <c r="B44" s="403"/>
      <c r="C44" s="406"/>
      <c r="D44" s="359" t="s">
        <v>55</v>
      </c>
      <c r="E44" s="359">
        <v>2</v>
      </c>
      <c r="F44" s="359">
        <v>0</v>
      </c>
      <c r="G44" s="43">
        <v>603281.24</v>
      </c>
      <c r="H44" s="56">
        <f t="shared" si="10"/>
        <v>1206562.48</v>
      </c>
      <c r="I44" s="393"/>
      <c r="J44" s="526"/>
      <c r="K44" s="610" t="s">
        <v>156</v>
      </c>
      <c r="L44" s="611"/>
      <c r="M44" s="210">
        <v>290</v>
      </c>
      <c r="N44" s="211">
        <v>21870</v>
      </c>
      <c r="O44" s="212">
        <f t="shared" si="11"/>
        <v>6342300</v>
      </c>
      <c r="P44" s="612"/>
      <c r="Q44" s="15">
        <v>0</v>
      </c>
    </row>
    <row r="45" spans="1:17" ht="20.100000000000001" customHeight="1" x14ac:dyDescent="0.3">
      <c r="A45" s="403"/>
      <c r="B45" s="403"/>
      <c r="C45" s="406"/>
      <c r="D45" s="359" t="s">
        <v>81</v>
      </c>
      <c r="E45" s="359">
        <v>1</v>
      </c>
      <c r="F45" s="359">
        <v>0</v>
      </c>
      <c r="G45" s="43">
        <v>394875</v>
      </c>
      <c r="H45" s="56">
        <f t="shared" si="10"/>
        <v>394875</v>
      </c>
      <c r="I45" s="393"/>
      <c r="J45" s="526"/>
      <c r="K45" s="610" t="s">
        <v>181</v>
      </c>
      <c r="L45" s="611"/>
      <c r="M45" s="210">
        <v>1</v>
      </c>
      <c r="N45" s="211">
        <v>708750</v>
      </c>
      <c r="O45" s="212">
        <f t="shared" si="11"/>
        <v>708750</v>
      </c>
      <c r="P45" s="612"/>
      <c r="Q45" s="15">
        <v>0</v>
      </c>
    </row>
    <row r="46" spans="1:17" ht="20.100000000000001" customHeight="1" x14ac:dyDescent="0.3">
      <c r="A46" s="403"/>
      <c r="B46" s="403"/>
      <c r="C46" s="406"/>
      <c r="D46" s="359"/>
      <c r="E46" s="359"/>
      <c r="F46" s="359"/>
      <c r="G46" s="43"/>
      <c r="H46" s="360"/>
      <c r="I46" s="393"/>
      <c r="J46" s="527"/>
      <c r="K46" s="610" t="s">
        <v>157</v>
      </c>
      <c r="L46" s="611"/>
      <c r="M46" s="210">
        <v>1</v>
      </c>
      <c r="N46" s="211">
        <v>236250</v>
      </c>
      <c r="O46" s="212">
        <f t="shared" si="11"/>
        <v>236250</v>
      </c>
      <c r="P46" s="612"/>
      <c r="Q46" s="15">
        <v>0</v>
      </c>
    </row>
    <row r="47" spans="1:17" ht="20.100000000000001" customHeight="1" x14ac:dyDescent="0.3">
      <c r="A47" s="403"/>
      <c r="B47" s="403"/>
      <c r="C47" s="406"/>
      <c r="D47" s="359"/>
      <c r="E47" s="359"/>
      <c r="F47" s="359"/>
      <c r="G47" s="43"/>
      <c r="H47" s="56"/>
      <c r="I47" s="393"/>
      <c r="J47" s="527"/>
      <c r="K47" s="610" t="s">
        <v>158</v>
      </c>
      <c r="L47" s="611"/>
      <c r="M47" s="210">
        <v>1</v>
      </c>
      <c r="N47" s="211">
        <v>472500</v>
      </c>
      <c r="O47" s="212">
        <f t="shared" si="11"/>
        <v>472500</v>
      </c>
      <c r="P47" s="612"/>
      <c r="Q47" s="15">
        <v>0</v>
      </c>
    </row>
    <row r="48" spans="1:17" ht="20.100000000000001" customHeight="1" x14ac:dyDescent="0.3">
      <c r="A48" s="403"/>
      <c r="B48" s="403"/>
      <c r="C48" s="406"/>
      <c r="D48" s="359"/>
      <c r="E48" s="359"/>
      <c r="F48" s="359"/>
      <c r="G48" s="43"/>
      <c r="H48" s="56"/>
      <c r="I48" s="393"/>
      <c r="J48" s="527"/>
      <c r="K48" s="610" t="s">
        <v>159</v>
      </c>
      <c r="L48" s="611"/>
      <c r="M48" s="210">
        <v>3</v>
      </c>
      <c r="N48" s="211">
        <v>243750</v>
      </c>
      <c r="O48" s="212">
        <f t="shared" si="11"/>
        <v>731250</v>
      </c>
      <c r="P48" s="612"/>
      <c r="Q48" s="15">
        <v>0</v>
      </c>
    </row>
    <row r="49" spans="1:17" ht="19.95" customHeight="1" thickBot="1" x14ac:dyDescent="0.35">
      <c r="A49" s="404"/>
      <c r="B49" s="404"/>
      <c r="C49" s="407"/>
      <c r="D49" s="399" t="s">
        <v>21</v>
      </c>
      <c r="E49" s="400"/>
      <c r="F49" s="400"/>
      <c r="G49" s="418"/>
      <c r="H49" s="59">
        <f>SUM(H43:H48)</f>
        <v>10531677.48</v>
      </c>
      <c r="I49" s="513"/>
      <c r="J49" s="528"/>
      <c r="K49" s="535" t="s">
        <v>22</v>
      </c>
      <c r="L49" s="485"/>
      <c r="M49" s="485"/>
      <c r="N49" s="418"/>
      <c r="O49" s="49">
        <f>SUM(O43:O48)</f>
        <v>9667050</v>
      </c>
      <c r="P49" s="487"/>
      <c r="Q49" s="213">
        <f>SUM(Q43:Q48)</f>
        <v>0</v>
      </c>
    </row>
    <row r="50" spans="1:17" ht="19.95" customHeight="1" x14ac:dyDescent="0.3">
      <c r="A50" s="402">
        <v>7</v>
      </c>
      <c r="B50" s="402" t="s">
        <v>34</v>
      </c>
      <c r="C50" s="405">
        <v>46306</v>
      </c>
      <c r="D50" s="357" t="s">
        <v>54</v>
      </c>
      <c r="E50" s="357">
        <v>2000</v>
      </c>
      <c r="F50" s="357">
        <v>1000</v>
      </c>
      <c r="G50" s="358">
        <v>4465.12</v>
      </c>
      <c r="H50" s="360">
        <f t="shared" ref="H50:H52" si="12">+E50*G50</f>
        <v>8930240</v>
      </c>
      <c r="I50" s="393"/>
      <c r="J50" s="526"/>
      <c r="K50" s="610" t="s">
        <v>17</v>
      </c>
      <c r="L50" s="611"/>
      <c r="M50" s="210">
        <v>16</v>
      </c>
      <c r="N50" s="211">
        <v>73500</v>
      </c>
      <c r="O50" s="212">
        <f t="shared" ref="O50:O55" si="13">+M50*N50</f>
        <v>1176000</v>
      </c>
      <c r="P50" s="612"/>
      <c r="Q50" s="15">
        <v>0</v>
      </c>
    </row>
    <row r="51" spans="1:17" ht="20.100000000000001" customHeight="1" x14ac:dyDescent="0.3">
      <c r="A51" s="403"/>
      <c r="B51" s="403"/>
      <c r="C51" s="406"/>
      <c r="D51" s="359" t="s">
        <v>55</v>
      </c>
      <c r="E51" s="359">
        <v>2</v>
      </c>
      <c r="F51" s="359">
        <v>0</v>
      </c>
      <c r="G51" s="43">
        <v>603281.24</v>
      </c>
      <c r="H51" s="56">
        <f t="shared" si="12"/>
        <v>1206562.48</v>
      </c>
      <c r="I51" s="393"/>
      <c r="J51" s="526"/>
      <c r="K51" s="610" t="s">
        <v>156</v>
      </c>
      <c r="L51" s="611"/>
      <c r="M51" s="210">
        <v>290</v>
      </c>
      <c r="N51" s="211">
        <v>21870</v>
      </c>
      <c r="O51" s="212">
        <f t="shared" si="13"/>
        <v>6342300</v>
      </c>
      <c r="P51" s="612"/>
      <c r="Q51" s="15">
        <v>0</v>
      </c>
    </row>
    <row r="52" spans="1:17" ht="20.100000000000001" customHeight="1" x14ac:dyDescent="0.3">
      <c r="A52" s="403"/>
      <c r="B52" s="403"/>
      <c r="C52" s="406"/>
      <c r="D52" s="359" t="s">
        <v>81</v>
      </c>
      <c r="E52" s="359">
        <v>1</v>
      </c>
      <c r="F52" s="359">
        <v>0</v>
      </c>
      <c r="G52" s="43">
        <v>394875</v>
      </c>
      <c r="H52" s="56">
        <f t="shared" si="12"/>
        <v>394875</v>
      </c>
      <c r="I52" s="393"/>
      <c r="J52" s="526"/>
      <c r="K52" s="610" t="s">
        <v>181</v>
      </c>
      <c r="L52" s="611"/>
      <c r="M52" s="210">
        <v>1</v>
      </c>
      <c r="N52" s="211">
        <v>708750</v>
      </c>
      <c r="O52" s="212">
        <f t="shared" si="13"/>
        <v>708750</v>
      </c>
      <c r="P52" s="612"/>
      <c r="Q52" s="15">
        <v>0</v>
      </c>
    </row>
    <row r="53" spans="1:17" ht="20.100000000000001" customHeight="1" x14ac:dyDescent="0.3">
      <c r="A53" s="403"/>
      <c r="B53" s="403"/>
      <c r="C53" s="406"/>
      <c r="D53" s="359"/>
      <c r="E53" s="359"/>
      <c r="F53" s="359"/>
      <c r="G53" s="43"/>
      <c r="H53" s="360"/>
      <c r="I53" s="393"/>
      <c r="J53" s="527"/>
      <c r="K53" s="610" t="s">
        <v>157</v>
      </c>
      <c r="L53" s="611"/>
      <c r="M53" s="210">
        <v>1</v>
      </c>
      <c r="N53" s="211">
        <v>236250</v>
      </c>
      <c r="O53" s="212">
        <f t="shared" si="13"/>
        <v>236250</v>
      </c>
      <c r="P53" s="612"/>
      <c r="Q53" s="15">
        <v>0</v>
      </c>
    </row>
    <row r="54" spans="1:17" ht="20.100000000000001" customHeight="1" x14ac:dyDescent="0.3">
      <c r="A54" s="403"/>
      <c r="B54" s="403"/>
      <c r="C54" s="406"/>
      <c r="D54" s="359"/>
      <c r="E54" s="359"/>
      <c r="F54" s="359"/>
      <c r="G54" s="43"/>
      <c r="H54" s="56"/>
      <c r="I54" s="393"/>
      <c r="J54" s="527"/>
      <c r="K54" s="610" t="s">
        <v>158</v>
      </c>
      <c r="L54" s="611"/>
      <c r="M54" s="210">
        <v>1</v>
      </c>
      <c r="N54" s="211">
        <v>472500</v>
      </c>
      <c r="O54" s="212">
        <f t="shared" si="13"/>
        <v>472500</v>
      </c>
      <c r="P54" s="612"/>
      <c r="Q54" s="15">
        <v>0</v>
      </c>
    </row>
    <row r="55" spans="1:17" ht="20.100000000000001" customHeight="1" x14ac:dyDescent="0.3">
      <c r="A55" s="403"/>
      <c r="B55" s="403"/>
      <c r="C55" s="406"/>
      <c r="D55" s="359"/>
      <c r="E55" s="359"/>
      <c r="F55" s="359"/>
      <c r="G55" s="43"/>
      <c r="H55" s="56"/>
      <c r="I55" s="393"/>
      <c r="J55" s="527"/>
      <c r="K55" s="610" t="s">
        <v>159</v>
      </c>
      <c r="L55" s="611"/>
      <c r="M55" s="210">
        <v>3</v>
      </c>
      <c r="N55" s="211">
        <v>243750</v>
      </c>
      <c r="O55" s="212">
        <f t="shared" si="13"/>
        <v>731250</v>
      </c>
      <c r="P55" s="612"/>
      <c r="Q55" s="15">
        <v>0</v>
      </c>
    </row>
    <row r="56" spans="1:17" ht="19.95" customHeight="1" thickBot="1" x14ac:dyDescent="0.35">
      <c r="A56" s="404"/>
      <c r="B56" s="404"/>
      <c r="C56" s="407"/>
      <c r="D56" s="399" t="s">
        <v>21</v>
      </c>
      <c r="E56" s="400"/>
      <c r="F56" s="400"/>
      <c r="G56" s="418"/>
      <c r="H56" s="59">
        <f>SUM(H50:H55)</f>
        <v>10531677.48</v>
      </c>
      <c r="I56" s="513"/>
      <c r="J56" s="528"/>
      <c r="K56" s="535" t="s">
        <v>22</v>
      </c>
      <c r="L56" s="485"/>
      <c r="M56" s="485"/>
      <c r="N56" s="418"/>
      <c r="O56" s="49">
        <f>SUM(O50:O55)</f>
        <v>9667050</v>
      </c>
      <c r="P56" s="487"/>
      <c r="Q56" s="213">
        <f>SUM(Q50:Q55)</f>
        <v>0</v>
      </c>
    </row>
    <row r="57" spans="1:17" ht="19.95" customHeight="1" x14ac:dyDescent="0.3">
      <c r="A57" s="402">
        <v>8</v>
      </c>
      <c r="B57" s="402" t="s">
        <v>47</v>
      </c>
      <c r="C57" s="405">
        <v>46320</v>
      </c>
      <c r="D57" s="357" t="s">
        <v>54</v>
      </c>
      <c r="E57" s="357">
        <v>2000</v>
      </c>
      <c r="F57" s="357">
        <v>1000</v>
      </c>
      <c r="G57" s="358">
        <v>4465.12</v>
      </c>
      <c r="H57" s="360">
        <f t="shared" ref="H57:H59" si="14">+E57*G57</f>
        <v>8930240</v>
      </c>
      <c r="I57" s="393"/>
      <c r="J57" s="526"/>
      <c r="K57" s="610" t="s">
        <v>17</v>
      </c>
      <c r="L57" s="611"/>
      <c r="M57" s="210">
        <v>16</v>
      </c>
      <c r="N57" s="211">
        <v>73500</v>
      </c>
      <c r="O57" s="212">
        <f t="shared" ref="O57:O62" si="15">+M57*N57</f>
        <v>1176000</v>
      </c>
      <c r="P57" s="612"/>
      <c r="Q57" s="15">
        <v>0</v>
      </c>
    </row>
    <row r="58" spans="1:17" ht="20.100000000000001" customHeight="1" x14ac:dyDescent="0.3">
      <c r="A58" s="403"/>
      <c r="B58" s="403"/>
      <c r="C58" s="406"/>
      <c r="D58" s="359" t="s">
        <v>55</v>
      </c>
      <c r="E58" s="359">
        <v>2</v>
      </c>
      <c r="F58" s="359">
        <v>0</v>
      </c>
      <c r="G58" s="43">
        <v>603281.24</v>
      </c>
      <c r="H58" s="56">
        <f t="shared" si="14"/>
        <v>1206562.48</v>
      </c>
      <c r="I58" s="393"/>
      <c r="J58" s="526"/>
      <c r="K58" s="610" t="s">
        <v>156</v>
      </c>
      <c r="L58" s="611"/>
      <c r="M58" s="210">
        <v>290</v>
      </c>
      <c r="N58" s="211">
        <v>21870</v>
      </c>
      <c r="O58" s="212">
        <f t="shared" si="15"/>
        <v>6342300</v>
      </c>
      <c r="P58" s="612"/>
      <c r="Q58" s="15">
        <v>0</v>
      </c>
    </row>
    <row r="59" spans="1:17" ht="20.100000000000001" customHeight="1" x14ac:dyDescent="0.3">
      <c r="A59" s="403"/>
      <c r="B59" s="403"/>
      <c r="C59" s="406"/>
      <c r="D59" s="359" t="s">
        <v>81</v>
      </c>
      <c r="E59" s="359">
        <v>1</v>
      </c>
      <c r="F59" s="359">
        <v>0</v>
      </c>
      <c r="G59" s="43">
        <v>394875</v>
      </c>
      <c r="H59" s="56">
        <f t="shared" si="14"/>
        <v>394875</v>
      </c>
      <c r="I59" s="393"/>
      <c r="J59" s="526"/>
      <c r="K59" s="610" t="s">
        <v>181</v>
      </c>
      <c r="L59" s="611"/>
      <c r="M59" s="210">
        <v>1</v>
      </c>
      <c r="N59" s="211">
        <v>708750</v>
      </c>
      <c r="O59" s="212">
        <f t="shared" si="15"/>
        <v>708750</v>
      </c>
      <c r="P59" s="612"/>
      <c r="Q59" s="15">
        <v>0</v>
      </c>
    </row>
    <row r="60" spans="1:17" ht="20.100000000000001" customHeight="1" x14ac:dyDescent="0.3">
      <c r="A60" s="403"/>
      <c r="B60" s="403"/>
      <c r="C60" s="406"/>
      <c r="D60" s="359"/>
      <c r="E60" s="359"/>
      <c r="F60" s="359"/>
      <c r="G60" s="43"/>
      <c r="H60" s="360"/>
      <c r="I60" s="393"/>
      <c r="J60" s="527"/>
      <c r="K60" s="610" t="s">
        <v>157</v>
      </c>
      <c r="L60" s="611"/>
      <c r="M60" s="210">
        <v>1</v>
      </c>
      <c r="N60" s="211">
        <v>236250</v>
      </c>
      <c r="O60" s="212">
        <f t="shared" si="15"/>
        <v>236250</v>
      </c>
      <c r="P60" s="612"/>
      <c r="Q60" s="15">
        <v>0</v>
      </c>
    </row>
    <row r="61" spans="1:17" ht="20.100000000000001" customHeight="1" x14ac:dyDescent="0.3">
      <c r="A61" s="403"/>
      <c r="B61" s="403"/>
      <c r="C61" s="406"/>
      <c r="D61" s="359"/>
      <c r="E61" s="359"/>
      <c r="F61" s="359"/>
      <c r="G61" s="43"/>
      <c r="H61" s="56"/>
      <c r="I61" s="393"/>
      <c r="J61" s="527"/>
      <c r="K61" s="610" t="s">
        <v>158</v>
      </c>
      <c r="L61" s="611"/>
      <c r="M61" s="210">
        <v>1</v>
      </c>
      <c r="N61" s="211">
        <v>472500</v>
      </c>
      <c r="O61" s="212">
        <f t="shared" si="15"/>
        <v>472500</v>
      </c>
      <c r="P61" s="612"/>
      <c r="Q61" s="15">
        <v>0</v>
      </c>
    </row>
    <row r="62" spans="1:17" ht="20.100000000000001" customHeight="1" x14ac:dyDescent="0.3">
      <c r="A62" s="403"/>
      <c r="B62" s="403"/>
      <c r="C62" s="406"/>
      <c r="D62" s="359"/>
      <c r="E62" s="359"/>
      <c r="F62" s="359"/>
      <c r="G62" s="43"/>
      <c r="H62" s="56"/>
      <c r="I62" s="393"/>
      <c r="J62" s="527"/>
      <c r="K62" s="610" t="s">
        <v>159</v>
      </c>
      <c r="L62" s="611"/>
      <c r="M62" s="210">
        <v>3</v>
      </c>
      <c r="N62" s="211">
        <v>243750</v>
      </c>
      <c r="O62" s="212">
        <f t="shared" si="15"/>
        <v>731250</v>
      </c>
      <c r="P62" s="612"/>
      <c r="Q62" s="15">
        <v>0</v>
      </c>
    </row>
    <row r="63" spans="1:17" ht="19.95" customHeight="1" thickBot="1" x14ac:dyDescent="0.35">
      <c r="A63" s="404"/>
      <c r="B63" s="404"/>
      <c r="C63" s="407"/>
      <c r="D63" s="399" t="s">
        <v>21</v>
      </c>
      <c r="E63" s="400"/>
      <c r="F63" s="400"/>
      <c r="G63" s="418"/>
      <c r="H63" s="59">
        <f>SUM(H57:H62)</f>
        <v>10531677.48</v>
      </c>
      <c r="I63" s="513"/>
      <c r="J63" s="528"/>
      <c r="K63" s="535" t="s">
        <v>22</v>
      </c>
      <c r="L63" s="485"/>
      <c r="M63" s="485"/>
      <c r="N63" s="418"/>
      <c r="O63" s="49">
        <f>SUM(O57:O62)</f>
        <v>9667050</v>
      </c>
      <c r="P63" s="487"/>
      <c r="Q63" s="213">
        <f>SUM(Q57:Q62)</f>
        <v>0</v>
      </c>
    </row>
    <row r="64" spans="1:17" ht="19.95" customHeight="1" x14ac:dyDescent="0.3">
      <c r="A64" s="402">
        <v>9</v>
      </c>
      <c r="B64" s="402" t="s">
        <v>231</v>
      </c>
      <c r="C64" s="405">
        <v>46334</v>
      </c>
      <c r="D64" s="357" t="s">
        <v>54</v>
      </c>
      <c r="E64" s="357">
        <v>2000</v>
      </c>
      <c r="F64" s="357">
        <v>1000</v>
      </c>
      <c r="G64" s="358">
        <v>4465.12</v>
      </c>
      <c r="H64" s="360">
        <f t="shared" ref="H64:H66" si="16">+E64*G64</f>
        <v>8930240</v>
      </c>
      <c r="I64" s="393"/>
      <c r="J64" s="526"/>
      <c r="K64" s="610" t="s">
        <v>17</v>
      </c>
      <c r="L64" s="611"/>
      <c r="M64" s="210">
        <v>16</v>
      </c>
      <c r="N64" s="211">
        <v>73500</v>
      </c>
      <c r="O64" s="212">
        <f t="shared" ref="O64:O69" si="17">+M64*N64</f>
        <v>1176000</v>
      </c>
      <c r="P64" s="612"/>
      <c r="Q64" s="15">
        <v>0</v>
      </c>
    </row>
    <row r="65" spans="1:17" ht="20.100000000000001" customHeight="1" x14ac:dyDescent="0.3">
      <c r="A65" s="403"/>
      <c r="B65" s="403"/>
      <c r="C65" s="406"/>
      <c r="D65" s="359" t="s">
        <v>55</v>
      </c>
      <c r="E65" s="359">
        <v>2</v>
      </c>
      <c r="F65" s="359">
        <v>0</v>
      </c>
      <c r="G65" s="43">
        <v>603281.24</v>
      </c>
      <c r="H65" s="56">
        <f t="shared" si="16"/>
        <v>1206562.48</v>
      </c>
      <c r="I65" s="393"/>
      <c r="J65" s="526"/>
      <c r="K65" s="610" t="s">
        <v>156</v>
      </c>
      <c r="L65" s="611"/>
      <c r="M65" s="210">
        <v>290</v>
      </c>
      <c r="N65" s="211">
        <v>21870</v>
      </c>
      <c r="O65" s="212">
        <f t="shared" si="17"/>
        <v>6342300</v>
      </c>
      <c r="P65" s="612"/>
      <c r="Q65" s="15">
        <v>0</v>
      </c>
    </row>
    <row r="66" spans="1:17" ht="20.100000000000001" customHeight="1" x14ac:dyDescent="0.3">
      <c r="A66" s="403"/>
      <c r="B66" s="403"/>
      <c r="C66" s="406"/>
      <c r="D66" s="359" t="s">
        <v>81</v>
      </c>
      <c r="E66" s="359">
        <v>1</v>
      </c>
      <c r="F66" s="359">
        <v>0</v>
      </c>
      <c r="G66" s="43">
        <v>394875</v>
      </c>
      <c r="H66" s="56">
        <f t="shared" si="16"/>
        <v>394875</v>
      </c>
      <c r="I66" s="393"/>
      <c r="J66" s="526"/>
      <c r="K66" s="610" t="s">
        <v>181</v>
      </c>
      <c r="L66" s="611"/>
      <c r="M66" s="210">
        <v>1</v>
      </c>
      <c r="N66" s="211">
        <v>708750</v>
      </c>
      <c r="O66" s="212">
        <f t="shared" si="17"/>
        <v>708750</v>
      </c>
      <c r="P66" s="612"/>
      <c r="Q66" s="15">
        <v>0</v>
      </c>
    </row>
    <row r="67" spans="1:17" ht="20.100000000000001" customHeight="1" x14ac:dyDescent="0.3">
      <c r="A67" s="403"/>
      <c r="B67" s="403"/>
      <c r="C67" s="406"/>
      <c r="D67" s="359"/>
      <c r="E67" s="359"/>
      <c r="F67" s="359"/>
      <c r="G67" s="43"/>
      <c r="H67" s="360"/>
      <c r="I67" s="393"/>
      <c r="J67" s="527"/>
      <c r="K67" s="610" t="s">
        <v>157</v>
      </c>
      <c r="L67" s="611"/>
      <c r="M67" s="210">
        <v>1</v>
      </c>
      <c r="N67" s="211">
        <v>236250</v>
      </c>
      <c r="O67" s="212">
        <f t="shared" si="17"/>
        <v>236250</v>
      </c>
      <c r="P67" s="612"/>
      <c r="Q67" s="15">
        <v>0</v>
      </c>
    </row>
    <row r="68" spans="1:17" ht="20.100000000000001" customHeight="1" x14ac:dyDescent="0.3">
      <c r="A68" s="403"/>
      <c r="B68" s="403"/>
      <c r="C68" s="406"/>
      <c r="D68" s="359"/>
      <c r="E68" s="359"/>
      <c r="F68" s="359"/>
      <c r="G68" s="43"/>
      <c r="H68" s="56"/>
      <c r="I68" s="393"/>
      <c r="J68" s="527"/>
      <c r="K68" s="610" t="s">
        <v>158</v>
      </c>
      <c r="L68" s="611"/>
      <c r="M68" s="210">
        <v>1</v>
      </c>
      <c r="N68" s="211">
        <v>472500</v>
      </c>
      <c r="O68" s="212">
        <f t="shared" si="17"/>
        <v>472500</v>
      </c>
      <c r="P68" s="612"/>
      <c r="Q68" s="15">
        <v>0</v>
      </c>
    </row>
    <row r="69" spans="1:17" ht="20.100000000000001" customHeight="1" x14ac:dyDescent="0.3">
      <c r="A69" s="403"/>
      <c r="B69" s="403"/>
      <c r="C69" s="406"/>
      <c r="D69" s="359"/>
      <c r="E69" s="359"/>
      <c r="F69" s="359"/>
      <c r="G69" s="43"/>
      <c r="H69" s="56"/>
      <c r="I69" s="393"/>
      <c r="J69" s="527"/>
      <c r="K69" s="610" t="s">
        <v>159</v>
      </c>
      <c r="L69" s="611"/>
      <c r="M69" s="210">
        <v>3</v>
      </c>
      <c r="N69" s="211">
        <v>243750</v>
      </c>
      <c r="O69" s="212">
        <f t="shared" si="17"/>
        <v>731250</v>
      </c>
      <c r="P69" s="612"/>
      <c r="Q69" s="15">
        <v>0</v>
      </c>
    </row>
    <row r="70" spans="1:17" ht="19.95" customHeight="1" thickBot="1" x14ac:dyDescent="0.35">
      <c r="A70" s="404"/>
      <c r="B70" s="404"/>
      <c r="C70" s="407"/>
      <c r="D70" s="399" t="s">
        <v>21</v>
      </c>
      <c r="E70" s="400"/>
      <c r="F70" s="400"/>
      <c r="G70" s="418"/>
      <c r="H70" s="59">
        <f>SUM(H64:H69)</f>
        <v>10531677.48</v>
      </c>
      <c r="I70" s="513"/>
      <c r="J70" s="528"/>
      <c r="K70" s="535" t="s">
        <v>22</v>
      </c>
      <c r="L70" s="485"/>
      <c r="M70" s="485"/>
      <c r="N70" s="418"/>
      <c r="O70" s="49">
        <f>SUM(O64:O69)</f>
        <v>9667050</v>
      </c>
      <c r="P70" s="487"/>
      <c r="Q70" s="213">
        <f>SUM(Q64:Q69)</f>
        <v>0</v>
      </c>
    </row>
    <row r="71" spans="1:17" ht="15" customHeight="1" thickBot="1" x14ac:dyDescent="0.35">
      <c r="A71" s="28"/>
      <c r="B71" s="28"/>
      <c r="C71" s="29"/>
      <c r="D71" s="30"/>
      <c r="E71" s="31"/>
      <c r="F71" s="31"/>
      <c r="G71" s="32"/>
      <c r="H71" s="33"/>
      <c r="I71" s="34"/>
      <c r="J71" s="34"/>
      <c r="K71" s="35"/>
      <c r="L71" s="36"/>
      <c r="M71" s="36"/>
      <c r="N71" s="37"/>
      <c r="O71" s="38"/>
      <c r="P71" s="39"/>
      <c r="Q71" s="39"/>
    </row>
    <row r="72" spans="1:17" ht="25.05" customHeight="1" thickBot="1" x14ac:dyDescent="0.5">
      <c r="A72" s="648" t="s">
        <v>228</v>
      </c>
      <c r="B72" s="649"/>
      <c r="C72" s="649"/>
      <c r="D72" s="649"/>
      <c r="E72" s="649"/>
      <c r="F72" s="649"/>
      <c r="G72" s="650"/>
      <c r="H72" s="363">
        <f>SUM(H56,H49,H42,H35,H28,H21,H14,H63,H70)</f>
        <v>103902872.36000001</v>
      </c>
      <c r="I72" s="364"/>
      <c r="J72" s="364"/>
      <c r="O72" s="363">
        <f>SUM(O56,O49,O42,O35,O28,O21,O14,O63,O70)</f>
        <v>87003450</v>
      </c>
    </row>
    <row r="73" spans="1:17" ht="15.75" customHeight="1" x14ac:dyDescent="0.3"/>
    <row r="74" spans="1:17" ht="15.75" customHeight="1" x14ac:dyDescent="0.3"/>
    <row r="75" spans="1:17" ht="15.75" customHeight="1" x14ac:dyDescent="0.3"/>
    <row r="76" spans="1:17" ht="15.75" customHeight="1" x14ac:dyDescent="0.3"/>
    <row r="77" spans="1:17" ht="15.75" customHeight="1" x14ac:dyDescent="0.3">
      <c r="G77" s="65"/>
      <c r="H77" s="142"/>
    </row>
    <row r="78" spans="1:17" ht="15.75" customHeight="1" x14ac:dyDescent="0.3"/>
    <row r="79" spans="1:17" ht="15.75" customHeight="1" x14ac:dyDescent="0.3"/>
    <row r="80" spans="1:17" ht="15.75" customHeight="1" x14ac:dyDescent="0.3"/>
    <row r="81" spans="5:8" ht="15.75" customHeight="1" x14ac:dyDescent="0.3"/>
    <row r="82" spans="5:8" ht="15.75" customHeight="1" x14ac:dyDescent="0.3"/>
    <row r="83" spans="5:8" ht="15.75" customHeight="1" x14ac:dyDescent="0.3"/>
    <row r="84" spans="5:8" ht="15.75" customHeight="1" x14ac:dyDescent="0.3"/>
    <row r="85" spans="5:8" ht="15.75" customHeight="1" x14ac:dyDescent="0.3"/>
    <row r="86" spans="5:8" ht="15.75" customHeight="1" x14ac:dyDescent="0.3"/>
    <row r="87" spans="5:8" ht="15.75" customHeight="1" x14ac:dyDescent="0.3"/>
    <row r="88" spans="5:8" ht="15.75" customHeight="1" x14ac:dyDescent="0.3"/>
    <row r="89" spans="5:8" ht="15.75" customHeight="1" x14ac:dyDescent="0.3"/>
    <row r="90" spans="5:8" ht="15.75" customHeight="1" x14ac:dyDescent="0.3">
      <c r="E90" s="520"/>
      <c r="F90" s="520"/>
      <c r="G90" s="521"/>
      <c r="H90" s="42"/>
    </row>
    <row r="91" spans="5:8" ht="15.75" customHeight="1" x14ac:dyDescent="0.3">
      <c r="E91" s="520"/>
      <c r="F91" s="520"/>
      <c r="G91" s="521"/>
      <c r="H91" s="42"/>
    </row>
    <row r="92" spans="5:8" ht="15.75" customHeight="1" x14ac:dyDescent="0.3">
      <c r="E92" s="520"/>
      <c r="F92" s="520"/>
      <c r="G92" s="521"/>
      <c r="H92" s="42"/>
    </row>
    <row r="93" spans="5:8" ht="15.75" customHeight="1" x14ac:dyDescent="0.3">
      <c r="E93" s="520"/>
      <c r="F93" s="520"/>
      <c r="G93" s="521"/>
      <c r="H93" s="42"/>
    </row>
    <row r="94" spans="5:8" ht="15.75" customHeight="1" x14ac:dyDescent="0.3">
      <c r="E94" s="520"/>
      <c r="F94" s="520"/>
      <c r="G94" s="521"/>
      <c r="H94" s="42"/>
    </row>
    <row r="95" spans="5:8" ht="15.75" customHeight="1" x14ac:dyDescent="0.3">
      <c r="E95" s="520"/>
      <c r="F95" s="520"/>
      <c r="G95" s="521"/>
      <c r="H95" s="42"/>
    </row>
    <row r="96" spans="5:8" ht="15.75" customHeight="1" x14ac:dyDescent="0.3">
      <c r="E96" s="520"/>
      <c r="F96" s="520"/>
      <c r="G96" s="521"/>
      <c r="H96" s="42"/>
    </row>
    <row r="97" spans="8:8" ht="15.75" customHeight="1" x14ac:dyDescent="0.3">
      <c r="H97" s="42"/>
    </row>
    <row r="98" spans="8:8" ht="15.75" customHeight="1" x14ac:dyDescent="0.3"/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</sheetData>
  <mergeCells count="142">
    <mergeCell ref="A1:Q4"/>
    <mergeCell ref="A5:C5"/>
    <mergeCell ref="A6:A7"/>
    <mergeCell ref="B6:B7"/>
    <mergeCell ref="C6:C7"/>
    <mergeCell ref="D6:J6"/>
    <mergeCell ref="K6:Q6"/>
    <mergeCell ref="K7:L7"/>
    <mergeCell ref="P8:P14"/>
    <mergeCell ref="K9:L9"/>
    <mergeCell ref="K10:L10"/>
    <mergeCell ref="K11:L11"/>
    <mergeCell ref="K12:L12"/>
    <mergeCell ref="K13:L13"/>
    <mergeCell ref="K14:N14"/>
    <mergeCell ref="A8:A14"/>
    <mergeCell ref="B8:B14"/>
    <mergeCell ref="C8:C14"/>
    <mergeCell ref="I8:I14"/>
    <mergeCell ref="J8:J14"/>
    <mergeCell ref="K8:L8"/>
    <mergeCell ref="D14:G14"/>
    <mergeCell ref="P15:P21"/>
    <mergeCell ref="K16:L16"/>
    <mergeCell ref="K17:L17"/>
    <mergeCell ref="K18:L18"/>
    <mergeCell ref="K19:L19"/>
    <mergeCell ref="K20:L20"/>
    <mergeCell ref="K21:N21"/>
    <mergeCell ref="A15:A21"/>
    <mergeCell ref="B15:B21"/>
    <mergeCell ref="C15:C21"/>
    <mergeCell ref="I15:I21"/>
    <mergeCell ref="J15:J21"/>
    <mergeCell ref="K15:L15"/>
    <mergeCell ref="D21:G21"/>
    <mergeCell ref="P22:P28"/>
    <mergeCell ref="K23:L23"/>
    <mergeCell ref="K24:L24"/>
    <mergeCell ref="K25:L25"/>
    <mergeCell ref="K26:L26"/>
    <mergeCell ref="K27:L27"/>
    <mergeCell ref="K28:N28"/>
    <mergeCell ref="A22:A28"/>
    <mergeCell ref="B22:B28"/>
    <mergeCell ref="C22:C28"/>
    <mergeCell ref="I22:I28"/>
    <mergeCell ref="J22:J28"/>
    <mergeCell ref="K22:L22"/>
    <mergeCell ref="D28:G28"/>
    <mergeCell ref="P29:P35"/>
    <mergeCell ref="K30:L30"/>
    <mergeCell ref="K31:L31"/>
    <mergeCell ref="K32:L32"/>
    <mergeCell ref="K33:L33"/>
    <mergeCell ref="K34:L34"/>
    <mergeCell ref="K35:N35"/>
    <mergeCell ref="A29:A35"/>
    <mergeCell ref="B29:B35"/>
    <mergeCell ref="C29:C35"/>
    <mergeCell ref="I29:I35"/>
    <mergeCell ref="J29:J35"/>
    <mergeCell ref="K29:L29"/>
    <mergeCell ref="D35:G35"/>
    <mergeCell ref="P36:P42"/>
    <mergeCell ref="K37:L37"/>
    <mergeCell ref="K38:L38"/>
    <mergeCell ref="K39:L39"/>
    <mergeCell ref="K40:L40"/>
    <mergeCell ref="K41:L41"/>
    <mergeCell ref="K42:N42"/>
    <mergeCell ref="A36:A42"/>
    <mergeCell ref="B36:B42"/>
    <mergeCell ref="C36:C42"/>
    <mergeCell ref="I36:I42"/>
    <mergeCell ref="J36:J42"/>
    <mergeCell ref="K36:L36"/>
    <mergeCell ref="D42:G42"/>
    <mergeCell ref="P43:P49"/>
    <mergeCell ref="K44:L44"/>
    <mergeCell ref="K45:L45"/>
    <mergeCell ref="K46:L46"/>
    <mergeCell ref="K47:L47"/>
    <mergeCell ref="K48:L48"/>
    <mergeCell ref="K49:N49"/>
    <mergeCell ref="A43:A49"/>
    <mergeCell ref="B43:B49"/>
    <mergeCell ref="C43:C49"/>
    <mergeCell ref="I43:I49"/>
    <mergeCell ref="J43:J49"/>
    <mergeCell ref="K43:L43"/>
    <mergeCell ref="D49:G49"/>
    <mergeCell ref="P50:P56"/>
    <mergeCell ref="K51:L51"/>
    <mergeCell ref="K52:L52"/>
    <mergeCell ref="K53:L53"/>
    <mergeCell ref="K54:L54"/>
    <mergeCell ref="K55:L55"/>
    <mergeCell ref="K56:N56"/>
    <mergeCell ref="A50:A56"/>
    <mergeCell ref="B50:B56"/>
    <mergeCell ref="C50:C56"/>
    <mergeCell ref="I50:I56"/>
    <mergeCell ref="J50:J56"/>
    <mergeCell ref="K50:L50"/>
    <mergeCell ref="D56:G56"/>
    <mergeCell ref="E95:G95"/>
    <mergeCell ref="E96:G96"/>
    <mergeCell ref="A57:A63"/>
    <mergeCell ref="B57:B63"/>
    <mergeCell ref="C57:C63"/>
    <mergeCell ref="I57:I63"/>
    <mergeCell ref="D63:G63"/>
    <mergeCell ref="A64:A70"/>
    <mergeCell ref="B64:B70"/>
    <mergeCell ref="C64:C70"/>
    <mergeCell ref="A72:G72"/>
    <mergeCell ref="E90:G90"/>
    <mergeCell ref="E91:G91"/>
    <mergeCell ref="E92:G92"/>
    <mergeCell ref="E93:G93"/>
    <mergeCell ref="E94:G94"/>
    <mergeCell ref="D70:G70"/>
    <mergeCell ref="J57:J63"/>
    <mergeCell ref="K57:L57"/>
    <mergeCell ref="P57:P63"/>
    <mergeCell ref="K58:L58"/>
    <mergeCell ref="K59:L59"/>
    <mergeCell ref="K60:L60"/>
    <mergeCell ref="K61:L61"/>
    <mergeCell ref="K62:L62"/>
    <mergeCell ref="K63:N63"/>
    <mergeCell ref="K70:N70"/>
    <mergeCell ref="I64:I70"/>
    <mergeCell ref="J64:J70"/>
    <mergeCell ref="K64:L64"/>
    <mergeCell ref="P64:P70"/>
    <mergeCell ref="K65:L65"/>
    <mergeCell ref="K66:L66"/>
    <mergeCell ref="K67:L67"/>
    <mergeCell ref="K68:L68"/>
    <mergeCell ref="K69:L69"/>
  </mergeCells>
  <pageMargins left="0.11811023622047245" right="0.11811023622047245" top="0.15748031496062992" bottom="0.15748031496062992" header="0" footer="0"/>
  <pageSetup scale="6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6"/>
  <sheetViews>
    <sheetView topLeftCell="A81" zoomScale="90" zoomScaleNormal="90" workbookViewId="0">
      <selection sqref="A1:H100"/>
    </sheetView>
  </sheetViews>
  <sheetFormatPr baseColWidth="10" defaultColWidth="14.44140625" defaultRowHeight="15" customHeight="1" x14ac:dyDescent="0.3"/>
  <cols>
    <col min="1" max="1" width="14.6640625" style="365" customWidth="1"/>
    <col min="2" max="2" width="31" style="365" customWidth="1"/>
    <col min="3" max="3" width="20.6640625" style="365" customWidth="1"/>
    <col min="4" max="5" width="15.6640625" style="365" customWidth="1"/>
    <col min="6" max="6" width="20.6640625" style="365" customWidth="1"/>
    <col min="7" max="7" width="30.88671875" style="365" bestFit="1" customWidth="1"/>
    <col min="8" max="8" width="20.6640625" style="365" customWidth="1"/>
    <col min="9" max="9" width="2.5546875" style="365" customWidth="1"/>
    <col min="10" max="10" width="10.6640625" style="365" customWidth="1"/>
    <col min="11" max="11" width="13.77734375" style="365" bestFit="1" customWidth="1"/>
    <col min="12" max="19" width="10.6640625" style="365" customWidth="1"/>
    <col min="20" max="16384" width="14.44140625" style="365"/>
  </cols>
  <sheetData>
    <row r="1" spans="1:8" ht="15" customHeight="1" x14ac:dyDescent="0.3">
      <c r="A1" s="569" t="s">
        <v>232</v>
      </c>
      <c r="B1" s="570"/>
      <c r="C1" s="570"/>
      <c r="D1" s="570"/>
      <c r="E1" s="570"/>
      <c r="F1" s="570"/>
      <c r="G1" s="570"/>
      <c r="H1" s="571"/>
    </row>
    <row r="2" spans="1:8" ht="15" customHeight="1" x14ac:dyDescent="0.3">
      <c r="A2" s="572"/>
      <c r="B2" s="573"/>
      <c r="C2" s="573"/>
      <c r="D2" s="573"/>
      <c r="E2" s="573"/>
      <c r="F2" s="573"/>
      <c r="G2" s="573"/>
      <c r="H2" s="574"/>
    </row>
    <row r="3" spans="1:8" ht="15" customHeight="1" thickBot="1" x14ac:dyDescent="0.35">
      <c r="A3" s="575"/>
      <c r="B3" s="576"/>
      <c r="C3" s="576"/>
      <c r="D3" s="576"/>
      <c r="E3" s="576"/>
      <c r="F3" s="576"/>
      <c r="G3" s="576"/>
      <c r="H3" s="577"/>
    </row>
    <row r="4" spans="1:8" ht="15.6" customHeight="1" thickBot="1" x14ac:dyDescent="0.35">
      <c r="A4" s="578"/>
      <c r="B4" s="579"/>
      <c r="C4" s="579"/>
      <c r="D4" s="579"/>
      <c r="E4" s="579"/>
      <c r="F4" s="579"/>
      <c r="G4" s="579"/>
      <c r="H4" s="580"/>
    </row>
    <row r="5" spans="1:8" s="111" customFormat="1" ht="15.6" customHeight="1" thickBot="1" x14ac:dyDescent="0.35">
      <c r="A5" s="134" t="s">
        <v>91</v>
      </c>
      <c r="B5" s="135" t="s">
        <v>3</v>
      </c>
      <c r="C5" s="135" t="s">
        <v>4</v>
      </c>
      <c r="D5" s="581" t="s">
        <v>7</v>
      </c>
      <c r="E5" s="582"/>
      <c r="F5" s="135" t="s">
        <v>114</v>
      </c>
      <c r="G5" s="135" t="s">
        <v>92</v>
      </c>
      <c r="H5" s="136" t="s">
        <v>93</v>
      </c>
    </row>
    <row r="6" spans="1:8" ht="14.4" customHeight="1" x14ac:dyDescent="0.3">
      <c r="A6" s="403">
        <v>1</v>
      </c>
      <c r="B6" s="402" t="s">
        <v>225</v>
      </c>
      <c r="C6" s="405">
        <v>46045</v>
      </c>
      <c r="D6" s="634" t="s">
        <v>94</v>
      </c>
      <c r="E6" s="635"/>
      <c r="F6" s="190">
        <v>290</v>
      </c>
      <c r="G6" s="191">
        <v>800</v>
      </c>
      <c r="H6" s="192">
        <f t="shared" ref="H6:H13" si="0">+F6*G6</f>
        <v>232000</v>
      </c>
    </row>
    <row r="7" spans="1:8" ht="14.4" x14ac:dyDescent="0.3">
      <c r="A7" s="403"/>
      <c r="B7" s="403"/>
      <c r="C7" s="406"/>
      <c r="D7" s="634" t="s">
        <v>96</v>
      </c>
      <c r="E7" s="635"/>
      <c r="F7" s="190">
        <v>1</v>
      </c>
      <c r="G7" s="191">
        <v>35000</v>
      </c>
      <c r="H7" s="192">
        <f t="shared" si="0"/>
        <v>35000</v>
      </c>
    </row>
    <row r="8" spans="1:8" ht="14.4" x14ac:dyDescent="0.3">
      <c r="A8" s="403"/>
      <c r="B8" s="403"/>
      <c r="C8" s="406"/>
      <c r="D8" s="634" t="s">
        <v>97</v>
      </c>
      <c r="E8" s="635"/>
      <c r="F8" s="190">
        <v>1</v>
      </c>
      <c r="G8" s="191">
        <v>47500</v>
      </c>
      <c r="H8" s="192">
        <f t="shared" si="0"/>
        <v>47500</v>
      </c>
    </row>
    <row r="9" spans="1:8" ht="14.4" x14ac:dyDescent="0.3">
      <c r="A9" s="403"/>
      <c r="B9" s="403"/>
      <c r="C9" s="406"/>
      <c r="D9" s="567" t="s">
        <v>95</v>
      </c>
      <c r="E9" s="568" t="s">
        <v>54</v>
      </c>
      <c r="F9" s="112">
        <v>2300</v>
      </c>
      <c r="G9" s="113">
        <v>200</v>
      </c>
      <c r="H9" s="114">
        <f t="shared" si="0"/>
        <v>460000</v>
      </c>
    </row>
    <row r="10" spans="1:8" ht="14.4" x14ac:dyDescent="0.3">
      <c r="A10" s="403"/>
      <c r="B10" s="403"/>
      <c r="C10" s="406"/>
      <c r="D10" s="567" t="s">
        <v>98</v>
      </c>
      <c r="E10" s="568" t="s">
        <v>55</v>
      </c>
      <c r="F10" s="112">
        <v>2</v>
      </c>
      <c r="G10" s="113">
        <v>70000</v>
      </c>
      <c r="H10" s="114">
        <f t="shared" si="0"/>
        <v>140000</v>
      </c>
    </row>
    <row r="11" spans="1:8" ht="14.4" x14ac:dyDescent="0.3">
      <c r="A11" s="403"/>
      <c r="B11" s="403"/>
      <c r="C11" s="406"/>
      <c r="D11" s="567" t="s">
        <v>99</v>
      </c>
      <c r="E11" s="568" t="s">
        <v>81</v>
      </c>
      <c r="F11" s="112">
        <v>1</v>
      </c>
      <c r="G11" s="113">
        <v>47500</v>
      </c>
      <c r="H11" s="114">
        <f t="shared" si="0"/>
        <v>47500</v>
      </c>
    </row>
    <row r="12" spans="1:8" ht="14.4" x14ac:dyDescent="0.3">
      <c r="A12" s="403"/>
      <c r="B12" s="403"/>
      <c r="C12" s="406"/>
      <c r="D12" s="634" t="s">
        <v>133</v>
      </c>
      <c r="E12" s="635" t="s">
        <v>82</v>
      </c>
      <c r="F12" s="190">
        <v>4</v>
      </c>
      <c r="G12" s="193">
        <v>25000</v>
      </c>
      <c r="H12" s="192">
        <f t="shared" si="0"/>
        <v>100000</v>
      </c>
    </row>
    <row r="13" spans="1:8" ht="14.4" x14ac:dyDescent="0.3">
      <c r="A13" s="403"/>
      <c r="B13" s="403"/>
      <c r="C13" s="406"/>
      <c r="D13" s="634" t="s">
        <v>181</v>
      </c>
      <c r="E13" s="635"/>
      <c r="F13" s="190">
        <v>1</v>
      </c>
      <c r="G13" s="193">
        <v>90000</v>
      </c>
      <c r="H13" s="192">
        <f t="shared" si="0"/>
        <v>90000</v>
      </c>
    </row>
    <row r="14" spans="1:8" thickBot="1" x14ac:dyDescent="0.35">
      <c r="A14" s="404"/>
      <c r="B14" s="404"/>
      <c r="C14" s="407"/>
      <c r="D14" s="535" t="s">
        <v>22</v>
      </c>
      <c r="E14" s="485"/>
      <c r="F14" s="485"/>
      <c r="G14" s="418"/>
      <c r="H14" s="115">
        <f>SUM(H6:H13)</f>
        <v>1152000</v>
      </c>
    </row>
    <row r="15" spans="1:8" ht="14.4" customHeight="1" x14ac:dyDescent="0.3">
      <c r="A15" s="403">
        <v>2</v>
      </c>
      <c r="B15" s="402" t="s">
        <v>26</v>
      </c>
      <c r="C15" s="405">
        <v>46053</v>
      </c>
      <c r="D15" s="634" t="s">
        <v>94</v>
      </c>
      <c r="E15" s="635"/>
      <c r="F15" s="190">
        <v>290</v>
      </c>
      <c r="G15" s="191">
        <v>800</v>
      </c>
      <c r="H15" s="192">
        <f t="shared" ref="H15:H22" si="1">+F15*G15</f>
        <v>232000</v>
      </c>
    </row>
    <row r="16" spans="1:8" ht="14.4" x14ac:dyDescent="0.3">
      <c r="A16" s="403"/>
      <c r="B16" s="403"/>
      <c r="C16" s="406"/>
      <c r="D16" s="634" t="s">
        <v>96</v>
      </c>
      <c r="E16" s="635"/>
      <c r="F16" s="190">
        <v>1</v>
      </c>
      <c r="G16" s="191">
        <v>35000</v>
      </c>
      <c r="H16" s="192">
        <f t="shared" si="1"/>
        <v>35000</v>
      </c>
    </row>
    <row r="17" spans="1:8" ht="14.4" x14ac:dyDescent="0.3">
      <c r="A17" s="403"/>
      <c r="B17" s="403"/>
      <c r="C17" s="406"/>
      <c r="D17" s="634" t="s">
        <v>97</v>
      </c>
      <c r="E17" s="635"/>
      <c r="F17" s="190">
        <v>1</v>
      </c>
      <c r="G17" s="191">
        <v>47500</v>
      </c>
      <c r="H17" s="192">
        <f t="shared" si="1"/>
        <v>47500</v>
      </c>
    </row>
    <row r="18" spans="1:8" ht="14.4" x14ac:dyDescent="0.3">
      <c r="A18" s="403"/>
      <c r="B18" s="403"/>
      <c r="C18" s="406"/>
      <c r="D18" s="567" t="s">
        <v>95</v>
      </c>
      <c r="E18" s="568" t="s">
        <v>54</v>
      </c>
      <c r="F18" s="112">
        <v>2300</v>
      </c>
      <c r="G18" s="113">
        <v>200</v>
      </c>
      <c r="H18" s="114">
        <f t="shared" si="1"/>
        <v>460000</v>
      </c>
    </row>
    <row r="19" spans="1:8" ht="14.4" x14ac:dyDescent="0.3">
      <c r="A19" s="403"/>
      <c r="B19" s="403"/>
      <c r="C19" s="406"/>
      <c r="D19" s="567" t="s">
        <v>98</v>
      </c>
      <c r="E19" s="568" t="s">
        <v>55</v>
      </c>
      <c r="F19" s="112">
        <v>2</v>
      </c>
      <c r="G19" s="113">
        <v>70000</v>
      </c>
      <c r="H19" s="114">
        <f t="shared" si="1"/>
        <v>140000</v>
      </c>
    </row>
    <row r="20" spans="1:8" ht="14.4" x14ac:dyDescent="0.3">
      <c r="A20" s="403"/>
      <c r="B20" s="403"/>
      <c r="C20" s="406"/>
      <c r="D20" s="567" t="s">
        <v>99</v>
      </c>
      <c r="E20" s="568" t="s">
        <v>81</v>
      </c>
      <c r="F20" s="112">
        <v>1</v>
      </c>
      <c r="G20" s="113">
        <v>47500</v>
      </c>
      <c r="H20" s="114">
        <f t="shared" si="1"/>
        <v>47500</v>
      </c>
    </row>
    <row r="21" spans="1:8" ht="14.4" x14ac:dyDescent="0.3">
      <c r="A21" s="403"/>
      <c r="B21" s="403"/>
      <c r="C21" s="406"/>
      <c r="D21" s="634" t="s">
        <v>133</v>
      </c>
      <c r="E21" s="635" t="s">
        <v>82</v>
      </c>
      <c r="F21" s="190">
        <v>4</v>
      </c>
      <c r="G21" s="193">
        <v>25000</v>
      </c>
      <c r="H21" s="192">
        <f t="shared" si="1"/>
        <v>100000</v>
      </c>
    </row>
    <row r="22" spans="1:8" ht="14.4" x14ac:dyDescent="0.3">
      <c r="A22" s="403"/>
      <c r="B22" s="403"/>
      <c r="C22" s="406"/>
      <c r="D22" s="634" t="s">
        <v>181</v>
      </c>
      <c r="E22" s="635"/>
      <c r="F22" s="190">
        <v>1</v>
      </c>
      <c r="G22" s="193">
        <v>90000</v>
      </c>
      <c r="H22" s="192">
        <f t="shared" si="1"/>
        <v>90000</v>
      </c>
    </row>
    <row r="23" spans="1:8" thickBot="1" x14ac:dyDescent="0.35">
      <c r="A23" s="404"/>
      <c r="B23" s="404"/>
      <c r="C23" s="407"/>
      <c r="D23" s="535" t="s">
        <v>22</v>
      </c>
      <c r="E23" s="485"/>
      <c r="F23" s="485"/>
      <c r="G23" s="418"/>
      <c r="H23" s="115">
        <f>SUM(H15:H22)</f>
        <v>1152000</v>
      </c>
    </row>
    <row r="24" spans="1:8" ht="14.4" customHeight="1" x14ac:dyDescent="0.3">
      <c r="A24" s="403">
        <v>3</v>
      </c>
      <c r="B24" s="402" t="s">
        <v>226</v>
      </c>
      <c r="C24" s="405">
        <v>46067</v>
      </c>
      <c r="D24" s="634" t="s">
        <v>94</v>
      </c>
      <c r="E24" s="635"/>
      <c r="F24" s="190">
        <v>290</v>
      </c>
      <c r="G24" s="191">
        <v>800</v>
      </c>
      <c r="H24" s="192">
        <f t="shared" ref="H24:H31" si="2">+F24*G24</f>
        <v>232000</v>
      </c>
    </row>
    <row r="25" spans="1:8" ht="14.4" x14ac:dyDescent="0.3">
      <c r="A25" s="403"/>
      <c r="B25" s="403"/>
      <c r="C25" s="406"/>
      <c r="D25" s="634" t="s">
        <v>96</v>
      </c>
      <c r="E25" s="635"/>
      <c r="F25" s="190">
        <v>1</v>
      </c>
      <c r="G25" s="191">
        <v>35000</v>
      </c>
      <c r="H25" s="192">
        <f t="shared" si="2"/>
        <v>35000</v>
      </c>
    </row>
    <row r="26" spans="1:8" ht="14.4" x14ac:dyDescent="0.3">
      <c r="A26" s="403"/>
      <c r="B26" s="403"/>
      <c r="C26" s="406"/>
      <c r="D26" s="634" t="s">
        <v>97</v>
      </c>
      <c r="E26" s="635"/>
      <c r="F26" s="190">
        <v>1</v>
      </c>
      <c r="G26" s="191">
        <v>47500</v>
      </c>
      <c r="H26" s="192">
        <f t="shared" si="2"/>
        <v>47500</v>
      </c>
    </row>
    <row r="27" spans="1:8" ht="14.4" x14ac:dyDescent="0.3">
      <c r="A27" s="403"/>
      <c r="B27" s="403"/>
      <c r="C27" s="406"/>
      <c r="D27" s="567" t="s">
        <v>95</v>
      </c>
      <c r="E27" s="568" t="s">
        <v>54</v>
      </c>
      <c r="F27" s="112">
        <v>2300</v>
      </c>
      <c r="G27" s="113">
        <v>200</v>
      </c>
      <c r="H27" s="114">
        <f t="shared" si="2"/>
        <v>460000</v>
      </c>
    </row>
    <row r="28" spans="1:8" ht="14.4" x14ac:dyDescent="0.3">
      <c r="A28" s="403"/>
      <c r="B28" s="403"/>
      <c r="C28" s="406"/>
      <c r="D28" s="567" t="s">
        <v>98</v>
      </c>
      <c r="E28" s="568" t="s">
        <v>55</v>
      </c>
      <c r="F28" s="112">
        <v>2</v>
      </c>
      <c r="G28" s="113">
        <v>70000</v>
      </c>
      <c r="H28" s="114">
        <f t="shared" si="2"/>
        <v>140000</v>
      </c>
    </row>
    <row r="29" spans="1:8" ht="14.4" x14ac:dyDescent="0.3">
      <c r="A29" s="403"/>
      <c r="B29" s="403"/>
      <c r="C29" s="406"/>
      <c r="D29" s="567" t="s">
        <v>99</v>
      </c>
      <c r="E29" s="568" t="s">
        <v>81</v>
      </c>
      <c r="F29" s="112">
        <v>1</v>
      </c>
      <c r="G29" s="113">
        <v>47500</v>
      </c>
      <c r="H29" s="114">
        <f t="shared" si="2"/>
        <v>47500</v>
      </c>
    </row>
    <row r="30" spans="1:8" ht="14.4" x14ac:dyDescent="0.3">
      <c r="A30" s="403"/>
      <c r="B30" s="403"/>
      <c r="C30" s="406"/>
      <c r="D30" s="634" t="s">
        <v>133</v>
      </c>
      <c r="E30" s="635" t="s">
        <v>82</v>
      </c>
      <c r="F30" s="190">
        <v>4</v>
      </c>
      <c r="G30" s="193">
        <v>25000</v>
      </c>
      <c r="H30" s="192">
        <f t="shared" si="2"/>
        <v>100000</v>
      </c>
    </row>
    <row r="31" spans="1:8" ht="14.4" x14ac:dyDescent="0.3">
      <c r="A31" s="403"/>
      <c r="B31" s="403"/>
      <c r="C31" s="406"/>
      <c r="D31" s="634" t="s">
        <v>181</v>
      </c>
      <c r="E31" s="635"/>
      <c r="F31" s="190">
        <v>1</v>
      </c>
      <c r="G31" s="193">
        <v>90000</v>
      </c>
      <c r="H31" s="192">
        <f t="shared" si="2"/>
        <v>90000</v>
      </c>
    </row>
    <row r="32" spans="1:8" thickBot="1" x14ac:dyDescent="0.35">
      <c r="A32" s="404"/>
      <c r="B32" s="404"/>
      <c r="C32" s="407"/>
      <c r="D32" s="535" t="s">
        <v>22</v>
      </c>
      <c r="E32" s="485"/>
      <c r="F32" s="485"/>
      <c r="G32" s="418"/>
      <c r="H32" s="115">
        <f>SUM(H24:H31)</f>
        <v>1152000</v>
      </c>
    </row>
    <row r="33" spans="1:8" ht="14.4" customHeight="1" x14ac:dyDescent="0.3">
      <c r="A33" s="403">
        <v>4</v>
      </c>
      <c r="B33" s="402" t="s">
        <v>24</v>
      </c>
      <c r="C33" s="405">
        <v>46081</v>
      </c>
      <c r="D33" s="634" t="s">
        <v>94</v>
      </c>
      <c r="E33" s="635"/>
      <c r="F33" s="190">
        <v>290</v>
      </c>
      <c r="G33" s="191">
        <v>800</v>
      </c>
      <c r="H33" s="192">
        <f t="shared" ref="H33:H40" si="3">+F33*G33</f>
        <v>232000</v>
      </c>
    </row>
    <row r="34" spans="1:8" ht="14.4" x14ac:dyDescent="0.3">
      <c r="A34" s="403"/>
      <c r="B34" s="403"/>
      <c r="C34" s="406"/>
      <c r="D34" s="634" t="s">
        <v>96</v>
      </c>
      <c r="E34" s="635"/>
      <c r="F34" s="190">
        <v>1</v>
      </c>
      <c r="G34" s="191">
        <v>35000</v>
      </c>
      <c r="H34" s="192">
        <f t="shared" si="3"/>
        <v>35000</v>
      </c>
    </row>
    <row r="35" spans="1:8" ht="14.4" x14ac:dyDescent="0.3">
      <c r="A35" s="403"/>
      <c r="B35" s="403"/>
      <c r="C35" s="406"/>
      <c r="D35" s="634" t="s">
        <v>97</v>
      </c>
      <c r="E35" s="635"/>
      <c r="F35" s="190">
        <v>1</v>
      </c>
      <c r="G35" s="191">
        <v>47500</v>
      </c>
      <c r="H35" s="192">
        <f t="shared" si="3"/>
        <v>47500</v>
      </c>
    </row>
    <row r="36" spans="1:8" ht="14.4" x14ac:dyDescent="0.3">
      <c r="A36" s="403"/>
      <c r="B36" s="403"/>
      <c r="C36" s="406"/>
      <c r="D36" s="567" t="s">
        <v>95</v>
      </c>
      <c r="E36" s="568" t="s">
        <v>54</v>
      </c>
      <c r="F36" s="112">
        <v>2300</v>
      </c>
      <c r="G36" s="113">
        <v>200</v>
      </c>
      <c r="H36" s="114">
        <f t="shared" si="3"/>
        <v>460000</v>
      </c>
    </row>
    <row r="37" spans="1:8" ht="14.4" x14ac:dyDescent="0.3">
      <c r="A37" s="403"/>
      <c r="B37" s="403"/>
      <c r="C37" s="406"/>
      <c r="D37" s="567" t="s">
        <v>98</v>
      </c>
      <c r="E37" s="568" t="s">
        <v>55</v>
      </c>
      <c r="F37" s="112">
        <v>2</v>
      </c>
      <c r="G37" s="113">
        <v>70000</v>
      </c>
      <c r="H37" s="114">
        <f t="shared" si="3"/>
        <v>140000</v>
      </c>
    </row>
    <row r="38" spans="1:8" ht="14.4" x14ac:dyDescent="0.3">
      <c r="A38" s="403"/>
      <c r="B38" s="403"/>
      <c r="C38" s="406"/>
      <c r="D38" s="567" t="s">
        <v>99</v>
      </c>
      <c r="E38" s="568" t="s">
        <v>81</v>
      </c>
      <c r="F38" s="112">
        <v>1</v>
      </c>
      <c r="G38" s="113">
        <v>47500</v>
      </c>
      <c r="H38" s="114">
        <f t="shared" si="3"/>
        <v>47500</v>
      </c>
    </row>
    <row r="39" spans="1:8" ht="14.4" x14ac:dyDescent="0.3">
      <c r="A39" s="403"/>
      <c r="B39" s="403"/>
      <c r="C39" s="406"/>
      <c r="D39" s="634" t="s">
        <v>133</v>
      </c>
      <c r="E39" s="635" t="s">
        <v>82</v>
      </c>
      <c r="F39" s="190">
        <v>4</v>
      </c>
      <c r="G39" s="193">
        <v>25000</v>
      </c>
      <c r="H39" s="192">
        <f t="shared" si="3"/>
        <v>100000</v>
      </c>
    </row>
    <row r="40" spans="1:8" ht="14.4" x14ac:dyDescent="0.3">
      <c r="A40" s="403"/>
      <c r="B40" s="403"/>
      <c r="C40" s="406"/>
      <c r="D40" s="634" t="s">
        <v>181</v>
      </c>
      <c r="E40" s="635"/>
      <c r="F40" s="190">
        <v>1</v>
      </c>
      <c r="G40" s="193">
        <v>90000</v>
      </c>
      <c r="H40" s="192">
        <f t="shared" si="3"/>
        <v>90000</v>
      </c>
    </row>
    <row r="41" spans="1:8" thickBot="1" x14ac:dyDescent="0.35">
      <c r="A41" s="404"/>
      <c r="B41" s="404"/>
      <c r="C41" s="407"/>
      <c r="D41" s="535" t="s">
        <v>22</v>
      </c>
      <c r="E41" s="485"/>
      <c r="F41" s="485"/>
      <c r="G41" s="418"/>
      <c r="H41" s="115">
        <f>SUM(H33:H40)</f>
        <v>1152000</v>
      </c>
    </row>
    <row r="42" spans="1:8" ht="14.4" customHeight="1" x14ac:dyDescent="0.3">
      <c r="A42" s="403">
        <v>5</v>
      </c>
      <c r="B42" s="402" t="s">
        <v>131</v>
      </c>
      <c r="C42" s="405">
        <v>46093</v>
      </c>
      <c r="D42" s="634" t="s">
        <v>94</v>
      </c>
      <c r="E42" s="635"/>
      <c r="F42" s="190">
        <v>290</v>
      </c>
      <c r="G42" s="191">
        <v>800</v>
      </c>
      <c r="H42" s="192">
        <f t="shared" ref="H42:H49" si="4">+F42*G42</f>
        <v>232000</v>
      </c>
    </row>
    <row r="43" spans="1:8" ht="14.4" x14ac:dyDescent="0.3">
      <c r="A43" s="403"/>
      <c r="B43" s="403"/>
      <c r="C43" s="406"/>
      <c r="D43" s="634" t="s">
        <v>96</v>
      </c>
      <c r="E43" s="635"/>
      <c r="F43" s="190">
        <v>1</v>
      </c>
      <c r="G43" s="191">
        <v>35000</v>
      </c>
      <c r="H43" s="192">
        <f t="shared" si="4"/>
        <v>35000</v>
      </c>
    </row>
    <row r="44" spans="1:8" ht="14.4" x14ac:dyDescent="0.3">
      <c r="A44" s="403"/>
      <c r="B44" s="403"/>
      <c r="C44" s="406"/>
      <c r="D44" s="634" t="s">
        <v>97</v>
      </c>
      <c r="E44" s="635"/>
      <c r="F44" s="190">
        <v>1</v>
      </c>
      <c r="G44" s="191">
        <v>47500</v>
      </c>
      <c r="H44" s="192">
        <f t="shared" si="4"/>
        <v>47500</v>
      </c>
    </row>
    <row r="45" spans="1:8" ht="14.4" x14ac:dyDescent="0.3">
      <c r="A45" s="403"/>
      <c r="B45" s="403"/>
      <c r="C45" s="406"/>
      <c r="D45" s="567" t="s">
        <v>95</v>
      </c>
      <c r="E45" s="568" t="s">
        <v>54</v>
      </c>
      <c r="F45" s="112">
        <v>2300</v>
      </c>
      <c r="G45" s="113">
        <v>200</v>
      </c>
      <c r="H45" s="114">
        <f t="shared" si="4"/>
        <v>460000</v>
      </c>
    </row>
    <row r="46" spans="1:8" ht="14.4" x14ac:dyDescent="0.3">
      <c r="A46" s="403"/>
      <c r="B46" s="403"/>
      <c r="C46" s="406"/>
      <c r="D46" s="567" t="s">
        <v>98</v>
      </c>
      <c r="E46" s="568" t="s">
        <v>55</v>
      </c>
      <c r="F46" s="112">
        <v>2</v>
      </c>
      <c r="G46" s="113">
        <v>70000</v>
      </c>
      <c r="H46" s="114">
        <f t="shared" si="4"/>
        <v>140000</v>
      </c>
    </row>
    <row r="47" spans="1:8" ht="14.4" x14ac:dyDescent="0.3">
      <c r="A47" s="403"/>
      <c r="B47" s="403"/>
      <c r="C47" s="406"/>
      <c r="D47" s="567" t="s">
        <v>99</v>
      </c>
      <c r="E47" s="568" t="s">
        <v>81</v>
      </c>
      <c r="F47" s="112">
        <v>1</v>
      </c>
      <c r="G47" s="113">
        <v>47500</v>
      </c>
      <c r="H47" s="114">
        <f t="shared" si="4"/>
        <v>47500</v>
      </c>
    </row>
    <row r="48" spans="1:8" ht="14.4" x14ac:dyDescent="0.3">
      <c r="A48" s="403"/>
      <c r="B48" s="403"/>
      <c r="C48" s="406"/>
      <c r="D48" s="634" t="s">
        <v>133</v>
      </c>
      <c r="E48" s="635" t="s">
        <v>82</v>
      </c>
      <c r="F48" s="190">
        <v>4</v>
      </c>
      <c r="G48" s="193">
        <v>25000</v>
      </c>
      <c r="H48" s="192">
        <f t="shared" si="4"/>
        <v>100000</v>
      </c>
    </row>
    <row r="49" spans="1:8" ht="14.4" x14ac:dyDescent="0.3">
      <c r="A49" s="403"/>
      <c r="B49" s="403"/>
      <c r="C49" s="406"/>
      <c r="D49" s="634" t="s">
        <v>181</v>
      </c>
      <c r="E49" s="635"/>
      <c r="F49" s="190">
        <v>1</v>
      </c>
      <c r="G49" s="193">
        <v>90000</v>
      </c>
      <c r="H49" s="192">
        <f t="shared" si="4"/>
        <v>90000</v>
      </c>
    </row>
    <row r="50" spans="1:8" thickBot="1" x14ac:dyDescent="0.35">
      <c r="A50" s="404"/>
      <c r="B50" s="404"/>
      <c r="C50" s="407"/>
      <c r="D50" s="535" t="s">
        <v>22</v>
      </c>
      <c r="E50" s="485"/>
      <c r="F50" s="485"/>
      <c r="G50" s="418"/>
      <c r="H50" s="115">
        <f>SUM(H42:H49)</f>
        <v>1152000</v>
      </c>
    </row>
    <row r="51" spans="1:8" ht="14.4" customHeight="1" x14ac:dyDescent="0.3">
      <c r="A51" s="403">
        <v>6</v>
      </c>
      <c r="B51" s="402" t="s">
        <v>23</v>
      </c>
      <c r="C51" s="405">
        <v>46114</v>
      </c>
      <c r="D51" s="634" t="s">
        <v>94</v>
      </c>
      <c r="E51" s="635"/>
      <c r="F51" s="190">
        <v>290</v>
      </c>
      <c r="G51" s="191">
        <v>800</v>
      </c>
      <c r="H51" s="192">
        <f t="shared" ref="H51:H58" si="5">+F51*G51</f>
        <v>232000</v>
      </c>
    </row>
    <row r="52" spans="1:8" ht="14.4" x14ac:dyDescent="0.3">
      <c r="A52" s="403"/>
      <c r="B52" s="403"/>
      <c r="C52" s="406"/>
      <c r="D52" s="634" t="s">
        <v>96</v>
      </c>
      <c r="E52" s="635"/>
      <c r="F52" s="190">
        <v>1</v>
      </c>
      <c r="G52" s="191">
        <v>35000</v>
      </c>
      <c r="H52" s="192">
        <f t="shared" si="5"/>
        <v>35000</v>
      </c>
    </row>
    <row r="53" spans="1:8" ht="14.4" x14ac:dyDescent="0.3">
      <c r="A53" s="403"/>
      <c r="B53" s="403"/>
      <c r="C53" s="406"/>
      <c r="D53" s="634" t="s">
        <v>97</v>
      </c>
      <c r="E53" s="635"/>
      <c r="F53" s="190">
        <v>1</v>
      </c>
      <c r="G53" s="191">
        <v>47500</v>
      </c>
      <c r="H53" s="192">
        <f t="shared" si="5"/>
        <v>47500</v>
      </c>
    </row>
    <row r="54" spans="1:8" ht="14.4" x14ac:dyDescent="0.3">
      <c r="A54" s="403"/>
      <c r="B54" s="403"/>
      <c r="C54" s="406"/>
      <c r="D54" s="567" t="s">
        <v>95</v>
      </c>
      <c r="E54" s="568" t="s">
        <v>54</v>
      </c>
      <c r="F54" s="112">
        <v>2300</v>
      </c>
      <c r="G54" s="113">
        <v>200</v>
      </c>
      <c r="H54" s="114">
        <f t="shared" si="5"/>
        <v>460000</v>
      </c>
    </row>
    <row r="55" spans="1:8" ht="14.4" x14ac:dyDescent="0.3">
      <c r="A55" s="403"/>
      <c r="B55" s="403"/>
      <c r="C55" s="406"/>
      <c r="D55" s="567" t="s">
        <v>98</v>
      </c>
      <c r="E55" s="568" t="s">
        <v>55</v>
      </c>
      <c r="F55" s="112">
        <v>2</v>
      </c>
      <c r="G55" s="113">
        <v>70000</v>
      </c>
      <c r="H55" s="114">
        <f t="shared" si="5"/>
        <v>140000</v>
      </c>
    </row>
    <row r="56" spans="1:8" ht="14.4" x14ac:dyDescent="0.3">
      <c r="A56" s="403"/>
      <c r="B56" s="403"/>
      <c r="C56" s="406"/>
      <c r="D56" s="567" t="s">
        <v>99</v>
      </c>
      <c r="E56" s="568" t="s">
        <v>81</v>
      </c>
      <c r="F56" s="112">
        <v>1</v>
      </c>
      <c r="G56" s="113">
        <v>47500</v>
      </c>
      <c r="H56" s="114">
        <f t="shared" si="5"/>
        <v>47500</v>
      </c>
    </row>
    <row r="57" spans="1:8" ht="14.4" x14ac:dyDescent="0.3">
      <c r="A57" s="403"/>
      <c r="B57" s="403"/>
      <c r="C57" s="406"/>
      <c r="D57" s="634" t="s">
        <v>133</v>
      </c>
      <c r="E57" s="635" t="s">
        <v>82</v>
      </c>
      <c r="F57" s="190">
        <v>4</v>
      </c>
      <c r="G57" s="193">
        <v>25000</v>
      </c>
      <c r="H57" s="192">
        <f t="shared" si="5"/>
        <v>100000</v>
      </c>
    </row>
    <row r="58" spans="1:8" ht="14.4" x14ac:dyDescent="0.3">
      <c r="A58" s="403"/>
      <c r="B58" s="403"/>
      <c r="C58" s="406"/>
      <c r="D58" s="634" t="s">
        <v>181</v>
      </c>
      <c r="E58" s="635"/>
      <c r="F58" s="190">
        <v>1</v>
      </c>
      <c r="G58" s="193">
        <v>90000</v>
      </c>
      <c r="H58" s="192">
        <f t="shared" si="5"/>
        <v>90000</v>
      </c>
    </row>
    <row r="59" spans="1:8" thickBot="1" x14ac:dyDescent="0.35">
      <c r="A59" s="404"/>
      <c r="B59" s="404"/>
      <c r="C59" s="407"/>
      <c r="D59" s="535" t="s">
        <v>22</v>
      </c>
      <c r="E59" s="485"/>
      <c r="F59" s="485"/>
      <c r="G59" s="418"/>
      <c r="H59" s="115">
        <f>SUM(H51:H58)</f>
        <v>1152000</v>
      </c>
    </row>
    <row r="60" spans="1:8" ht="14.4" customHeight="1" x14ac:dyDescent="0.3">
      <c r="A60" s="403">
        <v>7</v>
      </c>
      <c r="B60" s="402" t="s">
        <v>220</v>
      </c>
      <c r="C60" s="405">
        <v>46131</v>
      </c>
      <c r="D60" s="634" t="s">
        <v>94</v>
      </c>
      <c r="E60" s="635"/>
      <c r="F60" s="190">
        <v>290</v>
      </c>
      <c r="G60" s="191">
        <v>800</v>
      </c>
      <c r="H60" s="192">
        <f t="shared" ref="H60:H67" si="6">+F60*G60</f>
        <v>232000</v>
      </c>
    </row>
    <row r="61" spans="1:8" ht="14.4" x14ac:dyDescent="0.3">
      <c r="A61" s="403"/>
      <c r="B61" s="403"/>
      <c r="C61" s="406"/>
      <c r="D61" s="634" t="s">
        <v>96</v>
      </c>
      <c r="E61" s="635"/>
      <c r="F61" s="190">
        <v>1</v>
      </c>
      <c r="G61" s="191">
        <v>35000</v>
      </c>
      <c r="H61" s="192">
        <f t="shared" si="6"/>
        <v>35000</v>
      </c>
    </row>
    <row r="62" spans="1:8" ht="14.4" x14ac:dyDescent="0.3">
      <c r="A62" s="403"/>
      <c r="B62" s="403"/>
      <c r="C62" s="406"/>
      <c r="D62" s="634" t="s">
        <v>97</v>
      </c>
      <c r="E62" s="635"/>
      <c r="F62" s="190">
        <v>1</v>
      </c>
      <c r="G62" s="191">
        <v>47500</v>
      </c>
      <c r="H62" s="192">
        <f t="shared" si="6"/>
        <v>47500</v>
      </c>
    </row>
    <row r="63" spans="1:8" ht="14.4" x14ac:dyDescent="0.3">
      <c r="A63" s="403"/>
      <c r="B63" s="403"/>
      <c r="C63" s="406"/>
      <c r="D63" s="567" t="s">
        <v>95</v>
      </c>
      <c r="E63" s="568" t="s">
        <v>54</v>
      </c>
      <c r="F63" s="112">
        <v>2300</v>
      </c>
      <c r="G63" s="113">
        <v>200</v>
      </c>
      <c r="H63" s="114">
        <f t="shared" si="6"/>
        <v>460000</v>
      </c>
    </row>
    <row r="64" spans="1:8" ht="14.4" x14ac:dyDescent="0.3">
      <c r="A64" s="403"/>
      <c r="B64" s="403"/>
      <c r="C64" s="406"/>
      <c r="D64" s="567" t="s">
        <v>98</v>
      </c>
      <c r="E64" s="568" t="s">
        <v>55</v>
      </c>
      <c r="F64" s="112">
        <v>2</v>
      </c>
      <c r="G64" s="113">
        <v>70000</v>
      </c>
      <c r="H64" s="114">
        <f t="shared" si="6"/>
        <v>140000</v>
      </c>
    </row>
    <row r="65" spans="1:8" ht="14.4" x14ac:dyDescent="0.3">
      <c r="A65" s="403"/>
      <c r="B65" s="403"/>
      <c r="C65" s="406"/>
      <c r="D65" s="567" t="s">
        <v>99</v>
      </c>
      <c r="E65" s="568" t="s">
        <v>81</v>
      </c>
      <c r="F65" s="112">
        <v>1</v>
      </c>
      <c r="G65" s="113">
        <v>47500</v>
      </c>
      <c r="H65" s="114">
        <f t="shared" si="6"/>
        <v>47500</v>
      </c>
    </row>
    <row r="66" spans="1:8" ht="14.4" x14ac:dyDescent="0.3">
      <c r="A66" s="403"/>
      <c r="B66" s="403"/>
      <c r="C66" s="406"/>
      <c r="D66" s="634" t="s">
        <v>133</v>
      </c>
      <c r="E66" s="635" t="s">
        <v>82</v>
      </c>
      <c r="F66" s="190">
        <v>4</v>
      </c>
      <c r="G66" s="193">
        <v>25000</v>
      </c>
      <c r="H66" s="192">
        <f t="shared" si="6"/>
        <v>100000</v>
      </c>
    </row>
    <row r="67" spans="1:8" ht="14.4" x14ac:dyDescent="0.3">
      <c r="A67" s="403"/>
      <c r="B67" s="403"/>
      <c r="C67" s="406"/>
      <c r="D67" s="634" t="s">
        <v>181</v>
      </c>
      <c r="E67" s="635"/>
      <c r="F67" s="190">
        <v>1</v>
      </c>
      <c r="G67" s="193">
        <v>90000</v>
      </c>
      <c r="H67" s="192">
        <f t="shared" si="6"/>
        <v>90000</v>
      </c>
    </row>
    <row r="68" spans="1:8" thickBot="1" x14ac:dyDescent="0.35">
      <c r="A68" s="404"/>
      <c r="B68" s="404"/>
      <c r="C68" s="407"/>
      <c r="D68" s="535" t="s">
        <v>22</v>
      </c>
      <c r="E68" s="485"/>
      <c r="F68" s="485"/>
      <c r="G68" s="418"/>
      <c r="H68" s="115">
        <f>SUM(H60:H67)</f>
        <v>1152000</v>
      </c>
    </row>
    <row r="69" spans="1:8" ht="14.4" x14ac:dyDescent="0.3">
      <c r="A69" s="176"/>
      <c r="B69" s="176"/>
      <c r="C69" s="177"/>
      <c r="D69" s="36"/>
      <c r="E69" s="36"/>
      <c r="F69" s="36"/>
      <c r="G69" s="36"/>
      <c r="H69" s="178"/>
    </row>
    <row r="70" spans="1:8" ht="14.4" x14ac:dyDescent="0.3">
      <c r="A70" s="152"/>
      <c r="B70" s="152"/>
      <c r="C70" s="153"/>
      <c r="D70" s="154"/>
      <c r="E70" s="154"/>
      <c r="F70" s="154"/>
      <c r="G70" s="154"/>
      <c r="H70" s="155"/>
    </row>
    <row r="71" spans="1:8" ht="17.399999999999999" customHeight="1" x14ac:dyDescent="0.3">
      <c r="A71" s="589" t="s">
        <v>108</v>
      </c>
      <c r="B71" s="589"/>
      <c r="C71" s="589"/>
      <c r="E71" s="598" t="s">
        <v>108</v>
      </c>
      <c r="F71" s="598"/>
      <c r="G71" s="598"/>
      <c r="H71" s="598"/>
    </row>
    <row r="72" spans="1:8" ht="15.75" customHeight="1" x14ac:dyDescent="0.3">
      <c r="A72" s="590" t="s">
        <v>109</v>
      </c>
      <c r="B72" s="590"/>
      <c r="C72" s="590"/>
      <c r="E72" s="597" t="s">
        <v>64</v>
      </c>
      <c r="F72" s="597"/>
      <c r="G72" s="597"/>
      <c r="H72" s="597"/>
    </row>
    <row r="73" spans="1:8" ht="15.75" customHeight="1" x14ac:dyDescent="0.3">
      <c r="A73" s="129" t="s">
        <v>105</v>
      </c>
      <c r="B73" s="129" t="s">
        <v>106</v>
      </c>
      <c r="C73" s="129" t="s">
        <v>107</v>
      </c>
      <c r="E73" s="139" t="s">
        <v>117</v>
      </c>
      <c r="F73" s="129" t="s">
        <v>105</v>
      </c>
      <c r="G73" s="129" t="s">
        <v>106</v>
      </c>
      <c r="H73" s="129" t="s">
        <v>107</v>
      </c>
    </row>
    <row r="74" spans="1:8" ht="15.75" customHeight="1" x14ac:dyDescent="0.3">
      <c r="A74" s="130">
        <v>46220</v>
      </c>
      <c r="B74" s="350" t="s">
        <v>144</v>
      </c>
      <c r="C74" s="131">
        <v>2500000</v>
      </c>
      <c r="E74" s="126">
        <v>1</v>
      </c>
      <c r="F74" s="138">
        <v>46045</v>
      </c>
      <c r="G74" s="111" t="s">
        <v>225</v>
      </c>
      <c r="H74" s="65">
        <f>+H9+H10+H11</f>
        <v>647500</v>
      </c>
    </row>
    <row r="75" spans="1:8" ht="15.75" customHeight="1" x14ac:dyDescent="0.3">
      <c r="A75" s="130"/>
      <c r="B75" s="350"/>
      <c r="C75" s="131"/>
      <c r="E75" s="126">
        <v>2</v>
      </c>
      <c r="F75" s="138">
        <v>46053</v>
      </c>
      <c r="G75" s="111" t="s">
        <v>26</v>
      </c>
      <c r="H75" s="65">
        <f>+H18+H19+H20</f>
        <v>647500</v>
      </c>
    </row>
    <row r="76" spans="1:8" ht="15.75" customHeight="1" x14ac:dyDescent="0.3">
      <c r="A76" s="130"/>
      <c r="B76" s="350"/>
      <c r="C76" s="131"/>
      <c r="E76" s="126">
        <v>3</v>
      </c>
      <c r="F76" s="138">
        <v>46067</v>
      </c>
      <c r="G76" s="111" t="s">
        <v>226</v>
      </c>
      <c r="H76" s="65">
        <f>+H27+H28+H29</f>
        <v>647500</v>
      </c>
    </row>
    <row r="77" spans="1:8" ht="15.75" customHeight="1" x14ac:dyDescent="0.3">
      <c r="A77" s="130"/>
      <c r="B77" s="347"/>
      <c r="C77" s="131"/>
      <c r="E77" s="126">
        <v>4</v>
      </c>
      <c r="F77" s="138">
        <v>46081</v>
      </c>
      <c r="G77" s="111" t="s">
        <v>24</v>
      </c>
      <c r="H77" s="65">
        <f>+H36+H37+H38</f>
        <v>647500</v>
      </c>
    </row>
    <row r="78" spans="1:8" ht="15.75" customHeight="1" x14ac:dyDescent="0.3">
      <c r="A78" s="130"/>
      <c r="B78" s="347"/>
      <c r="C78" s="131"/>
      <c r="E78" s="126">
        <v>5</v>
      </c>
      <c r="F78" s="138">
        <v>46093</v>
      </c>
      <c r="G78" s="111" t="s">
        <v>131</v>
      </c>
      <c r="H78" s="65">
        <f>+H45+H46+H47</f>
        <v>647500</v>
      </c>
    </row>
    <row r="79" spans="1:8" ht="15.75" customHeight="1" x14ac:dyDescent="0.3">
      <c r="A79" s="130"/>
      <c r="B79" s="347"/>
      <c r="C79" s="131"/>
      <c r="E79" s="126">
        <v>6</v>
      </c>
      <c r="F79" s="138">
        <v>46114</v>
      </c>
      <c r="G79" s="111" t="s">
        <v>23</v>
      </c>
      <c r="H79" s="65">
        <f>+H54+H55+H56</f>
        <v>647500</v>
      </c>
    </row>
    <row r="80" spans="1:8" ht="15.75" customHeight="1" x14ac:dyDescent="0.3">
      <c r="A80" s="130"/>
      <c r="B80" s="347"/>
      <c r="C80" s="131"/>
      <c r="E80" s="126">
        <v>7</v>
      </c>
      <c r="F80" s="138">
        <v>46131</v>
      </c>
      <c r="G80" s="111" t="s">
        <v>220</v>
      </c>
      <c r="H80" s="65">
        <f>+H63+H64+H65</f>
        <v>647500</v>
      </c>
    </row>
    <row r="81" spans="1:8" ht="15.75" customHeight="1" x14ac:dyDescent="0.3">
      <c r="A81" s="130"/>
      <c r="B81" s="347"/>
      <c r="C81" s="131"/>
      <c r="E81" s="585" t="s">
        <v>118</v>
      </c>
      <c r="F81" s="585"/>
      <c r="G81" s="585"/>
      <c r="H81" s="143">
        <f>SUM(H74:H80)</f>
        <v>4532500</v>
      </c>
    </row>
    <row r="82" spans="1:8" ht="15.75" customHeight="1" x14ac:dyDescent="0.3">
      <c r="A82" s="585" t="s">
        <v>110</v>
      </c>
      <c r="B82" s="585"/>
      <c r="C82" s="65">
        <f>SUM(C74:C81)</f>
        <v>2500000</v>
      </c>
      <c r="E82" s="599"/>
      <c r="F82" s="592"/>
      <c r="G82" s="592"/>
      <c r="H82" s="131"/>
    </row>
    <row r="83" spans="1:8" ht="15.75" customHeight="1" x14ac:dyDescent="0.3">
      <c r="A83" s="586" t="s">
        <v>123</v>
      </c>
      <c r="B83" s="586"/>
      <c r="C83" s="586"/>
      <c r="E83" s="593" t="s">
        <v>119</v>
      </c>
      <c r="F83" s="593"/>
      <c r="G83" s="593"/>
      <c r="H83" s="187">
        <f>+H81</f>
        <v>4532500</v>
      </c>
    </row>
    <row r="84" spans="1:8" ht="15.75" customHeight="1" x14ac:dyDescent="0.3">
      <c r="A84" s="129" t="s">
        <v>105</v>
      </c>
      <c r="B84" s="129" t="s">
        <v>106</v>
      </c>
      <c r="C84" s="129" t="s">
        <v>107</v>
      </c>
    </row>
    <row r="85" spans="1:8" ht="15.75" customHeight="1" x14ac:dyDescent="0.3">
      <c r="A85" s="371" t="s">
        <v>233</v>
      </c>
      <c r="B85" s="128" t="s">
        <v>112</v>
      </c>
      <c r="C85" s="131">
        <f>+H100</f>
        <v>8064000</v>
      </c>
      <c r="E85" s="596" t="s">
        <v>61</v>
      </c>
      <c r="F85" s="596"/>
      <c r="G85" s="596"/>
      <c r="H85" s="596"/>
    </row>
    <row r="86" spans="1:8" ht="15.75" customHeight="1" x14ac:dyDescent="0.3">
      <c r="E86" s="129" t="s">
        <v>117</v>
      </c>
      <c r="F86" s="129" t="s">
        <v>105</v>
      </c>
      <c r="G86" s="129" t="s">
        <v>106</v>
      </c>
      <c r="H86" s="129" t="s">
        <v>107</v>
      </c>
    </row>
    <row r="87" spans="1:8" ht="15.75" customHeight="1" x14ac:dyDescent="0.3">
      <c r="A87" s="585" t="s">
        <v>124</v>
      </c>
      <c r="B87" s="585"/>
      <c r="C87" s="65">
        <f>SUM(C85:C85)</f>
        <v>8064000</v>
      </c>
      <c r="E87" s="126">
        <v>1</v>
      </c>
      <c r="F87" s="138">
        <v>46045</v>
      </c>
      <c r="G87" s="111" t="s">
        <v>225</v>
      </c>
      <c r="H87" s="65">
        <f>+H6+H7+H8+H12+H13</f>
        <v>504500</v>
      </c>
    </row>
    <row r="88" spans="1:8" ht="15.75" customHeight="1" x14ac:dyDescent="0.3">
      <c r="A88" s="366"/>
      <c r="B88" s="366"/>
      <c r="C88" s="65"/>
      <c r="E88" s="126">
        <v>2</v>
      </c>
      <c r="F88" s="138">
        <v>46053</v>
      </c>
      <c r="G88" s="111" t="s">
        <v>26</v>
      </c>
      <c r="H88" s="65">
        <f>+H15+H16+H17+H21+H22</f>
        <v>504500</v>
      </c>
    </row>
    <row r="89" spans="1:8" ht="15.75" customHeight="1" x14ac:dyDescent="0.3">
      <c r="A89" s="587" t="s">
        <v>111</v>
      </c>
      <c r="B89" s="587"/>
      <c r="C89" s="159">
        <f>+C87-C82</f>
        <v>5564000</v>
      </c>
      <c r="E89" s="126">
        <v>3</v>
      </c>
      <c r="F89" s="138">
        <v>46067</v>
      </c>
      <c r="G89" s="111" t="s">
        <v>226</v>
      </c>
      <c r="H89" s="65">
        <f>+H24+H25+H26+H30+H31</f>
        <v>504500</v>
      </c>
    </row>
    <row r="90" spans="1:8" ht="15.75" customHeight="1" x14ac:dyDescent="0.3">
      <c r="A90" s="366"/>
      <c r="B90" s="366"/>
      <c r="C90" s="65"/>
      <c r="E90" s="126">
        <v>4</v>
      </c>
      <c r="F90" s="138">
        <v>46081</v>
      </c>
      <c r="G90" s="111" t="s">
        <v>24</v>
      </c>
      <c r="H90" s="65">
        <f>+H33+H34+H35+H39+H40</f>
        <v>504500</v>
      </c>
    </row>
    <row r="91" spans="1:8" ht="15.75" customHeight="1" thickBot="1" x14ac:dyDescent="0.35">
      <c r="A91" s="366"/>
      <c r="B91" s="366"/>
      <c r="C91" s="65"/>
      <c r="E91" s="126">
        <v>5</v>
      </c>
      <c r="F91" s="138">
        <v>46093</v>
      </c>
      <c r="G91" s="111" t="s">
        <v>131</v>
      </c>
      <c r="H91" s="65">
        <f>+H42+H43+H44+H48+H49</f>
        <v>504500</v>
      </c>
    </row>
    <row r="92" spans="1:8" ht="15.75" customHeight="1" thickBot="1" x14ac:dyDescent="0.35">
      <c r="A92" s="637" t="s">
        <v>64</v>
      </c>
      <c r="B92" s="289" t="s">
        <v>184</v>
      </c>
      <c r="C92" s="290">
        <f>+H83</f>
        <v>4532500</v>
      </c>
      <c r="E92" s="126">
        <v>6</v>
      </c>
      <c r="F92" s="138">
        <v>46114</v>
      </c>
      <c r="G92" s="111" t="s">
        <v>23</v>
      </c>
      <c r="H92" s="65">
        <f>+H51+H52+H53+H57+H58</f>
        <v>504500</v>
      </c>
    </row>
    <row r="93" spans="1:8" ht="15.75" customHeight="1" thickBot="1" x14ac:dyDescent="0.35">
      <c r="A93" s="637"/>
      <c r="B93" s="291" t="s">
        <v>144</v>
      </c>
      <c r="C93" s="292">
        <f>+C74+C76</f>
        <v>2500000</v>
      </c>
      <c r="E93" s="126">
        <v>7</v>
      </c>
      <c r="F93" s="138">
        <v>46131</v>
      </c>
      <c r="G93" s="111" t="s">
        <v>220</v>
      </c>
      <c r="H93" s="65">
        <f>+H60+H61+H62+H66+H67</f>
        <v>504500</v>
      </c>
    </row>
    <row r="94" spans="1:8" ht="15.75" customHeight="1" thickBot="1" x14ac:dyDescent="0.35">
      <c r="A94" s="637"/>
      <c r="B94" s="293" t="s">
        <v>185</v>
      </c>
      <c r="C94" s="294">
        <f>+C92-C93</f>
        <v>2032500</v>
      </c>
      <c r="F94" s="366"/>
      <c r="G94" s="366" t="s">
        <v>118</v>
      </c>
      <c r="H94" s="143">
        <f>SUM(H87:H93)</f>
        <v>3531500</v>
      </c>
    </row>
    <row r="95" spans="1:8" ht="15.75" customHeight="1" thickBot="1" x14ac:dyDescent="0.35">
      <c r="A95" s="637" t="s">
        <v>186</v>
      </c>
      <c r="B95" s="289" t="s">
        <v>187</v>
      </c>
      <c r="C95" s="290">
        <f>+H96</f>
        <v>3531500</v>
      </c>
      <c r="F95" s="367"/>
      <c r="G95" s="368"/>
      <c r="H95" s="131"/>
    </row>
    <row r="96" spans="1:8" ht="15.75" customHeight="1" thickBot="1" x14ac:dyDescent="0.35">
      <c r="A96" s="637"/>
      <c r="B96" s="291" t="s">
        <v>167</v>
      </c>
      <c r="C96" s="292">
        <f>+C75</f>
        <v>0</v>
      </c>
      <c r="E96" s="593" t="s">
        <v>119</v>
      </c>
      <c r="F96" s="593"/>
      <c r="G96" s="593"/>
      <c r="H96" s="144">
        <f>+H94</f>
        <v>3531500</v>
      </c>
    </row>
    <row r="97" spans="1:8" ht="15.75" customHeight="1" thickBot="1" x14ac:dyDescent="0.35">
      <c r="A97" s="637"/>
      <c r="B97" s="293" t="s">
        <v>185</v>
      </c>
      <c r="C97" s="294">
        <f>+C95-C96</f>
        <v>3531500</v>
      </c>
    </row>
    <row r="98" spans="1:8" ht="15.75" customHeight="1" x14ac:dyDescent="0.3">
      <c r="E98" s="636" t="s">
        <v>121</v>
      </c>
      <c r="F98" s="636"/>
      <c r="G98" s="636"/>
      <c r="H98" s="145">
        <f>+H83+H96</f>
        <v>8064000</v>
      </c>
    </row>
    <row r="99" spans="1:8" ht="15.75" customHeight="1" x14ac:dyDescent="0.3"/>
    <row r="100" spans="1:8" ht="14.4" x14ac:dyDescent="0.3">
      <c r="E100" s="587" t="s">
        <v>122</v>
      </c>
      <c r="F100" s="587"/>
      <c r="G100" s="587"/>
      <c r="H100" s="158">
        <f>+H83+H96</f>
        <v>8064000</v>
      </c>
    </row>
    <row r="101" spans="1:8" ht="15.75" customHeight="1" x14ac:dyDescent="0.3"/>
    <row r="102" spans="1:8" ht="15.75" customHeight="1" x14ac:dyDescent="0.3"/>
    <row r="103" spans="1:8" ht="15.75" customHeight="1" x14ac:dyDescent="0.3"/>
    <row r="104" spans="1:8" ht="15.75" customHeight="1" x14ac:dyDescent="0.3"/>
    <row r="105" spans="1:8" ht="15.75" customHeight="1" x14ac:dyDescent="0.3"/>
    <row r="106" spans="1:8" ht="15.75" customHeight="1" x14ac:dyDescent="0.3"/>
    <row r="107" spans="1:8" ht="15.75" customHeight="1" x14ac:dyDescent="0.3"/>
    <row r="108" spans="1:8" ht="15.75" customHeight="1" x14ac:dyDescent="0.3"/>
    <row r="109" spans="1:8" ht="15.75" customHeight="1" x14ac:dyDescent="0.3"/>
    <row r="110" spans="1:8" ht="15.75" customHeight="1" x14ac:dyDescent="0.3"/>
    <row r="111" spans="1:8" ht="15.75" customHeight="1" x14ac:dyDescent="0.3"/>
    <row r="112" spans="1:8" ht="15.75" customHeight="1" x14ac:dyDescent="0.3"/>
    <row r="113" ht="15.75" customHeight="1" x14ac:dyDescent="0.3"/>
    <row r="114" ht="15.75" customHeight="1" x14ac:dyDescent="0.3"/>
    <row r="115" ht="14.4" x14ac:dyDescent="0.3"/>
    <row r="116" ht="15.75" customHeight="1" x14ac:dyDescent="0.3"/>
    <row r="117" ht="14.4" x14ac:dyDescent="0.3"/>
    <row r="118" ht="15.6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</sheetData>
  <mergeCells count="104">
    <mergeCell ref="E96:G96"/>
    <mergeCell ref="E98:G98"/>
    <mergeCell ref="E100:G100"/>
    <mergeCell ref="E83:G83"/>
    <mergeCell ref="E85:H85"/>
    <mergeCell ref="A87:B87"/>
    <mergeCell ref="A89:B89"/>
    <mergeCell ref="A92:A94"/>
    <mergeCell ref="A95:A97"/>
    <mergeCell ref="A72:C72"/>
    <mergeCell ref="E72:H72"/>
    <mergeCell ref="A82:B82"/>
    <mergeCell ref="E81:G81"/>
    <mergeCell ref="A83:C83"/>
    <mergeCell ref="E82:G82"/>
    <mergeCell ref="A71:C71"/>
    <mergeCell ref="E71:H71"/>
    <mergeCell ref="D68:G68"/>
    <mergeCell ref="D64:E64"/>
    <mergeCell ref="D65:E65"/>
    <mergeCell ref="D66:E66"/>
    <mergeCell ref="D67:E67"/>
    <mergeCell ref="D57:E57"/>
    <mergeCell ref="D58:E58"/>
    <mergeCell ref="D59:G59"/>
    <mergeCell ref="A60:A68"/>
    <mergeCell ref="B60:B68"/>
    <mergeCell ref="C60:C68"/>
    <mergeCell ref="D60:E60"/>
    <mergeCell ref="D61:E61"/>
    <mergeCell ref="D62:E62"/>
    <mergeCell ref="D63:E63"/>
    <mergeCell ref="D54:E54"/>
    <mergeCell ref="D55:E55"/>
    <mergeCell ref="D56:E56"/>
    <mergeCell ref="D47:E47"/>
    <mergeCell ref="D48:E48"/>
    <mergeCell ref="D49:E49"/>
    <mergeCell ref="D50:G50"/>
    <mergeCell ref="A51:A59"/>
    <mergeCell ref="B51:B59"/>
    <mergeCell ref="C51:C59"/>
    <mergeCell ref="D51:E51"/>
    <mergeCell ref="D52:E52"/>
    <mergeCell ref="A42:A50"/>
    <mergeCell ref="B42:B50"/>
    <mergeCell ref="C42:C50"/>
    <mergeCell ref="D42:E42"/>
    <mergeCell ref="D43:E43"/>
    <mergeCell ref="D44:E44"/>
    <mergeCell ref="D45:E45"/>
    <mergeCell ref="D46:E46"/>
    <mergeCell ref="D53:E53"/>
    <mergeCell ref="D37:E37"/>
    <mergeCell ref="D38:E38"/>
    <mergeCell ref="D39:E39"/>
    <mergeCell ref="D40:E40"/>
    <mergeCell ref="D30:E30"/>
    <mergeCell ref="D31:E31"/>
    <mergeCell ref="D32:G32"/>
    <mergeCell ref="A33:A41"/>
    <mergeCell ref="B33:B41"/>
    <mergeCell ref="C33:C41"/>
    <mergeCell ref="D33:E33"/>
    <mergeCell ref="D34:E34"/>
    <mergeCell ref="D35:E35"/>
    <mergeCell ref="D36:E36"/>
    <mergeCell ref="D41:G41"/>
    <mergeCell ref="D27:E27"/>
    <mergeCell ref="D28:E28"/>
    <mergeCell ref="D29:E29"/>
    <mergeCell ref="D20:E20"/>
    <mergeCell ref="D21:E21"/>
    <mergeCell ref="D22:E22"/>
    <mergeCell ref="D23:G23"/>
    <mergeCell ref="A24:A32"/>
    <mergeCell ref="B24:B32"/>
    <mergeCell ref="C24:C32"/>
    <mergeCell ref="D24:E24"/>
    <mergeCell ref="D25:E25"/>
    <mergeCell ref="A15:A23"/>
    <mergeCell ref="B15:B23"/>
    <mergeCell ref="C15:C23"/>
    <mergeCell ref="D15:E15"/>
    <mergeCell ref="D16:E16"/>
    <mergeCell ref="D17:E17"/>
    <mergeCell ref="D18:E18"/>
    <mergeCell ref="D19:E19"/>
    <mergeCell ref="D26:E26"/>
    <mergeCell ref="D10:E10"/>
    <mergeCell ref="D11:E11"/>
    <mergeCell ref="D12:E12"/>
    <mergeCell ref="D13:E13"/>
    <mergeCell ref="A1:H3"/>
    <mergeCell ref="A4:H4"/>
    <mergeCell ref="D5:E5"/>
    <mergeCell ref="A6:A14"/>
    <mergeCell ref="B6:B14"/>
    <mergeCell ref="C6:C14"/>
    <mergeCell ref="D6:E6"/>
    <mergeCell ref="D7:E7"/>
    <mergeCell ref="D8:E8"/>
    <mergeCell ref="D9:E9"/>
    <mergeCell ref="D14:G14"/>
  </mergeCells>
  <printOptions horizontalCentered="1"/>
  <pageMargins left="0.31496062992125984" right="0.31496062992125984" top="0.35433070866141736" bottom="0.35433070866141736" header="0" footer="0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Talleres</vt:lpstr>
      <vt:lpstr>2023</vt:lpstr>
      <vt:lpstr>Rendicion Futbol 2023</vt:lpstr>
      <vt:lpstr>Rendicion Futbol 2023 - VALIDA</vt:lpstr>
      <vt:lpstr>2024</vt:lpstr>
      <vt:lpstr>Rendicion Futbol 2024</vt:lpstr>
      <vt:lpstr>2025</vt:lpstr>
      <vt:lpstr>Rendicion Futbol 2025 - Ene-Jun</vt:lpstr>
      <vt:lpstr>Rendicion Futbol 2025 - Jul-Dic</vt:lpstr>
      <vt:lpstr>Extraordinario Conmebol 2025</vt:lpstr>
      <vt:lpstr>Modif. Matias Conmebol</vt:lpstr>
      <vt:lpstr>2026 - 1er semestre</vt:lpstr>
      <vt:lpstr>2026 - 2do semestre</vt:lpstr>
      <vt:lpstr>Rendicion Futbol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</dc:creator>
  <cp:lastModifiedBy>LENOVO</cp:lastModifiedBy>
  <cp:lastPrinted>2026-07-23T23:16:29Z</cp:lastPrinted>
  <dcterms:created xsi:type="dcterms:W3CDTF">2022-04-18T14:34:50Z</dcterms:created>
  <dcterms:modified xsi:type="dcterms:W3CDTF">2026-08-17T12:35:30Z</dcterms:modified>
</cp:coreProperties>
</file>