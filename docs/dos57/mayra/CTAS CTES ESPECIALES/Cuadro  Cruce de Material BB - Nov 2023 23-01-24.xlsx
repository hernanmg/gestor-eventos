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MAYRA 2024\MAYRA - ENP_DOS57\CUENTAS CORRIENTES ESPECIALES\"/>
    </mc:Choice>
  </mc:AlternateContent>
  <bookViews>
    <workbookView xWindow="0" yWindow="0" windowWidth="23040" windowHeight="9192" tabRatio="854" firstSheet="20" activeTab="24"/>
  </bookViews>
  <sheets>
    <sheet name="xx" sheetId="3" state="hidden" r:id="rId1"/>
    <sheet name="Conteo" sheetId="19" state="hidden" r:id="rId2"/>
    <sheet name="INV OCTUBRE 2023 1 " sheetId="36" state="hidden" r:id="rId3"/>
    <sheet name="INVENTARIO OCTUBRE 2023" sheetId="42" r:id="rId4"/>
    <sheet name="INV + CRUCE MAT OCTUBRE 2023 " sheetId="40" r:id="rId5"/>
    <sheet name="ALQUILER OCTUBRE 2023  (2)" sheetId="38" state="hidden" r:id="rId6"/>
    <sheet name="INVENTARIO NOVIEMBRE " sheetId="43" r:id="rId7"/>
    <sheet name="INVENTARIO TENTATIVO FEB24" sheetId="44" r:id="rId8"/>
    <sheet name="REMITO A BB 15-11" sheetId="41" r:id="rId9"/>
    <sheet name="ALQ MARZO 2024 IACC" sheetId="45" r:id="rId10"/>
    <sheet name="REMITO MARZO 2024 IACC" sheetId="46" r:id="rId11"/>
    <sheet name="ALQ MARZO 2024 PUERTO" sheetId="47" r:id="rId12"/>
    <sheet name="REMITO MARZO 2024 PUERTO" sheetId="48" r:id="rId13"/>
    <sheet name="REMITO MARZO 2024 MENDOZA IACC" sheetId="49" r:id="rId14"/>
    <sheet name="REMITO MARZO 2024 MZA C1" sheetId="50" r:id="rId15"/>
    <sheet name="REMITO MARZO 2024 MZA C2" sheetId="52" r:id="rId16"/>
    <sheet name="REMITO MARZO 2024 C1 - LAHYER" sheetId="53" r:id="rId17"/>
    <sheet name="ALQ FEBRERO 2025 - ZAMORA" sheetId="54" r:id="rId18"/>
    <sheet name="COMPRA MATERIAL BB" sheetId="55" r:id="rId19"/>
    <sheet name="ALQ ENERO 2026 - ZAMORA" sheetId="56" r:id="rId20"/>
    <sheet name="COMPRA LAYHER 2026" sheetId="57" r:id="rId21"/>
    <sheet name="COMPRA LAYHER 2026 - POLLO" sheetId="58" r:id="rId22"/>
    <sheet name="ALQ 2DO SEMESTRE 2026 - ZAMORA" sheetId="59" r:id="rId23"/>
    <sheet name="ALQ 2DO SEMESTRE 2026 - ZAM 3%" sheetId="60" r:id="rId24"/>
    <sheet name="ALQ 2DO SEMESTRE 2026 - ZAM 3,5" sheetId="61" r:id="rId25"/>
    <sheet name="CUADRO STOCK VALLAS" sheetId="29" state="hidden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61" l="1"/>
  <c r="H6" i="61"/>
  <c r="H7" i="61"/>
  <c r="H8" i="61"/>
  <c r="H9" i="61"/>
  <c r="H10" i="61"/>
  <c r="H11" i="61"/>
  <c r="F11" i="61"/>
  <c r="G11" i="61" s="1"/>
  <c r="F10" i="61"/>
  <c r="G10" i="61" s="1"/>
  <c r="G9" i="61"/>
  <c r="F9" i="61"/>
  <c r="F8" i="61"/>
  <c r="G8" i="61" s="1"/>
  <c r="F7" i="61"/>
  <c r="G7" i="61" s="1"/>
  <c r="F6" i="61"/>
  <c r="G6" i="61" s="1"/>
  <c r="G5" i="61"/>
  <c r="F5" i="61"/>
  <c r="H5" i="60"/>
  <c r="H6" i="60"/>
  <c r="H7" i="60"/>
  <c r="H8" i="60"/>
  <c r="H9" i="60"/>
  <c r="H10" i="60"/>
  <c r="H11" i="60"/>
  <c r="F11" i="60"/>
  <c r="G11" i="60" s="1"/>
  <c r="G10" i="60"/>
  <c r="F10" i="60"/>
  <c r="F9" i="60"/>
  <c r="G9" i="60" s="1"/>
  <c r="F8" i="60"/>
  <c r="G8" i="60" s="1"/>
  <c r="F7" i="60"/>
  <c r="G7" i="60" s="1"/>
  <c r="G6" i="60"/>
  <c r="F6" i="60"/>
  <c r="F5" i="60"/>
  <c r="G5" i="60" s="1"/>
  <c r="G5" i="59"/>
  <c r="F11" i="59"/>
  <c r="G11" i="59" s="1"/>
  <c r="H11" i="59" s="1"/>
  <c r="F10" i="59"/>
  <c r="G10" i="59" s="1"/>
  <c r="H10" i="59" s="1"/>
  <c r="F9" i="59"/>
  <c r="G9" i="59" s="1"/>
  <c r="H9" i="59" s="1"/>
  <c r="G8" i="59"/>
  <c r="H8" i="59" s="1"/>
  <c r="F8" i="59"/>
  <c r="G7" i="59"/>
  <c r="H7" i="59" s="1"/>
  <c r="F7" i="59"/>
  <c r="G6" i="59"/>
  <c r="F6" i="59"/>
  <c r="F5" i="59"/>
  <c r="H5" i="59" s="1"/>
  <c r="H12" i="61" l="1"/>
  <c r="H14" i="61" s="1"/>
  <c r="G12" i="61"/>
  <c r="H12" i="60"/>
  <c r="H14" i="60" s="1"/>
  <c r="G12" i="60"/>
  <c r="G12" i="59"/>
  <c r="H6" i="59"/>
  <c r="H12" i="59" s="1"/>
  <c r="H14" i="59" s="1"/>
  <c r="F11" i="56"/>
  <c r="G11" i="56" s="1"/>
  <c r="H11" i="56" s="1"/>
  <c r="F10" i="56"/>
  <c r="G10" i="56" s="1"/>
  <c r="H10" i="56" s="1"/>
  <c r="F9" i="56"/>
  <c r="G9" i="56" s="1"/>
  <c r="H9" i="56" s="1"/>
  <c r="F8" i="56"/>
  <c r="G8" i="56" s="1"/>
  <c r="H8" i="56" s="1"/>
  <c r="F7" i="56"/>
  <c r="G7" i="56" s="1"/>
  <c r="H7" i="56" s="1"/>
  <c r="F6" i="56"/>
  <c r="G6" i="56" s="1"/>
  <c r="H6" i="56" s="1"/>
  <c r="F5" i="56"/>
  <c r="G5" i="56" s="1"/>
  <c r="G12" i="56" l="1"/>
  <c r="H5" i="56"/>
  <c r="H12" i="56" s="1"/>
  <c r="H14" i="56" s="1"/>
  <c r="G6" i="55"/>
  <c r="G5" i="55"/>
  <c r="G9" i="55" l="1"/>
  <c r="G8" i="55"/>
  <c r="G7" i="55"/>
  <c r="F9" i="55"/>
  <c r="F8" i="55"/>
  <c r="F7" i="55"/>
  <c r="F6" i="55"/>
  <c r="F5" i="55"/>
  <c r="G10" i="55" l="1"/>
  <c r="H21" i="54"/>
  <c r="H20" i="54"/>
  <c r="H8" i="54"/>
  <c r="H9" i="54"/>
  <c r="H10" i="54"/>
  <c r="H11" i="54"/>
  <c r="H12" i="54"/>
  <c r="H13" i="54"/>
  <c r="H14" i="54"/>
  <c r="H15" i="54"/>
  <c r="H16" i="54"/>
  <c r="H17" i="54"/>
  <c r="H7" i="54"/>
  <c r="H6" i="54"/>
  <c r="H5" i="54"/>
  <c r="G18" i="54"/>
  <c r="G17" i="54"/>
  <c r="G16" i="54"/>
  <c r="G15" i="54"/>
  <c r="G14" i="54"/>
  <c r="G13" i="54"/>
  <c r="G12" i="54"/>
  <c r="G11" i="54"/>
  <c r="G10" i="54"/>
  <c r="G9" i="54"/>
  <c r="G8" i="54"/>
  <c r="G7" i="54"/>
  <c r="G6" i="54"/>
  <c r="G5" i="54"/>
  <c r="F5" i="54"/>
  <c r="F6" i="54"/>
  <c r="F7" i="54"/>
  <c r="F8" i="54"/>
  <c r="F9" i="54"/>
  <c r="F10" i="54"/>
  <c r="F11" i="54"/>
  <c r="F12" i="54"/>
  <c r="F13" i="54"/>
  <c r="F14" i="54"/>
  <c r="F15" i="54"/>
  <c r="F16" i="54"/>
  <c r="F17" i="54"/>
  <c r="G33" i="47" l="1"/>
  <c r="G31" i="47"/>
  <c r="G30" i="47"/>
  <c r="F15" i="48"/>
  <c r="H15" i="48"/>
  <c r="F16" i="48"/>
  <c r="H16" i="48"/>
  <c r="H6" i="53" l="1"/>
  <c r="F6" i="53"/>
  <c r="H5" i="53"/>
  <c r="F5" i="53"/>
  <c r="H10" i="53"/>
  <c r="F10" i="53"/>
  <c r="H9" i="53"/>
  <c r="F9" i="53"/>
  <c r="H7" i="53"/>
  <c r="F7" i="53"/>
  <c r="H8" i="53"/>
  <c r="F8" i="53"/>
  <c r="H12" i="52" l="1"/>
  <c r="F12" i="52"/>
  <c r="H10" i="52"/>
  <c r="F10" i="52"/>
  <c r="H9" i="52"/>
  <c r="F9" i="52"/>
  <c r="H8" i="52"/>
  <c r="F8" i="52"/>
  <c r="H7" i="52"/>
  <c r="F7" i="52"/>
  <c r="H6" i="52"/>
  <c r="F6" i="52"/>
  <c r="H5" i="52"/>
  <c r="F5" i="52"/>
  <c r="H14" i="50"/>
  <c r="F14" i="50"/>
  <c r="H13" i="50"/>
  <c r="F13" i="50"/>
  <c r="H12" i="50"/>
  <c r="F12" i="50"/>
  <c r="H11" i="50"/>
  <c r="F11" i="50"/>
  <c r="H10" i="50"/>
  <c r="F10" i="50"/>
  <c r="H9" i="50"/>
  <c r="F9" i="50"/>
  <c r="H8" i="50"/>
  <c r="F8" i="50"/>
  <c r="H7" i="50"/>
  <c r="F7" i="50"/>
  <c r="H6" i="50"/>
  <c r="F6" i="50"/>
  <c r="H5" i="50"/>
  <c r="F5" i="50"/>
  <c r="F21" i="49"/>
  <c r="H21" i="49"/>
  <c r="F15" i="49"/>
  <c r="H15" i="49"/>
  <c r="F14" i="49"/>
  <c r="H14" i="49"/>
  <c r="F12" i="49"/>
  <c r="H12" i="49"/>
  <c r="F13" i="49"/>
  <c r="H13" i="49"/>
  <c r="F10" i="49"/>
  <c r="H10" i="49"/>
  <c r="H19" i="49"/>
  <c r="F19" i="49"/>
  <c r="H18" i="49"/>
  <c r="F18" i="49"/>
  <c r="H17" i="49"/>
  <c r="F17" i="49"/>
  <c r="H16" i="49"/>
  <c r="F16" i="49"/>
  <c r="H11" i="49"/>
  <c r="F11" i="49"/>
  <c r="H9" i="49"/>
  <c r="F9" i="49"/>
  <c r="H8" i="49"/>
  <c r="F8" i="49"/>
  <c r="H7" i="49"/>
  <c r="F7" i="49"/>
  <c r="H6" i="49"/>
  <c r="F6" i="49"/>
  <c r="H5" i="49"/>
  <c r="F5" i="49"/>
  <c r="G26" i="45"/>
  <c r="F12" i="48"/>
  <c r="H12" i="48"/>
  <c r="H14" i="48"/>
  <c r="F14" i="48"/>
  <c r="H13" i="48"/>
  <c r="F13" i="48"/>
  <c r="H11" i="48"/>
  <c r="F11" i="48"/>
  <c r="H10" i="48"/>
  <c r="F10" i="48"/>
  <c r="H9" i="48"/>
  <c r="F9" i="48"/>
  <c r="H8" i="48"/>
  <c r="F8" i="48"/>
  <c r="H7" i="48"/>
  <c r="F7" i="48"/>
  <c r="H6" i="48"/>
  <c r="F6" i="48"/>
  <c r="H5" i="48"/>
  <c r="F5" i="48"/>
  <c r="F26" i="47"/>
  <c r="G26" i="47" s="1"/>
  <c r="E25" i="47"/>
  <c r="F25" i="47" s="1"/>
  <c r="G25" i="47" s="1"/>
  <c r="E24" i="47"/>
  <c r="F24" i="47" s="1"/>
  <c r="G24" i="47" s="1"/>
  <c r="E23" i="47"/>
  <c r="F23" i="47" s="1"/>
  <c r="G23" i="47" s="1"/>
  <c r="E22" i="47"/>
  <c r="F22" i="47" s="1"/>
  <c r="G22" i="47" s="1"/>
  <c r="F21" i="47"/>
  <c r="G21" i="47" s="1"/>
  <c r="E20" i="47"/>
  <c r="F20" i="47" s="1"/>
  <c r="G20" i="47" s="1"/>
  <c r="E19" i="47"/>
  <c r="F19" i="47" s="1"/>
  <c r="G19" i="47" s="1"/>
  <c r="E18" i="47"/>
  <c r="F18" i="47" s="1"/>
  <c r="G18" i="47" s="1"/>
  <c r="E17" i="47"/>
  <c r="F17" i="47" s="1"/>
  <c r="G17" i="47" s="1"/>
  <c r="E16" i="47"/>
  <c r="F16" i="47" s="1"/>
  <c r="G16" i="47" s="1"/>
  <c r="F15" i="47"/>
  <c r="G15" i="47" s="1"/>
  <c r="E14" i="47"/>
  <c r="F14" i="47" s="1"/>
  <c r="G14" i="47" s="1"/>
  <c r="E13" i="47"/>
  <c r="F13" i="47" s="1"/>
  <c r="G13" i="47" s="1"/>
  <c r="E12" i="47"/>
  <c r="F12" i="47" s="1"/>
  <c r="G12" i="47" s="1"/>
  <c r="E11" i="47"/>
  <c r="F11" i="47" s="1"/>
  <c r="G11" i="47" s="1"/>
  <c r="E10" i="47"/>
  <c r="F10" i="47" s="1"/>
  <c r="G10" i="47" s="1"/>
  <c r="E9" i="47"/>
  <c r="F9" i="47" s="1"/>
  <c r="G9" i="47" s="1"/>
  <c r="E8" i="47"/>
  <c r="F8" i="47" s="1"/>
  <c r="G8" i="47" s="1"/>
  <c r="E7" i="47"/>
  <c r="F7" i="47" s="1"/>
  <c r="G7" i="47" s="1"/>
  <c r="E6" i="47"/>
  <c r="F6" i="47" s="1"/>
  <c r="G6" i="47" s="1"/>
  <c r="E5" i="47"/>
  <c r="F5" i="47" s="1"/>
  <c r="G5" i="47" s="1"/>
  <c r="F12" i="46"/>
  <c r="H12" i="46"/>
  <c r="F9" i="46"/>
  <c r="H9" i="46"/>
  <c r="H14" i="46"/>
  <c r="F14" i="46"/>
  <c r="H13" i="46"/>
  <c r="F13" i="46"/>
  <c r="H11" i="46"/>
  <c r="F11" i="46"/>
  <c r="H10" i="46"/>
  <c r="F10" i="46"/>
  <c r="H8" i="46"/>
  <c r="F8" i="46"/>
  <c r="H7" i="46"/>
  <c r="F7" i="46"/>
  <c r="H6" i="46"/>
  <c r="F6" i="46"/>
  <c r="H5" i="46"/>
  <c r="F5" i="46"/>
  <c r="G27" i="47" l="1"/>
  <c r="H18" i="54" l="1"/>
  <c r="F15" i="45"/>
  <c r="G15" i="45" s="1"/>
  <c r="F21" i="45"/>
  <c r="G21" i="45" s="1"/>
  <c r="E25" i="45"/>
  <c r="F25" i="45" s="1"/>
  <c r="G25" i="45" s="1"/>
  <c r="E24" i="45"/>
  <c r="F24" i="45" s="1"/>
  <c r="G24" i="45" s="1"/>
  <c r="E23" i="45"/>
  <c r="F23" i="45" s="1"/>
  <c r="G23" i="45" s="1"/>
  <c r="E22" i="45"/>
  <c r="F22" i="45" s="1"/>
  <c r="G22" i="45" s="1"/>
  <c r="E20" i="45"/>
  <c r="F20" i="45" s="1"/>
  <c r="G20" i="45" s="1"/>
  <c r="E19" i="45"/>
  <c r="F19" i="45" s="1"/>
  <c r="G19" i="45" s="1"/>
  <c r="E18" i="45"/>
  <c r="F18" i="45" s="1"/>
  <c r="G18" i="45" s="1"/>
  <c r="E17" i="45"/>
  <c r="F17" i="45" s="1"/>
  <c r="G17" i="45" s="1"/>
  <c r="E16" i="45"/>
  <c r="F16" i="45" s="1"/>
  <c r="G16" i="45" s="1"/>
  <c r="E14" i="45"/>
  <c r="F14" i="45" s="1"/>
  <c r="G14" i="45" s="1"/>
  <c r="E13" i="45"/>
  <c r="F13" i="45" s="1"/>
  <c r="G13" i="45" s="1"/>
  <c r="E12" i="45"/>
  <c r="F12" i="45" s="1"/>
  <c r="G12" i="45" s="1"/>
  <c r="E11" i="45"/>
  <c r="F11" i="45" s="1"/>
  <c r="G11" i="45" s="1"/>
  <c r="E10" i="45"/>
  <c r="F10" i="45" s="1"/>
  <c r="G10" i="45" s="1"/>
  <c r="E9" i="45"/>
  <c r="F9" i="45" s="1"/>
  <c r="G9" i="45" s="1"/>
  <c r="E8" i="45"/>
  <c r="F8" i="45" s="1"/>
  <c r="G8" i="45" s="1"/>
  <c r="E7" i="45"/>
  <c r="F7" i="45" s="1"/>
  <c r="G7" i="45" s="1"/>
  <c r="E6" i="45"/>
  <c r="F6" i="45" s="1"/>
  <c r="G6" i="45" s="1"/>
  <c r="E5" i="45"/>
  <c r="F5" i="45" s="1"/>
  <c r="G5" i="45" s="1"/>
  <c r="F5" i="44" l="1"/>
  <c r="G5" i="44" s="1"/>
  <c r="F7" i="44"/>
  <c r="F10" i="44"/>
  <c r="F11" i="44"/>
  <c r="F14" i="44"/>
  <c r="F15" i="44"/>
  <c r="F18" i="44"/>
  <c r="F19" i="44"/>
  <c r="F22" i="44"/>
  <c r="F23" i="44"/>
  <c r="E5" i="44"/>
  <c r="E6" i="44"/>
  <c r="F6" i="44" s="1"/>
  <c r="G6" i="44" s="1"/>
  <c r="G8" i="44" s="1"/>
  <c r="G10" i="44" s="1"/>
  <c r="G12" i="44" s="1"/>
  <c r="G14" i="44" s="1"/>
  <c r="G16" i="44" s="1"/>
  <c r="G18" i="44" s="1"/>
  <c r="G20" i="44" s="1"/>
  <c r="G22" i="44" s="1"/>
  <c r="E7" i="44"/>
  <c r="E8" i="44"/>
  <c r="F8" i="44" s="1"/>
  <c r="E9" i="44"/>
  <c r="F9" i="44" s="1"/>
  <c r="E10" i="44"/>
  <c r="E11" i="44"/>
  <c r="E12" i="44"/>
  <c r="F12" i="44" s="1"/>
  <c r="E13" i="44"/>
  <c r="F13" i="44" s="1"/>
  <c r="E14" i="44"/>
  <c r="E15" i="44"/>
  <c r="E16" i="44"/>
  <c r="F16" i="44" s="1"/>
  <c r="E17" i="44"/>
  <c r="F17" i="44" s="1"/>
  <c r="E18" i="44"/>
  <c r="E19" i="44"/>
  <c r="E20" i="44"/>
  <c r="F20" i="44" s="1"/>
  <c r="E21" i="44"/>
  <c r="F21" i="44" s="1"/>
  <c r="E22" i="44"/>
  <c r="E23" i="44"/>
  <c r="G7" i="44"/>
  <c r="G9" i="44" l="1"/>
  <c r="G11" i="44" s="1"/>
  <c r="G13" i="44" s="1"/>
  <c r="G15" i="44" s="1"/>
  <c r="G17" i="44" s="1"/>
  <c r="G19" i="44" s="1"/>
  <c r="G21" i="44" s="1"/>
  <c r="G23" i="44" s="1"/>
  <c r="G24" i="44"/>
  <c r="J26" i="43"/>
  <c r="I5" i="43"/>
  <c r="I6" i="43"/>
  <c r="I7" i="43"/>
  <c r="J7" i="43" s="1"/>
  <c r="I8" i="43"/>
  <c r="I9" i="43"/>
  <c r="I10" i="43"/>
  <c r="I11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J6" i="43"/>
  <c r="J5" i="43"/>
  <c r="J8" i="43" l="1"/>
  <c r="J9" i="43"/>
  <c r="G23" i="43"/>
  <c r="E23" i="43"/>
  <c r="G22" i="43"/>
  <c r="E22" i="43"/>
  <c r="G21" i="43"/>
  <c r="E21" i="43"/>
  <c r="G20" i="43"/>
  <c r="E20" i="43"/>
  <c r="G19" i="43"/>
  <c r="E19" i="43"/>
  <c r="G18" i="43"/>
  <c r="E18" i="43"/>
  <c r="G17" i="43"/>
  <c r="E17" i="43"/>
  <c r="G16" i="43"/>
  <c r="E16" i="43"/>
  <c r="G15" i="43"/>
  <c r="E15" i="43"/>
  <c r="G14" i="43"/>
  <c r="E14" i="43"/>
  <c r="G13" i="43"/>
  <c r="E13" i="43"/>
  <c r="G12" i="43"/>
  <c r="E12" i="43"/>
  <c r="G11" i="43"/>
  <c r="E11" i="43"/>
  <c r="G10" i="43"/>
  <c r="E10" i="43"/>
  <c r="G9" i="43"/>
  <c r="E9" i="43"/>
  <c r="G8" i="43"/>
  <c r="E8" i="43"/>
  <c r="G7" i="43"/>
  <c r="E7" i="43"/>
  <c r="G6" i="43"/>
  <c r="E6" i="43"/>
  <c r="G5" i="43"/>
  <c r="E5" i="43"/>
  <c r="J10" i="43" l="1"/>
  <c r="J11" i="43"/>
  <c r="F5" i="41"/>
  <c r="H5" i="41"/>
  <c r="J5" i="41" s="1"/>
  <c r="F6" i="41"/>
  <c r="H6" i="41"/>
  <c r="J6" i="41" s="1"/>
  <c r="F7" i="41"/>
  <c r="H7" i="41"/>
  <c r="F8" i="41"/>
  <c r="H8" i="41"/>
  <c r="J8" i="41" s="1"/>
  <c r="F9" i="41"/>
  <c r="H9" i="41"/>
  <c r="J9" i="41" s="1"/>
  <c r="F10" i="41"/>
  <c r="H10" i="41"/>
  <c r="J10" i="41" s="1"/>
  <c r="F11" i="41"/>
  <c r="H11" i="41"/>
  <c r="F12" i="41"/>
  <c r="H12" i="41"/>
  <c r="J12" i="41" s="1"/>
  <c r="F13" i="41"/>
  <c r="H13" i="41"/>
  <c r="J13" i="41" s="1"/>
  <c r="F14" i="41"/>
  <c r="H14" i="41"/>
  <c r="J14" i="41" s="1"/>
  <c r="F15" i="41"/>
  <c r="H15" i="41"/>
  <c r="J15" i="41" s="1"/>
  <c r="F16" i="41"/>
  <c r="H16" i="41"/>
  <c r="J16" i="41" s="1"/>
  <c r="F17" i="41"/>
  <c r="H17" i="41"/>
  <c r="J17" i="41" s="1"/>
  <c r="F18" i="41"/>
  <c r="H18" i="41"/>
  <c r="J18" i="41" s="1"/>
  <c r="F19" i="41"/>
  <c r="H19" i="41"/>
  <c r="F20" i="41"/>
  <c r="H20" i="41"/>
  <c r="J20" i="41" s="1"/>
  <c r="F21" i="41"/>
  <c r="H21" i="41"/>
  <c r="J21" i="41" s="1"/>
  <c r="F22" i="41"/>
  <c r="H22" i="41"/>
  <c r="J22" i="41" s="1"/>
  <c r="F23" i="41"/>
  <c r="H23" i="41"/>
  <c r="J19" i="41"/>
  <c r="J11" i="41"/>
  <c r="J7" i="41"/>
  <c r="I7" i="40"/>
  <c r="I11" i="40"/>
  <c r="I15" i="40"/>
  <c r="I19" i="40"/>
  <c r="I23" i="40"/>
  <c r="G6" i="40"/>
  <c r="I6" i="40" s="1"/>
  <c r="G5" i="40"/>
  <c r="I5" i="40" s="1"/>
  <c r="G7" i="40"/>
  <c r="G8" i="40"/>
  <c r="I8" i="40" s="1"/>
  <c r="G9" i="40"/>
  <c r="I9" i="40" s="1"/>
  <c r="G10" i="40"/>
  <c r="I10" i="40" s="1"/>
  <c r="G11" i="40"/>
  <c r="G12" i="40"/>
  <c r="I12" i="40" s="1"/>
  <c r="G13" i="40"/>
  <c r="I13" i="40" s="1"/>
  <c r="G14" i="40"/>
  <c r="I14" i="40" s="1"/>
  <c r="G15" i="40"/>
  <c r="G16" i="40"/>
  <c r="I16" i="40" s="1"/>
  <c r="G17" i="40"/>
  <c r="I17" i="40" s="1"/>
  <c r="G18" i="40"/>
  <c r="I18" i="40" s="1"/>
  <c r="G19" i="40"/>
  <c r="G20" i="40"/>
  <c r="I20" i="40" s="1"/>
  <c r="G21" i="40"/>
  <c r="I21" i="40" s="1"/>
  <c r="G22" i="40"/>
  <c r="I22" i="40" s="1"/>
  <c r="G23" i="40"/>
  <c r="E8" i="40"/>
  <c r="E7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6" i="40"/>
  <c r="E5" i="40"/>
  <c r="J13" i="43" l="1"/>
  <c r="J12" i="43"/>
  <c r="J23" i="41"/>
  <c r="J14" i="43" l="1"/>
  <c r="J15" i="43"/>
  <c r="F22" i="38"/>
  <c r="H22" i="38" s="1"/>
  <c r="I22" i="38" s="1"/>
  <c r="F21" i="38"/>
  <c r="H21" i="38" s="1"/>
  <c r="I21" i="38" s="1"/>
  <c r="F20" i="38"/>
  <c r="H20" i="38" s="1"/>
  <c r="I20" i="38" s="1"/>
  <c r="F19" i="38"/>
  <c r="H19" i="38" s="1"/>
  <c r="I19" i="38" s="1"/>
  <c r="F18" i="38"/>
  <c r="H18" i="38" s="1"/>
  <c r="I18" i="38" s="1"/>
  <c r="F17" i="38"/>
  <c r="H17" i="38" s="1"/>
  <c r="I17" i="38" s="1"/>
  <c r="H16" i="38"/>
  <c r="I16" i="38" s="1"/>
  <c r="F16" i="38"/>
  <c r="F15" i="38"/>
  <c r="H15" i="38" s="1"/>
  <c r="I15" i="38" s="1"/>
  <c r="F14" i="38"/>
  <c r="H14" i="38" s="1"/>
  <c r="I14" i="38" s="1"/>
  <c r="F13" i="38"/>
  <c r="H13" i="38" s="1"/>
  <c r="I13" i="38" s="1"/>
  <c r="F12" i="38"/>
  <c r="H12" i="38" s="1"/>
  <c r="I12" i="38" s="1"/>
  <c r="F11" i="38"/>
  <c r="H11" i="38" s="1"/>
  <c r="I11" i="38" s="1"/>
  <c r="F10" i="38"/>
  <c r="H10" i="38" s="1"/>
  <c r="I10" i="38" s="1"/>
  <c r="F9" i="38"/>
  <c r="H9" i="38" s="1"/>
  <c r="I9" i="38" s="1"/>
  <c r="F8" i="38"/>
  <c r="H8" i="38" s="1"/>
  <c r="I8" i="38" s="1"/>
  <c r="F7" i="38"/>
  <c r="H7" i="38" s="1"/>
  <c r="I7" i="38" s="1"/>
  <c r="F6" i="38"/>
  <c r="H6" i="38" s="1"/>
  <c r="I6" i="38" s="1"/>
  <c r="F5" i="38"/>
  <c r="H5" i="38" s="1"/>
  <c r="I5" i="38" s="1"/>
  <c r="J17" i="43" l="1"/>
  <c r="J16" i="43"/>
  <c r="I23" i="38"/>
  <c r="J18" i="43" l="1"/>
  <c r="J19" i="43"/>
  <c r="E8" i="29"/>
  <c r="F5" i="29"/>
  <c r="F6" i="29"/>
  <c r="F7" i="29"/>
  <c r="F4" i="29"/>
  <c r="J20" i="43" l="1"/>
  <c r="J21" i="43"/>
  <c r="F8" i="29"/>
  <c r="D8" i="29"/>
  <c r="C8" i="29"/>
  <c r="B8" i="29"/>
  <c r="J22" i="43" l="1"/>
  <c r="J23" i="43"/>
  <c r="J24" i="43" s="1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28" i="19"/>
  <c r="H129" i="19"/>
  <c r="H130" i="19"/>
  <c r="H131" i="19"/>
  <c r="H132" i="19"/>
  <c r="H133" i="19"/>
  <c r="H134" i="19"/>
  <c r="H135" i="19"/>
  <c r="H136" i="19"/>
  <c r="H137" i="19"/>
  <c r="H138" i="19"/>
  <c r="H139" i="19"/>
  <c r="H140" i="19"/>
  <c r="H141" i="19"/>
  <c r="H142" i="19"/>
  <c r="H143" i="19"/>
  <c r="H144" i="19"/>
  <c r="H145" i="19"/>
  <c r="G14" i="3" l="1"/>
  <c r="G13" i="3"/>
  <c r="F14" i="3"/>
  <c r="F13" i="3"/>
  <c r="F6" i="3"/>
  <c r="F7" i="3"/>
  <c r="F8" i="3"/>
  <c r="F9" i="3"/>
  <c r="F10" i="3"/>
  <c r="F12" i="3"/>
  <c r="F4" i="3"/>
  <c r="G9" i="3"/>
  <c r="G6" i="3"/>
  <c r="G7" i="3"/>
  <c r="G8" i="3"/>
  <c r="G10" i="3"/>
  <c r="G12" i="3"/>
  <c r="G4" i="3"/>
  <c r="D11" i="3"/>
  <c r="G11" i="3" s="1"/>
  <c r="D5" i="3"/>
  <c r="G5" i="3" s="1"/>
  <c r="F5" i="3" l="1"/>
  <c r="F15" i="3" s="1"/>
  <c r="F11" i="3"/>
  <c r="G15" i="3"/>
</calcChain>
</file>

<file path=xl/sharedStrings.xml><?xml version="1.0" encoding="utf-8"?>
<sst xmlns="http://schemas.openxmlformats.org/spreadsheetml/2006/main" count="795" uniqueCount="334">
  <si>
    <t>Descripcion</t>
  </si>
  <si>
    <t>Cantidad</t>
  </si>
  <si>
    <t>Cotizacion a la fecha S/Banco Nacion</t>
  </si>
  <si>
    <t>Horizontal 2,57m</t>
  </si>
  <si>
    <t>Diagonal 2,57 x2,00m</t>
  </si>
  <si>
    <t xml:space="preserve">CUADRO COMPARATIVO ALQUILER DE LAYHER </t>
  </si>
  <si>
    <t>Viga Puente 2,57m</t>
  </si>
  <si>
    <t>Bases Regulables 0,60m</t>
  </si>
  <si>
    <t>Estringer</t>
  </si>
  <si>
    <t>Fenolicos</t>
  </si>
  <si>
    <t>Escaleras 1m</t>
  </si>
  <si>
    <t>Torres 0,50m s/e</t>
  </si>
  <si>
    <t>-</t>
  </si>
  <si>
    <t>Precio en €</t>
  </si>
  <si>
    <t>Monto Total en $</t>
  </si>
  <si>
    <t>Horizontales en planta</t>
  </si>
  <si>
    <t>Colas de chancho</t>
  </si>
  <si>
    <t>Collarines</t>
  </si>
  <si>
    <t>Torres 1m s/e</t>
  </si>
  <si>
    <t>Torres 2m c/e</t>
  </si>
  <si>
    <t>Horizontal en Planta</t>
  </si>
  <si>
    <t>Monto Total en  €</t>
  </si>
  <si>
    <t>Ratchet Negros</t>
  </si>
  <si>
    <t>Ratchet Blancas</t>
  </si>
  <si>
    <t>Ruedas para Tarima</t>
  </si>
  <si>
    <t>Contrapesos</t>
  </si>
  <si>
    <t>Lonas Mic. 2,57x12m</t>
  </si>
  <si>
    <t>Estacas Palier Usados</t>
  </si>
  <si>
    <t>Vallas Finas 2mts</t>
  </si>
  <si>
    <t>Vallas Gruesas 2,30mts</t>
  </si>
  <si>
    <t xml:space="preserve">Desviador Rampa </t>
  </si>
  <si>
    <t>Viga Puente 2,57</t>
  </si>
  <si>
    <t>Stringer 2,57</t>
  </si>
  <si>
    <t>Celosias 2,57</t>
  </si>
  <si>
    <t>Free Standing</t>
  </si>
  <si>
    <t>Ratcher 1mts</t>
  </si>
  <si>
    <t>Ratcher 9mts</t>
  </si>
  <si>
    <t>Free Standing (sin piso)</t>
  </si>
  <si>
    <t>Tapa de Free Standing</t>
  </si>
  <si>
    <t>Cunas Negras</t>
  </si>
  <si>
    <t>Celosias 7,71</t>
  </si>
  <si>
    <t>Tramos thomas 2,31</t>
  </si>
  <si>
    <t>Tramos thomas 2,31 (Roto)</t>
  </si>
  <si>
    <t>Cubo thomas 70x70</t>
  </si>
  <si>
    <t>Desviador de techo</t>
  </si>
  <si>
    <t>Cubo thomas 70x30</t>
  </si>
  <si>
    <t>Tramos de aluminio 3,00</t>
  </si>
  <si>
    <t>Tramos de aluminio 2,00</t>
  </si>
  <si>
    <t>Horizontales 1,09</t>
  </si>
  <si>
    <t>Viga Puente 1,09</t>
  </si>
  <si>
    <t>Verticales 1,00 c/e</t>
  </si>
  <si>
    <t>Verticales 1,00 s/e</t>
  </si>
  <si>
    <t>Horizontales 0,73</t>
  </si>
  <si>
    <t>Horizontales 1,00</t>
  </si>
  <si>
    <t>Horizontales 3,00</t>
  </si>
  <si>
    <t>Rayadores 2,57 x 0,32</t>
  </si>
  <si>
    <t>Rayadores 2,57 x 0,19</t>
  </si>
  <si>
    <t>IPN 14</t>
  </si>
  <si>
    <t>Mensulas 0,73</t>
  </si>
  <si>
    <t>Caño para lona de techo x 6mts</t>
  </si>
  <si>
    <t>Caño para lona de techo x 3mts</t>
  </si>
  <si>
    <t xml:space="preserve">Bulones Chico para techo </t>
  </si>
  <si>
    <t xml:space="preserve">Bulones Grande para techo </t>
  </si>
  <si>
    <t>Ratcher 3mts</t>
  </si>
  <si>
    <t>Fiselina 50mts</t>
  </si>
  <si>
    <t>Escalera 1,00 (Fabricada)</t>
  </si>
  <si>
    <t>Escalon 0,50 (Roto)(Fabricada)</t>
  </si>
  <si>
    <t>Escalon 0,50 (Fabricada)</t>
  </si>
  <si>
    <t>Stringer 1,09</t>
  </si>
  <si>
    <t>Stringer 0,73</t>
  </si>
  <si>
    <t>Faja de 10</t>
  </si>
  <si>
    <t>Faja de 20</t>
  </si>
  <si>
    <t>Faja de 30</t>
  </si>
  <si>
    <t>Faja de 40</t>
  </si>
  <si>
    <t>Calzado de Seguridad</t>
  </si>
  <si>
    <t>Arnes</t>
  </si>
  <si>
    <t>Fenolicos 2,20 x 1,60</t>
  </si>
  <si>
    <t>Peldaños 0,73 (Fabricada)</t>
  </si>
  <si>
    <t>Verticales 1,50 s/e</t>
  </si>
  <si>
    <t>Stringer Dobles</t>
  </si>
  <si>
    <t>Faja de 0,73</t>
  </si>
  <si>
    <t>Aparejos 12mts</t>
  </si>
  <si>
    <t>Desviador rampa chico</t>
  </si>
  <si>
    <t>Lingas de tela 1,00m</t>
  </si>
  <si>
    <t>Lingas de tela 1,50m</t>
  </si>
  <si>
    <t>Lingas de tela 2,00m</t>
  </si>
  <si>
    <t>Jabalina para tierra</t>
  </si>
  <si>
    <t>Cascos comun</t>
  </si>
  <si>
    <t>Cascos alpinismo</t>
  </si>
  <si>
    <t>Estructura de madera p/baranda 3m</t>
  </si>
  <si>
    <t>Ruedas Grandes</t>
  </si>
  <si>
    <t>Base 0,40 (Fabricada)</t>
  </si>
  <si>
    <t xml:space="preserve">Nudos Fijos </t>
  </si>
  <si>
    <t>Nudos Giratorios</t>
  </si>
  <si>
    <t>Roseta Movil</t>
  </si>
  <si>
    <t>Espiga</t>
  </si>
  <si>
    <t>Cable de acero 10mm x 3mts</t>
  </si>
  <si>
    <t>Cable de acero 10mm x 16mts</t>
  </si>
  <si>
    <t>Rueda de andamios</t>
  </si>
  <si>
    <t>Chapas 30/30</t>
  </si>
  <si>
    <t>Soga de 20mts</t>
  </si>
  <si>
    <t>Nivel de mano</t>
  </si>
  <si>
    <t>Nudos para ciegos</t>
  </si>
  <si>
    <t>Ruedas odometro</t>
  </si>
  <si>
    <t>Soga gruesa 5mts</t>
  </si>
  <si>
    <t>Ruleta 50mts</t>
  </si>
  <si>
    <t>Circular de banco grande</t>
  </si>
  <si>
    <t>Lona gris 12 x 4</t>
  </si>
  <si>
    <t>Caladora</t>
  </si>
  <si>
    <t xml:space="preserve">Circular de mano </t>
  </si>
  <si>
    <t xml:space="preserve">Bulones para Free Largos </t>
  </si>
  <si>
    <t>Bulones para Free Cortos</t>
  </si>
  <si>
    <t xml:space="preserve">Grilletes </t>
  </si>
  <si>
    <t>Maza chica</t>
  </si>
  <si>
    <t>Corta fierro</t>
  </si>
  <si>
    <t>Martillos comun</t>
  </si>
  <si>
    <t>Atornilladora 20w Hiunday</t>
  </si>
  <si>
    <t>Bateria p/ atornilladora 20w Hiunday</t>
  </si>
  <si>
    <t>Cargador p/ atornilladora 20w Hiunday</t>
  </si>
  <si>
    <t>Tramo Aluminio 30/30 x 3mts</t>
  </si>
  <si>
    <t>Bidon de Agua 100lts</t>
  </si>
  <si>
    <t>Bidon de Agua 50lts</t>
  </si>
  <si>
    <t>Bidon de Agua 20lts</t>
  </si>
  <si>
    <t>Reflectores 2.000w</t>
  </si>
  <si>
    <t>Faja para Ratcher 1,50mts</t>
  </si>
  <si>
    <t>Tarima de madera 1x1m</t>
  </si>
  <si>
    <t xml:space="preserve">Discos circular </t>
  </si>
  <si>
    <t>Veneno para ratas 2kg</t>
  </si>
  <si>
    <t>Rallador Chapa 3mts (Fabricada)</t>
  </si>
  <si>
    <t>Ambil de madera</t>
  </si>
  <si>
    <t>Rallador Chapa 3mts (Doblado)</t>
  </si>
  <si>
    <t>Rallador Chapa 2,57mts (Doblado)</t>
  </si>
  <si>
    <t>Diagonal planta (Doblado)</t>
  </si>
  <si>
    <t>Diagonal 2,57 y 1mts (Doblado)</t>
  </si>
  <si>
    <t>Horizontal 2,57 (Doblado)</t>
  </si>
  <si>
    <t>Viga Puente 2,57 (Doblado)</t>
  </si>
  <si>
    <t>Viga Puente 1,57 (Doblado)</t>
  </si>
  <si>
    <t>Viga Puente 2,00 (Doblado)</t>
  </si>
  <si>
    <t>Horizontal 1,57 (Doblado)</t>
  </si>
  <si>
    <t>Horizontal 2,00 (Doblado)</t>
  </si>
  <si>
    <t>Observaciones</t>
  </si>
  <si>
    <t>Cunas Chicas 0,73</t>
  </si>
  <si>
    <t>Horizontales 2,57</t>
  </si>
  <si>
    <t>Verticales 2,00 c/e</t>
  </si>
  <si>
    <t>Verticales 2,00 s/e</t>
  </si>
  <si>
    <t>Cunas Amarilla</t>
  </si>
  <si>
    <t>Escalera 2m</t>
  </si>
  <si>
    <t>Vertical de 0,50 (Doblado)</t>
  </si>
  <si>
    <t>Viga Puente 0,73</t>
  </si>
  <si>
    <t>Verticales 0,50 c/e</t>
  </si>
  <si>
    <t>Verticales 0,50 s/e</t>
  </si>
  <si>
    <t>Vertical de 1,00 (Doblado)</t>
  </si>
  <si>
    <t>Vertical de 2,00 (Doblado)</t>
  </si>
  <si>
    <t>Caja de remaches</t>
  </si>
  <si>
    <t>Estanteria de 1,50 x 1 x 0,35mts</t>
  </si>
  <si>
    <t>Lona Azul 2,57 x 7mts</t>
  </si>
  <si>
    <t>Lona Azul 2,57 x 10mts</t>
  </si>
  <si>
    <t>Carpas 2,57 x 2,57mts</t>
  </si>
  <si>
    <t>Carpas 2,57 x 5,14mts</t>
  </si>
  <si>
    <t>Escalera 2,00m (Fabricada)</t>
  </si>
  <si>
    <t xml:space="preserve">Fenolicos </t>
  </si>
  <si>
    <t>Telon 2,57 x 10mts</t>
  </si>
  <si>
    <t>Diagonales 1,57 x 0,50mts</t>
  </si>
  <si>
    <t>Diagonales 2,57 x 1,00mt</t>
  </si>
  <si>
    <t>Diagonales 2,57 x 3,00mts</t>
  </si>
  <si>
    <t>Diagonales 1,57 x 1,00mt</t>
  </si>
  <si>
    <t>Diagonal 0,73 x 2,00mts</t>
  </si>
  <si>
    <t>Diagonales 2,57 x 2,00mts</t>
  </si>
  <si>
    <t>Rayadores 3,00 x 0,32</t>
  </si>
  <si>
    <t>Tramos thomas 1,50</t>
  </si>
  <si>
    <t>CUADRO ALQUILER DE LAYHER ANUAL ABRIL 2022 / MARZO 2023</t>
  </si>
  <si>
    <t>Lona de techo 12 x 8mts</t>
  </si>
  <si>
    <t>Alfombras 2 ancho x 5 de alto mts</t>
  </si>
  <si>
    <t>Lonas negras 2,57 x 12 mts</t>
  </si>
  <si>
    <t>Lonas Negra techo 12 x 8 mts</t>
  </si>
  <si>
    <t>Recortes Fenolicos 1.090 x 1.090</t>
  </si>
  <si>
    <t>STOCK TOTAL - CUANTIFICABLE AGOSTO 2022</t>
  </si>
  <si>
    <t>STOCK TOTAL - NO CUANTIFICABLE AGOSTO 2022</t>
  </si>
  <si>
    <t>Chapas 2,40 x 0,30mts x 2mm</t>
  </si>
  <si>
    <t>Cubo thomas 40x40</t>
  </si>
  <si>
    <t>Cunas Grises</t>
  </si>
  <si>
    <t>Columna1</t>
  </si>
  <si>
    <t>Escalera 1,5m</t>
  </si>
  <si>
    <t>Columna2</t>
  </si>
  <si>
    <t>Columna3</t>
  </si>
  <si>
    <t>Columna4</t>
  </si>
  <si>
    <t>Columna5</t>
  </si>
  <si>
    <t>Columna6</t>
  </si>
  <si>
    <t>Precio Total en Pesos</t>
  </si>
  <si>
    <t>Diagonales 0,73 x 2,00mts</t>
  </si>
  <si>
    <t>Diagonales 1,09 x 2,00mts</t>
  </si>
  <si>
    <t>STOCK TOTAL - LAYHER</t>
  </si>
  <si>
    <t>Vallas Pesadas</t>
  </si>
  <si>
    <t>Vallas Finas</t>
  </si>
  <si>
    <t>Vallas Grises</t>
  </si>
  <si>
    <t>Vallas Sin Patas</t>
  </si>
  <si>
    <t>Tipo de Vallas</t>
  </si>
  <si>
    <t>TOTALES POR CAMION</t>
  </si>
  <si>
    <t>Camion 1 - RENTAL POWER (28/03)</t>
  </si>
  <si>
    <t>Camion 2 - RENTAL POWER (29/03)</t>
  </si>
  <si>
    <t xml:space="preserve">TOTALES POR VALLAS </t>
  </si>
  <si>
    <t>CUADRO STOCK VALLAS - ARGENTINA/CURAZAO - MARZO 2023</t>
  </si>
  <si>
    <t>Camion 3 - PROFESIONALES  (29/03)</t>
  </si>
  <si>
    <t>Camion 4 - RENTAL POWER (04/04)</t>
  </si>
  <si>
    <t>Valor Alquiler 4%</t>
  </si>
  <si>
    <t>Horizontales en Planta</t>
  </si>
  <si>
    <t>CUADRO LAYHER BAHIA BLANCA - INVENTARIO - OCTUBRE 2023</t>
  </si>
  <si>
    <t>Material Requerido</t>
  </si>
  <si>
    <t>Tasa al 24/10:</t>
  </si>
  <si>
    <t xml:space="preserve">Horizontales en Planta </t>
  </si>
  <si>
    <t>CUADRO LAYHER BAHIA BLANCA - ALQUILER - OCTUBRE 2023</t>
  </si>
  <si>
    <t>Valor Alq de Referencia €</t>
  </si>
  <si>
    <t>Canje</t>
  </si>
  <si>
    <t>Material Contabilizado</t>
  </si>
  <si>
    <t>Material Según Mensaje</t>
  </si>
  <si>
    <t>3 rotas</t>
  </si>
  <si>
    <t>2 dobladas</t>
  </si>
  <si>
    <t>1 sin pin</t>
  </si>
  <si>
    <t>111 de 0,60 y 9 de 0,40</t>
  </si>
  <si>
    <t>12 de 1,09 + 52 de 0,73 suman 64</t>
  </si>
  <si>
    <t xml:space="preserve">Material Contabilizado Ingresado al deposito </t>
  </si>
  <si>
    <t>Adeuda Agesta a Dos57</t>
  </si>
  <si>
    <t>Material Según Mensaje 25/10/2023</t>
  </si>
  <si>
    <t>Diferencia de stock</t>
  </si>
  <si>
    <t xml:space="preserve">Subtotal Material </t>
  </si>
  <si>
    <t>Adeuda Dos57 a Agesta</t>
  </si>
  <si>
    <t>Total Material Alquilado</t>
  </si>
  <si>
    <t>CUADRO LAYHER BAHIA BLANCA - CRUCE DE MATERIAL - NOVIEMBRE 2023</t>
  </si>
  <si>
    <t>RECIBI CONFORME/FIRMA CLIENTE</t>
  </si>
  <si>
    <t>CUADRO LAYHER BAHIA BLANCA - REMITO MATERIAL -  NOVIEMBRE 2023</t>
  </si>
  <si>
    <t>Total material en camion</t>
  </si>
  <si>
    <t>Material recibido</t>
  </si>
  <si>
    <t xml:space="preserve">Observaciones </t>
  </si>
  <si>
    <t xml:space="preserve">Material Según Mensaje </t>
  </si>
  <si>
    <t>Valor Unitario en €</t>
  </si>
  <si>
    <t xml:space="preserve">Tasa al 09/11: </t>
  </si>
  <si>
    <t>Total Precio en Pesos</t>
  </si>
  <si>
    <t>Valor Alquiler 5%</t>
  </si>
  <si>
    <t>Anticipo</t>
  </si>
  <si>
    <t>Saldo</t>
  </si>
  <si>
    <t>Marterial Final Alquiler</t>
  </si>
  <si>
    <t xml:space="preserve">Tasa al 23/01: </t>
  </si>
  <si>
    <t xml:space="preserve">Valor Unitario en € </t>
  </si>
  <si>
    <t>Valor Unitario en € + 5%</t>
  </si>
  <si>
    <t>CUADRO LAYHER BAHIA BLANCA - CRUCE DE MATERIAL -  TENTATIVO FEBRERO 2024</t>
  </si>
  <si>
    <t xml:space="preserve">Tasa al 19/3: </t>
  </si>
  <si>
    <t>CUADRO LAYHER BAHIA BLANCA DE AGESTA A DOS57 - CRUCE DE MATERIAL - MARZO 2024</t>
  </si>
  <si>
    <t>Stringers</t>
  </si>
  <si>
    <t>MATERIAL QUE DEBE IR CAMION</t>
  </si>
  <si>
    <t>CUADRO LAYHER BAHIA BLANCA DE AGESTA A DOS57 - REMITO MATERIAL -  MARZO 2024</t>
  </si>
  <si>
    <t>Stringer</t>
  </si>
  <si>
    <t>CUADRO LAYHER BAHIA BLANCA DE DOS57 A AGESTA - CRUCE DE MATERIAL - MARZO 2024</t>
  </si>
  <si>
    <t>IPN 18</t>
  </si>
  <si>
    <t>CUADRO LAYHER BAHIA BLANCA DE DOS57 A AGESTA - REMITO MATERIAL -  MARZO 2024</t>
  </si>
  <si>
    <t>CUADRO LAYHER MENDOZA A DOS57 - REMITO MATERIAL -  MARZO 2024</t>
  </si>
  <si>
    <t>Verticales 0,5 s/e</t>
  </si>
  <si>
    <t>Stringer Triple</t>
  </si>
  <si>
    <t>Caño con NUDO</t>
  </si>
  <si>
    <t>Cajones AP</t>
  </si>
  <si>
    <t>Cunas AP</t>
  </si>
  <si>
    <t>Fenólico</t>
  </si>
  <si>
    <t>Total material en camión</t>
  </si>
  <si>
    <t>Stringer Doble</t>
  </si>
  <si>
    <t>Total material en CAMION 1</t>
  </si>
  <si>
    <t>CUADRO LAYHER MENDOZA A DOS57 - REMITO MATERIAL -  MARZO 2024 - CAMION 1</t>
  </si>
  <si>
    <t>Total material en CAMION 2</t>
  </si>
  <si>
    <t>CUADRO LAYHER MENDOZA A DOS57 - REMITO MATERIAL -  MARZO 2024 - CAMION 2</t>
  </si>
  <si>
    <t>CAMIÓN 1</t>
  </si>
  <si>
    <t>CAMIÓN 2</t>
  </si>
  <si>
    <t>CUADRO LAYHER BS AS A DOS57 - REMITO MATERIAL -  MARZO 2024 - CAMIÓN 1</t>
  </si>
  <si>
    <t>Bases Regulables 0,40cm</t>
  </si>
  <si>
    <t>GUIAS + LONAS</t>
  </si>
  <si>
    <t>MONTO TOTAL</t>
  </si>
  <si>
    <t>CONCILIACION CON ALQ DE MARZO</t>
  </si>
  <si>
    <t>SALDO DEUDOR AGESTA A DOS57</t>
  </si>
  <si>
    <t>Bases Regulables 0,60m (VIEJO - BARADERO)</t>
  </si>
  <si>
    <t>IPN 14 (VIEJO - BARADERO)</t>
  </si>
  <si>
    <t>Material Final Alquiler</t>
  </si>
  <si>
    <t xml:space="preserve">Tasa al 15/2/2025: </t>
  </si>
  <si>
    <t>Canasto</t>
  </si>
  <si>
    <t>V/Tornillón x 60 cm</t>
  </si>
  <si>
    <t>Diagonales 3,07</t>
  </si>
  <si>
    <t>Valor Total en €</t>
  </si>
  <si>
    <t>TOTAL ALQUILER MENSUAL (30 DÍAS)</t>
  </si>
  <si>
    <t>CUADRO LAYHER ERNESTO ZAMORA A DOS57 - FEBRERO 2025</t>
  </si>
  <si>
    <t>PARCIAL (15 DÍAS)</t>
  </si>
  <si>
    <t>CUADRO LAYHER COMPRA MATERIAL BAHÍA BLANCA - FEBRERO 2025</t>
  </si>
  <si>
    <t>CUADRO LAYHER ERNESTO ZAMORA A DOS57 - ENERO 2026</t>
  </si>
  <si>
    <t xml:space="preserve">Tasa al 10/1/2026: </t>
  </si>
  <si>
    <t>SOLICITUD DE MERCADERÍA LAYHER SUDAMERICANA 2026</t>
  </si>
  <si>
    <t>SOLICITUD DE COMPRA LAYHER</t>
  </si>
  <si>
    <t>Plataformas EV T16 - 0,86 x 2,57</t>
  </si>
  <si>
    <t>Vigas EV 2,57</t>
  </si>
  <si>
    <t>Cierre de seguridad para EV T16</t>
  </si>
  <si>
    <t>Horizontakes 1,09</t>
  </si>
  <si>
    <t>Horizontales diagonal planta</t>
  </si>
  <si>
    <t>Diagonales 1,50 x 2,57</t>
  </si>
  <si>
    <t>Diagonales 1,00 x 2,57</t>
  </si>
  <si>
    <t>Diagonales 0,73 x 2,00</t>
  </si>
  <si>
    <t>Cabezal doble allround (manito manito)</t>
  </si>
  <si>
    <t>Rosetas móviles</t>
  </si>
  <si>
    <t>Material solicitado</t>
  </si>
  <si>
    <t>Referencia</t>
  </si>
  <si>
    <t>AR O-Horizontal LW 0.73m</t>
  </si>
  <si>
    <t>AR O-Horizontal LW 1.09m</t>
  </si>
  <si>
    <t>AR O-Horizontal LW 2.57m</t>
  </si>
  <si>
    <t>AR Base Collarín</t>
  </si>
  <si>
    <t>AR Grapa Roseta 6 Agujeros 22WS</t>
  </si>
  <si>
    <t>AR Vertical LW 2.00m</t>
  </si>
  <si>
    <t>AR Doble Cabeza Allround LW</t>
  </si>
  <si>
    <t>Horizontal Diagonal Planta LW 2.57x2.57m</t>
  </si>
  <si>
    <t>AR Diagonal LW 2.57 x 1.00m</t>
  </si>
  <si>
    <t>AR Diagonal LW 2.57 x 1.50m</t>
  </si>
  <si>
    <t>AR Diagonal LW 0.73 x 2.00m</t>
  </si>
  <si>
    <t>AR Diagonal LW 2.57 x 2.00m</t>
  </si>
  <si>
    <t>ZB Base Regulable 0.60m</t>
  </si>
  <si>
    <t>GI Pasador Seguridad 2.8mm</t>
  </si>
  <si>
    <t>Viga Escenario EV 2.57m</t>
  </si>
  <si>
    <t>Plataforma EV 0.86x2.57m T16 (Esquinas Móviles)</t>
  </si>
  <si>
    <t>EV Anclaje p/ Plataforma EV T16</t>
  </si>
  <si>
    <t>Viga de Cubierta 2.00m</t>
  </si>
  <si>
    <t>HA IH Bulón 30x50mm</t>
  </si>
  <si>
    <t>HA IH Pasador Seguridad 4mm</t>
  </si>
  <si>
    <t>HA IH Bulón 14x77mm</t>
  </si>
  <si>
    <t>HA IH Bulón 14x107mm</t>
  </si>
  <si>
    <t>Escalera aluminio con descansillo 2,57x2,00x0.64 m</t>
  </si>
  <si>
    <t>Plataformas  T9 2,57x0,32</t>
  </si>
  <si>
    <t>Plataformas T9 0.73x0,32</t>
  </si>
  <si>
    <t>Plataformas T9 1,09x0,32</t>
  </si>
  <si>
    <t>Plataformas T9 1,57x0,32</t>
  </si>
  <si>
    <t>CUADRO LAYHER ERNESTO ZAMORA A DOS57 - SEGUNDO SEMESTRE 2026</t>
  </si>
  <si>
    <t xml:space="preserve">Tasa al 11/8/2026: </t>
  </si>
  <si>
    <t>Valor Alquiler 3%</t>
  </si>
  <si>
    <t>Valor Alquiler 3,5%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</si>
</sst>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#,##0.00\ [$€-407]"/>
    <numFmt numFmtId="165" formatCode="_-* #,##0.00\ [$€-C0A]_-;\-* #,##0.00\ [$€-C0A]_-;_-* &quot;-&quot;??\ [$€-C0A]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8.5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8.5"/>
      <color rgb="FFFF0000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.5"/>
      <name val="Calibri"/>
      <family val="2"/>
      <scheme val="minor"/>
    </font>
    <font>
      <b/>
      <sz val="8.5"/>
      <name val="Calibri"/>
      <family val="2"/>
      <scheme val="minor"/>
    </font>
    <font>
      <sz val="17"/>
      <color theme="1"/>
      <name val="Calibri"/>
      <family val="2"/>
      <scheme val="minor"/>
    </font>
    <font>
      <sz val="17"/>
      <name val="Calibri"/>
      <family val="2"/>
      <scheme val="minor"/>
    </font>
    <font>
      <b/>
      <sz val="17"/>
      <color rgb="FFFF0000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CD6ED"/>
        <bgColor indexed="64"/>
      </patternFill>
    </fill>
    <fill>
      <patternFill patternType="solid">
        <fgColor rgb="FF00AFE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0" applyNumberFormat="1" applyBorder="1"/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44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8" xfId="0" applyBorder="1" applyAlignment="1">
      <alignment horizontal="center"/>
    </xf>
    <xf numFmtId="0" fontId="5" fillId="6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6" fillId="2" borderId="17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14" xfId="0" applyFont="1" applyFill="1" applyBorder="1" applyAlignment="1">
      <alignment horizontal="center" vertical="center" wrapText="1"/>
    </xf>
    <xf numFmtId="0" fontId="13" fillId="14" borderId="15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center" vertical="center" wrapText="1"/>
    </xf>
    <xf numFmtId="0" fontId="2" fillId="15" borderId="23" xfId="0" applyFont="1" applyFill="1" applyBorder="1" applyAlignment="1">
      <alignment horizontal="center" vertical="center" wrapText="1"/>
    </xf>
    <xf numFmtId="0" fontId="2" fillId="15" borderId="24" xfId="0" applyFont="1" applyFill="1" applyBorder="1" applyAlignment="1">
      <alignment horizontal="center" vertical="center"/>
    </xf>
    <xf numFmtId="0" fontId="2" fillId="15" borderId="32" xfId="0" applyFont="1" applyFill="1" applyBorder="1" applyAlignment="1">
      <alignment horizontal="center" vertical="center"/>
    </xf>
    <xf numFmtId="0" fontId="12" fillId="0" borderId="0" xfId="0" applyFont="1"/>
    <xf numFmtId="0" fontId="13" fillId="14" borderId="25" xfId="0" applyFont="1" applyFill="1" applyBorder="1" applyAlignment="1">
      <alignment horizontal="center" vertical="center" wrapText="1"/>
    </xf>
    <xf numFmtId="0" fontId="2" fillId="15" borderId="34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center" vertical="center" wrapText="1"/>
    </xf>
    <xf numFmtId="0" fontId="8" fillId="13" borderId="36" xfId="0" applyFont="1" applyFill="1" applyBorder="1" applyAlignment="1">
      <alignment horizontal="center" vertical="center" wrapText="1"/>
    </xf>
    <xf numFmtId="0" fontId="8" fillId="13" borderId="37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wrapText="1"/>
    </xf>
    <xf numFmtId="0" fontId="9" fillId="0" borderId="25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44" fontId="7" fillId="5" borderId="4" xfId="1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 vertical="center"/>
    </xf>
    <xf numFmtId="44" fontId="7" fillId="0" borderId="5" xfId="1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wrapText="1"/>
    </xf>
    <xf numFmtId="165" fontId="7" fillId="0" borderId="8" xfId="1" applyNumberFormat="1" applyFont="1" applyFill="1" applyBorder="1" applyAlignment="1">
      <alignment horizontal="center" vertical="center"/>
    </xf>
    <xf numFmtId="0" fontId="16" fillId="14" borderId="0" xfId="0" applyFont="1" applyFill="1" applyBorder="1" applyAlignment="1">
      <alignment horizontal="center" wrapText="1"/>
    </xf>
    <xf numFmtId="1" fontId="9" fillId="0" borderId="1" xfId="0" applyNumberFormat="1" applyFont="1" applyFill="1" applyBorder="1" applyAlignment="1">
      <alignment horizontal="center" wrapText="1"/>
    </xf>
    <xf numFmtId="1" fontId="9" fillId="0" borderId="8" xfId="0" applyNumberFormat="1" applyFont="1" applyFill="1" applyBorder="1" applyAlignment="1">
      <alignment horizontal="center" wrapText="1"/>
    </xf>
    <xf numFmtId="0" fontId="16" fillId="14" borderId="0" xfId="0" applyFont="1" applyFill="1" applyBorder="1" applyAlignment="1">
      <alignment horizontal="center" vertical="center" wrapText="1"/>
    </xf>
    <xf numFmtId="165" fontId="17" fillId="14" borderId="0" xfId="0" applyNumberFormat="1" applyFont="1" applyFill="1" applyBorder="1" applyAlignment="1">
      <alignment horizontal="center" vertical="center"/>
    </xf>
    <xf numFmtId="44" fontId="17" fillId="14" borderId="0" xfId="0" applyNumberFormat="1" applyFont="1" applyFill="1" applyBorder="1" applyAlignment="1">
      <alignment horizontal="center" vertical="center"/>
    </xf>
    <xf numFmtId="44" fontId="17" fillId="4" borderId="22" xfId="0" applyNumberFormat="1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6" fillId="0" borderId="25" xfId="0" applyFont="1" applyFill="1" applyBorder="1" applyAlignment="1">
      <alignment horizontal="center" wrapText="1"/>
    </xf>
    <xf numFmtId="0" fontId="16" fillId="0" borderId="25" xfId="0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wrapText="1"/>
    </xf>
    <xf numFmtId="0" fontId="9" fillId="14" borderId="0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9" fillId="0" borderId="45" xfId="0" applyFont="1" applyFill="1" applyBorder="1" applyAlignment="1">
      <alignment horizontal="center" wrapText="1"/>
    </xf>
    <xf numFmtId="0" fontId="9" fillId="0" borderId="45" xfId="0" applyFont="1" applyFill="1" applyBorder="1" applyAlignment="1">
      <alignment horizontal="center" vertical="center" wrapText="1"/>
    </xf>
    <xf numFmtId="0" fontId="8" fillId="0" borderId="45" xfId="0" applyNumberFormat="1" applyFont="1" applyFill="1" applyBorder="1" applyAlignment="1">
      <alignment horizontal="center" wrapText="1"/>
    </xf>
    <xf numFmtId="0" fontId="16" fillId="0" borderId="38" xfId="0" applyFont="1" applyFill="1" applyBorder="1" applyAlignment="1">
      <alignment horizontal="center" vertical="center" wrapText="1"/>
    </xf>
    <xf numFmtId="0" fontId="16" fillId="0" borderId="45" xfId="0" applyFont="1" applyFill="1" applyBorder="1" applyAlignment="1">
      <alignment horizontal="center" wrapText="1"/>
    </xf>
    <xf numFmtId="0" fontId="16" fillId="0" borderId="45" xfId="0" applyFont="1" applyFill="1" applyBorder="1" applyAlignment="1">
      <alignment horizontal="center" vertical="center" wrapText="1"/>
    </xf>
    <xf numFmtId="0" fontId="18" fillId="0" borderId="45" xfId="0" applyNumberFormat="1" applyFont="1" applyFill="1" applyBorder="1" applyAlignment="1">
      <alignment horizontal="center" wrapText="1"/>
    </xf>
    <xf numFmtId="0" fontId="15" fillId="0" borderId="25" xfId="0" applyFont="1" applyFill="1" applyBorder="1" applyAlignment="1">
      <alignment horizontal="center" wrapText="1"/>
    </xf>
    <xf numFmtId="0" fontId="8" fillId="8" borderId="25" xfId="0" applyFont="1" applyFill="1" applyBorder="1" applyAlignment="1">
      <alignment horizontal="center" wrapText="1"/>
    </xf>
    <xf numFmtId="0" fontId="12" fillId="0" borderId="35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wrapText="1"/>
    </xf>
    <xf numFmtId="0" fontId="12" fillId="0" borderId="25" xfId="0" applyFont="1" applyFill="1" applyBorder="1" applyAlignment="1">
      <alignment horizontal="center" wrapText="1"/>
    </xf>
    <xf numFmtId="0" fontId="19" fillId="0" borderId="25" xfId="0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wrapText="1"/>
    </xf>
    <xf numFmtId="0" fontId="6" fillId="13" borderId="36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3" borderId="37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8" fillId="13" borderId="13" xfId="0" applyFont="1" applyFill="1" applyBorder="1" applyAlignment="1">
      <alignment horizontal="center" vertical="center" wrapText="1"/>
    </xf>
    <xf numFmtId="0" fontId="8" fillId="13" borderId="46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6" fillId="0" borderId="23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wrapText="1"/>
    </xf>
    <xf numFmtId="0" fontId="16" fillId="0" borderId="32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44" fontId="7" fillId="12" borderId="4" xfId="1" applyFont="1" applyFill="1" applyBorder="1" applyAlignment="1">
      <alignment vertical="center" wrapText="1"/>
    </xf>
    <xf numFmtId="44" fontId="9" fillId="0" borderId="25" xfId="1" applyFont="1" applyFill="1" applyBorder="1" applyAlignment="1">
      <alignment horizontal="center" wrapText="1"/>
    </xf>
    <xf numFmtId="44" fontId="18" fillId="4" borderId="45" xfId="1" applyFont="1" applyFill="1" applyBorder="1" applyAlignment="1">
      <alignment horizontal="center" wrapText="1"/>
    </xf>
    <xf numFmtId="44" fontId="9" fillId="0" borderId="47" xfId="1" applyNumberFormat="1" applyFont="1" applyBorder="1" applyAlignment="1">
      <alignment horizontal="center" wrapText="1"/>
    </xf>
    <xf numFmtId="44" fontId="8" fillId="17" borderId="22" xfId="1" applyNumberFormat="1" applyFont="1" applyFill="1" applyBorder="1" applyAlignment="1">
      <alignment horizontal="center" wrapText="1"/>
    </xf>
    <xf numFmtId="0" fontId="9" fillId="0" borderId="8" xfId="0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0" fontId="14" fillId="0" borderId="25" xfId="0" applyFont="1" applyFill="1" applyBorder="1" applyAlignment="1">
      <alignment horizontal="center" wrapText="1"/>
    </xf>
    <xf numFmtId="44" fontId="8" fillId="4" borderId="45" xfId="0" applyNumberFormat="1" applyFont="1" applyFill="1" applyBorder="1" applyAlignment="1">
      <alignment horizontal="center" wrapText="1"/>
    </xf>
    <xf numFmtId="0" fontId="7" fillId="12" borderId="3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 wrapText="1"/>
    </xf>
    <xf numFmtId="44" fontId="21" fillId="0" borderId="25" xfId="1" applyFont="1" applyFill="1" applyBorder="1" applyAlignment="1">
      <alignment horizontal="center" wrapText="1"/>
    </xf>
    <xf numFmtId="44" fontId="16" fillId="0" borderId="25" xfId="1" applyNumberFormat="1" applyFont="1" applyFill="1" applyBorder="1" applyAlignment="1">
      <alignment horizontal="center" wrapText="1"/>
    </xf>
    <xf numFmtId="44" fontId="18" fillId="4" borderId="45" xfId="0" applyNumberFormat="1" applyFont="1" applyFill="1" applyBorder="1" applyAlignment="1">
      <alignment horizontal="center" wrapText="1"/>
    </xf>
    <xf numFmtId="44" fontId="14" fillId="0" borderId="25" xfId="1" applyNumberFormat="1" applyFont="1" applyFill="1" applyBorder="1" applyAlignment="1">
      <alignment horizontal="center" wrapText="1"/>
    </xf>
    <xf numFmtId="0" fontId="11" fillId="0" borderId="35" xfId="0" applyNumberFormat="1" applyFont="1" applyFill="1" applyBorder="1" applyAlignment="1">
      <alignment horizontal="center" vertical="center" wrapText="1"/>
    </xf>
    <xf numFmtId="0" fontId="23" fillId="0" borderId="35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wrapText="1"/>
    </xf>
    <xf numFmtId="0" fontId="23" fillId="0" borderId="25" xfId="0" applyFont="1" applyFill="1" applyBorder="1" applyAlignment="1">
      <alignment horizontal="center" wrapText="1"/>
    </xf>
    <xf numFmtId="0" fontId="24" fillId="0" borderId="25" xfId="0" applyFont="1" applyFill="1" applyBorder="1" applyAlignment="1">
      <alignment horizontal="center" vertical="center" wrapText="1"/>
    </xf>
    <xf numFmtId="0" fontId="25" fillId="0" borderId="25" xfId="0" applyFont="1" applyFill="1" applyBorder="1" applyAlignment="1">
      <alignment horizontal="center" wrapText="1"/>
    </xf>
    <xf numFmtId="0" fontId="23" fillId="0" borderId="25" xfId="0" applyNumberFormat="1" applyFont="1" applyFill="1" applyBorder="1" applyAlignment="1">
      <alignment horizontal="center" wrapText="1"/>
    </xf>
    <xf numFmtId="0" fontId="23" fillId="0" borderId="25" xfId="0" applyFont="1" applyFill="1" applyBorder="1" applyAlignment="1">
      <alignment horizontal="center" vertical="center" wrapText="1"/>
    </xf>
    <xf numFmtId="0" fontId="26" fillId="0" borderId="35" xfId="0" applyFont="1" applyFill="1" applyBorder="1" applyAlignment="1">
      <alignment horizontal="center" vertical="center" wrapText="1"/>
    </xf>
    <xf numFmtId="0" fontId="26" fillId="0" borderId="35" xfId="0" applyNumberFormat="1" applyFont="1" applyFill="1" applyBorder="1" applyAlignment="1">
      <alignment horizontal="center" vertical="center" wrapText="1"/>
    </xf>
    <xf numFmtId="44" fontId="22" fillId="0" borderId="25" xfId="1" applyFont="1" applyFill="1" applyBorder="1" applyAlignment="1">
      <alignment horizontal="center" wrapText="1"/>
    </xf>
    <xf numFmtId="44" fontId="9" fillId="0" borderId="25" xfId="1" applyNumberFormat="1" applyFont="1" applyFill="1" applyBorder="1" applyAlignment="1">
      <alignment horizontal="center" wrapText="1"/>
    </xf>
    <xf numFmtId="0" fontId="0" fillId="0" borderId="0" xfId="0" applyFill="1"/>
    <xf numFmtId="0" fontId="7" fillId="12" borderId="2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wrapText="1"/>
    </xf>
    <xf numFmtId="0" fontId="29" fillId="0" borderId="25" xfId="0" applyFont="1" applyFill="1" applyBorder="1" applyAlignment="1">
      <alignment horizontal="center" wrapText="1"/>
    </xf>
    <xf numFmtId="0" fontId="29" fillId="0" borderId="25" xfId="0" applyNumberFormat="1" applyFont="1" applyFill="1" applyBorder="1" applyAlignment="1">
      <alignment horizontal="center" wrapText="1"/>
    </xf>
    <xf numFmtId="0" fontId="29" fillId="0" borderId="25" xfId="0" applyFont="1" applyFill="1" applyBorder="1" applyAlignment="1">
      <alignment horizontal="center" vertical="center" wrapText="1"/>
    </xf>
    <xf numFmtId="0" fontId="30" fillId="0" borderId="25" xfId="0" applyFont="1" applyFill="1" applyBorder="1" applyAlignment="1">
      <alignment horizontal="center" vertical="center" wrapText="1"/>
    </xf>
    <xf numFmtId="44" fontId="8" fillId="4" borderId="1" xfId="0" applyNumberFormat="1" applyFont="1" applyFill="1" applyBorder="1" applyAlignment="1">
      <alignment horizontal="center" wrapText="1"/>
    </xf>
    <xf numFmtId="4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4" fontId="16" fillId="0" borderId="45" xfId="0" applyNumberFormat="1" applyFont="1" applyFill="1" applyBorder="1" applyAlignment="1">
      <alignment horizontal="center" vertical="center" wrapText="1"/>
    </xf>
    <xf numFmtId="44" fontId="18" fillId="14" borderId="45" xfId="0" applyNumberFormat="1" applyFont="1" applyFill="1" applyBorder="1" applyAlignment="1">
      <alignment horizontal="center" wrapText="1"/>
    </xf>
    <xf numFmtId="44" fontId="0" fillId="0" borderId="31" xfId="1" applyFont="1" applyBorder="1" applyAlignment="1">
      <alignment horizontal="center" vertical="center"/>
    </xf>
    <xf numFmtId="44" fontId="0" fillId="0" borderId="32" xfId="1" applyFont="1" applyBorder="1" applyAlignment="1">
      <alignment horizontal="center" vertical="center"/>
    </xf>
    <xf numFmtId="0" fontId="7" fillId="12" borderId="52" xfId="0" applyFont="1" applyFill="1" applyBorder="1" applyAlignment="1">
      <alignment horizontal="center" vertical="center" wrapText="1"/>
    </xf>
    <xf numFmtId="44" fontId="7" fillId="12" borderId="52" xfId="1" applyFont="1" applyFill="1" applyBorder="1" applyAlignment="1">
      <alignment vertical="center" wrapText="1"/>
    </xf>
    <xf numFmtId="0" fontId="8" fillId="13" borderId="51" xfId="0" applyFont="1" applyFill="1" applyBorder="1" applyAlignment="1">
      <alignment horizontal="center" vertical="center" wrapText="1"/>
    </xf>
    <xf numFmtId="0" fontId="8" fillId="13" borderId="53" xfId="0" applyFont="1" applyFill="1" applyBorder="1" applyAlignment="1">
      <alignment horizontal="center" vertical="center" wrapText="1"/>
    </xf>
    <xf numFmtId="0" fontId="8" fillId="13" borderId="50" xfId="0" applyFont="1" applyFill="1" applyBorder="1" applyAlignment="1">
      <alignment horizontal="center" vertical="center" wrapText="1"/>
    </xf>
    <xf numFmtId="0" fontId="9" fillId="0" borderId="54" xfId="0" applyFont="1" applyFill="1" applyBorder="1" applyAlignment="1">
      <alignment horizontal="center" vertical="center" wrapText="1"/>
    </xf>
    <xf numFmtId="0" fontId="9" fillId="0" borderId="55" xfId="0" applyFont="1" applyFill="1" applyBorder="1" applyAlignment="1">
      <alignment horizontal="center" wrapText="1"/>
    </xf>
    <xf numFmtId="44" fontId="9" fillId="0" borderId="55" xfId="1" applyFont="1" applyFill="1" applyBorder="1" applyAlignment="1">
      <alignment horizontal="center" wrapText="1"/>
    </xf>
    <xf numFmtId="44" fontId="9" fillId="0" borderId="56" xfId="1" applyFont="1" applyFill="1" applyBorder="1" applyAlignment="1">
      <alignment horizontal="center" wrapText="1"/>
    </xf>
    <xf numFmtId="0" fontId="16" fillId="0" borderId="55" xfId="0" applyFont="1" applyFill="1" applyBorder="1" applyAlignment="1">
      <alignment horizontal="center" wrapText="1"/>
    </xf>
    <xf numFmtId="44" fontId="21" fillId="0" borderId="55" xfId="1" applyFont="1" applyFill="1" applyBorder="1" applyAlignment="1">
      <alignment horizontal="center" wrapText="1"/>
    </xf>
    <xf numFmtId="44" fontId="16" fillId="0" borderId="55" xfId="1" applyNumberFormat="1" applyFont="1" applyFill="1" applyBorder="1" applyAlignment="1">
      <alignment horizontal="center" wrapText="1"/>
    </xf>
    <xf numFmtId="0" fontId="16" fillId="0" borderId="54" xfId="0" applyFont="1" applyFill="1" applyBorder="1" applyAlignment="1">
      <alignment horizontal="center" vertical="center" wrapText="1"/>
    </xf>
    <xf numFmtId="0" fontId="16" fillId="0" borderId="49" xfId="0" applyFont="1" applyFill="1" applyBorder="1" applyAlignment="1">
      <alignment horizontal="center" vertical="center" wrapText="1"/>
    </xf>
    <xf numFmtId="0" fontId="16" fillId="0" borderId="57" xfId="0" applyFont="1" applyFill="1" applyBorder="1" applyAlignment="1">
      <alignment horizontal="center" wrapText="1"/>
    </xf>
    <xf numFmtId="0" fontId="16" fillId="0" borderId="57" xfId="0" applyFont="1" applyFill="1" applyBorder="1" applyAlignment="1">
      <alignment horizontal="center" vertical="center" wrapText="1"/>
    </xf>
    <xf numFmtId="44" fontId="16" fillId="0" borderId="48" xfId="0" applyNumberFormat="1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44" fontId="0" fillId="0" borderId="58" xfId="1" applyFont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1" fontId="9" fillId="0" borderId="59" xfId="0" applyNumberFormat="1" applyFont="1" applyFill="1" applyBorder="1" applyAlignment="1">
      <alignment horizontal="center" vertical="center" wrapText="1"/>
    </xf>
    <xf numFmtId="1" fontId="16" fillId="0" borderId="59" xfId="0" applyNumberFormat="1" applyFont="1" applyFill="1" applyBorder="1" applyAlignment="1">
      <alignment horizontal="center" vertical="center" wrapText="1"/>
    </xf>
    <xf numFmtId="1" fontId="9" fillId="0" borderId="25" xfId="0" applyNumberFormat="1" applyFont="1" applyFill="1" applyBorder="1" applyAlignment="1">
      <alignment horizontal="center" wrapText="1"/>
    </xf>
    <xf numFmtId="1" fontId="16" fillId="0" borderId="25" xfId="0" applyNumberFormat="1" applyFont="1" applyFill="1" applyBorder="1" applyAlignment="1">
      <alignment horizontal="center" wrapText="1"/>
    </xf>
    <xf numFmtId="1" fontId="16" fillId="0" borderId="60" xfId="0" applyNumberFormat="1" applyFont="1" applyFill="1" applyBorder="1" applyAlignment="1">
      <alignment horizontal="center" vertical="center" wrapText="1"/>
    </xf>
    <xf numFmtId="1" fontId="16" fillId="0" borderId="45" xfId="0" applyNumberFormat="1" applyFont="1" applyFill="1" applyBorder="1" applyAlignment="1">
      <alignment horizontal="center" wrapText="1"/>
    </xf>
    <xf numFmtId="44" fontId="21" fillId="0" borderId="45" xfId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11" borderId="39" xfId="0" applyFont="1" applyFill="1" applyBorder="1" applyAlignment="1">
      <alignment horizontal="center" vertical="center" wrapText="1"/>
    </xf>
    <xf numFmtId="0" fontId="2" fillId="11" borderId="40" xfId="0" applyFont="1" applyFill="1" applyBorder="1" applyAlignment="1">
      <alignment horizontal="center" vertical="center" wrapText="1"/>
    </xf>
    <xf numFmtId="0" fontId="2" fillId="11" borderId="41" xfId="0" applyFont="1" applyFill="1" applyBorder="1" applyAlignment="1">
      <alignment horizontal="center" vertical="center" wrapText="1"/>
    </xf>
    <xf numFmtId="0" fontId="7" fillId="12" borderId="42" xfId="0" applyFont="1" applyFill="1" applyBorder="1" applyAlignment="1">
      <alignment horizontal="center" vertical="center" wrapText="1"/>
    </xf>
    <xf numFmtId="0" fontId="7" fillId="12" borderId="43" xfId="0" applyFont="1" applyFill="1" applyBorder="1" applyAlignment="1">
      <alignment horizontal="center" vertical="center" wrapText="1"/>
    </xf>
    <xf numFmtId="0" fontId="7" fillId="12" borderId="44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7" fillId="12" borderId="26" xfId="0" applyFont="1" applyFill="1" applyBorder="1" applyAlignment="1">
      <alignment horizontal="center" vertical="center" wrapText="1"/>
    </xf>
    <xf numFmtId="0" fontId="7" fillId="12" borderId="27" xfId="0" applyFont="1" applyFill="1" applyBorder="1" applyAlignment="1">
      <alignment horizontal="center" vertical="center" wrapText="1"/>
    </xf>
    <xf numFmtId="0" fontId="7" fillId="12" borderId="28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right" vertical="center"/>
    </xf>
    <xf numFmtId="0" fontId="11" fillId="17" borderId="4" xfId="0" applyFont="1" applyFill="1" applyBorder="1" applyAlignment="1">
      <alignment horizontal="right" vertical="center"/>
    </xf>
    <xf numFmtId="0" fontId="2" fillId="11" borderId="0" xfId="0" applyFont="1" applyFill="1" applyBorder="1" applyAlignment="1">
      <alignment horizontal="center" vertical="center" wrapText="1"/>
    </xf>
    <xf numFmtId="0" fontId="7" fillId="12" borderId="0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31" fillId="0" borderId="29" xfId="0" applyFont="1" applyBorder="1" applyAlignment="1">
      <alignment horizontal="right"/>
    </xf>
    <xf numFmtId="0" fontId="31" fillId="0" borderId="30" xfId="0" applyFont="1" applyBorder="1" applyAlignment="1">
      <alignment horizontal="right"/>
    </xf>
    <xf numFmtId="0" fontId="0" fillId="0" borderId="23" xfId="0" applyFont="1" applyBorder="1" applyAlignment="1">
      <alignment horizontal="right"/>
    </xf>
    <xf numFmtId="0" fontId="0" fillId="0" borderId="24" xfId="0" applyFont="1" applyBorder="1" applyAlignment="1">
      <alignment horizontal="right"/>
    </xf>
    <xf numFmtId="0" fontId="2" fillId="11" borderId="22" xfId="0" applyFont="1" applyFill="1" applyBorder="1" applyAlignment="1">
      <alignment horizontal="center" vertical="center" wrapText="1"/>
    </xf>
    <xf numFmtId="0" fontId="7" fillId="12" borderId="52" xfId="0" applyFont="1" applyFill="1" applyBorder="1" applyAlignment="1">
      <alignment horizontal="center" vertical="center" wrapText="1"/>
    </xf>
    <xf numFmtId="0" fontId="31" fillId="0" borderId="6" xfId="0" applyFont="1" applyBorder="1" applyAlignment="1">
      <alignment horizontal="right"/>
    </xf>
    <xf numFmtId="0" fontId="31" fillId="0" borderId="7" xfId="0" applyFont="1" applyBorder="1" applyAlignment="1">
      <alignment horizontal="right"/>
    </xf>
    <xf numFmtId="0" fontId="3" fillId="16" borderId="29" xfId="0" applyFont="1" applyFill="1" applyBorder="1" applyAlignment="1">
      <alignment horizontal="center" vertical="center" wrapText="1"/>
    </xf>
    <xf numFmtId="0" fontId="3" fillId="16" borderId="30" xfId="0" applyFont="1" applyFill="1" applyBorder="1" applyAlignment="1">
      <alignment horizontal="center" vertical="center" wrapText="1"/>
    </xf>
    <xf numFmtId="0" fontId="3" fillId="16" borderId="33" xfId="0" applyFont="1" applyFill="1" applyBorder="1" applyAlignment="1">
      <alignment horizontal="center" vertical="center" wrapText="1"/>
    </xf>
    <xf numFmtId="0" fontId="3" fillId="16" borderId="31" xfId="0" applyFont="1" applyFill="1" applyBorder="1" applyAlignment="1">
      <alignment horizontal="center" vertical="center" wrapText="1"/>
    </xf>
    <xf numFmtId="0" fontId="11" fillId="14" borderId="14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25" xfId="0" applyFont="1" applyFill="1" applyBorder="1" applyAlignment="1">
      <alignment horizontal="center" vertical="center" wrapText="1"/>
    </xf>
    <xf numFmtId="0" fontId="11" fillId="14" borderId="15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451">
    <dxf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9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7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7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9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7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7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9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7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7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9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7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7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9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Calibri"/>
        <scheme val="minor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z val="8.5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9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7"/>
        <name val="Calibri"/>
        <scheme val="minor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7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8.5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9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8.5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Calibri"/>
        <scheme val="minor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9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8.5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z val="8.5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z val="8.5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5" formatCode="_-* #,##0.00\ [$€-C0A]_-;\-* #,##0.00\ [$€-C0A]_-;_-* &quot;-&quot;??\ [$€-C0A]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z val="8.5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z val="8.5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Calibri"/>
        <scheme val="minor"/>
      </font>
      <fill>
        <patternFill patternType="solid">
          <fgColor indexed="64"/>
          <bgColor rgb="FFA5A5A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2" defaultPivotStyle="PivotStyleLight16"/>
  <colors>
    <mruColors>
      <color rgb="FF5BD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a1343" displayName="Tabla1343" ref="B4:H146" totalsRowCount="1" headerRowDxfId="450" headerRowBorderDxfId="449" tableBorderDxfId="448">
  <autoFilter ref="B4:H145"/>
  <tableColumns count="7">
    <tableColumn id="1" name="Descripcion" dataDxfId="447" totalsRowDxfId="446"/>
    <tableColumn id="10" name="Columna1" dataDxfId="445" totalsRowDxfId="444"/>
    <tableColumn id="11" name="Columna2" dataDxfId="443" totalsRowDxfId="442"/>
    <tableColumn id="12" name="Columna3" dataDxfId="441" totalsRowDxfId="440"/>
    <tableColumn id="13" name="Columna4" dataDxfId="439" totalsRowDxfId="438"/>
    <tableColumn id="14" name="Columna5" dataDxfId="437" totalsRowDxfId="436"/>
    <tableColumn id="15" name="Columna6" dataDxfId="435" totalsRowDxfId="434">
      <calculatedColumnFormula>SUM(Tabla1343[[#This Row],[Columna1]:[Columna5]])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0" name="Tabla20" displayName="Tabla20" ref="B4:F23" totalsRowShown="0" headerRowDxfId="433" dataDxfId="431" headerRowBorderDxfId="432" tableBorderDxfId="430" totalsRowBorderDxfId="429">
  <autoFilter ref="B4:F23"/>
  <tableColumns count="5">
    <tableColumn id="1" name="Descripcion" dataDxfId="428"/>
    <tableColumn id="2" name="Material Requerido" dataDxfId="427"/>
    <tableColumn id="5" name="Material Según Mensaje" dataDxfId="426"/>
    <tableColumn id="4" name="Material Contabilizado" dataDxfId="425"/>
    <tableColumn id="3" name="Observaciones" dataDxfId="4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4" name="Tabla202425" displayName="Tabla202425" ref="B4:E24" totalsRowCount="1" headerRowDxfId="423" dataDxfId="421" headerRowBorderDxfId="422" tableBorderDxfId="420" totalsRowBorderDxfId="419">
  <autoFilter ref="B4:E23"/>
  <tableColumns count="4">
    <tableColumn id="1" name="Descripcion" dataDxfId="418" totalsRowDxfId="417"/>
    <tableColumn id="5" name="Material Según Mensaje " dataDxfId="416" totalsRowDxfId="415"/>
    <tableColumn id="4" name="Material Contabilizado" dataDxfId="414" totalsRowDxfId="413"/>
    <tableColumn id="3" name="Observaciones " dataDxfId="412" totalsRowDxfId="41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1" name="Tabla20242" displayName="Tabla20242" ref="B4:I24" totalsRowCount="1" headerRowDxfId="410" dataDxfId="408" headerRowBorderDxfId="409" tableBorderDxfId="407" totalsRowBorderDxfId="406">
  <autoFilter ref="B4:I23"/>
  <tableColumns count="8">
    <tableColumn id="1" name="Descripcion" dataDxfId="405" totalsRowDxfId="404"/>
    <tableColumn id="5" name="Material Según Mensaje 25/10/2023" dataDxfId="403" totalsRowDxfId="402"/>
    <tableColumn id="4" name="Material Contabilizado Ingresado al deposito " dataDxfId="401" totalsRowDxfId="400"/>
    <tableColumn id="12" name="Diferencia de stock" dataDxfId="399" totalsRowDxfId="398">
      <calculatedColumnFormula>+Tabla20242[[#This Row],[Material Contabilizado Ingresado al deposito ]]-Tabla20242[[#This Row],[Material Según Mensaje 25/10/2023]]</calculatedColumnFormula>
    </tableColumn>
    <tableColumn id="3" name="Adeuda Agesta a Dos57" dataDxfId="397" totalsRowDxfId="396"/>
    <tableColumn id="6" name="Subtotal Material " dataDxfId="395" totalsRowDxfId="394">
      <calculatedColumnFormula>+Tabla20242[[#This Row],[Material Contabilizado Ingresado al deposito ]]-Tabla20242[[#This Row],[Adeuda Agesta a Dos57]]</calculatedColumnFormula>
    </tableColumn>
    <tableColumn id="7" name="Adeuda Dos57 a Agesta" dataDxfId="393" totalsRowDxfId="392"/>
    <tableColumn id="8" name="Total Material Alquilado" dataDxfId="391">
      <calculatedColumnFormula>+Tabla20242[[#This Row],[Subtotal Material ]]+Tabla20242[[#This Row],[Adeuda Dos57 a Agesta]]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22" name="Tabla202223" displayName="Tabla202223" ref="B4:I23" totalsRowCount="1" headerRowDxfId="390" dataDxfId="388" headerRowBorderDxfId="389" tableBorderDxfId="387" totalsRowBorderDxfId="386">
  <autoFilter ref="B4:I22"/>
  <tableColumns count="8">
    <tableColumn id="1" name="Descripcion" totalsRowDxfId="385"/>
    <tableColumn id="7" name="Columna1" dataDxfId="384" totalsRowDxfId="383"/>
    <tableColumn id="8" name="Columna2" dataDxfId="382" totalsRowDxfId="381"/>
    <tableColumn id="2" name="Material Requerido" dataDxfId="380" totalsRowDxfId="379"/>
    <tableColumn id="6" name="Canje" dataDxfId="378" totalsRowDxfId="377">
      <calculatedColumnFormula>+Tabla202223[[#This Row],[Material Requerido]]/2</calculatedColumnFormula>
    </tableColumn>
    <tableColumn id="3" name="Valor Alq de Referencia €" dataDxfId="376" totalsRowDxfId="375" dataCellStyle="Moneda"/>
    <tableColumn id="4" name="Precio Total en Pesos" dataDxfId="374" totalsRowDxfId="373">
      <calculatedColumnFormula>+Tabla202223[[#This Row],[Canje]]*Tabla202223[[#This Row],[Valor Alq de Referencia €]]*I$3</calculatedColumnFormula>
    </tableColumn>
    <tableColumn id="5" name="Valor Alquiler 4%" totalsRowFunction="custom" totalsRowDxfId="372">
      <calculatedColumnFormula>+Tabla202223[[#This Row],[Precio Total en Pesos]]*4%</calculatedColumnFormula>
      <totalsRowFormula>SUM(I5:I22)</totalsRow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5" name="Tabla202426" displayName="Tabla202426" ref="B4:J24" totalsRowCount="1" headerRowDxfId="371" dataDxfId="369" headerRowBorderDxfId="370" tableBorderDxfId="368" totalsRowBorderDxfId="367">
  <autoFilter ref="B4:J23"/>
  <tableColumns count="9">
    <tableColumn id="1" name="Descripcion" dataDxfId="366" totalsRowDxfId="365"/>
    <tableColumn id="5" name="Material Según Mensaje 25/10/2023" dataDxfId="364" totalsRowDxfId="363"/>
    <tableColumn id="4" name="Material Contabilizado Ingresado al deposito " dataDxfId="362" totalsRowDxfId="361"/>
    <tableColumn id="12" name="Diferencia de stock" dataDxfId="360" totalsRowDxfId="359">
      <calculatedColumnFormula>+Tabla202426[[#This Row],[Material Contabilizado Ingresado al deposito ]]-Tabla202426[[#This Row],[Material Según Mensaje 25/10/2023]]</calculatedColumnFormula>
    </tableColumn>
    <tableColumn id="3" name="Adeuda Agesta a Dos57" dataDxfId="358" totalsRowDxfId="357"/>
    <tableColumn id="6" name="Subtotal Material " dataDxfId="356" totalsRowDxfId="355">
      <calculatedColumnFormula>+Tabla202426[[#This Row],[Material Contabilizado Ingresado al deposito ]]-Tabla202426[[#This Row],[Adeuda Agesta a Dos57]]</calculatedColumnFormula>
    </tableColumn>
    <tableColumn id="7" name="Valor Unitario en €" dataDxfId="354" totalsRowDxfId="353" dataCellStyle="Moneda"/>
    <tableColumn id="2" name="Total Precio en Pesos" dataDxfId="352" totalsRowDxfId="351" dataCellStyle="Moneda">
      <calculatedColumnFormula>+Tabla202426[[#This Row],[Valor Unitario en €]]*J$3*Tabla202426[[#This Row],[Subtotal Material ]]</calculatedColumnFormula>
    </tableColumn>
    <tableColumn id="8" name="Valor Alquiler 5%" totalsRowFunction="sum" dataDxfId="350" totalsRowDxfId="349" dataCellStyle="Moneda">
      <calculatedColumnFormula>+Tabla202426[[#This Row],[Total Precio en Pesos]]*5%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6" name="Tabla2024267" displayName="Tabla2024267" ref="B4:G24" totalsRowCount="1" headerRowDxfId="348" dataDxfId="346" headerRowBorderDxfId="347" tableBorderDxfId="345" totalsRowBorderDxfId="344">
  <autoFilter ref="B4:G23"/>
  <tableColumns count="6">
    <tableColumn id="1" name="Descripcion" dataDxfId="343" totalsRowDxfId="342"/>
    <tableColumn id="5" name="Marterial Final Alquiler" dataDxfId="341" totalsRowDxfId="340"/>
    <tableColumn id="7" name="Valor Unitario en € " dataDxfId="339" totalsRowDxfId="338" dataCellStyle="Moneda"/>
    <tableColumn id="3" name="Valor Unitario en € + 5%" dataDxfId="337" totalsRowDxfId="336" dataCellStyle="Moneda">
      <calculatedColumnFormula>+Tabla2024267[[#This Row],[Valor Unitario en € ]]*5%+Tabla2024267[[#This Row],[Valor Unitario en € ]]</calculatedColumnFormula>
    </tableColumn>
    <tableColumn id="2" name="Total Precio en Pesos" dataDxfId="335" totalsRowDxfId="334" dataCellStyle="Moneda">
      <calculatedColumnFormula>+Tabla2024267[[#This Row],[Marterial Final Alquiler]]*Tabla2024267[[#This Row],[Valor Unitario en € + 5%]]*G$3</calculatedColumnFormula>
    </tableColumn>
    <tableColumn id="8" name="Valor Alquiler 5%" totalsRowFunction="sum" dataDxfId="333" totalsRowDxfId="332" dataCellStyle="Moneda">
      <calculatedColumnFormula>+Tabla2024267[[#This Row],[Total Precio en Pesos]]*5%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3" name="Tabla202424" displayName="Tabla202424" ref="B4:L24" totalsRowCount="1" headerRowDxfId="331" dataDxfId="329" headerRowBorderDxfId="330" tableBorderDxfId="328" totalsRowBorderDxfId="327">
  <autoFilter ref="B4:L23"/>
  <tableColumns count="11">
    <tableColumn id="1" name="Descripcion" dataDxfId="326" totalsRowDxfId="325"/>
    <tableColumn id="2" name="Material Requerido" dataDxfId="324" totalsRowDxfId="323"/>
    <tableColumn id="5" name="Material Según Mensaje 25/10/2023" dataDxfId="322" totalsRowDxfId="321"/>
    <tableColumn id="4" name="Material Contabilizado Ingresado al deposito " dataDxfId="320" totalsRowDxfId="319"/>
    <tableColumn id="12" name="Diferencia de stock" dataDxfId="318" totalsRowDxfId="317">
      <calculatedColumnFormula>+Tabla202424[[#This Row],[Material Contabilizado Ingresado al deposito ]]-Tabla202424[[#This Row],[Material Según Mensaje 25/10/2023]]</calculatedColumnFormula>
    </tableColumn>
    <tableColumn id="3" name="Adeuda Agesta a Dos57" dataDxfId="316" totalsRowDxfId="315"/>
    <tableColumn id="6" name="Subtotal Material " dataDxfId="314" totalsRowDxfId="313">
      <calculatedColumnFormula>+Tabla202424[[#This Row],[Material Contabilizado Ingresado al deposito ]]-Tabla202424[[#This Row],[Adeuda Agesta a Dos57]]</calculatedColumnFormula>
    </tableColumn>
    <tableColumn id="7" name="Adeuda Dos57 a Agesta" dataDxfId="312" totalsRowDxfId="311"/>
    <tableColumn id="8" name="Total material en camion" dataDxfId="310" totalsRowDxfId="309">
      <calculatedColumnFormula>+Tabla202424[[#This Row],[Subtotal Material ]]+Tabla202424[[#This Row],[Adeuda Dos57 a Agesta]]</calculatedColumnFormula>
    </tableColumn>
    <tableColumn id="9" name="Material recibido" dataDxfId="308" totalsRowDxfId="307"/>
    <tableColumn id="10" name="RECIBI CONFORME/FIRMA CLIENTE" dataDxfId="306" totalsRowDxfId="305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7" name="Tabla20242678" displayName="Tabla20242678" ref="B4:G26" totalsRowCount="1" headerRowDxfId="304" dataDxfId="302" headerRowBorderDxfId="303" tableBorderDxfId="301" totalsRowBorderDxfId="300">
  <autoFilter ref="B4:G25"/>
  <tableColumns count="6">
    <tableColumn id="1" name="Descripcion" dataDxfId="299" totalsRowDxfId="298"/>
    <tableColumn id="5" name="Marterial Final Alquiler" dataDxfId="297" totalsRowDxfId="296"/>
    <tableColumn id="7" name="Valor Unitario en € " dataDxfId="295" totalsRowDxfId="294" dataCellStyle="Moneda"/>
    <tableColumn id="3" name="Valor Unitario en € + 5%" dataDxfId="293" totalsRowDxfId="292" dataCellStyle="Moneda">
      <calculatedColumnFormula>+Tabla20242678[[#This Row],[Valor Unitario en € ]]*5%+Tabla20242678[[#This Row],[Valor Unitario en € ]]</calculatedColumnFormula>
    </tableColumn>
    <tableColumn id="2" name="Total Precio en Pesos" dataDxfId="291" totalsRowDxfId="290" dataCellStyle="Moneda">
      <calculatedColumnFormula>+Tabla20242678[[#This Row],[Marterial Final Alquiler]]*Tabla20242678[[#This Row],[Valor Unitario en € + 5%]]*G$3</calculatedColumnFormula>
    </tableColumn>
    <tableColumn id="8" name="Valor Alquiler 5%" totalsRowFunction="sum" dataDxfId="289" totalsRowDxfId="288" dataCellStyle="Moneda">
      <calculatedColumnFormula>+Tabla20242678[[#This Row],[Total Precio en Pesos]]*5%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8" name="Tabla2024249" displayName="Tabla2024249" ref="B4:K14" totalsRowShown="0" headerRowDxfId="287" dataDxfId="285" headerRowBorderDxfId="286" tableBorderDxfId="284" totalsRowBorderDxfId="283">
  <autoFilter ref="B4:K14"/>
  <tableColumns count="10">
    <tableColumn id="1" name="Descripcion" dataDxfId="282" totalsRowDxfId="281"/>
    <tableColumn id="2" name="Material Requerido" dataDxfId="280" totalsRowDxfId="279"/>
    <tableColumn id="5" name="Material Según Mensaje 25/10/2023" dataDxfId="278" totalsRowDxfId="277"/>
    <tableColumn id="4" name="Material Contabilizado Ingresado al deposito " dataDxfId="276" totalsRowDxfId="275"/>
    <tableColumn id="12" name="Diferencia de stock" dataDxfId="274" totalsRowDxfId="273">
      <calculatedColumnFormula>+Tabla2024249[[#This Row],[Material Contabilizado Ingresado al deposito ]]-Tabla2024249[[#This Row],[Material Según Mensaje 25/10/2023]]</calculatedColumnFormula>
    </tableColumn>
    <tableColumn id="3" name="Adeuda Agesta a Dos57" dataDxfId="272" totalsRowDxfId="271"/>
    <tableColumn id="6" name="Subtotal Material " dataDxfId="270" totalsRowDxfId="269">
      <calculatedColumnFormula>+Tabla2024249[[#This Row],[Material Contabilizado Ingresado al deposito ]]-Tabla2024249[[#This Row],[Adeuda Agesta a Dos57]]</calculatedColumnFormula>
    </tableColumn>
    <tableColumn id="7" name="Adeuda Dos57 a Agesta" dataDxfId="268" totalsRowDxfId="267"/>
    <tableColumn id="8" name="MATERIAL QUE DEBE IR CAMION" dataDxfId="266">
      <calculatedColumnFormula>+Tabla2024249[[#This Row],[Subtotal Material ]]+Tabla2024249[[#This Row],[Adeuda Dos57 a Agesta]]</calculatedColumnFormula>
    </tableColumn>
    <tableColumn id="10" name="RECIBI CONFORME/FIRMA CLIENTE" dataDxfId="265" totalsRowDxfId="264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9" name="Tabla2024267810" displayName="Tabla2024267810" ref="B4:G27" totalsRowCount="1" headerRowDxfId="263" dataDxfId="261" headerRowBorderDxfId="262" tableBorderDxfId="260" totalsRowBorderDxfId="259">
  <autoFilter ref="B4:G26"/>
  <tableColumns count="6">
    <tableColumn id="1" name="Descripcion" dataDxfId="258" totalsRowDxfId="257"/>
    <tableColumn id="5" name="Marterial Final Alquiler" dataDxfId="256" totalsRowDxfId="255"/>
    <tableColumn id="7" name="Valor Unitario en € " dataDxfId="254" totalsRowDxfId="253" dataCellStyle="Moneda"/>
    <tableColumn id="3" name="Valor Unitario en € + 5%" dataDxfId="252" totalsRowDxfId="251" dataCellStyle="Moneda">
      <calculatedColumnFormula>+Tabla2024267810[[#This Row],[Valor Unitario en € ]]*5%+Tabla2024267810[[#This Row],[Valor Unitario en € ]]</calculatedColumnFormula>
    </tableColumn>
    <tableColumn id="2" name="Total Precio en Pesos" dataDxfId="250" totalsRowDxfId="249" dataCellStyle="Moneda">
      <calculatedColumnFormula>+Tabla2024267810[[#This Row],[Marterial Final Alquiler]]*Tabla2024267810[[#This Row],[Valor Unitario en € + 5%]]*G$3</calculatedColumnFormula>
    </tableColumn>
    <tableColumn id="8" name="Valor Alquiler 5%" totalsRowFunction="sum" dataDxfId="248" dataCellStyle="Moneda">
      <calculatedColumnFormula>+Tabla2024267810[[#This Row],[Total Precio en Pesos]]*5%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0" name="Tabla20242411" displayName="Tabla20242411" ref="B4:K17" totalsRowShown="0" headerRowDxfId="247" dataDxfId="245" headerRowBorderDxfId="246" tableBorderDxfId="244" totalsRowBorderDxfId="243">
  <autoFilter ref="B4:K17"/>
  <tableColumns count="10">
    <tableColumn id="1" name="Descripcion" dataDxfId="242" totalsRowDxfId="241"/>
    <tableColumn id="2" name="Material Requerido" dataDxfId="240" totalsRowDxfId="239"/>
    <tableColumn id="5" name="Material Según Mensaje 25/10/2023" dataDxfId="238" totalsRowDxfId="237"/>
    <tableColumn id="4" name="Material Contabilizado Ingresado al deposito " dataDxfId="236" totalsRowDxfId="235"/>
    <tableColumn id="12" name="Diferencia de stock" dataDxfId="234" totalsRowDxfId="233">
      <calculatedColumnFormula>+Tabla20242411[[#This Row],[Material Contabilizado Ingresado al deposito ]]-Tabla20242411[[#This Row],[Material Según Mensaje 25/10/2023]]</calculatedColumnFormula>
    </tableColumn>
    <tableColumn id="3" name="Adeuda Agesta a Dos57" dataDxfId="232" totalsRowDxfId="231"/>
    <tableColumn id="6" name="Subtotal Material " dataDxfId="230" totalsRowDxfId="229">
      <calculatedColumnFormula>+Tabla20242411[[#This Row],[Material Contabilizado Ingresado al deposito ]]-Tabla20242411[[#This Row],[Adeuda Agesta a Dos57]]</calculatedColumnFormula>
    </tableColumn>
    <tableColumn id="7" name="Adeuda Dos57 a Agesta" dataDxfId="228" totalsRowDxfId="227"/>
    <tableColumn id="8" name="Total material en camion" dataDxfId="226" totalsRowDxfId="225">
      <calculatedColumnFormula>+Tabla20242411[[#This Row],[Subtotal Material ]]+Tabla20242411[[#This Row],[Adeuda Dos57 a Agesta]]</calculatedColumnFormula>
    </tableColumn>
    <tableColumn id="10" name="RECIBI CONFORME/FIRMA CLIENTE" dataDxfId="224" totalsRowDxfId="223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1" name="Tabla20242412" displayName="Tabla20242412" ref="B4:K22" totalsRowShown="0" headerRowDxfId="222" headerRowBorderDxfId="221" tableBorderDxfId="220" totalsRowBorderDxfId="219">
  <autoFilter ref="B4:K22"/>
  <tableColumns count="10">
    <tableColumn id="1" name="Descripcion" dataDxfId="218" totalsRowDxfId="217"/>
    <tableColumn id="2" name="Material Requerido" dataDxfId="216" totalsRowDxfId="215"/>
    <tableColumn id="5" name="Material Según Mensaje 25/10/2023" dataDxfId="214" totalsRowDxfId="213"/>
    <tableColumn id="4" name="Material Contabilizado Ingresado al deposito " dataDxfId="212" totalsRowDxfId="211"/>
    <tableColumn id="12" name="Diferencia de stock" dataDxfId="210" totalsRowDxfId="209">
      <calculatedColumnFormula>+Tabla20242412[[#This Row],[Material Contabilizado Ingresado al deposito ]]-Tabla20242412[[#This Row],[Material Según Mensaje 25/10/2023]]</calculatedColumnFormula>
    </tableColumn>
    <tableColumn id="3" name="Adeuda Agesta a Dos57" dataDxfId="208" totalsRowDxfId="207"/>
    <tableColumn id="6" name="Subtotal Material " dataDxfId="206" totalsRowDxfId="205">
      <calculatedColumnFormula>+Tabla20242412[[#This Row],[Material Contabilizado Ingresado al deposito ]]-Tabla20242412[[#This Row],[Adeuda Agesta a Dos57]]</calculatedColumnFormula>
    </tableColumn>
    <tableColumn id="7" name="Adeuda Dos57 a Agesta" dataDxfId="204" totalsRowDxfId="203"/>
    <tableColumn id="8" name="Total material en camión" dataDxfId="202">
      <calculatedColumnFormula>+Tabla20242412[[#This Row],[Subtotal Material ]]+Tabla20242412[[#This Row],[Adeuda Dos57 a Agesta]]</calculatedColumnFormula>
    </tableColumn>
    <tableColumn id="10" name="RECIBI CONFORME/FIRMA CLIENTE" dataDxfId="201" totalsRowDxfId="200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2" name="Tabla2024241213" displayName="Tabla2024241213" ref="B4:K15" totalsRowShown="0" headerRowDxfId="199" headerRowBorderDxfId="198" tableBorderDxfId="197" totalsRowBorderDxfId="196">
  <autoFilter ref="B4:K15"/>
  <tableColumns count="10">
    <tableColumn id="1" name="Descripcion" dataDxfId="195" totalsRowDxfId="194"/>
    <tableColumn id="2" name="Material Requerido" dataDxfId="193" totalsRowDxfId="192"/>
    <tableColumn id="5" name="Material Según Mensaje 25/10/2023" dataDxfId="191" totalsRowDxfId="190"/>
    <tableColumn id="4" name="Material Contabilizado Ingresado al deposito " dataDxfId="189" totalsRowDxfId="188"/>
    <tableColumn id="12" name="Diferencia de stock" dataDxfId="187" totalsRowDxfId="186">
      <calculatedColumnFormula>+Tabla2024241213[[#This Row],[Material Contabilizado Ingresado al deposito ]]-Tabla2024241213[[#This Row],[Material Según Mensaje 25/10/2023]]</calculatedColumnFormula>
    </tableColumn>
    <tableColumn id="3" name="Adeuda Agesta a Dos57" dataDxfId="185" totalsRowDxfId="184"/>
    <tableColumn id="6" name="Subtotal Material " dataDxfId="183" totalsRowDxfId="182">
      <calculatedColumnFormula>+Tabla2024241213[[#This Row],[Material Contabilizado Ingresado al deposito ]]-Tabla2024241213[[#This Row],[Adeuda Agesta a Dos57]]</calculatedColumnFormula>
    </tableColumn>
    <tableColumn id="7" name="Adeuda Dos57 a Agesta" dataDxfId="181" totalsRowDxfId="180"/>
    <tableColumn id="8" name="Total material en CAMION 1" dataDxfId="179">
      <calculatedColumnFormula>+Tabla2024241213[[#This Row],[Subtotal Material ]]+Tabla2024241213[[#This Row],[Adeuda Dos57 a Agesta]]</calculatedColumnFormula>
    </tableColumn>
    <tableColumn id="10" name="RECIBI CONFORME/FIRMA CLIENTE" dataDxfId="178" totalsRowDxfId="177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3" name="Tabla202424121314" displayName="Tabla202424121314" ref="B4:K13" totalsRowShown="0" headerRowDxfId="176" headerRowBorderDxfId="175" tableBorderDxfId="174" totalsRowBorderDxfId="173">
  <autoFilter ref="B4:K13"/>
  <tableColumns count="10">
    <tableColumn id="1" name="Descripcion" dataDxfId="172" totalsRowDxfId="171"/>
    <tableColumn id="2" name="Material Requerido" dataDxfId="170" totalsRowDxfId="169"/>
    <tableColumn id="5" name="Material Según Mensaje 25/10/2023" dataDxfId="168" totalsRowDxfId="167"/>
    <tableColumn id="4" name="Material Contabilizado Ingresado al deposito " dataDxfId="166" totalsRowDxfId="165"/>
    <tableColumn id="12" name="Diferencia de stock" dataDxfId="164" totalsRowDxfId="163">
      <calculatedColumnFormula>+Tabla202424121314[[#This Row],[Material Contabilizado Ingresado al deposito ]]-Tabla202424121314[[#This Row],[Material Según Mensaje 25/10/2023]]</calculatedColumnFormula>
    </tableColumn>
    <tableColumn id="3" name="Adeuda Agesta a Dos57" dataDxfId="162" totalsRowDxfId="161"/>
    <tableColumn id="6" name="Subtotal Material " dataDxfId="160" totalsRowDxfId="159">
      <calculatedColumnFormula>+Tabla202424121314[[#This Row],[Material Contabilizado Ingresado al deposito ]]-Tabla202424121314[[#This Row],[Adeuda Agesta a Dos57]]</calculatedColumnFormula>
    </tableColumn>
    <tableColumn id="7" name="Adeuda Dos57 a Agesta" dataDxfId="158" totalsRowDxfId="157"/>
    <tableColumn id="8" name="Total material en CAMION 2" dataDxfId="156">
      <calculatedColumnFormula>+Tabla202424121314[[#This Row],[Subtotal Material ]]+Tabla202424121314[[#This Row],[Adeuda Dos57 a Agesta]]</calculatedColumnFormula>
    </tableColumn>
    <tableColumn id="10" name="RECIBI CONFORME/FIRMA CLIENTE" dataDxfId="155" totalsRowDxfId="154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id="14" name="Tabla202424121315" displayName="Tabla202424121315" ref="B4:K12" totalsRowShown="0" headerRowDxfId="153" headerRowBorderDxfId="152" tableBorderDxfId="151" totalsRowBorderDxfId="150">
  <autoFilter ref="B4:K12"/>
  <tableColumns count="10">
    <tableColumn id="1" name="Descripcion" dataDxfId="149" totalsRowDxfId="148"/>
    <tableColumn id="2" name="Material Requerido" dataDxfId="147" totalsRowDxfId="146"/>
    <tableColumn id="5" name="Material Según Mensaje 25/10/2023" dataDxfId="145" totalsRowDxfId="144"/>
    <tableColumn id="4" name="Material Contabilizado Ingresado al deposito " dataDxfId="143" totalsRowDxfId="142"/>
    <tableColumn id="12" name="Diferencia de stock" dataDxfId="141" totalsRowDxfId="140">
      <calculatedColumnFormula>+Tabla202424121315[[#This Row],[Material Contabilizado Ingresado al deposito ]]-Tabla202424121315[[#This Row],[Material Según Mensaje 25/10/2023]]</calculatedColumnFormula>
    </tableColumn>
    <tableColumn id="3" name="Adeuda Agesta a Dos57" dataDxfId="139" totalsRowDxfId="138"/>
    <tableColumn id="6" name="Subtotal Material " dataDxfId="137" totalsRowDxfId="136">
      <calculatedColumnFormula>+Tabla202424121315[[#This Row],[Material Contabilizado Ingresado al deposito ]]-Tabla202424121315[[#This Row],[Adeuda Agesta a Dos57]]</calculatedColumnFormula>
    </tableColumn>
    <tableColumn id="7" name="Adeuda Dos57 a Agesta" dataDxfId="135" totalsRowDxfId="134"/>
    <tableColumn id="8" name="Total material en CAMION 1" dataDxfId="133">
      <calculatedColumnFormula>+Tabla202424121315[[#This Row],[Subtotal Material ]]+Tabla202424121315[[#This Row],[Adeuda Dos57 a Agesta]]</calculatedColumnFormula>
    </tableColumn>
    <tableColumn id="10" name="RECIBI CONFORME/FIRMA CLIENTE" dataDxfId="132" totalsRowDxfId="131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id="15" name="Tabla2024267816" displayName="Tabla2024267816" ref="B4:H18" totalsRowCount="1" headerRowDxfId="130" dataDxfId="128" headerRowBorderDxfId="129" tableBorderDxfId="127" totalsRowBorderDxfId="126">
  <autoFilter ref="B4:H17"/>
  <tableColumns count="7">
    <tableColumn id="1" name="Descripcion" dataDxfId="125" totalsRowDxfId="124"/>
    <tableColumn id="5" name="Material Final Alquiler" dataDxfId="123" totalsRowDxfId="122"/>
    <tableColumn id="7" name="Valor Unitario en € " dataDxfId="121" totalsRowDxfId="120" dataCellStyle="Moneda"/>
    <tableColumn id="3" name="Valor Unitario en €" dataDxfId="119" totalsRowDxfId="118" dataCellStyle="Moneda">
      <calculatedColumnFormula>+Tabla2024267816[[#This Row],[Valor Unitario en € ]]*5%+Tabla2024267816[[#This Row],[Valor Unitario en € ]]</calculatedColumnFormula>
    </tableColumn>
    <tableColumn id="4" name="Valor Total en €" dataDxfId="117" totalsRowDxfId="116" dataCellStyle="Moneda">
      <calculatedColumnFormula>+Tabla2024267816[[#This Row],[Material Final Alquiler]]*Tabla2024267816[[#This Row],[Valor Unitario en €]]</calculatedColumnFormula>
    </tableColumn>
    <tableColumn id="2" name="Total Precio en Pesos" totalsRowFunction="custom" dataDxfId="115" totalsRowDxfId="114" dataCellStyle="Moneda">
      <calculatedColumnFormula>+Tabla2024267816[[#This Row],[Valor Total en €]]*H3</calculatedColumnFormula>
      <totalsRowFormula>SUM(G5:G17)</totalsRowFormula>
    </tableColumn>
    <tableColumn id="8" name="Valor Alquiler 4%" totalsRowFunction="sum" totalsRowDxfId="113" dataCellStyle="Moneda">
      <calculatedColumnFormula>+Tabla2024267816[[#This Row],[Total Precio en Pesos]]*4%</calculatedColumnFormula>
    </tableColumn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id="16" name="Tabla202426781617" displayName="Tabla202426781617" ref="B4:G10" totalsRowCount="1" headerRowDxfId="112" dataDxfId="110" totalsRowDxfId="108" headerRowBorderDxfId="111" tableBorderDxfId="109" totalsRowBorderDxfId="107">
  <autoFilter ref="B4:G9"/>
  <tableColumns count="6">
    <tableColumn id="1" name="Descripcion" dataDxfId="106" totalsRowDxfId="105"/>
    <tableColumn id="5" name="Material Final Alquiler" dataDxfId="104" totalsRowDxfId="103"/>
    <tableColumn id="7" name="Valor Unitario en € " dataDxfId="102" totalsRowDxfId="101" dataCellStyle="Moneda"/>
    <tableColumn id="3" name="Valor Unitario en €" dataDxfId="100" totalsRowDxfId="99" dataCellStyle="Moneda">
      <calculatedColumnFormula>+Tabla202426781617[[#This Row],[Valor Unitario en € ]]*5%+Tabla202426781617[[#This Row],[Valor Unitario en € ]]</calculatedColumnFormula>
    </tableColumn>
    <tableColumn id="4" name="Valor Total en €" dataDxfId="98" totalsRowDxfId="97" dataCellStyle="Moneda">
      <calculatedColumnFormula>+Tabla202426781617[[#This Row],[Material Final Alquiler]]*Tabla202426781617[[#This Row],[Valor Unitario en €]]</calculatedColumnFormula>
    </tableColumn>
    <tableColumn id="2" name="Total Precio en Pesos" totalsRowFunction="custom" dataDxfId="96" totalsRowDxfId="95" dataCellStyle="Moneda">
      <calculatedColumnFormula>+Tabla202426781617[[#This Row],[Valor Total en €]]*G1</calculatedColumnFormula>
      <totalsRowFormula>SUM(G5:G9)</totalsRowFormula>
    </tableColumn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id="17" name="Tabla202426781618" displayName="Tabla202426781618" ref="B4:H12" totalsRowCount="1" headerRowDxfId="94" dataDxfId="92" headerRowBorderDxfId="93" tableBorderDxfId="91" totalsRowBorderDxfId="90">
  <autoFilter ref="B4:H11"/>
  <tableColumns count="7">
    <tableColumn id="1" name="Descripcion" dataDxfId="89" totalsRowDxfId="88"/>
    <tableColumn id="5" name="Material Final Alquiler" dataDxfId="87" totalsRowDxfId="86"/>
    <tableColumn id="7" name="Valor Unitario en € " dataDxfId="85" totalsRowDxfId="84" dataCellStyle="Moneda"/>
    <tableColumn id="3" name="Valor Unitario en €" dataDxfId="83" totalsRowDxfId="82" dataCellStyle="Moneda">
      <calculatedColumnFormula>+Tabla202426781618[[#This Row],[Valor Unitario en € ]]*5%+Tabla202426781618[[#This Row],[Valor Unitario en € ]]</calculatedColumnFormula>
    </tableColumn>
    <tableColumn id="4" name="Valor Total en €" dataDxfId="81" totalsRowDxfId="80" dataCellStyle="Moneda">
      <calculatedColumnFormula>+Tabla202426781618[[#This Row],[Material Final Alquiler]]*Tabla202426781618[[#This Row],[Valor Unitario en €]]</calculatedColumnFormula>
    </tableColumn>
    <tableColumn id="2" name="Total Precio en Pesos" totalsRowFunction="custom" dataDxfId="79" totalsRowDxfId="78" dataCellStyle="Moneda">
      <calculatedColumnFormula>+Tabla202426781618[[#This Row],[Valor Total en €]]*H3</calculatedColumnFormula>
      <totalsRowFormula>SUM(G5:G11)</totalsRowFormula>
    </tableColumn>
    <tableColumn id="8" name="Valor Alquiler 4%" totalsRowFunction="sum" totalsRowDxfId="77" dataCellStyle="Moneda">
      <calculatedColumnFormula>+Tabla202426781618[[#This Row],[Total Precio en Pesos]]*4%</calculatedColumnFormula>
    </tableColumn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id="18" name="Tabla20242678161819" displayName="Tabla20242678161819" ref="B3:D19" totalsRowShown="0" headerRowDxfId="76" dataDxfId="74" headerRowBorderDxfId="75" tableBorderDxfId="73" totalsRowBorderDxfId="72">
  <autoFilter ref="B3:D19"/>
  <tableColumns count="3">
    <tableColumn id="1" name="Descripcion" dataDxfId="71" totalsRowDxfId="70"/>
    <tableColumn id="5" name="Material solicitado" dataDxfId="69" totalsRowDxfId="68"/>
    <tableColumn id="7" name="Valor Unitario en € " dataDxfId="67" totalsRowDxfId="66" dataCellStyle="Moneda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id="19" name="Tabla2024267816181920" displayName="Tabla2024267816181920" ref="B3:E30" totalsRowShown="0" headerRowDxfId="65" dataDxfId="63" headerRowBorderDxfId="64" tableBorderDxfId="62" totalsRowBorderDxfId="61">
  <autoFilter ref="B3:E30"/>
  <tableColumns count="4">
    <tableColumn id="1" name="Descripcion" dataDxfId="60"/>
    <tableColumn id="2" name="Referencia" dataDxfId="59"/>
    <tableColumn id="5" name="Material solicitado" dataDxfId="58"/>
    <tableColumn id="7" name="Valor Unitario en € " dataDxfId="57" totalsRowDxfId="56" dataCellStyle="Moneda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id="21" name="Tabla20242678161822" displayName="Tabla20242678161822" ref="B4:H12" totalsRowCount="1" headerRowDxfId="55" dataDxfId="54" headerRowBorderDxfId="52" tableBorderDxfId="53" totalsRowBorderDxfId="51">
  <autoFilter ref="B4:H11"/>
  <tableColumns count="7">
    <tableColumn id="1" name="Descripcion" dataDxfId="50" totalsRowDxfId="44"/>
    <tableColumn id="5" name="Material Final Alquiler" dataDxfId="49" totalsRowDxfId="43"/>
    <tableColumn id="7" name="Valor Unitario en € " dataDxfId="48" totalsRowDxfId="42" dataCellStyle="Moneda"/>
    <tableColumn id="3" name="Valor Unitario en €" dataDxfId="47" totalsRowDxfId="41" dataCellStyle="Moneda">
      <calculatedColumnFormula>+Tabla20242678161822[[#This Row],[Valor Unitario en € ]]*5%+Tabla20242678161822[[#This Row],[Valor Unitario en € ]]</calculatedColumnFormula>
    </tableColumn>
    <tableColumn id="4" name="Valor Total en €" dataDxfId="46" totalsRowDxfId="40" dataCellStyle="Moneda">
      <calculatedColumnFormula>+Tabla20242678161822[[#This Row],[Material Final Alquiler]]*Tabla20242678161822[[#This Row],[Valor Unitario en €]]</calculatedColumnFormula>
    </tableColumn>
    <tableColumn id="2" name="Total Precio en Pesos" totalsRowFunction="custom" dataDxfId="45" totalsRowDxfId="39" dataCellStyle="Moneda">
      <calculatedColumnFormula>+Tabla20242678161822[[#This Row],[Valor Total en €]]*H3</calculatedColumnFormula>
      <totalsRowFormula>SUM(G5:G11)</totalsRowFormula>
    </tableColumn>
    <tableColumn id="8" name="Valor Alquiler 4%" totalsRowFunction="sum" totalsRowDxfId="38" dataCellStyle="Moneda">
      <calculatedColumnFormula>+Tabla20242678161822[[#This Row],[Total Precio en Pesos]]*4%</calculatedColumnFormula>
    </tableColumn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id="23" name="Tabla2024267816182224" displayName="Tabla2024267816182224" ref="B4:H12" totalsRowCount="1" headerRowDxfId="37" dataDxfId="36" headerRowBorderDxfId="34" tableBorderDxfId="35" totalsRowBorderDxfId="33">
  <autoFilter ref="B4:H11"/>
  <tableColumns count="7">
    <tableColumn id="1" name="Descripcion" dataDxfId="32" totalsRowDxfId="26"/>
    <tableColumn id="5" name="Material Final Alquiler" dataDxfId="31" totalsRowDxfId="25"/>
    <tableColumn id="7" name="Valor Unitario en € " dataDxfId="30" totalsRowDxfId="24" dataCellStyle="Moneda"/>
    <tableColumn id="3" name="Valor Unitario en €" dataDxfId="29" totalsRowDxfId="23" dataCellStyle="Moneda">
      <calculatedColumnFormula>+Tabla2024267816182224[[#This Row],[Valor Unitario en € ]]*5%+Tabla2024267816182224[[#This Row],[Valor Unitario en € ]]</calculatedColumnFormula>
    </tableColumn>
    <tableColumn id="4" name="Valor Total en €" dataDxfId="28" totalsRowDxfId="22" dataCellStyle="Moneda">
      <calculatedColumnFormula>+Tabla2024267816182224[[#This Row],[Material Final Alquiler]]*Tabla2024267816182224[[#This Row],[Valor Unitario en €]]</calculatedColumnFormula>
    </tableColumn>
    <tableColumn id="2" name="Total Precio en Pesos" totalsRowFunction="custom" dataDxfId="27" totalsRowDxfId="21" dataCellStyle="Moneda">
      <calculatedColumnFormula>+Tabla2024267816182224[[#This Row],[Valor Total en €]]*H3</calculatedColumnFormula>
      <totalsRowFormula>SUM(G5:G11)</totalsRowFormula>
    </tableColumn>
    <tableColumn id="8" name="Valor Alquiler 3%" totalsRowFunction="sum" dataDxfId="19" totalsRowDxfId="20" dataCellStyle="Moneda">
      <calculatedColumnFormula>+Tabla2024267816182224[[#This Row],[Total Precio en Pesos]]*3%</calculatedColumnFormula>
    </tableColumn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id="24" name="Tabla202426781618222425" displayName="Tabla202426781618222425" ref="B4:H12" totalsRowCount="1" headerRowDxfId="18" dataDxfId="17" headerRowBorderDxfId="15" tableBorderDxfId="16" totalsRowBorderDxfId="14">
  <autoFilter ref="B4:H11"/>
  <tableColumns count="7">
    <tableColumn id="1" name="Descripcion" dataDxfId="13" totalsRowDxfId="7"/>
    <tableColumn id="5" name="Material Final Alquiler" dataDxfId="12" totalsRowDxfId="6"/>
    <tableColumn id="7" name="Valor Unitario en € " dataDxfId="11" totalsRowDxfId="5" dataCellStyle="Moneda"/>
    <tableColumn id="3" name="Valor Unitario en €" dataDxfId="10" totalsRowDxfId="4" dataCellStyle="Moneda">
      <calculatedColumnFormula>+Tabla202426781618222425[[#This Row],[Valor Unitario en € ]]*5%+Tabla202426781618222425[[#This Row],[Valor Unitario en € ]]</calculatedColumnFormula>
    </tableColumn>
    <tableColumn id="4" name="Valor Total en €" dataDxfId="9" totalsRowDxfId="3" dataCellStyle="Moneda">
      <calculatedColumnFormula>+Tabla202426781618222425[[#This Row],[Material Final Alquiler]]*Tabla202426781618222425[[#This Row],[Valor Unitario en €]]</calculatedColumnFormula>
    </tableColumn>
    <tableColumn id="2" name="Total Precio en Pesos" totalsRowFunction="custom" dataDxfId="8" totalsRowDxfId="2" dataCellStyle="Moneda">
      <calculatedColumnFormula>+Tabla202426781618222425[[#This Row],[Valor Total en €]]*H3</calculatedColumnFormula>
      <totalsRowFormula>SUM(G5:G11)</totalsRowFormula>
    </tableColumn>
    <tableColumn id="8" name="Valor Alquiler 3,5%" totalsRowFunction="sum" dataDxfId="0" totalsRowDxfId="1" dataCellStyle="Moneda">
      <calculatedColumnFormula>+Tabla202426781618222425[[#This Row],[Total Precio en Pesos]]*3.5%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workbookViewId="0">
      <selection activeCell="I8" sqref="I8"/>
    </sheetView>
  </sheetViews>
  <sheetFormatPr baseColWidth="10" defaultRowHeight="14.4" x14ac:dyDescent="0.3"/>
  <cols>
    <col min="1" max="1" width="3.33203125" customWidth="1"/>
    <col min="2" max="2" width="29.88671875" style="2" customWidth="1"/>
    <col min="3" max="3" width="18.6640625" style="1" customWidth="1"/>
    <col min="4" max="7" width="18.6640625" customWidth="1"/>
  </cols>
  <sheetData>
    <row r="1" spans="2:7" ht="15" thickBot="1" x14ac:dyDescent="0.35"/>
    <row r="2" spans="2:7" ht="27" customHeight="1" thickBot="1" x14ac:dyDescent="0.35">
      <c r="B2" s="169" t="s">
        <v>5</v>
      </c>
      <c r="C2" s="170"/>
      <c r="D2" s="170"/>
      <c r="E2" s="170"/>
      <c r="F2" s="170"/>
      <c r="G2" s="171"/>
    </row>
    <row r="3" spans="2:7" s="1" customFormat="1" ht="33" customHeight="1" thickBot="1" x14ac:dyDescent="0.35">
      <c r="B3" s="9" t="s">
        <v>0</v>
      </c>
      <c r="C3" s="10" t="s">
        <v>1</v>
      </c>
      <c r="D3" s="10" t="s">
        <v>13</v>
      </c>
      <c r="E3" s="11" t="s">
        <v>2</v>
      </c>
      <c r="F3" s="10" t="s">
        <v>21</v>
      </c>
      <c r="G3" s="10" t="s">
        <v>14</v>
      </c>
    </row>
    <row r="4" spans="2:7" ht="20.100000000000001" customHeight="1" x14ac:dyDescent="0.3">
      <c r="B4" s="3" t="s">
        <v>7</v>
      </c>
      <c r="C4" s="4">
        <v>45</v>
      </c>
      <c r="D4" s="5">
        <v>23.17</v>
      </c>
      <c r="E4" s="6">
        <v>122.75</v>
      </c>
      <c r="F4" s="5">
        <f>+C4*D4</f>
        <v>1042.6500000000001</v>
      </c>
      <c r="G4" s="6">
        <f t="shared" ref="G4:G12" si="0">+C4*D4*E4</f>
        <v>127985.28750000001</v>
      </c>
    </row>
    <row r="5" spans="2:7" ht="20.100000000000001" customHeight="1" x14ac:dyDescent="0.3">
      <c r="B5" s="3" t="s">
        <v>17</v>
      </c>
      <c r="C5" s="4">
        <v>45</v>
      </c>
      <c r="D5" s="5">
        <f>17.04*1.21</f>
        <v>20.618399999999998</v>
      </c>
      <c r="E5" s="6">
        <v>122.75</v>
      </c>
      <c r="F5" s="5">
        <f t="shared" ref="F5:F12" si="1">+C5*D5</f>
        <v>927.82799999999986</v>
      </c>
      <c r="G5" s="6">
        <f t="shared" si="0"/>
        <v>113890.88699999999</v>
      </c>
    </row>
    <row r="6" spans="2:7" ht="20.100000000000001" customHeight="1" x14ac:dyDescent="0.3">
      <c r="B6" s="3" t="s">
        <v>11</v>
      </c>
      <c r="C6" s="4">
        <v>18</v>
      </c>
      <c r="D6" s="5">
        <v>27.46</v>
      </c>
      <c r="E6" s="6">
        <v>122.75</v>
      </c>
      <c r="F6" s="5">
        <f t="shared" si="1"/>
        <v>494.28000000000003</v>
      </c>
      <c r="G6" s="6">
        <f t="shared" si="0"/>
        <v>60672.87</v>
      </c>
    </row>
    <row r="7" spans="2:7" ht="20.100000000000001" customHeight="1" x14ac:dyDescent="0.3">
      <c r="B7" s="3" t="s">
        <v>18</v>
      </c>
      <c r="C7" s="4">
        <v>9</v>
      </c>
      <c r="D7" s="5">
        <v>29.6</v>
      </c>
      <c r="E7" s="6">
        <v>122.75</v>
      </c>
      <c r="F7" s="5">
        <f t="shared" si="1"/>
        <v>266.40000000000003</v>
      </c>
      <c r="G7" s="6">
        <f t="shared" si="0"/>
        <v>32700.600000000006</v>
      </c>
    </row>
    <row r="8" spans="2:7" ht="20.100000000000001" customHeight="1" x14ac:dyDescent="0.3">
      <c r="B8" s="3" t="s">
        <v>19</v>
      </c>
      <c r="C8" s="4">
        <v>135</v>
      </c>
      <c r="D8" s="5">
        <v>61.35</v>
      </c>
      <c r="E8" s="6">
        <v>122.75</v>
      </c>
      <c r="F8" s="5">
        <f t="shared" si="1"/>
        <v>8282.25</v>
      </c>
      <c r="G8" s="6">
        <f t="shared" si="0"/>
        <v>1016646.1875</v>
      </c>
    </row>
    <row r="9" spans="2:7" ht="20.100000000000001" customHeight="1" x14ac:dyDescent="0.3">
      <c r="B9" s="3" t="s">
        <v>3</v>
      </c>
      <c r="C9" s="4">
        <v>276</v>
      </c>
      <c r="D9" s="5">
        <v>52.62</v>
      </c>
      <c r="E9" s="6">
        <v>122.75</v>
      </c>
      <c r="F9" s="5">
        <f t="shared" si="1"/>
        <v>14523.119999999999</v>
      </c>
      <c r="G9" s="6">
        <f t="shared" si="0"/>
        <v>1782712.98</v>
      </c>
    </row>
    <row r="10" spans="2:7" ht="20.100000000000001" customHeight="1" x14ac:dyDescent="0.3">
      <c r="B10" s="3" t="s">
        <v>20</v>
      </c>
      <c r="C10" s="4">
        <v>24</v>
      </c>
      <c r="D10" s="8">
        <v>78</v>
      </c>
      <c r="E10" s="6">
        <v>122.75</v>
      </c>
      <c r="F10" s="5">
        <f t="shared" si="1"/>
        <v>1872</v>
      </c>
      <c r="G10" s="6">
        <f t="shared" si="0"/>
        <v>229788</v>
      </c>
    </row>
    <row r="11" spans="2:7" ht="20.100000000000001" customHeight="1" x14ac:dyDescent="0.3">
      <c r="B11" s="3" t="s">
        <v>6</v>
      </c>
      <c r="C11" s="4">
        <v>36</v>
      </c>
      <c r="D11" s="5">
        <f>126.78*1.21</f>
        <v>153.40379999999999</v>
      </c>
      <c r="E11" s="6">
        <v>122.75</v>
      </c>
      <c r="F11" s="5">
        <f t="shared" si="1"/>
        <v>5522.5367999999999</v>
      </c>
      <c r="G11" s="6">
        <f t="shared" si="0"/>
        <v>677891.3922</v>
      </c>
    </row>
    <row r="12" spans="2:7" ht="20.100000000000001" customHeight="1" x14ac:dyDescent="0.3">
      <c r="B12" s="3" t="s">
        <v>4</v>
      </c>
      <c r="C12" s="4">
        <v>153</v>
      </c>
      <c r="D12" s="5">
        <v>62.78</v>
      </c>
      <c r="E12" s="6">
        <v>122.75</v>
      </c>
      <c r="F12" s="5">
        <f t="shared" si="1"/>
        <v>9605.34</v>
      </c>
      <c r="G12" s="6">
        <f t="shared" si="0"/>
        <v>1179055.4850000001</v>
      </c>
    </row>
    <row r="13" spans="2:7" ht="20.100000000000001" customHeight="1" x14ac:dyDescent="0.3">
      <c r="B13" s="3" t="s">
        <v>8</v>
      </c>
      <c r="C13" s="4">
        <v>192</v>
      </c>
      <c r="D13" s="5" t="s">
        <v>12</v>
      </c>
      <c r="E13" s="6">
        <v>0</v>
      </c>
      <c r="F13" s="5">
        <f>2500/E12*C13</f>
        <v>3910.3869653767815</v>
      </c>
      <c r="G13" s="6">
        <f>+C13*2500</f>
        <v>480000</v>
      </c>
    </row>
    <row r="14" spans="2:7" ht="20.100000000000001" customHeight="1" x14ac:dyDescent="0.3">
      <c r="B14" s="3" t="s">
        <v>9</v>
      </c>
      <c r="C14" s="4">
        <v>68</v>
      </c>
      <c r="D14" s="5" t="s">
        <v>12</v>
      </c>
      <c r="E14" s="6">
        <v>0</v>
      </c>
      <c r="F14" s="5">
        <f>4500/E12*C14</f>
        <v>2492.8716904276985</v>
      </c>
      <c r="G14" s="6">
        <f>+C14*4500</f>
        <v>306000</v>
      </c>
    </row>
    <row r="15" spans="2:7" ht="22.5" customHeight="1" x14ac:dyDescent="0.3">
      <c r="F15" s="13">
        <f>SUM(F4:F14)</f>
        <v>48939.663455804483</v>
      </c>
      <c r="G15" s="12">
        <f>SUM(G4:G14)</f>
        <v>6007343.6891999999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4"/>
  <sheetViews>
    <sheetView zoomScale="110" zoomScaleNormal="110" workbookViewId="0">
      <selection activeCell="F88" sqref="F88"/>
    </sheetView>
  </sheetViews>
  <sheetFormatPr baseColWidth="10" defaultRowHeight="14.4" x14ac:dyDescent="0.3"/>
  <cols>
    <col min="1" max="1" width="1.6640625" customWidth="1"/>
    <col min="2" max="2" width="34.109375" style="2" bestFit="1" customWidth="1"/>
    <col min="3" max="5" width="11.5546875" customWidth="1"/>
    <col min="6" max="7" width="14" bestFit="1" customWidth="1"/>
  </cols>
  <sheetData>
    <row r="1" spans="2:8" ht="15" thickBot="1" x14ac:dyDescent="0.35"/>
    <row r="2" spans="2:8" ht="26.25" customHeight="1" thickBot="1" x14ac:dyDescent="0.35">
      <c r="B2" s="20" t="s">
        <v>170</v>
      </c>
    </row>
    <row r="3" spans="2:8" ht="15" customHeight="1" thickBot="1" x14ac:dyDescent="0.35">
      <c r="B3" s="26" t="s">
        <v>176</v>
      </c>
    </row>
    <row r="4" spans="2:8" s="1" customFormat="1" ht="25.2" customHeight="1" thickBot="1" x14ac:dyDescent="0.35">
      <c r="B4" s="27" t="s">
        <v>0</v>
      </c>
      <c r="C4" s="28" t="s">
        <v>181</v>
      </c>
      <c r="D4" s="28" t="s">
        <v>183</v>
      </c>
      <c r="E4" s="28" t="s">
        <v>184</v>
      </c>
      <c r="F4" s="28" t="s">
        <v>185</v>
      </c>
      <c r="G4" s="28" t="s">
        <v>186</v>
      </c>
      <c r="H4" s="28" t="s">
        <v>187</v>
      </c>
    </row>
    <row r="5" spans="2:8" ht="15" customHeight="1" x14ac:dyDescent="0.3">
      <c r="B5" s="7" t="s">
        <v>129</v>
      </c>
      <c r="C5" s="7">
        <v>7</v>
      </c>
      <c r="D5" s="7"/>
      <c r="E5" s="7"/>
      <c r="F5" s="7"/>
      <c r="G5" s="7"/>
      <c r="H5" s="7">
        <f>SUM(Tabla1343[[#This Row],[Columna1]:[Columna5]])</f>
        <v>7</v>
      </c>
    </row>
    <row r="6" spans="2:8" ht="15" customHeight="1" x14ac:dyDescent="0.3">
      <c r="B6" s="3" t="s">
        <v>81</v>
      </c>
      <c r="C6" s="3">
        <v>4</v>
      </c>
      <c r="D6" s="3"/>
      <c r="E6" s="3"/>
      <c r="F6" s="3"/>
      <c r="G6" s="3"/>
      <c r="H6" s="3">
        <f>SUM(Tabla1343[[#This Row],[Columna1]:[Columna5]])</f>
        <v>4</v>
      </c>
    </row>
    <row r="7" spans="2:8" ht="15" customHeight="1" x14ac:dyDescent="0.3">
      <c r="B7" s="3" t="s">
        <v>75</v>
      </c>
      <c r="C7" s="3">
        <v>8</v>
      </c>
      <c r="D7" s="3"/>
      <c r="E7" s="3"/>
      <c r="F7" s="3"/>
      <c r="G7" s="3"/>
      <c r="H7" s="3">
        <f>SUM(Tabla1343[[#This Row],[Columna1]:[Columna5]])</f>
        <v>8</v>
      </c>
    </row>
    <row r="8" spans="2:8" ht="15" customHeight="1" x14ac:dyDescent="0.3">
      <c r="B8" s="3" t="s">
        <v>116</v>
      </c>
      <c r="C8" s="3">
        <v>2</v>
      </c>
      <c r="D8" s="3"/>
      <c r="E8" s="3"/>
      <c r="F8" s="3"/>
      <c r="G8" s="3"/>
      <c r="H8" s="3">
        <f>SUM(Tabla1343[[#This Row],[Columna1]:[Columna5]])</f>
        <v>2</v>
      </c>
    </row>
    <row r="9" spans="2:8" ht="15" customHeight="1" x14ac:dyDescent="0.3">
      <c r="B9" s="3" t="s">
        <v>91</v>
      </c>
      <c r="C9" s="3">
        <v>9</v>
      </c>
      <c r="D9" s="3"/>
      <c r="E9" s="3"/>
      <c r="F9" s="3"/>
      <c r="G9" s="3"/>
      <c r="H9" s="3">
        <f>SUM(Tabla1343[[#This Row],[Columna1]:[Columna5]])</f>
        <v>9</v>
      </c>
    </row>
    <row r="10" spans="2:8" ht="15" customHeight="1" x14ac:dyDescent="0.3">
      <c r="B10" s="3" t="s">
        <v>117</v>
      </c>
      <c r="C10" s="3">
        <v>3</v>
      </c>
      <c r="D10" s="3"/>
      <c r="E10" s="3"/>
      <c r="F10" s="3"/>
      <c r="G10" s="3"/>
      <c r="H10" s="3">
        <f>SUM(Tabla1343[[#This Row],[Columna1]:[Columna5]])</f>
        <v>3</v>
      </c>
    </row>
    <row r="11" spans="2:8" ht="15" customHeight="1" x14ac:dyDescent="0.3">
      <c r="B11" s="3" t="s">
        <v>61</v>
      </c>
      <c r="C11" s="3">
        <v>97</v>
      </c>
      <c r="D11" s="3"/>
      <c r="E11" s="3"/>
      <c r="F11" s="3"/>
      <c r="G11" s="3"/>
      <c r="H11" s="3">
        <f>SUM(Tabla1343[[#This Row],[Columna1]:[Columna5]])</f>
        <v>97</v>
      </c>
    </row>
    <row r="12" spans="2:8" ht="15" customHeight="1" x14ac:dyDescent="0.3">
      <c r="B12" s="3" t="s">
        <v>62</v>
      </c>
      <c r="C12" s="3">
        <v>137</v>
      </c>
      <c r="D12" s="3"/>
      <c r="E12" s="3"/>
      <c r="F12" s="3"/>
      <c r="G12" s="3"/>
      <c r="H12" s="3">
        <f>SUM(Tabla1343[[#This Row],[Columna1]:[Columna5]])</f>
        <v>137</v>
      </c>
    </row>
    <row r="13" spans="2:8" ht="15" customHeight="1" x14ac:dyDescent="0.3">
      <c r="B13" s="3" t="s">
        <v>111</v>
      </c>
      <c r="C13" s="3">
        <v>14</v>
      </c>
      <c r="D13" s="3"/>
      <c r="E13" s="3"/>
      <c r="F13" s="3"/>
      <c r="G13" s="3"/>
      <c r="H13" s="3">
        <f>SUM(Tabla1343[[#This Row],[Columna1]:[Columna5]])</f>
        <v>14</v>
      </c>
    </row>
    <row r="14" spans="2:8" ht="15" customHeight="1" x14ac:dyDescent="0.3">
      <c r="B14" s="3" t="s">
        <v>110</v>
      </c>
      <c r="C14" s="3">
        <v>136</v>
      </c>
      <c r="D14" s="3"/>
      <c r="E14" s="3"/>
      <c r="F14" s="3"/>
      <c r="G14" s="3"/>
      <c r="H14" s="3">
        <f>SUM(Tabla1343[[#This Row],[Columna1]:[Columna5]])</f>
        <v>136</v>
      </c>
    </row>
    <row r="15" spans="2:8" ht="15" customHeight="1" x14ac:dyDescent="0.3">
      <c r="B15" s="3" t="s">
        <v>97</v>
      </c>
      <c r="C15" s="3">
        <v>3</v>
      </c>
      <c r="D15" s="3"/>
      <c r="E15" s="3"/>
      <c r="F15" s="3"/>
      <c r="G15" s="3"/>
      <c r="H15" s="3">
        <f>SUM(Tabla1343[[#This Row],[Columna1]:[Columna5]])</f>
        <v>3</v>
      </c>
    </row>
    <row r="16" spans="2:8" ht="15" customHeight="1" x14ac:dyDescent="0.3">
      <c r="B16" s="3" t="s">
        <v>96</v>
      </c>
      <c r="C16" s="3">
        <v>7</v>
      </c>
      <c r="D16" s="3"/>
      <c r="E16" s="3"/>
      <c r="F16" s="3"/>
      <c r="G16" s="3"/>
      <c r="H16" s="3">
        <f>SUM(Tabla1343[[#This Row],[Columna1]:[Columna5]])</f>
        <v>7</v>
      </c>
    </row>
    <row r="17" spans="2:8" ht="15" customHeight="1" x14ac:dyDescent="0.3">
      <c r="B17" s="3" t="s">
        <v>153</v>
      </c>
      <c r="C17" s="3">
        <v>1</v>
      </c>
      <c r="D17" s="3"/>
      <c r="E17" s="3"/>
      <c r="F17" s="3"/>
      <c r="G17" s="3"/>
      <c r="H17" s="3">
        <f>SUM(Tabla1343[[#This Row],[Columna1]:[Columna5]])</f>
        <v>1</v>
      </c>
    </row>
    <row r="18" spans="2:8" ht="15" customHeight="1" x14ac:dyDescent="0.3">
      <c r="B18" s="3" t="s">
        <v>108</v>
      </c>
      <c r="C18" s="3">
        <v>1</v>
      </c>
      <c r="D18" s="3"/>
      <c r="E18" s="3"/>
      <c r="F18" s="3"/>
      <c r="G18" s="3"/>
      <c r="H18" s="3">
        <f>SUM(Tabla1343[[#This Row],[Columna1]:[Columna5]])</f>
        <v>1</v>
      </c>
    </row>
    <row r="19" spans="2:8" ht="15" customHeight="1" x14ac:dyDescent="0.3">
      <c r="B19" s="14" t="s">
        <v>60</v>
      </c>
      <c r="C19" s="3">
        <v>7</v>
      </c>
      <c r="D19" s="3">
        <v>2</v>
      </c>
      <c r="E19" s="3"/>
      <c r="F19" s="3"/>
      <c r="G19" s="3"/>
      <c r="H19" s="3">
        <f>SUM(Tabla1343[[#This Row],[Columna1]:[Columna5]])</f>
        <v>9</v>
      </c>
    </row>
    <row r="20" spans="2:8" ht="15" customHeight="1" x14ac:dyDescent="0.3">
      <c r="B20" s="3" t="s">
        <v>59</v>
      </c>
      <c r="C20" s="3">
        <v>15</v>
      </c>
      <c r="D20" s="3"/>
      <c r="E20" s="3"/>
      <c r="F20" s="3"/>
      <c r="G20" s="3"/>
      <c r="H20" s="3">
        <f>SUM(Tabla1343[[#This Row],[Columna1]:[Columna5]])</f>
        <v>15</v>
      </c>
    </row>
    <row r="21" spans="2:8" ht="15" customHeight="1" x14ac:dyDescent="0.3">
      <c r="B21" s="3" t="s">
        <v>118</v>
      </c>
      <c r="C21" s="3">
        <v>1</v>
      </c>
      <c r="D21" s="3"/>
      <c r="E21" s="3"/>
      <c r="F21" s="3"/>
      <c r="G21" s="3"/>
      <c r="H21" s="3">
        <f>SUM(Tabla1343[[#This Row],[Columna1]:[Columna5]])</f>
        <v>1</v>
      </c>
    </row>
    <row r="22" spans="2:8" ht="15" customHeight="1" x14ac:dyDescent="0.3">
      <c r="B22" s="3" t="s">
        <v>157</v>
      </c>
      <c r="C22" s="3">
        <v>3</v>
      </c>
      <c r="D22" s="3"/>
      <c r="E22" s="3"/>
      <c r="F22" s="3"/>
      <c r="G22" s="3"/>
      <c r="H22" s="3">
        <f>SUM(Tabla1343[[#This Row],[Columna1]:[Columna5]])</f>
        <v>3</v>
      </c>
    </row>
    <row r="23" spans="2:8" ht="15" customHeight="1" x14ac:dyDescent="0.3">
      <c r="B23" s="3" t="s">
        <v>158</v>
      </c>
      <c r="C23" s="3">
        <v>3</v>
      </c>
      <c r="D23" s="3"/>
      <c r="E23" s="3"/>
      <c r="F23" s="3"/>
      <c r="G23" s="3"/>
      <c r="H23" s="3">
        <f>SUM(Tabla1343[[#This Row],[Columna1]:[Columna5]])</f>
        <v>3</v>
      </c>
    </row>
    <row r="24" spans="2:8" ht="15" customHeight="1" x14ac:dyDescent="0.3">
      <c r="B24" s="3" t="s">
        <v>88</v>
      </c>
      <c r="C24" s="3">
        <v>7</v>
      </c>
      <c r="D24" s="3"/>
      <c r="E24" s="3"/>
      <c r="F24" s="3"/>
      <c r="G24" s="3"/>
      <c r="H24" s="3">
        <f>SUM(Tabla1343[[#This Row],[Columna1]:[Columna5]])</f>
        <v>7</v>
      </c>
    </row>
    <row r="25" spans="2:8" ht="15" customHeight="1" x14ac:dyDescent="0.3">
      <c r="B25" s="3" t="s">
        <v>87</v>
      </c>
      <c r="C25" s="3">
        <v>11</v>
      </c>
      <c r="D25" s="3"/>
      <c r="E25" s="3"/>
      <c r="F25" s="3"/>
      <c r="G25" s="3"/>
      <c r="H25" s="3">
        <f>SUM(Tabla1343[[#This Row],[Columna1]:[Columna5]])</f>
        <v>11</v>
      </c>
    </row>
    <row r="26" spans="2:8" ht="15" customHeight="1" x14ac:dyDescent="0.3">
      <c r="B26" s="3" t="s">
        <v>178</v>
      </c>
      <c r="C26" s="3">
        <v>19</v>
      </c>
      <c r="D26" s="3"/>
      <c r="E26" s="3"/>
      <c r="F26" s="3"/>
      <c r="G26" s="3"/>
      <c r="H26" s="3">
        <f>SUM(Tabla1343[[#This Row],[Columna1]:[Columna5]])</f>
        <v>19</v>
      </c>
    </row>
    <row r="27" spans="2:8" ht="15" customHeight="1" x14ac:dyDescent="0.3">
      <c r="B27" s="3" t="s">
        <v>99</v>
      </c>
      <c r="C27" s="3">
        <v>165</v>
      </c>
      <c r="D27" s="3"/>
      <c r="E27" s="3"/>
      <c r="F27" s="3"/>
      <c r="G27" s="3"/>
      <c r="H27" s="3">
        <f>SUM(Tabla1343[[#This Row],[Columna1]:[Columna5]])</f>
        <v>165</v>
      </c>
    </row>
    <row r="28" spans="2:8" ht="15" customHeight="1" x14ac:dyDescent="0.3">
      <c r="B28" s="3" t="s">
        <v>106</v>
      </c>
      <c r="C28" s="3"/>
      <c r="D28" s="3"/>
      <c r="E28" s="3"/>
      <c r="F28" s="3"/>
      <c r="G28" s="3"/>
      <c r="H28" s="3">
        <f>SUM(Tabla1343[[#This Row],[Columna1]:[Columna5]])</f>
        <v>0</v>
      </c>
    </row>
    <row r="29" spans="2:8" ht="15" customHeight="1" x14ac:dyDescent="0.3">
      <c r="B29" s="3" t="s">
        <v>109</v>
      </c>
      <c r="C29" s="3">
        <v>1</v>
      </c>
      <c r="D29" s="3"/>
      <c r="E29" s="3"/>
      <c r="F29" s="3"/>
      <c r="G29" s="3"/>
      <c r="H29" s="3">
        <f>SUM(Tabla1343[[#This Row],[Columna1]:[Columna5]])</f>
        <v>1</v>
      </c>
    </row>
    <row r="30" spans="2:8" ht="15" customHeight="1" x14ac:dyDescent="0.3">
      <c r="B30" s="3" t="s">
        <v>16</v>
      </c>
      <c r="C30" s="3">
        <v>130</v>
      </c>
      <c r="D30" s="3"/>
      <c r="E30" s="3"/>
      <c r="F30" s="3"/>
      <c r="G30" s="3"/>
      <c r="H30" s="3">
        <f>SUM(Tabla1343[[#This Row],[Columna1]:[Columna5]])</f>
        <v>130</v>
      </c>
    </row>
    <row r="31" spans="2:8" ht="15" customHeight="1" x14ac:dyDescent="0.3">
      <c r="B31" s="3" t="s">
        <v>25</v>
      </c>
      <c r="C31" s="3">
        <v>10</v>
      </c>
      <c r="D31" s="3">
        <v>1</v>
      </c>
      <c r="E31" s="3"/>
      <c r="F31" s="3"/>
      <c r="G31" s="3"/>
      <c r="H31" s="3">
        <f>SUM(Tabla1343[[#This Row],[Columna1]:[Columna5]])</f>
        <v>11</v>
      </c>
    </row>
    <row r="32" spans="2:8" ht="15" customHeight="1" x14ac:dyDescent="0.3">
      <c r="B32" s="3" t="s">
        <v>114</v>
      </c>
      <c r="C32" s="3">
        <v>1</v>
      </c>
      <c r="D32" s="3"/>
      <c r="E32" s="3"/>
      <c r="F32" s="3"/>
      <c r="G32" s="3"/>
      <c r="H32" s="3">
        <f>SUM(Tabla1343[[#This Row],[Columna1]:[Columna5]])</f>
        <v>1</v>
      </c>
    </row>
    <row r="33" spans="2:8" ht="15" customHeight="1" x14ac:dyDescent="0.3">
      <c r="B33" s="3" t="s">
        <v>179</v>
      </c>
      <c r="C33" s="3">
        <v>4</v>
      </c>
      <c r="D33" s="3"/>
      <c r="E33" s="3"/>
      <c r="F33" s="3"/>
      <c r="G33" s="3"/>
      <c r="H33" s="3">
        <f>SUM(Tabla1343[[#This Row],[Columna1]:[Columna5]])</f>
        <v>4</v>
      </c>
    </row>
    <row r="34" spans="2:8" ht="15" customHeight="1" x14ac:dyDescent="0.3">
      <c r="B34" s="3" t="s">
        <v>45</v>
      </c>
      <c r="C34" s="3">
        <v>6</v>
      </c>
      <c r="D34" s="3"/>
      <c r="E34" s="3"/>
      <c r="F34" s="3"/>
      <c r="G34" s="3"/>
      <c r="H34" s="3">
        <f>SUM(Tabla1343[[#This Row],[Columna1]:[Columna5]])</f>
        <v>6</v>
      </c>
    </row>
    <row r="35" spans="2:8" ht="15" customHeight="1" x14ac:dyDescent="0.3">
      <c r="B35" s="3" t="s">
        <v>43</v>
      </c>
      <c r="C35" s="3">
        <v>3</v>
      </c>
      <c r="D35" s="3"/>
      <c r="E35" s="3"/>
      <c r="F35" s="3"/>
      <c r="G35" s="3"/>
      <c r="H35" s="3">
        <f>SUM(Tabla1343[[#This Row],[Columna1]:[Columna5]])</f>
        <v>3</v>
      </c>
    </row>
    <row r="36" spans="2:8" ht="15" customHeight="1" x14ac:dyDescent="0.3">
      <c r="B36" s="3" t="s">
        <v>145</v>
      </c>
      <c r="C36" s="3">
        <v>2</v>
      </c>
      <c r="D36" s="3">
        <v>5</v>
      </c>
      <c r="E36" s="3">
        <v>1</v>
      </c>
      <c r="F36" s="3">
        <v>1</v>
      </c>
      <c r="G36" s="3">
        <v>2</v>
      </c>
      <c r="H36" s="3">
        <f>SUM(Tabla1343[[#This Row],[Columna1]:[Columna5]])</f>
        <v>11</v>
      </c>
    </row>
    <row r="37" spans="2:8" ht="15" customHeight="1" x14ac:dyDescent="0.3">
      <c r="B37" s="3" t="s">
        <v>180</v>
      </c>
      <c r="C37" s="3">
        <v>23</v>
      </c>
      <c r="D37" s="3">
        <v>8</v>
      </c>
      <c r="E37" s="3">
        <v>4</v>
      </c>
      <c r="F37" s="3">
        <v>3</v>
      </c>
      <c r="G37" s="3"/>
      <c r="H37" s="3">
        <f>SUM(Tabla1343[[#This Row],[Columna1]:[Columna5]])</f>
        <v>38</v>
      </c>
    </row>
    <row r="38" spans="2:8" ht="15" customHeight="1" x14ac:dyDescent="0.3">
      <c r="B38" s="3" t="s">
        <v>141</v>
      </c>
      <c r="C38" s="3">
        <v>2</v>
      </c>
      <c r="D38" s="3"/>
      <c r="E38" s="3"/>
      <c r="F38" s="3"/>
      <c r="G38" s="3"/>
      <c r="H38" s="3">
        <f>SUM(Tabla1343[[#This Row],[Columna1]:[Columna5]])</f>
        <v>2</v>
      </c>
    </row>
    <row r="39" spans="2:8" ht="15" customHeight="1" x14ac:dyDescent="0.3">
      <c r="B39" s="3" t="s">
        <v>39</v>
      </c>
      <c r="C39" s="3">
        <v>3</v>
      </c>
      <c r="D39" s="3">
        <v>2</v>
      </c>
      <c r="E39" s="3">
        <v>3</v>
      </c>
      <c r="F39" s="3">
        <v>2</v>
      </c>
      <c r="G39" s="3"/>
      <c r="H39" s="3">
        <f>SUM(Tabla1343[[#This Row],[Columna1]:[Columna5]])</f>
        <v>10</v>
      </c>
    </row>
    <row r="40" spans="2:8" ht="15" customHeight="1" x14ac:dyDescent="0.3">
      <c r="B40" s="3" t="s">
        <v>44</v>
      </c>
      <c r="C40" s="3">
        <v>9</v>
      </c>
      <c r="D40" s="3"/>
      <c r="E40" s="3"/>
      <c r="F40" s="3"/>
      <c r="G40" s="3"/>
      <c r="H40" s="3">
        <f>SUM(Tabla1343[[#This Row],[Columna1]:[Columna5]])</f>
        <v>9</v>
      </c>
    </row>
    <row r="41" spans="2:8" ht="15" customHeight="1" x14ac:dyDescent="0.3">
      <c r="B41" s="3" t="s">
        <v>126</v>
      </c>
      <c r="C41" s="3">
        <v>2</v>
      </c>
      <c r="D41" s="3"/>
      <c r="E41" s="3"/>
      <c r="F41" s="3"/>
      <c r="G41" s="3"/>
      <c r="H41" s="3">
        <f>SUM(Tabla1343[[#This Row],[Columna1]:[Columna5]])</f>
        <v>2</v>
      </c>
    </row>
    <row r="42" spans="2:8" ht="15" customHeight="1" x14ac:dyDescent="0.3">
      <c r="B42" s="3" t="s">
        <v>65</v>
      </c>
      <c r="C42" s="3">
        <v>3</v>
      </c>
      <c r="D42" s="3">
        <v>1</v>
      </c>
      <c r="E42" s="3"/>
      <c r="F42" s="3"/>
      <c r="G42" s="3"/>
      <c r="H42" s="3">
        <f>SUM(Tabla1343[[#This Row],[Columna1]:[Columna5]])</f>
        <v>4</v>
      </c>
    </row>
    <row r="43" spans="2:8" ht="15" customHeight="1" x14ac:dyDescent="0.3">
      <c r="B43" s="3" t="s">
        <v>159</v>
      </c>
      <c r="C43" s="3">
        <v>1</v>
      </c>
      <c r="D43" s="3">
        <v>1</v>
      </c>
      <c r="E43" s="3"/>
      <c r="F43" s="3"/>
      <c r="G43" s="3"/>
      <c r="H43" s="3">
        <f>SUM(Tabla1343[[#This Row],[Columna1]:[Columna5]])</f>
        <v>2</v>
      </c>
    </row>
    <row r="44" spans="2:8" ht="15" customHeight="1" x14ac:dyDescent="0.3">
      <c r="B44" s="3" t="s">
        <v>67</v>
      </c>
      <c r="C44" s="3">
        <v>6</v>
      </c>
      <c r="D44" s="3">
        <v>28</v>
      </c>
      <c r="E44" s="3"/>
      <c r="F44" s="3"/>
      <c r="G44" s="3"/>
      <c r="H44" s="3">
        <f>SUM(Tabla1343[[#This Row],[Columna1]:[Columna5]])</f>
        <v>34</v>
      </c>
    </row>
    <row r="45" spans="2:8" ht="15" customHeight="1" x14ac:dyDescent="0.3">
      <c r="B45" s="3" t="s">
        <v>154</v>
      </c>
      <c r="C45" s="3">
        <v>1</v>
      </c>
      <c r="D45" s="3"/>
      <c r="E45" s="3"/>
      <c r="F45" s="3"/>
      <c r="G45" s="3"/>
      <c r="H45" s="3">
        <f>SUM(Tabla1343[[#This Row],[Columna1]:[Columna5]])</f>
        <v>1</v>
      </c>
    </row>
    <row r="46" spans="2:8" ht="15" customHeight="1" x14ac:dyDescent="0.3">
      <c r="B46" s="3" t="s">
        <v>89</v>
      </c>
      <c r="C46" s="3">
        <v>9</v>
      </c>
      <c r="D46" s="3"/>
      <c r="E46" s="3"/>
      <c r="F46" s="3"/>
      <c r="G46" s="3"/>
      <c r="H46" s="3">
        <f>SUM(Tabla1343[[#This Row],[Columna1]:[Columna5]])</f>
        <v>9</v>
      </c>
    </row>
    <row r="47" spans="2:8" ht="15" customHeight="1" x14ac:dyDescent="0.3">
      <c r="B47" s="3" t="s">
        <v>80</v>
      </c>
      <c r="C47" s="3">
        <v>50</v>
      </c>
      <c r="D47" s="3">
        <v>12</v>
      </c>
      <c r="E47" s="3">
        <v>15</v>
      </c>
      <c r="F47" s="3"/>
      <c r="G47" s="3"/>
      <c r="H47" s="3">
        <f>SUM(Tabla1343[[#This Row],[Columna1]:[Columna5]])</f>
        <v>77</v>
      </c>
    </row>
    <row r="48" spans="2:8" ht="15" customHeight="1" x14ac:dyDescent="0.3">
      <c r="B48" s="3" t="s">
        <v>70</v>
      </c>
      <c r="C48" s="3">
        <v>28</v>
      </c>
      <c r="D48" s="3"/>
      <c r="E48" s="3"/>
      <c r="F48" s="3"/>
      <c r="G48" s="3"/>
      <c r="H48" s="3">
        <f>SUM(Tabla1343[[#This Row],[Columna1]:[Columna5]])</f>
        <v>28</v>
      </c>
    </row>
    <row r="49" spans="2:8" ht="15" customHeight="1" x14ac:dyDescent="0.3">
      <c r="B49" s="3" t="s">
        <v>71</v>
      </c>
      <c r="C49" s="3">
        <v>11</v>
      </c>
      <c r="D49" s="3">
        <v>6</v>
      </c>
      <c r="E49" s="3"/>
      <c r="F49" s="3"/>
      <c r="G49" s="3"/>
      <c r="H49" s="3">
        <f>SUM(Tabla1343[[#This Row],[Columna1]:[Columna5]])</f>
        <v>17</v>
      </c>
    </row>
    <row r="50" spans="2:8" ht="15" customHeight="1" x14ac:dyDescent="0.3">
      <c r="B50" s="14" t="s">
        <v>72</v>
      </c>
      <c r="C50" s="3">
        <v>27</v>
      </c>
      <c r="D50" s="3"/>
      <c r="E50" s="3"/>
      <c r="F50" s="3"/>
      <c r="G50" s="3"/>
      <c r="H50" s="3">
        <f>SUM(Tabla1343[[#This Row],[Columna1]:[Columna5]])</f>
        <v>27</v>
      </c>
    </row>
    <row r="51" spans="2:8" ht="15" customHeight="1" x14ac:dyDescent="0.3">
      <c r="B51" s="14" t="s">
        <v>73</v>
      </c>
      <c r="C51" s="3">
        <v>28</v>
      </c>
      <c r="D51" s="3">
        <v>8</v>
      </c>
      <c r="E51" s="3"/>
      <c r="F51" s="3"/>
      <c r="G51" s="3"/>
      <c r="H51" s="3">
        <f>SUM(Tabla1343[[#This Row],[Columna1]:[Columna5]])</f>
        <v>36</v>
      </c>
    </row>
    <row r="52" spans="2:8" ht="15" customHeight="1" x14ac:dyDescent="0.3">
      <c r="B52" s="3" t="s">
        <v>124</v>
      </c>
      <c r="C52" s="3"/>
      <c r="D52" s="3"/>
      <c r="E52" s="3"/>
      <c r="F52" s="3"/>
      <c r="G52" s="3"/>
      <c r="H52" s="3">
        <f>SUM(Tabla1343[[#This Row],[Columna1]:[Columna5]])</f>
        <v>0</v>
      </c>
    </row>
    <row r="53" spans="2:8" ht="15" customHeight="1" x14ac:dyDescent="0.3">
      <c r="B53" s="3" t="s">
        <v>9</v>
      </c>
      <c r="C53" s="3">
        <v>200</v>
      </c>
      <c r="D53" s="3">
        <v>36</v>
      </c>
      <c r="E53" s="3">
        <v>167</v>
      </c>
      <c r="F53" s="3">
        <v>16</v>
      </c>
      <c r="G53" s="3"/>
      <c r="H53" s="3">
        <f>SUM(Tabla1343[[#This Row],[Columna1]:[Columna5]])</f>
        <v>419</v>
      </c>
    </row>
    <row r="54" spans="2:8" ht="15" customHeight="1" x14ac:dyDescent="0.3">
      <c r="B54" s="3" t="s">
        <v>160</v>
      </c>
      <c r="C54" s="3"/>
      <c r="D54" s="3"/>
      <c r="E54" s="3"/>
      <c r="F54" s="3"/>
      <c r="G54" s="3"/>
      <c r="H54" s="3">
        <f>SUM(Tabla1343[[#This Row],[Columna1]:[Columna5]])</f>
        <v>0</v>
      </c>
    </row>
    <row r="55" spans="2:8" ht="15" customHeight="1" x14ac:dyDescent="0.3">
      <c r="B55" s="3" t="s">
        <v>76</v>
      </c>
      <c r="C55" s="3">
        <v>34</v>
      </c>
      <c r="D55" s="3"/>
      <c r="E55" s="3"/>
      <c r="F55" s="3"/>
      <c r="G55" s="3"/>
      <c r="H55" s="3">
        <f>SUM(Tabla1343[[#This Row],[Columna1]:[Columna5]])</f>
        <v>34</v>
      </c>
    </row>
    <row r="56" spans="2:8" ht="15" customHeight="1" x14ac:dyDescent="0.3">
      <c r="B56" s="3" t="s">
        <v>64</v>
      </c>
      <c r="C56" s="3">
        <v>5</v>
      </c>
      <c r="D56" s="3"/>
      <c r="E56" s="3"/>
      <c r="F56" s="3"/>
      <c r="G56" s="3"/>
      <c r="H56" s="3">
        <f>SUM(Tabla1343[[#This Row],[Columna1]:[Columna5]])</f>
        <v>5</v>
      </c>
    </row>
    <row r="57" spans="2:8" ht="15" customHeight="1" x14ac:dyDescent="0.3">
      <c r="B57" s="3" t="s">
        <v>34</v>
      </c>
      <c r="C57" s="3">
        <v>48</v>
      </c>
      <c r="D57" s="3">
        <v>10</v>
      </c>
      <c r="E57" s="3"/>
      <c r="F57" s="3"/>
      <c r="G57" s="3"/>
      <c r="H57" s="3">
        <f>SUM(Tabla1343[[#This Row],[Columna1]:[Columna5]])</f>
        <v>58</v>
      </c>
    </row>
    <row r="58" spans="2:8" ht="15" customHeight="1" x14ac:dyDescent="0.3">
      <c r="B58" s="3" t="s">
        <v>37</v>
      </c>
      <c r="C58" s="3">
        <v>10</v>
      </c>
      <c r="D58" s="3"/>
      <c r="E58" s="3"/>
      <c r="F58" s="3"/>
      <c r="G58" s="3"/>
      <c r="H58" s="3">
        <f>SUM(Tabla1343[[#This Row],[Columna1]:[Columna5]])</f>
        <v>10</v>
      </c>
    </row>
    <row r="59" spans="2:8" ht="15" customHeight="1" x14ac:dyDescent="0.3">
      <c r="B59" s="14" t="s">
        <v>112</v>
      </c>
      <c r="C59" s="3">
        <v>5</v>
      </c>
      <c r="D59" s="3"/>
      <c r="E59" s="3"/>
      <c r="F59" s="3"/>
      <c r="G59" s="3"/>
      <c r="H59" s="3">
        <f>SUM(Tabla1343[[#This Row],[Columna1]:[Columna5]])</f>
        <v>5</v>
      </c>
    </row>
    <row r="60" spans="2:8" ht="15" customHeight="1" x14ac:dyDescent="0.3">
      <c r="B60" s="14" t="s">
        <v>57</v>
      </c>
      <c r="C60" s="3">
        <v>20</v>
      </c>
      <c r="D60" s="3"/>
      <c r="E60" s="3"/>
      <c r="F60" s="3"/>
      <c r="G60" s="3"/>
      <c r="H60" s="3">
        <f>SUM(Tabla1343[[#This Row],[Columna1]:[Columna5]])</f>
        <v>20</v>
      </c>
    </row>
    <row r="61" spans="2:8" ht="15" customHeight="1" x14ac:dyDescent="0.3">
      <c r="B61" s="3" t="s">
        <v>86</v>
      </c>
      <c r="C61" s="3">
        <v>14</v>
      </c>
      <c r="D61" s="3"/>
      <c r="E61" s="3"/>
      <c r="F61" s="3"/>
      <c r="G61" s="3"/>
      <c r="H61" s="3">
        <f>SUM(Tabla1343[[#This Row],[Columna1]:[Columna5]])</f>
        <v>14</v>
      </c>
    </row>
    <row r="62" spans="2:8" ht="15" customHeight="1" x14ac:dyDescent="0.3">
      <c r="B62" s="3" t="s">
        <v>83</v>
      </c>
      <c r="C62" s="3">
        <v>10</v>
      </c>
      <c r="D62" s="3">
        <v>6</v>
      </c>
      <c r="E62" s="3"/>
      <c r="F62" s="3"/>
      <c r="G62" s="3"/>
      <c r="H62" s="3">
        <f>SUM(Tabla1343[[#This Row],[Columna1]:[Columna5]])</f>
        <v>16</v>
      </c>
    </row>
    <row r="63" spans="2:8" ht="15" customHeight="1" x14ac:dyDescent="0.3">
      <c r="B63" s="3" t="s">
        <v>84</v>
      </c>
      <c r="C63" s="3">
        <v>8</v>
      </c>
      <c r="D63" s="3"/>
      <c r="E63" s="3"/>
      <c r="F63" s="3"/>
      <c r="G63" s="3"/>
      <c r="H63" s="3">
        <f>SUM(Tabla1343[[#This Row],[Columna1]:[Columna5]])</f>
        <v>8</v>
      </c>
    </row>
    <row r="64" spans="2:8" ht="15" customHeight="1" x14ac:dyDescent="0.3">
      <c r="B64" s="3" t="s">
        <v>85</v>
      </c>
      <c r="C64" s="3">
        <v>6</v>
      </c>
      <c r="D64" s="3"/>
      <c r="E64" s="3"/>
      <c r="F64" s="3"/>
      <c r="G64" s="3"/>
      <c r="H64" s="3">
        <f>SUM(Tabla1343[[#This Row],[Columna1]:[Columna5]])</f>
        <v>6</v>
      </c>
    </row>
    <row r="65" spans="2:8" ht="15" customHeight="1" x14ac:dyDescent="0.3">
      <c r="B65" s="3" t="s">
        <v>156</v>
      </c>
      <c r="C65" s="3">
        <v>1</v>
      </c>
      <c r="D65" s="3"/>
      <c r="E65" s="3"/>
      <c r="F65" s="3"/>
      <c r="G65" s="3"/>
      <c r="H65" s="3">
        <f>SUM(Tabla1343[[#This Row],[Columna1]:[Columna5]])</f>
        <v>1</v>
      </c>
    </row>
    <row r="66" spans="2:8" ht="15" customHeight="1" x14ac:dyDescent="0.3">
      <c r="B66" s="3" t="s">
        <v>155</v>
      </c>
      <c r="C66" s="3">
        <v>1</v>
      </c>
      <c r="D66" s="3"/>
      <c r="E66" s="3"/>
      <c r="F66" s="3"/>
      <c r="G66" s="3"/>
      <c r="H66" s="3">
        <f>SUM(Tabla1343[[#This Row],[Columna1]:[Columna5]])</f>
        <v>1</v>
      </c>
    </row>
    <row r="67" spans="2:8" ht="15" customHeight="1" x14ac:dyDescent="0.3">
      <c r="B67" s="3" t="s">
        <v>171</v>
      </c>
      <c r="C67" s="3"/>
      <c r="D67" s="3"/>
      <c r="E67" s="3"/>
      <c r="F67" s="3"/>
      <c r="G67" s="3"/>
      <c r="H67" s="3">
        <f>SUM(Tabla1343[[#This Row],[Columna1]:[Columna5]])</f>
        <v>0</v>
      </c>
    </row>
    <row r="68" spans="2:8" ht="15" customHeight="1" x14ac:dyDescent="0.3">
      <c r="B68" s="3" t="s">
        <v>107</v>
      </c>
      <c r="C68" s="3">
        <v>1</v>
      </c>
      <c r="D68" s="3"/>
      <c r="E68" s="3"/>
      <c r="F68" s="3"/>
      <c r="G68" s="3"/>
      <c r="H68" s="3">
        <f>SUM(Tabla1343[[#This Row],[Columna1]:[Columna5]])</f>
        <v>1</v>
      </c>
    </row>
    <row r="69" spans="2:8" ht="15" customHeight="1" x14ac:dyDescent="0.3">
      <c r="B69" s="3" t="s">
        <v>26</v>
      </c>
      <c r="C69" s="3">
        <v>4</v>
      </c>
      <c r="D69" s="3"/>
      <c r="E69" s="3"/>
      <c r="F69" s="3"/>
      <c r="G69" s="3"/>
      <c r="H69" s="3">
        <f>SUM(Tabla1343[[#This Row],[Columna1]:[Columna5]])</f>
        <v>4</v>
      </c>
    </row>
    <row r="70" spans="2:8" ht="15" customHeight="1" x14ac:dyDescent="0.3">
      <c r="B70" s="14" t="s">
        <v>174</v>
      </c>
      <c r="C70" s="3">
        <v>2</v>
      </c>
      <c r="D70" s="3">
        <v>2</v>
      </c>
      <c r="E70" s="3"/>
      <c r="F70" s="3"/>
      <c r="G70" s="3"/>
      <c r="H70" s="3">
        <f>SUM(Tabla1343[[#This Row],[Columna1]:[Columna5]])</f>
        <v>4</v>
      </c>
    </row>
    <row r="71" spans="2:8" ht="15" customHeight="1" x14ac:dyDescent="0.3">
      <c r="B71" s="3" t="s">
        <v>173</v>
      </c>
      <c r="C71" s="3">
        <v>20</v>
      </c>
      <c r="D71" s="3"/>
      <c r="E71" s="3"/>
      <c r="F71" s="3"/>
      <c r="G71" s="3"/>
      <c r="H71" s="3">
        <f>SUM(Tabla1343[[#This Row],[Columna1]:[Columna5]])</f>
        <v>20</v>
      </c>
    </row>
    <row r="72" spans="2:8" ht="15" customHeight="1" x14ac:dyDescent="0.3">
      <c r="B72" s="3" t="s">
        <v>115</v>
      </c>
      <c r="C72" s="3">
        <v>3</v>
      </c>
      <c r="D72" s="3"/>
      <c r="E72" s="3"/>
      <c r="F72" s="3"/>
      <c r="G72" s="3"/>
      <c r="H72" s="3">
        <f>SUM(Tabla1343[[#This Row],[Columna1]:[Columna5]])</f>
        <v>3</v>
      </c>
    </row>
    <row r="73" spans="2:8" ht="15" customHeight="1" x14ac:dyDescent="0.3">
      <c r="B73" s="3" t="s">
        <v>113</v>
      </c>
      <c r="C73" s="3">
        <v>1</v>
      </c>
      <c r="D73" s="3"/>
      <c r="E73" s="3"/>
      <c r="F73" s="3"/>
      <c r="G73" s="3"/>
      <c r="H73" s="3">
        <f>SUM(Tabla1343[[#This Row],[Columna1]:[Columna5]])</f>
        <v>1</v>
      </c>
    </row>
    <row r="74" spans="2:8" ht="15" customHeight="1" x14ac:dyDescent="0.3">
      <c r="B74" s="3" t="s">
        <v>101</v>
      </c>
      <c r="C74" s="3">
        <v>3</v>
      </c>
      <c r="D74" s="3"/>
      <c r="E74" s="3"/>
      <c r="F74" s="3"/>
      <c r="G74" s="3"/>
      <c r="H74" s="3">
        <f>SUM(Tabla1343[[#This Row],[Columna1]:[Columna5]])</f>
        <v>3</v>
      </c>
    </row>
    <row r="75" spans="2:8" ht="15" customHeight="1" x14ac:dyDescent="0.3">
      <c r="B75" s="3" t="s">
        <v>92</v>
      </c>
      <c r="C75" s="3">
        <v>36</v>
      </c>
      <c r="D75" s="3"/>
      <c r="E75" s="3"/>
      <c r="F75" s="3"/>
      <c r="G75" s="3"/>
      <c r="H75" s="3">
        <f>SUM(Tabla1343[[#This Row],[Columna1]:[Columna5]])</f>
        <v>36</v>
      </c>
    </row>
    <row r="76" spans="2:8" ht="15" customHeight="1" x14ac:dyDescent="0.3">
      <c r="B76" s="3" t="s">
        <v>93</v>
      </c>
      <c r="C76" s="3">
        <v>27</v>
      </c>
      <c r="D76" s="3"/>
      <c r="E76" s="3"/>
      <c r="F76" s="3"/>
      <c r="G76" s="3"/>
      <c r="H76" s="3">
        <f>SUM(Tabla1343[[#This Row],[Columna1]:[Columna5]])</f>
        <v>27</v>
      </c>
    </row>
    <row r="77" spans="2:8" ht="15" customHeight="1" x14ac:dyDescent="0.3">
      <c r="B77" s="14" t="s">
        <v>102</v>
      </c>
      <c r="C77" s="3">
        <v>113</v>
      </c>
      <c r="D77" s="3"/>
      <c r="E77" s="3"/>
      <c r="F77" s="3"/>
      <c r="G77" s="3"/>
      <c r="H77" s="3">
        <f>SUM(Tabla1343[[#This Row],[Columna1]:[Columna5]])</f>
        <v>113</v>
      </c>
    </row>
    <row r="78" spans="2:8" ht="15" customHeight="1" x14ac:dyDescent="0.3">
      <c r="B78" s="3" t="s">
        <v>77</v>
      </c>
      <c r="C78" s="3">
        <v>18</v>
      </c>
      <c r="D78" s="3"/>
      <c r="E78" s="3"/>
      <c r="F78" s="3"/>
      <c r="G78" s="3"/>
      <c r="H78" s="3">
        <f>SUM(Tabla1343[[#This Row],[Columna1]:[Columna5]])</f>
        <v>18</v>
      </c>
    </row>
    <row r="79" spans="2:8" ht="15" customHeight="1" x14ac:dyDescent="0.3">
      <c r="B79" s="3" t="s">
        <v>128</v>
      </c>
      <c r="C79" s="3">
        <v>10</v>
      </c>
      <c r="D79" s="3"/>
      <c r="E79" s="3"/>
      <c r="F79" s="3"/>
      <c r="G79" s="3"/>
      <c r="H79" s="3">
        <f>SUM(Tabla1343[[#This Row],[Columna1]:[Columna5]])</f>
        <v>10</v>
      </c>
    </row>
    <row r="80" spans="2:8" ht="15" customHeight="1" x14ac:dyDescent="0.3">
      <c r="B80" s="3" t="s">
        <v>35</v>
      </c>
      <c r="C80" s="3">
        <v>8</v>
      </c>
      <c r="D80" s="3">
        <v>2</v>
      </c>
      <c r="E80" s="3">
        <v>12</v>
      </c>
      <c r="F80" s="3">
        <v>32</v>
      </c>
      <c r="G80" s="3"/>
      <c r="H80" s="3">
        <f>SUM(Tabla1343[[#This Row],[Columna1]:[Columna5]])</f>
        <v>54</v>
      </c>
    </row>
    <row r="81" spans="2:8" ht="15" customHeight="1" x14ac:dyDescent="0.3">
      <c r="B81" s="3" t="s">
        <v>63</v>
      </c>
      <c r="C81" s="3">
        <v>1</v>
      </c>
      <c r="D81" s="3">
        <v>2</v>
      </c>
      <c r="E81" s="3">
        <v>15</v>
      </c>
      <c r="F81" s="3"/>
      <c r="G81" s="3"/>
      <c r="H81" s="3">
        <f>SUM(Tabla1343[[#This Row],[Columna1]:[Columna5]])</f>
        <v>18</v>
      </c>
    </row>
    <row r="82" spans="2:8" ht="15" customHeight="1" x14ac:dyDescent="0.3">
      <c r="B82" s="3" t="s">
        <v>36</v>
      </c>
      <c r="C82" s="3">
        <v>4</v>
      </c>
      <c r="D82" s="3">
        <v>2</v>
      </c>
      <c r="E82" s="3">
        <v>5</v>
      </c>
      <c r="F82" s="3">
        <v>2</v>
      </c>
      <c r="G82" s="3"/>
      <c r="H82" s="3">
        <f>SUM(Tabla1343[[#This Row],[Columna1]:[Columna5]])</f>
        <v>13</v>
      </c>
    </row>
    <row r="83" spans="2:8" ht="15" customHeight="1" x14ac:dyDescent="0.3">
      <c r="B83" s="3" t="s">
        <v>23</v>
      </c>
      <c r="C83" s="3">
        <v>2</v>
      </c>
      <c r="D83" s="3"/>
      <c r="E83" s="3"/>
      <c r="F83" s="3"/>
      <c r="G83" s="3"/>
      <c r="H83" s="3">
        <f>SUM(Tabla1343[[#This Row],[Columna1]:[Columna5]])</f>
        <v>2</v>
      </c>
    </row>
    <row r="84" spans="2:8" ht="15" customHeight="1" x14ac:dyDescent="0.3">
      <c r="B84" s="3" t="s">
        <v>22</v>
      </c>
      <c r="C84" s="3">
        <v>3</v>
      </c>
      <c r="D84" s="3"/>
      <c r="E84" s="3"/>
      <c r="F84" s="3"/>
      <c r="G84" s="3"/>
      <c r="H84" s="3">
        <f>SUM(Tabla1343[[#This Row],[Columna1]:[Columna5]])</f>
        <v>3</v>
      </c>
    </row>
    <row r="85" spans="2:8" ht="15" customHeight="1" x14ac:dyDescent="0.3">
      <c r="B85" s="3" t="s">
        <v>175</v>
      </c>
      <c r="C85" s="3">
        <v>8</v>
      </c>
      <c r="D85" s="3"/>
      <c r="E85" s="3"/>
      <c r="F85" s="3"/>
      <c r="G85" s="3"/>
      <c r="H85" s="3">
        <f>SUM(Tabla1343[[#This Row],[Columna1]:[Columna5]])</f>
        <v>8</v>
      </c>
    </row>
    <row r="86" spans="2:8" ht="15" customHeight="1" x14ac:dyDescent="0.3">
      <c r="B86" s="3" t="s">
        <v>123</v>
      </c>
      <c r="C86" s="3">
        <v>1</v>
      </c>
      <c r="D86" s="3"/>
      <c r="E86" s="3"/>
      <c r="F86" s="3"/>
      <c r="G86" s="3"/>
      <c r="H86" s="3">
        <f>SUM(Tabla1343[[#This Row],[Columna1]:[Columna5]])</f>
        <v>1</v>
      </c>
    </row>
    <row r="87" spans="2:8" ht="15" customHeight="1" x14ac:dyDescent="0.3">
      <c r="B87" s="3" t="s">
        <v>98</v>
      </c>
      <c r="C87" s="3">
        <v>6</v>
      </c>
      <c r="D87" s="3"/>
      <c r="E87" s="3"/>
      <c r="F87" s="3"/>
      <c r="G87" s="3"/>
      <c r="H87" s="3">
        <f>SUM(Tabla1343[[#This Row],[Columna1]:[Columna5]])</f>
        <v>6</v>
      </c>
    </row>
    <row r="88" spans="2:8" ht="15" customHeight="1" x14ac:dyDescent="0.3">
      <c r="B88" s="3" t="s">
        <v>90</v>
      </c>
      <c r="C88" s="3">
        <v>4</v>
      </c>
      <c r="D88" s="3"/>
      <c r="E88" s="3"/>
      <c r="F88" s="3"/>
      <c r="G88" s="3"/>
      <c r="H88" s="3">
        <f>SUM(Tabla1343[[#This Row],[Columna1]:[Columna5]])</f>
        <v>4</v>
      </c>
    </row>
    <row r="89" spans="2:8" ht="15" customHeight="1" x14ac:dyDescent="0.3">
      <c r="B89" s="3" t="s">
        <v>103</v>
      </c>
      <c r="C89" s="3">
        <v>1</v>
      </c>
      <c r="D89" s="3"/>
      <c r="E89" s="3"/>
      <c r="F89" s="3"/>
      <c r="G89" s="3"/>
      <c r="H89" s="3">
        <f>SUM(Tabla1343[[#This Row],[Columna1]:[Columna5]])</f>
        <v>1</v>
      </c>
    </row>
    <row r="90" spans="2:8" ht="15" customHeight="1" x14ac:dyDescent="0.3">
      <c r="B90" s="3" t="s">
        <v>24</v>
      </c>
      <c r="C90" s="3">
        <v>8</v>
      </c>
      <c r="D90" s="3"/>
      <c r="E90" s="3"/>
      <c r="F90" s="3"/>
      <c r="G90" s="3"/>
      <c r="H90" s="3">
        <f>SUM(Tabla1343[[#This Row],[Columna1]:[Columna5]])</f>
        <v>8</v>
      </c>
    </row>
    <row r="91" spans="2:8" ht="15" customHeight="1" x14ac:dyDescent="0.3">
      <c r="B91" s="3" t="s">
        <v>105</v>
      </c>
      <c r="C91" s="3">
        <v>1</v>
      </c>
      <c r="D91" s="3"/>
      <c r="E91" s="3"/>
      <c r="F91" s="3"/>
      <c r="G91" s="3"/>
      <c r="H91" s="3">
        <f>SUM(Tabla1343[[#This Row],[Columna1]:[Columna5]])</f>
        <v>1</v>
      </c>
    </row>
    <row r="92" spans="2:8" ht="15" customHeight="1" x14ac:dyDescent="0.3">
      <c r="B92" s="3" t="s">
        <v>100</v>
      </c>
      <c r="C92" s="3">
        <v>2</v>
      </c>
      <c r="D92" s="3"/>
      <c r="E92" s="3"/>
      <c r="F92" s="3"/>
      <c r="G92" s="3"/>
      <c r="H92" s="3">
        <f>SUM(Tabla1343[[#This Row],[Columna1]:[Columna5]])</f>
        <v>2</v>
      </c>
    </row>
    <row r="93" spans="2:8" ht="15" customHeight="1" x14ac:dyDescent="0.3">
      <c r="B93" s="3" t="s">
        <v>104</v>
      </c>
      <c r="C93" s="3">
        <v>6</v>
      </c>
      <c r="D93" s="3"/>
      <c r="E93" s="3"/>
      <c r="F93" s="3"/>
      <c r="G93" s="3"/>
      <c r="H93" s="3">
        <f>SUM(Tabla1343[[#This Row],[Columna1]:[Columna5]])</f>
        <v>6</v>
      </c>
    </row>
    <row r="94" spans="2:8" ht="15" customHeight="1" x14ac:dyDescent="0.3">
      <c r="B94" s="3" t="s">
        <v>69</v>
      </c>
      <c r="C94" s="3">
        <v>73</v>
      </c>
      <c r="D94" s="3"/>
      <c r="E94" s="3"/>
      <c r="F94" s="3"/>
      <c r="G94" s="3"/>
      <c r="H94" s="3">
        <f>SUM(Tabla1343[[#This Row],[Columna1]:[Columna5]])</f>
        <v>73</v>
      </c>
    </row>
    <row r="95" spans="2:8" ht="15" customHeight="1" x14ac:dyDescent="0.3">
      <c r="B95" s="3" t="s">
        <v>68</v>
      </c>
      <c r="C95" s="3">
        <v>46</v>
      </c>
      <c r="D95" s="3"/>
      <c r="E95" s="3"/>
      <c r="F95" s="3"/>
      <c r="G95" s="3"/>
      <c r="H95" s="3">
        <f>SUM(Tabla1343[[#This Row],[Columna1]:[Columna5]])</f>
        <v>46</v>
      </c>
    </row>
    <row r="96" spans="2:8" ht="15" customHeight="1" x14ac:dyDescent="0.3">
      <c r="B96" s="3" t="s">
        <v>32</v>
      </c>
      <c r="C96" s="3">
        <v>200</v>
      </c>
      <c r="D96" s="3">
        <v>364</v>
      </c>
      <c r="E96" s="3">
        <v>408</v>
      </c>
      <c r="F96" s="3">
        <v>28</v>
      </c>
      <c r="G96" s="3">
        <v>24</v>
      </c>
      <c r="H96" s="3">
        <f>SUM(Tabla1343[[#This Row],[Columna1]:[Columna5]])</f>
        <v>1024</v>
      </c>
    </row>
    <row r="97" spans="2:8" ht="15" customHeight="1" x14ac:dyDescent="0.3">
      <c r="B97" s="3" t="s">
        <v>79</v>
      </c>
      <c r="C97" s="3">
        <v>2</v>
      </c>
      <c r="D97" s="3"/>
      <c r="E97" s="3"/>
      <c r="F97" s="3"/>
      <c r="G97" s="3"/>
      <c r="H97" s="3">
        <f>SUM(Tabla1343[[#This Row],[Columna1]:[Columna5]])</f>
        <v>2</v>
      </c>
    </row>
    <row r="98" spans="2:8" ht="15" customHeight="1" x14ac:dyDescent="0.3">
      <c r="B98" s="3" t="s">
        <v>38</v>
      </c>
      <c r="C98" s="3">
        <v>1</v>
      </c>
      <c r="D98" s="3">
        <v>2</v>
      </c>
      <c r="E98" s="3"/>
      <c r="F98" s="3"/>
      <c r="G98" s="3"/>
      <c r="H98" s="3">
        <f>SUM(Tabla1343[[#This Row],[Columna1]:[Columna5]])</f>
        <v>3</v>
      </c>
    </row>
    <row r="99" spans="2:8" ht="15" customHeight="1" x14ac:dyDescent="0.3">
      <c r="B99" s="3" t="s">
        <v>125</v>
      </c>
      <c r="C99" s="3">
        <v>21</v>
      </c>
      <c r="D99" s="3"/>
      <c r="E99" s="3"/>
      <c r="F99" s="3"/>
      <c r="G99" s="3"/>
      <c r="H99" s="3">
        <f>SUM(Tabla1343[[#This Row],[Columna1]:[Columna5]])</f>
        <v>21</v>
      </c>
    </row>
    <row r="100" spans="2:8" ht="15" customHeight="1" x14ac:dyDescent="0.3">
      <c r="B100" s="3" t="s">
        <v>161</v>
      </c>
      <c r="C100" s="3">
        <v>6</v>
      </c>
      <c r="D100" s="3"/>
      <c r="E100" s="3"/>
      <c r="F100" s="3"/>
      <c r="G100" s="3"/>
      <c r="H100" s="3">
        <f>SUM(Tabla1343[[#This Row],[Columna1]:[Columna5]])</f>
        <v>6</v>
      </c>
    </row>
    <row r="101" spans="2:8" ht="15" customHeight="1" x14ac:dyDescent="0.3">
      <c r="B101" s="14" t="s">
        <v>119</v>
      </c>
      <c r="C101" s="3">
        <v>2</v>
      </c>
      <c r="D101" s="3"/>
      <c r="E101" s="3"/>
      <c r="F101" s="3"/>
      <c r="G101" s="3"/>
      <c r="H101" s="3">
        <f>SUM(Tabla1343[[#This Row],[Columna1]:[Columna5]])</f>
        <v>2</v>
      </c>
    </row>
    <row r="102" spans="2:8" ht="15" customHeight="1" x14ac:dyDescent="0.3">
      <c r="B102" s="3" t="s">
        <v>47</v>
      </c>
      <c r="C102" s="3"/>
      <c r="D102" s="3"/>
      <c r="E102" s="3"/>
      <c r="F102" s="3"/>
      <c r="G102" s="3"/>
      <c r="H102" s="3">
        <f>SUM(Tabla1343[[#This Row],[Columna1]:[Columna5]])</f>
        <v>0</v>
      </c>
    </row>
    <row r="103" spans="2:8" ht="15" customHeight="1" x14ac:dyDescent="0.3">
      <c r="B103" s="3" t="s">
        <v>46</v>
      </c>
      <c r="C103" s="3"/>
      <c r="D103" s="3"/>
      <c r="E103" s="3"/>
      <c r="F103" s="3"/>
      <c r="G103" s="3"/>
      <c r="H103" s="3">
        <f>SUM(Tabla1343[[#This Row],[Columna1]:[Columna5]])</f>
        <v>0</v>
      </c>
    </row>
    <row r="104" spans="2:8" ht="15" customHeight="1" x14ac:dyDescent="0.3">
      <c r="B104" s="3" t="s">
        <v>169</v>
      </c>
      <c r="C104" s="3">
        <v>8</v>
      </c>
      <c r="D104" s="3"/>
      <c r="E104" s="3"/>
      <c r="F104" s="3"/>
      <c r="G104" s="3"/>
      <c r="H104" s="3">
        <f>SUM(Tabla1343[[#This Row],[Columna1]:[Columna5]])</f>
        <v>8</v>
      </c>
    </row>
    <row r="105" spans="2:8" ht="15" customHeight="1" x14ac:dyDescent="0.3">
      <c r="B105" s="3" t="s">
        <v>41</v>
      </c>
      <c r="C105" s="3">
        <v>12</v>
      </c>
      <c r="D105" s="3"/>
      <c r="E105" s="3"/>
      <c r="F105" s="3"/>
      <c r="G105" s="3"/>
      <c r="H105" s="3">
        <f>SUM(Tabla1343[[#This Row],[Columna1]:[Columna5]])</f>
        <v>12</v>
      </c>
    </row>
    <row r="106" spans="2:8" ht="15" customHeight="1" x14ac:dyDescent="0.3">
      <c r="B106" s="3" t="s">
        <v>28</v>
      </c>
      <c r="C106" s="3">
        <v>200</v>
      </c>
      <c r="D106" s="3"/>
      <c r="E106" s="3"/>
      <c r="F106" s="3"/>
      <c r="G106" s="3"/>
      <c r="H106" s="3">
        <f>SUM(Tabla1343[[#This Row],[Columna1]:[Columna5]])</f>
        <v>200</v>
      </c>
    </row>
    <row r="107" spans="2:8" ht="15" customHeight="1" x14ac:dyDescent="0.3">
      <c r="B107" s="3" t="s">
        <v>29</v>
      </c>
      <c r="C107" s="3">
        <v>50</v>
      </c>
      <c r="D107" s="3">
        <v>142</v>
      </c>
      <c r="E107" s="3">
        <v>151</v>
      </c>
      <c r="F107" s="3">
        <v>24</v>
      </c>
      <c r="G107" s="3"/>
      <c r="H107" s="3">
        <f>SUM(Tabla1343[[#This Row],[Columna1]:[Columna5]])</f>
        <v>367</v>
      </c>
    </row>
    <row r="108" spans="2:8" ht="15" customHeight="1" x14ac:dyDescent="0.3">
      <c r="B108" s="3"/>
      <c r="C108" s="3"/>
      <c r="D108" s="3"/>
      <c r="E108" s="3"/>
      <c r="F108" s="3"/>
      <c r="G108" s="3"/>
      <c r="H108" s="3">
        <f>SUM(Tabla1343[[#This Row],[Columna1]:[Columna5]])</f>
        <v>0</v>
      </c>
    </row>
    <row r="109" spans="2:8" ht="15" customHeight="1" x14ac:dyDescent="0.3">
      <c r="B109" s="18" t="s">
        <v>95</v>
      </c>
      <c r="C109" s="3">
        <v>6</v>
      </c>
      <c r="D109" s="3"/>
      <c r="E109" s="3"/>
      <c r="F109" s="3"/>
      <c r="G109" s="3"/>
      <c r="H109" s="3">
        <f>SUM(Tabla1343[[#This Row],[Columna1]:[Columna5]])</f>
        <v>6</v>
      </c>
    </row>
    <row r="110" spans="2:8" ht="15" customHeight="1" x14ac:dyDescent="0.3">
      <c r="B110" s="18" t="s">
        <v>7</v>
      </c>
      <c r="C110" s="3">
        <v>200</v>
      </c>
      <c r="D110" s="3">
        <v>40</v>
      </c>
      <c r="E110" s="3">
        <v>55</v>
      </c>
      <c r="F110" s="3">
        <v>4</v>
      </c>
      <c r="G110" s="3">
        <v>2</v>
      </c>
      <c r="H110" s="3">
        <f>SUM(Tabla1343[[#This Row],[Columna1]:[Columna5]])</f>
        <v>301</v>
      </c>
    </row>
    <row r="111" spans="2:8" ht="15" customHeight="1" x14ac:dyDescent="0.3">
      <c r="B111" s="18" t="s">
        <v>33</v>
      </c>
      <c r="C111" s="3">
        <v>38</v>
      </c>
      <c r="D111" s="3">
        <v>5</v>
      </c>
      <c r="E111" s="3"/>
      <c r="F111" s="3"/>
      <c r="G111" s="3"/>
      <c r="H111" s="3">
        <f>SUM(Tabla1343[[#This Row],[Columna1]:[Columna5]])</f>
        <v>43</v>
      </c>
    </row>
    <row r="112" spans="2:8" ht="15" customHeight="1" x14ac:dyDescent="0.3">
      <c r="B112" s="18" t="s">
        <v>40</v>
      </c>
      <c r="C112" s="3">
        <v>2</v>
      </c>
      <c r="D112" s="3"/>
      <c r="E112" s="3"/>
      <c r="F112" s="3"/>
      <c r="G112" s="3"/>
      <c r="H112" s="3">
        <f>SUM(Tabla1343[[#This Row],[Columna1]:[Columna5]])</f>
        <v>2</v>
      </c>
    </row>
    <row r="113" spans="2:8" ht="15" customHeight="1" x14ac:dyDescent="0.3">
      <c r="B113" s="18" t="s">
        <v>17</v>
      </c>
      <c r="C113" s="3">
        <v>200</v>
      </c>
      <c r="D113" s="3">
        <v>40</v>
      </c>
      <c r="E113" s="3">
        <v>65</v>
      </c>
      <c r="F113" s="3">
        <v>4</v>
      </c>
      <c r="G113" s="3">
        <v>2</v>
      </c>
      <c r="H113" s="3">
        <f>SUM(Tabla1343[[#This Row],[Columna1]:[Columna5]])</f>
        <v>311</v>
      </c>
    </row>
    <row r="114" spans="2:8" ht="15" customHeight="1" x14ac:dyDescent="0.3">
      <c r="B114" s="18" t="s">
        <v>30</v>
      </c>
      <c r="C114" s="3">
        <v>6</v>
      </c>
      <c r="D114" s="3"/>
      <c r="E114" s="3"/>
      <c r="F114" s="3"/>
      <c r="G114" s="3"/>
      <c r="H114" s="3">
        <f>SUM(Tabla1343[[#This Row],[Columna1]:[Columna5]])</f>
        <v>6</v>
      </c>
    </row>
    <row r="115" spans="2:8" ht="15" customHeight="1" x14ac:dyDescent="0.3">
      <c r="B115" s="18" t="s">
        <v>82</v>
      </c>
      <c r="C115" s="3">
        <v>13</v>
      </c>
      <c r="D115" s="3"/>
      <c r="E115" s="3"/>
      <c r="F115" s="3"/>
      <c r="G115" s="3"/>
      <c r="H115" s="3">
        <f>SUM(Tabla1343[[#This Row],[Columna1]:[Columna5]])</f>
        <v>13</v>
      </c>
    </row>
    <row r="116" spans="2:8" ht="15" customHeight="1" x14ac:dyDescent="0.3">
      <c r="B116" s="18" t="s">
        <v>162</v>
      </c>
      <c r="C116" s="3">
        <v>25</v>
      </c>
      <c r="D116" s="3"/>
      <c r="E116" s="3"/>
      <c r="F116" s="3"/>
      <c r="G116" s="3"/>
      <c r="H116" s="3">
        <f>SUM(Tabla1343[[#This Row],[Columna1]:[Columna5]])</f>
        <v>25</v>
      </c>
    </row>
    <row r="117" spans="2:8" ht="15" customHeight="1" x14ac:dyDescent="0.3">
      <c r="B117" s="18" t="s">
        <v>165</v>
      </c>
      <c r="C117" s="3">
        <v>4</v>
      </c>
      <c r="D117" s="3"/>
      <c r="E117" s="3"/>
      <c r="F117" s="3"/>
      <c r="G117" s="3"/>
      <c r="H117" s="3">
        <f>SUM(Tabla1343[[#This Row],[Columna1]:[Columna5]])</f>
        <v>4</v>
      </c>
    </row>
    <row r="118" spans="2:8" ht="15" customHeight="1" x14ac:dyDescent="0.3">
      <c r="B118" s="18" t="s">
        <v>166</v>
      </c>
      <c r="C118" s="3">
        <v>111</v>
      </c>
      <c r="D118" s="3"/>
      <c r="E118" s="3"/>
      <c r="F118" s="3"/>
      <c r="G118" s="3"/>
      <c r="H118" s="3">
        <f>SUM(Tabla1343[[#This Row],[Columna1]:[Columna5]])</f>
        <v>111</v>
      </c>
    </row>
    <row r="119" spans="2:8" ht="15" customHeight="1" x14ac:dyDescent="0.3">
      <c r="B119" s="18" t="s">
        <v>163</v>
      </c>
      <c r="C119" s="3">
        <v>21</v>
      </c>
      <c r="D119" s="3"/>
      <c r="E119" s="3"/>
      <c r="F119" s="3"/>
      <c r="G119" s="3"/>
      <c r="H119" s="3">
        <f>SUM(Tabla1343[[#This Row],[Columna1]:[Columna5]])</f>
        <v>21</v>
      </c>
    </row>
    <row r="120" spans="2:8" ht="15" customHeight="1" x14ac:dyDescent="0.3">
      <c r="B120" s="18" t="s">
        <v>167</v>
      </c>
      <c r="C120" s="3">
        <v>360</v>
      </c>
      <c r="D120" s="3">
        <v>200</v>
      </c>
      <c r="E120" s="3">
        <v>165</v>
      </c>
      <c r="F120" s="3"/>
      <c r="G120" s="3"/>
      <c r="H120" s="3">
        <f>SUM(Tabla1343[[#This Row],[Columna1]:[Columna5]])</f>
        <v>725</v>
      </c>
    </row>
    <row r="121" spans="2:8" ht="15" customHeight="1" x14ac:dyDescent="0.3">
      <c r="B121" s="18" t="s">
        <v>164</v>
      </c>
      <c r="C121" s="3">
        <v>7</v>
      </c>
      <c r="D121" s="3"/>
      <c r="E121" s="3"/>
      <c r="F121" s="3"/>
      <c r="G121" s="3"/>
      <c r="H121" s="3">
        <f>SUM(Tabla1343[[#This Row],[Columna1]:[Columna5]])</f>
        <v>7</v>
      </c>
    </row>
    <row r="122" spans="2:8" ht="15" customHeight="1" x14ac:dyDescent="0.3">
      <c r="B122" s="18" t="s">
        <v>182</v>
      </c>
      <c r="C122" s="3">
        <v>8</v>
      </c>
      <c r="D122" s="3"/>
      <c r="E122" s="3"/>
      <c r="F122" s="3"/>
      <c r="G122" s="3"/>
      <c r="H122" s="3">
        <f>SUM(Tabla1343[[#This Row],[Columna1]:[Columna5]])</f>
        <v>8</v>
      </c>
    </row>
    <row r="123" spans="2:8" ht="15" customHeight="1" x14ac:dyDescent="0.3">
      <c r="B123" s="18" t="s">
        <v>146</v>
      </c>
      <c r="C123" s="3">
        <v>8</v>
      </c>
      <c r="D123" s="3"/>
      <c r="E123" s="3"/>
      <c r="F123" s="3"/>
      <c r="G123" s="3"/>
      <c r="H123" s="3">
        <f>SUM(Tabla1343[[#This Row],[Columna1]:[Columna5]])</f>
        <v>8</v>
      </c>
    </row>
    <row r="124" spans="2:8" ht="15" customHeight="1" x14ac:dyDescent="0.3">
      <c r="B124" s="18" t="s">
        <v>10</v>
      </c>
      <c r="C124" s="3">
        <v>4</v>
      </c>
      <c r="D124" s="3"/>
      <c r="E124" s="3"/>
      <c r="F124" s="3"/>
      <c r="G124" s="3"/>
      <c r="H124" s="3">
        <f>SUM(Tabla1343[[#This Row],[Columna1]:[Columna5]])</f>
        <v>4</v>
      </c>
    </row>
    <row r="125" spans="2:8" ht="15" customHeight="1" x14ac:dyDescent="0.3">
      <c r="B125" s="18" t="s">
        <v>52</v>
      </c>
      <c r="C125" s="3">
        <v>100</v>
      </c>
      <c r="D125" s="3">
        <v>148</v>
      </c>
      <c r="E125" s="3">
        <v>4</v>
      </c>
      <c r="F125" s="3">
        <v>6</v>
      </c>
      <c r="G125" s="3"/>
      <c r="H125" s="3">
        <f>SUM(Tabla1343[[#This Row],[Columna1]:[Columna5]])</f>
        <v>258</v>
      </c>
    </row>
    <row r="126" spans="2:8" ht="15" customHeight="1" x14ac:dyDescent="0.3">
      <c r="B126" s="18" t="s">
        <v>48</v>
      </c>
      <c r="C126" s="3">
        <v>48</v>
      </c>
      <c r="D126" s="3">
        <v>11</v>
      </c>
      <c r="E126" s="3">
        <v>6</v>
      </c>
      <c r="F126" s="3"/>
      <c r="G126" s="3"/>
      <c r="H126" s="3">
        <f>SUM(Tabla1343[[#This Row],[Columna1]:[Columna5]])</f>
        <v>65</v>
      </c>
    </row>
    <row r="127" spans="2:8" ht="15" customHeight="1" x14ac:dyDescent="0.3">
      <c r="B127" s="18" t="s">
        <v>142</v>
      </c>
      <c r="C127" s="3">
        <v>600</v>
      </c>
      <c r="D127" s="3">
        <v>901</v>
      </c>
      <c r="E127" s="3">
        <v>25</v>
      </c>
      <c r="F127" s="3"/>
      <c r="G127" s="3"/>
      <c r="H127" s="3">
        <f>SUM(Tabla1343[[#This Row],[Columna1]:[Columna5]])</f>
        <v>1526</v>
      </c>
    </row>
    <row r="128" spans="2:8" ht="15" customHeight="1" x14ac:dyDescent="0.3">
      <c r="B128" s="18" t="s">
        <v>53</v>
      </c>
      <c r="C128" s="3">
        <v>15</v>
      </c>
      <c r="D128" s="3"/>
      <c r="E128" s="3"/>
      <c r="F128" s="3"/>
      <c r="G128" s="3"/>
      <c r="H128" s="3">
        <f>SUM(Tabla1343[[#This Row],[Columna1]:[Columna5]])</f>
        <v>15</v>
      </c>
    </row>
    <row r="129" spans="2:8" ht="15" customHeight="1" x14ac:dyDescent="0.3">
      <c r="B129" s="18" t="s">
        <v>54</v>
      </c>
      <c r="C129" s="3">
        <v>29</v>
      </c>
      <c r="D129" s="3"/>
      <c r="E129" s="3"/>
      <c r="F129" s="3"/>
      <c r="G129" s="3"/>
      <c r="H129" s="3">
        <f>SUM(Tabla1343[[#This Row],[Columna1]:[Columna5]])</f>
        <v>29</v>
      </c>
    </row>
    <row r="130" spans="2:8" ht="15" customHeight="1" x14ac:dyDescent="0.3">
      <c r="B130" s="18" t="s">
        <v>15</v>
      </c>
      <c r="C130" s="3">
        <v>40</v>
      </c>
      <c r="D130" s="3">
        <v>31</v>
      </c>
      <c r="E130" s="3"/>
      <c r="F130" s="3"/>
      <c r="G130" s="3"/>
      <c r="H130" s="3">
        <f>SUM(Tabla1343[[#This Row],[Columna1]:[Columna5]])</f>
        <v>71</v>
      </c>
    </row>
    <row r="131" spans="2:8" ht="15" customHeight="1" x14ac:dyDescent="0.3">
      <c r="B131" s="18" t="s">
        <v>58</v>
      </c>
      <c r="C131" s="3">
        <v>9</v>
      </c>
      <c r="D131" s="3"/>
      <c r="E131" s="3"/>
      <c r="F131" s="3"/>
      <c r="G131" s="3"/>
      <c r="H131" s="3">
        <f>SUM(Tabla1343[[#This Row],[Columna1]:[Columna5]])</f>
        <v>9</v>
      </c>
    </row>
    <row r="132" spans="2:8" ht="15" customHeight="1" x14ac:dyDescent="0.3">
      <c r="B132" s="19" t="s">
        <v>56</v>
      </c>
      <c r="C132" s="3">
        <v>12</v>
      </c>
      <c r="D132" s="3"/>
      <c r="E132" s="3"/>
      <c r="F132" s="3"/>
      <c r="G132" s="3"/>
      <c r="H132" s="3">
        <f>SUM(Tabla1343[[#This Row],[Columna1]:[Columna5]])</f>
        <v>12</v>
      </c>
    </row>
    <row r="133" spans="2:8" ht="15" customHeight="1" x14ac:dyDescent="0.3">
      <c r="B133" s="18" t="s">
        <v>55</v>
      </c>
      <c r="C133" s="3">
        <v>50</v>
      </c>
      <c r="D133" s="3">
        <v>59</v>
      </c>
      <c r="E133" s="3"/>
      <c r="F133" s="3"/>
      <c r="G133" s="3"/>
      <c r="H133" s="3">
        <f>SUM(Tabla1343[[#This Row],[Columna1]:[Columna5]])</f>
        <v>109</v>
      </c>
    </row>
    <row r="134" spans="2:8" ht="15" customHeight="1" x14ac:dyDescent="0.3">
      <c r="B134" s="18" t="s">
        <v>168</v>
      </c>
      <c r="C134" s="3">
        <v>15</v>
      </c>
      <c r="D134" s="3"/>
      <c r="E134" s="3"/>
      <c r="F134" s="3"/>
      <c r="G134" s="3"/>
      <c r="H134" s="3">
        <f>SUM(Tabla1343[[#This Row],[Columna1]:[Columna5]])</f>
        <v>15</v>
      </c>
    </row>
    <row r="135" spans="2:8" ht="15" customHeight="1" x14ac:dyDescent="0.3">
      <c r="B135" s="19" t="s">
        <v>94</v>
      </c>
      <c r="C135" s="3">
        <v>2</v>
      </c>
      <c r="D135" s="3"/>
      <c r="E135" s="3"/>
      <c r="F135" s="3"/>
      <c r="G135" s="3"/>
      <c r="H135" s="3">
        <f>SUM(Tabla1343[[#This Row],[Columna1]:[Columna5]])</f>
        <v>2</v>
      </c>
    </row>
    <row r="136" spans="2:8" ht="15" customHeight="1" x14ac:dyDescent="0.3">
      <c r="B136" s="18" t="s">
        <v>143</v>
      </c>
      <c r="C136" s="3">
        <v>500</v>
      </c>
      <c r="D136" s="3">
        <v>419</v>
      </c>
      <c r="E136" s="3">
        <v>7</v>
      </c>
      <c r="F136" s="3"/>
      <c r="G136" s="3"/>
      <c r="H136" s="3">
        <f>SUM(Tabla1343[[#This Row],[Columna1]:[Columna5]])</f>
        <v>926</v>
      </c>
    </row>
    <row r="137" spans="2:8" ht="15" customHeight="1" x14ac:dyDescent="0.3">
      <c r="B137" s="19" t="s">
        <v>144</v>
      </c>
      <c r="C137" s="3"/>
      <c r="D137" s="3">
        <v>1</v>
      </c>
      <c r="E137" s="3">
        <v>55</v>
      </c>
      <c r="F137" s="3"/>
      <c r="G137" s="3"/>
      <c r="H137" s="3">
        <f>SUM(Tabla1343[[#This Row],[Columna1]:[Columna5]])</f>
        <v>56</v>
      </c>
    </row>
    <row r="138" spans="2:8" ht="15" customHeight="1" x14ac:dyDescent="0.3">
      <c r="B138" s="18" t="s">
        <v>149</v>
      </c>
      <c r="C138" s="3">
        <v>50</v>
      </c>
      <c r="D138" s="3"/>
      <c r="E138" s="3"/>
      <c r="F138" s="3"/>
      <c r="G138" s="3"/>
      <c r="H138" s="3">
        <f>SUM(Tabla1343[[#This Row],[Columna1]:[Columna5]])</f>
        <v>50</v>
      </c>
    </row>
    <row r="139" spans="2:8" ht="15" customHeight="1" x14ac:dyDescent="0.3">
      <c r="B139" s="18" t="s">
        <v>150</v>
      </c>
      <c r="C139" s="3">
        <v>50</v>
      </c>
      <c r="D139" s="3"/>
      <c r="E139" s="3"/>
      <c r="F139" s="3"/>
      <c r="G139" s="3"/>
      <c r="H139" s="3">
        <f>SUM(Tabla1343[[#This Row],[Columna1]:[Columna5]])</f>
        <v>50</v>
      </c>
    </row>
    <row r="140" spans="2:8" ht="15" customHeight="1" x14ac:dyDescent="0.3">
      <c r="B140" s="18" t="s">
        <v>50</v>
      </c>
      <c r="C140" s="3">
        <v>17</v>
      </c>
      <c r="D140" s="3"/>
      <c r="E140" s="3"/>
      <c r="F140" s="3"/>
      <c r="G140" s="3"/>
      <c r="H140" s="3">
        <f>SUM(Tabla1343[[#This Row],[Columna1]:[Columna5]])</f>
        <v>17</v>
      </c>
    </row>
    <row r="141" spans="2:8" ht="15" customHeight="1" x14ac:dyDescent="0.3">
      <c r="B141" s="18" t="s">
        <v>51</v>
      </c>
      <c r="C141" s="3">
        <v>34</v>
      </c>
      <c r="D141" s="3">
        <v>99</v>
      </c>
      <c r="E141" s="3">
        <v>4</v>
      </c>
      <c r="F141" s="3">
        <v>4</v>
      </c>
      <c r="G141" s="3">
        <v>4</v>
      </c>
      <c r="H141" s="3">
        <f>SUM(Tabla1343[[#This Row],[Columna1]:[Columna5]])</f>
        <v>145</v>
      </c>
    </row>
    <row r="142" spans="2:8" ht="15" customHeight="1" x14ac:dyDescent="0.3">
      <c r="B142" s="18" t="s">
        <v>78</v>
      </c>
      <c r="C142" s="3">
        <v>15</v>
      </c>
      <c r="D142" s="3">
        <v>4</v>
      </c>
      <c r="E142" s="3">
        <v>4</v>
      </c>
      <c r="F142" s="3"/>
      <c r="G142" s="3"/>
      <c r="H142" s="3">
        <f>SUM(Tabla1343[[#This Row],[Columna1]:[Columna5]])</f>
        <v>23</v>
      </c>
    </row>
    <row r="143" spans="2:8" ht="15" customHeight="1" x14ac:dyDescent="0.3">
      <c r="B143" s="18" t="s">
        <v>148</v>
      </c>
      <c r="C143" s="3">
        <v>80</v>
      </c>
      <c r="D143" s="3"/>
      <c r="E143" s="3"/>
      <c r="F143" s="3"/>
      <c r="G143" s="3"/>
      <c r="H143" s="3">
        <f>SUM(Tabla1343[[#This Row],[Columna1]:[Columna5]])</f>
        <v>80</v>
      </c>
    </row>
    <row r="144" spans="2:8" ht="15" customHeight="1" x14ac:dyDescent="0.3">
      <c r="B144" s="19" t="s">
        <v>49</v>
      </c>
      <c r="C144" s="3">
        <v>13</v>
      </c>
      <c r="D144" s="3">
        <v>2</v>
      </c>
      <c r="E144" s="3"/>
      <c r="F144" s="3"/>
      <c r="G144" s="3"/>
      <c r="H144" s="3">
        <f>SUM(Tabla1343[[#This Row],[Columna1]:[Columna5]])</f>
        <v>15</v>
      </c>
    </row>
    <row r="145" spans="2:8" ht="15" customHeight="1" x14ac:dyDescent="0.3">
      <c r="B145" s="19" t="s">
        <v>31</v>
      </c>
      <c r="C145" s="14">
        <v>100</v>
      </c>
      <c r="D145" s="14">
        <v>123</v>
      </c>
      <c r="E145" s="14">
        <v>14</v>
      </c>
      <c r="F145" s="14"/>
      <c r="G145" s="14"/>
      <c r="H145" s="14">
        <f>SUM(Tabla1343[[#This Row],[Columna1]:[Columna5]])</f>
        <v>237</v>
      </c>
    </row>
    <row r="146" spans="2:8" x14ac:dyDescent="0.3">
      <c r="B146" s="14"/>
      <c r="C146" s="14"/>
      <c r="D146" s="14"/>
      <c r="E146" s="14"/>
      <c r="F146" s="14"/>
      <c r="G146" s="14"/>
      <c r="H146" s="14"/>
    </row>
    <row r="148" spans="2:8" ht="15" thickBot="1" x14ac:dyDescent="0.35"/>
    <row r="149" spans="2:8" ht="18.600000000000001" thickBot="1" x14ac:dyDescent="0.35">
      <c r="B149" s="20" t="s">
        <v>170</v>
      </c>
    </row>
    <row r="150" spans="2:8" ht="15" thickBot="1" x14ac:dyDescent="0.35">
      <c r="B150" s="21" t="s">
        <v>177</v>
      </c>
    </row>
    <row r="151" spans="2:8" ht="19.95" customHeight="1" thickBot="1" x14ac:dyDescent="0.35">
      <c r="B151" s="15" t="s">
        <v>0</v>
      </c>
    </row>
    <row r="152" spans="2:8" x14ac:dyDescent="0.3">
      <c r="B152" s="24" t="s">
        <v>172</v>
      </c>
      <c r="C152">
        <v>12</v>
      </c>
    </row>
    <row r="153" spans="2:8" x14ac:dyDescent="0.3">
      <c r="B153" s="3" t="s">
        <v>120</v>
      </c>
      <c r="C153">
        <v>100</v>
      </c>
    </row>
    <row r="154" spans="2:8" x14ac:dyDescent="0.3">
      <c r="B154" s="17" t="s">
        <v>122</v>
      </c>
      <c r="C154">
        <v>2</v>
      </c>
    </row>
    <row r="155" spans="2:8" x14ac:dyDescent="0.3">
      <c r="B155" s="3" t="s">
        <v>121</v>
      </c>
      <c r="C155">
        <v>1</v>
      </c>
    </row>
    <row r="156" spans="2:8" x14ac:dyDescent="0.3">
      <c r="B156" s="17" t="s">
        <v>74</v>
      </c>
      <c r="C156">
        <v>2</v>
      </c>
    </row>
    <row r="157" spans="2:8" x14ac:dyDescent="0.3">
      <c r="B157" s="3" t="s">
        <v>133</v>
      </c>
      <c r="C157">
        <v>24</v>
      </c>
    </row>
    <row r="158" spans="2:8" x14ac:dyDescent="0.3">
      <c r="B158" s="17" t="s">
        <v>132</v>
      </c>
      <c r="C158">
        <v>8</v>
      </c>
    </row>
    <row r="159" spans="2:8" x14ac:dyDescent="0.3">
      <c r="B159" s="3" t="s">
        <v>66</v>
      </c>
      <c r="C159">
        <v>2</v>
      </c>
    </row>
    <row r="160" spans="2:8" x14ac:dyDescent="0.3">
      <c r="B160" s="17" t="s">
        <v>27</v>
      </c>
      <c r="C160">
        <v>13</v>
      </c>
    </row>
    <row r="161" spans="2:3" x14ac:dyDescent="0.3">
      <c r="B161" s="3" t="s">
        <v>160</v>
      </c>
      <c r="C161">
        <v>74</v>
      </c>
    </row>
    <row r="162" spans="2:3" x14ac:dyDescent="0.3">
      <c r="B162" s="17" t="s">
        <v>138</v>
      </c>
      <c r="C162">
        <v>2</v>
      </c>
    </row>
    <row r="163" spans="2:3" x14ac:dyDescent="0.3">
      <c r="B163" s="3" t="s">
        <v>139</v>
      </c>
      <c r="C163">
        <v>3</v>
      </c>
    </row>
    <row r="164" spans="2:3" x14ac:dyDescent="0.3">
      <c r="B164" s="17" t="s">
        <v>134</v>
      </c>
      <c r="C164">
        <v>12</v>
      </c>
    </row>
    <row r="165" spans="2:3" x14ac:dyDescent="0.3">
      <c r="B165" s="3" t="s">
        <v>131</v>
      </c>
      <c r="C165">
        <v>1</v>
      </c>
    </row>
    <row r="166" spans="2:3" x14ac:dyDescent="0.3">
      <c r="B166" s="17" t="s">
        <v>130</v>
      </c>
      <c r="C166">
        <v>1</v>
      </c>
    </row>
    <row r="167" spans="2:3" x14ac:dyDescent="0.3">
      <c r="B167" s="3" t="s">
        <v>42</v>
      </c>
      <c r="C167">
        <v>1</v>
      </c>
    </row>
    <row r="168" spans="2:3" x14ac:dyDescent="0.3">
      <c r="B168" s="17" t="s">
        <v>127</v>
      </c>
      <c r="C168">
        <v>1</v>
      </c>
    </row>
    <row r="169" spans="2:3" x14ac:dyDescent="0.3">
      <c r="B169" s="3" t="s">
        <v>147</v>
      </c>
      <c r="C169">
        <v>1</v>
      </c>
    </row>
    <row r="170" spans="2:3" x14ac:dyDescent="0.3">
      <c r="B170" s="17" t="s">
        <v>151</v>
      </c>
      <c r="C170">
        <v>1</v>
      </c>
    </row>
    <row r="171" spans="2:3" x14ac:dyDescent="0.3">
      <c r="B171" s="3" t="s">
        <v>152</v>
      </c>
      <c r="C171">
        <v>4</v>
      </c>
    </row>
    <row r="172" spans="2:3" x14ac:dyDescent="0.3">
      <c r="B172" s="22" t="s">
        <v>136</v>
      </c>
      <c r="C172">
        <v>2</v>
      </c>
    </row>
    <row r="173" spans="2:3" x14ac:dyDescent="0.3">
      <c r="B173" s="23" t="s">
        <v>137</v>
      </c>
      <c r="C173">
        <v>2</v>
      </c>
    </row>
    <row r="174" spans="2:3" x14ac:dyDescent="0.3">
      <c r="B174" s="25" t="s">
        <v>135</v>
      </c>
      <c r="C174">
        <v>8</v>
      </c>
    </row>
  </sheetData>
  <pageMargins left="0.31496062992125984" right="0.11811023622047245" top="0.19685039370078741" bottom="0.19685039370078741" header="0.31496062992125984" footer="0.31496062992125984"/>
  <pageSetup scale="8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zoomScale="130" zoomScaleNormal="130" workbookViewId="0">
      <selection activeCell="G18" sqref="G18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5.77734375" style="1" hidden="1" customWidth="1"/>
    <col min="4" max="5" width="25.77734375" style="1" customWidth="1"/>
    <col min="6" max="6" width="25.77734375" customWidth="1"/>
    <col min="7" max="7" width="16.77734375" style="16" customWidth="1"/>
    <col min="8" max="10" width="19.77734375" style="16" customWidth="1"/>
    <col min="11" max="11" width="11.5546875" customWidth="1"/>
  </cols>
  <sheetData>
    <row r="1" spans="1:12" ht="15" thickBot="1" x14ac:dyDescent="0.35"/>
    <row r="2" spans="1:12" ht="15" thickBot="1" x14ac:dyDescent="0.35">
      <c r="B2" s="172" t="s">
        <v>206</v>
      </c>
      <c r="C2" s="173"/>
      <c r="D2" s="173"/>
      <c r="E2" s="173"/>
      <c r="F2" s="174"/>
    </row>
    <row r="3" spans="1:12" ht="15.6" thickTop="1" thickBot="1" x14ac:dyDescent="0.35">
      <c r="B3" s="175" t="s">
        <v>191</v>
      </c>
      <c r="C3" s="176"/>
      <c r="D3" s="176"/>
      <c r="E3" s="176"/>
      <c r="F3" s="177"/>
    </row>
    <row r="4" spans="1:12" ht="15.6" customHeight="1" x14ac:dyDescent="0.3">
      <c r="B4" s="44" t="s">
        <v>0</v>
      </c>
      <c r="C4" s="43" t="s">
        <v>207</v>
      </c>
      <c r="D4" s="43" t="s">
        <v>214</v>
      </c>
      <c r="E4" s="43" t="s">
        <v>213</v>
      </c>
      <c r="F4" s="45" t="s">
        <v>140</v>
      </c>
    </row>
    <row r="5" spans="1:12" x14ac:dyDescent="0.3">
      <c r="B5" s="46" t="s">
        <v>33</v>
      </c>
      <c r="C5" s="47">
        <v>12</v>
      </c>
      <c r="D5" s="65">
        <v>12</v>
      </c>
      <c r="E5" s="65">
        <v>12</v>
      </c>
      <c r="F5" s="48"/>
    </row>
    <row r="6" spans="1:12" x14ac:dyDescent="0.3">
      <c r="B6" s="46" t="s">
        <v>167</v>
      </c>
      <c r="C6" s="47">
        <v>311</v>
      </c>
      <c r="D6" s="65">
        <v>343</v>
      </c>
      <c r="E6" s="65">
        <v>343</v>
      </c>
      <c r="F6" s="48"/>
    </row>
    <row r="7" spans="1:12" x14ac:dyDescent="0.3">
      <c r="B7" s="46" t="s">
        <v>190</v>
      </c>
      <c r="C7" s="47">
        <v>8</v>
      </c>
      <c r="D7" s="65">
        <v>0</v>
      </c>
      <c r="E7" s="65">
        <v>12</v>
      </c>
      <c r="F7" s="48" t="s">
        <v>219</v>
      </c>
    </row>
    <row r="8" spans="1:12" x14ac:dyDescent="0.3">
      <c r="B8" s="46" t="s">
        <v>189</v>
      </c>
      <c r="C8" s="47">
        <v>88</v>
      </c>
      <c r="D8" s="65">
        <v>64</v>
      </c>
      <c r="E8" s="65">
        <v>52</v>
      </c>
      <c r="F8" s="48" t="s">
        <v>215</v>
      </c>
    </row>
    <row r="9" spans="1:12" s="16" customFormat="1" x14ac:dyDescent="0.3">
      <c r="A9"/>
      <c r="B9" s="46" t="s">
        <v>55</v>
      </c>
      <c r="C9" s="47">
        <v>25</v>
      </c>
      <c r="D9" s="65">
        <v>15</v>
      </c>
      <c r="E9" s="65">
        <v>15</v>
      </c>
      <c r="F9" s="48"/>
      <c r="K9"/>
      <c r="L9"/>
    </row>
    <row r="10" spans="1:12" s="16" customFormat="1" x14ac:dyDescent="0.3">
      <c r="A10"/>
      <c r="B10" s="46" t="s">
        <v>143</v>
      </c>
      <c r="C10" s="47">
        <v>500</v>
      </c>
      <c r="D10" s="69">
        <v>460</v>
      </c>
      <c r="E10" s="69">
        <v>462</v>
      </c>
      <c r="F10" s="48"/>
      <c r="K10"/>
      <c r="L10"/>
    </row>
    <row r="11" spans="1:12" s="16" customFormat="1" x14ac:dyDescent="0.3">
      <c r="A11"/>
      <c r="B11" s="46" t="s">
        <v>144</v>
      </c>
      <c r="C11" s="66">
        <v>0</v>
      </c>
      <c r="D11" s="67">
        <v>18</v>
      </c>
      <c r="E11" s="67">
        <v>18</v>
      </c>
      <c r="F11" s="68"/>
      <c r="K11"/>
      <c r="L11"/>
    </row>
    <row r="12" spans="1:12" s="16" customFormat="1" x14ac:dyDescent="0.3">
      <c r="A12"/>
      <c r="B12" s="46" t="s">
        <v>78</v>
      </c>
      <c r="C12" s="47">
        <v>30</v>
      </c>
      <c r="D12" s="65">
        <v>32</v>
      </c>
      <c r="E12" s="65">
        <v>32</v>
      </c>
      <c r="F12" s="49"/>
      <c r="K12"/>
      <c r="L12"/>
    </row>
    <row r="13" spans="1:12" s="16" customFormat="1" x14ac:dyDescent="0.3">
      <c r="A13"/>
      <c r="B13" s="46" t="s">
        <v>50</v>
      </c>
      <c r="C13" s="47">
        <v>67</v>
      </c>
      <c r="D13" s="65">
        <v>57</v>
      </c>
      <c r="E13" s="65">
        <v>57</v>
      </c>
      <c r="F13" s="48"/>
      <c r="K13"/>
      <c r="L13"/>
    </row>
    <row r="14" spans="1:12" s="16" customFormat="1" x14ac:dyDescent="0.3">
      <c r="A14"/>
      <c r="B14" s="46" t="s">
        <v>51</v>
      </c>
      <c r="C14" s="47">
        <v>60</v>
      </c>
      <c r="D14" s="69">
        <v>24</v>
      </c>
      <c r="E14" s="69">
        <v>21</v>
      </c>
      <c r="F14" s="48"/>
      <c r="K14"/>
      <c r="L14"/>
    </row>
    <row r="15" spans="1:12" s="16" customFormat="1" x14ac:dyDescent="0.3">
      <c r="A15"/>
      <c r="B15" s="46" t="s">
        <v>31</v>
      </c>
      <c r="C15" s="47">
        <v>36</v>
      </c>
      <c r="D15" s="65">
        <v>26</v>
      </c>
      <c r="E15" s="65">
        <v>26</v>
      </c>
      <c r="F15" s="48" t="s">
        <v>216</v>
      </c>
      <c r="K15"/>
      <c r="L15"/>
    </row>
    <row r="16" spans="1:12" s="16" customFormat="1" x14ac:dyDescent="0.3">
      <c r="A16"/>
      <c r="B16" s="46" t="s">
        <v>49</v>
      </c>
      <c r="C16" s="47">
        <v>33</v>
      </c>
      <c r="D16" s="65">
        <v>29</v>
      </c>
      <c r="E16" s="65">
        <v>29</v>
      </c>
      <c r="F16" s="48"/>
      <c r="K16"/>
      <c r="L16"/>
    </row>
    <row r="17" spans="1:12" s="16" customFormat="1" x14ac:dyDescent="0.3">
      <c r="A17"/>
      <c r="B17" s="46" t="s">
        <v>148</v>
      </c>
      <c r="C17" s="47">
        <v>35</v>
      </c>
      <c r="D17" s="69">
        <v>31</v>
      </c>
      <c r="E17" s="69">
        <v>32</v>
      </c>
      <c r="F17" s="48" t="s">
        <v>217</v>
      </c>
      <c r="K17"/>
      <c r="L17"/>
    </row>
    <row r="18" spans="1:12" s="16" customFormat="1" x14ac:dyDescent="0.3">
      <c r="A18"/>
      <c r="B18" s="46" t="s">
        <v>7</v>
      </c>
      <c r="C18" s="47">
        <v>136</v>
      </c>
      <c r="D18" s="65">
        <v>120</v>
      </c>
      <c r="E18" s="65">
        <v>120</v>
      </c>
      <c r="F18" s="48" t="s">
        <v>218</v>
      </c>
      <c r="K18"/>
      <c r="L18"/>
    </row>
    <row r="19" spans="1:12" s="16" customFormat="1" x14ac:dyDescent="0.3">
      <c r="A19"/>
      <c r="B19" s="46" t="s">
        <v>17</v>
      </c>
      <c r="C19" s="47">
        <v>136</v>
      </c>
      <c r="D19" s="65">
        <v>120</v>
      </c>
      <c r="E19" s="65">
        <v>120</v>
      </c>
      <c r="F19" s="48" t="s">
        <v>218</v>
      </c>
      <c r="K19"/>
      <c r="L19"/>
    </row>
    <row r="20" spans="1:12" s="16" customFormat="1" x14ac:dyDescent="0.3">
      <c r="A20"/>
      <c r="B20" s="46" t="s">
        <v>209</v>
      </c>
      <c r="C20" s="47">
        <v>28</v>
      </c>
      <c r="D20" s="69">
        <v>22</v>
      </c>
      <c r="E20" s="69">
        <v>21</v>
      </c>
      <c r="F20" s="48"/>
      <c r="K20"/>
      <c r="L20"/>
    </row>
    <row r="21" spans="1:12" s="16" customFormat="1" x14ac:dyDescent="0.3">
      <c r="A21"/>
      <c r="B21" s="46" t="s">
        <v>142</v>
      </c>
      <c r="C21" s="47">
        <v>825</v>
      </c>
      <c r="D21" s="69">
        <v>792</v>
      </c>
      <c r="E21" s="69">
        <v>790</v>
      </c>
      <c r="F21" s="48"/>
      <c r="K21"/>
      <c r="L21"/>
    </row>
    <row r="22" spans="1:12" s="16" customFormat="1" x14ac:dyDescent="0.3">
      <c r="A22"/>
      <c r="B22" s="46" t="s">
        <v>48</v>
      </c>
      <c r="C22" s="47">
        <v>38</v>
      </c>
      <c r="D22" s="69">
        <v>50</v>
      </c>
      <c r="E22" s="69">
        <v>48</v>
      </c>
      <c r="F22" s="49"/>
      <c r="K22"/>
      <c r="L22"/>
    </row>
    <row r="23" spans="1:12" s="16" customFormat="1" x14ac:dyDescent="0.3">
      <c r="A23"/>
      <c r="B23" s="46" t="s">
        <v>52</v>
      </c>
      <c r="C23" s="47">
        <v>85</v>
      </c>
      <c r="D23" s="69">
        <v>61</v>
      </c>
      <c r="E23" s="69">
        <v>62</v>
      </c>
      <c r="F23" s="48"/>
      <c r="K23"/>
      <c r="L23"/>
    </row>
  </sheetData>
  <mergeCells count="2">
    <mergeCell ref="B2:F2"/>
    <mergeCell ref="B3:F3"/>
  </mergeCells>
  <pageMargins left="0.51181102362204722" right="0.11811023622047245" top="0.19685039370078741" bottom="0.19685039370078741" header="0.31496062992125984" footer="0.31496062992125984"/>
  <pageSetup scale="95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topLeftCell="B1" zoomScale="130" zoomScaleNormal="130" workbookViewId="0">
      <selection activeCell="E19" sqref="E19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4" width="25.77734375" style="1" customWidth="1"/>
    <col min="5" max="5" width="25.77734375" customWidth="1"/>
    <col min="6" max="6" width="11.5546875" customWidth="1"/>
  </cols>
  <sheetData>
    <row r="1" spans="1:7" ht="15" thickBot="1" x14ac:dyDescent="0.35"/>
    <row r="2" spans="1:7" ht="15" customHeight="1" x14ac:dyDescent="0.3">
      <c r="B2" s="178" t="s">
        <v>206</v>
      </c>
      <c r="C2" s="179"/>
      <c r="D2" s="179"/>
      <c r="E2" s="180"/>
    </row>
    <row r="3" spans="1:7" ht="15" thickBot="1" x14ac:dyDescent="0.35">
      <c r="B3" s="181" t="s">
        <v>191</v>
      </c>
      <c r="C3" s="182"/>
      <c r="D3" s="182"/>
      <c r="E3" s="183"/>
    </row>
    <row r="4" spans="1:7" ht="30" customHeight="1" x14ac:dyDescent="0.3">
      <c r="B4" s="90" t="s">
        <v>0</v>
      </c>
      <c r="C4" s="43" t="s">
        <v>233</v>
      </c>
      <c r="D4" s="43" t="s">
        <v>213</v>
      </c>
      <c r="E4" s="91" t="s">
        <v>232</v>
      </c>
    </row>
    <row r="5" spans="1:7" x14ac:dyDescent="0.3">
      <c r="B5" s="42" t="s">
        <v>33</v>
      </c>
      <c r="C5" s="65">
        <v>12</v>
      </c>
      <c r="D5" s="65">
        <v>12</v>
      </c>
      <c r="E5" s="92"/>
    </row>
    <row r="6" spans="1:7" x14ac:dyDescent="0.3">
      <c r="B6" s="42" t="s">
        <v>167</v>
      </c>
      <c r="C6" s="65">
        <v>343</v>
      </c>
      <c r="D6" s="65">
        <v>343</v>
      </c>
      <c r="E6" s="92"/>
    </row>
    <row r="7" spans="1:7" x14ac:dyDescent="0.3">
      <c r="B7" s="42" t="s">
        <v>190</v>
      </c>
      <c r="C7" s="65">
        <v>0</v>
      </c>
      <c r="D7" s="65">
        <v>12</v>
      </c>
      <c r="E7" s="92" t="s">
        <v>219</v>
      </c>
    </row>
    <row r="8" spans="1:7" x14ac:dyDescent="0.3">
      <c r="B8" s="42" t="s">
        <v>189</v>
      </c>
      <c r="C8" s="65">
        <v>64</v>
      </c>
      <c r="D8" s="65">
        <v>52</v>
      </c>
      <c r="E8" s="92" t="s">
        <v>215</v>
      </c>
    </row>
    <row r="9" spans="1:7" s="16" customFormat="1" x14ac:dyDescent="0.3">
      <c r="A9"/>
      <c r="B9" s="42" t="s">
        <v>55</v>
      </c>
      <c r="C9" s="65">
        <v>15</v>
      </c>
      <c r="D9" s="65">
        <v>15</v>
      </c>
      <c r="E9" s="92"/>
      <c r="F9"/>
      <c r="G9"/>
    </row>
    <row r="10" spans="1:7" s="16" customFormat="1" x14ac:dyDescent="0.3">
      <c r="A10"/>
      <c r="B10" s="96" t="s">
        <v>143</v>
      </c>
      <c r="C10" s="69">
        <v>460</v>
      </c>
      <c r="D10" s="69">
        <v>462</v>
      </c>
      <c r="E10" s="92"/>
      <c r="F10"/>
      <c r="G10"/>
    </row>
    <row r="11" spans="1:7" s="16" customFormat="1" x14ac:dyDescent="0.3">
      <c r="A11"/>
      <c r="B11" s="42" t="s">
        <v>144</v>
      </c>
      <c r="C11" s="65">
        <v>18</v>
      </c>
      <c r="D11" s="65">
        <v>18</v>
      </c>
      <c r="E11" s="92"/>
      <c r="F11"/>
      <c r="G11"/>
    </row>
    <row r="12" spans="1:7" s="16" customFormat="1" x14ac:dyDescent="0.3">
      <c r="A12"/>
      <c r="B12" s="42" t="s">
        <v>78</v>
      </c>
      <c r="C12" s="65">
        <v>32</v>
      </c>
      <c r="D12" s="65">
        <v>32</v>
      </c>
      <c r="E12" s="92"/>
      <c r="F12"/>
      <c r="G12"/>
    </row>
    <row r="13" spans="1:7" s="16" customFormat="1" x14ac:dyDescent="0.3">
      <c r="A13"/>
      <c r="B13" s="42" t="s">
        <v>50</v>
      </c>
      <c r="C13" s="65">
        <v>57</v>
      </c>
      <c r="D13" s="65">
        <v>57</v>
      </c>
      <c r="E13" s="92"/>
      <c r="F13"/>
      <c r="G13"/>
    </row>
    <row r="14" spans="1:7" s="16" customFormat="1" x14ac:dyDescent="0.3">
      <c r="A14"/>
      <c r="B14" s="96" t="s">
        <v>51</v>
      </c>
      <c r="C14" s="69">
        <v>24</v>
      </c>
      <c r="D14" s="69">
        <v>21</v>
      </c>
      <c r="E14" s="92"/>
      <c r="F14"/>
      <c r="G14"/>
    </row>
    <row r="15" spans="1:7" s="16" customFormat="1" x14ac:dyDescent="0.3">
      <c r="A15"/>
      <c r="B15" s="42" t="s">
        <v>31</v>
      </c>
      <c r="C15" s="65">
        <v>26</v>
      </c>
      <c r="D15" s="65">
        <v>26</v>
      </c>
      <c r="E15" s="92" t="s">
        <v>216</v>
      </c>
      <c r="F15"/>
      <c r="G15"/>
    </row>
    <row r="16" spans="1:7" s="16" customFormat="1" x14ac:dyDescent="0.3">
      <c r="A16"/>
      <c r="B16" s="42" t="s">
        <v>49</v>
      </c>
      <c r="C16" s="65">
        <v>29</v>
      </c>
      <c r="D16" s="65">
        <v>29</v>
      </c>
      <c r="E16" s="92"/>
      <c r="F16"/>
      <c r="G16"/>
    </row>
    <row r="17" spans="1:7" s="16" customFormat="1" x14ac:dyDescent="0.3">
      <c r="A17"/>
      <c r="B17" s="96" t="s">
        <v>148</v>
      </c>
      <c r="C17" s="69">
        <v>31</v>
      </c>
      <c r="D17" s="69">
        <v>32</v>
      </c>
      <c r="E17" s="92" t="s">
        <v>217</v>
      </c>
      <c r="F17"/>
      <c r="G17"/>
    </row>
    <row r="18" spans="1:7" s="16" customFormat="1" x14ac:dyDescent="0.3">
      <c r="A18"/>
      <c r="B18" s="42" t="s">
        <v>7</v>
      </c>
      <c r="C18" s="65">
        <v>120</v>
      </c>
      <c r="D18" s="65">
        <v>120</v>
      </c>
      <c r="E18" s="92" t="s">
        <v>218</v>
      </c>
      <c r="F18"/>
      <c r="G18"/>
    </row>
    <row r="19" spans="1:7" s="16" customFormat="1" x14ac:dyDescent="0.3">
      <c r="A19"/>
      <c r="B19" s="42" t="s">
        <v>17</v>
      </c>
      <c r="C19" s="65">
        <v>120</v>
      </c>
      <c r="D19" s="65">
        <v>120</v>
      </c>
      <c r="E19" s="92" t="s">
        <v>218</v>
      </c>
      <c r="F19"/>
      <c r="G19"/>
    </row>
    <row r="20" spans="1:7" s="16" customFormat="1" x14ac:dyDescent="0.3">
      <c r="A20"/>
      <c r="B20" s="96" t="s">
        <v>209</v>
      </c>
      <c r="C20" s="69">
        <v>22</v>
      </c>
      <c r="D20" s="69">
        <v>21</v>
      </c>
      <c r="E20" s="92"/>
      <c r="F20"/>
      <c r="G20"/>
    </row>
    <row r="21" spans="1:7" s="16" customFormat="1" x14ac:dyDescent="0.3">
      <c r="A21"/>
      <c r="B21" s="96" t="s">
        <v>142</v>
      </c>
      <c r="C21" s="69">
        <v>792</v>
      </c>
      <c r="D21" s="69">
        <v>790</v>
      </c>
      <c r="E21" s="92"/>
      <c r="F21"/>
      <c r="G21"/>
    </row>
    <row r="22" spans="1:7" s="16" customFormat="1" x14ac:dyDescent="0.3">
      <c r="A22"/>
      <c r="B22" s="96" t="s">
        <v>48</v>
      </c>
      <c r="C22" s="69">
        <v>50</v>
      </c>
      <c r="D22" s="69">
        <v>48</v>
      </c>
      <c r="E22" s="92"/>
      <c r="F22"/>
      <c r="G22"/>
    </row>
    <row r="23" spans="1:7" s="16" customFormat="1" x14ac:dyDescent="0.3">
      <c r="A23"/>
      <c r="B23" s="96" t="s">
        <v>52</v>
      </c>
      <c r="C23" s="69">
        <v>61</v>
      </c>
      <c r="D23" s="69">
        <v>62</v>
      </c>
      <c r="E23" s="92"/>
      <c r="F23"/>
      <c r="G23"/>
    </row>
    <row r="24" spans="1:7" ht="15" thickBot="1" x14ac:dyDescent="0.35">
      <c r="B24" s="93"/>
      <c r="C24" s="94"/>
      <c r="D24" s="94"/>
      <c r="E24" s="95"/>
    </row>
  </sheetData>
  <mergeCells count="2">
    <mergeCell ref="B2:E2"/>
    <mergeCell ref="B3:E3"/>
  </mergeCells>
  <pageMargins left="0.11811023622047245" right="0.11811023622047245" top="0.19685039370078741" bottom="0.19685039370078741" header="0.31496062992125984" footer="0.31496062992125984"/>
  <pageSetup scale="98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topLeftCell="B4" zoomScale="130" zoomScaleNormal="130" workbookViewId="0">
      <selection activeCell="H24" sqref="H24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5" width="15.77734375" style="1" customWidth="1"/>
    <col min="6" max="6" width="15.77734375" customWidth="1"/>
    <col min="7" max="7" width="15.77734375" style="16" customWidth="1"/>
    <col min="8" max="8" width="15.77734375" customWidth="1"/>
    <col min="9" max="9" width="15.77734375" style="16" customWidth="1"/>
    <col min="10" max="10" width="11.5546875" customWidth="1"/>
  </cols>
  <sheetData>
    <row r="1" spans="1:11" ht="15" thickBot="1" x14ac:dyDescent="0.35"/>
    <row r="2" spans="1:11" ht="15" customHeight="1" x14ac:dyDescent="0.3">
      <c r="B2" s="178" t="s">
        <v>227</v>
      </c>
      <c r="C2" s="179"/>
      <c r="D2" s="179"/>
      <c r="E2" s="179"/>
      <c r="F2" s="179"/>
      <c r="G2" s="179"/>
      <c r="H2" s="179"/>
      <c r="I2" s="180"/>
    </row>
    <row r="3" spans="1:11" ht="15" thickBot="1" x14ac:dyDescent="0.35">
      <c r="B3" s="181" t="s">
        <v>191</v>
      </c>
      <c r="C3" s="182"/>
      <c r="D3" s="182"/>
      <c r="E3" s="182"/>
      <c r="F3" s="182"/>
      <c r="G3" s="182"/>
      <c r="H3" s="182"/>
      <c r="I3" s="183"/>
    </row>
    <row r="4" spans="1:11" ht="30" customHeight="1" x14ac:dyDescent="0.3">
      <c r="B4" s="44" t="s">
        <v>0</v>
      </c>
      <c r="C4" s="43" t="s">
        <v>222</v>
      </c>
      <c r="D4" s="43" t="s">
        <v>220</v>
      </c>
      <c r="E4" s="45" t="s">
        <v>223</v>
      </c>
      <c r="F4" s="45" t="s">
        <v>221</v>
      </c>
      <c r="G4" s="29" t="s">
        <v>224</v>
      </c>
      <c r="H4" s="45" t="s">
        <v>225</v>
      </c>
      <c r="I4" s="29" t="s">
        <v>226</v>
      </c>
    </row>
    <row r="5" spans="1:11" x14ac:dyDescent="0.3">
      <c r="B5" s="46" t="s">
        <v>33</v>
      </c>
      <c r="C5" s="65">
        <v>12</v>
      </c>
      <c r="D5" s="65">
        <v>12</v>
      </c>
      <c r="E5" s="65">
        <f>+Tabla20242[[#This Row],[Material Contabilizado Ingresado al deposito ]]-Tabla20242[[#This Row],[Material Según Mensaje 25/10/2023]]</f>
        <v>0</v>
      </c>
      <c r="F5" s="71">
        <v>0</v>
      </c>
      <c r="G5" s="65">
        <f>+Tabla20242[[#This Row],[Material Contabilizado Ingresado al deposito ]]-Tabla20242[[#This Row],[Adeuda Agesta a Dos57]]</f>
        <v>12</v>
      </c>
      <c r="H5" s="71">
        <v>0</v>
      </c>
      <c r="I5" s="80">
        <f>+Tabla20242[[#This Row],[Subtotal Material ]]+Tabla20242[[#This Row],[Adeuda Dos57 a Agesta]]</f>
        <v>12</v>
      </c>
    </row>
    <row r="6" spans="1:11" x14ac:dyDescent="0.3">
      <c r="B6" s="46" t="s">
        <v>167</v>
      </c>
      <c r="C6" s="65">
        <v>343</v>
      </c>
      <c r="D6" s="65">
        <v>343</v>
      </c>
      <c r="E6" s="65">
        <f>+Tabla20242[[#This Row],[Material Contabilizado Ingresado al deposito ]]-Tabla20242[[#This Row],[Material Según Mensaje 25/10/2023]]</f>
        <v>0</v>
      </c>
      <c r="F6" s="71">
        <v>23</v>
      </c>
      <c r="G6" s="65">
        <f>+Tabla20242[[#This Row],[Material Contabilizado Ingresado al deposito ]]-Tabla20242[[#This Row],[Adeuda Agesta a Dos57]]</f>
        <v>320</v>
      </c>
      <c r="H6" s="71">
        <v>0</v>
      </c>
      <c r="I6" s="80">
        <f>+Tabla20242[[#This Row],[Subtotal Material ]]+Tabla20242[[#This Row],[Adeuda Dos57 a Agesta]]</f>
        <v>320</v>
      </c>
    </row>
    <row r="7" spans="1:11" x14ac:dyDescent="0.3">
      <c r="B7" s="46" t="s">
        <v>190</v>
      </c>
      <c r="C7" s="65">
        <v>0</v>
      </c>
      <c r="D7" s="65">
        <v>12</v>
      </c>
      <c r="E7" s="65">
        <f>+Tabla20242[[#This Row],[Material Contabilizado Ingresado al deposito ]]-Tabla20242[[#This Row],[Material Según Mensaje 25/10/2023]]</f>
        <v>12</v>
      </c>
      <c r="F7" s="71">
        <v>0</v>
      </c>
      <c r="G7" s="65">
        <f>+Tabla20242[[#This Row],[Material Contabilizado Ingresado al deposito ]]-Tabla20242[[#This Row],[Adeuda Agesta a Dos57]]</f>
        <v>12</v>
      </c>
      <c r="H7" s="71">
        <v>0</v>
      </c>
      <c r="I7" s="80">
        <f>+Tabla20242[[#This Row],[Subtotal Material ]]+Tabla20242[[#This Row],[Adeuda Dos57 a Agesta]]</f>
        <v>12</v>
      </c>
    </row>
    <row r="8" spans="1:11" x14ac:dyDescent="0.3">
      <c r="B8" s="46" t="s">
        <v>189</v>
      </c>
      <c r="C8" s="65">
        <v>64</v>
      </c>
      <c r="D8" s="65">
        <v>52</v>
      </c>
      <c r="E8" s="79">
        <f>+Tabla20242[[#This Row],[Material Contabilizado Ingresado al deposito ]]-Tabla20242[[#This Row],[Material Según Mensaje 25/10/2023]]</f>
        <v>-12</v>
      </c>
      <c r="F8" s="71">
        <v>0</v>
      </c>
      <c r="G8" s="65">
        <f>+Tabla20242[[#This Row],[Material Contabilizado Ingresado al deposito ]]-Tabla20242[[#This Row],[Adeuda Agesta a Dos57]]</f>
        <v>52</v>
      </c>
      <c r="H8" s="71">
        <v>0</v>
      </c>
      <c r="I8" s="80">
        <f>+Tabla20242[[#This Row],[Subtotal Material ]]+Tabla20242[[#This Row],[Adeuda Dos57 a Agesta]]</f>
        <v>52</v>
      </c>
    </row>
    <row r="9" spans="1:11" s="16" customFormat="1" x14ac:dyDescent="0.3">
      <c r="A9"/>
      <c r="B9" s="46" t="s">
        <v>55</v>
      </c>
      <c r="C9" s="65">
        <v>15</v>
      </c>
      <c r="D9" s="65">
        <v>15</v>
      </c>
      <c r="E9" s="65">
        <f>+Tabla20242[[#This Row],[Material Contabilizado Ingresado al deposito ]]-Tabla20242[[#This Row],[Material Según Mensaje 25/10/2023]]</f>
        <v>0</v>
      </c>
      <c r="F9" s="71">
        <v>0</v>
      </c>
      <c r="G9" s="65">
        <f>+Tabla20242[[#This Row],[Material Contabilizado Ingresado al deposito ]]-Tabla20242[[#This Row],[Adeuda Agesta a Dos57]]</f>
        <v>15</v>
      </c>
      <c r="H9" s="71">
        <v>0</v>
      </c>
      <c r="I9" s="80">
        <f>+Tabla20242[[#This Row],[Subtotal Material ]]+Tabla20242[[#This Row],[Adeuda Dos57 a Agesta]]</f>
        <v>15</v>
      </c>
      <c r="J9"/>
      <c r="K9"/>
    </row>
    <row r="10" spans="1:11" s="16" customFormat="1" x14ac:dyDescent="0.3">
      <c r="A10"/>
      <c r="B10" s="46" t="s">
        <v>143</v>
      </c>
      <c r="C10" s="65">
        <v>460</v>
      </c>
      <c r="D10" s="65">
        <v>462</v>
      </c>
      <c r="E10" s="65">
        <f>+Tabla20242[[#This Row],[Material Contabilizado Ingresado al deposito ]]-Tabla20242[[#This Row],[Material Según Mensaje 25/10/2023]]</f>
        <v>2</v>
      </c>
      <c r="F10" s="71">
        <v>0</v>
      </c>
      <c r="G10" s="65">
        <f>+Tabla20242[[#This Row],[Material Contabilizado Ingresado al deposito ]]-Tabla20242[[#This Row],[Adeuda Agesta a Dos57]]</f>
        <v>462</v>
      </c>
      <c r="H10" s="71">
        <v>2</v>
      </c>
      <c r="I10" s="80">
        <f>+Tabla20242[[#This Row],[Subtotal Material ]]+Tabla20242[[#This Row],[Adeuda Dos57 a Agesta]]</f>
        <v>464</v>
      </c>
      <c r="J10"/>
      <c r="K10"/>
    </row>
    <row r="11" spans="1:11" s="16" customFormat="1" x14ac:dyDescent="0.3">
      <c r="A11"/>
      <c r="B11" s="46" t="s">
        <v>144</v>
      </c>
      <c r="C11" s="65">
        <v>18</v>
      </c>
      <c r="D11" s="65">
        <v>18</v>
      </c>
      <c r="E11" s="65">
        <f>+Tabla20242[[#This Row],[Material Contabilizado Ingresado al deposito ]]-Tabla20242[[#This Row],[Material Según Mensaje 25/10/2023]]</f>
        <v>0</v>
      </c>
      <c r="F11" s="71">
        <v>0</v>
      </c>
      <c r="G11" s="65">
        <f>+Tabla20242[[#This Row],[Material Contabilizado Ingresado al deposito ]]-Tabla20242[[#This Row],[Adeuda Agesta a Dos57]]</f>
        <v>18</v>
      </c>
      <c r="H11" s="71">
        <v>0</v>
      </c>
      <c r="I11" s="80">
        <f>+Tabla20242[[#This Row],[Subtotal Material ]]+Tabla20242[[#This Row],[Adeuda Dos57 a Agesta]]</f>
        <v>18</v>
      </c>
      <c r="J11"/>
      <c r="K11"/>
    </row>
    <row r="12" spans="1:11" s="16" customFormat="1" x14ac:dyDescent="0.3">
      <c r="A12"/>
      <c r="B12" s="46" t="s">
        <v>78</v>
      </c>
      <c r="C12" s="65">
        <v>32</v>
      </c>
      <c r="D12" s="65">
        <v>32</v>
      </c>
      <c r="E12" s="65">
        <f>+Tabla20242[[#This Row],[Material Contabilizado Ingresado al deposito ]]-Tabla20242[[#This Row],[Material Según Mensaje 25/10/2023]]</f>
        <v>0</v>
      </c>
      <c r="F12" s="71">
        <v>2</v>
      </c>
      <c r="G12" s="65">
        <f>+Tabla20242[[#This Row],[Material Contabilizado Ingresado al deposito ]]-Tabla20242[[#This Row],[Adeuda Agesta a Dos57]]</f>
        <v>30</v>
      </c>
      <c r="H12" s="71">
        <v>0</v>
      </c>
      <c r="I12" s="80">
        <f>+Tabla20242[[#This Row],[Subtotal Material ]]+Tabla20242[[#This Row],[Adeuda Dos57 a Agesta]]</f>
        <v>30</v>
      </c>
      <c r="J12"/>
      <c r="K12"/>
    </row>
    <row r="13" spans="1:11" s="16" customFormat="1" x14ac:dyDescent="0.3">
      <c r="A13"/>
      <c r="B13" s="46" t="s">
        <v>50</v>
      </c>
      <c r="C13" s="65">
        <v>57</v>
      </c>
      <c r="D13" s="65">
        <v>57</v>
      </c>
      <c r="E13" s="65">
        <f>+Tabla20242[[#This Row],[Material Contabilizado Ingresado al deposito ]]-Tabla20242[[#This Row],[Material Según Mensaje 25/10/2023]]</f>
        <v>0</v>
      </c>
      <c r="F13" s="71">
        <v>0</v>
      </c>
      <c r="G13" s="65">
        <f>+Tabla20242[[#This Row],[Material Contabilizado Ingresado al deposito ]]-Tabla20242[[#This Row],[Adeuda Agesta a Dos57]]</f>
        <v>57</v>
      </c>
      <c r="H13" s="71">
        <v>2</v>
      </c>
      <c r="I13" s="80">
        <f>+Tabla20242[[#This Row],[Subtotal Material ]]+Tabla20242[[#This Row],[Adeuda Dos57 a Agesta]]</f>
        <v>59</v>
      </c>
      <c r="J13"/>
      <c r="K13"/>
    </row>
    <row r="14" spans="1:11" s="16" customFormat="1" x14ac:dyDescent="0.3">
      <c r="A14"/>
      <c r="B14" s="46" t="s">
        <v>51</v>
      </c>
      <c r="C14" s="65">
        <v>24</v>
      </c>
      <c r="D14" s="65">
        <v>21</v>
      </c>
      <c r="E14" s="79">
        <f>+Tabla20242[[#This Row],[Material Contabilizado Ingresado al deposito ]]-Tabla20242[[#This Row],[Material Según Mensaje 25/10/2023]]</f>
        <v>-3</v>
      </c>
      <c r="F14" s="71">
        <v>0</v>
      </c>
      <c r="G14" s="65">
        <f>+Tabla20242[[#This Row],[Material Contabilizado Ingresado al deposito ]]-Tabla20242[[#This Row],[Adeuda Agesta a Dos57]]</f>
        <v>21</v>
      </c>
      <c r="H14" s="71">
        <v>1</v>
      </c>
      <c r="I14" s="80">
        <f>+Tabla20242[[#This Row],[Subtotal Material ]]+Tabla20242[[#This Row],[Adeuda Dos57 a Agesta]]</f>
        <v>22</v>
      </c>
      <c r="J14"/>
      <c r="K14"/>
    </row>
    <row r="15" spans="1:11" s="16" customFormat="1" x14ac:dyDescent="0.3">
      <c r="A15"/>
      <c r="B15" s="46" t="s">
        <v>31</v>
      </c>
      <c r="C15" s="65">
        <v>26</v>
      </c>
      <c r="D15" s="65">
        <v>26</v>
      </c>
      <c r="E15" s="65">
        <f>+Tabla20242[[#This Row],[Material Contabilizado Ingresado al deposito ]]-Tabla20242[[#This Row],[Material Según Mensaje 25/10/2023]]</f>
        <v>0</v>
      </c>
      <c r="F15" s="71">
        <v>0</v>
      </c>
      <c r="G15" s="65">
        <f>+Tabla20242[[#This Row],[Material Contabilizado Ingresado al deposito ]]-Tabla20242[[#This Row],[Adeuda Agesta a Dos57]]</f>
        <v>26</v>
      </c>
      <c r="H15" s="71">
        <v>17</v>
      </c>
      <c r="I15" s="80">
        <f>+Tabla20242[[#This Row],[Subtotal Material ]]+Tabla20242[[#This Row],[Adeuda Dos57 a Agesta]]</f>
        <v>43</v>
      </c>
      <c r="J15"/>
      <c r="K15"/>
    </row>
    <row r="16" spans="1:11" s="16" customFormat="1" x14ac:dyDescent="0.3">
      <c r="A16"/>
      <c r="B16" s="46" t="s">
        <v>49</v>
      </c>
      <c r="C16" s="65">
        <v>29</v>
      </c>
      <c r="D16" s="65">
        <v>29</v>
      </c>
      <c r="E16" s="65">
        <f>+Tabla20242[[#This Row],[Material Contabilizado Ingresado al deposito ]]-Tabla20242[[#This Row],[Material Según Mensaje 25/10/2023]]</f>
        <v>0</v>
      </c>
      <c r="F16" s="71">
        <v>0</v>
      </c>
      <c r="G16" s="65">
        <f>+Tabla20242[[#This Row],[Material Contabilizado Ingresado al deposito ]]-Tabla20242[[#This Row],[Adeuda Agesta a Dos57]]</f>
        <v>29</v>
      </c>
      <c r="H16" s="71">
        <v>0</v>
      </c>
      <c r="I16" s="80">
        <f>+Tabla20242[[#This Row],[Subtotal Material ]]+Tabla20242[[#This Row],[Adeuda Dos57 a Agesta]]</f>
        <v>29</v>
      </c>
      <c r="J16"/>
      <c r="K16"/>
    </row>
    <row r="17" spans="1:11" s="16" customFormat="1" x14ac:dyDescent="0.3">
      <c r="A17"/>
      <c r="B17" s="46" t="s">
        <v>148</v>
      </c>
      <c r="C17" s="65">
        <v>31</v>
      </c>
      <c r="D17" s="65">
        <v>32</v>
      </c>
      <c r="E17" s="65">
        <f>+Tabla20242[[#This Row],[Material Contabilizado Ingresado al deposito ]]-Tabla20242[[#This Row],[Material Según Mensaje 25/10/2023]]</f>
        <v>1</v>
      </c>
      <c r="F17" s="71">
        <v>14</v>
      </c>
      <c r="G17" s="65">
        <f>+Tabla20242[[#This Row],[Material Contabilizado Ingresado al deposito ]]-Tabla20242[[#This Row],[Adeuda Agesta a Dos57]]</f>
        <v>18</v>
      </c>
      <c r="H17" s="71">
        <v>0</v>
      </c>
      <c r="I17" s="80">
        <f>+Tabla20242[[#This Row],[Subtotal Material ]]+Tabla20242[[#This Row],[Adeuda Dos57 a Agesta]]</f>
        <v>18</v>
      </c>
      <c r="J17"/>
      <c r="K17"/>
    </row>
    <row r="18" spans="1:11" s="16" customFormat="1" x14ac:dyDescent="0.3">
      <c r="A18"/>
      <c r="B18" s="46" t="s">
        <v>7</v>
      </c>
      <c r="C18" s="65">
        <v>120</v>
      </c>
      <c r="D18" s="65">
        <v>120</v>
      </c>
      <c r="E18" s="65">
        <f>+Tabla20242[[#This Row],[Material Contabilizado Ingresado al deposito ]]-Tabla20242[[#This Row],[Material Según Mensaje 25/10/2023]]</f>
        <v>0</v>
      </c>
      <c r="F18" s="71">
        <v>0</v>
      </c>
      <c r="G18" s="65">
        <f>+Tabla20242[[#This Row],[Material Contabilizado Ingresado al deposito ]]-Tabla20242[[#This Row],[Adeuda Agesta a Dos57]]</f>
        <v>120</v>
      </c>
      <c r="H18" s="71">
        <v>0</v>
      </c>
      <c r="I18" s="80">
        <f>+Tabla20242[[#This Row],[Subtotal Material ]]+Tabla20242[[#This Row],[Adeuda Dos57 a Agesta]]</f>
        <v>120</v>
      </c>
      <c r="J18"/>
      <c r="K18"/>
    </row>
    <row r="19" spans="1:11" s="16" customFormat="1" x14ac:dyDescent="0.3">
      <c r="A19"/>
      <c r="B19" s="46" t="s">
        <v>17</v>
      </c>
      <c r="C19" s="65">
        <v>120</v>
      </c>
      <c r="D19" s="65">
        <v>120</v>
      </c>
      <c r="E19" s="65">
        <f>+Tabla20242[[#This Row],[Material Contabilizado Ingresado al deposito ]]-Tabla20242[[#This Row],[Material Según Mensaje 25/10/2023]]</f>
        <v>0</v>
      </c>
      <c r="F19" s="71">
        <v>2</v>
      </c>
      <c r="G19" s="65">
        <f>+Tabla20242[[#This Row],[Material Contabilizado Ingresado al deposito ]]-Tabla20242[[#This Row],[Adeuda Agesta a Dos57]]</f>
        <v>118</v>
      </c>
      <c r="H19" s="71">
        <v>0</v>
      </c>
      <c r="I19" s="80">
        <f>+Tabla20242[[#This Row],[Subtotal Material ]]+Tabla20242[[#This Row],[Adeuda Dos57 a Agesta]]</f>
        <v>118</v>
      </c>
      <c r="J19"/>
      <c r="K19"/>
    </row>
    <row r="20" spans="1:11" s="16" customFormat="1" x14ac:dyDescent="0.3">
      <c r="A20"/>
      <c r="B20" s="46" t="s">
        <v>209</v>
      </c>
      <c r="C20" s="65">
        <v>22</v>
      </c>
      <c r="D20" s="65">
        <v>21</v>
      </c>
      <c r="E20" s="79">
        <f>+Tabla20242[[#This Row],[Material Contabilizado Ingresado al deposito ]]-Tabla20242[[#This Row],[Material Según Mensaje 25/10/2023]]</f>
        <v>-1</v>
      </c>
      <c r="F20" s="71">
        <v>0</v>
      </c>
      <c r="G20" s="65">
        <f>+Tabla20242[[#This Row],[Material Contabilizado Ingresado al deposito ]]-Tabla20242[[#This Row],[Adeuda Agesta a Dos57]]</f>
        <v>21</v>
      </c>
      <c r="H20" s="71">
        <v>0</v>
      </c>
      <c r="I20" s="80">
        <f>+Tabla20242[[#This Row],[Subtotal Material ]]+Tabla20242[[#This Row],[Adeuda Dos57 a Agesta]]</f>
        <v>21</v>
      </c>
      <c r="J20"/>
      <c r="K20"/>
    </row>
    <row r="21" spans="1:11" s="16" customFormat="1" x14ac:dyDescent="0.3">
      <c r="A21"/>
      <c r="B21" s="46" t="s">
        <v>142</v>
      </c>
      <c r="C21" s="65">
        <v>792</v>
      </c>
      <c r="D21" s="65">
        <v>790</v>
      </c>
      <c r="E21" s="79">
        <f>+Tabla20242[[#This Row],[Material Contabilizado Ingresado al deposito ]]-Tabla20242[[#This Row],[Material Según Mensaje 25/10/2023]]</f>
        <v>-2</v>
      </c>
      <c r="F21" s="71">
        <v>0</v>
      </c>
      <c r="G21" s="65">
        <f>+Tabla20242[[#This Row],[Material Contabilizado Ingresado al deposito ]]-Tabla20242[[#This Row],[Adeuda Agesta a Dos57]]</f>
        <v>790</v>
      </c>
      <c r="H21" s="71">
        <v>0</v>
      </c>
      <c r="I21" s="80">
        <f>+Tabla20242[[#This Row],[Subtotal Material ]]+Tabla20242[[#This Row],[Adeuda Dos57 a Agesta]]</f>
        <v>790</v>
      </c>
      <c r="J21"/>
      <c r="K21"/>
    </row>
    <row r="22" spans="1:11" s="16" customFormat="1" x14ac:dyDescent="0.3">
      <c r="A22"/>
      <c r="B22" s="46" t="s">
        <v>48</v>
      </c>
      <c r="C22" s="65">
        <v>50</v>
      </c>
      <c r="D22" s="65">
        <v>48</v>
      </c>
      <c r="E22" s="79">
        <f>+Tabla20242[[#This Row],[Material Contabilizado Ingresado al deposito ]]-Tabla20242[[#This Row],[Material Según Mensaje 25/10/2023]]</f>
        <v>-2</v>
      </c>
      <c r="F22" s="71">
        <v>2</v>
      </c>
      <c r="G22" s="65">
        <f>+Tabla20242[[#This Row],[Material Contabilizado Ingresado al deposito ]]-Tabla20242[[#This Row],[Adeuda Agesta a Dos57]]</f>
        <v>46</v>
      </c>
      <c r="H22" s="71">
        <v>0</v>
      </c>
      <c r="I22" s="80">
        <f>+Tabla20242[[#This Row],[Subtotal Material ]]+Tabla20242[[#This Row],[Adeuda Dos57 a Agesta]]</f>
        <v>46</v>
      </c>
      <c r="J22"/>
      <c r="K22"/>
    </row>
    <row r="23" spans="1:11" s="16" customFormat="1" x14ac:dyDescent="0.3">
      <c r="A23"/>
      <c r="B23" s="46" t="s">
        <v>52</v>
      </c>
      <c r="C23" s="65">
        <v>61</v>
      </c>
      <c r="D23" s="65">
        <v>62</v>
      </c>
      <c r="E23" s="65">
        <f>+Tabla20242[[#This Row],[Material Contabilizado Ingresado al deposito ]]-Tabla20242[[#This Row],[Material Según Mensaje 25/10/2023]]</f>
        <v>1</v>
      </c>
      <c r="F23" s="71">
        <v>0</v>
      </c>
      <c r="G23" s="65">
        <f>+Tabla20242[[#This Row],[Material Contabilizado Ingresado al deposito ]]-Tabla20242[[#This Row],[Adeuda Agesta a Dos57]]</f>
        <v>62</v>
      </c>
      <c r="H23" s="71">
        <v>0</v>
      </c>
      <c r="I23" s="80">
        <f>+Tabla20242[[#This Row],[Subtotal Material ]]+Tabla20242[[#This Row],[Adeuda Dos57 a Agesta]]</f>
        <v>62</v>
      </c>
      <c r="J23"/>
      <c r="K23"/>
    </row>
    <row r="24" spans="1:11" x14ac:dyDescent="0.3">
      <c r="B24" s="75"/>
      <c r="C24" s="76"/>
      <c r="D24" s="76"/>
      <c r="E24" s="76"/>
      <c r="F24" s="77"/>
      <c r="G24" s="78"/>
      <c r="H24" s="77"/>
      <c r="I24" s="78"/>
    </row>
  </sheetData>
  <mergeCells count="2">
    <mergeCell ref="B2:I2"/>
    <mergeCell ref="B3:I3"/>
  </mergeCells>
  <pageMargins left="0.11811023622047245" right="0.11811023622047245" top="0.19685039370078741" bottom="0.19685039370078741" header="0.31496062992125984" footer="0.31496062992125984"/>
  <pageSetup scale="98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opLeftCell="A4" zoomScale="140" zoomScaleNormal="140" workbookViewId="0">
      <selection activeCell="E7" sqref="E7"/>
    </sheetView>
  </sheetViews>
  <sheetFormatPr baseColWidth="10" defaultRowHeight="14.4" x14ac:dyDescent="0.3"/>
  <cols>
    <col min="1" max="1" width="1.6640625" customWidth="1"/>
    <col min="2" max="4" width="20.77734375" style="2" customWidth="1"/>
    <col min="5" max="6" width="20.77734375" style="1" customWidth="1"/>
    <col min="7" max="9" width="20.77734375" style="16" customWidth="1"/>
    <col min="10" max="11" width="19.77734375" style="16" customWidth="1"/>
    <col min="12" max="12" width="11.5546875" customWidth="1"/>
  </cols>
  <sheetData>
    <row r="1" spans="1:13" ht="15" thickBot="1" x14ac:dyDescent="0.35">
      <c r="G1"/>
    </row>
    <row r="2" spans="1:13" ht="15" customHeight="1" thickBot="1" x14ac:dyDescent="0.35">
      <c r="B2" s="178" t="s">
        <v>210</v>
      </c>
      <c r="C2" s="179"/>
      <c r="D2" s="179"/>
      <c r="E2" s="179"/>
      <c r="F2" s="179"/>
      <c r="G2" s="179"/>
      <c r="H2" s="179"/>
      <c r="I2" s="180"/>
    </row>
    <row r="3" spans="1:13" ht="15.6" thickTop="1" thickBot="1" x14ac:dyDescent="0.35">
      <c r="B3" s="175" t="s">
        <v>191</v>
      </c>
      <c r="C3" s="176"/>
      <c r="D3" s="176"/>
      <c r="E3" s="176"/>
      <c r="F3" s="176"/>
      <c r="G3" s="177"/>
      <c r="H3" s="50" t="s">
        <v>208</v>
      </c>
      <c r="I3" s="51">
        <v>385</v>
      </c>
    </row>
    <row r="4" spans="1:13" ht="15.6" customHeight="1" x14ac:dyDescent="0.3">
      <c r="B4" s="44" t="s">
        <v>0</v>
      </c>
      <c r="C4" s="44" t="s">
        <v>181</v>
      </c>
      <c r="D4" s="44" t="s">
        <v>183</v>
      </c>
      <c r="E4" s="43" t="s">
        <v>207</v>
      </c>
      <c r="F4" s="29" t="s">
        <v>212</v>
      </c>
      <c r="G4" s="52" t="s">
        <v>211</v>
      </c>
      <c r="H4" s="52" t="s">
        <v>188</v>
      </c>
      <c r="I4" s="52" t="s">
        <v>204</v>
      </c>
    </row>
    <row r="5" spans="1:13" x14ac:dyDescent="0.3">
      <c r="B5" s="46" t="s">
        <v>33</v>
      </c>
      <c r="C5" s="46"/>
      <c r="D5" s="46"/>
      <c r="E5" s="47">
        <v>12</v>
      </c>
      <c r="F5" s="59">
        <f>+Tabla202223[[#This Row],[Material Requerido]]/2</f>
        <v>6</v>
      </c>
      <c r="G5" s="53">
        <v>263.64</v>
      </c>
      <c r="H5" s="54">
        <f>+Tabla202223[[#This Row],[Canje]]*Tabla202223[[#This Row],[Valor Alq de Referencia €]]*I$3</f>
        <v>609008.4</v>
      </c>
      <c r="I5" s="54">
        <f>+Tabla202223[[#This Row],[Precio Total en Pesos]]*4%</f>
        <v>24360.336000000003</v>
      </c>
    </row>
    <row r="6" spans="1:13" x14ac:dyDescent="0.3">
      <c r="B6" s="46" t="s">
        <v>167</v>
      </c>
      <c r="C6" s="46"/>
      <c r="D6" s="46"/>
      <c r="E6" s="47">
        <v>311</v>
      </c>
      <c r="F6" s="59">
        <f>+Tabla202223[[#This Row],[Material Requerido]]/2</f>
        <v>155.5</v>
      </c>
      <c r="G6" s="53">
        <v>76.83</v>
      </c>
      <c r="H6" s="54">
        <f>+Tabla202223[[#This Row],[Canje]]*Tabla202223[[#This Row],[Valor Alq de Referencia €]]*I$3</f>
        <v>4599620.0250000004</v>
      </c>
      <c r="I6" s="54">
        <f>+Tabla202223[[#This Row],[Precio Total en Pesos]]*4%</f>
        <v>183984.80100000001</v>
      </c>
    </row>
    <row r="7" spans="1:13" x14ac:dyDescent="0.3">
      <c r="B7" s="46" t="s">
        <v>190</v>
      </c>
      <c r="C7" s="46"/>
      <c r="D7" s="46"/>
      <c r="E7" s="47">
        <v>8</v>
      </c>
      <c r="F7" s="59">
        <f>+Tabla202223[[#This Row],[Material Requerido]]/2</f>
        <v>4</v>
      </c>
      <c r="G7" s="53">
        <v>66.95</v>
      </c>
      <c r="H7" s="54">
        <f>+Tabla202223[[#This Row],[Canje]]*Tabla202223[[#This Row],[Valor Alq de Referencia €]]*I$3</f>
        <v>103103</v>
      </c>
      <c r="I7" s="54">
        <f>+Tabla202223[[#This Row],[Precio Total en Pesos]]*4%</f>
        <v>4124.12</v>
      </c>
    </row>
    <row r="8" spans="1:13" x14ac:dyDescent="0.3">
      <c r="B8" s="46" t="s">
        <v>189</v>
      </c>
      <c r="C8" s="46"/>
      <c r="D8" s="46"/>
      <c r="E8" s="47">
        <v>88</v>
      </c>
      <c r="F8" s="59">
        <f>+Tabla202223[[#This Row],[Material Requerido]]/2</f>
        <v>44</v>
      </c>
      <c r="G8" s="53">
        <v>65.650000000000006</v>
      </c>
      <c r="H8" s="54">
        <f>+Tabla202223[[#This Row],[Canje]]*Tabla202223[[#This Row],[Valor Alq de Referencia €]]*I$3</f>
        <v>1112111.0000000002</v>
      </c>
      <c r="I8" s="54">
        <f>+Tabla202223[[#This Row],[Precio Total en Pesos]]*4%</f>
        <v>44484.44000000001</v>
      </c>
    </row>
    <row r="9" spans="1:13" s="16" customFormat="1" x14ac:dyDescent="0.3">
      <c r="A9"/>
      <c r="B9" s="46" t="s">
        <v>55</v>
      </c>
      <c r="C9" s="46"/>
      <c r="D9" s="46"/>
      <c r="E9" s="47">
        <v>25</v>
      </c>
      <c r="F9" s="59">
        <f>+Tabla202223[[#This Row],[Material Requerido]]/2</f>
        <v>12.5</v>
      </c>
      <c r="G9" s="53">
        <v>117.39</v>
      </c>
      <c r="H9" s="54">
        <f>+Tabla202223[[#This Row],[Canje]]*Tabla202223[[#This Row],[Valor Alq de Referencia €]]*I$3</f>
        <v>564939.375</v>
      </c>
      <c r="I9" s="54">
        <f>+Tabla202223[[#This Row],[Precio Total en Pesos]]*4%</f>
        <v>22597.575000000001</v>
      </c>
      <c r="L9"/>
      <c r="M9"/>
    </row>
    <row r="10" spans="1:13" s="16" customFormat="1" x14ac:dyDescent="0.3">
      <c r="A10"/>
      <c r="B10" s="46" t="s">
        <v>143</v>
      </c>
      <c r="C10" s="46"/>
      <c r="D10" s="46"/>
      <c r="E10" s="47">
        <v>500</v>
      </c>
      <c r="F10" s="59">
        <f>+Tabla202223[[#This Row],[Material Requerido]]/2</f>
        <v>250</v>
      </c>
      <c r="G10" s="53">
        <v>75.010000000000005</v>
      </c>
      <c r="H10" s="54">
        <f>+Tabla202223[[#This Row],[Canje]]*Tabla202223[[#This Row],[Valor Alq de Referencia €]]*I$3</f>
        <v>7219712.5</v>
      </c>
      <c r="I10" s="54">
        <f>+Tabla202223[[#This Row],[Precio Total en Pesos]]*4%</f>
        <v>288788.5</v>
      </c>
      <c r="L10"/>
      <c r="M10"/>
    </row>
    <row r="11" spans="1:13" s="16" customFormat="1" x14ac:dyDescent="0.3">
      <c r="A11"/>
      <c r="B11" s="46" t="s">
        <v>78</v>
      </c>
      <c r="C11" s="46"/>
      <c r="D11" s="46"/>
      <c r="E11" s="47">
        <v>30</v>
      </c>
      <c r="F11" s="59">
        <f>+Tabla202223[[#This Row],[Material Requerido]]/2</f>
        <v>15</v>
      </c>
      <c r="G11" s="53">
        <v>61.23</v>
      </c>
      <c r="H11" s="54">
        <f>+Tabla202223[[#This Row],[Canje]]*Tabla202223[[#This Row],[Valor Alq de Referencia €]]*I$3</f>
        <v>353603.25</v>
      </c>
      <c r="I11" s="54">
        <f>+Tabla202223[[#This Row],[Precio Total en Pesos]]*4%</f>
        <v>14144.130000000001</v>
      </c>
      <c r="L11"/>
      <c r="M11"/>
    </row>
    <row r="12" spans="1:13" s="16" customFormat="1" x14ac:dyDescent="0.3">
      <c r="A12"/>
      <c r="B12" s="46" t="s">
        <v>50</v>
      </c>
      <c r="C12" s="46"/>
      <c r="D12" s="46"/>
      <c r="E12" s="47">
        <v>67</v>
      </c>
      <c r="F12" s="59">
        <f>+Tabla202223[[#This Row],[Material Requerido]]/2</f>
        <v>33.5</v>
      </c>
      <c r="G12" s="53">
        <v>45.76</v>
      </c>
      <c r="H12" s="54">
        <f>+Tabla202223[[#This Row],[Canje]]*Tabla202223[[#This Row],[Valor Alq de Referencia €]]*I$3</f>
        <v>590189.6</v>
      </c>
      <c r="I12" s="54">
        <f>+Tabla202223[[#This Row],[Precio Total en Pesos]]*4%</f>
        <v>23607.583999999999</v>
      </c>
      <c r="L12"/>
      <c r="M12"/>
    </row>
    <row r="13" spans="1:13" s="16" customFormat="1" x14ac:dyDescent="0.3">
      <c r="A13"/>
      <c r="B13" s="46" t="s">
        <v>51</v>
      </c>
      <c r="C13" s="46"/>
      <c r="D13" s="46"/>
      <c r="E13" s="47">
        <v>60</v>
      </c>
      <c r="F13" s="59">
        <f>+Tabla202223[[#This Row],[Material Requerido]]/2</f>
        <v>30</v>
      </c>
      <c r="G13" s="53">
        <v>43.03</v>
      </c>
      <c r="H13" s="54">
        <f>+Tabla202223[[#This Row],[Canje]]*Tabla202223[[#This Row],[Valor Alq de Referencia €]]*I$3</f>
        <v>496996.50000000006</v>
      </c>
      <c r="I13" s="54">
        <f>+Tabla202223[[#This Row],[Precio Total en Pesos]]*4%</f>
        <v>19879.860000000004</v>
      </c>
      <c r="L13"/>
      <c r="M13"/>
    </row>
    <row r="14" spans="1:13" s="16" customFormat="1" x14ac:dyDescent="0.3">
      <c r="A14"/>
      <c r="B14" s="46" t="s">
        <v>31</v>
      </c>
      <c r="C14" s="46"/>
      <c r="D14" s="46"/>
      <c r="E14" s="47">
        <v>36</v>
      </c>
      <c r="F14" s="59">
        <f>+Tabla202223[[#This Row],[Material Requerido]]/2</f>
        <v>18</v>
      </c>
      <c r="G14" s="53">
        <v>148.19999999999999</v>
      </c>
      <c r="H14" s="54">
        <f>+Tabla202223[[#This Row],[Canje]]*Tabla202223[[#This Row],[Valor Alq de Referencia €]]*I$3</f>
        <v>1027026</v>
      </c>
      <c r="I14" s="54">
        <f>+Tabla202223[[#This Row],[Precio Total en Pesos]]*4%</f>
        <v>41081.040000000001</v>
      </c>
      <c r="L14"/>
      <c r="M14"/>
    </row>
    <row r="15" spans="1:13" s="16" customFormat="1" x14ac:dyDescent="0.3">
      <c r="A15"/>
      <c r="B15" s="46" t="s">
        <v>49</v>
      </c>
      <c r="C15" s="46"/>
      <c r="D15" s="46"/>
      <c r="E15" s="47">
        <v>33</v>
      </c>
      <c r="F15" s="59">
        <f>+Tabla202223[[#This Row],[Material Requerido]]/2</f>
        <v>16.5</v>
      </c>
      <c r="G15" s="53">
        <v>55.64</v>
      </c>
      <c r="H15" s="54">
        <f>+Tabla202223[[#This Row],[Canje]]*Tabla202223[[#This Row],[Valor Alq de Referencia €]]*I$3</f>
        <v>353453.10000000003</v>
      </c>
      <c r="I15" s="54">
        <f>+Tabla202223[[#This Row],[Precio Total en Pesos]]*4%</f>
        <v>14138.124000000002</v>
      </c>
      <c r="L15"/>
      <c r="M15"/>
    </row>
    <row r="16" spans="1:13" s="16" customFormat="1" x14ac:dyDescent="0.3">
      <c r="A16"/>
      <c r="B16" s="46" t="s">
        <v>148</v>
      </c>
      <c r="C16" s="46"/>
      <c r="D16" s="46"/>
      <c r="E16" s="47">
        <v>35</v>
      </c>
      <c r="F16" s="59">
        <f>+Tabla202223[[#This Row],[Material Requerido]]/2</f>
        <v>17.5</v>
      </c>
      <c r="G16" s="53">
        <v>37.96</v>
      </c>
      <c r="H16" s="54">
        <f>+Tabla202223[[#This Row],[Canje]]*Tabla202223[[#This Row],[Valor Alq de Referencia €]]*I$3</f>
        <v>255755.50000000003</v>
      </c>
      <c r="I16" s="54">
        <f>+Tabla202223[[#This Row],[Precio Total en Pesos]]*4%</f>
        <v>10230.220000000001</v>
      </c>
      <c r="L16"/>
      <c r="M16"/>
    </row>
    <row r="17" spans="1:13" s="16" customFormat="1" x14ac:dyDescent="0.3">
      <c r="A17"/>
      <c r="B17" s="46" t="s">
        <v>7</v>
      </c>
      <c r="C17" s="46"/>
      <c r="D17" s="46"/>
      <c r="E17" s="47">
        <v>136</v>
      </c>
      <c r="F17" s="59">
        <f>+Tabla202223[[#This Row],[Material Requerido]]/2</f>
        <v>68</v>
      </c>
      <c r="G17" s="53">
        <v>28.34</v>
      </c>
      <c r="H17" s="54">
        <f>+Tabla202223[[#This Row],[Canje]]*Tabla202223[[#This Row],[Valor Alq de Referencia €]]*I$3</f>
        <v>741941.2</v>
      </c>
      <c r="I17" s="54">
        <f>+Tabla202223[[#This Row],[Precio Total en Pesos]]*4%</f>
        <v>29677.647999999997</v>
      </c>
      <c r="L17"/>
      <c r="M17"/>
    </row>
    <row r="18" spans="1:13" s="16" customFormat="1" x14ac:dyDescent="0.3">
      <c r="A18"/>
      <c r="B18" s="46" t="s">
        <v>17</v>
      </c>
      <c r="C18" s="46"/>
      <c r="D18" s="46"/>
      <c r="E18" s="47">
        <v>136</v>
      </c>
      <c r="F18" s="59">
        <f>+Tabla202223[[#This Row],[Material Requerido]]/2</f>
        <v>68</v>
      </c>
      <c r="G18" s="53">
        <v>19.89</v>
      </c>
      <c r="H18" s="54">
        <f>+Tabla202223[[#This Row],[Canje]]*Tabla202223[[#This Row],[Valor Alq de Referencia €]]*I$3</f>
        <v>520720.2</v>
      </c>
      <c r="I18" s="54">
        <f>+Tabla202223[[#This Row],[Precio Total en Pesos]]*4%</f>
        <v>20828.808000000001</v>
      </c>
      <c r="L18"/>
      <c r="M18"/>
    </row>
    <row r="19" spans="1:13" s="16" customFormat="1" x14ac:dyDescent="0.3">
      <c r="A19"/>
      <c r="B19" s="46" t="s">
        <v>205</v>
      </c>
      <c r="C19" s="46"/>
      <c r="D19" s="46"/>
      <c r="E19" s="47">
        <v>28</v>
      </c>
      <c r="F19" s="59">
        <f>+Tabla202223[[#This Row],[Material Requerido]]/2</f>
        <v>14</v>
      </c>
      <c r="G19" s="53">
        <v>72.739999999999995</v>
      </c>
      <c r="H19" s="54">
        <f>+Tabla202223[[#This Row],[Canje]]*Tabla202223[[#This Row],[Valor Alq de Referencia €]]*I$3</f>
        <v>392068.6</v>
      </c>
      <c r="I19" s="54">
        <f>+Tabla202223[[#This Row],[Precio Total en Pesos]]*4%</f>
        <v>15682.743999999999</v>
      </c>
      <c r="L19"/>
      <c r="M19"/>
    </row>
    <row r="20" spans="1:13" s="16" customFormat="1" x14ac:dyDescent="0.3">
      <c r="A20"/>
      <c r="B20" s="46" t="s">
        <v>142</v>
      </c>
      <c r="C20" s="46"/>
      <c r="D20" s="46"/>
      <c r="E20" s="47">
        <v>825</v>
      </c>
      <c r="F20" s="59">
        <f>+Tabla202223[[#This Row],[Material Requerido]]/2</f>
        <v>412.5</v>
      </c>
      <c r="G20" s="53">
        <v>64.349999999999994</v>
      </c>
      <c r="H20" s="54">
        <f>+Tabla202223[[#This Row],[Canje]]*Tabla202223[[#This Row],[Valor Alq de Referencia €]]*I$3</f>
        <v>10219584.374999998</v>
      </c>
      <c r="I20" s="54">
        <f>+Tabla202223[[#This Row],[Precio Total en Pesos]]*4%</f>
        <v>408783.37499999994</v>
      </c>
      <c r="L20"/>
      <c r="M20"/>
    </row>
    <row r="21" spans="1:13" s="16" customFormat="1" x14ac:dyDescent="0.3">
      <c r="A21"/>
      <c r="B21" s="46" t="s">
        <v>48</v>
      </c>
      <c r="C21" s="46"/>
      <c r="D21" s="46"/>
      <c r="E21" s="47">
        <v>38</v>
      </c>
      <c r="F21" s="59">
        <f>+Tabla202223[[#This Row],[Material Requerido]]/2</f>
        <v>19</v>
      </c>
      <c r="G21" s="53">
        <v>39.39</v>
      </c>
      <c r="H21" s="54">
        <f>+Tabla202223[[#This Row],[Canje]]*Tabla202223[[#This Row],[Valor Alq de Referencia €]]*I$3</f>
        <v>288137.84999999998</v>
      </c>
      <c r="I21" s="54">
        <f>+Tabla202223[[#This Row],[Precio Total en Pesos]]*4%</f>
        <v>11525.513999999999</v>
      </c>
      <c r="L21"/>
      <c r="M21"/>
    </row>
    <row r="22" spans="1:13" s="16" customFormat="1" ht="15" thickBot="1" x14ac:dyDescent="0.35">
      <c r="A22"/>
      <c r="B22" s="55" t="s">
        <v>52</v>
      </c>
      <c r="C22" s="55"/>
      <c r="D22" s="55"/>
      <c r="E22" s="56">
        <v>85</v>
      </c>
      <c r="F22" s="60">
        <f>+Tabla202223[[#This Row],[Material Requerido]]/2</f>
        <v>42.5</v>
      </c>
      <c r="G22" s="57">
        <v>33.020000000000003</v>
      </c>
      <c r="H22" s="54">
        <f>+Tabla202223[[#This Row],[Canje]]*Tabla202223[[#This Row],[Valor Alq de Referencia €]]*I$3</f>
        <v>540289.75</v>
      </c>
      <c r="I22" s="54">
        <f>+Tabla202223[[#This Row],[Precio Total en Pesos]]*4%</f>
        <v>21611.59</v>
      </c>
      <c r="L22"/>
      <c r="M22"/>
    </row>
    <row r="23" spans="1:13" ht="15" thickBot="1" x14ac:dyDescent="0.35">
      <c r="B23" s="61"/>
      <c r="C23" s="70"/>
      <c r="D23" s="70"/>
      <c r="E23" s="58"/>
      <c r="F23" s="58"/>
      <c r="G23" s="62"/>
      <c r="H23" s="63"/>
      <c r="I23" s="64">
        <f>SUM(I5:I22)</f>
        <v>1199530.409</v>
      </c>
    </row>
  </sheetData>
  <mergeCells count="2">
    <mergeCell ref="B2:I2"/>
    <mergeCell ref="B3:G3"/>
  </mergeCells>
  <pageMargins left="0.11811023622047245" right="0.11811023622047245" top="0.19685039370078741" bottom="0.19685039370078741" header="0.31496062992125984" footer="0.31496062992125984"/>
  <pageSetup scale="95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opLeftCell="A3" zoomScale="130" zoomScaleNormal="130" workbookViewId="0">
      <selection activeCell="G17" sqref="G17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5" width="15.77734375" style="1" customWidth="1"/>
    <col min="6" max="6" width="15.77734375" customWidth="1"/>
    <col min="7" max="7" width="15.77734375" style="16" customWidth="1"/>
    <col min="8" max="9" width="15.77734375" customWidth="1"/>
    <col min="10" max="10" width="15.77734375" style="16" customWidth="1"/>
    <col min="11" max="11" width="11.5546875" customWidth="1"/>
  </cols>
  <sheetData>
    <row r="1" spans="1:12" ht="15" thickBot="1" x14ac:dyDescent="0.35"/>
    <row r="2" spans="1:12" ht="15" customHeight="1" thickBot="1" x14ac:dyDescent="0.35">
      <c r="B2" s="178" t="s">
        <v>227</v>
      </c>
      <c r="C2" s="179"/>
      <c r="D2" s="179"/>
      <c r="E2" s="179"/>
      <c r="F2" s="179"/>
      <c r="G2" s="179"/>
      <c r="H2" s="179"/>
      <c r="I2" s="179"/>
      <c r="J2" s="180"/>
    </row>
    <row r="3" spans="1:12" ht="15" thickBot="1" x14ac:dyDescent="0.35">
      <c r="B3" s="184" t="s">
        <v>191</v>
      </c>
      <c r="C3" s="185"/>
      <c r="D3" s="185"/>
      <c r="E3" s="185"/>
      <c r="F3" s="185"/>
      <c r="G3" s="185"/>
      <c r="H3" s="186"/>
      <c r="I3" s="97" t="s">
        <v>235</v>
      </c>
      <c r="J3" s="98">
        <v>389</v>
      </c>
    </row>
    <row r="4" spans="1:12" ht="30" customHeight="1" x14ac:dyDescent="0.3">
      <c r="B4" s="44" t="s">
        <v>0</v>
      </c>
      <c r="C4" s="43" t="s">
        <v>222</v>
      </c>
      <c r="D4" s="43" t="s">
        <v>220</v>
      </c>
      <c r="E4" s="45" t="s">
        <v>223</v>
      </c>
      <c r="F4" s="45" t="s">
        <v>221</v>
      </c>
      <c r="G4" s="29" t="s">
        <v>224</v>
      </c>
      <c r="H4" s="29" t="s">
        <v>234</v>
      </c>
      <c r="I4" s="29" t="s">
        <v>236</v>
      </c>
      <c r="J4" s="29" t="s">
        <v>237</v>
      </c>
    </row>
    <row r="5" spans="1:12" x14ac:dyDescent="0.3">
      <c r="B5" s="46" t="s">
        <v>33</v>
      </c>
      <c r="C5" s="65">
        <v>12</v>
      </c>
      <c r="D5" s="65">
        <v>12</v>
      </c>
      <c r="E5" s="65">
        <f>+Tabla202426[[#This Row],[Material Contabilizado Ingresado al deposito ]]-Tabla202426[[#This Row],[Material Según Mensaje 25/10/2023]]</f>
        <v>0</v>
      </c>
      <c r="F5" s="71">
        <v>0</v>
      </c>
      <c r="G5" s="65">
        <f>+Tabla202426[[#This Row],[Material Contabilizado Ingresado al deposito ]]-Tabla202426[[#This Row],[Adeuda Agesta a Dos57]]</f>
        <v>12</v>
      </c>
      <c r="H5" s="99">
        <v>263.64</v>
      </c>
      <c r="I5" s="99">
        <f>+Tabla202426[[#This Row],[Valor Unitario en €]]*J$3*Tabla202426[[#This Row],[Subtotal Material ]]</f>
        <v>1230671.52</v>
      </c>
      <c r="J5" s="99">
        <f>+Tabla202426[[#This Row],[Total Precio en Pesos]]*5%</f>
        <v>61533.576000000001</v>
      </c>
    </row>
    <row r="6" spans="1:12" x14ac:dyDescent="0.3">
      <c r="B6" s="46" t="s">
        <v>167</v>
      </c>
      <c r="C6" s="65">
        <v>343</v>
      </c>
      <c r="D6" s="65">
        <v>343</v>
      </c>
      <c r="E6" s="65">
        <f>+Tabla202426[[#This Row],[Material Contabilizado Ingresado al deposito ]]-Tabla202426[[#This Row],[Material Según Mensaje 25/10/2023]]</f>
        <v>0</v>
      </c>
      <c r="F6" s="71">
        <v>23</v>
      </c>
      <c r="G6" s="65">
        <f>+Tabla202426[[#This Row],[Material Contabilizado Ingresado al deposito ]]-Tabla202426[[#This Row],[Adeuda Agesta a Dos57]]</f>
        <v>320</v>
      </c>
      <c r="H6" s="99">
        <v>76.83</v>
      </c>
      <c r="I6" s="99">
        <f>+Tabla202426[[#This Row],[Valor Unitario en €]]*J$3*Tabla202426[[#This Row],[Subtotal Material ]]</f>
        <v>9563798.4000000004</v>
      </c>
      <c r="J6" s="99">
        <f>+Tabla202426[[#This Row],[Total Precio en Pesos]]*5%</f>
        <v>478189.92000000004</v>
      </c>
    </row>
    <row r="7" spans="1:12" x14ac:dyDescent="0.3">
      <c r="B7" s="46" t="s">
        <v>190</v>
      </c>
      <c r="C7" s="65">
        <v>0</v>
      </c>
      <c r="D7" s="65">
        <v>12</v>
      </c>
      <c r="E7" s="105">
        <f>+Tabla202426[[#This Row],[Material Contabilizado Ingresado al deposito ]]-Tabla202426[[#This Row],[Material Según Mensaje 25/10/2023]]</f>
        <v>12</v>
      </c>
      <c r="F7" s="71">
        <v>0</v>
      </c>
      <c r="G7" s="65">
        <f>+Tabla202426[[#This Row],[Material Contabilizado Ingresado al deposito ]]-Tabla202426[[#This Row],[Adeuda Agesta a Dos57]]</f>
        <v>12</v>
      </c>
      <c r="H7" s="99">
        <v>66.95</v>
      </c>
      <c r="I7" s="99">
        <f>+Tabla202426[[#This Row],[Valor Unitario en €]]*J$3*Tabla202426[[#This Row],[Subtotal Material ]]</f>
        <v>312522.60000000003</v>
      </c>
      <c r="J7" s="99">
        <f>+Tabla202426[[#This Row],[Total Precio en Pesos]]*5%</f>
        <v>15626.130000000003</v>
      </c>
    </row>
    <row r="8" spans="1:12" x14ac:dyDescent="0.3">
      <c r="B8" s="46" t="s">
        <v>189</v>
      </c>
      <c r="C8" s="65">
        <v>64</v>
      </c>
      <c r="D8" s="65">
        <v>52</v>
      </c>
      <c r="E8" s="105">
        <f>+Tabla202426[[#This Row],[Material Contabilizado Ingresado al deposito ]]-Tabla202426[[#This Row],[Material Según Mensaje 25/10/2023]]</f>
        <v>-12</v>
      </c>
      <c r="F8" s="71">
        <v>0</v>
      </c>
      <c r="G8" s="65">
        <f>+Tabla202426[[#This Row],[Material Contabilizado Ingresado al deposito ]]-Tabla202426[[#This Row],[Adeuda Agesta a Dos57]]</f>
        <v>52</v>
      </c>
      <c r="H8" s="99">
        <v>65.650000000000006</v>
      </c>
      <c r="I8" s="99">
        <f>+Tabla202426[[#This Row],[Valor Unitario en €]]*J$3*Tabla202426[[#This Row],[Subtotal Material ]]</f>
        <v>1327968.2000000002</v>
      </c>
      <c r="J8" s="99">
        <f>+Tabla202426[[#This Row],[Total Precio en Pesos]]*5%</f>
        <v>66398.410000000018</v>
      </c>
    </row>
    <row r="9" spans="1:12" s="16" customFormat="1" x14ac:dyDescent="0.3">
      <c r="A9"/>
      <c r="B9" s="46" t="s">
        <v>55</v>
      </c>
      <c r="C9" s="65">
        <v>15</v>
      </c>
      <c r="D9" s="65">
        <v>15</v>
      </c>
      <c r="E9" s="105">
        <f>+Tabla202426[[#This Row],[Material Contabilizado Ingresado al deposito ]]-Tabla202426[[#This Row],[Material Según Mensaje 25/10/2023]]</f>
        <v>0</v>
      </c>
      <c r="F9" s="71">
        <v>0</v>
      </c>
      <c r="G9" s="65">
        <f>+Tabla202426[[#This Row],[Material Contabilizado Ingresado al deposito ]]-Tabla202426[[#This Row],[Adeuda Agesta a Dos57]]</f>
        <v>15</v>
      </c>
      <c r="H9" s="99">
        <v>117.39</v>
      </c>
      <c r="I9" s="99">
        <f>+Tabla202426[[#This Row],[Valor Unitario en €]]*J$3*Tabla202426[[#This Row],[Subtotal Material ]]</f>
        <v>684970.65</v>
      </c>
      <c r="J9" s="99">
        <f>+Tabla202426[[#This Row],[Total Precio en Pesos]]*5%</f>
        <v>34248.532500000001</v>
      </c>
      <c r="K9"/>
      <c r="L9"/>
    </row>
    <row r="10" spans="1:12" s="16" customFormat="1" x14ac:dyDescent="0.3">
      <c r="A10"/>
      <c r="B10" s="46" t="s">
        <v>143</v>
      </c>
      <c r="C10" s="65">
        <v>460</v>
      </c>
      <c r="D10" s="65">
        <v>462</v>
      </c>
      <c r="E10" s="105">
        <f>+Tabla202426[[#This Row],[Material Contabilizado Ingresado al deposito ]]-Tabla202426[[#This Row],[Material Según Mensaje 25/10/2023]]</f>
        <v>2</v>
      </c>
      <c r="F10" s="71">
        <v>0</v>
      </c>
      <c r="G10" s="65">
        <f>+Tabla202426[[#This Row],[Material Contabilizado Ingresado al deposito ]]-Tabla202426[[#This Row],[Adeuda Agesta a Dos57]]</f>
        <v>462</v>
      </c>
      <c r="H10" s="99">
        <v>75.010000000000005</v>
      </c>
      <c r="I10" s="99">
        <f>+Tabla202426[[#This Row],[Valor Unitario en €]]*J$3*Tabla202426[[#This Row],[Subtotal Material ]]</f>
        <v>13480647.180000002</v>
      </c>
      <c r="J10" s="99">
        <f>+Tabla202426[[#This Row],[Total Precio en Pesos]]*5%</f>
        <v>674032.35900000017</v>
      </c>
      <c r="K10"/>
      <c r="L10"/>
    </row>
    <row r="11" spans="1:12" s="16" customFormat="1" x14ac:dyDescent="0.3">
      <c r="A11"/>
      <c r="B11" s="46" t="s">
        <v>144</v>
      </c>
      <c r="C11" s="65">
        <v>18</v>
      </c>
      <c r="D11" s="65">
        <v>18</v>
      </c>
      <c r="E11" s="105">
        <f>+Tabla202426[[#This Row],[Material Contabilizado Ingresado al deposito ]]-Tabla202426[[#This Row],[Material Según Mensaje 25/10/2023]]</f>
        <v>0</v>
      </c>
      <c r="F11" s="71">
        <v>0</v>
      </c>
      <c r="G11" s="65">
        <f>+Tabla202426[[#This Row],[Material Contabilizado Ingresado al deposito ]]-Tabla202426[[#This Row],[Adeuda Agesta a Dos57]]</f>
        <v>18</v>
      </c>
      <c r="H11" s="99">
        <v>70.069999999999993</v>
      </c>
      <c r="I11" s="99">
        <f>+Tabla202426[[#This Row],[Valor Unitario en €]]*J$3*Tabla202426[[#This Row],[Subtotal Material ]]</f>
        <v>490630.1399999999</v>
      </c>
      <c r="J11" s="99">
        <f>+Tabla202426[[#This Row],[Total Precio en Pesos]]*5%</f>
        <v>24531.506999999998</v>
      </c>
      <c r="K11"/>
      <c r="L11"/>
    </row>
    <row r="12" spans="1:12" s="16" customFormat="1" x14ac:dyDescent="0.3">
      <c r="A12"/>
      <c r="B12" s="46" t="s">
        <v>78</v>
      </c>
      <c r="C12" s="65">
        <v>32</v>
      </c>
      <c r="D12" s="65">
        <v>32</v>
      </c>
      <c r="E12" s="105">
        <f>+Tabla202426[[#This Row],[Material Contabilizado Ingresado al deposito ]]-Tabla202426[[#This Row],[Material Según Mensaje 25/10/2023]]</f>
        <v>0</v>
      </c>
      <c r="F12" s="71">
        <v>2</v>
      </c>
      <c r="G12" s="65">
        <f>+Tabla202426[[#This Row],[Material Contabilizado Ingresado al deposito ]]-Tabla202426[[#This Row],[Adeuda Agesta a Dos57]]</f>
        <v>30</v>
      </c>
      <c r="H12" s="99">
        <v>61.23</v>
      </c>
      <c r="I12" s="99">
        <f>+Tabla202426[[#This Row],[Valor Unitario en €]]*J$3*Tabla202426[[#This Row],[Subtotal Material ]]</f>
        <v>714554.1</v>
      </c>
      <c r="J12" s="99">
        <f>+Tabla202426[[#This Row],[Total Precio en Pesos]]*5%</f>
        <v>35727.705000000002</v>
      </c>
      <c r="K12"/>
      <c r="L12"/>
    </row>
    <row r="13" spans="1:12" s="16" customFormat="1" x14ac:dyDescent="0.3">
      <c r="A13"/>
      <c r="B13" s="46" t="s">
        <v>50</v>
      </c>
      <c r="C13" s="65">
        <v>57</v>
      </c>
      <c r="D13" s="65">
        <v>57</v>
      </c>
      <c r="E13" s="105">
        <f>+Tabla202426[[#This Row],[Material Contabilizado Ingresado al deposito ]]-Tabla202426[[#This Row],[Material Según Mensaje 25/10/2023]]</f>
        <v>0</v>
      </c>
      <c r="F13" s="71">
        <v>0</v>
      </c>
      <c r="G13" s="65">
        <f>+Tabla202426[[#This Row],[Material Contabilizado Ingresado al deposito ]]-Tabla202426[[#This Row],[Adeuda Agesta a Dos57]]</f>
        <v>57</v>
      </c>
      <c r="H13" s="99">
        <v>45.76</v>
      </c>
      <c r="I13" s="99">
        <f>+Tabla202426[[#This Row],[Valor Unitario en €]]*J$3*Tabla202426[[#This Row],[Subtotal Material ]]</f>
        <v>1014636.48</v>
      </c>
      <c r="J13" s="99">
        <f>+Tabla202426[[#This Row],[Total Precio en Pesos]]*5%</f>
        <v>50731.824000000001</v>
      </c>
      <c r="K13"/>
      <c r="L13"/>
    </row>
    <row r="14" spans="1:12" s="16" customFormat="1" x14ac:dyDescent="0.3">
      <c r="A14"/>
      <c r="B14" s="46" t="s">
        <v>51</v>
      </c>
      <c r="C14" s="65">
        <v>24</v>
      </c>
      <c r="D14" s="65">
        <v>21</v>
      </c>
      <c r="E14" s="105">
        <f>+Tabla202426[[#This Row],[Material Contabilizado Ingresado al deposito ]]-Tabla202426[[#This Row],[Material Según Mensaje 25/10/2023]]</f>
        <v>-3</v>
      </c>
      <c r="F14" s="71">
        <v>0</v>
      </c>
      <c r="G14" s="65">
        <f>+Tabla202426[[#This Row],[Material Contabilizado Ingresado al deposito ]]-Tabla202426[[#This Row],[Adeuda Agesta a Dos57]]</f>
        <v>21</v>
      </c>
      <c r="H14" s="99">
        <v>43.03</v>
      </c>
      <c r="I14" s="99">
        <f>+Tabla202426[[#This Row],[Valor Unitario en €]]*J$3*Tabla202426[[#This Row],[Subtotal Material ]]</f>
        <v>351512.07000000007</v>
      </c>
      <c r="J14" s="99">
        <f>+Tabla202426[[#This Row],[Total Precio en Pesos]]*5%</f>
        <v>17575.603500000005</v>
      </c>
      <c r="K14"/>
      <c r="L14"/>
    </row>
    <row r="15" spans="1:12" s="16" customFormat="1" x14ac:dyDescent="0.3">
      <c r="A15"/>
      <c r="B15" s="46" t="s">
        <v>31</v>
      </c>
      <c r="C15" s="65">
        <v>26</v>
      </c>
      <c r="D15" s="65">
        <v>26</v>
      </c>
      <c r="E15" s="105">
        <f>+Tabla202426[[#This Row],[Material Contabilizado Ingresado al deposito ]]-Tabla202426[[#This Row],[Material Según Mensaje 25/10/2023]]</f>
        <v>0</v>
      </c>
      <c r="F15" s="71">
        <v>0</v>
      </c>
      <c r="G15" s="65">
        <f>+Tabla202426[[#This Row],[Material Contabilizado Ingresado al deposito ]]-Tabla202426[[#This Row],[Adeuda Agesta a Dos57]]</f>
        <v>26</v>
      </c>
      <c r="H15" s="99">
        <v>148.19999999999999</v>
      </c>
      <c r="I15" s="99">
        <f>+Tabla202426[[#This Row],[Valor Unitario en €]]*J$3*Tabla202426[[#This Row],[Subtotal Material ]]</f>
        <v>1498894.7999999998</v>
      </c>
      <c r="J15" s="99">
        <f>+Tabla202426[[#This Row],[Total Precio en Pesos]]*5%</f>
        <v>74944.739999999991</v>
      </c>
      <c r="K15"/>
      <c r="L15"/>
    </row>
    <row r="16" spans="1:12" s="16" customFormat="1" x14ac:dyDescent="0.3">
      <c r="A16"/>
      <c r="B16" s="46" t="s">
        <v>49</v>
      </c>
      <c r="C16" s="65">
        <v>29</v>
      </c>
      <c r="D16" s="65">
        <v>29</v>
      </c>
      <c r="E16" s="105">
        <f>+Tabla202426[[#This Row],[Material Contabilizado Ingresado al deposito ]]-Tabla202426[[#This Row],[Material Según Mensaje 25/10/2023]]</f>
        <v>0</v>
      </c>
      <c r="F16" s="71">
        <v>0</v>
      </c>
      <c r="G16" s="65">
        <f>+Tabla202426[[#This Row],[Material Contabilizado Ingresado al deposito ]]-Tabla202426[[#This Row],[Adeuda Agesta a Dos57]]</f>
        <v>29</v>
      </c>
      <c r="H16" s="99">
        <v>55.64</v>
      </c>
      <c r="I16" s="99">
        <f>+Tabla202426[[#This Row],[Valor Unitario en €]]*J$3*Tabla202426[[#This Row],[Subtotal Material ]]</f>
        <v>627674.84</v>
      </c>
      <c r="J16" s="99">
        <f>+Tabla202426[[#This Row],[Total Precio en Pesos]]*5%</f>
        <v>31383.741999999998</v>
      </c>
      <c r="K16"/>
      <c r="L16"/>
    </row>
    <row r="17" spans="1:12" s="16" customFormat="1" x14ac:dyDescent="0.3">
      <c r="A17"/>
      <c r="B17" s="46" t="s">
        <v>148</v>
      </c>
      <c r="C17" s="65">
        <v>31</v>
      </c>
      <c r="D17" s="65">
        <v>32</v>
      </c>
      <c r="E17" s="105">
        <f>+Tabla202426[[#This Row],[Material Contabilizado Ingresado al deposito ]]-Tabla202426[[#This Row],[Material Según Mensaje 25/10/2023]]</f>
        <v>1</v>
      </c>
      <c r="F17" s="71">
        <v>14</v>
      </c>
      <c r="G17" s="65">
        <f>+Tabla202426[[#This Row],[Material Contabilizado Ingresado al deposito ]]-Tabla202426[[#This Row],[Adeuda Agesta a Dos57]]</f>
        <v>18</v>
      </c>
      <c r="H17" s="99">
        <v>37.96</v>
      </c>
      <c r="I17" s="99">
        <f>+Tabla202426[[#This Row],[Valor Unitario en €]]*J$3*Tabla202426[[#This Row],[Subtotal Material ]]</f>
        <v>265795.92</v>
      </c>
      <c r="J17" s="99">
        <f>+Tabla202426[[#This Row],[Total Precio en Pesos]]*5%</f>
        <v>13289.796</v>
      </c>
      <c r="K17"/>
      <c r="L17"/>
    </row>
    <row r="18" spans="1:12" s="16" customFormat="1" x14ac:dyDescent="0.3">
      <c r="A18"/>
      <c r="B18" s="46" t="s">
        <v>7</v>
      </c>
      <c r="C18" s="65">
        <v>120</v>
      </c>
      <c r="D18" s="65">
        <v>120</v>
      </c>
      <c r="E18" s="105">
        <f>+Tabla202426[[#This Row],[Material Contabilizado Ingresado al deposito ]]-Tabla202426[[#This Row],[Material Según Mensaje 25/10/2023]]</f>
        <v>0</v>
      </c>
      <c r="F18" s="71">
        <v>0</v>
      </c>
      <c r="G18" s="65">
        <f>+Tabla202426[[#This Row],[Material Contabilizado Ingresado al deposito ]]-Tabla202426[[#This Row],[Adeuda Agesta a Dos57]]</f>
        <v>120</v>
      </c>
      <c r="H18" s="99">
        <v>28.34</v>
      </c>
      <c r="I18" s="99">
        <f>+Tabla202426[[#This Row],[Valor Unitario en €]]*J$3*Tabla202426[[#This Row],[Subtotal Material ]]</f>
        <v>1322911.2</v>
      </c>
      <c r="J18" s="99">
        <f>+Tabla202426[[#This Row],[Total Precio en Pesos]]*5%</f>
        <v>66145.56</v>
      </c>
      <c r="K18"/>
      <c r="L18"/>
    </row>
    <row r="19" spans="1:12" s="16" customFormat="1" x14ac:dyDescent="0.3">
      <c r="A19"/>
      <c r="B19" s="46" t="s">
        <v>17</v>
      </c>
      <c r="C19" s="65">
        <v>120</v>
      </c>
      <c r="D19" s="65">
        <v>120</v>
      </c>
      <c r="E19" s="105">
        <f>+Tabla202426[[#This Row],[Material Contabilizado Ingresado al deposito ]]-Tabla202426[[#This Row],[Material Según Mensaje 25/10/2023]]</f>
        <v>0</v>
      </c>
      <c r="F19" s="71">
        <v>2</v>
      </c>
      <c r="G19" s="65">
        <f>+Tabla202426[[#This Row],[Material Contabilizado Ingresado al deposito ]]-Tabla202426[[#This Row],[Adeuda Agesta a Dos57]]</f>
        <v>118</v>
      </c>
      <c r="H19" s="99">
        <v>19.89</v>
      </c>
      <c r="I19" s="99">
        <f>+Tabla202426[[#This Row],[Valor Unitario en €]]*J$3*Tabla202426[[#This Row],[Subtotal Material ]]</f>
        <v>912990.78</v>
      </c>
      <c r="J19" s="99">
        <f>+Tabla202426[[#This Row],[Total Precio en Pesos]]*5%</f>
        <v>45649.539000000004</v>
      </c>
      <c r="K19"/>
      <c r="L19"/>
    </row>
    <row r="20" spans="1:12" s="16" customFormat="1" x14ac:dyDescent="0.3">
      <c r="A20"/>
      <c r="B20" s="46" t="s">
        <v>209</v>
      </c>
      <c r="C20" s="65">
        <v>22</v>
      </c>
      <c r="D20" s="65">
        <v>21</v>
      </c>
      <c r="E20" s="105">
        <f>+Tabla202426[[#This Row],[Material Contabilizado Ingresado al deposito ]]-Tabla202426[[#This Row],[Material Según Mensaje 25/10/2023]]</f>
        <v>-1</v>
      </c>
      <c r="F20" s="71">
        <v>0</v>
      </c>
      <c r="G20" s="65">
        <f>+Tabla202426[[#This Row],[Material Contabilizado Ingresado al deposito ]]-Tabla202426[[#This Row],[Adeuda Agesta a Dos57]]</f>
        <v>21</v>
      </c>
      <c r="H20" s="99">
        <v>72.739999999999995</v>
      </c>
      <c r="I20" s="99">
        <f>+Tabla202426[[#This Row],[Valor Unitario en €]]*J$3*Tabla202426[[#This Row],[Subtotal Material ]]</f>
        <v>594213.05999999994</v>
      </c>
      <c r="J20" s="99">
        <f>+Tabla202426[[#This Row],[Total Precio en Pesos]]*5%</f>
        <v>29710.652999999998</v>
      </c>
      <c r="K20"/>
      <c r="L20"/>
    </row>
    <row r="21" spans="1:12" s="16" customFormat="1" x14ac:dyDescent="0.3">
      <c r="A21"/>
      <c r="B21" s="46" t="s">
        <v>142</v>
      </c>
      <c r="C21" s="65">
        <v>792</v>
      </c>
      <c r="D21" s="65">
        <v>790</v>
      </c>
      <c r="E21" s="105">
        <f>+Tabla202426[[#This Row],[Material Contabilizado Ingresado al deposito ]]-Tabla202426[[#This Row],[Material Según Mensaje 25/10/2023]]</f>
        <v>-2</v>
      </c>
      <c r="F21" s="71">
        <v>0</v>
      </c>
      <c r="G21" s="65">
        <f>+Tabla202426[[#This Row],[Material Contabilizado Ingresado al deposito ]]-Tabla202426[[#This Row],[Adeuda Agesta a Dos57]]</f>
        <v>790</v>
      </c>
      <c r="H21" s="99">
        <v>64.349999999999994</v>
      </c>
      <c r="I21" s="99">
        <f>+Tabla202426[[#This Row],[Valor Unitario en €]]*J$3*Tabla202426[[#This Row],[Subtotal Material ]]</f>
        <v>19775398.5</v>
      </c>
      <c r="J21" s="99">
        <f>+Tabla202426[[#This Row],[Total Precio en Pesos]]*5%</f>
        <v>988769.92500000005</v>
      </c>
      <c r="K21"/>
      <c r="L21"/>
    </row>
    <row r="22" spans="1:12" s="16" customFormat="1" x14ac:dyDescent="0.3">
      <c r="A22"/>
      <c r="B22" s="46" t="s">
        <v>48</v>
      </c>
      <c r="C22" s="65">
        <v>50</v>
      </c>
      <c r="D22" s="65">
        <v>48</v>
      </c>
      <c r="E22" s="105">
        <f>+Tabla202426[[#This Row],[Material Contabilizado Ingresado al deposito ]]-Tabla202426[[#This Row],[Material Según Mensaje 25/10/2023]]</f>
        <v>-2</v>
      </c>
      <c r="F22" s="71">
        <v>2</v>
      </c>
      <c r="G22" s="65">
        <f>+Tabla202426[[#This Row],[Material Contabilizado Ingresado al deposito ]]-Tabla202426[[#This Row],[Adeuda Agesta a Dos57]]</f>
        <v>46</v>
      </c>
      <c r="H22" s="99">
        <v>39.39</v>
      </c>
      <c r="I22" s="99">
        <f>+Tabla202426[[#This Row],[Valor Unitario en €]]*J$3*Tabla202426[[#This Row],[Subtotal Material ]]</f>
        <v>704844.66</v>
      </c>
      <c r="J22" s="99">
        <f>+Tabla202426[[#This Row],[Total Precio en Pesos]]*5%</f>
        <v>35242.233</v>
      </c>
      <c r="K22"/>
      <c r="L22"/>
    </row>
    <row r="23" spans="1:12" s="16" customFormat="1" x14ac:dyDescent="0.3">
      <c r="A23"/>
      <c r="B23" s="46" t="s">
        <v>52</v>
      </c>
      <c r="C23" s="65">
        <v>61</v>
      </c>
      <c r="D23" s="65">
        <v>62</v>
      </c>
      <c r="E23" s="65">
        <f>+Tabla202426[[#This Row],[Material Contabilizado Ingresado al deposito ]]-Tabla202426[[#This Row],[Material Según Mensaje 25/10/2023]]</f>
        <v>1</v>
      </c>
      <c r="F23" s="71">
        <v>0</v>
      </c>
      <c r="G23" s="65">
        <f>+Tabla202426[[#This Row],[Material Contabilizado Ingresado al deposito ]]-Tabla202426[[#This Row],[Adeuda Agesta a Dos57]]</f>
        <v>62</v>
      </c>
      <c r="H23" s="99">
        <v>33.020000000000003</v>
      </c>
      <c r="I23" s="99">
        <f>+Tabla202426[[#This Row],[Valor Unitario en €]]*J$3*Tabla202426[[#This Row],[Subtotal Material ]]</f>
        <v>796376.36</v>
      </c>
      <c r="J23" s="99">
        <f>+Tabla202426[[#This Row],[Total Precio en Pesos]]*5%</f>
        <v>39818.817999999999</v>
      </c>
      <c r="K23"/>
      <c r="L23"/>
    </row>
    <row r="24" spans="1:12" x14ac:dyDescent="0.3">
      <c r="B24" s="75"/>
      <c r="C24" s="76"/>
      <c r="D24" s="76"/>
      <c r="E24" s="76"/>
      <c r="F24" s="77"/>
      <c r="G24" s="78"/>
      <c r="H24" s="77"/>
      <c r="I24" s="77"/>
      <c r="J24" s="100">
        <f>SUBTOTAL(109,Tabla202426[Valor Alquiler 5%])</f>
        <v>2783550.5730000008</v>
      </c>
    </row>
    <row r="25" spans="1:12" ht="15" thickBot="1" x14ac:dyDescent="0.35">
      <c r="H25" s="103" t="s">
        <v>238</v>
      </c>
      <c r="I25" s="104">
        <v>45230</v>
      </c>
      <c r="J25" s="101">
        <v>600000</v>
      </c>
    </row>
    <row r="26" spans="1:12" ht="15" thickBot="1" x14ac:dyDescent="0.35">
      <c r="H26" s="187" t="s">
        <v>239</v>
      </c>
      <c r="I26" s="188"/>
      <c r="J26" s="102">
        <f>+Tabla202426[[#Totals],[Valor Alquiler 5%]]-J25</f>
        <v>2183550.5730000008</v>
      </c>
    </row>
  </sheetData>
  <mergeCells count="3">
    <mergeCell ref="B2:J2"/>
    <mergeCell ref="B3:H3"/>
    <mergeCell ref="H26:I26"/>
  </mergeCells>
  <pageMargins left="0.11811023622047245" right="0.11811023622047245" top="0.19685039370078741" bottom="0.19685039370078741" header="0.31496062992125984" footer="0.31496062992125984"/>
  <pageSetup scale="98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zoomScale="130" zoomScaleNormal="130" workbookViewId="0">
      <selection activeCell="B2" sqref="B2:G24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0.77734375" style="1" customWidth="1"/>
    <col min="4" max="4" width="20.77734375" hidden="1" customWidth="1"/>
    <col min="5" max="6" width="20.77734375" customWidth="1"/>
    <col min="7" max="7" width="20.77734375" style="16" customWidth="1"/>
    <col min="8" max="8" width="11.5546875" customWidth="1"/>
  </cols>
  <sheetData>
    <row r="1" spans="1:9" ht="15" thickBot="1" x14ac:dyDescent="0.35"/>
    <row r="2" spans="1:9" ht="15" customHeight="1" thickBot="1" x14ac:dyDescent="0.35">
      <c r="B2" s="178" t="s">
        <v>244</v>
      </c>
      <c r="C2" s="179"/>
      <c r="D2" s="179"/>
      <c r="E2" s="179"/>
      <c r="F2" s="179"/>
      <c r="G2" s="180"/>
    </row>
    <row r="3" spans="1:9" ht="15" thickBot="1" x14ac:dyDescent="0.35">
      <c r="B3" s="184" t="s">
        <v>191</v>
      </c>
      <c r="C3" s="185"/>
      <c r="D3" s="186"/>
      <c r="E3" s="107"/>
      <c r="F3" s="97" t="s">
        <v>241</v>
      </c>
      <c r="G3" s="98">
        <v>941</v>
      </c>
    </row>
    <row r="4" spans="1:9" ht="30" customHeight="1" x14ac:dyDescent="0.3">
      <c r="B4" s="44" t="s">
        <v>0</v>
      </c>
      <c r="C4" s="43" t="s">
        <v>240</v>
      </c>
      <c r="D4" s="29" t="s">
        <v>242</v>
      </c>
      <c r="E4" s="29" t="s">
        <v>243</v>
      </c>
      <c r="F4" s="29" t="s">
        <v>236</v>
      </c>
      <c r="G4" s="29" t="s">
        <v>237</v>
      </c>
    </row>
    <row r="5" spans="1:9" x14ac:dyDescent="0.3">
      <c r="B5" s="46" t="s">
        <v>33</v>
      </c>
      <c r="C5" s="65">
        <v>12</v>
      </c>
      <c r="D5" s="99">
        <v>263.64</v>
      </c>
      <c r="E5" s="99">
        <f>+Tabla2024267[[#This Row],[Valor Unitario en € ]]*5%+Tabla2024267[[#This Row],[Valor Unitario en € ]]</f>
        <v>276.822</v>
      </c>
      <c r="F5" s="99">
        <f>+Tabla2024267[[#This Row],[Marterial Final Alquiler]]*Tabla2024267[[#This Row],[Valor Unitario en € + 5%]]*G$3</f>
        <v>3125874.0240000002</v>
      </c>
      <c r="G5" s="99">
        <f>+Tabla2024267[[#This Row],[Total Precio en Pesos]]*5%</f>
        <v>156293.70120000001</v>
      </c>
    </row>
    <row r="6" spans="1:9" x14ac:dyDescent="0.3">
      <c r="B6" s="46" t="s">
        <v>167</v>
      </c>
      <c r="C6" s="65">
        <v>320</v>
      </c>
      <c r="D6" s="99">
        <v>76.83</v>
      </c>
      <c r="E6" s="99">
        <f>+Tabla2024267[[#This Row],[Valor Unitario en € ]]*5%+Tabla2024267[[#This Row],[Valor Unitario en € ]]</f>
        <v>80.671499999999995</v>
      </c>
      <c r="F6" s="99">
        <f>+Tabla2024267[[#This Row],[Marterial Final Alquiler]]*Tabla2024267[[#This Row],[Valor Unitario en € + 5%]]*G$3</f>
        <v>24291802.079999998</v>
      </c>
      <c r="G6" s="99">
        <f>+Tabla2024267[[#This Row],[Total Precio en Pesos]]*5%</f>
        <v>1214590.1040000001</v>
      </c>
    </row>
    <row r="7" spans="1:9" x14ac:dyDescent="0.3">
      <c r="B7" s="46" t="s">
        <v>190</v>
      </c>
      <c r="C7" s="65">
        <v>12</v>
      </c>
      <c r="D7" s="99">
        <v>66.95</v>
      </c>
      <c r="E7" s="99">
        <f>+Tabla2024267[[#This Row],[Valor Unitario en € ]]*5%+Tabla2024267[[#This Row],[Valor Unitario en € ]]</f>
        <v>70.297499999999999</v>
      </c>
      <c r="F7" s="99">
        <f>+Tabla2024267[[#This Row],[Marterial Final Alquiler]]*Tabla2024267[[#This Row],[Valor Unitario en € + 5%]]*G$3</f>
        <v>793799.37</v>
      </c>
      <c r="G7" s="99">
        <f>+Tabla2024267[[#This Row],[Total Precio en Pesos]]*5%</f>
        <v>39689.968500000003</v>
      </c>
    </row>
    <row r="8" spans="1:9" x14ac:dyDescent="0.3">
      <c r="B8" s="46" t="s">
        <v>189</v>
      </c>
      <c r="C8" s="65">
        <v>52</v>
      </c>
      <c r="D8" s="99">
        <v>65.650000000000006</v>
      </c>
      <c r="E8" s="99">
        <f>+Tabla2024267[[#This Row],[Valor Unitario en € ]]*5%+Tabla2024267[[#This Row],[Valor Unitario en € ]]</f>
        <v>68.932500000000005</v>
      </c>
      <c r="F8" s="99">
        <f>+Tabla2024267[[#This Row],[Marterial Final Alquiler]]*Tabla2024267[[#This Row],[Valor Unitario en € + 5%]]*G$3</f>
        <v>3373005.0900000003</v>
      </c>
      <c r="G8" s="99">
        <f>+Tabla2024267[[#This Row],[Total Precio en Pesos]]*5%</f>
        <v>168650.25450000004</v>
      </c>
    </row>
    <row r="9" spans="1:9" s="16" customFormat="1" x14ac:dyDescent="0.3">
      <c r="A9"/>
      <c r="B9" s="46" t="s">
        <v>55</v>
      </c>
      <c r="C9" s="65">
        <v>15</v>
      </c>
      <c r="D9" s="99">
        <v>117.39</v>
      </c>
      <c r="E9" s="99">
        <f>+Tabla2024267[[#This Row],[Valor Unitario en € ]]*5%+Tabla2024267[[#This Row],[Valor Unitario en € ]]</f>
        <v>123.2595</v>
      </c>
      <c r="F9" s="99">
        <f>+Tabla2024267[[#This Row],[Marterial Final Alquiler]]*Tabla2024267[[#This Row],[Valor Unitario en € + 5%]]*G$3</f>
        <v>1739807.8425</v>
      </c>
      <c r="G9" s="99">
        <f>+Tabla2024267[[#This Row],[Total Precio en Pesos]]*5%</f>
        <v>86990.392125000013</v>
      </c>
      <c r="H9"/>
      <c r="I9"/>
    </row>
    <row r="10" spans="1:9" s="16" customFormat="1" x14ac:dyDescent="0.3">
      <c r="A10"/>
      <c r="B10" s="46" t="s">
        <v>143</v>
      </c>
      <c r="C10" s="65">
        <v>462</v>
      </c>
      <c r="D10" s="99">
        <v>75.010000000000005</v>
      </c>
      <c r="E10" s="99">
        <f>+Tabla2024267[[#This Row],[Valor Unitario en € ]]*5%+Tabla2024267[[#This Row],[Valor Unitario en € ]]</f>
        <v>78.760500000000008</v>
      </c>
      <c r="F10" s="99">
        <f>+Tabla2024267[[#This Row],[Marterial Final Alquiler]]*Tabla2024267[[#This Row],[Valor Unitario en € + 5%]]*G$3</f>
        <v>34240497.291000001</v>
      </c>
      <c r="G10" s="99">
        <f>+Tabla2024267[[#This Row],[Total Precio en Pesos]]*5%</f>
        <v>1712024.8645500001</v>
      </c>
      <c r="H10"/>
      <c r="I10"/>
    </row>
    <row r="11" spans="1:9" s="16" customFormat="1" x14ac:dyDescent="0.3">
      <c r="A11"/>
      <c r="B11" s="46" t="s">
        <v>144</v>
      </c>
      <c r="C11" s="65">
        <v>18</v>
      </c>
      <c r="D11" s="99">
        <v>70.069999999999993</v>
      </c>
      <c r="E11" s="99">
        <f>+Tabla2024267[[#This Row],[Valor Unitario en € ]]*5%+Tabla2024267[[#This Row],[Valor Unitario en € ]]</f>
        <v>73.573499999999996</v>
      </c>
      <c r="F11" s="99">
        <f>+Tabla2024267[[#This Row],[Marterial Final Alquiler]]*Tabla2024267[[#This Row],[Valor Unitario en € + 5%]]*G$3</f>
        <v>1246187.943</v>
      </c>
      <c r="G11" s="99">
        <f>+Tabla2024267[[#This Row],[Total Precio en Pesos]]*5%</f>
        <v>62309.397150000004</v>
      </c>
      <c r="H11"/>
      <c r="I11"/>
    </row>
    <row r="12" spans="1:9" s="16" customFormat="1" x14ac:dyDescent="0.3">
      <c r="A12"/>
      <c r="B12" s="46" t="s">
        <v>78</v>
      </c>
      <c r="C12" s="65">
        <v>30</v>
      </c>
      <c r="D12" s="99">
        <v>61.23</v>
      </c>
      <c r="E12" s="99">
        <f>+Tabla2024267[[#This Row],[Valor Unitario en € ]]*5%+Tabla2024267[[#This Row],[Valor Unitario en € ]]</f>
        <v>64.291499999999999</v>
      </c>
      <c r="F12" s="99">
        <f>+Tabla2024267[[#This Row],[Marterial Final Alquiler]]*Tabla2024267[[#This Row],[Valor Unitario en € + 5%]]*G$3</f>
        <v>1814949.0449999999</v>
      </c>
      <c r="G12" s="99">
        <f>+Tabla2024267[[#This Row],[Total Precio en Pesos]]*5%</f>
        <v>90747.452250000002</v>
      </c>
      <c r="H12"/>
      <c r="I12"/>
    </row>
    <row r="13" spans="1:9" s="16" customFormat="1" x14ac:dyDescent="0.3">
      <c r="A13"/>
      <c r="B13" s="46" t="s">
        <v>50</v>
      </c>
      <c r="C13" s="65">
        <v>57</v>
      </c>
      <c r="D13" s="99">
        <v>45.76</v>
      </c>
      <c r="E13" s="99">
        <f>+Tabla2024267[[#This Row],[Valor Unitario en € ]]*5%+Tabla2024267[[#This Row],[Valor Unitario en € ]]</f>
        <v>48.047999999999995</v>
      </c>
      <c r="F13" s="99">
        <f>+Tabla2024267[[#This Row],[Marterial Final Alquiler]]*Tabla2024267[[#This Row],[Valor Unitario en € + 5%]]*G$3</f>
        <v>2577150.5759999999</v>
      </c>
      <c r="G13" s="99">
        <f>+Tabla2024267[[#This Row],[Total Precio en Pesos]]*5%</f>
        <v>128857.5288</v>
      </c>
      <c r="H13"/>
      <c r="I13"/>
    </row>
    <row r="14" spans="1:9" s="16" customFormat="1" x14ac:dyDescent="0.3">
      <c r="A14"/>
      <c r="B14" s="46" t="s">
        <v>51</v>
      </c>
      <c r="C14" s="65">
        <v>21</v>
      </c>
      <c r="D14" s="99">
        <v>43.03</v>
      </c>
      <c r="E14" s="99">
        <f>+Tabla2024267[[#This Row],[Valor Unitario en € ]]*5%+Tabla2024267[[#This Row],[Valor Unitario en € ]]</f>
        <v>45.1815</v>
      </c>
      <c r="F14" s="99">
        <f>+Tabla2024267[[#This Row],[Marterial Final Alquiler]]*Tabla2024267[[#This Row],[Valor Unitario en € + 5%]]*G$3</f>
        <v>892831.62150000001</v>
      </c>
      <c r="G14" s="99">
        <f>+Tabla2024267[[#This Row],[Total Precio en Pesos]]*5%</f>
        <v>44641.581075000002</v>
      </c>
      <c r="H14"/>
      <c r="I14"/>
    </row>
    <row r="15" spans="1:9" s="16" customFormat="1" x14ac:dyDescent="0.3">
      <c r="A15"/>
      <c r="B15" s="46" t="s">
        <v>31</v>
      </c>
      <c r="C15" s="65">
        <v>26</v>
      </c>
      <c r="D15" s="99">
        <v>148.19999999999999</v>
      </c>
      <c r="E15" s="99">
        <f>+Tabla2024267[[#This Row],[Valor Unitario en € ]]*5%+Tabla2024267[[#This Row],[Valor Unitario en € ]]</f>
        <v>155.60999999999999</v>
      </c>
      <c r="F15" s="99">
        <f>+Tabla2024267[[#This Row],[Marterial Final Alquiler]]*Tabla2024267[[#This Row],[Valor Unitario en € + 5%]]*G$3</f>
        <v>3807154.26</v>
      </c>
      <c r="G15" s="99">
        <f>+Tabla2024267[[#This Row],[Total Precio en Pesos]]*5%</f>
        <v>190357.71299999999</v>
      </c>
      <c r="H15"/>
      <c r="I15"/>
    </row>
    <row r="16" spans="1:9" s="16" customFormat="1" x14ac:dyDescent="0.3">
      <c r="A16"/>
      <c r="B16" s="46" t="s">
        <v>49</v>
      </c>
      <c r="C16" s="65">
        <v>29</v>
      </c>
      <c r="D16" s="99">
        <v>55.64</v>
      </c>
      <c r="E16" s="99">
        <f>+Tabla2024267[[#This Row],[Valor Unitario en € ]]*5%+Tabla2024267[[#This Row],[Valor Unitario en € ]]</f>
        <v>58.421999999999997</v>
      </c>
      <c r="F16" s="99">
        <f>+Tabla2024267[[#This Row],[Marterial Final Alquiler]]*Tabla2024267[[#This Row],[Valor Unitario en € + 5%]]*G$3</f>
        <v>1594277.9579999999</v>
      </c>
      <c r="G16" s="99">
        <f>+Tabla2024267[[#This Row],[Total Precio en Pesos]]*5%</f>
        <v>79713.897899999996</v>
      </c>
      <c r="H16"/>
      <c r="I16"/>
    </row>
    <row r="17" spans="1:9" s="16" customFormat="1" x14ac:dyDescent="0.3">
      <c r="A17"/>
      <c r="B17" s="46" t="s">
        <v>148</v>
      </c>
      <c r="C17" s="65">
        <v>18</v>
      </c>
      <c r="D17" s="99">
        <v>37.96</v>
      </c>
      <c r="E17" s="99">
        <f>+Tabla2024267[[#This Row],[Valor Unitario en € ]]*5%+Tabla2024267[[#This Row],[Valor Unitario en € ]]</f>
        <v>39.858000000000004</v>
      </c>
      <c r="F17" s="99">
        <f>+Tabla2024267[[#This Row],[Marterial Final Alquiler]]*Tabla2024267[[#This Row],[Valor Unitario en € + 5%]]*G$3</f>
        <v>675114.80400000012</v>
      </c>
      <c r="G17" s="99">
        <f>+Tabla2024267[[#This Row],[Total Precio en Pesos]]*5%</f>
        <v>33755.740200000007</v>
      </c>
      <c r="H17"/>
      <c r="I17"/>
    </row>
    <row r="18" spans="1:9" s="16" customFormat="1" x14ac:dyDescent="0.3">
      <c r="A18"/>
      <c r="B18" s="46" t="s">
        <v>7</v>
      </c>
      <c r="C18" s="65">
        <v>120</v>
      </c>
      <c r="D18" s="99">
        <v>28.34</v>
      </c>
      <c r="E18" s="99">
        <f>+Tabla2024267[[#This Row],[Valor Unitario en € ]]*5%+Tabla2024267[[#This Row],[Valor Unitario en € ]]</f>
        <v>29.757000000000001</v>
      </c>
      <c r="F18" s="99">
        <f>+Tabla2024267[[#This Row],[Marterial Final Alquiler]]*Tabla2024267[[#This Row],[Valor Unitario en € + 5%]]*G$3</f>
        <v>3360160.44</v>
      </c>
      <c r="G18" s="99">
        <f>+Tabla2024267[[#This Row],[Total Precio en Pesos]]*5%</f>
        <v>168008.022</v>
      </c>
      <c r="H18"/>
      <c r="I18"/>
    </row>
    <row r="19" spans="1:9" s="16" customFormat="1" x14ac:dyDescent="0.3">
      <c r="A19"/>
      <c r="B19" s="46" t="s">
        <v>17</v>
      </c>
      <c r="C19" s="65">
        <v>118</v>
      </c>
      <c r="D19" s="99">
        <v>19.89</v>
      </c>
      <c r="E19" s="99">
        <f>+Tabla2024267[[#This Row],[Valor Unitario en € ]]*5%+Tabla2024267[[#This Row],[Valor Unitario en € ]]</f>
        <v>20.884499999999999</v>
      </c>
      <c r="F19" s="99">
        <f>+Tabla2024267[[#This Row],[Marterial Final Alquiler]]*Tabla2024267[[#This Row],[Valor Unitario en € + 5%]]*G$3</f>
        <v>2318973.111</v>
      </c>
      <c r="G19" s="99">
        <f>+Tabla2024267[[#This Row],[Total Precio en Pesos]]*5%</f>
        <v>115948.65555000001</v>
      </c>
      <c r="H19"/>
      <c r="I19"/>
    </row>
    <row r="20" spans="1:9" s="16" customFormat="1" x14ac:dyDescent="0.3">
      <c r="A20"/>
      <c r="B20" s="46" t="s">
        <v>209</v>
      </c>
      <c r="C20" s="65">
        <v>21</v>
      </c>
      <c r="D20" s="99">
        <v>72.739999999999995</v>
      </c>
      <c r="E20" s="99">
        <f>+Tabla2024267[[#This Row],[Valor Unitario en € ]]*5%+Tabla2024267[[#This Row],[Valor Unitario en € ]]</f>
        <v>76.376999999999995</v>
      </c>
      <c r="F20" s="99">
        <f>+Tabla2024267[[#This Row],[Marterial Final Alquiler]]*Tabla2024267[[#This Row],[Valor Unitario en € + 5%]]*G$3</f>
        <v>1509285.8969999999</v>
      </c>
      <c r="G20" s="99">
        <f>+Tabla2024267[[#This Row],[Total Precio en Pesos]]*5%</f>
        <v>75464.294849999991</v>
      </c>
      <c r="H20"/>
      <c r="I20"/>
    </row>
    <row r="21" spans="1:9" s="16" customFormat="1" x14ac:dyDescent="0.3">
      <c r="A21"/>
      <c r="B21" s="46" t="s">
        <v>142</v>
      </c>
      <c r="C21" s="65">
        <v>790</v>
      </c>
      <c r="D21" s="99">
        <v>64.349999999999994</v>
      </c>
      <c r="E21" s="99">
        <f>+Tabla2024267[[#This Row],[Valor Unitario en € ]]*5%+Tabla2024267[[#This Row],[Valor Unitario en € ]]</f>
        <v>67.567499999999995</v>
      </c>
      <c r="F21" s="99">
        <f>+Tabla2024267[[#This Row],[Marterial Final Alquiler]]*Tabla2024267[[#This Row],[Valor Unitario en € + 5%]]*G$3</f>
        <v>50229003.824999996</v>
      </c>
      <c r="G21" s="99">
        <f>+Tabla2024267[[#This Row],[Total Precio en Pesos]]*5%</f>
        <v>2511450.1912499997</v>
      </c>
      <c r="H21"/>
      <c r="I21"/>
    </row>
    <row r="22" spans="1:9" s="16" customFormat="1" x14ac:dyDescent="0.3">
      <c r="A22"/>
      <c r="B22" s="46" t="s">
        <v>48</v>
      </c>
      <c r="C22" s="65">
        <v>46</v>
      </c>
      <c r="D22" s="99">
        <v>39.39</v>
      </c>
      <c r="E22" s="99">
        <f>+Tabla2024267[[#This Row],[Valor Unitario en € ]]*5%+Tabla2024267[[#This Row],[Valor Unitario en € ]]</f>
        <v>41.359499999999997</v>
      </c>
      <c r="F22" s="99">
        <f>+Tabla2024267[[#This Row],[Marterial Final Alquiler]]*Tabla2024267[[#This Row],[Valor Unitario en € + 5%]]*G$3</f>
        <v>1790287.3169999998</v>
      </c>
      <c r="G22" s="99">
        <f>+Tabla2024267[[#This Row],[Total Precio en Pesos]]*5%</f>
        <v>89514.365850000002</v>
      </c>
      <c r="H22"/>
      <c r="I22"/>
    </row>
    <row r="23" spans="1:9" s="16" customFormat="1" x14ac:dyDescent="0.3">
      <c r="A23"/>
      <c r="B23" s="46" t="s">
        <v>52</v>
      </c>
      <c r="C23" s="65">
        <v>62</v>
      </c>
      <c r="D23" s="99">
        <v>33.020000000000003</v>
      </c>
      <c r="E23" s="99">
        <f>+Tabla2024267[[#This Row],[Valor Unitario en € ]]*5%+Tabla2024267[[#This Row],[Valor Unitario en € ]]</f>
        <v>34.671000000000006</v>
      </c>
      <c r="F23" s="99">
        <f>+Tabla2024267[[#This Row],[Marterial Final Alquiler]]*Tabla2024267[[#This Row],[Valor Unitario en € + 5%]]*G$3</f>
        <v>2022775.4820000003</v>
      </c>
      <c r="G23" s="99">
        <f>+Tabla2024267[[#This Row],[Total Precio en Pesos]]*5%</f>
        <v>101138.77410000002</v>
      </c>
      <c r="H23"/>
      <c r="I23"/>
    </row>
    <row r="24" spans="1:9" x14ac:dyDescent="0.3">
      <c r="B24" s="55"/>
      <c r="C24" s="72"/>
      <c r="D24" s="73"/>
      <c r="E24" s="73"/>
      <c r="F24" s="73"/>
      <c r="G24" s="106">
        <f>SUBTOTAL(109,Tabla2024267[Valor Alquiler 5%])</f>
        <v>7070146.8988499995</v>
      </c>
    </row>
  </sheetData>
  <mergeCells count="2">
    <mergeCell ref="B2:G2"/>
    <mergeCell ref="B3:D3"/>
  </mergeCells>
  <pageMargins left="0.11811023622047245" right="0.11811023622047245" top="0.19685039370078741" bottom="0.19685039370078741" header="0.31496062992125984" footer="0.31496062992125984"/>
  <pageSetup scale="98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24"/>
  <sheetViews>
    <sheetView topLeftCell="A7" zoomScaleNormal="100" workbookViewId="0">
      <selection activeCell="B9" sqref="B9"/>
    </sheetView>
  </sheetViews>
  <sheetFormatPr baseColWidth="10" defaultRowHeight="14.4" x14ac:dyDescent="0.3"/>
  <cols>
    <col min="1" max="1" width="1.6640625" customWidth="1"/>
    <col min="2" max="2" width="30.77734375" style="2" customWidth="1"/>
    <col min="3" max="6" width="30.77734375" style="1" hidden="1" customWidth="1"/>
    <col min="7" max="7" width="30.77734375" hidden="1" customWidth="1"/>
    <col min="8" max="8" width="30.77734375" style="16" hidden="1" customWidth="1"/>
    <col min="9" max="9" width="30.77734375" hidden="1" customWidth="1"/>
    <col min="10" max="12" width="30.77734375" style="16" customWidth="1"/>
    <col min="13" max="13" width="11.5546875" customWidth="1"/>
  </cols>
  <sheetData>
    <row r="2" spans="1:14" ht="15" customHeight="1" x14ac:dyDescent="0.3">
      <c r="B2" s="189" t="s">
        <v>229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</row>
    <row r="3" spans="1:14" x14ac:dyDescent="0.3">
      <c r="B3" s="190" t="s">
        <v>191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</row>
    <row r="4" spans="1:14" ht="30" customHeight="1" x14ac:dyDescent="0.3">
      <c r="B4" s="86" t="s">
        <v>0</v>
      </c>
      <c r="C4" s="87" t="s">
        <v>207</v>
      </c>
      <c r="D4" s="87" t="s">
        <v>222</v>
      </c>
      <c r="E4" s="87" t="s">
        <v>220</v>
      </c>
      <c r="F4" s="88" t="s">
        <v>223</v>
      </c>
      <c r="G4" s="88" t="s">
        <v>221</v>
      </c>
      <c r="H4" s="89" t="s">
        <v>224</v>
      </c>
      <c r="I4" s="88" t="s">
        <v>225</v>
      </c>
      <c r="J4" s="89" t="s">
        <v>230</v>
      </c>
      <c r="K4" s="89" t="s">
        <v>231</v>
      </c>
      <c r="L4" s="89" t="s">
        <v>228</v>
      </c>
    </row>
    <row r="5" spans="1:14" ht="45" customHeight="1" x14ac:dyDescent="0.3">
      <c r="B5" s="81" t="s">
        <v>33</v>
      </c>
      <c r="C5" s="82">
        <v>12</v>
      </c>
      <c r="D5" s="83">
        <v>12</v>
      </c>
      <c r="E5" s="83">
        <v>12</v>
      </c>
      <c r="F5" s="83">
        <f>+Tabla202424[[#This Row],[Material Contabilizado Ingresado al deposito ]]-Tabla202424[[#This Row],[Material Según Mensaje 25/10/2023]]</f>
        <v>0</v>
      </c>
      <c r="G5" s="84">
        <v>0</v>
      </c>
      <c r="H5" s="83">
        <f>+Tabla202424[[#This Row],[Material Contabilizado Ingresado al deposito ]]-Tabla202424[[#This Row],[Adeuda Agesta a Dos57]]</f>
        <v>12</v>
      </c>
      <c r="I5" s="84">
        <v>0</v>
      </c>
      <c r="J5" s="81">
        <f>+Tabla202424[[#This Row],[Subtotal Material ]]+Tabla202424[[#This Row],[Adeuda Dos57 a Agesta]]</f>
        <v>12</v>
      </c>
      <c r="K5" s="81"/>
      <c r="L5" s="81"/>
    </row>
    <row r="6" spans="1:14" ht="45" customHeight="1" x14ac:dyDescent="0.3">
      <c r="B6" s="81" t="s">
        <v>167</v>
      </c>
      <c r="C6" s="82">
        <v>311</v>
      </c>
      <c r="D6" s="83">
        <v>343</v>
      </c>
      <c r="E6" s="83">
        <v>343</v>
      </c>
      <c r="F6" s="83">
        <f>+Tabla202424[[#This Row],[Material Contabilizado Ingresado al deposito ]]-Tabla202424[[#This Row],[Material Según Mensaje 25/10/2023]]</f>
        <v>0</v>
      </c>
      <c r="G6" s="84">
        <v>23</v>
      </c>
      <c r="H6" s="83">
        <f>+Tabla202424[[#This Row],[Material Contabilizado Ingresado al deposito ]]-Tabla202424[[#This Row],[Adeuda Agesta a Dos57]]</f>
        <v>320</v>
      </c>
      <c r="I6" s="84">
        <v>0</v>
      </c>
      <c r="J6" s="81">
        <f>+Tabla202424[[#This Row],[Subtotal Material ]]+Tabla202424[[#This Row],[Adeuda Dos57 a Agesta]]</f>
        <v>320</v>
      </c>
      <c r="K6" s="81"/>
      <c r="L6" s="81"/>
    </row>
    <row r="7" spans="1:14" ht="45" customHeight="1" x14ac:dyDescent="0.3">
      <c r="B7" s="81" t="s">
        <v>190</v>
      </c>
      <c r="C7" s="82">
        <v>8</v>
      </c>
      <c r="D7" s="83">
        <v>0</v>
      </c>
      <c r="E7" s="83">
        <v>12</v>
      </c>
      <c r="F7" s="83">
        <f>+Tabla202424[[#This Row],[Material Contabilizado Ingresado al deposito ]]-Tabla202424[[#This Row],[Material Según Mensaje 25/10/2023]]</f>
        <v>12</v>
      </c>
      <c r="G7" s="84">
        <v>0</v>
      </c>
      <c r="H7" s="83">
        <f>+Tabla202424[[#This Row],[Material Contabilizado Ingresado al deposito ]]-Tabla202424[[#This Row],[Adeuda Agesta a Dos57]]</f>
        <v>12</v>
      </c>
      <c r="I7" s="84">
        <v>0</v>
      </c>
      <c r="J7" s="81">
        <f>+Tabla202424[[#This Row],[Subtotal Material ]]+Tabla202424[[#This Row],[Adeuda Dos57 a Agesta]]</f>
        <v>12</v>
      </c>
      <c r="K7" s="81"/>
      <c r="L7" s="81"/>
    </row>
    <row r="8" spans="1:14" ht="45" customHeight="1" x14ac:dyDescent="0.3">
      <c r="B8" s="81" t="s">
        <v>189</v>
      </c>
      <c r="C8" s="82">
        <v>88</v>
      </c>
      <c r="D8" s="83">
        <v>64</v>
      </c>
      <c r="E8" s="83">
        <v>52</v>
      </c>
      <c r="F8" s="85">
        <f>+Tabla202424[[#This Row],[Material Contabilizado Ingresado al deposito ]]-Tabla202424[[#This Row],[Material Según Mensaje 25/10/2023]]</f>
        <v>-12</v>
      </c>
      <c r="G8" s="84">
        <v>0</v>
      </c>
      <c r="H8" s="83">
        <f>+Tabla202424[[#This Row],[Material Contabilizado Ingresado al deposito ]]-Tabla202424[[#This Row],[Adeuda Agesta a Dos57]]</f>
        <v>52</v>
      </c>
      <c r="I8" s="84">
        <v>0</v>
      </c>
      <c r="J8" s="81">
        <f>+Tabla202424[[#This Row],[Subtotal Material ]]+Tabla202424[[#This Row],[Adeuda Dos57 a Agesta]]</f>
        <v>52</v>
      </c>
      <c r="K8" s="81"/>
      <c r="L8" s="81"/>
    </row>
    <row r="9" spans="1:14" s="16" customFormat="1" ht="45" customHeight="1" x14ac:dyDescent="0.3">
      <c r="A9"/>
      <c r="B9" s="81" t="s">
        <v>55</v>
      </c>
      <c r="C9" s="82">
        <v>25</v>
      </c>
      <c r="D9" s="83">
        <v>15</v>
      </c>
      <c r="E9" s="83">
        <v>15</v>
      </c>
      <c r="F9" s="83">
        <f>+Tabla202424[[#This Row],[Material Contabilizado Ingresado al deposito ]]-Tabla202424[[#This Row],[Material Según Mensaje 25/10/2023]]</f>
        <v>0</v>
      </c>
      <c r="G9" s="84">
        <v>0</v>
      </c>
      <c r="H9" s="83">
        <f>+Tabla202424[[#This Row],[Material Contabilizado Ingresado al deposito ]]-Tabla202424[[#This Row],[Adeuda Agesta a Dos57]]</f>
        <v>15</v>
      </c>
      <c r="I9" s="84">
        <v>0</v>
      </c>
      <c r="J9" s="81">
        <f>+Tabla202424[[#This Row],[Subtotal Material ]]+Tabla202424[[#This Row],[Adeuda Dos57 a Agesta]]</f>
        <v>15</v>
      </c>
      <c r="K9" s="81"/>
      <c r="L9" s="81"/>
      <c r="M9"/>
      <c r="N9"/>
    </row>
    <row r="10" spans="1:14" s="16" customFormat="1" ht="45" customHeight="1" x14ac:dyDescent="0.3">
      <c r="A10"/>
      <c r="B10" s="81" t="s">
        <v>143</v>
      </c>
      <c r="C10" s="82">
        <v>500</v>
      </c>
      <c r="D10" s="83">
        <v>460</v>
      </c>
      <c r="E10" s="83">
        <v>462</v>
      </c>
      <c r="F10" s="83">
        <f>+Tabla202424[[#This Row],[Material Contabilizado Ingresado al deposito ]]-Tabla202424[[#This Row],[Material Según Mensaje 25/10/2023]]</f>
        <v>2</v>
      </c>
      <c r="G10" s="84">
        <v>0</v>
      </c>
      <c r="H10" s="83">
        <f>+Tabla202424[[#This Row],[Material Contabilizado Ingresado al deposito ]]-Tabla202424[[#This Row],[Adeuda Agesta a Dos57]]</f>
        <v>462</v>
      </c>
      <c r="I10" s="84">
        <v>2</v>
      </c>
      <c r="J10" s="81">
        <f>+Tabla202424[[#This Row],[Subtotal Material ]]+Tabla202424[[#This Row],[Adeuda Dos57 a Agesta]]</f>
        <v>464</v>
      </c>
      <c r="K10" s="81"/>
      <c r="L10" s="81"/>
      <c r="M10"/>
      <c r="N10"/>
    </row>
    <row r="11" spans="1:14" s="16" customFormat="1" ht="45" customHeight="1" x14ac:dyDescent="0.3">
      <c r="A11"/>
      <c r="B11" s="81" t="s">
        <v>144</v>
      </c>
      <c r="C11" s="82">
        <v>0</v>
      </c>
      <c r="D11" s="83">
        <v>18</v>
      </c>
      <c r="E11" s="83">
        <v>18</v>
      </c>
      <c r="F11" s="83">
        <f>+Tabla202424[[#This Row],[Material Contabilizado Ingresado al deposito ]]-Tabla202424[[#This Row],[Material Según Mensaje 25/10/2023]]</f>
        <v>0</v>
      </c>
      <c r="G11" s="84">
        <v>0</v>
      </c>
      <c r="H11" s="83">
        <f>+Tabla202424[[#This Row],[Material Contabilizado Ingresado al deposito ]]-Tabla202424[[#This Row],[Adeuda Agesta a Dos57]]</f>
        <v>18</v>
      </c>
      <c r="I11" s="84">
        <v>0</v>
      </c>
      <c r="J11" s="81">
        <f>+Tabla202424[[#This Row],[Subtotal Material ]]+Tabla202424[[#This Row],[Adeuda Dos57 a Agesta]]</f>
        <v>18</v>
      </c>
      <c r="K11" s="81"/>
      <c r="L11" s="81"/>
      <c r="M11"/>
      <c r="N11"/>
    </row>
    <row r="12" spans="1:14" s="16" customFormat="1" ht="45" customHeight="1" x14ac:dyDescent="0.3">
      <c r="A12"/>
      <c r="B12" s="81" t="s">
        <v>78</v>
      </c>
      <c r="C12" s="82">
        <v>30</v>
      </c>
      <c r="D12" s="83">
        <v>32</v>
      </c>
      <c r="E12" s="83">
        <v>32</v>
      </c>
      <c r="F12" s="83">
        <f>+Tabla202424[[#This Row],[Material Contabilizado Ingresado al deposito ]]-Tabla202424[[#This Row],[Material Según Mensaje 25/10/2023]]</f>
        <v>0</v>
      </c>
      <c r="G12" s="84">
        <v>2</v>
      </c>
      <c r="H12" s="83">
        <f>+Tabla202424[[#This Row],[Material Contabilizado Ingresado al deposito ]]-Tabla202424[[#This Row],[Adeuda Agesta a Dos57]]</f>
        <v>30</v>
      </c>
      <c r="I12" s="84">
        <v>0</v>
      </c>
      <c r="J12" s="81">
        <f>+Tabla202424[[#This Row],[Subtotal Material ]]+Tabla202424[[#This Row],[Adeuda Dos57 a Agesta]]</f>
        <v>30</v>
      </c>
      <c r="K12" s="81"/>
      <c r="L12" s="81"/>
      <c r="M12"/>
      <c r="N12"/>
    </row>
    <row r="13" spans="1:14" s="16" customFormat="1" ht="45" customHeight="1" x14ac:dyDescent="0.3">
      <c r="A13"/>
      <c r="B13" s="81" t="s">
        <v>50</v>
      </c>
      <c r="C13" s="82">
        <v>67</v>
      </c>
      <c r="D13" s="83">
        <v>57</v>
      </c>
      <c r="E13" s="83">
        <v>57</v>
      </c>
      <c r="F13" s="83">
        <f>+Tabla202424[[#This Row],[Material Contabilizado Ingresado al deposito ]]-Tabla202424[[#This Row],[Material Según Mensaje 25/10/2023]]</f>
        <v>0</v>
      </c>
      <c r="G13" s="84">
        <v>0</v>
      </c>
      <c r="H13" s="83">
        <f>+Tabla202424[[#This Row],[Material Contabilizado Ingresado al deposito ]]-Tabla202424[[#This Row],[Adeuda Agesta a Dos57]]</f>
        <v>57</v>
      </c>
      <c r="I13" s="84">
        <v>2</v>
      </c>
      <c r="J13" s="81">
        <f>+Tabla202424[[#This Row],[Subtotal Material ]]+Tabla202424[[#This Row],[Adeuda Dos57 a Agesta]]</f>
        <v>59</v>
      </c>
      <c r="K13" s="81"/>
      <c r="L13" s="81"/>
      <c r="M13"/>
      <c r="N13"/>
    </row>
    <row r="14" spans="1:14" s="16" customFormat="1" ht="45" customHeight="1" x14ac:dyDescent="0.3">
      <c r="A14"/>
      <c r="B14" s="81" t="s">
        <v>51</v>
      </c>
      <c r="C14" s="82">
        <v>60</v>
      </c>
      <c r="D14" s="83">
        <v>24</v>
      </c>
      <c r="E14" s="83">
        <v>21</v>
      </c>
      <c r="F14" s="85">
        <f>+Tabla202424[[#This Row],[Material Contabilizado Ingresado al deposito ]]-Tabla202424[[#This Row],[Material Según Mensaje 25/10/2023]]</f>
        <v>-3</v>
      </c>
      <c r="G14" s="84">
        <v>0</v>
      </c>
      <c r="H14" s="83">
        <f>+Tabla202424[[#This Row],[Material Contabilizado Ingresado al deposito ]]-Tabla202424[[#This Row],[Adeuda Agesta a Dos57]]</f>
        <v>21</v>
      </c>
      <c r="I14" s="84">
        <v>1</v>
      </c>
      <c r="J14" s="81">
        <f>+Tabla202424[[#This Row],[Subtotal Material ]]+Tabla202424[[#This Row],[Adeuda Dos57 a Agesta]]</f>
        <v>22</v>
      </c>
      <c r="K14" s="81"/>
      <c r="L14" s="81"/>
      <c r="M14"/>
      <c r="N14"/>
    </row>
    <row r="15" spans="1:14" s="16" customFormat="1" ht="45" customHeight="1" x14ac:dyDescent="0.3">
      <c r="A15"/>
      <c r="B15" s="81" t="s">
        <v>31</v>
      </c>
      <c r="C15" s="82">
        <v>36</v>
      </c>
      <c r="D15" s="83">
        <v>26</v>
      </c>
      <c r="E15" s="83">
        <v>26</v>
      </c>
      <c r="F15" s="83">
        <f>+Tabla202424[[#This Row],[Material Contabilizado Ingresado al deposito ]]-Tabla202424[[#This Row],[Material Según Mensaje 25/10/2023]]</f>
        <v>0</v>
      </c>
      <c r="G15" s="84">
        <v>0</v>
      </c>
      <c r="H15" s="83">
        <f>+Tabla202424[[#This Row],[Material Contabilizado Ingresado al deposito ]]-Tabla202424[[#This Row],[Adeuda Agesta a Dos57]]</f>
        <v>26</v>
      </c>
      <c r="I15" s="84">
        <v>17</v>
      </c>
      <c r="J15" s="81">
        <f>+Tabla202424[[#This Row],[Subtotal Material ]]+Tabla202424[[#This Row],[Adeuda Dos57 a Agesta]]</f>
        <v>43</v>
      </c>
      <c r="K15" s="81"/>
      <c r="L15" s="81"/>
      <c r="M15"/>
      <c r="N15"/>
    </row>
    <row r="16" spans="1:14" s="16" customFormat="1" ht="45" customHeight="1" x14ac:dyDescent="0.3">
      <c r="A16"/>
      <c r="B16" s="81" t="s">
        <v>49</v>
      </c>
      <c r="C16" s="82">
        <v>33</v>
      </c>
      <c r="D16" s="83">
        <v>29</v>
      </c>
      <c r="E16" s="83">
        <v>29</v>
      </c>
      <c r="F16" s="83">
        <f>+Tabla202424[[#This Row],[Material Contabilizado Ingresado al deposito ]]-Tabla202424[[#This Row],[Material Según Mensaje 25/10/2023]]</f>
        <v>0</v>
      </c>
      <c r="G16" s="84">
        <v>0</v>
      </c>
      <c r="H16" s="83">
        <f>+Tabla202424[[#This Row],[Material Contabilizado Ingresado al deposito ]]-Tabla202424[[#This Row],[Adeuda Agesta a Dos57]]</f>
        <v>29</v>
      </c>
      <c r="I16" s="84">
        <v>0</v>
      </c>
      <c r="J16" s="81">
        <f>+Tabla202424[[#This Row],[Subtotal Material ]]+Tabla202424[[#This Row],[Adeuda Dos57 a Agesta]]</f>
        <v>29</v>
      </c>
      <c r="K16" s="81"/>
      <c r="L16" s="81"/>
      <c r="M16"/>
      <c r="N16"/>
    </row>
    <row r="17" spans="1:14" s="16" customFormat="1" ht="45" customHeight="1" x14ac:dyDescent="0.3">
      <c r="A17"/>
      <c r="B17" s="81" t="s">
        <v>148</v>
      </c>
      <c r="C17" s="82">
        <v>35</v>
      </c>
      <c r="D17" s="83">
        <v>31</v>
      </c>
      <c r="E17" s="83">
        <v>32</v>
      </c>
      <c r="F17" s="83">
        <f>+Tabla202424[[#This Row],[Material Contabilizado Ingresado al deposito ]]-Tabla202424[[#This Row],[Material Según Mensaje 25/10/2023]]</f>
        <v>1</v>
      </c>
      <c r="G17" s="84">
        <v>14</v>
      </c>
      <c r="H17" s="83">
        <f>+Tabla202424[[#This Row],[Material Contabilizado Ingresado al deposito ]]-Tabla202424[[#This Row],[Adeuda Agesta a Dos57]]</f>
        <v>18</v>
      </c>
      <c r="I17" s="84">
        <v>0</v>
      </c>
      <c r="J17" s="81">
        <f>+Tabla202424[[#This Row],[Subtotal Material ]]+Tabla202424[[#This Row],[Adeuda Dos57 a Agesta]]</f>
        <v>18</v>
      </c>
      <c r="K17" s="81"/>
      <c r="L17" s="81"/>
      <c r="M17"/>
      <c r="N17"/>
    </row>
    <row r="18" spans="1:14" s="16" customFormat="1" ht="45" customHeight="1" x14ac:dyDescent="0.3">
      <c r="A18"/>
      <c r="B18" s="81" t="s">
        <v>7</v>
      </c>
      <c r="C18" s="82">
        <v>136</v>
      </c>
      <c r="D18" s="83">
        <v>120</v>
      </c>
      <c r="E18" s="83">
        <v>120</v>
      </c>
      <c r="F18" s="83">
        <f>+Tabla202424[[#This Row],[Material Contabilizado Ingresado al deposito ]]-Tabla202424[[#This Row],[Material Según Mensaje 25/10/2023]]</f>
        <v>0</v>
      </c>
      <c r="G18" s="84">
        <v>0</v>
      </c>
      <c r="H18" s="83">
        <f>+Tabla202424[[#This Row],[Material Contabilizado Ingresado al deposito ]]-Tabla202424[[#This Row],[Adeuda Agesta a Dos57]]</f>
        <v>120</v>
      </c>
      <c r="I18" s="84">
        <v>0</v>
      </c>
      <c r="J18" s="81">
        <f>+Tabla202424[[#This Row],[Subtotal Material ]]+Tabla202424[[#This Row],[Adeuda Dos57 a Agesta]]</f>
        <v>120</v>
      </c>
      <c r="K18" s="81"/>
      <c r="L18" s="81"/>
      <c r="M18"/>
      <c r="N18"/>
    </row>
    <row r="19" spans="1:14" s="16" customFormat="1" ht="45" customHeight="1" x14ac:dyDescent="0.3">
      <c r="A19"/>
      <c r="B19" s="81" t="s">
        <v>17</v>
      </c>
      <c r="C19" s="82">
        <v>136</v>
      </c>
      <c r="D19" s="83">
        <v>120</v>
      </c>
      <c r="E19" s="83">
        <v>120</v>
      </c>
      <c r="F19" s="83">
        <f>+Tabla202424[[#This Row],[Material Contabilizado Ingresado al deposito ]]-Tabla202424[[#This Row],[Material Según Mensaje 25/10/2023]]</f>
        <v>0</v>
      </c>
      <c r="G19" s="84">
        <v>2</v>
      </c>
      <c r="H19" s="83">
        <f>+Tabla202424[[#This Row],[Material Contabilizado Ingresado al deposito ]]-Tabla202424[[#This Row],[Adeuda Agesta a Dos57]]</f>
        <v>118</v>
      </c>
      <c r="I19" s="84">
        <v>0</v>
      </c>
      <c r="J19" s="81">
        <f>+Tabla202424[[#This Row],[Subtotal Material ]]+Tabla202424[[#This Row],[Adeuda Dos57 a Agesta]]</f>
        <v>118</v>
      </c>
      <c r="K19" s="81"/>
      <c r="L19" s="81"/>
      <c r="M19"/>
      <c r="N19"/>
    </row>
    <row r="20" spans="1:14" s="16" customFormat="1" ht="45" customHeight="1" x14ac:dyDescent="0.3">
      <c r="A20"/>
      <c r="B20" s="81" t="s">
        <v>209</v>
      </c>
      <c r="C20" s="82">
        <v>28</v>
      </c>
      <c r="D20" s="83">
        <v>22</v>
      </c>
      <c r="E20" s="83">
        <v>21</v>
      </c>
      <c r="F20" s="85">
        <f>+Tabla202424[[#This Row],[Material Contabilizado Ingresado al deposito ]]-Tabla202424[[#This Row],[Material Según Mensaje 25/10/2023]]</f>
        <v>-1</v>
      </c>
      <c r="G20" s="84">
        <v>0</v>
      </c>
      <c r="H20" s="83">
        <f>+Tabla202424[[#This Row],[Material Contabilizado Ingresado al deposito ]]-Tabla202424[[#This Row],[Adeuda Agesta a Dos57]]</f>
        <v>21</v>
      </c>
      <c r="I20" s="84">
        <v>0</v>
      </c>
      <c r="J20" s="81">
        <f>+Tabla202424[[#This Row],[Subtotal Material ]]+Tabla202424[[#This Row],[Adeuda Dos57 a Agesta]]</f>
        <v>21</v>
      </c>
      <c r="K20" s="81"/>
      <c r="L20" s="81"/>
      <c r="M20"/>
      <c r="N20"/>
    </row>
    <row r="21" spans="1:14" s="16" customFormat="1" ht="45" customHeight="1" x14ac:dyDescent="0.3">
      <c r="A21"/>
      <c r="B21" s="81" t="s">
        <v>142</v>
      </c>
      <c r="C21" s="82">
        <v>825</v>
      </c>
      <c r="D21" s="83">
        <v>792</v>
      </c>
      <c r="E21" s="83">
        <v>790</v>
      </c>
      <c r="F21" s="85">
        <f>+Tabla202424[[#This Row],[Material Contabilizado Ingresado al deposito ]]-Tabla202424[[#This Row],[Material Según Mensaje 25/10/2023]]</f>
        <v>-2</v>
      </c>
      <c r="G21" s="84">
        <v>0</v>
      </c>
      <c r="H21" s="83">
        <f>+Tabla202424[[#This Row],[Material Contabilizado Ingresado al deposito ]]-Tabla202424[[#This Row],[Adeuda Agesta a Dos57]]</f>
        <v>790</v>
      </c>
      <c r="I21" s="84">
        <v>0</v>
      </c>
      <c r="J21" s="81">
        <f>+Tabla202424[[#This Row],[Subtotal Material ]]+Tabla202424[[#This Row],[Adeuda Dos57 a Agesta]]</f>
        <v>790</v>
      </c>
      <c r="K21" s="81"/>
      <c r="L21" s="81"/>
      <c r="M21"/>
      <c r="N21"/>
    </row>
    <row r="22" spans="1:14" s="16" customFormat="1" ht="45" customHeight="1" x14ac:dyDescent="0.3">
      <c r="A22"/>
      <c r="B22" s="81" t="s">
        <v>48</v>
      </c>
      <c r="C22" s="82">
        <v>38</v>
      </c>
      <c r="D22" s="83">
        <v>50</v>
      </c>
      <c r="E22" s="83">
        <v>48</v>
      </c>
      <c r="F22" s="85">
        <f>+Tabla202424[[#This Row],[Material Contabilizado Ingresado al deposito ]]-Tabla202424[[#This Row],[Material Según Mensaje 25/10/2023]]</f>
        <v>-2</v>
      </c>
      <c r="G22" s="84">
        <v>2</v>
      </c>
      <c r="H22" s="83">
        <f>+Tabla202424[[#This Row],[Material Contabilizado Ingresado al deposito ]]-Tabla202424[[#This Row],[Adeuda Agesta a Dos57]]</f>
        <v>46</v>
      </c>
      <c r="I22" s="84">
        <v>0</v>
      </c>
      <c r="J22" s="81">
        <f>+Tabla202424[[#This Row],[Subtotal Material ]]+Tabla202424[[#This Row],[Adeuda Dos57 a Agesta]]</f>
        <v>46</v>
      </c>
      <c r="K22" s="81"/>
      <c r="L22" s="81"/>
      <c r="M22"/>
      <c r="N22"/>
    </row>
    <row r="23" spans="1:14" s="16" customFormat="1" ht="45" customHeight="1" x14ac:dyDescent="0.3">
      <c r="A23"/>
      <c r="B23" s="81" t="s">
        <v>52</v>
      </c>
      <c r="C23" s="82">
        <v>85</v>
      </c>
      <c r="D23" s="83">
        <v>61</v>
      </c>
      <c r="E23" s="83">
        <v>62</v>
      </c>
      <c r="F23" s="83">
        <f>+Tabla202424[[#This Row],[Material Contabilizado Ingresado al deposito ]]-Tabla202424[[#This Row],[Material Según Mensaje 25/10/2023]]</f>
        <v>1</v>
      </c>
      <c r="G23" s="84">
        <v>0</v>
      </c>
      <c r="H23" s="83">
        <f>+Tabla202424[[#This Row],[Material Contabilizado Ingresado al deposito ]]-Tabla202424[[#This Row],[Adeuda Agesta a Dos57]]</f>
        <v>62</v>
      </c>
      <c r="I23" s="84">
        <v>0</v>
      </c>
      <c r="J23" s="81">
        <f>+Tabla202424[[#This Row],[Subtotal Material ]]+Tabla202424[[#This Row],[Adeuda Dos57 a Agesta]]</f>
        <v>62</v>
      </c>
      <c r="K23" s="81"/>
      <c r="L23" s="81"/>
      <c r="M23"/>
      <c r="N23"/>
    </row>
    <row r="24" spans="1:14" ht="25.05" customHeight="1" x14ac:dyDescent="0.3">
      <c r="B24" s="55"/>
      <c r="C24" s="56"/>
      <c r="D24" s="72"/>
      <c r="E24" s="72"/>
      <c r="F24" s="72"/>
      <c r="G24" s="73"/>
      <c r="H24" s="74"/>
      <c r="I24" s="73"/>
      <c r="J24" s="74"/>
      <c r="K24" s="74"/>
      <c r="L24" s="74"/>
    </row>
  </sheetData>
  <mergeCells count="2">
    <mergeCell ref="B2:L2"/>
    <mergeCell ref="B3:L3"/>
  </mergeCells>
  <pageMargins left="0.31496062992125984" right="0.11811023622047245" top="0.19685039370078741" bottom="0.19685039370078741" header="0.31496062992125984" footer="0.31496062992125984"/>
  <pageSetup scale="7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topLeftCell="A10" zoomScale="130" zoomScaleNormal="130" workbookViewId="0">
      <selection activeCell="E4" sqref="E4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0.77734375" style="1" customWidth="1"/>
    <col min="4" max="4" width="20.77734375" hidden="1" customWidth="1"/>
    <col min="5" max="6" width="20.77734375" customWidth="1"/>
    <col min="7" max="7" width="20.77734375" style="16" customWidth="1"/>
    <col min="8" max="8" width="11.5546875" customWidth="1"/>
  </cols>
  <sheetData>
    <row r="1" spans="1:9" ht="15" thickBot="1" x14ac:dyDescent="0.35"/>
    <row r="2" spans="1:9" ht="15" customHeight="1" thickBot="1" x14ac:dyDescent="0.35">
      <c r="B2" s="178" t="s">
        <v>246</v>
      </c>
      <c r="C2" s="179"/>
      <c r="D2" s="179"/>
      <c r="E2" s="179"/>
      <c r="F2" s="179"/>
      <c r="G2" s="180"/>
    </row>
    <row r="3" spans="1:9" ht="15" thickBot="1" x14ac:dyDescent="0.35">
      <c r="B3" s="184" t="s">
        <v>191</v>
      </c>
      <c r="C3" s="185"/>
      <c r="D3" s="186"/>
      <c r="E3" s="107"/>
      <c r="F3" s="97" t="s">
        <v>245</v>
      </c>
      <c r="G3" s="98">
        <v>965</v>
      </c>
    </row>
    <row r="4" spans="1:9" ht="30" customHeight="1" x14ac:dyDescent="0.3">
      <c r="B4" s="44" t="s">
        <v>0</v>
      </c>
      <c r="C4" s="43" t="s">
        <v>240</v>
      </c>
      <c r="D4" s="29" t="s">
        <v>242</v>
      </c>
      <c r="E4" s="29" t="s">
        <v>243</v>
      </c>
      <c r="F4" s="29" t="s">
        <v>236</v>
      </c>
      <c r="G4" s="29" t="s">
        <v>237</v>
      </c>
    </row>
    <row r="5" spans="1:9" x14ac:dyDescent="0.3">
      <c r="B5" s="46" t="s">
        <v>33</v>
      </c>
      <c r="C5" s="65"/>
      <c r="D5" s="99">
        <v>263.64</v>
      </c>
      <c r="E5" s="99">
        <f>+Tabla20242678[[#This Row],[Valor Unitario en € ]]*5%+Tabla20242678[[#This Row],[Valor Unitario en € ]]</f>
        <v>276.822</v>
      </c>
      <c r="F5" s="99">
        <f>+Tabla20242678[[#This Row],[Marterial Final Alquiler]]*Tabla20242678[[#This Row],[Valor Unitario en € + 5%]]*G$3</f>
        <v>0</v>
      </c>
      <c r="G5" s="99">
        <f>+Tabla20242678[[#This Row],[Total Precio en Pesos]]*5%</f>
        <v>0</v>
      </c>
    </row>
    <row r="6" spans="1:9" x14ac:dyDescent="0.3">
      <c r="B6" s="46" t="s">
        <v>167</v>
      </c>
      <c r="C6" s="65">
        <v>300</v>
      </c>
      <c r="D6" s="99">
        <v>76.83</v>
      </c>
      <c r="E6" s="99">
        <f>+Tabla20242678[[#This Row],[Valor Unitario en € ]]*5%+Tabla20242678[[#This Row],[Valor Unitario en € ]]</f>
        <v>80.671499999999995</v>
      </c>
      <c r="F6" s="99">
        <f>+Tabla20242678[[#This Row],[Marterial Final Alquiler]]*Tabla20242678[[#This Row],[Valor Unitario en € + 5%]]*G$3</f>
        <v>23354399.249999996</v>
      </c>
      <c r="G6" s="99">
        <f>+Tabla20242678[[#This Row],[Total Precio en Pesos]]*5%</f>
        <v>1167719.9624999999</v>
      </c>
    </row>
    <row r="7" spans="1:9" x14ac:dyDescent="0.3">
      <c r="B7" s="46" t="s">
        <v>190</v>
      </c>
      <c r="C7" s="65"/>
      <c r="D7" s="99">
        <v>66.95</v>
      </c>
      <c r="E7" s="99">
        <f>+Tabla20242678[[#This Row],[Valor Unitario en € ]]*5%+Tabla20242678[[#This Row],[Valor Unitario en € ]]</f>
        <v>70.297499999999999</v>
      </c>
      <c r="F7" s="99">
        <f>+Tabla20242678[[#This Row],[Marterial Final Alquiler]]*Tabla20242678[[#This Row],[Valor Unitario en € + 5%]]*G$3</f>
        <v>0</v>
      </c>
      <c r="G7" s="99">
        <f>+Tabla20242678[[#This Row],[Total Precio en Pesos]]*5%</f>
        <v>0</v>
      </c>
    </row>
    <row r="8" spans="1:9" x14ac:dyDescent="0.3">
      <c r="B8" s="46" t="s">
        <v>189</v>
      </c>
      <c r="C8" s="65"/>
      <c r="D8" s="99">
        <v>65.650000000000006</v>
      </c>
      <c r="E8" s="99">
        <f>+Tabla20242678[[#This Row],[Valor Unitario en € ]]*5%+Tabla20242678[[#This Row],[Valor Unitario en € ]]</f>
        <v>68.932500000000005</v>
      </c>
      <c r="F8" s="99">
        <f>+Tabla20242678[[#This Row],[Marterial Final Alquiler]]*Tabla20242678[[#This Row],[Valor Unitario en € + 5%]]*G$3</f>
        <v>0</v>
      </c>
      <c r="G8" s="99">
        <f>+Tabla20242678[[#This Row],[Total Precio en Pesos]]*5%</f>
        <v>0</v>
      </c>
    </row>
    <row r="9" spans="1:9" s="16" customFormat="1" x14ac:dyDescent="0.3">
      <c r="A9"/>
      <c r="B9" s="46" t="s">
        <v>55</v>
      </c>
      <c r="C9" s="65"/>
      <c r="D9" s="99">
        <v>117.39</v>
      </c>
      <c r="E9" s="99">
        <f>+Tabla20242678[[#This Row],[Valor Unitario en € ]]*5%+Tabla20242678[[#This Row],[Valor Unitario en € ]]</f>
        <v>123.2595</v>
      </c>
      <c r="F9" s="99">
        <f>+Tabla20242678[[#This Row],[Marterial Final Alquiler]]*Tabla20242678[[#This Row],[Valor Unitario en € + 5%]]*G$3</f>
        <v>0</v>
      </c>
      <c r="G9" s="99">
        <f>+Tabla20242678[[#This Row],[Total Precio en Pesos]]*5%</f>
        <v>0</v>
      </c>
      <c r="H9"/>
      <c r="I9"/>
    </row>
    <row r="10" spans="1:9" s="16" customFormat="1" x14ac:dyDescent="0.3">
      <c r="A10"/>
      <c r="B10" s="46" t="s">
        <v>143</v>
      </c>
      <c r="C10" s="65"/>
      <c r="D10" s="99">
        <v>75.010000000000005</v>
      </c>
      <c r="E10" s="99">
        <f>+Tabla20242678[[#This Row],[Valor Unitario en € ]]*5%+Tabla20242678[[#This Row],[Valor Unitario en € ]]</f>
        <v>78.760500000000008</v>
      </c>
      <c r="F10" s="99">
        <f>+Tabla20242678[[#This Row],[Marterial Final Alquiler]]*Tabla20242678[[#This Row],[Valor Unitario en € + 5%]]*G$3</f>
        <v>0</v>
      </c>
      <c r="G10" s="99">
        <f>+Tabla20242678[[#This Row],[Total Precio en Pesos]]*5%</f>
        <v>0</v>
      </c>
      <c r="H10"/>
      <c r="I10"/>
    </row>
    <row r="11" spans="1:9" s="16" customFormat="1" x14ac:dyDescent="0.3">
      <c r="A11"/>
      <c r="B11" s="46" t="s">
        <v>144</v>
      </c>
      <c r="C11" s="65">
        <v>15</v>
      </c>
      <c r="D11" s="99">
        <v>70.069999999999993</v>
      </c>
      <c r="E11" s="99">
        <f>+Tabla20242678[[#This Row],[Valor Unitario en € ]]*5%+Tabla20242678[[#This Row],[Valor Unitario en € ]]</f>
        <v>73.573499999999996</v>
      </c>
      <c r="F11" s="99">
        <f>+Tabla20242678[[#This Row],[Marterial Final Alquiler]]*Tabla20242678[[#This Row],[Valor Unitario en € + 5%]]*G$3</f>
        <v>1064976.4124999999</v>
      </c>
      <c r="G11" s="99">
        <f>+Tabla20242678[[#This Row],[Total Precio en Pesos]]*5%</f>
        <v>53248.820624999993</v>
      </c>
      <c r="H11"/>
      <c r="I11"/>
    </row>
    <row r="12" spans="1:9" s="16" customFormat="1" x14ac:dyDescent="0.3">
      <c r="A12"/>
      <c r="B12" s="46" t="s">
        <v>78</v>
      </c>
      <c r="C12" s="65">
        <v>32</v>
      </c>
      <c r="D12" s="99">
        <v>61.23</v>
      </c>
      <c r="E12" s="99">
        <f>+Tabla20242678[[#This Row],[Valor Unitario en € ]]*5%+Tabla20242678[[#This Row],[Valor Unitario en € ]]</f>
        <v>64.291499999999999</v>
      </c>
      <c r="F12" s="99">
        <f>+Tabla20242678[[#This Row],[Marterial Final Alquiler]]*Tabla20242678[[#This Row],[Valor Unitario en € + 5%]]*G$3</f>
        <v>1985321.52</v>
      </c>
      <c r="G12" s="99">
        <f>+Tabla20242678[[#This Row],[Total Precio en Pesos]]*5%</f>
        <v>99266.076000000001</v>
      </c>
      <c r="H12"/>
      <c r="I12"/>
    </row>
    <row r="13" spans="1:9" s="16" customFormat="1" x14ac:dyDescent="0.3">
      <c r="A13"/>
      <c r="B13" s="46" t="s">
        <v>50</v>
      </c>
      <c r="C13" s="65"/>
      <c r="D13" s="99">
        <v>45.76</v>
      </c>
      <c r="E13" s="99">
        <f>+Tabla20242678[[#This Row],[Valor Unitario en € ]]*5%+Tabla20242678[[#This Row],[Valor Unitario en € ]]</f>
        <v>48.047999999999995</v>
      </c>
      <c r="F13" s="99">
        <f>+Tabla20242678[[#This Row],[Marterial Final Alquiler]]*Tabla20242678[[#This Row],[Valor Unitario en € + 5%]]*G$3</f>
        <v>0</v>
      </c>
      <c r="G13" s="99">
        <f>+Tabla20242678[[#This Row],[Total Precio en Pesos]]*5%</f>
        <v>0</v>
      </c>
      <c r="H13"/>
      <c r="I13"/>
    </row>
    <row r="14" spans="1:9" s="16" customFormat="1" x14ac:dyDescent="0.3">
      <c r="A14"/>
      <c r="B14" s="46" t="s">
        <v>51</v>
      </c>
      <c r="C14" s="65">
        <v>37</v>
      </c>
      <c r="D14" s="99">
        <v>43.03</v>
      </c>
      <c r="E14" s="99">
        <f>+Tabla20242678[[#This Row],[Valor Unitario en € ]]*5%+Tabla20242678[[#This Row],[Valor Unitario en € ]]</f>
        <v>45.1815</v>
      </c>
      <c r="F14" s="99">
        <f>+Tabla20242678[[#This Row],[Marterial Final Alquiler]]*Tabla20242678[[#This Row],[Valor Unitario en € + 5%]]*G$3</f>
        <v>1613205.4575</v>
      </c>
      <c r="G14" s="99">
        <f>+Tabla20242678[[#This Row],[Total Precio en Pesos]]*5%</f>
        <v>80660.27287500001</v>
      </c>
      <c r="H14"/>
      <c r="I14"/>
    </row>
    <row r="15" spans="1:9" s="16" customFormat="1" x14ac:dyDescent="0.3">
      <c r="A15"/>
      <c r="B15" s="46" t="s">
        <v>150</v>
      </c>
      <c r="C15" s="67">
        <v>18</v>
      </c>
      <c r="D15" s="109"/>
      <c r="E15" s="110">
        <v>41.26</v>
      </c>
      <c r="F15" s="112">
        <f>+Tabla20242678[[#This Row],[Marterial Final Alquiler]]*Tabla20242678[[#This Row],[Valor Unitario en € + 5%]]*G$3</f>
        <v>716686.2</v>
      </c>
      <c r="G15" s="99">
        <f>+Tabla20242678[[#This Row],[Total Precio en Pesos]]*5%</f>
        <v>35834.31</v>
      </c>
      <c r="H15"/>
      <c r="I15"/>
    </row>
    <row r="16" spans="1:9" s="16" customFormat="1" x14ac:dyDescent="0.3">
      <c r="A16"/>
      <c r="B16" s="46" t="s">
        <v>31</v>
      </c>
      <c r="C16" s="65"/>
      <c r="D16" s="99">
        <v>148.19999999999999</v>
      </c>
      <c r="E16" s="99">
        <f>+Tabla20242678[[#This Row],[Valor Unitario en € ]]*5%+Tabla20242678[[#This Row],[Valor Unitario en € ]]</f>
        <v>155.60999999999999</v>
      </c>
      <c r="F16" s="99">
        <f>+Tabla20242678[[#This Row],[Marterial Final Alquiler]]*Tabla20242678[[#This Row],[Valor Unitario en € + 5%]]*G$3</f>
        <v>0</v>
      </c>
      <c r="G16" s="99">
        <f>+Tabla20242678[[#This Row],[Total Precio en Pesos]]*5%</f>
        <v>0</v>
      </c>
      <c r="H16"/>
      <c r="I16"/>
    </row>
    <row r="17" spans="1:9" s="16" customFormat="1" x14ac:dyDescent="0.3">
      <c r="A17"/>
      <c r="B17" s="46" t="s">
        <v>49</v>
      </c>
      <c r="C17" s="65"/>
      <c r="D17" s="99">
        <v>55.64</v>
      </c>
      <c r="E17" s="99">
        <f>+Tabla20242678[[#This Row],[Valor Unitario en € ]]*5%+Tabla20242678[[#This Row],[Valor Unitario en € ]]</f>
        <v>58.421999999999997</v>
      </c>
      <c r="F17" s="99">
        <f>+Tabla20242678[[#This Row],[Marterial Final Alquiler]]*Tabla20242678[[#This Row],[Valor Unitario en € + 5%]]*G$3</f>
        <v>0</v>
      </c>
      <c r="G17" s="99">
        <f>+Tabla20242678[[#This Row],[Total Precio en Pesos]]*5%</f>
        <v>0</v>
      </c>
      <c r="H17"/>
      <c r="I17"/>
    </row>
    <row r="18" spans="1:9" s="16" customFormat="1" x14ac:dyDescent="0.3">
      <c r="A18"/>
      <c r="B18" s="46" t="s">
        <v>148</v>
      </c>
      <c r="C18" s="65"/>
      <c r="D18" s="99">
        <v>37.96</v>
      </c>
      <c r="E18" s="99">
        <f>+Tabla20242678[[#This Row],[Valor Unitario en € ]]*5%+Tabla20242678[[#This Row],[Valor Unitario en € ]]</f>
        <v>39.858000000000004</v>
      </c>
      <c r="F18" s="99">
        <f>+Tabla20242678[[#This Row],[Marterial Final Alquiler]]*Tabla20242678[[#This Row],[Valor Unitario en € + 5%]]*G$3</f>
        <v>0</v>
      </c>
      <c r="G18" s="99">
        <f>+Tabla20242678[[#This Row],[Total Precio en Pesos]]*5%</f>
        <v>0</v>
      </c>
      <c r="H18"/>
      <c r="I18"/>
    </row>
    <row r="19" spans="1:9" s="16" customFormat="1" x14ac:dyDescent="0.3">
      <c r="A19"/>
      <c r="B19" s="46" t="s">
        <v>7</v>
      </c>
      <c r="C19" s="65">
        <v>100</v>
      </c>
      <c r="D19" s="99">
        <v>28.34</v>
      </c>
      <c r="E19" s="99">
        <f>+Tabla20242678[[#This Row],[Valor Unitario en € ]]*5%+Tabla20242678[[#This Row],[Valor Unitario en € ]]</f>
        <v>29.757000000000001</v>
      </c>
      <c r="F19" s="99">
        <f>+Tabla20242678[[#This Row],[Marterial Final Alquiler]]*Tabla20242678[[#This Row],[Valor Unitario en € + 5%]]*G$3</f>
        <v>2871550.5000000005</v>
      </c>
      <c r="G19" s="99">
        <f>+Tabla20242678[[#This Row],[Total Precio en Pesos]]*5%</f>
        <v>143577.52500000002</v>
      </c>
      <c r="H19"/>
      <c r="I19"/>
    </row>
    <row r="20" spans="1:9" s="16" customFormat="1" x14ac:dyDescent="0.3">
      <c r="A20"/>
      <c r="B20" s="46" t="s">
        <v>17</v>
      </c>
      <c r="C20" s="65">
        <v>100</v>
      </c>
      <c r="D20" s="99">
        <v>19.89</v>
      </c>
      <c r="E20" s="99">
        <f>+Tabla20242678[[#This Row],[Valor Unitario en € ]]*5%+Tabla20242678[[#This Row],[Valor Unitario en € ]]</f>
        <v>20.884499999999999</v>
      </c>
      <c r="F20" s="99">
        <f>+Tabla20242678[[#This Row],[Marterial Final Alquiler]]*Tabla20242678[[#This Row],[Valor Unitario en € + 5%]]*G$3</f>
        <v>2015354.2499999998</v>
      </c>
      <c r="G20" s="99">
        <f>+Tabla20242678[[#This Row],[Total Precio en Pesos]]*5%</f>
        <v>100767.71249999999</v>
      </c>
      <c r="H20"/>
      <c r="I20"/>
    </row>
    <row r="21" spans="1:9" s="16" customFormat="1" x14ac:dyDescent="0.3">
      <c r="A21"/>
      <c r="B21" s="108" t="s">
        <v>247</v>
      </c>
      <c r="C21" s="67">
        <v>100</v>
      </c>
      <c r="D21" s="109"/>
      <c r="E21" s="110">
        <v>52</v>
      </c>
      <c r="F21" s="112">
        <f>+Tabla20242678[[#This Row],[Marterial Final Alquiler]]*Tabla20242678[[#This Row],[Valor Unitario en € + 5%]]*G$3</f>
        <v>5018000</v>
      </c>
      <c r="G21" s="99">
        <f>+Tabla20242678[[#This Row],[Total Precio en Pesos]]*5%</f>
        <v>250900</v>
      </c>
      <c r="H21"/>
      <c r="I21"/>
    </row>
    <row r="22" spans="1:9" s="16" customFormat="1" x14ac:dyDescent="0.3">
      <c r="A22"/>
      <c r="B22" s="46" t="s">
        <v>209</v>
      </c>
      <c r="C22" s="65">
        <v>25</v>
      </c>
      <c r="D22" s="99">
        <v>72.739999999999995</v>
      </c>
      <c r="E22" s="99">
        <f>+Tabla20242678[[#This Row],[Valor Unitario en € ]]*5%+Tabla20242678[[#This Row],[Valor Unitario en € ]]</f>
        <v>76.376999999999995</v>
      </c>
      <c r="F22" s="99">
        <f>+Tabla20242678[[#This Row],[Marterial Final Alquiler]]*Tabla20242678[[#This Row],[Valor Unitario en € + 5%]]*G$3</f>
        <v>1842595.125</v>
      </c>
      <c r="G22" s="99">
        <f>+Tabla20242678[[#This Row],[Total Precio en Pesos]]*5%</f>
        <v>92129.756250000006</v>
      </c>
      <c r="H22"/>
      <c r="I22"/>
    </row>
    <row r="23" spans="1:9" s="16" customFormat="1" x14ac:dyDescent="0.3">
      <c r="A23"/>
      <c r="B23" s="46" t="s">
        <v>142</v>
      </c>
      <c r="C23" s="65">
        <v>800</v>
      </c>
      <c r="D23" s="99">
        <v>64.349999999999994</v>
      </c>
      <c r="E23" s="99">
        <f>+Tabla20242678[[#This Row],[Valor Unitario en € ]]*5%+Tabla20242678[[#This Row],[Valor Unitario en € ]]</f>
        <v>67.567499999999995</v>
      </c>
      <c r="F23" s="99">
        <f>+Tabla20242678[[#This Row],[Marterial Final Alquiler]]*Tabla20242678[[#This Row],[Valor Unitario en € + 5%]]*G$3</f>
        <v>52162110</v>
      </c>
      <c r="G23" s="99">
        <f>+Tabla20242678[[#This Row],[Total Precio en Pesos]]*5%</f>
        <v>2608105.5</v>
      </c>
      <c r="H23"/>
      <c r="I23"/>
    </row>
    <row r="24" spans="1:9" s="16" customFormat="1" x14ac:dyDescent="0.3">
      <c r="A24"/>
      <c r="B24" s="46" t="s">
        <v>48</v>
      </c>
      <c r="C24" s="65"/>
      <c r="D24" s="99">
        <v>39.39</v>
      </c>
      <c r="E24" s="99">
        <f>+Tabla20242678[[#This Row],[Valor Unitario en € ]]*5%+Tabla20242678[[#This Row],[Valor Unitario en € ]]</f>
        <v>41.359499999999997</v>
      </c>
      <c r="F24" s="99">
        <f>+Tabla20242678[[#This Row],[Marterial Final Alquiler]]*Tabla20242678[[#This Row],[Valor Unitario en € + 5%]]*G$3</f>
        <v>0</v>
      </c>
      <c r="G24" s="99">
        <f>+Tabla20242678[[#This Row],[Total Precio en Pesos]]*5%</f>
        <v>0</v>
      </c>
      <c r="H24"/>
      <c r="I24"/>
    </row>
    <row r="25" spans="1:9" s="16" customFormat="1" x14ac:dyDescent="0.3">
      <c r="A25"/>
      <c r="B25" s="46" t="s">
        <v>52</v>
      </c>
      <c r="C25" s="65"/>
      <c r="D25" s="99">
        <v>33.020000000000003</v>
      </c>
      <c r="E25" s="99">
        <f>+Tabla20242678[[#This Row],[Valor Unitario en € ]]*5%+Tabla20242678[[#This Row],[Valor Unitario en € ]]</f>
        <v>34.671000000000006</v>
      </c>
      <c r="F25" s="99">
        <f>+Tabla20242678[[#This Row],[Marterial Final Alquiler]]*Tabla20242678[[#This Row],[Valor Unitario en € + 5%]]*G$3</f>
        <v>0</v>
      </c>
      <c r="G25" s="99">
        <f>+Tabla20242678[[#This Row],[Total Precio en Pesos]]*5%</f>
        <v>0</v>
      </c>
      <c r="H25"/>
      <c r="I25"/>
    </row>
    <row r="26" spans="1:9" x14ac:dyDescent="0.3">
      <c r="B26" s="75"/>
      <c r="C26" s="76"/>
      <c r="D26" s="77"/>
      <c r="E26" s="77"/>
      <c r="F26" s="77"/>
      <c r="G26" s="111">
        <f>SUBTOTAL(109,Tabla20242678[Valor Alquiler 5%])</f>
        <v>4632209.9357500002</v>
      </c>
    </row>
  </sheetData>
  <mergeCells count="2">
    <mergeCell ref="B2:G2"/>
    <mergeCell ref="B3:D3"/>
  </mergeCells>
  <pageMargins left="0.11811023622047245" right="0.11811023622047245" top="0.78740157480314965" bottom="0.19685039370078741" header="0.31496062992125984" footer="0.31496062992125984"/>
  <pageSetup paperSize="9" scale="91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4"/>
  <sheetViews>
    <sheetView topLeftCell="A4" zoomScaleNormal="100" workbookViewId="0">
      <selection activeCell="J7" sqref="J7"/>
    </sheetView>
  </sheetViews>
  <sheetFormatPr baseColWidth="10" defaultRowHeight="14.4" x14ac:dyDescent="0.3"/>
  <cols>
    <col min="1" max="1" width="1.6640625" customWidth="1"/>
    <col min="2" max="2" width="30.77734375" style="2" customWidth="1"/>
    <col min="3" max="6" width="30.77734375" style="1" hidden="1" customWidth="1"/>
    <col min="7" max="7" width="30.77734375" hidden="1" customWidth="1"/>
    <col min="8" max="8" width="30.77734375" style="16" hidden="1" customWidth="1"/>
    <col min="9" max="9" width="30.77734375" hidden="1" customWidth="1"/>
    <col min="10" max="11" width="30.77734375" style="16" customWidth="1"/>
    <col min="12" max="12" width="11.5546875" customWidth="1"/>
  </cols>
  <sheetData>
    <row r="2" spans="1:13" ht="15" customHeight="1" x14ac:dyDescent="0.3">
      <c r="B2" s="189" t="s">
        <v>249</v>
      </c>
      <c r="C2" s="189"/>
      <c r="D2" s="189"/>
      <c r="E2" s="189"/>
      <c r="F2" s="189"/>
      <c r="G2" s="189"/>
      <c r="H2" s="189"/>
      <c r="I2" s="189"/>
      <c r="J2" s="189"/>
      <c r="K2" s="189"/>
    </row>
    <row r="3" spans="1:13" x14ac:dyDescent="0.3">
      <c r="B3" s="190" t="s">
        <v>191</v>
      </c>
      <c r="C3" s="190"/>
      <c r="D3" s="190"/>
      <c r="E3" s="190"/>
      <c r="F3" s="190"/>
      <c r="G3" s="190"/>
      <c r="H3" s="190"/>
      <c r="I3" s="190"/>
      <c r="J3" s="190"/>
      <c r="K3" s="190"/>
    </row>
    <row r="4" spans="1:13" ht="30" customHeight="1" x14ac:dyDescent="0.3">
      <c r="B4" s="86" t="s">
        <v>0</v>
      </c>
      <c r="C4" s="87" t="s">
        <v>207</v>
      </c>
      <c r="D4" s="87" t="s">
        <v>222</v>
      </c>
      <c r="E4" s="87" t="s">
        <v>220</v>
      </c>
      <c r="F4" s="88" t="s">
        <v>223</v>
      </c>
      <c r="G4" s="88" t="s">
        <v>221</v>
      </c>
      <c r="H4" s="89" t="s">
        <v>224</v>
      </c>
      <c r="I4" s="88" t="s">
        <v>225</v>
      </c>
      <c r="J4" s="89" t="s">
        <v>248</v>
      </c>
      <c r="K4" s="89" t="s">
        <v>228</v>
      </c>
    </row>
    <row r="5" spans="1:13" ht="45" customHeight="1" x14ac:dyDescent="0.45">
      <c r="B5" s="114" t="s">
        <v>167</v>
      </c>
      <c r="C5" s="115">
        <v>311</v>
      </c>
      <c r="D5" s="116">
        <v>343</v>
      </c>
      <c r="E5" s="116">
        <v>343</v>
      </c>
      <c r="F5" s="116">
        <f>+Tabla2024249[[#This Row],[Material Contabilizado Ingresado al deposito ]]-Tabla2024249[[#This Row],[Material Según Mensaje 25/10/2023]]</f>
        <v>0</v>
      </c>
      <c r="G5" s="117">
        <v>23</v>
      </c>
      <c r="H5" s="116">
        <f>+Tabla2024249[[#This Row],[Material Contabilizado Ingresado al deposito ]]-Tabla2024249[[#This Row],[Adeuda Agesta a Dos57]]</f>
        <v>320</v>
      </c>
      <c r="I5" s="117">
        <v>0</v>
      </c>
      <c r="J5" s="121">
        <v>300</v>
      </c>
      <c r="K5" s="81"/>
    </row>
    <row r="6" spans="1:13" s="16" customFormat="1" ht="45" customHeight="1" x14ac:dyDescent="0.45">
      <c r="A6"/>
      <c r="B6" s="114" t="s">
        <v>144</v>
      </c>
      <c r="C6" s="115">
        <v>0</v>
      </c>
      <c r="D6" s="116">
        <v>18</v>
      </c>
      <c r="E6" s="116">
        <v>18</v>
      </c>
      <c r="F6" s="116">
        <f>+Tabla2024249[[#This Row],[Material Contabilizado Ingresado al deposito ]]-Tabla2024249[[#This Row],[Material Según Mensaje 25/10/2023]]</f>
        <v>0</v>
      </c>
      <c r="G6" s="117">
        <v>0</v>
      </c>
      <c r="H6" s="116">
        <f>+Tabla2024249[[#This Row],[Material Contabilizado Ingresado al deposito ]]-Tabla2024249[[#This Row],[Adeuda Agesta a Dos57]]</f>
        <v>18</v>
      </c>
      <c r="I6" s="117">
        <v>0</v>
      </c>
      <c r="J6" s="121">
        <v>15</v>
      </c>
      <c r="K6" s="81"/>
      <c r="L6"/>
      <c r="M6"/>
    </row>
    <row r="7" spans="1:13" s="16" customFormat="1" ht="45" customHeight="1" x14ac:dyDescent="0.45">
      <c r="A7"/>
      <c r="B7" s="114" t="s">
        <v>78</v>
      </c>
      <c r="C7" s="115">
        <v>30</v>
      </c>
      <c r="D7" s="116">
        <v>32</v>
      </c>
      <c r="E7" s="116">
        <v>32</v>
      </c>
      <c r="F7" s="116">
        <f>+Tabla2024249[[#This Row],[Material Contabilizado Ingresado al deposito ]]-Tabla2024249[[#This Row],[Material Según Mensaje 25/10/2023]]</f>
        <v>0</v>
      </c>
      <c r="G7" s="117">
        <v>2</v>
      </c>
      <c r="H7" s="116">
        <f>+Tabla2024249[[#This Row],[Material Contabilizado Ingresado al deposito ]]-Tabla2024249[[#This Row],[Adeuda Agesta a Dos57]]</f>
        <v>30</v>
      </c>
      <c r="I7" s="117">
        <v>0</v>
      </c>
      <c r="J7" s="121">
        <v>32</v>
      </c>
      <c r="K7" s="81"/>
      <c r="L7"/>
      <c r="M7"/>
    </row>
    <row r="8" spans="1:13" s="16" customFormat="1" ht="45" customHeight="1" x14ac:dyDescent="0.45">
      <c r="A8"/>
      <c r="B8" s="114" t="s">
        <v>51</v>
      </c>
      <c r="C8" s="115">
        <v>60</v>
      </c>
      <c r="D8" s="116">
        <v>24</v>
      </c>
      <c r="E8" s="116">
        <v>21</v>
      </c>
      <c r="F8" s="118">
        <f>+Tabla2024249[[#This Row],[Material Contabilizado Ingresado al deposito ]]-Tabla2024249[[#This Row],[Material Según Mensaje 25/10/2023]]</f>
        <v>-3</v>
      </c>
      <c r="G8" s="117">
        <v>0</v>
      </c>
      <c r="H8" s="116">
        <f>+Tabla2024249[[#This Row],[Material Contabilizado Ingresado al deposito ]]-Tabla2024249[[#This Row],[Adeuda Agesta a Dos57]]</f>
        <v>21</v>
      </c>
      <c r="I8" s="117">
        <v>1</v>
      </c>
      <c r="J8" s="121">
        <v>37</v>
      </c>
      <c r="K8" s="81"/>
      <c r="L8"/>
      <c r="M8"/>
    </row>
    <row r="9" spans="1:13" s="16" customFormat="1" ht="45" customHeight="1" x14ac:dyDescent="0.45">
      <c r="A9"/>
      <c r="B9" s="114" t="s">
        <v>150</v>
      </c>
      <c r="C9" s="115"/>
      <c r="D9" s="116"/>
      <c r="E9" s="116"/>
      <c r="F9" s="119">
        <f>+Tabla2024249[[#This Row],[Material Contabilizado Ingresado al deposito ]]-Tabla2024249[[#This Row],[Material Según Mensaje 25/10/2023]]</f>
        <v>0</v>
      </c>
      <c r="G9" s="120"/>
      <c r="H9" s="119">
        <f>+Tabla2024249[[#This Row],[Material Contabilizado Ingresado al deposito ]]-Tabla2024249[[#This Row],[Adeuda Agesta a Dos57]]</f>
        <v>0</v>
      </c>
      <c r="I9" s="117"/>
      <c r="J9" s="121">
        <v>18</v>
      </c>
      <c r="K9" s="113"/>
      <c r="L9"/>
      <c r="M9"/>
    </row>
    <row r="10" spans="1:13" s="16" customFormat="1" ht="45" customHeight="1" x14ac:dyDescent="0.45">
      <c r="A10"/>
      <c r="B10" s="114" t="s">
        <v>7</v>
      </c>
      <c r="C10" s="115">
        <v>136</v>
      </c>
      <c r="D10" s="116">
        <v>120</v>
      </c>
      <c r="E10" s="116">
        <v>120</v>
      </c>
      <c r="F10" s="116">
        <f>+Tabla2024249[[#This Row],[Material Contabilizado Ingresado al deposito ]]-Tabla2024249[[#This Row],[Material Según Mensaje 25/10/2023]]</f>
        <v>0</v>
      </c>
      <c r="G10" s="117">
        <v>0</v>
      </c>
      <c r="H10" s="116">
        <f>+Tabla2024249[[#This Row],[Material Contabilizado Ingresado al deposito ]]-Tabla2024249[[#This Row],[Adeuda Agesta a Dos57]]</f>
        <v>120</v>
      </c>
      <c r="I10" s="117">
        <v>0</v>
      </c>
      <c r="J10" s="121">
        <v>100</v>
      </c>
      <c r="K10" s="81"/>
      <c r="L10"/>
      <c r="M10"/>
    </row>
    <row r="11" spans="1:13" s="16" customFormat="1" ht="45" customHeight="1" x14ac:dyDescent="0.45">
      <c r="A11"/>
      <c r="B11" s="114" t="s">
        <v>17</v>
      </c>
      <c r="C11" s="115">
        <v>136</v>
      </c>
      <c r="D11" s="116">
        <v>120</v>
      </c>
      <c r="E11" s="116">
        <v>120</v>
      </c>
      <c r="F11" s="116">
        <f>+Tabla2024249[[#This Row],[Material Contabilizado Ingresado al deposito ]]-Tabla2024249[[#This Row],[Material Según Mensaje 25/10/2023]]</f>
        <v>0</v>
      </c>
      <c r="G11" s="117">
        <v>2</v>
      </c>
      <c r="H11" s="116">
        <f>+Tabla2024249[[#This Row],[Material Contabilizado Ingresado al deposito ]]-Tabla2024249[[#This Row],[Adeuda Agesta a Dos57]]</f>
        <v>118</v>
      </c>
      <c r="I11" s="117">
        <v>0</v>
      </c>
      <c r="J11" s="121">
        <v>100</v>
      </c>
      <c r="K11" s="81"/>
      <c r="L11"/>
      <c r="M11"/>
    </row>
    <row r="12" spans="1:13" s="16" customFormat="1" ht="45" customHeight="1" x14ac:dyDescent="0.45">
      <c r="A12"/>
      <c r="B12" s="114" t="s">
        <v>250</v>
      </c>
      <c r="C12" s="115"/>
      <c r="D12" s="116"/>
      <c r="E12" s="116"/>
      <c r="F12" s="119">
        <f>+Tabla2024249[[#This Row],[Material Contabilizado Ingresado al deposito ]]-Tabla2024249[[#This Row],[Material Según Mensaje 25/10/2023]]</f>
        <v>0</v>
      </c>
      <c r="G12" s="120"/>
      <c r="H12" s="119">
        <f>+Tabla2024249[[#This Row],[Material Contabilizado Ingresado al deposito ]]-Tabla2024249[[#This Row],[Adeuda Agesta a Dos57]]</f>
        <v>0</v>
      </c>
      <c r="I12" s="117"/>
      <c r="J12" s="122">
        <v>100</v>
      </c>
      <c r="K12" s="113"/>
      <c r="L12"/>
      <c r="M12"/>
    </row>
    <row r="13" spans="1:13" s="16" customFormat="1" ht="45" customHeight="1" x14ac:dyDescent="0.45">
      <c r="A13"/>
      <c r="B13" s="114" t="s">
        <v>209</v>
      </c>
      <c r="C13" s="115">
        <v>28</v>
      </c>
      <c r="D13" s="116">
        <v>22</v>
      </c>
      <c r="E13" s="116">
        <v>21</v>
      </c>
      <c r="F13" s="118">
        <f>+Tabla2024249[[#This Row],[Material Contabilizado Ingresado al deposito ]]-Tabla2024249[[#This Row],[Material Según Mensaje 25/10/2023]]</f>
        <v>-1</v>
      </c>
      <c r="G13" s="117">
        <v>0</v>
      </c>
      <c r="H13" s="116">
        <f>+Tabla2024249[[#This Row],[Material Contabilizado Ingresado al deposito ]]-Tabla2024249[[#This Row],[Adeuda Agesta a Dos57]]</f>
        <v>21</v>
      </c>
      <c r="I13" s="117">
        <v>0</v>
      </c>
      <c r="J13" s="121">
        <v>25</v>
      </c>
      <c r="K13" s="81"/>
      <c r="L13"/>
      <c r="M13"/>
    </row>
    <row r="14" spans="1:13" s="16" customFormat="1" ht="45" customHeight="1" x14ac:dyDescent="0.45">
      <c r="A14"/>
      <c r="B14" s="114" t="s">
        <v>142</v>
      </c>
      <c r="C14" s="115">
        <v>825</v>
      </c>
      <c r="D14" s="116">
        <v>792</v>
      </c>
      <c r="E14" s="116">
        <v>790</v>
      </c>
      <c r="F14" s="118">
        <f>+Tabla2024249[[#This Row],[Material Contabilizado Ingresado al deposito ]]-Tabla2024249[[#This Row],[Material Según Mensaje 25/10/2023]]</f>
        <v>-2</v>
      </c>
      <c r="G14" s="117">
        <v>0</v>
      </c>
      <c r="H14" s="116">
        <f>+Tabla2024249[[#This Row],[Material Contabilizado Ingresado al deposito ]]-Tabla2024249[[#This Row],[Adeuda Agesta a Dos57]]</f>
        <v>790</v>
      </c>
      <c r="I14" s="117">
        <v>0</v>
      </c>
      <c r="J14" s="121">
        <v>800</v>
      </c>
      <c r="K14" s="81"/>
      <c r="L14"/>
      <c r="M14"/>
    </row>
  </sheetData>
  <mergeCells count="2">
    <mergeCell ref="B2:K2"/>
    <mergeCell ref="B3:K3"/>
  </mergeCells>
  <printOptions horizontalCentered="1"/>
  <pageMargins left="0.31496062992125984" right="0.31496062992125984" top="0.35433070866141736" bottom="0.74803149606299213" header="0.31496062992125984" footer="0.31496062992125984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topLeftCell="A19" zoomScale="130" zoomScaleNormal="130" workbookViewId="0">
      <selection activeCell="B2" sqref="B2:G33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0.77734375" style="1" customWidth="1"/>
    <col min="4" max="4" width="20.77734375" hidden="1" customWidth="1"/>
    <col min="5" max="6" width="20.77734375" customWidth="1"/>
    <col min="7" max="7" width="20.77734375" style="16" customWidth="1"/>
    <col min="8" max="8" width="11.5546875" customWidth="1"/>
  </cols>
  <sheetData>
    <row r="1" spans="1:9" ht="15" thickBot="1" x14ac:dyDescent="0.35"/>
    <row r="2" spans="1:9" ht="15" customHeight="1" thickBot="1" x14ac:dyDescent="0.35">
      <c r="B2" s="178" t="s">
        <v>251</v>
      </c>
      <c r="C2" s="179"/>
      <c r="D2" s="179"/>
      <c r="E2" s="179"/>
      <c r="F2" s="179"/>
      <c r="G2" s="180"/>
    </row>
    <row r="3" spans="1:9" ht="15" thickBot="1" x14ac:dyDescent="0.35">
      <c r="B3" s="184" t="s">
        <v>191</v>
      </c>
      <c r="C3" s="185"/>
      <c r="D3" s="186"/>
      <c r="E3" s="107"/>
      <c r="F3" s="97" t="s">
        <v>245</v>
      </c>
      <c r="G3" s="98">
        <v>965</v>
      </c>
    </row>
    <row r="4" spans="1:9" ht="30" customHeight="1" x14ac:dyDescent="0.3">
      <c r="B4" s="44" t="s">
        <v>0</v>
      </c>
      <c r="C4" s="43" t="s">
        <v>240</v>
      </c>
      <c r="D4" s="29" t="s">
        <v>242</v>
      </c>
      <c r="E4" s="29" t="s">
        <v>243</v>
      </c>
      <c r="F4" s="29" t="s">
        <v>236</v>
      </c>
      <c r="G4" s="29" t="s">
        <v>237</v>
      </c>
    </row>
    <row r="5" spans="1:9" x14ac:dyDescent="0.3">
      <c r="B5" s="46" t="s">
        <v>33</v>
      </c>
      <c r="C5" s="65">
        <v>8</v>
      </c>
      <c r="D5" s="99">
        <v>263.64</v>
      </c>
      <c r="E5" s="99">
        <f>+Tabla2024267810[[#This Row],[Valor Unitario en € ]]*5%+Tabla2024267810[[#This Row],[Valor Unitario en € ]]</f>
        <v>276.822</v>
      </c>
      <c r="F5" s="99">
        <f>+Tabla2024267810[[#This Row],[Marterial Final Alquiler]]*Tabla2024267810[[#This Row],[Valor Unitario en € + 5%]]*G$3</f>
        <v>2137065.84</v>
      </c>
      <c r="G5" s="99">
        <f>+Tabla2024267810[[#This Row],[Total Precio en Pesos]]*5%</f>
        <v>106853.292</v>
      </c>
    </row>
    <row r="6" spans="1:9" x14ac:dyDescent="0.3">
      <c r="B6" s="46" t="s">
        <v>167</v>
      </c>
      <c r="C6" s="65">
        <v>300</v>
      </c>
      <c r="D6" s="99">
        <v>76.83</v>
      </c>
      <c r="E6" s="99">
        <f>+Tabla2024267810[[#This Row],[Valor Unitario en € ]]*5%+Tabla2024267810[[#This Row],[Valor Unitario en € ]]</f>
        <v>80.671499999999995</v>
      </c>
      <c r="F6" s="99">
        <f>+Tabla2024267810[[#This Row],[Marterial Final Alquiler]]*Tabla2024267810[[#This Row],[Valor Unitario en € + 5%]]*G$3</f>
        <v>23354399.249999996</v>
      </c>
      <c r="G6" s="99">
        <f>+Tabla2024267810[[#This Row],[Total Precio en Pesos]]*5%</f>
        <v>1167719.9624999999</v>
      </c>
    </row>
    <row r="7" spans="1:9" x14ac:dyDescent="0.3">
      <c r="B7" s="46" t="s">
        <v>190</v>
      </c>
      <c r="C7" s="65"/>
      <c r="D7" s="99">
        <v>66.95</v>
      </c>
      <c r="E7" s="99">
        <f>+Tabla2024267810[[#This Row],[Valor Unitario en € ]]*5%+Tabla2024267810[[#This Row],[Valor Unitario en € ]]</f>
        <v>70.297499999999999</v>
      </c>
      <c r="F7" s="99">
        <f>+Tabla2024267810[[#This Row],[Marterial Final Alquiler]]*Tabla2024267810[[#This Row],[Valor Unitario en € + 5%]]*G$3</f>
        <v>0</v>
      </c>
      <c r="G7" s="99">
        <f>+Tabla2024267810[[#This Row],[Total Precio en Pesos]]*5%</f>
        <v>0</v>
      </c>
    </row>
    <row r="8" spans="1:9" x14ac:dyDescent="0.3">
      <c r="B8" s="46" t="s">
        <v>189</v>
      </c>
      <c r="C8" s="65"/>
      <c r="D8" s="99">
        <v>65.650000000000006</v>
      </c>
      <c r="E8" s="99">
        <f>+Tabla2024267810[[#This Row],[Valor Unitario en € ]]*5%+Tabla2024267810[[#This Row],[Valor Unitario en € ]]</f>
        <v>68.932500000000005</v>
      </c>
      <c r="F8" s="99">
        <f>+Tabla2024267810[[#This Row],[Marterial Final Alquiler]]*Tabla2024267810[[#This Row],[Valor Unitario en € + 5%]]*G$3</f>
        <v>0</v>
      </c>
      <c r="G8" s="99">
        <f>+Tabla2024267810[[#This Row],[Total Precio en Pesos]]*5%</f>
        <v>0</v>
      </c>
    </row>
    <row r="9" spans="1:9" s="16" customFormat="1" x14ac:dyDescent="0.3">
      <c r="A9"/>
      <c r="B9" s="46" t="s">
        <v>55</v>
      </c>
      <c r="C9" s="65"/>
      <c r="D9" s="99">
        <v>117.39</v>
      </c>
      <c r="E9" s="99">
        <f>+Tabla2024267810[[#This Row],[Valor Unitario en € ]]*5%+Tabla2024267810[[#This Row],[Valor Unitario en € ]]</f>
        <v>123.2595</v>
      </c>
      <c r="F9" s="99">
        <f>+Tabla2024267810[[#This Row],[Marterial Final Alquiler]]*Tabla2024267810[[#This Row],[Valor Unitario en € + 5%]]*G$3</f>
        <v>0</v>
      </c>
      <c r="G9" s="99">
        <f>+Tabla2024267810[[#This Row],[Total Precio en Pesos]]*5%</f>
        <v>0</v>
      </c>
      <c r="H9"/>
      <c r="I9"/>
    </row>
    <row r="10" spans="1:9" s="16" customFormat="1" x14ac:dyDescent="0.3">
      <c r="A10"/>
      <c r="B10" s="46" t="s">
        <v>143</v>
      </c>
      <c r="C10" s="65">
        <v>92</v>
      </c>
      <c r="D10" s="99">
        <v>75.010000000000005</v>
      </c>
      <c r="E10" s="99">
        <f>+Tabla2024267810[[#This Row],[Valor Unitario en € ]]*5%+Tabla2024267810[[#This Row],[Valor Unitario en € ]]</f>
        <v>78.760500000000008</v>
      </c>
      <c r="F10" s="99">
        <f>+Tabla2024267810[[#This Row],[Marterial Final Alquiler]]*Tabla2024267810[[#This Row],[Valor Unitario en € + 5%]]*G$3</f>
        <v>6992357.1900000004</v>
      </c>
      <c r="G10" s="99">
        <f>+Tabla2024267810[[#This Row],[Total Precio en Pesos]]*5%</f>
        <v>349617.85950000002</v>
      </c>
      <c r="H10"/>
      <c r="I10"/>
    </row>
    <row r="11" spans="1:9" s="16" customFormat="1" x14ac:dyDescent="0.3">
      <c r="A11"/>
      <c r="B11" s="46" t="s">
        <v>144</v>
      </c>
      <c r="C11" s="65">
        <v>20</v>
      </c>
      <c r="D11" s="99">
        <v>70.069999999999993</v>
      </c>
      <c r="E11" s="99">
        <f>+Tabla2024267810[[#This Row],[Valor Unitario en € ]]*5%+Tabla2024267810[[#This Row],[Valor Unitario en € ]]</f>
        <v>73.573499999999996</v>
      </c>
      <c r="F11" s="99">
        <f>+Tabla2024267810[[#This Row],[Marterial Final Alquiler]]*Tabla2024267810[[#This Row],[Valor Unitario en € + 5%]]*G$3</f>
        <v>1419968.5499999998</v>
      </c>
      <c r="G11" s="99">
        <f>+Tabla2024267810[[#This Row],[Total Precio en Pesos]]*5%</f>
        <v>70998.427499999991</v>
      </c>
      <c r="H11"/>
      <c r="I11"/>
    </row>
    <row r="12" spans="1:9" s="16" customFormat="1" x14ac:dyDescent="0.3">
      <c r="A12"/>
      <c r="B12" s="46" t="s">
        <v>78</v>
      </c>
      <c r="C12" s="65"/>
      <c r="D12" s="99">
        <v>61.23</v>
      </c>
      <c r="E12" s="99">
        <f>+Tabla2024267810[[#This Row],[Valor Unitario en € ]]*5%+Tabla2024267810[[#This Row],[Valor Unitario en € ]]</f>
        <v>64.291499999999999</v>
      </c>
      <c r="F12" s="99">
        <f>+Tabla2024267810[[#This Row],[Marterial Final Alquiler]]*Tabla2024267810[[#This Row],[Valor Unitario en € + 5%]]*G$3</f>
        <v>0</v>
      </c>
      <c r="G12" s="99">
        <f>+Tabla2024267810[[#This Row],[Total Precio en Pesos]]*5%</f>
        <v>0</v>
      </c>
      <c r="H12"/>
      <c r="I12"/>
    </row>
    <row r="13" spans="1:9" s="16" customFormat="1" x14ac:dyDescent="0.3">
      <c r="A13"/>
      <c r="B13" s="46" t="s">
        <v>50</v>
      </c>
      <c r="C13" s="65"/>
      <c r="D13" s="99">
        <v>45.76</v>
      </c>
      <c r="E13" s="99">
        <f>+Tabla2024267810[[#This Row],[Valor Unitario en € ]]*5%+Tabla2024267810[[#This Row],[Valor Unitario en € ]]</f>
        <v>48.047999999999995</v>
      </c>
      <c r="F13" s="99">
        <f>+Tabla2024267810[[#This Row],[Marterial Final Alquiler]]*Tabla2024267810[[#This Row],[Valor Unitario en € + 5%]]*G$3</f>
        <v>0</v>
      </c>
      <c r="G13" s="99">
        <f>+Tabla2024267810[[#This Row],[Total Precio en Pesos]]*5%</f>
        <v>0</v>
      </c>
      <c r="H13"/>
      <c r="I13"/>
    </row>
    <row r="14" spans="1:9" s="16" customFormat="1" x14ac:dyDescent="0.3">
      <c r="A14"/>
      <c r="B14" s="46" t="s">
        <v>51</v>
      </c>
      <c r="C14" s="65"/>
      <c r="D14" s="99">
        <v>43.03</v>
      </c>
      <c r="E14" s="99">
        <f>+Tabla2024267810[[#This Row],[Valor Unitario en € ]]*5%+Tabla2024267810[[#This Row],[Valor Unitario en € ]]</f>
        <v>45.1815</v>
      </c>
      <c r="F14" s="99">
        <f>+Tabla2024267810[[#This Row],[Marterial Final Alquiler]]*Tabla2024267810[[#This Row],[Valor Unitario en € + 5%]]*G$3</f>
        <v>0</v>
      </c>
      <c r="G14" s="99">
        <f>+Tabla2024267810[[#This Row],[Total Precio en Pesos]]*5%</f>
        <v>0</v>
      </c>
      <c r="H14"/>
      <c r="I14"/>
    </row>
    <row r="15" spans="1:9" s="16" customFormat="1" x14ac:dyDescent="0.3">
      <c r="A15"/>
      <c r="B15" s="46" t="s">
        <v>150</v>
      </c>
      <c r="C15" s="67"/>
      <c r="D15" s="109"/>
      <c r="E15" s="110">
        <v>41.26</v>
      </c>
      <c r="F15" s="112">
        <f>+Tabla2024267810[[#This Row],[Marterial Final Alquiler]]*Tabla2024267810[[#This Row],[Valor Unitario en € + 5%]]*G$3</f>
        <v>0</v>
      </c>
      <c r="G15" s="99">
        <f>+Tabla2024267810[[#This Row],[Total Precio en Pesos]]*5%</f>
        <v>0</v>
      </c>
      <c r="H15"/>
      <c r="I15"/>
    </row>
    <row r="16" spans="1:9" s="16" customFormat="1" x14ac:dyDescent="0.3">
      <c r="A16"/>
      <c r="B16" s="46" t="s">
        <v>31</v>
      </c>
      <c r="C16" s="65">
        <v>40</v>
      </c>
      <c r="D16" s="99">
        <v>148.19999999999999</v>
      </c>
      <c r="E16" s="99">
        <f>+Tabla2024267810[[#This Row],[Valor Unitario en € ]]*5%+Tabla2024267810[[#This Row],[Valor Unitario en € ]]</f>
        <v>155.60999999999999</v>
      </c>
      <c r="F16" s="99">
        <f>+Tabla2024267810[[#This Row],[Marterial Final Alquiler]]*Tabla2024267810[[#This Row],[Valor Unitario en € + 5%]]*G$3</f>
        <v>6006546</v>
      </c>
      <c r="G16" s="99">
        <f>+Tabla2024267810[[#This Row],[Total Precio en Pesos]]*5%</f>
        <v>300327.3</v>
      </c>
      <c r="H16"/>
      <c r="I16"/>
    </row>
    <row r="17" spans="1:9" s="16" customFormat="1" x14ac:dyDescent="0.3">
      <c r="A17"/>
      <c r="B17" s="46" t="s">
        <v>49</v>
      </c>
      <c r="C17" s="65"/>
      <c r="D17" s="99">
        <v>55.64</v>
      </c>
      <c r="E17" s="99">
        <f>+Tabla2024267810[[#This Row],[Valor Unitario en € ]]*5%+Tabla2024267810[[#This Row],[Valor Unitario en € ]]</f>
        <v>58.421999999999997</v>
      </c>
      <c r="F17" s="99">
        <f>+Tabla2024267810[[#This Row],[Marterial Final Alquiler]]*Tabla2024267810[[#This Row],[Valor Unitario en € + 5%]]*G$3</f>
        <v>0</v>
      </c>
      <c r="G17" s="99">
        <f>+Tabla2024267810[[#This Row],[Total Precio en Pesos]]*5%</f>
        <v>0</v>
      </c>
      <c r="H17"/>
      <c r="I17"/>
    </row>
    <row r="18" spans="1:9" s="16" customFormat="1" x14ac:dyDescent="0.3">
      <c r="A18"/>
      <c r="B18" s="46" t="s">
        <v>148</v>
      </c>
      <c r="C18" s="65"/>
      <c r="D18" s="99">
        <v>37.96</v>
      </c>
      <c r="E18" s="99">
        <f>+Tabla2024267810[[#This Row],[Valor Unitario en € ]]*5%+Tabla2024267810[[#This Row],[Valor Unitario en € ]]</f>
        <v>39.858000000000004</v>
      </c>
      <c r="F18" s="99">
        <f>+Tabla2024267810[[#This Row],[Marterial Final Alquiler]]*Tabla2024267810[[#This Row],[Valor Unitario en € + 5%]]*G$3</f>
        <v>0</v>
      </c>
      <c r="G18" s="99">
        <f>+Tabla2024267810[[#This Row],[Total Precio en Pesos]]*5%</f>
        <v>0</v>
      </c>
      <c r="H18"/>
      <c r="I18"/>
    </row>
    <row r="19" spans="1:9" s="16" customFormat="1" x14ac:dyDescent="0.3">
      <c r="A19"/>
      <c r="B19" s="46" t="s">
        <v>7</v>
      </c>
      <c r="C19" s="65">
        <v>70</v>
      </c>
      <c r="D19" s="99">
        <v>28.34</v>
      </c>
      <c r="E19" s="99">
        <f>+Tabla2024267810[[#This Row],[Valor Unitario en € ]]*5%+Tabla2024267810[[#This Row],[Valor Unitario en € ]]</f>
        <v>29.757000000000001</v>
      </c>
      <c r="F19" s="99">
        <f>+Tabla2024267810[[#This Row],[Marterial Final Alquiler]]*Tabla2024267810[[#This Row],[Valor Unitario en € + 5%]]*G$3</f>
        <v>2010085.3500000003</v>
      </c>
      <c r="G19" s="99">
        <f>+Tabla2024267810[[#This Row],[Total Precio en Pesos]]*5%</f>
        <v>100504.26750000002</v>
      </c>
      <c r="H19"/>
      <c r="I19"/>
    </row>
    <row r="20" spans="1:9" s="16" customFormat="1" x14ac:dyDescent="0.3">
      <c r="A20"/>
      <c r="B20" s="46" t="s">
        <v>17</v>
      </c>
      <c r="C20" s="65">
        <v>70</v>
      </c>
      <c r="D20" s="99">
        <v>19.89</v>
      </c>
      <c r="E20" s="99">
        <f>+Tabla2024267810[[#This Row],[Valor Unitario en € ]]*5%+Tabla2024267810[[#This Row],[Valor Unitario en € ]]</f>
        <v>20.884499999999999</v>
      </c>
      <c r="F20" s="99">
        <f>+Tabla2024267810[[#This Row],[Marterial Final Alquiler]]*Tabla2024267810[[#This Row],[Valor Unitario en € + 5%]]*G$3</f>
        <v>1410747.9749999999</v>
      </c>
      <c r="G20" s="99">
        <f>+Tabla2024267810[[#This Row],[Total Precio en Pesos]]*5%</f>
        <v>70537.398749999993</v>
      </c>
      <c r="H20"/>
      <c r="I20"/>
    </row>
    <row r="21" spans="1:9" s="16" customFormat="1" x14ac:dyDescent="0.3">
      <c r="A21"/>
      <c r="B21" s="108" t="s">
        <v>247</v>
      </c>
      <c r="C21" s="67">
        <v>152</v>
      </c>
      <c r="D21" s="109"/>
      <c r="E21" s="110">
        <v>52</v>
      </c>
      <c r="F21" s="112">
        <f>+Tabla2024267810[[#This Row],[Marterial Final Alquiler]]*Tabla2024267810[[#This Row],[Valor Unitario en € + 5%]]*G$3</f>
        <v>7627360</v>
      </c>
      <c r="G21" s="99">
        <f>+Tabla2024267810[[#This Row],[Total Precio en Pesos]]*5%</f>
        <v>381368</v>
      </c>
      <c r="H21"/>
      <c r="I21"/>
    </row>
    <row r="22" spans="1:9" s="16" customFormat="1" x14ac:dyDescent="0.3">
      <c r="A22"/>
      <c r="B22" s="46" t="s">
        <v>209</v>
      </c>
      <c r="C22" s="65">
        <v>20</v>
      </c>
      <c r="D22" s="99">
        <v>72.739999999999995</v>
      </c>
      <c r="E22" s="99">
        <f>+Tabla2024267810[[#This Row],[Valor Unitario en € ]]*5%+Tabla2024267810[[#This Row],[Valor Unitario en € ]]</f>
        <v>76.376999999999995</v>
      </c>
      <c r="F22" s="99">
        <f>+Tabla2024267810[[#This Row],[Marterial Final Alquiler]]*Tabla2024267810[[#This Row],[Valor Unitario en € + 5%]]*G$3</f>
        <v>1474076.0999999999</v>
      </c>
      <c r="G22" s="99">
        <f>+Tabla2024267810[[#This Row],[Total Precio en Pesos]]*5%</f>
        <v>73703.804999999993</v>
      </c>
      <c r="H22"/>
      <c r="I22"/>
    </row>
    <row r="23" spans="1:9" s="16" customFormat="1" x14ac:dyDescent="0.3">
      <c r="A23"/>
      <c r="B23" s="46" t="s">
        <v>142</v>
      </c>
      <c r="C23" s="65">
        <v>300</v>
      </c>
      <c r="D23" s="99">
        <v>64.349999999999994</v>
      </c>
      <c r="E23" s="99">
        <f>+Tabla2024267810[[#This Row],[Valor Unitario en € ]]*5%+Tabla2024267810[[#This Row],[Valor Unitario en € ]]</f>
        <v>67.567499999999995</v>
      </c>
      <c r="F23" s="99">
        <f>+Tabla2024267810[[#This Row],[Marterial Final Alquiler]]*Tabla2024267810[[#This Row],[Valor Unitario en € + 5%]]*G$3</f>
        <v>19560791.25</v>
      </c>
      <c r="G23" s="99">
        <f>+Tabla2024267810[[#This Row],[Total Precio en Pesos]]*5%</f>
        <v>978039.5625</v>
      </c>
      <c r="H23"/>
      <c r="I23"/>
    </row>
    <row r="24" spans="1:9" s="16" customFormat="1" x14ac:dyDescent="0.3">
      <c r="A24"/>
      <c r="B24" s="46" t="s">
        <v>48</v>
      </c>
      <c r="C24" s="65"/>
      <c r="D24" s="99">
        <v>39.39</v>
      </c>
      <c r="E24" s="99">
        <f>+Tabla2024267810[[#This Row],[Valor Unitario en € ]]*5%+Tabla2024267810[[#This Row],[Valor Unitario en € ]]</f>
        <v>41.359499999999997</v>
      </c>
      <c r="F24" s="99">
        <f>+Tabla2024267810[[#This Row],[Marterial Final Alquiler]]*Tabla2024267810[[#This Row],[Valor Unitario en € + 5%]]*G$3</f>
        <v>0</v>
      </c>
      <c r="G24" s="99">
        <f>+Tabla2024267810[[#This Row],[Total Precio en Pesos]]*5%</f>
        <v>0</v>
      </c>
      <c r="H24"/>
      <c r="I24"/>
    </row>
    <row r="25" spans="1:9" s="16" customFormat="1" x14ac:dyDescent="0.3">
      <c r="A25"/>
      <c r="B25" s="46" t="s">
        <v>52</v>
      </c>
      <c r="C25" s="65"/>
      <c r="D25" s="99">
        <v>33.020000000000003</v>
      </c>
      <c r="E25" s="99">
        <f>+Tabla2024267810[[#This Row],[Valor Unitario en € ]]*5%+Tabla2024267810[[#This Row],[Valor Unitario en € ]]</f>
        <v>34.671000000000006</v>
      </c>
      <c r="F25" s="99">
        <f>+Tabla2024267810[[#This Row],[Marterial Final Alquiler]]*Tabla2024267810[[#This Row],[Valor Unitario en € + 5%]]*G$3</f>
        <v>0</v>
      </c>
      <c r="G25" s="99">
        <f>+Tabla2024267810[[#This Row],[Total Precio en Pesos]]*5%</f>
        <v>0</v>
      </c>
      <c r="H25"/>
      <c r="I25"/>
    </row>
    <row r="26" spans="1:9" s="16" customFormat="1" x14ac:dyDescent="0.3">
      <c r="A26"/>
      <c r="B26" s="46" t="s">
        <v>252</v>
      </c>
      <c r="C26" s="65">
        <v>4</v>
      </c>
      <c r="D26" s="123"/>
      <c r="E26" s="124">
        <v>568</v>
      </c>
      <c r="F26" s="112">
        <f>+Tabla2024267810[[#This Row],[Marterial Final Alquiler]]*Tabla2024267810[[#This Row],[Valor Unitario en € + 5%]]*G$3</f>
        <v>2192480</v>
      </c>
      <c r="G26" s="99">
        <f>+Tabla2024267810[[#This Row],[Total Precio en Pesos]]*5%</f>
        <v>109624</v>
      </c>
      <c r="H26"/>
      <c r="I26"/>
    </row>
    <row r="27" spans="1:9" x14ac:dyDescent="0.3">
      <c r="B27" s="55"/>
      <c r="C27" s="72"/>
      <c r="D27" s="73"/>
      <c r="E27" s="73"/>
      <c r="F27" s="73"/>
      <c r="G27" s="106">
        <f>SUBTOTAL(109,Tabla2024267810[Valor Alquiler 5%])</f>
        <v>3709293.87525</v>
      </c>
    </row>
    <row r="28" spans="1:9" x14ac:dyDescent="0.3">
      <c r="F28" s="3" t="s">
        <v>271</v>
      </c>
      <c r="G28" s="133">
        <v>1300000</v>
      </c>
    </row>
    <row r="30" spans="1:9" x14ac:dyDescent="0.3">
      <c r="F30" s="3" t="s">
        <v>272</v>
      </c>
      <c r="G30" s="134">
        <f>+Tabla2024267810[[#Totals],[Valor Alquiler 5%]]+G28</f>
        <v>5009293.8752500005</v>
      </c>
    </row>
    <row r="31" spans="1:9" ht="28.8" customHeight="1" x14ac:dyDescent="0.3">
      <c r="F31" s="135" t="s">
        <v>273</v>
      </c>
      <c r="G31" s="134">
        <f>+Tabla20242678[[#Totals],[Valor Alquiler 5%]]</f>
        <v>4632209.9357500002</v>
      </c>
    </row>
    <row r="33" spans="6:7" ht="28.8" customHeight="1" x14ac:dyDescent="0.3">
      <c r="F33" s="135" t="s">
        <v>274</v>
      </c>
      <c r="G33" s="134">
        <f>+G30-G31</f>
        <v>377083.93950000033</v>
      </c>
    </row>
  </sheetData>
  <mergeCells count="2">
    <mergeCell ref="B2:G2"/>
    <mergeCell ref="B3:D3"/>
  </mergeCells>
  <printOptions horizontalCentered="1"/>
  <pageMargins left="0.11811023622047245" right="0.11811023622047245" top="0.59055118110236227" bottom="0.19685039370078741" header="0.31496062992125984" footer="0.31496062992125984"/>
  <pageSetup paperSize="9" scale="92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7"/>
  <sheetViews>
    <sheetView zoomScaleNormal="100" workbookViewId="0">
      <selection activeCell="B2" sqref="B2:K17"/>
    </sheetView>
  </sheetViews>
  <sheetFormatPr baseColWidth="10" defaultRowHeight="14.4" x14ac:dyDescent="0.3"/>
  <cols>
    <col min="1" max="1" width="1.6640625" customWidth="1"/>
    <col min="2" max="2" width="30.77734375" style="2" customWidth="1"/>
    <col min="3" max="6" width="30.77734375" style="1" hidden="1" customWidth="1"/>
    <col min="7" max="7" width="30.77734375" hidden="1" customWidth="1"/>
    <col min="8" max="8" width="30.77734375" style="16" hidden="1" customWidth="1"/>
    <col min="9" max="9" width="30.77734375" hidden="1" customWidth="1"/>
    <col min="10" max="11" width="30.77734375" style="16" customWidth="1"/>
    <col min="12" max="12" width="11.5546875" customWidth="1"/>
  </cols>
  <sheetData>
    <row r="2" spans="1:13" ht="15" customHeight="1" x14ac:dyDescent="0.3">
      <c r="B2" s="189" t="s">
        <v>253</v>
      </c>
      <c r="C2" s="189"/>
      <c r="D2" s="189"/>
      <c r="E2" s="189"/>
      <c r="F2" s="189"/>
      <c r="G2" s="189"/>
      <c r="H2" s="189"/>
      <c r="I2" s="189"/>
      <c r="J2" s="189"/>
      <c r="K2" s="189"/>
    </row>
    <row r="3" spans="1:13" x14ac:dyDescent="0.3">
      <c r="B3" s="190" t="s">
        <v>191</v>
      </c>
      <c r="C3" s="190"/>
      <c r="D3" s="190"/>
      <c r="E3" s="190"/>
      <c r="F3" s="190"/>
      <c r="G3" s="190"/>
      <c r="H3" s="190"/>
      <c r="I3" s="190"/>
      <c r="J3" s="190"/>
      <c r="K3" s="190"/>
    </row>
    <row r="4" spans="1:13" ht="30" customHeight="1" x14ac:dyDescent="0.3">
      <c r="B4" s="86" t="s">
        <v>0</v>
      </c>
      <c r="C4" s="87" t="s">
        <v>207</v>
      </c>
      <c r="D4" s="87" t="s">
        <v>222</v>
      </c>
      <c r="E4" s="87" t="s">
        <v>220</v>
      </c>
      <c r="F4" s="88" t="s">
        <v>223</v>
      </c>
      <c r="G4" s="88" t="s">
        <v>221</v>
      </c>
      <c r="H4" s="89" t="s">
        <v>224</v>
      </c>
      <c r="I4" s="88" t="s">
        <v>225</v>
      </c>
      <c r="J4" s="89" t="s">
        <v>230</v>
      </c>
      <c r="K4" s="89" t="s">
        <v>228</v>
      </c>
    </row>
    <row r="5" spans="1:13" ht="45" customHeight="1" x14ac:dyDescent="0.45">
      <c r="B5" s="114" t="s">
        <v>33</v>
      </c>
      <c r="C5" s="115">
        <v>12</v>
      </c>
      <c r="D5" s="116">
        <v>12</v>
      </c>
      <c r="E5" s="116">
        <v>12</v>
      </c>
      <c r="F5" s="116">
        <f>+Tabla20242411[[#This Row],[Material Contabilizado Ingresado al deposito ]]-Tabla20242411[[#This Row],[Material Según Mensaje 25/10/2023]]</f>
        <v>0</v>
      </c>
      <c r="G5" s="117">
        <v>0</v>
      </c>
      <c r="H5" s="116">
        <f>+Tabla20242411[[#This Row],[Material Contabilizado Ingresado al deposito ]]-Tabla20242411[[#This Row],[Adeuda Agesta a Dos57]]</f>
        <v>12</v>
      </c>
      <c r="I5" s="117">
        <v>0</v>
      </c>
      <c r="J5" s="121">
        <v>8</v>
      </c>
      <c r="K5" s="81"/>
    </row>
    <row r="6" spans="1:13" ht="45" customHeight="1" x14ac:dyDescent="0.45">
      <c r="B6" s="114" t="s">
        <v>167</v>
      </c>
      <c r="C6" s="115">
        <v>311</v>
      </c>
      <c r="D6" s="116">
        <v>343</v>
      </c>
      <c r="E6" s="116">
        <v>343</v>
      </c>
      <c r="F6" s="116">
        <f>+Tabla20242411[[#This Row],[Material Contabilizado Ingresado al deposito ]]-Tabla20242411[[#This Row],[Material Según Mensaje 25/10/2023]]</f>
        <v>0</v>
      </c>
      <c r="G6" s="117">
        <v>23</v>
      </c>
      <c r="H6" s="116">
        <f>+Tabla20242411[[#This Row],[Material Contabilizado Ingresado al deposito ]]-Tabla20242411[[#This Row],[Adeuda Agesta a Dos57]]</f>
        <v>320</v>
      </c>
      <c r="I6" s="117">
        <v>0</v>
      </c>
      <c r="J6" s="121">
        <v>300</v>
      </c>
      <c r="K6" s="81"/>
    </row>
    <row r="7" spans="1:13" s="16" customFormat="1" ht="45" customHeight="1" x14ac:dyDescent="0.45">
      <c r="A7"/>
      <c r="B7" s="114" t="s">
        <v>143</v>
      </c>
      <c r="C7" s="115">
        <v>500</v>
      </c>
      <c r="D7" s="116">
        <v>460</v>
      </c>
      <c r="E7" s="116">
        <v>462</v>
      </c>
      <c r="F7" s="116">
        <f>+Tabla20242411[[#This Row],[Material Contabilizado Ingresado al deposito ]]-Tabla20242411[[#This Row],[Material Según Mensaje 25/10/2023]]</f>
        <v>2</v>
      </c>
      <c r="G7" s="117">
        <v>0</v>
      </c>
      <c r="H7" s="116">
        <f>+Tabla20242411[[#This Row],[Material Contabilizado Ingresado al deposito ]]-Tabla20242411[[#This Row],[Adeuda Agesta a Dos57]]</f>
        <v>462</v>
      </c>
      <c r="I7" s="117">
        <v>2</v>
      </c>
      <c r="J7" s="121">
        <v>92</v>
      </c>
      <c r="K7" s="81"/>
      <c r="L7"/>
      <c r="M7"/>
    </row>
    <row r="8" spans="1:13" s="16" customFormat="1" ht="45" customHeight="1" x14ac:dyDescent="0.45">
      <c r="A8"/>
      <c r="B8" s="114" t="s">
        <v>144</v>
      </c>
      <c r="C8" s="115">
        <v>0</v>
      </c>
      <c r="D8" s="116">
        <v>18</v>
      </c>
      <c r="E8" s="116">
        <v>18</v>
      </c>
      <c r="F8" s="116">
        <f>+Tabla20242411[[#This Row],[Material Contabilizado Ingresado al deposito ]]-Tabla20242411[[#This Row],[Material Según Mensaje 25/10/2023]]</f>
        <v>0</v>
      </c>
      <c r="G8" s="117">
        <v>0</v>
      </c>
      <c r="H8" s="116">
        <f>+Tabla20242411[[#This Row],[Material Contabilizado Ingresado al deposito ]]-Tabla20242411[[#This Row],[Adeuda Agesta a Dos57]]</f>
        <v>18</v>
      </c>
      <c r="I8" s="117">
        <v>0</v>
      </c>
      <c r="J8" s="121">
        <v>20</v>
      </c>
      <c r="K8" s="81"/>
      <c r="L8"/>
      <c r="M8"/>
    </row>
    <row r="9" spans="1:13" s="16" customFormat="1" ht="45" customHeight="1" x14ac:dyDescent="0.45">
      <c r="A9"/>
      <c r="B9" s="114" t="s">
        <v>31</v>
      </c>
      <c r="C9" s="115">
        <v>36</v>
      </c>
      <c r="D9" s="116">
        <v>26</v>
      </c>
      <c r="E9" s="116">
        <v>26</v>
      </c>
      <c r="F9" s="116">
        <f>+Tabla20242411[[#This Row],[Material Contabilizado Ingresado al deposito ]]-Tabla20242411[[#This Row],[Material Según Mensaje 25/10/2023]]</f>
        <v>0</v>
      </c>
      <c r="G9" s="117">
        <v>0</v>
      </c>
      <c r="H9" s="116">
        <f>+Tabla20242411[[#This Row],[Material Contabilizado Ingresado al deposito ]]-Tabla20242411[[#This Row],[Adeuda Agesta a Dos57]]</f>
        <v>26</v>
      </c>
      <c r="I9" s="117">
        <v>17</v>
      </c>
      <c r="J9" s="121">
        <v>40</v>
      </c>
      <c r="K9" s="81"/>
      <c r="L9"/>
      <c r="M9"/>
    </row>
    <row r="10" spans="1:13" s="16" customFormat="1" ht="45" customHeight="1" x14ac:dyDescent="0.45">
      <c r="A10"/>
      <c r="B10" s="114" t="s">
        <v>7</v>
      </c>
      <c r="C10" s="115">
        <v>136</v>
      </c>
      <c r="D10" s="116">
        <v>120</v>
      </c>
      <c r="E10" s="116">
        <v>120</v>
      </c>
      <c r="F10" s="116">
        <f>+Tabla20242411[[#This Row],[Material Contabilizado Ingresado al deposito ]]-Tabla20242411[[#This Row],[Material Según Mensaje 25/10/2023]]</f>
        <v>0</v>
      </c>
      <c r="G10" s="117">
        <v>0</v>
      </c>
      <c r="H10" s="116">
        <f>+Tabla20242411[[#This Row],[Material Contabilizado Ingresado al deposito ]]-Tabla20242411[[#This Row],[Adeuda Agesta a Dos57]]</f>
        <v>120</v>
      </c>
      <c r="I10" s="117">
        <v>0</v>
      </c>
      <c r="J10" s="121">
        <v>70</v>
      </c>
      <c r="K10" s="81"/>
      <c r="L10"/>
      <c r="M10"/>
    </row>
    <row r="11" spans="1:13" s="16" customFormat="1" ht="45" customHeight="1" x14ac:dyDescent="0.45">
      <c r="A11"/>
      <c r="B11" s="114" t="s">
        <v>17</v>
      </c>
      <c r="C11" s="115">
        <v>136</v>
      </c>
      <c r="D11" s="116">
        <v>120</v>
      </c>
      <c r="E11" s="116">
        <v>120</v>
      </c>
      <c r="F11" s="116">
        <f>+Tabla20242411[[#This Row],[Material Contabilizado Ingresado al deposito ]]-Tabla20242411[[#This Row],[Material Según Mensaje 25/10/2023]]</f>
        <v>0</v>
      </c>
      <c r="G11" s="117">
        <v>2</v>
      </c>
      <c r="H11" s="116">
        <f>+Tabla20242411[[#This Row],[Material Contabilizado Ingresado al deposito ]]-Tabla20242411[[#This Row],[Adeuda Agesta a Dos57]]</f>
        <v>118</v>
      </c>
      <c r="I11" s="117">
        <v>0</v>
      </c>
      <c r="J11" s="121">
        <v>70</v>
      </c>
      <c r="K11" s="81"/>
      <c r="L11"/>
      <c r="M11"/>
    </row>
    <row r="12" spans="1:13" s="16" customFormat="1" ht="45" customHeight="1" x14ac:dyDescent="0.45">
      <c r="A12"/>
      <c r="B12" s="114" t="s">
        <v>247</v>
      </c>
      <c r="C12" s="115"/>
      <c r="D12" s="116"/>
      <c r="E12" s="116"/>
      <c r="F12" s="116">
        <f>+Tabla20242411[[#This Row],[Material Contabilizado Ingresado al deposito ]]-Tabla20242411[[#This Row],[Material Según Mensaje 25/10/2023]]</f>
        <v>0</v>
      </c>
      <c r="G12" s="117"/>
      <c r="H12" s="116">
        <f>+Tabla20242411[[#This Row],[Material Contabilizado Ingresado al deposito ]]-Tabla20242411[[#This Row],[Adeuda Agesta a Dos57]]</f>
        <v>0</v>
      </c>
      <c r="I12" s="117"/>
      <c r="J12" s="121">
        <v>152</v>
      </c>
      <c r="K12" s="81"/>
      <c r="L12"/>
      <c r="M12"/>
    </row>
    <row r="13" spans="1:13" s="16" customFormat="1" ht="45" customHeight="1" x14ac:dyDescent="0.45">
      <c r="A13"/>
      <c r="B13" s="114" t="s">
        <v>209</v>
      </c>
      <c r="C13" s="115">
        <v>28</v>
      </c>
      <c r="D13" s="116">
        <v>22</v>
      </c>
      <c r="E13" s="116">
        <v>21</v>
      </c>
      <c r="F13" s="116">
        <f>+Tabla20242411[[#This Row],[Material Contabilizado Ingresado al deposito ]]-Tabla20242411[[#This Row],[Material Según Mensaje 25/10/2023]]</f>
        <v>-1</v>
      </c>
      <c r="G13" s="117">
        <v>0</v>
      </c>
      <c r="H13" s="116">
        <f>+Tabla20242411[[#This Row],[Material Contabilizado Ingresado al deposito ]]-Tabla20242411[[#This Row],[Adeuda Agesta a Dos57]]</f>
        <v>21</v>
      </c>
      <c r="I13" s="117">
        <v>0</v>
      </c>
      <c r="J13" s="121">
        <v>20</v>
      </c>
      <c r="K13" s="81"/>
      <c r="L13"/>
      <c r="M13"/>
    </row>
    <row r="14" spans="1:13" s="16" customFormat="1" ht="45" customHeight="1" x14ac:dyDescent="0.45">
      <c r="A14"/>
      <c r="B14" s="114" t="s">
        <v>142</v>
      </c>
      <c r="C14" s="115">
        <v>825</v>
      </c>
      <c r="D14" s="116">
        <v>792</v>
      </c>
      <c r="E14" s="116">
        <v>790</v>
      </c>
      <c r="F14" s="116">
        <f>+Tabla20242411[[#This Row],[Material Contabilizado Ingresado al deposito ]]-Tabla20242411[[#This Row],[Material Según Mensaje 25/10/2023]]</f>
        <v>-2</v>
      </c>
      <c r="G14" s="117">
        <v>0</v>
      </c>
      <c r="H14" s="116">
        <f>+Tabla20242411[[#This Row],[Material Contabilizado Ingresado al deposito ]]-Tabla20242411[[#This Row],[Adeuda Agesta a Dos57]]</f>
        <v>790</v>
      </c>
      <c r="I14" s="117">
        <v>0</v>
      </c>
      <c r="J14" s="121">
        <v>300</v>
      </c>
      <c r="K14" s="81"/>
      <c r="L14"/>
      <c r="M14"/>
    </row>
    <row r="15" spans="1:13" s="16" customFormat="1" ht="66.599999999999994" x14ac:dyDescent="0.3">
      <c r="A15"/>
      <c r="B15" s="114" t="s">
        <v>275</v>
      </c>
      <c r="C15" s="128"/>
      <c r="D15" s="129"/>
      <c r="E15" s="129"/>
      <c r="F15" s="130">
        <f>+Tabla20242411[[#This Row],[Material Contabilizado Ingresado al deposito ]]-Tabla20242411[[#This Row],[Material Según Mensaje 25/10/2023]]</f>
        <v>0</v>
      </c>
      <c r="G15" s="131"/>
      <c r="H15" s="130">
        <f>+Tabla20242411[[#This Row],[Material Contabilizado Ingresado al deposito ]]-Tabla20242411[[#This Row],[Adeuda Agesta a Dos57]]</f>
        <v>0</v>
      </c>
      <c r="I15" s="132"/>
      <c r="J15" s="121">
        <v>4</v>
      </c>
      <c r="K15" s="113"/>
      <c r="L15"/>
      <c r="M15"/>
    </row>
    <row r="16" spans="1:13" s="16" customFormat="1" ht="45" customHeight="1" x14ac:dyDescent="0.3">
      <c r="A16"/>
      <c r="B16" s="114" t="s">
        <v>276</v>
      </c>
      <c r="C16" s="128"/>
      <c r="D16" s="129"/>
      <c r="E16" s="129"/>
      <c r="F16" s="130">
        <f>+Tabla20242411[[#This Row],[Material Contabilizado Ingresado al deposito ]]-Tabla20242411[[#This Row],[Material Según Mensaje 25/10/2023]]</f>
        <v>0</v>
      </c>
      <c r="G16" s="131"/>
      <c r="H16" s="130">
        <f>+Tabla20242411[[#This Row],[Material Contabilizado Ingresado al deposito ]]-Tabla20242411[[#This Row],[Adeuda Agesta a Dos57]]</f>
        <v>0</v>
      </c>
      <c r="I16" s="132"/>
      <c r="J16" s="121">
        <v>2</v>
      </c>
      <c r="K16" s="113"/>
      <c r="L16"/>
      <c r="M16"/>
    </row>
    <row r="17" spans="1:13" s="16" customFormat="1" ht="45" customHeight="1" x14ac:dyDescent="0.45">
      <c r="A17"/>
      <c r="B17" s="114" t="s">
        <v>252</v>
      </c>
      <c r="C17" s="115"/>
      <c r="D17" s="116"/>
      <c r="E17" s="116"/>
      <c r="F17" s="116"/>
      <c r="G17" s="117"/>
      <c r="H17" s="116"/>
      <c r="I17" s="117"/>
      <c r="J17" s="121">
        <v>4</v>
      </c>
      <c r="K17" s="81"/>
      <c r="L17"/>
      <c r="M17"/>
    </row>
  </sheetData>
  <mergeCells count="2">
    <mergeCell ref="B2:K2"/>
    <mergeCell ref="B3:K3"/>
  </mergeCells>
  <printOptions horizontalCentered="1"/>
  <pageMargins left="0.11811023622047245" right="0.11811023622047245" top="0.59055118110236227" bottom="0.39370078740157483" header="0.31496062992125984" footer="0.31496062992125984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22"/>
  <sheetViews>
    <sheetView topLeftCell="A15" zoomScaleNormal="100" workbookViewId="0">
      <selection activeCell="B2" sqref="B2:K22"/>
    </sheetView>
  </sheetViews>
  <sheetFormatPr baseColWidth="10" defaultRowHeight="14.4" x14ac:dyDescent="0.3"/>
  <cols>
    <col min="1" max="1" width="1.6640625" customWidth="1"/>
    <col min="2" max="2" width="30.77734375" style="2" customWidth="1"/>
    <col min="3" max="6" width="30.77734375" style="1" hidden="1" customWidth="1"/>
    <col min="7" max="7" width="30.77734375" hidden="1" customWidth="1"/>
    <col min="8" max="8" width="30.77734375" style="16" hidden="1" customWidth="1"/>
    <col min="9" max="9" width="30.77734375" hidden="1" customWidth="1"/>
    <col min="10" max="11" width="30.77734375" style="16" customWidth="1"/>
    <col min="12" max="12" width="11.5546875" customWidth="1"/>
  </cols>
  <sheetData>
    <row r="2" spans="1:13" ht="15" customHeight="1" x14ac:dyDescent="0.3">
      <c r="B2" s="189" t="s">
        <v>254</v>
      </c>
      <c r="C2" s="189"/>
      <c r="D2" s="189"/>
      <c r="E2" s="189"/>
      <c r="F2" s="189"/>
      <c r="G2" s="189"/>
      <c r="H2" s="189"/>
      <c r="I2" s="189"/>
      <c r="J2" s="189"/>
      <c r="K2" s="189"/>
    </row>
    <row r="3" spans="1:13" x14ac:dyDescent="0.3">
      <c r="B3" s="190" t="s">
        <v>191</v>
      </c>
      <c r="C3" s="190"/>
      <c r="D3" s="190"/>
      <c r="E3" s="190"/>
      <c r="F3" s="190"/>
      <c r="G3" s="190"/>
      <c r="H3" s="190"/>
      <c r="I3" s="190"/>
      <c r="J3" s="190"/>
      <c r="K3" s="190"/>
    </row>
    <row r="4" spans="1:13" ht="30" customHeight="1" x14ac:dyDescent="0.3">
      <c r="B4" s="86" t="s">
        <v>0</v>
      </c>
      <c r="C4" s="87" t="s">
        <v>207</v>
      </c>
      <c r="D4" s="87" t="s">
        <v>222</v>
      </c>
      <c r="E4" s="87" t="s">
        <v>220</v>
      </c>
      <c r="F4" s="88" t="s">
        <v>223</v>
      </c>
      <c r="G4" s="88" t="s">
        <v>221</v>
      </c>
      <c r="H4" s="89" t="s">
        <v>224</v>
      </c>
      <c r="I4" s="88" t="s">
        <v>225</v>
      </c>
      <c r="J4" s="89" t="s">
        <v>261</v>
      </c>
      <c r="K4" s="89" t="s">
        <v>228</v>
      </c>
    </row>
    <row r="5" spans="1:13" ht="45" customHeight="1" x14ac:dyDescent="0.45">
      <c r="B5" s="114" t="s">
        <v>167</v>
      </c>
      <c r="C5" s="115">
        <v>311</v>
      </c>
      <c r="D5" s="116">
        <v>343</v>
      </c>
      <c r="E5" s="116">
        <v>343</v>
      </c>
      <c r="F5" s="116">
        <f>+Tabla20242412[[#This Row],[Material Contabilizado Ingresado al deposito ]]-Tabla20242412[[#This Row],[Material Según Mensaje 25/10/2023]]</f>
        <v>0</v>
      </c>
      <c r="G5" s="117">
        <v>23</v>
      </c>
      <c r="H5" s="116">
        <f>+Tabla20242412[[#This Row],[Material Contabilizado Ingresado al deposito ]]-Tabla20242412[[#This Row],[Adeuda Agesta a Dos57]]</f>
        <v>320</v>
      </c>
      <c r="I5" s="117">
        <v>0</v>
      </c>
      <c r="J5" s="121">
        <v>300</v>
      </c>
      <c r="K5" s="81"/>
    </row>
    <row r="6" spans="1:13" s="16" customFormat="1" ht="45" customHeight="1" x14ac:dyDescent="0.45">
      <c r="A6"/>
      <c r="B6" s="114" t="s">
        <v>55</v>
      </c>
      <c r="C6" s="115">
        <v>25</v>
      </c>
      <c r="D6" s="116">
        <v>15</v>
      </c>
      <c r="E6" s="116">
        <v>15</v>
      </c>
      <c r="F6" s="116">
        <f>+Tabla20242412[[#This Row],[Material Contabilizado Ingresado al deposito ]]-Tabla20242412[[#This Row],[Material Según Mensaje 25/10/2023]]</f>
        <v>0</v>
      </c>
      <c r="G6" s="117">
        <v>0</v>
      </c>
      <c r="H6" s="116">
        <f>+Tabla20242412[[#This Row],[Material Contabilizado Ingresado al deposito ]]-Tabla20242412[[#This Row],[Adeuda Agesta a Dos57]]</f>
        <v>15</v>
      </c>
      <c r="I6" s="117">
        <v>0</v>
      </c>
      <c r="J6" s="121">
        <v>100</v>
      </c>
      <c r="K6" s="81"/>
      <c r="L6"/>
      <c r="M6"/>
    </row>
    <row r="7" spans="1:13" s="16" customFormat="1" ht="45" customHeight="1" x14ac:dyDescent="0.45">
      <c r="A7"/>
      <c r="B7" s="114" t="s">
        <v>143</v>
      </c>
      <c r="C7" s="115">
        <v>500</v>
      </c>
      <c r="D7" s="116">
        <v>460</v>
      </c>
      <c r="E7" s="116">
        <v>462</v>
      </c>
      <c r="F7" s="116">
        <f>+Tabla20242412[[#This Row],[Material Contabilizado Ingresado al deposito ]]-Tabla20242412[[#This Row],[Material Según Mensaje 25/10/2023]]</f>
        <v>2</v>
      </c>
      <c r="G7" s="117">
        <v>0</v>
      </c>
      <c r="H7" s="116">
        <f>+Tabla20242412[[#This Row],[Material Contabilizado Ingresado al deposito ]]-Tabla20242412[[#This Row],[Adeuda Agesta a Dos57]]</f>
        <v>462</v>
      </c>
      <c r="I7" s="117">
        <v>2</v>
      </c>
      <c r="J7" s="121">
        <v>454</v>
      </c>
      <c r="K7" s="81"/>
      <c r="L7"/>
      <c r="M7"/>
    </row>
    <row r="8" spans="1:13" s="16" customFormat="1" ht="45" customHeight="1" x14ac:dyDescent="0.45">
      <c r="A8"/>
      <c r="B8" s="114" t="s">
        <v>144</v>
      </c>
      <c r="C8" s="115">
        <v>0</v>
      </c>
      <c r="D8" s="116">
        <v>18</v>
      </c>
      <c r="E8" s="116">
        <v>18</v>
      </c>
      <c r="F8" s="116">
        <f>+Tabla20242412[[#This Row],[Material Contabilizado Ingresado al deposito ]]-Tabla20242412[[#This Row],[Material Según Mensaje 25/10/2023]]</f>
        <v>0</v>
      </c>
      <c r="G8" s="117">
        <v>0</v>
      </c>
      <c r="H8" s="116">
        <f>+Tabla20242412[[#This Row],[Material Contabilizado Ingresado al deposito ]]-Tabla20242412[[#This Row],[Adeuda Agesta a Dos57]]</f>
        <v>18</v>
      </c>
      <c r="I8" s="117">
        <v>0</v>
      </c>
      <c r="J8" s="121">
        <v>23</v>
      </c>
      <c r="K8" s="81"/>
      <c r="L8"/>
      <c r="M8"/>
    </row>
    <row r="9" spans="1:13" s="16" customFormat="1" ht="45" customHeight="1" x14ac:dyDescent="0.45">
      <c r="A9"/>
      <c r="B9" s="114" t="s">
        <v>50</v>
      </c>
      <c r="C9" s="115">
        <v>67</v>
      </c>
      <c r="D9" s="116">
        <v>57</v>
      </c>
      <c r="E9" s="116">
        <v>57</v>
      </c>
      <c r="F9" s="116">
        <f>+Tabla20242412[[#This Row],[Material Contabilizado Ingresado al deposito ]]-Tabla20242412[[#This Row],[Material Según Mensaje 25/10/2023]]</f>
        <v>0</v>
      </c>
      <c r="G9" s="117">
        <v>0</v>
      </c>
      <c r="H9" s="116">
        <f>+Tabla20242412[[#This Row],[Material Contabilizado Ingresado al deposito ]]-Tabla20242412[[#This Row],[Adeuda Agesta a Dos57]]</f>
        <v>57</v>
      </c>
      <c r="I9" s="117">
        <v>2</v>
      </c>
      <c r="J9" s="121">
        <v>25</v>
      </c>
      <c r="K9" s="81"/>
      <c r="L9"/>
      <c r="M9"/>
    </row>
    <row r="10" spans="1:13" s="16" customFormat="1" ht="45" customHeight="1" x14ac:dyDescent="0.45">
      <c r="A10"/>
      <c r="B10" s="114" t="s">
        <v>255</v>
      </c>
      <c r="C10" s="115"/>
      <c r="D10" s="116"/>
      <c r="E10" s="116"/>
      <c r="F10" s="116">
        <f>+Tabla20242412[[#This Row],[Material Contabilizado Ingresado al deposito ]]-Tabla20242412[[#This Row],[Material Según Mensaje 25/10/2023]]</f>
        <v>0</v>
      </c>
      <c r="G10" s="117"/>
      <c r="H10" s="116">
        <f>+Tabla20242412[[#This Row],[Material Contabilizado Ingresado al deposito ]]-Tabla20242412[[#This Row],[Adeuda Agesta a Dos57]]</f>
        <v>0</v>
      </c>
      <c r="I10" s="117"/>
      <c r="J10" s="121">
        <v>90</v>
      </c>
      <c r="K10" s="81"/>
      <c r="L10"/>
      <c r="M10"/>
    </row>
    <row r="11" spans="1:13" s="16" customFormat="1" ht="45" customHeight="1" x14ac:dyDescent="0.45">
      <c r="A11"/>
      <c r="B11" s="114" t="s">
        <v>31</v>
      </c>
      <c r="C11" s="115">
        <v>36</v>
      </c>
      <c r="D11" s="116">
        <v>26</v>
      </c>
      <c r="E11" s="116">
        <v>26</v>
      </c>
      <c r="F11" s="116">
        <f>+Tabla20242412[[#This Row],[Material Contabilizado Ingresado al deposito ]]-Tabla20242412[[#This Row],[Material Según Mensaje 25/10/2023]]</f>
        <v>0</v>
      </c>
      <c r="G11" s="117">
        <v>0</v>
      </c>
      <c r="H11" s="116">
        <f>+Tabla20242412[[#This Row],[Material Contabilizado Ingresado al deposito ]]-Tabla20242412[[#This Row],[Adeuda Agesta a Dos57]]</f>
        <v>26</v>
      </c>
      <c r="I11" s="117">
        <v>17</v>
      </c>
      <c r="J11" s="121">
        <v>20</v>
      </c>
      <c r="K11" s="81"/>
      <c r="L11"/>
      <c r="M11"/>
    </row>
    <row r="12" spans="1:13" s="16" customFormat="1" ht="45" customHeight="1" x14ac:dyDescent="0.45">
      <c r="A12"/>
      <c r="B12" s="114" t="s">
        <v>32</v>
      </c>
      <c r="C12" s="115"/>
      <c r="D12" s="116"/>
      <c r="E12" s="116"/>
      <c r="F12" s="116">
        <f>+Tabla20242412[[#This Row],[Material Contabilizado Ingresado al deposito ]]-Tabla20242412[[#This Row],[Material Según Mensaje 25/10/2023]]</f>
        <v>0</v>
      </c>
      <c r="G12" s="117"/>
      <c r="H12" s="116">
        <f>+Tabla20242412[[#This Row],[Material Contabilizado Ingresado al deposito ]]-Tabla20242412[[#This Row],[Adeuda Agesta a Dos57]]</f>
        <v>0</v>
      </c>
      <c r="I12" s="117"/>
      <c r="J12" s="121">
        <v>850</v>
      </c>
      <c r="K12" s="81"/>
      <c r="L12"/>
      <c r="M12"/>
    </row>
    <row r="13" spans="1:13" s="16" customFormat="1" ht="45" customHeight="1" x14ac:dyDescent="0.45">
      <c r="A13"/>
      <c r="B13" s="114" t="s">
        <v>262</v>
      </c>
      <c r="C13" s="115"/>
      <c r="D13" s="116"/>
      <c r="E13" s="116"/>
      <c r="F13" s="116">
        <f>+Tabla20242412[[#This Row],[Material Contabilizado Ingresado al deposito ]]-Tabla20242412[[#This Row],[Material Según Mensaje 25/10/2023]]</f>
        <v>0</v>
      </c>
      <c r="G13" s="117"/>
      <c r="H13" s="116">
        <f>+Tabla20242412[[#This Row],[Material Contabilizado Ingresado al deposito ]]-Tabla20242412[[#This Row],[Adeuda Agesta a Dos57]]</f>
        <v>0</v>
      </c>
      <c r="I13" s="117"/>
      <c r="J13" s="121">
        <v>100</v>
      </c>
      <c r="K13" s="81"/>
      <c r="L13"/>
      <c r="M13"/>
    </row>
    <row r="14" spans="1:13" s="16" customFormat="1" ht="45" customHeight="1" x14ac:dyDescent="0.45">
      <c r="A14"/>
      <c r="B14" s="114" t="s">
        <v>256</v>
      </c>
      <c r="C14" s="115"/>
      <c r="D14" s="116"/>
      <c r="E14" s="116"/>
      <c r="F14" s="116">
        <f>+Tabla20242412[[#This Row],[Material Contabilizado Ingresado al deposito ]]-Tabla20242412[[#This Row],[Material Según Mensaje 25/10/2023]]</f>
        <v>0</v>
      </c>
      <c r="G14" s="117"/>
      <c r="H14" s="116">
        <f>+Tabla20242412[[#This Row],[Material Contabilizado Ingresado al deposito ]]-Tabla20242412[[#This Row],[Adeuda Agesta a Dos57]]</f>
        <v>0</v>
      </c>
      <c r="I14" s="117"/>
      <c r="J14" s="121">
        <v>34</v>
      </c>
      <c r="K14" s="81"/>
      <c r="L14"/>
      <c r="M14"/>
    </row>
    <row r="15" spans="1:13" s="16" customFormat="1" ht="45" customHeight="1" x14ac:dyDescent="0.45">
      <c r="A15"/>
      <c r="B15" s="114" t="s">
        <v>260</v>
      </c>
      <c r="C15" s="115"/>
      <c r="D15" s="116"/>
      <c r="E15" s="116"/>
      <c r="F15" s="116">
        <f>+Tabla20242412[[#This Row],[Material Contabilizado Ingresado al deposito ]]-Tabla20242412[[#This Row],[Material Según Mensaje 25/10/2023]]</f>
        <v>0</v>
      </c>
      <c r="G15" s="117"/>
      <c r="H15" s="116">
        <f>+Tabla20242412[[#This Row],[Material Contabilizado Ingresado al deposito ]]-Tabla20242412[[#This Row],[Adeuda Agesta a Dos57]]</f>
        <v>0</v>
      </c>
      <c r="I15" s="117"/>
      <c r="J15" s="121">
        <v>200</v>
      </c>
      <c r="K15" s="81"/>
      <c r="L15"/>
      <c r="M15"/>
    </row>
    <row r="16" spans="1:13" s="16" customFormat="1" ht="45" customHeight="1" x14ac:dyDescent="0.45">
      <c r="A16"/>
      <c r="B16" s="114" t="s">
        <v>7</v>
      </c>
      <c r="C16" s="115">
        <v>136</v>
      </c>
      <c r="D16" s="116">
        <v>120</v>
      </c>
      <c r="E16" s="116">
        <v>120</v>
      </c>
      <c r="F16" s="116">
        <f>+Tabla20242412[[#This Row],[Material Contabilizado Ingresado al deposito ]]-Tabla20242412[[#This Row],[Material Según Mensaje 25/10/2023]]</f>
        <v>0</v>
      </c>
      <c r="G16" s="117">
        <v>0</v>
      </c>
      <c r="H16" s="116">
        <f>+Tabla20242412[[#This Row],[Material Contabilizado Ingresado al deposito ]]-Tabla20242412[[#This Row],[Adeuda Agesta a Dos57]]</f>
        <v>120</v>
      </c>
      <c r="I16" s="117">
        <v>0</v>
      </c>
      <c r="J16" s="121">
        <v>130</v>
      </c>
      <c r="K16" s="81"/>
      <c r="L16"/>
      <c r="M16"/>
    </row>
    <row r="17" spans="1:13" s="16" customFormat="1" ht="45" customHeight="1" x14ac:dyDescent="0.45">
      <c r="A17"/>
      <c r="B17" s="114" t="s">
        <v>17</v>
      </c>
      <c r="C17" s="115">
        <v>136</v>
      </c>
      <c r="D17" s="116">
        <v>120</v>
      </c>
      <c r="E17" s="116">
        <v>120</v>
      </c>
      <c r="F17" s="116">
        <f>+Tabla20242412[[#This Row],[Material Contabilizado Ingresado al deposito ]]-Tabla20242412[[#This Row],[Material Según Mensaje 25/10/2023]]</f>
        <v>0</v>
      </c>
      <c r="G17" s="117">
        <v>2</v>
      </c>
      <c r="H17" s="116">
        <f>+Tabla20242412[[#This Row],[Material Contabilizado Ingresado al deposito ]]-Tabla20242412[[#This Row],[Adeuda Agesta a Dos57]]</f>
        <v>118</v>
      </c>
      <c r="I17" s="117">
        <v>0</v>
      </c>
      <c r="J17" s="121">
        <v>130</v>
      </c>
      <c r="K17" s="81"/>
      <c r="L17"/>
      <c r="M17"/>
    </row>
    <row r="18" spans="1:13" s="16" customFormat="1" ht="45" customHeight="1" x14ac:dyDescent="0.45">
      <c r="A18"/>
      <c r="B18" s="114" t="s">
        <v>209</v>
      </c>
      <c r="C18" s="115">
        <v>28</v>
      </c>
      <c r="D18" s="116">
        <v>22</v>
      </c>
      <c r="E18" s="116">
        <v>21</v>
      </c>
      <c r="F18" s="116">
        <f>+Tabla20242412[[#This Row],[Material Contabilizado Ingresado al deposito ]]-Tabla20242412[[#This Row],[Material Según Mensaje 25/10/2023]]</f>
        <v>-1</v>
      </c>
      <c r="G18" s="117">
        <v>0</v>
      </c>
      <c r="H18" s="116">
        <f>+Tabla20242412[[#This Row],[Material Contabilizado Ingresado al deposito ]]-Tabla20242412[[#This Row],[Adeuda Agesta a Dos57]]</f>
        <v>21</v>
      </c>
      <c r="I18" s="117">
        <v>0</v>
      </c>
      <c r="J18" s="121">
        <v>17</v>
      </c>
      <c r="K18" s="81"/>
      <c r="L18"/>
      <c r="M18"/>
    </row>
    <row r="19" spans="1:13" s="16" customFormat="1" ht="45" customHeight="1" x14ac:dyDescent="0.45">
      <c r="A19"/>
      <c r="B19" s="114" t="s">
        <v>142</v>
      </c>
      <c r="C19" s="115">
        <v>825</v>
      </c>
      <c r="D19" s="116">
        <v>792</v>
      </c>
      <c r="E19" s="116">
        <v>790</v>
      </c>
      <c r="F19" s="116">
        <f>+Tabla20242412[[#This Row],[Material Contabilizado Ingresado al deposito ]]-Tabla20242412[[#This Row],[Material Según Mensaje 25/10/2023]]</f>
        <v>-2</v>
      </c>
      <c r="G19" s="117">
        <v>0</v>
      </c>
      <c r="H19" s="116">
        <f>+Tabla20242412[[#This Row],[Material Contabilizado Ingresado al deposito ]]-Tabla20242412[[#This Row],[Adeuda Agesta a Dos57]]</f>
        <v>790</v>
      </c>
      <c r="I19" s="117">
        <v>0</v>
      </c>
      <c r="J19" s="121">
        <v>1200</v>
      </c>
      <c r="K19" s="81"/>
      <c r="L19"/>
      <c r="M19"/>
    </row>
    <row r="20" spans="1:13" s="16" customFormat="1" ht="45" customHeight="1" x14ac:dyDescent="0.45">
      <c r="A20"/>
      <c r="B20" s="114" t="s">
        <v>257</v>
      </c>
      <c r="C20" s="115"/>
      <c r="D20" s="116"/>
      <c r="E20" s="116"/>
      <c r="F20" s="116"/>
      <c r="G20" s="117"/>
      <c r="H20" s="116"/>
      <c r="I20" s="117"/>
      <c r="J20" s="121">
        <v>20</v>
      </c>
      <c r="K20" s="81"/>
      <c r="L20"/>
      <c r="M20"/>
    </row>
    <row r="21" spans="1:13" s="16" customFormat="1" ht="45" customHeight="1" x14ac:dyDescent="0.45">
      <c r="A21"/>
      <c r="B21" s="114" t="s">
        <v>258</v>
      </c>
      <c r="C21" s="115"/>
      <c r="D21" s="116"/>
      <c r="E21" s="116"/>
      <c r="F21" s="116">
        <f>+Tabla20242412[[#This Row],[Material Contabilizado Ingresado al deposito ]]-Tabla20242412[[#This Row],[Material Según Mensaje 25/10/2023]]</f>
        <v>0</v>
      </c>
      <c r="G21" s="117"/>
      <c r="H21" s="116">
        <f>+Tabla20242412[[#This Row],[Material Contabilizado Ingresado al deposito ]]-Tabla20242412[[#This Row],[Adeuda Agesta a Dos57]]</f>
        <v>0</v>
      </c>
      <c r="I21" s="117"/>
      <c r="J21" s="121">
        <v>2</v>
      </c>
      <c r="K21" s="81"/>
      <c r="L21"/>
      <c r="M21"/>
    </row>
    <row r="22" spans="1:13" s="16" customFormat="1" ht="45" customHeight="1" x14ac:dyDescent="0.45">
      <c r="A22"/>
      <c r="B22" s="114" t="s">
        <v>259</v>
      </c>
      <c r="C22" s="115"/>
      <c r="D22" s="116"/>
      <c r="E22" s="116"/>
      <c r="F22" s="116"/>
      <c r="G22" s="117"/>
      <c r="H22" s="116"/>
      <c r="I22" s="117"/>
      <c r="J22" s="121">
        <v>32</v>
      </c>
      <c r="K22" s="81"/>
      <c r="L22"/>
      <c r="M22"/>
    </row>
  </sheetData>
  <mergeCells count="2">
    <mergeCell ref="B2:K2"/>
    <mergeCell ref="B3:K3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91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"/>
  <sheetViews>
    <sheetView topLeftCell="A7" zoomScaleNormal="100" workbookViewId="0">
      <selection activeCell="B1" sqref="B1:K15"/>
    </sheetView>
  </sheetViews>
  <sheetFormatPr baseColWidth="10" defaultRowHeight="14.4" x14ac:dyDescent="0.3"/>
  <cols>
    <col min="1" max="1" width="1.6640625" customWidth="1"/>
    <col min="2" max="2" width="30.77734375" style="2" customWidth="1"/>
    <col min="3" max="6" width="30.77734375" style="1" hidden="1" customWidth="1"/>
    <col min="7" max="7" width="30.77734375" hidden="1" customWidth="1"/>
    <col min="8" max="8" width="30.77734375" style="16" hidden="1" customWidth="1"/>
    <col min="9" max="9" width="30.77734375" hidden="1" customWidth="1"/>
    <col min="10" max="11" width="30.77734375" style="16" customWidth="1"/>
    <col min="12" max="12" width="11.5546875" customWidth="1"/>
  </cols>
  <sheetData>
    <row r="1" spans="1:13" ht="49.95" customHeight="1" thickBot="1" x14ac:dyDescent="0.35">
      <c r="B1" s="191" t="s">
        <v>267</v>
      </c>
      <c r="C1" s="192"/>
      <c r="D1" s="192"/>
      <c r="E1" s="192"/>
      <c r="F1" s="192"/>
      <c r="G1" s="192"/>
      <c r="H1" s="192"/>
      <c r="I1" s="192"/>
      <c r="J1" s="192"/>
      <c r="K1" s="193"/>
    </row>
    <row r="2" spans="1:13" ht="15" customHeight="1" x14ac:dyDescent="0.3">
      <c r="B2" s="189" t="s">
        <v>264</v>
      </c>
      <c r="C2" s="189"/>
      <c r="D2" s="189"/>
      <c r="E2" s="189"/>
      <c r="F2" s="189"/>
      <c r="G2" s="189"/>
      <c r="H2" s="189"/>
      <c r="I2" s="189"/>
      <c r="J2" s="189"/>
      <c r="K2" s="189"/>
    </row>
    <row r="3" spans="1:13" x14ac:dyDescent="0.3">
      <c r="B3" s="190" t="s">
        <v>191</v>
      </c>
      <c r="C3" s="190"/>
      <c r="D3" s="190"/>
      <c r="E3" s="190"/>
      <c r="F3" s="190"/>
      <c r="G3" s="190"/>
      <c r="H3" s="190"/>
      <c r="I3" s="190"/>
      <c r="J3" s="190"/>
      <c r="K3" s="190"/>
    </row>
    <row r="4" spans="1:13" ht="30" customHeight="1" x14ac:dyDescent="0.3">
      <c r="B4" s="86" t="s">
        <v>0</v>
      </c>
      <c r="C4" s="87" t="s">
        <v>207</v>
      </c>
      <c r="D4" s="87" t="s">
        <v>222</v>
      </c>
      <c r="E4" s="87" t="s">
        <v>220</v>
      </c>
      <c r="F4" s="88" t="s">
        <v>223</v>
      </c>
      <c r="G4" s="88" t="s">
        <v>221</v>
      </c>
      <c r="H4" s="89" t="s">
        <v>224</v>
      </c>
      <c r="I4" s="88" t="s">
        <v>225</v>
      </c>
      <c r="J4" s="89" t="s">
        <v>263</v>
      </c>
      <c r="K4" s="89" t="s">
        <v>228</v>
      </c>
    </row>
    <row r="5" spans="1:13" ht="45" customHeight="1" x14ac:dyDescent="0.45">
      <c r="B5" s="114" t="s">
        <v>167</v>
      </c>
      <c r="C5" s="115">
        <v>311</v>
      </c>
      <c r="D5" s="116">
        <v>343</v>
      </c>
      <c r="E5" s="116">
        <v>343</v>
      </c>
      <c r="F5" s="116">
        <f>+Tabla2024241213[[#This Row],[Material Contabilizado Ingresado al deposito ]]-Tabla2024241213[[#This Row],[Material Según Mensaje 25/10/2023]]</f>
        <v>0</v>
      </c>
      <c r="G5" s="117">
        <v>23</v>
      </c>
      <c r="H5" s="116">
        <f>+Tabla2024241213[[#This Row],[Material Contabilizado Ingresado al deposito ]]-Tabla2024241213[[#This Row],[Adeuda Agesta a Dos57]]</f>
        <v>320</v>
      </c>
      <c r="I5" s="117">
        <v>0</v>
      </c>
      <c r="J5" s="121">
        <v>300</v>
      </c>
      <c r="K5" s="81"/>
    </row>
    <row r="6" spans="1:13" s="16" customFormat="1" ht="45" customHeight="1" x14ac:dyDescent="0.45">
      <c r="A6"/>
      <c r="B6" s="114" t="s">
        <v>143</v>
      </c>
      <c r="C6" s="115">
        <v>500</v>
      </c>
      <c r="D6" s="116">
        <v>460</v>
      </c>
      <c r="E6" s="116">
        <v>462</v>
      </c>
      <c r="F6" s="116">
        <f>+Tabla2024241213[[#This Row],[Material Contabilizado Ingresado al deposito ]]-Tabla2024241213[[#This Row],[Material Según Mensaje 25/10/2023]]</f>
        <v>2</v>
      </c>
      <c r="G6" s="117">
        <v>0</v>
      </c>
      <c r="H6" s="116">
        <f>+Tabla2024241213[[#This Row],[Material Contabilizado Ingresado al deposito ]]-Tabla2024241213[[#This Row],[Adeuda Agesta a Dos57]]</f>
        <v>462</v>
      </c>
      <c r="I6" s="117">
        <v>2</v>
      </c>
      <c r="J6" s="121">
        <v>454</v>
      </c>
      <c r="K6" s="81"/>
      <c r="L6"/>
      <c r="M6"/>
    </row>
    <row r="7" spans="1:13" s="16" customFormat="1" ht="45" customHeight="1" x14ac:dyDescent="0.45">
      <c r="A7"/>
      <c r="B7" s="114" t="s">
        <v>144</v>
      </c>
      <c r="C7" s="115">
        <v>0</v>
      </c>
      <c r="D7" s="116">
        <v>18</v>
      </c>
      <c r="E7" s="116">
        <v>18</v>
      </c>
      <c r="F7" s="116">
        <f>+Tabla2024241213[[#This Row],[Material Contabilizado Ingresado al deposito ]]-Tabla2024241213[[#This Row],[Material Según Mensaje 25/10/2023]]</f>
        <v>0</v>
      </c>
      <c r="G7" s="117">
        <v>0</v>
      </c>
      <c r="H7" s="116">
        <f>+Tabla2024241213[[#This Row],[Material Contabilizado Ingresado al deposito ]]-Tabla2024241213[[#This Row],[Adeuda Agesta a Dos57]]</f>
        <v>18</v>
      </c>
      <c r="I7" s="117">
        <v>0</v>
      </c>
      <c r="J7" s="121">
        <v>23</v>
      </c>
      <c r="K7" s="81"/>
      <c r="L7"/>
      <c r="M7"/>
    </row>
    <row r="8" spans="1:13" s="16" customFormat="1" ht="45" customHeight="1" x14ac:dyDescent="0.45">
      <c r="A8"/>
      <c r="B8" s="114" t="s">
        <v>50</v>
      </c>
      <c r="C8" s="115">
        <v>67</v>
      </c>
      <c r="D8" s="116">
        <v>57</v>
      </c>
      <c r="E8" s="116">
        <v>57</v>
      </c>
      <c r="F8" s="116">
        <f>+Tabla2024241213[[#This Row],[Material Contabilizado Ingresado al deposito ]]-Tabla2024241213[[#This Row],[Material Según Mensaje 25/10/2023]]</f>
        <v>0</v>
      </c>
      <c r="G8" s="117">
        <v>0</v>
      </c>
      <c r="H8" s="116">
        <f>+Tabla2024241213[[#This Row],[Material Contabilizado Ingresado al deposito ]]-Tabla2024241213[[#This Row],[Adeuda Agesta a Dos57]]</f>
        <v>57</v>
      </c>
      <c r="I8" s="117">
        <v>2</v>
      </c>
      <c r="J8" s="121">
        <v>25</v>
      </c>
      <c r="K8" s="81"/>
      <c r="L8"/>
      <c r="M8"/>
    </row>
    <row r="9" spans="1:13" s="16" customFormat="1" ht="45" customHeight="1" x14ac:dyDescent="0.45">
      <c r="A9"/>
      <c r="B9" s="114" t="s">
        <v>255</v>
      </c>
      <c r="C9" s="115"/>
      <c r="D9" s="116"/>
      <c r="E9" s="116"/>
      <c r="F9" s="116">
        <f>+Tabla2024241213[[#This Row],[Material Contabilizado Ingresado al deposito ]]-Tabla2024241213[[#This Row],[Material Según Mensaje 25/10/2023]]</f>
        <v>0</v>
      </c>
      <c r="G9" s="117"/>
      <c r="H9" s="116">
        <f>+Tabla2024241213[[#This Row],[Material Contabilizado Ingresado al deposito ]]-Tabla2024241213[[#This Row],[Adeuda Agesta a Dos57]]</f>
        <v>0</v>
      </c>
      <c r="I9" s="117"/>
      <c r="J9" s="121">
        <v>90</v>
      </c>
      <c r="K9" s="81"/>
      <c r="L9"/>
      <c r="M9"/>
    </row>
    <row r="10" spans="1:13" s="16" customFormat="1" ht="45" customHeight="1" x14ac:dyDescent="0.45">
      <c r="A10"/>
      <c r="B10" s="114" t="s">
        <v>7</v>
      </c>
      <c r="C10" s="115">
        <v>136</v>
      </c>
      <c r="D10" s="116">
        <v>120</v>
      </c>
      <c r="E10" s="116">
        <v>120</v>
      </c>
      <c r="F10" s="116">
        <f>+Tabla2024241213[[#This Row],[Material Contabilizado Ingresado al deposito ]]-Tabla2024241213[[#This Row],[Material Según Mensaje 25/10/2023]]</f>
        <v>0</v>
      </c>
      <c r="G10" s="117">
        <v>0</v>
      </c>
      <c r="H10" s="116">
        <f>+Tabla2024241213[[#This Row],[Material Contabilizado Ingresado al deposito ]]-Tabla2024241213[[#This Row],[Adeuda Agesta a Dos57]]</f>
        <v>120</v>
      </c>
      <c r="I10" s="117">
        <v>0</v>
      </c>
      <c r="J10" s="121">
        <v>130</v>
      </c>
      <c r="K10" s="81"/>
      <c r="L10"/>
      <c r="M10"/>
    </row>
    <row r="11" spans="1:13" s="16" customFormat="1" ht="45" customHeight="1" x14ac:dyDescent="0.45">
      <c r="A11"/>
      <c r="B11" s="114" t="s">
        <v>17</v>
      </c>
      <c r="C11" s="115">
        <v>136</v>
      </c>
      <c r="D11" s="116">
        <v>120</v>
      </c>
      <c r="E11" s="116">
        <v>120</v>
      </c>
      <c r="F11" s="116">
        <f>+Tabla2024241213[[#This Row],[Material Contabilizado Ingresado al deposito ]]-Tabla2024241213[[#This Row],[Material Según Mensaje 25/10/2023]]</f>
        <v>0</v>
      </c>
      <c r="G11" s="117">
        <v>2</v>
      </c>
      <c r="H11" s="116">
        <f>+Tabla2024241213[[#This Row],[Material Contabilizado Ingresado al deposito ]]-Tabla2024241213[[#This Row],[Adeuda Agesta a Dos57]]</f>
        <v>118</v>
      </c>
      <c r="I11" s="117">
        <v>0</v>
      </c>
      <c r="J11" s="121">
        <v>130</v>
      </c>
      <c r="K11" s="81"/>
      <c r="L11"/>
      <c r="M11"/>
    </row>
    <row r="12" spans="1:13" s="16" customFormat="1" ht="45" customHeight="1" x14ac:dyDescent="0.45">
      <c r="A12"/>
      <c r="B12" s="114" t="s">
        <v>209</v>
      </c>
      <c r="C12" s="115">
        <v>28</v>
      </c>
      <c r="D12" s="116">
        <v>22</v>
      </c>
      <c r="E12" s="116">
        <v>21</v>
      </c>
      <c r="F12" s="116">
        <f>+Tabla2024241213[[#This Row],[Material Contabilizado Ingresado al deposito ]]-Tabla2024241213[[#This Row],[Material Según Mensaje 25/10/2023]]</f>
        <v>-1</v>
      </c>
      <c r="G12" s="117">
        <v>0</v>
      </c>
      <c r="H12" s="116">
        <f>+Tabla2024241213[[#This Row],[Material Contabilizado Ingresado al deposito ]]-Tabla2024241213[[#This Row],[Adeuda Agesta a Dos57]]</f>
        <v>21</v>
      </c>
      <c r="I12" s="117">
        <v>0</v>
      </c>
      <c r="J12" s="121">
        <v>17</v>
      </c>
      <c r="K12" s="81"/>
      <c r="L12"/>
      <c r="M12"/>
    </row>
    <row r="13" spans="1:13" s="16" customFormat="1" ht="45" customHeight="1" x14ac:dyDescent="0.45">
      <c r="A13"/>
      <c r="B13" s="114" t="s">
        <v>142</v>
      </c>
      <c r="C13" s="115">
        <v>825</v>
      </c>
      <c r="D13" s="116">
        <v>792</v>
      </c>
      <c r="E13" s="116">
        <v>790</v>
      </c>
      <c r="F13" s="116">
        <f>+Tabla2024241213[[#This Row],[Material Contabilizado Ingresado al deposito ]]-Tabla2024241213[[#This Row],[Material Según Mensaje 25/10/2023]]</f>
        <v>-2</v>
      </c>
      <c r="G13" s="117">
        <v>0</v>
      </c>
      <c r="H13" s="116">
        <f>+Tabla2024241213[[#This Row],[Material Contabilizado Ingresado al deposito ]]-Tabla2024241213[[#This Row],[Adeuda Agesta a Dos57]]</f>
        <v>790</v>
      </c>
      <c r="I13" s="117">
        <v>0</v>
      </c>
      <c r="J13" s="121">
        <v>1200</v>
      </c>
      <c r="K13" s="81"/>
      <c r="L13"/>
      <c r="M13"/>
    </row>
    <row r="14" spans="1:13" s="16" customFormat="1" ht="45" customHeight="1" x14ac:dyDescent="0.45">
      <c r="A14"/>
      <c r="B14" s="114" t="s">
        <v>258</v>
      </c>
      <c r="C14" s="115"/>
      <c r="D14" s="116"/>
      <c r="E14" s="116"/>
      <c r="F14" s="116">
        <f>+Tabla2024241213[[#This Row],[Material Contabilizado Ingresado al deposito ]]-Tabla2024241213[[#This Row],[Material Según Mensaje 25/10/2023]]</f>
        <v>0</v>
      </c>
      <c r="G14" s="117"/>
      <c r="H14" s="116">
        <f>+Tabla2024241213[[#This Row],[Material Contabilizado Ingresado al deposito ]]-Tabla2024241213[[#This Row],[Adeuda Agesta a Dos57]]</f>
        <v>0</v>
      </c>
      <c r="I14" s="117"/>
      <c r="J14" s="121"/>
      <c r="K14" s="81"/>
      <c r="L14"/>
      <c r="M14"/>
    </row>
    <row r="15" spans="1:13" s="16" customFormat="1" ht="45" customHeight="1" x14ac:dyDescent="0.45">
      <c r="A15"/>
      <c r="B15" s="114" t="s">
        <v>259</v>
      </c>
      <c r="C15" s="115"/>
      <c r="D15" s="116"/>
      <c r="E15" s="116"/>
      <c r="F15" s="116"/>
      <c r="G15" s="117"/>
      <c r="H15" s="116"/>
      <c r="I15" s="117"/>
      <c r="J15" s="121"/>
      <c r="K15" s="81"/>
      <c r="L15"/>
      <c r="M15"/>
    </row>
  </sheetData>
  <mergeCells count="3">
    <mergeCell ref="B2:K2"/>
    <mergeCell ref="B3:K3"/>
    <mergeCell ref="B1:K1"/>
  </mergeCells>
  <printOptions horizontalCentered="1"/>
  <pageMargins left="0.11811023622047245" right="0.11811023622047245" top="0.59055118110236227" bottom="0.19685039370078741" header="0.31496062992125984" footer="0.31496062992125984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"/>
  <sheetViews>
    <sheetView zoomScaleNormal="100" workbookViewId="0">
      <selection activeCell="B1" sqref="B1:K13"/>
    </sheetView>
  </sheetViews>
  <sheetFormatPr baseColWidth="10" defaultRowHeight="14.4" x14ac:dyDescent="0.3"/>
  <cols>
    <col min="1" max="1" width="1.6640625" customWidth="1"/>
    <col min="2" max="2" width="30.77734375" style="2" customWidth="1"/>
    <col min="3" max="6" width="30.77734375" style="1" hidden="1" customWidth="1"/>
    <col min="7" max="7" width="30.77734375" hidden="1" customWidth="1"/>
    <col min="8" max="8" width="30.77734375" style="16" hidden="1" customWidth="1"/>
    <col min="9" max="9" width="30.77734375" hidden="1" customWidth="1"/>
    <col min="10" max="11" width="30.77734375" style="16" customWidth="1"/>
    <col min="12" max="12" width="11.5546875" customWidth="1"/>
  </cols>
  <sheetData>
    <row r="1" spans="1:13" ht="49.95" customHeight="1" thickBot="1" x14ac:dyDescent="0.35">
      <c r="B1" s="191" t="s">
        <v>268</v>
      </c>
      <c r="C1" s="192"/>
      <c r="D1" s="192"/>
      <c r="E1" s="192"/>
      <c r="F1" s="192"/>
      <c r="G1" s="192"/>
      <c r="H1" s="192"/>
      <c r="I1" s="192"/>
      <c r="J1" s="192"/>
      <c r="K1" s="193"/>
    </row>
    <row r="2" spans="1:13" ht="15" customHeight="1" x14ac:dyDescent="0.3">
      <c r="B2" s="189" t="s">
        <v>266</v>
      </c>
      <c r="C2" s="189"/>
      <c r="D2" s="189"/>
      <c r="E2" s="189"/>
      <c r="F2" s="189"/>
      <c r="G2" s="189"/>
      <c r="H2" s="189"/>
      <c r="I2" s="189"/>
      <c r="J2" s="189"/>
      <c r="K2" s="189"/>
    </row>
    <row r="3" spans="1:13" x14ac:dyDescent="0.3">
      <c r="B3" s="190" t="s">
        <v>191</v>
      </c>
      <c r="C3" s="190"/>
      <c r="D3" s="190"/>
      <c r="E3" s="190"/>
      <c r="F3" s="190"/>
      <c r="G3" s="190"/>
      <c r="H3" s="190"/>
      <c r="I3" s="190"/>
      <c r="J3" s="190"/>
      <c r="K3" s="190"/>
    </row>
    <row r="4" spans="1:13" ht="30" customHeight="1" x14ac:dyDescent="0.3">
      <c r="B4" s="86" t="s">
        <v>0</v>
      </c>
      <c r="C4" s="87" t="s">
        <v>207</v>
      </c>
      <c r="D4" s="87" t="s">
        <v>222</v>
      </c>
      <c r="E4" s="87" t="s">
        <v>220</v>
      </c>
      <c r="F4" s="88" t="s">
        <v>223</v>
      </c>
      <c r="G4" s="88" t="s">
        <v>221</v>
      </c>
      <c r="H4" s="89" t="s">
        <v>224</v>
      </c>
      <c r="I4" s="88" t="s">
        <v>225</v>
      </c>
      <c r="J4" s="89" t="s">
        <v>265</v>
      </c>
      <c r="K4" s="89" t="s">
        <v>228</v>
      </c>
    </row>
    <row r="5" spans="1:13" s="16" customFormat="1" ht="45" customHeight="1" x14ac:dyDescent="0.45">
      <c r="A5"/>
      <c r="B5" s="114" t="s">
        <v>55</v>
      </c>
      <c r="C5" s="115">
        <v>25</v>
      </c>
      <c r="D5" s="116">
        <v>15</v>
      </c>
      <c r="E5" s="116">
        <v>15</v>
      </c>
      <c r="F5" s="116">
        <f>+Tabla202424121314[[#This Row],[Material Contabilizado Ingresado al deposito ]]-Tabla202424121314[[#This Row],[Material Según Mensaje 25/10/2023]]</f>
        <v>0</v>
      </c>
      <c r="G5" s="117">
        <v>0</v>
      </c>
      <c r="H5" s="116">
        <f>+Tabla202424121314[[#This Row],[Material Contabilizado Ingresado al deposito ]]-Tabla202424121314[[#This Row],[Adeuda Agesta a Dos57]]</f>
        <v>15</v>
      </c>
      <c r="I5" s="117">
        <v>0</v>
      </c>
      <c r="J5" s="121">
        <v>100</v>
      </c>
      <c r="K5" s="81"/>
      <c r="L5"/>
      <c r="M5"/>
    </row>
    <row r="6" spans="1:13" s="16" customFormat="1" ht="45" customHeight="1" x14ac:dyDescent="0.45">
      <c r="A6"/>
      <c r="B6" s="114" t="s">
        <v>31</v>
      </c>
      <c r="C6" s="115">
        <v>36</v>
      </c>
      <c r="D6" s="116">
        <v>26</v>
      </c>
      <c r="E6" s="116">
        <v>26</v>
      </c>
      <c r="F6" s="116">
        <f>+Tabla202424121314[[#This Row],[Material Contabilizado Ingresado al deposito ]]-Tabla202424121314[[#This Row],[Material Según Mensaje 25/10/2023]]</f>
        <v>0</v>
      </c>
      <c r="G6" s="117">
        <v>0</v>
      </c>
      <c r="H6" s="116">
        <f>+Tabla202424121314[[#This Row],[Material Contabilizado Ingresado al deposito ]]-Tabla202424121314[[#This Row],[Adeuda Agesta a Dos57]]</f>
        <v>26</v>
      </c>
      <c r="I6" s="117">
        <v>17</v>
      </c>
      <c r="J6" s="121">
        <v>20</v>
      </c>
      <c r="K6" s="81"/>
      <c r="L6"/>
      <c r="M6"/>
    </row>
    <row r="7" spans="1:13" s="16" customFormat="1" ht="45" customHeight="1" x14ac:dyDescent="0.45">
      <c r="A7"/>
      <c r="B7" s="114" t="s">
        <v>32</v>
      </c>
      <c r="C7" s="115"/>
      <c r="D7" s="116"/>
      <c r="E7" s="116"/>
      <c r="F7" s="116">
        <f>+Tabla202424121314[[#This Row],[Material Contabilizado Ingresado al deposito ]]-Tabla202424121314[[#This Row],[Material Según Mensaje 25/10/2023]]</f>
        <v>0</v>
      </c>
      <c r="G7" s="117"/>
      <c r="H7" s="116">
        <f>+Tabla202424121314[[#This Row],[Material Contabilizado Ingresado al deposito ]]-Tabla202424121314[[#This Row],[Adeuda Agesta a Dos57]]</f>
        <v>0</v>
      </c>
      <c r="I7" s="117"/>
      <c r="J7" s="121">
        <v>850</v>
      </c>
      <c r="K7" s="81"/>
      <c r="L7"/>
      <c r="M7"/>
    </row>
    <row r="8" spans="1:13" s="16" customFormat="1" ht="45" customHeight="1" x14ac:dyDescent="0.45">
      <c r="A8"/>
      <c r="B8" s="114" t="s">
        <v>262</v>
      </c>
      <c r="C8" s="115"/>
      <c r="D8" s="116"/>
      <c r="E8" s="116"/>
      <c r="F8" s="116">
        <f>+Tabla202424121314[[#This Row],[Material Contabilizado Ingresado al deposito ]]-Tabla202424121314[[#This Row],[Material Según Mensaje 25/10/2023]]</f>
        <v>0</v>
      </c>
      <c r="G8" s="117"/>
      <c r="H8" s="116">
        <f>+Tabla202424121314[[#This Row],[Material Contabilizado Ingresado al deposito ]]-Tabla202424121314[[#This Row],[Adeuda Agesta a Dos57]]</f>
        <v>0</v>
      </c>
      <c r="I8" s="117"/>
      <c r="J8" s="121">
        <v>100</v>
      </c>
      <c r="K8" s="81"/>
      <c r="L8"/>
      <c r="M8"/>
    </row>
    <row r="9" spans="1:13" s="16" customFormat="1" ht="45" customHeight="1" x14ac:dyDescent="0.45">
      <c r="A9"/>
      <c r="B9" s="114" t="s">
        <v>256</v>
      </c>
      <c r="C9" s="115"/>
      <c r="D9" s="116"/>
      <c r="E9" s="116"/>
      <c r="F9" s="116">
        <f>+Tabla202424121314[[#This Row],[Material Contabilizado Ingresado al deposito ]]-Tabla202424121314[[#This Row],[Material Según Mensaje 25/10/2023]]</f>
        <v>0</v>
      </c>
      <c r="G9" s="117"/>
      <c r="H9" s="116">
        <f>+Tabla202424121314[[#This Row],[Material Contabilizado Ingresado al deposito ]]-Tabla202424121314[[#This Row],[Adeuda Agesta a Dos57]]</f>
        <v>0</v>
      </c>
      <c r="I9" s="117"/>
      <c r="J9" s="121">
        <v>34</v>
      </c>
      <c r="K9" s="81"/>
      <c r="L9"/>
      <c r="M9"/>
    </row>
    <row r="10" spans="1:13" s="16" customFormat="1" ht="45" customHeight="1" x14ac:dyDescent="0.45">
      <c r="A10"/>
      <c r="B10" s="114" t="s">
        <v>260</v>
      </c>
      <c r="C10" s="115"/>
      <c r="D10" s="116"/>
      <c r="E10" s="116"/>
      <c r="F10" s="116">
        <f>+Tabla202424121314[[#This Row],[Material Contabilizado Ingresado al deposito ]]-Tabla202424121314[[#This Row],[Material Según Mensaje 25/10/2023]]</f>
        <v>0</v>
      </c>
      <c r="G10" s="117"/>
      <c r="H10" s="116">
        <f>+Tabla202424121314[[#This Row],[Material Contabilizado Ingresado al deposito ]]-Tabla202424121314[[#This Row],[Adeuda Agesta a Dos57]]</f>
        <v>0</v>
      </c>
      <c r="I10" s="117"/>
      <c r="J10" s="121">
        <v>200</v>
      </c>
      <c r="K10" s="81"/>
      <c r="L10"/>
      <c r="M10"/>
    </row>
    <row r="11" spans="1:13" s="16" customFormat="1" ht="45" customHeight="1" x14ac:dyDescent="0.45">
      <c r="A11"/>
      <c r="B11" s="114" t="s">
        <v>257</v>
      </c>
      <c r="C11" s="115"/>
      <c r="D11" s="116"/>
      <c r="E11" s="116"/>
      <c r="F11" s="116"/>
      <c r="G11" s="117"/>
      <c r="H11" s="116"/>
      <c r="I11" s="117"/>
      <c r="J11" s="121">
        <v>20</v>
      </c>
      <c r="K11" s="81"/>
      <c r="L11"/>
      <c r="M11"/>
    </row>
    <row r="12" spans="1:13" s="16" customFormat="1" ht="45" customHeight="1" x14ac:dyDescent="0.45">
      <c r="A12"/>
      <c r="B12" s="114" t="s">
        <v>258</v>
      </c>
      <c r="C12" s="115"/>
      <c r="D12" s="116"/>
      <c r="E12" s="116"/>
      <c r="F12" s="116">
        <f>+Tabla202424121314[[#This Row],[Material Contabilizado Ingresado al deposito ]]-Tabla202424121314[[#This Row],[Material Según Mensaje 25/10/2023]]</f>
        <v>0</v>
      </c>
      <c r="G12" s="117"/>
      <c r="H12" s="116">
        <f>+Tabla202424121314[[#This Row],[Material Contabilizado Ingresado al deposito ]]-Tabla202424121314[[#This Row],[Adeuda Agesta a Dos57]]</f>
        <v>0</v>
      </c>
      <c r="I12" s="117"/>
      <c r="J12" s="121"/>
      <c r="K12" s="81"/>
      <c r="L12"/>
      <c r="M12"/>
    </row>
    <row r="13" spans="1:13" s="16" customFormat="1" ht="45" customHeight="1" x14ac:dyDescent="0.45">
      <c r="A13"/>
      <c r="B13" s="114" t="s">
        <v>259</v>
      </c>
      <c r="C13" s="115"/>
      <c r="D13" s="116"/>
      <c r="E13" s="116"/>
      <c r="F13" s="116"/>
      <c r="G13" s="117"/>
      <c r="H13" s="116"/>
      <c r="I13" s="117"/>
      <c r="J13" s="121"/>
      <c r="K13" s="81"/>
      <c r="L13"/>
      <c r="M13"/>
    </row>
  </sheetData>
  <mergeCells count="3">
    <mergeCell ref="B2:K2"/>
    <mergeCell ref="B3:K3"/>
    <mergeCell ref="B1:K1"/>
  </mergeCells>
  <printOptions horizontalCentered="1"/>
  <pageMargins left="0.11811023622047245" right="0.11811023622047245" top="0.59055118110236227" bottom="0.19685039370078741" header="0.31496062992125984" footer="0.31496062992125984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zoomScaleNormal="100" workbookViewId="0">
      <selection activeCell="B1" sqref="B1:K12"/>
    </sheetView>
  </sheetViews>
  <sheetFormatPr baseColWidth="10" defaultRowHeight="14.4" x14ac:dyDescent="0.3"/>
  <cols>
    <col min="1" max="1" width="1.6640625" customWidth="1"/>
    <col min="2" max="2" width="30.77734375" style="2" customWidth="1"/>
    <col min="3" max="6" width="30.77734375" style="1" hidden="1" customWidth="1"/>
    <col min="7" max="7" width="30.77734375" hidden="1" customWidth="1"/>
    <col min="8" max="8" width="30.77734375" style="16" hidden="1" customWidth="1"/>
    <col min="9" max="9" width="30.77734375" hidden="1" customWidth="1"/>
    <col min="10" max="11" width="30.77734375" style="16" customWidth="1"/>
    <col min="12" max="12" width="11.5546875" customWidth="1"/>
  </cols>
  <sheetData>
    <row r="1" spans="1:13" ht="49.95" customHeight="1" thickBot="1" x14ac:dyDescent="0.35">
      <c r="B1" s="191" t="s">
        <v>267</v>
      </c>
      <c r="C1" s="192"/>
      <c r="D1" s="192"/>
      <c r="E1" s="192"/>
      <c r="F1" s="192"/>
      <c r="G1" s="192"/>
      <c r="H1" s="192"/>
      <c r="I1" s="192"/>
      <c r="J1" s="192"/>
      <c r="K1" s="193"/>
    </row>
    <row r="2" spans="1:13" ht="15" customHeight="1" x14ac:dyDescent="0.3">
      <c r="B2" s="189" t="s">
        <v>269</v>
      </c>
      <c r="C2" s="189"/>
      <c r="D2" s="189"/>
      <c r="E2" s="189"/>
      <c r="F2" s="189"/>
      <c r="G2" s="189"/>
      <c r="H2" s="189"/>
      <c r="I2" s="189"/>
      <c r="J2" s="189"/>
      <c r="K2" s="189"/>
    </row>
    <row r="3" spans="1:13" x14ac:dyDescent="0.3">
      <c r="B3" s="190" t="s">
        <v>191</v>
      </c>
      <c r="C3" s="190"/>
      <c r="D3" s="190"/>
      <c r="E3" s="190"/>
      <c r="F3" s="190"/>
      <c r="G3" s="190"/>
      <c r="H3" s="190"/>
      <c r="I3" s="190"/>
      <c r="J3" s="190"/>
      <c r="K3" s="190"/>
    </row>
    <row r="4" spans="1:13" ht="30" customHeight="1" x14ac:dyDescent="0.3">
      <c r="B4" s="86" t="s">
        <v>0</v>
      </c>
      <c r="C4" s="87" t="s">
        <v>207</v>
      </c>
      <c r="D4" s="87" t="s">
        <v>222</v>
      </c>
      <c r="E4" s="87" t="s">
        <v>220</v>
      </c>
      <c r="F4" s="88" t="s">
        <v>223</v>
      </c>
      <c r="G4" s="88" t="s">
        <v>221</v>
      </c>
      <c r="H4" s="89" t="s">
        <v>224</v>
      </c>
      <c r="I4" s="88" t="s">
        <v>225</v>
      </c>
      <c r="J4" s="89" t="s">
        <v>263</v>
      </c>
      <c r="K4" s="89" t="s">
        <v>228</v>
      </c>
    </row>
    <row r="5" spans="1:13" s="16" customFormat="1" ht="45" customHeight="1" x14ac:dyDescent="0.45">
      <c r="A5"/>
      <c r="B5" s="114" t="s">
        <v>270</v>
      </c>
      <c r="C5" s="115">
        <v>136</v>
      </c>
      <c r="D5" s="116">
        <v>120</v>
      </c>
      <c r="E5" s="116">
        <v>120</v>
      </c>
      <c r="F5" s="116">
        <f>+Tabla202424121315[[#This Row],[Material Contabilizado Ingresado al deposito ]]-Tabla202424121315[[#This Row],[Material Según Mensaje 25/10/2023]]</f>
        <v>0</v>
      </c>
      <c r="G5" s="117">
        <v>0</v>
      </c>
      <c r="H5" s="116">
        <f>+Tabla202424121315[[#This Row],[Material Contabilizado Ingresado al deposito ]]-Tabla202424121315[[#This Row],[Adeuda Agesta a Dos57]]</f>
        <v>120</v>
      </c>
      <c r="I5" s="117">
        <v>0</v>
      </c>
      <c r="J5" s="121">
        <v>100</v>
      </c>
      <c r="K5" s="81"/>
      <c r="L5" s="125"/>
      <c r="M5"/>
    </row>
    <row r="6" spans="1:13" s="16" customFormat="1" ht="45" customHeight="1" x14ac:dyDescent="0.45">
      <c r="A6"/>
      <c r="B6" s="114" t="s">
        <v>17</v>
      </c>
      <c r="C6" s="115">
        <v>136</v>
      </c>
      <c r="D6" s="116">
        <v>120</v>
      </c>
      <c r="E6" s="116">
        <v>120</v>
      </c>
      <c r="F6" s="116">
        <f>+Tabla202424121315[[#This Row],[Material Contabilizado Ingresado al deposito ]]-Tabla202424121315[[#This Row],[Material Según Mensaje 25/10/2023]]</f>
        <v>0</v>
      </c>
      <c r="G6" s="117">
        <v>2</v>
      </c>
      <c r="H6" s="116">
        <f>+Tabla202424121315[[#This Row],[Material Contabilizado Ingresado al deposito ]]-Tabla202424121315[[#This Row],[Adeuda Agesta a Dos57]]</f>
        <v>118</v>
      </c>
      <c r="I6" s="117">
        <v>0</v>
      </c>
      <c r="J6" s="121">
        <v>100</v>
      </c>
      <c r="K6" s="81"/>
      <c r="L6" s="125"/>
      <c r="M6"/>
    </row>
    <row r="7" spans="1:13" s="16" customFormat="1" ht="45" customHeight="1" x14ac:dyDescent="0.45">
      <c r="A7"/>
      <c r="B7" s="114" t="s">
        <v>143</v>
      </c>
      <c r="C7" s="115">
        <v>500</v>
      </c>
      <c r="D7" s="116">
        <v>460</v>
      </c>
      <c r="E7" s="116">
        <v>462</v>
      </c>
      <c r="F7" s="116">
        <f>+Tabla202424121315[[#This Row],[Material Contabilizado Ingresado al deposito ]]-Tabla202424121315[[#This Row],[Material Según Mensaje 25/10/2023]]</f>
        <v>2</v>
      </c>
      <c r="G7" s="117">
        <v>0</v>
      </c>
      <c r="H7" s="116">
        <f>+Tabla202424121315[[#This Row],[Material Contabilizado Ingresado al deposito ]]-Tabla202424121315[[#This Row],[Adeuda Agesta a Dos57]]</f>
        <v>462</v>
      </c>
      <c r="I7" s="117">
        <v>2</v>
      </c>
      <c r="J7" s="121">
        <v>200</v>
      </c>
      <c r="K7" s="81"/>
      <c r="L7" s="125"/>
      <c r="M7"/>
    </row>
    <row r="8" spans="1:13" ht="45" customHeight="1" x14ac:dyDescent="0.45">
      <c r="B8" s="114" t="s">
        <v>31</v>
      </c>
      <c r="C8" s="115">
        <v>311</v>
      </c>
      <c r="D8" s="116">
        <v>343</v>
      </c>
      <c r="E8" s="116">
        <v>343</v>
      </c>
      <c r="F8" s="116">
        <f>+Tabla202424121315[[#This Row],[Material Contabilizado Ingresado al deposito ]]-Tabla202424121315[[#This Row],[Material Según Mensaje 25/10/2023]]</f>
        <v>0</v>
      </c>
      <c r="G8" s="117">
        <v>23</v>
      </c>
      <c r="H8" s="116">
        <f>+Tabla202424121315[[#This Row],[Material Contabilizado Ingresado al deposito ]]-Tabla202424121315[[#This Row],[Adeuda Agesta a Dos57]]</f>
        <v>320</v>
      </c>
      <c r="I8" s="117">
        <v>0</v>
      </c>
      <c r="J8" s="121">
        <v>100</v>
      </c>
      <c r="K8" s="81"/>
      <c r="L8" s="125"/>
    </row>
    <row r="9" spans="1:13" s="16" customFormat="1" ht="45" customHeight="1" x14ac:dyDescent="0.45">
      <c r="A9"/>
      <c r="B9" s="114" t="s">
        <v>48</v>
      </c>
      <c r="C9" s="115">
        <v>0</v>
      </c>
      <c r="D9" s="116">
        <v>18</v>
      </c>
      <c r="E9" s="116">
        <v>18</v>
      </c>
      <c r="F9" s="116">
        <f>+Tabla202424121315[[#This Row],[Material Contabilizado Ingresado al deposito ]]-Tabla202424121315[[#This Row],[Material Según Mensaje 25/10/2023]]</f>
        <v>0</v>
      </c>
      <c r="G9" s="117">
        <v>0</v>
      </c>
      <c r="H9" s="116">
        <f>+Tabla202424121315[[#This Row],[Material Contabilizado Ingresado al deposito ]]-Tabla202424121315[[#This Row],[Adeuda Agesta a Dos57]]</f>
        <v>18</v>
      </c>
      <c r="I9" s="117">
        <v>0</v>
      </c>
      <c r="J9" s="121">
        <v>50</v>
      </c>
      <c r="K9" s="81"/>
      <c r="L9" s="125"/>
      <c r="M9"/>
    </row>
    <row r="10" spans="1:13" s="16" customFormat="1" ht="45" customHeight="1" x14ac:dyDescent="0.45">
      <c r="A10"/>
      <c r="B10" s="114" t="s">
        <v>142</v>
      </c>
      <c r="C10" s="115">
        <v>67</v>
      </c>
      <c r="D10" s="116">
        <v>57</v>
      </c>
      <c r="E10" s="116">
        <v>57</v>
      </c>
      <c r="F10" s="116">
        <f>+Tabla202424121315[[#This Row],[Material Contabilizado Ingresado al deposito ]]-Tabla202424121315[[#This Row],[Material Según Mensaje 25/10/2023]]</f>
        <v>0</v>
      </c>
      <c r="G10" s="117">
        <v>0</v>
      </c>
      <c r="H10" s="116">
        <f>+Tabla202424121315[[#This Row],[Material Contabilizado Ingresado al deposito ]]-Tabla202424121315[[#This Row],[Adeuda Agesta a Dos57]]</f>
        <v>57</v>
      </c>
      <c r="I10" s="117">
        <v>2</v>
      </c>
      <c r="J10" s="121">
        <v>900</v>
      </c>
      <c r="K10" s="81"/>
      <c r="L10" s="125"/>
      <c r="M10"/>
    </row>
    <row r="11" spans="1:13" s="16" customFormat="1" ht="45" customHeight="1" x14ac:dyDescent="0.45">
      <c r="A11"/>
      <c r="B11" s="114" t="s">
        <v>55</v>
      </c>
      <c r="C11" s="115"/>
      <c r="D11" s="116"/>
      <c r="E11" s="116"/>
      <c r="F11" s="116"/>
      <c r="G11" s="117"/>
      <c r="H11" s="116"/>
      <c r="I11" s="117"/>
      <c r="J11" s="121">
        <v>70</v>
      </c>
      <c r="K11" s="81"/>
      <c r="L11"/>
      <c r="M11"/>
    </row>
    <row r="12" spans="1:13" s="16" customFormat="1" ht="45" customHeight="1" x14ac:dyDescent="0.45">
      <c r="A12"/>
      <c r="B12" s="114" t="s">
        <v>56</v>
      </c>
      <c r="C12" s="115"/>
      <c r="D12" s="116"/>
      <c r="E12" s="116"/>
      <c r="F12" s="116"/>
      <c r="G12" s="117"/>
      <c r="H12" s="116"/>
      <c r="I12" s="117"/>
      <c r="J12" s="121">
        <v>48</v>
      </c>
      <c r="K12" s="81"/>
      <c r="L12"/>
      <c r="M12"/>
    </row>
  </sheetData>
  <mergeCells count="3">
    <mergeCell ref="B1:K1"/>
    <mergeCell ref="B2:K2"/>
    <mergeCell ref="B3:K3"/>
  </mergeCells>
  <printOptions horizontalCentered="1"/>
  <pageMargins left="0.11811023622047245" right="0.11811023622047245" top="0.59055118110236227" bottom="0.19685039370078741" header="0.31496062992125984" footer="0.31496062992125984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1"/>
  <sheetViews>
    <sheetView zoomScale="130" zoomScaleNormal="130" workbookViewId="0">
      <selection activeCell="E7" sqref="E7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0.77734375" style="1" customWidth="1"/>
    <col min="4" max="4" width="20.77734375" hidden="1" customWidth="1"/>
    <col min="5" max="7" width="20.77734375" customWidth="1"/>
    <col min="8" max="8" width="20.77734375" style="16" customWidth="1"/>
    <col min="9" max="9" width="11.5546875" customWidth="1"/>
  </cols>
  <sheetData>
    <row r="1" spans="2:8" ht="15" thickBot="1" x14ac:dyDescent="0.35"/>
    <row r="2" spans="2:8" ht="15" customHeight="1" thickBot="1" x14ac:dyDescent="0.35">
      <c r="B2" s="178" t="s">
        <v>284</v>
      </c>
      <c r="C2" s="179"/>
      <c r="D2" s="179"/>
      <c r="E2" s="179"/>
      <c r="F2" s="179"/>
      <c r="G2" s="179"/>
      <c r="H2" s="180"/>
    </row>
    <row r="3" spans="2:8" ht="15" thickBot="1" x14ac:dyDescent="0.35">
      <c r="B3" s="184" t="s">
        <v>191</v>
      </c>
      <c r="C3" s="185"/>
      <c r="D3" s="186"/>
      <c r="E3" s="127"/>
      <c r="F3" s="127"/>
      <c r="G3" s="126" t="s">
        <v>278</v>
      </c>
      <c r="H3" s="98">
        <v>1125</v>
      </c>
    </row>
    <row r="4" spans="2:8" ht="30" customHeight="1" x14ac:dyDescent="0.3">
      <c r="B4" s="44" t="s">
        <v>0</v>
      </c>
      <c r="C4" s="43" t="s">
        <v>277</v>
      </c>
      <c r="D4" s="29" t="s">
        <v>242</v>
      </c>
      <c r="E4" s="29" t="s">
        <v>234</v>
      </c>
      <c r="F4" s="29" t="s">
        <v>282</v>
      </c>
      <c r="G4" s="29" t="s">
        <v>236</v>
      </c>
      <c r="H4" s="29" t="s">
        <v>204</v>
      </c>
    </row>
    <row r="5" spans="2:8" x14ac:dyDescent="0.3">
      <c r="B5" s="46" t="s">
        <v>143</v>
      </c>
      <c r="C5" s="65">
        <v>400</v>
      </c>
      <c r="D5" s="99">
        <v>263.64</v>
      </c>
      <c r="E5" s="99">
        <v>75.010000000000005</v>
      </c>
      <c r="F5" s="99">
        <f>+Tabla2024267816[[#This Row],[Material Final Alquiler]]*Tabla2024267816[[#This Row],[Valor Unitario en €]]</f>
        <v>30004.000000000004</v>
      </c>
      <c r="G5" s="99">
        <f>+Tabla2024267816[[#This Row],[Valor Total en €]]*H3</f>
        <v>33754500.000000007</v>
      </c>
      <c r="H5" s="99">
        <f>+Tabla2024267816[[#This Row],[Total Precio en Pesos]]*4%</f>
        <v>1350180.0000000002</v>
      </c>
    </row>
    <row r="6" spans="2:8" x14ac:dyDescent="0.3">
      <c r="B6" s="46" t="s">
        <v>144</v>
      </c>
      <c r="C6" s="65">
        <v>80</v>
      </c>
      <c r="D6" s="99">
        <v>76.83</v>
      </c>
      <c r="E6" s="99">
        <v>70.069999999999993</v>
      </c>
      <c r="F6" s="99">
        <f>+Tabla2024267816[[#This Row],[Material Final Alquiler]]*Tabla2024267816[[#This Row],[Valor Unitario en €]]</f>
        <v>5605.5999999999995</v>
      </c>
      <c r="G6" s="99">
        <f>+Tabla2024267816[[#This Row],[Valor Total en €]]*H3</f>
        <v>6306299.9999999991</v>
      </c>
      <c r="H6" s="99">
        <f>+Tabla2024267816[[#This Row],[Total Precio en Pesos]]*4%</f>
        <v>252251.99999999997</v>
      </c>
    </row>
    <row r="7" spans="2:8" x14ac:dyDescent="0.3">
      <c r="B7" s="46" t="s">
        <v>78</v>
      </c>
      <c r="C7" s="67">
        <v>8</v>
      </c>
      <c r="D7" s="109"/>
      <c r="E7" s="110">
        <v>61.23</v>
      </c>
      <c r="F7" s="110">
        <f>+Tabla2024267816[[#This Row],[Material Final Alquiler]]*Tabla2024267816[[#This Row],[Valor Unitario en €]]</f>
        <v>489.84</v>
      </c>
      <c r="G7" s="99">
        <f>+Tabla2024267816[[#This Row],[Valor Total en €]]*H3</f>
        <v>551070</v>
      </c>
      <c r="H7" s="99">
        <f>+Tabla2024267816[[#This Row],[Total Precio en Pesos]]*4%</f>
        <v>22042.799999999999</v>
      </c>
    </row>
    <row r="8" spans="2:8" x14ac:dyDescent="0.3">
      <c r="B8" s="46" t="s">
        <v>51</v>
      </c>
      <c r="C8" s="67">
        <v>28</v>
      </c>
      <c r="D8" s="109"/>
      <c r="E8" s="110">
        <v>43.03</v>
      </c>
      <c r="F8" s="110">
        <f>+Tabla2024267816[[#This Row],[Material Final Alquiler]]*Tabla2024267816[[#This Row],[Valor Unitario en €]]</f>
        <v>1204.8400000000001</v>
      </c>
      <c r="G8" s="99">
        <f>+Tabla2024267816[[#This Row],[Valor Total en €]]*H3</f>
        <v>1355445.0000000002</v>
      </c>
      <c r="H8" s="99">
        <f>+Tabla2024267816[[#This Row],[Total Precio en Pesos]]*4%</f>
        <v>54217.80000000001</v>
      </c>
    </row>
    <row r="9" spans="2:8" x14ac:dyDescent="0.3">
      <c r="B9" s="46" t="s">
        <v>142</v>
      </c>
      <c r="C9" s="67">
        <v>1000</v>
      </c>
      <c r="D9" s="109"/>
      <c r="E9" s="110">
        <v>64.349999999999994</v>
      </c>
      <c r="F9" s="110">
        <f>+Tabla2024267816[[#This Row],[Material Final Alquiler]]*Tabla2024267816[[#This Row],[Valor Unitario en €]]</f>
        <v>64349.999999999993</v>
      </c>
      <c r="G9" s="99">
        <f>+Tabla2024267816[[#This Row],[Valor Total en €]]*H3</f>
        <v>72393749.999999985</v>
      </c>
      <c r="H9" s="99">
        <f>+Tabla2024267816[[#This Row],[Total Precio en Pesos]]*4%</f>
        <v>2895749.9999999995</v>
      </c>
    </row>
    <row r="10" spans="2:8" x14ac:dyDescent="0.3">
      <c r="B10" s="46" t="s">
        <v>48</v>
      </c>
      <c r="C10" s="67">
        <v>18</v>
      </c>
      <c r="D10" s="109"/>
      <c r="E10" s="110">
        <v>39.39</v>
      </c>
      <c r="F10" s="110">
        <f>+Tabla2024267816[[#This Row],[Material Final Alquiler]]*Tabla2024267816[[#This Row],[Valor Unitario en €]]</f>
        <v>709.02</v>
      </c>
      <c r="G10" s="99">
        <f>+Tabla2024267816[[#This Row],[Valor Total en €]]*H3</f>
        <v>797647.5</v>
      </c>
      <c r="H10" s="99">
        <f>+Tabla2024267816[[#This Row],[Total Precio en Pesos]]*4%</f>
        <v>31905.9</v>
      </c>
    </row>
    <row r="11" spans="2:8" x14ac:dyDescent="0.3">
      <c r="B11" s="46" t="s">
        <v>52</v>
      </c>
      <c r="C11" s="67">
        <v>13</v>
      </c>
      <c r="D11" s="109"/>
      <c r="E11" s="110">
        <v>33.020000000000003</v>
      </c>
      <c r="F11" s="110">
        <f>+Tabla2024267816[[#This Row],[Material Final Alquiler]]*Tabla2024267816[[#This Row],[Valor Unitario en €]]</f>
        <v>429.26000000000005</v>
      </c>
      <c r="G11" s="99">
        <f>+Tabla2024267816[[#This Row],[Valor Total en €]]*H3</f>
        <v>482917.50000000006</v>
      </c>
      <c r="H11" s="99">
        <f>+Tabla2024267816[[#This Row],[Total Precio en Pesos]]*4%</f>
        <v>19316.700000000004</v>
      </c>
    </row>
    <row r="12" spans="2:8" x14ac:dyDescent="0.3">
      <c r="B12" s="46" t="s">
        <v>148</v>
      </c>
      <c r="C12" s="67">
        <v>23</v>
      </c>
      <c r="D12" s="109"/>
      <c r="E12" s="110">
        <v>37.96</v>
      </c>
      <c r="F12" s="110">
        <f>+Tabla2024267816[[#This Row],[Material Final Alquiler]]*Tabla2024267816[[#This Row],[Valor Unitario en €]]</f>
        <v>873.08</v>
      </c>
      <c r="G12" s="99">
        <f>+Tabla2024267816[[#This Row],[Valor Total en €]]*H3</f>
        <v>982215</v>
      </c>
      <c r="H12" s="99">
        <f>+Tabla2024267816[[#This Row],[Total Precio en Pesos]]*4%</f>
        <v>39288.6</v>
      </c>
    </row>
    <row r="13" spans="2:8" x14ac:dyDescent="0.3">
      <c r="B13" s="46" t="s">
        <v>31</v>
      </c>
      <c r="C13" s="67">
        <v>140</v>
      </c>
      <c r="D13" s="109"/>
      <c r="E13" s="110">
        <v>148.19999999999999</v>
      </c>
      <c r="F13" s="110">
        <f>+Tabla2024267816[[#This Row],[Material Final Alquiler]]*Tabla2024267816[[#This Row],[Valor Unitario en €]]</f>
        <v>20748</v>
      </c>
      <c r="G13" s="99">
        <f>+Tabla2024267816[[#This Row],[Valor Total en €]]*H3</f>
        <v>23341500</v>
      </c>
      <c r="H13" s="99">
        <f>+Tabla2024267816[[#This Row],[Total Precio en Pesos]]*4%</f>
        <v>933660</v>
      </c>
    </row>
    <row r="14" spans="2:8" x14ac:dyDescent="0.3">
      <c r="B14" s="108" t="s">
        <v>281</v>
      </c>
      <c r="C14" s="67">
        <v>400</v>
      </c>
      <c r="D14" s="109"/>
      <c r="E14" s="110">
        <v>81.77</v>
      </c>
      <c r="F14" s="110">
        <f>+Tabla2024267816[[#This Row],[Material Final Alquiler]]*Tabla2024267816[[#This Row],[Valor Unitario en €]]</f>
        <v>32708</v>
      </c>
      <c r="G14" s="99">
        <f>+Tabla2024267816[[#This Row],[Valor Total en €]]*H3</f>
        <v>36796500</v>
      </c>
      <c r="H14" s="99">
        <f>+Tabla2024267816[[#This Row],[Total Precio en Pesos]]*4%</f>
        <v>1471860</v>
      </c>
    </row>
    <row r="15" spans="2:8" x14ac:dyDescent="0.3">
      <c r="B15" s="108" t="s">
        <v>279</v>
      </c>
      <c r="C15" s="67">
        <v>8</v>
      </c>
      <c r="D15" s="109"/>
      <c r="E15" s="110">
        <v>0</v>
      </c>
      <c r="F15" s="110">
        <f>+Tabla2024267816[[#This Row],[Material Final Alquiler]]*Tabla2024267816[[#This Row],[Valor Unitario en €]]</f>
        <v>0</v>
      </c>
      <c r="G15" s="99">
        <f>+Tabla2024267816[[#This Row],[Valor Total en €]]*H3</f>
        <v>0</v>
      </c>
      <c r="H15" s="99">
        <f>+Tabla2024267816[[#This Row],[Total Precio en Pesos]]*4%</f>
        <v>0</v>
      </c>
    </row>
    <row r="16" spans="2:8" x14ac:dyDescent="0.3">
      <c r="B16" s="108" t="s">
        <v>280</v>
      </c>
      <c r="C16" s="67">
        <v>200</v>
      </c>
      <c r="D16" s="109"/>
      <c r="E16" s="110">
        <v>28.34</v>
      </c>
      <c r="F16" s="110">
        <f>+Tabla2024267816[[#This Row],[Material Final Alquiler]]*Tabla2024267816[[#This Row],[Valor Unitario en €]]</f>
        <v>5668</v>
      </c>
      <c r="G16" s="99">
        <f>+Tabla2024267816[[#This Row],[Valor Total en €]]*H3</f>
        <v>6376500</v>
      </c>
      <c r="H16" s="99">
        <f>+Tabla2024267816[[#This Row],[Total Precio en Pesos]]*4%</f>
        <v>255060</v>
      </c>
    </row>
    <row r="17" spans="2:8" x14ac:dyDescent="0.3">
      <c r="B17" s="108" t="s">
        <v>17</v>
      </c>
      <c r="C17" s="67">
        <v>200</v>
      </c>
      <c r="D17" s="109"/>
      <c r="E17" s="110">
        <v>19.89</v>
      </c>
      <c r="F17" s="110">
        <f>+Tabla2024267816[[#This Row],[Material Final Alquiler]]*Tabla2024267816[[#This Row],[Valor Unitario en €]]</f>
        <v>3978</v>
      </c>
      <c r="G17" s="99">
        <f>+Tabla2024267816[[#This Row],[Valor Total en €]]*H3</f>
        <v>4475250</v>
      </c>
      <c r="H17" s="99">
        <f>+Tabla2024267816[[#This Row],[Total Precio en Pesos]]*4%</f>
        <v>179010</v>
      </c>
    </row>
    <row r="18" spans="2:8" x14ac:dyDescent="0.3">
      <c r="B18" s="75"/>
      <c r="C18" s="76"/>
      <c r="D18" s="77"/>
      <c r="E18" s="77"/>
      <c r="F18" s="77"/>
      <c r="G18" s="136">
        <f>SUM(G5:G17)</f>
        <v>187613595</v>
      </c>
      <c r="H18" s="137">
        <f>SUBTOTAL(109,Tabla2024267816[Valor Alquiler 4%])</f>
        <v>7504543.7999999998</v>
      </c>
    </row>
    <row r="19" spans="2:8" ht="15" thickBot="1" x14ac:dyDescent="0.35"/>
    <row r="20" spans="2:8" x14ac:dyDescent="0.3">
      <c r="F20" s="194" t="s">
        <v>283</v>
      </c>
      <c r="G20" s="195"/>
      <c r="H20" s="138">
        <f>+Tabla2024267816[[#Totals],[Valor Alquiler 4%]]</f>
        <v>7504543.7999999998</v>
      </c>
    </row>
    <row r="21" spans="2:8" ht="15" thickBot="1" x14ac:dyDescent="0.35">
      <c r="F21" s="196" t="s">
        <v>285</v>
      </c>
      <c r="G21" s="197"/>
      <c r="H21" s="139">
        <f>+H20/2</f>
        <v>3752271.9</v>
      </c>
    </row>
  </sheetData>
  <mergeCells count="4">
    <mergeCell ref="B2:H2"/>
    <mergeCell ref="B3:D3"/>
    <mergeCell ref="F20:G20"/>
    <mergeCell ref="F21:G21"/>
  </mergeCells>
  <pageMargins left="0.11811023622047245" right="0.11811023622047245" top="0.78740157480314965" bottom="0.19685039370078741" header="0.31496062992125984" footer="0.31496062992125984"/>
  <pageSetup paperSize="9" scale="77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0"/>
  <sheetViews>
    <sheetView zoomScale="130" zoomScaleNormal="130" workbookViewId="0">
      <selection activeCell="B2" sqref="B2:G10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0.77734375" style="1" customWidth="1"/>
    <col min="4" max="4" width="20.77734375" hidden="1" customWidth="1"/>
    <col min="5" max="7" width="20.77734375" customWidth="1"/>
    <col min="8" max="8" width="11.5546875" customWidth="1"/>
  </cols>
  <sheetData>
    <row r="1" spans="2:7" ht="15" thickBot="1" x14ac:dyDescent="0.35"/>
    <row r="2" spans="2:7" ht="15" customHeight="1" thickBot="1" x14ac:dyDescent="0.35">
      <c r="B2" s="198" t="s">
        <v>286</v>
      </c>
      <c r="C2" s="198"/>
      <c r="D2" s="198"/>
      <c r="E2" s="198"/>
      <c r="F2" s="198"/>
      <c r="G2" s="198"/>
    </row>
    <row r="3" spans="2:7" x14ac:dyDescent="0.3">
      <c r="B3" s="199" t="s">
        <v>191</v>
      </c>
      <c r="C3" s="199"/>
      <c r="D3" s="199"/>
      <c r="E3" s="199"/>
      <c r="F3" s="140" t="s">
        <v>278</v>
      </c>
      <c r="G3" s="141">
        <v>1125</v>
      </c>
    </row>
    <row r="4" spans="2:7" ht="30" customHeight="1" x14ac:dyDescent="0.3">
      <c r="B4" s="142" t="s">
        <v>0</v>
      </c>
      <c r="C4" s="143" t="s">
        <v>277</v>
      </c>
      <c r="D4" s="143" t="s">
        <v>242</v>
      </c>
      <c r="E4" s="143" t="s">
        <v>234</v>
      </c>
      <c r="F4" s="143" t="s">
        <v>282</v>
      </c>
      <c r="G4" s="144" t="s">
        <v>236</v>
      </c>
    </row>
    <row r="5" spans="2:7" s="125" customFormat="1" x14ac:dyDescent="0.3">
      <c r="B5" s="145" t="s">
        <v>143</v>
      </c>
      <c r="C5" s="146">
        <v>80</v>
      </c>
      <c r="D5" s="147">
        <v>263.64</v>
      </c>
      <c r="E5" s="147">
        <v>75.010000000000005</v>
      </c>
      <c r="F5" s="147">
        <f>+Tabla202426781617[[#This Row],[Material Final Alquiler]]*Tabla202426781617[[#This Row],[Valor Unitario en €]]</f>
        <v>6000.8</v>
      </c>
      <c r="G5" s="148">
        <f>+Tabla202426781617[[#This Row],[Valor Total en €]]*G3</f>
        <v>6750900</v>
      </c>
    </row>
    <row r="6" spans="2:7" s="125" customFormat="1" x14ac:dyDescent="0.3">
      <c r="B6" s="145" t="s">
        <v>142</v>
      </c>
      <c r="C6" s="149">
        <v>150</v>
      </c>
      <c r="D6" s="150"/>
      <c r="E6" s="151">
        <v>64.349999999999994</v>
      </c>
      <c r="F6" s="151">
        <f>+Tabla202426781617[[#This Row],[Material Final Alquiler]]*Tabla202426781617[[#This Row],[Valor Unitario en €]]</f>
        <v>9652.5</v>
      </c>
      <c r="G6" s="148">
        <f>+Tabla202426781617[[#This Row],[Valor Total en €]]*G3</f>
        <v>10859062.5</v>
      </c>
    </row>
    <row r="7" spans="2:7" s="125" customFormat="1" x14ac:dyDescent="0.3">
      <c r="B7" s="152" t="s">
        <v>281</v>
      </c>
      <c r="C7" s="149">
        <v>160</v>
      </c>
      <c r="D7" s="150"/>
      <c r="E7" s="151">
        <v>81.77</v>
      </c>
      <c r="F7" s="151">
        <f>+Tabla202426781617[[#This Row],[Material Final Alquiler]]*Tabla202426781617[[#This Row],[Valor Unitario en €]]</f>
        <v>13083.199999999999</v>
      </c>
      <c r="G7" s="148">
        <f>+Tabla202426781617[[#This Row],[Valor Total en €]]*G3</f>
        <v>14718599.999999998</v>
      </c>
    </row>
    <row r="8" spans="2:7" s="125" customFormat="1" x14ac:dyDescent="0.3">
      <c r="B8" s="152" t="s">
        <v>280</v>
      </c>
      <c r="C8" s="149">
        <v>24</v>
      </c>
      <c r="D8" s="150"/>
      <c r="E8" s="151">
        <v>28.34</v>
      </c>
      <c r="F8" s="151">
        <f>+Tabla202426781617[[#This Row],[Material Final Alquiler]]*Tabla202426781617[[#This Row],[Valor Unitario en €]]</f>
        <v>680.16</v>
      </c>
      <c r="G8" s="148">
        <f>+Tabla202426781617[[#This Row],[Valor Total en €]]*G3</f>
        <v>765180</v>
      </c>
    </row>
    <row r="9" spans="2:7" s="125" customFormat="1" x14ac:dyDescent="0.3">
      <c r="B9" s="152" t="s">
        <v>17</v>
      </c>
      <c r="C9" s="149">
        <v>24</v>
      </c>
      <c r="D9" s="150"/>
      <c r="E9" s="151">
        <v>19.89</v>
      </c>
      <c r="F9" s="151">
        <f>+Tabla202426781617[[#This Row],[Material Final Alquiler]]*Tabla202426781617[[#This Row],[Valor Unitario en €]]</f>
        <v>477.36</v>
      </c>
      <c r="G9" s="148">
        <f>+Tabla202426781617[[#This Row],[Valor Total en €]]*G3</f>
        <v>537030</v>
      </c>
    </row>
    <row r="10" spans="2:7" x14ac:dyDescent="0.3">
      <c r="B10" s="153"/>
      <c r="C10" s="154"/>
      <c r="D10" s="155"/>
      <c r="E10" s="155"/>
      <c r="F10" s="155"/>
      <c r="G10" s="156">
        <f>SUM(G5:G9)</f>
        <v>33630772.5</v>
      </c>
    </row>
  </sheetData>
  <mergeCells count="2">
    <mergeCell ref="B2:G2"/>
    <mergeCell ref="B3:E3"/>
  </mergeCells>
  <pageMargins left="0.11811023622047245" right="0.11811023622047245" top="0.78740157480314965" bottom="0.19685039370078741" header="0.31496062992125984" footer="0.31496062992125984"/>
  <pageSetup paperSize="9" scale="92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4"/>
  <sheetViews>
    <sheetView zoomScale="130" zoomScaleNormal="130" workbookViewId="0">
      <selection activeCell="B7" sqref="B7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0.77734375" style="1" customWidth="1"/>
    <col min="4" max="4" width="20.77734375" hidden="1" customWidth="1"/>
    <col min="5" max="7" width="20.77734375" customWidth="1"/>
    <col min="8" max="8" width="20.77734375" style="16" customWidth="1"/>
    <col min="9" max="9" width="11.5546875" customWidth="1"/>
  </cols>
  <sheetData>
    <row r="1" spans="2:8" ht="15" thickBot="1" x14ac:dyDescent="0.35"/>
    <row r="2" spans="2:8" ht="15" customHeight="1" thickBot="1" x14ac:dyDescent="0.35">
      <c r="B2" s="178" t="s">
        <v>287</v>
      </c>
      <c r="C2" s="179"/>
      <c r="D2" s="179"/>
      <c r="E2" s="179"/>
      <c r="F2" s="179"/>
      <c r="G2" s="179"/>
      <c r="H2" s="180"/>
    </row>
    <row r="3" spans="2:8" ht="15" thickBot="1" x14ac:dyDescent="0.35">
      <c r="B3" s="184" t="s">
        <v>191</v>
      </c>
      <c r="C3" s="185"/>
      <c r="D3" s="186"/>
      <c r="E3" s="158"/>
      <c r="F3" s="158"/>
      <c r="G3" s="157" t="s">
        <v>288</v>
      </c>
      <c r="H3" s="98">
        <v>1650</v>
      </c>
    </row>
    <row r="4" spans="2:8" ht="30" customHeight="1" x14ac:dyDescent="0.3">
      <c r="B4" s="44" t="s">
        <v>0</v>
      </c>
      <c r="C4" s="43" t="s">
        <v>277</v>
      </c>
      <c r="D4" s="29" t="s">
        <v>242</v>
      </c>
      <c r="E4" s="29" t="s">
        <v>234</v>
      </c>
      <c r="F4" s="29" t="s">
        <v>282</v>
      </c>
      <c r="G4" s="29" t="s">
        <v>236</v>
      </c>
      <c r="H4" s="29" t="s">
        <v>204</v>
      </c>
    </row>
    <row r="5" spans="2:8" x14ac:dyDescent="0.3">
      <c r="B5" s="46" t="s">
        <v>143</v>
      </c>
      <c r="C5" s="65">
        <v>500</v>
      </c>
      <c r="D5" s="99">
        <v>263.64</v>
      </c>
      <c r="E5" s="99">
        <v>75.010000000000005</v>
      </c>
      <c r="F5" s="99">
        <f>+Tabla202426781618[[#This Row],[Material Final Alquiler]]*Tabla202426781618[[#This Row],[Valor Unitario en €]]</f>
        <v>37505</v>
      </c>
      <c r="G5" s="99">
        <f>+Tabla202426781618[[#This Row],[Valor Total en €]]*H3</f>
        <v>61883250</v>
      </c>
      <c r="H5" s="99">
        <f>+Tabla202426781618[[#This Row],[Total Precio en Pesos]]*4%</f>
        <v>2475330</v>
      </c>
    </row>
    <row r="6" spans="2:8" x14ac:dyDescent="0.3">
      <c r="B6" s="46" t="s">
        <v>142</v>
      </c>
      <c r="C6" s="67">
        <v>1350</v>
      </c>
      <c r="D6" s="109"/>
      <c r="E6" s="110">
        <v>64.349999999999994</v>
      </c>
      <c r="F6" s="110">
        <f>+Tabla202426781618[[#This Row],[Material Final Alquiler]]*Tabla202426781618[[#This Row],[Valor Unitario en €]]</f>
        <v>86872.499999999985</v>
      </c>
      <c r="G6" s="99">
        <f>+Tabla202426781618[[#This Row],[Valor Total en €]]*H3</f>
        <v>143339624.99999997</v>
      </c>
      <c r="H6" s="99">
        <f>+Tabla202426781618[[#This Row],[Total Precio en Pesos]]*4%</f>
        <v>5733584.9999999991</v>
      </c>
    </row>
    <row r="7" spans="2:8" x14ac:dyDescent="0.3">
      <c r="B7" s="46" t="s">
        <v>52</v>
      </c>
      <c r="C7" s="67">
        <v>100</v>
      </c>
      <c r="D7" s="109"/>
      <c r="E7" s="110">
        <v>33.020000000000003</v>
      </c>
      <c r="F7" s="110">
        <f>+Tabla202426781618[[#This Row],[Material Final Alquiler]]*Tabla202426781618[[#This Row],[Valor Unitario en €]]</f>
        <v>3302.0000000000005</v>
      </c>
      <c r="G7" s="99">
        <f>+Tabla202426781618[[#This Row],[Valor Total en €]]*H3</f>
        <v>5448300.0000000009</v>
      </c>
      <c r="H7" s="99">
        <f>+Tabla202426781618[[#This Row],[Total Precio en Pesos]]*4%</f>
        <v>217932.00000000003</v>
      </c>
    </row>
    <row r="8" spans="2:8" x14ac:dyDescent="0.3">
      <c r="B8" s="46" t="s">
        <v>31</v>
      </c>
      <c r="C8" s="67">
        <v>100</v>
      </c>
      <c r="D8" s="109"/>
      <c r="E8" s="110">
        <v>148.19999999999999</v>
      </c>
      <c r="F8" s="110">
        <f>+Tabla202426781618[[#This Row],[Material Final Alquiler]]*Tabla202426781618[[#This Row],[Valor Unitario en €]]</f>
        <v>14819.999999999998</v>
      </c>
      <c r="G8" s="99">
        <f>+Tabla202426781618[[#This Row],[Valor Total en €]]*H3</f>
        <v>24452999.999999996</v>
      </c>
      <c r="H8" s="99">
        <f>+Tabla202426781618[[#This Row],[Total Precio en Pesos]]*4%</f>
        <v>978119.99999999988</v>
      </c>
    </row>
    <row r="9" spans="2:8" x14ac:dyDescent="0.3">
      <c r="B9" s="108" t="s">
        <v>281</v>
      </c>
      <c r="C9" s="67">
        <v>500</v>
      </c>
      <c r="D9" s="109"/>
      <c r="E9" s="110">
        <v>81.77</v>
      </c>
      <c r="F9" s="110">
        <f>+Tabla202426781618[[#This Row],[Material Final Alquiler]]*Tabla202426781618[[#This Row],[Valor Unitario en €]]</f>
        <v>40885</v>
      </c>
      <c r="G9" s="99">
        <f>+Tabla202426781618[[#This Row],[Valor Total en €]]*H3</f>
        <v>67460250</v>
      </c>
      <c r="H9" s="99">
        <f>+Tabla202426781618[[#This Row],[Total Precio en Pesos]]*4%</f>
        <v>2698410</v>
      </c>
    </row>
    <row r="10" spans="2:8" x14ac:dyDescent="0.3">
      <c r="B10" s="108" t="s">
        <v>280</v>
      </c>
      <c r="C10" s="67">
        <v>100</v>
      </c>
      <c r="D10" s="109"/>
      <c r="E10" s="110">
        <v>28.34</v>
      </c>
      <c r="F10" s="110">
        <f>+Tabla202426781618[[#This Row],[Material Final Alquiler]]*Tabla202426781618[[#This Row],[Valor Unitario en €]]</f>
        <v>2834</v>
      </c>
      <c r="G10" s="99">
        <f>+Tabla202426781618[[#This Row],[Valor Total en €]]*H3</f>
        <v>4676100</v>
      </c>
      <c r="H10" s="99">
        <f>+Tabla202426781618[[#This Row],[Total Precio en Pesos]]*4%</f>
        <v>187044</v>
      </c>
    </row>
    <row r="11" spans="2:8" x14ac:dyDescent="0.3">
      <c r="B11" s="108" t="s">
        <v>17</v>
      </c>
      <c r="C11" s="67">
        <v>100</v>
      </c>
      <c r="D11" s="109"/>
      <c r="E11" s="110">
        <v>19.89</v>
      </c>
      <c r="F11" s="110">
        <f>+Tabla202426781618[[#This Row],[Material Final Alquiler]]*Tabla202426781618[[#This Row],[Valor Unitario en €]]</f>
        <v>1989</v>
      </c>
      <c r="G11" s="99">
        <f>+Tabla202426781618[[#This Row],[Valor Total en €]]*H3</f>
        <v>3281850</v>
      </c>
      <c r="H11" s="99">
        <f>+Tabla202426781618[[#This Row],[Total Precio en Pesos]]*4%</f>
        <v>131274</v>
      </c>
    </row>
    <row r="12" spans="2:8" x14ac:dyDescent="0.3">
      <c r="B12" s="75"/>
      <c r="C12" s="76"/>
      <c r="D12" s="77"/>
      <c r="E12" s="77"/>
      <c r="F12" s="77"/>
      <c r="G12" s="136">
        <f>SUM(G5:G11)</f>
        <v>310542375</v>
      </c>
      <c r="H12" s="137">
        <f>SUBTOTAL(109,Tabla202426781618[Valor Alquiler 4%])</f>
        <v>12421695</v>
      </c>
    </row>
    <row r="13" spans="2:8" ht="15" thickBot="1" x14ac:dyDescent="0.35"/>
    <row r="14" spans="2:8" ht="15" thickBot="1" x14ac:dyDescent="0.35">
      <c r="F14" s="200" t="s">
        <v>283</v>
      </c>
      <c r="G14" s="201"/>
      <c r="H14" s="159">
        <f>+Tabla202426781618[[#Totals],[Valor Alquiler 4%]]</f>
        <v>12421695</v>
      </c>
    </row>
  </sheetData>
  <mergeCells count="3">
    <mergeCell ref="B2:H2"/>
    <mergeCell ref="B3:D3"/>
    <mergeCell ref="F14:G14"/>
  </mergeCells>
  <pageMargins left="0.11811023622047245" right="0.11811023622047245" top="0.78740157480314965" bottom="0.19685039370078741" header="0.31496062992125984" footer="0.31496062992125984"/>
  <pageSetup paperSize="9" scale="77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19"/>
  <sheetViews>
    <sheetView zoomScale="130" zoomScaleNormal="130" workbookViewId="0">
      <selection activeCell="B4" sqref="B4"/>
    </sheetView>
  </sheetViews>
  <sheetFormatPr baseColWidth="10" defaultRowHeight="14.4" x14ac:dyDescent="0.3"/>
  <cols>
    <col min="1" max="1" width="1.6640625" customWidth="1"/>
    <col min="2" max="2" width="30.5546875" style="2" customWidth="1"/>
    <col min="3" max="3" width="20.77734375" style="1" customWidth="1"/>
    <col min="4" max="4" width="20.77734375" hidden="1" customWidth="1"/>
    <col min="5" max="5" width="11.5546875" customWidth="1"/>
  </cols>
  <sheetData>
    <row r="1" spans="2:4" ht="30" customHeight="1" thickBot="1" x14ac:dyDescent="0.35">
      <c r="B1" s="189" t="s">
        <v>289</v>
      </c>
      <c r="C1" s="189"/>
      <c r="D1" s="189"/>
    </row>
    <row r="2" spans="2:4" ht="15" thickBot="1" x14ac:dyDescent="0.35">
      <c r="B2" s="184" t="s">
        <v>290</v>
      </c>
      <c r="C2" s="185"/>
      <c r="D2" s="186"/>
    </row>
    <row r="3" spans="2:4" ht="30" customHeight="1" x14ac:dyDescent="0.3">
      <c r="B3" s="44" t="s">
        <v>0</v>
      </c>
      <c r="C3" s="43" t="s">
        <v>301</v>
      </c>
      <c r="D3" s="29" t="s">
        <v>242</v>
      </c>
    </row>
    <row r="4" spans="2:4" x14ac:dyDescent="0.3">
      <c r="B4" s="46" t="s">
        <v>143</v>
      </c>
      <c r="C4" s="65">
        <v>300</v>
      </c>
      <c r="D4" s="99">
        <v>263.64</v>
      </c>
    </row>
    <row r="5" spans="2:4" x14ac:dyDescent="0.3">
      <c r="B5" s="46" t="s">
        <v>142</v>
      </c>
      <c r="C5" s="67">
        <v>700</v>
      </c>
      <c r="D5" s="109"/>
    </row>
    <row r="6" spans="2:4" x14ac:dyDescent="0.3">
      <c r="B6" s="46" t="s">
        <v>294</v>
      </c>
      <c r="C6" s="65">
        <v>150</v>
      </c>
      <c r="D6" s="123"/>
    </row>
    <row r="7" spans="2:4" x14ac:dyDescent="0.3">
      <c r="B7" s="46" t="s">
        <v>52</v>
      </c>
      <c r="C7" s="67">
        <v>100</v>
      </c>
      <c r="D7" s="109"/>
    </row>
    <row r="8" spans="2:4" x14ac:dyDescent="0.3">
      <c r="B8" s="46" t="s">
        <v>295</v>
      </c>
      <c r="C8" s="65">
        <v>100</v>
      </c>
      <c r="D8" s="123"/>
    </row>
    <row r="9" spans="2:4" x14ac:dyDescent="0.3">
      <c r="B9" s="108" t="s">
        <v>281</v>
      </c>
      <c r="C9" s="67">
        <v>400</v>
      </c>
      <c r="D9" s="109"/>
    </row>
    <row r="10" spans="2:4" x14ac:dyDescent="0.3">
      <c r="B10" s="46" t="s">
        <v>296</v>
      </c>
      <c r="C10" s="65">
        <v>100</v>
      </c>
      <c r="D10" s="123"/>
    </row>
    <row r="11" spans="2:4" x14ac:dyDescent="0.3">
      <c r="B11" s="46" t="s">
        <v>297</v>
      </c>
      <c r="C11" s="65">
        <v>100</v>
      </c>
      <c r="D11" s="123"/>
    </row>
    <row r="12" spans="2:4" x14ac:dyDescent="0.3">
      <c r="B12" s="46" t="s">
        <v>298</v>
      </c>
      <c r="C12" s="65">
        <v>100</v>
      </c>
      <c r="D12" s="123"/>
    </row>
    <row r="13" spans="2:4" x14ac:dyDescent="0.3">
      <c r="B13" s="108" t="s">
        <v>280</v>
      </c>
      <c r="C13" s="67">
        <v>100</v>
      </c>
      <c r="D13" s="109"/>
    </row>
    <row r="14" spans="2:4" x14ac:dyDescent="0.3">
      <c r="B14" s="108" t="s">
        <v>17</v>
      </c>
      <c r="C14" s="67">
        <v>100</v>
      </c>
      <c r="D14" s="109"/>
    </row>
    <row r="15" spans="2:4" x14ac:dyDescent="0.3">
      <c r="B15" s="46" t="s">
        <v>291</v>
      </c>
      <c r="C15" s="65">
        <v>350</v>
      </c>
      <c r="D15" s="123"/>
    </row>
    <row r="16" spans="2:4" x14ac:dyDescent="0.3">
      <c r="B16" s="46" t="s">
        <v>292</v>
      </c>
      <c r="C16" s="65">
        <v>150</v>
      </c>
      <c r="D16" s="123"/>
    </row>
    <row r="17" spans="2:4" x14ac:dyDescent="0.3">
      <c r="B17" s="46" t="s">
        <v>293</v>
      </c>
      <c r="C17" s="65">
        <v>700</v>
      </c>
      <c r="D17" s="123"/>
    </row>
    <row r="18" spans="2:4" x14ac:dyDescent="0.3">
      <c r="B18" s="46" t="s">
        <v>299</v>
      </c>
      <c r="C18" s="65">
        <v>30</v>
      </c>
      <c r="D18" s="123"/>
    </row>
    <row r="19" spans="2:4" x14ac:dyDescent="0.3">
      <c r="B19" s="46" t="s">
        <v>300</v>
      </c>
      <c r="C19" s="65">
        <v>40</v>
      </c>
      <c r="D19" s="123"/>
    </row>
  </sheetData>
  <mergeCells count="2">
    <mergeCell ref="B2:D2"/>
    <mergeCell ref="B1:D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30"/>
  <sheetViews>
    <sheetView topLeftCell="A10" zoomScale="130" zoomScaleNormal="130" workbookViewId="0">
      <selection activeCell="B1" sqref="B1:E30"/>
    </sheetView>
  </sheetViews>
  <sheetFormatPr baseColWidth="10" defaultRowHeight="14.4" x14ac:dyDescent="0.3"/>
  <cols>
    <col min="1" max="1" width="1.6640625" customWidth="1"/>
    <col min="2" max="2" width="33.21875" style="2" bestFit="1" customWidth="1"/>
    <col min="3" max="3" width="12.109375" style="2" bestFit="1" customWidth="1"/>
    <col min="4" max="4" width="20.77734375" style="1" customWidth="1"/>
    <col min="5" max="5" width="20.77734375" hidden="1" customWidth="1"/>
    <col min="6" max="6" width="11.5546875" customWidth="1"/>
  </cols>
  <sheetData>
    <row r="1" spans="2:5" ht="30" customHeight="1" thickBot="1" x14ac:dyDescent="0.35">
      <c r="B1" s="189" t="s">
        <v>289</v>
      </c>
      <c r="C1" s="189"/>
      <c r="D1" s="189"/>
      <c r="E1" s="189"/>
    </row>
    <row r="2" spans="2:5" ht="15" thickBot="1" x14ac:dyDescent="0.35">
      <c r="B2" s="184" t="s">
        <v>290</v>
      </c>
      <c r="C2" s="185"/>
      <c r="D2" s="185"/>
      <c r="E2" s="186"/>
    </row>
    <row r="3" spans="2:5" ht="30" customHeight="1" x14ac:dyDescent="0.3">
      <c r="B3" s="44" t="s">
        <v>0</v>
      </c>
      <c r="C3" s="44" t="s">
        <v>302</v>
      </c>
      <c r="D3" s="43" t="s">
        <v>301</v>
      </c>
      <c r="E3" s="29" t="s">
        <v>242</v>
      </c>
    </row>
    <row r="4" spans="2:5" x14ac:dyDescent="0.3">
      <c r="B4" s="46" t="s">
        <v>303</v>
      </c>
      <c r="C4" s="162">
        <v>2601073</v>
      </c>
      <c r="D4" s="164">
        <v>100</v>
      </c>
      <c r="E4" s="99">
        <v>263.64</v>
      </c>
    </row>
    <row r="5" spans="2:5" x14ac:dyDescent="0.3">
      <c r="B5" s="46" t="s">
        <v>304</v>
      </c>
      <c r="C5" s="162">
        <v>2601109</v>
      </c>
      <c r="D5" s="165">
        <v>150</v>
      </c>
      <c r="E5" s="109"/>
    </row>
    <row r="6" spans="2:5" x14ac:dyDescent="0.3">
      <c r="B6" s="46" t="s">
        <v>305</v>
      </c>
      <c r="C6" s="162">
        <v>2601257</v>
      </c>
      <c r="D6" s="164">
        <v>700</v>
      </c>
      <c r="E6" s="123"/>
    </row>
    <row r="7" spans="2:5" x14ac:dyDescent="0.3">
      <c r="B7" s="46" t="s">
        <v>306</v>
      </c>
      <c r="C7" s="162">
        <v>2602000</v>
      </c>
      <c r="D7" s="165">
        <v>100</v>
      </c>
      <c r="E7" s="109"/>
    </row>
    <row r="8" spans="2:5" x14ac:dyDescent="0.3">
      <c r="B8" s="46" t="s">
        <v>307</v>
      </c>
      <c r="C8" s="162">
        <v>2602022</v>
      </c>
      <c r="D8" s="164">
        <v>40</v>
      </c>
      <c r="E8" s="123"/>
    </row>
    <row r="9" spans="2:5" x14ac:dyDescent="0.3">
      <c r="B9" s="108" t="s">
        <v>308</v>
      </c>
      <c r="C9" s="163">
        <v>2617200</v>
      </c>
      <c r="D9" s="165">
        <v>300</v>
      </c>
      <c r="E9" s="109"/>
    </row>
    <row r="10" spans="2:5" x14ac:dyDescent="0.3">
      <c r="B10" s="46" t="s">
        <v>309</v>
      </c>
      <c r="C10" s="162">
        <v>2629000</v>
      </c>
      <c r="D10" s="164">
        <v>30</v>
      </c>
      <c r="E10" s="123"/>
    </row>
    <row r="11" spans="2:5" x14ac:dyDescent="0.3">
      <c r="B11" s="46" t="s">
        <v>310</v>
      </c>
      <c r="C11" s="162">
        <v>2678257</v>
      </c>
      <c r="D11" s="164">
        <v>100</v>
      </c>
      <c r="E11" s="123"/>
    </row>
    <row r="12" spans="2:5" x14ac:dyDescent="0.3">
      <c r="B12" s="46" t="s">
        <v>311</v>
      </c>
      <c r="C12" s="162">
        <v>2681257</v>
      </c>
      <c r="D12" s="164">
        <v>100</v>
      </c>
      <c r="E12" s="123"/>
    </row>
    <row r="13" spans="2:5" x14ac:dyDescent="0.3">
      <c r="B13" s="108" t="s">
        <v>312</v>
      </c>
      <c r="C13" s="163">
        <v>2682257</v>
      </c>
      <c r="D13" s="165">
        <v>100</v>
      </c>
      <c r="E13" s="109"/>
    </row>
    <row r="14" spans="2:5" x14ac:dyDescent="0.3">
      <c r="B14" s="108" t="s">
        <v>313</v>
      </c>
      <c r="C14" s="163">
        <v>2683073</v>
      </c>
      <c r="D14" s="165">
        <v>100</v>
      </c>
      <c r="E14" s="109"/>
    </row>
    <row r="15" spans="2:5" x14ac:dyDescent="0.3">
      <c r="B15" s="46" t="s">
        <v>314</v>
      </c>
      <c r="C15" s="162">
        <v>2683257</v>
      </c>
      <c r="D15" s="164">
        <v>300</v>
      </c>
      <c r="E15" s="123"/>
    </row>
    <row r="16" spans="2:5" x14ac:dyDescent="0.3">
      <c r="B16" s="46" t="s">
        <v>315</v>
      </c>
      <c r="C16" s="162">
        <v>4001060</v>
      </c>
      <c r="D16" s="164">
        <v>100</v>
      </c>
      <c r="E16" s="123"/>
    </row>
    <row r="17" spans="2:5" x14ac:dyDescent="0.3">
      <c r="B17" s="46" t="s">
        <v>316</v>
      </c>
      <c r="C17" s="162">
        <v>4905002</v>
      </c>
      <c r="D17" s="164">
        <v>36</v>
      </c>
      <c r="E17" s="123"/>
    </row>
    <row r="18" spans="2:5" x14ac:dyDescent="0.3">
      <c r="B18" s="46" t="s">
        <v>317</v>
      </c>
      <c r="C18" s="162">
        <v>5400070</v>
      </c>
      <c r="D18" s="164">
        <v>200</v>
      </c>
      <c r="E18" s="123"/>
    </row>
    <row r="19" spans="2:5" x14ac:dyDescent="0.3">
      <c r="B19" s="46" t="s">
        <v>318</v>
      </c>
      <c r="C19" s="162">
        <v>5402234</v>
      </c>
      <c r="D19" s="164">
        <v>400</v>
      </c>
      <c r="E19" s="123"/>
    </row>
    <row r="20" spans="2:5" x14ac:dyDescent="0.3">
      <c r="B20" s="46" t="s">
        <v>319</v>
      </c>
      <c r="C20" s="162">
        <v>5403521</v>
      </c>
      <c r="D20" s="164">
        <v>700</v>
      </c>
      <c r="E20" s="123"/>
    </row>
    <row r="21" spans="2:5" x14ac:dyDescent="0.3">
      <c r="B21" s="46" t="s">
        <v>325</v>
      </c>
      <c r="C21" s="162">
        <v>1753257</v>
      </c>
      <c r="D21" s="164">
        <v>10</v>
      </c>
      <c r="E21" s="123"/>
    </row>
    <row r="22" spans="2:5" x14ac:dyDescent="0.3">
      <c r="B22" s="46" t="s">
        <v>320</v>
      </c>
      <c r="C22" s="162">
        <v>5902200</v>
      </c>
      <c r="D22" s="164">
        <v>12</v>
      </c>
      <c r="E22" s="123"/>
    </row>
    <row r="23" spans="2:5" x14ac:dyDescent="0.3">
      <c r="B23" s="46" t="s">
        <v>321</v>
      </c>
      <c r="C23" s="162">
        <v>5903002</v>
      </c>
      <c r="D23" s="164">
        <v>12</v>
      </c>
      <c r="E23" s="123"/>
    </row>
    <row r="24" spans="2:5" x14ac:dyDescent="0.3">
      <c r="B24" s="46" t="s">
        <v>322</v>
      </c>
      <c r="C24" s="162">
        <v>5905002</v>
      </c>
      <c r="D24" s="164">
        <v>12</v>
      </c>
      <c r="E24" s="123"/>
    </row>
    <row r="25" spans="2:5" x14ac:dyDescent="0.3">
      <c r="B25" s="46" t="s">
        <v>323</v>
      </c>
      <c r="C25" s="162">
        <v>5906079</v>
      </c>
      <c r="D25" s="164">
        <v>24</v>
      </c>
      <c r="E25" s="123"/>
    </row>
    <row r="26" spans="2:5" x14ac:dyDescent="0.3">
      <c r="B26" s="46" t="s">
        <v>324</v>
      </c>
      <c r="C26" s="162">
        <v>5906109</v>
      </c>
      <c r="D26" s="164">
        <v>12</v>
      </c>
      <c r="E26" s="123"/>
    </row>
    <row r="27" spans="2:5" x14ac:dyDescent="0.3">
      <c r="B27" s="75" t="s">
        <v>326</v>
      </c>
      <c r="C27" s="166">
        <v>3862257</v>
      </c>
      <c r="D27" s="167">
        <v>20</v>
      </c>
      <c r="E27" s="168"/>
    </row>
    <row r="28" spans="2:5" x14ac:dyDescent="0.3">
      <c r="B28" s="75" t="s">
        <v>327</v>
      </c>
      <c r="C28" s="166">
        <v>3862073</v>
      </c>
      <c r="D28" s="167">
        <v>10</v>
      </c>
      <c r="E28" s="168"/>
    </row>
    <row r="29" spans="2:5" x14ac:dyDescent="0.3">
      <c r="B29" s="75" t="s">
        <v>328</v>
      </c>
      <c r="C29" s="166">
        <v>3862109</v>
      </c>
      <c r="D29" s="167">
        <v>10</v>
      </c>
      <c r="E29" s="168"/>
    </row>
    <row r="30" spans="2:5" x14ac:dyDescent="0.3">
      <c r="B30" s="75" t="s">
        <v>329</v>
      </c>
      <c r="C30" s="166">
        <v>3862157</v>
      </c>
      <c r="D30" s="167">
        <v>10</v>
      </c>
      <c r="E30" s="168"/>
    </row>
  </sheetData>
  <mergeCells count="2">
    <mergeCell ref="B1:E1"/>
    <mergeCell ref="B2:E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4"/>
  <sheetViews>
    <sheetView zoomScale="130" zoomScaleNormal="130" workbookViewId="0">
      <selection activeCell="G19" sqref="G19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0.77734375" style="1" customWidth="1"/>
    <col min="4" max="4" width="20.77734375" hidden="1" customWidth="1"/>
    <col min="5" max="7" width="20.77734375" customWidth="1"/>
    <col min="8" max="8" width="20.77734375" style="16" customWidth="1"/>
    <col min="9" max="9" width="11.5546875" customWidth="1"/>
  </cols>
  <sheetData>
    <row r="1" spans="2:8" ht="15" thickBot="1" x14ac:dyDescent="0.35"/>
    <row r="2" spans="2:8" ht="15" customHeight="1" thickBot="1" x14ac:dyDescent="0.35">
      <c r="B2" s="178" t="s">
        <v>330</v>
      </c>
      <c r="C2" s="179"/>
      <c r="D2" s="179"/>
      <c r="E2" s="179"/>
      <c r="F2" s="179"/>
      <c r="G2" s="179"/>
      <c r="H2" s="180"/>
    </row>
    <row r="3" spans="2:8" ht="15" thickBot="1" x14ac:dyDescent="0.35">
      <c r="B3" s="184" t="s">
        <v>191</v>
      </c>
      <c r="C3" s="185"/>
      <c r="D3" s="186"/>
      <c r="E3" s="161"/>
      <c r="F3" s="161"/>
      <c r="G3" s="160" t="s">
        <v>331</v>
      </c>
      <c r="H3" s="98">
        <v>1750</v>
      </c>
    </row>
    <row r="4" spans="2:8" ht="30" customHeight="1" x14ac:dyDescent="0.3">
      <c r="B4" s="44" t="s">
        <v>0</v>
      </c>
      <c r="C4" s="43" t="s">
        <v>277</v>
      </c>
      <c r="D4" s="29" t="s">
        <v>242</v>
      </c>
      <c r="E4" s="29" t="s">
        <v>234</v>
      </c>
      <c r="F4" s="29" t="s">
        <v>282</v>
      </c>
      <c r="G4" s="29" t="s">
        <v>236</v>
      </c>
      <c r="H4" s="29" t="s">
        <v>204</v>
      </c>
    </row>
    <row r="5" spans="2:8" x14ac:dyDescent="0.3">
      <c r="B5" s="46" t="s">
        <v>143</v>
      </c>
      <c r="C5" s="65">
        <v>750</v>
      </c>
      <c r="D5" s="99">
        <v>263.64</v>
      </c>
      <c r="E5" s="99">
        <v>75.010000000000005</v>
      </c>
      <c r="F5" s="99">
        <f>+Tabla20242678161822[[#This Row],[Material Final Alquiler]]*Tabla20242678161822[[#This Row],[Valor Unitario en €]]</f>
        <v>56257.500000000007</v>
      </c>
      <c r="G5" s="99">
        <f>+Tabla20242678161822[[#This Row],[Valor Total en €]]*H3</f>
        <v>98450625.000000015</v>
      </c>
      <c r="H5" s="99">
        <f>+Tabla20242678161822[[#This Row],[Total Precio en Pesos]]*4%</f>
        <v>3938025.0000000005</v>
      </c>
    </row>
    <row r="6" spans="2:8" x14ac:dyDescent="0.3">
      <c r="B6" s="46" t="s">
        <v>142</v>
      </c>
      <c r="C6" s="67">
        <v>1500</v>
      </c>
      <c r="D6" s="109"/>
      <c r="E6" s="110">
        <v>64.349999999999994</v>
      </c>
      <c r="F6" s="110">
        <f>+Tabla20242678161822[[#This Row],[Material Final Alquiler]]*Tabla20242678161822[[#This Row],[Valor Unitario en €]]</f>
        <v>96524.999999999985</v>
      </c>
      <c r="G6" s="99">
        <f>+Tabla20242678161822[[#This Row],[Valor Total en €]]*H3</f>
        <v>168918749.99999997</v>
      </c>
      <c r="H6" s="99">
        <f>+Tabla20242678161822[[#This Row],[Total Precio en Pesos]]*4%</f>
        <v>6756749.9999999991</v>
      </c>
    </row>
    <row r="7" spans="2:8" x14ac:dyDescent="0.3">
      <c r="B7" s="46" t="s">
        <v>52</v>
      </c>
      <c r="C7" s="67">
        <v>100</v>
      </c>
      <c r="D7" s="109"/>
      <c r="E7" s="110">
        <v>33.020000000000003</v>
      </c>
      <c r="F7" s="110">
        <f>+Tabla20242678161822[[#This Row],[Material Final Alquiler]]*Tabla20242678161822[[#This Row],[Valor Unitario en €]]</f>
        <v>3302.0000000000005</v>
      </c>
      <c r="G7" s="99">
        <f>+Tabla20242678161822[[#This Row],[Valor Total en €]]*H3</f>
        <v>5778500.0000000009</v>
      </c>
      <c r="H7" s="99">
        <f>+Tabla20242678161822[[#This Row],[Total Precio en Pesos]]*4%</f>
        <v>231140.00000000003</v>
      </c>
    </row>
    <row r="8" spans="2:8" x14ac:dyDescent="0.3">
      <c r="B8" s="46" t="s">
        <v>31</v>
      </c>
      <c r="C8" s="67">
        <v>200</v>
      </c>
      <c r="D8" s="109"/>
      <c r="E8" s="110">
        <v>148.19999999999999</v>
      </c>
      <c r="F8" s="110">
        <f>+Tabla20242678161822[[#This Row],[Material Final Alquiler]]*Tabla20242678161822[[#This Row],[Valor Unitario en €]]</f>
        <v>29639.999999999996</v>
      </c>
      <c r="G8" s="99">
        <f>+Tabla20242678161822[[#This Row],[Valor Total en €]]*H3</f>
        <v>51869999.999999993</v>
      </c>
      <c r="H8" s="99">
        <f>+Tabla20242678161822[[#This Row],[Total Precio en Pesos]]*4%</f>
        <v>2074799.9999999998</v>
      </c>
    </row>
    <row r="9" spans="2:8" x14ac:dyDescent="0.3">
      <c r="B9" s="108" t="s">
        <v>281</v>
      </c>
      <c r="C9" s="67">
        <v>750</v>
      </c>
      <c r="D9" s="109"/>
      <c r="E9" s="110">
        <v>81.77</v>
      </c>
      <c r="F9" s="110">
        <f>+Tabla20242678161822[[#This Row],[Material Final Alquiler]]*Tabla20242678161822[[#This Row],[Valor Unitario en €]]</f>
        <v>61327.5</v>
      </c>
      <c r="G9" s="99">
        <f>+Tabla20242678161822[[#This Row],[Valor Total en €]]*H3</f>
        <v>107323125</v>
      </c>
      <c r="H9" s="99">
        <f>+Tabla20242678161822[[#This Row],[Total Precio en Pesos]]*4%</f>
        <v>4292925</v>
      </c>
    </row>
    <row r="10" spans="2:8" x14ac:dyDescent="0.3">
      <c r="B10" s="108" t="s">
        <v>280</v>
      </c>
      <c r="C10" s="67">
        <v>200</v>
      </c>
      <c r="D10" s="109"/>
      <c r="E10" s="110">
        <v>28.34</v>
      </c>
      <c r="F10" s="110">
        <f>+Tabla20242678161822[[#This Row],[Material Final Alquiler]]*Tabla20242678161822[[#This Row],[Valor Unitario en €]]</f>
        <v>5668</v>
      </c>
      <c r="G10" s="99">
        <f>+Tabla20242678161822[[#This Row],[Valor Total en €]]*H3</f>
        <v>9919000</v>
      </c>
      <c r="H10" s="99">
        <f>+Tabla20242678161822[[#This Row],[Total Precio en Pesos]]*4%</f>
        <v>396760</v>
      </c>
    </row>
    <row r="11" spans="2:8" x14ac:dyDescent="0.3">
      <c r="B11" s="108" t="s">
        <v>17</v>
      </c>
      <c r="C11" s="67">
        <v>200</v>
      </c>
      <c r="D11" s="109"/>
      <c r="E11" s="110">
        <v>19.89</v>
      </c>
      <c r="F11" s="110">
        <f>+Tabla20242678161822[[#This Row],[Material Final Alquiler]]*Tabla20242678161822[[#This Row],[Valor Unitario en €]]</f>
        <v>3978</v>
      </c>
      <c r="G11" s="99">
        <f>+Tabla20242678161822[[#This Row],[Valor Total en €]]*H3</f>
        <v>6961500</v>
      </c>
      <c r="H11" s="99">
        <f>+Tabla20242678161822[[#This Row],[Total Precio en Pesos]]*4%</f>
        <v>278460</v>
      </c>
    </row>
    <row r="12" spans="2:8" x14ac:dyDescent="0.3">
      <c r="B12" s="75"/>
      <c r="C12" s="76"/>
      <c r="D12" s="77"/>
      <c r="E12" s="77"/>
      <c r="F12" s="77"/>
      <c r="G12" s="136">
        <f>SUM(G5:G11)</f>
        <v>449221500</v>
      </c>
      <c r="H12" s="137">
        <f>SUBTOTAL(109,Tabla20242678161822[Valor Alquiler 4%])</f>
        <v>17968860</v>
      </c>
    </row>
    <row r="13" spans="2:8" ht="15" thickBot="1" x14ac:dyDescent="0.35"/>
    <row r="14" spans="2:8" ht="15" thickBot="1" x14ac:dyDescent="0.35">
      <c r="F14" s="200" t="s">
        <v>283</v>
      </c>
      <c r="G14" s="201"/>
      <c r="H14" s="159">
        <f>+Tabla20242678161822[[#Totals],[Valor Alquiler 4%]]</f>
        <v>17968860</v>
      </c>
    </row>
  </sheetData>
  <mergeCells count="3">
    <mergeCell ref="B2:H2"/>
    <mergeCell ref="B3:D3"/>
    <mergeCell ref="F14:G14"/>
  </mergeCells>
  <pageMargins left="0.11811023622047245" right="0.11811023622047245" top="0.78740157480314965" bottom="0.19685039370078741" header="0.31496062992125984" footer="0.31496062992125984"/>
  <pageSetup paperSize="9" scale="77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4"/>
  <sheetViews>
    <sheetView zoomScale="130" zoomScaleNormal="130" workbookViewId="0">
      <selection activeCell="B1" sqref="B1:H14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0.77734375" style="1" customWidth="1"/>
    <col min="4" max="4" width="20.77734375" hidden="1" customWidth="1"/>
    <col min="5" max="7" width="20.77734375" customWidth="1"/>
    <col min="8" max="8" width="20.77734375" style="16" customWidth="1"/>
    <col min="9" max="9" width="11.5546875" customWidth="1"/>
  </cols>
  <sheetData>
    <row r="1" spans="2:8" ht="15" thickBot="1" x14ac:dyDescent="0.35"/>
    <row r="2" spans="2:8" ht="15" customHeight="1" thickBot="1" x14ac:dyDescent="0.35">
      <c r="B2" s="178" t="s">
        <v>330</v>
      </c>
      <c r="C2" s="179"/>
      <c r="D2" s="179"/>
      <c r="E2" s="179"/>
      <c r="F2" s="179"/>
      <c r="G2" s="179"/>
      <c r="H2" s="180"/>
    </row>
    <row r="3" spans="2:8" ht="15" thickBot="1" x14ac:dyDescent="0.35">
      <c r="B3" s="184" t="s">
        <v>191</v>
      </c>
      <c r="C3" s="185"/>
      <c r="D3" s="186"/>
      <c r="E3" s="161"/>
      <c r="F3" s="161"/>
      <c r="G3" s="160" t="s">
        <v>331</v>
      </c>
      <c r="H3" s="98">
        <v>1750</v>
      </c>
    </row>
    <row r="4" spans="2:8" ht="30" customHeight="1" x14ac:dyDescent="0.3">
      <c r="B4" s="44" t="s">
        <v>0</v>
      </c>
      <c r="C4" s="43" t="s">
        <v>277</v>
      </c>
      <c r="D4" s="29" t="s">
        <v>242</v>
      </c>
      <c r="E4" s="29" t="s">
        <v>234</v>
      </c>
      <c r="F4" s="29" t="s">
        <v>282</v>
      </c>
      <c r="G4" s="29" t="s">
        <v>236</v>
      </c>
      <c r="H4" s="29" t="s">
        <v>332</v>
      </c>
    </row>
    <row r="5" spans="2:8" x14ac:dyDescent="0.3">
      <c r="B5" s="46" t="s">
        <v>143</v>
      </c>
      <c r="C5" s="65">
        <v>750</v>
      </c>
      <c r="D5" s="99">
        <v>263.64</v>
      </c>
      <c r="E5" s="99">
        <v>75.010000000000005</v>
      </c>
      <c r="F5" s="99">
        <f>+Tabla2024267816182224[[#This Row],[Material Final Alquiler]]*Tabla2024267816182224[[#This Row],[Valor Unitario en €]]</f>
        <v>56257.500000000007</v>
      </c>
      <c r="G5" s="99">
        <f>+Tabla2024267816182224[[#This Row],[Valor Total en €]]*H3</f>
        <v>98450625.000000015</v>
      </c>
      <c r="H5" s="99">
        <f>+Tabla2024267816182224[[#This Row],[Total Precio en Pesos]]*3%</f>
        <v>2953518.7500000005</v>
      </c>
    </row>
    <row r="6" spans="2:8" x14ac:dyDescent="0.3">
      <c r="B6" s="46" t="s">
        <v>142</v>
      </c>
      <c r="C6" s="67">
        <v>1500</v>
      </c>
      <c r="D6" s="109"/>
      <c r="E6" s="110">
        <v>64.349999999999994</v>
      </c>
      <c r="F6" s="110">
        <f>+Tabla2024267816182224[[#This Row],[Material Final Alquiler]]*Tabla2024267816182224[[#This Row],[Valor Unitario en €]]</f>
        <v>96524.999999999985</v>
      </c>
      <c r="G6" s="99">
        <f>+Tabla2024267816182224[[#This Row],[Valor Total en €]]*H3</f>
        <v>168918749.99999997</v>
      </c>
      <c r="H6" s="99">
        <f>+Tabla2024267816182224[[#This Row],[Total Precio en Pesos]]*3%</f>
        <v>5067562.4999999991</v>
      </c>
    </row>
    <row r="7" spans="2:8" x14ac:dyDescent="0.3">
      <c r="B7" s="46" t="s">
        <v>52</v>
      </c>
      <c r="C7" s="67">
        <v>100</v>
      </c>
      <c r="D7" s="109"/>
      <c r="E7" s="110">
        <v>33.020000000000003</v>
      </c>
      <c r="F7" s="110">
        <f>+Tabla2024267816182224[[#This Row],[Material Final Alquiler]]*Tabla2024267816182224[[#This Row],[Valor Unitario en €]]</f>
        <v>3302.0000000000005</v>
      </c>
      <c r="G7" s="99">
        <f>+Tabla2024267816182224[[#This Row],[Valor Total en €]]*H3</f>
        <v>5778500.0000000009</v>
      </c>
      <c r="H7" s="99">
        <f>+Tabla2024267816182224[[#This Row],[Total Precio en Pesos]]*3%</f>
        <v>173355.00000000003</v>
      </c>
    </row>
    <row r="8" spans="2:8" x14ac:dyDescent="0.3">
      <c r="B8" s="46" t="s">
        <v>31</v>
      </c>
      <c r="C8" s="67">
        <v>200</v>
      </c>
      <c r="D8" s="109"/>
      <c r="E8" s="110">
        <v>148.19999999999999</v>
      </c>
      <c r="F8" s="110">
        <f>+Tabla2024267816182224[[#This Row],[Material Final Alquiler]]*Tabla2024267816182224[[#This Row],[Valor Unitario en €]]</f>
        <v>29639.999999999996</v>
      </c>
      <c r="G8" s="99">
        <f>+Tabla2024267816182224[[#This Row],[Valor Total en €]]*H3</f>
        <v>51869999.999999993</v>
      </c>
      <c r="H8" s="99">
        <f>+Tabla2024267816182224[[#This Row],[Total Precio en Pesos]]*3%</f>
        <v>1556099.9999999998</v>
      </c>
    </row>
    <row r="9" spans="2:8" x14ac:dyDescent="0.3">
      <c r="B9" s="108" t="s">
        <v>281</v>
      </c>
      <c r="C9" s="67">
        <v>750</v>
      </c>
      <c r="D9" s="109"/>
      <c r="E9" s="110">
        <v>81.77</v>
      </c>
      <c r="F9" s="110">
        <f>+Tabla2024267816182224[[#This Row],[Material Final Alquiler]]*Tabla2024267816182224[[#This Row],[Valor Unitario en €]]</f>
        <v>61327.5</v>
      </c>
      <c r="G9" s="99">
        <f>+Tabla2024267816182224[[#This Row],[Valor Total en €]]*H3</f>
        <v>107323125</v>
      </c>
      <c r="H9" s="99">
        <f>+Tabla2024267816182224[[#This Row],[Total Precio en Pesos]]*3%</f>
        <v>3219693.75</v>
      </c>
    </row>
    <row r="10" spans="2:8" x14ac:dyDescent="0.3">
      <c r="B10" s="108" t="s">
        <v>280</v>
      </c>
      <c r="C10" s="67">
        <v>200</v>
      </c>
      <c r="D10" s="109"/>
      <c r="E10" s="110">
        <v>28.34</v>
      </c>
      <c r="F10" s="110">
        <f>+Tabla2024267816182224[[#This Row],[Material Final Alquiler]]*Tabla2024267816182224[[#This Row],[Valor Unitario en €]]</f>
        <v>5668</v>
      </c>
      <c r="G10" s="99">
        <f>+Tabla2024267816182224[[#This Row],[Valor Total en €]]*H3</f>
        <v>9919000</v>
      </c>
      <c r="H10" s="99">
        <f>+Tabla2024267816182224[[#This Row],[Total Precio en Pesos]]*3%</f>
        <v>297570</v>
      </c>
    </row>
    <row r="11" spans="2:8" x14ac:dyDescent="0.3">
      <c r="B11" s="108" t="s">
        <v>17</v>
      </c>
      <c r="C11" s="67">
        <v>200</v>
      </c>
      <c r="D11" s="109"/>
      <c r="E11" s="110">
        <v>19.89</v>
      </c>
      <c r="F11" s="110">
        <f>+Tabla2024267816182224[[#This Row],[Material Final Alquiler]]*Tabla2024267816182224[[#This Row],[Valor Unitario en €]]</f>
        <v>3978</v>
      </c>
      <c r="G11" s="99">
        <f>+Tabla2024267816182224[[#This Row],[Valor Total en €]]*H3</f>
        <v>6961500</v>
      </c>
      <c r="H11" s="99">
        <f>+Tabla2024267816182224[[#This Row],[Total Precio en Pesos]]*3%</f>
        <v>208845</v>
      </c>
    </row>
    <row r="12" spans="2:8" x14ac:dyDescent="0.3">
      <c r="B12" s="75"/>
      <c r="C12" s="76"/>
      <c r="D12" s="77"/>
      <c r="E12" s="77"/>
      <c r="F12" s="77"/>
      <c r="G12" s="136">
        <f>SUM(G5:G11)</f>
        <v>449221500</v>
      </c>
      <c r="H12" s="137">
        <f>SUBTOTAL(109,Tabla2024267816182224[Valor Alquiler 3%])</f>
        <v>13476645</v>
      </c>
    </row>
    <row r="13" spans="2:8" ht="15" thickBot="1" x14ac:dyDescent="0.35"/>
    <row r="14" spans="2:8" ht="15" thickBot="1" x14ac:dyDescent="0.35">
      <c r="F14" s="200" t="s">
        <v>283</v>
      </c>
      <c r="G14" s="201"/>
      <c r="H14" s="159">
        <f>+Tabla2024267816182224[[#Totals],[Valor Alquiler 3%]]</f>
        <v>13476645</v>
      </c>
    </row>
  </sheetData>
  <mergeCells count="3">
    <mergeCell ref="B2:H2"/>
    <mergeCell ref="B3:D3"/>
    <mergeCell ref="F14:G14"/>
  </mergeCells>
  <pageMargins left="0.11811023622047245" right="0.11811023622047245" top="0.78740157480314965" bottom="0.19685039370078741" header="0.31496062992125984" footer="0.31496062992125984"/>
  <pageSetup paperSize="9" scale="77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4"/>
  <sheetViews>
    <sheetView tabSelected="1" zoomScale="130" zoomScaleNormal="130" workbookViewId="0">
      <selection activeCell="B1" sqref="B1:H14"/>
    </sheetView>
  </sheetViews>
  <sheetFormatPr baseColWidth="10" defaultRowHeight="14.4" x14ac:dyDescent="0.3"/>
  <cols>
    <col min="1" max="1" width="1.6640625" customWidth="1"/>
    <col min="2" max="2" width="25.77734375" style="2" customWidth="1"/>
    <col min="3" max="3" width="20.77734375" style="1" customWidth="1"/>
    <col min="4" max="4" width="20.77734375" hidden="1" customWidth="1"/>
    <col min="5" max="7" width="20.77734375" customWidth="1"/>
    <col min="8" max="8" width="20.77734375" style="16" customWidth="1"/>
    <col min="9" max="9" width="11.5546875" customWidth="1"/>
  </cols>
  <sheetData>
    <row r="1" spans="2:8" ht="15" thickBot="1" x14ac:dyDescent="0.35"/>
    <row r="2" spans="2:8" ht="15" customHeight="1" thickBot="1" x14ac:dyDescent="0.35">
      <c r="B2" s="178" t="s">
        <v>330</v>
      </c>
      <c r="C2" s="179"/>
      <c r="D2" s="179"/>
      <c r="E2" s="179"/>
      <c r="F2" s="179"/>
      <c r="G2" s="179"/>
      <c r="H2" s="180"/>
    </row>
    <row r="3" spans="2:8" ht="15" thickBot="1" x14ac:dyDescent="0.35">
      <c r="B3" s="184" t="s">
        <v>191</v>
      </c>
      <c r="C3" s="185"/>
      <c r="D3" s="186"/>
      <c r="E3" s="161"/>
      <c r="F3" s="161"/>
      <c r="G3" s="160" t="s">
        <v>331</v>
      </c>
      <c r="H3" s="98">
        <v>1750</v>
      </c>
    </row>
    <row r="4" spans="2:8" ht="30" customHeight="1" x14ac:dyDescent="0.3">
      <c r="B4" s="44" t="s">
        <v>0</v>
      </c>
      <c r="C4" s="43" t="s">
        <v>277</v>
      </c>
      <c r="D4" s="29" t="s">
        <v>242</v>
      </c>
      <c r="E4" s="29" t="s">
        <v>234</v>
      </c>
      <c r="F4" s="29" t="s">
        <v>282</v>
      </c>
      <c r="G4" s="29" t="s">
        <v>236</v>
      </c>
      <c r="H4" s="29" t="s">
        <v>333</v>
      </c>
    </row>
    <row r="5" spans="2:8" x14ac:dyDescent="0.3">
      <c r="B5" s="46" t="s">
        <v>143</v>
      </c>
      <c r="C5" s="65">
        <v>750</v>
      </c>
      <c r="D5" s="99">
        <v>263.64</v>
      </c>
      <c r="E5" s="99">
        <v>75.010000000000005</v>
      </c>
      <c r="F5" s="99">
        <f>+Tabla202426781618222425[[#This Row],[Material Final Alquiler]]*Tabla202426781618222425[[#This Row],[Valor Unitario en €]]</f>
        <v>56257.500000000007</v>
      </c>
      <c r="G5" s="99">
        <f>+Tabla202426781618222425[[#This Row],[Valor Total en €]]*H3</f>
        <v>98450625.000000015</v>
      </c>
      <c r="H5" s="99">
        <f>+Tabla202426781618222425[[#This Row],[Total Precio en Pesos]]*3.5%</f>
        <v>3445771.8750000009</v>
      </c>
    </row>
    <row r="6" spans="2:8" x14ac:dyDescent="0.3">
      <c r="B6" s="46" t="s">
        <v>142</v>
      </c>
      <c r="C6" s="67">
        <v>1500</v>
      </c>
      <c r="D6" s="109"/>
      <c r="E6" s="110">
        <v>64.349999999999994</v>
      </c>
      <c r="F6" s="110">
        <f>+Tabla202426781618222425[[#This Row],[Material Final Alquiler]]*Tabla202426781618222425[[#This Row],[Valor Unitario en €]]</f>
        <v>96524.999999999985</v>
      </c>
      <c r="G6" s="99">
        <f>+Tabla202426781618222425[[#This Row],[Valor Total en €]]*H3</f>
        <v>168918749.99999997</v>
      </c>
      <c r="H6" s="99">
        <f>+Tabla202426781618222425[[#This Row],[Total Precio en Pesos]]*3.5%</f>
        <v>5912156.2499999991</v>
      </c>
    </row>
    <row r="7" spans="2:8" x14ac:dyDescent="0.3">
      <c r="B7" s="46" t="s">
        <v>52</v>
      </c>
      <c r="C7" s="67">
        <v>100</v>
      </c>
      <c r="D7" s="109"/>
      <c r="E7" s="110">
        <v>33.020000000000003</v>
      </c>
      <c r="F7" s="110">
        <f>+Tabla202426781618222425[[#This Row],[Material Final Alquiler]]*Tabla202426781618222425[[#This Row],[Valor Unitario en €]]</f>
        <v>3302.0000000000005</v>
      </c>
      <c r="G7" s="99">
        <f>+Tabla202426781618222425[[#This Row],[Valor Total en €]]*H3</f>
        <v>5778500.0000000009</v>
      </c>
      <c r="H7" s="99">
        <f>+Tabla202426781618222425[[#This Row],[Total Precio en Pesos]]*3.5%</f>
        <v>202247.50000000006</v>
      </c>
    </row>
    <row r="8" spans="2:8" x14ac:dyDescent="0.3">
      <c r="B8" s="46" t="s">
        <v>31</v>
      </c>
      <c r="C8" s="67">
        <v>200</v>
      </c>
      <c r="D8" s="109"/>
      <c r="E8" s="110">
        <v>148.19999999999999</v>
      </c>
      <c r="F8" s="110">
        <f>+Tabla202426781618222425[[#This Row],[Material Final Alquiler]]*Tabla202426781618222425[[#This Row],[Valor Unitario en €]]</f>
        <v>29639.999999999996</v>
      </c>
      <c r="G8" s="99">
        <f>+Tabla202426781618222425[[#This Row],[Valor Total en €]]*H3</f>
        <v>51869999.999999993</v>
      </c>
      <c r="H8" s="99">
        <f>+Tabla202426781618222425[[#This Row],[Total Precio en Pesos]]*3.5%</f>
        <v>1815450</v>
      </c>
    </row>
    <row r="9" spans="2:8" x14ac:dyDescent="0.3">
      <c r="B9" s="108" t="s">
        <v>281</v>
      </c>
      <c r="C9" s="67">
        <v>750</v>
      </c>
      <c r="D9" s="109"/>
      <c r="E9" s="110">
        <v>81.77</v>
      </c>
      <c r="F9" s="110">
        <f>+Tabla202426781618222425[[#This Row],[Material Final Alquiler]]*Tabla202426781618222425[[#This Row],[Valor Unitario en €]]</f>
        <v>61327.5</v>
      </c>
      <c r="G9" s="99">
        <f>+Tabla202426781618222425[[#This Row],[Valor Total en €]]*H3</f>
        <v>107323125</v>
      </c>
      <c r="H9" s="99">
        <f>+Tabla202426781618222425[[#This Row],[Total Precio en Pesos]]*3.5%</f>
        <v>3756309.3750000005</v>
      </c>
    </row>
    <row r="10" spans="2:8" x14ac:dyDescent="0.3">
      <c r="B10" s="108" t="s">
        <v>280</v>
      </c>
      <c r="C10" s="67">
        <v>200</v>
      </c>
      <c r="D10" s="109"/>
      <c r="E10" s="110">
        <v>28.34</v>
      </c>
      <c r="F10" s="110">
        <f>+Tabla202426781618222425[[#This Row],[Material Final Alquiler]]*Tabla202426781618222425[[#This Row],[Valor Unitario en €]]</f>
        <v>5668</v>
      </c>
      <c r="G10" s="99">
        <f>+Tabla202426781618222425[[#This Row],[Valor Total en €]]*H3</f>
        <v>9919000</v>
      </c>
      <c r="H10" s="99">
        <f>+Tabla202426781618222425[[#This Row],[Total Precio en Pesos]]*3.5%</f>
        <v>347165.00000000006</v>
      </c>
    </row>
    <row r="11" spans="2:8" x14ac:dyDescent="0.3">
      <c r="B11" s="108" t="s">
        <v>17</v>
      </c>
      <c r="C11" s="67">
        <v>200</v>
      </c>
      <c r="D11" s="109"/>
      <c r="E11" s="110">
        <v>19.89</v>
      </c>
      <c r="F11" s="110">
        <f>+Tabla202426781618222425[[#This Row],[Material Final Alquiler]]*Tabla202426781618222425[[#This Row],[Valor Unitario en €]]</f>
        <v>3978</v>
      </c>
      <c r="G11" s="99">
        <f>+Tabla202426781618222425[[#This Row],[Valor Total en €]]*H3</f>
        <v>6961500</v>
      </c>
      <c r="H11" s="99">
        <f>+Tabla202426781618222425[[#This Row],[Total Precio en Pesos]]*3.5%</f>
        <v>243652.50000000003</v>
      </c>
    </row>
    <row r="12" spans="2:8" x14ac:dyDescent="0.3">
      <c r="B12" s="75"/>
      <c r="C12" s="76"/>
      <c r="D12" s="77"/>
      <c r="E12" s="77"/>
      <c r="F12" s="77"/>
      <c r="G12" s="136">
        <f>SUM(G5:G11)</f>
        <v>449221500</v>
      </c>
      <c r="H12" s="137">
        <f>SUBTOTAL(109,Tabla202426781618222425[Valor Alquiler 3,5%])</f>
        <v>15722752.5</v>
      </c>
    </row>
    <row r="13" spans="2:8" ht="15" thickBot="1" x14ac:dyDescent="0.35"/>
    <row r="14" spans="2:8" ht="15" thickBot="1" x14ac:dyDescent="0.35">
      <c r="F14" s="200" t="s">
        <v>283</v>
      </c>
      <c r="G14" s="201"/>
      <c r="H14" s="159">
        <f>+Tabla202426781618222425[[#Totals],[Valor Alquiler 3,5%]]</f>
        <v>15722752.5</v>
      </c>
    </row>
  </sheetData>
  <mergeCells count="3">
    <mergeCell ref="B2:H2"/>
    <mergeCell ref="B3:D3"/>
    <mergeCell ref="F14:G14"/>
  </mergeCells>
  <pageMargins left="0.11811023622047245" right="0.11811023622047245" top="0.78740157480314965" bottom="0.19685039370078741" header="0.31496062992125984" footer="0.31496062992125984"/>
  <pageSetup paperSize="9" scale="77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G16" sqref="G16"/>
    </sheetView>
  </sheetViews>
  <sheetFormatPr baseColWidth="10" defaultRowHeight="14.4" x14ac:dyDescent="0.3"/>
  <cols>
    <col min="1" max="6" width="25.77734375" customWidth="1"/>
  </cols>
  <sheetData>
    <row r="1" spans="1:6" ht="25.05" customHeight="1" x14ac:dyDescent="0.3">
      <c r="A1" s="202" t="s">
        <v>201</v>
      </c>
      <c r="B1" s="203"/>
      <c r="C1" s="203"/>
      <c r="D1" s="203"/>
      <c r="E1" s="204"/>
      <c r="F1" s="205"/>
    </row>
    <row r="2" spans="1:6" ht="7.2" customHeight="1" x14ac:dyDescent="0.3">
      <c r="A2" s="206"/>
      <c r="B2" s="207"/>
      <c r="C2" s="207"/>
      <c r="D2" s="207"/>
      <c r="E2" s="208"/>
      <c r="F2" s="209"/>
    </row>
    <row r="3" spans="1:6" ht="25.05" customHeight="1" x14ac:dyDescent="0.3">
      <c r="A3" s="33" t="s">
        <v>196</v>
      </c>
      <c r="B3" s="34" t="s">
        <v>198</v>
      </c>
      <c r="C3" s="34" t="s">
        <v>199</v>
      </c>
      <c r="D3" s="34" t="s">
        <v>202</v>
      </c>
      <c r="E3" s="34" t="s">
        <v>203</v>
      </c>
      <c r="F3" s="35" t="s">
        <v>200</v>
      </c>
    </row>
    <row r="4" spans="1:6" ht="25.05" customHeight="1" x14ac:dyDescent="0.3">
      <c r="A4" s="31" t="s">
        <v>192</v>
      </c>
      <c r="B4" s="30">
        <v>11</v>
      </c>
      <c r="C4" s="30">
        <v>75</v>
      </c>
      <c r="D4" s="30">
        <v>35</v>
      </c>
      <c r="E4" s="40">
        <v>153</v>
      </c>
      <c r="F4" s="32">
        <f>SUM(B4:E4)</f>
        <v>274</v>
      </c>
    </row>
    <row r="5" spans="1:6" ht="25.05" customHeight="1" x14ac:dyDescent="0.3">
      <c r="A5" s="31" t="s">
        <v>193</v>
      </c>
      <c r="B5" s="30">
        <v>29</v>
      </c>
      <c r="C5" s="30">
        <v>0</v>
      </c>
      <c r="D5" s="30">
        <v>40</v>
      </c>
      <c r="E5" s="40">
        <v>0</v>
      </c>
      <c r="F5" s="32">
        <f t="shared" ref="F5:F7" si="0">SUM(B5:E5)</f>
        <v>69</v>
      </c>
    </row>
    <row r="6" spans="1:6" ht="25.05" customHeight="1" x14ac:dyDescent="0.3">
      <c r="A6" s="31" t="s">
        <v>194</v>
      </c>
      <c r="B6" s="30">
        <v>327</v>
      </c>
      <c r="C6" s="30">
        <v>250</v>
      </c>
      <c r="D6" s="30">
        <v>249</v>
      </c>
      <c r="E6" s="40">
        <v>103</v>
      </c>
      <c r="F6" s="32">
        <f t="shared" si="0"/>
        <v>929</v>
      </c>
    </row>
    <row r="7" spans="1:6" ht="25.05" customHeight="1" x14ac:dyDescent="0.3">
      <c r="A7" s="31" t="s">
        <v>195</v>
      </c>
      <c r="B7" s="30">
        <v>8</v>
      </c>
      <c r="C7" s="30">
        <v>2</v>
      </c>
      <c r="D7" s="30">
        <v>8</v>
      </c>
      <c r="E7" s="40">
        <v>9</v>
      </c>
      <c r="F7" s="32">
        <f t="shared" si="0"/>
        <v>27</v>
      </c>
    </row>
    <row r="8" spans="1:6" ht="25.05" customHeight="1" thickBot="1" x14ac:dyDescent="0.35">
      <c r="A8" s="36" t="s">
        <v>197</v>
      </c>
      <c r="B8" s="37">
        <f>SUM(B4:B7)</f>
        <v>375</v>
      </c>
      <c r="C8" s="37">
        <f>SUM(C4:C7)</f>
        <v>327</v>
      </c>
      <c r="D8" s="37">
        <f>SUM(D4:D7)</f>
        <v>332</v>
      </c>
      <c r="E8" s="41">
        <f>SUM(E4:E7)</f>
        <v>265</v>
      </c>
      <c r="F8" s="38">
        <f>SUM(F4:F7)</f>
        <v>1299</v>
      </c>
    </row>
    <row r="9" spans="1:6" x14ac:dyDescent="0.3">
      <c r="A9" s="39"/>
      <c r="B9" s="39"/>
      <c r="C9" s="39"/>
      <c r="D9" s="39"/>
      <c r="E9" s="39"/>
      <c r="F9" s="39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xx</vt:lpstr>
      <vt:lpstr>Conteo</vt:lpstr>
      <vt:lpstr>INV OCTUBRE 2023 1 </vt:lpstr>
      <vt:lpstr>INVENTARIO OCTUBRE 2023</vt:lpstr>
      <vt:lpstr>INV + CRUCE MAT OCTUBRE 2023 </vt:lpstr>
      <vt:lpstr>ALQUILER OCTUBRE 2023  (2)</vt:lpstr>
      <vt:lpstr>INVENTARIO NOVIEMBRE </vt:lpstr>
      <vt:lpstr>INVENTARIO TENTATIVO FEB24</vt:lpstr>
      <vt:lpstr>REMITO A BB 15-11</vt:lpstr>
      <vt:lpstr>ALQ MARZO 2024 IACC</vt:lpstr>
      <vt:lpstr>REMITO MARZO 2024 IACC</vt:lpstr>
      <vt:lpstr>ALQ MARZO 2024 PUERTO</vt:lpstr>
      <vt:lpstr>REMITO MARZO 2024 PUERTO</vt:lpstr>
      <vt:lpstr>REMITO MARZO 2024 MENDOZA IACC</vt:lpstr>
      <vt:lpstr>REMITO MARZO 2024 MZA C1</vt:lpstr>
      <vt:lpstr>REMITO MARZO 2024 MZA C2</vt:lpstr>
      <vt:lpstr>REMITO MARZO 2024 C1 - LAHYER</vt:lpstr>
      <vt:lpstr>ALQ FEBRERO 2025 - ZAMORA</vt:lpstr>
      <vt:lpstr>COMPRA MATERIAL BB</vt:lpstr>
      <vt:lpstr>ALQ ENERO 2026 - ZAMORA</vt:lpstr>
      <vt:lpstr>COMPRA LAYHER 2026</vt:lpstr>
      <vt:lpstr>COMPRA LAYHER 2026 - POLLO</vt:lpstr>
      <vt:lpstr>ALQ 2DO SEMESTRE 2026 - ZAMORA</vt:lpstr>
      <vt:lpstr>ALQ 2DO SEMESTRE 2026 - ZAM 3%</vt:lpstr>
      <vt:lpstr>ALQ 2DO SEMESTRE 2026 - ZAM 3,5</vt:lpstr>
      <vt:lpstr>CUADRO STOCK VALLAS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 producciones</dc:creator>
  <cp:lastModifiedBy>LENOVO</cp:lastModifiedBy>
  <cp:lastPrinted>2026-08-11T21:21:42Z</cp:lastPrinted>
  <dcterms:created xsi:type="dcterms:W3CDTF">2021-11-30T16:31:04Z</dcterms:created>
  <dcterms:modified xsi:type="dcterms:W3CDTF">2026-08-11T21:23:55Z</dcterms:modified>
</cp:coreProperties>
</file>