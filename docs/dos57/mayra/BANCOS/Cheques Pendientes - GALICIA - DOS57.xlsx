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BANCOS DOS57\"/>
    </mc:Choice>
  </mc:AlternateContent>
  <bookViews>
    <workbookView xWindow="-120" yWindow="-120" windowWidth="20736" windowHeight="9192" activeTab="7"/>
  </bookViews>
  <sheets>
    <sheet name="2021" sheetId="1" r:id="rId1"/>
    <sheet name="RECIBIDOS 2022" sheetId="6" r:id="rId2"/>
    <sheet name="2022" sheetId="2" r:id="rId3"/>
    <sheet name="RECIBIDOS 2023" sheetId="7" r:id="rId4"/>
    <sheet name="2023" sheetId="3" r:id="rId5"/>
    <sheet name="2024" sheetId="8" r:id="rId6"/>
    <sheet name="2025" sheetId="13" r:id="rId7"/>
    <sheet name="2026" sheetId="1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0" i="14" l="1"/>
  <c r="D373" i="14"/>
  <c r="D293" i="14" l="1"/>
  <c r="D400" i="14" l="1"/>
  <c r="D383" i="14"/>
  <c r="D364" i="14"/>
  <c r="D354" i="14"/>
  <c r="D315" i="14" l="1"/>
  <c r="D341" i="14" l="1"/>
  <c r="D335" i="14"/>
  <c r="D321" i="14" l="1"/>
  <c r="D269" i="14"/>
  <c r="D234" i="14"/>
  <c r="D246" i="14" l="1"/>
  <c r="D157" i="14" l="1"/>
  <c r="D198" i="14" l="1"/>
  <c r="D207" i="14" l="1"/>
  <c r="D105" i="14" l="1"/>
  <c r="D61" i="14" l="1"/>
  <c r="D167" i="14" l="1"/>
  <c r="D115" i="14" l="1"/>
  <c r="D71" i="14" l="1"/>
  <c r="D368" i="13"/>
  <c r="D31" i="14" l="1"/>
  <c r="D375" i="13"/>
  <c r="D341" i="13"/>
  <c r="D289" i="13"/>
  <c r="D331" i="13" l="1"/>
  <c r="D283" i="13"/>
  <c r="D250" i="13" l="1"/>
  <c r="D196" i="13" l="1"/>
  <c r="D170" i="13" l="1"/>
  <c r="D217" i="13" l="1"/>
  <c r="D140" i="13" l="1"/>
  <c r="D109" i="13" l="1"/>
  <c r="D80" i="13" l="1"/>
  <c r="D54" i="13" l="1"/>
  <c r="D35" i="13" l="1"/>
  <c r="D367" i="8" l="1"/>
  <c r="D325" i="8" l="1"/>
  <c r="D291" i="8" l="1"/>
  <c r="D260" i="8" l="1"/>
  <c r="D242" i="8" l="1"/>
  <c r="D213" i="8" l="1"/>
  <c r="D176" i="8" l="1"/>
  <c r="D135" i="8" l="1"/>
  <c r="D106" i="8" l="1"/>
  <c r="D89" i="8" l="1"/>
  <c r="D47" i="8" l="1"/>
  <c r="D20" i="8"/>
  <c r="D380" i="3" l="1"/>
  <c r="D358" i="3" l="1"/>
  <c r="D327" i="3"/>
  <c r="D285" i="3" l="1"/>
  <c r="D224" i="3" l="1"/>
  <c r="D172" i="3" l="1"/>
  <c r="D141" i="3" l="1"/>
  <c r="D120" i="3" l="1"/>
  <c r="D103" i="3" l="1"/>
  <c r="D83" i="3" l="1"/>
  <c r="D57" i="3" l="1"/>
  <c r="D26" i="3" l="1"/>
  <c r="D274" i="2" l="1"/>
  <c r="D240" i="2" l="1"/>
  <c r="D202" i="2" l="1"/>
  <c r="D182" i="2" l="1"/>
  <c r="D165" i="2" l="1"/>
  <c r="D151" i="2" l="1"/>
  <c r="D124" i="2"/>
  <c r="D107" i="2" l="1"/>
  <c r="D87" i="2"/>
  <c r="D62" i="2"/>
  <c r="D37" i="2"/>
  <c r="D19" i="2"/>
  <c r="D102" i="1" l="1"/>
  <c r="D125" i="1"/>
  <c r="D86" i="1" l="1"/>
  <c r="D69" i="1" l="1"/>
  <c r="D55" i="1" l="1"/>
  <c r="D29" i="1" l="1"/>
  <c r="D36" i="1"/>
  <c r="D21" i="1" l="1"/>
  <c r="D12" i="1"/>
  <c r="D6" i="1"/>
</calcChain>
</file>

<file path=xl/comments1.xml><?xml version="1.0" encoding="utf-8"?>
<comments xmlns="http://schemas.openxmlformats.org/spreadsheetml/2006/main">
  <authors>
    <author>LENOVO</author>
  </authors>
  <commentList>
    <comment ref="F114" authorId="0" shapeId="0">
      <text>
        <r>
          <rPr>
            <b/>
            <sz val="9"/>
            <color indexed="81"/>
            <rFont val="Tahoma"/>
            <family val="2"/>
          </rPr>
          <t>junto con rojo a 30 días</t>
        </r>
      </text>
    </comment>
    <comment ref="E203" authorId="0" shapeId="0">
      <text>
        <r>
          <rPr>
            <sz val="9"/>
            <color indexed="81"/>
            <rFont val="Calibri"/>
            <family val="2"/>
            <scheme val="minor"/>
          </rPr>
          <t>Para cubrir cámara - Se renovo con Cheque al 15/6 por $10.500.000 y cubierto en el Banco con pedido de extracción</t>
        </r>
      </text>
    </comment>
    <comment ref="E204" authorId="0" shapeId="0">
      <text>
        <r>
          <rPr>
            <sz val="9"/>
            <color indexed="81"/>
            <rFont val="Calibri"/>
            <family val="2"/>
            <scheme val="minor"/>
          </rPr>
          <t>Para pagos semanales y mensuales + comisión SGR por Garantizar.
Se renovo con Cheque de $42.400.000 junto con extracción de $21.000.000 para el 19/6</t>
        </r>
      </text>
    </comment>
    <comment ref="E205" authorId="0" shapeId="0">
      <text>
        <r>
          <rPr>
            <sz val="9"/>
            <color indexed="81"/>
            <rFont val="Calibri"/>
            <family val="2"/>
            <scheme val="minor"/>
          </rPr>
          <t>Renovación de operaciones de cheques de $31.900.000 del 15/04 + $20.100.000 del 15/04 con aval de AVALES DEL CENTRO</t>
        </r>
      </text>
    </comment>
    <comment ref="E206" authorId="0" shapeId="0">
      <text>
        <r>
          <rPr>
            <sz val="9"/>
            <color indexed="81"/>
            <rFont val="Calibri"/>
            <family val="2"/>
            <scheme val="minor"/>
          </rPr>
          <t>Para cubrir cámara</t>
        </r>
      </text>
    </comment>
    <comment ref="E239" authorId="0" shapeId="0">
      <text>
        <r>
          <rPr>
            <sz val="9"/>
            <color indexed="81"/>
            <rFont val="Calibri"/>
            <family val="2"/>
            <scheme val="minor"/>
          </rPr>
          <t xml:space="preserve">Se hizo para renovar Cheque al 6/5 por $10.250.000 </t>
        </r>
      </text>
    </comment>
    <comment ref="E240" authorId="0" shapeId="0">
      <text>
        <r>
          <rPr>
            <sz val="9"/>
            <color indexed="81"/>
            <rFont val="Calibri"/>
            <family val="2"/>
            <scheme val="minor"/>
          </rPr>
          <t>Por pedido de extracción de $55.000.000 para cubrir Cheque de $53.800.000 con vto 15/5</t>
        </r>
      </text>
    </comment>
    <comment ref="E241" authorId="0" shapeId="0">
      <text>
        <r>
          <rPr>
            <sz val="9"/>
            <color indexed="81"/>
            <rFont val="Calibri"/>
            <family val="2"/>
            <scheme val="minor"/>
          </rPr>
          <t>Para renovar Cheque de $26.000.000 con vto 21/5</t>
        </r>
      </text>
    </comment>
    <comment ref="E242" authorId="0" shapeId="0">
      <text>
        <r>
          <rPr>
            <sz val="9"/>
            <color indexed="81"/>
            <rFont val="Calibri"/>
            <family val="2"/>
            <scheme val="minor"/>
          </rPr>
          <t>Por pedido de extracción de $55.000.000 para cubrir Cheque de $53.800.000 con vto 15/5</t>
        </r>
      </text>
    </comment>
    <comment ref="E243" authorId="0" shapeId="0">
      <text>
        <r>
          <rPr>
            <sz val="9"/>
            <color indexed="81"/>
            <rFont val="Calibri"/>
            <family val="2"/>
            <scheme val="minor"/>
          </rPr>
          <t>Por pedido de extracción de $55.000.000 para cubrir Cheque de $53.800.000 con vto 15/5</t>
        </r>
      </text>
    </comment>
    <comment ref="E244" authorId="0" shapeId="0">
      <text>
        <r>
          <rPr>
            <sz val="9"/>
            <color indexed="81"/>
            <rFont val="Calibri"/>
            <family val="2"/>
            <scheme val="minor"/>
          </rPr>
          <t>Para renovar Cheque de $21.400.000 con vto 10/5 + pedido de extracción por $21.000.000 para cubrir cámara</t>
        </r>
      </text>
    </comment>
    <comment ref="E245" authorId="0" shapeId="0">
      <text>
        <r>
          <rPr>
            <sz val="9"/>
            <color indexed="81"/>
            <rFont val="Calibri"/>
            <family val="2"/>
            <scheme val="minor"/>
          </rPr>
          <t>Para renovar Cheque de $21.400.000 con vto 10/5 + pedido de extracción por $21.000.000 para cubrir cámara</t>
        </r>
      </text>
    </comment>
    <comment ref="E252" authorId="0" shapeId="0">
      <text>
        <r>
          <rPr>
            <sz val="9"/>
            <color indexed="81"/>
            <rFont val="Tahoma"/>
            <family val="2"/>
          </rPr>
          <t>No se cubrió en Banco se transfirió el monto</t>
        </r>
      </text>
    </comment>
    <comment ref="E274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75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76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77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78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79" authorId="0" shapeId="0">
      <text>
        <r>
          <rPr>
            <sz val="9"/>
            <color indexed="81"/>
            <rFont val="Calibri"/>
            <family val="2"/>
            <scheme val="minor"/>
          </rPr>
          <t>Para renovar Cheques con vto 19/6 por: $26.800.000 + $9.000.000 + $35.700.000 + $15.000.000 + $30.000.000</t>
        </r>
      </text>
    </comment>
    <comment ref="E280" authorId="0" shapeId="0">
      <text>
        <r>
          <rPr>
            <sz val="9"/>
            <color indexed="81"/>
            <rFont val="Calibri"/>
            <family val="2"/>
            <scheme val="minor"/>
          </rPr>
          <t>Por renovación de Cheque por $11.300.000 con vto 19/6 + extracción de $11.250.000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1" authorId="0" shapeId="0">
      <text>
        <r>
          <rPr>
            <sz val="9"/>
            <color indexed="81"/>
            <rFont val="Tahoma"/>
            <family val="2"/>
          </rPr>
          <t>No se cubrió en Banco se transfirió el monto</t>
        </r>
      </text>
    </comment>
    <comment ref="E282" authorId="0" shapeId="0">
      <text>
        <r>
          <rPr>
            <sz val="9"/>
            <color indexed="81"/>
            <rFont val="Tahoma"/>
            <family val="2"/>
          </rPr>
          <t>No se cubrió en Banco se transfirió el monto</t>
        </r>
      </text>
    </comment>
    <comment ref="E283" authorId="0" shapeId="0">
      <text>
        <r>
          <rPr>
            <sz val="9"/>
            <color indexed="81"/>
            <rFont val="Calibri"/>
            <family val="2"/>
            <scheme val="minor"/>
          </rPr>
          <t>Para cubrir cámara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4" authorId="0" shapeId="0">
      <text>
        <r>
          <rPr>
            <sz val="9"/>
            <color indexed="81"/>
            <rFont val="Calibri"/>
            <family val="2"/>
            <scheme val="minor"/>
          </rPr>
          <t>Para cuenta Bancor Dos57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40" authorId="0" shapeId="0">
      <text>
        <r>
          <rPr>
            <sz val="9"/>
            <color indexed="81"/>
            <rFont val="Calibri"/>
            <family val="2"/>
            <scheme val="minor"/>
          </rPr>
          <t>Pare renovar Cheque de $41.300.000 con vto 14/8</t>
        </r>
      </text>
    </comment>
  </commentList>
</comments>
</file>

<file path=xl/sharedStrings.xml><?xml version="1.0" encoding="utf-8"?>
<sst xmlns="http://schemas.openxmlformats.org/spreadsheetml/2006/main" count="5294" uniqueCount="1871">
  <si>
    <t>FECHA DE PAGO</t>
  </si>
  <si>
    <t># CHEQUE</t>
  </si>
  <si>
    <t>CONCEPTO</t>
  </si>
  <si>
    <t xml:space="preserve">MONTO </t>
  </si>
  <si>
    <t>ESTADO</t>
  </si>
  <si>
    <t>FECHA DE ENTRADA</t>
  </si>
  <si>
    <t>PAGADO</t>
  </si>
  <si>
    <t>TOTAL</t>
  </si>
  <si>
    <t>27884151</t>
  </si>
  <si>
    <t>ENP LAYHER</t>
  </si>
  <si>
    <t>27884152</t>
  </si>
  <si>
    <t>27884153</t>
  </si>
  <si>
    <t>27884154</t>
  </si>
  <si>
    <t>27884155</t>
  </si>
  <si>
    <t>27884156</t>
  </si>
  <si>
    <t>27884157</t>
  </si>
  <si>
    <t>DOS57- GALICIA - FLUJO DE CHEQUES - ABRIL 2021</t>
  </si>
  <si>
    <t>DOS57- GALICIA - FLUJO DE CHEQUES - MARZO 2021</t>
  </si>
  <si>
    <t>DOS57- GALICIA - FLUJO DE CHEQUES - MAYO 2021</t>
  </si>
  <si>
    <t>DOS57- GALICIA - FLUJO DE CHEQUES - JUNIO 2021</t>
  </si>
  <si>
    <t>MARCO AURELIO SOSA</t>
  </si>
  <si>
    <t>COMERCIAL GERDAU</t>
  </si>
  <si>
    <t>SANCHEZ</t>
  </si>
  <si>
    <t>27884158</t>
  </si>
  <si>
    <t>27884159</t>
  </si>
  <si>
    <t xml:space="preserve">BLUETEAM </t>
  </si>
  <si>
    <t>DOS57- GALICIA - FLUJO DE CHEQUES - JULIO 2021</t>
  </si>
  <si>
    <t>27884160</t>
  </si>
  <si>
    <t xml:space="preserve">SIDERCO </t>
  </si>
  <si>
    <t>27884161</t>
  </si>
  <si>
    <t>DOS57- GALICIA - FLUJO DE CHEQUES - AGOSTO 2021</t>
  </si>
  <si>
    <t>27884162</t>
  </si>
  <si>
    <t>27884163</t>
  </si>
  <si>
    <t>ANULADO</t>
  </si>
  <si>
    <t>27884164</t>
  </si>
  <si>
    <t>27884165</t>
  </si>
  <si>
    <t>27884166</t>
  </si>
  <si>
    <t>27884167</t>
  </si>
  <si>
    <t>27884168</t>
  </si>
  <si>
    <t>27884169</t>
  </si>
  <si>
    <t>27884170</t>
  </si>
  <si>
    <t>27884171</t>
  </si>
  <si>
    <t>27884172</t>
  </si>
  <si>
    <t>27884173</t>
  </si>
  <si>
    <t>27884174</t>
  </si>
  <si>
    <t>27884175</t>
  </si>
  <si>
    <t>27884176</t>
  </si>
  <si>
    <t>27884177</t>
  </si>
  <si>
    <t>27884178</t>
  </si>
  <si>
    <t>27884179</t>
  </si>
  <si>
    <t>27884180</t>
  </si>
  <si>
    <t>SERVICIOS PESADOS</t>
  </si>
  <si>
    <t>27884181</t>
  </si>
  <si>
    <t>DOS57- GALICIA - FLUJO DE CHEQUES - SEPTIEMBRE 2021</t>
  </si>
  <si>
    <t>DOS57- GALICIA - FLUJO DE CHEQUES - OCTUBRE 2021</t>
  </si>
  <si>
    <t xml:space="preserve">A RECUPERAR </t>
  </si>
  <si>
    <t>*** BLUETEAM CALZADO DE CHATA</t>
  </si>
  <si>
    <t>27884182</t>
  </si>
  <si>
    <t>27884183</t>
  </si>
  <si>
    <t xml:space="preserve">ANULADO </t>
  </si>
  <si>
    <t>27884184</t>
  </si>
  <si>
    <t>ELASTICO CAMION</t>
  </si>
  <si>
    <t>ECHEQ</t>
  </si>
  <si>
    <t>LAYHER</t>
  </si>
  <si>
    <t>DOS57- GALICIA - FLUJO DE CHEQUES - NOVIEMBRE 2021</t>
  </si>
  <si>
    <t>DOS57- GALICIA - FLUJO DE CHEQUES - DICIEMBRE 2021</t>
  </si>
  <si>
    <t>27884186</t>
  </si>
  <si>
    <t>27884187</t>
  </si>
  <si>
    <t>27884188</t>
  </si>
  <si>
    <t>27884191</t>
  </si>
  <si>
    <t>MONZA</t>
  </si>
  <si>
    <t>27884192</t>
  </si>
  <si>
    <t>27884193</t>
  </si>
  <si>
    <t>27884194</t>
  </si>
  <si>
    <t>27884195</t>
  </si>
  <si>
    <t>27884196</t>
  </si>
  <si>
    <t>27884197</t>
  </si>
  <si>
    <t>27884199</t>
  </si>
  <si>
    <t>27884198</t>
  </si>
  <si>
    <t>27884185</t>
  </si>
  <si>
    <t>27884189</t>
  </si>
  <si>
    <t>27884190</t>
  </si>
  <si>
    <t>??</t>
  </si>
  <si>
    <t>DOS57- GALICIA - FLUJO DE CHEQUES - ENERO 2022</t>
  </si>
  <si>
    <t>29004571</t>
  </si>
  <si>
    <t>SIDERCO SA</t>
  </si>
  <si>
    <t>27884200</t>
  </si>
  <si>
    <t>BLUETEAM</t>
  </si>
  <si>
    <t>29004572</t>
  </si>
  <si>
    <t>RICARDO QUIROGA</t>
  </si>
  <si>
    <t>29004573</t>
  </si>
  <si>
    <t>29004574</t>
  </si>
  <si>
    <t>29004575</t>
  </si>
  <si>
    <t>MONZZA</t>
  </si>
  <si>
    <t>29004576</t>
  </si>
  <si>
    <t>MAQUINARIAS CENTRO</t>
  </si>
  <si>
    <t>29004577</t>
  </si>
  <si>
    <t>QUITAM SA</t>
  </si>
  <si>
    <t>29004578</t>
  </si>
  <si>
    <t>29004580</t>
  </si>
  <si>
    <t>DOS57- GALICIA - FLUJO DE CHEQUES - FEBRERO 2022</t>
  </si>
  <si>
    <t>LONAS MAIPU</t>
  </si>
  <si>
    <t>DOS57- GALICIA - FLUJO DE CHEQUES - MARZO 2022</t>
  </si>
  <si>
    <t>DOS57- GALICIA - FLUJO DE CHEQUES - ABRIL 2022</t>
  </si>
  <si>
    <t>DOS57- GALICIA - FLUJO DE CHEQUES - MAYO 2022</t>
  </si>
  <si>
    <t>29004581</t>
  </si>
  <si>
    <t>29004583</t>
  </si>
  <si>
    <t>29004584</t>
  </si>
  <si>
    <t>29004585</t>
  </si>
  <si>
    <t>29004586</t>
  </si>
  <si>
    <t>ROVY</t>
  </si>
  <si>
    <t>MENDIO SA</t>
  </si>
  <si>
    <t>29004582</t>
  </si>
  <si>
    <t>29004579</t>
  </si>
  <si>
    <t>29004588</t>
  </si>
  <si>
    <t>29004593</t>
  </si>
  <si>
    <t>ANTIOXIDO RISCA SAS</t>
  </si>
  <si>
    <t>29004594</t>
  </si>
  <si>
    <t>29004591</t>
  </si>
  <si>
    <t>29004592</t>
  </si>
  <si>
    <t>MENDIO</t>
  </si>
  <si>
    <t>MAS</t>
  </si>
  <si>
    <t>D DEL PINO</t>
  </si>
  <si>
    <t>ECHEQ 12</t>
  </si>
  <si>
    <t>TECNILUM</t>
  </si>
  <si>
    <t>ALUBE</t>
  </si>
  <si>
    <t>QUITAM</t>
  </si>
  <si>
    <t>LAYHER SUDAMERICANA</t>
  </si>
  <si>
    <t>ECHEQ 35</t>
  </si>
  <si>
    <t>ECHEQ 37</t>
  </si>
  <si>
    <t>ECHEQ 38</t>
  </si>
  <si>
    <t>ECHEQ 39</t>
  </si>
  <si>
    <t>ECHEQ 40</t>
  </si>
  <si>
    <t>ECHEQ 41</t>
  </si>
  <si>
    <t>ELECTRODOS CORDOBA</t>
  </si>
  <si>
    <t>ECHEQ 42</t>
  </si>
  <si>
    <t>ECHEQ 43</t>
  </si>
  <si>
    <t>ECHEQ 44</t>
  </si>
  <si>
    <t>ECHEQ 45</t>
  </si>
  <si>
    <t>CERROPLAST SA</t>
  </si>
  <si>
    <t>AICHINO GUIDO THINNER</t>
  </si>
  <si>
    <t>ECHEQ 46</t>
  </si>
  <si>
    <t>29004599</t>
  </si>
  <si>
    <t>BASSANO &amp; ASOC</t>
  </si>
  <si>
    <t>29004600</t>
  </si>
  <si>
    <t>29004601</t>
  </si>
  <si>
    <t>29004602</t>
  </si>
  <si>
    <t>29004603</t>
  </si>
  <si>
    <t>29004604</t>
  </si>
  <si>
    <t>DOS57- GALICIA - FLUJO DE CHEQUES - JUNIO 2022</t>
  </si>
  <si>
    <t>ECHEQ 23</t>
  </si>
  <si>
    <t>ECHEQ 16</t>
  </si>
  <si>
    <t>ECHEQ 14</t>
  </si>
  <si>
    <t>ECHEQ 21</t>
  </si>
  <si>
    <t>ECHEQ 18</t>
  </si>
  <si>
    <t>ECHEQ 24</t>
  </si>
  <si>
    <t>ECHEQ 22</t>
  </si>
  <si>
    <t>ECHEQ 28</t>
  </si>
  <si>
    <t>ECHEQ 8</t>
  </si>
  <si>
    <t>ECHEQ 25</t>
  </si>
  <si>
    <t>ECHEQ 15</t>
  </si>
  <si>
    <t>ECHEQ 29</t>
  </si>
  <si>
    <t>ECHEQ 33</t>
  </si>
  <si>
    <t>ECHEQ 31</t>
  </si>
  <si>
    <t>29004605</t>
  </si>
  <si>
    <t>OSCAR DIAZ</t>
  </si>
  <si>
    <t>ECHEQ 49</t>
  </si>
  <si>
    <t>ECHEQ 50</t>
  </si>
  <si>
    <t>ECHEQ 51</t>
  </si>
  <si>
    <t>DITEC SA</t>
  </si>
  <si>
    <t>ECHEQ 53</t>
  </si>
  <si>
    <t>ECHEQ 54</t>
  </si>
  <si>
    <t>ECHEQ 55</t>
  </si>
  <si>
    <t>ECHEQ 56</t>
  </si>
  <si>
    <t>ECHEQ 57</t>
  </si>
  <si>
    <t>ECHEQ 26</t>
  </si>
  <si>
    <t>29004596</t>
  </si>
  <si>
    <t>29004597</t>
  </si>
  <si>
    <t>RECHAZADO POR CAUSAS TECNICAS</t>
  </si>
  <si>
    <t>DEL PINO</t>
  </si>
  <si>
    <t>ECHEQ 59</t>
  </si>
  <si>
    <t>ECHEQ 58</t>
  </si>
  <si>
    <t>ECHEQ 60</t>
  </si>
  <si>
    <t>ECHEQ 61</t>
  </si>
  <si>
    <t>ARIEL PICCIONI</t>
  </si>
  <si>
    <t>ECHEQ 62</t>
  </si>
  <si>
    <t>ECHEQ 63</t>
  </si>
  <si>
    <t>ECHEQ 64</t>
  </si>
  <si>
    <t>ECHEQ 65</t>
  </si>
  <si>
    <t>ECHEQ 66</t>
  </si>
  <si>
    <t>ECHEQ 67</t>
  </si>
  <si>
    <t>ECHEQ 10</t>
  </si>
  <si>
    <t>ECHEQ 68</t>
  </si>
  <si>
    <t>ECHEQ 69</t>
  </si>
  <si>
    <t>ECHEQ 70</t>
  </si>
  <si>
    <t>ECHEQ 71</t>
  </si>
  <si>
    <t>ECHEQ 72</t>
  </si>
  <si>
    <t>EMBALACOR</t>
  </si>
  <si>
    <t>ECHEQ 73</t>
  </si>
  <si>
    <t>ECHEQ 74</t>
  </si>
  <si>
    <t>29004606</t>
  </si>
  <si>
    <t>29004598</t>
  </si>
  <si>
    <t>ECHEQ 75</t>
  </si>
  <si>
    <t>ECHEQ 76</t>
  </si>
  <si>
    <t>ECHEQ 78</t>
  </si>
  <si>
    <t>29004613</t>
  </si>
  <si>
    <t>TRAFIC</t>
  </si>
  <si>
    <t>ECHEQ 83</t>
  </si>
  <si>
    <t>EXPRESO COPAR SA</t>
  </si>
  <si>
    <t>29004614</t>
  </si>
  <si>
    <t>ABASTO SOLUCIONES</t>
  </si>
  <si>
    <t>29004607</t>
  </si>
  <si>
    <t>CONTA FEDE</t>
  </si>
  <si>
    <t>DOS57- GALICIA - FLUJO DE CHEQUES - JULIO 2022</t>
  </si>
  <si>
    <t>29004608</t>
  </si>
  <si>
    <t>29004609</t>
  </si>
  <si>
    <t>29004610</t>
  </si>
  <si>
    <t>29004611</t>
  </si>
  <si>
    <t>SILLAS PLASTICAS SAN FRANCISCO</t>
  </si>
  <si>
    <t>29004612</t>
  </si>
  <si>
    <t>ECHEQ 84</t>
  </si>
  <si>
    <t>ECHEQ 85</t>
  </si>
  <si>
    <t>ECHEQ 86</t>
  </si>
  <si>
    <t>ECHEQ 87</t>
  </si>
  <si>
    <t>RISCA SA</t>
  </si>
  <si>
    <t>ECHEQ 88</t>
  </si>
  <si>
    <t>ROVI</t>
  </si>
  <si>
    <t>ECHEQ 89</t>
  </si>
  <si>
    <t>ECHEQ 90</t>
  </si>
  <si>
    <t>ECHEQ 77</t>
  </si>
  <si>
    <t>ECHEQ 82</t>
  </si>
  <si>
    <t>ECHEQ 52</t>
  </si>
  <si>
    <t>ECHEQ 79</t>
  </si>
  <si>
    <t>ECHEQ 80</t>
  </si>
  <si>
    <t>ECHEQ 91</t>
  </si>
  <si>
    <t>COPAR</t>
  </si>
  <si>
    <t>ECHEQ 92</t>
  </si>
  <si>
    <t>ABASTO SOLUCIONES SA</t>
  </si>
  <si>
    <t>ECHEQ 93</t>
  </si>
  <si>
    <t>ECHEQ 96</t>
  </si>
  <si>
    <t>ECHEQ 97</t>
  </si>
  <si>
    <t>ECHEQ 98</t>
  </si>
  <si>
    <t>ECHEQ 99</t>
  </si>
  <si>
    <t>ECHEQ 100</t>
  </si>
  <si>
    <t>ECHEQ 103</t>
  </si>
  <si>
    <t>CLIMATIZACION POLAR</t>
  </si>
  <si>
    <t>ECHEQ 104</t>
  </si>
  <si>
    <t>ECHEQ 105</t>
  </si>
  <si>
    <t>DOS57- GALICIA - FLUJO DE CHEQUES - AGOSTO 2022</t>
  </si>
  <si>
    <t>ECHEQ 106</t>
  </si>
  <si>
    <t>ECHEQ 108</t>
  </si>
  <si>
    <t>ECHEQ 109</t>
  </si>
  <si>
    <t>ECHEQ 107</t>
  </si>
  <si>
    <t>CANTERA RUIZ</t>
  </si>
  <si>
    <t>ECHEQ 110</t>
  </si>
  <si>
    <t>ECHEQ 111</t>
  </si>
  <si>
    <t>ECHEQ 112</t>
  </si>
  <si>
    <t>ECHEQ 113</t>
  </si>
  <si>
    <t>ECHEQ 114</t>
  </si>
  <si>
    <t>ECHEQ 115</t>
  </si>
  <si>
    <t>ECHEQ 116</t>
  </si>
  <si>
    <t>DOS57- GALICIA - FLUJO DE CHEQUES - SEPTIEMBRE 2022</t>
  </si>
  <si>
    <t>ECHEQ 117</t>
  </si>
  <si>
    <t>RISCA SAS</t>
  </si>
  <si>
    <t>ECHEQ 118</t>
  </si>
  <si>
    <t>ECHEQ 119</t>
  </si>
  <si>
    <t>ECHEQ 120</t>
  </si>
  <si>
    <t>ECHEQ 121</t>
  </si>
  <si>
    <t xml:space="preserve">EMBALACOR </t>
  </si>
  <si>
    <t>ECHEQ 122</t>
  </si>
  <si>
    <t>ECHEQ 123</t>
  </si>
  <si>
    <t>DOS57- GALICIA - FLUJO DE CHEQUES - OCTUBRE 2022</t>
  </si>
  <si>
    <t>29004615</t>
  </si>
  <si>
    <t>29004616</t>
  </si>
  <si>
    <t>29004619</t>
  </si>
  <si>
    <t>FRANCO MULA</t>
  </si>
  <si>
    <t>FEDE CONTA</t>
  </si>
  <si>
    <t>DOS57- GALICIA - FLUJO DE CHEQUES - NOVIEMBRE 2022</t>
  </si>
  <si>
    <t>DOS57- GALICIA - FLUJO DE CHEQUES - DICIEMBRE 2022</t>
  </si>
  <si>
    <t>29004617</t>
  </si>
  <si>
    <t>MARCO AURELIO SOSA SACIF</t>
  </si>
  <si>
    <t>ECHEQ 124</t>
  </si>
  <si>
    <t>ECHEQ 126</t>
  </si>
  <si>
    <t>ECHEQ 125</t>
  </si>
  <si>
    <t>ECHEQ 129</t>
  </si>
  <si>
    <t>ECHEQ 130</t>
  </si>
  <si>
    <t>D DEL PINO SA</t>
  </si>
  <si>
    <t>ECHEQ 132</t>
  </si>
  <si>
    <t>ECHEQ 133</t>
  </si>
  <si>
    <t>ECHEQ 134</t>
  </si>
  <si>
    <t>ECHEQ 135</t>
  </si>
  <si>
    <t>LAYHER SUD</t>
  </si>
  <si>
    <t>ECHEQ 136</t>
  </si>
  <si>
    <t>ECHEQ 137</t>
  </si>
  <si>
    <t>ECHEQ 138</t>
  </si>
  <si>
    <t>ECHEQ 139</t>
  </si>
  <si>
    <t>MENDIO S.A</t>
  </si>
  <si>
    <t>ECHEQ 140</t>
  </si>
  <si>
    <t>MONTECENTRO SRL</t>
  </si>
  <si>
    <t>ECHEQ 141</t>
  </si>
  <si>
    <t>ECHEQ 142</t>
  </si>
  <si>
    <t>ECHEQ 143</t>
  </si>
  <si>
    <t>ECHEQ 144</t>
  </si>
  <si>
    <t>ECHEQ 145</t>
  </si>
  <si>
    <t>PUCHETA CARLOS RODOLFO</t>
  </si>
  <si>
    <t>ECHEQ 146</t>
  </si>
  <si>
    <t>ECHEQ 147</t>
  </si>
  <si>
    <t>RAITTI SRL</t>
  </si>
  <si>
    <t>ECHEQ 148</t>
  </si>
  <si>
    <t>ECHEQ 149</t>
  </si>
  <si>
    <t>ECHEQ 150</t>
  </si>
  <si>
    <t>ECHEQ 151</t>
  </si>
  <si>
    <t>ECHEQ 152</t>
  </si>
  <si>
    <t>ECHEQ 153</t>
  </si>
  <si>
    <t>ECHEQ 154</t>
  </si>
  <si>
    <t>ECHEQ 155</t>
  </si>
  <si>
    <t>ECHEQ 156</t>
  </si>
  <si>
    <t>ECHEQ 157</t>
  </si>
  <si>
    <t>ECHEQ 158</t>
  </si>
  <si>
    <t>AMERICAN VIAL GROUP</t>
  </si>
  <si>
    <t>ECHEQ 159</t>
  </si>
  <si>
    <t>DOS57- GALICIA - FLUJO DE CHEQUES - ENERO 2023</t>
  </si>
  <si>
    <t>ECHEQ 160</t>
  </si>
  <si>
    <t>DOS57- GALICIA - FLUJO DE CHEQUES - FEBRERO 2023</t>
  </si>
  <si>
    <t>ECHEQ 161</t>
  </si>
  <si>
    <t>DOS57- GALICIA - FLUJO DE CHEQUES - MARZO 2023</t>
  </si>
  <si>
    <t>ECHEQ 162</t>
  </si>
  <si>
    <t>ECHEQ 163</t>
  </si>
  <si>
    <t>DOS57- GALICIA - FLUJO DE CHEQUES - ABRIL 2023</t>
  </si>
  <si>
    <t>DOS57- GALICIA - FLUJO DE CHEQUES - MAYO 2023</t>
  </si>
  <si>
    <t>ECHEQ 164</t>
  </si>
  <si>
    <t>DOS57- GALICIA - FLUJO DE CHEQUES - JUNIO 2023</t>
  </si>
  <si>
    <t>ECHEQ 165</t>
  </si>
  <si>
    <t>ECHEQ 167</t>
  </si>
  <si>
    <t>VITALIANO SAS</t>
  </si>
  <si>
    <t>ECHEQ 168</t>
  </si>
  <si>
    <t>ECHEQ 169</t>
  </si>
  <si>
    <t>ECHEQ 171</t>
  </si>
  <si>
    <t>ECHEQ 170</t>
  </si>
  <si>
    <t>ECHEQ 172</t>
  </si>
  <si>
    <t>ECHEQ 173</t>
  </si>
  <si>
    <t>ECHEQ 174</t>
  </si>
  <si>
    <t>ECHEQ 175</t>
  </si>
  <si>
    <t>ECHEQ 176</t>
  </si>
  <si>
    <t>ECHEQ 177</t>
  </si>
  <si>
    <t>ECHEQ 178</t>
  </si>
  <si>
    <t>ECHEQ 179</t>
  </si>
  <si>
    <t>ROJO ROJO Y KOUTSOUBOS SH</t>
  </si>
  <si>
    <t>ECHEQ 180</t>
  </si>
  <si>
    <t>ECHEQ 181</t>
  </si>
  <si>
    <t>ECHEQ 182</t>
  </si>
  <si>
    <t>ECHEQ 183</t>
  </si>
  <si>
    <t>ECHEQ 184</t>
  </si>
  <si>
    <t>CABLES DE ACERO</t>
  </si>
  <si>
    <t>ECHEQ 185</t>
  </si>
  <si>
    <t>ECHEQ 186</t>
  </si>
  <si>
    <t>ECHEQ 187</t>
  </si>
  <si>
    <t>TRANSPORTES TOMASSINI S.R.L.</t>
  </si>
  <si>
    <t>ECHEQ 188</t>
  </si>
  <si>
    <t>30306561</t>
  </si>
  <si>
    <t xml:space="preserve">SEBA RACK </t>
  </si>
  <si>
    <t>30306562</t>
  </si>
  <si>
    <t>30306563</t>
  </si>
  <si>
    <t>30306564</t>
  </si>
  <si>
    <t>MATIAS ALTERMAN</t>
  </si>
  <si>
    <t>ECHEQ 189</t>
  </si>
  <si>
    <t>ECHEQ 190</t>
  </si>
  <si>
    <t>ECHEQ 191</t>
  </si>
  <si>
    <t>ECHEQ 192</t>
  </si>
  <si>
    <t>ECHEQ 194</t>
  </si>
  <si>
    <t>ECHEQ 193</t>
  </si>
  <si>
    <t>ECHEQ 195</t>
  </si>
  <si>
    <t>ECHEQ 196</t>
  </si>
  <si>
    <t>ROSSANA ELENA OCHOA</t>
  </si>
  <si>
    <t>ECHEQ 197</t>
  </si>
  <si>
    <t>ECHEQ 198</t>
  </si>
  <si>
    <t>30306566</t>
  </si>
  <si>
    <t>ECHEQ 199</t>
  </si>
  <si>
    <t>ECHEQ 200</t>
  </si>
  <si>
    <t>ECHEQ 201</t>
  </si>
  <si>
    <t>ECHEQ 202</t>
  </si>
  <si>
    <t xml:space="preserve">TOMASSINI </t>
  </si>
  <si>
    <t>ECHEQ 203</t>
  </si>
  <si>
    <t>ECHEQ 204</t>
  </si>
  <si>
    <t>ECHEQ 205</t>
  </si>
  <si>
    <t>ECHEQ 206</t>
  </si>
  <si>
    <t>ECHEQ 207</t>
  </si>
  <si>
    <t>YEDRO COMUNICACIONES</t>
  </si>
  <si>
    <t>EMBALACOR S.A.</t>
  </si>
  <si>
    <t>ECHEQ 208</t>
  </si>
  <si>
    <t>ECHEQ 210</t>
  </si>
  <si>
    <t>ECHEQ 211</t>
  </si>
  <si>
    <t>ECHEQ 212</t>
  </si>
  <si>
    <t>ECHEQ 209</t>
  </si>
  <si>
    <t>ECHEQ 213</t>
  </si>
  <si>
    <t>ECHEQ 215</t>
  </si>
  <si>
    <t>ECHEQ 216</t>
  </si>
  <si>
    <t xml:space="preserve">CIMA </t>
  </si>
  <si>
    <t>ECHEQ 217</t>
  </si>
  <si>
    <t>ECHEQ 218</t>
  </si>
  <si>
    <t>MONZZA SRL</t>
  </si>
  <si>
    <t>ECHEQ 219</t>
  </si>
  <si>
    <t>ECHEQ 220</t>
  </si>
  <si>
    <t>SYNA</t>
  </si>
  <si>
    <t>ECHEQ 221</t>
  </si>
  <si>
    <t>ECHEQ 222</t>
  </si>
  <si>
    <t>ABASTO SOLUCIONES S.A.</t>
  </si>
  <si>
    <t>ECHEQ 223</t>
  </si>
  <si>
    <t>ECHEQ 226</t>
  </si>
  <si>
    <t>CENTO ALEJANDRO</t>
  </si>
  <si>
    <t>ECHEQ 224</t>
  </si>
  <si>
    <t>ECHEQ 227</t>
  </si>
  <si>
    <t>ECHEQ 228</t>
  </si>
  <si>
    <t>ECHEQ 229</t>
  </si>
  <si>
    <t>CENTRO ACERO</t>
  </si>
  <si>
    <t>ECHEQ 230</t>
  </si>
  <si>
    <t>CHISPA PRESTAMO</t>
  </si>
  <si>
    <t>30306571</t>
  </si>
  <si>
    <t>ECHEQ 231</t>
  </si>
  <si>
    <t>ECHEQ 232</t>
  </si>
  <si>
    <t>FEDERACION PATRONAL</t>
  </si>
  <si>
    <t>ECHEQ 233</t>
  </si>
  <si>
    <t xml:space="preserve">ROVI </t>
  </si>
  <si>
    <t>ECHEQ 234</t>
  </si>
  <si>
    <t>ECHEQ 237</t>
  </si>
  <si>
    <t>PINTURERIA A COLOR</t>
  </si>
  <si>
    <t>ECHEQ 240</t>
  </si>
  <si>
    <t>ECHEQ 241</t>
  </si>
  <si>
    <t>INCOSER</t>
  </si>
  <si>
    <t>ECHEQ 303</t>
  </si>
  <si>
    <t>COLCOR</t>
  </si>
  <si>
    <t>30306569</t>
  </si>
  <si>
    <t>INCOSER SA</t>
  </si>
  <si>
    <t>ECHEQ 242</t>
  </si>
  <si>
    <t>ECHEQ 243</t>
  </si>
  <si>
    <t>ECHEQ 244</t>
  </si>
  <si>
    <t>ECHEQ 245</t>
  </si>
  <si>
    <t>ECHEQ 291</t>
  </si>
  <si>
    <t>COLCAR</t>
  </si>
  <si>
    <t>ECHEQ 304</t>
  </si>
  <si>
    <t>ECHEQ 235</t>
  </si>
  <si>
    <t>RISCAS</t>
  </si>
  <si>
    <t>ECHEQ 238</t>
  </si>
  <si>
    <t>ECHEQ 239</t>
  </si>
  <si>
    <t>ECHEQ 292</t>
  </si>
  <si>
    <t>ECHEQ 293</t>
  </si>
  <si>
    <t>ECHEQ 294</t>
  </si>
  <si>
    <t>ECHEQ 305</t>
  </si>
  <si>
    <t>ECHEQ 306</t>
  </si>
  <si>
    <t>ECHEQ 307</t>
  </si>
  <si>
    <t>ECHEQ 308</t>
  </si>
  <si>
    <t>DALLA  ANDRES CARLOS</t>
  </si>
  <si>
    <t>ECHEQ 309</t>
  </si>
  <si>
    <t>ECHEQ 310</t>
  </si>
  <si>
    <t>ECHEQ 311</t>
  </si>
  <si>
    <t>ECHEQ 314</t>
  </si>
  <si>
    <t>ECHEQ 315</t>
  </si>
  <si>
    <t>ECHEQ 316</t>
  </si>
  <si>
    <t>ECHEQ 317</t>
  </si>
  <si>
    <t>ECHEQ 318</t>
  </si>
  <si>
    <t>PUCHETA</t>
  </si>
  <si>
    <t>ECHEQ 319</t>
  </si>
  <si>
    <t>ECHEQ 320</t>
  </si>
  <si>
    <t>ACEPTADO</t>
  </si>
  <si>
    <t>ECHEQ 321</t>
  </si>
  <si>
    <t>TODOS LOS 15 HASTA AGOSTO</t>
  </si>
  <si>
    <t>ECHEQ 322</t>
  </si>
  <si>
    <t>ECHEQ 327</t>
  </si>
  <si>
    <t>DITRAN SA</t>
  </si>
  <si>
    <t>ECHEQ 328</t>
  </si>
  <si>
    <t>ECHEQ 329</t>
  </si>
  <si>
    <t>VENCIDO</t>
  </si>
  <si>
    <t>ECHEQ 330</t>
  </si>
  <si>
    <t>ECHEQ 331</t>
  </si>
  <si>
    <t>ECHEQ 333</t>
  </si>
  <si>
    <t>ECHEQ 332</t>
  </si>
  <si>
    <t>ECHEQ 334</t>
  </si>
  <si>
    <t>ECHEQ 335</t>
  </si>
  <si>
    <t>ELECTRODOS</t>
  </si>
  <si>
    <t>ECHEQ 336</t>
  </si>
  <si>
    <t>ECHEQ 236</t>
  </si>
  <si>
    <t>ECHEQ 341</t>
  </si>
  <si>
    <t>ECHEQ 342</t>
  </si>
  <si>
    <t>ECHEQ 343</t>
  </si>
  <si>
    <t>FEDERACION</t>
  </si>
  <si>
    <t>,</t>
  </si>
  <si>
    <t>ECHEQ 344</t>
  </si>
  <si>
    <t>ECHEQ 345</t>
  </si>
  <si>
    <t>SIDERCO</t>
  </si>
  <si>
    <t>ECHEQ 346</t>
  </si>
  <si>
    <t>ECHEQ 347</t>
  </si>
  <si>
    <t>ECHEQ 348</t>
  </si>
  <si>
    <t>ECHEQ 349</t>
  </si>
  <si>
    <t>ECHEQ 323</t>
  </si>
  <si>
    <t>ECHEQ 350</t>
  </si>
  <si>
    <t>Número</t>
  </si>
  <si>
    <t>Recibido de</t>
  </si>
  <si>
    <t>Pago</t>
  </si>
  <si>
    <t>Emisión</t>
  </si>
  <si>
    <t>Importe</t>
  </si>
  <si>
    <t>Estado</t>
  </si>
  <si>
    <t>DOS57 SRL EN FORMACION</t>
  </si>
  <si>
    <t>Pagado</t>
  </si>
  <si>
    <t>Tipo</t>
  </si>
  <si>
    <t>LAFLIA</t>
  </si>
  <si>
    <t>ALMAFUERTE</t>
  </si>
  <si>
    <t>EN VIVO PRODUCCIONES SA</t>
  </si>
  <si>
    <t>Disponible</t>
  </si>
  <si>
    <t>San Francisco Evento</t>
  </si>
  <si>
    <t>CULTURA CLUB SA</t>
  </si>
  <si>
    <t>Depósito en proceso</t>
  </si>
  <si>
    <t>MUNI DE CORDOBA</t>
  </si>
  <si>
    <t>MUNI DE ALTA GRACIA</t>
  </si>
  <si>
    <t>JAGUARY MINK S.A</t>
  </si>
  <si>
    <t>PRO ENTERTAINMENT</t>
  </si>
  <si>
    <t xml:space="preserve">BS SPORTS BUSINESS &amp; ENTERTAINMENT </t>
  </si>
  <si>
    <t>CHEQUE FISICO</t>
  </si>
  <si>
    <t>TAMSE - EL MAGO SA</t>
  </si>
  <si>
    <t>TAMSE - INT GRANJA</t>
  </si>
  <si>
    <t>0000430</t>
  </si>
  <si>
    <t>TAMSE - RECHE</t>
  </si>
  <si>
    <t>TAMSE - SCHAVONI</t>
  </si>
  <si>
    <t>TAPIA</t>
  </si>
  <si>
    <t>TAMSE - MARRONE</t>
  </si>
  <si>
    <t>Fede Cragnolini</t>
  </si>
  <si>
    <t>Vendido</t>
  </si>
  <si>
    <t>ECHEQ 295</t>
  </si>
  <si>
    <t>ECHEQ 324</t>
  </si>
  <si>
    <t>DALLA ANDRES CARLOS (MULA)</t>
  </si>
  <si>
    <t>ECHEQ 351</t>
  </si>
  <si>
    <t>ECHEQ 352</t>
  </si>
  <si>
    <t>30306573</t>
  </si>
  <si>
    <t>30306574</t>
  </si>
  <si>
    <t>DOS57- GALICIA - FLUJO DE CHEQUES - JULIO 2023</t>
  </si>
  <si>
    <t>30306575</t>
  </si>
  <si>
    <t>DOS57- GALICIA - FLUJO DE CHEQUES - AGOSTO 2023</t>
  </si>
  <si>
    <t>30306576</t>
  </si>
  <si>
    <t>30306577</t>
  </si>
  <si>
    <t>DOS57- GALICIA - FLUJO DE CHEQUES - SEPTIEMBRE 2023</t>
  </si>
  <si>
    <t>ECHEQ 353</t>
  </si>
  <si>
    <t xml:space="preserve">FEDERACION </t>
  </si>
  <si>
    <t>ECHEQ 354</t>
  </si>
  <si>
    <t xml:space="preserve">LAYHER </t>
  </si>
  <si>
    <t>ECHEQ 355</t>
  </si>
  <si>
    <t>ECHEQ 356</t>
  </si>
  <si>
    <t>ECHEQ 357</t>
  </si>
  <si>
    <t>PEDIDO POR MATIAS</t>
  </si>
  <si>
    <t>SORIA ADALBERTO</t>
  </si>
  <si>
    <t>ECHEQ 358</t>
  </si>
  <si>
    <t>ECHEQ 325</t>
  </si>
  <si>
    <t>ECHEQ 326</t>
  </si>
  <si>
    <t>ECHEQ 296</t>
  </si>
  <si>
    <t>ECHEQ 297</t>
  </si>
  <si>
    <t>ECHEQ 298</t>
  </si>
  <si>
    <t>ECHEQ 360</t>
  </si>
  <si>
    <t>30306580</t>
  </si>
  <si>
    <t>ECHEQ 361</t>
  </si>
  <si>
    <t>VESUBIO S.A.</t>
  </si>
  <si>
    <t>ECHEQ 362</t>
  </si>
  <si>
    <t>ECHEQ 364</t>
  </si>
  <si>
    <t>ECHEQ 363</t>
  </si>
  <si>
    <t>ECHEQ 365</t>
  </si>
  <si>
    <t>ECHEQ 366</t>
  </si>
  <si>
    <t>DON LALO</t>
  </si>
  <si>
    <t>ECHEQ 369</t>
  </si>
  <si>
    <t>ELECTROCORDOBA</t>
  </si>
  <si>
    <t>ECHEQ 370</t>
  </si>
  <si>
    <t>ECHEQ 374</t>
  </si>
  <si>
    <t>CIMA</t>
  </si>
  <si>
    <t>DOS57- GALICIA - FLUJO DE CHEQUES - OCTUBRE 2023</t>
  </si>
  <si>
    <t>ECHEQ 299</t>
  </si>
  <si>
    <t>DOS57- GALICIA - FLUJO DE CHEQUES - NOVIEMBRE 2023</t>
  </si>
  <si>
    <t>ECHEQ 300</t>
  </si>
  <si>
    <t>DOS57- GALICIA - FLUJO DE CHEQUES - DICIEMBRE 2023</t>
  </si>
  <si>
    <t>ECHEQ 301</t>
  </si>
  <si>
    <t>DOS57- GALICIA - FLUJO DE CHEQUES - ENERO 2024</t>
  </si>
  <si>
    <t>ECHEQ 302</t>
  </si>
  <si>
    <t>GIRAUDO</t>
  </si>
  <si>
    <t>ECHEQ 371</t>
  </si>
  <si>
    <t>DIESEL CALDERON</t>
  </si>
  <si>
    <t>ECHEQ 372</t>
  </si>
  <si>
    <t>ECHEQ 373</t>
  </si>
  <si>
    <t>ECHEQ 375</t>
  </si>
  <si>
    <t>ECHEQ 376</t>
  </si>
  <si>
    <t>ECHEQ 377</t>
  </si>
  <si>
    <t>ECHEQ 378</t>
  </si>
  <si>
    <t>ECHEQ 379</t>
  </si>
  <si>
    <t>ECHEQ 380</t>
  </si>
  <si>
    <t>ECHEQ 383</t>
  </si>
  <si>
    <t>ECHEQ 384</t>
  </si>
  <si>
    <t>CUENCA MANUEL IGN</t>
  </si>
  <si>
    <t>ECHEQ 385</t>
  </si>
  <si>
    <t>ECHEQ 386</t>
  </si>
  <si>
    <t>ECHEQ 387</t>
  </si>
  <si>
    <t>30306582</t>
  </si>
  <si>
    <t>30306583</t>
  </si>
  <si>
    <t>FEDE P/CAJA DE ANDREA</t>
  </si>
  <si>
    <t>30306585</t>
  </si>
  <si>
    <t>30306586</t>
  </si>
  <si>
    <t>30306587</t>
  </si>
  <si>
    <t>30306588</t>
  </si>
  <si>
    <t>30306589</t>
  </si>
  <si>
    <t>30306590</t>
  </si>
  <si>
    <t>30306591</t>
  </si>
  <si>
    <t>30306592</t>
  </si>
  <si>
    <t>30306593</t>
  </si>
  <si>
    <t>30306594</t>
  </si>
  <si>
    <t>30306595</t>
  </si>
  <si>
    <t>30306597</t>
  </si>
  <si>
    <t>30306598</t>
  </si>
  <si>
    <t>ALBAÑIL SERGIO ROMAN</t>
  </si>
  <si>
    <t>30306599</t>
  </si>
  <si>
    <t>P/SUELDOS - CAJA CHICA</t>
  </si>
  <si>
    <t>303065600</t>
  </si>
  <si>
    <t>DAPONTE</t>
  </si>
  <si>
    <t>30306601</t>
  </si>
  <si>
    <t>P/UNIFORMES</t>
  </si>
  <si>
    <t>30306602</t>
  </si>
  <si>
    <t>30306603</t>
  </si>
  <si>
    <t>ECHEQ 368</t>
  </si>
  <si>
    <t>ECHEQ 390</t>
  </si>
  <si>
    <t>ECHEQ 389</t>
  </si>
  <si>
    <t>ECHEQ 388</t>
  </si>
  <si>
    <t>PLASTICOS SAN CAYETANO</t>
  </si>
  <si>
    <t>ECHEQ 391</t>
  </si>
  <si>
    <t>ECHEQ 393</t>
  </si>
  <si>
    <t>ECHEQ 392</t>
  </si>
  <si>
    <t>ECHEQ 402</t>
  </si>
  <si>
    <t>ECHEQ 401</t>
  </si>
  <si>
    <t>CONTAINEX</t>
  </si>
  <si>
    <t>ECHEQ 400</t>
  </si>
  <si>
    <t>ECHEQ 399</t>
  </si>
  <si>
    <t>ECHEQ 398</t>
  </si>
  <si>
    <t>ECHEQ 397</t>
  </si>
  <si>
    <t>ECHEQ 396</t>
  </si>
  <si>
    <t>ECHEQ 395</t>
  </si>
  <si>
    <t>ECHEQ 394</t>
  </si>
  <si>
    <t>ECHEQ 408</t>
  </si>
  <si>
    <t>ECHEQ 407</t>
  </si>
  <si>
    <t>FEDE CRAGNOLINI</t>
  </si>
  <si>
    <t>ECHEQ 406</t>
  </si>
  <si>
    <t>ECHEQ 405</t>
  </si>
  <si>
    <t>ECHEQ 404</t>
  </si>
  <si>
    <t>ECHEQ 403</t>
  </si>
  <si>
    <t>ECHEQ 435</t>
  </si>
  <si>
    <t>ECHEQ 434</t>
  </si>
  <si>
    <t>ECHEQ 433</t>
  </si>
  <si>
    <t>ECHEQ 432</t>
  </si>
  <si>
    <t>ECHEQ 431</t>
  </si>
  <si>
    <t>ECHEQ 429</t>
  </si>
  <si>
    <t>ECHEQ 428</t>
  </si>
  <si>
    <t>ECHEQ 427</t>
  </si>
  <si>
    <t>ECHEQ 426</t>
  </si>
  <si>
    <t>ECHEQ 425</t>
  </si>
  <si>
    <t>ECHEQ 424</t>
  </si>
  <si>
    <t>ECHEQ 423</t>
  </si>
  <si>
    <t>ECHEQ 421</t>
  </si>
  <si>
    <t>ECHEQ 420</t>
  </si>
  <si>
    <t>SERGIO YANKILEVICH</t>
  </si>
  <si>
    <t>ECHEQ 418</t>
  </si>
  <si>
    <t>ECHEQ 417</t>
  </si>
  <si>
    <t>ECHEQ 419</t>
  </si>
  <si>
    <t>ECHEQ 415</t>
  </si>
  <si>
    <t>ECHEQ 416</t>
  </si>
  <si>
    <t>ECHEQ 414</t>
  </si>
  <si>
    <t>ECHEQ 413</t>
  </si>
  <si>
    <t>MEDITERRANEA DIESEL</t>
  </si>
  <si>
    <t>MONTECENTRO</t>
  </si>
  <si>
    <t>ECHEQ 409</t>
  </si>
  <si>
    <t>ECHEQ 410</t>
  </si>
  <si>
    <t>ECHEQ 430</t>
  </si>
  <si>
    <t>FABRICACION DE VALLAS</t>
  </si>
  <si>
    <t>ECHEQ 411</t>
  </si>
  <si>
    <t>ECHEQ 412</t>
  </si>
  <si>
    <t>ECHEQ 436</t>
  </si>
  <si>
    <t>ECHEQ 437</t>
  </si>
  <si>
    <t xml:space="preserve">FEDERACION PATRONAL </t>
  </si>
  <si>
    <t>ECHEQ 450</t>
  </si>
  <si>
    <t>ECHEQ 447</t>
  </si>
  <si>
    <t>VIZUALNI</t>
  </si>
  <si>
    <t>ECHEQ 448</t>
  </si>
  <si>
    <t>ECHEQ 438</t>
  </si>
  <si>
    <t>ECHEQ 441</t>
  </si>
  <si>
    <t>AMERICAN VIAL</t>
  </si>
  <si>
    <t>ECHEQ 449</t>
  </si>
  <si>
    <t>ECHEQ 439</t>
  </si>
  <si>
    <t>ECHEQ 442</t>
  </si>
  <si>
    <t>ECHEQ 443</t>
  </si>
  <si>
    <t>ECHEQ 444</t>
  </si>
  <si>
    <t>ECHEQ 422</t>
  </si>
  <si>
    <t>ECHEQ 440</t>
  </si>
  <si>
    <t>ECHEQ 464</t>
  </si>
  <si>
    <t xml:space="preserve">FRANCOLATINA </t>
  </si>
  <si>
    <t>ECHEQ 453</t>
  </si>
  <si>
    <t>ECHEQ 456</t>
  </si>
  <si>
    <t>ECHEQ 451</t>
  </si>
  <si>
    <t>ECHEQ 463</t>
  </si>
  <si>
    <t>ECHEQ 454</t>
  </si>
  <si>
    <t>ECHEQ 474</t>
  </si>
  <si>
    <t>ECHEQ 475</t>
  </si>
  <si>
    <t>ECHEQ 469</t>
  </si>
  <si>
    <t>DE COLOR</t>
  </si>
  <si>
    <t>ECHEQ 470</t>
  </si>
  <si>
    <t>ECHEQ 471</t>
  </si>
  <si>
    <t>ECHEQ 455</t>
  </si>
  <si>
    <t>ECHEQ 452</t>
  </si>
  <si>
    <t>ECHEQ 465</t>
  </si>
  <si>
    <t>ESTEBAN BIASI</t>
  </si>
  <si>
    <t>ECHEQ 457</t>
  </si>
  <si>
    <t>ECHEQ 458</t>
  </si>
  <si>
    <t>ROSSANA OCHOA</t>
  </si>
  <si>
    <t>ECHEQ 472</t>
  </si>
  <si>
    <t>ECHEQ 466</t>
  </si>
  <si>
    <t>ECHEQ 467</t>
  </si>
  <si>
    <t>ECHEQ 476</t>
  </si>
  <si>
    <t>ECHEQ 477</t>
  </si>
  <si>
    <t>ECHEQ 459</t>
  </si>
  <si>
    <t>ECHEQ 460</t>
  </si>
  <si>
    <t>ECHEQ 461</t>
  </si>
  <si>
    <t>ECHEQ 462</t>
  </si>
  <si>
    <t>ECHEQ 468</t>
  </si>
  <si>
    <t>ECHEQ 473</t>
  </si>
  <si>
    <t>ECHEQ 445</t>
  </si>
  <si>
    <t>DOS57- GALICIA - FLUJO DE CHEQUES - FEBRERO 2024</t>
  </si>
  <si>
    <t>30306604</t>
  </si>
  <si>
    <t>LUCIANA BRANDING</t>
  </si>
  <si>
    <t>30306605</t>
  </si>
  <si>
    <t>30306609</t>
  </si>
  <si>
    <t>30306606</t>
  </si>
  <si>
    <t>30306607</t>
  </si>
  <si>
    <t>30652401</t>
  </si>
  <si>
    <t>30652402</t>
  </si>
  <si>
    <t>30652403</t>
  </si>
  <si>
    <t>30652404</t>
  </si>
  <si>
    <t>30652405</t>
  </si>
  <si>
    <t>ECHEQ 480</t>
  </si>
  <si>
    <t>GAN MAR</t>
  </si>
  <si>
    <t>ECHEQ 478</t>
  </si>
  <si>
    <t>ECHEQ 481</t>
  </si>
  <si>
    <t>ECHEQ 482</t>
  </si>
  <si>
    <t>ECHEQ 483</t>
  </si>
  <si>
    <t>ECHEQ 484</t>
  </si>
  <si>
    <t>ECHEQ 485</t>
  </si>
  <si>
    <t>ECHEQ 486</t>
  </si>
  <si>
    <t>ECHEQ 487</t>
  </si>
  <si>
    <t>MIGUEL ANGEL PAPA</t>
  </si>
  <si>
    <t>ECHEQ 488</t>
  </si>
  <si>
    <t>ECHEQ 489</t>
  </si>
  <si>
    <t>ECHEQ 490</t>
  </si>
  <si>
    <t>ECHEQ 492</t>
  </si>
  <si>
    <t>ECHEQ 493</t>
  </si>
  <si>
    <t>ECHEQ 494</t>
  </si>
  <si>
    <t>MUEBLES</t>
  </si>
  <si>
    <t>ECHEQ 479</t>
  </si>
  <si>
    <t>30306608</t>
  </si>
  <si>
    <t>ECHEQ 495</t>
  </si>
  <si>
    <t>DALLA ANDRES CARLOS</t>
  </si>
  <si>
    <t>ECHEQ 496</t>
  </si>
  <si>
    <t>ECHEQ 498</t>
  </si>
  <si>
    <t>ECHEQ 499</t>
  </si>
  <si>
    <t>ECHEQ 500</t>
  </si>
  <si>
    <t>ECHEQ 501</t>
  </si>
  <si>
    <t>ECHEQ 502</t>
  </si>
  <si>
    <t>ECHEQ 503</t>
  </si>
  <si>
    <t>ECHEQ 504</t>
  </si>
  <si>
    <t>ECHEQ 505</t>
  </si>
  <si>
    <t>ECHEQ 497</t>
  </si>
  <si>
    <t>ECHEQ 512</t>
  </si>
  <si>
    <t>ECHEQ 506</t>
  </si>
  <si>
    <t>ECHEQ 522</t>
  </si>
  <si>
    <t>ECHEQ 508</t>
  </si>
  <si>
    <t>ECHEQ 509</t>
  </si>
  <si>
    <t>ECHEQ 523</t>
  </si>
  <si>
    <t>ECHEQ 524</t>
  </si>
  <si>
    <t>ECHEQ 525</t>
  </si>
  <si>
    <t>ECHEQ 526</t>
  </si>
  <si>
    <t>ECHEQ 510</t>
  </si>
  <si>
    <t>ECHEQ 528</t>
  </si>
  <si>
    <t>ECHEQ 529</t>
  </si>
  <si>
    <t>ECHEQ 511</t>
  </si>
  <si>
    <t>ECHEQ 507</t>
  </si>
  <si>
    <t>ECHEQ 527</t>
  </si>
  <si>
    <t>ECHEQ 517</t>
  </si>
  <si>
    <t>ECHEQ 518</t>
  </si>
  <si>
    <t>ECHEQ 519</t>
  </si>
  <si>
    <t>ECHEQ 520</t>
  </si>
  <si>
    <t>ECHEQ 533</t>
  </si>
  <si>
    <t>ECHEQ 534</t>
  </si>
  <si>
    <t>ECHEQ 535</t>
  </si>
  <si>
    <t>ECHEQ 532</t>
  </si>
  <si>
    <t>ECHEQ 530</t>
  </si>
  <si>
    <t xml:space="preserve">CENTRO ACERO </t>
  </si>
  <si>
    <t>ECHEQ 531</t>
  </si>
  <si>
    <t>MARCOS DANIEL MARTINI</t>
  </si>
  <si>
    <t>ECHEQ 521</t>
  </si>
  <si>
    <t>VISCA NEUMATICO</t>
  </si>
  <si>
    <t>ECHEQ 536</t>
  </si>
  <si>
    <t>AUTOMOTORES MAIPU</t>
  </si>
  <si>
    <t>DOS57- GALICIA - FLUJO DE CHEQUES - MARZO 2024</t>
  </si>
  <si>
    <t>DOS57- GALICIA - FLUJO DE CHEQUES - ABRIL 2024</t>
  </si>
  <si>
    <t>DOS57- GALICIA - FLUJO DE CHEQUES - MAYO 2024</t>
  </si>
  <si>
    <t>DOS57- GALICIA - FLUJO DE CHEQUES - JUNIO 2024</t>
  </si>
  <si>
    <t>DOS57- GALICIA - FLUJO DE CHEQUES - JULIO 2024</t>
  </si>
  <si>
    <t>DOS57- GALICIA - FLUJO DE CHEQUES - AGOSTO 2024</t>
  </si>
  <si>
    <t>DOS57- GALICIA - FLUJO DE CHEQUES - SEPTIEMBRE 2024</t>
  </si>
  <si>
    <t>DOS57- GALICIA - FLUJO DE CHEQUES - OCTUBRE 2024</t>
  </si>
  <si>
    <t>DOS57- GALICIA - FLUJO DE CHEQUES - NOVIEMBRE 2024</t>
  </si>
  <si>
    <t>DOS57- GALICIA - FLUJO DE CHEQUES - DICIEMBRE 2024</t>
  </si>
  <si>
    <t>ECHEQ 537</t>
  </si>
  <si>
    <t>ECHEQ 538</t>
  </si>
  <si>
    <t>ECHEQ 539</t>
  </si>
  <si>
    <t>ECHEQ 540</t>
  </si>
  <si>
    <t>30652406</t>
  </si>
  <si>
    <t>30652407</t>
  </si>
  <si>
    <t>30652408</t>
  </si>
  <si>
    <t>30652410</t>
  </si>
  <si>
    <t>ECHEQ 542</t>
  </si>
  <si>
    <t>ECHEQ 541</t>
  </si>
  <si>
    <t>30652415</t>
  </si>
  <si>
    <t>30652412</t>
  </si>
  <si>
    <t>30652413</t>
  </si>
  <si>
    <t xml:space="preserve">DEL PINO </t>
  </si>
  <si>
    <t>ECHEQ 548</t>
  </si>
  <si>
    <t>ECHEQ 547</t>
  </si>
  <si>
    <t>ECHEQ 546</t>
  </si>
  <si>
    <t>ECHEQ 544</t>
  </si>
  <si>
    <t>FEDE CAJA CHICA</t>
  </si>
  <si>
    <t xml:space="preserve">POLLO SUELDOS </t>
  </si>
  <si>
    <t>ECHEQ 562</t>
  </si>
  <si>
    <t>ECHEQ 561</t>
  </si>
  <si>
    <t>ECHEQ 560</t>
  </si>
  <si>
    <t>ECHEQ 559</t>
  </si>
  <si>
    <t>ECHEQ 558</t>
  </si>
  <si>
    <t>ECHEQ 556</t>
  </si>
  <si>
    <t>ECHEQ 553</t>
  </si>
  <si>
    <t>ECHEQ 550</t>
  </si>
  <si>
    <t>ECHEQ 554</t>
  </si>
  <si>
    <t>CIMA SRL</t>
  </si>
  <si>
    <t>ECHEQ 549</t>
  </si>
  <si>
    <t>ECHEQ 555</t>
  </si>
  <si>
    <t>CENTRO ACERO SRL</t>
  </si>
  <si>
    <t>ECHEQ 557</t>
  </si>
  <si>
    <t>MONTIRONI AUTOMOTORES SA</t>
  </si>
  <si>
    <t>ECHEQ 563</t>
  </si>
  <si>
    <t>ECHEQ 564</t>
  </si>
  <si>
    <t>TALLERES GAN-MAR SRL</t>
  </si>
  <si>
    <t>ECHEQ 566</t>
  </si>
  <si>
    <t>ECHEQ 571</t>
  </si>
  <si>
    <t>ECHEQ 577</t>
  </si>
  <si>
    <t>CONTROL Y SERVICIO S.R.L.</t>
  </si>
  <si>
    <t>ECHEQ 572</t>
  </si>
  <si>
    <t>ECHEQ 575</t>
  </si>
  <si>
    <t>ECHEQ 576</t>
  </si>
  <si>
    <t>ECHEQ 578</t>
  </si>
  <si>
    <t>ECHEQ 579</t>
  </si>
  <si>
    <t>ELECTRODOS CORDOBA S.C.</t>
  </si>
  <si>
    <t>ECHEQ 565</t>
  </si>
  <si>
    <t>ECHEQ 580</t>
  </si>
  <si>
    <t>ECHEQ 581</t>
  </si>
  <si>
    <t>ECHEQ 446</t>
  </si>
  <si>
    <t>ECHEQ 567</t>
  </si>
  <si>
    <t>ECHEQ 573</t>
  </si>
  <si>
    <t>ECHEQ 574</t>
  </si>
  <si>
    <t>ECHEQ 583</t>
  </si>
  <si>
    <t>ECHEQ 586</t>
  </si>
  <si>
    <t>DALLA COST ANDRES CAR</t>
  </si>
  <si>
    <t>ECHEQ 587</t>
  </si>
  <si>
    <t>ECHEQ 596</t>
  </si>
  <si>
    <t>FEDERACIÓN</t>
  </si>
  <si>
    <t>BATERIAS ONEBAT SAS</t>
  </si>
  <si>
    <t>ECHEQ 585</t>
  </si>
  <si>
    <t>ECHEQ 582</t>
  </si>
  <si>
    <t>ECHEQ 584</t>
  </si>
  <si>
    <t>ECHEQ 588</t>
  </si>
  <si>
    <t>ECHEQ 589</t>
  </si>
  <si>
    <t>LAYHER SUDAMERICANA SA</t>
  </si>
  <si>
    <t>ECHEQ 590</t>
  </si>
  <si>
    <t>ECHEQ 591</t>
  </si>
  <si>
    <t>ECHEQ 592</t>
  </si>
  <si>
    <t>ECHEQ 593</t>
  </si>
  <si>
    <t>ECHEQ 594</t>
  </si>
  <si>
    <t>ECHEQ 595</t>
  </si>
  <si>
    <t>ECHEQ 621</t>
  </si>
  <si>
    <t>ECHEQ 620</t>
  </si>
  <si>
    <t>VECOR SRL</t>
  </si>
  <si>
    <t>ECHEQ 619</t>
  </si>
  <si>
    <t>JOSE MARIA GRELLA</t>
  </si>
  <si>
    <t>ECHEQ 618</t>
  </si>
  <si>
    <t>ECHEQ 617</t>
  </si>
  <si>
    <t>ECHEQ 616</t>
  </si>
  <si>
    <t>DALLA COSTA ANDRES</t>
  </si>
  <si>
    <t>ECHEQ 614</t>
  </si>
  <si>
    <t>ECHEQ 611</t>
  </si>
  <si>
    <t>CENTRAL SOC. DE RESPONSABILIDAD</t>
  </si>
  <si>
    <t>ECHEQ 610</t>
  </si>
  <si>
    <t>ECHEQ 609</t>
  </si>
  <si>
    <t>ECHEQ 607</t>
  </si>
  <si>
    <t>ECHEQ 605</t>
  </si>
  <si>
    <t>ECHEQ 604</t>
  </si>
  <si>
    <t>ECHEQ 603</t>
  </si>
  <si>
    <t>ECHEQ 602</t>
  </si>
  <si>
    <t>ECHEQ 601</t>
  </si>
  <si>
    <t>ECHEQ 600</t>
  </si>
  <si>
    <t>ECHEQ 598</t>
  </si>
  <si>
    <t>ECHEQ 597</t>
  </si>
  <si>
    <t>ECHEQ 612</t>
  </si>
  <si>
    <t>ECHEQ 606</t>
  </si>
  <si>
    <t>ECHEQ 613</t>
  </si>
  <si>
    <t>30652418</t>
  </si>
  <si>
    <t>INDUTEC</t>
  </si>
  <si>
    <t>30652419</t>
  </si>
  <si>
    <t>30652420</t>
  </si>
  <si>
    <t>30652421</t>
  </si>
  <si>
    <t>30652422</t>
  </si>
  <si>
    <t>ECHEQ 623</t>
  </si>
  <si>
    <t>ECHEQ 622</t>
  </si>
  <si>
    <t>ECHEQ 625</t>
  </si>
  <si>
    <t>ECHEQ 626</t>
  </si>
  <si>
    <t>ECHEQ 624</t>
  </si>
  <si>
    <t>ECHEQ 629</t>
  </si>
  <si>
    <t>MEDITERRANEA DIESEL SRL</t>
  </si>
  <si>
    <t>ECHEQ 628</t>
  </si>
  <si>
    <t>ECHEQ 631</t>
  </si>
  <si>
    <t>ECHEQ 630</t>
  </si>
  <si>
    <t>ECHEQ 632</t>
  </si>
  <si>
    <t>CENPECOR SAS</t>
  </si>
  <si>
    <t>ECHEQ 633</t>
  </si>
  <si>
    <t>ECHEQ 634</t>
  </si>
  <si>
    <t>ECHEQ 635</t>
  </si>
  <si>
    <t>ECHEQ 636</t>
  </si>
  <si>
    <t>ECHEQ 637</t>
  </si>
  <si>
    <t>ECHEQ 638</t>
  </si>
  <si>
    <t>ECHEQ 639</t>
  </si>
  <si>
    <t>ECHEQ 644</t>
  </si>
  <si>
    <t>ECHEQ 643</t>
  </si>
  <si>
    <t>ECHEQ 640</t>
  </si>
  <si>
    <t>ECHEQ 645</t>
  </si>
  <si>
    <t>NATIONAL SERVICE ARG (PROHYGIENE)</t>
  </si>
  <si>
    <t>ECHEQ 642</t>
  </si>
  <si>
    <t>ECHEQ 641</t>
  </si>
  <si>
    <t>ECHEQ 647</t>
  </si>
  <si>
    <t>ECHEQ 646</t>
  </si>
  <si>
    <t>ECHEQ 648</t>
  </si>
  <si>
    <t>KOUTSOUBOS JOSE PABLO (P ENTRADA)</t>
  </si>
  <si>
    <t>30652423</t>
  </si>
  <si>
    <t>NN</t>
  </si>
  <si>
    <t>ECHEQ 649</t>
  </si>
  <si>
    <t>30652424</t>
  </si>
  <si>
    <t>RICHETTA Y CIA S A</t>
  </si>
  <si>
    <t>ECHEQ 650</t>
  </si>
  <si>
    <t>ECHEQ 651</t>
  </si>
  <si>
    <t>DON LALO SRL EN FORMACION</t>
  </si>
  <si>
    <t>30652425</t>
  </si>
  <si>
    <t>30652426</t>
  </si>
  <si>
    <t>ECHEQ 652</t>
  </si>
  <si>
    <t>FEDERACIÓN PATRONAL</t>
  </si>
  <si>
    <t>ECHEQ 661</t>
  </si>
  <si>
    <t>QUIMAX S.A.</t>
  </si>
  <si>
    <t>ECHEQ 657</t>
  </si>
  <si>
    <t>ECHEQ 658</t>
  </si>
  <si>
    <t>VILLASANA ROBERTO ROMAN (ROVI)</t>
  </si>
  <si>
    <t>DALLA COST ANDRES (MAQ. CENTRO)</t>
  </si>
  <si>
    <t>30652427</t>
  </si>
  <si>
    <t>ECHEQ 653</t>
  </si>
  <si>
    <t>DANIEL OSVALDO TITTARELLI</t>
  </si>
  <si>
    <t>ECHEQ 672</t>
  </si>
  <si>
    <t>ECHEQ 663</t>
  </si>
  <si>
    <t>ECHEQ 664</t>
  </si>
  <si>
    <t>ECHEQ 665</t>
  </si>
  <si>
    <t>ECHEQ 655</t>
  </si>
  <si>
    <t>ALOCHIS CARLOS ALBERTO</t>
  </si>
  <si>
    <t>ECHEQ 659</t>
  </si>
  <si>
    <t>ECHEQ 654</t>
  </si>
  <si>
    <t>ECHEQ 673</t>
  </si>
  <si>
    <t>ECHEQ 662</t>
  </si>
  <si>
    <t>ECHEQ 670</t>
  </si>
  <si>
    <t>ECHEQ 666</t>
  </si>
  <si>
    <t>ECHEQ 656</t>
  </si>
  <si>
    <t>ECHEQ 667</t>
  </si>
  <si>
    <t>30652428</t>
  </si>
  <si>
    <t>ECHEQ 660</t>
  </si>
  <si>
    <t>ECHEQ 674</t>
  </si>
  <si>
    <t>ECHEQ 668</t>
  </si>
  <si>
    <t>ECHEQ 671</t>
  </si>
  <si>
    <t>ECHEQ 669</t>
  </si>
  <si>
    <t>30652429</t>
  </si>
  <si>
    <t>ECHEQ 675</t>
  </si>
  <si>
    <t>ECHEQ 680</t>
  </si>
  <si>
    <t>DIESEL CALDERON S.R.L.</t>
  </si>
  <si>
    <t>ECHEQ 679</t>
  </si>
  <si>
    <t>PAPEZOPP S.A.S.</t>
  </si>
  <si>
    <t>ECHEQ 676</t>
  </si>
  <si>
    <t>ECHEQ 677</t>
  </si>
  <si>
    <t>ECHEQ 684</t>
  </si>
  <si>
    <t>ECHEQ 687</t>
  </si>
  <si>
    <t>ECHEQ 690</t>
  </si>
  <si>
    <t>ECHEQ 688</t>
  </si>
  <si>
    <t>ECHEQ 691</t>
  </si>
  <si>
    <t>ECHEQ 693</t>
  </si>
  <si>
    <t>ECHEQ 694</t>
  </si>
  <si>
    <t>ECHEQ 678</t>
  </si>
  <si>
    <t>ECHEQ 695</t>
  </si>
  <si>
    <t>ECHEQ 682</t>
  </si>
  <si>
    <t>ECHEQ 681</t>
  </si>
  <si>
    <t>DIESEL CALDERON SRL</t>
  </si>
  <si>
    <t>ECHEQ 685</t>
  </si>
  <si>
    <t>ECHEQ 689</t>
  </si>
  <si>
    <t>CABLES DE ACERO SRL</t>
  </si>
  <si>
    <t>ECHEQ 692</t>
  </si>
  <si>
    <t>ECHEQ 683</t>
  </si>
  <si>
    <t>ECHEQ 686</t>
  </si>
  <si>
    <t>30652430</t>
  </si>
  <si>
    <t>30652431</t>
  </si>
  <si>
    <t>30652432</t>
  </si>
  <si>
    <t>30652433</t>
  </si>
  <si>
    <t>30652434</t>
  </si>
  <si>
    <t>EXTRA GALARA</t>
  </si>
  <si>
    <t>BRENTAN</t>
  </si>
  <si>
    <t>30652435</t>
  </si>
  <si>
    <t>30652436</t>
  </si>
  <si>
    <t>RETIRO POR VENTANILLA GALICIA</t>
  </si>
  <si>
    <t>30652437</t>
  </si>
  <si>
    <t>CANCELACIÓN EXTRAS BRANDING FINAL GALARA</t>
  </si>
  <si>
    <t>30652438</t>
  </si>
  <si>
    <t>CANCELACIÓN ALBAÑIL CUOTA 3</t>
  </si>
  <si>
    <t>ECHEQ 696</t>
  </si>
  <si>
    <t>30652439</t>
  </si>
  <si>
    <t>JUAN PABLO CALZADO DE SEGURIDAD</t>
  </si>
  <si>
    <t>30652440</t>
  </si>
  <si>
    <t>J.PABLO CALZADO DE SEG. ENJOY</t>
  </si>
  <si>
    <t>30652441</t>
  </si>
  <si>
    <t>30652442</t>
  </si>
  <si>
    <t>ECHEQ 697</t>
  </si>
  <si>
    <t>ECHEQ 698</t>
  </si>
  <si>
    <t>ECHEQ 699</t>
  </si>
  <si>
    <t>ECHEQ 700</t>
  </si>
  <si>
    <t>ECHEQ 701</t>
  </si>
  <si>
    <t>ECHEQ 702</t>
  </si>
  <si>
    <t>ECHEQ 703</t>
  </si>
  <si>
    <t>ECHEQ 704</t>
  </si>
  <si>
    <t>ECHEQ 705</t>
  </si>
  <si>
    <t>ECHEQ 706</t>
  </si>
  <si>
    <t>ECHEQ 707</t>
  </si>
  <si>
    <t>30652443</t>
  </si>
  <si>
    <t>JUAN PABLO MÁQUINA CIRCULAR</t>
  </si>
  <si>
    <t>ECHEQ 710</t>
  </si>
  <si>
    <t>ECHEQ 713</t>
  </si>
  <si>
    <t>ECHEQ 712</t>
  </si>
  <si>
    <t>TEMUCO SRL</t>
  </si>
  <si>
    <t>ECHEQ 714</t>
  </si>
  <si>
    <t>30652444</t>
  </si>
  <si>
    <t>MANO DE OBRA PILETA (JUAN PABLO)</t>
  </si>
  <si>
    <t>ECHEQ 711</t>
  </si>
  <si>
    <t>COLCOR SA</t>
  </si>
  <si>
    <t>ECHEQ 715</t>
  </si>
  <si>
    <t>30652445</t>
  </si>
  <si>
    <t>MANO DE OBRA PILERA (JUAN PABLO)</t>
  </si>
  <si>
    <t>ECHEQ 708</t>
  </si>
  <si>
    <t>31266711</t>
  </si>
  <si>
    <t>ECHEQ 716</t>
  </si>
  <si>
    <t>KOUTSOUBOS JOSE PABLO</t>
  </si>
  <si>
    <t>ECHEQ 717</t>
  </si>
  <si>
    <t>ECHEQ 718</t>
  </si>
  <si>
    <t>ECHEQ 720</t>
  </si>
  <si>
    <t>RIGA YANELLO MAXIMILIANO</t>
  </si>
  <si>
    <t>ECHEQ 723</t>
  </si>
  <si>
    <t>MERCEDES BENZ</t>
  </si>
  <si>
    <t>ECHEQ 724</t>
  </si>
  <si>
    <t>ECHEQ 726</t>
  </si>
  <si>
    <t>ECHEQ 725</t>
  </si>
  <si>
    <t>ECHEQ 727</t>
  </si>
  <si>
    <t xml:space="preserve">DON LALO </t>
  </si>
  <si>
    <t>ECHEQ 728</t>
  </si>
  <si>
    <t>ECHEQ 736</t>
  </si>
  <si>
    <t>DALLA COSTA ANDRES CAR</t>
  </si>
  <si>
    <t>ECHEQ 733</t>
  </si>
  <si>
    <t>ECHEQ 735</t>
  </si>
  <si>
    <t>ECHEQ 734</t>
  </si>
  <si>
    <t>ECHEQ 731</t>
  </si>
  <si>
    <t>REPUESTOS RUTA 20 SRL</t>
  </si>
  <si>
    <t>ECHEQ 730</t>
  </si>
  <si>
    <t>REPUESTOS PESADOS SAS</t>
  </si>
  <si>
    <t>ECHEQ 732</t>
  </si>
  <si>
    <t>ECHEQ 739</t>
  </si>
  <si>
    <t>ECHEQ 744</t>
  </si>
  <si>
    <t>31266712</t>
  </si>
  <si>
    <t>BRENTAN CONSUMOS AL 9/9</t>
  </si>
  <si>
    <t>ECHEQ 748</t>
  </si>
  <si>
    <t>CUBIERTO EN BANCO Y ENVIADO POR TRANSFERENCIA</t>
  </si>
  <si>
    <t>ECHEQ 749</t>
  </si>
  <si>
    <t>ECHEQ 760</t>
  </si>
  <si>
    <t>ECHEQ 746</t>
  </si>
  <si>
    <t>ECHEQ 758</t>
  </si>
  <si>
    <t>ECHEQ 761</t>
  </si>
  <si>
    <t>ECHEQ 756</t>
  </si>
  <si>
    <t>ECHEQ 747</t>
  </si>
  <si>
    <t>ECHEQ 759</t>
  </si>
  <si>
    <t>ECHEQ 762</t>
  </si>
  <si>
    <t>ECHEQ 753</t>
  </si>
  <si>
    <t>ECHEQ 757</t>
  </si>
  <si>
    <t>ECHEQ 754</t>
  </si>
  <si>
    <t>ECHEQ 755</t>
  </si>
  <si>
    <t>ECHEQ 763</t>
  </si>
  <si>
    <t>ECHEQ 764</t>
  </si>
  <si>
    <t>ECHEQ 737</t>
  </si>
  <si>
    <t>ECHEQ 777</t>
  </si>
  <si>
    <t>31266713</t>
  </si>
  <si>
    <t>ROMAN</t>
  </si>
  <si>
    <t>ECHEQ 776</t>
  </si>
  <si>
    <t>ECHEQ 787</t>
  </si>
  <si>
    <t>ECHEQ 786</t>
  </si>
  <si>
    <t>ECHEQ 766</t>
  </si>
  <si>
    <t>ECHEQ 794</t>
  </si>
  <si>
    <t>ECHEQ 780</t>
  </si>
  <si>
    <t>MENDIO S.A.</t>
  </si>
  <si>
    <t>ECHEQ 792</t>
  </si>
  <si>
    <t>ECHEQ 791</t>
  </si>
  <si>
    <t>ECHEQ 768</t>
  </si>
  <si>
    <t>ECHEQ 769</t>
  </si>
  <si>
    <t>ECHEQ 774</t>
  </si>
  <si>
    <t>EMUN SAS</t>
  </si>
  <si>
    <t>ECHEQ 785</t>
  </si>
  <si>
    <t>ECHEQ 778</t>
  </si>
  <si>
    <t>HOGARCRIL SAS</t>
  </si>
  <si>
    <t>ECHEQ 800</t>
  </si>
  <si>
    <t>ECHEQ 796</t>
  </si>
  <si>
    <t>ECHEQ 770</t>
  </si>
  <si>
    <t xml:space="preserve">CONTAINEX </t>
  </si>
  <si>
    <t>ECHEQ 798</t>
  </si>
  <si>
    <t>ECHEQ 795</t>
  </si>
  <si>
    <t>ECHEQ 789</t>
  </si>
  <si>
    <t>ALEX EMANUEL SZUSTER</t>
  </si>
  <si>
    <t>ECHEQ 790</t>
  </si>
  <si>
    <t>ECHEQ 775</t>
  </si>
  <si>
    <t>ECHEQ 782</t>
  </si>
  <si>
    <t>ECHEQ 781</t>
  </si>
  <si>
    <t>ECHEQ 772</t>
  </si>
  <si>
    <t>ECHEQ 779</t>
  </si>
  <si>
    <t>ECHEQ 765</t>
  </si>
  <si>
    <t>31266714</t>
  </si>
  <si>
    <t>31266715</t>
  </si>
  <si>
    <t>31266721</t>
  </si>
  <si>
    <t>31266716</t>
  </si>
  <si>
    <t>31266717</t>
  </si>
  <si>
    <t>31266720</t>
  </si>
  <si>
    <t>ECHEQ 801</t>
  </si>
  <si>
    <t>ECHEQ 797</t>
  </si>
  <si>
    <t>ECHEQ 771</t>
  </si>
  <si>
    <t>ECHEQ 799</t>
  </si>
  <si>
    <t>ECHEQ 784</t>
  </si>
  <si>
    <t>ECHEQ 783</t>
  </si>
  <si>
    <t>ECHEQ 773</t>
  </si>
  <si>
    <t>RECHAZADO/PAGADO</t>
  </si>
  <si>
    <t>31266725</t>
  </si>
  <si>
    <t>COMPRA CAJA CAMIÓN MERCEDES</t>
  </si>
  <si>
    <t>31266724</t>
  </si>
  <si>
    <t>ECHEQ 804</t>
  </si>
  <si>
    <t>ECHEQ 802</t>
  </si>
  <si>
    <t>AD GROUP SAS</t>
  </si>
  <si>
    <t>ECHEQ 805</t>
  </si>
  <si>
    <t>ECHEQ 803</t>
  </si>
  <si>
    <t>ECHEQ 767</t>
  </si>
  <si>
    <t>ECHEQ 816</t>
  </si>
  <si>
    <t>ECHEQ 812</t>
  </si>
  <si>
    <t>ECHEQ 825</t>
  </si>
  <si>
    <t>ECHEQ 834</t>
  </si>
  <si>
    <t>ECHEQ 809</t>
  </si>
  <si>
    <t>ECHEQ 813</t>
  </si>
  <si>
    <t>ECEHQ 828</t>
  </si>
  <si>
    <t>ECHEQ 817</t>
  </si>
  <si>
    <t>IT INTERNATIONAL IMPO GROUP S.A.</t>
  </si>
  <si>
    <t>ECHEQ 835</t>
  </si>
  <si>
    <t>ECHEQ 833</t>
  </si>
  <si>
    <t>ECHEQ 808</t>
  </si>
  <si>
    <t>ECHEQ 810</t>
  </si>
  <si>
    <t>ECHEQ 814</t>
  </si>
  <si>
    <t>ECHEQ 830</t>
  </si>
  <si>
    <t>PRADECON SA</t>
  </si>
  <si>
    <t>ECHEQ 829</t>
  </si>
  <si>
    <t>ECHEQ 836</t>
  </si>
  <si>
    <t>ECHEQ 826</t>
  </si>
  <si>
    <t>31266722</t>
  </si>
  <si>
    <t>DOS57- GALICIA - FLUJO DE CHEQUES - ENERO 2025</t>
  </si>
  <si>
    <t>DOS57- GALICIA - FLUJO DE CHEQUES - FEBRERO 2025</t>
  </si>
  <si>
    <t>DOS57- GALICIA - FLUJO DE CHEQUES - MARZO 2025</t>
  </si>
  <si>
    <t>DOS57- GALICIA - FLUJO DE CHEQUES - ABRIL 2025</t>
  </si>
  <si>
    <t>DOS57- GALICIA - FLUJO DE CHEQUES - MAYO 2025</t>
  </si>
  <si>
    <t>DOS57- GALICIA - FLUJO DE CHEQUES - JUNIO 2025</t>
  </si>
  <si>
    <t>DOS57- GALICIA - FLUJO DE CHEQUES - JULIO 2025</t>
  </si>
  <si>
    <t>DOS57- GALICIA - FLUJO DE CHEQUES - AGOSTO 2025</t>
  </si>
  <si>
    <t>DOS57- GALICIA - FLUJO DE CHEQUES - SEPTIEMBRE 2025</t>
  </si>
  <si>
    <t>DOS57- GALICIA - FLUJO DE CHEQUES - OCTUBRE 2025</t>
  </si>
  <si>
    <t>DOS57- GALICIA - FLUJO DE CHEQUES - NOVIEMBRE 2025</t>
  </si>
  <si>
    <t>DOS57- GALICIA - FLUJO DE CHEQUES - DICIEMBRE 2025</t>
  </si>
  <si>
    <t>ECHEQ 811</t>
  </si>
  <si>
    <t>ECHEQ 815</t>
  </si>
  <si>
    <t>ECHEQ 831</t>
  </si>
  <si>
    <t>ECHEQ 827</t>
  </si>
  <si>
    <t>ECHEQ 818</t>
  </si>
  <si>
    <t>ECHEQ 832</t>
  </si>
  <si>
    <t>31266723</t>
  </si>
  <si>
    <t>ECHEQ 819</t>
  </si>
  <si>
    <t>COMPRA DE LAYHER</t>
  </si>
  <si>
    <t>ECHEQ 843</t>
  </si>
  <si>
    <t>GIRAUDO EQUIPAMIENTO SA</t>
  </si>
  <si>
    <t>ECHEQ 848</t>
  </si>
  <si>
    <t>ECHEQ 844</t>
  </si>
  <si>
    <t>JALIL ESTRUCTURAS SAS</t>
  </si>
  <si>
    <t>ECHEQ 841</t>
  </si>
  <si>
    <t>ECHEQ 845</t>
  </si>
  <si>
    <t>ARCE CARLOS GUILLERMO</t>
  </si>
  <si>
    <t>ECHEQ 849</t>
  </si>
  <si>
    <t>ECHEQ 846</t>
  </si>
  <si>
    <t>ECHEQ 839</t>
  </si>
  <si>
    <t>ECHEQ 840</t>
  </si>
  <si>
    <t>ECHEQ 842</t>
  </si>
  <si>
    <t>31266718</t>
  </si>
  <si>
    <t>31266719</t>
  </si>
  <si>
    <t>ECHEQ 847</t>
  </si>
  <si>
    <t>ECHEQ 837</t>
  </si>
  <si>
    <t>DANIEL SOSA</t>
  </si>
  <si>
    <t>ECHEQ 838</t>
  </si>
  <si>
    <t>ECHEQ 852</t>
  </si>
  <si>
    <t>ECHEQ 858</t>
  </si>
  <si>
    <t>ECHEQ 860</t>
  </si>
  <si>
    <t>ECHEQ 856</t>
  </si>
  <si>
    <t>ECHEQ 857</t>
  </si>
  <si>
    <t>ECHEQ 853</t>
  </si>
  <si>
    <t>ECHEQ 859</t>
  </si>
  <si>
    <t>ECHEQ 855</t>
  </si>
  <si>
    <t>ECHEQ 854</t>
  </si>
  <si>
    <t>ECEHQ 861</t>
  </si>
  <si>
    <t>ECHEQ 862</t>
  </si>
  <si>
    <t>ECHEQ 867</t>
  </si>
  <si>
    <t>EXPRESO LANCIONI SA</t>
  </si>
  <si>
    <t>ECHEQ 869</t>
  </si>
  <si>
    <t>ECHEQ 868</t>
  </si>
  <si>
    <t>ECHEQ 870</t>
  </si>
  <si>
    <t>ECHEQ 886</t>
  </si>
  <si>
    <t>ECHEQ 864</t>
  </si>
  <si>
    <t xml:space="preserve">ROMERO CIRE INOCENCIO </t>
  </si>
  <si>
    <t>ECHEQ 888</t>
  </si>
  <si>
    <t>ECHEQ 887</t>
  </si>
  <si>
    <t>VILLASANA ROBERTO ROMAN</t>
  </si>
  <si>
    <t>ECHEQ 871</t>
  </si>
  <si>
    <t>ECHEQ 872</t>
  </si>
  <si>
    <t>31266726</t>
  </si>
  <si>
    <t>OSCAR ELECTRICISTA</t>
  </si>
  <si>
    <t>ECHEQ 873</t>
  </si>
  <si>
    <t>ECHEQ 876</t>
  </si>
  <si>
    <t>ECHEQ 884</t>
  </si>
  <si>
    <t>ECHEQ 883</t>
  </si>
  <si>
    <t>ECHEQ 885</t>
  </si>
  <si>
    <t>ECHEQ 891</t>
  </si>
  <si>
    <t>ECHEQ 889</t>
  </si>
  <si>
    <t>ECHEQ 865</t>
  </si>
  <si>
    <t>HAUSER SRL</t>
  </si>
  <si>
    <t>ECHEQ 874</t>
  </si>
  <si>
    <t>ECHEQ 877</t>
  </si>
  <si>
    <t>ECHEQ 890</t>
  </si>
  <si>
    <t>EMUNA SAS</t>
  </si>
  <si>
    <t>ECHEQ 875</t>
  </si>
  <si>
    <t>ECHEQ 878</t>
  </si>
  <si>
    <t>ECHEQ 893</t>
  </si>
  <si>
    <t>ECHEQ 894</t>
  </si>
  <si>
    <t>ECHEQ 896</t>
  </si>
  <si>
    <t>ECHEQ 897</t>
  </si>
  <si>
    <t>ECHEQ 898</t>
  </si>
  <si>
    <t>ECHEQ 899</t>
  </si>
  <si>
    <t>ECHEQ 911</t>
  </si>
  <si>
    <t>ECHEQ 905</t>
  </si>
  <si>
    <t>ECHEQ 907</t>
  </si>
  <si>
    <t>ECHEQ 908</t>
  </si>
  <si>
    <t>ECHEQ 900</t>
  </si>
  <si>
    <t>ECHEQ 906</t>
  </si>
  <si>
    <t>ECHEQ 909</t>
  </si>
  <si>
    <t>ECHEQ 901</t>
  </si>
  <si>
    <t>ECHEQ 910</t>
  </si>
  <si>
    <t>ECHEQ 902</t>
  </si>
  <si>
    <t>ECHEQ 903</t>
  </si>
  <si>
    <t>ECHEQ 904</t>
  </si>
  <si>
    <t>ECHEQ 917</t>
  </si>
  <si>
    <t>ECHEQ 939</t>
  </si>
  <si>
    <t>REFIRE HIDROMECANICA S.R.L.</t>
  </si>
  <si>
    <t>ECHEQ 944</t>
  </si>
  <si>
    <t>ECHEQ 926</t>
  </si>
  <si>
    <t>ECHEQ 912</t>
  </si>
  <si>
    <t>ECHEQ 913</t>
  </si>
  <si>
    <t>ECHEQ 945</t>
  </si>
  <si>
    <t>ECHEQ 930</t>
  </si>
  <si>
    <t>ECHEQ 938</t>
  </si>
  <si>
    <t>FEDERACION PATRONAL SEGUROS S</t>
  </si>
  <si>
    <t>ECHEQ 940</t>
  </si>
  <si>
    <t>ECHEQ 925</t>
  </si>
  <si>
    <t>ECHEQ 927</t>
  </si>
  <si>
    <t>ECHEQ 946</t>
  </si>
  <si>
    <t>ECHEQ 932</t>
  </si>
  <si>
    <t>ECHEQ 931</t>
  </si>
  <si>
    <t>ECHEQ 935</t>
  </si>
  <si>
    <t>CENTRAL SOCIEDAD DE RESPONSABLIDAD LI MI</t>
  </si>
  <si>
    <t>ECHEQ 919</t>
  </si>
  <si>
    <t>ECHEQ 914</t>
  </si>
  <si>
    <t>ECHEQ 918</t>
  </si>
  <si>
    <t>ECHEQ 941</t>
  </si>
  <si>
    <t>ECHEQ 947</t>
  </si>
  <si>
    <t>ECHEQ 920</t>
  </si>
  <si>
    <t>ECHEQ 942</t>
  </si>
  <si>
    <t>ECHEQ 933</t>
  </si>
  <si>
    <t>ECHEQ 948</t>
  </si>
  <si>
    <t>ECHEQ 936</t>
  </si>
  <si>
    <t>ECHEQ 928</t>
  </si>
  <si>
    <t>ECHEQ 943</t>
  </si>
  <si>
    <t>ECHEQ 921</t>
  </si>
  <si>
    <t>ECHEQ 934</t>
  </si>
  <si>
    <t>ECHEQ 949</t>
  </si>
  <si>
    <t>ECHEQ 937</t>
  </si>
  <si>
    <t>ECHEQ 929</t>
  </si>
  <si>
    <t>ECHEQ 922</t>
  </si>
  <si>
    <t>ECHEQ 954</t>
  </si>
  <si>
    <t>FREGUGLIA CARPAS SA</t>
  </si>
  <si>
    <t>ECHEQ 950</t>
  </si>
  <si>
    <t>ECHEQ 951</t>
  </si>
  <si>
    <t>ECHEQ 952</t>
  </si>
  <si>
    <t>ECHEQ 923</t>
  </si>
  <si>
    <t>ECHEQ 953</t>
  </si>
  <si>
    <t>ECHEQ 956</t>
  </si>
  <si>
    <t>31266727</t>
  </si>
  <si>
    <t>TEOFILO 0,20 PARA POLO</t>
  </si>
  <si>
    <t>ECHEQ 957</t>
  </si>
  <si>
    <t>31266728</t>
  </si>
  <si>
    <t>LABRUNA CONSTRUCCIÓN DE VALLAS</t>
  </si>
  <si>
    <t>31266730</t>
  </si>
  <si>
    <t>31266731</t>
  </si>
  <si>
    <t>31266732</t>
  </si>
  <si>
    <t>ECHEQ 958</t>
  </si>
  <si>
    <t>ECHEQ 959</t>
  </si>
  <si>
    <t>ECHEQ 960</t>
  </si>
  <si>
    <t>ECHEQ 961</t>
  </si>
  <si>
    <t>ECHEQ 962</t>
  </si>
  <si>
    <t>SGR CRECER - FINANCIERA (CHEQUE PROPIO)</t>
  </si>
  <si>
    <t>ECHEQ 964</t>
  </si>
  <si>
    <t>ECHEQ 965</t>
  </si>
  <si>
    <t>ECHEQ 963</t>
  </si>
  <si>
    <t>ECHEQ 968</t>
  </si>
  <si>
    <t>ECHEQ 966</t>
  </si>
  <si>
    <t>ECHEQ 967</t>
  </si>
  <si>
    <t>ECHEQ 969</t>
  </si>
  <si>
    <t>ECHEQ 970</t>
  </si>
  <si>
    <t>ECHEQ 971</t>
  </si>
  <si>
    <t>ECHEQ 976</t>
  </si>
  <si>
    <t>NATIONAL SERVICE ARGENTINA SA</t>
  </si>
  <si>
    <t>ECHEQ 977</t>
  </si>
  <si>
    <t>ECHEQ 972</t>
  </si>
  <si>
    <t>ECHEQ 973</t>
  </si>
  <si>
    <t>ECHEQ 974</t>
  </si>
  <si>
    <t>ECHEQ 975</t>
  </si>
  <si>
    <t>ECHEQ 924</t>
  </si>
  <si>
    <t>DON LALO SRL EN FORMACION SRL</t>
  </si>
  <si>
    <t>ECHEQ 978</t>
  </si>
  <si>
    <t>ECHEQ 987</t>
  </si>
  <si>
    <t>ECHEQ 988</t>
  </si>
  <si>
    <t>ECHEQ 983</t>
  </si>
  <si>
    <t>ECHEQ 984</t>
  </si>
  <si>
    <t>MARIANO OSCAR BRENTAN</t>
  </si>
  <si>
    <t>ECHEQ 989</t>
  </si>
  <si>
    <t>ECHEQ 985</t>
  </si>
  <si>
    <t>ECHEQ 979</t>
  </si>
  <si>
    <t>ECHEQ 990</t>
  </si>
  <si>
    <t>ECHEQ 986</t>
  </si>
  <si>
    <t>ECHEQ 980</t>
  </si>
  <si>
    <t>ECHEQ 992</t>
  </si>
  <si>
    <t>31266729</t>
  </si>
  <si>
    <t>ECHEQ 994</t>
  </si>
  <si>
    <t>ECHEQ 993</t>
  </si>
  <si>
    <t>ECHEQ 996</t>
  </si>
  <si>
    <t>PUNTO CENTRAL EQUIPAMIENTOS SA</t>
  </si>
  <si>
    <t>ECHEQ 991</t>
  </si>
  <si>
    <t>31266733</t>
  </si>
  <si>
    <t>CUBIERTAS ARROYITO (FABIÁN)</t>
  </si>
  <si>
    <t>31266734</t>
  </si>
  <si>
    <t>ECHEQ 995</t>
  </si>
  <si>
    <t>ECHEQ 998</t>
  </si>
  <si>
    <t>ECHEQ 997</t>
  </si>
  <si>
    <t>ECHEQ 999</t>
  </si>
  <si>
    <t>ECHEQ 1004</t>
  </si>
  <si>
    <t>ECHEQ 1002</t>
  </si>
  <si>
    <t>ECHEQ 1003</t>
  </si>
  <si>
    <t>ECHEQ 1005</t>
  </si>
  <si>
    <t>RECTIFICACIONES MEDITERRANEA SA</t>
  </si>
  <si>
    <t>ECHEQ 1006</t>
  </si>
  <si>
    <t>ECHEQ 1007</t>
  </si>
  <si>
    <t>ECHEQ 1008</t>
  </si>
  <si>
    <t>ECHEQ 1009</t>
  </si>
  <si>
    <t>ECHEQ 1010</t>
  </si>
  <si>
    <t>ECHEQ 1012</t>
  </si>
  <si>
    <t>ECHEQ 1014</t>
  </si>
  <si>
    <t>ECHEQ 1011</t>
  </si>
  <si>
    <t>ECHEQ 1013</t>
  </si>
  <si>
    <t>ECHEQ 1015</t>
  </si>
  <si>
    <t>ECHEQ 1016</t>
  </si>
  <si>
    <t>FEDERACION PATRONAL SEGUROS SA</t>
  </si>
  <si>
    <t>ECHEQ 1017</t>
  </si>
  <si>
    <t>ECHEQ 1018</t>
  </si>
  <si>
    <t>ECHEQ 1019</t>
  </si>
  <si>
    <t>ECHEQ 1025</t>
  </si>
  <si>
    <t>ECHEQ 1020</t>
  </si>
  <si>
    <t>ECHEQ 1030</t>
  </si>
  <si>
    <t>ECHEQ 1026</t>
  </si>
  <si>
    <t>ECHEQ 1031</t>
  </si>
  <si>
    <t>ECHEQ 1037</t>
  </si>
  <si>
    <t>SGR ARGENPYME - FINANCIERA (CHEQUE PROPIO)</t>
  </si>
  <si>
    <t>ECHEQ 1021</t>
  </si>
  <si>
    <t>ECHEQ 1036</t>
  </si>
  <si>
    <t>ECHEQ 1032</t>
  </si>
  <si>
    <t>ECHEQ 1024</t>
  </si>
  <si>
    <t>ECHEQ 1022</t>
  </si>
  <si>
    <t>ECHEQ 1033</t>
  </si>
  <si>
    <t>ECHEQ 1027</t>
  </si>
  <si>
    <t>ECHEQ 1023</t>
  </si>
  <si>
    <t>ECHEQ 1034</t>
  </si>
  <si>
    <t>ECHEQ 1035</t>
  </si>
  <si>
    <t>ECHEQ 1028</t>
  </si>
  <si>
    <t>ECHEQ 1029</t>
  </si>
  <si>
    <t>ECHEQ 1038</t>
  </si>
  <si>
    <t>ECHEQ 1039</t>
  </si>
  <si>
    <t>ECHEQ 1040</t>
  </si>
  <si>
    <t>BRALAR SRL</t>
  </si>
  <si>
    <t>ECHEQ 1041</t>
  </si>
  <si>
    <t>ECHEQ 1042</t>
  </si>
  <si>
    <t>ECHEQ 1043</t>
  </si>
  <si>
    <t>SIMSO METAL SAS</t>
  </si>
  <si>
    <t>ECHEQ 1044</t>
  </si>
  <si>
    <t>ECHEQ 1045</t>
  </si>
  <si>
    <t>ECHEQ 1046</t>
  </si>
  <si>
    <t>ECHEQ 1047</t>
  </si>
  <si>
    <t>ECHEQ 1048</t>
  </si>
  <si>
    <t>BELTRAMO PINTURAS SAS</t>
  </si>
  <si>
    <t>ECHEQ 1049</t>
  </si>
  <si>
    <t>ECHEQ 1050</t>
  </si>
  <si>
    <t>ECHEQ 1051</t>
  </si>
  <si>
    <t>ECHEQ 1052</t>
  </si>
  <si>
    <t>ECHEQ 1053</t>
  </si>
  <si>
    <t>ECHEQ 1054</t>
  </si>
  <si>
    <t>ECHEQ 1055</t>
  </si>
  <si>
    <t>ECHEQ 1056</t>
  </si>
  <si>
    <t>ECHEQ 1057</t>
  </si>
  <si>
    <t>ECHEQ 1058</t>
  </si>
  <si>
    <t>FINANCIERA (CHEQUE PROPIO) SIN AVAL</t>
  </si>
  <si>
    <t>ECHEQ 1059</t>
  </si>
  <si>
    <t>ECHEQ 1060</t>
  </si>
  <si>
    <t>ECHEQ 1071</t>
  </si>
  <si>
    <t>ECHEQ 1061</t>
  </si>
  <si>
    <t>ECHEQ 1073</t>
  </si>
  <si>
    <t>ECHEQ 1066</t>
  </si>
  <si>
    <t>ECHEQ 1067</t>
  </si>
  <si>
    <t>ECHEQ 1065</t>
  </si>
  <si>
    <t>ECHEQ 1068</t>
  </si>
  <si>
    <t>ECHEQ 1062</t>
  </si>
  <si>
    <t>ECHEQ 1070</t>
  </si>
  <si>
    <t>ECHEQ 1063</t>
  </si>
  <si>
    <t>ECHEQ 1069</t>
  </si>
  <si>
    <t>ECHEQ 1075</t>
  </si>
  <si>
    <t>ECHEQ 1076</t>
  </si>
  <si>
    <t>ECHEQ 1077</t>
  </si>
  <si>
    <t>ECHEQ 1078</t>
  </si>
  <si>
    <t>CENTRAL SOCIEDAD DE RESPONSABILIDAD LI M</t>
  </si>
  <si>
    <t>ECHEQ 1079</t>
  </si>
  <si>
    <t>ECHEQ 1080</t>
  </si>
  <si>
    <t>MADERAS COLON SAS</t>
  </si>
  <si>
    <t>ECHEQ 1081</t>
  </si>
  <si>
    <t>ECHEQ 1082</t>
  </si>
  <si>
    <t>SERVICIOS PESADOS SA</t>
  </si>
  <si>
    <t>XX XX XX - ORDEN DE MATIAS</t>
  </si>
  <si>
    <t>ECHEQ 1083</t>
  </si>
  <si>
    <t>ECHEQ 1084</t>
  </si>
  <si>
    <t>CRAGNOLINI JOSE FEDERICO</t>
  </si>
  <si>
    <t>ECHEQ 1085</t>
  </si>
  <si>
    <t>ECHEQ 1086</t>
  </si>
  <si>
    <t>ECHEQ 1087</t>
  </si>
  <si>
    <t>DOS57- GALICIA - FLUJO DE CHEQUES - ENERO 2026</t>
  </si>
  <si>
    <t>ECHEQ 1088</t>
  </si>
  <si>
    <t>ECHEQ 1089</t>
  </si>
  <si>
    <t>ECHEQ 1090</t>
  </si>
  <si>
    <t>ECHEQ 1091</t>
  </si>
  <si>
    <t>ECHEQ 1092</t>
  </si>
  <si>
    <t>ECHEQ 1093</t>
  </si>
  <si>
    <t>ECHEQ 1094</t>
  </si>
  <si>
    <t>FINANCIERA (CHEQUE PROPIO) COMPRA ENJOY</t>
  </si>
  <si>
    <t>ECHEQ 1074</t>
  </si>
  <si>
    <t>ECHEQ 1072</t>
  </si>
  <si>
    <t>ECHEQ 1095</t>
  </si>
  <si>
    <t>ECHEQ 1096</t>
  </si>
  <si>
    <t>31266736</t>
  </si>
  <si>
    <t>CTA CTE FEDE JULIO/AGOSTO/SEPTIEMBRE</t>
  </si>
  <si>
    <t>31266737</t>
  </si>
  <si>
    <t>31266738</t>
  </si>
  <si>
    <t>31266739</t>
  </si>
  <si>
    <t>31266740</t>
  </si>
  <si>
    <t>ECHEQ 1097</t>
  </si>
  <si>
    <t>ECHEQ 1098</t>
  </si>
  <si>
    <t>ECHEQ 1099</t>
  </si>
  <si>
    <t>ECHEQ 1100</t>
  </si>
  <si>
    <t>ECHEQ 1101</t>
  </si>
  <si>
    <t>ECHEQ 1102</t>
  </si>
  <si>
    <t>ECHEQ 1103</t>
  </si>
  <si>
    <t>cheque emitido para refinanciación de la empresa - se paga o se refinancea</t>
  </si>
  <si>
    <t>DOS57- GALICIA - FINANCIAMIENTO - OCTUBRE 2025</t>
  </si>
  <si>
    <t>FINANCIERA (CHEQUE PROPIO) COMPRA SGR SYC</t>
  </si>
  <si>
    <t>DOS57- GALICIA - FINANCIAMIENTO - NOVIEMBRE 2025</t>
  </si>
  <si>
    <t>DOS57- GALICIA - FINANCIAMIENTO - DICIEMBRE 2025</t>
  </si>
  <si>
    <t>DOS57- GALICIA - FINANCIAMIENTO - ENERO 2026</t>
  </si>
  <si>
    <t>ECHEQ 1104</t>
  </si>
  <si>
    <t>ECHEQ 1105</t>
  </si>
  <si>
    <t>ECHEQ 1108</t>
  </si>
  <si>
    <t>ECHEQ 1106</t>
  </si>
  <si>
    <t>ECHEQ 1107</t>
  </si>
  <si>
    <t>ECHEQ 1109</t>
  </si>
  <si>
    <t>ECHEQ 1110</t>
  </si>
  <si>
    <t>ECHEQ 1111</t>
  </si>
  <si>
    <t>ECHEQ 1114</t>
  </si>
  <si>
    <t>ECHEQ 1115</t>
  </si>
  <si>
    <t>ECHEQ 1113</t>
  </si>
  <si>
    <t>DOCTAREP SAS</t>
  </si>
  <si>
    <t>ECHEQ 1118</t>
  </si>
  <si>
    <t>ECHEQ 1119</t>
  </si>
  <si>
    <t>ECHEQ 1116</t>
  </si>
  <si>
    <t>ECHEQ 1117</t>
  </si>
  <si>
    <t>31266741</t>
  </si>
  <si>
    <t>31266742</t>
  </si>
  <si>
    <t>PAGO CAMIONETA NUEVA HILUX - ADRIAN DAPONTE</t>
  </si>
  <si>
    <t>ECHEQ 1120</t>
  </si>
  <si>
    <t>ECHEQ 1121</t>
  </si>
  <si>
    <t>ECHEQ 1123</t>
  </si>
  <si>
    <t>ECHEQ 1122</t>
  </si>
  <si>
    <t>ECHEQ 1124</t>
  </si>
  <si>
    <t>ECHEQ 1128</t>
  </si>
  <si>
    <t>FINANCIERA (CHEQUE PROPIO) CON AVAL CRECER</t>
  </si>
  <si>
    <t>ECHEQ 1136</t>
  </si>
  <si>
    <t>ECHEQ 1125</t>
  </si>
  <si>
    <t>ECHEQ 1126</t>
  </si>
  <si>
    <t>ECHEQ 1112</t>
  </si>
  <si>
    <t>FINANCIERA (CHEQUE PROPIO) CON AVAL ARGENPYMES</t>
  </si>
  <si>
    <t>ECHEQ 1141</t>
  </si>
  <si>
    <t>ECHEQ 1127</t>
  </si>
  <si>
    <t>ECHEQ 1137</t>
  </si>
  <si>
    <t>ECHEQ 1138</t>
  </si>
  <si>
    <t>ECHEQ 1139</t>
  </si>
  <si>
    <t>FINANCIERA (CHEQUE PROPIO) CON AVAL AVALES DEL CENTRO</t>
  </si>
  <si>
    <t>ECHEQ 1129</t>
  </si>
  <si>
    <t>ECHEQ 1130</t>
  </si>
  <si>
    <t>ECHEQ 1131</t>
  </si>
  <si>
    <t>ECHEQ 1140</t>
  </si>
  <si>
    <t>ECHEQ 1132</t>
  </si>
  <si>
    <t>ECHEQ 1133</t>
  </si>
  <si>
    <t>DOS57- GALICIA - FLUJO DE CHEQUES - FEBRERO 2026</t>
  </si>
  <si>
    <t>DOS57- GALICIA - FINANCIAMIENTO - FEBRERO 2026</t>
  </si>
  <si>
    <t>ECHEQ 1134</t>
  </si>
  <si>
    <t>ECHEQ 1135</t>
  </si>
  <si>
    <t>ECHEQ 1142</t>
  </si>
  <si>
    <t>ECHEQ 1143</t>
  </si>
  <si>
    <t>ECHEQ 1144</t>
  </si>
  <si>
    <t>ECHEQ 1145</t>
  </si>
  <si>
    <t>ECHEQ 1146</t>
  </si>
  <si>
    <t>31266743</t>
  </si>
  <si>
    <t>31266744</t>
  </si>
  <si>
    <t>SEMI NUEVO</t>
  </si>
  <si>
    <t>FINANCIERA (CHEQUE PROPIO) CON AVAL AVALES DEL CENTRO $50.000.000</t>
  </si>
  <si>
    <t>ECHEQ 1153</t>
  </si>
  <si>
    <t>ECHEQ 1147</t>
  </si>
  <si>
    <t>ECHEQ 1148</t>
  </si>
  <si>
    <t>ECHEQ 1149</t>
  </si>
  <si>
    <t>ECHEQ 1152</t>
  </si>
  <si>
    <t>ECHEQ 1150</t>
  </si>
  <si>
    <t>DOS57- GALICIA - FLUJO DE CHEQUES - MARZO 2026</t>
  </si>
  <si>
    <t>DOS57- GALICIA - FINANCIAMIENTO - MARZO 2026</t>
  </si>
  <si>
    <t>ECHEQ 1151</t>
  </si>
  <si>
    <t>ECHEQ 1155</t>
  </si>
  <si>
    <t>ECHEQ 1158</t>
  </si>
  <si>
    <t>PRADECON S.A.</t>
  </si>
  <si>
    <t>ECHEQ 1177</t>
  </si>
  <si>
    <t>PICCIONI, FRANCO</t>
  </si>
  <si>
    <t>ECHEQ 1154</t>
  </si>
  <si>
    <t>ECHEQ 1156</t>
  </si>
  <si>
    <t>ECHEQ 1173</t>
  </si>
  <si>
    <t>ECHEQ 1183</t>
  </si>
  <si>
    <t>ECHEQ 1161</t>
  </si>
  <si>
    <t>ECHEQ 1162</t>
  </si>
  <si>
    <t>FINANCIERA (CHEQUE PROPIO) COMPRA SGR SYC - $29.200.000</t>
  </si>
  <si>
    <t>PAGADO $20.000.000 / RENOVADO $9.200.000</t>
  </si>
  <si>
    <t>ECHEQ 1185</t>
  </si>
  <si>
    <t>ECHEQ 1168</t>
  </si>
  <si>
    <t>ECHEQ 1163</t>
  </si>
  <si>
    <t>ECHEQ 1166</t>
  </si>
  <si>
    <t>ECHEQ 1159</t>
  </si>
  <si>
    <t>ECHEQ 1193</t>
  </si>
  <si>
    <t>ECHEQ 1194</t>
  </si>
  <si>
    <t>ECHEQ 1191</t>
  </si>
  <si>
    <t>ECHEQ 1174</t>
  </si>
  <si>
    <t>ECHEQ 1178</t>
  </si>
  <si>
    <t>ECHEQ 1195</t>
  </si>
  <si>
    <t>ECHEQ 1170</t>
  </si>
  <si>
    <t>ECHEQ 1171</t>
  </si>
  <si>
    <t>ECHEQ 1172</t>
  </si>
  <si>
    <t xml:space="preserve">FINANCIERA (CHEQUE PROPIO) COMPRA SGR SYC </t>
  </si>
  <si>
    <t>ECHEQ 1184</t>
  </si>
  <si>
    <t>ECHEQ 1157</t>
  </si>
  <si>
    <t>ECHEQ 1186</t>
  </si>
  <si>
    <t>ECHEQ 1192</t>
  </si>
  <si>
    <t>ECHEQ 1164</t>
  </si>
  <si>
    <t>ECHEQ 1160</t>
  </si>
  <si>
    <t>ECHEQ 1167</t>
  </si>
  <si>
    <t>ECHEQ 1179</t>
  </si>
  <si>
    <t>ECHEQ 1175</t>
  </si>
  <si>
    <t>ECHEQ 1187</t>
  </si>
  <si>
    <t>DOS57- GALICIA - FLUJO DE CHEQUES - ABRIL 2026</t>
  </si>
  <si>
    <t>DOS57- GALICIA - FINANCIAMIENTO - ABRIL 2026</t>
  </si>
  <si>
    <t>ECHEQ 1165</t>
  </si>
  <si>
    <t>ECHEQ 1180</t>
  </si>
  <si>
    <t>ECHEQ 1176</t>
  </si>
  <si>
    <t>ECHEQ 1188</t>
  </si>
  <si>
    <t>DOS57- GALICIA - FLUJO DE CHEQUES - MAYO 2026</t>
  </si>
  <si>
    <t>DOS57- GALICIA - FINANCIAMIENTO - MAYO 2026</t>
  </si>
  <si>
    <t>ECHEQ 1181</t>
  </si>
  <si>
    <t>ECHEQ 1189</t>
  </si>
  <si>
    <t>DOS57- GALICIA - FLUJO DE CHEQUES - JUNIO 2026</t>
  </si>
  <si>
    <t>DOS57- GALICIA - FINANCIAMIENTO - JUNIO 2026</t>
  </si>
  <si>
    <t>ECHEQ 1182</t>
  </si>
  <si>
    <t>ECHEQ 1169</t>
  </si>
  <si>
    <t>ECHEQ 1212</t>
  </si>
  <si>
    <t>GUSTAVO MARCELO CASCARDO</t>
  </si>
  <si>
    <t>ECHEQ 1209</t>
  </si>
  <si>
    <t>ECHEQ 1214</t>
  </si>
  <si>
    <t>ECHEQ 1224</t>
  </si>
  <si>
    <t>EL INSTALADOR S.A.</t>
  </si>
  <si>
    <t>ECHEQ 1225</t>
  </si>
  <si>
    <t>ECHEQ 1226</t>
  </si>
  <si>
    <t>ECHEQ 1210</t>
  </si>
  <si>
    <t>ECHEQ 1213</t>
  </si>
  <si>
    <t>ECHEQ 1231</t>
  </si>
  <si>
    <t>ECHEQ 1196</t>
  </si>
  <si>
    <t>ECHEQ 1200</t>
  </si>
  <si>
    <t>ECHEQ 1205</t>
  </si>
  <si>
    <t>ECHEQ 1202</t>
  </si>
  <si>
    <t>ECHEQ 1215</t>
  </si>
  <si>
    <t>ECHEQ 1235</t>
  </si>
  <si>
    <t>ECHEQ 1218</t>
  </si>
  <si>
    <t>ECHEQ 1211</t>
  </si>
  <si>
    <t>ECHEQ 1221</t>
  </si>
  <si>
    <t>FREGUGLIA CARPAS S.A</t>
  </si>
  <si>
    <t>ECHEQ 1229</t>
  </si>
  <si>
    <t>ECHEQ 1197</t>
  </si>
  <si>
    <t>ECHEQ 1227</t>
  </si>
  <si>
    <t>ECHEQ 1219</t>
  </si>
  <si>
    <t>ECHEQ 1223</t>
  </si>
  <si>
    <t>ECHEQ 1234</t>
  </si>
  <si>
    <t>ECHEQ 1232</t>
  </si>
  <si>
    <t>ECHEQ 1233</t>
  </si>
  <si>
    <t>FINANCIERA (CHEQUE PROPIO) - NO SE DESCUENTA $75.100.000</t>
  </si>
  <si>
    <t>ECHEQ 1198</t>
  </si>
  <si>
    <t>ECHEQ 1201</t>
  </si>
  <si>
    <t>ECHEQ 1206</t>
  </si>
  <si>
    <t>ECHEQ 1203</t>
  </si>
  <si>
    <t>ECHEQ 1220</t>
  </si>
  <si>
    <t>ECHEQ 1230</t>
  </si>
  <si>
    <t>ECHEQ 1199</t>
  </si>
  <si>
    <t>ECHEQ 1228</t>
  </si>
  <si>
    <t>ECHEQ 1207</t>
  </si>
  <si>
    <t>ECHEQ 1204</t>
  </si>
  <si>
    <t>ECHEQ 1208</t>
  </si>
  <si>
    <t>ECHEQ 1236</t>
  </si>
  <si>
    <t>ECHEQ 1237</t>
  </si>
  <si>
    <t>ECHEQ 1240</t>
  </si>
  <si>
    <t>ECHEQ 1238</t>
  </si>
  <si>
    <t>ECHEQ 1239</t>
  </si>
  <si>
    <t>ECHEQ 1241</t>
  </si>
  <si>
    <t>GRUPO POMIGLIO SRL</t>
  </si>
  <si>
    <t>ECHEQ 1242</t>
  </si>
  <si>
    <t>ECHEQ 1243</t>
  </si>
  <si>
    <t>ECHEQ 1244</t>
  </si>
  <si>
    <t>DOS57- GALICIA - FLUJO DE CHEQUES - JULIO 2026</t>
  </si>
  <si>
    <t>ECHEQ 1245</t>
  </si>
  <si>
    <t>DOS57- GALICIA - FINANCIAMIENTO - JULIO 2026</t>
  </si>
  <si>
    <t>ECHEQ 1246</t>
  </si>
  <si>
    <t>ECHEQ 1247</t>
  </si>
  <si>
    <t>ECHEQ 1248</t>
  </si>
  <si>
    <t>ECHEQ 1249</t>
  </si>
  <si>
    <t>ECHEQ 1250</t>
  </si>
  <si>
    <t>ECHEQ 1251</t>
  </si>
  <si>
    <t>ECHEQ 1252</t>
  </si>
  <si>
    <t>ECHEQ 1253</t>
  </si>
  <si>
    <t>ECHEQ 1254</t>
  </si>
  <si>
    <t>ECHEQ 1255</t>
  </si>
  <si>
    <t>ECHEQ 1256</t>
  </si>
  <si>
    <t>ECHEQ 1257</t>
  </si>
  <si>
    <t>ECHEQ 1258</t>
  </si>
  <si>
    <t>ECHEQ 1261</t>
  </si>
  <si>
    <t>ECHEQ 1262</t>
  </si>
  <si>
    <t>ECHEQ 1263</t>
  </si>
  <si>
    <t>ECHEQ 1265</t>
  </si>
  <si>
    <t>FINANCIERA (CHEQUE PROPIO)</t>
  </si>
  <si>
    <t>ECHEQ 1264</t>
  </si>
  <si>
    <t>ECHEQ 1266</t>
  </si>
  <si>
    <t>ECHEQ 1267</t>
  </si>
  <si>
    <t>FINANCIERA (CHEQUE PROPIO) CON AVAL AVALES DEL CENTRO $16.600.000</t>
  </si>
  <si>
    <t>ECHEQ 1268</t>
  </si>
  <si>
    <t>ECHEQ 1269</t>
  </si>
  <si>
    <t>ECHEQ 1271</t>
  </si>
  <si>
    <t>ECHEQ 1272</t>
  </si>
  <si>
    <t>ECHEQ 1273</t>
  </si>
  <si>
    <t>ECHEQ 1274</t>
  </si>
  <si>
    <t>ECHEQ 1275</t>
  </si>
  <si>
    <t>ECHEQ 1276</t>
  </si>
  <si>
    <t>ECHEQ 1277</t>
  </si>
  <si>
    <t>ACEVEDO BLANCA BEATRIZ</t>
  </si>
  <si>
    <t>ECHEQ 1222</t>
  </si>
  <si>
    <t>ECHEQ 1270</t>
  </si>
  <si>
    <t>renovar 30</t>
  </si>
  <si>
    <t xml:space="preserve">FINANCIERA (CHEQUE PROPIO) </t>
  </si>
  <si>
    <t>cubre con cheques</t>
  </si>
  <si>
    <t>ECHEQ 1278</t>
  </si>
  <si>
    <t>ECHEQ 1279</t>
  </si>
  <si>
    <t>ECHEQ 1282</t>
  </si>
  <si>
    <t>BURIALS S.A.S.</t>
  </si>
  <si>
    <t>ECHEQ 1283</t>
  </si>
  <si>
    <t>GARANTIZAR SGR</t>
  </si>
  <si>
    <t>ECHEQ 1280</t>
  </si>
  <si>
    <t>ECHEQ 1284</t>
  </si>
  <si>
    <t>ECHEQ 1286</t>
  </si>
  <si>
    <t>ECHEQ 1288</t>
  </si>
  <si>
    <t>DIAZ CORADEGHINI PABLO ARIEL</t>
  </si>
  <si>
    <t>ECHEQ 1285</t>
  </si>
  <si>
    <t>ECHEQ 1281</t>
  </si>
  <si>
    <t>ECHEQ 1287</t>
  </si>
  <si>
    <t>ECHEQ 1289</t>
  </si>
  <si>
    <t>ECHEQ 1290</t>
  </si>
  <si>
    <t>ECHEQ 1291</t>
  </si>
  <si>
    <t>ECHEQ 1292</t>
  </si>
  <si>
    <t>ECHEQ 1293</t>
  </si>
  <si>
    <t>ECHEQ 1294</t>
  </si>
  <si>
    <t>ECHEQ 1302</t>
  </si>
  <si>
    <t>ECHEQ 1299</t>
  </si>
  <si>
    <t>ECHEQ 1297</t>
  </si>
  <si>
    <t>ECHEQ 1295</t>
  </si>
  <si>
    <t>ECHEQ 1296</t>
  </si>
  <si>
    <t>ECHEQ 1300</t>
  </si>
  <si>
    <t>ECHEQ 1298</t>
  </si>
  <si>
    <t>ECHEQ 1301</t>
  </si>
  <si>
    <t>ECHEQ 1303</t>
  </si>
  <si>
    <t>FINANCIERA (CHEQUE PROPIO) CON AVAL FINTECH SGR</t>
  </si>
  <si>
    <t>ECHEQ 1304</t>
  </si>
  <si>
    <t>ECHEQ 1305</t>
  </si>
  <si>
    <t>ECHEQ 1312</t>
  </si>
  <si>
    <t>ECHEQ 1309</t>
  </si>
  <si>
    <t>ECHEQ 1307</t>
  </si>
  <si>
    <t>ECHEQ 1306</t>
  </si>
  <si>
    <t>ECHEQ 1310</t>
  </si>
  <si>
    <t>ECHEQ 1308</t>
  </si>
  <si>
    <t>DOS57- GALICIA - FLUJO DE CHEQUES - AGOSTO 2026</t>
  </si>
  <si>
    <t>DOS57- GALICIA - FINANCIAMIENTO - AGOSTO 2026</t>
  </si>
  <si>
    <t>ECHEQ 1311</t>
  </si>
  <si>
    <t>ECHEQ 1313</t>
  </si>
  <si>
    <t>RENOVADO</t>
  </si>
  <si>
    <t>ECHEQ 1315</t>
  </si>
  <si>
    <t>ECHEQ 1319</t>
  </si>
  <si>
    <t>ECHEQ 1317</t>
  </si>
  <si>
    <t>ECHEQ 1314</t>
  </si>
  <si>
    <t>ECHEQ 1330</t>
  </si>
  <si>
    <t>ECHEQ 1326</t>
  </si>
  <si>
    <t>GRUAS SAN BLAS SA</t>
  </si>
  <si>
    <t>ECHEQ 1316</t>
  </si>
  <si>
    <t>ECHEQ 1318</t>
  </si>
  <si>
    <t>SARMIENTO SARMIENTO</t>
  </si>
  <si>
    <t>ECHEQ 1332</t>
  </si>
  <si>
    <t>ECHEQ 1331</t>
  </si>
  <si>
    <t>ECHEQ 1327</t>
  </si>
  <si>
    <t>ECHEQ 1325</t>
  </si>
  <si>
    <t>ECHEQ 1323</t>
  </si>
  <si>
    <t>ECHEQ 1322</t>
  </si>
  <si>
    <t>ECHEQ 1324</t>
  </si>
  <si>
    <t>ECHEQ 1321</t>
  </si>
  <si>
    <t>ECHEQ 1320</t>
  </si>
  <si>
    <t>FINANCIERA (CHEQUE PROPIO) CON AVAL FINTECH</t>
  </si>
  <si>
    <t>ECHEQ 1328</t>
  </si>
  <si>
    <t>ECHEQ 1329</t>
  </si>
  <si>
    <t>ECHEQ 1336</t>
  </si>
  <si>
    <t>ECHEQ 1333</t>
  </si>
  <si>
    <t>ECHEQ 1338</t>
  </si>
  <si>
    <t>31266748</t>
  </si>
  <si>
    <t>FEDE RETIRO ANDRE</t>
  </si>
  <si>
    <t>ECHEQ 1344</t>
  </si>
  <si>
    <t>ECHEQ 1355</t>
  </si>
  <si>
    <t>ECHEQ 1335</t>
  </si>
  <si>
    <t>ECHEQ 1337</t>
  </si>
  <si>
    <t>ECHEQ 1353</t>
  </si>
  <si>
    <t>ECHEQ 1343</t>
  </si>
  <si>
    <t>ECHEQ 1334</t>
  </si>
  <si>
    <t>ECHEQ 1354</t>
  </si>
  <si>
    <t>ECHEQ 1342</t>
  </si>
  <si>
    <t>ECHEQ 1345</t>
  </si>
  <si>
    <t>ECHEQ 1340</t>
  </si>
  <si>
    <t>ECHEQ 1351</t>
  </si>
  <si>
    <t>ECHEQ 1346</t>
  </si>
  <si>
    <t>ECHEQ 1347</t>
  </si>
  <si>
    <t>ECHEQ 1348</t>
  </si>
  <si>
    <t>ECHEQ 1349</t>
  </si>
  <si>
    <t>ECHEQ 1350</t>
  </si>
  <si>
    <t>ECHEQ 1341</t>
  </si>
  <si>
    <t>ECHEQ 1352</t>
  </si>
  <si>
    <t>ECHEQ 1339</t>
  </si>
  <si>
    <t>31266749</t>
  </si>
  <si>
    <t>31266750</t>
  </si>
  <si>
    <t>FEDE RETIRO SUELDOS</t>
  </si>
  <si>
    <t>31266751</t>
  </si>
  <si>
    <t>ECHEQ 1356</t>
  </si>
  <si>
    <t>DOS57- GALICIA - FLUJO DE CHEQUES - SEPTIEMBRE 2026</t>
  </si>
  <si>
    <t>DOS57- GALICIA - FINANCIAMIENTO - SEPTIEMBRE 2026</t>
  </si>
  <si>
    <t>ECHEQ 1357</t>
  </si>
  <si>
    <t>ECHEQ 1362</t>
  </si>
  <si>
    <t>FEDERACION PATRONAL SA</t>
  </si>
  <si>
    <t>ECHEQ 1365</t>
  </si>
  <si>
    <t>ECHEQ 1366</t>
  </si>
  <si>
    <t>ECHEQ 1367</t>
  </si>
  <si>
    <t>ECHEQ 1368</t>
  </si>
  <si>
    <t>ECHEQ 1359</t>
  </si>
  <si>
    <t>ECHEQ 1360</t>
  </si>
  <si>
    <t>ECHEQ 1378</t>
  </si>
  <si>
    <t>ECHEQ 1380</t>
  </si>
  <si>
    <t>ECHEQ 1363</t>
  </si>
  <si>
    <t>ECHEQ 1375</t>
  </si>
  <si>
    <t>ECHEQ 1374</t>
  </si>
  <si>
    <t>ECHEQ 1379</t>
  </si>
  <si>
    <t>ECHEQ 1373</t>
  </si>
  <si>
    <t>ECHEQ 1369</t>
  </si>
  <si>
    <t>ECHEQ 1364</t>
  </si>
  <si>
    <t>ECHEQ 1376</t>
  </si>
  <si>
    <t>DOS57- GALICIA - FLUJO DE CHEQUES - OCTUBRE 2026</t>
  </si>
  <si>
    <t>DOS57- GALICIA - FINANCIAMIENTO - OCTUBRE 2026</t>
  </si>
  <si>
    <t>ECHEQ 1370</t>
  </si>
  <si>
    <t>ECHEQ 1377</t>
  </si>
  <si>
    <t>DOS57- GALICIA - FLUJO DE CHEQUES - NOVIEMBRE 2026</t>
  </si>
  <si>
    <t>DOS57- GALICIA - FINANCIAMIENTO - NOVIEMBRE 2026</t>
  </si>
  <si>
    <t>ECHEQ 1371</t>
  </si>
  <si>
    <t>DOS57- GALICIA - FLUJO DE CHEQUES - DICIEMBRE 2026</t>
  </si>
  <si>
    <t>DOS57- GALICIA - FINANCIAMIENTO - DICIEMBRE 2026</t>
  </si>
  <si>
    <t>ECHEQ 1372</t>
  </si>
  <si>
    <t>ECHEQ 1381</t>
  </si>
  <si>
    <t>ECHEQ 1382</t>
  </si>
  <si>
    <t>ECHEQ 1384</t>
  </si>
  <si>
    <t>ECHEQ 1383</t>
  </si>
  <si>
    <t>ECHEQ 1385</t>
  </si>
  <si>
    <t>ECHEQ 1358</t>
  </si>
  <si>
    <t>ECHEQ 1361</t>
  </si>
  <si>
    <t>ECHEQ 1386</t>
  </si>
  <si>
    <t>ECHEQ 1403</t>
  </si>
  <si>
    <t>ECHEQ 1399</t>
  </si>
  <si>
    <t>ECHEQ 1395</t>
  </si>
  <si>
    <t>ECHEQ 1391</t>
  </si>
  <si>
    <t>ECHEQ 1400</t>
  </si>
  <si>
    <t>ECHEQ 1396</t>
  </si>
  <si>
    <t>ECHEQ 1401</t>
  </si>
  <si>
    <t>ECHEQ 1387</t>
  </si>
  <si>
    <t>LABRUNA S.A.S.</t>
  </si>
  <si>
    <t>ECHEQ 1392</t>
  </si>
  <si>
    <t>ECHEQ 1388</t>
  </si>
  <si>
    <t>ECHEQ 1397</t>
  </si>
  <si>
    <t>ECHEQ 1402</t>
  </si>
  <si>
    <t>ECHEQ 1389</t>
  </si>
  <si>
    <t>ECHEQ 1393</t>
  </si>
  <si>
    <t>ECHEQ 1398</t>
  </si>
  <si>
    <t>ECHEQ 1390</t>
  </si>
  <si>
    <t>ECHEQ 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</si>
</sst>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dd/mm/yyyy;@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8"/>
      <color rgb="FF2B2B2B"/>
      <name val="Interregular"/>
    </font>
    <font>
      <b/>
      <sz val="7"/>
      <color rgb="FF2B2B2B"/>
      <name val="InterSemiBold"/>
    </font>
    <font>
      <b/>
      <sz val="7"/>
      <color rgb="FF333333"/>
      <name val="Arial"/>
      <family val="2"/>
    </font>
    <font>
      <b/>
      <sz val="8"/>
      <color rgb="FF2B2B2B"/>
      <name val="Interregula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scheme val="minor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79998168889431442"/>
        <bgColor theme="8"/>
      </patternFill>
    </fill>
    <fill>
      <patternFill patternType="solid">
        <fgColor theme="5" tint="0.79998168889431442"/>
        <bgColor theme="8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8" tint="0.59999389629810485"/>
      </patternFill>
    </fill>
    <fill>
      <patternFill patternType="solid">
        <fgColor rgb="FF92D050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8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1">
    <xf numFmtId="0" fontId="0" fillId="0" borderId="0" xfId="0"/>
    <xf numFmtId="164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1" fillId="2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4" fontId="2" fillId="5" borderId="3" xfId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7" borderId="0" xfId="0" applyFont="1" applyFill="1" applyAlignment="1">
      <alignment vertical="center"/>
    </xf>
    <xf numFmtId="44" fontId="1" fillId="2" borderId="1" xfId="1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4" fontId="1" fillId="2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2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44" fontId="9" fillId="2" borderId="5" xfId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4" fontId="11" fillId="2" borderId="5" xfId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/>
    </xf>
    <xf numFmtId="164" fontId="12" fillId="3" borderId="5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/>
    </xf>
    <xf numFmtId="164" fontId="11" fillId="0" borderId="5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4" fontId="11" fillId="0" borderId="5" xfId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44" fontId="11" fillId="2" borderId="5" xfId="1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64" fontId="0" fillId="2" borderId="5" xfId="0" applyNumberFormat="1" applyFont="1" applyFill="1" applyBorder="1" applyAlignment="1">
      <alignment horizontal="center" vertical="center"/>
    </xf>
    <xf numFmtId="44" fontId="0" fillId="2" borderId="5" xfId="1" applyNumberFormat="1" applyFont="1" applyFill="1" applyBorder="1" applyAlignment="1">
      <alignment horizontal="center" vertical="center"/>
    </xf>
    <xf numFmtId="0" fontId="0" fillId="0" borderId="0" xfId="0" applyBorder="1"/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14" fontId="14" fillId="9" borderId="1" xfId="0" applyNumberFormat="1" applyFont="1" applyFill="1" applyBorder="1" applyAlignment="1">
      <alignment horizontal="center" vertical="center"/>
    </xf>
    <xf numFmtId="44" fontId="14" fillId="9" borderId="1" xfId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5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4" fontId="17" fillId="11" borderId="1" xfId="0" applyNumberFormat="1" applyFont="1" applyFill="1" applyBorder="1" applyAlignment="1">
      <alignment horizontal="center" vertical="center"/>
    </xf>
    <xf numFmtId="44" fontId="17" fillId="11" borderId="1" xfId="1" applyFont="1" applyFill="1" applyBorder="1" applyAlignment="1">
      <alignment horizontal="center" vertical="center"/>
    </xf>
    <xf numFmtId="14" fontId="17" fillId="12" borderId="1" xfId="0" applyNumberFormat="1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49" fontId="14" fillId="9" borderId="1" xfId="0" applyNumberFormat="1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14" fontId="17" fillId="12" borderId="5" xfId="0" applyNumberFormat="1" applyFont="1" applyFill="1" applyBorder="1" applyAlignment="1">
      <alignment horizontal="center" vertical="center"/>
    </xf>
    <xf numFmtId="14" fontId="17" fillId="11" borderId="5" xfId="0" applyNumberFormat="1" applyFont="1" applyFill="1" applyBorder="1" applyAlignment="1">
      <alignment horizontal="center" vertical="center"/>
    </xf>
    <xf numFmtId="44" fontId="17" fillId="11" borderId="5" xfId="1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44" fontId="18" fillId="2" borderId="5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 vertical="center"/>
    </xf>
    <xf numFmtId="44" fontId="2" fillId="13" borderId="3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/>
    </xf>
    <xf numFmtId="164" fontId="19" fillId="2" borderId="6" xfId="0" applyNumberFormat="1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164" fontId="20" fillId="3" borderId="5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4" fontId="19" fillId="2" borderId="1" xfId="1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164" fontId="21" fillId="2" borderId="6" xfId="0" applyNumberFormat="1" applyFont="1" applyFill="1" applyBorder="1" applyAlignment="1">
      <alignment horizontal="center" vertical="center"/>
    </xf>
    <xf numFmtId="164" fontId="22" fillId="3" borderId="5" xfId="0" applyNumberFormat="1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44" fontId="0" fillId="2" borderId="7" xfId="1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164" fontId="23" fillId="2" borderId="6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44" fontId="23" fillId="2" borderId="7" xfId="1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/>
    </xf>
    <xf numFmtId="164" fontId="24" fillId="3" borderId="5" xfId="0" applyNumberFormat="1" applyFont="1" applyFill="1" applyBorder="1" applyAlignment="1">
      <alignment horizontal="center" vertical="center"/>
    </xf>
    <xf numFmtId="44" fontId="0" fillId="13" borderId="3" xfId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4" fillId="2" borderId="5" xfId="0" applyNumberFormat="1" applyFont="1" applyFill="1" applyBorder="1" applyAlignment="1">
      <alignment horizontal="center" vertical="center"/>
    </xf>
    <xf numFmtId="44" fontId="19" fillId="2" borderId="5" xfId="1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164" fontId="23" fillId="2" borderId="5" xfId="0" applyNumberFormat="1" applyFont="1" applyFill="1" applyBorder="1" applyAlignment="1">
      <alignment horizontal="center" vertical="center"/>
    </xf>
    <xf numFmtId="164" fontId="21" fillId="2" borderId="5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44" fontId="18" fillId="2" borderId="1" xfId="1" applyFont="1" applyFill="1" applyBorder="1" applyAlignment="1">
      <alignment horizontal="center" vertical="center"/>
    </xf>
    <xf numFmtId="44" fontId="23" fillId="2" borderId="5" xfId="1" applyNumberFormat="1" applyFont="1" applyFill="1" applyBorder="1" applyAlignment="1">
      <alignment horizontal="center" vertical="center"/>
    </xf>
    <xf numFmtId="44" fontId="18" fillId="2" borderId="7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4" fontId="19" fillId="2" borderId="5" xfId="0" applyNumberFormat="1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44" fontId="23" fillId="2" borderId="1" xfId="1" applyNumberFormat="1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 vertical="center"/>
    </xf>
    <xf numFmtId="44" fontId="0" fillId="2" borderId="1" xfId="1" applyNumberFormat="1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44" fontId="1" fillId="2" borderId="1" xfId="1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25" fillId="2" borderId="5" xfId="0" applyNumberFormat="1" applyFont="1" applyFill="1" applyBorder="1" applyAlignment="1">
      <alignment horizontal="center" vertical="center"/>
    </xf>
    <xf numFmtId="164" fontId="26" fillId="3" borderId="5" xfId="0" applyNumberFormat="1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164" fontId="27" fillId="2" borderId="5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/>
    </xf>
    <xf numFmtId="164" fontId="28" fillId="3" borderId="5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 vertical="center"/>
    </xf>
    <xf numFmtId="44" fontId="29" fillId="2" borderId="7" xfId="1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/>
    </xf>
    <xf numFmtId="164" fontId="30" fillId="3" borderId="5" xfId="0" applyNumberFormat="1" applyFont="1" applyFill="1" applyBorder="1" applyAlignment="1">
      <alignment horizontal="center" vertical="center"/>
    </xf>
    <xf numFmtId="44" fontId="0" fillId="2" borderId="14" xfId="1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64" fontId="29" fillId="2" borderId="5" xfId="0" applyNumberFormat="1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164" fontId="29" fillId="2" borderId="6" xfId="0" applyNumberFormat="1" applyFont="1" applyFill="1" applyBorder="1" applyAlignment="1">
      <alignment horizontal="center" vertical="center"/>
    </xf>
    <xf numFmtId="44" fontId="29" fillId="2" borderId="1" xfId="1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49" fontId="31" fillId="2" borderId="14" xfId="0" applyNumberFormat="1" applyFont="1" applyFill="1" applyBorder="1" applyAlignment="1">
      <alignment horizontal="center" vertical="center"/>
    </xf>
    <xf numFmtId="164" fontId="32" fillId="3" borderId="5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44" fontId="0" fillId="2" borderId="1" xfId="1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4" fontId="31" fillId="2" borderId="1" xfId="0" applyNumberFormat="1" applyFont="1" applyFill="1" applyBorder="1" applyAlignment="1">
      <alignment horizontal="center" vertical="center"/>
    </xf>
    <xf numFmtId="44" fontId="18" fillId="2" borderId="1" xfId="1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164" fontId="18" fillId="3" borderId="1" xfId="0" applyNumberFormat="1" applyFont="1" applyFill="1" applyBorder="1" applyAlignment="1">
      <alignment horizontal="center" vertical="center"/>
    </xf>
    <xf numFmtId="164" fontId="33" fillId="2" borderId="1" xfId="0" applyNumberFormat="1" applyFont="1" applyFill="1" applyBorder="1" applyAlignment="1">
      <alignment horizontal="center" vertical="center"/>
    </xf>
    <xf numFmtId="49" fontId="33" fillId="2" borderId="1" xfId="0" applyNumberFormat="1" applyFont="1" applyFill="1" applyBorder="1" applyAlignment="1">
      <alignment horizontal="center" vertical="center"/>
    </xf>
    <xf numFmtId="44" fontId="33" fillId="2" borderId="1" xfId="1" applyNumberFormat="1" applyFont="1" applyFill="1" applyBorder="1" applyAlignment="1">
      <alignment horizontal="center" vertical="center"/>
    </xf>
    <xf numFmtId="164" fontId="34" fillId="3" borderId="1" xfId="0" applyNumberFormat="1" applyFont="1" applyFill="1" applyBorder="1" applyAlignment="1">
      <alignment horizontal="center" vertical="center"/>
    </xf>
    <xf numFmtId="44" fontId="0" fillId="2" borderId="7" xfId="1" applyNumberFormat="1" applyFont="1" applyFill="1" applyBorder="1" applyAlignment="1">
      <alignment horizontal="center" vertical="center" wrapText="1"/>
    </xf>
    <xf numFmtId="44" fontId="18" fillId="2" borderId="5" xfId="1" applyNumberFormat="1" applyFont="1" applyFill="1" applyBorder="1" applyAlignment="1">
      <alignment horizontal="center" vertical="center"/>
    </xf>
    <xf numFmtId="164" fontId="33" fillId="2" borderId="5" xfId="0" applyNumberFormat="1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44" fontId="33" fillId="2" borderId="5" xfId="1" applyNumberFormat="1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/>
    </xf>
    <xf numFmtId="44" fontId="18" fillId="2" borderId="5" xfId="1" applyFont="1" applyFill="1" applyBorder="1" applyAlignment="1">
      <alignment horizontal="center" vertical="center" wrapText="1"/>
    </xf>
    <xf numFmtId="164" fontId="0" fillId="3" borderId="5" xfId="0" applyNumberFormat="1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164" fontId="0" fillId="3" borderId="5" xfId="0" applyNumberFormat="1" applyFont="1" applyFill="1" applyBorder="1" applyAlignment="1">
      <alignment horizontal="center" vertical="center" wrapText="1"/>
    </xf>
    <xf numFmtId="164" fontId="36" fillId="2" borderId="1" xfId="0" applyNumberFormat="1" applyFont="1" applyFill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center" vertical="center"/>
    </xf>
    <xf numFmtId="44" fontId="36" fillId="2" borderId="1" xfId="1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7" fillId="2" borderId="1" xfId="0" applyNumberFormat="1" applyFont="1" applyFill="1" applyBorder="1" applyAlignment="1">
      <alignment horizontal="center" vertical="center"/>
    </xf>
    <xf numFmtId="164" fontId="36" fillId="2" borderId="5" xfId="0" applyNumberFormat="1" applyFont="1" applyFill="1" applyBorder="1" applyAlignment="1">
      <alignment horizontal="center" vertical="center"/>
    </xf>
    <xf numFmtId="49" fontId="36" fillId="2" borderId="5" xfId="0" applyNumberFormat="1" applyFont="1" applyFill="1" applyBorder="1" applyAlignment="1">
      <alignment horizontal="center" vertical="center"/>
    </xf>
    <xf numFmtId="44" fontId="36" fillId="2" borderId="5" xfId="1" applyNumberFormat="1" applyFont="1" applyFill="1" applyBorder="1" applyAlignment="1">
      <alignment horizontal="center" vertical="center"/>
    </xf>
    <xf numFmtId="164" fontId="37" fillId="2" borderId="5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49" fontId="0" fillId="2" borderId="5" xfId="0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0" xfId="0" applyFont="1" applyFill="1"/>
    <xf numFmtId="0" fontId="0" fillId="3" borderId="6" xfId="0" applyFont="1" applyFill="1" applyBorder="1" applyAlignment="1">
      <alignment horizontal="center" vertical="center" wrapText="1"/>
    </xf>
    <xf numFmtId="164" fontId="38" fillId="2" borderId="1" xfId="0" applyNumberFormat="1" applyFont="1" applyFill="1" applyBorder="1" applyAlignment="1">
      <alignment horizontal="center" vertical="center"/>
    </xf>
    <xf numFmtId="49" fontId="38" fillId="2" borderId="1" xfId="0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44" fontId="38" fillId="2" borderId="1" xfId="1" applyNumberFormat="1" applyFont="1" applyFill="1" applyBorder="1" applyAlignment="1">
      <alignment horizontal="center" vertical="center"/>
    </xf>
    <xf numFmtId="164" fontId="39" fillId="3" borderId="1" xfId="0" applyNumberFormat="1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164" fontId="40" fillId="3" borderId="1" xfId="0" applyNumberFormat="1" applyFont="1" applyFill="1" applyBorder="1" applyAlignment="1">
      <alignment horizontal="center" vertical="center"/>
    </xf>
    <xf numFmtId="164" fontId="38" fillId="2" borderId="5" xfId="0" applyNumberFormat="1" applyFont="1" applyFill="1" applyBorder="1" applyAlignment="1">
      <alignment horizontal="center" vertical="center"/>
    </xf>
    <xf numFmtId="49" fontId="38" fillId="2" borderId="5" xfId="0" applyNumberFormat="1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44" fontId="38" fillId="2" borderId="5" xfId="1" applyNumberFormat="1" applyFont="1" applyFill="1" applyBorder="1" applyAlignment="1">
      <alignment horizontal="center" vertical="center"/>
    </xf>
    <xf numFmtId="164" fontId="40" fillId="3" borderId="5" xfId="0" applyNumberFormat="1" applyFont="1" applyFill="1" applyBorder="1" applyAlignment="1">
      <alignment horizontal="center" vertical="center"/>
    </xf>
    <xf numFmtId="164" fontId="41" fillId="2" borderId="1" xfId="0" applyNumberFormat="1" applyFont="1" applyFill="1" applyBorder="1" applyAlignment="1">
      <alignment horizontal="center" vertical="center"/>
    </xf>
    <xf numFmtId="49" fontId="41" fillId="2" borderId="1" xfId="0" applyNumberFormat="1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64" fontId="41" fillId="2" borderId="5" xfId="0" applyNumberFormat="1" applyFont="1" applyFill="1" applyBorder="1" applyAlignment="1">
      <alignment horizontal="center" vertical="center"/>
    </xf>
    <xf numFmtId="49" fontId="41" fillId="2" borderId="5" xfId="0" applyNumberFormat="1" applyFont="1" applyFill="1" applyBorder="1" applyAlignment="1">
      <alignment horizontal="center" vertical="center"/>
    </xf>
    <xf numFmtId="44" fontId="41" fillId="2" borderId="5" xfId="1" applyNumberFormat="1" applyFont="1" applyFill="1" applyBorder="1" applyAlignment="1">
      <alignment horizontal="center" vertical="center"/>
    </xf>
    <xf numFmtId="44" fontId="41" fillId="2" borderId="1" xfId="1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164" fontId="42" fillId="2" borderId="1" xfId="0" applyNumberFormat="1" applyFont="1" applyFill="1" applyBorder="1" applyAlignment="1">
      <alignment horizontal="center" vertical="center"/>
    </xf>
    <xf numFmtId="49" fontId="42" fillId="2" borderId="1" xfId="0" applyNumberFormat="1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44" fontId="42" fillId="2" borderId="1" xfId="1" applyNumberFormat="1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164" fontId="0" fillId="12" borderId="1" xfId="0" applyNumberFormat="1" applyFont="1" applyFill="1" applyBorder="1" applyAlignment="1">
      <alignment horizontal="center" vertical="center"/>
    </xf>
    <xf numFmtId="49" fontId="18" fillId="12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44" fontId="18" fillId="12" borderId="1" xfId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4" fontId="42" fillId="2" borderId="5" xfId="0" applyNumberFormat="1" applyFont="1" applyFill="1" applyBorder="1" applyAlignment="1">
      <alignment horizontal="center" vertical="center"/>
    </xf>
    <xf numFmtId="49" fontId="42" fillId="2" borderId="5" xfId="0" applyNumberFormat="1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/>
    </xf>
    <xf numFmtId="44" fontId="42" fillId="2" borderId="5" xfId="1" applyNumberFormat="1" applyFont="1" applyFill="1" applyBorder="1" applyAlignment="1">
      <alignment horizontal="center" vertical="center"/>
    </xf>
    <xf numFmtId="164" fontId="43" fillId="3" borderId="5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14" borderId="1" xfId="0" applyFont="1" applyFill="1" applyBorder="1" applyAlignment="1">
      <alignment horizontal="center"/>
    </xf>
    <xf numFmtId="164" fontId="2" fillId="14" borderId="1" xfId="0" applyNumberFormat="1" applyFont="1" applyFill="1" applyBorder="1" applyAlignment="1">
      <alignment horizontal="center" vertical="center"/>
    </xf>
    <xf numFmtId="49" fontId="44" fillId="2" borderId="1" xfId="0" applyNumberFormat="1" applyFont="1" applyFill="1" applyBorder="1" applyAlignment="1">
      <alignment horizontal="center" vertical="center"/>
    </xf>
    <xf numFmtId="44" fontId="44" fillId="2" borderId="1" xfId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164" fontId="45" fillId="2" borderId="1" xfId="0" applyNumberFormat="1" applyFont="1" applyFill="1" applyBorder="1" applyAlignment="1">
      <alignment horizontal="center" vertical="center"/>
    </xf>
    <xf numFmtId="49" fontId="46" fillId="2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44" fontId="46" fillId="2" borderId="1" xfId="1" applyNumberFormat="1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wrapText="1"/>
    </xf>
    <xf numFmtId="49" fontId="0" fillId="12" borderId="1" xfId="0" applyNumberFormat="1" applyFont="1" applyFill="1" applyBorder="1" applyAlignment="1">
      <alignment horizontal="center" vertical="center"/>
    </xf>
    <xf numFmtId="44" fontId="0" fillId="12" borderId="1" xfId="1" applyNumberFormat="1" applyFont="1" applyFill="1" applyBorder="1" applyAlignment="1">
      <alignment horizontal="center" vertical="center"/>
    </xf>
    <xf numFmtId="164" fontId="48" fillId="12" borderId="1" xfId="0" applyNumberFormat="1" applyFont="1" applyFill="1" applyBorder="1" applyAlignment="1">
      <alignment horizontal="center" vertical="center"/>
    </xf>
    <xf numFmtId="49" fontId="48" fillId="12" borderId="1" xfId="0" applyNumberFormat="1" applyFont="1" applyFill="1" applyBorder="1" applyAlignment="1">
      <alignment horizontal="center" vertical="center"/>
    </xf>
    <xf numFmtId="44" fontId="48" fillId="12" borderId="1" xfId="1" applyNumberFormat="1" applyFont="1" applyFill="1" applyBorder="1" applyAlignment="1">
      <alignment horizontal="center" vertical="center"/>
    </xf>
    <xf numFmtId="164" fontId="49" fillId="14" borderId="1" xfId="0" applyNumberFormat="1" applyFont="1" applyFill="1" applyBorder="1" applyAlignment="1">
      <alignment horizontal="center" vertical="center"/>
    </xf>
    <xf numFmtId="164" fontId="48" fillId="2" borderId="1" xfId="0" applyNumberFormat="1" applyFont="1" applyFill="1" applyBorder="1" applyAlignment="1">
      <alignment horizontal="center" vertical="center"/>
    </xf>
    <xf numFmtId="49" fontId="50" fillId="2" borderId="1" xfId="0" applyNumberFormat="1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/>
    </xf>
    <xf numFmtId="44" fontId="50" fillId="2" borderId="1" xfId="1" applyNumberFormat="1" applyFont="1" applyFill="1" applyBorder="1" applyAlignment="1">
      <alignment horizontal="center" vertical="center"/>
    </xf>
    <xf numFmtId="164" fontId="49" fillId="3" borderId="1" xfId="0" applyNumberFormat="1" applyFont="1" applyFill="1" applyBorder="1" applyAlignment="1">
      <alignment horizontal="center" vertical="center"/>
    </xf>
    <xf numFmtId="164" fontId="0" fillId="12" borderId="5" xfId="0" applyNumberFormat="1" applyFont="1" applyFill="1" applyBorder="1" applyAlignment="1">
      <alignment horizontal="center" vertical="center"/>
    </xf>
    <xf numFmtId="49" fontId="0" fillId="12" borderId="5" xfId="0" applyNumberFormat="1" applyFont="1" applyFill="1" applyBorder="1" applyAlignment="1">
      <alignment horizontal="center" vertical="center"/>
    </xf>
    <xf numFmtId="44" fontId="0" fillId="12" borderId="5" xfId="1" applyNumberFormat="1" applyFont="1" applyFill="1" applyBorder="1" applyAlignment="1">
      <alignment horizontal="center" vertical="center"/>
    </xf>
    <xf numFmtId="164" fontId="2" fillId="14" borderId="5" xfId="0" applyNumberFormat="1" applyFont="1" applyFill="1" applyBorder="1" applyAlignment="1">
      <alignment horizontal="center" vertical="center"/>
    </xf>
    <xf numFmtId="0" fontId="0" fillId="14" borderId="5" xfId="0" applyFont="1" applyFill="1" applyBorder="1" applyAlignment="1">
      <alignment horizontal="center"/>
    </xf>
    <xf numFmtId="164" fontId="0" fillId="15" borderId="1" xfId="0" applyNumberFormat="1" applyFont="1" applyFill="1" applyBorder="1" applyAlignment="1">
      <alignment horizontal="center" vertical="center"/>
    </xf>
    <xf numFmtId="49" fontId="0" fillId="15" borderId="1" xfId="0" applyNumberFormat="1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44" fontId="0" fillId="15" borderId="1" xfId="1" applyNumberFormat="1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 vertical="center"/>
    </xf>
    <xf numFmtId="164" fontId="48" fillId="2" borderId="5" xfId="0" applyNumberFormat="1" applyFont="1" applyFill="1" applyBorder="1" applyAlignment="1">
      <alignment horizontal="center" vertical="center"/>
    </xf>
    <xf numFmtId="44" fontId="50" fillId="2" borderId="5" xfId="1" applyNumberFormat="1" applyFont="1" applyFill="1" applyBorder="1" applyAlignment="1">
      <alignment horizontal="center" vertical="center"/>
    </xf>
    <xf numFmtId="164" fontId="49" fillId="3" borderId="5" xfId="0" applyNumberFormat="1" applyFont="1" applyFill="1" applyBorder="1" applyAlignment="1">
      <alignment horizontal="center" vertical="center"/>
    </xf>
    <xf numFmtId="164" fontId="51" fillId="12" borderId="1" xfId="0" applyNumberFormat="1" applyFont="1" applyFill="1" applyBorder="1" applyAlignment="1">
      <alignment horizontal="center" vertical="center"/>
    </xf>
    <xf numFmtId="49" fontId="51" fillId="12" borderId="1" xfId="0" applyNumberFormat="1" applyFont="1" applyFill="1" applyBorder="1" applyAlignment="1">
      <alignment horizontal="center" vertical="center"/>
    </xf>
    <xf numFmtId="44" fontId="51" fillId="12" borderId="1" xfId="1" applyNumberFormat="1" applyFont="1" applyFill="1" applyBorder="1" applyAlignment="1">
      <alignment horizontal="center" vertical="center"/>
    </xf>
    <xf numFmtId="164" fontId="52" fillId="14" borderId="1" xfId="0" applyNumberFormat="1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164" fontId="51" fillId="2" borderId="1" xfId="0" applyNumberFormat="1" applyFont="1" applyFill="1" applyBorder="1" applyAlignment="1">
      <alignment horizontal="center" vertical="center"/>
    </xf>
    <xf numFmtId="49" fontId="53" fillId="2" borderId="1" xfId="0" applyNumberFormat="1" applyFont="1" applyFill="1" applyBorder="1" applyAlignment="1">
      <alignment horizontal="center" vertical="center"/>
    </xf>
    <xf numFmtId="44" fontId="53" fillId="2" borderId="1" xfId="1" applyNumberFormat="1" applyFont="1" applyFill="1" applyBorder="1" applyAlignment="1">
      <alignment horizontal="center" vertical="center"/>
    </xf>
    <xf numFmtId="164" fontId="52" fillId="3" borderId="1" xfId="0" applyNumberFormat="1" applyFont="1" applyFill="1" applyBorder="1" applyAlignment="1">
      <alignment horizontal="center" vertical="center"/>
    </xf>
    <xf numFmtId="164" fontId="54" fillId="2" borderId="1" xfId="0" applyNumberFormat="1" applyFont="1" applyFill="1" applyBorder="1" applyAlignment="1">
      <alignment horizontal="center" vertical="center"/>
    </xf>
    <xf numFmtId="49" fontId="55" fillId="2" borderId="1" xfId="0" applyNumberFormat="1" applyFont="1" applyFill="1" applyBorder="1" applyAlignment="1">
      <alignment horizontal="center" vertical="center"/>
    </xf>
    <xf numFmtId="44" fontId="55" fillId="2" borderId="1" xfId="1" applyNumberFormat="1" applyFont="1" applyFill="1" applyBorder="1" applyAlignment="1">
      <alignment horizontal="center" vertical="center"/>
    </xf>
    <xf numFmtId="164" fontId="56" fillId="3" borderId="1" xfId="0" applyNumberFormat="1" applyFont="1" applyFill="1" applyBorder="1" applyAlignment="1">
      <alignment horizontal="center" vertical="center"/>
    </xf>
    <xf numFmtId="164" fontId="58" fillId="2" borderId="1" xfId="0" applyNumberFormat="1" applyFont="1" applyFill="1" applyBorder="1" applyAlignment="1">
      <alignment horizontal="center" vertical="center"/>
    </xf>
    <xf numFmtId="49" fontId="59" fillId="2" borderId="1" xfId="0" applyNumberFormat="1" applyFont="1" applyFill="1" applyBorder="1" applyAlignment="1">
      <alignment horizontal="center" vertical="center"/>
    </xf>
    <xf numFmtId="44" fontId="59" fillId="2" borderId="1" xfId="1" applyNumberFormat="1" applyFont="1" applyFill="1" applyBorder="1" applyAlignment="1">
      <alignment horizontal="center" vertical="center"/>
    </xf>
    <xf numFmtId="164" fontId="60" fillId="3" borderId="1" xfId="0" applyNumberFormat="1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164" fontId="62" fillId="2" borderId="1" xfId="0" applyNumberFormat="1" applyFont="1" applyFill="1" applyBorder="1" applyAlignment="1">
      <alignment horizontal="center" vertical="center"/>
    </xf>
    <xf numFmtId="49" fontId="63" fillId="2" borderId="1" xfId="0" applyNumberFormat="1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 vertical="center"/>
    </xf>
    <xf numFmtId="44" fontId="63" fillId="2" borderId="9" xfId="1" applyNumberFormat="1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/>
    </xf>
    <xf numFmtId="164" fontId="64" fillId="3" borderId="10" xfId="0" applyNumberFormat="1" applyFont="1" applyFill="1" applyBorder="1" applyAlignment="1">
      <alignment horizontal="center" vertical="center"/>
    </xf>
    <xf numFmtId="44" fontId="63" fillId="2" borderId="1" xfId="1" applyNumberFormat="1" applyFont="1" applyFill="1" applyBorder="1" applyAlignment="1">
      <alignment horizontal="center" vertical="center"/>
    </xf>
    <xf numFmtId="164" fontId="64" fillId="3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63" fillId="3" borderId="1" xfId="0" applyFont="1" applyFill="1" applyBorder="1" applyAlignment="1">
      <alignment horizontal="center" vertical="center" wrapText="1"/>
    </xf>
    <xf numFmtId="164" fontId="62" fillId="2" borderId="5" xfId="0" applyNumberFormat="1" applyFont="1" applyFill="1" applyBorder="1" applyAlignment="1">
      <alignment horizontal="center" vertical="center"/>
    </xf>
    <xf numFmtId="49" fontId="63" fillId="2" borderId="5" xfId="0" applyNumberFormat="1" applyFont="1" applyFill="1" applyBorder="1" applyAlignment="1">
      <alignment horizontal="center" vertical="center"/>
    </xf>
    <xf numFmtId="0" fontId="63" fillId="3" borderId="5" xfId="0" applyFont="1" applyFill="1" applyBorder="1" applyAlignment="1">
      <alignment horizontal="center" vertical="center"/>
    </xf>
    <xf numFmtId="44" fontId="63" fillId="2" borderId="5" xfId="1" applyNumberFormat="1" applyFont="1" applyFill="1" applyBorder="1" applyAlignment="1">
      <alignment horizontal="center" vertical="center"/>
    </xf>
    <xf numFmtId="164" fontId="64" fillId="3" borderId="5" xfId="0" applyNumberFormat="1" applyFont="1" applyFill="1" applyBorder="1" applyAlignment="1">
      <alignment horizontal="center" vertical="center"/>
    </xf>
    <xf numFmtId="164" fontId="65" fillId="2" borderId="1" xfId="0" applyNumberFormat="1" applyFont="1" applyFill="1" applyBorder="1" applyAlignment="1">
      <alignment horizontal="center" vertical="center"/>
    </xf>
    <xf numFmtId="49" fontId="66" fillId="2" borderId="1" xfId="0" applyNumberFormat="1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44" fontId="66" fillId="2" borderId="9" xfId="1" applyNumberFormat="1" applyFont="1" applyFill="1" applyBorder="1" applyAlignment="1">
      <alignment horizontal="center" vertical="center"/>
    </xf>
    <xf numFmtId="0" fontId="65" fillId="3" borderId="1" xfId="0" applyFont="1" applyFill="1" applyBorder="1" applyAlignment="1">
      <alignment horizontal="center"/>
    </xf>
    <xf numFmtId="164" fontId="67" fillId="3" borderId="10" xfId="0" applyNumberFormat="1" applyFont="1" applyFill="1" applyBorder="1" applyAlignment="1">
      <alignment horizontal="center" vertical="center"/>
    </xf>
    <xf numFmtId="44" fontId="66" fillId="2" borderId="1" xfId="1" applyNumberFormat="1" applyFont="1" applyFill="1" applyBorder="1" applyAlignment="1">
      <alignment horizontal="center" vertical="center"/>
    </xf>
    <xf numFmtId="164" fontId="67" fillId="3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65" fillId="12" borderId="5" xfId="0" applyNumberFormat="1" applyFont="1" applyFill="1" applyBorder="1" applyAlignment="1">
      <alignment horizontal="center" vertical="center"/>
    </xf>
    <xf numFmtId="49" fontId="65" fillId="12" borderId="5" xfId="0" applyNumberFormat="1" applyFont="1" applyFill="1" applyBorder="1" applyAlignment="1">
      <alignment horizontal="center" vertical="center"/>
    </xf>
    <xf numFmtId="44" fontId="65" fillId="12" borderId="5" xfId="1" applyNumberFormat="1" applyFont="1" applyFill="1" applyBorder="1" applyAlignment="1">
      <alignment horizontal="center" vertical="center"/>
    </xf>
    <xf numFmtId="164" fontId="67" fillId="14" borderId="5" xfId="0" applyNumberFormat="1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</cellXfs>
  <cellStyles count="2">
    <cellStyle name="Moneda" xfId="1" builtinId="4"/>
    <cellStyle name="Normal" xfId="0" builtinId="0"/>
  </cellStyles>
  <dxfs count="6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ill>
        <patternFill patternType="solid"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ill>
        <patternFill patternType="solid"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rgb="FF000000"/>
        </bottom>
      </border>
    </dxf>
    <dxf>
      <fill>
        <patternFill patternType="solid"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numFmt numFmtId="19" formatCode="d/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numFmt numFmtId="19" formatCode="d/m/yyyy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B2B2B"/>
        <name val="Inter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2B2B2B"/>
        <name val="InterSemiBold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73178256257258567718732" displayName="Tabla173178256257258567718732" ref="A4:F6" totalsRowShown="0" headerRowDxfId="638" headerRowBorderDxfId="637" totalsRowBorderDxfId="636">
  <autoFilter ref="A4:F6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731782562572585677187324" displayName="Tabla1731782562572585677187324" ref="A10:F12" totalsRowShown="0" headerRowDxfId="635" headerRowBorderDxfId="634" totalsRowBorderDxfId="633">
  <autoFilter ref="A10:F12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a17317825625725856771873245" displayName="Tabla17317825625725856771873245" ref="A16:F21" totalsRowShown="0" headerRowDxfId="632" headerRowBorderDxfId="631" totalsRowBorderDxfId="630">
  <autoFilter ref="A16:F21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abla173178256257258567718732456" displayName="Tabla173178256257258567718732456" ref="A25:F29" totalsRowShown="0" headerRowDxfId="629" headerRowBorderDxfId="628" totalsRowBorderDxfId="627">
  <autoFilter ref="A25:F29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abla1731782562572585677187324563" displayName="Tabla1731782562572585677187324563" ref="A33:F36" totalsRowShown="0" headerRowDxfId="626" headerRowBorderDxfId="625" totalsRowBorderDxfId="624">
  <autoFilter ref="A33:F36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a17317825625725856771873245637" displayName="Tabla17317825625725856771873245637" ref="A40:F55" totalsRowShown="0" headerRowDxfId="623" headerRowBorderDxfId="622" totalsRowBorderDxfId="621">
  <autoFilter ref="A40:F55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a173178256257258567718732456378" displayName="Tabla173178256257258567718732456378" ref="A59:F69" totalsRowShown="0" headerRowDxfId="620" headerRowBorderDxfId="619" totalsRowBorderDxfId="618">
  <autoFilter ref="A59:F69"/>
  <sortState ref="A66:F71">
    <sortCondition ref="A65:A71"/>
  </sortState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a1731782562572585677187324563789" displayName="Tabla1731782562572585677187324563789" ref="A73:F86" totalsRowShown="0" headerRowDxfId="617" headerRowBorderDxfId="616" totalsRowBorderDxfId="615">
  <autoFilter ref="A73:F86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a173178256257258567718732456378910" displayName="Tabla173178256257258567718732456378910" ref="A90:F102" totalsRowShown="0" headerRowDxfId="614" headerRowBorderDxfId="613" totalsRowBorderDxfId="612">
  <autoFilter ref="A90:F102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a173178256257258567718732456378911" displayName="Tabla173178256257258567718732456378911" ref="A106:F125" totalsRowShown="0" headerRowDxfId="611" headerRowBorderDxfId="610" totalsRowBorderDxfId="609">
  <autoFilter ref="A106:F125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6" name="Tabla1731782562572585677187324563789111227" displayName="Tabla1731782562572585677187324563789111227" ref="A4:F19" totalsRowShown="0" headerRowDxfId="608" headerRowBorderDxfId="607" totalsRowBorderDxfId="606">
  <autoFilter ref="A4:F19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27" name="Tabla173178256257258567718732456378911121328" displayName="Tabla173178256257258567718732456378911121328" ref="A23:F37" totalsRowShown="0" headerRowDxfId="605" headerRowBorderDxfId="604" totalsRowBorderDxfId="603">
  <autoFilter ref="A23:F37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28" name="Tabla17317825625725856771873245637891112131429" displayName="Tabla17317825625725856771873245637891112131429" ref="A41:F62" totalsRowShown="0" headerRowDxfId="602" headerRowBorderDxfId="601" totalsRowBorderDxfId="600">
  <autoFilter ref="A41:F62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29" name="Tabla17317825625725856771873245637891112131530" displayName="Tabla17317825625725856771873245637891112131530" ref="A66:F87" totalsRowShown="0" headerRowDxfId="599" headerRowBorderDxfId="598" totalsRowBorderDxfId="597">
  <autoFilter ref="A66:F87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30" name="Tabla17317825625725856771873245637891112131631" displayName="Tabla17317825625725856771873245637891112131631" ref="A91:F107" totalsRowShown="0" headerRowDxfId="596" headerRowBorderDxfId="595" totalsRowBorderDxfId="594">
  <autoFilter ref="A91:F107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1" name="Tabla1731782562572585677187324563789111213163112" displayName="Tabla1731782562572585677187324563789111213163112" ref="A111:F124" totalsRowShown="0" headerRowDxfId="593" headerRowBorderDxfId="592" totalsRowBorderDxfId="591">
  <autoFilter ref="A111:F124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2" name="Tabla173178256257258567718732456378911121316311213" displayName="Tabla173178256257258567718732456378911121316311213" ref="A128:F151" totalsRowShown="0" headerRowDxfId="590" headerRowBorderDxfId="589" totalsRowBorderDxfId="588">
  <autoFilter ref="A128:F151"/>
  <tableColumns count="6">
    <tableColumn id="1" name="FECHA DE PAGO"/>
    <tableColumn id="2" name="# CHEQUE"/>
    <tableColumn id="3" name="CONCEPTO"/>
    <tableColumn id="4" name="MONTO "/>
    <tableColumn id="5" name="ESTADO"/>
    <tableColumn id="6" name="FECHA DE ENTRAD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3" name="Tabla13" displayName="Tabla13" ref="A155:F164" totalsRowShown="0" headerRowDxfId="587" tableBorderDxfId="586">
  <autoFilter ref="A155:F164"/>
  <tableColumns count="6">
    <tableColumn id="1" name="FECHA DE PAGO" dataDxfId="585"/>
    <tableColumn id="2" name="# CHEQUE" dataDxfId="584"/>
    <tableColumn id="3" name="CONCEPTO" dataDxfId="583"/>
    <tableColumn id="4" name="MONTO " dataDxfId="582" dataCellStyle="Moneda"/>
    <tableColumn id="5" name="ESTADO" dataDxfId="581"/>
    <tableColumn id="6" name="FECHA DE ENTRADA" dataDxfId="5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4" name="Tabla14" displayName="Tabla14" ref="A169:F181" totalsRowShown="0" headerRowDxfId="579" tableBorderDxfId="578">
  <autoFilter ref="A169:F181"/>
  <tableColumns count="6">
    <tableColumn id="1" name="FECHA DE PAGO" dataDxfId="577"/>
    <tableColumn id="2" name="# CHEQUE" dataDxfId="576"/>
    <tableColumn id="3" name="CONCEPTO" dataDxfId="575"/>
    <tableColumn id="4" name="MONTO " dataDxfId="574" dataCellStyle="Moneda"/>
    <tableColumn id="5" name="ESTADO" dataDxfId="573"/>
    <tableColumn id="6" name="FECHA DE ENTRADA" dataDxfId="57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15" name="Tabla1416" displayName="Tabla1416" ref="A186:F201" totalsRowShown="0" headerRowDxfId="571" tableBorderDxfId="570">
  <autoFilter ref="A186:F201"/>
  <tableColumns count="6">
    <tableColumn id="1" name="FECHA DE PAGO" dataDxfId="569"/>
    <tableColumn id="2" name="# CHEQUE" dataDxfId="568"/>
    <tableColumn id="3" name="CONCEPTO" dataDxfId="567"/>
    <tableColumn id="4" name="MONTO " dataDxfId="566" dataCellStyle="Moneda"/>
    <tableColumn id="5" name="ESTADO" dataDxfId="565"/>
    <tableColumn id="6" name="FECHA DE ENTRADA" dataDxfId="56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16" name="Tabla141617" displayName="Tabla141617" ref="A206:F239" totalsRowShown="0" headerRowDxfId="563" tableBorderDxfId="562">
  <autoFilter ref="A206:F239">
    <filterColumn colId="4">
      <filters blank="1"/>
    </filterColumn>
  </autoFilter>
  <tableColumns count="6">
    <tableColumn id="1" name="FECHA DE PAGO" dataDxfId="561"/>
    <tableColumn id="2" name="# CHEQUE" dataDxfId="560"/>
    <tableColumn id="3" name="CONCEPTO" dataDxfId="559"/>
    <tableColumn id="4" name="MONTO " dataDxfId="558" dataCellStyle="Moneda"/>
    <tableColumn id="5" name="ESTADO" dataDxfId="557"/>
    <tableColumn id="6" name="FECHA DE ENTRADA" dataDxfId="55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7" name="Tabla141618" displayName="Tabla141618" ref="A244:F273" totalsRowShown="0" headerRowDxfId="555" tableBorderDxfId="554">
  <autoFilter ref="A244:F273"/>
  <tableColumns count="6">
    <tableColumn id="1" name="FECHA DE PAGO" dataDxfId="553"/>
    <tableColumn id="2" name="# CHEQUE" dataDxfId="552"/>
    <tableColumn id="3" name="CONCEPTO" dataDxfId="551"/>
    <tableColumn id="4" name="MONTO " dataDxfId="550" dataCellStyle="Moneda"/>
    <tableColumn id="5" name="ESTADO" dataDxfId="549"/>
    <tableColumn id="6" name="FECHA DE ENTRADA" dataDxfId="54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18" name="Tabla18" displayName="Tabla18" ref="A3:G30" totalsRowShown="0" headerRowDxfId="547" headerRowBorderDxfId="546" tableBorderDxfId="545" totalsRowBorderDxfId="544">
  <autoFilter ref="A3:G30"/>
  <tableColumns count="7">
    <tableColumn id="1" name="Tipo" dataDxfId="543"/>
    <tableColumn id="2" name="Número" dataDxfId="542"/>
    <tableColumn id="3" name="Recibido de" dataDxfId="541"/>
    <tableColumn id="4" name="Pago" dataDxfId="540"/>
    <tableColumn id="5" name="Emisión" dataDxfId="539"/>
    <tableColumn id="6" name="Importe" dataDxfId="538" dataCellStyle="Moneda"/>
    <tableColumn id="7" name="Estado" dataDxfId="53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19" name="Tabla1416181920" displayName="Tabla1416181920" ref="A3:F25" totalsRowShown="0" headerRowDxfId="536" tableBorderDxfId="535">
  <autoFilter ref="A3:F25"/>
  <sortState ref="A4:F25">
    <sortCondition ref="A3:A25"/>
  </sortState>
  <tableColumns count="6">
    <tableColumn id="1" name="FECHA DE PAGO" dataDxfId="534"/>
    <tableColumn id="2" name="# CHEQUE" dataDxfId="533"/>
    <tableColumn id="3" name="CONCEPTO" dataDxfId="532"/>
    <tableColumn id="4" name="MONTO " dataDxfId="531" dataCellStyle="Moneda"/>
    <tableColumn id="5" name="ESTADO" dataDxfId="530"/>
    <tableColumn id="6" name="FECHA DE ENTRADA" dataDxfId="52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0" name="Tabla141618192021" displayName="Tabla141618192021" ref="A30:F56" totalsRowShown="0" headerRowDxfId="528" tableBorderDxfId="527">
  <autoFilter ref="A30:F56"/>
  <sortState ref="A32:F57">
    <sortCondition ref="A31:A57"/>
  </sortState>
  <tableColumns count="6">
    <tableColumn id="1" name="FECHA DE PAGO" dataDxfId="526"/>
    <tableColumn id="2" name="# CHEQUE" dataDxfId="525"/>
    <tableColumn id="3" name="CONCEPTO" dataDxfId="524"/>
    <tableColumn id="4" name="MONTO " dataDxfId="523" dataCellStyle="Moneda"/>
    <tableColumn id="5" name="ESTADO" dataDxfId="522"/>
    <tableColumn id="6" name="FECHA DE ENTRADA" dataDxfId="52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1" name="Tabla14161819202122" displayName="Tabla14161819202122" ref="A61:F82" totalsRowShown="0" headerRowDxfId="520" tableBorderDxfId="519">
  <autoFilter ref="A61:F82"/>
  <sortState ref="A62:F75">
    <sortCondition ref="A61:A75"/>
  </sortState>
  <tableColumns count="6">
    <tableColumn id="1" name="FECHA DE PAGO" dataDxfId="518"/>
    <tableColumn id="2" name="# CHEQUE" dataDxfId="517"/>
    <tableColumn id="3" name="CONCEPTO" dataDxfId="516"/>
    <tableColumn id="4" name="MONTO " dataDxfId="515" dataCellStyle="Moneda"/>
    <tableColumn id="5" name="ESTADO" dataDxfId="514"/>
    <tableColumn id="6" name="FECHA DE ENTRADA" dataDxfId="51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2" name="Tabla1416181920212223" displayName="Tabla1416181920212223" ref="A87:F102" totalsRowShown="0" headerRowDxfId="512" dataDxfId="511" tableBorderDxfId="510">
  <autoFilter ref="A87:F102"/>
  <tableColumns count="6">
    <tableColumn id="1" name="FECHA DE PAGO" dataDxfId="509"/>
    <tableColumn id="2" name="# CHEQUE" dataDxfId="508"/>
    <tableColumn id="3" name="CONCEPTO" dataDxfId="507"/>
    <tableColumn id="4" name="MONTO " dataDxfId="506" dataCellStyle="Moneda"/>
    <tableColumn id="5" name="ESTADO" dataDxfId="505"/>
    <tableColumn id="6" name="FECHA DE ENTRADA" dataDxfId="50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3" name="Tabla141618192021222324" displayName="Tabla141618192021222324" ref="A107:F119" totalsRowShown="0" headerRowDxfId="503" dataDxfId="502" tableBorderDxfId="501">
  <autoFilter ref="A107:F119"/>
  <sortState ref="A108:F119">
    <sortCondition ref="B107:B119"/>
  </sortState>
  <tableColumns count="6">
    <tableColumn id="1" name="FECHA DE PAGO" dataDxfId="500"/>
    <tableColumn id="2" name="# CHEQUE" dataDxfId="499"/>
    <tableColumn id="3" name="CONCEPTO" dataDxfId="498"/>
    <tableColumn id="4" name="MONTO " dataDxfId="497" dataCellStyle="Moneda"/>
    <tableColumn id="5" name="ESTADO" dataDxfId="496"/>
    <tableColumn id="6" name="FECHA DE ENTRADA" dataDxfId="49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4" name="Tabla14161819202122232425" displayName="Tabla14161819202122232425" ref="A124:F140" totalsRowShown="0" headerRowDxfId="494" dataDxfId="493" tableBorderDxfId="492">
  <autoFilter ref="A124:F140"/>
  <sortState ref="A125:F140">
    <sortCondition ref="B124:B140"/>
  </sortState>
  <tableColumns count="6">
    <tableColumn id="1" name="FECHA DE PAGO" dataDxfId="491"/>
    <tableColumn id="2" name="# CHEQUE" dataDxfId="490"/>
    <tableColumn id="3" name="CONCEPTO" dataDxfId="489"/>
    <tableColumn id="4" name="MONTO " dataDxfId="488" dataCellStyle="Moneda"/>
    <tableColumn id="5" name="ESTADO" dataDxfId="487"/>
    <tableColumn id="6" name="FECHA DE ENTRADA" dataDxfId="48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25" name="Tabla1416181920212223242526" displayName="Tabla1416181920212223242526" ref="A145:F171" totalsRowShown="0" headerRowDxfId="485" dataDxfId="484" tableBorderDxfId="483">
  <autoFilter ref="A145:F171"/>
  <sortState ref="A146:F159">
    <sortCondition ref="A145:A159"/>
  </sortState>
  <tableColumns count="6">
    <tableColumn id="1" name="FECHA DE PAGO" dataDxfId="482"/>
    <tableColumn id="2" name="# CHEQUE" dataDxfId="481"/>
    <tableColumn id="3" name="CONCEPTO" dataDxfId="480"/>
    <tableColumn id="4" name="MONTO " dataDxfId="479" dataCellStyle="Moneda"/>
    <tableColumn id="5" name="ESTADO" dataDxfId="478"/>
    <tableColumn id="6" name="FECHA DE ENTRADA" dataDxfId="47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a141618192021222324252632" displayName="Tabla141618192021222324252632" ref="A176:F223" totalsRowShown="0" headerRowDxfId="476" dataDxfId="475" tableBorderDxfId="474">
  <autoFilter ref="A176:F223">
    <filterColumn colId="4">
      <filters>
        <filter val="PENDIENTE"/>
      </filters>
    </filterColumn>
  </autoFilter>
  <sortState ref="A177:F184">
    <sortCondition ref="A171:A184"/>
  </sortState>
  <tableColumns count="6">
    <tableColumn id="1" name="FECHA DE PAGO" dataDxfId="473"/>
    <tableColumn id="2" name="# CHEQUE" dataDxfId="472"/>
    <tableColumn id="3" name="CONCEPTO" dataDxfId="471"/>
    <tableColumn id="4" name="MONTO " dataDxfId="470" dataCellStyle="Moneda"/>
    <tableColumn id="5" name="ESTADO" dataDxfId="469"/>
    <tableColumn id="6" name="FECHA DE ENTRADA" dataDxfId="468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a14161819202122232425263233" displayName="Tabla14161819202122232425263233" ref="A228:F284" totalsRowShown="0" headerRowDxfId="467" dataDxfId="466" tableBorderDxfId="465">
  <autoFilter ref="A228:F284"/>
  <tableColumns count="6">
    <tableColumn id="1" name="FECHA DE PAGO" dataDxfId="464"/>
    <tableColumn id="2" name="# CHEQUE" dataDxfId="463"/>
    <tableColumn id="3" name="CONCEPTO" dataDxfId="462"/>
    <tableColumn id="4" name="MONTO " dataDxfId="461" dataCellStyle="Moneda"/>
    <tableColumn id="5" name="ESTADO" dataDxfId="460"/>
    <tableColumn id="6" name="FECHA DE ENTRADA" dataDxfId="45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a1416181920212223242526323334" displayName="Tabla1416181920212223242526323334" ref="A289:F326" totalsRowShown="0" headerRowDxfId="458" dataDxfId="457" tableBorderDxfId="456">
  <autoFilter ref="A289:F326"/>
  <tableColumns count="6">
    <tableColumn id="1" name="FECHA DE PAGO" dataDxfId="455"/>
    <tableColumn id="2" name="# CHEQUE" dataDxfId="454"/>
    <tableColumn id="3" name="CONCEPTO" dataDxfId="453"/>
    <tableColumn id="4" name="MONTO " dataDxfId="452" dataCellStyle="Moneda"/>
    <tableColumn id="5" name="ESTADO" dataDxfId="451"/>
    <tableColumn id="6" name="FECHA DE ENTRADA" dataDxfId="45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a141618192021222324252632333435" displayName="Tabla141618192021222324252632333435" ref="A331:F357" totalsRowShown="0" headerRowDxfId="449" tableBorderDxfId="448">
  <autoFilter ref="A331:F357"/>
  <tableColumns count="6">
    <tableColumn id="1" name="FECHA DE PAGO" dataDxfId="447"/>
    <tableColumn id="2" name="# CHEQUE" dataDxfId="446"/>
    <tableColumn id="3" name="CONCEPTO" dataDxfId="445"/>
    <tableColumn id="4" name="MONTO " dataDxfId="444" dataCellStyle="Moneda"/>
    <tableColumn id="5" name="ESTADO" dataDxfId="443"/>
    <tableColumn id="6" name="FECHA DE ENTRADA" dataDxfId="44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a14161819202122232425263233343536" displayName="Tabla14161819202122232425263233343536" ref="A362:F379" totalsRowShown="0" headerRowDxfId="441" dataDxfId="440" tableBorderDxfId="439">
  <autoFilter ref="A362:F379">
    <filterColumn colId="4">
      <filters blank="1"/>
    </filterColumn>
  </autoFilter>
  <tableColumns count="6">
    <tableColumn id="1" name="FECHA DE PAGO" dataDxfId="438"/>
    <tableColumn id="2" name="# CHEQUE" dataDxfId="437"/>
    <tableColumn id="3" name="CONCEPTO" dataDxfId="436"/>
    <tableColumn id="4" name="MONTO " dataDxfId="435" dataCellStyle="Moneda"/>
    <tableColumn id="5" name="ESTADO" dataDxfId="434"/>
    <tableColumn id="6" name="FECHA DE ENTRADA" dataDxfId="43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49" name="Tabla141618192021222324252632333435363750" displayName="Tabla141618192021222324252632333435363750" ref="A3:F19" totalsRowShown="0" headerRowDxfId="432" dataDxfId="431" tableBorderDxfId="430">
  <autoFilter ref="A3:F19"/>
  <tableColumns count="6">
    <tableColumn id="1" name="FECHA DE PAGO" dataDxfId="429"/>
    <tableColumn id="2" name="# CHEQUE" dataDxfId="428"/>
    <tableColumn id="3" name="CONCEPTO" dataDxfId="427"/>
    <tableColumn id="4" name="MONTO " dataDxfId="426" dataCellStyle="Moneda"/>
    <tableColumn id="5" name="ESTADO" dataDxfId="425"/>
    <tableColumn id="6" name="FECHA DE ENTRADA" dataDxfId="42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a14161819202122232425263233343536375038" displayName="Tabla14161819202122232425263233343536375038" ref="A24:F46" totalsRowShown="0" headerRowDxfId="423" dataDxfId="422" tableBorderDxfId="421">
  <autoFilter ref="A24:F46">
    <filterColumn colId="4">
      <filters>
        <filter val="ACEPTADO"/>
        <filter val="EMITIDO"/>
      </filters>
    </filterColumn>
  </autoFilter>
  <tableColumns count="6">
    <tableColumn id="1" name="FECHA DE PAGO" dataDxfId="420"/>
    <tableColumn id="2" name="# CHEQUE" dataDxfId="419"/>
    <tableColumn id="3" name="CONCEPTO" dataDxfId="418"/>
    <tableColumn id="4" name="MONTO " dataDxfId="417" dataCellStyle="Moneda"/>
    <tableColumn id="5" name="ESTADO" dataDxfId="416"/>
    <tableColumn id="6" name="FECHA DE ENTRADA" dataDxfId="41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6" name="Tabla1416181920212223242526323334353637503837" displayName="Tabla1416181920212223242526323334353637503837" ref="A51:F88" totalsRowShown="0" headerRowDxfId="414" tableBorderDxfId="413">
  <autoFilter ref="A51:F88"/>
  <tableColumns count="6">
    <tableColumn id="1" name="FECHA DE PAGO" dataDxfId="412"/>
    <tableColumn id="2" name="# CHEQUE" dataDxfId="411"/>
    <tableColumn id="3" name="CONCEPTO" dataDxfId="410"/>
    <tableColumn id="4" name="MONTO " dataDxfId="409" dataCellStyle="Moneda"/>
    <tableColumn id="5" name="ESTADO" dataDxfId="408"/>
    <tableColumn id="6" name="FECHA DE ENTRADA" dataDxfId="40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8" name="Tabla141618192021222324252632333435363750383739" displayName="Tabla141618192021222324252632333435363750383739" ref="A93:F101" totalsRowShown="0" headerRowDxfId="406" dataDxfId="405" tableBorderDxfId="404">
  <autoFilter ref="A93:F101"/>
  <tableColumns count="6">
    <tableColumn id="1" name="FECHA DE PAGO" dataDxfId="403"/>
    <tableColumn id="2" name="# CHEQUE" dataDxfId="402"/>
    <tableColumn id="3" name="CONCEPTO" dataDxfId="401"/>
    <tableColumn id="4" name="MONTO " dataDxfId="400" dataCellStyle="Moneda"/>
    <tableColumn id="5" name="ESTADO" dataDxfId="399"/>
    <tableColumn id="6" name="FECHA DE ENTRADA" dataDxfId="39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39" name="Tabla14161819202122232425263233343536375038373940" displayName="Tabla14161819202122232425263233343536375038373940" ref="A110:F134" totalsRowShown="0" headerRowDxfId="397" tableBorderDxfId="396">
  <autoFilter ref="A110:F134"/>
  <tableColumns count="6">
    <tableColumn id="1" name="FECHA DE PAGO" dataDxfId="395"/>
    <tableColumn id="2" name="# CHEQUE" dataDxfId="394"/>
    <tableColumn id="3" name="CONCEPTO" dataDxfId="393"/>
    <tableColumn id="4" name="MONTO " dataDxfId="392" dataCellStyle="Moneda"/>
    <tableColumn id="5" name="ESTADO" dataDxfId="391"/>
    <tableColumn id="6" name="FECHA DE ENTRADA" dataDxfId="39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0" name="Tabla1416181920212223242526323334353637503837394041" displayName="Tabla1416181920212223242526323334353637503837394041" ref="A139:F174" totalsRowShown="0" headerRowDxfId="389" dataDxfId="388" tableBorderDxfId="387">
  <autoFilter ref="A139:F174"/>
  <tableColumns count="6">
    <tableColumn id="1" name="FECHA DE PAGO" dataDxfId="386"/>
    <tableColumn id="2" name="# CHEQUE" dataDxfId="385"/>
    <tableColumn id="3" name="CONCEPTO" dataDxfId="384"/>
    <tableColumn id="4" name="MONTO " dataDxfId="383" dataCellStyle="Moneda"/>
    <tableColumn id="5" name="ESTADO" dataDxfId="382"/>
    <tableColumn id="6" name="FECHA DE ENTRADA" dataDxfId="38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1" name="Tabla141618192021222324252632333435363750383739404142" displayName="Tabla141618192021222324252632333435363750383739404142" ref="A180:F212" totalsRowShown="0" headerRowDxfId="380" dataDxfId="379" tableBorderDxfId="378">
  <autoFilter ref="A180:F212"/>
  <tableColumns count="6">
    <tableColumn id="1" name="FECHA DE PAGO" dataDxfId="377"/>
    <tableColumn id="2" name="# CHEQUE" dataDxfId="376"/>
    <tableColumn id="3" name="CONCEPTO" dataDxfId="375"/>
    <tableColumn id="4" name="MONTO " dataDxfId="374" dataCellStyle="Moneda"/>
    <tableColumn id="5" name="ESTADO" dataDxfId="373"/>
    <tableColumn id="6" name="FECHA DE ENTRADA" dataDxfId="37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2" name="Tabla14161819202122232425263233343536375038373940414243" displayName="Tabla14161819202122232425263233343536375038373940414243" ref="A217:F235" totalsRowShown="0" headerRowDxfId="371" dataDxfId="370" tableBorderDxfId="369">
  <autoFilter ref="A217:F235"/>
  <tableColumns count="6">
    <tableColumn id="1" name="FECHA DE PAGO" dataDxfId="368"/>
    <tableColumn id="2" name="# CHEQUE" dataDxfId="367"/>
    <tableColumn id="3" name="CONCEPTO" dataDxfId="366"/>
    <tableColumn id="4" name="MONTO " dataDxfId="365" dataCellStyle="Moneda"/>
    <tableColumn id="5" name="ESTADO" dataDxfId="364"/>
    <tableColumn id="6" name="FECHA DE ENTRADA" dataDxfId="36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3" name="Tabla1416181920212223242526323334353637503837394041424344" displayName="Tabla1416181920212223242526323334353637503837394041424344" ref="A246:F259" totalsRowShown="0" headerRowDxfId="362" dataDxfId="361" tableBorderDxfId="360">
  <autoFilter ref="A246:F259"/>
  <tableColumns count="6">
    <tableColumn id="1" name="FECHA DE PAGO" dataDxfId="359"/>
    <tableColumn id="2" name="# CHEQUE" dataDxfId="358"/>
    <tableColumn id="3" name="CONCEPTO" dataDxfId="357"/>
    <tableColumn id="4" name="MONTO " dataDxfId="356" dataCellStyle="Moneda"/>
    <tableColumn id="5" name="ESTADO" dataDxfId="355"/>
    <tableColumn id="6" name="FECHA DE ENTRADA" dataDxfId="35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4" name="Tabla141618192021222324252632333435363750383739404142434445" displayName="Tabla141618192021222324252632333435363750383739404142434445" ref="A264:F290" totalsRowShown="0" headerRowDxfId="353" dataDxfId="352" tableBorderDxfId="351">
  <autoFilter ref="A264:F290"/>
  <tableColumns count="6">
    <tableColumn id="1" name="FECHA DE PAGO" dataDxfId="350"/>
    <tableColumn id="2" name="# CHEQUE" dataDxfId="349"/>
    <tableColumn id="3" name="CONCEPTO" dataDxfId="348"/>
    <tableColumn id="4" name="MONTO " dataDxfId="347" dataCellStyle="Moneda"/>
    <tableColumn id="5" name="ESTADO" dataDxfId="346"/>
    <tableColumn id="6" name="FECHA DE ENTRADA" dataDxfId="34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5" name="Tabla14161819202122232425263233343536375038373940414243444546" displayName="Tabla14161819202122232425263233343536375038373940414243444546" ref="A295:F324" totalsRowShown="0" headerRowDxfId="344" dataDxfId="343" tableBorderDxfId="342">
  <autoFilter ref="A295:F324"/>
  <tableColumns count="6">
    <tableColumn id="1" name="FECHA DE PAGO" dataDxfId="341"/>
    <tableColumn id="2" name="# CHEQUE" dataDxfId="340"/>
    <tableColumn id="3" name="CONCEPTO" dataDxfId="339"/>
    <tableColumn id="4" name="MONTO " dataDxfId="338" dataCellStyle="Moneda"/>
    <tableColumn id="5" name="ESTADO" dataDxfId="337"/>
    <tableColumn id="6" name="FECHA DE ENTRADA" dataDxfId="33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6" name="Tabla1416181920212223242526323334353637503837394041424344454647" displayName="Tabla1416181920212223242526323334353637503837394041424344454647" ref="A329:F365" totalsRowShown="0" headerRowDxfId="335" dataDxfId="334" tableBorderDxfId="333">
  <autoFilter ref="A329:F365"/>
  <tableColumns count="6">
    <tableColumn id="1" name="FECHA DE PAGO" dataDxfId="332"/>
    <tableColumn id="2" name="# CHEQUE" dataDxfId="331"/>
    <tableColumn id="3" name="CONCEPTO" dataDxfId="330"/>
    <tableColumn id="4" name="MONTO " dataDxfId="329" dataCellStyle="Moneda"/>
    <tableColumn id="5" name="ESTADO" dataDxfId="328"/>
    <tableColumn id="6" name="FECHA DE ENTRADA" dataDxfId="327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73" name="Tabla14161819202122232425263233343536375074" displayName="Tabla14161819202122232425263233343536375074" ref="A3:F20" totalsRowShown="0" headerRowDxfId="326" tableBorderDxfId="325">
  <autoFilter ref="A3:F20"/>
  <tableColumns count="6">
    <tableColumn id="1" name="FECHA DE PAGO" dataDxfId="324"/>
    <tableColumn id="2" name="# CHEQUE" dataDxfId="323"/>
    <tableColumn id="3" name="CONCEPTO" dataDxfId="322"/>
    <tableColumn id="4" name="MONTO " dataDxfId="321" dataCellStyle="Moneda"/>
    <tableColumn id="5" name="ESTADO" dataDxfId="320"/>
    <tableColumn id="6" name="FECHA DE ENTRADA" dataDxfId="31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85" name="Tabla141618192021222324252632333435363750384986" displayName="Tabla141618192021222324252632333435363750384986" ref="A39:F53" totalsRowShown="0" headerRowDxfId="318" dataDxfId="317" tableBorderDxfId="316">
  <autoFilter ref="A39:F53"/>
  <tableColumns count="6">
    <tableColumn id="1" name="FECHA DE PAGO" dataDxfId="315"/>
    <tableColumn id="2" name="# CHEQUE" dataDxfId="314"/>
    <tableColumn id="3" name="CONCEPTO" dataDxfId="313"/>
    <tableColumn id="4" name="MONTO " dataDxfId="312" dataCellStyle="Moneda"/>
    <tableColumn id="5" name="ESTADO" dataDxfId="311"/>
    <tableColumn id="6" name="FECHA DE ENTRADA" dataDxfId="31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86" name="Tabla14161819202122232425263233343536375038375187" displayName="Tabla14161819202122232425263233343536375038375187" ref="A58:F79" totalsRowShown="0" headerRowDxfId="309" tableBorderDxfId="308">
  <autoFilter ref="A58:F79"/>
  <tableColumns count="6">
    <tableColumn id="1" name="FECHA DE PAGO" dataDxfId="307"/>
    <tableColumn id="2" name="# CHEQUE" dataDxfId="306"/>
    <tableColumn id="3" name="CONCEPTO" dataDxfId="305"/>
    <tableColumn id="4" name="MONTO " dataDxfId="304" dataCellStyle="Moneda"/>
    <tableColumn id="5" name="ESTADO" dataDxfId="303"/>
    <tableColumn id="6" name="FECHA DE ENTRADA" dataDxfId="30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87" name="Tabla1416181920212223242526323334353637503837395288" displayName="Tabla1416181920212223242526323334353637503837395288" ref="A84:F108" totalsRowShown="0" headerRowDxfId="301" dataDxfId="300" tableBorderDxfId="299">
  <autoFilter ref="A84:F108"/>
  <tableColumns count="6">
    <tableColumn id="1" name="FECHA DE PAGO" dataDxfId="298"/>
    <tableColumn id="2" name="# CHEQUE" dataDxfId="297"/>
    <tableColumn id="3" name="CONCEPTO" dataDxfId="296"/>
    <tableColumn id="4" name="MONTO " dataDxfId="295" dataCellStyle="Moneda"/>
    <tableColumn id="5" name="ESTADO" dataDxfId="294"/>
    <tableColumn id="6" name="FECHA DE ENTRADA" dataDxfId="29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88" name="Tabla141618192021222324252632333435363750383739405389" displayName="Tabla141618192021222324252632333435363750383739405389" ref="A113:F138" totalsRowShown="0" headerRowDxfId="292" tableBorderDxfId="291">
  <autoFilter ref="A113:F138"/>
  <tableColumns count="6">
    <tableColumn id="1" name="FECHA DE PAGO" dataDxfId="290"/>
    <tableColumn id="2" name="# CHEQUE" dataDxfId="289"/>
    <tableColumn id="3" name="CONCEPTO" dataDxfId="288"/>
    <tableColumn id="4" name="MONTO " dataDxfId="287" dataCellStyle="Moneda"/>
    <tableColumn id="5" name="ESTADO" dataDxfId="286"/>
    <tableColumn id="6" name="FECHA DE ENTRADA" dataDxfId="2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89" name="Tabla14161819202122232425263233343536375038373940415490" displayName="Tabla14161819202122232425263233343536375038373940415490" ref="A144:F168" totalsRowShown="0" headerRowDxfId="284" dataDxfId="283" tableBorderDxfId="282">
  <autoFilter ref="A144:F168"/>
  <tableColumns count="6">
    <tableColumn id="1" name="FECHA DE PAGO" dataDxfId="281"/>
    <tableColumn id="2" name="# CHEQUE" dataDxfId="280"/>
    <tableColumn id="3" name="CONCEPTO" dataDxfId="279"/>
    <tableColumn id="4" name="MONTO " dataDxfId="278" dataCellStyle="Moneda"/>
    <tableColumn id="5" name="ESTADO" dataDxfId="277"/>
    <tableColumn id="6" name="FECHA DE ENTRADA" dataDxfId="27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90" name="Tabla1416181920212223242526323334353637503837394041425591" displayName="Tabla1416181920212223242526323334353637503837394041425591" ref="A174:F195" totalsRowShown="0" headerRowDxfId="275" dataDxfId="274" tableBorderDxfId="273">
  <autoFilter ref="A174:F195"/>
  <tableColumns count="6">
    <tableColumn id="1" name="FECHA DE PAGO" dataDxfId="272"/>
    <tableColumn id="2" name="# CHEQUE" dataDxfId="271"/>
    <tableColumn id="3" name="CONCEPTO" dataDxfId="270"/>
    <tableColumn id="4" name="MONTO " dataDxfId="269" dataCellStyle="Moneda"/>
    <tableColumn id="5" name="ESTADO" dataDxfId="268"/>
    <tableColumn id="6" name="FECHA DE ENTRADA" dataDxfId="26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91" name="Tabla141618192021222324252632333435363750383739404142435692" displayName="Tabla141618192021222324252632333435363750383739404142435692" ref="A200:F216" totalsRowShown="0" headerRowDxfId="266" dataDxfId="265" tableBorderDxfId="264">
  <autoFilter ref="A200:F216"/>
  <tableColumns count="6">
    <tableColumn id="1" name="FECHA DE PAGO" dataDxfId="263"/>
    <tableColumn id="2" name="# CHEQUE" dataDxfId="262"/>
    <tableColumn id="3" name="CONCEPTO" dataDxfId="261"/>
    <tableColumn id="4" name="MONTO " dataDxfId="260" dataCellStyle="Moneda"/>
    <tableColumn id="5" name="ESTADO" dataDxfId="259"/>
    <tableColumn id="6" name="FECHA DE ENTRADA" dataDxfId="25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92" name="Tabla14161819202122232425263233343536375038373940414243445793" displayName="Tabla14161819202122232425263233343536375038373940414243445793" ref="A221:F249" totalsRowShown="0" headerRowDxfId="257" dataDxfId="256" tableBorderDxfId="255">
  <autoFilter ref="A221:F249"/>
  <tableColumns count="6">
    <tableColumn id="1" name="FECHA DE PAGO" dataDxfId="254"/>
    <tableColumn id="2" name="# CHEQUE" dataDxfId="253"/>
    <tableColumn id="3" name="CONCEPTO" dataDxfId="252"/>
    <tableColumn id="4" name="MONTO " dataDxfId="251" dataCellStyle="Moneda"/>
    <tableColumn id="5" name="ESTADO" dataDxfId="250"/>
    <tableColumn id="6" name="FECHA DE ENTRADA" dataDxfId="249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93" name="Tabla1416181920212223242526323334353637503837394041424344455894" displayName="Tabla1416181920212223242526323334353637503837394041424344455894" ref="A254:F282" totalsRowShown="0" headerRowDxfId="248" dataDxfId="247" tableBorderDxfId="246">
  <autoFilter ref="A254:F282"/>
  <tableColumns count="6">
    <tableColumn id="1" name="FECHA DE PAGO" dataDxfId="245"/>
    <tableColumn id="2" name="# CHEQUE" dataDxfId="244"/>
    <tableColumn id="3" name="CONCEPTO" dataDxfId="243"/>
    <tableColumn id="4" name="MONTO " dataDxfId="242" dataCellStyle="Moneda"/>
    <tableColumn id="5" name="ESTADO" dataDxfId="241"/>
    <tableColumn id="6" name="FECHA DE ENTRADA" dataDxfId="24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94" name="Tabla141618192021222324252632333435363750383739404142434445465995" displayName="Tabla141618192021222324252632333435363750383739404142434445465995" ref="A293:F330" totalsRowShown="0" headerRowDxfId="239" dataDxfId="238" tableBorderDxfId="237">
  <autoFilter ref="A293:F330"/>
  <tableColumns count="6">
    <tableColumn id="1" name="FECHA DE PAGO" dataDxfId="236"/>
    <tableColumn id="2" name="# CHEQUE" dataDxfId="235"/>
    <tableColumn id="3" name="CONCEPTO" dataDxfId="234"/>
    <tableColumn id="4" name="MONTO " dataDxfId="233" dataCellStyle="Moneda"/>
    <tableColumn id="5" name="ESTADO" dataDxfId="232"/>
    <tableColumn id="6" name="FECHA DE ENTRADA" dataDxfId="23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95" name="Tabla14161819202122232425263233343536375038373940414243444546476096" displayName="Tabla14161819202122232425263233343536375038373940414243444546476096" ref="A345:F359" totalsRowShown="0" headerRowDxfId="230" dataDxfId="229" tableBorderDxfId="228">
  <autoFilter ref="A345:F359"/>
  <tableColumns count="6">
    <tableColumn id="1" name="FECHA DE PAGO" dataDxfId="227"/>
    <tableColumn id="2" name="# CHEQUE" dataDxfId="226"/>
    <tableColumn id="3" name="CONCEPTO" dataDxfId="225"/>
    <tableColumn id="4" name="MONTO " dataDxfId="224" dataCellStyle="Moneda"/>
    <tableColumn id="5" name="ESTADO" dataDxfId="223"/>
    <tableColumn id="6" name="FECHA DE ENTRADA" dataDxfId="22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50" name="Tabla141618192021222324252632333435363750383739404142434445589451" displayName="Tabla141618192021222324252632333435363750383739404142434445589451" ref="A287:F288" totalsRowShown="0" headerRowDxfId="221" dataDxfId="220" tableBorderDxfId="219">
  <autoFilter ref="A287:F288"/>
  <tableColumns count="6">
    <tableColumn id="1" name="FECHA DE PAGO" dataDxfId="218"/>
    <tableColumn id="2" name="# CHEQUE" dataDxfId="217"/>
    <tableColumn id="3" name="CONCEPTO" dataDxfId="216"/>
    <tableColumn id="4" name="MONTO " dataDxfId="215" dataCellStyle="Moneda"/>
    <tableColumn id="5" name="ESTADO" dataDxfId="214"/>
    <tableColumn id="6" name="FECHA DE ENTRADA" dataDxfId="213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51" name="Tabla14161819202122232425263233343536375038373940414243444558945152" displayName="Tabla14161819202122232425263233343536375038373940414243444558945152" ref="A335:F340" totalsRowShown="0" headerRowDxfId="212" dataDxfId="211" tableBorderDxfId="210">
  <autoFilter ref="A335:F340"/>
  <tableColumns count="6">
    <tableColumn id="1" name="FECHA DE PAGO" dataDxfId="209"/>
    <tableColumn id="2" name="# CHEQUE" dataDxfId="208"/>
    <tableColumn id="3" name="CONCEPTO" dataDxfId="207"/>
    <tableColumn id="4" name="MONTO " dataDxfId="206" dataCellStyle="Moneda"/>
    <tableColumn id="5" name="ESTADO" dataDxfId="205"/>
    <tableColumn id="6" name="FECHA DE ENTRADA" dataDxfId="20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52" name="Tabla1416181920212223242526323334353637503837394041424344455894515253" displayName="Tabla1416181920212223242526323334353637503837394041424344455894515253" ref="A372:F374" totalsRowShown="0" headerRowDxfId="203" dataDxfId="202" tableBorderDxfId="201">
  <autoFilter ref="A372:F374"/>
  <tableColumns count="6">
    <tableColumn id="1" name="FECHA DE PAGO" dataDxfId="200"/>
    <tableColumn id="2" name="# CHEQUE" dataDxfId="199"/>
    <tableColumn id="3" name="CONCEPTO" dataDxfId="198"/>
    <tableColumn id="4" name="MONTO " dataDxfId="197" dataCellStyle="Moneda"/>
    <tableColumn id="5" name="ESTADO" dataDxfId="196"/>
    <tableColumn id="6" name="FECHA DE ENTRADA" dataDxfId="19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47" name="Tabla1416181920212223242526323334353637507448" displayName="Tabla1416181920212223242526323334353637507448" ref="A3:F15" totalsRowShown="0" headerRowDxfId="194" tableBorderDxfId="193">
  <autoFilter ref="A3:F15"/>
  <tableColumns count="6">
    <tableColumn id="1" name="FECHA DE PAGO" dataDxfId="192"/>
    <tableColumn id="2" name="# CHEQUE" dataDxfId="191"/>
    <tableColumn id="3" name="CONCEPTO" dataDxfId="190"/>
    <tableColumn id="4" name="MONTO " dataDxfId="189" dataCellStyle="Moneda"/>
    <tableColumn id="5" name="ESTADO" dataDxfId="188"/>
    <tableColumn id="6" name="FECHA DE ENTRADA" dataDxfId="18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53" name="Tabla141618192021222324252632333435363750383739404142434445589451525354" displayName="Tabla141618192021222324252632333435363750383739404142434445589451525354" ref="A26:F30" totalsRowShown="0" headerRowDxfId="186" dataDxfId="185" tableBorderDxfId="184">
  <autoFilter ref="A26:F30"/>
  <tableColumns count="6">
    <tableColumn id="1" name="FECHA DE PAGO" dataDxfId="183"/>
    <tableColumn id="2" name="# CHEQUE" dataDxfId="182"/>
    <tableColumn id="3" name="CONCEPTO" dataDxfId="181"/>
    <tableColumn id="4" name="MONTO " dataDxfId="180" dataCellStyle="Moneda"/>
    <tableColumn id="5" name="ESTADO" dataDxfId="179"/>
    <tableColumn id="6" name="FECHA DE ENTRADA" dataDxfId="17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48" name="Tabla141618192021222324252632333435363750744849" displayName="Tabla141618192021222324252632333435363750744849" ref="A35:F60" totalsRowShown="0" headerRowDxfId="177" tableBorderDxfId="176">
  <autoFilter ref="A35:F60"/>
  <tableColumns count="6">
    <tableColumn id="1" name="FECHA DE PAGO" dataDxfId="175"/>
    <tableColumn id="2" name="# CHEQUE" dataDxfId="174"/>
    <tableColumn id="3" name="CONCEPTO" dataDxfId="173"/>
    <tableColumn id="4" name="MONTO " dataDxfId="172" dataCellStyle="Moneda"/>
    <tableColumn id="5" name="ESTADO" dataDxfId="171"/>
    <tableColumn id="6" name="FECHA DE ENTRADA" dataDxfId="17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54" name="Tabla14161819202122232425263233343536375038373940414243444558945152535455" displayName="Tabla14161819202122232425263233343536375038373940414243444558945152535455" ref="A65:F70" totalsRowShown="0" headerRowDxfId="169" dataDxfId="168" tableBorderDxfId="167">
  <autoFilter ref="A65:F70"/>
  <tableColumns count="6">
    <tableColumn id="1" name="FECHA DE PAGO" dataDxfId="166"/>
    <tableColumn id="2" name="# CHEQUE" dataDxfId="165"/>
    <tableColumn id="3" name="CONCEPTO" dataDxfId="164"/>
    <tableColumn id="4" name="MONTO " dataDxfId="163" dataCellStyle="Moneda"/>
    <tableColumn id="5" name="ESTADO" dataDxfId="162"/>
    <tableColumn id="6" name="FECHA DE ENTRADA" dataDxfId="16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55" name="Tabla14161819202122232425263233343536375074484956" displayName="Tabla14161819202122232425263233343536375074484956" ref="A75:F104" totalsRowShown="0" headerRowDxfId="160" tableBorderDxfId="159">
  <autoFilter ref="A75:F104"/>
  <tableColumns count="6">
    <tableColumn id="1" name="FECHA DE PAGO" dataDxfId="158"/>
    <tableColumn id="2" name="# CHEQUE" dataDxfId="157"/>
    <tableColumn id="3" name="CONCEPTO" dataDxfId="156"/>
    <tableColumn id="4" name="MONTO " dataDxfId="155" dataCellStyle="Moneda"/>
    <tableColumn id="5" name="ESTADO" dataDxfId="154"/>
    <tableColumn id="6" name="FECHA DE ENTRADA" dataDxfId="15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56" name="Tabla1416181920212223242526323334353637503837394041424344455894515253545557" displayName="Tabla1416181920212223242526323334353637503837394041424344455894515253545557" ref="A109:F114" totalsRowShown="0" headerRowDxfId="152" dataDxfId="151" tableBorderDxfId="150">
  <autoFilter ref="A109:F114"/>
  <tableColumns count="6">
    <tableColumn id="1" name="FECHA DE PAGO" dataDxfId="149"/>
    <tableColumn id="2" name="# CHEQUE" dataDxfId="148"/>
    <tableColumn id="3" name="CONCEPTO" dataDxfId="147"/>
    <tableColumn id="4" name="MONTO " dataDxfId="146" dataCellStyle="Moneda"/>
    <tableColumn id="5" name="ESTADO" dataDxfId="145"/>
    <tableColumn id="6" name="FECHA DE ENTRADA" dataDxfId="1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57" name="Tabla1416181920212223242526323334353637507448495658" displayName="Tabla1416181920212223242526323334353637507448495658" ref="A119:F156" totalsRowShown="0" headerRowDxfId="143" tableBorderDxfId="142">
  <autoFilter ref="A119:F156"/>
  <tableColumns count="6">
    <tableColumn id="1" name="FECHA DE PAGO" dataDxfId="141"/>
    <tableColumn id="2" name="# CHEQUE" dataDxfId="140"/>
    <tableColumn id="3" name="CONCEPTO" dataDxfId="139"/>
    <tableColumn id="4" name="MONTO " dataDxfId="138" dataCellStyle="Moneda"/>
    <tableColumn id="5" name="ESTADO" dataDxfId="137"/>
    <tableColumn id="6" name="FECHA DE ENTRADA" dataDxfId="136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58" name="Tabla141618192021222324252632333435363750383739404142434445589451525354555759" displayName="Tabla141618192021222324252632333435363750383739404142434445589451525354555759" ref="A161:F166" totalsRowShown="0" headerRowDxfId="135" tableBorderDxfId="134">
  <autoFilter ref="A161:F166"/>
  <tableColumns count="6">
    <tableColumn id="1" name="FECHA DE PAGO" dataDxfId="133"/>
    <tableColumn id="2" name="# CHEQUE" dataDxfId="132"/>
    <tableColumn id="3" name="CONCEPTO" dataDxfId="131"/>
    <tableColumn id="4" name="MONTO " dataDxfId="130" dataCellStyle="Moneda"/>
    <tableColumn id="5" name="ESTADO" dataDxfId="129"/>
    <tableColumn id="6" name="FECHA DE ENTRADA" dataDxfId="128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59" name="Tabla141618192021222324252632333435363750744849565860" displayName="Tabla141618192021222324252632333435363750744849565860" ref="A171:F197" totalsRowShown="0" headerRowDxfId="127" tableBorderDxfId="126">
  <autoFilter ref="A171:F197"/>
  <tableColumns count="6">
    <tableColumn id="1" name="FECHA DE PAGO" dataDxfId="125"/>
    <tableColumn id="2" name="# CHEQUE" dataDxfId="124"/>
    <tableColumn id="3" name="CONCEPTO" dataDxfId="123"/>
    <tableColumn id="4" name="MONTO " dataDxfId="122" dataCellStyle="Moneda"/>
    <tableColumn id="5" name="ESTADO" dataDxfId="121"/>
    <tableColumn id="6" name="FECHA DE ENTRADA" dataDxfId="120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62" name="Tabla1416181920212223242526323334353637503837394041424344455894515253545557596163" displayName="Tabla1416181920212223242526323334353637503837394041424344455894515253545557596163" ref="A238:F245" totalsRowShown="0" headerRowDxfId="119" tableBorderDxfId="118">
  <autoFilter ref="A238:F245"/>
  <tableColumns count="6">
    <tableColumn id="1" name="FECHA DE PAGO" dataDxfId="117"/>
    <tableColumn id="2" name="# CHEQUE" dataDxfId="116"/>
    <tableColumn id="3" name="CONCEPTO" dataDxfId="115"/>
    <tableColumn id="4" name="MONTO " dataDxfId="114" dataCellStyle="Moneda"/>
    <tableColumn id="5" name="ESTADO" dataDxfId="113"/>
    <tableColumn id="6" name="FECHA DE ENTRADA" dataDxfId="112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65" name="Tabla14161819202122232425263233343536375038373940414243444558945152535455575966" displayName="Tabla14161819202122232425263233343536375038373940414243444558945152535455575966" ref="A202:F206" totalsRowShown="0" headerRowDxfId="111" tableBorderDxfId="110">
  <autoFilter ref="A202:F206"/>
  <tableColumns count="6">
    <tableColumn id="1" name="FECHA DE PAGO" dataDxfId="109"/>
    <tableColumn id="2" name="# CHEQUE" dataDxfId="108"/>
    <tableColumn id="3" name="CONCEPTO" dataDxfId="107"/>
    <tableColumn id="4" name="MONTO " dataDxfId="106" dataCellStyle="Moneda"/>
    <tableColumn id="5" name="ESTADO" dataDxfId="105"/>
    <tableColumn id="6" name="FECHA DE ENTRADA" dataDxfId="104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60" name="Tabla14161819202122232425263233343536375074484956586061" displayName="Tabla14161819202122232425263233343536375074484956586061" ref="A211:F233" totalsRowShown="0" headerRowDxfId="103" tableBorderDxfId="102">
  <autoFilter ref="A211:F233"/>
  <tableColumns count="6">
    <tableColumn id="1" name="FECHA DE PAGO" dataDxfId="101"/>
    <tableColumn id="2" name="# CHEQUE" dataDxfId="100"/>
    <tableColumn id="3" name="CONCEPTO" dataDxfId="99"/>
    <tableColumn id="4" name="MONTO " dataDxfId="98" dataCellStyle="Moneda"/>
    <tableColumn id="5" name="ESTADO" dataDxfId="97"/>
    <tableColumn id="6" name="FECHA DE ENTRADA" dataDxfId="96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69" name="Tabla141618192021222324252632333435363750383739404142434445589451525354555759616370" displayName="Tabla141618192021222324252632333435363750383739404142434445589451525354555759616370" ref="A273:F292" totalsRowShown="0" headerRowDxfId="95" tableBorderDxfId="94">
  <autoFilter ref="A273:F292"/>
  <tableColumns count="6">
    <tableColumn id="1" name="FECHA DE PAGO" dataDxfId="93"/>
    <tableColumn id="2" name="# CHEQUE" dataDxfId="92"/>
    <tableColumn id="3" name="CONCEPTO" dataDxfId="91"/>
    <tableColumn id="4" name="MONTO " dataDxfId="90" dataCellStyle="Moneda"/>
    <tableColumn id="5" name="ESTADO" dataDxfId="89"/>
    <tableColumn id="6" name="FECHA DE ENTRADA" dataDxfId="88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0" name="Tabla1416181920212223242526323334353637507448495658606171" displayName="Tabla1416181920212223242526323334353637507448495658606171" ref="A250:F268" totalsRowShown="0" headerRowDxfId="87" tableBorderDxfId="86">
  <autoFilter ref="A250:F268"/>
  <tableColumns count="6">
    <tableColumn id="1" name="FECHA DE PAGO" dataDxfId="85"/>
    <tableColumn id="2" name="# CHEQUE" dataDxfId="84"/>
    <tableColumn id="3" name="CONCEPTO" dataDxfId="83"/>
    <tableColumn id="4" name="MONTO " dataDxfId="82" dataCellStyle="Moneda"/>
    <tableColumn id="5" name="ESTADO" dataDxfId="81"/>
    <tableColumn id="6" name="FECHA DE ENTRADA" dataDxfId="8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1" name="Tabla14161819202122232425263233343536375038373940414243444558945152535455575961637072" displayName="Tabla14161819202122232425263233343536375038373940414243444558945152535455575961637072" ref="A319:F320" totalsRowShown="0" headerRowDxfId="79" tableBorderDxfId="78">
  <autoFilter ref="A319:F320"/>
  <tableColumns count="6">
    <tableColumn id="1" name="FECHA DE PAGO" dataDxfId="77"/>
    <tableColumn id="2" name="# CHEQUE" dataDxfId="76"/>
    <tableColumn id="3" name="CONCEPTO" dataDxfId="75"/>
    <tableColumn id="4" name="MONTO " dataDxfId="74" dataCellStyle="Moneda"/>
    <tableColumn id="5" name="ESTADO" dataDxfId="73"/>
    <tableColumn id="6" name="FECHA DE ENTRADA" dataDxfId="7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2" name="Tabla141618192021222324252632333435363750744849565860617173" displayName="Tabla141618192021222324252632333435363750744849565860617173" ref="A297:F314" totalsRowShown="0" headerRowDxfId="71" tableBorderDxfId="70">
  <autoFilter ref="A297:F314"/>
  <tableColumns count="6">
    <tableColumn id="1" name="FECHA DE PAGO" dataDxfId="69"/>
    <tableColumn id="2" name="# CHEQUE" dataDxfId="68"/>
    <tableColumn id="3" name="CONCEPTO" dataDxfId="67"/>
    <tableColumn id="4" name="MONTO " dataDxfId="66" dataCellStyle="Moneda"/>
    <tableColumn id="5" name="ESTADO" dataDxfId="65"/>
    <tableColumn id="6" name="FECHA DE ENTRADA" dataDxfId="64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61" name="Tabla1416181920212223242526323334353637503837394041424344455894515253545557596163707262" displayName="Tabla1416181920212223242526323334353637503837394041424344455894515253545557596163707262" ref="A339:F340" totalsRowShown="0" headerRowDxfId="63" tableBorderDxfId="62">
  <autoFilter ref="A339:F340"/>
  <tableColumns count="6">
    <tableColumn id="1" name="FECHA DE PAGO" dataDxfId="61"/>
    <tableColumn id="2" name="# CHEQUE" dataDxfId="60"/>
    <tableColumn id="3" name="CONCEPTO" dataDxfId="59"/>
    <tableColumn id="4" name="MONTO " dataDxfId="58" dataCellStyle="Moneda"/>
    <tableColumn id="5" name="ESTADO" dataDxfId="57"/>
    <tableColumn id="6" name="FECHA DE ENTRADA" dataDxfId="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63" name="Tabla14161819202122232425263233343536375074484956586061717364" displayName="Tabla14161819202122232425263233343536375074484956586061717364" ref="A325:F334" totalsRowShown="0" headerRowDxfId="55" tableBorderDxfId="54">
  <autoFilter ref="A325:F334"/>
  <tableColumns count="6">
    <tableColumn id="1" name="FECHA DE PAGO" dataDxfId="53"/>
    <tableColumn id="2" name="# CHEQUE" dataDxfId="52"/>
    <tableColumn id="3" name="CONCEPTO" dataDxfId="51"/>
    <tableColumn id="4" name="MONTO " dataDxfId="50" dataCellStyle="Moneda"/>
    <tableColumn id="5" name="ESTADO" dataDxfId="49"/>
    <tableColumn id="6" name="FECHA DE ENTRADA" dataDxfId="4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64" name="Tabla141618192021222324252632333435363750383739404142434445589451525354555759616370726265" displayName="Tabla141618192021222324252632333435363750383739404142434445589451525354555759616370726265" ref="A358:F363" totalsRowShown="0" headerRowDxfId="47" tableBorderDxfId="46">
  <autoFilter ref="A358:F363"/>
  <tableColumns count="6">
    <tableColumn id="1" name="FECHA DE PAGO" dataDxfId="45"/>
    <tableColumn id="2" name="# CHEQUE" dataDxfId="44"/>
    <tableColumn id="3" name="CONCEPTO" dataDxfId="43"/>
    <tableColumn id="4" name="MONTO " dataDxfId="42" dataCellStyle="Moneda"/>
    <tableColumn id="5" name="ESTADO" dataDxfId="41"/>
    <tableColumn id="6" name="FECHA DE ENTRADA" dataDxfId="40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66" name="Tabla1416181920212223242526323334353637507448495658606171736467" displayName="Tabla1416181920212223242526323334353637507448495658606171736467" ref="A345:F353" totalsRowShown="0" headerRowDxfId="39" tableBorderDxfId="38">
  <autoFilter ref="A345:F353"/>
  <tableColumns count="6">
    <tableColumn id="1" name="FECHA DE PAGO" dataDxfId="37"/>
    <tableColumn id="2" name="# CHEQUE" dataDxfId="36"/>
    <tableColumn id="3" name="CONCEPTO" dataDxfId="35"/>
    <tableColumn id="4" name="MONTO " dataDxfId="34" dataCellStyle="Moneda"/>
    <tableColumn id="5" name="ESTADO" dataDxfId="33"/>
    <tableColumn id="6" name="FECHA DE ENTRADA" dataDxfId="32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67" name="Tabla14161819202122232425263233343536375038373940414243444558945152535455575961637072626568" displayName="Tabla14161819202122232425263233343536375038373940414243444558945152535455575961637072626568" ref="A377:F382" totalsRowShown="0" headerRowDxfId="31" tableBorderDxfId="30">
  <autoFilter ref="A377:F382"/>
  <tableColumns count="6">
    <tableColumn id="1" name="FECHA DE PAGO" dataDxfId="29"/>
    <tableColumn id="2" name="# CHEQUE" dataDxfId="28"/>
    <tableColumn id="3" name="CONCEPTO" dataDxfId="27"/>
    <tableColumn id="4" name="MONTO " dataDxfId="26" dataCellStyle="Moneda"/>
    <tableColumn id="5" name="ESTADO" dataDxfId="25"/>
    <tableColumn id="6" name="FECHA DE ENTRADA" dataDxfId="24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68" name="Tabla141618192021222324252632333435363750744849565860617173646769" displayName="Tabla141618192021222324252632333435363750744849565860617173646769" ref="A368:F371" totalsRowShown="0" headerRowDxfId="23" tableBorderDxfId="22">
  <autoFilter ref="A368:F371"/>
  <tableColumns count="6">
    <tableColumn id="1" name="FECHA DE PAGO" dataDxfId="21"/>
    <tableColumn id="2" name="# CHEQUE" dataDxfId="20"/>
    <tableColumn id="3" name="CONCEPTO" dataDxfId="19"/>
    <tableColumn id="4" name="MONTO " dataDxfId="18" dataCellStyle="Moneda"/>
    <tableColumn id="5" name="ESTADO" dataDxfId="17"/>
    <tableColumn id="6" name="FECHA DE ENTRADA" dataDxfId="16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74" name="Tabla1416181920212223242526323334353637503837394041424344455894515253545557596163707262656875" displayName="Tabla1416181920212223242526323334353637503837394041424344455894515253545557596163707262656875" ref="A394:F399" totalsRowShown="0" headerRowDxfId="15" tableBorderDxfId="14">
  <autoFilter ref="A394:F399"/>
  <tableColumns count="6">
    <tableColumn id="1" name="FECHA DE PAGO" dataDxfId="13"/>
    <tableColumn id="2" name="# CHEQUE" dataDxfId="12"/>
    <tableColumn id="3" name="CONCEPTO" dataDxfId="11"/>
    <tableColumn id="4" name="MONTO " dataDxfId="10" dataCellStyle="Moneda"/>
    <tableColumn id="5" name="ESTADO" dataDxfId="9"/>
    <tableColumn id="6" name="FECHA DE ENTRADA" dataDxfId="8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75" name="Tabla14161819202122232425263233343536375074484956586061717364676976" displayName="Tabla14161819202122232425263233343536375074484956586061717364676976" ref="A387:F389" totalsRowShown="0" headerRowDxfId="7" tableBorderDxfId="6">
  <autoFilter ref="A387:F389"/>
  <tableColumns count="6">
    <tableColumn id="1" name="FECHA DE PAGO" dataDxfId="5"/>
    <tableColumn id="2" name="# CHEQUE" dataDxfId="4"/>
    <tableColumn id="3" name="CONCEPTO" dataDxfId="3"/>
    <tableColumn id="4" name="MONTO " dataDxfId="2" dataCellStyle="Moneda"/>
    <tableColumn id="5" name="ESTADO" dataDxfId="1"/>
    <tableColumn id="6" name="FECHA DE ENTR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13" Type="http://schemas.openxmlformats.org/officeDocument/2006/relationships/table" Target="../tables/table35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12" Type="http://schemas.openxmlformats.org/officeDocument/2006/relationships/table" Target="../tables/table34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11" Type="http://schemas.openxmlformats.org/officeDocument/2006/relationships/table" Target="../tables/table33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13" Type="http://schemas.openxmlformats.org/officeDocument/2006/relationships/table" Target="../tables/table47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12" Type="http://schemas.openxmlformats.org/officeDocument/2006/relationships/table" Target="../tables/table46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0" Type="http://schemas.openxmlformats.org/officeDocument/2006/relationships/table" Target="../tables/table44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13" Type="http://schemas.openxmlformats.org/officeDocument/2006/relationships/table" Target="../tables/table59.xml"/><Relationship Id="rId3" Type="http://schemas.openxmlformats.org/officeDocument/2006/relationships/table" Target="../tables/table49.xml"/><Relationship Id="rId7" Type="http://schemas.openxmlformats.org/officeDocument/2006/relationships/table" Target="../tables/table53.xml"/><Relationship Id="rId12" Type="http://schemas.openxmlformats.org/officeDocument/2006/relationships/table" Target="../tables/table58.xml"/><Relationship Id="rId2" Type="http://schemas.openxmlformats.org/officeDocument/2006/relationships/table" Target="../tables/table48.xml"/><Relationship Id="rId16" Type="http://schemas.openxmlformats.org/officeDocument/2006/relationships/table" Target="../tables/table6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2.xml"/><Relationship Id="rId11" Type="http://schemas.openxmlformats.org/officeDocument/2006/relationships/table" Target="../tables/table57.xml"/><Relationship Id="rId5" Type="http://schemas.openxmlformats.org/officeDocument/2006/relationships/table" Target="../tables/table51.xml"/><Relationship Id="rId15" Type="http://schemas.openxmlformats.org/officeDocument/2006/relationships/table" Target="../tables/table61.xml"/><Relationship Id="rId10" Type="http://schemas.openxmlformats.org/officeDocument/2006/relationships/table" Target="../tables/table56.xml"/><Relationship Id="rId4" Type="http://schemas.openxmlformats.org/officeDocument/2006/relationships/table" Target="../tables/table50.xml"/><Relationship Id="rId9" Type="http://schemas.openxmlformats.org/officeDocument/2006/relationships/table" Target="../tables/table55.xml"/><Relationship Id="rId14" Type="http://schemas.openxmlformats.org/officeDocument/2006/relationships/table" Target="../tables/table6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8.xml"/><Relationship Id="rId13" Type="http://schemas.openxmlformats.org/officeDocument/2006/relationships/table" Target="../tables/table73.xml"/><Relationship Id="rId18" Type="http://schemas.openxmlformats.org/officeDocument/2006/relationships/table" Target="../tables/table78.xml"/><Relationship Id="rId26" Type="http://schemas.openxmlformats.org/officeDocument/2006/relationships/table" Target="../tables/table86.xml"/><Relationship Id="rId3" Type="http://schemas.openxmlformats.org/officeDocument/2006/relationships/table" Target="../tables/table63.xml"/><Relationship Id="rId21" Type="http://schemas.openxmlformats.org/officeDocument/2006/relationships/table" Target="../tables/table81.xml"/><Relationship Id="rId7" Type="http://schemas.openxmlformats.org/officeDocument/2006/relationships/table" Target="../tables/table67.xml"/><Relationship Id="rId12" Type="http://schemas.openxmlformats.org/officeDocument/2006/relationships/table" Target="../tables/table72.xml"/><Relationship Id="rId17" Type="http://schemas.openxmlformats.org/officeDocument/2006/relationships/table" Target="../tables/table77.xml"/><Relationship Id="rId25" Type="http://schemas.openxmlformats.org/officeDocument/2006/relationships/table" Target="../tables/table85.xml"/><Relationship Id="rId2" Type="http://schemas.openxmlformats.org/officeDocument/2006/relationships/vmlDrawing" Target="../drawings/vmlDrawing1.vml"/><Relationship Id="rId16" Type="http://schemas.openxmlformats.org/officeDocument/2006/relationships/table" Target="../tables/table76.xml"/><Relationship Id="rId20" Type="http://schemas.openxmlformats.org/officeDocument/2006/relationships/table" Target="../tables/table80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66.xml"/><Relationship Id="rId11" Type="http://schemas.openxmlformats.org/officeDocument/2006/relationships/table" Target="../tables/table71.xml"/><Relationship Id="rId24" Type="http://schemas.openxmlformats.org/officeDocument/2006/relationships/table" Target="../tables/table84.xml"/><Relationship Id="rId5" Type="http://schemas.openxmlformats.org/officeDocument/2006/relationships/table" Target="../tables/table65.xml"/><Relationship Id="rId15" Type="http://schemas.openxmlformats.org/officeDocument/2006/relationships/table" Target="../tables/table75.xml"/><Relationship Id="rId23" Type="http://schemas.openxmlformats.org/officeDocument/2006/relationships/table" Target="../tables/table83.xml"/><Relationship Id="rId10" Type="http://schemas.openxmlformats.org/officeDocument/2006/relationships/table" Target="../tables/table70.xml"/><Relationship Id="rId19" Type="http://schemas.openxmlformats.org/officeDocument/2006/relationships/table" Target="../tables/table79.xml"/><Relationship Id="rId4" Type="http://schemas.openxmlformats.org/officeDocument/2006/relationships/table" Target="../tables/table64.xml"/><Relationship Id="rId9" Type="http://schemas.openxmlformats.org/officeDocument/2006/relationships/table" Target="../tables/table69.xml"/><Relationship Id="rId14" Type="http://schemas.openxmlformats.org/officeDocument/2006/relationships/table" Target="../tables/table74.xml"/><Relationship Id="rId22" Type="http://schemas.openxmlformats.org/officeDocument/2006/relationships/table" Target="../tables/table82.xm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F125"/>
  <sheetViews>
    <sheetView topLeftCell="A52" workbookViewId="0">
      <selection activeCell="I35" sqref="I35"/>
    </sheetView>
  </sheetViews>
  <sheetFormatPr baseColWidth="10" defaultRowHeight="14.4"/>
  <cols>
    <col min="1" max="1" width="14" bestFit="1" customWidth="1"/>
    <col min="2" max="2" width="14.33203125" bestFit="1" customWidth="1"/>
    <col min="3" max="3" width="31" bestFit="1" customWidth="1"/>
    <col min="4" max="4" width="15.109375" customWidth="1"/>
    <col min="5" max="5" width="22.5546875" customWidth="1"/>
    <col min="6" max="6" width="23" bestFit="1" customWidth="1"/>
  </cols>
  <sheetData>
    <row r="2" spans="1:6" ht="21" customHeight="1">
      <c r="A2" s="339" t="s">
        <v>17</v>
      </c>
      <c r="B2" s="339"/>
      <c r="C2" s="339"/>
      <c r="D2" s="339"/>
      <c r="E2" s="339"/>
      <c r="F2" s="339"/>
    </row>
    <row r="3" spans="1:6" ht="21" customHeight="1">
      <c r="A3" s="339"/>
      <c r="B3" s="339"/>
      <c r="C3" s="339"/>
      <c r="D3" s="339"/>
      <c r="E3" s="339"/>
      <c r="F3" s="339"/>
    </row>
    <row r="4" spans="1:6" ht="28.8">
      <c r="A4" s="16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8" t="s">
        <v>5</v>
      </c>
    </row>
    <row r="5" spans="1:6">
      <c r="A5" s="1">
        <v>44279</v>
      </c>
      <c r="B5" s="2" t="s">
        <v>8</v>
      </c>
      <c r="C5" s="3" t="s">
        <v>9</v>
      </c>
      <c r="D5" s="4">
        <v>150000</v>
      </c>
      <c r="E5" s="5" t="s">
        <v>6</v>
      </c>
      <c r="F5" s="6"/>
    </row>
    <row r="6" spans="1:6">
      <c r="A6" s="10"/>
      <c r="B6" s="11"/>
      <c r="C6" s="12" t="s">
        <v>7</v>
      </c>
      <c r="D6" s="13">
        <f>SUBTOTAL(109,D5:D5)</f>
        <v>150000</v>
      </c>
      <c r="E6" s="14"/>
      <c r="F6" s="15"/>
    </row>
    <row r="8" spans="1:6" ht="15" customHeight="1">
      <c r="A8" s="339" t="s">
        <v>16</v>
      </c>
      <c r="B8" s="339"/>
      <c r="C8" s="339"/>
      <c r="D8" s="339"/>
      <c r="E8" s="339"/>
      <c r="F8" s="339"/>
    </row>
    <row r="9" spans="1:6" ht="15" customHeight="1">
      <c r="A9" s="339"/>
      <c r="B9" s="339"/>
      <c r="C9" s="339"/>
      <c r="D9" s="339"/>
      <c r="E9" s="339"/>
      <c r="F9" s="339"/>
    </row>
    <row r="10" spans="1:6" ht="28.8">
      <c r="A10" s="7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9" t="s">
        <v>5</v>
      </c>
    </row>
    <row r="11" spans="1:6">
      <c r="A11" s="1">
        <v>44310</v>
      </c>
      <c r="B11" s="2" t="s">
        <v>10</v>
      </c>
      <c r="C11" s="3" t="s">
        <v>9</v>
      </c>
      <c r="D11" s="4">
        <v>100000</v>
      </c>
      <c r="E11" s="5" t="s">
        <v>6</v>
      </c>
      <c r="F11" s="6">
        <v>44314</v>
      </c>
    </row>
    <row r="12" spans="1:6">
      <c r="A12" s="10"/>
      <c r="B12" s="11"/>
      <c r="C12" s="12" t="s">
        <v>7</v>
      </c>
      <c r="D12" s="13">
        <f>SUBTOTAL(109,D11:D11)</f>
        <v>100000</v>
      </c>
      <c r="E12" s="14"/>
      <c r="F12" s="15"/>
    </row>
    <row r="14" spans="1:6" ht="15" customHeight="1">
      <c r="A14" s="339" t="s">
        <v>18</v>
      </c>
      <c r="B14" s="339"/>
      <c r="C14" s="339"/>
      <c r="D14" s="339"/>
      <c r="E14" s="339"/>
      <c r="F14" s="339"/>
    </row>
    <row r="15" spans="1:6" ht="15" customHeight="1">
      <c r="A15" s="339"/>
      <c r="B15" s="339"/>
      <c r="C15" s="339"/>
      <c r="D15" s="339"/>
      <c r="E15" s="339"/>
      <c r="F15" s="339"/>
    </row>
    <row r="16" spans="1:6" ht="28.8">
      <c r="A16" s="7" t="s">
        <v>0</v>
      </c>
      <c r="B16" s="8" t="s">
        <v>1</v>
      </c>
      <c r="C16" s="8" t="s">
        <v>2</v>
      </c>
      <c r="D16" s="8" t="s">
        <v>3</v>
      </c>
      <c r="E16" s="8" t="s">
        <v>4</v>
      </c>
      <c r="F16" s="9" t="s">
        <v>5</v>
      </c>
    </row>
    <row r="17" spans="1:6">
      <c r="A17" s="1">
        <v>44333</v>
      </c>
      <c r="B17" s="2" t="s">
        <v>23</v>
      </c>
      <c r="C17" s="3" t="s">
        <v>22</v>
      </c>
      <c r="D17" s="4">
        <v>45000</v>
      </c>
      <c r="E17" s="5" t="s">
        <v>6</v>
      </c>
      <c r="F17" s="6">
        <v>44335</v>
      </c>
    </row>
    <row r="18" spans="1:6">
      <c r="A18" s="1">
        <v>44340</v>
      </c>
      <c r="B18" s="2" t="s">
        <v>11</v>
      </c>
      <c r="C18" s="3" t="s">
        <v>9</v>
      </c>
      <c r="D18" s="4">
        <v>250000</v>
      </c>
      <c r="E18" s="5" t="s">
        <v>6</v>
      </c>
      <c r="F18" s="6">
        <v>44361</v>
      </c>
    </row>
    <row r="19" spans="1:6">
      <c r="A19" s="1">
        <v>44344</v>
      </c>
      <c r="B19" s="2" t="s">
        <v>13</v>
      </c>
      <c r="C19" s="3" t="s">
        <v>20</v>
      </c>
      <c r="D19" s="4">
        <v>100000</v>
      </c>
      <c r="E19" s="5" t="s">
        <v>6</v>
      </c>
      <c r="F19" s="6">
        <v>44347</v>
      </c>
    </row>
    <row r="20" spans="1:6">
      <c r="A20" s="1">
        <v>44344</v>
      </c>
      <c r="B20" s="2" t="s">
        <v>14</v>
      </c>
      <c r="C20" s="3" t="s">
        <v>21</v>
      </c>
      <c r="D20" s="4">
        <v>121891.97</v>
      </c>
      <c r="E20" s="5" t="s">
        <v>6</v>
      </c>
      <c r="F20" s="6">
        <v>44347</v>
      </c>
    </row>
    <row r="21" spans="1:6">
      <c r="A21" s="10"/>
      <c r="B21" s="11"/>
      <c r="C21" s="12" t="s">
        <v>7</v>
      </c>
      <c r="D21" s="13">
        <f>SUBTOTAL(109,D18:D20)</f>
        <v>471891.97</v>
      </c>
      <c r="E21" s="14"/>
      <c r="F21" s="15"/>
    </row>
    <row r="23" spans="1:6" ht="15" customHeight="1">
      <c r="A23" s="339" t="s">
        <v>19</v>
      </c>
      <c r="B23" s="339"/>
      <c r="C23" s="339"/>
      <c r="D23" s="339"/>
      <c r="E23" s="339"/>
      <c r="F23" s="339"/>
    </row>
    <row r="24" spans="1:6" ht="15" customHeight="1">
      <c r="A24" s="339"/>
      <c r="B24" s="339"/>
      <c r="C24" s="339"/>
      <c r="D24" s="339"/>
      <c r="E24" s="339"/>
      <c r="F24" s="339"/>
    </row>
    <row r="25" spans="1:6" ht="28.8">
      <c r="A25" s="7" t="s">
        <v>0</v>
      </c>
      <c r="B25" s="8" t="s">
        <v>1</v>
      </c>
      <c r="C25" s="8" t="s">
        <v>2</v>
      </c>
      <c r="D25" s="8" t="s">
        <v>3</v>
      </c>
      <c r="E25" s="8" t="s">
        <v>4</v>
      </c>
      <c r="F25" s="9" t="s">
        <v>5</v>
      </c>
    </row>
    <row r="26" spans="1:6">
      <c r="A26" s="1">
        <v>44351</v>
      </c>
      <c r="B26" s="2" t="s">
        <v>15</v>
      </c>
      <c r="C26" s="3" t="s">
        <v>22</v>
      </c>
      <c r="D26" s="4">
        <v>26712</v>
      </c>
      <c r="E26" s="5" t="s">
        <v>6</v>
      </c>
      <c r="F26" s="6">
        <v>44355</v>
      </c>
    </row>
    <row r="27" spans="1:6">
      <c r="A27" s="1">
        <v>44357</v>
      </c>
      <c r="B27" s="2" t="s">
        <v>12</v>
      </c>
      <c r="C27" s="3" t="s">
        <v>9</v>
      </c>
      <c r="D27" s="4">
        <v>77419.59</v>
      </c>
      <c r="E27" s="5" t="s">
        <v>6</v>
      </c>
      <c r="F27" s="6">
        <v>44358</v>
      </c>
    </row>
    <row r="28" spans="1:6">
      <c r="A28" s="1">
        <v>44373</v>
      </c>
      <c r="B28" s="2" t="s">
        <v>24</v>
      </c>
      <c r="C28" s="3" t="s">
        <v>25</v>
      </c>
      <c r="D28" s="4">
        <v>65940</v>
      </c>
      <c r="E28" s="5" t="s">
        <v>6</v>
      </c>
      <c r="F28" s="6">
        <v>44392</v>
      </c>
    </row>
    <row r="29" spans="1:6">
      <c r="A29" s="10"/>
      <c r="B29" s="11"/>
      <c r="C29" s="12" t="s">
        <v>7</v>
      </c>
      <c r="D29" s="13">
        <f>+D28</f>
        <v>65940</v>
      </c>
      <c r="E29" s="14"/>
      <c r="F29" s="15"/>
    </row>
    <row r="31" spans="1:6">
      <c r="A31" s="339" t="s">
        <v>26</v>
      </c>
      <c r="B31" s="339"/>
      <c r="C31" s="339"/>
      <c r="D31" s="339"/>
      <c r="E31" s="339"/>
      <c r="F31" s="339"/>
    </row>
    <row r="32" spans="1:6">
      <c r="A32" s="339"/>
      <c r="B32" s="339"/>
      <c r="C32" s="339"/>
      <c r="D32" s="339"/>
      <c r="E32" s="339"/>
      <c r="F32" s="339"/>
    </row>
    <row r="33" spans="1:6" ht="28.8">
      <c r="A33" s="7" t="s">
        <v>0</v>
      </c>
      <c r="B33" s="8" t="s">
        <v>1</v>
      </c>
      <c r="C33" s="8" t="s">
        <v>2</v>
      </c>
      <c r="D33" s="8" t="s">
        <v>3</v>
      </c>
      <c r="E33" s="8" t="s">
        <v>4</v>
      </c>
      <c r="F33" s="9" t="s">
        <v>5</v>
      </c>
    </row>
    <row r="34" spans="1:6">
      <c r="A34" s="1">
        <v>44406</v>
      </c>
      <c r="B34" s="2" t="s">
        <v>27</v>
      </c>
      <c r="C34" s="3" t="s">
        <v>28</v>
      </c>
      <c r="D34" s="4">
        <v>43992.13</v>
      </c>
      <c r="E34" s="5" t="s">
        <v>6</v>
      </c>
      <c r="F34" s="6">
        <v>44407</v>
      </c>
    </row>
    <row r="35" spans="1:6">
      <c r="A35" s="1">
        <v>44407</v>
      </c>
      <c r="B35" s="2" t="s">
        <v>29</v>
      </c>
      <c r="C35" s="3" t="s">
        <v>25</v>
      </c>
      <c r="D35" s="4">
        <v>150000</v>
      </c>
      <c r="E35" s="5" t="s">
        <v>6</v>
      </c>
      <c r="F35" s="6">
        <v>44407</v>
      </c>
    </row>
    <row r="36" spans="1:6">
      <c r="A36" s="10"/>
      <c r="B36" s="11"/>
      <c r="C36" s="12" t="s">
        <v>7</v>
      </c>
      <c r="D36" s="13">
        <f>SUBTOTAL(109,D34:D35)</f>
        <v>193992.13</v>
      </c>
      <c r="E36" s="14"/>
      <c r="F36" s="15"/>
    </row>
    <row r="38" spans="1:6">
      <c r="A38" s="339" t="s">
        <v>30</v>
      </c>
      <c r="B38" s="339"/>
      <c r="C38" s="339"/>
      <c r="D38" s="339"/>
      <c r="E38" s="339"/>
      <c r="F38" s="339"/>
    </row>
    <row r="39" spans="1:6">
      <c r="A39" s="339"/>
      <c r="B39" s="339"/>
      <c r="C39" s="339"/>
      <c r="D39" s="339"/>
      <c r="E39" s="339"/>
      <c r="F39" s="339"/>
    </row>
    <row r="40" spans="1:6" ht="28.8">
      <c r="A40" s="7" t="s">
        <v>0</v>
      </c>
      <c r="B40" s="8" t="s">
        <v>1</v>
      </c>
      <c r="C40" s="8" t="s">
        <v>2</v>
      </c>
      <c r="D40" s="8" t="s">
        <v>3</v>
      </c>
      <c r="E40" s="8" t="s">
        <v>4</v>
      </c>
      <c r="F40" s="9" t="s">
        <v>5</v>
      </c>
    </row>
    <row r="41" spans="1:6">
      <c r="A41" s="1"/>
      <c r="B41" s="2" t="s">
        <v>31</v>
      </c>
      <c r="C41" s="3" t="s">
        <v>33</v>
      </c>
      <c r="D41" s="4"/>
      <c r="E41" s="5"/>
      <c r="F41" s="6"/>
    </row>
    <row r="42" spans="1:6">
      <c r="A42" s="1"/>
      <c r="B42" s="2" t="s">
        <v>32</v>
      </c>
      <c r="C42" s="3" t="s">
        <v>55</v>
      </c>
      <c r="D42" s="4"/>
      <c r="E42" s="5"/>
      <c r="F42" s="6"/>
    </row>
    <row r="43" spans="1:6">
      <c r="A43" s="1">
        <v>44423</v>
      </c>
      <c r="B43" s="2" t="s">
        <v>34</v>
      </c>
      <c r="C43" s="3" t="s">
        <v>28</v>
      </c>
      <c r="D43" s="4">
        <v>292263.63</v>
      </c>
      <c r="E43" s="5" t="s">
        <v>6</v>
      </c>
      <c r="F43" s="6">
        <v>44426</v>
      </c>
    </row>
    <row r="44" spans="1:6">
      <c r="A44" s="1">
        <v>44428</v>
      </c>
      <c r="B44" s="2" t="s">
        <v>35</v>
      </c>
      <c r="C44" s="3" t="s">
        <v>28</v>
      </c>
      <c r="D44" s="4">
        <v>23357.22</v>
      </c>
      <c r="E44" s="5" t="s">
        <v>6</v>
      </c>
      <c r="F44" s="6">
        <v>44431</v>
      </c>
    </row>
    <row r="45" spans="1:6">
      <c r="A45" s="1"/>
      <c r="B45" s="2" t="s">
        <v>36</v>
      </c>
      <c r="C45" s="3" t="s">
        <v>55</v>
      </c>
      <c r="D45" s="4"/>
      <c r="E45" s="5"/>
      <c r="F45" s="6"/>
    </row>
    <row r="46" spans="1:6">
      <c r="A46" s="1"/>
      <c r="B46" s="2" t="s">
        <v>37</v>
      </c>
      <c r="C46" s="3" t="s">
        <v>33</v>
      </c>
      <c r="D46" s="4"/>
      <c r="E46" s="5"/>
      <c r="F46" s="6"/>
    </row>
    <row r="47" spans="1:6">
      <c r="A47" s="1"/>
      <c r="B47" s="2" t="s">
        <v>38</v>
      </c>
      <c r="C47" s="3" t="s">
        <v>55</v>
      </c>
      <c r="D47" s="4"/>
      <c r="E47" s="5"/>
      <c r="F47" s="6"/>
    </row>
    <row r="48" spans="1:6">
      <c r="A48" s="1"/>
      <c r="B48" s="2" t="s">
        <v>39</v>
      </c>
      <c r="C48" s="3" t="s">
        <v>87</v>
      </c>
      <c r="D48" s="4">
        <v>200000</v>
      </c>
      <c r="E48" s="5" t="s">
        <v>6</v>
      </c>
      <c r="F48" s="6">
        <v>44502</v>
      </c>
    </row>
    <row r="49" spans="1:6">
      <c r="A49" s="1"/>
      <c r="B49" s="2" t="s">
        <v>40</v>
      </c>
      <c r="C49" s="3" t="s">
        <v>55</v>
      </c>
      <c r="D49" s="4"/>
      <c r="E49" s="5"/>
      <c r="F49" s="6"/>
    </row>
    <row r="50" spans="1:6">
      <c r="A50" s="1">
        <v>44433</v>
      </c>
      <c r="B50" s="2" t="s">
        <v>43</v>
      </c>
      <c r="C50" s="3" t="s">
        <v>56</v>
      </c>
      <c r="D50" s="4">
        <v>350000</v>
      </c>
      <c r="E50" s="5" t="s">
        <v>6</v>
      </c>
      <c r="F50" s="6">
        <v>44434</v>
      </c>
    </row>
    <row r="51" spans="1:6">
      <c r="A51" s="1"/>
      <c r="B51" s="2" t="s">
        <v>44</v>
      </c>
      <c r="C51" s="3" t="s">
        <v>55</v>
      </c>
      <c r="D51" s="4"/>
      <c r="E51" s="5"/>
      <c r="F51" s="6"/>
    </row>
    <row r="52" spans="1:6">
      <c r="A52" s="1"/>
      <c r="B52" s="2" t="s">
        <v>45</v>
      </c>
      <c r="C52" s="3" t="s">
        <v>55</v>
      </c>
      <c r="D52" s="4"/>
      <c r="E52" s="5"/>
      <c r="F52" s="6"/>
    </row>
    <row r="53" spans="1:6">
      <c r="A53" s="1"/>
      <c r="B53" s="2" t="s">
        <v>46</v>
      </c>
      <c r="C53" s="3" t="s">
        <v>55</v>
      </c>
      <c r="D53" s="4"/>
      <c r="E53" s="5"/>
      <c r="F53" s="6"/>
    </row>
    <row r="54" spans="1:6">
      <c r="A54" s="1"/>
      <c r="B54" s="2" t="s">
        <v>47</v>
      </c>
      <c r="C54" s="3" t="s">
        <v>55</v>
      </c>
      <c r="D54" s="4"/>
      <c r="E54" s="5"/>
      <c r="F54" s="6"/>
    </row>
    <row r="55" spans="1:6">
      <c r="A55" s="10"/>
      <c r="B55" s="11"/>
      <c r="C55" s="12" t="s">
        <v>7</v>
      </c>
      <c r="D55" s="13">
        <f>SUBTOTAL(109,D41:D54)</f>
        <v>865620.85</v>
      </c>
      <c r="E55" s="14"/>
      <c r="F55" s="15"/>
    </row>
    <row r="57" spans="1:6" ht="15" customHeight="1">
      <c r="A57" s="339" t="s">
        <v>53</v>
      </c>
      <c r="B57" s="339"/>
      <c r="C57" s="339"/>
      <c r="D57" s="339"/>
      <c r="E57" s="339"/>
      <c r="F57" s="20"/>
    </row>
    <row r="58" spans="1:6" ht="15" customHeight="1">
      <c r="A58" s="339"/>
      <c r="B58" s="339"/>
      <c r="C58" s="339"/>
      <c r="D58" s="339"/>
      <c r="E58" s="339"/>
      <c r="F58" s="20"/>
    </row>
    <row r="59" spans="1:6" ht="28.8">
      <c r="A59" s="7" t="s">
        <v>0</v>
      </c>
      <c r="B59" s="8" t="s">
        <v>1</v>
      </c>
      <c r="C59" s="8" t="s">
        <v>2</v>
      </c>
      <c r="D59" s="8" t="s">
        <v>3</v>
      </c>
      <c r="E59" s="8" t="s">
        <v>4</v>
      </c>
      <c r="F59" s="9" t="s">
        <v>5</v>
      </c>
    </row>
    <row r="60" spans="1:6">
      <c r="A60" s="1">
        <v>44449</v>
      </c>
      <c r="B60" s="2" t="s">
        <v>48</v>
      </c>
      <c r="C60" s="3" t="s">
        <v>28</v>
      </c>
      <c r="D60" s="4">
        <v>139226.87</v>
      </c>
      <c r="E60" s="5" t="s">
        <v>6</v>
      </c>
      <c r="F60" s="6">
        <v>44452</v>
      </c>
    </row>
    <row r="61" spans="1:6">
      <c r="A61" s="1">
        <v>44450</v>
      </c>
      <c r="B61" s="2" t="s">
        <v>49</v>
      </c>
      <c r="C61" s="3" t="s">
        <v>51</v>
      </c>
      <c r="D61" s="4">
        <v>210180</v>
      </c>
      <c r="E61" s="5" t="s">
        <v>6</v>
      </c>
      <c r="F61" s="6">
        <v>44453</v>
      </c>
    </row>
    <row r="62" spans="1:6">
      <c r="A62" s="1">
        <v>44452</v>
      </c>
      <c r="B62" s="2" t="s">
        <v>52</v>
      </c>
      <c r="C62" s="3" t="s">
        <v>28</v>
      </c>
      <c r="D62" s="4">
        <v>111501.79</v>
      </c>
      <c r="E62" s="5" t="s">
        <v>6</v>
      </c>
      <c r="F62" s="6">
        <v>44453</v>
      </c>
    </row>
    <row r="63" spans="1:6">
      <c r="A63" s="1">
        <v>44454</v>
      </c>
      <c r="B63" s="2" t="s">
        <v>42</v>
      </c>
      <c r="C63" s="3" t="s">
        <v>56</v>
      </c>
      <c r="D63" s="4">
        <v>350000</v>
      </c>
      <c r="E63" s="5"/>
      <c r="F63" s="6"/>
    </row>
    <row r="64" spans="1:6">
      <c r="A64" s="1">
        <v>44460</v>
      </c>
      <c r="B64" s="2" t="s">
        <v>50</v>
      </c>
      <c r="C64" s="3" t="s">
        <v>51</v>
      </c>
      <c r="D64" s="4">
        <v>72739</v>
      </c>
      <c r="E64" s="5" t="s">
        <v>6</v>
      </c>
      <c r="F64" s="6">
        <v>44474</v>
      </c>
    </row>
    <row r="65" spans="1:6">
      <c r="A65" s="1">
        <v>44462</v>
      </c>
      <c r="B65" s="2" t="s">
        <v>57</v>
      </c>
      <c r="C65" s="19" t="s">
        <v>59</v>
      </c>
      <c r="D65" s="4">
        <v>0</v>
      </c>
      <c r="E65" s="5"/>
      <c r="F65" s="6"/>
    </row>
    <row r="66" spans="1:6">
      <c r="A66" s="1">
        <v>44462</v>
      </c>
      <c r="B66" s="2" t="s">
        <v>58</v>
      </c>
      <c r="C66" s="3" t="s">
        <v>28</v>
      </c>
      <c r="D66" s="4">
        <v>32724</v>
      </c>
      <c r="E66" s="5" t="s">
        <v>6</v>
      </c>
      <c r="F66" s="6">
        <v>44463</v>
      </c>
    </row>
    <row r="67" spans="1:6">
      <c r="A67" s="1">
        <v>44373</v>
      </c>
      <c r="B67" s="2" t="s">
        <v>60</v>
      </c>
      <c r="C67" s="3" t="s">
        <v>28</v>
      </c>
      <c r="D67" s="4">
        <v>67814.52</v>
      </c>
      <c r="E67" s="5" t="s">
        <v>6</v>
      </c>
      <c r="F67" s="6">
        <v>44467</v>
      </c>
    </row>
    <row r="68" spans="1:6">
      <c r="A68" s="1">
        <v>44467</v>
      </c>
      <c r="B68" s="2" t="s">
        <v>79</v>
      </c>
      <c r="C68" s="3" t="s">
        <v>61</v>
      </c>
      <c r="D68" s="4">
        <v>60000</v>
      </c>
      <c r="E68" s="5" t="s">
        <v>6</v>
      </c>
      <c r="F68" s="6">
        <v>44489</v>
      </c>
    </row>
    <row r="69" spans="1:6">
      <c r="A69" s="10"/>
      <c r="B69" s="11"/>
      <c r="C69" s="12" t="s">
        <v>7</v>
      </c>
      <c r="D69" s="13">
        <f>SUBTOTAL(109,D60:D68)</f>
        <v>1044186.1799999999</v>
      </c>
      <c r="E69" s="14"/>
      <c r="F69" s="15"/>
    </row>
    <row r="71" spans="1:6" ht="15" customHeight="1">
      <c r="A71" s="339" t="s">
        <v>54</v>
      </c>
      <c r="B71" s="339"/>
      <c r="C71" s="339"/>
      <c r="D71" s="339"/>
      <c r="E71" s="339"/>
      <c r="F71" s="20"/>
    </row>
    <row r="72" spans="1:6" ht="15" customHeight="1">
      <c r="A72" s="339"/>
      <c r="B72" s="339"/>
      <c r="C72" s="339"/>
      <c r="D72" s="339"/>
      <c r="E72" s="339"/>
      <c r="F72" s="20"/>
    </row>
    <row r="73" spans="1:6" ht="28.8">
      <c r="A73" s="7" t="s">
        <v>0</v>
      </c>
      <c r="B73" s="8" t="s">
        <v>1</v>
      </c>
      <c r="C73" s="8" t="s">
        <v>2</v>
      </c>
      <c r="D73" s="8" t="s">
        <v>3</v>
      </c>
      <c r="E73" s="8" t="s">
        <v>4</v>
      </c>
      <c r="F73" s="9" t="s">
        <v>5</v>
      </c>
    </row>
    <row r="74" spans="1:6">
      <c r="A74" s="1">
        <v>44474</v>
      </c>
      <c r="B74" s="2" t="s">
        <v>62</v>
      </c>
      <c r="C74" s="3" t="s">
        <v>63</v>
      </c>
      <c r="D74" s="4">
        <v>1061541.08</v>
      </c>
      <c r="E74" s="5" t="s">
        <v>6</v>
      </c>
      <c r="F74" s="6">
        <v>44482</v>
      </c>
    </row>
    <row r="75" spans="1:6">
      <c r="A75" s="1">
        <v>44474</v>
      </c>
      <c r="B75" s="2" t="s">
        <v>41</v>
      </c>
      <c r="C75" s="3" t="s">
        <v>56</v>
      </c>
      <c r="D75" s="4">
        <v>250000</v>
      </c>
      <c r="E75" s="5" t="s">
        <v>6</v>
      </c>
      <c r="F75" s="6">
        <v>44481</v>
      </c>
    </row>
    <row r="76" spans="1:6">
      <c r="A76" s="1">
        <v>44476</v>
      </c>
      <c r="B76" s="2" t="s">
        <v>66</v>
      </c>
      <c r="C76" s="3" t="s">
        <v>28</v>
      </c>
      <c r="D76" s="4">
        <v>83959.93</v>
      </c>
      <c r="E76" s="5" t="s">
        <v>6</v>
      </c>
      <c r="F76" s="6">
        <v>44481</v>
      </c>
    </row>
    <row r="77" spans="1:6">
      <c r="A77" s="1">
        <v>44478</v>
      </c>
      <c r="B77" s="2" t="s">
        <v>67</v>
      </c>
      <c r="C77" s="3" t="s">
        <v>28</v>
      </c>
      <c r="D77" s="4">
        <v>106048.54</v>
      </c>
      <c r="E77" s="5" t="s">
        <v>6</v>
      </c>
      <c r="F77" s="6">
        <v>44482</v>
      </c>
    </row>
    <row r="78" spans="1:6">
      <c r="A78" s="1"/>
      <c r="B78" s="2" t="s">
        <v>68</v>
      </c>
      <c r="C78" s="3" t="s">
        <v>82</v>
      </c>
      <c r="D78" s="4"/>
      <c r="E78" s="5"/>
      <c r="F78" s="6"/>
    </row>
    <row r="79" spans="1:6">
      <c r="A79" s="1"/>
      <c r="B79" s="2" t="s">
        <v>80</v>
      </c>
      <c r="C79" s="3" t="s">
        <v>82</v>
      </c>
      <c r="D79" s="4">
        <v>98671.44</v>
      </c>
      <c r="E79" s="5" t="s">
        <v>6</v>
      </c>
      <c r="F79" s="6">
        <v>44488</v>
      </c>
    </row>
    <row r="80" spans="1:6">
      <c r="A80" s="1"/>
      <c r="B80" s="2" t="s">
        <v>81</v>
      </c>
      <c r="C80" s="3" t="s">
        <v>82</v>
      </c>
      <c r="D80" s="4">
        <v>207188.92</v>
      </c>
      <c r="E80" s="5" t="s">
        <v>6</v>
      </c>
      <c r="F80" s="6">
        <v>44490</v>
      </c>
    </row>
    <row r="81" spans="1:6">
      <c r="A81" s="1">
        <v>44482</v>
      </c>
      <c r="B81" s="2" t="s">
        <v>69</v>
      </c>
      <c r="C81" s="3" t="s">
        <v>70</v>
      </c>
      <c r="D81" s="4">
        <v>40000</v>
      </c>
      <c r="E81" s="5" t="s">
        <v>6</v>
      </c>
      <c r="F81" s="6">
        <v>44483</v>
      </c>
    </row>
    <row r="82" spans="1:6">
      <c r="A82" s="1">
        <v>44491</v>
      </c>
      <c r="B82" s="2" t="s">
        <v>72</v>
      </c>
      <c r="C82" s="3" t="s">
        <v>28</v>
      </c>
      <c r="D82" s="4">
        <v>31065.9</v>
      </c>
      <c r="E82" s="5" t="s">
        <v>6</v>
      </c>
      <c r="F82" s="6">
        <v>44494</v>
      </c>
    </row>
    <row r="83" spans="1:6">
      <c r="A83" s="1">
        <v>44491</v>
      </c>
      <c r="B83" s="2" t="s">
        <v>73</v>
      </c>
      <c r="C83" s="3" t="s">
        <v>28</v>
      </c>
      <c r="D83" s="4">
        <v>165735.4</v>
      </c>
      <c r="E83" s="5" t="s">
        <v>6</v>
      </c>
      <c r="F83" s="6">
        <v>44494</v>
      </c>
    </row>
    <row r="84" spans="1:6">
      <c r="A84" s="1">
        <v>44499</v>
      </c>
      <c r="B84" s="2" t="s">
        <v>78</v>
      </c>
      <c r="C84" s="3" t="s">
        <v>28</v>
      </c>
      <c r="D84" s="4">
        <v>245018.54</v>
      </c>
      <c r="E84" s="5" t="s">
        <v>6</v>
      </c>
      <c r="F84" s="6">
        <v>44502</v>
      </c>
    </row>
    <row r="85" spans="1:6">
      <c r="A85" s="1">
        <v>44500</v>
      </c>
      <c r="B85" s="2" t="s">
        <v>76</v>
      </c>
      <c r="C85" s="3" t="s">
        <v>28</v>
      </c>
      <c r="D85" s="4">
        <v>9563.3700000000008</v>
      </c>
      <c r="E85" s="5" t="s">
        <v>6</v>
      </c>
      <c r="F85" s="6">
        <v>44502</v>
      </c>
    </row>
    <row r="86" spans="1:6">
      <c r="A86" s="10"/>
      <c r="B86" s="11"/>
      <c r="C86" s="12" t="s">
        <v>7</v>
      </c>
      <c r="D86" s="13">
        <f>SUBTOTAL(109,D74:D85)</f>
        <v>2298793.1199999996</v>
      </c>
      <c r="E86" s="14"/>
      <c r="F86" s="15"/>
    </row>
    <row r="88" spans="1:6" ht="15" customHeight="1">
      <c r="A88" s="339" t="s">
        <v>64</v>
      </c>
      <c r="B88" s="339"/>
      <c r="C88" s="339"/>
      <c r="D88" s="339"/>
      <c r="E88" s="339"/>
      <c r="F88" s="20"/>
    </row>
    <row r="89" spans="1:6" ht="15" customHeight="1">
      <c r="A89" s="339"/>
      <c r="B89" s="339"/>
      <c r="C89" s="339"/>
      <c r="D89" s="339"/>
      <c r="E89" s="339"/>
      <c r="F89" s="20"/>
    </row>
    <row r="90" spans="1:6" ht="28.8">
      <c r="A90" s="7" t="s">
        <v>0</v>
      </c>
      <c r="B90" s="8" t="s">
        <v>1</v>
      </c>
      <c r="C90" s="8" t="s">
        <v>2</v>
      </c>
      <c r="D90" s="8" t="s">
        <v>3</v>
      </c>
      <c r="E90" s="8" t="s">
        <v>4</v>
      </c>
      <c r="F90" s="9" t="s">
        <v>5</v>
      </c>
    </row>
    <row r="91" spans="1:6">
      <c r="A91" s="1">
        <v>44503</v>
      </c>
      <c r="B91" s="2" t="s">
        <v>62</v>
      </c>
      <c r="C91" s="3" t="s">
        <v>63</v>
      </c>
      <c r="D91" s="4">
        <v>72600</v>
      </c>
      <c r="E91" s="5" t="s">
        <v>6</v>
      </c>
      <c r="F91" s="6">
        <v>44505</v>
      </c>
    </row>
    <row r="92" spans="1:6">
      <c r="A92" s="1">
        <v>44505</v>
      </c>
      <c r="B92" s="2" t="s">
        <v>62</v>
      </c>
      <c r="C92" s="3" t="s">
        <v>63</v>
      </c>
      <c r="D92" s="4">
        <v>1061541.08</v>
      </c>
      <c r="E92" s="5" t="s">
        <v>6</v>
      </c>
      <c r="F92" s="6">
        <v>44508</v>
      </c>
    </row>
    <row r="93" spans="1:6">
      <c r="A93" s="1">
        <v>44506</v>
      </c>
      <c r="B93" s="2" t="s">
        <v>74</v>
      </c>
      <c r="C93" s="3" t="s">
        <v>28</v>
      </c>
      <c r="D93" s="4">
        <v>165735.4</v>
      </c>
      <c r="E93" s="5" t="s">
        <v>6</v>
      </c>
      <c r="F93" s="6">
        <v>44509</v>
      </c>
    </row>
    <row r="94" spans="1:6">
      <c r="A94" s="1">
        <v>44508</v>
      </c>
      <c r="B94" s="2" t="s">
        <v>71</v>
      </c>
      <c r="C94" s="3" t="s">
        <v>70</v>
      </c>
      <c r="D94" s="4">
        <v>38440</v>
      </c>
      <c r="E94" s="5" t="s">
        <v>6</v>
      </c>
      <c r="F94" s="6">
        <v>44509</v>
      </c>
    </row>
    <row r="95" spans="1:6">
      <c r="A95" s="1">
        <v>44515</v>
      </c>
      <c r="B95" s="2" t="s">
        <v>88</v>
      </c>
      <c r="C95" s="3" t="s">
        <v>89</v>
      </c>
      <c r="D95" s="4">
        <v>225200</v>
      </c>
      <c r="E95" s="5" t="s">
        <v>6</v>
      </c>
      <c r="F95" s="6">
        <v>44516</v>
      </c>
    </row>
    <row r="96" spans="1:6">
      <c r="A96" s="1">
        <v>44521</v>
      </c>
      <c r="B96" s="2" t="s">
        <v>86</v>
      </c>
      <c r="C96" s="3" t="s">
        <v>28</v>
      </c>
      <c r="D96" s="4">
        <v>2049098</v>
      </c>
      <c r="E96" s="5" t="s">
        <v>6</v>
      </c>
      <c r="F96" s="6">
        <v>44524</v>
      </c>
    </row>
    <row r="97" spans="1:6">
      <c r="A97" s="1">
        <v>44522</v>
      </c>
      <c r="B97" s="2" t="s">
        <v>75</v>
      </c>
      <c r="C97" s="3" t="s">
        <v>28</v>
      </c>
      <c r="D97" s="4">
        <v>165735.4</v>
      </c>
      <c r="E97" s="5" t="s">
        <v>6</v>
      </c>
      <c r="F97" s="6">
        <v>44524</v>
      </c>
    </row>
    <row r="98" spans="1:6">
      <c r="A98" s="1">
        <v>44523</v>
      </c>
      <c r="B98" s="2" t="s">
        <v>96</v>
      </c>
      <c r="C98" s="3" t="s">
        <v>97</v>
      </c>
      <c r="D98" s="4">
        <v>101961.60000000001</v>
      </c>
      <c r="E98" s="5" t="s">
        <v>6</v>
      </c>
      <c r="F98" s="6">
        <v>44525</v>
      </c>
    </row>
    <row r="99" spans="1:6">
      <c r="A99" s="1">
        <v>44529</v>
      </c>
      <c r="B99" s="2" t="s">
        <v>77</v>
      </c>
      <c r="C99" s="3" t="s">
        <v>28</v>
      </c>
      <c r="D99" s="4">
        <v>245018.54</v>
      </c>
      <c r="E99" s="5" t="s">
        <v>6</v>
      </c>
      <c r="F99" s="6">
        <v>44530</v>
      </c>
    </row>
    <row r="100" spans="1:6">
      <c r="A100" s="1">
        <v>44529</v>
      </c>
      <c r="B100" s="2" t="s">
        <v>44</v>
      </c>
      <c r="C100" s="3" t="s">
        <v>87</v>
      </c>
      <c r="D100" s="21">
        <v>49140</v>
      </c>
      <c r="E100" s="5" t="s">
        <v>6</v>
      </c>
      <c r="F100" s="6">
        <v>44531</v>
      </c>
    </row>
    <row r="101" spans="1:6">
      <c r="A101" s="1">
        <v>44530</v>
      </c>
      <c r="B101" s="2" t="s">
        <v>90</v>
      </c>
      <c r="C101" s="3" t="s">
        <v>89</v>
      </c>
      <c r="D101" s="4">
        <v>225200</v>
      </c>
      <c r="E101" s="5" t="s">
        <v>6</v>
      </c>
      <c r="F101" s="6">
        <v>44533</v>
      </c>
    </row>
    <row r="102" spans="1:6">
      <c r="A102" s="10"/>
      <c r="B102" s="11"/>
      <c r="C102" s="12" t="s">
        <v>7</v>
      </c>
      <c r="D102" s="13">
        <f>SUBTOTAL(109,D91:D101)</f>
        <v>4399670.0199999996</v>
      </c>
      <c r="E102" s="14"/>
      <c r="F102" s="15"/>
    </row>
    <row r="104" spans="1:6" ht="15" customHeight="1">
      <c r="A104" s="339" t="s">
        <v>65</v>
      </c>
      <c r="B104" s="339"/>
      <c r="C104" s="339"/>
      <c r="D104" s="339"/>
      <c r="E104" s="339"/>
      <c r="F104" s="20"/>
    </row>
    <row r="105" spans="1:6" ht="15" customHeight="1">
      <c r="A105" s="339"/>
      <c r="B105" s="339"/>
      <c r="C105" s="339"/>
      <c r="D105" s="339"/>
      <c r="E105" s="339"/>
      <c r="F105" s="20"/>
    </row>
    <row r="106" spans="1:6" ht="28.8">
      <c r="A106" s="7" t="s">
        <v>0</v>
      </c>
      <c r="B106" s="8" t="s">
        <v>1</v>
      </c>
      <c r="C106" s="8" t="s">
        <v>2</v>
      </c>
      <c r="D106" s="8" t="s">
        <v>3</v>
      </c>
      <c r="E106" s="8" t="s">
        <v>4</v>
      </c>
      <c r="F106" s="9" t="s">
        <v>5</v>
      </c>
    </row>
    <row r="107" spans="1:6">
      <c r="A107" s="1">
        <v>44533</v>
      </c>
      <c r="B107" s="2" t="s">
        <v>94</v>
      </c>
      <c r="C107" s="3" t="s">
        <v>85</v>
      </c>
      <c r="D107" s="4">
        <v>28886.69</v>
      </c>
      <c r="E107" s="5" t="s">
        <v>6</v>
      </c>
      <c r="F107" s="6">
        <v>44536</v>
      </c>
    </row>
    <row r="108" spans="1:6">
      <c r="A108" s="1">
        <v>44535</v>
      </c>
      <c r="B108" s="2" t="s">
        <v>62</v>
      </c>
      <c r="C108" s="3" t="s">
        <v>95</v>
      </c>
      <c r="D108" s="4">
        <v>359981</v>
      </c>
      <c r="E108" s="5" t="s">
        <v>6</v>
      </c>
      <c r="F108" s="6">
        <v>44537</v>
      </c>
    </row>
    <row r="109" spans="1:6">
      <c r="A109" s="1">
        <v>44535</v>
      </c>
      <c r="B109" s="2" t="s">
        <v>91</v>
      </c>
      <c r="C109" s="3" t="s">
        <v>93</v>
      </c>
      <c r="D109" s="4">
        <v>68860</v>
      </c>
      <c r="E109" s="5" t="s">
        <v>6</v>
      </c>
      <c r="F109" s="6">
        <v>44537</v>
      </c>
    </row>
    <row r="110" spans="1:6">
      <c r="A110" s="1">
        <v>44535</v>
      </c>
      <c r="B110" s="2" t="s">
        <v>62</v>
      </c>
      <c r="C110" s="3" t="s">
        <v>63</v>
      </c>
      <c r="D110" s="4">
        <v>1061541.08</v>
      </c>
      <c r="E110" s="5" t="s">
        <v>6</v>
      </c>
      <c r="F110" s="6">
        <v>44537</v>
      </c>
    </row>
    <row r="111" spans="1:6">
      <c r="A111" s="1">
        <v>44538</v>
      </c>
      <c r="B111" s="2" t="s">
        <v>98</v>
      </c>
      <c r="C111" s="3" t="s">
        <v>97</v>
      </c>
      <c r="D111" s="4">
        <v>101961.60000000001</v>
      </c>
      <c r="E111" s="5" t="s">
        <v>6</v>
      </c>
      <c r="F111" s="6">
        <v>44540</v>
      </c>
    </row>
    <row r="112" spans="1:6">
      <c r="A112" s="1">
        <v>44539</v>
      </c>
      <c r="B112" s="2" t="s">
        <v>99</v>
      </c>
      <c r="C112" s="3" t="s">
        <v>85</v>
      </c>
      <c r="D112" s="4">
        <v>82618.289999999994</v>
      </c>
      <c r="E112" s="5" t="s">
        <v>6</v>
      </c>
      <c r="F112" s="6">
        <v>44540</v>
      </c>
    </row>
    <row r="113" spans="1:6">
      <c r="A113" s="1">
        <v>44541</v>
      </c>
      <c r="B113" s="2" t="s">
        <v>105</v>
      </c>
      <c r="C113" s="3" t="s">
        <v>93</v>
      </c>
      <c r="D113" s="4">
        <v>32400</v>
      </c>
      <c r="E113" s="5" t="s">
        <v>6</v>
      </c>
      <c r="F113" s="6">
        <v>44544</v>
      </c>
    </row>
    <row r="114" spans="1:6">
      <c r="A114" s="1">
        <v>44546</v>
      </c>
      <c r="B114" s="2" t="s">
        <v>106</v>
      </c>
      <c r="C114" s="3" t="s">
        <v>85</v>
      </c>
      <c r="D114" s="4">
        <v>619012.1</v>
      </c>
      <c r="E114" s="5" t="s">
        <v>6</v>
      </c>
      <c r="F114" s="6">
        <v>44547</v>
      </c>
    </row>
    <row r="115" spans="1:6">
      <c r="A115" s="1">
        <v>44546</v>
      </c>
      <c r="B115" s="2" t="s">
        <v>108</v>
      </c>
      <c r="C115" s="3" t="s">
        <v>110</v>
      </c>
      <c r="D115" s="4">
        <v>30720</v>
      </c>
      <c r="E115" s="5" t="s">
        <v>6</v>
      </c>
      <c r="F115" s="6">
        <v>44557</v>
      </c>
    </row>
    <row r="116" spans="1:6">
      <c r="A116" s="1">
        <v>44546</v>
      </c>
      <c r="B116" s="2" t="s">
        <v>109</v>
      </c>
      <c r="C116" s="3" t="s">
        <v>111</v>
      </c>
      <c r="D116" s="4">
        <v>50991.81</v>
      </c>
      <c r="E116" s="5" t="s">
        <v>6</v>
      </c>
      <c r="F116" s="6">
        <v>44547</v>
      </c>
    </row>
    <row r="117" spans="1:6">
      <c r="A117" s="1">
        <v>44549</v>
      </c>
      <c r="B117" s="2" t="s">
        <v>114</v>
      </c>
      <c r="C117" s="3" t="s">
        <v>110</v>
      </c>
      <c r="D117" s="4">
        <v>12970</v>
      </c>
      <c r="E117" s="5" t="s">
        <v>6</v>
      </c>
      <c r="F117" s="6">
        <v>44572</v>
      </c>
    </row>
    <row r="118" spans="1:6">
      <c r="A118" s="1">
        <v>44551</v>
      </c>
      <c r="B118" s="2" t="s">
        <v>84</v>
      </c>
      <c r="C118" s="3" t="s">
        <v>85</v>
      </c>
      <c r="D118" s="4">
        <v>2049098.24</v>
      </c>
      <c r="E118" s="5" t="s">
        <v>6</v>
      </c>
      <c r="F118" s="6">
        <v>44552</v>
      </c>
    </row>
    <row r="119" spans="1:6">
      <c r="A119" s="1">
        <v>44552</v>
      </c>
      <c r="B119" s="2" t="s">
        <v>92</v>
      </c>
      <c r="C119" s="3" t="s">
        <v>93</v>
      </c>
      <c r="D119" s="4">
        <v>68860</v>
      </c>
      <c r="E119" s="5" t="s">
        <v>6</v>
      </c>
      <c r="F119" s="6">
        <v>44553</v>
      </c>
    </row>
    <row r="120" spans="1:6">
      <c r="A120" s="1">
        <v>44556</v>
      </c>
      <c r="B120" s="2" t="s">
        <v>112</v>
      </c>
      <c r="C120" s="3" t="s">
        <v>93</v>
      </c>
      <c r="D120" s="4">
        <v>32400</v>
      </c>
      <c r="E120" s="5" t="s">
        <v>6</v>
      </c>
      <c r="F120" s="6">
        <v>44558</v>
      </c>
    </row>
    <row r="121" spans="1:6">
      <c r="A121" s="1">
        <v>44556</v>
      </c>
      <c r="B121" s="2" t="s">
        <v>113</v>
      </c>
      <c r="C121" s="3" t="s">
        <v>85</v>
      </c>
      <c r="D121" s="4">
        <v>18172.21</v>
      </c>
      <c r="E121" s="5" t="s">
        <v>6</v>
      </c>
      <c r="F121" s="6">
        <v>44558</v>
      </c>
    </row>
    <row r="122" spans="1:6">
      <c r="A122" s="1">
        <v>44557</v>
      </c>
      <c r="B122" s="2" t="s">
        <v>123</v>
      </c>
      <c r="C122" s="3" t="s">
        <v>101</v>
      </c>
      <c r="D122" s="4">
        <v>160841</v>
      </c>
      <c r="E122" s="5" t="s">
        <v>6</v>
      </c>
      <c r="F122" s="6">
        <v>44558</v>
      </c>
    </row>
    <row r="123" spans="1:6">
      <c r="A123" s="1">
        <v>44560</v>
      </c>
      <c r="B123" s="2" t="s">
        <v>115</v>
      </c>
      <c r="C123" s="3" t="s">
        <v>116</v>
      </c>
      <c r="D123" s="4">
        <v>17075.52</v>
      </c>
      <c r="E123" s="5" t="s">
        <v>6</v>
      </c>
      <c r="F123" s="6">
        <v>44564</v>
      </c>
    </row>
    <row r="124" spans="1:6">
      <c r="A124" s="1">
        <v>44561</v>
      </c>
      <c r="B124" s="2" t="s">
        <v>107</v>
      </c>
      <c r="C124" s="3" t="s">
        <v>85</v>
      </c>
      <c r="D124" s="4">
        <v>619012.1</v>
      </c>
      <c r="E124" s="5" t="s">
        <v>6</v>
      </c>
      <c r="F124" s="6">
        <v>44565</v>
      </c>
    </row>
    <row r="125" spans="1:6">
      <c r="A125" s="10"/>
      <c r="B125" s="11"/>
      <c r="C125" s="12" t="s">
        <v>7</v>
      </c>
      <c r="D125" s="13">
        <f>SUBTOTAL(109,D107:D124)</f>
        <v>5415401.6399999997</v>
      </c>
      <c r="E125" s="14"/>
      <c r="F125" s="15"/>
    </row>
  </sheetData>
  <mergeCells count="10">
    <mergeCell ref="A2:F3"/>
    <mergeCell ref="A8:F9"/>
    <mergeCell ref="A14:F15"/>
    <mergeCell ref="A23:F24"/>
    <mergeCell ref="A31:F32"/>
    <mergeCell ref="A38:F39"/>
    <mergeCell ref="A57:E58"/>
    <mergeCell ref="A71:E72"/>
    <mergeCell ref="A88:E89"/>
    <mergeCell ref="A104:E105"/>
  </mergeCells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2"/>
  <sheetViews>
    <sheetView workbookViewId="0">
      <selection activeCell="A3" sqref="A3:XFD3"/>
    </sheetView>
  </sheetViews>
  <sheetFormatPr baseColWidth="10" defaultRowHeight="14.4"/>
  <cols>
    <col min="1" max="7" width="25.77734375" customWidth="1"/>
  </cols>
  <sheetData>
    <row r="3" spans="1:7" s="63" customFormat="1">
      <c r="A3" s="64" t="s">
        <v>503</v>
      </c>
      <c r="B3" s="64" t="s">
        <v>495</v>
      </c>
      <c r="C3" s="64" t="s">
        <v>496</v>
      </c>
      <c r="D3" s="64" t="s">
        <v>497</v>
      </c>
      <c r="E3" s="64" t="s">
        <v>498</v>
      </c>
      <c r="F3" s="64" t="s">
        <v>499</v>
      </c>
      <c r="G3" s="64" t="s">
        <v>500</v>
      </c>
    </row>
    <row r="4" spans="1:7" s="58" customFormat="1" ht="25.05" customHeight="1">
      <c r="A4" s="59" t="s">
        <v>62</v>
      </c>
      <c r="B4" s="60">
        <v>170</v>
      </c>
      <c r="C4" s="60" t="s">
        <v>504</v>
      </c>
      <c r="D4" s="61">
        <v>44907</v>
      </c>
      <c r="E4" s="61">
        <v>44851</v>
      </c>
      <c r="F4" s="62">
        <v>665457.25</v>
      </c>
      <c r="G4" s="60" t="s">
        <v>502</v>
      </c>
    </row>
    <row r="5" spans="1:7" s="58" customFormat="1" ht="25.05" customHeight="1">
      <c r="A5" s="59" t="s">
        <v>62</v>
      </c>
      <c r="B5" s="60">
        <v>169</v>
      </c>
      <c r="C5" s="60" t="s">
        <v>504</v>
      </c>
      <c r="D5" s="61">
        <v>44883</v>
      </c>
      <c r="E5" s="61">
        <v>44851</v>
      </c>
      <c r="F5" s="62">
        <v>665457.25</v>
      </c>
      <c r="G5" s="60" t="s">
        <v>502</v>
      </c>
    </row>
    <row r="6" spans="1:7" s="58" customFormat="1" ht="25.05" customHeight="1">
      <c r="A6" s="59" t="s">
        <v>62</v>
      </c>
      <c r="B6" s="60">
        <v>22546531</v>
      </c>
      <c r="C6" s="60" t="s">
        <v>505</v>
      </c>
      <c r="D6" s="61">
        <v>44879</v>
      </c>
      <c r="E6" s="61">
        <v>44818</v>
      </c>
      <c r="F6" s="62">
        <v>120000</v>
      </c>
      <c r="G6" s="60" t="s">
        <v>502</v>
      </c>
    </row>
    <row r="7" spans="1:7" s="58" customFormat="1" ht="25.05" customHeight="1">
      <c r="A7" s="59" t="s">
        <v>62</v>
      </c>
      <c r="B7" s="60">
        <v>168</v>
      </c>
      <c r="C7" s="60" t="s">
        <v>504</v>
      </c>
      <c r="D7" s="61">
        <v>44876</v>
      </c>
      <c r="E7" s="61">
        <v>44851</v>
      </c>
      <c r="F7" s="62">
        <v>665457.25</v>
      </c>
      <c r="G7" s="60" t="s">
        <v>502</v>
      </c>
    </row>
    <row r="8" spans="1:7" s="58" customFormat="1" ht="25.05" customHeight="1">
      <c r="A8" s="59" t="s">
        <v>62</v>
      </c>
      <c r="B8" s="60">
        <v>149</v>
      </c>
      <c r="C8" s="60" t="s">
        <v>504</v>
      </c>
      <c r="D8" s="61">
        <v>44875</v>
      </c>
      <c r="E8" s="61">
        <v>44789</v>
      </c>
      <c r="F8" s="62">
        <v>230000</v>
      </c>
      <c r="G8" s="60" t="s">
        <v>502</v>
      </c>
    </row>
    <row r="9" spans="1:7" s="58" customFormat="1" ht="25.05" customHeight="1">
      <c r="A9" s="59" t="s">
        <v>62</v>
      </c>
      <c r="B9" s="60">
        <v>137</v>
      </c>
      <c r="C9" s="60" t="s">
        <v>504</v>
      </c>
      <c r="D9" s="61">
        <v>44866</v>
      </c>
      <c r="E9" s="61">
        <v>44776</v>
      </c>
      <c r="F9" s="62">
        <v>699741.75</v>
      </c>
      <c r="G9" s="60" t="s">
        <v>502</v>
      </c>
    </row>
    <row r="10" spans="1:7" s="58" customFormat="1" ht="25.05" customHeight="1">
      <c r="A10" s="59" t="s">
        <v>62</v>
      </c>
      <c r="B10" s="60">
        <v>22546532</v>
      </c>
      <c r="C10" s="60" t="s">
        <v>505</v>
      </c>
      <c r="D10" s="61">
        <v>44848</v>
      </c>
      <c r="E10" s="61">
        <v>44818</v>
      </c>
      <c r="F10" s="62">
        <v>120000</v>
      </c>
      <c r="G10" s="60" t="s">
        <v>502</v>
      </c>
    </row>
    <row r="11" spans="1:7" s="58" customFormat="1" ht="25.05" customHeight="1">
      <c r="A11" s="59" t="s">
        <v>62</v>
      </c>
      <c r="B11" s="60">
        <v>132</v>
      </c>
      <c r="C11" s="60" t="s">
        <v>504</v>
      </c>
      <c r="D11" s="61">
        <v>44819</v>
      </c>
      <c r="E11" s="61">
        <v>44776</v>
      </c>
      <c r="F11" s="62">
        <v>707418</v>
      </c>
      <c r="G11" s="60" t="s">
        <v>502</v>
      </c>
    </row>
    <row r="12" spans="1:7" s="58" customFormat="1" ht="25.05" customHeight="1">
      <c r="A12" s="59" t="s">
        <v>62</v>
      </c>
      <c r="B12" s="60">
        <v>10168788</v>
      </c>
      <c r="C12" s="60" t="s">
        <v>505</v>
      </c>
      <c r="D12" s="61">
        <v>44818</v>
      </c>
      <c r="E12" s="61">
        <v>44818</v>
      </c>
      <c r="F12" s="62">
        <v>119800</v>
      </c>
      <c r="G12" s="60" t="s">
        <v>502</v>
      </c>
    </row>
    <row r="13" spans="1:7" s="58" customFormat="1" ht="25.05" customHeight="1">
      <c r="A13" s="59" t="s">
        <v>62</v>
      </c>
      <c r="B13" s="60">
        <v>144</v>
      </c>
      <c r="C13" s="60" t="s">
        <v>504</v>
      </c>
      <c r="D13" s="61">
        <v>44817</v>
      </c>
      <c r="E13" s="61">
        <v>44789</v>
      </c>
      <c r="F13" s="62">
        <v>172481.6</v>
      </c>
      <c r="G13" s="60" t="s">
        <v>502</v>
      </c>
    </row>
    <row r="14" spans="1:7" s="58" customFormat="1" ht="25.05" customHeight="1">
      <c r="A14" s="59" t="s">
        <v>62</v>
      </c>
      <c r="B14" s="60">
        <v>147</v>
      </c>
      <c r="C14" s="60" t="s">
        <v>504</v>
      </c>
      <c r="D14" s="61">
        <v>44814</v>
      </c>
      <c r="E14" s="61">
        <v>44789</v>
      </c>
      <c r="F14" s="62">
        <v>345000</v>
      </c>
      <c r="G14" s="60" t="s">
        <v>502</v>
      </c>
    </row>
    <row r="15" spans="1:7" s="58" customFormat="1" ht="25.05" customHeight="1">
      <c r="A15" s="59" t="s">
        <v>62</v>
      </c>
      <c r="B15" s="60">
        <v>135</v>
      </c>
      <c r="C15" s="60" t="s">
        <v>504</v>
      </c>
      <c r="D15" s="61">
        <v>44805</v>
      </c>
      <c r="E15" s="61">
        <v>44776</v>
      </c>
      <c r="F15" s="62">
        <v>699741.73</v>
      </c>
      <c r="G15" s="60" t="s">
        <v>502</v>
      </c>
    </row>
    <row r="16" spans="1:7" s="58" customFormat="1" ht="25.05" customHeight="1">
      <c r="A16" s="59" t="s">
        <v>62</v>
      </c>
      <c r="B16" s="60">
        <v>130</v>
      </c>
      <c r="C16" s="60" t="s">
        <v>501</v>
      </c>
      <c r="D16" s="61">
        <v>44804</v>
      </c>
      <c r="E16" s="61">
        <v>44776</v>
      </c>
      <c r="F16" s="62">
        <v>707418</v>
      </c>
      <c r="G16" s="60" t="s">
        <v>502</v>
      </c>
    </row>
    <row r="17" spans="1:7" s="58" customFormat="1" ht="25.05" customHeight="1">
      <c r="A17" s="59" t="s">
        <v>62</v>
      </c>
      <c r="B17" s="60">
        <v>133</v>
      </c>
      <c r="C17" s="60" t="s">
        <v>501</v>
      </c>
      <c r="D17" s="61">
        <v>44790</v>
      </c>
      <c r="E17" s="61">
        <v>44776</v>
      </c>
      <c r="F17" s="62">
        <v>699741.73</v>
      </c>
      <c r="G17" s="60" t="s">
        <v>502</v>
      </c>
    </row>
    <row r="18" spans="1:7" s="58" customFormat="1" ht="25.05" customHeight="1">
      <c r="A18" s="59" t="s">
        <v>62</v>
      </c>
      <c r="B18" s="60">
        <v>131</v>
      </c>
      <c r="C18" s="60" t="s">
        <v>501</v>
      </c>
      <c r="D18" s="61">
        <v>44788</v>
      </c>
      <c r="E18" s="61">
        <v>44776</v>
      </c>
      <c r="F18" s="62">
        <v>707418</v>
      </c>
      <c r="G18" s="60" t="s">
        <v>502</v>
      </c>
    </row>
    <row r="19" spans="1:7" s="58" customFormat="1" ht="25.05" customHeight="1">
      <c r="A19" s="59" t="s">
        <v>62</v>
      </c>
      <c r="B19" s="60">
        <v>34367573</v>
      </c>
      <c r="C19" s="60" t="s">
        <v>501</v>
      </c>
      <c r="D19" s="61">
        <v>44741</v>
      </c>
      <c r="E19" s="61">
        <v>44726</v>
      </c>
      <c r="F19" s="62">
        <v>54450</v>
      </c>
      <c r="G19" s="60" t="s">
        <v>502</v>
      </c>
    </row>
    <row r="20" spans="1:7" s="58" customFormat="1" ht="25.05" customHeight="1">
      <c r="A20" s="59" t="s">
        <v>62</v>
      </c>
      <c r="B20" s="60">
        <v>4091152</v>
      </c>
      <c r="C20" s="60" t="s">
        <v>501</v>
      </c>
      <c r="D20" s="61">
        <v>44737</v>
      </c>
      <c r="E20" s="61">
        <v>44707</v>
      </c>
      <c r="F20" s="62">
        <v>26620</v>
      </c>
      <c r="G20" s="60" t="s">
        <v>502</v>
      </c>
    </row>
    <row r="21" spans="1:7" s="58" customFormat="1" ht="25.05" customHeight="1">
      <c r="A21" s="59" t="s">
        <v>62</v>
      </c>
      <c r="B21" s="60">
        <v>18870</v>
      </c>
      <c r="C21" s="60" t="s">
        <v>501</v>
      </c>
      <c r="D21" s="61">
        <v>44715</v>
      </c>
      <c r="E21" s="61">
        <v>44694</v>
      </c>
      <c r="F21" s="62">
        <v>691466.7</v>
      </c>
      <c r="G21" s="60" t="s">
        <v>502</v>
      </c>
    </row>
    <row r="22" spans="1:7" s="58" customFormat="1" ht="25.05" customHeight="1">
      <c r="A22" s="59" t="s">
        <v>62</v>
      </c>
      <c r="B22" s="60">
        <v>35</v>
      </c>
      <c r="C22" s="60" t="s">
        <v>501</v>
      </c>
      <c r="D22" s="61">
        <v>44659</v>
      </c>
      <c r="E22" s="61">
        <v>44637</v>
      </c>
      <c r="F22" s="62">
        <v>328422</v>
      </c>
      <c r="G22" s="60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F274"/>
  <sheetViews>
    <sheetView zoomScale="120" zoomScaleNormal="120" workbookViewId="0">
      <selection activeCell="F274" sqref="F274"/>
    </sheetView>
  </sheetViews>
  <sheetFormatPr baseColWidth="10" defaultRowHeight="14.4"/>
  <cols>
    <col min="1" max="2" width="15.6640625" customWidth="1"/>
    <col min="3" max="3" width="31" bestFit="1" customWidth="1"/>
    <col min="4" max="5" width="15.6640625" customWidth="1"/>
    <col min="6" max="6" width="18.44140625" customWidth="1"/>
  </cols>
  <sheetData>
    <row r="2" spans="1:6" ht="21">
      <c r="A2" s="339" t="s">
        <v>83</v>
      </c>
      <c r="B2" s="339"/>
      <c r="C2" s="339"/>
      <c r="D2" s="339"/>
      <c r="E2" s="339"/>
      <c r="F2" s="20"/>
    </row>
    <row r="3" spans="1:6" ht="21">
      <c r="A3" s="339"/>
      <c r="B3" s="339"/>
      <c r="C3" s="339"/>
      <c r="D3" s="339"/>
      <c r="E3" s="339"/>
      <c r="F3" s="20"/>
    </row>
    <row r="4" spans="1:6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9" t="s">
        <v>5</v>
      </c>
    </row>
    <row r="5" spans="1:6">
      <c r="A5" s="1">
        <v>44564</v>
      </c>
      <c r="B5" s="2" t="s">
        <v>119</v>
      </c>
      <c r="C5" s="3" t="s">
        <v>85</v>
      </c>
      <c r="D5" s="4">
        <v>497684.36</v>
      </c>
      <c r="E5" s="5" t="s">
        <v>6</v>
      </c>
      <c r="F5" s="6">
        <v>44564</v>
      </c>
    </row>
    <row r="6" spans="1:6">
      <c r="A6" s="1">
        <v>44566</v>
      </c>
      <c r="B6" s="2" t="s">
        <v>62</v>
      </c>
      <c r="C6" s="3" t="s">
        <v>63</v>
      </c>
      <c r="D6" s="4">
        <v>1061541.08</v>
      </c>
      <c r="E6" s="5" t="s">
        <v>6</v>
      </c>
      <c r="F6" s="6">
        <v>44567</v>
      </c>
    </row>
    <row r="7" spans="1:6">
      <c r="A7" s="1">
        <v>44566</v>
      </c>
      <c r="B7" s="2" t="s">
        <v>62</v>
      </c>
      <c r="C7" s="3" t="s">
        <v>95</v>
      </c>
      <c r="D7" s="4">
        <v>359981</v>
      </c>
      <c r="E7" s="5" t="s">
        <v>6</v>
      </c>
      <c r="F7" s="6">
        <v>44567</v>
      </c>
    </row>
    <row r="8" spans="1:6">
      <c r="A8" s="1">
        <v>44570</v>
      </c>
      <c r="B8" s="2" t="s">
        <v>62</v>
      </c>
      <c r="C8" s="3" t="s">
        <v>120</v>
      </c>
      <c r="D8" s="4">
        <v>224565.52</v>
      </c>
      <c r="E8" s="5" t="s">
        <v>6</v>
      </c>
      <c r="F8" s="6">
        <v>44572</v>
      </c>
    </row>
    <row r="9" spans="1:6">
      <c r="A9" s="1">
        <v>44570</v>
      </c>
      <c r="B9" s="2" t="s">
        <v>151</v>
      </c>
      <c r="C9" s="3" t="s">
        <v>121</v>
      </c>
      <c r="D9" s="4">
        <v>115443.87</v>
      </c>
      <c r="E9" s="5" t="s">
        <v>6</v>
      </c>
      <c r="F9" s="6">
        <v>44579</v>
      </c>
    </row>
    <row r="10" spans="1:6" ht="15.75" customHeight="1">
      <c r="A10" s="1">
        <v>44570</v>
      </c>
      <c r="B10" s="2" t="s">
        <v>117</v>
      </c>
      <c r="C10" s="3" t="s">
        <v>85</v>
      </c>
      <c r="D10" s="4">
        <v>163973.32999999999</v>
      </c>
      <c r="E10" s="5" t="s">
        <v>6</v>
      </c>
      <c r="F10" s="6">
        <v>44572</v>
      </c>
    </row>
    <row r="11" spans="1:6" ht="15.75" customHeight="1">
      <c r="A11" s="1">
        <v>44575</v>
      </c>
      <c r="B11" s="2" t="s">
        <v>153</v>
      </c>
      <c r="C11" s="3" t="s">
        <v>95</v>
      </c>
      <c r="D11" s="4">
        <v>22990</v>
      </c>
      <c r="E11" s="5" t="s">
        <v>6</v>
      </c>
      <c r="F11" s="6">
        <v>44587</v>
      </c>
    </row>
    <row r="12" spans="1:6">
      <c r="A12" s="1">
        <v>44576</v>
      </c>
      <c r="B12" s="2" t="s">
        <v>118</v>
      </c>
      <c r="C12" s="3" t="s">
        <v>85</v>
      </c>
      <c r="D12" s="4">
        <v>497684.36</v>
      </c>
      <c r="E12" s="5" t="s">
        <v>6</v>
      </c>
      <c r="F12" s="6">
        <v>44579</v>
      </c>
    </row>
    <row r="13" spans="1:6">
      <c r="A13" s="1">
        <v>44576</v>
      </c>
      <c r="B13" s="2" t="s">
        <v>156</v>
      </c>
      <c r="C13" s="3" t="s">
        <v>124</v>
      </c>
      <c r="D13" s="4">
        <v>46530.42</v>
      </c>
      <c r="E13" s="5" t="s">
        <v>6</v>
      </c>
      <c r="F13" s="6">
        <v>44593</v>
      </c>
    </row>
    <row r="14" spans="1:6">
      <c r="A14" s="1">
        <v>44580</v>
      </c>
      <c r="B14" s="2" t="s">
        <v>155</v>
      </c>
      <c r="C14" s="3" t="s">
        <v>124</v>
      </c>
      <c r="D14" s="4">
        <v>42578.52</v>
      </c>
      <c r="E14" s="5" t="s">
        <v>6</v>
      </c>
      <c r="F14" s="6">
        <v>44593</v>
      </c>
    </row>
    <row r="15" spans="1:6" ht="15.75" customHeight="1">
      <c r="A15" s="1">
        <v>44583</v>
      </c>
      <c r="B15" s="2" t="s">
        <v>62</v>
      </c>
      <c r="C15" s="3" t="s">
        <v>122</v>
      </c>
      <c r="D15" s="4">
        <v>34252.18</v>
      </c>
      <c r="E15" s="5"/>
      <c r="F15" s="6"/>
    </row>
    <row r="16" spans="1:6">
      <c r="A16" s="1">
        <v>44585</v>
      </c>
      <c r="B16" s="2" t="s">
        <v>152</v>
      </c>
      <c r="C16" s="3" t="s">
        <v>120</v>
      </c>
      <c r="D16" s="4">
        <v>224565.52</v>
      </c>
      <c r="E16" s="5" t="s">
        <v>6</v>
      </c>
      <c r="F16" s="6">
        <v>44586</v>
      </c>
    </row>
    <row r="17" spans="1:6">
      <c r="A17" s="1">
        <v>44588</v>
      </c>
      <c r="B17" s="2" t="s">
        <v>154</v>
      </c>
      <c r="C17" s="3" t="s">
        <v>120</v>
      </c>
      <c r="D17" s="4">
        <v>34076.61</v>
      </c>
      <c r="E17" s="5" t="s">
        <v>6</v>
      </c>
      <c r="F17" s="6">
        <v>44589</v>
      </c>
    </row>
    <row r="18" spans="1:6">
      <c r="A18" s="1">
        <v>44591</v>
      </c>
      <c r="B18" s="2" t="s">
        <v>150</v>
      </c>
      <c r="C18" s="3" t="s">
        <v>124</v>
      </c>
      <c r="D18" s="4">
        <v>46530.42</v>
      </c>
      <c r="E18" s="5" t="s">
        <v>6</v>
      </c>
      <c r="F18" s="6">
        <v>44592</v>
      </c>
    </row>
    <row r="19" spans="1:6">
      <c r="A19" s="10"/>
      <c r="B19" s="11"/>
      <c r="C19" s="12" t="s">
        <v>7</v>
      </c>
      <c r="D19" s="13">
        <f>SUBTOTAL(109,D5:D18)</f>
        <v>3372397.19</v>
      </c>
      <c r="E19" s="14"/>
      <c r="F19" s="15"/>
    </row>
    <row r="21" spans="1:6" ht="21">
      <c r="A21" s="339" t="s">
        <v>100</v>
      </c>
      <c r="B21" s="339"/>
      <c r="C21" s="339"/>
      <c r="D21" s="339"/>
      <c r="E21" s="339"/>
      <c r="F21" s="20"/>
    </row>
    <row r="22" spans="1:6" ht="21">
      <c r="A22" s="339"/>
      <c r="B22" s="339"/>
      <c r="C22" s="339"/>
      <c r="D22" s="339"/>
      <c r="E22" s="339"/>
      <c r="F22" s="20"/>
    </row>
    <row r="23" spans="1:6">
      <c r="A23" s="7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9" t="s">
        <v>5</v>
      </c>
    </row>
    <row r="24" spans="1:6">
      <c r="A24" s="1">
        <v>44596</v>
      </c>
      <c r="B24" s="2" t="s">
        <v>159</v>
      </c>
      <c r="C24" s="3" t="s">
        <v>124</v>
      </c>
      <c r="D24" s="4">
        <v>42578.53</v>
      </c>
      <c r="E24" s="5" t="s">
        <v>6</v>
      </c>
      <c r="F24" s="6">
        <v>44600</v>
      </c>
    </row>
    <row r="25" spans="1:6">
      <c r="A25" s="1">
        <v>44597</v>
      </c>
      <c r="B25" s="2" t="s">
        <v>161</v>
      </c>
      <c r="C25" s="3" t="s">
        <v>126</v>
      </c>
      <c r="D25" s="4">
        <v>131137.85999999999</v>
      </c>
      <c r="E25" s="5" t="s">
        <v>6</v>
      </c>
      <c r="F25" s="6">
        <v>44603</v>
      </c>
    </row>
    <row r="26" spans="1:6">
      <c r="A26" s="1">
        <v>44597</v>
      </c>
      <c r="B26" s="2" t="s">
        <v>157</v>
      </c>
      <c r="C26" s="3" t="s">
        <v>125</v>
      </c>
      <c r="D26" s="4">
        <v>11485.13</v>
      </c>
      <c r="E26" s="5" t="s">
        <v>6</v>
      </c>
      <c r="F26" s="6">
        <v>44600</v>
      </c>
    </row>
    <row r="27" spans="1:6">
      <c r="A27" s="1">
        <v>44597</v>
      </c>
      <c r="B27" s="2" t="s">
        <v>158</v>
      </c>
      <c r="C27" s="3" t="s">
        <v>95</v>
      </c>
      <c r="D27" s="4">
        <v>359981</v>
      </c>
      <c r="E27" s="5" t="s">
        <v>6</v>
      </c>
      <c r="F27" s="6">
        <v>44600</v>
      </c>
    </row>
    <row r="28" spans="1:6">
      <c r="A28" s="1">
        <v>44601</v>
      </c>
      <c r="B28" s="2" t="s">
        <v>160</v>
      </c>
      <c r="C28" s="3" t="s">
        <v>120</v>
      </c>
      <c r="D28" s="4">
        <v>224565.52</v>
      </c>
      <c r="E28" s="5" t="s">
        <v>6</v>
      </c>
      <c r="F28" s="6">
        <v>44602</v>
      </c>
    </row>
    <row r="29" spans="1:6">
      <c r="A29" s="1">
        <v>44603</v>
      </c>
      <c r="B29" s="2" t="s">
        <v>176</v>
      </c>
      <c r="C29" s="3" t="s">
        <v>126</v>
      </c>
      <c r="D29" s="4">
        <v>104393.15</v>
      </c>
      <c r="E29" s="22" t="s">
        <v>178</v>
      </c>
      <c r="F29" s="6">
        <v>44623</v>
      </c>
    </row>
    <row r="30" spans="1:6">
      <c r="A30" s="1">
        <v>44605</v>
      </c>
      <c r="B30" s="2" t="s">
        <v>128</v>
      </c>
      <c r="C30" s="3" t="s">
        <v>127</v>
      </c>
      <c r="D30" s="4">
        <v>354673.58</v>
      </c>
      <c r="E30" s="5" t="s">
        <v>6</v>
      </c>
      <c r="F30" s="6">
        <v>44615</v>
      </c>
    </row>
    <row r="31" spans="1:6">
      <c r="A31" s="1">
        <v>44605</v>
      </c>
      <c r="B31" s="2" t="s">
        <v>163</v>
      </c>
      <c r="C31" s="3" t="s">
        <v>120</v>
      </c>
      <c r="D31" s="4">
        <v>272656.89</v>
      </c>
      <c r="E31" s="5" t="s">
        <v>6</v>
      </c>
      <c r="F31" s="6">
        <v>44607</v>
      </c>
    </row>
    <row r="32" spans="1:6">
      <c r="A32" s="1">
        <v>44606</v>
      </c>
      <c r="B32" s="2" t="s">
        <v>162</v>
      </c>
      <c r="C32" s="3" t="s">
        <v>120</v>
      </c>
      <c r="D32" s="4">
        <v>208073.42</v>
      </c>
      <c r="E32" s="5" t="s">
        <v>6</v>
      </c>
      <c r="F32" s="6">
        <v>44607</v>
      </c>
    </row>
    <row r="33" spans="1:6" ht="14.25" customHeight="1">
      <c r="A33" s="1">
        <v>44611</v>
      </c>
      <c r="B33" s="2" t="s">
        <v>175</v>
      </c>
      <c r="C33" s="3" t="s">
        <v>124</v>
      </c>
      <c r="D33" s="4">
        <v>42578.53</v>
      </c>
      <c r="E33" s="5" t="s">
        <v>6</v>
      </c>
      <c r="F33" s="6">
        <v>44623</v>
      </c>
    </row>
    <row r="34" spans="1:6">
      <c r="A34" s="1">
        <v>44617</v>
      </c>
      <c r="B34" s="2" t="s">
        <v>176</v>
      </c>
      <c r="C34" s="3" t="s">
        <v>127</v>
      </c>
      <c r="D34" s="4">
        <v>353927.06</v>
      </c>
      <c r="E34" s="5" t="s">
        <v>6</v>
      </c>
      <c r="F34" s="6">
        <v>44627</v>
      </c>
    </row>
    <row r="35" spans="1:6" ht="14.25" customHeight="1">
      <c r="A35" s="1">
        <v>44618</v>
      </c>
      <c r="B35" s="2" t="s">
        <v>62</v>
      </c>
      <c r="C35" s="3" t="s">
        <v>25</v>
      </c>
      <c r="D35" s="4">
        <v>172666</v>
      </c>
      <c r="E35" s="5" t="s">
        <v>6</v>
      </c>
      <c r="F35" s="6">
        <v>44623</v>
      </c>
    </row>
    <row r="36" spans="1:6">
      <c r="A36" s="1">
        <v>44620</v>
      </c>
      <c r="B36" s="2" t="s">
        <v>62</v>
      </c>
      <c r="C36" s="3" t="s">
        <v>120</v>
      </c>
      <c r="D36" s="4">
        <v>272656.89</v>
      </c>
      <c r="E36" s="5" t="s">
        <v>6</v>
      </c>
      <c r="F36" s="6">
        <v>44623</v>
      </c>
    </row>
    <row r="37" spans="1:6">
      <c r="A37" s="10"/>
      <c r="B37" s="11"/>
      <c r="C37" s="12" t="s">
        <v>7</v>
      </c>
      <c r="D37" s="13">
        <f>SUBTOTAL(109,D24:D36)</f>
        <v>2551373.56</v>
      </c>
      <c r="E37" s="14"/>
      <c r="F37" s="15"/>
    </row>
    <row r="39" spans="1:6" ht="21">
      <c r="A39" s="339" t="s">
        <v>102</v>
      </c>
      <c r="B39" s="339"/>
      <c r="C39" s="339"/>
      <c r="D39" s="339"/>
      <c r="E39" s="339"/>
      <c r="F39" s="20"/>
    </row>
    <row r="40" spans="1:6" ht="21">
      <c r="A40" s="339"/>
      <c r="B40" s="339"/>
      <c r="C40" s="339"/>
      <c r="D40" s="339"/>
      <c r="E40" s="339"/>
      <c r="F40" s="20"/>
    </row>
    <row r="41" spans="1:6">
      <c r="A41" s="7" t="s">
        <v>0</v>
      </c>
      <c r="B41" s="8" t="s">
        <v>1</v>
      </c>
      <c r="C41" s="8" t="s">
        <v>2</v>
      </c>
      <c r="D41" s="8" t="s">
        <v>3</v>
      </c>
      <c r="E41" s="8" t="s">
        <v>4</v>
      </c>
      <c r="F41" s="9" t="s">
        <v>5</v>
      </c>
    </row>
    <row r="42" spans="1:6">
      <c r="A42" s="1">
        <v>44621</v>
      </c>
      <c r="B42" s="2" t="s">
        <v>62</v>
      </c>
      <c r="C42" s="3" t="s">
        <v>120</v>
      </c>
      <c r="D42" s="4">
        <v>208073.42</v>
      </c>
      <c r="E42" s="5" t="s">
        <v>6</v>
      </c>
      <c r="F42" s="6">
        <v>44627</v>
      </c>
    </row>
    <row r="43" spans="1:6">
      <c r="A43" s="1">
        <v>44621</v>
      </c>
      <c r="B43" s="2" t="s">
        <v>130</v>
      </c>
      <c r="C43" s="3" t="s">
        <v>85</v>
      </c>
      <c r="D43" s="4">
        <v>201287.69</v>
      </c>
      <c r="E43" s="5" t="s">
        <v>6</v>
      </c>
      <c r="F43" s="6">
        <v>44623</v>
      </c>
    </row>
    <row r="44" spans="1:6">
      <c r="A44" s="1">
        <v>44623</v>
      </c>
      <c r="B44" s="2" t="s">
        <v>138</v>
      </c>
      <c r="C44" s="3" t="s">
        <v>140</v>
      </c>
      <c r="D44" s="4">
        <v>29000</v>
      </c>
      <c r="E44" s="5" t="s">
        <v>6</v>
      </c>
      <c r="F44" s="6">
        <v>44624</v>
      </c>
    </row>
    <row r="45" spans="1:6">
      <c r="A45" s="1">
        <v>44623</v>
      </c>
      <c r="B45" s="2" t="s">
        <v>142</v>
      </c>
      <c r="C45" s="3" t="s">
        <v>143</v>
      </c>
      <c r="D45" s="4">
        <v>150000</v>
      </c>
      <c r="E45" s="5" t="s">
        <v>6</v>
      </c>
      <c r="F45" s="6">
        <v>44631</v>
      </c>
    </row>
    <row r="46" spans="1:6">
      <c r="A46" s="1">
        <v>44260</v>
      </c>
      <c r="B46" s="2" t="s">
        <v>62</v>
      </c>
      <c r="C46" s="3" t="s">
        <v>95</v>
      </c>
      <c r="D46" s="4">
        <v>359981</v>
      </c>
      <c r="E46" s="5" t="s">
        <v>6</v>
      </c>
      <c r="F46" s="6">
        <v>44628</v>
      </c>
    </row>
    <row r="47" spans="1:6">
      <c r="A47" s="1">
        <v>44625</v>
      </c>
      <c r="B47" s="2" t="s">
        <v>62</v>
      </c>
      <c r="C47" s="3" t="s">
        <v>126</v>
      </c>
      <c r="D47" s="4">
        <v>131137.85999999999</v>
      </c>
      <c r="E47" s="5" t="s">
        <v>6</v>
      </c>
      <c r="F47" s="6">
        <v>44628</v>
      </c>
    </row>
    <row r="48" spans="1:6">
      <c r="A48" s="1">
        <v>44628</v>
      </c>
      <c r="B48" s="2" t="s">
        <v>133</v>
      </c>
      <c r="C48" s="3" t="s">
        <v>134</v>
      </c>
      <c r="D48" s="4">
        <v>239309.4</v>
      </c>
      <c r="E48" s="5" t="s">
        <v>6</v>
      </c>
      <c r="F48" s="6">
        <v>44629</v>
      </c>
    </row>
    <row r="49" spans="1:6">
      <c r="A49" s="1">
        <v>44628</v>
      </c>
      <c r="B49" s="2" t="s">
        <v>135</v>
      </c>
      <c r="C49" s="3" t="s">
        <v>85</v>
      </c>
      <c r="D49" s="4">
        <v>141609.66</v>
      </c>
      <c r="E49" s="5" t="s">
        <v>6</v>
      </c>
      <c r="F49" s="6">
        <v>44629</v>
      </c>
    </row>
    <row r="50" spans="1:6">
      <c r="A50" s="1">
        <v>44628</v>
      </c>
      <c r="B50" s="2" t="s">
        <v>166</v>
      </c>
      <c r="C50" s="3" t="s">
        <v>134</v>
      </c>
      <c r="D50" s="4">
        <v>100895.46</v>
      </c>
      <c r="E50" s="5" t="s">
        <v>6</v>
      </c>
      <c r="F50" s="6">
        <v>44629</v>
      </c>
    </row>
    <row r="51" spans="1:6">
      <c r="A51" s="1">
        <v>44630</v>
      </c>
      <c r="B51" s="2" t="s">
        <v>129</v>
      </c>
      <c r="C51" s="3" t="s">
        <v>127</v>
      </c>
      <c r="D51" s="4">
        <v>354661.35</v>
      </c>
      <c r="E51" s="5" t="s">
        <v>6</v>
      </c>
      <c r="F51" s="6">
        <v>44659</v>
      </c>
    </row>
    <row r="52" spans="1:6">
      <c r="A52" s="1">
        <v>44631</v>
      </c>
      <c r="B52" s="2" t="s">
        <v>177</v>
      </c>
      <c r="C52" s="3" t="s">
        <v>126</v>
      </c>
      <c r="D52" s="4">
        <v>104393.15</v>
      </c>
      <c r="E52" s="5" t="s">
        <v>6</v>
      </c>
      <c r="F52" s="6">
        <v>44634</v>
      </c>
    </row>
    <row r="53" spans="1:6">
      <c r="A53" s="1">
        <v>44634</v>
      </c>
      <c r="B53" s="2" t="s">
        <v>168</v>
      </c>
      <c r="C53" s="3" t="s">
        <v>169</v>
      </c>
      <c r="D53" s="4">
        <v>28086.01</v>
      </c>
      <c r="E53" s="5" t="s">
        <v>6</v>
      </c>
      <c r="F53" s="6">
        <v>44635</v>
      </c>
    </row>
    <row r="54" spans="1:6">
      <c r="A54" s="1">
        <v>44634</v>
      </c>
      <c r="B54" s="2" t="s">
        <v>136</v>
      </c>
      <c r="C54" s="3" t="s">
        <v>85</v>
      </c>
      <c r="D54" s="4">
        <v>55041.96</v>
      </c>
      <c r="E54" s="5" t="s">
        <v>6</v>
      </c>
      <c r="F54" s="6">
        <v>44635</v>
      </c>
    </row>
    <row r="55" spans="1:6">
      <c r="A55" s="1">
        <v>44634</v>
      </c>
      <c r="B55" s="2" t="s">
        <v>137</v>
      </c>
      <c r="C55" s="3" t="s">
        <v>139</v>
      </c>
      <c r="D55" s="4">
        <v>56341.91</v>
      </c>
      <c r="E55" s="5" t="s">
        <v>6</v>
      </c>
      <c r="F55" s="6">
        <v>44638</v>
      </c>
    </row>
    <row r="56" spans="1:6">
      <c r="A56" s="1">
        <v>44636</v>
      </c>
      <c r="B56" s="2" t="s">
        <v>131</v>
      </c>
      <c r="C56" s="3" t="s">
        <v>85</v>
      </c>
      <c r="D56" s="4">
        <v>201287.69</v>
      </c>
      <c r="E56" s="5" t="s">
        <v>6</v>
      </c>
      <c r="F56" s="6">
        <v>44637</v>
      </c>
    </row>
    <row r="57" spans="1:6">
      <c r="A57" s="1">
        <v>44638</v>
      </c>
      <c r="B57" s="2" t="s">
        <v>141</v>
      </c>
      <c r="C57" s="3" t="s">
        <v>140</v>
      </c>
      <c r="D57" s="4">
        <v>29000</v>
      </c>
      <c r="E57" s="5" t="s">
        <v>6</v>
      </c>
      <c r="F57" s="6">
        <v>44641</v>
      </c>
    </row>
    <row r="58" spans="1:6">
      <c r="A58" s="1">
        <v>44643</v>
      </c>
      <c r="B58" s="2" t="s">
        <v>164</v>
      </c>
      <c r="C58" s="3" t="s">
        <v>165</v>
      </c>
      <c r="D58" s="4">
        <v>61500</v>
      </c>
      <c r="E58" s="5" t="s">
        <v>6</v>
      </c>
      <c r="F58" s="6">
        <v>44645</v>
      </c>
    </row>
    <row r="59" spans="1:6">
      <c r="A59" s="1">
        <v>44643</v>
      </c>
      <c r="B59" s="2" t="s">
        <v>167</v>
      </c>
      <c r="C59" s="3" t="s">
        <v>134</v>
      </c>
      <c r="D59" s="4">
        <v>100895.46</v>
      </c>
      <c r="E59" s="5" t="s">
        <v>6</v>
      </c>
      <c r="F59" s="6">
        <v>44643</v>
      </c>
    </row>
    <row r="60" spans="1:6">
      <c r="A60" s="1">
        <v>44645</v>
      </c>
      <c r="B60" s="2" t="s">
        <v>144</v>
      </c>
      <c r="C60" s="3" t="s">
        <v>143</v>
      </c>
      <c r="D60" s="4">
        <v>150000</v>
      </c>
      <c r="E60" s="5" t="s">
        <v>6</v>
      </c>
      <c r="F60" s="6">
        <v>44645</v>
      </c>
    </row>
    <row r="61" spans="1:6">
      <c r="A61" s="1">
        <v>44651</v>
      </c>
      <c r="B61" s="2" t="s">
        <v>180</v>
      </c>
      <c r="C61" s="3" t="s">
        <v>134</v>
      </c>
      <c r="D61" s="4">
        <v>19357.22</v>
      </c>
      <c r="E61" s="5" t="s">
        <v>6</v>
      </c>
      <c r="F61" s="6">
        <v>44663</v>
      </c>
    </row>
    <row r="62" spans="1:6">
      <c r="A62" s="10"/>
      <c r="B62" s="11"/>
      <c r="C62" s="12" t="s">
        <v>7</v>
      </c>
      <c r="D62" s="13">
        <f>SUBTOTAL(109,D42:D61)</f>
        <v>2721859.24</v>
      </c>
      <c r="E62" s="14"/>
      <c r="F62" s="15"/>
    </row>
    <row r="64" spans="1:6" ht="21">
      <c r="A64" s="339" t="s">
        <v>103</v>
      </c>
      <c r="B64" s="339"/>
      <c r="C64" s="339"/>
      <c r="D64" s="339"/>
      <c r="E64" s="339"/>
      <c r="F64" s="20"/>
    </row>
    <row r="65" spans="1:6" ht="21">
      <c r="A65" s="339"/>
      <c r="B65" s="339"/>
      <c r="C65" s="339"/>
      <c r="D65" s="339"/>
      <c r="E65" s="339"/>
      <c r="F65" s="20"/>
    </row>
    <row r="66" spans="1:6">
      <c r="A66" s="7" t="s">
        <v>0</v>
      </c>
      <c r="B66" s="8" t="s">
        <v>1</v>
      </c>
      <c r="C66" s="8" t="s">
        <v>2</v>
      </c>
      <c r="D66" s="8" t="s">
        <v>3</v>
      </c>
      <c r="E66" s="8" t="s">
        <v>4</v>
      </c>
      <c r="F66" s="9" t="s">
        <v>5</v>
      </c>
    </row>
    <row r="67" spans="1:6">
      <c r="A67" s="1">
        <v>44652</v>
      </c>
      <c r="B67" s="2" t="s">
        <v>132</v>
      </c>
      <c r="C67" s="3" t="s">
        <v>85</v>
      </c>
      <c r="D67" s="4">
        <v>201287.7</v>
      </c>
      <c r="E67" s="5" t="s">
        <v>6</v>
      </c>
      <c r="F67" s="6">
        <v>44655</v>
      </c>
    </row>
    <row r="68" spans="1:6">
      <c r="A68" s="1">
        <v>44653</v>
      </c>
      <c r="B68" s="2" t="s">
        <v>171</v>
      </c>
      <c r="C68" s="3" t="s">
        <v>126</v>
      </c>
      <c r="D68" s="4">
        <v>109959.28</v>
      </c>
      <c r="E68" s="5" t="s">
        <v>6</v>
      </c>
      <c r="F68" s="6">
        <v>44656</v>
      </c>
    </row>
    <row r="69" spans="1:6">
      <c r="A69" s="1">
        <v>44653</v>
      </c>
      <c r="B69" s="2" t="s">
        <v>231</v>
      </c>
      <c r="C69" s="3" t="s">
        <v>85</v>
      </c>
      <c r="D69" s="4">
        <v>232817.16</v>
      </c>
      <c r="E69" s="5" t="s">
        <v>6</v>
      </c>
      <c r="F69" s="6">
        <v>44653</v>
      </c>
    </row>
    <row r="70" spans="1:6">
      <c r="A70" s="1">
        <v>44654</v>
      </c>
      <c r="B70" s="2" t="s">
        <v>174</v>
      </c>
      <c r="C70" s="3" t="s">
        <v>111</v>
      </c>
      <c r="D70" s="4">
        <v>483193.75</v>
      </c>
      <c r="E70" s="5" t="s">
        <v>6</v>
      </c>
      <c r="F70" s="6">
        <v>44656</v>
      </c>
    </row>
    <row r="71" spans="1:6">
      <c r="A71" s="1">
        <v>44656</v>
      </c>
      <c r="B71" s="2" t="s">
        <v>191</v>
      </c>
      <c r="C71" s="3" t="s">
        <v>95</v>
      </c>
      <c r="D71" s="4">
        <v>359981</v>
      </c>
      <c r="E71" s="5" t="s">
        <v>6</v>
      </c>
      <c r="F71" s="6">
        <v>44657</v>
      </c>
    </row>
    <row r="72" spans="1:6">
      <c r="A72" s="1">
        <v>44659</v>
      </c>
      <c r="B72" s="2" t="s">
        <v>192</v>
      </c>
      <c r="C72" s="3" t="s">
        <v>134</v>
      </c>
      <c r="D72" s="4">
        <v>49219.12</v>
      </c>
      <c r="E72" s="5" t="s">
        <v>6</v>
      </c>
      <c r="F72" s="6">
        <v>44669</v>
      </c>
    </row>
    <row r="73" spans="1:6">
      <c r="A73" s="1">
        <v>44662</v>
      </c>
      <c r="B73" s="2" t="s">
        <v>201</v>
      </c>
      <c r="C73" s="3" t="s">
        <v>126</v>
      </c>
      <c r="D73" s="4">
        <v>104393.15</v>
      </c>
      <c r="E73" s="5" t="s">
        <v>6</v>
      </c>
      <c r="F73" s="6">
        <v>44672</v>
      </c>
    </row>
    <row r="74" spans="1:6">
      <c r="A74" s="1">
        <v>44664</v>
      </c>
      <c r="B74" s="2" t="s">
        <v>182</v>
      </c>
      <c r="C74" s="3" t="s">
        <v>134</v>
      </c>
      <c r="D74" s="4">
        <v>63083.67</v>
      </c>
      <c r="E74" s="5" t="s">
        <v>6</v>
      </c>
      <c r="F74" s="6">
        <v>44669</v>
      </c>
    </row>
    <row r="75" spans="1:6">
      <c r="A75" s="1">
        <v>44666</v>
      </c>
      <c r="B75" s="2" t="s">
        <v>145</v>
      </c>
      <c r="C75" s="3" t="s">
        <v>143</v>
      </c>
      <c r="D75" s="4">
        <v>159000</v>
      </c>
      <c r="E75" s="5" t="s">
        <v>6</v>
      </c>
      <c r="F75" s="6">
        <v>44670</v>
      </c>
    </row>
    <row r="76" spans="1:6">
      <c r="A76" s="1">
        <v>44666</v>
      </c>
      <c r="B76" s="2" t="s">
        <v>185</v>
      </c>
      <c r="C76" s="3" t="s">
        <v>184</v>
      </c>
      <c r="D76" s="4">
        <v>150000</v>
      </c>
      <c r="E76" s="5" t="s">
        <v>6</v>
      </c>
      <c r="F76" s="6">
        <v>44670</v>
      </c>
    </row>
    <row r="77" spans="1:6">
      <c r="A77" s="1">
        <v>44667</v>
      </c>
      <c r="B77" s="2" t="s">
        <v>200</v>
      </c>
      <c r="C77" s="3" t="s">
        <v>179</v>
      </c>
      <c r="D77" s="4">
        <v>85613.82</v>
      </c>
      <c r="E77" s="5" t="s">
        <v>6</v>
      </c>
      <c r="F77" s="6">
        <v>44669</v>
      </c>
    </row>
    <row r="78" spans="1:6">
      <c r="A78" s="1">
        <v>44667</v>
      </c>
      <c r="B78" s="2" t="s">
        <v>192</v>
      </c>
      <c r="C78" s="3" t="s">
        <v>134</v>
      </c>
      <c r="D78" s="4">
        <v>49219.12</v>
      </c>
      <c r="E78" s="5" t="s">
        <v>6</v>
      </c>
      <c r="F78" s="6">
        <v>44669</v>
      </c>
    </row>
    <row r="79" spans="1:6">
      <c r="A79" s="1">
        <v>44668</v>
      </c>
      <c r="B79" s="2" t="s">
        <v>170</v>
      </c>
      <c r="C79" s="3" t="s">
        <v>85</v>
      </c>
      <c r="D79" s="4">
        <v>232817.16</v>
      </c>
      <c r="E79" s="5" t="s">
        <v>6</v>
      </c>
      <c r="F79" s="6">
        <v>44670</v>
      </c>
    </row>
    <row r="80" spans="1:6">
      <c r="A80" s="1">
        <v>44669</v>
      </c>
      <c r="B80" s="2" t="s">
        <v>181</v>
      </c>
      <c r="C80" s="3" t="s">
        <v>111</v>
      </c>
      <c r="D80" s="4">
        <v>483193.75</v>
      </c>
      <c r="E80" s="5" t="s">
        <v>6</v>
      </c>
      <c r="F80" s="6">
        <v>44687</v>
      </c>
    </row>
    <row r="81" spans="1:6">
      <c r="A81" s="1">
        <v>44671</v>
      </c>
      <c r="B81" s="2" t="s">
        <v>146</v>
      </c>
      <c r="C81" s="3" t="s">
        <v>143</v>
      </c>
      <c r="D81" s="4">
        <v>168000</v>
      </c>
      <c r="E81" s="5" t="s">
        <v>6</v>
      </c>
      <c r="F81" s="6">
        <v>44691</v>
      </c>
    </row>
    <row r="82" spans="1:6">
      <c r="A82" s="1">
        <v>44671</v>
      </c>
      <c r="B82" s="2" t="s">
        <v>186</v>
      </c>
      <c r="C82" s="3" t="s">
        <v>184</v>
      </c>
      <c r="D82" s="4">
        <v>150000</v>
      </c>
      <c r="E82" s="5" t="s">
        <v>6</v>
      </c>
      <c r="F82" s="6">
        <v>44673</v>
      </c>
    </row>
    <row r="83" spans="1:6">
      <c r="A83" s="1">
        <v>44676</v>
      </c>
      <c r="B83" s="2" t="s">
        <v>187</v>
      </c>
      <c r="C83" s="3" t="s">
        <v>184</v>
      </c>
      <c r="D83" s="4">
        <v>150000</v>
      </c>
      <c r="E83" s="5" t="s">
        <v>6</v>
      </c>
      <c r="F83" s="6">
        <v>44678</v>
      </c>
    </row>
    <row r="84" spans="1:6">
      <c r="A84" s="1">
        <v>44679</v>
      </c>
      <c r="B84" s="2" t="s">
        <v>198</v>
      </c>
      <c r="C84" s="3" t="s">
        <v>197</v>
      </c>
      <c r="D84" s="4">
        <v>38173.67</v>
      </c>
      <c r="E84" s="5" t="s">
        <v>6</v>
      </c>
      <c r="F84" s="6">
        <v>44680</v>
      </c>
    </row>
    <row r="85" spans="1:6">
      <c r="A85" s="1">
        <v>44681</v>
      </c>
      <c r="B85" s="2" t="s">
        <v>183</v>
      </c>
      <c r="C85" s="3" t="s">
        <v>134</v>
      </c>
      <c r="D85" s="4">
        <v>63083.67</v>
      </c>
      <c r="E85" s="5" t="s">
        <v>6</v>
      </c>
      <c r="F85" s="6">
        <v>44685</v>
      </c>
    </row>
    <row r="86" spans="1:6">
      <c r="A86" s="1">
        <v>44681</v>
      </c>
      <c r="B86" s="2" t="s">
        <v>188</v>
      </c>
      <c r="C86" s="3" t="s">
        <v>184</v>
      </c>
      <c r="D86" s="4">
        <v>150000</v>
      </c>
      <c r="E86" s="5" t="s">
        <v>6</v>
      </c>
      <c r="F86" s="6">
        <v>44684</v>
      </c>
    </row>
    <row r="87" spans="1:6">
      <c r="A87" s="10"/>
      <c r="B87" s="11"/>
      <c r="C87" s="12" t="s">
        <v>7</v>
      </c>
      <c r="D87" s="13">
        <f>SUBTOTAL(109,D67:D86)</f>
        <v>3483036.02</v>
      </c>
      <c r="E87" s="14"/>
      <c r="F87" s="15"/>
    </row>
    <row r="89" spans="1:6" ht="21">
      <c r="A89" s="339" t="s">
        <v>104</v>
      </c>
      <c r="B89" s="339"/>
      <c r="C89" s="339"/>
      <c r="D89" s="339"/>
      <c r="E89" s="339"/>
      <c r="F89" s="20"/>
    </row>
    <row r="90" spans="1:6" ht="21">
      <c r="A90" s="339"/>
      <c r="B90" s="339"/>
      <c r="C90" s="339"/>
      <c r="D90" s="339"/>
      <c r="E90" s="339"/>
      <c r="F90" s="20"/>
    </row>
    <row r="91" spans="1:6">
      <c r="A91" s="7" t="s">
        <v>0</v>
      </c>
      <c r="B91" s="8" t="s">
        <v>1</v>
      </c>
      <c r="C91" s="8" t="s">
        <v>2</v>
      </c>
      <c r="D91" s="8" t="s">
        <v>3</v>
      </c>
      <c r="E91" s="8" t="s">
        <v>4</v>
      </c>
      <c r="F91" s="9" t="s">
        <v>5</v>
      </c>
    </row>
    <row r="92" spans="1:6">
      <c r="A92" s="1">
        <v>44683</v>
      </c>
      <c r="B92" s="2" t="s">
        <v>172</v>
      </c>
      <c r="C92" s="3" t="s">
        <v>126</v>
      </c>
      <c r="D92" s="4">
        <v>109959.28</v>
      </c>
      <c r="E92" s="5" t="s">
        <v>6</v>
      </c>
      <c r="F92" s="6">
        <v>44683</v>
      </c>
    </row>
    <row r="93" spans="1:6">
      <c r="A93" s="1">
        <v>44683</v>
      </c>
      <c r="B93" s="2" t="s">
        <v>193</v>
      </c>
      <c r="C93" s="3" t="s">
        <v>134</v>
      </c>
      <c r="D93" s="4">
        <v>50656.63</v>
      </c>
      <c r="E93" s="5" t="s">
        <v>6</v>
      </c>
      <c r="F93" s="6">
        <v>44683</v>
      </c>
    </row>
    <row r="94" spans="1:6">
      <c r="A94" s="1">
        <v>44684</v>
      </c>
      <c r="B94" s="2" t="s">
        <v>195</v>
      </c>
      <c r="C94" s="3" t="s">
        <v>134</v>
      </c>
      <c r="D94" s="4">
        <v>137053.99</v>
      </c>
      <c r="E94" s="5" t="s">
        <v>6</v>
      </c>
      <c r="F94" s="6">
        <v>44684</v>
      </c>
    </row>
    <row r="95" spans="1:6">
      <c r="A95" s="1">
        <v>44686</v>
      </c>
      <c r="B95" s="2" t="s">
        <v>62</v>
      </c>
      <c r="C95" s="3" t="s">
        <v>95</v>
      </c>
      <c r="D95" s="4">
        <v>359981</v>
      </c>
      <c r="E95" s="5" t="s">
        <v>6</v>
      </c>
      <c r="F95" s="6"/>
    </row>
    <row r="96" spans="1:6">
      <c r="A96" s="1">
        <v>44688</v>
      </c>
      <c r="B96" s="2" t="s">
        <v>190</v>
      </c>
      <c r="C96" s="3" t="s">
        <v>85</v>
      </c>
      <c r="D96" s="4">
        <v>39875.980000000003</v>
      </c>
      <c r="E96" s="5" t="s">
        <v>6</v>
      </c>
      <c r="F96" s="6">
        <v>44690</v>
      </c>
    </row>
    <row r="97" spans="1:6">
      <c r="A97" s="1">
        <v>44688</v>
      </c>
      <c r="B97" s="2" t="s">
        <v>189</v>
      </c>
      <c r="C97" s="3" t="s">
        <v>184</v>
      </c>
      <c r="D97" s="4">
        <v>152460</v>
      </c>
      <c r="E97" s="5" t="s">
        <v>6</v>
      </c>
      <c r="F97" s="6">
        <v>44698</v>
      </c>
    </row>
    <row r="98" spans="1:6">
      <c r="A98" s="1">
        <v>44694</v>
      </c>
      <c r="B98" s="2" t="s">
        <v>194</v>
      </c>
      <c r="C98" s="3" t="s">
        <v>85</v>
      </c>
      <c r="D98" s="4">
        <v>392792.93</v>
      </c>
      <c r="E98" s="5" t="s">
        <v>6</v>
      </c>
      <c r="F98" s="6">
        <v>44697</v>
      </c>
    </row>
    <row r="99" spans="1:6">
      <c r="A99" s="1">
        <v>44694</v>
      </c>
      <c r="B99" s="2" t="s">
        <v>199</v>
      </c>
      <c r="C99" s="3" t="s">
        <v>197</v>
      </c>
      <c r="D99" s="4">
        <v>38173.67</v>
      </c>
      <c r="E99" s="5" t="s">
        <v>6</v>
      </c>
      <c r="F99" s="6">
        <v>44704</v>
      </c>
    </row>
    <row r="100" spans="1:6">
      <c r="A100" s="1">
        <v>44697</v>
      </c>
      <c r="B100" s="2" t="s">
        <v>205</v>
      </c>
      <c r="C100" s="3" t="s">
        <v>206</v>
      </c>
      <c r="D100" s="4">
        <v>126000</v>
      </c>
      <c r="E100" s="5" t="s">
        <v>6</v>
      </c>
      <c r="F100" s="6">
        <v>44704</v>
      </c>
    </row>
    <row r="101" spans="1:6">
      <c r="A101" s="1">
        <v>44699</v>
      </c>
      <c r="B101" s="2" t="s">
        <v>196</v>
      </c>
      <c r="C101" s="3" t="s">
        <v>134</v>
      </c>
      <c r="D101" s="4">
        <v>137054</v>
      </c>
      <c r="E101" s="5" t="s">
        <v>6</v>
      </c>
      <c r="F101" s="6">
        <v>44701</v>
      </c>
    </row>
    <row r="102" spans="1:6">
      <c r="A102" s="1">
        <v>44701</v>
      </c>
      <c r="B102" s="2" t="s">
        <v>147</v>
      </c>
      <c r="C102" s="3" t="s">
        <v>143</v>
      </c>
      <c r="D102" s="4">
        <v>168000</v>
      </c>
      <c r="E102" s="5" t="s">
        <v>6</v>
      </c>
      <c r="F102" s="6">
        <v>44704</v>
      </c>
    </row>
    <row r="103" spans="1:6">
      <c r="A103" s="1">
        <v>44702</v>
      </c>
      <c r="B103" s="2" t="s">
        <v>202</v>
      </c>
      <c r="C103" s="3" t="s">
        <v>85</v>
      </c>
      <c r="D103" s="4">
        <v>173523.92</v>
      </c>
      <c r="E103" s="5" t="s">
        <v>6</v>
      </c>
      <c r="F103" s="6">
        <v>44705</v>
      </c>
    </row>
    <row r="104" spans="1:6">
      <c r="A104" s="1">
        <v>44706</v>
      </c>
      <c r="B104" s="2" t="s">
        <v>204</v>
      </c>
      <c r="C104" s="3" t="s">
        <v>126</v>
      </c>
      <c r="D104" s="4">
        <v>109495.76</v>
      </c>
      <c r="E104" s="5" t="s">
        <v>6</v>
      </c>
      <c r="F104" s="6">
        <v>44706</v>
      </c>
    </row>
    <row r="105" spans="1:6">
      <c r="A105" s="1">
        <v>44707</v>
      </c>
      <c r="B105" s="2" t="s">
        <v>203</v>
      </c>
      <c r="C105" s="3" t="s">
        <v>85</v>
      </c>
      <c r="D105" s="4">
        <v>73161.039999999994</v>
      </c>
      <c r="E105" s="5" t="s">
        <v>6</v>
      </c>
      <c r="F105" s="6">
        <v>44707</v>
      </c>
    </row>
    <row r="106" spans="1:6">
      <c r="A106" s="1">
        <v>44707</v>
      </c>
      <c r="B106" s="2" t="s">
        <v>229</v>
      </c>
      <c r="C106" s="3" t="s">
        <v>179</v>
      </c>
      <c r="D106" s="4">
        <v>59442.9</v>
      </c>
      <c r="E106" s="5" t="s">
        <v>6</v>
      </c>
      <c r="F106" s="6">
        <v>44707</v>
      </c>
    </row>
    <row r="107" spans="1:6">
      <c r="A107" s="10"/>
      <c r="B107" s="11"/>
      <c r="C107" s="12" t="s">
        <v>7</v>
      </c>
      <c r="D107" s="13">
        <f>SUBTOTAL(109,D92:D106)</f>
        <v>2127631.1</v>
      </c>
      <c r="E107" s="14"/>
      <c r="F107" s="15"/>
    </row>
    <row r="109" spans="1:6" ht="21">
      <c r="A109" s="339" t="s">
        <v>149</v>
      </c>
      <c r="B109" s="339"/>
      <c r="C109" s="339"/>
      <c r="D109" s="339"/>
      <c r="E109" s="339"/>
      <c r="F109" s="20"/>
    </row>
    <row r="110" spans="1:6" ht="21">
      <c r="A110" s="339"/>
      <c r="B110" s="339"/>
      <c r="C110" s="339"/>
      <c r="D110" s="339"/>
      <c r="E110" s="339"/>
      <c r="F110" s="20"/>
    </row>
    <row r="111" spans="1:6">
      <c r="A111" s="7" t="s">
        <v>0</v>
      </c>
      <c r="B111" s="8" t="s">
        <v>1</v>
      </c>
      <c r="C111" s="8" t="s">
        <v>2</v>
      </c>
      <c r="D111" s="8" t="s">
        <v>3</v>
      </c>
      <c r="E111" s="8" t="s">
        <v>4</v>
      </c>
      <c r="F111" s="9" t="s">
        <v>5</v>
      </c>
    </row>
    <row r="112" spans="1:6">
      <c r="A112" s="1">
        <v>44713</v>
      </c>
      <c r="B112" s="2" t="s">
        <v>207</v>
      </c>
      <c r="C112" s="3" t="s">
        <v>208</v>
      </c>
      <c r="D112" s="4">
        <v>119548</v>
      </c>
      <c r="E112" s="5" t="s">
        <v>6</v>
      </c>
      <c r="F112" s="6">
        <v>44714</v>
      </c>
    </row>
    <row r="113" spans="1:6">
      <c r="A113" s="1">
        <v>44714</v>
      </c>
      <c r="B113" s="2" t="s">
        <v>209</v>
      </c>
      <c r="C113" s="3" t="s">
        <v>210</v>
      </c>
      <c r="D113" s="4">
        <v>63357.26</v>
      </c>
      <c r="E113" s="5" t="s">
        <v>6</v>
      </c>
      <c r="F113" s="6">
        <v>44718</v>
      </c>
    </row>
    <row r="114" spans="1:6">
      <c r="A114" s="1">
        <v>44714</v>
      </c>
      <c r="B114" s="2" t="s">
        <v>173</v>
      </c>
      <c r="C114" s="3" t="s">
        <v>126</v>
      </c>
      <c r="D114" s="4">
        <v>109959.28</v>
      </c>
      <c r="E114" s="5" t="s">
        <v>6</v>
      </c>
      <c r="F114" s="6">
        <v>44715</v>
      </c>
    </row>
    <row r="115" spans="1:6">
      <c r="A115" s="1">
        <v>44716</v>
      </c>
      <c r="B115" s="2" t="s">
        <v>217</v>
      </c>
      <c r="C115" s="3" t="s">
        <v>218</v>
      </c>
      <c r="D115" s="4">
        <v>130000</v>
      </c>
      <c r="E115" s="5" t="s">
        <v>6</v>
      </c>
      <c r="F115" s="6">
        <v>44719</v>
      </c>
    </row>
    <row r="116" spans="1:6">
      <c r="A116" s="1">
        <v>44721</v>
      </c>
      <c r="B116" s="2" t="s">
        <v>220</v>
      </c>
      <c r="C116" s="3" t="s">
        <v>208</v>
      </c>
      <c r="D116" s="4">
        <v>54704.4</v>
      </c>
      <c r="E116" s="5" t="s">
        <v>6</v>
      </c>
      <c r="F116" s="6">
        <v>44734</v>
      </c>
    </row>
    <row r="117" spans="1:6">
      <c r="A117" s="1">
        <v>44723</v>
      </c>
      <c r="B117" s="2" t="s">
        <v>230</v>
      </c>
      <c r="C117" s="3" t="s">
        <v>85</v>
      </c>
      <c r="D117" s="4">
        <v>144777.4</v>
      </c>
      <c r="E117" s="5" t="s">
        <v>6</v>
      </c>
      <c r="F117" s="6">
        <v>44726</v>
      </c>
    </row>
    <row r="118" spans="1:6">
      <c r="A118" s="1">
        <v>44732</v>
      </c>
      <c r="B118" s="2" t="s">
        <v>211</v>
      </c>
      <c r="C118" s="3" t="s">
        <v>212</v>
      </c>
      <c r="D118" s="4">
        <v>500000</v>
      </c>
      <c r="E118" s="5" t="s">
        <v>6</v>
      </c>
      <c r="F118" s="6">
        <v>44736</v>
      </c>
    </row>
    <row r="119" spans="1:6">
      <c r="A119" s="1">
        <v>44732</v>
      </c>
      <c r="B119" s="2" t="s">
        <v>148</v>
      </c>
      <c r="C119" s="3" t="s">
        <v>143</v>
      </c>
      <c r="D119" s="4">
        <v>168000</v>
      </c>
      <c r="E119" s="5" t="s">
        <v>6</v>
      </c>
      <c r="F119" s="6">
        <v>44734</v>
      </c>
    </row>
    <row r="120" spans="1:6">
      <c r="A120" s="1">
        <v>44737</v>
      </c>
      <c r="B120" s="2" t="s">
        <v>232</v>
      </c>
      <c r="C120" s="3" t="s">
        <v>126</v>
      </c>
      <c r="D120" s="4">
        <v>109495.76</v>
      </c>
      <c r="E120" s="5" t="s">
        <v>6</v>
      </c>
      <c r="F120" s="6">
        <v>44740</v>
      </c>
    </row>
    <row r="121" spans="1:6">
      <c r="A121" s="1">
        <v>44741</v>
      </c>
      <c r="B121" s="2" t="s">
        <v>227</v>
      </c>
      <c r="C121" s="3" t="s">
        <v>197</v>
      </c>
      <c r="D121" s="4">
        <v>42393.29</v>
      </c>
      <c r="E121" s="5" t="s">
        <v>6</v>
      </c>
      <c r="F121" s="6">
        <v>44742</v>
      </c>
    </row>
    <row r="122" spans="1:6">
      <c r="A122" s="1">
        <v>44742</v>
      </c>
      <c r="B122" s="2" t="s">
        <v>214</v>
      </c>
      <c r="C122" s="3" t="s">
        <v>212</v>
      </c>
      <c r="D122" s="4">
        <v>500000</v>
      </c>
      <c r="E122" s="5"/>
      <c r="F122" s="6"/>
    </row>
    <row r="123" spans="1:6">
      <c r="A123" s="1">
        <v>44742</v>
      </c>
      <c r="B123" s="2" t="s">
        <v>244</v>
      </c>
      <c r="C123" s="3" t="s">
        <v>245</v>
      </c>
      <c r="D123" s="4">
        <v>1218179.49</v>
      </c>
      <c r="E123" s="5" t="s">
        <v>6</v>
      </c>
      <c r="F123" s="6">
        <v>44742</v>
      </c>
    </row>
    <row r="124" spans="1:6">
      <c r="A124" s="10"/>
      <c r="B124" s="11"/>
      <c r="C124" s="12" t="s">
        <v>7</v>
      </c>
      <c r="D124" s="13">
        <f>SUBTOTAL(109,D112:D123)</f>
        <v>3160414.88</v>
      </c>
      <c r="E124" s="14"/>
      <c r="F124" s="15"/>
    </row>
    <row r="126" spans="1:6" ht="21">
      <c r="A126" s="339" t="s">
        <v>213</v>
      </c>
      <c r="B126" s="339"/>
      <c r="C126" s="339"/>
      <c r="D126" s="339"/>
      <c r="E126" s="339"/>
      <c r="F126" s="20"/>
    </row>
    <row r="127" spans="1:6" ht="21">
      <c r="A127" s="339"/>
      <c r="B127" s="339"/>
      <c r="C127" s="339"/>
      <c r="D127" s="339"/>
      <c r="E127" s="339"/>
      <c r="F127" s="20"/>
    </row>
    <row r="128" spans="1:6">
      <c r="A128" s="7" t="s">
        <v>0</v>
      </c>
      <c r="B128" s="8" t="s">
        <v>1</v>
      </c>
      <c r="C128" s="8" t="s">
        <v>2</v>
      </c>
      <c r="D128" s="8" t="s">
        <v>3</v>
      </c>
      <c r="E128" s="8" t="s">
        <v>4</v>
      </c>
      <c r="F128" s="9" t="s">
        <v>5</v>
      </c>
    </row>
    <row r="129" spans="1:6">
      <c r="A129" s="1">
        <v>44743</v>
      </c>
      <c r="B129" s="2" t="s">
        <v>225</v>
      </c>
      <c r="C129" s="3" t="s">
        <v>226</v>
      </c>
      <c r="D129" s="4">
        <v>61117.78</v>
      </c>
      <c r="E129" s="5" t="s">
        <v>6</v>
      </c>
      <c r="F129" s="6">
        <v>44743</v>
      </c>
    </row>
    <row r="130" spans="1:6">
      <c r="A130" s="1">
        <v>44747</v>
      </c>
      <c r="B130" s="2" t="s">
        <v>219</v>
      </c>
      <c r="C130" s="3" t="s">
        <v>218</v>
      </c>
      <c r="D130" s="4">
        <v>112875</v>
      </c>
      <c r="E130" s="5" t="s">
        <v>6</v>
      </c>
      <c r="F130" s="6">
        <v>44753</v>
      </c>
    </row>
    <row r="131" spans="1:6">
      <c r="A131" s="1">
        <v>44748</v>
      </c>
      <c r="B131" s="2" t="s">
        <v>221</v>
      </c>
      <c r="C131" s="3" t="s">
        <v>85</v>
      </c>
      <c r="D131" s="4">
        <v>55374.94</v>
      </c>
      <c r="E131" s="5" t="s">
        <v>6</v>
      </c>
      <c r="F131" s="6">
        <v>44749</v>
      </c>
    </row>
    <row r="132" spans="1:6">
      <c r="A132" s="1">
        <v>44749</v>
      </c>
      <c r="B132" s="2" t="s">
        <v>234</v>
      </c>
      <c r="C132" s="3" t="s">
        <v>235</v>
      </c>
      <c r="D132" s="4">
        <v>232320</v>
      </c>
      <c r="E132" s="5" t="s">
        <v>6</v>
      </c>
      <c r="F132" s="6">
        <v>44750</v>
      </c>
    </row>
    <row r="133" spans="1:6">
      <c r="A133" s="1">
        <v>44749</v>
      </c>
      <c r="B133" s="2" t="s">
        <v>236</v>
      </c>
      <c r="C133" s="3" t="s">
        <v>237</v>
      </c>
      <c r="D133" s="4">
        <v>52835.57</v>
      </c>
      <c r="E133" s="5" t="s">
        <v>6</v>
      </c>
      <c r="F133" s="6">
        <v>44754</v>
      </c>
    </row>
    <row r="134" spans="1:6">
      <c r="A134" s="1">
        <v>44750</v>
      </c>
      <c r="B134" s="2" t="s">
        <v>222</v>
      </c>
      <c r="C134" s="3" t="s">
        <v>179</v>
      </c>
      <c r="D134" s="4">
        <v>47317.72</v>
      </c>
      <c r="E134" s="5" t="s">
        <v>6</v>
      </c>
      <c r="F134" s="6">
        <v>44753</v>
      </c>
    </row>
    <row r="135" spans="1:6">
      <c r="A135" s="1">
        <v>44751</v>
      </c>
      <c r="B135" s="2" t="s">
        <v>223</v>
      </c>
      <c r="C135" s="3" t="s">
        <v>224</v>
      </c>
      <c r="D135" s="4">
        <v>9511.16</v>
      </c>
      <c r="E135" s="5" t="s">
        <v>6</v>
      </c>
      <c r="F135" s="6">
        <v>44760</v>
      </c>
    </row>
    <row r="136" spans="1:6">
      <c r="A136" s="1">
        <v>44752</v>
      </c>
      <c r="B136" s="2" t="s">
        <v>215</v>
      </c>
      <c r="C136" s="3" t="s">
        <v>212</v>
      </c>
      <c r="D136" s="4">
        <v>500000</v>
      </c>
      <c r="E136" s="5" t="s">
        <v>6</v>
      </c>
      <c r="F136" s="6">
        <v>44754</v>
      </c>
    </row>
    <row r="137" spans="1:6">
      <c r="A137" s="1">
        <v>44755</v>
      </c>
      <c r="B137" s="2" t="s">
        <v>239</v>
      </c>
      <c r="C137" s="3" t="s">
        <v>235</v>
      </c>
      <c r="D137" s="4">
        <v>97284</v>
      </c>
      <c r="E137" s="5" t="s">
        <v>6</v>
      </c>
      <c r="F137" s="6">
        <v>44755</v>
      </c>
    </row>
    <row r="138" spans="1:6">
      <c r="A138" s="1">
        <v>44755</v>
      </c>
      <c r="B138" s="2" t="s">
        <v>241</v>
      </c>
      <c r="C138" s="3" t="s">
        <v>226</v>
      </c>
      <c r="D138" s="4">
        <v>18833.41</v>
      </c>
      <c r="E138" s="5" t="s">
        <v>6</v>
      </c>
      <c r="F138" s="6">
        <v>44757</v>
      </c>
    </row>
    <row r="139" spans="1:6">
      <c r="A139" s="1">
        <v>44756</v>
      </c>
      <c r="B139" s="2" t="s">
        <v>228</v>
      </c>
      <c r="C139" s="3" t="s">
        <v>197</v>
      </c>
      <c r="D139" s="4">
        <v>42393.29</v>
      </c>
      <c r="E139" s="5" t="s">
        <v>6</v>
      </c>
      <c r="F139" s="6">
        <v>44760</v>
      </c>
    </row>
    <row r="140" spans="1:6">
      <c r="A140" s="1">
        <v>44762</v>
      </c>
      <c r="B140" s="2" t="s">
        <v>247</v>
      </c>
      <c r="C140" s="3" t="s">
        <v>85</v>
      </c>
      <c r="D140" s="4">
        <v>294445.83</v>
      </c>
      <c r="E140" s="5" t="s">
        <v>6</v>
      </c>
      <c r="F140" s="6">
        <v>44763</v>
      </c>
    </row>
    <row r="141" spans="1:6">
      <c r="A141" s="1">
        <v>44763</v>
      </c>
      <c r="B141" s="2" t="s">
        <v>238</v>
      </c>
      <c r="C141" s="3" t="s">
        <v>237</v>
      </c>
      <c r="D141" s="4">
        <v>52835</v>
      </c>
      <c r="E141" s="5" t="s">
        <v>6</v>
      </c>
      <c r="F141" s="6">
        <v>44769</v>
      </c>
    </row>
    <row r="142" spans="1:6">
      <c r="A142" s="1">
        <v>44765</v>
      </c>
      <c r="B142" s="2" t="s">
        <v>246</v>
      </c>
      <c r="C142" s="3" t="s">
        <v>245</v>
      </c>
      <c r="D142" s="4">
        <v>1218179.49</v>
      </c>
      <c r="E142" s="5" t="s">
        <v>6</v>
      </c>
      <c r="F142" s="6">
        <v>44767</v>
      </c>
    </row>
    <row r="143" spans="1:6">
      <c r="A143" s="1">
        <v>44767</v>
      </c>
      <c r="B143" s="2" t="s">
        <v>233</v>
      </c>
      <c r="C143" s="3" t="s">
        <v>126</v>
      </c>
      <c r="D143" s="4">
        <v>109495.77</v>
      </c>
      <c r="E143" s="5" t="s">
        <v>6</v>
      </c>
      <c r="F143" s="6">
        <v>44768</v>
      </c>
    </row>
    <row r="144" spans="1:6">
      <c r="A144" s="1">
        <v>44767</v>
      </c>
      <c r="B144" s="2" t="s">
        <v>250</v>
      </c>
      <c r="C144" s="3" t="s">
        <v>253</v>
      </c>
      <c r="D144" s="4">
        <v>102702.6</v>
      </c>
      <c r="E144" s="5" t="s">
        <v>6</v>
      </c>
      <c r="F144" s="6">
        <v>44768</v>
      </c>
    </row>
    <row r="145" spans="1:6">
      <c r="A145" s="1">
        <v>44768</v>
      </c>
      <c r="B145" s="2" t="s">
        <v>254</v>
      </c>
      <c r="C145" s="3" t="s">
        <v>126</v>
      </c>
      <c r="D145" s="4">
        <v>110387.63</v>
      </c>
      <c r="E145" s="5" t="s">
        <v>6</v>
      </c>
      <c r="F145" s="6">
        <v>44770</v>
      </c>
    </row>
    <row r="146" spans="1:6">
      <c r="A146" s="1">
        <v>44769</v>
      </c>
      <c r="B146" s="2" t="s">
        <v>252</v>
      </c>
      <c r="C146" s="3" t="s">
        <v>179</v>
      </c>
      <c r="D146" s="4">
        <v>71358.649999999994</v>
      </c>
      <c r="E146" s="5" t="s">
        <v>6</v>
      </c>
      <c r="F146" s="6">
        <v>44770</v>
      </c>
    </row>
    <row r="147" spans="1:6">
      <c r="A147" s="1">
        <v>44770</v>
      </c>
      <c r="B147" s="2" t="s">
        <v>240</v>
      </c>
      <c r="C147" s="3" t="s">
        <v>235</v>
      </c>
      <c r="D147" s="4">
        <v>97284</v>
      </c>
      <c r="E147" s="5" t="s">
        <v>6</v>
      </c>
      <c r="F147" s="6">
        <v>44799</v>
      </c>
    </row>
    <row r="148" spans="1:6">
      <c r="A148" s="1">
        <v>44770</v>
      </c>
      <c r="B148" s="2" t="s">
        <v>242</v>
      </c>
      <c r="C148" s="3" t="s">
        <v>226</v>
      </c>
      <c r="D148" s="4">
        <v>18833.41</v>
      </c>
      <c r="E148" s="5" t="s">
        <v>6</v>
      </c>
      <c r="F148" s="6">
        <v>44774</v>
      </c>
    </row>
    <row r="149" spans="1:6">
      <c r="A149" s="1">
        <v>44771</v>
      </c>
      <c r="B149" s="2" t="s">
        <v>243</v>
      </c>
      <c r="C149" s="3" t="s">
        <v>85</v>
      </c>
      <c r="D149" s="4">
        <v>42774.89</v>
      </c>
      <c r="E149" s="5" t="s">
        <v>6</v>
      </c>
      <c r="F149" s="6">
        <v>44774</v>
      </c>
    </row>
    <row r="150" spans="1:6">
      <c r="A150" s="1">
        <v>44772</v>
      </c>
      <c r="B150" s="2" t="s">
        <v>216</v>
      </c>
      <c r="C150" s="3" t="s">
        <v>212</v>
      </c>
      <c r="D150" s="4">
        <v>500000</v>
      </c>
      <c r="E150" s="5" t="s">
        <v>6</v>
      </c>
      <c r="F150" s="6">
        <v>44762</v>
      </c>
    </row>
    <row r="151" spans="1:6">
      <c r="A151" s="10"/>
      <c r="B151" s="11"/>
      <c r="C151" s="12" t="s">
        <v>7</v>
      </c>
      <c r="D151" s="13">
        <f>SUBTOTAL(109,D129:D150)</f>
        <v>3848160.14</v>
      </c>
      <c r="E151" s="14"/>
      <c r="F151" s="15"/>
    </row>
    <row r="153" spans="1:6" ht="21">
      <c r="A153" s="339" t="s">
        <v>248</v>
      </c>
      <c r="B153" s="339"/>
      <c r="C153" s="339"/>
      <c r="D153" s="339"/>
      <c r="E153" s="339"/>
      <c r="F153" s="20"/>
    </row>
    <row r="154" spans="1:6" ht="21">
      <c r="A154" s="339"/>
      <c r="B154" s="339"/>
      <c r="C154" s="339"/>
      <c r="D154" s="339"/>
      <c r="E154" s="339"/>
      <c r="F154" s="20"/>
    </row>
    <row r="155" spans="1:6">
      <c r="A155" s="7" t="s">
        <v>0</v>
      </c>
      <c r="B155" s="8" t="s">
        <v>1</v>
      </c>
      <c r="C155" s="8" t="s">
        <v>2</v>
      </c>
      <c r="D155" s="8" t="s">
        <v>3</v>
      </c>
      <c r="E155" s="8" t="s">
        <v>4</v>
      </c>
      <c r="F155" s="9" t="s">
        <v>5</v>
      </c>
    </row>
    <row r="156" spans="1:6">
      <c r="A156" s="1">
        <v>44775</v>
      </c>
      <c r="B156" s="2" t="s">
        <v>257</v>
      </c>
      <c r="C156" s="3" t="s">
        <v>253</v>
      </c>
      <c r="D156" s="4">
        <v>77026.95</v>
      </c>
      <c r="E156" s="5" t="s">
        <v>6</v>
      </c>
      <c r="F156" s="6">
        <v>44795</v>
      </c>
    </row>
    <row r="157" spans="1:6">
      <c r="A157" s="1">
        <v>44778</v>
      </c>
      <c r="B157" s="2" t="s">
        <v>249</v>
      </c>
      <c r="C157" s="3" t="s">
        <v>85</v>
      </c>
      <c r="D157" s="4">
        <v>294445.83</v>
      </c>
      <c r="E157" s="5" t="s">
        <v>6</v>
      </c>
      <c r="F157" s="6">
        <v>44781</v>
      </c>
    </row>
    <row r="158" spans="1:6">
      <c r="A158" s="1">
        <v>44781</v>
      </c>
      <c r="B158" s="2" t="s">
        <v>251</v>
      </c>
      <c r="C158" s="3" t="s">
        <v>253</v>
      </c>
      <c r="D158" s="4">
        <v>102702.6</v>
      </c>
      <c r="E158" s="5" t="s">
        <v>6</v>
      </c>
      <c r="F158" s="6">
        <v>44796</v>
      </c>
    </row>
    <row r="159" spans="1:6">
      <c r="A159" s="1">
        <v>44785</v>
      </c>
      <c r="B159" s="2" t="s">
        <v>255</v>
      </c>
      <c r="C159" s="3" t="s">
        <v>126</v>
      </c>
      <c r="D159" s="4">
        <v>110387.63</v>
      </c>
      <c r="E159" s="5" t="s">
        <v>6</v>
      </c>
      <c r="F159" s="6">
        <v>44790</v>
      </c>
    </row>
    <row r="160" spans="1:6">
      <c r="A160" s="1">
        <v>44788</v>
      </c>
      <c r="B160" s="2" t="s">
        <v>259</v>
      </c>
      <c r="C160" s="3" t="s">
        <v>226</v>
      </c>
      <c r="D160" s="4">
        <v>37514.92</v>
      </c>
      <c r="E160" s="5" t="s">
        <v>6</v>
      </c>
      <c r="F160" s="6">
        <v>44795</v>
      </c>
    </row>
    <row r="161" spans="1:6">
      <c r="A161" s="1">
        <v>44791</v>
      </c>
      <c r="B161" s="2" t="s">
        <v>258</v>
      </c>
      <c r="C161" s="3" t="s">
        <v>253</v>
      </c>
      <c r="D161" s="4">
        <v>77026.95</v>
      </c>
      <c r="E161" s="5" t="s">
        <v>6</v>
      </c>
      <c r="F161" s="6">
        <v>44792</v>
      </c>
    </row>
    <row r="162" spans="1:6">
      <c r="A162" s="1">
        <v>44800</v>
      </c>
      <c r="B162" s="2" t="s">
        <v>265</v>
      </c>
      <c r="C162" s="3" t="s">
        <v>134</v>
      </c>
      <c r="D162" s="4">
        <v>127504.33</v>
      </c>
      <c r="E162" s="5" t="s">
        <v>6</v>
      </c>
      <c r="F162" s="6">
        <v>44803</v>
      </c>
    </row>
    <row r="163" spans="1:6">
      <c r="A163" s="1">
        <v>44802</v>
      </c>
      <c r="B163" s="2" t="s">
        <v>256</v>
      </c>
      <c r="C163" s="3" t="s">
        <v>126</v>
      </c>
      <c r="D163" s="4">
        <v>110387.63</v>
      </c>
      <c r="E163" s="5" t="s">
        <v>6</v>
      </c>
      <c r="F163" s="6">
        <v>44803</v>
      </c>
    </row>
    <row r="164" spans="1:6">
      <c r="A164" s="23">
        <v>44803</v>
      </c>
      <c r="B164" s="24" t="s">
        <v>260</v>
      </c>
      <c r="C164" s="25" t="s">
        <v>226</v>
      </c>
      <c r="D164" s="26">
        <v>37514.92</v>
      </c>
      <c r="E164" s="27" t="s">
        <v>6</v>
      </c>
      <c r="F164" s="28">
        <v>44837</v>
      </c>
    </row>
    <row r="165" spans="1:6">
      <c r="A165" s="10"/>
      <c r="B165" s="11"/>
      <c r="C165" s="12" t="s">
        <v>7</v>
      </c>
      <c r="D165" s="13">
        <f>SUBTOTAL(109,D156:D164)</f>
        <v>974511.76</v>
      </c>
      <c r="E165" s="14"/>
      <c r="F165" s="15"/>
    </row>
    <row r="167" spans="1:6" ht="21">
      <c r="A167" s="339" t="s">
        <v>261</v>
      </c>
      <c r="B167" s="339"/>
      <c r="C167" s="339"/>
      <c r="D167" s="339"/>
      <c r="E167" s="339"/>
      <c r="F167" s="20"/>
    </row>
    <row r="168" spans="1:6" ht="21">
      <c r="A168" s="339"/>
      <c r="B168" s="339"/>
      <c r="C168" s="339"/>
      <c r="D168" s="339"/>
      <c r="E168" s="339"/>
      <c r="F168" s="20"/>
    </row>
    <row r="169" spans="1:6">
      <c r="A169" s="7" t="s">
        <v>0</v>
      </c>
      <c r="B169" s="8" t="s">
        <v>1</v>
      </c>
      <c r="C169" s="8" t="s">
        <v>2</v>
      </c>
      <c r="D169" s="8" t="s">
        <v>3</v>
      </c>
      <c r="E169" s="8" t="s">
        <v>4</v>
      </c>
      <c r="F169" s="9" t="s">
        <v>5</v>
      </c>
    </row>
    <row r="170" spans="1:6">
      <c r="A170" s="23">
        <v>44806</v>
      </c>
      <c r="B170" s="24" t="s">
        <v>262</v>
      </c>
      <c r="C170" s="25" t="s">
        <v>263</v>
      </c>
      <c r="D170" s="26">
        <v>23532.78</v>
      </c>
      <c r="E170" s="27" t="s">
        <v>6</v>
      </c>
      <c r="F170" s="28">
        <v>44832</v>
      </c>
    </row>
    <row r="171" spans="1:6">
      <c r="A171" s="23">
        <v>44811</v>
      </c>
      <c r="B171" s="24" t="s">
        <v>266</v>
      </c>
      <c r="C171" s="25" t="s">
        <v>268</v>
      </c>
      <c r="D171" s="30">
        <v>79874.740000000005</v>
      </c>
      <c r="E171" s="27" t="s">
        <v>6</v>
      </c>
      <c r="F171" s="28">
        <v>44813</v>
      </c>
    </row>
    <row r="172" spans="1:6">
      <c r="A172" s="1">
        <v>44813</v>
      </c>
      <c r="B172" s="2" t="s">
        <v>264</v>
      </c>
      <c r="C172" s="3" t="s">
        <v>121</v>
      </c>
      <c r="D172" s="29">
        <v>130351.46</v>
      </c>
      <c r="E172" s="5" t="s">
        <v>6</v>
      </c>
      <c r="F172" s="6">
        <v>44816</v>
      </c>
    </row>
    <row r="173" spans="1:6">
      <c r="A173" s="23">
        <v>44816</v>
      </c>
      <c r="B173" s="2" t="s">
        <v>269</v>
      </c>
      <c r="C173" s="25" t="s">
        <v>226</v>
      </c>
      <c r="D173" s="30">
        <v>74434.570000000007</v>
      </c>
      <c r="E173" s="27" t="s">
        <v>6</v>
      </c>
      <c r="F173" s="28">
        <v>44817</v>
      </c>
    </row>
    <row r="174" spans="1:6">
      <c r="A174" s="1">
        <v>44820</v>
      </c>
      <c r="B174" s="2" t="s">
        <v>284</v>
      </c>
      <c r="C174" s="3" t="s">
        <v>85</v>
      </c>
      <c r="D174" s="29">
        <v>82708.509999999995</v>
      </c>
      <c r="E174" s="5" t="s">
        <v>6</v>
      </c>
      <c r="F174" s="6">
        <v>44823</v>
      </c>
    </row>
    <row r="175" spans="1:6">
      <c r="A175" s="1">
        <v>44820</v>
      </c>
      <c r="B175" s="2" t="s">
        <v>285</v>
      </c>
      <c r="C175" s="3" t="s">
        <v>85</v>
      </c>
      <c r="D175" s="29">
        <v>55754.04</v>
      </c>
      <c r="E175" s="5" t="s">
        <v>6</v>
      </c>
      <c r="F175" s="6">
        <v>44823</v>
      </c>
    </row>
    <row r="176" spans="1:6">
      <c r="A176" s="23">
        <v>44824</v>
      </c>
      <c r="B176" s="2" t="s">
        <v>283</v>
      </c>
      <c r="C176" s="25" t="s">
        <v>33</v>
      </c>
      <c r="D176" s="30">
        <v>0</v>
      </c>
      <c r="E176" s="27" t="s">
        <v>33</v>
      </c>
      <c r="F176" s="28">
        <v>44824</v>
      </c>
    </row>
    <row r="177" spans="1:6">
      <c r="A177" s="23">
        <v>44825</v>
      </c>
      <c r="B177" s="24" t="s">
        <v>282</v>
      </c>
      <c r="C177" s="25" t="s">
        <v>235</v>
      </c>
      <c r="D177" s="30">
        <v>94325.91</v>
      </c>
      <c r="E177" s="27" t="s">
        <v>6</v>
      </c>
      <c r="F177" s="28">
        <v>44827</v>
      </c>
    </row>
    <row r="178" spans="1:6">
      <c r="A178" s="23">
        <v>44827</v>
      </c>
      <c r="B178" s="24" t="s">
        <v>267</v>
      </c>
      <c r="C178" s="25" t="s">
        <v>268</v>
      </c>
      <c r="D178" s="30">
        <v>79874.740000000005</v>
      </c>
      <c r="E178" s="27" t="s">
        <v>6</v>
      </c>
      <c r="F178" s="28">
        <v>44830</v>
      </c>
    </row>
    <row r="179" spans="1:6">
      <c r="A179" s="23">
        <v>44830</v>
      </c>
      <c r="B179" s="2" t="s">
        <v>281</v>
      </c>
      <c r="C179" s="25" t="s">
        <v>280</v>
      </c>
      <c r="D179" s="30">
        <v>162168.48000000001</v>
      </c>
      <c r="E179" s="27" t="s">
        <v>6</v>
      </c>
      <c r="F179" s="28">
        <v>44837</v>
      </c>
    </row>
    <row r="180" spans="1:6">
      <c r="A180" s="23">
        <v>44831</v>
      </c>
      <c r="B180" s="24" t="s">
        <v>288</v>
      </c>
      <c r="C180" s="25" t="s">
        <v>226</v>
      </c>
      <c r="D180" s="30">
        <v>106279.48</v>
      </c>
      <c r="E180" s="27" t="s">
        <v>6</v>
      </c>
      <c r="F180" s="28">
        <v>44832</v>
      </c>
    </row>
    <row r="181" spans="1:6">
      <c r="A181" s="23">
        <v>44832</v>
      </c>
      <c r="B181" s="24" t="s">
        <v>270</v>
      </c>
      <c r="C181" s="25" t="s">
        <v>226</v>
      </c>
      <c r="D181" s="30">
        <v>74434.559999999998</v>
      </c>
      <c r="E181" s="27" t="s">
        <v>6</v>
      </c>
      <c r="F181" s="28">
        <v>44833</v>
      </c>
    </row>
    <row r="182" spans="1:6">
      <c r="A182" s="10"/>
      <c r="B182" s="11"/>
      <c r="C182" s="12" t="s">
        <v>7</v>
      </c>
      <c r="D182" s="13">
        <f>SUBTOTAL(109,D170:D181)</f>
        <v>963739.27</v>
      </c>
      <c r="E182" s="14"/>
      <c r="F182" s="15"/>
    </row>
    <row r="184" spans="1:6" ht="21">
      <c r="A184" s="339" t="s">
        <v>271</v>
      </c>
      <c r="B184" s="339"/>
      <c r="C184" s="339"/>
      <c r="D184" s="339"/>
      <c r="E184" s="339"/>
      <c r="F184" s="20"/>
    </row>
    <row r="185" spans="1:6" ht="21">
      <c r="A185" s="339"/>
      <c r="B185" s="339"/>
      <c r="C185" s="339"/>
      <c r="D185" s="339"/>
      <c r="E185" s="339"/>
      <c r="F185" s="20"/>
    </row>
    <row r="186" spans="1:6">
      <c r="A186" s="7" t="s">
        <v>0</v>
      </c>
      <c r="B186" s="8" t="s">
        <v>1</v>
      </c>
      <c r="C186" s="8" t="s">
        <v>2</v>
      </c>
      <c r="D186" s="8" t="s">
        <v>3</v>
      </c>
      <c r="E186" s="8" t="s">
        <v>4</v>
      </c>
      <c r="F186" s="9" t="s">
        <v>5</v>
      </c>
    </row>
    <row r="187" spans="1:6">
      <c r="A187" s="23">
        <v>44841</v>
      </c>
      <c r="B187" s="2" t="s">
        <v>274</v>
      </c>
      <c r="C187" s="25" t="s">
        <v>275</v>
      </c>
      <c r="D187" s="26">
        <v>40000</v>
      </c>
      <c r="E187" s="27" t="s">
        <v>6</v>
      </c>
      <c r="F187" s="28">
        <v>44851</v>
      </c>
    </row>
    <row r="188" spans="1:6">
      <c r="A188" s="23">
        <v>44845</v>
      </c>
      <c r="B188" s="2" t="s">
        <v>287</v>
      </c>
      <c r="C188" s="25" t="s">
        <v>286</v>
      </c>
      <c r="D188" s="30">
        <v>92909.04</v>
      </c>
      <c r="E188" s="27" t="s">
        <v>6</v>
      </c>
      <c r="F188" s="28">
        <v>44847</v>
      </c>
    </row>
    <row r="189" spans="1:6">
      <c r="A189" s="23">
        <v>44845</v>
      </c>
      <c r="B189" s="2" t="s">
        <v>292</v>
      </c>
      <c r="C189" s="25" t="s">
        <v>197</v>
      </c>
      <c r="D189" s="30">
        <v>45267.66</v>
      </c>
      <c r="E189" s="27" t="s">
        <v>6</v>
      </c>
      <c r="F189" s="28">
        <v>44852</v>
      </c>
    </row>
    <row r="190" spans="1:6">
      <c r="A190" s="31">
        <v>44845</v>
      </c>
      <c r="B190" s="2" t="s">
        <v>295</v>
      </c>
      <c r="C190" s="32" t="s">
        <v>296</v>
      </c>
      <c r="D190" s="33">
        <v>108019.28</v>
      </c>
      <c r="E190" s="34" t="s">
        <v>6</v>
      </c>
      <c r="F190" s="35">
        <v>44845</v>
      </c>
    </row>
    <row r="191" spans="1:6">
      <c r="A191" s="23">
        <v>44845</v>
      </c>
      <c r="B191" s="2" t="s">
        <v>303</v>
      </c>
      <c r="C191" s="25" t="s">
        <v>304</v>
      </c>
      <c r="D191" s="30">
        <v>620000</v>
      </c>
      <c r="E191" s="27" t="s">
        <v>6</v>
      </c>
      <c r="F191" s="28">
        <v>44855</v>
      </c>
    </row>
    <row r="192" spans="1:6">
      <c r="A192" s="23">
        <v>44846</v>
      </c>
      <c r="B192" s="2" t="s">
        <v>289</v>
      </c>
      <c r="C192" s="25" t="s">
        <v>226</v>
      </c>
      <c r="D192" s="30">
        <v>106279.48</v>
      </c>
      <c r="E192" s="27" t="s">
        <v>6</v>
      </c>
      <c r="F192" s="28">
        <v>44847</v>
      </c>
    </row>
    <row r="193" spans="1:6">
      <c r="A193" s="23">
        <v>44848</v>
      </c>
      <c r="B193" s="2" t="s">
        <v>293</v>
      </c>
      <c r="C193" s="25" t="s">
        <v>235</v>
      </c>
      <c r="D193" s="30">
        <v>123890.17</v>
      </c>
      <c r="E193" s="27" t="s">
        <v>6</v>
      </c>
      <c r="F193" s="28">
        <v>44848</v>
      </c>
    </row>
    <row r="194" spans="1:6">
      <c r="A194" s="31">
        <v>44854</v>
      </c>
      <c r="B194" s="2" t="s">
        <v>300</v>
      </c>
      <c r="C194" s="32" t="s">
        <v>296</v>
      </c>
      <c r="D194" s="33">
        <v>530391.32999999996</v>
      </c>
      <c r="E194" s="27" t="s">
        <v>6</v>
      </c>
      <c r="F194" s="35">
        <v>44855</v>
      </c>
    </row>
    <row r="195" spans="1:6">
      <c r="A195" s="23">
        <v>44859</v>
      </c>
      <c r="B195" s="2" t="s">
        <v>294</v>
      </c>
      <c r="C195" s="25" t="s">
        <v>280</v>
      </c>
      <c r="D195" s="30">
        <v>781041.46</v>
      </c>
      <c r="E195" s="27" t="s">
        <v>6</v>
      </c>
      <c r="F195" s="28">
        <v>44860</v>
      </c>
    </row>
    <row r="196" spans="1:6">
      <c r="A196" s="23">
        <v>44859</v>
      </c>
      <c r="B196" s="2" t="s">
        <v>317</v>
      </c>
      <c r="C196" s="32" t="s">
        <v>134</v>
      </c>
      <c r="D196" s="30">
        <v>251612.41</v>
      </c>
      <c r="E196" s="27" t="s">
        <v>6</v>
      </c>
      <c r="F196" s="28">
        <v>44865</v>
      </c>
    </row>
    <row r="197" spans="1:6">
      <c r="A197" s="23">
        <v>44860</v>
      </c>
      <c r="B197" s="2" t="s">
        <v>310</v>
      </c>
      <c r="C197" s="25" t="s">
        <v>226</v>
      </c>
      <c r="D197" s="30">
        <v>158036.29999999999</v>
      </c>
      <c r="E197" s="27" t="s">
        <v>6</v>
      </c>
      <c r="F197" s="28">
        <v>44861</v>
      </c>
    </row>
    <row r="198" spans="1:6">
      <c r="A198" s="23">
        <v>44862</v>
      </c>
      <c r="B198" s="2" t="s">
        <v>363</v>
      </c>
      <c r="C198" s="25" t="s">
        <v>197</v>
      </c>
      <c r="D198" s="30">
        <v>110667.52</v>
      </c>
      <c r="E198" s="27" t="s">
        <v>6</v>
      </c>
      <c r="F198" s="28">
        <v>44865</v>
      </c>
    </row>
    <row r="199" spans="1:6">
      <c r="A199" s="23">
        <v>44862</v>
      </c>
      <c r="B199" s="2" t="s">
        <v>290</v>
      </c>
      <c r="C199" s="25" t="s">
        <v>291</v>
      </c>
      <c r="D199" s="30">
        <v>688896.59</v>
      </c>
      <c r="E199" s="27" t="s">
        <v>6</v>
      </c>
      <c r="F199" s="28">
        <v>44862</v>
      </c>
    </row>
    <row r="200" spans="1:6">
      <c r="A200" s="23">
        <v>44864</v>
      </c>
      <c r="B200" s="2" t="s">
        <v>308</v>
      </c>
      <c r="C200" s="25" t="s">
        <v>307</v>
      </c>
      <c r="D200" s="30">
        <v>76093.100000000006</v>
      </c>
      <c r="E200" s="27" t="s">
        <v>6</v>
      </c>
      <c r="F200" s="28">
        <v>44864</v>
      </c>
    </row>
    <row r="201" spans="1:6">
      <c r="A201" s="23">
        <v>44864</v>
      </c>
      <c r="B201" s="2" t="s">
        <v>272</v>
      </c>
      <c r="C201" s="25" t="s">
        <v>276</v>
      </c>
      <c r="D201" s="30">
        <v>1000000</v>
      </c>
      <c r="E201" s="27" t="s">
        <v>6</v>
      </c>
      <c r="F201" s="28">
        <v>44866</v>
      </c>
    </row>
    <row r="202" spans="1:6">
      <c r="A202" s="10"/>
      <c r="B202" s="11"/>
      <c r="C202" s="12" t="s">
        <v>7</v>
      </c>
      <c r="D202" s="13">
        <f>SUBTOTAL(109,D187:D201)</f>
        <v>4733104.34</v>
      </c>
      <c r="E202" s="14"/>
      <c r="F202" s="15"/>
    </row>
    <row r="204" spans="1:6" ht="21">
      <c r="A204" s="339" t="s">
        <v>277</v>
      </c>
      <c r="B204" s="339"/>
      <c r="C204" s="339"/>
      <c r="D204" s="339"/>
      <c r="E204" s="339"/>
      <c r="F204" s="20"/>
    </row>
    <row r="205" spans="1:6" ht="21">
      <c r="A205" s="339"/>
      <c r="B205" s="339"/>
      <c r="C205" s="339"/>
      <c r="D205" s="339"/>
      <c r="E205" s="339"/>
      <c r="F205" s="20"/>
    </row>
    <row r="206" spans="1:6">
      <c r="A206" s="7" t="s">
        <v>0</v>
      </c>
      <c r="B206" s="8" t="s">
        <v>1</v>
      </c>
      <c r="C206" s="8" t="s">
        <v>2</v>
      </c>
      <c r="D206" s="8" t="s">
        <v>3</v>
      </c>
      <c r="E206" s="8" t="s">
        <v>4</v>
      </c>
      <c r="F206" s="9" t="s">
        <v>5</v>
      </c>
    </row>
    <row r="207" spans="1:6">
      <c r="A207" s="23">
        <v>44866</v>
      </c>
      <c r="B207" s="2" t="s">
        <v>359</v>
      </c>
      <c r="C207" s="25" t="s">
        <v>360</v>
      </c>
      <c r="D207" s="30">
        <v>200000</v>
      </c>
      <c r="E207" s="27" t="s">
        <v>6</v>
      </c>
      <c r="F207" s="28">
        <v>44867</v>
      </c>
    </row>
    <row r="208" spans="1:6">
      <c r="A208" s="23">
        <v>44867</v>
      </c>
      <c r="B208" s="2" t="s">
        <v>315</v>
      </c>
      <c r="C208" s="25" t="s">
        <v>85</v>
      </c>
      <c r="D208" s="30">
        <v>1129255.8700000001</v>
      </c>
      <c r="E208" s="27" t="s">
        <v>6</v>
      </c>
      <c r="F208" s="28">
        <v>44867</v>
      </c>
    </row>
    <row r="209" spans="1:6">
      <c r="A209" s="23">
        <v>44869</v>
      </c>
      <c r="B209" s="2" t="s">
        <v>297</v>
      </c>
      <c r="C209" s="25" t="s">
        <v>298</v>
      </c>
      <c r="D209" s="30">
        <v>90943.6</v>
      </c>
      <c r="E209" s="27" t="s">
        <v>6</v>
      </c>
      <c r="F209" s="28">
        <v>44869</v>
      </c>
    </row>
    <row r="210" spans="1:6">
      <c r="A210" s="23">
        <v>44869</v>
      </c>
      <c r="B210" s="2" t="s">
        <v>299</v>
      </c>
      <c r="C210" s="25" t="s">
        <v>286</v>
      </c>
      <c r="D210" s="30">
        <v>92909.04</v>
      </c>
      <c r="E210" s="27" t="s">
        <v>6</v>
      </c>
      <c r="F210" s="28">
        <v>44869</v>
      </c>
    </row>
    <row r="211" spans="1:6">
      <c r="A211" s="23">
        <v>44869</v>
      </c>
      <c r="B211" s="2" t="s">
        <v>301</v>
      </c>
      <c r="C211" s="25" t="s">
        <v>296</v>
      </c>
      <c r="D211" s="30">
        <v>530391.32999999996</v>
      </c>
      <c r="E211" s="27" t="s">
        <v>6</v>
      </c>
      <c r="F211" s="28">
        <v>44869</v>
      </c>
    </row>
    <row r="212" spans="1:6">
      <c r="A212" s="23">
        <v>44870</v>
      </c>
      <c r="B212" s="2" t="s">
        <v>348</v>
      </c>
      <c r="C212" s="25" t="s">
        <v>235</v>
      </c>
      <c r="D212" s="30">
        <v>246235</v>
      </c>
      <c r="E212" s="27" t="s">
        <v>6</v>
      </c>
      <c r="F212" s="28">
        <v>44870</v>
      </c>
    </row>
    <row r="213" spans="1:6">
      <c r="A213" s="23">
        <v>44870</v>
      </c>
      <c r="B213" s="2" t="s">
        <v>350</v>
      </c>
      <c r="C213" s="25" t="s">
        <v>235</v>
      </c>
      <c r="D213" s="30">
        <v>178475</v>
      </c>
      <c r="E213" s="27" t="s">
        <v>6</v>
      </c>
      <c r="F213" s="28">
        <v>44870</v>
      </c>
    </row>
    <row r="214" spans="1:6">
      <c r="A214" s="23">
        <v>44871</v>
      </c>
      <c r="B214" s="2" t="s">
        <v>305</v>
      </c>
      <c r="C214" s="25" t="s">
        <v>304</v>
      </c>
      <c r="D214" s="30">
        <v>620000</v>
      </c>
      <c r="E214" s="27" t="s">
        <v>6</v>
      </c>
      <c r="F214" s="28">
        <v>44895</v>
      </c>
    </row>
    <row r="215" spans="1:6">
      <c r="A215" s="23">
        <v>44876</v>
      </c>
      <c r="B215" s="2" t="s">
        <v>311</v>
      </c>
      <c r="C215" s="25" t="s">
        <v>226</v>
      </c>
      <c r="D215" s="30">
        <v>158036.29999999999</v>
      </c>
      <c r="E215" s="27" t="s">
        <v>6</v>
      </c>
      <c r="F215" s="28">
        <v>44880</v>
      </c>
    </row>
    <row r="216" spans="1:6">
      <c r="A216" s="23">
        <v>44876</v>
      </c>
      <c r="B216" s="2" t="s">
        <v>312</v>
      </c>
      <c r="C216" s="25" t="s">
        <v>263</v>
      </c>
      <c r="D216" s="30">
        <v>168750</v>
      </c>
      <c r="E216" s="27" t="s">
        <v>6</v>
      </c>
      <c r="F216" s="28">
        <v>44876</v>
      </c>
    </row>
    <row r="217" spans="1:6">
      <c r="A217" s="23">
        <v>44877</v>
      </c>
      <c r="B217" s="2" t="s">
        <v>356</v>
      </c>
      <c r="C217" s="25" t="s">
        <v>357</v>
      </c>
      <c r="D217" s="30">
        <v>137183.26999999999</v>
      </c>
      <c r="E217" s="27" t="s">
        <v>6</v>
      </c>
      <c r="F217" s="28">
        <v>44880</v>
      </c>
    </row>
    <row r="218" spans="1:6">
      <c r="A218" s="23">
        <v>44877</v>
      </c>
      <c r="B218" s="2" t="s">
        <v>363</v>
      </c>
      <c r="C218" s="25" t="s">
        <v>197</v>
      </c>
      <c r="D218" s="30">
        <v>110667.52</v>
      </c>
      <c r="E218" s="27" t="s">
        <v>6</v>
      </c>
      <c r="F218" s="28">
        <v>44889</v>
      </c>
    </row>
    <row r="219" spans="1:6">
      <c r="A219" s="23">
        <v>44880</v>
      </c>
      <c r="B219" s="2" t="s">
        <v>309</v>
      </c>
      <c r="C219" s="25" t="s">
        <v>307</v>
      </c>
      <c r="D219" s="30">
        <v>76093.100000000006</v>
      </c>
      <c r="E219" s="27" t="s">
        <v>6</v>
      </c>
      <c r="F219" s="28">
        <v>44881</v>
      </c>
    </row>
    <row r="220" spans="1:6">
      <c r="A220" s="31">
        <v>44881</v>
      </c>
      <c r="B220" s="2" t="s">
        <v>365</v>
      </c>
      <c r="C220" s="25" t="s">
        <v>280</v>
      </c>
      <c r="D220" s="33">
        <v>156833.07999999999</v>
      </c>
      <c r="E220" s="27" t="s">
        <v>6</v>
      </c>
      <c r="F220" s="35">
        <v>44882</v>
      </c>
    </row>
    <row r="221" spans="1:6">
      <c r="A221" s="31">
        <v>44882</v>
      </c>
      <c r="B221" s="2" t="s">
        <v>368</v>
      </c>
      <c r="C221" s="25" t="s">
        <v>280</v>
      </c>
      <c r="D221" s="33">
        <v>300835.24</v>
      </c>
      <c r="E221" s="27" t="s">
        <v>6</v>
      </c>
      <c r="F221" s="35">
        <v>44883</v>
      </c>
    </row>
    <row r="222" spans="1:6">
      <c r="A222" s="23">
        <v>44883</v>
      </c>
      <c r="B222" s="2" t="s">
        <v>314</v>
      </c>
      <c r="C222" s="25" t="s">
        <v>280</v>
      </c>
      <c r="D222" s="30">
        <v>56427.59</v>
      </c>
      <c r="E222" s="27" t="s">
        <v>6</v>
      </c>
      <c r="F222" s="28">
        <v>44896</v>
      </c>
    </row>
    <row r="223" spans="1:6">
      <c r="A223" s="23">
        <v>44883</v>
      </c>
      <c r="B223" s="2" t="s">
        <v>316</v>
      </c>
      <c r="C223" s="25" t="s">
        <v>85</v>
      </c>
      <c r="D223" s="30">
        <v>1129255.8700000001</v>
      </c>
      <c r="E223" s="27" t="s">
        <v>6</v>
      </c>
      <c r="F223" s="28">
        <v>44887</v>
      </c>
    </row>
    <row r="224" spans="1:6">
      <c r="A224" s="23">
        <v>44883</v>
      </c>
      <c r="B224" s="2" t="s">
        <v>338</v>
      </c>
      <c r="C224" s="25" t="s">
        <v>280</v>
      </c>
      <c r="D224" s="30">
        <v>797585.4</v>
      </c>
      <c r="E224" s="27" t="s">
        <v>6</v>
      </c>
      <c r="F224" s="28">
        <v>44887</v>
      </c>
    </row>
    <row r="225" spans="1:6">
      <c r="A225" s="23">
        <v>44885</v>
      </c>
      <c r="B225" s="2" t="s">
        <v>302</v>
      </c>
      <c r="C225" s="25" t="s">
        <v>296</v>
      </c>
      <c r="D225" s="30">
        <v>530391.32999999996</v>
      </c>
      <c r="E225" s="27" t="s">
        <v>6</v>
      </c>
      <c r="F225" s="28">
        <v>44888</v>
      </c>
    </row>
    <row r="226" spans="1:6">
      <c r="A226" s="23">
        <v>44885</v>
      </c>
      <c r="B226" s="2" t="s">
        <v>318</v>
      </c>
      <c r="C226" s="25" t="s">
        <v>319</v>
      </c>
      <c r="D226" s="30">
        <v>55008.87</v>
      </c>
      <c r="E226" s="27" t="s">
        <v>6</v>
      </c>
      <c r="F226" s="28">
        <v>44888</v>
      </c>
    </row>
    <row r="227" spans="1:6">
      <c r="A227" s="23">
        <v>44885</v>
      </c>
      <c r="B227" s="2" t="s">
        <v>337</v>
      </c>
      <c r="C227" s="25" t="s">
        <v>319</v>
      </c>
      <c r="D227" s="30">
        <v>385062.13</v>
      </c>
      <c r="E227" s="27" t="s">
        <v>6</v>
      </c>
      <c r="F227" s="28">
        <v>44888</v>
      </c>
    </row>
    <row r="228" spans="1:6">
      <c r="A228" s="23">
        <v>44886</v>
      </c>
      <c r="B228" s="2" t="s">
        <v>349</v>
      </c>
      <c r="C228" s="25" t="s">
        <v>235</v>
      </c>
      <c r="D228" s="30">
        <v>246235</v>
      </c>
      <c r="E228" s="27" t="s">
        <v>6</v>
      </c>
      <c r="F228" s="28">
        <v>44901</v>
      </c>
    </row>
    <row r="229" spans="1:6">
      <c r="A229" s="23">
        <v>44886</v>
      </c>
      <c r="B229" s="2" t="s">
        <v>351</v>
      </c>
      <c r="C229" s="25" t="s">
        <v>235</v>
      </c>
      <c r="D229" s="30">
        <v>178475</v>
      </c>
      <c r="E229" s="27" t="s">
        <v>6</v>
      </c>
      <c r="F229" s="28">
        <v>44886</v>
      </c>
    </row>
    <row r="230" spans="1:6">
      <c r="A230" s="23">
        <v>44886</v>
      </c>
      <c r="B230" s="2" t="s">
        <v>361</v>
      </c>
      <c r="C230" s="25" t="s">
        <v>360</v>
      </c>
      <c r="D230" s="30">
        <v>200000</v>
      </c>
      <c r="E230" s="27" t="s">
        <v>6</v>
      </c>
      <c r="F230" s="28">
        <v>44888</v>
      </c>
    </row>
    <row r="231" spans="1:6">
      <c r="A231" s="23">
        <v>44886</v>
      </c>
      <c r="B231" s="2" t="s">
        <v>376</v>
      </c>
      <c r="C231" s="25" t="s">
        <v>364</v>
      </c>
      <c r="D231" s="30">
        <v>53000</v>
      </c>
      <c r="E231" s="27" t="s">
        <v>6</v>
      </c>
      <c r="F231" s="28">
        <v>44887</v>
      </c>
    </row>
    <row r="232" spans="1:6">
      <c r="A232" s="31">
        <v>44888</v>
      </c>
      <c r="B232" s="2" t="s">
        <v>369</v>
      </c>
      <c r="C232" s="32" t="s">
        <v>353</v>
      </c>
      <c r="D232" s="33">
        <v>228885.41</v>
      </c>
      <c r="E232" s="34" t="s">
        <v>6</v>
      </c>
      <c r="F232" s="35">
        <v>44889</v>
      </c>
    </row>
    <row r="233" spans="1:6">
      <c r="A233" s="31">
        <v>44889</v>
      </c>
      <c r="B233" s="2" t="s">
        <v>374</v>
      </c>
      <c r="C233" s="32" t="s">
        <v>226</v>
      </c>
      <c r="D233" s="33">
        <v>159886.98000000001</v>
      </c>
      <c r="E233" s="34" t="s">
        <v>6</v>
      </c>
      <c r="F233" s="35">
        <v>44890</v>
      </c>
    </row>
    <row r="234" spans="1:6">
      <c r="A234" s="23">
        <v>44891</v>
      </c>
      <c r="B234" s="2" t="s">
        <v>346</v>
      </c>
      <c r="C234" s="25" t="s">
        <v>347</v>
      </c>
      <c r="D234" s="30">
        <v>135315.45000000001</v>
      </c>
      <c r="E234" s="27" t="s">
        <v>6</v>
      </c>
      <c r="F234" s="28">
        <v>44894</v>
      </c>
    </row>
    <row r="235" spans="1:6">
      <c r="A235" s="23">
        <v>44891</v>
      </c>
      <c r="B235" s="2" t="s">
        <v>352</v>
      </c>
      <c r="C235" s="25" t="s">
        <v>353</v>
      </c>
      <c r="D235" s="30">
        <v>363572.54</v>
      </c>
      <c r="E235" s="27" t="s">
        <v>6</v>
      </c>
      <c r="F235" s="28">
        <v>44896</v>
      </c>
    </row>
    <row r="236" spans="1:6">
      <c r="A236" s="23">
        <v>44891</v>
      </c>
      <c r="B236" s="2" t="s">
        <v>355</v>
      </c>
      <c r="C236" s="25" t="s">
        <v>85</v>
      </c>
      <c r="D236" s="30">
        <v>73829.039999999994</v>
      </c>
      <c r="E236" s="27" t="s">
        <v>6</v>
      </c>
      <c r="F236" s="28">
        <v>44894</v>
      </c>
    </row>
    <row r="237" spans="1:6">
      <c r="A237" s="23">
        <v>44895</v>
      </c>
      <c r="B237" s="2" t="s">
        <v>273</v>
      </c>
      <c r="C237" s="25" t="s">
        <v>276</v>
      </c>
      <c r="D237" s="30">
        <v>1000000</v>
      </c>
      <c r="E237" s="27" t="s">
        <v>6</v>
      </c>
      <c r="F237" s="28">
        <v>44897</v>
      </c>
    </row>
    <row r="238" spans="1:6">
      <c r="A238" s="23">
        <v>44895</v>
      </c>
      <c r="B238" s="2" t="s">
        <v>358</v>
      </c>
      <c r="C238" s="25" t="s">
        <v>298</v>
      </c>
      <c r="D238" s="30">
        <v>43426.9</v>
      </c>
      <c r="E238" s="27" t="s">
        <v>6</v>
      </c>
      <c r="F238" s="28">
        <v>44897</v>
      </c>
    </row>
    <row r="239" spans="1:6">
      <c r="A239" s="23">
        <v>44895</v>
      </c>
      <c r="B239" s="2" t="s">
        <v>386</v>
      </c>
      <c r="C239" s="25" t="s">
        <v>387</v>
      </c>
      <c r="D239" s="30">
        <v>250282.5</v>
      </c>
      <c r="E239" s="27" t="s">
        <v>6</v>
      </c>
      <c r="F239" s="28">
        <v>44896</v>
      </c>
    </row>
    <row r="240" spans="1:6">
      <c r="A240" s="10"/>
      <c r="B240" s="11"/>
      <c r="C240" s="12" t="s">
        <v>7</v>
      </c>
      <c r="D240" s="13">
        <f>SUBTOTAL(109,D207:D239)</f>
        <v>10083248.360000001</v>
      </c>
      <c r="E240" s="14"/>
      <c r="F240" s="15"/>
    </row>
    <row r="242" spans="1:6" ht="21">
      <c r="A242" s="339" t="s">
        <v>278</v>
      </c>
      <c r="B242" s="339"/>
      <c r="C242" s="339"/>
      <c r="D242" s="339"/>
      <c r="E242" s="339"/>
      <c r="F242" s="20"/>
    </row>
    <row r="243" spans="1:6" ht="21">
      <c r="A243" s="339"/>
      <c r="B243" s="339"/>
      <c r="C243" s="339"/>
      <c r="D243" s="339"/>
      <c r="E243" s="339"/>
      <c r="F243" s="20"/>
    </row>
    <row r="244" spans="1:6">
      <c r="A244" s="7" t="s">
        <v>0</v>
      </c>
      <c r="B244" s="8" t="s">
        <v>1</v>
      </c>
      <c r="C244" s="8" t="s">
        <v>2</v>
      </c>
      <c r="D244" s="8" t="s">
        <v>3</v>
      </c>
      <c r="E244" s="8" t="s">
        <v>4</v>
      </c>
      <c r="F244" s="9" t="s">
        <v>5</v>
      </c>
    </row>
    <row r="245" spans="1:6">
      <c r="A245" s="23">
        <v>44896</v>
      </c>
      <c r="B245" s="2" t="s">
        <v>366</v>
      </c>
      <c r="C245" s="25" t="s">
        <v>280</v>
      </c>
      <c r="D245" s="33">
        <v>156833.07999999999</v>
      </c>
      <c r="E245" s="27" t="s">
        <v>6</v>
      </c>
      <c r="F245" s="28">
        <v>44896</v>
      </c>
    </row>
    <row r="246" spans="1:6">
      <c r="A246" s="23">
        <v>44896</v>
      </c>
      <c r="B246" s="2" t="s">
        <v>382</v>
      </c>
      <c r="C246" s="25" t="s">
        <v>381</v>
      </c>
      <c r="D246" s="30">
        <v>54588.24</v>
      </c>
      <c r="E246" s="27" t="s">
        <v>6</v>
      </c>
      <c r="F246" s="28">
        <v>44897</v>
      </c>
    </row>
    <row r="247" spans="1:6">
      <c r="A247" s="23">
        <v>44896</v>
      </c>
      <c r="B247" s="2" t="s">
        <v>383</v>
      </c>
      <c r="C247" s="25" t="s">
        <v>296</v>
      </c>
      <c r="D247" s="30">
        <v>423377.55</v>
      </c>
      <c r="E247" s="27" t="s">
        <v>6</v>
      </c>
      <c r="F247" s="28">
        <v>44897</v>
      </c>
    </row>
    <row r="248" spans="1:6">
      <c r="A248" s="31">
        <v>44897</v>
      </c>
      <c r="B248" s="2" t="s">
        <v>370</v>
      </c>
      <c r="C248" s="25" t="s">
        <v>280</v>
      </c>
      <c r="D248" s="33">
        <v>300835.25</v>
      </c>
      <c r="E248" s="27" t="s">
        <v>6</v>
      </c>
      <c r="F248" s="35">
        <v>44916</v>
      </c>
    </row>
    <row r="249" spans="1:6">
      <c r="A249" s="23">
        <v>44898</v>
      </c>
      <c r="B249" s="2" t="s">
        <v>389</v>
      </c>
      <c r="C249" s="25" t="s">
        <v>388</v>
      </c>
      <c r="D249" s="30">
        <v>82551.5</v>
      </c>
      <c r="E249" s="27" t="s">
        <v>6</v>
      </c>
      <c r="F249" s="28">
        <v>44898</v>
      </c>
    </row>
    <row r="250" spans="1:6">
      <c r="A250" s="23">
        <v>44900</v>
      </c>
      <c r="B250" s="2" t="s">
        <v>333</v>
      </c>
      <c r="C250" s="25" t="s">
        <v>334</v>
      </c>
      <c r="D250" s="30">
        <v>479289.15</v>
      </c>
      <c r="E250" s="27" t="s">
        <v>6</v>
      </c>
      <c r="F250" s="28">
        <v>44901</v>
      </c>
    </row>
    <row r="251" spans="1:6">
      <c r="A251" s="23">
        <v>44900</v>
      </c>
      <c r="B251" s="2" t="s">
        <v>335</v>
      </c>
      <c r="C251" s="25" t="s">
        <v>334</v>
      </c>
      <c r="D251" s="30">
        <v>479289.15</v>
      </c>
      <c r="E251" s="27" t="s">
        <v>6</v>
      </c>
      <c r="F251" s="28">
        <v>44901</v>
      </c>
    </row>
    <row r="252" spans="1:6">
      <c r="A252" s="23">
        <v>44900</v>
      </c>
      <c r="B252" s="2" t="s">
        <v>336</v>
      </c>
      <c r="C252" s="25" t="s">
        <v>334</v>
      </c>
      <c r="D252" s="30">
        <v>479289.15</v>
      </c>
      <c r="E252" s="27" t="s">
        <v>6</v>
      </c>
      <c r="F252" s="28">
        <v>44901</v>
      </c>
    </row>
    <row r="253" spans="1:6">
      <c r="A253" s="23">
        <v>44901</v>
      </c>
      <c r="B253" s="2" t="s">
        <v>306</v>
      </c>
      <c r="C253" s="25" t="s">
        <v>304</v>
      </c>
      <c r="D253" s="30">
        <v>620000.05000000005</v>
      </c>
      <c r="E253" s="27" t="s">
        <v>6</v>
      </c>
      <c r="F253" s="28">
        <v>44924</v>
      </c>
    </row>
    <row r="254" spans="1:6">
      <c r="A254" s="23">
        <v>44902</v>
      </c>
      <c r="B254" s="2" t="s">
        <v>354</v>
      </c>
      <c r="C254" s="25" t="s">
        <v>353</v>
      </c>
      <c r="D254" s="30">
        <v>363572.54</v>
      </c>
      <c r="E254" s="27" t="s">
        <v>6</v>
      </c>
      <c r="F254" s="28">
        <v>44902</v>
      </c>
    </row>
    <row r="255" spans="1:6">
      <c r="A255" s="31">
        <v>44903</v>
      </c>
      <c r="B255" s="2" t="s">
        <v>371</v>
      </c>
      <c r="C255" s="32" t="s">
        <v>353</v>
      </c>
      <c r="D255" s="33">
        <v>228885.42</v>
      </c>
      <c r="E255" s="27" t="s">
        <v>6</v>
      </c>
      <c r="F255" s="35">
        <v>44903</v>
      </c>
    </row>
    <row r="256" spans="1:6">
      <c r="A256" s="31">
        <v>44904</v>
      </c>
      <c r="B256" s="2" t="s">
        <v>375</v>
      </c>
      <c r="C256" s="32" t="s">
        <v>226</v>
      </c>
      <c r="D256" s="33">
        <v>159886.98000000001</v>
      </c>
      <c r="E256" s="27" t="s">
        <v>6</v>
      </c>
      <c r="F256" s="35">
        <v>44904</v>
      </c>
    </row>
    <row r="257" spans="1:6">
      <c r="A257" s="23">
        <v>44905</v>
      </c>
      <c r="B257" s="2" t="s">
        <v>377</v>
      </c>
      <c r="C257" s="25" t="s">
        <v>127</v>
      </c>
      <c r="D257" s="30">
        <v>851683.89</v>
      </c>
      <c r="E257" s="27" t="s">
        <v>6</v>
      </c>
      <c r="F257" s="28">
        <v>44905</v>
      </c>
    </row>
    <row r="258" spans="1:6">
      <c r="A258" s="23">
        <v>44906</v>
      </c>
      <c r="B258" s="2" t="s">
        <v>313</v>
      </c>
      <c r="C258" s="25" t="s">
        <v>263</v>
      </c>
      <c r="D258" s="30">
        <v>168750</v>
      </c>
      <c r="E258" s="27" t="s">
        <v>6</v>
      </c>
      <c r="F258" s="28">
        <v>44906</v>
      </c>
    </row>
    <row r="259" spans="1:6">
      <c r="A259" s="23">
        <v>44907</v>
      </c>
      <c r="B259" s="2" t="s">
        <v>362</v>
      </c>
      <c r="C259" s="25" t="s">
        <v>360</v>
      </c>
      <c r="D259" s="30">
        <v>200000</v>
      </c>
      <c r="E259" s="27" t="s">
        <v>6</v>
      </c>
      <c r="F259" s="28">
        <v>44916</v>
      </c>
    </row>
    <row r="260" spans="1:6">
      <c r="A260" s="23">
        <v>44910</v>
      </c>
      <c r="B260" s="2" t="s">
        <v>390</v>
      </c>
      <c r="C260" s="25" t="s">
        <v>226</v>
      </c>
      <c r="D260" s="30">
        <v>144892.18</v>
      </c>
      <c r="E260" s="27" t="s">
        <v>6</v>
      </c>
      <c r="F260" s="28">
        <v>44910</v>
      </c>
    </row>
    <row r="261" spans="1:6">
      <c r="A261" s="23">
        <v>44910</v>
      </c>
      <c r="B261" s="2" t="s">
        <v>391</v>
      </c>
      <c r="C261" s="25" t="s">
        <v>51</v>
      </c>
      <c r="D261" s="30">
        <v>417950.01</v>
      </c>
      <c r="E261" s="27" t="s">
        <v>6</v>
      </c>
      <c r="F261" s="28">
        <v>44910</v>
      </c>
    </row>
    <row r="262" spans="1:6">
      <c r="A262" s="23">
        <v>44910</v>
      </c>
      <c r="B262" s="2" t="s">
        <v>392</v>
      </c>
      <c r="C262" s="25" t="s">
        <v>381</v>
      </c>
      <c r="D262" s="30">
        <v>47096.23</v>
      </c>
      <c r="E262" s="27" t="s">
        <v>6</v>
      </c>
      <c r="F262" s="28">
        <v>44910</v>
      </c>
    </row>
    <row r="263" spans="1:6">
      <c r="A263" s="23">
        <v>44911</v>
      </c>
      <c r="B263" s="2" t="s">
        <v>367</v>
      </c>
      <c r="C263" s="25" t="s">
        <v>280</v>
      </c>
      <c r="D263" s="33">
        <v>156833.07999999999</v>
      </c>
      <c r="E263" s="27" t="s">
        <v>6</v>
      </c>
      <c r="F263" s="28">
        <v>44911</v>
      </c>
    </row>
    <row r="264" spans="1:6">
      <c r="A264" s="23">
        <v>44911</v>
      </c>
      <c r="B264" s="2" t="s">
        <v>384</v>
      </c>
      <c r="C264" s="25" t="s">
        <v>296</v>
      </c>
      <c r="D264" s="30">
        <v>423377.56</v>
      </c>
      <c r="E264" s="27" t="s">
        <v>6</v>
      </c>
      <c r="F264" s="28">
        <v>44911</v>
      </c>
    </row>
    <row r="265" spans="1:6">
      <c r="A265" s="23">
        <v>44913</v>
      </c>
      <c r="B265" s="2" t="s">
        <v>393</v>
      </c>
      <c r="C265" s="25" t="s">
        <v>388</v>
      </c>
      <c r="D265" s="30">
        <v>82551.5</v>
      </c>
      <c r="E265" s="27" t="s">
        <v>6</v>
      </c>
      <c r="F265" s="28">
        <v>44915</v>
      </c>
    </row>
    <row r="266" spans="1:6">
      <c r="A266" s="23">
        <v>44915</v>
      </c>
      <c r="B266" s="2" t="s">
        <v>320</v>
      </c>
      <c r="C266" s="25" t="s">
        <v>319</v>
      </c>
      <c r="D266" s="30">
        <v>55008.87</v>
      </c>
      <c r="E266" s="27" t="s">
        <v>6</v>
      </c>
      <c r="F266" s="28">
        <v>44916</v>
      </c>
    </row>
    <row r="267" spans="1:6">
      <c r="A267" s="23">
        <v>44915</v>
      </c>
      <c r="B267" s="2" t="s">
        <v>339</v>
      </c>
      <c r="C267" s="25" t="s">
        <v>319</v>
      </c>
      <c r="D267" s="30">
        <v>385062.13</v>
      </c>
      <c r="E267" s="27" t="s">
        <v>6</v>
      </c>
      <c r="F267" s="28">
        <v>44916</v>
      </c>
    </row>
    <row r="268" spans="1:6">
      <c r="A268" s="23">
        <v>44915</v>
      </c>
      <c r="B268" s="2" t="s">
        <v>378</v>
      </c>
      <c r="C268" s="25" t="s">
        <v>127</v>
      </c>
      <c r="D268" s="30">
        <v>851683.89</v>
      </c>
      <c r="E268" s="27" t="s">
        <v>6</v>
      </c>
      <c r="F268" s="28">
        <v>44918</v>
      </c>
    </row>
    <row r="269" spans="1:6">
      <c r="A269" s="36">
        <v>44916</v>
      </c>
      <c r="B269" s="2" t="s">
        <v>394</v>
      </c>
      <c r="C269" s="25" t="s">
        <v>381</v>
      </c>
      <c r="D269" s="37">
        <v>188905.2</v>
      </c>
      <c r="E269" s="27" t="s">
        <v>6</v>
      </c>
      <c r="F269" s="38">
        <v>44917</v>
      </c>
    </row>
    <row r="270" spans="1:6">
      <c r="A270" s="23">
        <v>44925</v>
      </c>
      <c r="B270" s="2" t="s">
        <v>279</v>
      </c>
      <c r="C270" s="25" t="s">
        <v>276</v>
      </c>
      <c r="D270" s="30">
        <v>1000000</v>
      </c>
      <c r="E270" s="27" t="s">
        <v>6</v>
      </c>
      <c r="F270" s="28">
        <v>44928</v>
      </c>
    </row>
    <row r="271" spans="1:6">
      <c r="A271" s="23">
        <v>44925</v>
      </c>
      <c r="B271" s="2" t="s">
        <v>379</v>
      </c>
      <c r="C271" s="25" t="s">
        <v>127</v>
      </c>
      <c r="D271" s="30">
        <v>851683.89</v>
      </c>
      <c r="E271" s="27" t="s">
        <v>6</v>
      </c>
      <c r="F271" s="28">
        <v>45290</v>
      </c>
    </row>
    <row r="272" spans="1:6">
      <c r="A272" s="23">
        <v>44925</v>
      </c>
      <c r="B272" s="2" t="s">
        <v>395</v>
      </c>
      <c r="C272" s="40" t="s">
        <v>226</v>
      </c>
      <c r="D272" s="41">
        <v>66499.789999999994</v>
      </c>
      <c r="E272" s="42" t="s">
        <v>6</v>
      </c>
      <c r="F272" s="43">
        <v>44928</v>
      </c>
    </row>
    <row r="273" spans="1:6">
      <c r="A273" s="23">
        <v>44926</v>
      </c>
      <c r="B273" s="24" t="s">
        <v>385</v>
      </c>
      <c r="C273" s="25" t="s">
        <v>296</v>
      </c>
      <c r="D273" s="30">
        <v>423377.56</v>
      </c>
      <c r="E273" s="27" t="s">
        <v>6</v>
      </c>
      <c r="F273" s="28">
        <v>44929</v>
      </c>
    </row>
    <row r="274" spans="1:6">
      <c r="A274" s="10"/>
      <c r="B274" s="11"/>
      <c r="C274" s="12" t="s">
        <v>7</v>
      </c>
      <c r="D274" s="13">
        <f>SUBTOTAL(109,D248:D273)</f>
        <v>9508954.9699999988</v>
      </c>
      <c r="E274" s="14"/>
      <c r="F274" s="15"/>
    </row>
  </sheetData>
  <mergeCells count="12">
    <mergeCell ref="A2:E3"/>
    <mergeCell ref="A21:E22"/>
    <mergeCell ref="A126:E127"/>
    <mergeCell ref="A109:E110"/>
    <mergeCell ref="A39:E40"/>
    <mergeCell ref="A64:E65"/>
    <mergeCell ref="A89:E90"/>
    <mergeCell ref="A184:E185"/>
    <mergeCell ref="A204:E205"/>
    <mergeCell ref="A242:E243"/>
    <mergeCell ref="A167:E168"/>
    <mergeCell ref="A153:E154"/>
  </mergeCells>
  <phoneticPr fontId="5" type="noConversion"/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workbookViewId="0">
      <selection activeCell="E11" sqref="E11"/>
    </sheetView>
  </sheetViews>
  <sheetFormatPr baseColWidth="10" defaultRowHeight="14.4"/>
  <cols>
    <col min="1" max="7" width="25.77734375" customWidth="1"/>
  </cols>
  <sheetData>
    <row r="2" spans="1:7">
      <c r="A2" s="340"/>
      <c r="B2" s="340"/>
      <c r="C2" s="340"/>
      <c r="D2" s="340"/>
      <c r="E2" s="340"/>
      <c r="F2" s="340"/>
      <c r="G2" s="340"/>
    </row>
    <row r="3" spans="1:7" s="63" customFormat="1">
      <c r="A3" s="75" t="s">
        <v>503</v>
      </c>
      <c r="B3" s="76" t="s">
        <v>495</v>
      </c>
      <c r="C3" s="76" t="s">
        <v>496</v>
      </c>
      <c r="D3" s="76" t="s">
        <v>497</v>
      </c>
      <c r="E3" s="76" t="s">
        <v>498</v>
      </c>
      <c r="F3" s="76" t="s">
        <v>499</v>
      </c>
      <c r="G3" s="77" t="s">
        <v>500</v>
      </c>
    </row>
    <row r="4" spans="1:7" s="58" customFormat="1" ht="25.05" customHeight="1">
      <c r="A4" s="71" t="s">
        <v>516</v>
      </c>
      <c r="B4" s="60">
        <v>42216837</v>
      </c>
      <c r="C4" s="60" t="s">
        <v>522</v>
      </c>
      <c r="D4" s="69">
        <v>45066</v>
      </c>
      <c r="E4" s="61">
        <v>45005</v>
      </c>
      <c r="F4" s="62">
        <v>400000</v>
      </c>
      <c r="G4" s="73" t="s">
        <v>507</v>
      </c>
    </row>
    <row r="5" spans="1:7" s="58" customFormat="1" ht="25.05" customHeight="1">
      <c r="A5" s="71" t="s">
        <v>516</v>
      </c>
      <c r="B5" s="60">
        <v>42216836</v>
      </c>
      <c r="C5" s="60" t="s">
        <v>522</v>
      </c>
      <c r="D5" s="69">
        <v>45036</v>
      </c>
      <c r="E5" s="61">
        <v>45005</v>
      </c>
      <c r="F5" s="62">
        <v>400000</v>
      </c>
      <c r="G5" s="73" t="s">
        <v>507</v>
      </c>
    </row>
    <row r="6" spans="1:7" s="58" customFormat="1" ht="25.05" customHeight="1">
      <c r="A6" s="72" t="s">
        <v>62</v>
      </c>
      <c r="B6" s="65">
        <v>39986809</v>
      </c>
      <c r="C6" s="65" t="s">
        <v>506</v>
      </c>
      <c r="D6" s="68">
        <v>45034</v>
      </c>
      <c r="E6" s="66">
        <v>44988</v>
      </c>
      <c r="F6" s="67">
        <v>2956113.4</v>
      </c>
      <c r="G6" s="74" t="s">
        <v>525</v>
      </c>
    </row>
    <row r="7" spans="1:7" s="58" customFormat="1" ht="25.05" customHeight="1">
      <c r="A7" s="71" t="s">
        <v>62</v>
      </c>
      <c r="B7" s="60">
        <v>90000068</v>
      </c>
      <c r="C7" s="60" t="s">
        <v>508</v>
      </c>
      <c r="D7" s="69">
        <v>45031</v>
      </c>
      <c r="E7" s="61">
        <v>44943</v>
      </c>
      <c r="F7" s="62">
        <v>4111418</v>
      </c>
      <c r="G7" s="73" t="s">
        <v>507</v>
      </c>
    </row>
    <row r="8" spans="1:7" s="58" customFormat="1" ht="25.05" customHeight="1">
      <c r="A8" s="71" t="s">
        <v>62</v>
      </c>
      <c r="B8" s="60">
        <v>90000074</v>
      </c>
      <c r="C8" s="60" t="s">
        <v>508</v>
      </c>
      <c r="D8" s="69">
        <v>45031</v>
      </c>
      <c r="E8" s="61">
        <v>44943</v>
      </c>
      <c r="F8" s="62">
        <v>2012500</v>
      </c>
      <c r="G8" s="73" t="s">
        <v>507</v>
      </c>
    </row>
    <row r="9" spans="1:7" s="58" customFormat="1" ht="25.05" customHeight="1">
      <c r="A9" s="71" t="s">
        <v>62</v>
      </c>
      <c r="B9" s="60">
        <v>40495464</v>
      </c>
      <c r="C9" s="60" t="s">
        <v>509</v>
      </c>
      <c r="D9" s="69">
        <v>45024</v>
      </c>
      <c r="E9" s="61">
        <v>45012</v>
      </c>
      <c r="F9" s="62">
        <v>145200</v>
      </c>
      <c r="G9" s="73" t="s">
        <v>507</v>
      </c>
    </row>
    <row r="10" spans="1:7" s="58" customFormat="1" ht="25.05" customHeight="1">
      <c r="A10" s="71" t="s">
        <v>62</v>
      </c>
      <c r="B10" s="60">
        <v>9262005</v>
      </c>
      <c r="C10" s="60" t="s">
        <v>513</v>
      </c>
      <c r="D10" s="69">
        <v>45023</v>
      </c>
      <c r="E10" s="61">
        <v>44994</v>
      </c>
      <c r="F10" s="62">
        <v>212614.29</v>
      </c>
      <c r="G10" s="73" t="s">
        <v>507</v>
      </c>
    </row>
    <row r="11" spans="1:7" s="58" customFormat="1" ht="25.05" customHeight="1">
      <c r="A11" s="72" t="s">
        <v>516</v>
      </c>
      <c r="B11" s="65">
        <v>4318408</v>
      </c>
      <c r="C11" s="65" t="s">
        <v>523</v>
      </c>
      <c r="D11" s="68">
        <v>45023</v>
      </c>
      <c r="E11" s="66">
        <v>45001</v>
      </c>
      <c r="F11" s="67">
        <v>200000</v>
      </c>
      <c r="G11" s="74" t="s">
        <v>524</v>
      </c>
    </row>
    <row r="12" spans="1:7" s="58" customFormat="1" ht="25.05" customHeight="1">
      <c r="A12" s="71" t="s">
        <v>516</v>
      </c>
      <c r="B12" s="60">
        <v>48534318</v>
      </c>
      <c r="C12" s="60" t="s">
        <v>521</v>
      </c>
      <c r="D12" s="69">
        <v>45023</v>
      </c>
      <c r="E12" s="61">
        <v>44981</v>
      </c>
      <c r="F12" s="62">
        <v>387000</v>
      </c>
      <c r="G12" s="73" t="s">
        <v>507</v>
      </c>
    </row>
    <row r="13" spans="1:7" s="58" customFormat="1" ht="25.05" customHeight="1">
      <c r="A13" s="71" t="s">
        <v>62</v>
      </c>
      <c r="B13" s="60">
        <v>9262004</v>
      </c>
      <c r="C13" s="60" t="s">
        <v>513</v>
      </c>
      <c r="D13" s="69">
        <v>45016</v>
      </c>
      <c r="E13" s="61">
        <v>44994</v>
      </c>
      <c r="F13" s="62">
        <v>212614.29</v>
      </c>
      <c r="G13" s="73" t="s">
        <v>507</v>
      </c>
    </row>
    <row r="14" spans="1:7" s="58" customFormat="1" ht="25.05" customHeight="1">
      <c r="A14" s="71" t="s">
        <v>516</v>
      </c>
      <c r="B14" s="70" t="s">
        <v>519</v>
      </c>
      <c r="C14" s="60" t="s">
        <v>520</v>
      </c>
      <c r="D14" s="69">
        <v>45016</v>
      </c>
      <c r="E14" s="61">
        <v>44979</v>
      </c>
      <c r="F14" s="62">
        <v>511000</v>
      </c>
      <c r="G14" s="73" t="s">
        <v>507</v>
      </c>
    </row>
    <row r="15" spans="1:7" s="58" customFormat="1" ht="25.05" customHeight="1">
      <c r="A15" s="72" t="s">
        <v>62</v>
      </c>
      <c r="B15" s="65">
        <v>9262003</v>
      </c>
      <c r="C15" s="65" t="s">
        <v>513</v>
      </c>
      <c r="D15" s="68">
        <v>45014</v>
      </c>
      <c r="E15" s="66">
        <v>44994</v>
      </c>
      <c r="F15" s="67">
        <v>212614.29</v>
      </c>
      <c r="G15" s="74" t="s">
        <v>510</v>
      </c>
    </row>
    <row r="16" spans="1:7" s="58" customFormat="1" ht="25.05" customHeight="1">
      <c r="A16" s="71" t="s">
        <v>516</v>
      </c>
      <c r="B16" s="60">
        <v>32970618</v>
      </c>
      <c r="C16" s="60" t="s">
        <v>518</v>
      </c>
      <c r="D16" s="69">
        <v>45010</v>
      </c>
      <c r="E16" s="61">
        <v>44970</v>
      </c>
      <c r="F16" s="62">
        <v>60000</v>
      </c>
      <c r="G16" s="73" t="s">
        <v>507</v>
      </c>
    </row>
    <row r="17" spans="1:7" s="58" customFormat="1" ht="25.05" customHeight="1">
      <c r="A17" s="71" t="s">
        <v>516</v>
      </c>
      <c r="B17" s="60">
        <v>82796651</v>
      </c>
      <c r="C17" s="60" t="s">
        <v>517</v>
      </c>
      <c r="D17" s="69">
        <v>45005</v>
      </c>
      <c r="E17" s="61">
        <v>44978</v>
      </c>
      <c r="F17" s="62">
        <v>220000</v>
      </c>
      <c r="G17" s="73" t="s">
        <v>507</v>
      </c>
    </row>
    <row r="18" spans="1:7" s="58" customFormat="1" ht="25.05" customHeight="1">
      <c r="A18" s="72" t="s">
        <v>62</v>
      </c>
      <c r="B18" s="65">
        <v>9262002</v>
      </c>
      <c r="C18" s="65" t="s">
        <v>513</v>
      </c>
      <c r="D18" s="68">
        <v>45009</v>
      </c>
      <c r="E18" s="66">
        <v>44994</v>
      </c>
      <c r="F18" s="67">
        <v>212614.29</v>
      </c>
      <c r="G18" s="74" t="s">
        <v>502</v>
      </c>
    </row>
    <row r="19" spans="1:7" s="58" customFormat="1" ht="25.05" customHeight="1">
      <c r="A19" s="72" t="s">
        <v>62</v>
      </c>
      <c r="B19" s="65">
        <v>9262001</v>
      </c>
      <c r="C19" s="65" t="s">
        <v>513</v>
      </c>
      <c r="D19" s="68">
        <v>45007</v>
      </c>
      <c r="E19" s="66">
        <v>44994</v>
      </c>
      <c r="F19" s="67">
        <v>212614.29</v>
      </c>
      <c r="G19" s="74" t="s">
        <v>502</v>
      </c>
    </row>
    <row r="20" spans="1:7" s="58" customFormat="1" ht="25.05" customHeight="1">
      <c r="A20" s="72" t="s">
        <v>62</v>
      </c>
      <c r="B20" s="65">
        <v>4091185</v>
      </c>
      <c r="C20" s="65" t="s">
        <v>515</v>
      </c>
      <c r="D20" s="68">
        <v>45002</v>
      </c>
      <c r="E20" s="66">
        <v>44980</v>
      </c>
      <c r="F20" s="67">
        <v>211750</v>
      </c>
      <c r="G20" s="74" t="s">
        <v>502</v>
      </c>
    </row>
    <row r="21" spans="1:7" s="58" customFormat="1" ht="25.05" customHeight="1">
      <c r="A21" s="72" t="s">
        <v>62</v>
      </c>
      <c r="B21" s="65">
        <v>9262000</v>
      </c>
      <c r="C21" s="65" t="s">
        <v>513</v>
      </c>
      <c r="D21" s="68">
        <v>45002</v>
      </c>
      <c r="E21" s="66">
        <v>44994</v>
      </c>
      <c r="F21" s="67">
        <v>212614.29</v>
      </c>
      <c r="G21" s="74" t="s">
        <v>502</v>
      </c>
    </row>
    <row r="22" spans="1:7" s="58" customFormat="1" ht="25.05" customHeight="1">
      <c r="A22" s="72" t="s">
        <v>62</v>
      </c>
      <c r="B22" s="65">
        <v>90000073</v>
      </c>
      <c r="C22" s="65" t="s">
        <v>508</v>
      </c>
      <c r="D22" s="68">
        <v>45000</v>
      </c>
      <c r="E22" s="66">
        <v>44943</v>
      </c>
      <c r="F22" s="67">
        <v>2012500</v>
      </c>
      <c r="G22" s="74" t="s">
        <v>502</v>
      </c>
    </row>
    <row r="23" spans="1:7" s="58" customFormat="1" ht="25.05" customHeight="1">
      <c r="A23" s="72" t="s">
        <v>62</v>
      </c>
      <c r="B23" s="65">
        <v>9261999</v>
      </c>
      <c r="C23" s="65" t="s">
        <v>513</v>
      </c>
      <c r="D23" s="68">
        <v>45000</v>
      </c>
      <c r="E23" s="66">
        <v>44994</v>
      </c>
      <c r="F23" s="67">
        <v>189357.66</v>
      </c>
      <c r="G23" s="74" t="s">
        <v>502</v>
      </c>
    </row>
    <row r="24" spans="1:7" s="58" customFormat="1" ht="25.05" customHeight="1">
      <c r="A24" s="72" t="s">
        <v>62</v>
      </c>
      <c r="B24" s="65">
        <v>23255602</v>
      </c>
      <c r="C24" s="65" t="s">
        <v>514</v>
      </c>
      <c r="D24" s="68">
        <v>44992</v>
      </c>
      <c r="E24" s="66">
        <v>44988</v>
      </c>
      <c r="F24" s="67">
        <v>1768493.4</v>
      </c>
      <c r="G24" s="74" t="s">
        <v>502</v>
      </c>
    </row>
    <row r="25" spans="1:7" s="58" customFormat="1" ht="25.05" customHeight="1">
      <c r="A25" s="72" t="s">
        <v>62</v>
      </c>
      <c r="B25" s="65">
        <v>39631249</v>
      </c>
      <c r="C25" s="65" t="s">
        <v>512</v>
      </c>
      <c r="D25" s="68">
        <v>44985</v>
      </c>
      <c r="E25" s="66">
        <v>44970</v>
      </c>
      <c r="F25" s="67">
        <v>2000000</v>
      </c>
      <c r="G25" s="74" t="s">
        <v>502</v>
      </c>
    </row>
    <row r="26" spans="1:7" s="58" customFormat="1" ht="25.05" customHeight="1">
      <c r="A26" s="72" t="s">
        <v>62</v>
      </c>
      <c r="B26" s="65">
        <v>90000072</v>
      </c>
      <c r="C26" s="65" t="s">
        <v>508</v>
      </c>
      <c r="D26" s="68">
        <v>44972</v>
      </c>
      <c r="E26" s="66">
        <v>44943</v>
      </c>
      <c r="F26" s="67">
        <v>4025000</v>
      </c>
      <c r="G26" s="74" t="s">
        <v>502</v>
      </c>
    </row>
    <row r="27" spans="1:7" s="58" customFormat="1" ht="25.05" customHeight="1">
      <c r="A27" s="72" t="s">
        <v>62</v>
      </c>
      <c r="B27" s="65">
        <v>38262186</v>
      </c>
      <c r="C27" s="65" t="s">
        <v>506</v>
      </c>
      <c r="D27" s="68">
        <v>44958</v>
      </c>
      <c r="E27" s="66">
        <v>44907</v>
      </c>
      <c r="F27" s="67">
        <v>595671.4</v>
      </c>
      <c r="G27" s="74" t="s">
        <v>502</v>
      </c>
    </row>
    <row r="28" spans="1:7" s="58" customFormat="1" ht="25.05" customHeight="1">
      <c r="A28" s="72" t="s">
        <v>62</v>
      </c>
      <c r="B28" s="65">
        <v>7942</v>
      </c>
      <c r="C28" s="65" t="s">
        <v>511</v>
      </c>
      <c r="D28" s="68">
        <v>44942</v>
      </c>
      <c r="E28" s="66">
        <v>44911</v>
      </c>
      <c r="F28" s="67">
        <v>1394960.48</v>
      </c>
      <c r="G28" s="74" t="s">
        <v>502</v>
      </c>
    </row>
    <row r="29" spans="1:7" s="58" customFormat="1" ht="25.05" customHeight="1">
      <c r="A29" s="72" t="s">
        <v>62</v>
      </c>
      <c r="B29" s="65">
        <v>38345641</v>
      </c>
      <c r="C29" s="65" t="s">
        <v>509</v>
      </c>
      <c r="D29" s="68">
        <v>44932</v>
      </c>
      <c r="E29" s="66">
        <v>44909</v>
      </c>
      <c r="F29" s="67">
        <v>322672</v>
      </c>
      <c r="G29" s="74" t="s">
        <v>502</v>
      </c>
    </row>
    <row r="30" spans="1:7" s="58" customFormat="1" ht="25.05" customHeight="1">
      <c r="A30" s="78" t="s">
        <v>62</v>
      </c>
      <c r="B30" s="79">
        <v>7772</v>
      </c>
      <c r="C30" s="79" t="s">
        <v>511</v>
      </c>
      <c r="D30" s="80">
        <v>44928</v>
      </c>
      <c r="E30" s="81">
        <v>44897</v>
      </c>
      <c r="F30" s="82">
        <v>4411998.79</v>
      </c>
      <c r="G30" s="83" t="s">
        <v>502</v>
      </c>
    </row>
  </sheetData>
  <mergeCells count="1">
    <mergeCell ref="A2:G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H380"/>
  <sheetViews>
    <sheetView topLeftCell="A302" zoomScale="120" zoomScaleNormal="120" workbookViewId="0">
      <selection activeCell="C325" sqref="C325"/>
    </sheetView>
  </sheetViews>
  <sheetFormatPr baseColWidth="10" defaultRowHeight="14.4"/>
  <cols>
    <col min="1" max="2" width="15.6640625" customWidth="1"/>
    <col min="3" max="3" width="30.6640625" customWidth="1"/>
    <col min="4" max="4" width="16.6640625" customWidth="1"/>
    <col min="5" max="5" width="15.6640625" customWidth="1"/>
    <col min="6" max="6" width="19.33203125" customWidth="1"/>
    <col min="7" max="7" width="3.44140625" customWidth="1"/>
    <col min="8" max="8" width="38.109375" style="19" customWidth="1"/>
  </cols>
  <sheetData>
    <row r="1" spans="1:6" ht="21">
      <c r="A1" s="339" t="s">
        <v>321</v>
      </c>
      <c r="B1" s="339"/>
      <c r="C1" s="339"/>
      <c r="D1" s="339"/>
      <c r="E1" s="20"/>
      <c r="F1" s="20"/>
    </row>
    <row r="2" spans="1:6" ht="21">
      <c r="A2" s="339"/>
      <c r="B2" s="339"/>
      <c r="C2" s="339"/>
      <c r="D2" s="339"/>
      <c r="E2" s="20"/>
      <c r="F2" s="20"/>
    </row>
    <row r="3" spans="1:6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6">
      <c r="A4" s="23">
        <v>44930</v>
      </c>
      <c r="B4" s="2" t="s">
        <v>372</v>
      </c>
      <c r="C4" s="25" t="s">
        <v>373</v>
      </c>
      <c r="D4" s="26">
        <v>242835</v>
      </c>
      <c r="E4" s="27" t="s">
        <v>6</v>
      </c>
      <c r="F4" s="28"/>
    </row>
    <row r="5" spans="1:6">
      <c r="A5" s="23">
        <v>44936</v>
      </c>
      <c r="B5" s="2" t="s">
        <v>380</v>
      </c>
      <c r="C5" s="25" t="s">
        <v>127</v>
      </c>
      <c r="D5" s="26">
        <v>851683.89</v>
      </c>
      <c r="E5" s="27" t="s">
        <v>6</v>
      </c>
      <c r="F5" s="28"/>
    </row>
    <row r="6" spans="1:6">
      <c r="A6" s="39">
        <v>44937</v>
      </c>
      <c r="B6" s="2" t="s">
        <v>396</v>
      </c>
      <c r="C6" s="40" t="s">
        <v>397</v>
      </c>
      <c r="D6" s="26">
        <v>65000</v>
      </c>
      <c r="E6" s="42" t="s">
        <v>6</v>
      </c>
      <c r="F6" s="43"/>
    </row>
    <row r="7" spans="1:6">
      <c r="A7" s="39">
        <v>44938</v>
      </c>
      <c r="B7" s="2" t="s">
        <v>402</v>
      </c>
      <c r="C7" s="40" t="s">
        <v>403</v>
      </c>
      <c r="D7" s="26">
        <v>106808</v>
      </c>
      <c r="E7" s="42" t="s">
        <v>6</v>
      </c>
      <c r="F7" s="43"/>
    </row>
    <row r="8" spans="1:6">
      <c r="A8" s="23">
        <v>44942</v>
      </c>
      <c r="B8" s="2" t="s">
        <v>412</v>
      </c>
      <c r="C8" s="44" t="s">
        <v>235</v>
      </c>
      <c r="D8" s="26">
        <v>356950</v>
      </c>
      <c r="E8" s="52" t="s">
        <v>6</v>
      </c>
      <c r="F8" s="28"/>
    </row>
    <row r="9" spans="1:6">
      <c r="A9" s="39">
        <v>44944</v>
      </c>
      <c r="B9" s="2" t="s">
        <v>427</v>
      </c>
      <c r="C9" s="40" t="s">
        <v>428</v>
      </c>
      <c r="D9" s="41">
        <v>131426</v>
      </c>
      <c r="E9" s="42" t="s">
        <v>6</v>
      </c>
      <c r="F9" s="43"/>
    </row>
    <row r="10" spans="1:6">
      <c r="A10" s="39">
        <v>44945</v>
      </c>
      <c r="B10" s="2" t="s">
        <v>405</v>
      </c>
      <c r="C10" s="40" t="s">
        <v>406</v>
      </c>
      <c r="D10" s="26">
        <v>289539.44</v>
      </c>
      <c r="E10" s="42" t="s">
        <v>6</v>
      </c>
      <c r="F10" s="43"/>
    </row>
    <row r="11" spans="1:6">
      <c r="A11" s="39">
        <v>44945</v>
      </c>
      <c r="B11" s="2" t="s">
        <v>408</v>
      </c>
      <c r="C11" s="40" t="s">
        <v>235</v>
      </c>
      <c r="D11" s="26">
        <v>356950</v>
      </c>
      <c r="E11" s="27" t="s">
        <v>6</v>
      </c>
      <c r="F11" s="28">
        <v>44978</v>
      </c>
    </row>
    <row r="12" spans="1:6">
      <c r="A12" s="39">
        <v>44946</v>
      </c>
      <c r="B12" s="50" t="s">
        <v>431</v>
      </c>
      <c r="C12" s="40" t="s">
        <v>416</v>
      </c>
      <c r="D12" s="41">
        <v>65000</v>
      </c>
      <c r="E12" s="42" t="s">
        <v>6</v>
      </c>
      <c r="F12" s="43"/>
    </row>
    <row r="13" spans="1:6">
      <c r="A13" s="23">
        <v>44946</v>
      </c>
      <c r="B13" s="2" t="s">
        <v>322</v>
      </c>
      <c r="C13" s="25" t="s">
        <v>319</v>
      </c>
      <c r="D13" s="26">
        <v>55008.87</v>
      </c>
      <c r="E13" s="27" t="s">
        <v>6</v>
      </c>
      <c r="F13" s="28"/>
    </row>
    <row r="14" spans="1:6">
      <c r="A14" s="23">
        <v>44946</v>
      </c>
      <c r="B14" s="2" t="s">
        <v>340</v>
      </c>
      <c r="C14" s="25" t="s">
        <v>319</v>
      </c>
      <c r="D14" s="26">
        <v>385062.13</v>
      </c>
      <c r="E14" s="27" t="s">
        <v>6</v>
      </c>
      <c r="F14" s="28"/>
    </row>
    <row r="15" spans="1:6">
      <c r="A15" s="39">
        <v>44946</v>
      </c>
      <c r="B15" s="2" t="s">
        <v>399</v>
      </c>
      <c r="C15" s="40" t="s">
        <v>400</v>
      </c>
      <c r="D15" s="26">
        <v>166600</v>
      </c>
      <c r="E15" s="42" t="s">
        <v>471</v>
      </c>
      <c r="F15" s="28" t="s">
        <v>471</v>
      </c>
    </row>
    <row r="16" spans="1:6">
      <c r="A16" s="39">
        <v>44946</v>
      </c>
      <c r="B16" s="2" t="s">
        <v>407</v>
      </c>
      <c r="C16" s="40" t="s">
        <v>179</v>
      </c>
      <c r="D16" s="26">
        <v>103875.73</v>
      </c>
      <c r="E16" s="42" t="s">
        <v>6</v>
      </c>
      <c r="F16" s="43"/>
    </row>
    <row r="17" spans="1:6">
      <c r="A17" s="23">
        <v>44946</v>
      </c>
      <c r="B17" s="24" t="s">
        <v>413</v>
      </c>
      <c r="C17" s="51" t="s">
        <v>414</v>
      </c>
      <c r="D17" s="26">
        <v>118700</v>
      </c>
      <c r="E17" s="52" t="s">
        <v>6</v>
      </c>
      <c r="F17" s="28"/>
    </row>
    <row r="18" spans="1:6">
      <c r="A18" s="23">
        <v>44951</v>
      </c>
      <c r="B18" s="2" t="s">
        <v>415</v>
      </c>
      <c r="C18" s="25" t="s">
        <v>134</v>
      </c>
      <c r="D18" s="26">
        <v>433371.14</v>
      </c>
      <c r="E18" s="27" t="s">
        <v>6</v>
      </c>
      <c r="F18" s="28"/>
    </row>
    <row r="19" spans="1:6">
      <c r="A19" s="46">
        <v>44951</v>
      </c>
      <c r="B19" s="47" t="s">
        <v>418</v>
      </c>
      <c r="C19" s="48" t="s">
        <v>409</v>
      </c>
      <c r="D19" s="49">
        <v>240000</v>
      </c>
      <c r="E19" s="45" t="s">
        <v>6</v>
      </c>
      <c r="F19" s="43"/>
    </row>
    <row r="20" spans="1:6">
      <c r="A20" s="39">
        <v>44951</v>
      </c>
      <c r="B20" s="2" t="s">
        <v>421</v>
      </c>
      <c r="C20" s="44" t="s">
        <v>422</v>
      </c>
      <c r="D20" s="41">
        <v>223256.94</v>
      </c>
      <c r="E20" s="45" t="s">
        <v>6</v>
      </c>
      <c r="F20" s="43"/>
    </row>
    <row r="21" spans="1:6">
      <c r="A21" s="39">
        <v>44953</v>
      </c>
      <c r="B21" s="2" t="s">
        <v>424</v>
      </c>
      <c r="C21" s="44" t="s">
        <v>111</v>
      </c>
      <c r="D21" s="41">
        <v>594703.96</v>
      </c>
      <c r="E21" s="45" t="s">
        <v>6</v>
      </c>
      <c r="F21" s="43"/>
    </row>
    <row r="22" spans="1:6">
      <c r="A22" s="39">
        <v>44953</v>
      </c>
      <c r="B22" s="2" t="s">
        <v>429</v>
      </c>
      <c r="C22" s="44" t="s">
        <v>430</v>
      </c>
      <c r="D22" s="41">
        <v>6028500</v>
      </c>
      <c r="E22" s="45" t="s">
        <v>6</v>
      </c>
      <c r="F22" s="43"/>
    </row>
    <row r="23" spans="1:6">
      <c r="A23" s="39">
        <v>44956</v>
      </c>
      <c r="B23" s="2" t="s">
        <v>398</v>
      </c>
      <c r="C23" s="40" t="s">
        <v>111</v>
      </c>
      <c r="D23" s="26">
        <v>186191.69</v>
      </c>
      <c r="E23" s="42" t="s">
        <v>6</v>
      </c>
      <c r="F23" s="43"/>
    </row>
    <row r="24" spans="1:6">
      <c r="A24" s="39">
        <v>44956</v>
      </c>
      <c r="B24" s="2" t="s">
        <v>419</v>
      </c>
      <c r="C24" s="44" t="s">
        <v>420</v>
      </c>
      <c r="D24" s="41">
        <v>92000</v>
      </c>
      <c r="E24" s="45" t="s">
        <v>6</v>
      </c>
      <c r="F24" s="43"/>
    </row>
    <row r="25" spans="1:6">
      <c r="A25" s="39">
        <v>44957</v>
      </c>
      <c r="B25" s="2" t="s">
        <v>426</v>
      </c>
      <c r="C25" s="44" t="s">
        <v>235</v>
      </c>
      <c r="D25" s="41">
        <v>199456.02</v>
      </c>
      <c r="E25" s="45" t="s">
        <v>6</v>
      </c>
      <c r="F25" s="43"/>
    </row>
    <row r="26" spans="1:6">
      <c r="A26" s="10"/>
      <c r="B26" s="11"/>
      <c r="C26" s="12" t="s">
        <v>7</v>
      </c>
      <c r="D26" s="13">
        <f>SUBTOTAL(109,D4:D25)</f>
        <v>11292918.809999999</v>
      </c>
      <c r="E26" s="14"/>
      <c r="F26" s="15"/>
    </row>
    <row r="28" spans="1:6" ht="21">
      <c r="A28" s="339" t="s">
        <v>323</v>
      </c>
      <c r="B28" s="339"/>
      <c r="C28" s="339"/>
      <c r="D28" s="339"/>
      <c r="E28" s="20"/>
      <c r="F28" s="20"/>
    </row>
    <row r="29" spans="1:6" ht="21">
      <c r="A29" s="339"/>
      <c r="B29" s="339"/>
      <c r="C29" s="339"/>
      <c r="D29" s="339"/>
      <c r="E29" s="20"/>
      <c r="F29" s="20"/>
    </row>
    <row r="30" spans="1:6">
      <c r="A30" s="7" t="s">
        <v>0</v>
      </c>
      <c r="B30" s="8" t="s">
        <v>1</v>
      </c>
      <c r="C30" s="8" t="s">
        <v>2</v>
      </c>
      <c r="D30" s="8" t="s">
        <v>3</v>
      </c>
      <c r="E30" s="8" t="s">
        <v>4</v>
      </c>
      <c r="F30" s="9" t="s">
        <v>5</v>
      </c>
    </row>
    <row r="31" spans="1:6">
      <c r="A31" s="39">
        <v>44597</v>
      </c>
      <c r="B31" s="2" t="s">
        <v>401</v>
      </c>
      <c r="C31" s="40" t="s">
        <v>400</v>
      </c>
      <c r="D31" s="41">
        <v>166600</v>
      </c>
      <c r="E31" s="27" t="s">
        <v>471</v>
      </c>
      <c r="F31" s="28" t="s">
        <v>463</v>
      </c>
    </row>
    <row r="32" spans="1:6">
      <c r="A32" s="39">
        <v>44959</v>
      </c>
      <c r="B32" s="2" t="s">
        <v>417</v>
      </c>
      <c r="C32" s="25" t="s">
        <v>121</v>
      </c>
      <c r="D32" s="41">
        <v>93391.25</v>
      </c>
      <c r="E32" s="27" t="s">
        <v>6</v>
      </c>
      <c r="F32" s="43"/>
    </row>
    <row r="33" spans="1:6">
      <c r="A33" s="39">
        <v>44959</v>
      </c>
      <c r="B33" s="2" t="s">
        <v>433</v>
      </c>
      <c r="C33" s="25" t="s">
        <v>432</v>
      </c>
      <c r="D33" s="41">
        <v>131426</v>
      </c>
      <c r="E33" s="42" t="s">
        <v>6</v>
      </c>
      <c r="F33" s="43"/>
    </row>
    <row r="34" spans="1:6">
      <c r="A34" s="23">
        <v>44959</v>
      </c>
      <c r="B34" s="2" t="s">
        <v>435</v>
      </c>
      <c r="C34" s="25" t="s">
        <v>197</v>
      </c>
      <c r="D34" s="30">
        <v>112179.42</v>
      </c>
      <c r="E34" s="42" t="s">
        <v>6</v>
      </c>
      <c r="F34" s="28"/>
    </row>
    <row r="35" spans="1:6">
      <c r="A35" s="39">
        <v>44961</v>
      </c>
      <c r="B35" s="2" t="s">
        <v>404</v>
      </c>
      <c r="C35" s="25" t="s">
        <v>121</v>
      </c>
      <c r="D35" s="41">
        <v>356738.45</v>
      </c>
      <c r="E35" s="42" t="s">
        <v>6</v>
      </c>
      <c r="F35" s="43"/>
    </row>
    <row r="36" spans="1:6">
      <c r="A36" s="23">
        <v>44962</v>
      </c>
      <c r="B36" s="2" t="s">
        <v>407</v>
      </c>
      <c r="C36" s="25" t="s">
        <v>409</v>
      </c>
      <c r="D36" s="30">
        <v>165000</v>
      </c>
      <c r="E36" s="27" t="s">
        <v>6</v>
      </c>
      <c r="F36" s="28"/>
    </row>
    <row r="37" spans="1:6">
      <c r="A37" s="23">
        <v>44962</v>
      </c>
      <c r="B37" s="2" t="s">
        <v>410</v>
      </c>
      <c r="C37" s="25" t="s">
        <v>409</v>
      </c>
      <c r="D37" s="30">
        <v>165000</v>
      </c>
      <c r="E37" s="27" t="s">
        <v>6</v>
      </c>
      <c r="F37" s="28"/>
    </row>
    <row r="38" spans="1:6">
      <c r="A38" s="23">
        <v>44962</v>
      </c>
      <c r="B38" s="2" t="s">
        <v>411</v>
      </c>
      <c r="C38" s="25" t="s">
        <v>409</v>
      </c>
      <c r="D38" s="30">
        <v>59999.99</v>
      </c>
      <c r="E38" s="27" t="s">
        <v>6</v>
      </c>
      <c r="F38" s="28"/>
    </row>
    <row r="39" spans="1:6">
      <c r="A39" s="23">
        <v>44967</v>
      </c>
      <c r="B39" s="2" t="s">
        <v>439</v>
      </c>
      <c r="C39" s="25" t="s">
        <v>63</v>
      </c>
      <c r="D39" s="30">
        <v>598775.51</v>
      </c>
      <c r="E39" s="27" t="s">
        <v>6</v>
      </c>
      <c r="F39" s="28"/>
    </row>
    <row r="40" spans="1:6">
      <c r="A40" s="39">
        <v>44968</v>
      </c>
      <c r="B40" s="2" t="s">
        <v>440</v>
      </c>
      <c r="C40" s="40" t="s">
        <v>441</v>
      </c>
      <c r="D40" s="41">
        <v>242849.54</v>
      </c>
      <c r="E40" s="27" t="s">
        <v>6</v>
      </c>
      <c r="F40" s="28">
        <v>44947</v>
      </c>
    </row>
    <row r="41" spans="1:6">
      <c r="A41" s="39">
        <v>44969</v>
      </c>
      <c r="B41" s="2" t="s">
        <v>442</v>
      </c>
      <c r="C41" s="40" t="s">
        <v>120</v>
      </c>
      <c r="D41" s="41">
        <v>594703.96</v>
      </c>
      <c r="E41" s="42" t="s">
        <v>6</v>
      </c>
      <c r="F41" s="28" t="s">
        <v>463</v>
      </c>
    </row>
    <row r="42" spans="1:6">
      <c r="A42" s="39">
        <v>44970</v>
      </c>
      <c r="B42" s="2" t="s">
        <v>423</v>
      </c>
      <c r="C42" s="40" t="s">
        <v>425</v>
      </c>
      <c r="D42" s="41">
        <v>149136.46</v>
      </c>
      <c r="E42" s="27" t="s">
        <v>6</v>
      </c>
      <c r="F42" s="28"/>
    </row>
    <row r="43" spans="1:6">
      <c r="A43" s="23">
        <v>44970</v>
      </c>
      <c r="B43" s="2" t="s">
        <v>450</v>
      </c>
      <c r="C43" s="25" t="s">
        <v>451</v>
      </c>
      <c r="D43" s="30">
        <v>114142.33</v>
      </c>
      <c r="E43" s="27" t="s">
        <v>6</v>
      </c>
      <c r="F43" s="28"/>
    </row>
    <row r="44" spans="1:6">
      <c r="A44" s="23">
        <v>44974</v>
      </c>
      <c r="B44" s="2" t="s">
        <v>449</v>
      </c>
      <c r="C44" s="25" t="s">
        <v>226</v>
      </c>
      <c r="D44" s="30">
        <v>163357.26</v>
      </c>
      <c r="E44" s="27" t="s">
        <v>6</v>
      </c>
      <c r="F44" s="28"/>
    </row>
    <row r="45" spans="1:6">
      <c r="A45" s="39">
        <v>44975</v>
      </c>
      <c r="B45" s="2" t="s">
        <v>434</v>
      </c>
      <c r="C45" s="25" t="s">
        <v>432</v>
      </c>
      <c r="D45" s="41">
        <v>131426.10999999999</v>
      </c>
      <c r="E45" s="27" t="s">
        <v>6</v>
      </c>
      <c r="F45" s="28">
        <v>44998</v>
      </c>
    </row>
    <row r="46" spans="1:6">
      <c r="A46" s="23">
        <v>44975</v>
      </c>
      <c r="B46" s="2" t="s">
        <v>436</v>
      </c>
      <c r="C46" s="25" t="s">
        <v>197</v>
      </c>
      <c r="D46" s="30">
        <v>112179.42</v>
      </c>
      <c r="E46" s="27" t="s">
        <v>6</v>
      </c>
      <c r="F46" s="28" t="s">
        <v>463</v>
      </c>
    </row>
    <row r="47" spans="1:6">
      <c r="A47" s="39">
        <v>44975</v>
      </c>
      <c r="B47" s="2" t="s">
        <v>467</v>
      </c>
      <c r="C47" s="40" t="s">
        <v>468</v>
      </c>
      <c r="D47" s="41">
        <v>2500000</v>
      </c>
      <c r="E47" s="42" t="s">
        <v>6</v>
      </c>
      <c r="F47" s="43" t="s">
        <v>463</v>
      </c>
    </row>
    <row r="48" spans="1:6">
      <c r="A48" s="23">
        <v>44977</v>
      </c>
      <c r="B48" s="2" t="s">
        <v>324</v>
      </c>
      <c r="C48" s="25" t="s">
        <v>319</v>
      </c>
      <c r="D48" s="30">
        <v>55008.87</v>
      </c>
      <c r="E48" s="42" t="s">
        <v>6</v>
      </c>
      <c r="F48" s="28">
        <v>44980</v>
      </c>
    </row>
    <row r="49" spans="1:6">
      <c r="A49" s="23">
        <v>44977</v>
      </c>
      <c r="B49" s="2" t="s">
        <v>341</v>
      </c>
      <c r="C49" s="25" t="s">
        <v>319</v>
      </c>
      <c r="D49" s="30">
        <v>385062.13</v>
      </c>
      <c r="E49" s="42" t="s">
        <v>6</v>
      </c>
      <c r="F49" s="28">
        <v>44980</v>
      </c>
    </row>
    <row r="50" spans="1:6">
      <c r="A50" s="23">
        <v>44978</v>
      </c>
      <c r="B50" s="2" t="s">
        <v>448</v>
      </c>
      <c r="C50" s="25" t="s">
        <v>432</v>
      </c>
      <c r="D50" s="30">
        <v>62104.6</v>
      </c>
      <c r="E50" s="27" t="s">
        <v>6</v>
      </c>
      <c r="F50" s="28">
        <v>44991</v>
      </c>
    </row>
    <row r="51" spans="1:6">
      <c r="A51" s="56">
        <v>44981</v>
      </c>
      <c r="B51" s="2" t="s">
        <v>477</v>
      </c>
      <c r="C51" s="55" t="s">
        <v>478</v>
      </c>
      <c r="D51" s="30">
        <v>38047.129999999997</v>
      </c>
      <c r="E51" s="27" t="s">
        <v>6</v>
      </c>
      <c r="F51" s="28"/>
    </row>
    <row r="52" spans="1:6" ht="15.75" customHeight="1">
      <c r="A52" s="23">
        <v>44982</v>
      </c>
      <c r="B52" s="2" t="s">
        <v>437</v>
      </c>
      <c r="C52" s="25" t="s">
        <v>438</v>
      </c>
      <c r="D52" s="30">
        <v>1855902</v>
      </c>
      <c r="E52" s="27" t="s">
        <v>6</v>
      </c>
      <c r="F52" s="28"/>
    </row>
    <row r="53" spans="1:6">
      <c r="A53" s="23">
        <v>44983</v>
      </c>
      <c r="B53" s="2" t="s">
        <v>447</v>
      </c>
      <c r="C53" s="25" t="s">
        <v>120</v>
      </c>
      <c r="D53" s="30">
        <v>363738.38</v>
      </c>
      <c r="E53" s="27" t="s">
        <v>6</v>
      </c>
      <c r="F53" s="28"/>
    </row>
    <row r="54" spans="1:6">
      <c r="A54" s="23">
        <v>44984</v>
      </c>
      <c r="B54" s="2" t="s">
        <v>443</v>
      </c>
      <c r="C54" s="25" t="s">
        <v>120</v>
      </c>
      <c r="D54" s="30">
        <v>594703.96</v>
      </c>
      <c r="E54" s="27" t="s">
        <v>6</v>
      </c>
      <c r="F54" s="28"/>
    </row>
    <row r="55" spans="1:6">
      <c r="A55" s="23">
        <v>44985</v>
      </c>
      <c r="B55" s="2" t="s">
        <v>454</v>
      </c>
      <c r="C55" s="25" t="s">
        <v>420</v>
      </c>
      <c r="D55" s="30">
        <v>148975</v>
      </c>
      <c r="E55" s="27" t="s">
        <v>6</v>
      </c>
      <c r="F55" s="28"/>
    </row>
    <row r="56" spans="1:6">
      <c r="A56" s="23">
        <v>44985</v>
      </c>
      <c r="B56" s="2" t="s">
        <v>459</v>
      </c>
      <c r="C56" s="25" t="s">
        <v>460</v>
      </c>
      <c r="D56" s="30">
        <v>250000</v>
      </c>
      <c r="E56" s="27" t="s">
        <v>6</v>
      </c>
      <c r="F56" s="28"/>
    </row>
    <row r="57" spans="1:6">
      <c r="A57" s="10"/>
      <c r="B57" s="11"/>
      <c r="C57" s="12" t="s">
        <v>7</v>
      </c>
      <c r="D57" s="13">
        <f>SUBTOTAL(109,D31:D56)</f>
        <v>9610447.7699999996</v>
      </c>
      <c r="E57" s="14"/>
      <c r="F57" s="15"/>
    </row>
    <row r="59" spans="1:6" ht="21">
      <c r="A59" s="339" t="s">
        <v>325</v>
      </c>
      <c r="B59" s="339"/>
      <c r="C59" s="339"/>
      <c r="D59" s="339"/>
      <c r="E59" s="20"/>
      <c r="F59" s="20"/>
    </row>
    <row r="60" spans="1:6" ht="21">
      <c r="A60" s="339"/>
      <c r="B60" s="339"/>
      <c r="C60" s="339"/>
      <c r="D60" s="339"/>
      <c r="E60" s="20"/>
      <c r="F60" s="20"/>
    </row>
    <row r="61" spans="1:6">
      <c r="A61" s="7" t="s">
        <v>0</v>
      </c>
      <c r="B61" s="8" t="s">
        <v>1</v>
      </c>
      <c r="C61" s="8" t="s">
        <v>2</v>
      </c>
      <c r="D61" s="8" t="s">
        <v>3</v>
      </c>
      <c r="E61" s="8" t="s">
        <v>4</v>
      </c>
      <c r="F61" s="9" t="s">
        <v>5</v>
      </c>
    </row>
    <row r="62" spans="1:6">
      <c r="A62" s="39">
        <v>44990</v>
      </c>
      <c r="B62" s="2" t="s">
        <v>469</v>
      </c>
      <c r="C62" s="40" t="s">
        <v>468</v>
      </c>
      <c r="D62" s="41">
        <v>2500000</v>
      </c>
      <c r="E62" s="27" t="s">
        <v>6</v>
      </c>
      <c r="F62" s="43">
        <v>44992</v>
      </c>
    </row>
    <row r="63" spans="1:6">
      <c r="A63" s="23">
        <v>44991</v>
      </c>
      <c r="B63" s="2" t="s">
        <v>453</v>
      </c>
      <c r="C63" s="25" t="s">
        <v>179</v>
      </c>
      <c r="D63" s="30">
        <v>109069.45</v>
      </c>
      <c r="E63" s="27" t="s">
        <v>6</v>
      </c>
      <c r="F63" s="28">
        <v>44992</v>
      </c>
    </row>
    <row r="64" spans="1:6">
      <c r="A64" s="23">
        <v>44991</v>
      </c>
      <c r="B64" s="2" t="s">
        <v>455</v>
      </c>
      <c r="C64" s="25" t="s">
        <v>441</v>
      </c>
      <c r="D64" s="30">
        <v>157931.71</v>
      </c>
      <c r="E64" s="27" t="s">
        <v>6</v>
      </c>
      <c r="F64" s="28">
        <v>45013</v>
      </c>
    </row>
    <row r="65" spans="1:8">
      <c r="A65" s="23">
        <v>44994</v>
      </c>
      <c r="B65" s="2" t="s">
        <v>457</v>
      </c>
      <c r="C65" s="25" t="s">
        <v>120</v>
      </c>
      <c r="D65" s="30">
        <v>1971337.87</v>
      </c>
      <c r="E65" s="27" t="s">
        <v>6</v>
      </c>
      <c r="F65" s="28">
        <v>44995</v>
      </c>
    </row>
    <row r="66" spans="1:8">
      <c r="A66" s="23">
        <v>44996</v>
      </c>
      <c r="B66" s="2" t="s">
        <v>480</v>
      </c>
      <c r="C66" s="25" t="s">
        <v>441</v>
      </c>
      <c r="D66" s="41">
        <v>242849.54</v>
      </c>
      <c r="E66" s="27" t="s">
        <v>6</v>
      </c>
      <c r="F66" s="28"/>
    </row>
    <row r="67" spans="1:8">
      <c r="A67" s="56">
        <v>44996</v>
      </c>
      <c r="B67" s="2" t="s">
        <v>479</v>
      </c>
      <c r="C67" s="55" t="s">
        <v>478</v>
      </c>
      <c r="D67" s="41">
        <v>38047.129999999997</v>
      </c>
      <c r="E67" s="27" t="s">
        <v>6</v>
      </c>
      <c r="F67" s="28"/>
    </row>
    <row r="68" spans="1:8">
      <c r="A68" s="23">
        <v>45000</v>
      </c>
      <c r="B68" s="2" t="s">
        <v>452</v>
      </c>
      <c r="C68" s="25" t="s">
        <v>93</v>
      </c>
      <c r="D68" s="30">
        <v>459400</v>
      </c>
      <c r="E68" s="27" t="s">
        <v>6</v>
      </c>
      <c r="F68" s="28">
        <v>45005</v>
      </c>
    </row>
    <row r="69" spans="1:8">
      <c r="A69" s="56">
        <v>45000</v>
      </c>
      <c r="B69" s="2" t="s">
        <v>481</v>
      </c>
      <c r="C69" s="55" t="s">
        <v>226</v>
      </c>
      <c r="D69" s="57">
        <v>233698.8</v>
      </c>
      <c r="E69" s="27" t="s">
        <v>6</v>
      </c>
      <c r="F69" s="28"/>
    </row>
    <row r="70" spans="1:8">
      <c r="A70" s="39">
        <v>45000</v>
      </c>
      <c r="B70" s="2" t="s">
        <v>464</v>
      </c>
      <c r="C70" s="40" t="s">
        <v>319</v>
      </c>
      <c r="D70" s="41">
        <v>930168</v>
      </c>
      <c r="E70" s="27" t="s">
        <v>6</v>
      </c>
      <c r="F70" s="43">
        <v>45000</v>
      </c>
      <c r="H70" s="53" t="s">
        <v>465</v>
      </c>
    </row>
    <row r="71" spans="1:8">
      <c r="A71" s="39">
        <v>45002</v>
      </c>
      <c r="B71" s="2" t="s">
        <v>475</v>
      </c>
      <c r="C71" s="55" t="s">
        <v>126</v>
      </c>
      <c r="D71" s="30">
        <v>142858.5</v>
      </c>
      <c r="E71" s="27" t="s">
        <v>6</v>
      </c>
      <c r="F71" s="43">
        <v>45005</v>
      </c>
    </row>
    <row r="72" spans="1:8">
      <c r="A72" s="23">
        <v>45003</v>
      </c>
      <c r="B72" s="2" t="s">
        <v>461</v>
      </c>
      <c r="C72" s="25" t="s">
        <v>460</v>
      </c>
      <c r="D72" s="30">
        <v>250000</v>
      </c>
      <c r="E72" s="27" t="s">
        <v>6</v>
      </c>
      <c r="F72" s="28">
        <v>45013</v>
      </c>
    </row>
    <row r="73" spans="1:8">
      <c r="A73" s="23">
        <v>45005</v>
      </c>
      <c r="B73" s="2" t="s">
        <v>326</v>
      </c>
      <c r="C73" s="25" t="s">
        <v>319</v>
      </c>
      <c r="D73" s="30">
        <v>55008.87</v>
      </c>
      <c r="E73" s="27" t="s">
        <v>6</v>
      </c>
      <c r="F73" s="28"/>
    </row>
    <row r="74" spans="1:8">
      <c r="A74" s="23">
        <v>45005</v>
      </c>
      <c r="B74" s="2" t="s">
        <v>342</v>
      </c>
      <c r="C74" s="25" t="s">
        <v>319</v>
      </c>
      <c r="D74" s="30">
        <v>385062.13</v>
      </c>
      <c r="E74" s="27" t="s">
        <v>6</v>
      </c>
      <c r="F74" s="28"/>
    </row>
    <row r="75" spans="1:8">
      <c r="A75" s="39">
        <v>45007</v>
      </c>
      <c r="B75" s="2" t="s">
        <v>472</v>
      </c>
      <c r="C75" s="55" t="s">
        <v>179</v>
      </c>
      <c r="D75" s="54">
        <v>113420</v>
      </c>
      <c r="E75" s="27" t="s">
        <v>6</v>
      </c>
      <c r="F75" s="43"/>
    </row>
    <row r="76" spans="1:8">
      <c r="A76" s="23">
        <v>45009</v>
      </c>
      <c r="B76" s="2" t="s">
        <v>458</v>
      </c>
      <c r="C76" s="25" t="s">
        <v>120</v>
      </c>
      <c r="D76" s="30">
        <v>1971337.87</v>
      </c>
      <c r="E76" s="27" t="s">
        <v>6</v>
      </c>
      <c r="F76" s="28">
        <v>45013</v>
      </c>
    </row>
    <row r="77" spans="1:8">
      <c r="A77" s="84">
        <v>45009</v>
      </c>
      <c r="B77" s="85" t="s">
        <v>486</v>
      </c>
      <c r="C77" s="86" t="s">
        <v>197</v>
      </c>
      <c r="D77" s="87">
        <v>262331.90999999997</v>
      </c>
      <c r="E77" s="88" t="s">
        <v>6</v>
      </c>
      <c r="F77" s="92" t="s">
        <v>463</v>
      </c>
    </row>
    <row r="78" spans="1:8">
      <c r="A78" s="23">
        <v>45010</v>
      </c>
      <c r="B78" s="2" t="s">
        <v>444</v>
      </c>
      <c r="C78" s="25" t="s">
        <v>430</v>
      </c>
      <c r="D78" s="30">
        <v>1855902</v>
      </c>
      <c r="E78" s="27" t="s">
        <v>6</v>
      </c>
      <c r="F78" s="28">
        <v>45013</v>
      </c>
    </row>
    <row r="79" spans="1:8">
      <c r="A79" s="39">
        <v>45010</v>
      </c>
      <c r="B79" s="2" t="s">
        <v>470</v>
      </c>
      <c r="C79" s="40" t="s">
        <v>468</v>
      </c>
      <c r="D79" s="41">
        <v>2500000</v>
      </c>
      <c r="E79" s="27" t="s">
        <v>6</v>
      </c>
      <c r="F79" s="28">
        <v>45014</v>
      </c>
    </row>
    <row r="80" spans="1:8">
      <c r="A80" s="84">
        <v>45010</v>
      </c>
      <c r="B80" s="85" t="s">
        <v>482</v>
      </c>
      <c r="C80" s="86" t="s">
        <v>226</v>
      </c>
      <c r="D80" s="87">
        <v>233698.8</v>
      </c>
      <c r="E80" s="88" t="s">
        <v>6</v>
      </c>
      <c r="F80" s="92" t="s">
        <v>463</v>
      </c>
    </row>
    <row r="81" spans="1:8">
      <c r="A81" s="84">
        <v>45015</v>
      </c>
      <c r="B81" s="85" t="s">
        <v>462</v>
      </c>
      <c r="C81" s="86" t="s">
        <v>460</v>
      </c>
      <c r="D81" s="87">
        <v>260000</v>
      </c>
      <c r="E81" s="88" t="s">
        <v>6</v>
      </c>
      <c r="F81" s="92">
        <v>45035</v>
      </c>
    </row>
    <row r="82" spans="1:8">
      <c r="A82" s="84">
        <v>45015</v>
      </c>
      <c r="B82" s="85" t="s">
        <v>483</v>
      </c>
      <c r="C82" s="86" t="s">
        <v>484</v>
      </c>
      <c r="D82" s="87">
        <v>82207</v>
      </c>
      <c r="E82" s="88" t="s">
        <v>6</v>
      </c>
      <c r="F82" s="92"/>
    </row>
    <row r="83" spans="1:8">
      <c r="A83" s="10"/>
      <c r="B83" s="11"/>
      <c r="C83" s="12" t="s">
        <v>7</v>
      </c>
      <c r="D83" s="90">
        <f>SUBTOTAL(109,D62:D82)</f>
        <v>14754329.580000002</v>
      </c>
      <c r="E83" s="14"/>
      <c r="F83" s="15"/>
    </row>
    <row r="84" spans="1:8">
      <c r="D84" t="s">
        <v>485</v>
      </c>
    </row>
    <row r="85" spans="1:8" ht="21">
      <c r="A85" s="339" t="s">
        <v>328</v>
      </c>
      <c r="B85" s="339"/>
      <c r="C85" s="339"/>
      <c r="D85" s="339"/>
      <c r="E85" s="20"/>
      <c r="F85" s="20"/>
    </row>
    <row r="86" spans="1:8" ht="21">
      <c r="A86" s="339"/>
      <c r="B86" s="339"/>
      <c r="C86" s="339"/>
      <c r="D86" s="339"/>
      <c r="E86" s="20"/>
      <c r="F86" s="20"/>
    </row>
    <row r="87" spans="1:8">
      <c r="A87" s="7" t="s">
        <v>0</v>
      </c>
      <c r="B87" s="8" t="s">
        <v>1</v>
      </c>
      <c r="C87" s="8" t="s">
        <v>2</v>
      </c>
      <c r="D87" s="8" t="s">
        <v>3</v>
      </c>
      <c r="E87" s="8" t="s">
        <v>4</v>
      </c>
      <c r="F87" s="9" t="s">
        <v>5</v>
      </c>
    </row>
    <row r="88" spans="1:8">
      <c r="A88" s="84">
        <v>45020</v>
      </c>
      <c r="B88" s="85" t="s">
        <v>487</v>
      </c>
      <c r="C88" s="86" t="s">
        <v>488</v>
      </c>
      <c r="D88" s="87">
        <v>74474.350000000006</v>
      </c>
      <c r="E88" s="88" t="s">
        <v>6</v>
      </c>
      <c r="F88" s="89"/>
    </row>
    <row r="89" spans="1:8">
      <c r="A89" s="84">
        <v>45022</v>
      </c>
      <c r="B89" s="85" t="s">
        <v>456</v>
      </c>
      <c r="C89" s="98" t="s">
        <v>441</v>
      </c>
      <c r="D89" s="87">
        <v>157931.71</v>
      </c>
      <c r="E89" s="99" t="s">
        <v>6</v>
      </c>
      <c r="F89" s="89" t="s">
        <v>463</v>
      </c>
    </row>
    <row r="90" spans="1:8">
      <c r="A90" s="84">
        <v>45023</v>
      </c>
      <c r="B90" s="85" t="s">
        <v>529</v>
      </c>
      <c r="C90" s="86" t="s">
        <v>528</v>
      </c>
      <c r="D90" s="87">
        <v>161837.5</v>
      </c>
      <c r="E90" s="88" t="s">
        <v>6</v>
      </c>
      <c r="F90" s="89" t="s">
        <v>463</v>
      </c>
    </row>
    <row r="91" spans="1:8">
      <c r="A91" s="84">
        <v>45023</v>
      </c>
      <c r="B91" s="85" t="s">
        <v>473</v>
      </c>
      <c r="C91" s="86" t="s">
        <v>179</v>
      </c>
      <c r="D91" s="87">
        <v>113420</v>
      </c>
      <c r="E91" s="88" t="s">
        <v>6</v>
      </c>
      <c r="F91" s="89"/>
    </row>
    <row r="92" spans="1:8">
      <c r="A92" s="84">
        <v>45031</v>
      </c>
      <c r="B92" s="85" t="s">
        <v>466</v>
      </c>
      <c r="C92" s="86" t="s">
        <v>319</v>
      </c>
      <c r="D92" s="87">
        <v>930168</v>
      </c>
      <c r="E92" s="88" t="s">
        <v>6</v>
      </c>
      <c r="F92" s="89" t="s">
        <v>463</v>
      </c>
      <c r="H92" s="19" t="s">
        <v>465</v>
      </c>
    </row>
    <row r="93" spans="1:8">
      <c r="A93" s="84">
        <v>45031</v>
      </c>
      <c r="B93" s="85" t="s">
        <v>494</v>
      </c>
      <c r="C93" s="86" t="s">
        <v>93</v>
      </c>
      <c r="D93" s="87">
        <v>85200</v>
      </c>
      <c r="E93" s="88" t="s">
        <v>6</v>
      </c>
      <c r="F93" s="89" t="s">
        <v>463</v>
      </c>
    </row>
    <row r="94" spans="1:8">
      <c r="A94" s="93">
        <v>45031</v>
      </c>
      <c r="B94" s="85" t="s">
        <v>530</v>
      </c>
      <c r="C94" s="94" t="s">
        <v>226</v>
      </c>
      <c r="D94" s="97">
        <v>106591.32</v>
      </c>
      <c r="E94" s="52" t="s">
        <v>6</v>
      </c>
      <c r="F94" s="89" t="s">
        <v>463</v>
      </c>
    </row>
    <row r="95" spans="1:8">
      <c r="A95" s="84">
        <v>45033</v>
      </c>
      <c r="B95" s="85" t="s">
        <v>474</v>
      </c>
      <c r="C95" s="86" t="s">
        <v>126</v>
      </c>
      <c r="D95" s="87">
        <v>142858.5</v>
      </c>
      <c r="E95" s="88" t="s">
        <v>6</v>
      </c>
      <c r="F95" s="89" t="s">
        <v>463</v>
      </c>
    </row>
    <row r="96" spans="1:8">
      <c r="A96" s="84">
        <v>45036</v>
      </c>
      <c r="B96" s="85" t="s">
        <v>327</v>
      </c>
      <c r="C96" s="86" t="s">
        <v>319</v>
      </c>
      <c r="D96" s="87">
        <v>55008.87</v>
      </c>
      <c r="E96" s="88" t="s">
        <v>6</v>
      </c>
      <c r="F96" s="89" t="s">
        <v>463</v>
      </c>
    </row>
    <row r="97" spans="1:8">
      <c r="A97" s="84">
        <v>45036</v>
      </c>
      <c r="B97" s="85" t="s">
        <v>343</v>
      </c>
      <c r="C97" s="86" t="s">
        <v>319</v>
      </c>
      <c r="D97" s="87">
        <v>385062.13</v>
      </c>
      <c r="E97" s="88" t="s">
        <v>6</v>
      </c>
      <c r="F97" s="89" t="s">
        <v>463</v>
      </c>
    </row>
    <row r="98" spans="1:8">
      <c r="A98" s="84">
        <v>45036</v>
      </c>
      <c r="B98" s="85" t="s">
        <v>489</v>
      </c>
      <c r="C98" s="86" t="s">
        <v>488</v>
      </c>
      <c r="D98" s="87">
        <v>74474.350000000006</v>
      </c>
      <c r="E98" s="88" t="s">
        <v>6</v>
      </c>
      <c r="F98" s="89" t="s">
        <v>463</v>
      </c>
    </row>
    <row r="99" spans="1:8">
      <c r="A99" s="84">
        <v>45038</v>
      </c>
      <c r="B99" s="85" t="s">
        <v>490</v>
      </c>
      <c r="C99" s="86" t="s">
        <v>126</v>
      </c>
      <c r="D99" s="87">
        <v>142858.5</v>
      </c>
      <c r="E99" s="88" t="s">
        <v>6</v>
      </c>
      <c r="F99" s="89" t="s">
        <v>463</v>
      </c>
    </row>
    <row r="100" spans="1:8">
      <c r="A100" s="84">
        <v>45041</v>
      </c>
      <c r="B100" s="85" t="s">
        <v>445</v>
      </c>
      <c r="C100" s="86" t="s">
        <v>430</v>
      </c>
      <c r="D100" s="87">
        <v>1855902</v>
      </c>
      <c r="E100" s="88" t="s">
        <v>6</v>
      </c>
      <c r="F100" s="89" t="s">
        <v>463</v>
      </c>
    </row>
    <row r="101" spans="1:8">
      <c r="A101" s="84">
        <v>45046</v>
      </c>
      <c r="B101" s="85" t="s">
        <v>539</v>
      </c>
      <c r="C101" s="86" t="s">
        <v>540</v>
      </c>
      <c r="D101" s="87">
        <v>198524</v>
      </c>
      <c r="E101" s="88" t="s">
        <v>6</v>
      </c>
      <c r="F101" s="89">
        <v>45049</v>
      </c>
    </row>
    <row r="102" spans="1:8">
      <c r="A102" s="84">
        <v>45046</v>
      </c>
      <c r="B102" s="85" t="s">
        <v>541</v>
      </c>
      <c r="C102" s="86" t="s">
        <v>542</v>
      </c>
      <c r="D102" s="87">
        <v>2582062.35</v>
      </c>
      <c r="E102" s="88" t="s">
        <v>6</v>
      </c>
      <c r="F102" s="89">
        <v>45057</v>
      </c>
    </row>
    <row r="103" spans="1:8">
      <c r="A103" s="10"/>
      <c r="B103" s="11"/>
      <c r="C103" s="12" t="s">
        <v>7</v>
      </c>
      <c r="D103" s="90">
        <f>SUBTOTAL(109,D88:D102)</f>
        <v>7066373.5800000001</v>
      </c>
      <c r="E103" s="14"/>
      <c r="F103" s="15"/>
    </row>
    <row r="105" spans="1:8" ht="21">
      <c r="A105" s="339" t="s">
        <v>329</v>
      </c>
      <c r="B105" s="339"/>
      <c r="C105" s="339"/>
      <c r="D105" s="339"/>
      <c r="E105" s="20"/>
      <c r="F105" s="20"/>
    </row>
    <row r="106" spans="1:8" ht="21">
      <c r="A106" s="339"/>
      <c r="B106" s="339"/>
      <c r="C106" s="339"/>
      <c r="D106" s="339"/>
      <c r="E106" s="20"/>
      <c r="F106" s="20"/>
    </row>
    <row r="107" spans="1:8">
      <c r="A107" s="7" t="s">
        <v>0</v>
      </c>
      <c r="B107" s="8" t="s">
        <v>1</v>
      </c>
      <c r="C107" s="8" t="s">
        <v>2</v>
      </c>
      <c r="D107" s="8" t="s">
        <v>3</v>
      </c>
      <c r="E107" s="8" t="s">
        <v>4</v>
      </c>
      <c r="F107" s="9" t="s">
        <v>5</v>
      </c>
    </row>
    <row r="108" spans="1:8">
      <c r="A108" s="134">
        <v>45061</v>
      </c>
      <c r="B108" s="96" t="s">
        <v>531</v>
      </c>
      <c r="C108" s="123" t="s">
        <v>546</v>
      </c>
      <c r="D108" s="118">
        <v>450000</v>
      </c>
      <c r="E108" s="27" t="s">
        <v>6</v>
      </c>
      <c r="F108" s="89">
        <v>45062</v>
      </c>
      <c r="H108" s="19" t="s">
        <v>465</v>
      </c>
    </row>
    <row r="109" spans="1:8">
      <c r="A109" s="107">
        <v>45076</v>
      </c>
      <c r="B109" s="106" t="s">
        <v>555</v>
      </c>
      <c r="C109" s="135" t="s">
        <v>546</v>
      </c>
      <c r="D109" s="136">
        <v>865000</v>
      </c>
      <c r="E109" s="137" t="s">
        <v>6</v>
      </c>
      <c r="F109" s="111">
        <v>45079</v>
      </c>
    </row>
    <row r="110" spans="1:8">
      <c r="A110" s="120">
        <v>45066</v>
      </c>
      <c r="B110" s="85" t="s">
        <v>330</v>
      </c>
      <c r="C110" s="98" t="s">
        <v>319</v>
      </c>
      <c r="D110" s="87">
        <v>55008.87</v>
      </c>
      <c r="E110" s="133" t="s">
        <v>6</v>
      </c>
      <c r="F110" s="89">
        <v>45069</v>
      </c>
    </row>
    <row r="111" spans="1:8">
      <c r="A111" s="84">
        <v>45066</v>
      </c>
      <c r="B111" s="85" t="s">
        <v>344</v>
      </c>
      <c r="C111" s="98" t="s">
        <v>319</v>
      </c>
      <c r="D111" s="87">
        <v>385062.13</v>
      </c>
      <c r="E111" s="88" t="s">
        <v>6</v>
      </c>
      <c r="F111" s="89">
        <v>45069</v>
      </c>
    </row>
    <row r="112" spans="1:8">
      <c r="A112" s="84">
        <v>45071</v>
      </c>
      <c r="B112" s="85" t="s">
        <v>446</v>
      </c>
      <c r="C112" s="98" t="s">
        <v>430</v>
      </c>
      <c r="D112" s="87">
        <v>1855902</v>
      </c>
      <c r="E112" s="115" t="s">
        <v>6</v>
      </c>
      <c r="F112" s="89">
        <v>45076</v>
      </c>
    </row>
    <row r="113" spans="1:8">
      <c r="A113" s="84">
        <v>45061</v>
      </c>
      <c r="B113" s="85" t="s">
        <v>493</v>
      </c>
      <c r="C113" s="98" t="s">
        <v>319</v>
      </c>
      <c r="D113" s="87">
        <v>930168</v>
      </c>
      <c r="E113" s="88" t="s">
        <v>6</v>
      </c>
      <c r="F113" s="89">
        <v>45062</v>
      </c>
    </row>
    <row r="114" spans="1:8">
      <c r="A114" s="120">
        <v>45063</v>
      </c>
      <c r="B114" s="85" t="s">
        <v>476</v>
      </c>
      <c r="C114" s="127" t="s">
        <v>126</v>
      </c>
      <c r="D114" s="131">
        <v>142858.5</v>
      </c>
      <c r="E114" s="88" t="s">
        <v>6</v>
      </c>
      <c r="F114" s="89">
        <v>45064</v>
      </c>
    </row>
    <row r="115" spans="1:8">
      <c r="A115" s="84">
        <v>45068</v>
      </c>
      <c r="B115" s="85" t="s">
        <v>491</v>
      </c>
      <c r="C115" s="98" t="s">
        <v>126</v>
      </c>
      <c r="D115" s="87">
        <v>142858.51</v>
      </c>
      <c r="E115" s="88" t="s">
        <v>6</v>
      </c>
      <c r="F115" s="89">
        <v>45069</v>
      </c>
    </row>
    <row r="116" spans="1:8">
      <c r="A116" s="122">
        <v>45061</v>
      </c>
      <c r="B116" s="85" t="s">
        <v>543</v>
      </c>
      <c r="C116" s="86" t="s">
        <v>542</v>
      </c>
      <c r="D116" s="87">
        <v>2582062.35</v>
      </c>
      <c r="E116" s="27" t="s">
        <v>6</v>
      </c>
      <c r="F116" s="101">
        <v>45063</v>
      </c>
    </row>
    <row r="117" spans="1:8">
      <c r="A117" s="84">
        <v>45074</v>
      </c>
      <c r="B117" s="85" t="s">
        <v>548</v>
      </c>
      <c r="C117" s="98" t="s">
        <v>547</v>
      </c>
      <c r="D117" s="87">
        <v>150000</v>
      </c>
      <c r="E117" s="88" t="s">
        <v>6</v>
      </c>
      <c r="F117" s="89">
        <v>45076</v>
      </c>
    </row>
    <row r="118" spans="1:8">
      <c r="A118" s="103">
        <v>45066</v>
      </c>
      <c r="B118" s="85" t="s">
        <v>554</v>
      </c>
      <c r="C118" s="105" t="s">
        <v>226</v>
      </c>
      <c r="D118" s="104">
        <v>217754.92</v>
      </c>
      <c r="E118" s="114" t="s">
        <v>6</v>
      </c>
      <c r="F118" s="28">
        <v>45076</v>
      </c>
    </row>
    <row r="119" spans="1:8">
      <c r="A119" s="107">
        <v>45076</v>
      </c>
      <c r="B119" s="85" t="s">
        <v>556</v>
      </c>
      <c r="C119" s="108" t="s">
        <v>420</v>
      </c>
      <c r="D119" s="109">
        <v>198524</v>
      </c>
      <c r="E119" s="110" t="s">
        <v>6</v>
      </c>
      <c r="F119" s="111">
        <v>45077</v>
      </c>
    </row>
    <row r="120" spans="1:8">
      <c r="A120" s="10"/>
      <c r="B120" s="11"/>
      <c r="C120" s="12" t="s">
        <v>7</v>
      </c>
      <c r="D120" s="112">
        <f>SUBTOTAL(109,D108:D119)</f>
        <v>7975199.2799999993</v>
      </c>
      <c r="E120" s="14"/>
      <c r="F120" s="15"/>
    </row>
    <row r="122" spans="1:8" ht="21">
      <c r="A122" s="339" t="s">
        <v>331</v>
      </c>
      <c r="B122" s="339"/>
      <c r="C122" s="339"/>
      <c r="D122" s="339"/>
      <c r="E122" s="20"/>
      <c r="F122" s="20"/>
    </row>
    <row r="123" spans="1:8" ht="21">
      <c r="A123" s="339"/>
      <c r="B123" s="339"/>
      <c r="C123" s="339"/>
      <c r="D123" s="339"/>
      <c r="E123" s="20"/>
      <c r="F123" s="20"/>
      <c r="H123" s="91"/>
    </row>
    <row r="124" spans="1:8">
      <c r="A124" s="7" t="s">
        <v>0</v>
      </c>
      <c r="B124" s="8" t="s">
        <v>1</v>
      </c>
      <c r="C124" s="8" t="s">
        <v>2</v>
      </c>
      <c r="D124" s="8" t="s">
        <v>3</v>
      </c>
      <c r="E124" s="8" t="s">
        <v>4</v>
      </c>
      <c r="F124" s="9" t="s">
        <v>5</v>
      </c>
    </row>
    <row r="125" spans="1:8">
      <c r="A125" s="93">
        <v>45092</v>
      </c>
      <c r="B125" s="96" t="s">
        <v>532</v>
      </c>
      <c r="C125" s="123" t="s">
        <v>546</v>
      </c>
      <c r="D125" s="118">
        <v>450000</v>
      </c>
      <c r="E125" s="116" t="s">
        <v>6</v>
      </c>
      <c r="F125" s="92">
        <v>45099</v>
      </c>
    </row>
    <row r="126" spans="1:8">
      <c r="A126" s="120">
        <v>45097</v>
      </c>
      <c r="B126" s="85" t="s">
        <v>332</v>
      </c>
      <c r="C126" s="127" t="s">
        <v>319</v>
      </c>
      <c r="D126" s="131">
        <v>55008.87</v>
      </c>
      <c r="E126" s="99" t="s">
        <v>6</v>
      </c>
      <c r="F126" s="92">
        <v>45099</v>
      </c>
    </row>
    <row r="127" spans="1:8">
      <c r="A127" s="120">
        <v>45097</v>
      </c>
      <c r="B127" s="85" t="s">
        <v>345</v>
      </c>
      <c r="C127" s="126" t="s">
        <v>319</v>
      </c>
      <c r="D127" s="131">
        <v>385062.13</v>
      </c>
      <c r="E127" s="88" t="s">
        <v>6</v>
      </c>
      <c r="F127" s="89">
        <v>45099</v>
      </c>
    </row>
    <row r="128" spans="1:8">
      <c r="A128" s="84">
        <v>45102</v>
      </c>
      <c r="B128" s="85" t="s">
        <v>526</v>
      </c>
      <c r="C128" s="98" t="s">
        <v>430</v>
      </c>
      <c r="D128" s="87">
        <v>1855902</v>
      </c>
      <c r="E128" s="99" t="s">
        <v>6</v>
      </c>
      <c r="F128" s="92">
        <v>45104</v>
      </c>
    </row>
    <row r="129" spans="1:6">
      <c r="A129" s="120">
        <v>45092</v>
      </c>
      <c r="B129" s="85" t="s">
        <v>527</v>
      </c>
      <c r="C129" s="124" t="s">
        <v>319</v>
      </c>
      <c r="D129" s="129">
        <v>930168</v>
      </c>
      <c r="E129" s="132" t="s">
        <v>6</v>
      </c>
      <c r="F129" s="92">
        <v>45093</v>
      </c>
    </row>
    <row r="130" spans="1:6">
      <c r="A130" s="84">
        <v>45099</v>
      </c>
      <c r="B130" s="85" t="s">
        <v>492</v>
      </c>
      <c r="C130" s="86" t="s">
        <v>126</v>
      </c>
      <c r="D130" s="87">
        <v>142858.51</v>
      </c>
      <c r="E130" s="88" t="s">
        <v>6</v>
      </c>
      <c r="F130" s="89">
        <v>45100</v>
      </c>
    </row>
    <row r="131" spans="1:6">
      <c r="A131" s="122">
        <v>45082</v>
      </c>
      <c r="B131" s="85" t="s">
        <v>544</v>
      </c>
      <c r="C131" s="98" t="s">
        <v>542</v>
      </c>
      <c r="D131" s="87">
        <v>2582062.35</v>
      </c>
      <c r="E131" s="114" t="s">
        <v>6</v>
      </c>
      <c r="F131" s="117">
        <v>45086</v>
      </c>
    </row>
    <row r="132" spans="1:6">
      <c r="A132" s="100">
        <v>45097</v>
      </c>
      <c r="B132" s="85" t="s">
        <v>545</v>
      </c>
      <c r="C132" s="86" t="s">
        <v>542</v>
      </c>
      <c r="D132" s="87">
        <v>2582062.35</v>
      </c>
      <c r="E132" s="52" t="s">
        <v>6</v>
      </c>
      <c r="F132" s="101">
        <v>45106</v>
      </c>
    </row>
    <row r="133" spans="1:6">
      <c r="A133" s="107">
        <v>45087</v>
      </c>
      <c r="B133" s="85" t="s">
        <v>558</v>
      </c>
      <c r="C133" s="108" t="s">
        <v>557</v>
      </c>
      <c r="D133" s="109">
        <v>1134750</v>
      </c>
      <c r="E133" s="115" t="s">
        <v>6</v>
      </c>
      <c r="F133" s="117">
        <v>45090</v>
      </c>
    </row>
    <row r="134" spans="1:6">
      <c r="A134" s="121">
        <v>45082</v>
      </c>
      <c r="B134" s="85" t="s">
        <v>560</v>
      </c>
      <c r="C134" s="128" t="s">
        <v>400</v>
      </c>
      <c r="D134" s="130">
        <v>333200</v>
      </c>
      <c r="E134" s="115" t="s">
        <v>6</v>
      </c>
      <c r="F134" s="117">
        <v>45083</v>
      </c>
    </row>
    <row r="135" spans="1:6">
      <c r="A135" s="138">
        <v>45100</v>
      </c>
      <c r="B135" s="106" t="s">
        <v>559</v>
      </c>
      <c r="C135" s="119" t="s">
        <v>304</v>
      </c>
      <c r="D135" s="142">
        <v>75020</v>
      </c>
      <c r="E135" s="52" t="s">
        <v>6</v>
      </c>
      <c r="F135" s="89">
        <v>45126</v>
      </c>
    </row>
    <row r="136" spans="1:6">
      <c r="A136" s="107">
        <v>45097</v>
      </c>
      <c r="B136" s="85" t="s">
        <v>561</v>
      </c>
      <c r="C136" s="113" t="s">
        <v>226</v>
      </c>
      <c r="D136" s="109">
        <v>224089.95</v>
      </c>
      <c r="E136" s="110" t="s">
        <v>6</v>
      </c>
      <c r="F136" s="111">
        <v>45099</v>
      </c>
    </row>
    <row r="137" spans="1:6">
      <c r="A137" s="121">
        <v>45100</v>
      </c>
      <c r="B137" s="85" t="s">
        <v>562</v>
      </c>
      <c r="C137" s="125" t="s">
        <v>563</v>
      </c>
      <c r="D137" s="130">
        <v>148376.76</v>
      </c>
      <c r="E137" s="110" t="s">
        <v>6</v>
      </c>
      <c r="F137" s="111">
        <v>45100</v>
      </c>
    </row>
    <row r="138" spans="1:6">
      <c r="A138" s="121">
        <v>45107</v>
      </c>
      <c r="B138" s="85" t="s">
        <v>619</v>
      </c>
      <c r="C138" s="125" t="s">
        <v>484</v>
      </c>
      <c r="D138" s="130">
        <v>224614</v>
      </c>
      <c r="E138" s="27" t="s">
        <v>6</v>
      </c>
      <c r="F138" s="111">
        <v>45110</v>
      </c>
    </row>
    <row r="139" spans="1:6">
      <c r="A139" s="107">
        <v>45103</v>
      </c>
      <c r="B139" s="85" t="s">
        <v>564</v>
      </c>
      <c r="C139" s="113" t="s">
        <v>565</v>
      </c>
      <c r="D139" s="109">
        <v>563574.69999999995</v>
      </c>
      <c r="E139" s="110" t="s">
        <v>6</v>
      </c>
      <c r="F139" s="111">
        <v>45104</v>
      </c>
    </row>
    <row r="140" spans="1:6">
      <c r="A140" s="107">
        <v>45104</v>
      </c>
      <c r="B140" s="85" t="s">
        <v>567</v>
      </c>
      <c r="C140" s="113" t="s">
        <v>568</v>
      </c>
      <c r="D140" s="109">
        <v>117000</v>
      </c>
      <c r="E140" s="110" t="s">
        <v>6</v>
      </c>
      <c r="F140" s="111">
        <v>45104</v>
      </c>
    </row>
    <row r="141" spans="1:6">
      <c r="A141" s="10"/>
      <c r="B141" s="11"/>
      <c r="C141" s="12" t="s">
        <v>7</v>
      </c>
      <c r="D141" s="112">
        <f>SUBTOTAL(109,D125:D140)</f>
        <v>11803749.619999997</v>
      </c>
      <c r="E141" s="14"/>
      <c r="F141" s="15"/>
    </row>
    <row r="143" spans="1:6" ht="21">
      <c r="A143" s="339" t="s">
        <v>533</v>
      </c>
      <c r="B143" s="339"/>
      <c r="C143" s="339"/>
      <c r="D143" s="339"/>
      <c r="E143" s="20"/>
      <c r="F143" s="20"/>
    </row>
    <row r="144" spans="1:6" ht="21">
      <c r="A144" s="339"/>
      <c r="B144" s="339"/>
      <c r="C144" s="339"/>
      <c r="D144" s="339"/>
      <c r="E144" s="20"/>
      <c r="F144" s="20"/>
    </row>
    <row r="145" spans="1:6">
      <c r="A145" s="7" t="s">
        <v>0</v>
      </c>
      <c r="B145" s="8" t="s">
        <v>1</v>
      </c>
      <c r="C145" s="8" t="s">
        <v>2</v>
      </c>
      <c r="D145" s="8" t="s">
        <v>3</v>
      </c>
      <c r="E145" s="8" t="s">
        <v>4</v>
      </c>
      <c r="F145" s="9" t="s">
        <v>5</v>
      </c>
    </row>
    <row r="146" spans="1:6">
      <c r="A146" s="138">
        <v>45110</v>
      </c>
      <c r="B146" s="85" t="s">
        <v>591</v>
      </c>
      <c r="C146" s="141" t="s">
        <v>590</v>
      </c>
      <c r="D146" s="142">
        <v>114000</v>
      </c>
      <c r="E146" s="52" t="s">
        <v>6</v>
      </c>
      <c r="F146" s="28">
        <v>45114</v>
      </c>
    </row>
    <row r="147" spans="1:6">
      <c r="A147" s="138">
        <v>45110</v>
      </c>
      <c r="B147" s="106" t="s">
        <v>605</v>
      </c>
      <c r="C147" s="141" t="s">
        <v>364</v>
      </c>
      <c r="D147" s="142">
        <v>150000</v>
      </c>
      <c r="E147" s="52" t="s">
        <v>6</v>
      </c>
      <c r="F147" s="28">
        <v>45125</v>
      </c>
    </row>
    <row r="148" spans="1:6">
      <c r="A148" s="138">
        <v>45112</v>
      </c>
      <c r="B148" s="85" t="s">
        <v>584</v>
      </c>
      <c r="C148" s="141" t="s">
        <v>121</v>
      </c>
      <c r="D148" s="142">
        <v>56211.81</v>
      </c>
      <c r="E148" s="52" t="s">
        <v>6</v>
      </c>
      <c r="F148" s="28">
        <v>45114</v>
      </c>
    </row>
    <row r="149" spans="1:6">
      <c r="A149" s="138">
        <v>45117</v>
      </c>
      <c r="B149" s="106" t="s">
        <v>611</v>
      </c>
      <c r="C149" s="141" t="s">
        <v>612</v>
      </c>
      <c r="D149" s="142">
        <v>404000</v>
      </c>
      <c r="E149" s="52" t="s">
        <v>6</v>
      </c>
      <c r="F149" s="28">
        <v>45117</v>
      </c>
    </row>
    <row r="150" spans="1:6">
      <c r="A150" s="138">
        <v>45122</v>
      </c>
      <c r="B150" s="106" t="s">
        <v>534</v>
      </c>
      <c r="C150" s="119" t="s">
        <v>546</v>
      </c>
      <c r="D150" s="142">
        <v>450000</v>
      </c>
      <c r="E150" s="52" t="s">
        <v>6</v>
      </c>
      <c r="F150" s="89">
        <v>45134</v>
      </c>
    </row>
    <row r="151" spans="1:6">
      <c r="A151" s="138">
        <v>45122</v>
      </c>
      <c r="B151" s="85" t="s">
        <v>549</v>
      </c>
      <c r="C151" s="143" t="s">
        <v>319</v>
      </c>
      <c r="D151" s="129">
        <v>930168</v>
      </c>
      <c r="E151" s="52" t="s">
        <v>6</v>
      </c>
      <c r="F151" s="95">
        <v>45125</v>
      </c>
    </row>
    <row r="152" spans="1:6">
      <c r="A152" s="103">
        <v>45122</v>
      </c>
      <c r="B152" s="106" t="s">
        <v>597</v>
      </c>
      <c r="C152" s="141"/>
      <c r="D152" s="104">
        <v>1500000</v>
      </c>
      <c r="E152" s="52" t="s">
        <v>6</v>
      </c>
      <c r="F152" s="28">
        <v>45133</v>
      </c>
    </row>
    <row r="153" spans="1:6">
      <c r="A153" s="138">
        <v>45123</v>
      </c>
      <c r="B153" s="85" t="s">
        <v>588</v>
      </c>
      <c r="C153" s="141" t="s">
        <v>563</v>
      </c>
      <c r="D153" s="142">
        <v>15455.86</v>
      </c>
      <c r="E153" s="52" t="s">
        <v>6</v>
      </c>
      <c r="F153" s="28">
        <v>45124</v>
      </c>
    </row>
    <row r="154" spans="1:6">
      <c r="A154" s="138">
        <v>45124</v>
      </c>
      <c r="B154" s="85" t="s">
        <v>624</v>
      </c>
      <c r="C154" s="141" t="s">
        <v>197</v>
      </c>
      <c r="D154" s="142">
        <v>304078.06</v>
      </c>
      <c r="E154" s="52" t="s">
        <v>6</v>
      </c>
      <c r="F154" s="28">
        <v>45128</v>
      </c>
    </row>
    <row r="155" spans="1:6">
      <c r="A155" s="138">
        <v>45126</v>
      </c>
      <c r="B155" s="85" t="s">
        <v>592</v>
      </c>
      <c r="C155" s="141" t="s">
        <v>590</v>
      </c>
      <c r="D155" s="142">
        <v>114000</v>
      </c>
      <c r="E155" s="52" t="s">
        <v>6</v>
      </c>
      <c r="F155" s="28">
        <v>45127</v>
      </c>
    </row>
    <row r="156" spans="1:6">
      <c r="A156" s="103">
        <v>45127</v>
      </c>
      <c r="B156" s="85" t="s">
        <v>566</v>
      </c>
      <c r="C156" s="86" t="s">
        <v>577</v>
      </c>
      <c r="D156" s="87">
        <v>128053.47</v>
      </c>
      <c r="E156" s="52" t="s">
        <v>6</v>
      </c>
      <c r="F156" s="95">
        <v>45128</v>
      </c>
    </row>
    <row r="157" spans="1:6">
      <c r="A157" s="103">
        <v>45128</v>
      </c>
      <c r="B157" s="85" t="s">
        <v>578</v>
      </c>
      <c r="C157" s="86" t="s">
        <v>579</v>
      </c>
      <c r="D157" s="87">
        <v>461250</v>
      </c>
      <c r="E157" s="52" t="s">
        <v>6</v>
      </c>
      <c r="F157" s="95">
        <v>45131</v>
      </c>
    </row>
    <row r="158" spans="1:6">
      <c r="A158" s="103">
        <v>45129</v>
      </c>
      <c r="B158" s="85" t="s">
        <v>580</v>
      </c>
      <c r="C158" s="141" t="s">
        <v>226</v>
      </c>
      <c r="D158" s="142">
        <v>295628.15999999997</v>
      </c>
      <c r="E158" s="52" t="s">
        <v>6</v>
      </c>
      <c r="F158" s="28">
        <v>45132</v>
      </c>
    </row>
    <row r="159" spans="1:6">
      <c r="A159" s="103">
        <v>45131</v>
      </c>
      <c r="B159" s="106" t="s">
        <v>613</v>
      </c>
      <c r="C159" s="140" t="s">
        <v>614</v>
      </c>
      <c r="D159" s="139">
        <v>2137300</v>
      </c>
      <c r="E159" s="52" t="s">
        <v>6</v>
      </c>
      <c r="F159" s="28">
        <v>45132</v>
      </c>
    </row>
    <row r="160" spans="1:6">
      <c r="A160" s="144">
        <v>45132</v>
      </c>
      <c r="B160" s="85" t="s">
        <v>551</v>
      </c>
      <c r="C160" s="143" t="s">
        <v>430</v>
      </c>
      <c r="D160" s="129">
        <v>1855902</v>
      </c>
      <c r="E160" s="88" t="s">
        <v>6</v>
      </c>
      <c r="F160" s="89">
        <v>45134</v>
      </c>
    </row>
    <row r="161" spans="1:6">
      <c r="A161" s="138">
        <v>45134</v>
      </c>
      <c r="B161" s="85" t="s">
        <v>585</v>
      </c>
      <c r="C161" s="141" t="s">
        <v>120</v>
      </c>
      <c r="D161" s="139">
        <v>1325000</v>
      </c>
      <c r="E161" s="52" t="s">
        <v>6</v>
      </c>
      <c r="F161" s="28">
        <v>45134</v>
      </c>
    </row>
    <row r="162" spans="1:6">
      <c r="A162" s="84">
        <v>45134</v>
      </c>
      <c r="B162" s="85" t="s">
        <v>689</v>
      </c>
      <c r="C162" s="86" t="s">
        <v>568</v>
      </c>
      <c r="D162" s="139">
        <v>74000</v>
      </c>
      <c r="E162" s="88" t="s">
        <v>6</v>
      </c>
      <c r="F162" s="89">
        <v>45139</v>
      </c>
    </row>
    <row r="163" spans="1:6">
      <c r="A163" s="103">
        <v>45135</v>
      </c>
      <c r="B163" s="106" t="s">
        <v>594</v>
      </c>
      <c r="C163" s="141" t="s">
        <v>596</v>
      </c>
      <c r="D163" s="139">
        <v>481500</v>
      </c>
      <c r="E163" s="52" t="s">
        <v>6</v>
      </c>
      <c r="F163" s="28">
        <v>45138</v>
      </c>
    </row>
    <row r="164" spans="1:6">
      <c r="A164" s="103">
        <v>45137</v>
      </c>
      <c r="B164" s="106" t="s">
        <v>595</v>
      </c>
      <c r="C164" s="141" t="s">
        <v>596</v>
      </c>
      <c r="D164" s="139">
        <v>481500</v>
      </c>
      <c r="E164" s="52" t="s">
        <v>6</v>
      </c>
      <c r="F164" s="28">
        <v>45139</v>
      </c>
    </row>
    <row r="165" spans="1:6">
      <c r="A165" s="144">
        <v>45136</v>
      </c>
      <c r="B165" s="85" t="s">
        <v>582</v>
      </c>
      <c r="C165" s="143" t="s">
        <v>568</v>
      </c>
      <c r="D165" s="139">
        <v>117000</v>
      </c>
      <c r="E165" s="88" t="s">
        <v>6</v>
      </c>
      <c r="F165" s="89">
        <v>45139</v>
      </c>
    </row>
    <row r="166" spans="1:6">
      <c r="A166" s="144">
        <v>45136</v>
      </c>
      <c r="B166" s="85" t="s">
        <v>664</v>
      </c>
      <c r="C166" s="143" t="s">
        <v>197</v>
      </c>
      <c r="D166" s="139">
        <v>326544.71000000002</v>
      </c>
      <c r="E166" s="88" t="s">
        <v>6</v>
      </c>
      <c r="F166" s="89">
        <v>45156</v>
      </c>
    </row>
    <row r="167" spans="1:6">
      <c r="A167" s="144">
        <v>45137</v>
      </c>
      <c r="B167" s="106" t="s">
        <v>606</v>
      </c>
      <c r="C167" s="141" t="s">
        <v>364</v>
      </c>
      <c r="D167" s="139">
        <v>100000</v>
      </c>
      <c r="E167" s="88" t="s">
        <v>6</v>
      </c>
      <c r="F167" s="89">
        <v>45139</v>
      </c>
    </row>
    <row r="168" spans="1:6">
      <c r="A168" s="144">
        <v>45137</v>
      </c>
      <c r="B168" s="85" t="s">
        <v>637</v>
      </c>
      <c r="C168" s="141" t="s">
        <v>420</v>
      </c>
      <c r="D168" s="139">
        <v>235019</v>
      </c>
      <c r="E168" s="88" t="s">
        <v>6</v>
      </c>
      <c r="F168" s="89">
        <v>45139</v>
      </c>
    </row>
    <row r="169" spans="1:6">
      <c r="A169" s="144">
        <v>45138</v>
      </c>
      <c r="B169" s="85" t="s">
        <v>581</v>
      </c>
      <c r="C169" s="143" t="s">
        <v>93</v>
      </c>
      <c r="D169" s="139">
        <v>187525.8</v>
      </c>
      <c r="E169" s="88" t="s">
        <v>6</v>
      </c>
      <c r="F169" s="89">
        <v>45139</v>
      </c>
    </row>
    <row r="170" spans="1:6">
      <c r="A170" s="144">
        <v>45138</v>
      </c>
      <c r="B170" s="85" t="s">
        <v>589</v>
      </c>
      <c r="C170" s="141" t="s">
        <v>563</v>
      </c>
      <c r="D170" s="139">
        <v>15455.86</v>
      </c>
      <c r="E170" s="88" t="s">
        <v>6</v>
      </c>
      <c r="F170" s="89">
        <v>45138</v>
      </c>
    </row>
    <row r="171" spans="1:6">
      <c r="A171" s="144">
        <v>45138</v>
      </c>
      <c r="B171" s="85" t="s">
        <v>665</v>
      </c>
      <c r="C171" s="141" t="s">
        <v>666</v>
      </c>
      <c r="D171" s="139">
        <v>62900</v>
      </c>
      <c r="E171" s="88" t="s">
        <v>6</v>
      </c>
      <c r="F171" s="89">
        <v>45154</v>
      </c>
    </row>
    <row r="172" spans="1:6">
      <c r="A172" s="10"/>
      <c r="B172" s="11"/>
      <c r="C172" s="12" t="s">
        <v>7</v>
      </c>
      <c r="D172" s="112">
        <f>SUBTOTAL(109,D146:D171)</f>
        <v>12322492.73</v>
      </c>
      <c r="E172" s="14"/>
      <c r="F172" s="15"/>
    </row>
    <row r="174" spans="1:6" ht="21">
      <c r="A174" s="339" t="s">
        <v>535</v>
      </c>
      <c r="B174" s="339"/>
      <c r="C174" s="339"/>
      <c r="D174" s="339"/>
      <c r="E174" s="20"/>
      <c r="F174" s="20"/>
    </row>
    <row r="175" spans="1:6" ht="21">
      <c r="A175" s="339"/>
      <c r="B175" s="339"/>
      <c r="C175" s="339"/>
      <c r="D175" s="339"/>
      <c r="E175" s="20"/>
      <c r="F175" s="20"/>
    </row>
    <row r="176" spans="1:6">
      <c r="A176" s="7" t="s">
        <v>0</v>
      </c>
      <c r="B176" s="8" t="s">
        <v>1</v>
      </c>
      <c r="C176" s="8" t="s">
        <v>2</v>
      </c>
      <c r="D176" s="8" t="s">
        <v>3</v>
      </c>
      <c r="E176" s="8" t="s">
        <v>4</v>
      </c>
      <c r="F176" s="9" t="s">
        <v>5</v>
      </c>
    </row>
    <row r="177" spans="1:6">
      <c r="A177" s="138">
        <v>45139</v>
      </c>
      <c r="B177" s="85" t="s">
        <v>647</v>
      </c>
      <c r="C177" s="141" t="s">
        <v>568</v>
      </c>
      <c r="D177" s="142">
        <v>37500</v>
      </c>
      <c r="E177" s="52" t="s">
        <v>6</v>
      </c>
      <c r="F177" s="28">
        <v>45155</v>
      </c>
    </row>
    <row r="178" spans="1:6">
      <c r="A178" s="138">
        <v>45141</v>
      </c>
      <c r="B178" s="85" t="s">
        <v>660</v>
      </c>
      <c r="C178" s="141" t="s">
        <v>226</v>
      </c>
      <c r="D178" s="142">
        <v>228064.41</v>
      </c>
      <c r="E178" s="52" t="s">
        <v>6</v>
      </c>
      <c r="F178" s="28">
        <v>45141</v>
      </c>
    </row>
    <row r="179" spans="1:6">
      <c r="A179" s="138">
        <v>45142</v>
      </c>
      <c r="B179" s="85" t="s">
        <v>622</v>
      </c>
      <c r="C179" s="141" t="s">
        <v>623</v>
      </c>
      <c r="D179" s="142">
        <v>35891.620000000003</v>
      </c>
      <c r="E179" s="52" t="s">
        <v>6</v>
      </c>
      <c r="F179" s="28">
        <v>45145</v>
      </c>
    </row>
    <row r="180" spans="1:6">
      <c r="A180" s="138">
        <v>45143</v>
      </c>
      <c r="B180" s="85" t="s">
        <v>631</v>
      </c>
      <c r="C180" s="141" t="s">
        <v>629</v>
      </c>
      <c r="D180" s="142">
        <v>1823200</v>
      </c>
      <c r="E180" s="52" t="s">
        <v>6</v>
      </c>
      <c r="F180" s="28">
        <v>45146</v>
      </c>
    </row>
    <row r="181" spans="1:6">
      <c r="A181" s="84">
        <v>45143</v>
      </c>
      <c r="B181" s="85" t="s">
        <v>642</v>
      </c>
      <c r="C181" s="86" t="s">
        <v>639</v>
      </c>
      <c r="D181" s="87">
        <v>201100</v>
      </c>
      <c r="E181" s="88" t="s">
        <v>6</v>
      </c>
      <c r="F181" s="89">
        <v>45146</v>
      </c>
    </row>
    <row r="182" spans="1:6">
      <c r="A182" s="138">
        <v>45145</v>
      </c>
      <c r="B182" s="85" t="s">
        <v>621</v>
      </c>
      <c r="C182" s="141" t="s">
        <v>179</v>
      </c>
      <c r="D182" s="142">
        <v>78556.460000000006</v>
      </c>
      <c r="E182" s="52" t="s">
        <v>6</v>
      </c>
      <c r="F182" s="28">
        <v>45146</v>
      </c>
    </row>
    <row r="183" spans="1:6">
      <c r="A183" s="103">
        <v>45145</v>
      </c>
      <c r="B183" s="106" t="s">
        <v>626</v>
      </c>
      <c r="C183" s="140" t="s">
        <v>414</v>
      </c>
      <c r="D183" s="139">
        <v>4531351.41</v>
      </c>
      <c r="E183" s="52" t="s">
        <v>6</v>
      </c>
      <c r="F183" s="28">
        <v>45146</v>
      </c>
    </row>
    <row r="184" spans="1:6">
      <c r="A184" s="103">
        <v>45145</v>
      </c>
      <c r="B184" s="106" t="s">
        <v>668</v>
      </c>
      <c r="C184" s="140" t="s">
        <v>667</v>
      </c>
      <c r="D184" s="139">
        <v>206087.8</v>
      </c>
      <c r="E184" s="52" t="s">
        <v>6</v>
      </c>
      <c r="F184" s="28">
        <v>45146</v>
      </c>
    </row>
    <row r="185" spans="1:6">
      <c r="A185" s="138">
        <v>45147</v>
      </c>
      <c r="B185" s="85" t="s">
        <v>593</v>
      </c>
      <c r="C185" s="141" t="s">
        <v>590</v>
      </c>
      <c r="D185" s="142">
        <v>152000</v>
      </c>
      <c r="E185" s="52" t="s">
        <v>6</v>
      </c>
      <c r="F185" s="28">
        <v>45148</v>
      </c>
    </row>
    <row r="186" spans="1:6">
      <c r="A186" s="103">
        <v>45147</v>
      </c>
      <c r="B186" s="85" t="s">
        <v>635</v>
      </c>
      <c r="C186" s="86" t="s">
        <v>441</v>
      </c>
      <c r="D186" s="87">
        <v>208677.13</v>
      </c>
      <c r="E186" s="52" t="s">
        <v>6</v>
      </c>
      <c r="F186" s="28">
        <v>45148</v>
      </c>
    </row>
    <row r="187" spans="1:6">
      <c r="A187" s="138">
        <v>45148</v>
      </c>
      <c r="B187" s="106" t="s">
        <v>608</v>
      </c>
      <c r="C187" s="141" t="s">
        <v>610</v>
      </c>
      <c r="D187" s="142">
        <v>500000</v>
      </c>
      <c r="E187" s="52" t="s">
        <v>6</v>
      </c>
      <c r="F187" s="28">
        <v>45174</v>
      </c>
    </row>
    <row r="188" spans="1:6">
      <c r="A188" s="138">
        <v>45148</v>
      </c>
      <c r="B188" s="106" t="s">
        <v>609</v>
      </c>
      <c r="C188" s="141" t="s">
        <v>610</v>
      </c>
      <c r="D188" s="142">
        <v>500000</v>
      </c>
      <c r="E188" s="52" t="s">
        <v>6</v>
      </c>
      <c r="F188" s="28">
        <v>45170</v>
      </c>
    </row>
    <row r="189" spans="1:6">
      <c r="A189" s="138">
        <v>45148</v>
      </c>
      <c r="B189" s="106" t="s">
        <v>615</v>
      </c>
      <c r="C189" s="141" t="s">
        <v>616</v>
      </c>
      <c r="D189" s="142">
        <v>726500</v>
      </c>
      <c r="E189" s="52" t="s">
        <v>6</v>
      </c>
      <c r="F189" s="28">
        <v>45156</v>
      </c>
    </row>
    <row r="190" spans="1:6">
      <c r="A190" s="56">
        <v>45148</v>
      </c>
      <c r="B190" s="85" t="s">
        <v>690</v>
      </c>
      <c r="C190" s="149" t="s">
        <v>683</v>
      </c>
      <c r="D190" s="139">
        <v>4097420</v>
      </c>
      <c r="E190" s="52" t="s">
        <v>6</v>
      </c>
      <c r="F190" s="28">
        <v>45149</v>
      </c>
    </row>
    <row r="191" spans="1:6">
      <c r="A191" s="138">
        <v>45150</v>
      </c>
      <c r="B191" s="85" t="s">
        <v>586</v>
      </c>
      <c r="C191" s="141" t="s">
        <v>120</v>
      </c>
      <c r="D191" s="142">
        <v>1324600</v>
      </c>
      <c r="E191" s="52" t="s">
        <v>6</v>
      </c>
      <c r="F191" s="28">
        <v>45153</v>
      </c>
    </row>
    <row r="192" spans="1:6">
      <c r="A192" s="138">
        <v>45150</v>
      </c>
      <c r="B192" s="85" t="s">
        <v>627</v>
      </c>
      <c r="C192" s="141" t="s">
        <v>414</v>
      </c>
      <c r="D192" s="142">
        <v>331372.12</v>
      </c>
      <c r="E192" s="52" t="s">
        <v>6</v>
      </c>
      <c r="F192" s="28">
        <v>45153</v>
      </c>
    </row>
    <row r="193" spans="1:6">
      <c r="A193" s="138">
        <v>45151</v>
      </c>
      <c r="B193" s="85" t="s">
        <v>659</v>
      </c>
      <c r="C193" s="141" t="s">
        <v>226</v>
      </c>
      <c r="D193" s="142">
        <v>228064.41</v>
      </c>
      <c r="E193" s="52" t="s">
        <v>6</v>
      </c>
      <c r="F193" s="28">
        <v>45153</v>
      </c>
    </row>
    <row r="194" spans="1:6">
      <c r="A194" s="138">
        <v>45152</v>
      </c>
      <c r="B194" s="85" t="s">
        <v>662</v>
      </c>
      <c r="C194" s="141" t="s">
        <v>197</v>
      </c>
      <c r="D194" s="142">
        <v>326544.71000000002</v>
      </c>
      <c r="E194" s="52" t="s">
        <v>6</v>
      </c>
      <c r="F194" s="28">
        <v>45154</v>
      </c>
    </row>
    <row r="195" spans="1:6">
      <c r="A195" s="138">
        <v>45152</v>
      </c>
      <c r="B195" s="85" t="s">
        <v>669</v>
      </c>
      <c r="C195" s="141" t="s">
        <v>579</v>
      </c>
      <c r="D195" s="142">
        <v>117400</v>
      </c>
      <c r="E195" s="52" t="s">
        <v>6</v>
      </c>
      <c r="F195" s="28">
        <v>45153</v>
      </c>
    </row>
    <row r="196" spans="1:6">
      <c r="A196" s="103">
        <v>45153</v>
      </c>
      <c r="B196" s="106" t="s">
        <v>536</v>
      </c>
      <c r="C196" s="102" t="s">
        <v>546</v>
      </c>
      <c r="D196" s="142">
        <v>500000</v>
      </c>
      <c r="E196" s="52" t="s">
        <v>6</v>
      </c>
      <c r="F196" s="89">
        <v>45160</v>
      </c>
    </row>
    <row r="197" spans="1:6">
      <c r="A197" s="103">
        <v>45153</v>
      </c>
      <c r="B197" s="85" t="s">
        <v>550</v>
      </c>
      <c r="C197" s="86" t="s">
        <v>319</v>
      </c>
      <c r="D197" s="87">
        <v>930168</v>
      </c>
      <c r="E197" s="52" t="s">
        <v>6</v>
      </c>
      <c r="F197" s="95">
        <v>45154</v>
      </c>
    </row>
    <row r="198" spans="1:6">
      <c r="A198" s="103">
        <v>45154</v>
      </c>
      <c r="B198" s="85" t="s">
        <v>693</v>
      </c>
      <c r="C198" s="86" t="s">
        <v>414</v>
      </c>
      <c r="D198" s="87">
        <v>95857.82</v>
      </c>
      <c r="E198" s="52" t="s">
        <v>6</v>
      </c>
      <c r="F198" s="95">
        <v>45167</v>
      </c>
    </row>
    <row r="199" spans="1:6">
      <c r="A199" s="103">
        <v>45156</v>
      </c>
      <c r="B199" s="106" t="s">
        <v>598</v>
      </c>
      <c r="C199" s="141" t="s">
        <v>671</v>
      </c>
      <c r="D199" s="104">
        <v>1500000</v>
      </c>
      <c r="E199" s="52" t="s">
        <v>6</v>
      </c>
      <c r="F199" s="28">
        <v>45160</v>
      </c>
    </row>
    <row r="200" spans="1:6">
      <c r="A200" s="150">
        <v>45156</v>
      </c>
      <c r="B200" s="85" t="s">
        <v>691</v>
      </c>
      <c r="C200" s="160" t="s">
        <v>692</v>
      </c>
      <c r="D200" s="104">
        <v>563605.68000000005</v>
      </c>
      <c r="E200" s="151" t="s">
        <v>6</v>
      </c>
      <c r="F200" s="152">
        <v>45163</v>
      </c>
    </row>
    <row r="201" spans="1:6">
      <c r="A201" s="103">
        <v>45158</v>
      </c>
      <c r="B201" s="106" t="s">
        <v>607</v>
      </c>
      <c r="C201" s="141" t="s">
        <v>364</v>
      </c>
      <c r="D201" s="104">
        <v>110000</v>
      </c>
      <c r="E201" s="52" t="s">
        <v>6</v>
      </c>
      <c r="F201" s="28">
        <v>45160</v>
      </c>
    </row>
    <row r="202" spans="1:6">
      <c r="A202" s="138">
        <v>45158</v>
      </c>
      <c r="B202" s="85" t="s">
        <v>630</v>
      </c>
      <c r="C202" s="141" t="s">
        <v>629</v>
      </c>
      <c r="D202" s="142">
        <v>1823200</v>
      </c>
      <c r="E202" s="52" t="s">
        <v>6</v>
      </c>
      <c r="F202" s="28">
        <v>45161</v>
      </c>
    </row>
    <row r="203" spans="1:6">
      <c r="A203" s="103">
        <v>45158</v>
      </c>
      <c r="B203" s="106" t="s">
        <v>670</v>
      </c>
      <c r="C203" s="102" t="s">
        <v>666</v>
      </c>
      <c r="D203" s="142">
        <v>125500</v>
      </c>
      <c r="E203" s="52" t="s">
        <v>6</v>
      </c>
      <c r="F203" s="89">
        <v>45161</v>
      </c>
    </row>
    <row r="204" spans="1:6">
      <c r="A204" s="103">
        <v>45159</v>
      </c>
      <c r="B204" s="106" t="s">
        <v>730</v>
      </c>
      <c r="C204" s="102" t="s">
        <v>460</v>
      </c>
      <c r="D204" s="142">
        <v>632507.74</v>
      </c>
      <c r="E204" s="52" t="s">
        <v>6</v>
      </c>
      <c r="F204" s="89">
        <v>45183</v>
      </c>
    </row>
    <row r="205" spans="1:6">
      <c r="A205" s="84">
        <v>45163</v>
      </c>
      <c r="B205" s="85" t="s">
        <v>552</v>
      </c>
      <c r="C205" s="86" t="s">
        <v>430</v>
      </c>
      <c r="D205" s="87">
        <v>1855902</v>
      </c>
      <c r="E205" s="88" t="s">
        <v>6</v>
      </c>
      <c r="F205" s="89">
        <v>45167</v>
      </c>
    </row>
    <row r="206" spans="1:6">
      <c r="A206" s="84">
        <v>45163</v>
      </c>
      <c r="B206" s="85" t="s">
        <v>620</v>
      </c>
      <c r="C206" s="86" t="s">
        <v>179</v>
      </c>
      <c r="D206" s="87">
        <v>78556.460000000006</v>
      </c>
      <c r="E206" s="88" t="s">
        <v>6</v>
      </c>
      <c r="F206" s="89">
        <v>45166</v>
      </c>
    </row>
    <row r="207" spans="1:6">
      <c r="A207" s="103">
        <v>45163</v>
      </c>
      <c r="B207" s="85" t="s">
        <v>625</v>
      </c>
      <c r="C207" s="140" t="s">
        <v>414</v>
      </c>
      <c r="D207" s="139">
        <v>4531351.41</v>
      </c>
      <c r="E207" s="88" t="s">
        <v>6</v>
      </c>
      <c r="F207" s="28">
        <v>45166</v>
      </c>
    </row>
    <row r="208" spans="1:6">
      <c r="A208" s="84">
        <v>45163</v>
      </c>
      <c r="B208" s="85" t="s">
        <v>641</v>
      </c>
      <c r="C208" s="86" t="s">
        <v>639</v>
      </c>
      <c r="D208" s="87">
        <v>201100</v>
      </c>
      <c r="E208" s="88" t="s">
        <v>6</v>
      </c>
      <c r="F208" s="89">
        <v>45166</v>
      </c>
    </row>
    <row r="209" spans="1:8">
      <c r="A209" s="84">
        <v>45165</v>
      </c>
      <c r="B209" s="85" t="s">
        <v>645</v>
      </c>
      <c r="C209" s="86" t="s">
        <v>563</v>
      </c>
      <c r="D209" s="87">
        <v>19162.25</v>
      </c>
      <c r="E209" s="88" t="s">
        <v>6</v>
      </c>
      <c r="F209" s="89">
        <v>45174</v>
      </c>
    </row>
    <row r="210" spans="1:8">
      <c r="A210" s="84">
        <v>45165</v>
      </c>
      <c r="B210" s="85" t="s">
        <v>655</v>
      </c>
      <c r="C210" s="86" t="s">
        <v>568</v>
      </c>
      <c r="D210" s="87">
        <v>74000</v>
      </c>
      <c r="E210" s="88" t="s">
        <v>6</v>
      </c>
      <c r="F210" s="89">
        <v>45167</v>
      </c>
    </row>
    <row r="211" spans="1:8">
      <c r="A211" s="103">
        <v>45166</v>
      </c>
      <c r="B211" s="85" t="s">
        <v>643</v>
      </c>
      <c r="C211" s="140" t="s">
        <v>414</v>
      </c>
      <c r="D211" s="139">
        <v>331372.12</v>
      </c>
      <c r="E211" s="52" t="s">
        <v>6</v>
      </c>
      <c r="F211" s="28">
        <v>45167</v>
      </c>
    </row>
    <row r="212" spans="1:8">
      <c r="A212" s="138">
        <v>45166</v>
      </c>
      <c r="B212" s="85" t="s">
        <v>651</v>
      </c>
      <c r="C212" s="141" t="s">
        <v>441</v>
      </c>
      <c r="D212" s="139">
        <v>158436.73000000001</v>
      </c>
      <c r="E212" s="5" t="s">
        <v>6</v>
      </c>
      <c r="F212" s="6">
        <v>45189</v>
      </c>
    </row>
    <row r="213" spans="1:8">
      <c r="A213" s="103">
        <v>45166</v>
      </c>
      <c r="B213" s="85" t="s">
        <v>653</v>
      </c>
      <c r="C213" s="140" t="s">
        <v>179</v>
      </c>
      <c r="D213" s="139">
        <v>127032.24</v>
      </c>
      <c r="E213" s="52" t="s">
        <v>6</v>
      </c>
      <c r="F213" s="28">
        <v>45173</v>
      </c>
      <c r="H213"/>
    </row>
    <row r="214" spans="1:8">
      <c r="A214" s="103">
        <v>45166</v>
      </c>
      <c r="B214" s="85" t="s">
        <v>675</v>
      </c>
      <c r="C214" s="140" t="s">
        <v>667</v>
      </c>
      <c r="D214" s="139">
        <v>236990.6</v>
      </c>
      <c r="E214" s="52" t="s">
        <v>6</v>
      </c>
      <c r="F214" s="28">
        <v>45169</v>
      </c>
      <c r="H214"/>
    </row>
    <row r="215" spans="1:8">
      <c r="A215" s="56">
        <v>45167</v>
      </c>
      <c r="B215" s="85" t="s">
        <v>587</v>
      </c>
      <c r="C215" s="141" t="s">
        <v>120</v>
      </c>
      <c r="D215" s="142">
        <v>1324600</v>
      </c>
      <c r="E215" s="27" t="s">
        <v>6</v>
      </c>
      <c r="F215" s="28">
        <v>45168</v>
      </c>
      <c r="H215"/>
    </row>
    <row r="216" spans="1:8">
      <c r="A216" s="138">
        <v>45167</v>
      </c>
      <c r="B216" s="85" t="s">
        <v>663</v>
      </c>
      <c r="C216" s="141" t="s">
        <v>197</v>
      </c>
      <c r="D216" s="142">
        <v>326544.71000000002</v>
      </c>
      <c r="E216" s="52" t="s">
        <v>6</v>
      </c>
      <c r="F216" s="28">
        <v>45168</v>
      </c>
      <c r="H216"/>
    </row>
    <row r="217" spans="1:8">
      <c r="A217" s="144">
        <v>45168</v>
      </c>
      <c r="B217" s="85" t="s">
        <v>583</v>
      </c>
      <c r="C217" s="143" t="s">
        <v>568</v>
      </c>
      <c r="D217" s="129">
        <v>116999</v>
      </c>
      <c r="E217" s="133" t="s">
        <v>6</v>
      </c>
      <c r="F217" s="89">
        <v>45180</v>
      </c>
      <c r="H217"/>
    </row>
    <row r="218" spans="1:8">
      <c r="A218" s="84">
        <v>45168</v>
      </c>
      <c r="B218" s="106" t="s">
        <v>617</v>
      </c>
      <c r="C218" s="86" t="s">
        <v>616</v>
      </c>
      <c r="D218" s="87">
        <v>726500</v>
      </c>
      <c r="E218" s="88" t="s">
        <v>6</v>
      </c>
      <c r="F218" s="89">
        <v>45168</v>
      </c>
      <c r="H218"/>
    </row>
    <row r="219" spans="1:8">
      <c r="A219" s="84">
        <v>45168</v>
      </c>
      <c r="B219" s="106" t="s">
        <v>724</v>
      </c>
      <c r="C219" s="149" t="s">
        <v>725</v>
      </c>
      <c r="D219" s="142">
        <v>200000</v>
      </c>
      <c r="E219" s="52" t="s">
        <v>6</v>
      </c>
      <c r="F219" s="28">
        <v>45183</v>
      </c>
      <c r="H219"/>
    </row>
    <row r="220" spans="1:8">
      <c r="A220" s="56">
        <v>45168</v>
      </c>
      <c r="B220" s="106" t="s">
        <v>677</v>
      </c>
      <c r="C220" s="149" t="s">
        <v>676</v>
      </c>
      <c r="D220" s="87">
        <v>359466</v>
      </c>
      <c r="E220" s="52" t="s">
        <v>6</v>
      </c>
      <c r="F220" s="28">
        <v>45169</v>
      </c>
      <c r="H220"/>
    </row>
    <row r="221" spans="1:8">
      <c r="A221" s="84">
        <v>45169</v>
      </c>
      <c r="B221" s="106" t="s">
        <v>694</v>
      </c>
      <c r="C221" s="86" t="s">
        <v>577</v>
      </c>
      <c r="D221" s="87">
        <v>150016.79999999999</v>
      </c>
      <c r="E221" s="88" t="s">
        <v>6</v>
      </c>
      <c r="F221" s="89">
        <v>45170</v>
      </c>
      <c r="H221"/>
    </row>
    <row r="222" spans="1:8">
      <c r="A222" s="84">
        <v>45169</v>
      </c>
      <c r="B222" s="106" t="s">
        <v>695</v>
      </c>
      <c r="C222" s="86" t="s">
        <v>563</v>
      </c>
      <c r="D222" s="87">
        <v>47065.18</v>
      </c>
      <c r="E222" s="88" t="s">
        <v>6</v>
      </c>
      <c r="F222" s="89">
        <v>45170</v>
      </c>
      <c r="H222"/>
    </row>
    <row r="223" spans="1:8">
      <c r="A223" s="84">
        <v>45169</v>
      </c>
      <c r="B223" s="106" t="s">
        <v>648</v>
      </c>
      <c r="C223" s="86" t="s">
        <v>488</v>
      </c>
      <c r="D223" s="87">
        <v>72659.100000000006</v>
      </c>
      <c r="E223" s="88" t="s">
        <v>6</v>
      </c>
      <c r="F223" s="89">
        <v>45170</v>
      </c>
      <c r="H223"/>
    </row>
    <row r="224" spans="1:8">
      <c r="A224" s="10"/>
      <c r="B224" s="11"/>
      <c r="C224" s="12" t="s">
        <v>7</v>
      </c>
      <c r="D224" s="112">
        <f>SUBTOTAL(109,D177:D223)</f>
        <v>32872923.910000004</v>
      </c>
      <c r="E224" s="14"/>
      <c r="F224" s="15"/>
      <c r="H224"/>
    </row>
    <row r="226" spans="1:8" ht="21">
      <c r="A226" s="339" t="s">
        <v>538</v>
      </c>
      <c r="B226" s="339"/>
      <c r="C226" s="339"/>
      <c r="D226" s="339"/>
      <c r="E226" s="20"/>
      <c r="F226" s="20"/>
      <c r="H226"/>
    </row>
    <row r="227" spans="1:8" ht="21">
      <c r="A227" s="339"/>
      <c r="B227" s="339"/>
      <c r="C227" s="339"/>
      <c r="D227" s="339"/>
      <c r="E227" s="20"/>
      <c r="F227" s="20"/>
      <c r="H227"/>
    </row>
    <row r="228" spans="1:8">
      <c r="A228" s="7" t="s">
        <v>0</v>
      </c>
      <c r="B228" s="8" t="s">
        <v>1</v>
      </c>
      <c r="C228" s="8" t="s">
        <v>2</v>
      </c>
      <c r="D228" s="8" t="s">
        <v>3</v>
      </c>
      <c r="E228" s="8" t="s">
        <v>4</v>
      </c>
      <c r="F228" s="9" t="s">
        <v>5</v>
      </c>
      <c r="H228"/>
    </row>
    <row r="229" spans="1:8">
      <c r="A229" s="93">
        <v>45170</v>
      </c>
      <c r="B229" s="106" t="s">
        <v>599</v>
      </c>
      <c r="C229" s="102" t="s">
        <v>671</v>
      </c>
      <c r="D229" s="97">
        <v>1500000</v>
      </c>
      <c r="E229" s="52" t="s">
        <v>6</v>
      </c>
      <c r="F229" s="89">
        <v>45175</v>
      </c>
      <c r="H229"/>
    </row>
    <row r="230" spans="1:8">
      <c r="A230" s="103">
        <v>45170</v>
      </c>
      <c r="B230" s="85" t="s">
        <v>646</v>
      </c>
      <c r="C230" s="98" t="s">
        <v>568</v>
      </c>
      <c r="D230" s="87">
        <v>37500</v>
      </c>
      <c r="E230" s="52" t="s">
        <v>6</v>
      </c>
      <c r="F230" s="28">
        <v>45173</v>
      </c>
      <c r="H230"/>
    </row>
    <row r="231" spans="1:8">
      <c r="A231" s="103">
        <v>45171</v>
      </c>
      <c r="B231" s="85" t="s">
        <v>731</v>
      </c>
      <c r="C231" s="102" t="s">
        <v>460</v>
      </c>
      <c r="D231" s="142">
        <v>632507.74</v>
      </c>
      <c r="E231" s="52" t="s">
        <v>6</v>
      </c>
      <c r="F231" s="89">
        <v>45201</v>
      </c>
    </row>
    <row r="232" spans="1:8">
      <c r="A232" s="147">
        <v>45171</v>
      </c>
      <c r="B232" s="85" t="s">
        <v>674</v>
      </c>
      <c r="C232" s="162" t="s">
        <v>488</v>
      </c>
      <c r="D232" s="87">
        <v>114613.89</v>
      </c>
      <c r="E232" s="52" t="s">
        <v>6</v>
      </c>
      <c r="F232" s="148">
        <v>45174</v>
      </c>
      <c r="H232"/>
    </row>
    <row r="233" spans="1:8">
      <c r="A233" s="147">
        <v>45171</v>
      </c>
      <c r="B233" s="85" t="s">
        <v>696</v>
      </c>
      <c r="C233" s="162" t="s">
        <v>488</v>
      </c>
      <c r="D233" s="87">
        <v>2358390.5099999998</v>
      </c>
      <c r="E233" s="52" t="s">
        <v>6</v>
      </c>
      <c r="F233" s="148">
        <v>45174</v>
      </c>
      <c r="H233"/>
    </row>
    <row r="234" spans="1:8">
      <c r="A234" s="147">
        <v>45173</v>
      </c>
      <c r="B234" s="85" t="s">
        <v>697</v>
      </c>
      <c r="C234" s="162" t="s">
        <v>226</v>
      </c>
      <c r="D234" s="87">
        <v>234026.64</v>
      </c>
      <c r="E234" s="52" t="s">
        <v>6</v>
      </c>
      <c r="F234" s="148">
        <v>45174</v>
      </c>
      <c r="H234"/>
    </row>
    <row r="235" spans="1:8">
      <c r="A235" s="103">
        <v>45174</v>
      </c>
      <c r="B235" s="85" t="s">
        <v>672</v>
      </c>
      <c r="C235" s="98" t="s">
        <v>409</v>
      </c>
      <c r="D235" s="87">
        <v>347999.96</v>
      </c>
      <c r="E235" s="52" t="s">
        <v>6</v>
      </c>
      <c r="F235" s="28">
        <v>45174</v>
      </c>
      <c r="H235"/>
    </row>
    <row r="236" spans="1:8">
      <c r="A236" s="56">
        <v>45174</v>
      </c>
      <c r="B236" s="85" t="s">
        <v>678</v>
      </c>
      <c r="C236" s="98" t="s">
        <v>679</v>
      </c>
      <c r="D236" s="104">
        <v>500000</v>
      </c>
      <c r="E236" s="52" t="s">
        <v>6</v>
      </c>
      <c r="F236" s="28">
        <v>45175</v>
      </c>
      <c r="H236"/>
    </row>
    <row r="237" spans="1:8">
      <c r="A237" s="56">
        <v>45174</v>
      </c>
      <c r="B237" s="85" t="s">
        <v>681</v>
      </c>
      <c r="C237" s="163" t="s">
        <v>563</v>
      </c>
      <c r="D237" s="87">
        <v>11602.57</v>
      </c>
      <c r="E237" s="52" t="s">
        <v>6</v>
      </c>
      <c r="F237" s="28">
        <v>45176</v>
      </c>
      <c r="H237"/>
    </row>
    <row r="238" spans="1:8">
      <c r="A238" s="103">
        <v>45177</v>
      </c>
      <c r="B238" s="85" t="s">
        <v>636</v>
      </c>
      <c r="C238" s="102" t="s">
        <v>414</v>
      </c>
      <c r="D238" s="139">
        <v>4531351.41</v>
      </c>
      <c r="E238" s="52" t="s">
        <v>6</v>
      </c>
      <c r="F238" s="28">
        <v>45180</v>
      </c>
      <c r="H238"/>
    </row>
    <row r="239" spans="1:8">
      <c r="A239" s="56">
        <v>45177</v>
      </c>
      <c r="B239" s="85" t="s">
        <v>682</v>
      </c>
      <c r="C239" s="163" t="s">
        <v>683</v>
      </c>
      <c r="D239" s="139">
        <v>4097420</v>
      </c>
      <c r="E239" s="52" t="s">
        <v>6</v>
      </c>
      <c r="F239" s="28">
        <v>45180</v>
      </c>
      <c r="H239"/>
    </row>
    <row r="240" spans="1:8">
      <c r="A240" s="56">
        <v>45177</v>
      </c>
      <c r="B240" s="85" t="s">
        <v>735</v>
      </c>
      <c r="C240" s="164" t="s">
        <v>736</v>
      </c>
      <c r="D240" s="155">
        <v>733260</v>
      </c>
      <c r="E240" s="156" t="s">
        <v>6</v>
      </c>
      <c r="F240" s="157">
        <v>45180</v>
      </c>
      <c r="H240"/>
    </row>
    <row r="241" spans="1:8">
      <c r="A241" s="103">
        <v>45178</v>
      </c>
      <c r="B241" s="85" t="s">
        <v>634</v>
      </c>
      <c r="C241" s="98" t="s">
        <v>441</v>
      </c>
      <c r="D241" s="87">
        <v>208677.13</v>
      </c>
      <c r="E241" s="52" t="s">
        <v>6</v>
      </c>
      <c r="F241" s="28">
        <v>45180</v>
      </c>
    </row>
    <row r="242" spans="1:8">
      <c r="A242" s="84">
        <v>45179</v>
      </c>
      <c r="B242" s="106" t="s">
        <v>618</v>
      </c>
      <c r="C242" s="98" t="s">
        <v>616</v>
      </c>
      <c r="D242" s="87">
        <v>726500</v>
      </c>
      <c r="E242" s="88" t="s">
        <v>6</v>
      </c>
      <c r="F242" s="89">
        <v>45208</v>
      </c>
    </row>
    <row r="243" spans="1:8">
      <c r="A243" s="84">
        <v>45179</v>
      </c>
      <c r="B243" s="85" t="s">
        <v>640</v>
      </c>
      <c r="C243" s="98" t="s">
        <v>639</v>
      </c>
      <c r="D243" s="87">
        <v>201100</v>
      </c>
      <c r="E243" s="88" t="s">
        <v>6</v>
      </c>
      <c r="F243" s="89">
        <v>45182</v>
      </c>
    </row>
    <row r="244" spans="1:8">
      <c r="A244" s="84">
        <v>45179</v>
      </c>
      <c r="B244" s="85" t="s">
        <v>661</v>
      </c>
      <c r="C244" s="98" t="s">
        <v>658</v>
      </c>
      <c r="D244" s="87">
        <v>500000</v>
      </c>
      <c r="E244" s="88" t="s">
        <v>6</v>
      </c>
      <c r="F244" s="89">
        <v>45183</v>
      </c>
    </row>
    <row r="245" spans="1:8">
      <c r="A245" s="84">
        <v>45179</v>
      </c>
      <c r="B245" s="106" t="s">
        <v>726</v>
      </c>
      <c r="C245" s="163" t="s">
        <v>725</v>
      </c>
      <c r="D245" s="142">
        <v>200000</v>
      </c>
      <c r="E245" s="52" t="s">
        <v>6</v>
      </c>
      <c r="F245" s="28">
        <v>45183</v>
      </c>
      <c r="H245"/>
    </row>
    <row r="246" spans="1:8">
      <c r="A246" s="84">
        <v>45181</v>
      </c>
      <c r="B246" s="85" t="s">
        <v>644</v>
      </c>
      <c r="C246" s="98" t="s">
        <v>563</v>
      </c>
      <c r="D246" s="87">
        <v>19162.259999999998</v>
      </c>
      <c r="E246" s="88" t="s">
        <v>6</v>
      </c>
      <c r="F246" s="89">
        <v>45182</v>
      </c>
    </row>
    <row r="247" spans="1:8">
      <c r="A247" s="84">
        <v>45181</v>
      </c>
      <c r="B247" s="85" t="s">
        <v>654</v>
      </c>
      <c r="C247" s="98" t="s">
        <v>568</v>
      </c>
      <c r="D247" s="87">
        <v>74000</v>
      </c>
      <c r="E247" s="88" t="s">
        <v>6</v>
      </c>
      <c r="F247" s="89">
        <v>45183</v>
      </c>
    </row>
    <row r="248" spans="1:8">
      <c r="A248" s="56">
        <v>45181</v>
      </c>
      <c r="B248" s="85" t="s">
        <v>680</v>
      </c>
      <c r="C248" s="98" t="s">
        <v>679</v>
      </c>
      <c r="D248" s="104">
        <v>500000</v>
      </c>
      <c r="E248" s="52" t="s">
        <v>6</v>
      </c>
      <c r="F248" s="28">
        <v>45182</v>
      </c>
      <c r="H248"/>
    </row>
    <row r="249" spans="1:8">
      <c r="A249" s="84">
        <v>45182</v>
      </c>
      <c r="B249" s="85" t="s">
        <v>652</v>
      </c>
      <c r="C249" s="98" t="s">
        <v>179</v>
      </c>
      <c r="D249" s="87">
        <v>127032.23</v>
      </c>
      <c r="E249" s="88" t="s">
        <v>6</v>
      </c>
      <c r="F249" s="89">
        <v>45183</v>
      </c>
    </row>
    <row r="250" spans="1:8">
      <c r="A250" s="84">
        <v>45182</v>
      </c>
      <c r="B250" s="85" t="s">
        <v>698</v>
      </c>
      <c r="C250" s="98" t="s">
        <v>111</v>
      </c>
      <c r="D250" s="87">
        <v>59237.1</v>
      </c>
      <c r="E250" s="88" t="s">
        <v>6</v>
      </c>
      <c r="F250" s="89">
        <v>45184</v>
      </c>
    </row>
    <row r="251" spans="1:8">
      <c r="A251" s="84">
        <v>45182</v>
      </c>
      <c r="B251" s="85" t="s">
        <v>700</v>
      </c>
      <c r="C251" s="98" t="s">
        <v>701</v>
      </c>
      <c r="D251" s="87">
        <v>25842.400000000001</v>
      </c>
      <c r="E251" s="88" t="s">
        <v>6</v>
      </c>
      <c r="F251" s="89">
        <v>45183</v>
      </c>
    </row>
    <row r="252" spans="1:8">
      <c r="A252" s="84">
        <v>45209</v>
      </c>
      <c r="B252" s="106" t="s">
        <v>727</v>
      </c>
      <c r="C252" s="163" t="s">
        <v>725</v>
      </c>
      <c r="D252" s="142">
        <v>400000</v>
      </c>
      <c r="E252" s="52" t="s">
        <v>6</v>
      </c>
      <c r="F252" s="28">
        <v>45190</v>
      </c>
      <c r="H252"/>
    </row>
    <row r="253" spans="1:8">
      <c r="A253" s="93">
        <v>45183</v>
      </c>
      <c r="B253" s="106" t="s">
        <v>600</v>
      </c>
      <c r="C253" s="102" t="s">
        <v>671</v>
      </c>
      <c r="D253" s="97">
        <v>1500000</v>
      </c>
      <c r="E253" s="52" t="s">
        <v>6</v>
      </c>
      <c r="F253" s="89">
        <v>45184</v>
      </c>
    </row>
    <row r="254" spans="1:8">
      <c r="A254" s="84">
        <v>45183</v>
      </c>
      <c r="B254" s="85" t="s">
        <v>702</v>
      </c>
      <c r="C254" s="98" t="s">
        <v>179</v>
      </c>
      <c r="D254" s="87">
        <v>235253.44</v>
      </c>
      <c r="E254" s="88" t="s">
        <v>6</v>
      </c>
      <c r="F254" s="89">
        <v>45184</v>
      </c>
    </row>
    <row r="255" spans="1:8">
      <c r="A255" s="84">
        <v>45183</v>
      </c>
      <c r="B255" s="85" t="s">
        <v>704</v>
      </c>
      <c r="C255" s="98" t="s">
        <v>226</v>
      </c>
      <c r="D255" s="87">
        <v>234026.65</v>
      </c>
      <c r="E255" s="88" t="s">
        <v>6</v>
      </c>
      <c r="F255" s="89">
        <v>45196</v>
      </c>
    </row>
    <row r="256" spans="1:8">
      <c r="A256" s="84">
        <v>45183</v>
      </c>
      <c r="B256" s="85" t="s">
        <v>705</v>
      </c>
      <c r="C256" s="98" t="s">
        <v>563</v>
      </c>
      <c r="D256" s="87">
        <v>47065.18</v>
      </c>
      <c r="E256" s="52" t="s">
        <v>6</v>
      </c>
      <c r="F256" s="28">
        <v>45184</v>
      </c>
    </row>
    <row r="257" spans="1:8">
      <c r="A257" s="93">
        <v>45184</v>
      </c>
      <c r="B257" s="85" t="s">
        <v>706</v>
      </c>
      <c r="C257" s="98" t="s">
        <v>707</v>
      </c>
      <c r="D257" s="87">
        <v>145200</v>
      </c>
      <c r="E257" s="52" t="s">
        <v>6</v>
      </c>
      <c r="F257" s="28">
        <v>45184</v>
      </c>
    </row>
    <row r="258" spans="1:8">
      <c r="A258" s="93">
        <v>45184</v>
      </c>
      <c r="B258" s="96" t="s">
        <v>537</v>
      </c>
      <c r="C258" s="102" t="s">
        <v>546</v>
      </c>
      <c r="D258" s="97">
        <v>469000</v>
      </c>
      <c r="E258" s="52" t="s">
        <v>6</v>
      </c>
      <c r="F258" s="89">
        <v>45187</v>
      </c>
    </row>
    <row r="259" spans="1:8">
      <c r="A259" s="138">
        <v>45184</v>
      </c>
      <c r="B259" s="85" t="s">
        <v>628</v>
      </c>
      <c r="C259" s="119" t="s">
        <v>629</v>
      </c>
      <c r="D259" s="142">
        <v>1823200</v>
      </c>
      <c r="E259" s="52" t="s">
        <v>6</v>
      </c>
      <c r="F259" s="28">
        <v>45184</v>
      </c>
    </row>
    <row r="260" spans="1:8">
      <c r="A260" s="138">
        <v>45184</v>
      </c>
      <c r="B260" s="85" t="s">
        <v>656</v>
      </c>
      <c r="C260" s="119" t="s">
        <v>409</v>
      </c>
      <c r="D260" s="142">
        <v>24000</v>
      </c>
      <c r="E260" s="52" t="s">
        <v>6</v>
      </c>
      <c r="F260" s="28">
        <v>45184</v>
      </c>
    </row>
    <row r="261" spans="1:8">
      <c r="A261" s="138">
        <v>45184</v>
      </c>
      <c r="B261" s="85" t="s">
        <v>673</v>
      </c>
      <c r="C261" s="119" t="s">
        <v>409</v>
      </c>
      <c r="D261" s="87">
        <v>347999.96</v>
      </c>
      <c r="E261" s="52" t="s">
        <v>6</v>
      </c>
      <c r="F261" s="28">
        <v>45184</v>
      </c>
    </row>
    <row r="262" spans="1:8">
      <c r="A262" s="56">
        <v>45184</v>
      </c>
      <c r="B262" s="85" t="s">
        <v>684</v>
      </c>
      <c r="C262" s="98" t="s">
        <v>679</v>
      </c>
      <c r="D262" s="104">
        <v>500000</v>
      </c>
      <c r="E262" s="52" t="s">
        <v>6</v>
      </c>
      <c r="F262" s="28">
        <v>45184</v>
      </c>
      <c r="H262"/>
    </row>
    <row r="263" spans="1:8">
      <c r="A263" s="161">
        <v>45186</v>
      </c>
      <c r="B263" s="85" t="s">
        <v>753</v>
      </c>
      <c r="C263" s="164" t="s">
        <v>245</v>
      </c>
      <c r="D263" s="155">
        <v>1223198</v>
      </c>
      <c r="E263" s="156" t="s">
        <v>6</v>
      </c>
      <c r="F263" s="157">
        <v>45187</v>
      </c>
      <c r="H263"/>
    </row>
    <row r="264" spans="1:8">
      <c r="A264" s="103">
        <v>45187</v>
      </c>
      <c r="B264" s="85" t="s">
        <v>732</v>
      </c>
      <c r="C264" s="102" t="s">
        <v>460</v>
      </c>
      <c r="D264" s="142">
        <v>632507.74</v>
      </c>
      <c r="E264" s="52" t="s">
        <v>6</v>
      </c>
      <c r="F264" s="89">
        <v>45216</v>
      </c>
    </row>
    <row r="265" spans="1:8" ht="13.8" customHeight="1">
      <c r="A265" s="138">
        <v>45189</v>
      </c>
      <c r="B265" s="85" t="s">
        <v>657</v>
      </c>
      <c r="C265" s="119" t="s">
        <v>658</v>
      </c>
      <c r="D265" s="142">
        <v>500000</v>
      </c>
      <c r="E265" s="52" t="s">
        <v>6</v>
      </c>
      <c r="F265" s="28">
        <v>45190</v>
      </c>
    </row>
    <row r="266" spans="1:8" ht="13.8" customHeight="1">
      <c r="A266" s="56">
        <v>45189</v>
      </c>
      <c r="B266" s="85" t="s">
        <v>685</v>
      </c>
      <c r="C266" s="163" t="s">
        <v>563</v>
      </c>
      <c r="D266" s="142">
        <v>11602.57</v>
      </c>
      <c r="E266" s="52" t="s">
        <v>6</v>
      </c>
      <c r="F266" s="28">
        <v>45189</v>
      </c>
    </row>
    <row r="267" spans="1:8">
      <c r="A267" s="84">
        <v>45189</v>
      </c>
      <c r="B267" s="106" t="s">
        <v>708</v>
      </c>
      <c r="C267" s="98" t="s">
        <v>63</v>
      </c>
      <c r="D267" s="87">
        <v>2000000</v>
      </c>
      <c r="E267" s="88" t="s">
        <v>6</v>
      </c>
      <c r="F267" s="89">
        <v>45190</v>
      </c>
    </row>
    <row r="268" spans="1:8">
      <c r="A268" s="84">
        <v>45189</v>
      </c>
      <c r="B268" s="106" t="s">
        <v>728</v>
      </c>
      <c r="C268" s="98" t="s">
        <v>725</v>
      </c>
      <c r="D268" s="87">
        <v>200000</v>
      </c>
      <c r="E268" s="88" t="s">
        <v>6</v>
      </c>
      <c r="F268" s="89">
        <v>45194</v>
      </c>
    </row>
    <row r="269" spans="1:8">
      <c r="A269" s="84">
        <v>45192</v>
      </c>
      <c r="B269" s="106" t="s">
        <v>703</v>
      </c>
      <c r="C269" s="98" t="s">
        <v>710</v>
      </c>
      <c r="D269" s="87">
        <v>239414.66</v>
      </c>
      <c r="E269" s="88" t="s">
        <v>6</v>
      </c>
      <c r="F269" s="89">
        <v>45194</v>
      </c>
    </row>
    <row r="270" spans="1:8">
      <c r="A270" s="84">
        <v>45192</v>
      </c>
      <c r="B270" s="106" t="s">
        <v>712</v>
      </c>
      <c r="C270" s="98" t="s">
        <v>441</v>
      </c>
      <c r="D270" s="87">
        <v>405914.82</v>
      </c>
      <c r="E270" s="88" t="s">
        <v>6</v>
      </c>
      <c r="F270" s="89">
        <v>45218</v>
      </c>
    </row>
    <row r="271" spans="1:8">
      <c r="A271" s="84">
        <v>45193</v>
      </c>
      <c r="B271" s="106" t="s">
        <v>714</v>
      </c>
      <c r="C271" s="98" t="s">
        <v>563</v>
      </c>
      <c r="D271" s="87">
        <v>38085.61</v>
      </c>
      <c r="E271" s="88" t="s">
        <v>6</v>
      </c>
      <c r="F271" s="89">
        <v>45195</v>
      </c>
    </row>
    <row r="272" spans="1:8">
      <c r="A272" s="84">
        <v>45193</v>
      </c>
      <c r="B272" s="106" t="s">
        <v>699</v>
      </c>
      <c r="C272" s="98" t="s">
        <v>579</v>
      </c>
      <c r="D272" s="87">
        <v>176040</v>
      </c>
      <c r="E272" s="88" t="s">
        <v>6</v>
      </c>
      <c r="F272" s="89">
        <v>45195</v>
      </c>
    </row>
    <row r="273" spans="1:6">
      <c r="A273" s="84">
        <v>45194</v>
      </c>
      <c r="B273" s="106" t="s">
        <v>709</v>
      </c>
      <c r="C273" s="98" t="s">
        <v>63</v>
      </c>
      <c r="D273" s="87">
        <v>2000000</v>
      </c>
      <c r="E273" s="88" t="s">
        <v>6</v>
      </c>
      <c r="F273" s="89">
        <v>45195</v>
      </c>
    </row>
    <row r="274" spans="1:6">
      <c r="A274" s="84">
        <v>45194</v>
      </c>
      <c r="B274" s="106" t="s">
        <v>553</v>
      </c>
      <c r="C274" s="98" t="s">
        <v>430</v>
      </c>
      <c r="D274" s="87">
        <v>1855902</v>
      </c>
      <c r="E274" s="88" t="s">
        <v>6</v>
      </c>
      <c r="F274" s="89">
        <v>45195</v>
      </c>
    </row>
    <row r="275" spans="1:6">
      <c r="A275" s="84">
        <v>45194</v>
      </c>
      <c r="B275" s="106" t="s">
        <v>737</v>
      </c>
      <c r="C275" s="98" t="s">
        <v>683</v>
      </c>
      <c r="D275" s="87">
        <v>442255</v>
      </c>
      <c r="E275" s="88" t="s">
        <v>6</v>
      </c>
      <c r="F275" s="89">
        <v>45195</v>
      </c>
    </row>
    <row r="276" spans="1:6">
      <c r="A276" s="84">
        <v>45195</v>
      </c>
      <c r="B276" s="106" t="s">
        <v>739</v>
      </c>
      <c r="C276" s="98" t="s">
        <v>353</v>
      </c>
      <c r="D276" s="87">
        <v>2781341.48</v>
      </c>
      <c r="E276" s="88" t="s">
        <v>6</v>
      </c>
      <c r="F276" s="89">
        <v>45198</v>
      </c>
    </row>
    <row r="277" spans="1:6">
      <c r="A277" s="84">
        <v>45195</v>
      </c>
      <c r="B277" s="106" t="s">
        <v>742</v>
      </c>
      <c r="C277" s="98" t="s">
        <v>226</v>
      </c>
      <c r="D277" s="87">
        <v>332160.45</v>
      </c>
      <c r="E277" s="88" t="s">
        <v>6</v>
      </c>
      <c r="F277" s="89">
        <v>45195</v>
      </c>
    </row>
    <row r="278" spans="1:6">
      <c r="A278" s="84">
        <v>45197</v>
      </c>
      <c r="B278" s="106" t="s">
        <v>650</v>
      </c>
      <c r="C278" s="98" t="s">
        <v>441</v>
      </c>
      <c r="D278" s="87">
        <v>158436.73000000001</v>
      </c>
      <c r="E278" s="88" t="s">
        <v>6</v>
      </c>
      <c r="F278" s="89">
        <v>45222</v>
      </c>
    </row>
    <row r="279" spans="1:6">
      <c r="A279" s="84">
        <v>45198</v>
      </c>
      <c r="B279" s="106" t="s">
        <v>747</v>
      </c>
      <c r="C279" s="98" t="s">
        <v>179</v>
      </c>
      <c r="D279" s="87">
        <v>246000</v>
      </c>
      <c r="E279" s="88" t="s">
        <v>6</v>
      </c>
      <c r="F279" s="89">
        <v>45201</v>
      </c>
    </row>
    <row r="280" spans="1:6">
      <c r="A280" s="84">
        <v>45199</v>
      </c>
      <c r="B280" s="106" t="s">
        <v>638</v>
      </c>
      <c r="C280" s="98" t="s">
        <v>639</v>
      </c>
      <c r="D280" s="87">
        <v>201100</v>
      </c>
      <c r="E280" s="88" t="s">
        <v>6</v>
      </c>
      <c r="F280" s="89">
        <v>45204</v>
      </c>
    </row>
    <row r="281" spans="1:6">
      <c r="A281" s="84">
        <v>45199</v>
      </c>
      <c r="B281" s="106" t="s">
        <v>716</v>
      </c>
      <c r="C281" s="98" t="s">
        <v>63</v>
      </c>
      <c r="D281" s="87">
        <v>2000000</v>
      </c>
      <c r="E281" s="88" t="s">
        <v>6</v>
      </c>
      <c r="F281" s="89">
        <v>45203</v>
      </c>
    </row>
    <row r="282" spans="1:6">
      <c r="A282" s="84">
        <v>45199</v>
      </c>
      <c r="B282" s="106" t="s">
        <v>729</v>
      </c>
      <c r="C282" s="98" t="s">
        <v>725</v>
      </c>
      <c r="D282" s="87">
        <v>200000</v>
      </c>
      <c r="E282" s="88" t="s">
        <v>6</v>
      </c>
      <c r="F282" s="89">
        <v>45202</v>
      </c>
    </row>
    <row r="283" spans="1:6">
      <c r="A283" s="84">
        <v>45199</v>
      </c>
      <c r="B283" s="106" t="s">
        <v>749</v>
      </c>
      <c r="C283" s="98" t="s">
        <v>540</v>
      </c>
      <c r="D283" s="87">
        <v>108297</v>
      </c>
      <c r="E283" s="88" t="s">
        <v>6</v>
      </c>
      <c r="F283" s="89">
        <v>45202</v>
      </c>
    </row>
    <row r="284" spans="1:6">
      <c r="A284" s="56">
        <v>45199</v>
      </c>
      <c r="B284" s="106" t="s">
        <v>755</v>
      </c>
      <c r="C284" s="163" t="s">
        <v>756</v>
      </c>
      <c r="D284" s="104">
        <v>372582.3</v>
      </c>
      <c r="E284" s="52" t="s">
        <v>6</v>
      </c>
      <c r="F284" s="28">
        <v>45217</v>
      </c>
    </row>
    <row r="285" spans="1:6">
      <c r="A285" s="10"/>
      <c r="B285" s="11"/>
      <c r="C285" s="12" t="s">
        <v>7</v>
      </c>
      <c r="D285" s="112">
        <f>SUBTOTAL(109,D229:D284)</f>
        <v>39590807.43</v>
      </c>
      <c r="E285" s="14"/>
      <c r="F285" s="15"/>
    </row>
    <row r="287" spans="1:6" ht="21">
      <c r="A287" s="339" t="s">
        <v>569</v>
      </c>
      <c r="B287" s="339"/>
      <c r="C287" s="339"/>
      <c r="D287" s="339"/>
      <c r="E287" s="20"/>
      <c r="F287" s="20"/>
    </row>
    <row r="288" spans="1:6" ht="21">
      <c r="A288" s="339"/>
      <c r="B288" s="339"/>
      <c r="C288" s="339"/>
      <c r="D288" s="339"/>
      <c r="E288" s="20"/>
      <c r="F288" s="20"/>
    </row>
    <row r="289" spans="1:8">
      <c r="A289" s="7" t="s">
        <v>0</v>
      </c>
      <c r="B289" s="8" t="s">
        <v>1</v>
      </c>
      <c r="C289" s="8" t="s">
        <v>2</v>
      </c>
      <c r="D289" s="8" t="s">
        <v>3</v>
      </c>
      <c r="E289" s="8" t="s">
        <v>4</v>
      </c>
      <c r="F289" s="9" t="s">
        <v>5</v>
      </c>
    </row>
    <row r="290" spans="1:8" s="145" customFormat="1" ht="13.8" customHeight="1">
      <c r="A290" s="103">
        <v>45200</v>
      </c>
      <c r="B290" s="106" t="s">
        <v>601</v>
      </c>
      <c r="C290" s="86" t="s">
        <v>671</v>
      </c>
      <c r="D290" s="87">
        <v>1500000</v>
      </c>
      <c r="E290" s="52" t="s">
        <v>6</v>
      </c>
      <c r="F290" s="28">
        <v>45202</v>
      </c>
      <c r="H290" s="146"/>
    </row>
    <row r="291" spans="1:8">
      <c r="A291" s="103">
        <v>45202</v>
      </c>
      <c r="B291" s="106" t="s">
        <v>733</v>
      </c>
      <c r="C291" s="102" t="s">
        <v>460</v>
      </c>
      <c r="D291" s="142">
        <v>632507.74</v>
      </c>
      <c r="E291" s="52" t="s">
        <v>6</v>
      </c>
      <c r="F291" s="89">
        <v>45203</v>
      </c>
    </row>
    <row r="292" spans="1:8">
      <c r="A292" s="103">
        <v>45203</v>
      </c>
      <c r="B292" s="106" t="s">
        <v>740</v>
      </c>
      <c r="C292" s="102" t="s">
        <v>563</v>
      </c>
      <c r="D292" s="142">
        <v>120346.6</v>
      </c>
      <c r="E292" s="52" t="s">
        <v>6</v>
      </c>
      <c r="F292" s="89">
        <v>45204</v>
      </c>
    </row>
    <row r="293" spans="1:8">
      <c r="A293" s="103">
        <v>45204</v>
      </c>
      <c r="B293" s="106" t="s">
        <v>717</v>
      </c>
      <c r="C293" s="102" t="s">
        <v>63</v>
      </c>
      <c r="D293" s="142">
        <v>2000000</v>
      </c>
      <c r="E293" s="52" t="s">
        <v>6</v>
      </c>
      <c r="F293" s="89">
        <v>45208</v>
      </c>
    </row>
    <row r="294" spans="1:8">
      <c r="A294" s="103">
        <v>45204</v>
      </c>
      <c r="B294" s="106" t="s">
        <v>738</v>
      </c>
      <c r="C294" s="102" t="s">
        <v>683</v>
      </c>
      <c r="D294" s="142">
        <v>168286.8</v>
      </c>
      <c r="E294" s="52" t="s">
        <v>6</v>
      </c>
      <c r="F294" s="89">
        <v>45205</v>
      </c>
    </row>
    <row r="295" spans="1:8">
      <c r="A295" s="103">
        <v>45205</v>
      </c>
      <c r="B295" s="106" t="s">
        <v>743</v>
      </c>
      <c r="C295" s="102" t="s">
        <v>226</v>
      </c>
      <c r="D295" s="142">
        <v>332160.46000000002</v>
      </c>
      <c r="E295" s="52" t="s">
        <v>6</v>
      </c>
      <c r="F295" s="89">
        <v>45210</v>
      </c>
    </row>
    <row r="296" spans="1:8">
      <c r="A296" s="103">
        <v>45207</v>
      </c>
      <c r="B296" s="106" t="s">
        <v>686</v>
      </c>
      <c r="C296" s="102" t="s">
        <v>683</v>
      </c>
      <c r="D296" s="142">
        <v>4097420</v>
      </c>
      <c r="E296" s="52" t="s">
        <v>6</v>
      </c>
      <c r="F296" s="89">
        <v>45209</v>
      </c>
    </row>
    <row r="297" spans="1:8">
      <c r="A297" s="103">
        <v>45208</v>
      </c>
      <c r="B297" s="106" t="s">
        <v>633</v>
      </c>
      <c r="C297" s="102" t="s">
        <v>441</v>
      </c>
      <c r="D297" s="142">
        <v>208677.13</v>
      </c>
      <c r="E297" s="52" t="s">
        <v>6</v>
      </c>
      <c r="F297" s="89">
        <v>45209</v>
      </c>
    </row>
    <row r="298" spans="1:8">
      <c r="A298" s="103">
        <v>45208</v>
      </c>
      <c r="B298" s="106" t="s">
        <v>744</v>
      </c>
      <c r="C298" s="102" t="s">
        <v>745</v>
      </c>
      <c r="D298" s="142">
        <v>128838.13</v>
      </c>
      <c r="E298" s="52" t="s">
        <v>6</v>
      </c>
      <c r="F298" s="89">
        <v>45209</v>
      </c>
    </row>
    <row r="299" spans="1:8">
      <c r="A299" s="103">
        <v>45208</v>
      </c>
      <c r="B299" s="106" t="s">
        <v>746</v>
      </c>
      <c r="C299" s="102" t="s">
        <v>397</v>
      </c>
      <c r="D299" s="142">
        <v>71400</v>
      </c>
      <c r="E299" s="52" t="s">
        <v>6</v>
      </c>
      <c r="F299" s="89">
        <v>45209</v>
      </c>
    </row>
    <row r="300" spans="1:8">
      <c r="A300" s="103">
        <v>45209</v>
      </c>
      <c r="B300" s="106" t="s">
        <v>715</v>
      </c>
      <c r="C300" s="102" t="s">
        <v>563</v>
      </c>
      <c r="D300" s="142">
        <v>38085.61</v>
      </c>
      <c r="E300" s="52" t="s">
        <v>6</v>
      </c>
      <c r="F300" s="89">
        <v>45209</v>
      </c>
    </row>
    <row r="301" spans="1:8">
      <c r="A301" s="103">
        <v>45209</v>
      </c>
      <c r="B301" s="106" t="s">
        <v>718</v>
      </c>
      <c r="C301" s="102" t="s">
        <v>63</v>
      </c>
      <c r="D301" s="142">
        <v>2000000</v>
      </c>
      <c r="E301" s="52" t="s">
        <v>6</v>
      </c>
      <c r="F301" s="89">
        <v>45211</v>
      </c>
    </row>
    <row r="302" spans="1:8">
      <c r="A302" s="103">
        <v>45209</v>
      </c>
      <c r="B302" s="106" t="s">
        <v>812</v>
      </c>
      <c r="C302" s="102" t="s">
        <v>752</v>
      </c>
      <c r="D302" s="142">
        <v>166666</v>
      </c>
      <c r="E302" s="52" t="s">
        <v>6</v>
      </c>
      <c r="F302" s="89">
        <v>45219</v>
      </c>
    </row>
    <row r="303" spans="1:8">
      <c r="A303" s="103">
        <v>45209</v>
      </c>
      <c r="B303" s="106" t="s">
        <v>754</v>
      </c>
      <c r="C303" s="102" t="s">
        <v>725</v>
      </c>
      <c r="D303" s="158">
        <v>200000</v>
      </c>
      <c r="E303" s="52" t="s">
        <v>6</v>
      </c>
      <c r="F303" s="159">
        <v>45210</v>
      </c>
    </row>
    <row r="304" spans="1:8">
      <c r="A304" s="103">
        <v>45210</v>
      </c>
      <c r="B304" s="106" t="s">
        <v>813</v>
      </c>
      <c r="C304" s="102" t="s">
        <v>752</v>
      </c>
      <c r="D304" s="142">
        <v>166666</v>
      </c>
      <c r="E304" s="52" t="s">
        <v>6</v>
      </c>
      <c r="F304" s="89">
        <v>45216</v>
      </c>
    </row>
    <row r="305" spans="1:6">
      <c r="A305" s="103">
        <v>45210</v>
      </c>
      <c r="B305" s="106" t="s">
        <v>748</v>
      </c>
      <c r="C305" s="102" t="s">
        <v>120</v>
      </c>
      <c r="D305" s="142">
        <v>35647.449999999997</v>
      </c>
      <c r="E305" s="52" t="s">
        <v>6</v>
      </c>
      <c r="F305" s="89">
        <v>45211</v>
      </c>
    </row>
    <row r="306" spans="1:6">
      <c r="A306" s="103">
        <v>45211</v>
      </c>
      <c r="B306" s="106" t="s">
        <v>814</v>
      </c>
      <c r="C306" s="102" t="s">
        <v>752</v>
      </c>
      <c r="D306" s="142">
        <v>166666</v>
      </c>
      <c r="E306" s="52" t="s">
        <v>6</v>
      </c>
      <c r="F306" s="89">
        <v>45216</v>
      </c>
    </row>
    <row r="307" spans="1:6">
      <c r="A307" s="103">
        <v>45211</v>
      </c>
      <c r="B307" s="106" t="s">
        <v>602</v>
      </c>
      <c r="C307" s="102" t="s">
        <v>671</v>
      </c>
      <c r="D307" s="142">
        <v>1500000</v>
      </c>
      <c r="E307" s="52" t="s">
        <v>6</v>
      </c>
      <c r="F307" s="89">
        <v>45216</v>
      </c>
    </row>
    <row r="308" spans="1:6">
      <c r="A308" s="103">
        <v>45211</v>
      </c>
      <c r="B308" s="106" t="s">
        <v>765</v>
      </c>
      <c r="C308" s="102" t="s">
        <v>134</v>
      </c>
      <c r="D308" s="142">
        <v>653904.43999999994</v>
      </c>
      <c r="E308" s="52" t="s">
        <v>6</v>
      </c>
      <c r="F308" s="89">
        <v>45217</v>
      </c>
    </row>
    <row r="309" spans="1:6">
      <c r="A309" s="103">
        <v>45212</v>
      </c>
      <c r="B309" s="106" t="s">
        <v>758</v>
      </c>
      <c r="C309" s="102" t="s">
        <v>235</v>
      </c>
      <c r="D309" s="142">
        <v>103727.59</v>
      </c>
      <c r="E309" s="52" t="s">
        <v>6</v>
      </c>
      <c r="F309" s="89">
        <v>45216</v>
      </c>
    </row>
    <row r="310" spans="1:6">
      <c r="A310" s="103">
        <v>45212</v>
      </c>
      <c r="B310" s="106" t="s">
        <v>759</v>
      </c>
      <c r="C310" s="102" t="s">
        <v>667</v>
      </c>
      <c r="D310" s="142">
        <v>918874</v>
      </c>
      <c r="E310" s="52" t="s">
        <v>6</v>
      </c>
      <c r="F310" s="89">
        <v>45217</v>
      </c>
    </row>
    <row r="311" spans="1:6">
      <c r="A311" s="103">
        <v>45214</v>
      </c>
      <c r="B311" s="106" t="s">
        <v>719</v>
      </c>
      <c r="C311" s="102" t="s">
        <v>63</v>
      </c>
      <c r="D311" s="142">
        <v>2013460.7</v>
      </c>
      <c r="E311" s="52" t="s">
        <v>6</v>
      </c>
      <c r="F311" s="89">
        <v>45218</v>
      </c>
    </row>
    <row r="312" spans="1:6">
      <c r="A312" s="103">
        <v>45214</v>
      </c>
      <c r="B312" s="106" t="s">
        <v>750</v>
      </c>
      <c r="C312" s="102" t="s">
        <v>441</v>
      </c>
      <c r="D312" s="142">
        <v>266287.2</v>
      </c>
      <c r="E312" s="52" t="s">
        <v>6</v>
      </c>
      <c r="F312" s="89">
        <v>45229</v>
      </c>
    </row>
    <row r="313" spans="1:6">
      <c r="A313" s="103">
        <v>45216</v>
      </c>
      <c r="B313" s="106" t="s">
        <v>760</v>
      </c>
      <c r="C313" s="102" t="s">
        <v>226</v>
      </c>
      <c r="D313" s="142">
        <v>330755.68</v>
      </c>
      <c r="E313" s="52" t="s">
        <v>6</v>
      </c>
      <c r="F313" s="89">
        <v>45240</v>
      </c>
    </row>
    <row r="314" spans="1:6">
      <c r="A314" s="103">
        <v>45217</v>
      </c>
      <c r="B314" s="106" t="s">
        <v>734</v>
      </c>
      <c r="C314" s="102" t="s">
        <v>460</v>
      </c>
      <c r="D314" s="142">
        <v>632507.74</v>
      </c>
      <c r="E314" s="52" t="s">
        <v>6</v>
      </c>
      <c r="F314" s="89">
        <v>45218</v>
      </c>
    </row>
    <row r="315" spans="1:6">
      <c r="A315" s="103">
        <v>45218</v>
      </c>
      <c r="B315" s="106" t="s">
        <v>763</v>
      </c>
      <c r="C315" s="102" t="s">
        <v>666</v>
      </c>
      <c r="D315" s="142">
        <v>153550</v>
      </c>
      <c r="E315" s="52" t="s">
        <v>6</v>
      </c>
      <c r="F315" s="89">
        <v>45218</v>
      </c>
    </row>
    <row r="316" spans="1:6">
      <c r="A316" s="103">
        <v>45219</v>
      </c>
      <c r="B316" s="106" t="s">
        <v>741</v>
      </c>
      <c r="C316" s="102" t="s">
        <v>563</v>
      </c>
      <c r="D316" s="142">
        <v>120346.6</v>
      </c>
      <c r="E316" s="52" t="s">
        <v>6</v>
      </c>
      <c r="F316" s="89">
        <v>45222</v>
      </c>
    </row>
    <row r="317" spans="1:6">
      <c r="A317" s="103">
        <v>45219</v>
      </c>
      <c r="B317" s="106" t="s">
        <v>757</v>
      </c>
      <c r="C317" s="102" t="s">
        <v>563</v>
      </c>
      <c r="D317" s="142">
        <v>126178.34</v>
      </c>
      <c r="E317" s="52" t="s">
        <v>6</v>
      </c>
      <c r="F317" s="89">
        <v>45222</v>
      </c>
    </row>
    <row r="318" spans="1:6">
      <c r="A318" s="103">
        <v>45221</v>
      </c>
      <c r="B318" s="106" t="s">
        <v>603</v>
      </c>
      <c r="C318" s="102" t="s">
        <v>671</v>
      </c>
      <c r="D318" s="142">
        <v>1500000</v>
      </c>
      <c r="E318" s="52" t="s">
        <v>6</v>
      </c>
      <c r="F318" s="89">
        <v>45223</v>
      </c>
    </row>
    <row r="319" spans="1:6">
      <c r="A319" s="103">
        <v>45222</v>
      </c>
      <c r="B319" s="106" t="s">
        <v>713</v>
      </c>
      <c r="C319" s="102" t="s">
        <v>441</v>
      </c>
      <c r="D319" s="142">
        <v>405914.83</v>
      </c>
      <c r="E319" s="156" t="s">
        <v>6</v>
      </c>
      <c r="F319" s="89">
        <v>45223</v>
      </c>
    </row>
    <row r="320" spans="1:6">
      <c r="A320" s="103">
        <v>45222</v>
      </c>
      <c r="B320" s="106" t="s">
        <v>767</v>
      </c>
      <c r="C320" s="102" t="s">
        <v>120</v>
      </c>
      <c r="D320" s="142">
        <v>294845.75</v>
      </c>
      <c r="E320" s="156" t="s">
        <v>6</v>
      </c>
      <c r="F320" s="89">
        <v>45225</v>
      </c>
    </row>
    <row r="321" spans="1:8">
      <c r="A321" s="103">
        <v>45224</v>
      </c>
      <c r="B321" s="106" t="s">
        <v>570</v>
      </c>
      <c r="C321" s="102" t="s">
        <v>430</v>
      </c>
      <c r="D321" s="142">
        <v>1855902</v>
      </c>
      <c r="E321" s="156" t="s">
        <v>6</v>
      </c>
      <c r="F321" s="89">
        <v>45225</v>
      </c>
    </row>
    <row r="322" spans="1:8">
      <c r="A322" s="103">
        <v>45226</v>
      </c>
      <c r="B322" s="106" t="s">
        <v>761</v>
      </c>
      <c r="C322" s="102" t="s">
        <v>226</v>
      </c>
      <c r="D322" s="142">
        <v>330755.68</v>
      </c>
      <c r="E322" s="156" t="s">
        <v>6</v>
      </c>
      <c r="F322" s="89">
        <v>45229</v>
      </c>
    </row>
    <row r="323" spans="1:8">
      <c r="A323" s="103">
        <v>45227</v>
      </c>
      <c r="B323" s="106" t="s">
        <v>762</v>
      </c>
      <c r="C323" s="102" t="s">
        <v>20</v>
      </c>
      <c r="D323" s="142">
        <v>149072.85</v>
      </c>
      <c r="E323" s="156" t="s">
        <v>6</v>
      </c>
      <c r="F323" s="89">
        <v>45230</v>
      </c>
    </row>
    <row r="324" spans="1:8">
      <c r="A324" s="103">
        <v>45227</v>
      </c>
      <c r="B324" s="106" t="s">
        <v>649</v>
      </c>
      <c r="C324" s="102" t="s">
        <v>441</v>
      </c>
      <c r="D324" s="142">
        <v>158436.74</v>
      </c>
      <c r="E324" s="156" t="s">
        <v>6</v>
      </c>
      <c r="F324" s="89">
        <v>45232</v>
      </c>
    </row>
    <row r="325" spans="1:8">
      <c r="A325" s="103">
        <v>45228</v>
      </c>
      <c r="B325" s="106" t="s">
        <v>764</v>
      </c>
      <c r="C325" s="102" t="s">
        <v>666</v>
      </c>
      <c r="D325" s="142">
        <v>153550</v>
      </c>
      <c r="E325" s="156" t="s">
        <v>6</v>
      </c>
      <c r="F325" s="89">
        <v>45232</v>
      </c>
    </row>
    <row r="326" spans="1:8">
      <c r="A326" s="103">
        <v>45229</v>
      </c>
      <c r="B326" s="106" t="s">
        <v>768</v>
      </c>
      <c r="C326" s="102" t="s">
        <v>484</v>
      </c>
      <c r="D326" s="142">
        <v>560326</v>
      </c>
      <c r="E326" s="156" t="s">
        <v>6</v>
      </c>
      <c r="F326" s="89">
        <v>45230</v>
      </c>
    </row>
    <row r="327" spans="1:8">
      <c r="A327" s="10"/>
      <c r="B327" s="11"/>
      <c r="C327" s="12" t="s">
        <v>7</v>
      </c>
      <c r="D327" s="112">
        <f>SUBTOTAL(109,D290:D326)</f>
        <v>24261764.059999995</v>
      </c>
      <c r="E327" s="14"/>
      <c r="F327" s="15"/>
    </row>
    <row r="329" spans="1:8" ht="21">
      <c r="A329" s="339" t="s">
        <v>571</v>
      </c>
      <c r="B329" s="339"/>
      <c r="C329" s="339"/>
      <c r="D329" s="339"/>
      <c r="E329" s="20"/>
      <c r="F329" s="20"/>
    </row>
    <row r="330" spans="1:8" ht="21">
      <c r="A330" s="339"/>
      <c r="B330" s="339"/>
      <c r="C330" s="339"/>
      <c r="D330" s="339"/>
      <c r="E330" s="20"/>
      <c r="F330" s="20"/>
    </row>
    <row r="331" spans="1:8" s="145" customFormat="1">
      <c r="A331" s="7" t="s">
        <v>0</v>
      </c>
      <c r="B331" s="8" t="s">
        <v>1</v>
      </c>
      <c r="C331" s="8" t="s">
        <v>2</v>
      </c>
      <c r="D331" s="8" t="s">
        <v>3</v>
      </c>
      <c r="E331" s="8" t="s">
        <v>4</v>
      </c>
      <c r="F331" s="9" t="s">
        <v>5</v>
      </c>
      <c r="H331" s="146"/>
    </row>
    <row r="332" spans="1:8" s="145" customFormat="1">
      <c r="A332" s="56">
        <v>45235</v>
      </c>
      <c r="B332" s="106" t="s">
        <v>766</v>
      </c>
      <c r="C332" s="102" t="s">
        <v>563</v>
      </c>
      <c r="D332" s="142">
        <v>126178.34</v>
      </c>
      <c r="E332" s="52" t="s">
        <v>6</v>
      </c>
      <c r="F332" s="89">
        <v>45238</v>
      </c>
      <c r="H332" s="146"/>
    </row>
    <row r="333" spans="1:8" s="145" customFormat="1">
      <c r="A333" s="56">
        <v>45237</v>
      </c>
      <c r="B333" s="85" t="s">
        <v>711</v>
      </c>
      <c r="C333" s="149" t="s">
        <v>710</v>
      </c>
      <c r="D333" s="139">
        <v>239414.66</v>
      </c>
      <c r="E333" s="52" t="s">
        <v>6</v>
      </c>
      <c r="F333" s="89">
        <v>45238</v>
      </c>
      <c r="H333" s="146"/>
    </row>
    <row r="334" spans="1:8" s="145" customFormat="1">
      <c r="A334" s="56">
        <v>45238</v>
      </c>
      <c r="B334" s="85" t="s">
        <v>687</v>
      </c>
      <c r="C334" s="149" t="s">
        <v>683</v>
      </c>
      <c r="D334" s="139">
        <v>4097420</v>
      </c>
      <c r="E334" s="52" t="s">
        <v>6</v>
      </c>
      <c r="F334" s="89">
        <v>45239</v>
      </c>
      <c r="H334" s="146"/>
    </row>
    <row r="335" spans="1:8" s="145" customFormat="1">
      <c r="A335" s="161">
        <v>45239</v>
      </c>
      <c r="B335" s="85" t="s">
        <v>769</v>
      </c>
      <c r="C335" s="154" t="s">
        <v>245</v>
      </c>
      <c r="D335" s="166">
        <v>419000</v>
      </c>
      <c r="E335" s="52" t="s">
        <v>6</v>
      </c>
      <c r="F335" s="157">
        <v>45261</v>
      </c>
      <c r="H335" s="146"/>
    </row>
    <row r="336" spans="1:8" s="145" customFormat="1">
      <c r="A336" s="56">
        <v>45239</v>
      </c>
      <c r="B336" s="85" t="s">
        <v>632</v>
      </c>
      <c r="C336" s="149" t="s">
        <v>441</v>
      </c>
      <c r="D336" s="139">
        <v>208677.13</v>
      </c>
      <c r="E336" s="52" t="s">
        <v>6</v>
      </c>
      <c r="F336" s="89">
        <v>45239</v>
      </c>
      <c r="H336" s="146"/>
    </row>
    <row r="337" spans="1:8" s="145" customFormat="1">
      <c r="A337" s="161">
        <v>45240</v>
      </c>
      <c r="B337" s="85" t="s">
        <v>770</v>
      </c>
      <c r="C337" s="154" t="s">
        <v>63</v>
      </c>
      <c r="D337" s="166">
        <v>3000000</v>
      </c>
      <c r="E337" s="52" t="s">
        <v>6</v>
      </c>
      <c r="F337" s="157">
        <v>45243</v>
      </c>
      <c r="H337" s="146"/>
    </row>
    <row r="338" spans="1:8" s="145" customFormat="1">
      <c r="A338" s="161">
        <v>45243</v>
      </c>
      <c r="B338" s="85" t="s">
        <v>771</v>
      </c>
      <c r="C338" s="154" t="s">
        <v>63</v>
      </c>
      <c r="D338" s="166">
        <v>3000000</v>
      </c>
      <c r="E338" s="52" t="s">
        <v>6</v>
      </c>
      <c r="F338" s="157">
        <v>45245</v>
      </c>
      <c r="H338" s="146"/>
    </row>
    <row r="339" spans="1:8" s="145" customFormat="1">
      <c r="A339" s="56">
        <v>45243</v>
      </c>
      <c r="B339" s="85" t="s">
        <v>815</v>
      </c>
      <c r="C339" s="149"/>
      <c r="D339" s="139">
        <v>231167</v>
      </c>
      <c r="E339" s="52" t="s">
        <v>6</v>
      </c>
      <c r="F339" s="28">
        <v>45243</v>
      </c>
      <c r="H339" s="146"/>
    </row>
    <row r="340" spans="1:8" s="145" customFormat="1">
      <c r="A340" s="56">
        <v>45240</v>
      </c>
      <c r="B340" s="85" t="s">
        <v>604</v>
      </c>
      <c r="C340" s="149" t="s">
        <v>671</v>
      </c>
      <c r="D340" s="139">
        <v>1250000</v>
      </c>
      <c r="E340" s="52" t="s">
        <v>6</v>
      </c>
      <c r="F340" s="89">
        <v>45244</v>
      </c>
      <c r="H340" s="146"/>
    </row>
    <row r="341" spans="1:8" s="145" customFormat="1">
      <c r="A341" s="161">
        <v>45244</v>
      </c>
      <c r="B341" s="85" t="s">
        <v>772</v>
      </c>
      <c r="C341" s="154" t="s">
        <v>441</v>
      </c>
      <c r="D341" s="166">
        <v>240000</v>
      </c>
      <c r="E341" s="52" t="s">
        <v>6</v>
      </c>
      <c r="F341" s="157">
        <v>45273</v>
      </c>
      <c r="H341" s="146"/>
    </row>
    <row r="342" spans="1:8" s="145" customFormat="1">
      <c r="A342" s="161">
        <v>45245</v>
      </c>
      <c r="B342" s="85" t="s">
        <v>774</v>
      </c>
      <c r="C342" s="154" t="s">
        <v>683</v>
      </c>
      <c r="D342" s="166">
        <v>207587.6</v>
      </c>
      <c r="E342" s="156" t="s">
        <v>6</v>
      </c>
      <c r="F342" s="157">
        <v>45259</v>
      </c>
      <c r="H342" s="146"/>
    </row>
    <row r="343" spans="1:8" s="145" customFormat="1">
      <c r="A343" s="161">
        <v>45245</v>
      </c>
      <c r="B343" s="85" t="s">
        <v>776</v>
      </c>
      <c r="C343" s="154" t="s">
        <v>63</v>
      </c>
      <c r="D343" s="166">
        <v>3000000</v>
      </c>
      <c r="E343" s="156" t="s">
        <v>6</v>
      </c>
      <c r="F343" s="157">
        <v>45246</v>
      </c>
      <c r="H343" s="146"/>
    </row>
    <row r="344" spans="1:8" s="145" customFormat="1">
      <c r="A344" s="56">
        <v>45245</v>
      </c>
      <c r="B344" s="85" t="s">
        <v>751</v>
      </c>
      <c r="C344" s="149" t="s">
        <v>441</v>
      </c>
      <c r="D344" s="139">
        <v>266287.21000000002</v>
      </c>
      <c r="E344" s="156" t="s">
        <v>6</v>
      </c>
      <c r="F344" s="89">
        <v>45247</v>
      </c>
      <c r="H344" s="146"/>
    </row>
    <row r="345" spans="1:8" s="145" customFormat="1">
      <c r="A345" s="56">
        <v>45247</v>
      </c>
      <c r="B345" s="85" t="s">
        <v>777</v>
      </c>
      <c r="C345" s="149" t="s">
        <v>430</v>
      </c>
      <c r="D345" s="139">
        <v>268813.59000000003</v>
      </c>
      <c r="E345" s="156" t="s">
        <v>6</v>
      </c>
      <c r="F345" s="89">
        <v>45251</v>
      </c>
      <c r="H345" s="146"/>
    </row>
    <row r="346" spans="1:8">
      <c r="A346" s="56">
        <v>45247</v>
      </c>
      <c r="B346" s="85" t="s">
        <v>779</v>
      </c>
      <c r="C346" s="149" t="s">
        <v>63</v>
      </c>
      <c r="D346" s="139">
        <v>2000000</v>
      </c>
      <c r="E346" s="156" t="s">
        <v>6</v>
      </c>
      <c r="F346" s="28">
        <v>45251</v>
      </c>
    </row>
    <row r="347" spans="1:8">
      <c r="A347" s="56">
        <v>45248</v>
      </c>
      <c r="B347" s="85" t="s">
        <v>780</v>
      </c>
      <c r="C347" s="149" t="s">
        <v>441</v>
      </c>
      <c r="D347" s="139">
        <v>691043.1</v>
      </c>
      <c r="E347" s="156" t="s">
        <v>6</v>
      </c>
      <c r="F347" s="28">
        <v>45252</v>
      </c>
    </row>
    <row r="348" spans="1:8">
      <c r="A348" s="56">
        <v>45250</v>
      </c>
      <c r="B348" s="85" t="s">
        <v>781</v>
      </c>
      <c r="C348" s="149" t="s">
        <v>226</v>
      </c>
      <c r="D348" s="139">
        <v>899801.61</v>
      </c>
      <c r="E348" s="156" t="s">
        <v>6</v>
      </c>
      <c r="F348" s="28">
        <v>45252</v>
      </c>
    </row>
    <row r="349" spans="1:8">
      <c r="A349" s="56">
        <v>45250</v>
      </c>
      <c r="B349" s="85" t="s">
        <v>782</v>
      </c>
      <c r="C349" s="149" t="s">
        <v>563</v>
      </c>
      <c r="D349" s="139">
        <v>49409.77</v>
      </c>
      <c r="E349" s="156" t="s">
        <v>6</v>
      </c>
      <c r="F349" s="28">
        <v>45251</v>
      </c>
    </row>
    <row r="350" spans="1:8">
      <c r="A350" s="56">
        <v>45252</v>
      </c>
      <c r="B350" s="85" t="s">
        <v>773</v>
      </c>
      <c r="C350" s="149" t="s">
        <v>120</v>
      </c>
      <c r="D350" s="139">
        <v>491358.68</v>
      </c>
      <c r="E350" s="156" t="s">
        <v>6</v>
      </c>
      <c r="F350" s="28">
        <v>45252</v>
      </c>
    </row>
    <row r="351" spans="1:8">
      <c r="A351" s="56">
        <v>45253</v>
      </c>
      <c r="B351" s="85" t="s">
        <v>720</v>
      </c>
      <c r="C351" s="149" t="s">
        <v>441</v>
      </c>
      <c r="D351" s="139">
        <v>405914.83</v>
      </c>
      <c r="E351" s="156" t="s">
        <v>6</v>
      </c>
      <c r="F351" s="28">
        <v>45254</v>
      </c>
    </row>
    <row r="352" spans="1:8">
      <c r="A352" s="56">
        <v>45255</v>
      </c>
      <c r="B352" s="85" t="s">
        <v>572</v>
      </c>
      <c r="C352" s="149" t="s">
        <v>430</v>
      </c>
      <c r="D352" s="139">
        <v>1855902</v>
      </c>
      <c r="E352" s="156" t="s">
        <v>6</v>
      </c>
      <c r="F352" s="28">
        <v>45257</v>
      </c>
    </row>
    <row r="353" spans="1:8">
      <c r="A353" s="56">
        <v>45256</v>
      </c>
      <c r="B353" s="85" t="s">
        <v>784</v>
      </c>
      <c r="C353" s="149" t="s">
        <v>629</v>
      </c>
      <c r="D353" s="139">
        <v>1411666.66</v>
      </c>
      <c r="E353" s="156" t="s">
        <v>6</v>
      </c>
      <c r="F353" s="28">
        <v>45257</v>
      </c>
    </row>
    <row r="354" spans="1:8">
      <c r="A354" s="56">
        <v>45257</v>
      </c>
      <c r="B354" s="85" t="s">
        <v>786</v>
      </c>
      <c r="C354" s="149" t="s">
        <v>197</v>
      </c>
      <c r="D354" s="139">
        <v>469072.41</v>
      </c>
      <c r="E354" s="156" t="s">
        <v>6</v>
      </c>
      <c r="F354" s="28">
        <v>45260</v>
      </c>
    </row>
    <row r="355" spans="1:8">
      <c r="A355" s="56">
        <v>45258</v>
      </c>
      <c r="B355" s="85" t="s">
        <v>789</v>
      </c>
      <c r="C355" s="149" t="s">
        <v>95</v>
      </c>
      <c r="D355" s="139">
        <v>223312.2</v>
      </c>
      <c r="E355" s="52" t="s">
        <v>6</v>
      </c>
      <c r="F355" s="28">
        <v>45265</v>
      </c>
    </row>
    <row r="356" spans="1:8">
      <c r="A356" s="56">
        <v>45259</v>
      </c>
      <c r="B356" s="85" t="s">
        <v>790</v>
      </c>
      <c r="C356" s="149" t="s">
        <v>791</v>
      </c>
      <c r="D356" s="139">
        <v>677928.91</v>
      </c>
      <c r="E356" s="156" t="s">
        <v>6</v>
      </c>
      <c r="F356" s="28">
        <v>45260</v>
      </c>
    </row>
    <row r="357" spans="1:8">
      <c r="A357" s="56">
        <v>45260</v>
      </c>
      <c r="B357" s="85" t="s">
        <v>775</v>
      </c>
      <c r="C357" s="149" t="s">
        <v>484</v>
      </c>
      <c r="D357" s="139">
        <v>732125</v>
      </c>
      <c r="E357" s="52" t="s">
        <v>6</v>
      </c>
      <c r="F357" s="28">
        <v>45261</v>
      </c>
    </row>
    <row r="358" spans="1:8">
      <c r="A358" s="10"/>
      <c r="B358" s="11"/>
      <c r="C358" s="12" t="s">
        <v>7</v>
      </c>
      <c r="D358" s="112">
        <f>SUBTOTAL(109,D332:D357)</f>
        <v>26462080.699999999</v>
      </c>
      <c r="E358" s="14"/>
      <c r="F358" s="15"/>
    </row>
    <row r="360" spans="1:8" ht="21">
      <c r="A360" s="339" t="s">
        <v>573</v>
      </c>
      <c r="B360" s="339"/>
      <c r="C360" s="339"/>
      <c r="D360" s="339"/>
      <c r="E360" s="20"/>
      <c r="F360" s="20"/>
    </row>
    <row r="361" spans="1:8" ht="21">
      <c r="A361" s="339"/>
      <c r="B361" s="339"/>
      <c r="C361" s="339"/>
      <c r="D361" s="339"/>
      <c r="E361" s="20"/>
      <c r="F361" s="20"/>
    </row>
    <row r="362" spans="1:8" ht="13.8" customHeight="1">
      <c r="A362" s="7" t="s">
        <v>0</v>
      </c>
      <c r="B362" s="8" t="s">
        <v>1</v>
      </c>
      <c r="C362" s="8" t="s">
        <v>2</v>
      </c>
      <c r="D362" s="8" t="s">
        <v>3</v>
      </c>
      <c r="E362" s="8" t="s">
        <v>4</v>
      </c>
      <c r="F362" s="9" t="s">
        <v>5</v>
      </c>
    </row>
    <row r="363" spans="1:8" s="145" customFormat="1" hidden="1">
      <c r="A363" s="56">
        <v>45264</v>
      </c>
      <c r="B363" s="85" t="s">
        <v>792</v>
      </c>
      <c r="C363" s="149" t="s">
        <v>793</v>
      </c>
      <c r="D363" s="142">
        <v>220000</v>
      </c>
      <c r="E363" s="52" t="s">
        <v>6</v>
      </c>
      <c r="F363" s="28">
        <v>45264</v>
      </c>
      <c r="H363" s="146"/>
    </row>
    <row r="364" spans="1:8" s="145" customFormat="1" hidden="1">
      <c r="A364" s="103">
        <v>45264</v>
      </c>
      <c r="B364" s="85" t="s">
        <v>819</v>
      </c>
      <c r="C364" s="149" t="s">
        <v>826</v>
      </c>
      <c r="D364" s="142">
        <v>2600000</v>
      </c>
      <c r="E364" s="27" t="s">
        <v>6</v>
      </c>
      <c r="F364" s="28">
        <v>45264</v>
      </c>
      <c r="H364" s="146"/>
    </row>
    <row r="365" spans="1:8" s="145" customFormat="1" hidden="1">
      <c r="A365" s="103">
        <v>45264</v>
      </c>
      <c r="B365" s="85" t="s">
        <v>820</v>
      </c>
      <c r="C365" s="149" t="s">
        <v>826</v>
      </c>
      <c r="D365" s="142">
        <v>1700000</v>
      </c>
      <c r="E365" s="27" t="s">
        <v>6</v>
      </c>
      <c r="F365" s="28">
        <v>45264</v>
      </c>
      <c r="H365" s="146"/>
    </row>
    <row r="366" spans="1:8" s="145" customFormat="1" hidden="1">
      <c r="A366" s="56">
        <v>45265</v>
      </c>
      <c r="B366" s="85" t="s">
        <v>783</v>
      </c>
      <c r="C366" s="149" t="s">
        <v>563</v>
      </c>
      <c r="D366" s="142">
        <v>49409.77</v>
      </c>
      <c r="E366" s="52" t="s">
        <v>6</v>
      </c>
      <c r="F366" s="28">
        <v>45266</v>
      </c>
      <c r="H366" s="146"/>
    </row>
    <row r="367" spans="1:8" s="145" customFormat="1" hidden="1">
      <c r="A367" s="103">
        <v>45267</v>
      </c>
      <c r="B367" s="85" t="s">
        <v>818</v>
      </c>
      <c r="C367" s="149" t="s">
        <v>827</v>
      </c>
      <c r="D367" s="142">
        <v>2196000</v>
      </c>
      <c r="E367" s="27" t="s">
        <v>6</v>
      </c>
      <c r="F367" s="28">
        <v>45267</v>
      </c>
      <c r="H367" s="146"/>
    </row>
    <row r="368" spans="1:8" s="145" customFormat="1" hidden="1">
      <c r="A368" s="56">
        <v>45268</v>
      </c>
      <c r="B368" s="85" t="s">
        <v>721</v>
      </c>
      <c r="C368" s="149" t="s">
        <v>710</v>
      </c>
      <c r="D368" s="142">
        <v>239414.66</v>
      </c>
      <c r="E368" s="52" t="s">
        <v>6</v>
      </c>
      <c r="F368" s="28">
        <v>45272</v>
      </c>
      <c r="H368" s="146"/>
    </row>
    <row r="369" spans="1:6" hidden="1">
      <c r="A369" s="56">
        <v>45268</v>
      </c>
      <c r="B369" s="85" t="s">
        <v>688</v>
      </c>
      <c r="C369" s="149" t="s">
        <v>683</v>
      </c>
      <c r="D369" s="142">
        <v>4097420</v>
      </c>
      <c r="E369" s="52" t="s">
        <v>6</v>
      </c>
      <c r="F369" s="28">
        <v>45272</v>
      </c>
    </row>
    <row r="370" spans="1:6" hidden="1">
      <c r="A370" s="165">
        <v>45268</v>
      </c>
      <c r="B370" s="85" t="s">
        <v>787</v>
      </c>
      <c r="C370" s="167" t="s">
        <v>63</v>
      </c>
      <c r="D370" s="142">
        <v>2823193.2</v>
      </c>
      <c r="E370" s="27" t="s">
        <v>6</v>
      </c>
      <c r="F370" s="157">
        <v>45273</v>
      </c>
    </row>
    <row r="371" spans="1:6" hidden="1">
      <c r="A371" s="165">
        <v>45272</v>
      </c>
      <c r="B371" s="85" t="s">
        <v>785</v>
      </c>
      <c r="C371" s="167" t="s">
        <v>629</v>
      </c>
      <c r="D371" s="142">
        <v>1411666.67</v>
      </c>
      <c r="E371" s="27" t="s">
        <v>6</v>
      </c>
      <c r="F371" s="157">
        <v>45273</v>
      </c>
    </row>
    <row r="372" spans="1:6" hidden="1">
      <c r="A372" s="165">
        <v>45275</v>
      </c>
      <c r="B372" s="85" t="s">
        <v>778</v>
      </c>
      <c r="C372" s="167" t="s">
        <v>795</v>
      </c>
      <c r="D372" s="155">
        <v>373200</v>
      </c>
      <c r="E372" s="27" t="s">
        <v>6</v>
      </c>
      <c r="F372" s="157">
        <v>45278</v>
      </c>
    </row>
    <row r="373" spans="1:6" hidden="1">
      <c r="A373" s="103">
        <v>45278</v>
      </c>
      <c r="B373" s="85" t="s">
        <v>817</v>
      </c>
      <c r="C373" s="168" t="s">
        <v>821</v>
      </c>
      <c r="D373" s="104">
        <v>85010.63</v>
      </c>
      <c r="E373" s="27" t="s">
        <v>6</v>
      </c>
      <c r="F373" s="28">
        <v>45278</v>
      </c>
    </row>
    <row r="374" spans="1:6" hidden="1">
      <c r="A374" s="103">
        <v>45285</v>
      </c>
      <c r="B374" s="85" t="s">
        <v>574</v>
      </c>
      <c r="C374" s="86" t="s">
        <v>430</v>
      </c>
      <c r="D374" s="87">
        <v>1855902</v>
      </c>
      <c r="E374" s="52" t="s">
        <v>6</v>
      </c>
      <c r="F374" s="28">
        <v>45287</v>
      </c>
    </row>
    <row r="375" spans="1:6" hidden="1">
      <c r="A375" s="103">
        <v>45287</v>
      </c>
      <c r="B375" s="85" t="s">
        <v>816</v>
      </c>
      <c r="C375" s="168" t="s">
        <v>226</v>
      </c>
      <c r="D375" s="104">
        <v>1155060.42</v>
      </c>
      <c r="E375" s="52" t="s">
        <v>6</v>
      </c>
      <c r="F375" s="28">
        <v>45287</v>
      </c>
    </row>
    <row r="376" spans="1:6">
      <c r="A376" s="103">
        <v>45288</v>
      </c>
      <c r="B376" s="85" t="s">
        <v>788</v>
      </c>
      <c r="C376" s="86" t="s">
        <v>797</v>
      </c>
      <c r="D376" s="87">
        <v>580231</v>
      </c>
      <c r="E376" s="52"/>
      <c r="F376" s="28"/>
    </row>
    <row r="377" spans="1:6">
      <c r="A377" s="84">
        <v>45288</v>
      </c>
      <c r="B377" s="85" t="s">
        <v>824</v>
      </c>
      <c r="C377" s="86" t="s">
        <v>563</v>
      </c>
      <c r="D377" s="87">
        <v>228910.96</v>
      </c>
      <c r="E377" s="88"/>
      <c r="F377" s="89"/>
    </row>
    <row r="378" spans="1:6">
      <c r="A378" s="103">
        <v>45290</v>
      </c>
      <c r="B378" s="85" t="s">
        <v>794</v>
      </c>
      <c r="C378" s="167" t="s">
        <v>629</v>
      </c>
      <c r="D378" s="87">
        <v>1411666.67</v>
      </c>
      <c r="E378" s="52"/>
      <c r="F378" s="28"/>
    </row>
    <row r="379" spans="1:6">
      <c r="A379" s="103">
        <v>45290</v>
      </c>
      <c r="B379" s="85" t="s">
        <v>825</v>
      </c>
      <c r="C379" s="168" t="s">
        <v>420</v>
      </c>
      <c r="D379" s="87">
        <v>732127</v>
      </c>
      <c r="E379" s="52"/>
      <c r="F379" s="28"/>
    </row>
    <row r="380" spans="1:6">
      <c r="A380" s="10"/>
      <c r="B380" s="11"/>
      <c r="C380" s="12" t="s">
        <v>7</v>
      </c>
      <c r="D380" s="112">
        <f>SUBTOTAL(109,D363:D379)</f>
        <v>2952935.63</v>
      </c>
      <c r="E380" s="14"/>
      <c r="F380" s="15"/>
    </row>
  </sheetData>
  <mergeCells count="12">
    <mergeCell ref="A360:D361"/>
    <mergeCell ref="A122:D123"/>
    <mergeCell ref="A1:D2"/>
    <mergeCell ref="A28:D29"/>
    <mergeCell ref="A59:D60"/>
    <mergeCell ref="A85:D86"/>
    <mergeCell ref="A105:D106"/>
    <mergeCell ref="A143:D144"/>
    <mergeCell ref="A174:D175"/>
    <mergeCell ref="A226:D227"/>
    <mergeCell ref="A287:D288"/>
    <mergeCell ref="A329:D330"/>
  </mergeCells>
  <phoneticPr fontId="5" type="noConversion"/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134" zoomScale="120" zoomScaleNormal="120" workbookViewId="0">
      <selection activeCell="D145" sqref="D145"/>
    </sheetView>
  </sheetViews>
  <sheetFormatPr baseColWidth="10" defaultRowHeight="14.4"/>
  <cols>
    <col min="1" max="2" width="15.6640625" customWidth="1"/>
    <col min="3" max="3" width="34.21875" bestFit="1" customWidth="1"/>
    <col min="4" max="4" width="16.6640625" customWidth="1"/>
    <col min="5" max="5" width="22.109375" bestFit="1" customWidth="1"/>
    <col min="6" max="6" width="22.21875" bestFit="1" customWidth="1"/>
    <col min="7" max="7" width="3.44140625" customWidth="1"/>
    <col min="8" max="8" width="41.21875" style="19" customWidth="1"/>
  </cols>
  <sheetData>
    <row r="1" spans="1:6" ht="21">
      <c r="A1" s="339" t="s">
        <v>575</v>
      </c>
      <c r="B1" s="339"/>
      <c r="C1" s="339"/>
      <c r="D1" s="339"/>
      <c r="E1" s="20"/>
      <c r="F1" s="20"/>
    </row>
    <row r="2" spans="1:6" ht="21">
      <c r="A2" s="339"/>
      <c r="B2" s="339"/>
      <c r="C2" s="339"/>
      <c r="D2" s="339"/>
      <c r="E2" s="20"/>
      <c r="F2" s="20"/>
    </row>
    <row r="3" spans="1:6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6">
      <c r="A4" s="103">
        <v>45295</v>
      </c>
      <c r="B4" s="85" t="s">
        <v>834</v>
      </c>
      <c r="C4" s="149" t="s">
        <v>97</v>
      </c>
      <c r="D4" s="142">
        <v>493085.28</v>
      </c>
      <c r="E4" s="153" t="s">
        <v>6</v>
      </c>
      <c r="F4" s="28"/>
    </row>
    <row r="5" spans="1:6">
      <c r="A5" s="103">
        <v>45299</v>
      </c>
      <c r="B5" s="85" t="s">
        <v>722</v>
      </c>
      <c r="C5" s="149" t="s">
        <v>683</v>
      </c>
      <c r="D5" s="142">
        <v>4097420</v>
      </c>
      <c r="E5" s="153" t="s">
        <v>6</v>
      </c>
      <c r="F5" s="28">
        <v>45300</v>
      </c>
    </row>
    <row r="6" spans="1:6">
      <c r="A6" s="103">
        <v>45301</v>
      </c>
      <c r="B6" s="85" t="s">
        <v>835</v>
      </c>
      <c r="C6" s="86" t="s">
        <v>484</v>
      </c>
      <c r="D6" s="87">
        <v>81366</v>
      </c>
      <c r="E6" s="153" t="s">
        <v>6</v>
      </c>
      <c r="F6" s="28"/>
    </row>
    <row r="7" spans="1:6">
      <c r="A7" s="103">
        <v>45303</v>
      </c>
      <c r="B7" s="85" t="s">
        <v>836</v>
      </c>
      <c r="C7" s="86" t="s">
        <v>837</v>
      </c>
      <c r="D7" s="87">
        <v>96000</v>
      </c>
      <c r="E7" s="153" t="s">
        <v>6</v>
      </c>
      <c r="F7" s="28"/>
    </row>
    <row r="8" spans="1:6">
      <c r="A8" s="84">
        <v>45303</v>
      </c>
      <c r="B8" s="85" t="s">
        <v>823</v>
      </c>
      <c r="C8" s="86" t="s">
        <v>563</v>
      </c>
      <c r="D8" s="87">
        <v>228910.96</v>
      </c>
      <c r="E8" s="153" t="s">
        <v>6</v>
      </c>
      <c r="F8" s="89">
        <v>45303</v>
      </c>
    </row>
    <row r="9" spans="1:6">
      <c r="A9" s="103">
        <v>45306</v>
      </c>
      <c r="B9" s="85" t="s">
        <v>838</v>
      </c>
      <c r="C9" s="86" t="s">
        <v>837</v>
      </c>
      <c r="D9" s="87">
        <v>305000</v>
      </c>
      <c r="E9" s="153" t="s">
        <v>6</v>
      </c>
      <c r="F9" s="28"/>
    </row>
    <row r="10" spans="1:6">
      <c r="A10" s="103">
        <v>45306</v>
      </c>
      <c r="B10" s="85" t="s">
        <v>576</v>
      </c>
      <c r="C10" s="149" t="s">
        <v>430</v>
      </c>
      <c r="D10" s="142">
        <v>1855902</v>
      </c>
      <c r="E10" s="153" t="s">
        <v>6</v>
      </c>
      <c r="F10" s="28">
        <v>45307</v>
      </c>
    </row>
    <row r="11" spans="1:6">
      <c r="A11" s="138">
        <v>45306</v>
      </c>
      <c r="B11" s="85" t="s">
        <v>839</v>
      </c>
      <c r="C11" s="141" t="s">
        <v>840</v>
      </c>
      <c r="D11" s="142">
        <v>719964.08</v>
      </c>
      <c r="E11" s="171" t="s">
        <v>6</v>
      </c>
      <c r="F11" s="28"/>
    </row>
    <row r="12" spans="1:6">
      <c r="A12" s="138">
        <v>45309</v>
      </c>
      <c r="B12" s="106" t="s">
        <v>841</v>
      </c>
      <c r="C12" s="141" t="s">
        <v>842</v>
      </c>
      <c r="D12" s="139">
        <v>3061367.58</v>
      </c>
      <c r="E12" s="171" t="s">
        <v>6</v>
      </c>
      <c r="F12" s="28"/>
    </row>
    <row r="13" spans="1:6">
      <c r="A13" s="138">
        <v>45314</v>
      </c>
      <c r="B13" s="85" t="s">
        <v>829</v>
      </c>
      <c r="C13" s="141" t="s">
        <v>563</v>
      </c>
      <c r="D13" s="142">
        <v>88499.62</v>
      </c>
      <c r="E13" s="171" t="s">
        <v>6</v>
      </c>
      <c r="F13" s="28"/>
    </row>
    <row r="14" spans="1:6">
      <c r="A14" s="138">
        <v>45314</v>
      </c>
      <c r="B14" s="106" t="s">
        <v>843</v>
      </c>
      <c r="C14" s="141" t="s">
        <v>388</v>
      </c>
      <c r="D14" s="139">
        <v>215271.71</v>
      </c>
      <c r="E14" s="171" t="s">
        <v>6</v>
      </c>
      <c r="F14" s="28"/>
    </row>
    <row r="15" spans="1:6">
      <c r="A15" s="84">
        <v>45318</v>
      </c>
      <c r="B15" s="85" t="s">
        <v>796</v>
      </c>
      <c r="C15" s="86" t="s">
        <v>797</v>
      </c>
      <c r="D15" s="87">
        <v>662769</v>
      </c>
      <c r="E15" s="171" t="s">
        <v>6</v>
      </c>
      <c r="F15" s="89"/>
    </row>
    <row r="16" spans="1:6">
      <c r="A16" s="84">
        <v>45318</v>
      </c>
      <c r="B16" s="85" t="s">
        <v>822</v>
      </c>
      <c r="C16" s="86" t="s">
        <v>563</v>
      </c>
      <c r="D16" s="87">
        <v>228910.96</v>
      </c>
      <c r="E16" s="171" t="s">
        <v>6</v>
      </c>
      <c r="F16" s="89"/>
    </row>
    <row r="17" spans="1:6">
      <c r="A17" s="84">
        <v>45321</v>
      </c>
      <c r="B17" s="85" t="s">
        <v>844</v>
      </c>
      <c r="C17" s="86" t="s">
        <v>845</v>
      </c>
      <c r="D17" s="87">
        <v>191664</v>
      </c>
      <c r="E17" s="171" t="s">
        <v>6</v>
      </c>
      <c r="F17" s="89"/>
    </row>
    <row r="18" spans="1:6">
      <c r="A18" s="84">
        <v>45321</v>
      </c>
      <c r="B18" s="85" t="s">
        <v>846</v>
      </c>
      <c r="C18" s="86" t="s">
        <v>563</v>
      </c>
      <c r="D18" s="87">
        <v>56482.92</v>
      </c>
      <c r="E18" s="171" t="s">
        <v>6</v>
      </c>
      <c r="F18" s="89"/>
    </row>
    <row r="19" spans="1:6">
      <c r="A19" s="84">
        <v>45321</v>
      </c>
      <c r="B19" s="85" t="s">
        <v>833</v>
      </c>
      <c r="C19" s="86" t="s">
        <v>484</v>
      </c>
      <c r="D19" s="87">
        <v>813491</v>
      </c>
      <c r="E19" s="171" t="s">
        <v>6</v>
      </c>
      <c r="F19" s="89"/>
    </row>
    <row r="20" spans="1:6">
      <c r="A20" s="10"/>
      <c r="B20" s="11"/>
      <c r="C20" s="12" t="s">
        <v>7</v>
      </c>
      <c r="D20" s="112">
        <f>SUBTOTAL(109,D4:D19)</f>
        <v>13196105.110000001</v>
      </c>
      <c r="E20" s="14"/>
      <c r="F20" s="15"/>
    </row>
    <row r="22" spans="1:6" ht="21">
      <c r="A22" s="339" t="s">
        <v>723</v>
      </c>
      <c r="B22" s="339"/>
      <c r="C22" s="339"/>
      <c r="D22" s="339"/>
      <c r="E22" s="20"/>
      <c r="F22" s="20"/>
    </row>
    <row r="23" spans="1:6" ht="21">
      <c r="A23" s="339"/>
      <c r="B23" s="339"/>
      <c r="C23" s="339"/>
      <c r="D23" s="339"/>
      <c r="E23" s="20"/>
      <c r="F23" s="20"/>
    </row>
    <row r="24" spans="1:6">
      <c r="A24" s="7" t="s">
        <v>0</v>
      </c>
      <c r="B24" s="8" t="s">
        <v>1</v>
      </c>
      <c r="C24" s="8" t="s">
        <v>2</v>
      </c>
      <c r="D24" s="8" t="s">
        <v>3</v>
      </c>
      <c r="E24" s="8" t="s">
        <v>4</v>
      </c>
      <c r="F24" s="9" t="s">
        <v>5</v>
      </c>
    </row>
    <row r="25" spans="1:6">
      <c r="A25" s="103">
        <v>45323</v>
      </c>
      <c r="B25" s="85" t="s">
        <v>847</v>
      </c>
      <c r="C25" s="149" t="s">
        <v>296</v>
      </c>
      <c r="D25" s="142">
        <v>314444.40000000002</v>
      </c>
      <c r="E25" s="153" t="s">
        <v>6</v>
      </c>
      <c r="F25" s="28"/>
    </row>
    <row r="26" spans="1:6">
      <c r="A26" s="138">
        <v>45327</v>
      </c>
      <c r="B26" s="106" t="s">
        <v>848</v>
      </c>
      <c r="C26" s="119" t="s">
        <v>849</v>
      </c>
      <c r="D26" s="139">
        <v>154400</v>
      </c>
      <c r="E26" s="176" t="s">
        <v>6</v>
      </c>
      <c r="F26" s="56"/>
    </row>
    <row r="27" spans="1:6">
      <c r="A27" s="103">
        <v>45327</v>
      </c>
      <c r="B27" s="85" t="s">
        <v>830</v>
      </c>
      <c r="C27" s="149" t="s">
        <v>226</v>
      </c>
      <c r="D27" s="142">
        <v>989150.05</v>
      </c>
      <c r="E27" s="153" t="s">
        <v>6</v>
      </c>
      <c r="F27" s="28"/>
    </row>
    <row r="28" spans="1:6">
      <c r="A28" s="103">
        <v>45330</v>
      </c>
      <c r="B28" s="85" t="s">
        <v>859</v>
      </c>
      <c r="C28" s="149" t="s">
        <v>683</v>
      </c>
      <c r="D28" s="142">
        <v>4097420</v>
      </c>
      <c r="E28" s="153" t="s">
        <v>6</v>
      </c>
      <c r="F28" s="28"/>
    </row>
    <row r="29" spans="1:6">
      <c r="A29" s="103">
        <v>45330</v>
      </c>
      <c r="B29" s="85" t="s">
        <v>828</v>
      </c>
      <c r="C29" s="149" t="s">
        <v>563</v>
      </c>
      <c r="D29" s="142">
        <v>88499.62</v>
      </c>
      <c r="E29" s="153" t="s">
        <v>6</v>
      </c>
      <c r="F29" s="28"/>
    </row>
    <row r="30" spans="1:6">
      <c r="A30" s="103">
        <v>45331</v>
      </c>
      <c r="B30" s="85" t="s">
        <v>850</v>
      </c>
      <c r="C30" s="141" t="s">
        <v>296</v>
      </c>
      <c r="D30" s="104">
        <v>314444.40999999997</v>
      </c>
      <c r="E30" s="153" t="s">
        <v>6</v>
      </c>
      <c r="F30" s="28"/>
    </row>
    <row r="31" spans="1:6">
      <c r="A31" s="103">
        <v>45331</v>
      </c>
      <c r="B31" s="85" t="s">
        <v>851</v>
      </c>
      <c r="C31" s="149" t="s">
        <v>563</v>
      </c>
      <c r="D31" s="142">
        <v>82298.740000000005</v>
      </c>
      <c r="E31" s="153" t="s">
        <v>6</v>
      </c>
      <c r="F31" s="28"/>
    </row>
    <row r="32" spans="1:6">
      <c r="A32" s="103">
        <v>45331</v>
      </c>
      <c r="B32" s="85" t="s">
        <v>852</v>
      </c>
      <c r="C32" s="141" t="s">
        <v>85</v>
      </c>
      <c r="D32" s="104">
        <v>140296.79</v>
      </c>
      <c r="E32" s="153" t="s">
        <v>6</v>
      </c>
      <c r="F32" s="28"/>
    </row>
    <row r="33" spans="1:6">
      <c r="A33" s="103">
        <v>45333</v>
      </c>
      <c r="B33" s="85" t="s">
        <v>853</v>
      </c>
      <c r="C33" s="141" t="s">
        <v>855</v>
      </c>
      <c r="D33" s="104">
        <v>153468.01</v>
      </c>
      <c r="E33" s="153" t="s">
        <v>6</v>
      </c>
      <c r="F33" s="28"/>
    </row>
    <row r="34" spans="1:6">
      <c r="A34" s="103">
        <v>45335</v>
      </c>
      <c r="B34" s="85" t="s">
        <v>856</v>
      </c>
      <c r="C34" s="141" t="s">
        <v>286</v>
      </c>
      <c r="D34" s="104">
        <v>337110</v>
      </c>
      <c r="E34" s="153" t="s">
        <v>6</v>
      </c>
      <c r="F34" s="28"/>
    </row>
    <row r="35" spans="1:6">
      <c r="A35" s="103">
        <v>45336</v>
      </c>
      <c r="B35" s="85" t="s">
        <v>854</v>
      </c>
      <c r="C35" s="141" t="s">
        <v>85</v>
      </c>
      <c r="D35" s="104">
        <v>337367.75</v>
      </c>
      <c r="E35" s="153" t="s">
        <v>6</v>
      </c>
      <c r="F35" s="28"/>
    </row>
    <row r="36" spans="1:6">
      <c r="A36" s="103">
        <v>45336</v>
      </c>
      <c r="B36" s="85" t="s">
        <v>857</v>
      </c>
      <c r="C36" s="141" t="s">
        <v>388</v>
      </c>
      <c r="D36" s="104">
        <v>941029.25</v>
      </c>
      <c r="E36" s="153" t="s">
        <v>6</v>
      </c>
      <c r="F36" s="28"/>
    </row>
    <row r="37" spans="1:6">
      <c r="A37" s="138">
        <v>45337</v>
      </c>
      <c r="B37" s="85" t="s">
        <v>858</v>
      </c>
      <c r="C37" s="141" t="s">
        <v>296</v>
      </c>
      <c r="D37" s="139">
        <v>5642049.5999999996</v>
      </c>
      <c r="E37" s="153" t="s">
        <v>6</v>
      </c>
      <c r="F37" s="6"/>
    </row>
    <row r="38" spans="1:6">
      <c r="A38" s="174">
        <v>45337</v>
      </c>
      <c r="B38" s="85" t="s">
        <v>832</v>
      </c>
      <c r="C38" s="143" t="s">
        <v>263</v>
      </c>
      <c r="D38" s="129">
        <v>172500</v>
      </c>
      <c r="E38" s="171" t="s">
        <v>6</v>
      </c>
      <c r="F38" s="6"/>
    </row>
    <row r="39" spans="1:6">
      <c r="A39" s="138">
        <v>45345</v>
      </c>
      <c r="B39" s="85" t="s">
        <v>860</v>
      </c>
      <c r="C39" s="141" t="s">
        <v>837</v>
      </c>
      <c r="D39" s="139">
        <v>109990</v>
      </c>
      <c r="E39" s="171" t="s">
        <v>6</v>
      </c>
      <c r="F39" s="6"/>
    </row>
    <row r="40" spans="1:6">
      <c r="A40" s="138">
        <v>45346</v>
      </c>
      <c r="B40" s="85" t="s">
        <v>861</v>
      </c>
      <c r="C40" s="143" t="s">
        <v>263</v>
      </c>
      <c r="D40" s="139">
        <v>1011499.91</v>
      </c>
      <c r="E40" s="171" t="s">
        <v>6</v>
      </c>
      <c r="F40" s="6"/>
    </row>
    <row r="41" spans="1:6">
      <c r="A41" s="138">
        <v>45346</v>
      </c>
      <c r="B41" s="85" t="s">
        <v>863</v>
      </c>
      <c r="C41" s="141" t="s">
        <v>563</v>
      </c>
      <c r="D41" s="139">
        <v>218829.88</v>
      </c>
      <c r="E41" s="171" t="s">
        <v>6</v>
      </c>
      <c r="F41" s="6"/>
    </row>
    <row r="42" spans="1:6">
      <c r="A42" s="138">
        <v>45346</v>
      </c>
      <c r="B42" s="106" t="s">
        <v>864</v>
      </c>
      <c r="C42" s="141" t="s">
        <v>865</v>
      </c>
      <c r="D42" s="172">
        <v>272552.5</v>
      </c>
      <c r="E42" s="171" t="s">
        <v>6</v>
      </c>
      <c r="F42" s="6"/>
    </row>
    <row r="43" spans="1:6">
      <c r="A43" s="138">
        <v>45348</v>
      </c>
      <c r="B43" s="106" t="s">
        <v>866</v>
      </c>
      <c r="C43" s="141" t="s">
        <v>298</v>
      </c>
      <c r="D43" s="139">
        <v>179438.16</v>
      </c>
      <c r="E43" s="171" t="s">
        <v>6</v>
      </c>
      <c r="F43" s="6"/>
    </row>
    <row r="44" spans="1:6">
      <c r="A44" s="144">
        <v>45348</v>
      </c>
      <c r="B44" s="85" t="s">
        <v>808</v>
      </c>
      <c r="C44" s="143" t="s">
        <v>797</v>
      </c>
      <c r="D44" s="129">
        <v>747369</v>
      </c>
      <c r="E44" s="171" t="s">
        <v>6</v>
      </c>
      <c r="F44" s="173"/>
    </row>
    <row r="45" spans="1:6">
      <c r="A45" s="138">
        <v>45350</v>
      </c>
      <c r="B45" s="106" t="s">
        <v>867</v>
      </c>
      <c r="C45" s="141" t="s">
        <v>868</v>
      </c>
      <c r="D45" s="139">
        <v>1031313</v>
      </c>
      <c r="E45" s="171" t="s">
        <v>6</v>
      </c>
      <c r="F45" s="6"/>
    </row>
    <row r="46" spans="1:6">
      <c r="A46" s="138">
        <v>45351</v>
      </c>
      <c r="B46" s="106" t="s">
        <v>870</v>
      </c>
      <c r="C46" s="141" t="s">
        <v>869</v>
      </c>
      <c r="D46" s="139">
        <v>112500</v>
      </c>
      <c r="E46" s="171" t="s">
        <v>6</v>
      </c>
      <c r="F46" s="6"/>
    </row>
    <row r="47" spans="1:6">
      <c r="A47" s="10"/>
      <c r="B47" s="11"/>
      <c r="C47" s="12" t="s">
        <v>7</v>
      </c>
      <c r="D47" s="112">
        <f>SUBTOTAL(109,D25:D46)</f>
        <v>17447971.07</v>
      </c>
      <c r="E47" s="14"/>
      <c r="F47" s="15"/>
    </row>
    <row r="49" spans="1:6" ht="21">
      <c r="A49" s="339" t="s">
        <v>798</v>
      </c>
      <c r="B49" s="339"/>
      <c r="C49" s="339"/>
      <c r="D49" s="339"/>
      <c r="E49" s="20"/>
      <c r="F49" s="20"/>
    </row>
    <row r="50" spans="1:6" ht="21">
      <c r="A50" s="339"/>
      <c r="B50" s="339"/>
      <c r="C50" s="339"/>
      <c r="D50" s="339"/>
      <c r="E50" s="20"/>
      <c r="F50" s="20"/>
    </row>
    <row r="51" spans="1:6">
      <c r="A51" s="7" t="s">
        <v>0</v>
      </c>
      <c r="B51" s="8" t="s">
        <v>1</v>
      </c>
      <c r="C51" s="8" t="s">
        <v>2</v>
      </c>
      <c r="D51" s="8" t="s">
        <v>3</v>
      </c>
      <c r="E51" s="8" t="s">
        <v>4</v>
      </c>
      <c r="F51" s="9" t="s">
        <v>5</v>
      </c>
    </row>
    <row r="52" spans="1:6">
      <c r="A52" s="144">
        <v>45352</v>
      </c>
      <c r="B52" s="85" t="s">
        <v>871</v>
      </c>
      <c r="C52" s="143" t="s">
        <v>296</v>
      </c>
      <c r="D52" s="129">
        <v>5642049.5999999996</v>
      </c>
      <c r="E52" s="171" t="s">
        <v>6</v>
      </c>
      <c r="F52" s="173"/>
    </row>
    <row r="53" spans="1:6">
      <c r="A53" s="144">
        <v>45356</v>
      </c>
      <c r="B53" s="85" t="s">
        <v>873</v>
      </c>
      <c r="C53" s="143" t="s">
        <v>875</v>
      </c>
      <c r="D53" s="129">
        <v>3000000</v>
      </c>
      <c r="E53" s="171" t="s">
        <v>6</v>
      </c>
      <c r="F53" s="173"/>
    </row>
    <row r="54" spans="1:6">
      <c r="A54" s="144">
        <v>45356</v>
      </c>
      <c r="B54" s="85" t="s">
        <v>904</v>
      </c>
      <c r="C54" s="143" t="s">
        <v>837</v>
      </c>
      <c r="D54" s="129">
        <v>129200</v>
      </c>
      <c r="E54" s="171" t="s">
        <v>6</v>
      </c>
      <c r="F54" s="173"/>
    </row>
    <row r="55" spans="1:6">
      <c r="A55" s="144">
        <v>45356</v>
      </c>
      <c r="B55" s="85" t="s">
        <v>908</v>
      </c>
      <c r="C55" s="143" t="s">
        <v>909</v>
      </c>
      <c r="D55" s="175">
        <v>850000</v>
      </c>
      <c r="E55" s="171" t="s">
        <v>6</v>
      </c>
      <c r="F55" s="177">
        <v>45359</v>
      </c>
    </row>
    <row r="56" spans="1:6">
      <c r="A56" s="144">
        <v>45357</v>
      </c>
      <c r="B56" s="85" t="s">
        <v>897</v>
      </c>
      <c r="C56" s="143" t="s">
        <v>890</v>
      </c>
      <c r="D56" s="175">
        <v>441892</v>
      </c>
      <c r="E56" s="171" t="s">
        <v>6</v>
      </c>
      <c r="F56" s="173"/>
    </row>
    <row r="57" spans="1:6">
      <c r="A57" s="144">
        <v>45357</v>
      </c>
      <c r="B57" s="85" t="s">
        <v>898</v>
      </c>
      <c r="C57" s="143" t="s">
        <v>20</v>
      </c>
      <c r="D57" s="175">
        <v>203549.12</v>
      </c>
      <c r="E57" s="171" t="s">
        <v>6</v>
      </c>
      <c r="F57" s="173"/>
    </row>
    <row r="58" spans="1:6">
      <c r="A58" s="144">
        <v>45359</v>
      </c>
      <c r="B58" s="85" t="s">
        <v>872</v>
      </c>
      <c r="C58" s="143" t="s">
        <v>563</v>
      </c>
      <c r="D58" s="129">
        <v>218829.88</v>
      </c>
      <c r="E58" s="171" t="s">
        <v>6</v>
      </c>
      <c r="F58" s="173"/>
    </row>
    <row r="59" spans="1:6">
      <c r="A59" s="144">
        <v>45359</v>
      </c>
      <c r="B59" s="85" t="s">
        <v>892</v>
      </c>
      <c r="C59" s="143" t="s">
        <v>893</v>
      </c>
      <c r="D59" s="129">
        <v>500000</v>
      </c>
      <c r="E59" s="171" t="s">
        <v>6</v>
      </c>
      <c r="F59" s="173"/>
    </row>
    <row r="60" spans="1:6">
      <c r="A60" s="144">
        <v>45360</v>
      </c>
      <c r="B60" s="85" t="s">
        <v>900</v>
      </c>
      <c r="C60" s="143" t="s">
        <v>296</v>
      </c>
      <c r="D60" s="175">
        <v>2171280.06</v>
      </c>
      <c r="E60" s="171" t="s">
        <v>6</v>
      </c>
      <c r="F60" s="173"/>
    </row>
    <row r="61" spans="1:6">
      <c r="A61" s="144">
        <v>45360</v>
      </c>
      <c r="B61" s="85" t="s">
        <v>896</v>
      </c>
      <c r="C61" s="143" t="s">
        <v>226</v>
      </c>
      <c r="D61" s="129">
        <v>589217.97</v>
      </c>
      <c r="E61" s="171" t="s">
        <v>6</v>
      </c>
      <c r="F61" s="173"/>
    </row>
    <row r="62" spans="1:6">
      <c r="A62" s="144">
        <v>45361</v>
      </c>
      <c r="B62" s="85" t="s">
        <v>874</v>
      </c>
      <c r="C62" s="143" t="s">
        <v>875</v>
      </c>
      <c r="D62" s="129">
        <v>3000000</v>
      </c>
      <c r="E62" s="171" t="s">
        <v>6</v>
      </c>
      <c r="F62" s="173"/>
    </row>
    <row r="63" spans="1:6">
      <c r="A63" s="144">
        <v>45361</v>
      </c>
      <c r="B63" s="85" t="s">
        <v>903</v>
      </c>
      <c r="C63" s="143" t="s">
        <v>134</v>
      </c>
      <c r="D63" s="129">
        <v>1015281.53</v>
      </c>
      <c r="E63" s="171" t="s">
        <v>6</v>
      </c>
      <c r="F63" s="173"/>
    </row>
    <row r="64" spans="1:6">
      <c r="A64" s="144">
        <v>45361</v>
      </c>
      <c r="B64" s="85" t="s">
        <v>902</v>
      </c>
      <c r="C64" s="143" t="s">
        <v>122</v>
      </c>
      <c r="D64" s="175">
        <v>1348440</v>
      </c>
      <c r="E64" s="171" t="s">
        <v>6</v>
      </c>
      <c r="F64" s="173"/>
    </row>
    <row r="65" spans="1:6">
      <c r="A65" s="144">
        <v>45361</v>
      </c>
      <c r="B65" s="85" t="s">
        <v>910</v>
      </c>
      <c r="C65" s="143" t="s">
        <v>909</v>
      </c>
      <c r="D65" s="175">
        <v>850000</v>
      </c>
      <c r="E65" s="171" t="s">
        <v>6</v>
      </c>
      <c r="F65" s="177">
        <v>45363</v>
      </c>
    </row>
    <row r="66" spans="1:6">
      <c r="A66" s="144">
        <v>45366</v>
      </c>
      <c r="B66" s="85" t="s">
        <v>831</v>
      </c>
      <c r="C66" s="143" t="s">
        <v>263</v>
      </c>
      <c r="D66" s="129">
        <v>172500</v>
      </c>
      <c r="E66" s="56" t="s">
        <v>6</v>
      </c>
      <c r="F66" s="56">
        <v>45369</v>
      </c>
    </row>
    <row r="67" spans="1:6">
      <c r="A67" s="144">
        <v>45366</v>
      </c>
      <c r="B67" s="85" t="s">
        <v>876</v>
      </c>
      <c r="C67" s="143" t="s">
        <v>875</v>
      </c>
      <c r="D67" s="129">
        <v>3000000</v>
      </c>
      <c r="E67" s="171" t="s">
        <v>6</v>
      </c>
      <c r="F67" s="56">
        <v>45370</v>
      </c>
    </row>
    <row r="68" spans="1:6">
      <c r="A68" s="144">
        <v>45366</v>
      </c>
      <c r="B68" s="85" t="s">
        <v>885</v>
      </c>
      <c r="C68" s="143" t="s">
        <v>886</v>
      </c>
      <c r="D68" s="175">
        <v>970000</v>
      </c>
      <c r="E68" s="171" t="s">
        <v>6</v>
      </c>
      <c r="F68" s="56">
        <v>45369</v>
      </c>
    </row>
    <row r="69" spans="1:6">
      <c r="A69" s="144">
        <v>45366</v>
      </c>
      <c r="B69" s="85" t="s">
        <v>911</v>
      </c>
      <c r="C69" s="143" t="s">
        <v>909</v>
      </c>
      <c r="D69" s="175">
        <v>972568.08</v>
      </c>
      <c r="E69" s="171" t="s">
        <v>6</v>
      </c>
      <c r="F69" s="56">
        <v>45371</v>
      </c>
    </row>
    <row r="70" spans="1:6">
      <c r="A70" s="144">
        <v>45366</v>
      </c>
      <c r="B70" s="85" t="s">
        <v>912</v>
      </c>
      <c r="C70" s="143" t="s">
        <v>909</v>
      </c>
      <c r="D70" s="175">
        <v>650000</v>
      </c>
      <c r="E70" s="171" t="s">
        <v>6</v>
      </c>
      <c r="F70" s="56">
        <v>45372</v>
      </c>
    </row>
    <row r="71" spans="1:6">
      <c r="A71" s="144">
        <v>45371</v>
      </c>
      <c r="B71" s="85" t="s">
        <v>877</v>
      </c>
      <c r="C71" s="143" t="s">
        <v>875</v>
      </c>
      <c r="D71" s="129">
        <v>3000000</v>
      </c>
      <c r="E71" s="171" t="s">
        <v>6</v>
      </c>
      <c r="F71" s="56">
        <v>45372</v>
      </c>
    </row>
    <row r="72" spans="1:6">
      <c r="A72" s="144">
        <v>45371</v>
      </c>
      <c r="B72" s="85" t="s">
        <v>895</v>
      </c>
      <c r="C72" s="143" t="s">
        <v>667</v>
      </c>
      <c r="D72" s="175">
        <v>70155.8</v>
      </c>
      <c r="E72" s="171" t="s">
        <v>6</v>
      </c>
      <c r="F72" s="56">
        <v>45372</v>
      </c>
    </row>
    <row r="73" spans="1:6">
      <c r="A73" s="144">
        <v>45372</v>
      </c>
      <c r="B73" s="85" t="s">
        <v>901</v>
      </c>
      <c r="C73" s="143" t="s">
        <v>263</v>
      </c>
      <c r="D73" s="129">
        <v>597999.91</v>
      </c>
      <c r="E73" s="171" t="s">
        <v>6</v>
      </c>
      <c r="F73" s="173"/>
    </row>
    <row r="74" spans="1:6">
      <c r="A74" s="144">
        <v>45373</v>
      </c>
      <c r="B74" s="85" t="s">
        <v>889</v>
      </c>
      <c r="C74" s="143" t="s">
        <v>890</v>
      </c>
      <c r="D74" s="129">
        <v>272552.5</v>
      </c>
      <c r="E74" s="171" t="s">
        <v>6</v>
      </c>
      <c r="F74" s="173"/>
    </row>
    <row r="75" spans="1:6">
      <c r="A75" s="144">
        <v>45374</v>
      </c>
      <c r="B75" s="85" t="s">
        <v>887</v>
      </c>
      <c r="C75" s="143" t="s">
        <v>837</v>
      </c>
      <c r="D75" s="175">
        <v>115000</v>
      </c>
      <c r="E75" s="171" t="s">
        <v>6</v>
      </c>
      <c r="F75" s="173"/>
    </row>
    <row r="76" spans="1:6">
      <c r="A76" s="144">
        <v>45374</v>
      </c>
      <c r="B76" s="85" t="s">
        <v>888</v>
      </c>
      <c r="C76" s="143" t="s">
        <v>563</v>
      </c>
      <c r="D76" s="129">
        <v>83083.47</v>
      </c>
      <c r="E76" s="171" t="s">
        <v>6</v>
      </c>
      <c r="F76" s="173"/>
    </row>
    <row r="77" spans="1:6">
      <c r="A77" s="144">
        <v>45375</v>
      </c>
      <c r="B77" s="85" t="s">
        <v>862</v>
      </c>
      <c r="C77" s="143" t="s">
        <v>263</v>
      </c>
      <c r="D77" s="129">
        <v>1011499.92</v>
      </c>
      <c r="E77" s="171" t="s">
        <v>6</v>
      </c>
      <c r="F77" s="173"/>
    </row>
    <row r="78" spans="1:6">
      <c r="A78" s="144">
        <v>45375</v>
      </c>
      <c r="B78" s="85" t="s">
        <v>899</v>
      </c>
      <c r="C78" s="143" t="s">
        <v>296</v>
      </c>
      <c r="D78" s="129">
        <v>2171280.06</v>
      </c>
      <c r="E78" s="171" t="s">
        <v>6</v>
      </c>
      <c r="F78" s="173"/>
    </row>
    <row r="79" spans="1:6">
      <c r="A79" s="144">
        <v>45376</v>
      </c>
      <c r="B79" s="85" t="s">
        <v>878</v>
      </c>
      <c r="C79" s="143" t="s">
        <v>875</v>
      </c>
      <c r="D79" s="129">
        <v>3000000</v>
      </c>
      <c r="E79" s="171" t="s">
        <v>6</v>
      </c>
      <c r="F79" s="173"/>
    </row>
    <row r="80" spans="1:6">
      <c r="A80" s="178">
        <v>45377</v>
      </c>
      <c r="B80" s="179" t="s">
        <v>914</v>
      </c>
      <c r="C80" s="143" t="s">
        <v>893</v>
      </c>
      <c r="D80" s="180">
        <v>210000</v>
      </c>
      <c r="E80" s="171" t="s">
        <v>6</v>
      </c>
      <c r="F80" s="181"/>
    </row>
    <row r="81" spans="1:6">
      <c r="A81" s="144">
        <v>45378</v>
      </c>
      <c r="B81" s="85" t="s">
        <v>809</v>
      </c>
      <c r="C81" s="143" t="s">
        <v>797</v>
      </c>
      <c r="D81" s="129">
        <v>834148</v>
      </c>
      <c r="E81" s="171" t="s">
        <v>6</v>
      </c>
      <c r="F81" s="173"/>
    </row>
    <row r="82" spans="1:6">
      <c r="A82" s="144">
        <v>45378</v>
      </c>
      <c r="B82" s="85" t="s">
        <v>883</v>
      </c>
      <c r="C82" s="143" t="s">
        <v>884</v>
      </c>
      <c r="D82" s="129">
        <v>118000</v>
      </c>
      <c r="E82" s="171" t="s">
        <v>6</v>
      </c>
      <c r="F82" s="173"/>
    </row>
    <row r="83" spans="1:6">
      <c r="A83" s="144">
        <v>45378</v>
      </c>
      <c r="B83" s="85" t="s">
        <v>891</v>
      </c>
      <c r="C83" s="143" t="s">
        <v>414</v>
      </c>
      <c r="D83" s="129">
        <v>1426201.64</v>
      </c>
      <c r="E83" s="171" t="s">
        <v>6</v>
      </c>
      <c r="F83" s="173"/>
    </row>
    <row r="84" spans="1:6">
      <c r="A84" s="144">
        <v>45381</v>
      </c>
      <c r="B84" s="85" t="s">
        <v>879</v>
      </c>
      <c r="C84" s="143" t="s">
        <v>875</v>
      </c>
      <c r="D84" s="129">
        <v>3000000</v>
      </c>
      <c r="E84" s="171" t="s">
        <v>6</v>
      </c>
      <c r="F84" s="173"/>
    </row>
    <row r="85" spans="1:6">
      <c r="A85" s="144">
        <v>45381</v>
      </c>
      <c r="B85" s="85" t="s">
        <v>913</v>
      </c>
      <c r="C85" s="143" t="s">
        <v>909</v>
      </c>
      <c r="D85" s="175">
        <v>650000</v>
      </c>
      <c r="E85" s="171" t="s">
        <v>6</v>
      </c>
      <c r="F85" s="173"/>
    </row>
    <row r="86" spans="1:6">
      <c r="A86" s="144">
        <v>45381</v>
      </c>
      <c r="B86" s="85" t="s">
        <v>915</v>
      </c>
      <c r="C86" s="143" t="s">
        <v>868</v>
      </c>
      <c r="D86" s="175">
        <v>1189875</v>
      </c>
      <c r="E86" s="171" t="s">
        <v>6</v>
      </c>
      <c r="F86" s="173"/>
    </row>
    <row r="87" spans="1:6">
      <c r="A87" s="144">
        <v>45382</v>
      </c>
      <c r="B87" s="85" t="s">
        <v>894</v>
      </c>
      <c r="C87" s="143" t="s">
        <v>296</v>
      </c>
      <c r="D87" s="175">
        <v>1145203.8</v>
      </c>
      <c r="E87" s="171" t="s">
        <v>6</v>
      </c>
      <c r="F87" s="173"/>
    </row>
    <row r="88" spans="1:6">
      <c r="A88" s="144">
        <v>45382</v>
      </c>
      <c r="B88" s="85" t="s">
        <v>882</v>
      </c>
      <c r="C88" s="143" t="s">
        <v>226</v>
      </c>
      <c r="D88" s="129">
        <v>752283.31</v>
      </c>
      <c r="E88" s="171" t="s">
        <v>6</v>
      </c>
      <c r="F88" s="173"/>
    </row>
    <row r="89" spans="1:6">
      <c r="A89" s="10"/>
      <c r="B89" s="11"/>
      <c r="C89" s="12" t="s">
        <v>7</v>
      </c>
      <c r="D89" s="112">
        <f>SUBTOTAL(109,D52:D88)</f>
        <v>45372091.649999999</v>
      </c>
      <c r="E89" s="14"/>
      <c r="F89" s="15"/>
    </row>
    <row r="91" spans="1:6" ht="21">
      <c r="A91" s="339" t="s">
        <v>799</v>
      </c>
      <c r="B91" s="339"/>
      <c r="C91" s="339"/>
      <c r="D91" s="339"/>
      <c r="E91" s="20"/>
      <c r="F91" s="20"/>
    </row>
    <row r="92" spans="1:6" ht="21">
      <c r="A92" s="339"/>
      <c r="B92" s="339"/>
      <c r="C92" s="339"/>
      <c r="D92" s="339"/>
      <c r="E92" s="20"/>
      <c r="F92" s="20"/>
    </row>
    <row r="93" spans="1:6">
      <c r="A93" s="7" t="s">
        <v>0</v>
      </c>
      <c r="B93" s="8" t="s">
        <v>1</v>
      </c>
      <c r="C93" s="8" t="s">
        <v>2</v>
      </c>
      <c r="D93" s="8" t="s">
        <v>3</v>
      </c>
      <c r="E93" s="8" t="s">
        <v>4</v>
      </c>
      <c r="F93" s="9" t="s">
        <v>5</v>
      </c>
    </row>
    <row r="94" spans="1:6">
      <c r="A94" s="144">
        <v>45387</v>
      </c>
      <c r="B94" s="85" t="s">
        <v>880</v>
      </c>
      <c r="C94" s="143" t="s">
        <v>875</v>
      </c>
      <c r="D94" s="129">
        <v>3000000</v>
      </c>
      <c r="E94" s="171" t="s">
        <v>6</v>
      </c>
      <c r="F94" s="28"/>
    </row>
    <row r="95" spans="1:6">
      <c r="A95" s="144">
        <v>45390</v>
      </c>
      <c r="B95" s="85" t="s">
        <v>906</v>
      </c>
      <c r="C95" s="143" t="s">
        <v>263</v>
      </c>
      <c r="D95" s="129">
        <v>3173999.4</v>
      </c>
      <c r="E95" s="171" t="s">
        <v>6</v>
      </c>
      <c r="F95" s="28"/>
    </row>
    <row r="96" spans="1:6">
      <c r="A96" s="144">
        <v>45390</v>
      </c>
      <c r="B96" s="85" t="s">
        <v>905</v>
      </c>
      <c r="C96" s="143" t="s">
        <v>893</v>
      </c>
      <c r="D96" s="129">
        <v>600000</v>
      </c>
      <c r="E96" s="171" t="s">
        <v>6</v>
      </c>
      <c r="F96" s="28"/>
    </row>
    <row r="97" spans="1:6">
      <c r="A97" s="144">
        <v>45392</v>
      </c>
      <c r="B97" s="85" t="s">
        <v>881</v>
      </c>
      <c r="C97" s="143" t="s">
        <v>875</v>
      </c>
      <c r="D97" s="129">
        <v>3000000</v>
      </c>
      <c r="E97" s="171" t="s">
        <v>6</v>
      </c>
      <c r="F97" s="28"/>
    </row>
    <row r="98" spans="1:6">
      <c r="A98" s="144">
        <v>45406</v>
      </c>
      <c r="B98" s="169" t="s">
        <v>917</v>
      </c>
      <c r="C98" s="143" t="s">
        <v>840</v>
      </c>
      <c r="D98" s="182">
        <v>260708.32</v>
      </c>
      <c r="E98" s="153" t="s">
        <v>6</v>
      </c>
      <c r="F98" s="170"/>
    </row>
    <row r="99" spans="1:6">
      <c r="A99" s="144">
        <v>45408</v>
      </c>
      <c r="B99" s="169" t="s">
        <v>919</v>
      </c>
      <c r="C99" s="143" t="s">
        <v>920</v>
      </c>
      <c r="D99" s="182">
        <v>420000</v>
      </c>
      <c r="E99" s="153" t="s">
        <v>6</v>
      </c>
      <c r="F99" s="170"/>
    </row>
    <row r="100" spans="1:6">
      <c r="A100" s="144">
        <v>45408</v>
      </c>
      <c r="B100" s="169" t="s">
        <v>921</v>
      </c>
      <c r="C100" s="143" t="s">
        <v>884</v>
      </c>
      <c r="D100" s="182">
        <v>135000</v>
      </c>
      <c r="E100" s="153" t="s">
        <v>6</v>
      </c>
      <c r="F100" s="170"/>
    </row>
    <row r="101" spans="1:6">
      <c r="A101" s="84">
        <v>45042</v>
      </c>
      <c r="B101" s="85" t="s">
        <v>810</v>
      </c>
      <c r="C101" s="86" t="s">
        <v>797</v>
      </c>
      <c r="D101" s="87">
        <v>923395</v>
      </c>
      <c r="E101" s="153" t="s">
        <v>6</v>
      </c>
      <c r="F101" s="28"/>
    </row>
    <row r="102" spans="1:6">
      <c r="A102" s="144">
        <v>45410</v>
      </c>
      <c r="B102" s="85" t="s">
        <v>918</v>
      </c>
      <c r="C102" s="143" t="s">
        <v>893</v>
      </c>
      <c r="D102" s="129">
        <v>215000</v>
      </c>
      <c r="E102" s="171" t="s">
        <v>6</v>
      </c>
      <c r="F102" s="28"/>
    </row>
    <row r="103" spans="1:6">
      <c r="A103" s="144">
        <v>45411</v>
      </c>
      <c r="B103" s="85" t="s">
        <v>922</v>
      </c>
      <c r="C103" s="143" t="s">
        <v>263</v>
      </c>
      <c r="D103" s="129">
        <v>137539.97</v>
      </c>
      <c r="E103" s="171" t="s">
        <v>6</v>
      </c>
      <c r="F103" s="28"/>
    </row>
    <row r="104" spans="1:6">
      <c r="A104" s="144">
        <v>45411</v>
      </c>
      <c r="B104" s="85" t="s">
        <v>923</v>
      </c>
      <c r="C104" s="143" t="s">
        <v>226</v>
      </c>
      <c r="D104" s="129">
        <v>818583</v>
      </c>
      <c r="E104" s="171" t="s">
        <v>6</v>
      </c>
      <c r="F104" s="28"/>
    </row>
    <row r="105" spans="1:6">
      <c r="A105" s="144">
        <v>45412</v>
      </c>
      <c r="B105" s="85" t="s">
        <v>932</v>
      </c>
      <c r="C105" s="143" t="s">
        <v>868</v>
      </c>
      <c r="D105" s="129">
        <v>1239601</v>
      </c>
      <c r="E105" s="171" t="s">
        <v>6</v>
      </c>
      <c r="F105" s="28"/>
    </row>
    <row r="106" spans="1:6">
      <c r="A106" s="10"/>
      <c r="B106" s="11"/>
      <c r="C106" s="12" t="s">
        <v>7</v>
      </c>
      <c r="D106" s="112">
        <f>SUBTOTAL(109,D94:D105)</f>
        <v>13923826.690000001</v>
      </c>
      <c r="E106" s="14"/>
      <c r="F106" s="15"/>
    </row>
    <row r="108" spans="1:6" ht="21">
      <c r="A108" s="339" t="s">
        <v>800</v>
      </c>
      <c r="B108" s="339"/>
      <c r="C108" s="339"/>
      <c r="D108" s="339"/>
      <c r="E108" s="20"/>
      <c r="F108" s="20"/>
    </row>
    <row r="109" spans="1:6" ht="21">
      <c r="A109" s="339"/>
      <c r="B109" s="339"/>
      <c r="C109" s="339"/>
      <c r="D109" s="339"/>
      <c r="E109" s="20"/>
      <c r="F109" s="20"/>
    </row>
    <row r="110" spans="1:6">
      <c r="A110" s="7" t="s">
        <v>0</v>
      </c>
      <c r="B110" s="8" t="s">
        <v>1</v>
      </c>
      <c r="C110" s="8" t="s">
        <v>2</v>
      </c>
      <c r="D110" s="8" t="s">
        <v>3</v>
      </c>
      <c r="E110" s="8" t="s">
        <v>4</v>
      </c>
      <c r="F110" s="9" t="s">
        <v>5</v>
      </c>
    </row>
    <row r="111" spans="1:6">
      <c r="A111" s="84">
        <v>45415</v>
      </c>
      <c r="B111" s="85" t="s">
        <v>933</v>
      </c>
      <c r="C111" s="86" t="s">
        <v>298</v>
      </c>
      <c r="D111" s="87">
        <v>245545.3</v>
      </c>
      <c r="E111" s="153" t="s">
        <v>6</v>
      </c>
      <c r="F111" s="28"/>
    </row>
    <row r="112" spans="1:6">
      <c r="A112" s="84">
        <v>45415</v>
      </c>
      <c r="B112" s="85" t="s">
        <v>934</v>
      </c>
      <c r="C112" s="86" t="s">
        <v>837</v>
      </c>
      <c r="D112" s="183">
        <v>191350</v>
      </c>
      <c r="E112" s="153" t="s">
        <v>6</v>
      </c>
      <c r="F112" s="28"/>
    </row>
    <row r="113" spans="1:6">
      <c r="A113" s="84">
        <v>45415</v>
      </c>
      <c r="B113" s="85" t="s">
        <v>935</v>
      </c>
      <c r="C113" s="86" t="s">
        <v>95</v>
      </c>
      <c r="D113" s="183">
        <v>995104</v>
      </c>
      <c r="E113" s="153" t="s">
        <v>6</v>
      </c>
      <c r="F113" s="28"/>
    </row>
    <row r="114" spans="1:6">
      <c r="A114" s="84">
        <v>45417</v>
      </c>
      <c r="B114" s="85" t="s">
        <v>936</v>
      </c>
      <c r="C114" s="86" t="s">
        <v>937</v>
      </c>
      <c r="D114" s="183">
        <v>532120.67000000004</v>
      </c>
      <c r="E114" s="153" t="s">
        <v>6</v>
      </c>
      <c r="F114" s="28"/>
    </row>
    <row r="115" spans="1:6">
      <c r="A115" s="84">
        <v>45420</v>
      </c>
      <c r="B115" s="85" t="s">
        <v>907</v>
      </c>
      <c r="C115" s="86" t="s">
        <v>893</v>
      </c>
      <c r="D115" s="87">
        <v>500000</v>
      </c>
      <c r="E115" s="153" t="s">
        <v>6</v>
      </c>
      <c r="F115" s="28"/>
    </row>
    <row r="116" spans="1:6">
      <c r="A116" s="84">
        <v>45420</v>
      </c>
      <c r="B116" s="85" t="s">
        <v>938</v>
      </c>
      <c r="C116" s="86" t="s">
        <v>563</v>
      </c>
      <c r="D116" s="183">
        <v>251537.58</v>
      </c>
      <c r="E116" s="153" t="s">
        <v>6</v>
      </c>
      <c r="F116" s="28"/>
    </row>
    <row r="117" spans="1:6">
      <c r="A117" s="84">
        <v>45422</v>
      </c>
      <c r="B117" s="85" t="s">
        <v>926</v>
      </c>
      <c r="C117" s="86" t="s">
        <v>875</v>
      </c>
      <c r="D117" s="87">
        <v>2500000</v>
      </c>
      <c r="E117" s="153" t="s">
        <v>6</v>
      </c>
      <c r="F117" s="28"/>
    </row>
    <row r="118" spans="1:6">
      <c r="A118" s="184">
        <v>45423</v>
      </c>
      <c r="B118" s="179" t="s">
        <v>940</v>
      </c>
      <c r="C118" s="185" t="s">
        <v>197</v>
      </c>
      <c r="D118" s="186">
        <v>774994.47</v>
      </c>
      <c r="E118" s="153" t="s">
        <v>6</v>
      </c>
      <c r="F118" s="170"/>
    </row>
    <row r="119" spans="1:6">
      <c r="A119" s="184">
        <v>45423</v>
      </c>
      <c r="B119" s="179" t="s">
        <v>941</v>
      </c>
      <c r="C119" s="86" t="s">
        <v>95</v>
      </c>
      <c r="D119" s="186">
        <v>62194</v>
      </c>
      <c r="E119" s="153" t="s">
        <v>6</v>
      </c>
      <c r="F119" s="170"/>
    </row>
    <row r="120" spans="1:6">
      <c r="A120" s="184">
        <v>45427</v>
      </c>
      <c r="B120" s="179" t="s">
        <v>942</v>
      </c>
      <c r="C120" s="185" t="s">
        <v>943</v>
      </c>
      <c r="D120" s="186">
        <v>159496.65</v>
      </c>
      <c r="E120" s="153" t="s">
        <v>6</v>
      </c>
      <c r="F120" s="170"/>
    </row>
    <row r="121" spans="1:6">
      <c r="A121" s="84">
        <v>45430</v>
      </c>
      <c r="B121" s="85" t="s">
        <v>939</v>
      </c>
      <c r="C121" s="86" t="s">
        <v>95</v>
      </c>
      <c r="D121" s="183">
        <v>294465.59999999998</v>
      </c>
      <c r="E121" s="153" t="s">
        <v>6</v>
      </c>
      <c r="F121" s="28"/>
    </row>
    <row r="122" spans="1:6">
      <c r="A122" s="84">
        <v>45432</v>
      </c>
      <c r="B122" s="85" t="s">
        <v>927</v>
      </c>
      <c r="C122" s="86" t="s">
        <v>875</v>
      </c>
      <c r="D122" s="87">
        <v>2500000</v>
      </c>
      <c r="E122" s="153" t="s">
        <v>6</v>
      </c>
      <c r="F122" s="28"/>
    </row>
    <row r="123" spans="1:6">
      <c r="A123" s="184">
        <v>45434</v>
      </c>
      <c r="B123" s="179" t="s">
        <v>949</v>
      </c>
      <c r="C123" s="185" t="s">
        <v>948</v>
      </c>
      <c r="D123" s="186">
        <v>159668.89000000001</v>
      </c>
      <c r="E123" s="153" t="s">
        <v>6</v>
      </c>
      <c r="F123" s="170"/>
    </row>
    <row r="124" spans="1:6">
      <c r="A124" s="84">
        <v>45437</v>
      </c>
      <c r="B124" s="85" t="s">
        <v>962</v>
      </c>
      <c r="C124" s="86" t="s">
        <v>945</v>
      </c>
      <c r="D124" s="183">
        <v>1600000</v>
      </c>
      <c r="E124" s="153" t="s">
        <v>6</v>
      </c>
      <c r="F124" s="190">
        <v>45440</v>
      </c>
    </row>
    <row r="125" spans="1:6">
      <c r="A125" s="84">
        <v>45072</v>
      </c>
      <c r="B125" s="85" t="s">
        <v>811</v>
      </c>
      <c r="C125" s="86" t="s">
        <v>797</v>
      </c>
      <c r="D125" s="87">
        <v>1015037</v>
      </c>
      <c r="E125" s="153" t="s">
        <v>6</v>
      </c>
      <c r="F125" s="28"/>
    </row>
    <row r="126" spans="1:6">
      <c r="A126" s="84">
        <v>45439</v>
      </c>
      <c r="B126" s="85" t="s">
        <v>924</v>
      </c>
      <c r="C126" s="86" t="s">
        <v>925</v>
      </c>
      <c r="D126" s="87">
        <v>1580000</v>
      </c>
      <c r="E126" s="153" t="s">
        <v>6</v>
      </c>
      <c r="F126" s="28"/>
    </row>
    <row r="127" spans="1:6">
      <c r="A127" s="84">
        <v>45441</v>
      </c>
      <c r="B127" s="85" t="s">
        <v>946</v>
      </c>
      <c r="C127" s="187" t="s">
        <v>298</v>
      </c>
      <c r="D127" s="189">
        <v>430808.4</v>
      </c>
      <c r="E127" s="153" t="s">
        <v>6</v>
      </c>
      <c r="F127" s="28"/>
    </row>
    <row r="128" spans="1:6">
      <c r="A128" s="84">
        <v>45442</v>
      </c>
      <c r="B128" s="85" t="s">
        <v>954</v>
      </c>
      <c r="C128" s="86" t="s">
        <v>955</v>
      </c>
      <c r="D128" s="183">
        <v>1498371</v>
      </c>
      <c r="E128" s="153" t="s">
        <v>6</v>
      </c>
      <c r="F128" s="28"/>
    </row>
    <row r="129" spans="1:6">
      <c r="A129" s="84">
        <v>45441</v>
      </c>
      <c r="B129" s="85" t="s">
        <v>916</v>
      </c>
      <c r="C129" s="86" t="s">
        <v>893</v>
      </c>
      <c r="D129" s="87">
        <v>221200.02</v>
      </c>
      <c r="E129" s="153" t="s">
        <v>6</v>
      </c>
      <c r="F129" s="28"/>
    </row>
    <row r="130" spans="1:6">
      <c r="A130" s="184">
        <v>45442</v>
      </c>
      <c r="B130" s="179" t="s">
        <v>950</v>
      </c>
      <c r="C130" s="86" t="s">
        <v>951</v>
      </c>
      <c r="D130" s="186">
        <v>72493.759999999995</v>
      </c>
      <c r="E130" s="153" t="s">
        <v>6</v>
      </c>
      <c r="F130" s="170"/>
    </row>
    <row r="131" spans="1:6">
      <c r="A131" s="84">
        <v>45442</v>
      </c>
      <c r="B131" s="85" t="s">
        <v>928</v>
      </c>
      <c r="C131" s="86" t="s">
        <v>875</v>
      </c>
      <c r="D131" s="87">
        <v>2500000</v>
      </c>
      <c r="E131" s="153" t="s">
        <v>6</v>
      </c>
      <c r="F131" s="28"/>
    </row>
    <row r="132" spans="1:6">
      <c r="A132" s="84">
        <v>45442</v>
      </c>
      <c r="B132" s="85" t="s">
        <v>952</v>
      </c>
      <c r="C132" s="86" t="s">
        <v>945</v>
      </c>
      <c r="D132" s="183">
        <v>1500000</v>
      </c>
      <c r="E132" s="153" t="s">
        <v>6</v>
      </c>
      <c r="F132" s="28"/>
    </row>
    <row r="133" spans="1:6">
      <c r="A133" s="84">
        <v>45443</v>
      </c>
      <c r="B133" s="85" t="s">
        <v>956</v>
      </c>
      <c r="C133" s="86" t="s">
        <v>957</v>
      </c>
      <c r="D133" s="183">
        <v>452679.15</v>
      </c>
      <c r="E133" s="153" t="s">
        <v>6</v>
      </c>
      <c r="F133" s="28"/>
    </row>
    <row r="134" spans="1:6">
      <c r="A134" s="144">
        <v>45443</v>
      </c>
      <c r="B134" s="85" t="s">
        <v>944</v>
      </c>
      <c r="C134" s="143" t="s">
        <v>945</v>
      </c>
      <c r="D134" s="129">
        <v>1100000</v>
      </c>
      <c r="E134" s="188" t="s">
        <v>6</v>
      </c>
      <c r="F134" s="6"/>
    </row>
    <row r="135" spans="1:6">
      <c r="A135" s="10"/>
      <c r="B135" s="11"/>
      <c r="C135" s="12" t="s">
        <v>7</v>
      </c>
      <c r="D135" s="112">
        <f>SUBTOTAL(109,D111:D134)</f>
        <v>21137066.489999998</v>
      </c>
      <c r="E135" s="14"/>
      <c r="F135" s="15"/>
    </row>
    <row r="137" spans="1:6" ht="21">
      <c r="A137" s="339" t="s">
        <v>801</v>
      </c>
      <c r="B137" s="339"/>
      <c r="C137" s="339"/>
      <c r="D137" s="339"/>
      <c r="E137" s="20"/>
      <c r="F137" s="20"/>
    </row>
    <row r="138" spans="1:6" ht="21">
      <c r="A138" s="339"/>
      <c r="B138" s="339"/>
      <c r="C138" s="339"/>
      <c r="D138" s="339"/>
      <c r="E138" s="20"/>
      <c r="F138" s="20"/>
    </row>
    <row r="139" spans="1:6">
      <c r="A139" s="7" t="s">
        <v>0</v>
      </c>
      <c r="B139" s="8" t="s">
        <v>1</v>
      </c>
      <c r="C139" s="8" t="s">
        <v>2</v>
      </c>
      <c r="D139" s="8" t="s">
        <v>3</v>
      </c>
      <c r="E139" s="8" t="s">
        <v>4</v>
      </c>
      <c r="F139" s="9" t="s">
        <v>5</v>
      </c>
    </row>
    <row r="140" spans="1:6">
      <c r="A140" s="103">
        <v>45444</v>
      </c>
      <c r="B140" s="85" t="s">
        <v>959</v>
      </c>
      <c r="C140" s="86" t="s">
        <v>961</v>
      </c>
      <c r="D140" s="87">
        <v>474673.32</v>
      </c>
      <c r="E140" s="153" t="s">
        <v>6</v>
      </c>
      <c r="F140" s="28"/>
    </row>
    <row r="141" spans="1:6">
      <c r="A141" s="103">
        <v>45444</v>
      </c>
      <c r="B141" s="85" t="s">
        <v>958</v>
      </c>
      <c r="C141" s="86" t="s">
        <v>960</v>
      </c>
      <c r="D141" s="87">
        <v>1169912.7</v>
      </c>
      <c r="E141" s="153" t="s">
        <v>6</v>
      </c>
      <c r="F141" s="28"/>
    </row>
    <row r="142" spans="1:6">
      <c r="A142" s="103">
        <v>45445</v>
      </c>
      <c r="B142" s="85" t="s">
        <v>963</v>
      </c>
      <c r="C142" s="86" t="s">
        <v>400</v>
      </c>
      <c r="D142" s="87">
        <v>200000</v>
      </c>
      <c r="E142" s="153" t="s">
        <v>6</v>
      </c>
      <c r="F142" s="28"/>
    </row>
    <row r="143" spans="1:6">
      <c r="A143" s="103">
        <v>45451</v>
      </c>
      <c r="B143" s="85" t="s">
        <v>965</v>
      </c>
      <c r="C143" s="191" t="s">
        <v>964</v>
      </c>
      <c r="D143" s="87">
        <v>223295</v>
      </c>
      <c r="E143" s="153" t="s">
        <v>6</v>
      </c>
      <c r="F143" s="28"/>
    </row>
    <row r="144" spans="1:6">
      <c r="A144" s="103">
        <v>45451</v>
      </c>
      <c r="B144" s="85" t="s">
        <v>966</v>
      </c>
      <c r="C144" s="191" t="s">
        <v>837</v>
      </c>
      <c r="D144" s="87">
        <v>118500</v>
      </c>
      <c r="E144" s="153" t="s">
        <v>6</v>
      </c>
      <c r="F144" s="28"/>
    </row>
    <row r="145" spans="1:6">
      <c r="A145" s="103">
        <v>45452</v>
      </c>
      <c r="B145" s="85" t="s">
        <v>967</v>
      </c>
      <c r="C145" s="191" t="s">
        <v>840</v>
      </c>
      <c r="D145" s="87">
        <v>3000000</v>
      </c>
      <c r="E145" s="153" t="s">
        <v>6</v>
      </c>
      <c r="F145" s="28"/>
    </row>
    <row r="146" spans="1:6">
      <c r="A146" s="103">
        <v>45453</v>
      </c>
      <c r="B146" s="85" t="s">
        <v>929</v>
      </c>
      <c r="C146" s="86" t="s">
        <v>875</v>
      </c>
      <c r="D146" s="87">
        <v>2500000</v>
      </c>
      <c r="E146" s="153" t="s">
        <v>6</v>
      </c>
      <c r="F146" s="28"/>
    </row>
    <row r="147" spans="1:6">
      <c r="A147" s="103">
        <v>45454</v>
      </c>
      <c r="B147" s="85" t="s">
        <v>987</v>
      </c>
      <c r="C147" s="86" t="s">
        <v>988</v>
      </c>
      <c r="D147" s="87">
        <v>295698.8</v>
      </c>
      <c r="E147" s="153" t="s">
        <v>6</v>
      </c>
      <c r="F147" s="28"/>
    </row>
    <row r="148" spans="1:6">
      <c r="A148" s="103">
        <v>45455</v>
      </c>
      <c r="B148" s="85" t="s">
        <v>968</v>
      </c>
      <c r="C148" s="191" t="s">
        <v>840</v>
      </c>
      <c r="D148" s="87">
        <v>3000000</v>
      </c>
      <c r="E148" s="153" t="s">
        <v>6</v>
      </c>
      <c r="F148" s="28"/>
    </row>
    <row r="149" spans="1:6">
      <c r="A149" s="103">
        <v>45456</v>
      </c>
      <c r="B149" s="85" t="s">
        <v>986</v>
      </c>
      <c r="C149" s="191" t="s">
        <v>961</v>
      </c>
      <c r="D149" s="87">
        <v>341153.45</v>
      </c>
      <c r="E149" s="153" t="s">
        <v>6</v>
      </c>
      <c r="F149" s="28"/>
    </row>
    <row r="150" spans="1:6">
      <c r="A150" s="103">
        <v>45458</v>
      </c>
      <c r="B150" s="85" t="s">
        <v>989</v>
      </c>
      <c r="C150" s="191" t="s">
        <v>990</v>
      </c>
      <c r="D150" s="87">
        <v>63967.86</v>
      </c>
      <c r="E150" s="153" t="s">
        <v>6</v>
      </c>
      <c r="F150" s="28"/>
    </row>
    <row r="151" spans="1:6">
      <c r="A151" s="103">
        <v>45458</v>
      </c>
      <c r="B151" s="85" t="s">
        <v>991</v>
      </c>
      <c r="C151" s="191" t="s">
        <v>884</v>
      </c>
      <c r="D151" s="87">
        <v>36000</v>
      </c>
      <c r="E151" s="153" t="s">
        <v>6</v>
      </c>
      <c r="F151" s="28"/>
    </row>
    <row r="152" spans="1:6">
      <c r="A152" s="103">
        <v>45458</v>
      </c>
      <c r="B152" s="85" t="s">
        <v>969</v>
      </c>
      <c r="C152" s="191" t="s">
        <v>970</v>
      </c>
      <c r="D152" s="87">
        <v>1669800</v>
      </c>
      <c r="E152" s="153" t="s">
        <v>6</v>
      </c>
      <c r="F152" s="28"/>
    </row>
    <row r="153" spans="1:6">
      <c r="A153" s="103">
        <v>45459</v>
      </c>
      <c r="B153" s="85" t="s">
        <v>992</v>
      </c>
      <c r="C153" s="191" t="s">
        <v>563</v>
      </c>
      <c r="D153" s="87">
        <v>197537.61</v>
      </c>
      <c r="E153" s="153" t="s">
        <v>6</v>
      </c>
      <c r="F153" s="28"/>
    </row>
    <row r="154" spans="1:6">
      <c r="A154" s="103">
        <v>45459</v>
      </c>
      <c r="B154" s="85" t="s">
        <v>971</v>
      </c>
      <c r="C154" s="86" t="s">
        <v>961</v>
      </c>
      <c r="D154" s="87">
        <v>474673.32</v>
      </c>
      <c r="E154" s="153" t="s">
        <v>6</v>
      </c>
      <c r="F154" s="28"/>
    </row>
    <row r="155" spans="1:6">
      <c r="A155" s="103">
        <v>45462</v>
      </c>
      <c r="B155" s="85" t="s">
        <v>1019</v>
      </c>
      <c r="C155" s="86" t="s">
        <v>1020</v>
      </c>
      <c r="D155" s="87">
        <v>2100000</v>
      </c>
      <c r="E155" s="153" t="s">
        <v>6</v>
      </c>
      <c r="F155" s="28"/>
    </row>
    <row r="156" spans="1:6">
      <c r="A156" s="103">
        <v>45463</v>
      </c>
      <c r="B156" s="85" t="s">
        <v>972</v>
      </c>
      <c r="C156" s="86" t="s">
        <v>400</v>
      </c>
      <c r="D156" s="87">
        <v>305000</v>
      </c>
      <c r="E156" s="153" t="s">
        <v>6</v>
      </c>
      <c r="F156" s="28"/>
    </row>
    <row r="157" spans="1:6">
      <c r="A157" s="103">
        <v>45463</v>
      </c>
      <c r="B157" s="85" t="s">
        <v>930</v>
      </c>
      <c r="C157" s="86" t="s">
        <v>875</v>
      </c>
      <c r="D157" s="87">
        <v>2500000</v>
      </c>
      <c r="E157" s="153" t="s">
        <v>6</v>
      </c>
      <c r="F157" s="28"/>
    </row>
    <row r="158" spans="1:6">
      <c r="A158" s="103">
        <v>45465</v>
      </c>
      <c r="B158" s="85" t="s">
        <v>993</v>
      </c>
      <c r="C158" s="86" t="s">
        <v>925</v>
      </c>
      <c r="D158" s="87">
        <v>462898.53</v>
      </c>
      <c r="E158" s="153" t="s">
        <v>6</v>
      </c>
      <c r="F158" s="28"/>
    </row>
    <row r="159" spans="1:6">
      <c r="A159" s="103">
        <v>45466</v>
      </c>
      <c r="B159" s="85" t="s">
        <v>994</v>
      </c>
      <c r="C159" s="86" t="s">
        <v>961</v>
      </c>
      <c r="D159" s="87">
        <v>424952</v>
      </c>
      <c r="E159" s="153" t="s">
        <v>6</v>
      </c>
      <c r="F159" s="28"/>
    </row>
    <row r="160" spans="1:6">
      <c r="A160" s="103">
        <v>45466</v>
      </c>
      <c r="B160" s="85" t="s">
        <v>973</v>
      </c>
      <c r="C160" s="191" t="s">
        <v>964</v>
      </c>
      <c r="D160" s="87">
        <v>311852.5</v>
      </c>
      <c r="E160" s="153" t="s">
        <v>6</v>
      </c>
      <c r="F160" s="28"/>
    </row>
    <row r="161" spans="1:6">
      <c r="A161" s="103">
        <v>45468</v>
      </c>
      <c r="B161" s="85" t="s">
        <v>953</v>
      </c>
      <c r="C161" s="86" t="s">
        <v>945</v>
      </c>
      <c r="D161" s="104">
        <v>1500000</v>
      </c>
      <c r="E161" s="188" t="s">
        <v>6</v>
      </c>
      <c r="F161" s="28"/>
    </row>
    <row r="162" spans="1:6">
      <c r="A162" s="103">
        <v>45468</v>
      </c>
      <c r="B162" s="85" t="s">
        <v>974</v>
      </c>
      <c r="C162" s="86" t="s">
        <v>869</v>
      </c>
      <c r="D162" s="87">
        <v>277999.99</v>
      </c>
      <c r="E162" s="153" t="s">
        <v>6</v>
      </c>
      <c r="F162" s="193"/>
    </row>
    <row r="163" spans="1:6">
      <c r="A163" s="103">
        <v>45468</v>
      </c>
      <c r="B163" s="85" t="s">
        <v>1011</v>
      </c>
      <c r="C163" s="86" t="s">
        <v>1017</v>
      </c>
      <c r="D163" s="87">
        <v>2000000</v>
      </c>
      <c r="E163" s="153" t="s">
        <v>6</v>
      </c>
      <c r="F163" s="28"/>
    </row>
    <row r="164" spans="1:6">
      <c r="A164" s="103">
        <v>45469</v>
      </c>
      <c r="B164" s="85" t="s">
        <v>975</v>
      </c>
      <c r="C164" s="86" t="s">
        <v>400</v>
      </c>
      <c r="D164" s="87">
        <v>321000</v>
      </c>
      <c r="E164" s="153" t="s">
        <v>6</v>
      </c>
      <c r="F164" s="28"/>
    </row>
    <row r="165" spans="1:6">
      <c r="A165" s="103">
        <v>45470</v>
      </c>
      <c r="B165" s="85" t="s">
        <v>976</v>
      </c>
      <c r="C165" s="86" t="s">
        <v>840</v>
      </c>
      <c r="D165" s="87">
        <v>3000000</v>
      </c>
      <c r="E165" s="153" t="s">
        <v>6</v>
      </c>
      <c r="F165" s="28"/>
    </row>
    <row r="166" spans="1:6">
      <c r="A166" s="103">
        <v>45471</v>
      </c>
      <c r="B166" s="85" t="s">
        <v>995</v>
      </c>
      <c r="C166" s="86" t="s">
        <v>964</v>
      </c>
      <c r="D166" s="87">
        <v>90750</v>
      </c>
      <c r="E166" s="153" t="s">
        <v>6</v>
      </c>
      <c r="F166" s="28"/>
    </row>
    <row r="167" spans="1:6">
      <c r="A167" s="103">
        <v>45471</v>
      </c>
      <c r="B167" s="85" t="s">
        <v>996</v>
      </c>
      <c r="C167" s="86" t="s">
        <v>563</v>
      </c>
      <c r="D167" s="87">
        <v>219774.69</v>
      </c>
      <c r="E167" s="153" t="s">
        <v>6</v>
      </c>
      <c r="F167" s="28"/>
    </row>
    <row r="168" spans="1:6">
      <c r="A168" s="103">
        <v>45471</v>
      </c>
      <c r="B168" s="85" t="s">
        <v>979</v>
      </c>
      <c r="C168" s="86" t="s">
        <v>945</v>
      </c>
      <c r="D168" s="87">
        <v>1600000</v>
      </c>
      <c r="E168" s="153" t="s">
        <v>6</v>
      </c>
      <c r="F168" s="28"/>
    </row>
    <row r="169" spans="1:6">
      <c r="A169" s="103">
        <v>45472</v>
      </c>
      <c r="B169" s="85" t="s">
        <v>997</v>
      </c>
      <c r="C169" s="86" t="s">
        <v>960</v>
      </c>
      <c r="D169" s="87">
        <v>957054.21</v>
      </c>
      <c r="E169" s="153" t="s">
        <v>6</v>
      </c>
      <c r="F169" s="28"/>
    </row>
    <row r="170" spans="1:6">
      <c r="A170" s="103">
        <v>45472</v>
      </c>
      <c r="B170" s="85" t="s">
        <v>977</v>
      </c>
      <c r="C170" s="86" t="s">
        <v>925</v>
      </c>
      <c r="D170" s="87">
        <v>1202883.75</v>
      </c>
      <c r="E170" s="153" t="s">
        <v>6</v>
      </c>
      <c r="F170" s="28"/>
    </row>
    <row r="171" spans="1:6">
      <c r="A171" s="103">
        <v>45473</v>
      </c>
      <c r="B171" s="85" t="s">
        <v>998</v>
      </c>
      <c r="C171" s="86" t="s">
        <v>837</v>
      </c>
      <c r="D171" s="87">
        <v>164438.54</v>
      </c>
      <c r="E171" s="153" t="s">
        <v>6</v>
      </c>
      <c r="F171" s="28"/>
    </row>
    <row r="172" spans="1:6">
      <c r="A172" s="103">
        <v>45473</v>
      </c>
      <c r="B172" s="85" t="s">
        <v>999</v>
      </c>
      <c r="C172" s="86" t="s">
        <v>955</v>
      </c>
      <c r="D172" s="87">
        <v>1130203</v>
      </c>
      <c r="E172" s="153" t="s">
        <v>6</v>
      </c>
      <c r="F172" s="28"/>
    </row>
    <row r="173" spans="1:6">
      <c r="A173" s="103">
        <v>45473</v>
      </c>
      <c r="B173" s="85" t="s">
        <v>978</v>
      </c>
      <c r="C173" s="86" t="s">
        <v>840</v>
      </c>
      <c r="D173" s="87">
        <v>3000000</v>
      </c>
      <c r="E173" s="153" t="s">
        <v>6</v>
      </c>
      <c r="F173" s="28"/>
    </row>
    <row r="174" spans="1:6">
      <c r="A174" s="84">
        <v>45473</v>
      </c>
      <c r="B174" s="85" t="s">
        <v>931</v>
      </c>
      <c r="C174" s="86" t="s">
        <v>875</v>
      </c>
      <c r="D174" s="87">
        <v>2500000</v>
      </c>
      <c r="E174" s="153" t="s">
        <v>6</v>
      </c>
      <c r="F174" s="89"/>
    </row>
    <row r="175" spans="1:6">
      <c r="A175" s="144">
        <v>45473</v>
      </c>
      <c r="B175" s="85" t="s">
        <v>947</v>
      </c>
      <c r="C175" s="143" t="s">
        <v>945</v>
      </c>
      <c r="D175" s="129">
        <v>1100000</v>
      </c>
      <c r="E175" s="188" t="s">
        <v>6</v>
      </c>
      <c r="F175" s="6"/>
    </row>
    <row r="176" spans="1:6">
      <c r="A176" s="10"/>
      <c r="B176" s="11"/>
      <c r="C176" s="12" t="s">
        <v>7</v>
      </c>
      <c r="D176" s="112">
        <f>SUBTOTAL(109,D140:D175)</f>
        <v>38934019.269999996</v>
      </c>
      <c r="E176" s="14"/>
      <c r="F176" s="15"/>
    </row>
    <row r="178" spans="1:6" ht="21">
      <c r="A178" s="339" t="s">
        <v>802</v>
      </c>
      <c r="B178" s="339"/>
      <c r="C178" s="339"/>
      <c r="D178" s="339"/>
      <c r="E178" s="20"/>
      <c r="F178" s="20"/>
    </row>
    <row r="179" spans="1:6" ht="21">
      <c r="A179" s="339"/>
      <c r="B179" s="339"/>
      <c r="C179" s="339"/>
      <c r="D179" s="339"/>
      <c r="E179" s="20"/>
      <c r="F179" s="20"/>
    </row>
    <row r="180" spans="1:6">
      <c r="A180" s="7" t="s">
        <v>0</v>
      </c>
      <c r="B180" s="8" t="s">
        <v>1</v>
      </c>
      <c r="C180" s="8" t="s">
        <v>2</v>
      </c>
      <c r="D180" s="8" t="s">
        <v>3</v>
      </c>
      <c r="E180" s="8" t="s">
        <v>4</v>
      </c>
      <c r="F180" s="9" t="s">
        <v>5</v>
      </c>
    </row>
    <row r="181" spans="1:6">
      <c r="A181" s="103">
        <v>45474</v>
      </c>
      <c r="B181" s="85" t="s">
        <v>1000</v>
      </c>
      <c r="C181" s="86" t="s">
        <v>563</v>
      </c>
      <c r="D181" s="142">
        <v>197537.61</v>
      </c>
      <c r="E181" s="153" t="s">
        <v>6</v>
      </c>
      <c r="F181" s="28"/>
    </row>
    <row r="182" spans="1:6">
      <c r="A182" s="103">
        <v>45474</v>
      </c>
      <c r="B182" s="85" t="s">
        <v>980</v>
      </c>
      <c r="C182" s="86" t="s">
        <v>961</v>
      </c>
      <c r="D182" s="142">
        <v>474673.32</v>
      </c>
      <c r="E182" s="153" t="s">
        <v>6</v>
      </c>
      <c r="F182" s="28"/>
    </row>
    <row r="183" spans="1:6">
      <c r="A183" s="103">
        <v>45476</v>
      </c>
      <c r="B183" s="85" t="s">
        <v>1025</v>
      </c>
      <c r="C183" s="86" t="s">
        <v>197</v>
      </c>
      <c r="D183" s="142">
        <v>247867.24</v>
      </c>
      <c r="E183" s="153" t="s">
        <v>6</v>
      </c>
      <c r="F183" s="28"/>
    </row>
    <row r="184" spans="1:6">
      <c r="A184" s="103">
        <v>45477</v>
      </c>
      <c r="B184" s="85" t="s">
        <v>1001</v>
      </c>
      <c r="C184" s="86" t="s">
        <v>563</v>
      </c>
      <c r="D184" s="142">
        <v>121684.29</v>
      </c>
      <c r="E184" s="153" t="s">
        <v>6</v>
      </c>
      <c r="F184" s="28"/>
    </row>
    <row r="185" spans="1:6">
      <c r="A185" s="103">
        <v>45477</v>
      </c>
      <c r="B185" s="85" t="s">
        <v>1002</v>
      </c>
      <c r="C185" s="86" t="s">
        <v>85</v>
      </c>
      <c r="D185" s="142">
        <v>1330041.72</v>
      </c>
      <c r="E185" s="153" t="s">
        <v>6</v>
      </c>
      <c r="F185" s="28"/>
    </row>
    <row r="186" spans="1:6">
      <c r="A186" s="103">
        <v>45477</v>
      </c>
      <c r="B186" s="85" t="s">
        <v>1003</v>
      </c>
      <c r="C186" s="86" t="s">
        <v>1004</v>
      </c>
      <c r="D186" s="142">
        <v>363000</v>
      </c>
      <c r="E186" s="153" t="s">
        <v>6</v>
      </c>
      <c r="F186" s="28"/>
    </row>
    <row r="187" spans="1:6">
      <c r="A187" s="103">
        <v>45480</v>
      </c>
      <c r="B187" s="85" t="s">
        <v>1005</v>
      </c>
      <c r="C187" s="86" t="s">
        <v>925</v>
      </c>
      <c r="D187" s="142">
        <v>462898.53</v>
      </c>
      <c r="E187" s="153" t="s">
        <v>6</v>
      </c>
      <c r="F187" s="28"/>
    </row>
    <row r="188" spans="1:6">
      <c r="A188" s="103">
        <v>45481</v>
      </c>
      <c r="B188" s="85" t="s">
        <v>1006</v>
      </c>
      <c r="C188" s="86" t="s">
        <v>1007</v>
      </c>
      <c r="D188" s="142">
        <v>2099622.7599999998</v>
      </c>
      <c r="E188" s="153" t="s">
        <v>6</v>
      </c>
      <c r="F188" s="28"/>
    </row>
    <row r="189" spans="1:6">
      <c r="A189" s="103">
        <v>45481</v>
      </c>
      <c r="B189" s="85" t="s">
        <v>981</v>
      </c>
      <c r="C189" s="191" t="s">
        <v>964</v>
      </c>
      <c r="D189" s="142">
        <v>311852.5</v>
      </c>
      <c r="E189" s="87" t="s">
        <v>6</v>
      </c>
      <c r="F189" s="28"/>
    </row>
    <row r="190" spans="1:6">
      <c r="A190" s="84">
        <v>45486</v>
      </c>
      <c r="B190" s="85" t="s">
        <v>982</v>
      </c>
      <c r="C190" s="86" t="s">
        <v>840</v>
      </c>
      <c r="D190" s="104">
        <v>3000000</v>
      </c>
      <c r="E190" s="192" t="s">
        <v>6</v>
      </c>
      <c r="F190" s="89"/>
    </row>
    <row r="191" spans="1:6">
      <c r="A191" s="84">
        <v>45486</v>
      </c>
      <c r="B191" s="85" t="s">
        <v>1032</v>
      </c>
      <c r="C191" s="86" t="s">
        <v>840</v>
      </c>
      <c r="D191" s="104">
        <v>6000000</v>
      </c>
      <c r="E191" s="192" t="s">
        <v>6</v>
      </c>
      <c r="F191" s="89"/>
    </row>
    <row r="192" spans="1:6">
      <c r="A192" s="84">
        <v>45487</v>
      </c>
      <c r="B192" s="85" t="s">
        <v>1008</v>
      </c>
      <c r="C192" s="86" t="s">
        <v>840</v>
      </c>
      <c r="D192" s="104">
        <v>2489325.0099999998</v>
      </c>
      <c r="E192" s="192" t="s">
        <v>6</v>
      </c>
      <c r="F192" s="89"/>
    </row>
    <row r="193" spans="1:6">
      <c r="A193" s="84">
        <v>45487</v>
      </c>
      <c r="B193" s="85" t="s">
        <v>1035</v>
      </c>
      <c r="C193" s="86" t="s">
        <v>563</v>
      </c>
      <c r="D193" s="104">
        <v>41626.629999999997</v>
      </c>
      <c r="E193" s="192" t="s">
        <v>6</v>
      </c>
      <c r="F193" s="89"/>
    </row>
    <row r="194" spans="1:6">
      <c r="A194" s="84">
        <v>45488</v>
      </c>
      <c r="B194" s="85" t="s">
        <v>983</v>
      </c>
      <c r="C194" s="86" t="s">
        <v>400</v>
      </c>
      <c r="D194" s="87">
        <v>321000</v>
      </c>
      <c r="E194" s="192" t="s">
        <v>6</v>
      </c>
      <c r="F194" s="89"/>
    </row>
    <row r="195" spans="1:6">
      <c r="A195" s="84">
        <v>45488</v>
      </c>
      <c r="B195" s="85" t="s">
        <v>984</v>
      </c>
      <c r="C195" s="86" t="s">
        <v>840</v>
      </c>
      <c r="D195" s="87">
        <v>2591435.7200000002</v>
      </c>
      <c r="E195" s="192" t="s">
        <v>6</v>
      </c>
      <c r="F195" s="89"/>
    </row>
    <row r="196" spans="1:6">
      <c r="A196" s="84">
        <v>45488</v>
      </c>
      <c r="B196" s="85" t="s">
        <v>1012</v>
      </c>
      <c r="C196" s="86" t="s">
        <v>1017</v>
      </c>
      <c r="D196" s="87">
        <v>2000000</v>
      </c>
      <c r="E196" s="192" t="s">
        <v>6</v>
      </c>
      <c r="F196" s="89"/>
    </row>
    <row r="197" spans="1:6">
      <c r="A197" s="84">
        <v>45492</v>
      </c>
      <c r="B197" s="85" t="s">
        <v>1009</v>
      </c>
      <c r="C197" s="86" t="s">
        <v>85</v>
      </c>
      <c r="D197" s="87">
        <v>1330041.72</v>
      </c>
      <c r="E197" s="192" t="s">
        <v>6</v>
      </c>
      <c r="F197" s="89"/>
    </row>
    <row r="198" spans="1:6">
      <c r="A198" s="84">
        <v>45493</v>
      </c>
      <c r="B198" s="85" t="s">
        <v>1015</v>
      </c>
      <c r="C198" s="86" t="s">
        <v>1016</v>
      </c>
      <c r="D198" s="87">
        <v>347268.6</v>
      </c>
      <c r="E198" s="192" t="s">
        <v>6</v>
      </c>
      <c r="F198" s="89"/>
    </row>
    <row r="199" spans="1:6">
      <c r="A199" s="84">
        <v>45493</v>
      </c>
      <c r="B199" s="85" t="s">
        <v>1021</v>
      </c>
      <c r="C199" s="194" t="s">
        <v>1022</v>
      </c>
      <c r="D199" s="87">
        <v>714706.31</v>
      </c>
      <c r="E199" s="192" t="s">
        <v>6</v>
      </c>
      <c r="F199" s="89"/>
    </row>
    <row r="200" spans="1:6">
      <c r="A200" s="84">
        <v>45495</v>
      </c>
      <c r="B200" s="85" t="s">
        <v>1010</v>
      </c>
      <c r="C200" s="86" t="s">
        <v>925</v>
      </c>
      <c r="D200" s="87">
        <v>462898.53</v>
      </c>
      <c r="E200" s="192" t="s">
        <v>6</v>
      </c>
      <c r="F200" s="89"/>
    </row>
    <row r="201" spans="1:6">
      <c r="A201" s="84">
        <v>45496</v>
      </c>
      <c r="B201" s="85" t="s">
        <v>1050</v>
      </c>
      <c r="C201" s="86" t="s">
        <v>1051</v>
      </c>
      <c r="D201" s="87">
        <v>500000</v>
      </c>
      <c r="E201" s="192" t="s">
        <v>6</v>
      </c>
      <c r="F201" s="89"/>
    </row>
    <row r="202" spans="1:6">
      <c r="A202" s="84">
        <v>45498</v>
      </c>
      <c r="B202" s="85" t="s">
        <v>1018</v>
      </c>
      <c r="C202" s="86" t="s">
        <v>1016</v>
      </c>
      <c r="D202" s="87">
        <v>338525.09</v>
      </c>
      <c r="E202" s="192" t="s">
        <v>6</v>
      </c>
      <c r="F202" s="89"/>
    </row>
    <row r="203" spans="1:6">
      <c r="A203" s="84">
        <v>45499</v>
      </c>
      <c r="B203" s="85" t="s">
        <v>1026</v>
      </c>
      <c r="C203" s="86" t="s">
        <v>1027</v>
      </c>
      <c r="D203" s="87">
        <v>377960.1</v>
      </c>
      <c r="E203" s="192" t="s">
        <v>6</v>
      </c>
      <c r="F203" s="89"/>
    </row>
    <row r="204" spans="1:6">
      <c r="A204" s="84">
        <v>45501</v>
      </c>
      <c r="B204" s="85" t="s">
        <v>1036</v>
      </c>
      <c r="C204" s="86" t="s">
        <v>563</v>
      </c>
      <c r="D204" s="104">
        <v>41626.629999999997</v>
      </c>
      <c r="E204" s="192" t="s">
        <v>6</v>
      </c>
      <c r="F204" s="89"/>
    </row>
    <row r="205" spans="1:6">
      <c r="A205" s="84">
        <v>45501</v>
      </c>
      <c r="B205" s="85" t="s">
        <v>1047</v>
      </c>
      <c r="C205" s="86" t="s">
        <v>226</v>
      </c>
      <c r="D205" s="104">
        <v>656554.47</v>
      </c>
      <c r="E205" s="192" t="s">
        <v>6</v>
      </c>
      <c r="F205" s="89"/>
    </row>
    <row r="206" spans="1:6">
      <c r="A206" s="84">
        <v>45502</v>
      </c>
      <c r="B206" s="85" t="s">
        <v>1033</v>
      </c>
      <c r="C206" s="86" t="s">
        <v>840</v>
      </c>
      <c r="D206" s="87">
        <v>6000000</v>
      </c>
      <c r="E206" s="192" t="s">
        <v>6</v>
      </c>
      <c r="F206" s="89"/>
    </row>
    <row r="207" spans="1:6">
      <c r="A207" s="84">
        <v>45503</v>
      </c>
      <c r="B207" s="85" t="s">
        <v>985</v>
      </c>
      <c r="C207" s="86" t="s">
        <v>945</v>
      </c>
      <c r="D207" s="87">
        <v>1600000</v>
      </c>
      <c r="E207" s="192" t="s">
        <v>6</v>
      </c>
      <c r="F207" s="89"/>
    </row>
    <row r="208" spans="1:6">
      <c r="A208" s="84">
        <v>45503</v>
      </c>
      <c r="B208" s="85" t="s">
        <v>1045</v>
      </c>
      <c r="C208" s="86" t="s">
        <v>420</v>
      </c>
      <c r="D208" s="87">
        <v>780166</v>
      </c>
      <c r="E208" s="192" t="s">
        <v>6</v>
      </c>
      <c r="F208" s="89"/>
    </row>
    <row r="209" spans="1:6">
      <c r="A209" s="103">
        <v>45504</v>
      </c>
      <c r="B209" s="85" t="s">
        <v>1023</v>
      </c>
      <c r="C209" s="86" t="s">
        <v>1024</v>
      </c>
      <c r="D209" s="87">
        <v>450000</v>
      </c>
      <c r="E209" s="192" t="s">
        <v>6</v>
      </c>
      <c r="F209" s="159"/>
    </row>
    <row r="210" spans="1:6">
      <c r="A210" s="103">
        <v>45504</v>
      </c>
      <c r="B210" s="85" t="s">
        <v>1065</v>
      </c>
      <c r="C210" s="86" t="s">
        <v>1066</v>
      </c>
      <c r="D210" s="87">
        <v>7528368.4500000002</v>
      </c>
      <c r="E210" s="192" t="s">
        <v>6</v>
      </c>
      <c r="F210" s="159"/>
    </row>
    <row r="211" spans="1:6">
      <c r="A211" s="103">
        <v>45504</v>
      </c>
      <c r="B211" s="85" t="s">
        <v>1049</v>
      </c>
      <c r="C211" s="86" t="s">
        <v>1048</v>
      </c>
      <c r="D211" s="87">
        <v>225423</v>
      </c>
      <c r="E211" s="192" t="s">
        <v>6</v>
      </c>
      <c r="F211" s="159"/>
    </row>
    <row r="212" spans="1:6">
      <c r="A212" s="103">
        <v>45504</v>
      </c>
      <c r="B212" s="85" t="s">
        <v>1046</v>
      </c>
      <c r="C212" s="86" t="s">
        <v>85</v>
      </c>
      <c r="D212" s="87">
        <v>56578.2</v>
      </c>
      <c r="E212" s="192" t="s">
        <v>6</v>
      </c>
      <c r="F212" s="159"/>
    </row>
    <row r="213" spans="1:6">
      <c r="A213" s="10"/>
      <c r="B213" s="11"/>
      <c r="C213" s="12" t="s">
        <v>7</v>
      </c>
      <c r="D213" s="112">
        <f>SUBTOTAL(109,D181:D212)</f>
        <v>43462682.43</v>
      </c>
      <c r="E213" s="14"/>
      <c r="F213" s="15"/>
    </row>
    <row r="215" spans="1:6" ht="21">
      <c r="A215" s="339" t="s">
        <v>803</v>
      </c>
      <c r="B215" s="339"/>
      <c r="C215" s="339"/>
      <c r="D215" s="339"/>
      <c r="E215" s="20"/>
      <c r="F215" s="20"/>
    </row>
    <row r="216" spans="1:6" ht="21">
      <c r="A216" s="339"/>
      <c r="B216" s="339"/>
      <c r="C216" s="339"/>
      <c r="D216" s="339"/>
      <c r="E216" s="20"/>
      <c r="F216" s="20"/>
    </row>
    <row r="217" spans="1:6">
      <c r="A217" s="7" t="s">
        <v>0</v>
      </c>
      <c r="B217" s="8" t="s">
        <v>1</v>
      </c>
      <c r="C217" s="8" t="s">
        <v>2</v>
      </c>
      <c r="D217" s="8" t="s">
        <v>3</v>
      </c>
      <c r="E217" s="8" t="s">
        <v>4</v>
      </c>
      <c r="F217" s="9" t="s">
        <v>5</v>
      </c>
    </row>
    <row r="218" spans="1:6">
      <c r="A218" s="103">
        <v>45507</v>
      </c>
      <c r="B218" s="85" t="s">
        <v>1059</v>
      </c>
      <c r="C218" s="86" t="s">
        <v>1060</v>
      </c>
      <c r="D218" s="142">
        <v>571672.93000000005</v>
      </c>
      <c r="E218" s="153" t="s">
        <v>6</v>
      </c>
      <c r="F218" s="28"/>
    </row>
    <row r="219" spans="1:6">
      <c r="A219" s="103">
        <v>45509</v>
      </c>
      <c r="B219" s="85" t="s">
        <v>1061</v>
      </c>
      <c r="C219" s="86" t="s">
        <v>563</v>
      </c>
      <c r="D219" s="142">
        <v>131987.46</v>
      </c>
      <c r="E219" s="153" t="s">
        <v>6</v>
      </c>
      <c r="F219" s="28"/>
    </row>
    <row r="220" spans="1:6">
      <c r="A220" s="103">
        <v>45509</v>
      </c>
      <c r="B220" s="85" t="s">
        <v>1037</v>
      </c>
      <c r="C220" s="86" t="s">
        <v>875</v>
      </c>
      <c r="D220" s="142">
        <v>5000000</v>
      </c>
      <c r="E220" s="153" t="s">
        <v>6</v>
      </c>
      <c r="F220" s="28"/>
    </row>
    <row r="221" spans="1:6">
      <c r="A221" s="103">
        <v>45514</v>
      </c>
      <c r="B221" s="85" t="s">
        <v>1052</v>
      </c>
      <c r="C221" s="86" t="s">
        <v>1053</v>
      </c>
      <c r="D221" s="142">
        <v>695415.23</v>
      </c>
      <c r="E221" s="153" t="s">
        <v>6</v>
      </c>
      <c r="F221" s="28"/>
    </row>
    <row r="222" spans="1:6">
      <c r="A222" s="103">
        <v>45514</v>
      </c>
      <c r="B222" s="85" t="s">
        <v>1013</v>
      </c>
      <c r="C222" s="149" t="s">
        <v>1017</v>
      </c>
      <c r="D222" s="142">
        <v>2000000</v>
      </c>
      <c r="E222" s="153" t="s">
        <v>6</v>
      </c>
      <c r="F222" s="28"/>
    </row>
    <row r="223" spans="1:6">
      <c r="A223" s="103">
        <v>45514</v>
      </c>
      <c r="B223" s="85" t="s">
        <v>1028</v>
      </c>
      <c r="C223" s="149" t="s">
        <v>1029</v>
      </c>
      <c r="D223" s="142">
        <v>188980.05</v>
      </c>
      <c r="E223" s="87" t="s">
        <v>6</v>
      </c>
      <c r="F223" s="28"/>
    </row>
    <row r="224" spans="1:6">
      <c r="A224" s="103">
        <v>45514</v>
      </c>
      <c r="B224" s="85" t="s">
        <v>1038</v>
      </c>
      <c r="C224" s="86" t="s">
        <v>875</v>
      </c>
      <c r="D224" s="142">
        <v>5000000</v>
      </c>
      <c r="E224" s="153" t="s">
        <v>6</v>
      </c>
      <c r="F224" s="28"/>
    </row>
    <row r="225" spans="1:6">
      <c r="A225" s="103">
        <v>45516</v>
      </c>
      <c r="B225" s="85" t="s">
        <v>1034</v>
      </c>
      <c r="C225" s="149" t="s">
        <v>840</v>
      </c>
      <c r="D225" s="142">
        <v>6000000</v>
      </c>
      <c r="E225" s="87" t="s">
        <v>6</v>
      </c>
      <c r="F225" s="28"/>
    </row>
    <row r="226" spans="1:6">
      <c r="A226" s="103">
        <v>45519</v>
      </c>
      <c r="B226" s="85" t="s">
        <v>1054</v>
      </c>
      <c r="C226" s="149" t="s">
        <v>1048</v>
      </c>
      <c r="D226" s="142">
        <v>225423</v>
      </c>
      <c r="E226" s="87" t="s">
        <v>6</v>
      </c>
      <c r="F226" s="28"/>
    </row>
    <row r="227" spans="1:6">
      <c r="A227" s="103">
        <v>45519</v>
      </c>
      <c r="B227" s="85" t="s">
        <v>1039</v>
      </c>
      <c r="C227" s="86" t="s">
        <v>875</v>
      </c>
      <c r="D227" s="142">
        <v>5000000</v>
      </c>
      <c r="E227" s="153" t="s">
        <v>6</v>
      </c>
      <c r="F227" s="28"/>
    </row>
    <row r="228" spans="1:6">
      <c r="A228" s="138">
        <v>45521</v>
      </c>
      <c r="B228" s="85" t="s">
        <v>1067</v>
      </c>
      <c r="C228" s="143" t="s">
        <v>563</v>
      </c>
      <c r="D228" s="142">
        <v>190794.62</v>
      </c>
      <c r="E228" s="171" t="s">
        <v>6</v>
      </c>
      <c r="F228" s="6"/>
    </row>
    <row r="229" spans="1:6">
      <c r="A229" s="138">
        <v>45522</v>
      </c>
      <c r="B229" s="85" t="s">
        <v>1068</v>
      </c>
      <c r="C229" s="143" t="s">
        <v>226</v>
      </c>
      <c r="D229" s="142">
        <v>245025</v>
      </c>
      <c r="E229" s="171" t="s">
        <v>6</v>
      </c>
      <c r="F229" s="6"/>
    </row>
    <row r="230" spans="1:6">
      <c r="A230" s="138">
        <v>45524</v>
      </c>
      <c r="B230" s="85" t="s">
        <v>1040</v>
      </c>
      <c r="C230" s="143" t="s">
        <v>875</v>
      </c>
      <c r="D230" s="142">
        <v>7500000</v>
      </c>
      <c r="E230" s="171" t="s">
        <v>6</v>
      </c>
      <c r="F230" s="6"/>
    </row>
    <row r="231" spans="1:6">
      <c r="A231" s="138">
        <v>45525</v>
      </c>
      <c r="B231" s="85" t="s">
        <v>1062</v>
      </c>
      <c r="C231" s="143" t="s">
        <v>563</v>
      </c>
      <c r="D231" s="142">
        <v>131987.46</v>
      </c>
      <c r="E231" s="171" t="s">
        <v>6</v>
      </c>
      <c r="F231" s="6"/>
    </row>
    <row r="232" spans="1:6">
      <c r="A232" s="138">
        <v>45526</v>
      </c>
      <c r="B232" s="85" t="s">
        <v>1055</v>
      </c>
      <c r="C232" s="143" t="s">
        <v>1056</v>
      </c>
      <c r="D232" s="142">
        <v>650000</v>
      </c>
      <c r="E232" s="171" t="s">
        <v>6</v>
      </c>
      <c r="F232" s="6"/>
    </row>
    <row r="233" spans="1:6">
      <c r="A233" s="138">
        <v>45529</v>
      </c>
      <c r="B233" s="85" t="s">
        <v>1063</v>
      </c>
      <c r="C233" s="143" t="s">
        <v>1064</v>
      </c>
      <c r="D233" s="142">
        <v>1180000.23</v>
      </c>
      <c r="E233" s="171" t="s">
        <v>6</v>
      </c>
      <c r="F233" s="6"/>
    </row>
    <row r="234" spans="1:6">
      <c r="A234" s="138">
        <v>45529</v>
      </c>
      <c r="B234" s="85" t="s">
        <v>1041</v>
      </c>
      <c r="C234" s="143" t="s">
        <v>875</v>
      </c>
      <c r="D234" s="142">
        <v>5000000</v>
      </c>
      <c r="E234" s="171" t="s">
        <v>6</v>
      </c>
      <c r="F234" s="6"/>
    </row>
    <row r="235" spans="1:6">
      <c r="A235" s="144">
        <v>45530</v>
      </c>
      <c r="B235" s="85" t="s">
        <v>1030</v>
      </c>
      <c r="C235" s="143" t="s">
        <v>1027</v>
      </c>
      <c r="D235" s="139">
        <v>377960.1</v>
      </c>
      <c r="E235" s="195" t="s">
        <v>6</v>
      </c>
      <c r="F235" s="173"/>
    </row>
    <row r="236" spans="1:6">
      <c r="A236" s="144">
        <v>45531</v>
      </c>
      <c r="B236" s="85" t="s">
        <v>1043</v>
      </c>
      <c r="C236" s="143" t="s">
        <v>1044</v>
      </c>
      <c r="D236" s="139">
        <v>215000</v>
      </c>
      <c r="E236" s="195" t="s">
        <v>6</v>
      </c>
      <c r="F236" s="173"/>
    </row>
    <row r="237" spans="1:6">
      <c r="A237" s="144">
        <v>45531</v>
      </c>
      <c r="B237" s="85" t="s">
        <v>1070</v>
      </c>
      <c r="C237" s="143" t="s">
        <v>1071</v>
      </c>
      <c r="D237" s="139">
        <v>224836.16</v>
      </c>
      <c r="E237" s="195" t="s">
        <v>6</v>
      </c>
      <c r="F237" s="173"/>
    </row>
    <row r="238" spans="1:6">
      <c r="A238" s="144">
        <v>45534</v>
      </c>
      <c r="B238" s="85" t="s">
        <v>1104</v>
      </c>
      <c r="C238" s="143" t="s">
        <v>955</v>
      </c>
      <c r="D238" s="139">
        <v>624234</v>
      </c>
      <c r="E238" s="195" t="s">
        <v>6</v>
      </c>
      <c r="F238" s="173"/>
    </row>
    <row r="239" spans="1:6">
      <c r="A239" s="144">
        <v>45534</v>
      </c>
      <c r="B239" s="85" t="s">
        <v>1042</v>
      </c>
      <c r="C239" s="143" t="s">
        <v>875</v>
      </c>
      <c r="D239" s="139">
        <v>7500000</v>
      </c>
      <c r="E239" s="195" t="s">
        <v>6</v>
      </c>
      <c r="F239" s="173"/>
    </row>
    <row r="240" spans="1:6">
      <c r="A240" s="144">
        <v>45535</v>
      </c>
      <c r="B240" s="85" t="s">
        <v>1075</v>
      </c>
      <c r="C240" s="143" t="s">
        <v>925</v>
      </c>
      <c r="D240" s="139">
        <v>131496.22</v>
      </c>
      <c r="E240" s="195" t="s">
        <v>6</v>
      </c>
      <c r="F240" s="173"/>
    </row>
    <row r="241" spans="1:8">
      <c r="A241" s="144">
        <v>45535</v>
      </c>
      <c r="B241" s="85" t="s">
        <v>1073</v>
      </c>
      <c r="C241" s="143" t="s">
        <v>1074</v>
      </c>
      <c r="D241" s="139">
        <v>424952</v>
      </c>
      <c r="E241" s="195" t="s">
        <v>6</v>
      </c>
      <c r="F241" s="173"/>
    </row>
    <row r="242" spans="1:8">
      <c r="A242" s="10"/>
      <c r="B242" s="11"/>
      <c r="C242" s="12" t="s">
        <v>7</v>
      </c>
      <c r="D242" s="112">
        <f>SUBTOTAL(109,D218:D241)</f>
        <v>49209764.460000001</v>
      </c>
      <c r="E242" s="14"/>
      <c r="F242" s="15"/>
    </row>
    <row r="244" spans="1:8" ht="21">
      <c r="A244" s="339" t="s">
        <v>804</v>
      </c>
      <c r="B244" s="339"/>
      <c r="C244" s="339"/>
      <c r="D244" s="339"/>
      <c r="E244" s="20"/>
      <c r="F244" s="20"/>
    </row>
    <row r="245" spans="1:8" ht="21">
      <c r="A245" s="339"/>
      <c r="B245" s="339"/>
      <c r="C245" s="339"/>
      <c r="D245" s="339"/>
      <c r="E245" s="20"/>
      <c r="F245" s="20"/>
    </row>
    <row r="246" spans="1:8" ht="14.4" customHeight="1">
      <c r="A246" s="7" t="s">
        <v>0</v>
      </c>
      <c r="B246" s="8" t="s">
        <v>1</v>
      </c>
      <c r="C246" s="8" t="s">
        <v>2</v>
      </c>
      <c r="D246" s="8" t="s">
        <v>3</v>
      </c>
      <c r="E246" s="8" t="s">
        <v>4</v>
      </c>
      <c r="F246" s="9" t="s">
        <v>5</v>
      </c>
      <c r="H246"/>
    </row>
    <row r="247" spans="1:8">
      <c r="A247" s="103">
        <v>45537</v>
      </c>
      <c r="B247" s="85" t="s">
        <v>1078</v>
      </c>
      <c r="C247" s="149" t="s">
        <v>1079</v>
      </c>
      <c r="D247" s="142">
        <v>484000</v>
      </c>
      <c r="E247" s="153" t="s">
        <v>6</v>
      </c>
      <c r="F247" s="28"/>
      <c r="H247"/>
    </row>
    <row r="248" spans="1:8" ht="14.4" customHeight="1">
      <c r="A248" s="103">
        <v>45537</v>
      </c>
      <c r="B248" s="85" t="s">
        <v>1069</v>
      </c>
      <c r="C248" s="149" t="s">
        <v>563</v>
      </c>
      <c r="D248" s="142">
        <v>190794.62</v>
      </c>
      <c r="E248" s="153" t="s">
        <v>6</v>
      </c>
      <c r="F248" s="28"/>
      <c r="H248"/>
    </row>
    <row r="249" spans="1:8" ht="14.4" customHeight="1">
      <c r="A249" s="103">
        <v>45537</v>
      </c>
      <c r="B249" s="85" t="s">
        <v>1076</v>
      </c>
      <c r="C249" s="149" t="s">
        <v>840</v>
      </c>
      <c r="D249" s="142">
        <v>393358.86</v>
      </c>
      <c r="E249" s="153" t="s">
        <v>6</v>
      </c>
      <c r="F249" s="28"/>
      <c r="H249"/>
    </row>
    <row r="250" spans="1:8" ht="14.4" customHeight="1">
      <c r="A250" s="103">
        <v>45537</v>
      </c>
      <c r="B250" s="85" t="s">
        <v>1077</v>
      </c>
      <c r="C250" s="149" t="s">
        <v>951</v>
      </c>
      <c r="D250" s="142">
        <v>84337.48</v>
      </c>
      <c r="E250" s="153" t="s">
        <v>6</v>
      </c>
      <c r="F250" s="28"/>
      <c r="H250"/>
    </row>
    <row r="251" spans="1:8" ht="43.2">
      <c r="A251" s="103">
        <v>45544</v>
      </c>
      <c r="B251" s="85" t="s">
        <v>1031</v>
      </c>
      <c r="C251" s="149" t="s">
        <v>1027</v>
      </c>
      <c r="D251" s="142">
        <v>377960.1</v>
      </c>
      <c r="E251" s="168" t="s">
        <v>1152</v>
      </c>
      <c r="F251" s="196" t="s">
        <v>1088</v>
      </c>
      <c r="H251"/>
    </row>
    <row r="252" spans="1:8">
      <c r="A252" s="103">
        <v>45545</v>
      </c>
      <c r="B252" s="85" t="s">
        <v>1057</v>
      </c>
      <c r="C252" s="149" t="s">
        <v>875</v>
      </c>
      <c r="D252" s="142">
        <v>2768682</v>
      </c>
      <c r="E252" s="153" t="s">
        <v>6</v>
      </c>
      <c r="F252" s="28"/>
      <c r="H252"/>
    </row>
    <row r="253" spans="1:8">
      <c r="A253" s="103">
        <v>45546</v>
      </c>
      <c r="B253" s="85" t="s">
        <v>1072</v>
      </c>
      <c r="C253" s="149" t="s">
        <v>563</v>
      </c>
      <c r="D253" s="142">
        <v>224836.16</v>
      </c>
      <c r="E253" s="153" t="s">
        <v>6</v>
      </c>
      <c r="F253" s="28"/>
      <c r="H253"/>
    </row>
    <row r="254" spans="1:8">
      <c r="A254" s="103">
        <v>45547</v>
      </c>
      <c r="B254" s="85" t="s">
        <v>1082</v>
      </c>
      <c r="C254" s="149" t="s">
        <v>1079</v>
      </c>
      <c r="D254" s="142">
        <v>484000</v>
      </c>
      <c r="E254" s="153" t="s">
        <v>6</v>
      </c>
      <c r="F254" s="28"/>
    </row>
    <row r="255" spans="1:8">
      <c r="A255" s="103">
        <v>45547</v>
      </c>
      <c r="B255" s="85" t="s">
        <v>1080</v>
      </c>
      <c r="C255" s="149" t="s">
        <v>1081</v>
      </c>
      <c r="D255" s="142">
        <v>2731628.19</v>
      </c>
      <c r="E255" s="153" t="s">
        <v>6</v>
      </c>
      <c r="F255" s="28"/>
    </row>
    <row r="256" spans="1:8">
      <c r="A256" s="103">
        <v>45555</v>
      </c>
      <c r="B256" s="85" t="s">
        <v>1014</v>
      </c>
      <c r="C256" s="149" t="s">
        <v>1017</v>
      </c>
      <c r="D256" s="142">
        <v>1500000</v>
      </c>
      <c r="E256" s="153" t="s">
        <v>6</v>
      </c>
      <c r="F256" s="28"/>
    </row>
    <row r="257" spans="1:6">
      <c r="A257" s="103">
        <v>45559</v>
      </c>
      <c r="B257" s="85" t="s">
        <v>1058</v>
      </c>
      <c r="C257" s="149" t="s">
        <v>1056</v>
      </c>
      <c r="D257" s="142">
        <v>650000</v>
      </c>
      <c r="E257" s="153" t="s">
        <v>6</v>
      </c>
      <c r="F257" s="28"/>
    </row>
    <row r="258" spans="1:6">
      <c r="A258" s="103">
        <v>45562</v>
      </c>
      <c r="B258" s="85" t="s">
        <v>1105</v>
      </c>
      <c r="C258" s="149" t="s">
        <v>988</v>
      </c>
      <c r="D258" s="142">
        <v>657627.32999999996</v>
      </c>
      <c r="E258" s="153" t="s">
        <v>6</v>
      </c>
      <c r="F258" s="28"/>
    </row>
    <row r="259" spans="1:6">
      <c r="A259" s="103">
        <v>45565</v>
      </c>
      <c r="B259" s="85" t="s">
        <v>1087</v>
      </c>
      <c r="C259" s="149" t="s">
        <v>420</v>
      </c>
      <c r="D259" s="142">
        <v>1305662</v>
      </c>
      <c r="E259" s="153" t="s">
        <v>6</v>
      </c>
      <c r="F259" s="28"/>
    </row>
    <row r="260" spans="1:6">
      <c r="A260" s="10"/>
      <c r="B260" s="11"/>
      <c r="C260" s="12" t="s">
        <v>7</v>
      </c>
      <c r="D260" s="112">
        <f>SUBTOTAL(109,D247:D259)</f>
        <v>11852886.74</v>
      </c>
      <c r="E260" s="14"/>
      <c r="F260" s="15"/>
    </row>
    <row r="262" spans="1:6" ht="21">
      <c r="A262" s="339" t="s">
        <v>805</v>
      </c>
      <c r="B262" s="339"/>
      <c r="C262" s="339"/>
      <c r="D262" s="339"/>
      <c r="E262" s="20"/>
      <c r="F262" s="20"/>
    </row>
    <row r="263" spans="1:6" ht="21">
      <c r="A263" s="339"/>
      <c r="B263" s="339"/>
      <c r="C263" s="339"/>
      <c r="D263" s="339"/>
      <c r="E263" s="20"/>
      <c r="F263" s="20"/>
    </row>
    <row r="264" spans="1:6">
      <c r="A264" s="7" t="s">
        <v>0</v>
      </c>
      <c r="B264" s="8" t="s">
        <v>1</v>
      </c>
      <c r="C264" s="8" t="s">
        <v>2</v>
      </c>
      <c r="D264" s="8" t="s">
        <v>3</v>
      </c>
      <c r="E264" s="8" t="s">
        <v>4</v>
      </c>
      <c r="F264" s="9" t="s">
        <v>5</v>
      </c>
    </row>
    <row r="265" spans="1:6">
      <c r="A265" s="103">
        <v>45566</v>
      </c>
      <c r="B265" s="85" t="s">
        <v>1117</v>
      </c>
      <c r="C265" s="149" t="s">
        <v>629</v>
      </c>
      <c r="D265" s="142">
        <v>2210000</v>
      </c>
      <c r="E265" s="153" t="s">
        <v>6</v>
      </c>
      <c r="F265" s="28"/>
    </row>
    <row r="266" spans="1:6">
      <c r="A266" s="103">
        <v>45566</v>
      </c>
      <c r="B266" s="85" t="s">
        <v>1089</v>
      </c>
      <c r="C266" s="149" t="s">
        <v>865</v>
      </c>
      <c r="D266" s="142">
        <v>424952</v>
      </c>
      <c r="E266" s="153" t="s">
        <v>6</v>
      </c>
      <c r="F266" s="28"/>
    </row>
    <row r="267" spans="1:6">
      <c r="A267" s="103">
        <v>45567</v>
      </c>
      <c r="B267" s="85" t="s">
        <v>1090</v>
      </c>
      <c r="C267" s="149" t="s">
        <v>373</v>
      </c>
      <c r="D267" s="142">
        <v>536750</v>
      </c>
      <c r="E267" s="153" t="s">
        <v>6</v>
      </c>
      <c r="F267" s="28"/>
    </row>
    <row r="268" spans="1:6">
      <c r="A268" s="103">
        <v>45569</v>
      </c>
      <c r="B268" s="85" t="s">
        <v>1083</v>
      </c>
      <c r="C268" s="149" t="s">
        <v>563</v>
      </c>
      <c r="D268" s="142">
        <v>477930.22</v>
      </c>
      <c r="E268" s="153" t="s">
        <v>6</v>
      </c>
      <c r="F268" s="28"/>
    </row>
    <row r="269" spans="1:6">
      <c r="A269" s="103">
        <v>45576</v>
      </c>
      <c r="B269" s="85" t="s">
        <v>1084</v>
      </c>
      <c r="C269" s="149" t="s">
        <v>948</v>
      </c>
      <c r="D269" s="142">
        <v>105920.39</v>
      </c>
      <c r="E269" s="87" t="s">
        <v>6</v>
      </c>
      <c r="F269" s="89"/>
    </row>
    <row r="270" spans="1:6">
      <c r="A270" s="103">
        <v>45577</v>
      </c>
      <c r="B270" s="85" t="s">
        <v>1110</v>
      </c>
      <c r="C270" s="149" t="s">
        <v>960</v>
      </c>
      <c r="D270" s="142">
        <v>93452.41</v>
      </c>
      <c r="E270" s="87" t="s">
        <v>6</v>
      </c>
      <c r="F270" s="89"/>
    </row>
    <row r="271" spans="1:6">
      <c r="A271" s="103">
        <v>45577</v>
      </c>
      <c r="B271" s="85" t="s">
        <v>1111</v>
      </c>
      <c r="C271" s="149" t="s">
        <v>388</v>
      </c>
      <c r="D271" s="142">
        <v>676255.28</v>
      </c>
      <c r="E271" s="87" t="s">
        <v>6</v>
      </c>
      <c r="F271" s="89"/>
    </row>
    <row r="272" spans="1:6">
      <c r="A272" s="103">
        <v>45578</v>
      </c>
      <c r="B272" s="85" t="s">
        <v>1091</v>
      </c>
      <c r="C272" s="149" t="s">
        <v>563</v>
      </c>
      <c r="D272" s="142">
        <v>620489.75</v>
      </c>
      <c r="E272" s="87" t="s">
        <v>6</v>
      </c>
      <c r="F272" s="89"/>
    </row>
    <row r="273" spans="1:6">
      <c r="A273" s="84">
        <v>45580</v>
      </c>
      <c r="B273" s="85" t="s">
        <v>1085</v>
      </c>
      <c r="C273" s="86" t="s">
        <v>1086</v>
      </c>
      <c r="D273" s="104">
        <v>1758000</v>
      </c>
      <c r="E273" s="87" t="s">
        <v>6</v>
      </c>
      <c r="F273" s="89"/>
    </row>
    <row r="274" spans="1:6">
      <c r="A274" s="84">
        <v>45580</v>
      </c>
      <c r="B274" s="85" t="s">
        <v>1092</v>
      </c>
      <c r="C274" s="86" t="s">
        <v>988</v>
      </c>
      <c r="D274" s="87">
        <v>800000</v>
      </c>
      <c r="E274" s="87" t="s">
        <v>6</v>
      </c>
      <c r="F274" s="89"/>
    </row>
    <row r="275" spans="1:6">
      <c r="A275" s="84">
        <v>45582</v>
      </c>
      <c r="B275" s="85" t="s">
        <v>1093</v>
      </c>
      <c r="C275" s="86" t="s">
        <v>373</v>
      </c>
      <c r="D275" s="104">
        <v>536750</v>
      </c>
      <c r="E275" s="87" t="s">
        <v>6</v>
      </c>
      <c r="F275" s="89"/>
    </row>
    <row r="276" spans="1:6">
      <c r="A276" s="84">
        <v>45582</v>
      </c>
      <c r="B276" s="85" t="s">
        <v>1108</v>
      </c>
      <c r="C276" s="86" t="s">
        <v>840</v>
      </c>
      <c r="D276" s="104">
        <v>236479.39</v>
      </c>
      <c r="E276" s="87" t="s">
        <v>6</v>
      </c>
      <c r="F276" s="89"/>
    </row>
    <row r="277" spans="1:6">
      <c r="A277" s="84">
        <v>45584</v>
      </c>
      <c r="B277" s="85" t="s">
        <v>1116</v>
      </c>
      <c r="C277" s="86" t="s">
        <v>960</v>
      </c>
      <c r="D277" s="104">
        <v>754864.79</v>
      </c>
      <c r="E277" s="87" t="s">
        <v>6</v>
      </c>
      <c r="F277" s="89"/>
    </row>
    <row r="278" spans="1:6">
      <c r="A278" s="84">
        <v>45585</v>
      </c>
      <c r="B278" s="85" t="s">
        <v>1094</v>
      </c>
      <c r="C278" s="86" t="s">
        <v>893</v>
      </c>
      <c r="D278" s="87">
        <v>300000</v>
      </c>
      <c r="E278" s="87" t="s">
        <v>6</v>
      </c>
      <c r="F278" s="89"/>
    </row>
    <row r="279" spans="1:6">
      <c r="A279" s="84">
        <v>45585</v>
      </c>
      <c r="B279" s="85" t="s">
        <v>1115</v>
      </c>
      <c r="C279" s="86" t="s">
        <v>840</v>
      </c>
      <c r="D279" s="87">
        <v>381188.62</v>
      </c>
      <c r="E279" s="87" t="s">
        <v>6</v>
      </c>
      <c r="F279" s="89"/>
    </row>
    <row r="280" spans="1:6">
      <c r="A280" s="84">
        <v>45585</v>
      </c>
      <c r="B280" s="85" t="s">
        <v>1103</v>
      </c>
      <c r="C280" s="86" t="s">
        <v>563</v>
      </c>
      <c r="D280" s="104">
        <v>302335.86</v>
      </c>
      <c r="E280" s="87" t="s">
        <v>6</v>
      </c>
      <c r="F280" s="89"/>
    </row>
    <row r="281" spans="1:6">
      <c r="A281" s="84">
        <v>45590</v>
      </c>
      <c r="B281" s="85" t="s">
        <v>1106</v>
      </c>
      <c r="C281" s="86" t="s">
        <v>1107</v>
      </c>
      <c r="D281" s="87">
        <v>2000000</v>
      </c>
      <c r="E281" s="87" t="s">
        <v>6</v>
      </c>
      <c r="F281" s="89"/>
    </row>
    <row r="282" spans="1:6">
      <c r="A282" s="84">
        <v>45590</v>
      </c>
      <c r="B282" s="85" t="s">
        <v>1118</v>
      </c>
      <c r="C282" s="86" t="s">
        <v>629</v>
      </c>
      <c r="D282" s="87">
        <v>2210000</v>
      </c>
      <c r="E282" s="87" t="s">
        <v>6</v>
      </c>
      <c r="F282" s="89"/>
    </row>
    <row r="283" spans="1:6">
      <c r="A283" s="84">
        <v>45590</v>
      </c>
      <c r="B283" s="85" t="s">
        <v>1153</v>
      </c>
      <c r="C283" s="86" t="s">
        <v>1154</v>
      </c>
      <c r="D283" s="87">
        <v>2500000</v>
      </c>
      <c r="E283" s="87" t="s">
        <v>6</v>
      </c>
      <c r="F283" s="89"/>
    </row>
    <row r="284" spans="1:6">
      <c r="A284" s="84">
        <v>45591</v>
      </c>
      <c r="B284" s="85" t="s">
        <v>1161</v>
      </c>
      <c r="C284" s="86" t="s">
        <v>1123</v>
      </c>
      <c r="D284" s="87">
        <v>327000</v>
      </c>
      <c r="E284" s="87" t="s">
        <v>6</v>
      </c>
      <c r="F284" s="89"/>
    </row>
    <row r="285" spans="1:6">
      <c r="A285" s="84">
        <v>45592</v>
      </c>
      <c r="B285" s="85" t="s">
        <v>1113</v>
      </c>
      <c r="C285" s="86" t="s">
        <v>1114</v>
      </c>
      <c r="D285" s="87">
        <v>1713750</v>
      </c>
      <c r="E285" s="87" t="s">
        <v>6</v>
      </c>
      <c r="F285" s="89"/>
    </row>
    <row r="286" spans="1:6">
      <c r="A286" s="84">
        <v>45592</v>
      </c>
      <c r="B286" s="85" t="s">
        <v>1109</v>
      </c>
      <c r="C286" s="86" t="s">
        <v>948</v>
      </c>
      <c r="D286" s="87">
        <v>506909.2</v>
      </c>
      <c r="E286" s="87" t="s">
        <v>6</v>
      </c>
      <c r="F286" s="89"/>
    </row>
    <row r="287" spans="1:6">
      <c r="A287" s="84">
        <v>45592</v>
      </c>
      <c r="B287" s="85" t="s">
        <v>1122</v>
      </c>
      <c r="C287" s="86" t="s">
        <v>988</v>
      </c>
      <c r="D287" s="87">
        <v>657627.32999999996</v>
      </c>
      <c r="E287" s="87" t="s">
        <v>6</v>
      </c>
      <c r="F287" s="89"/>
    </row>
    <row r="288" spans="1:6">
      <c r="A288" s="84">
        <v>45592</v>
      </c>
      <c r="B288" s="85" t="s">
        <v>1121</v>
      </c>
      <c r="C288" s="86" t="s">
        <v>298</v>
      </c>
      <c r="D288" s="87">
        <v>290218.5</v>
      </c>
      <c r="E288" s="87" t="s">
        <v>6</v>
      </c>
      <c r="F288" s="89"/>
    </row>
    <row r="289" spans="1:8">
      <c r="A289" s="84">
        <v>45594</v>
      </c>
      <c r="B289" s="85" t="s">
        <v>1119</v>
      </c>
      <c r="C289" s="86" t="s">
        <v>1120</v>
      </c>
      <c r="D289" s="87">
        <v>1073400</v>
      </c>
      <c r="E289" s="87" t="s">
        <v>6</v>
      </c>
      <c r="F289" s="89"/>
    </row>
    <row r="290" spans="1:8">
      <c r="A290" s="84">
        <v>45595</v>
      </c>
      <c r="B290" s="85" t="s">
        <v>1112</v>
      </c>
      <c r="C290" s="86" t="s">
        <v>955</v>
      </c>
      <c r="D290" s="87">
        <v>1260151</v>
      </c>
      <c r="E290" s="87" t="s">
        <v>6</v>
      </c>
      <c r="F290" s="89"/>
    </row>
    <row r="291" spans="1:8">
      <c r="A291" s="10"/>
      <c r="B291" s="11"/>
      <c r="C291" s="12" t="s">
        <v>7</v>
      </c>
      <c r="D291" s="112">
        <f>SUBTOTAL(109,D265:D290)</f>
        <v>22754424.739999998</v>
      </c>
      <c r="E291" s="14"/>
      <c r="F291" s="15"/>
    </row>
    <row r="293" spans="1:8" ht="21">
      <c r="A293" s="339" t="s">
        <v>806</v>
      </c>
      <c r="B293" s="339"/>
      <c r="C293" s="339"/>
      <c r="D293" s="339"/>
      <c r="E293" s="20"/>
      <c r="F293" s="20"/>
    </row>
    <row r="294" spans="1:8" ht="21">
      <c r="A294" s="339"/>
      <c r="B294" s="339"/>
      <c r="C294" s="339"/>
      <c r="D294" s="339"/>
      <c r="E294" s="20"/>
      <c r="F294" s="20"/>
      <c r="H294"/>
    </row>
    <row r="295" spans="1:8">
      <c r="A295" s="7" t="s">
        <v>0</v>
      </c>
      <c r="B295" s="8" t="s">
        <v>1</v>
      </c>
      <c r="C295" s="8" t="s">
        <v>2</v>
      </c>
      <c r="D295" s="8" t="s">
        <v>3</v>
      </c>
      <c r="E295" s="8" t="s">
        <v>4</v>
      </c>
      <c r="F295" s="9" t="s">
        <v>5</v>
      </c>
      <c r="H295"/>
    </row>
    <row r="296" spans="1:8" ht="14.4" customHeight="1">
      <c r="A296" s="103">
        <v>45597</v>
      </c>
      <c r="B296" s="85" t="s">
        <v>1129</v>
      </c>
      <c r="C296" s="163" t="s">
        <v>865</v>
      </c>
      <c r="D296" s="142">
        <v>1309643.5</v>
      </c>
      <c r="E296" s="200" t="s">
        <v>6</v>
      </c>
      <c r="F296" s="193"/>
      <c r="H296"/>
    </row>
    <row r="297" spans="1:8" ht="14.4" customHeight="1">
      <c r="A297" s="103">
        <v>45597</v>
      </c>
      <c r="B297" s="85" t="s">
        <v>1136</v>
      </c>
      <c r="C297" s="163" t="s">
        <v>304</v>
      </c>
      <c r="D297" s="142">
        <v>431999.99</v>
      </c>
      <c r="E297" s="200" t="s">
        <v>6</v>
      </c>
      <c r="F297" s="193"/>
      <c r="H297"/>
    </row>
    <row r="298" spans="1:8" ht="14.4" customHeight="1">
      <c r="A298" s="103">
        <v>45598</v>
      </c>
      <c r="B298" s="85" t="s">
        <v>1095</v>
      </c>
      <c r="C298" s="163" t="s">
        <v>925</v>
      </c>
      <c r="D298" s="142">
        <v>1264999.95</v>
      </c>
      <c r="E298" s="200" t="s">
        <v>6</v>
      </c>
      <c r="F298" s="193"/>
      <c r="H298"/>
    </row>
    <row r="299" spans="1:8" ht="14.4" customHeight="1">
      <c r="A299" s="103">
        <v>45600</v>
      </c>
      <c r="B299" s="85" t="s">
        <v>1138</v>
      </c>
      <c r="C299" s="163" t="s">
        <v>951</v>
      </c>
      <c r="D299" s="142">
        <v>302335.86</v>
      </c>
      <c r="E299" s="200" t="s">
        <v>6</v>
      </c>
      <c r="F299" s="193"/>
      <c r="H299"/>
    </row>
    <row r="300" spans="1:8" ht="14.4" customHeight="1">
      <c r="A300" s="103">
        <v>45601</v>
      </c>
      <c r="B300" s="85" t="s">
        <v>1130</v>
      </c>
      <c r="C300" s="163" t="s">
        <v>1131</v>
      </c>
      <c r="D300" s="142">
        <v>1515002.28</v>
      </c>
      <c r="E300" s="200" t="s">
        <v>6</v>
      </c>
      <c r="F300" s="193"/>
      <c r="H300"/>
    </row>
    <row r="301" spans="1:8" ht="14.4" customHeight="1">
      <c r="A301" s="103">
        <v>45601</v>
      </c>
      <c r="B301" s="85" t="s">
        <v>1132</v>
      </c>
      <c r="C301" s="163" t="s">
        <v>951</v>
      </c>
      <c r="D301" s="142">
        <v>261360</v>
      </c>
      <c r="E301" s="200" t="s">
        <v>6</v>
      </c>
      <c r="F301" s="193"/>
      <c r="H301"/>
    </row>
    <row r="302" spans="1:8">
      <c r="A302" s="84">
        <v>45601</v>
      </c>
      <c r="B302" s="85" t="s">
        <v>1096</v>
      </c>
      <c r="C302" s="98" t="s">
        <v>988</v>
      </c>
      <c r="D302" s="104">
        <v>830227.99</v>
      </c>
      <c r="E302" s="201" t="s">
        <v>6</v>
      </c>
      <c r="F302" s="92"/>
      <c r="H302"/>
    </row>
    <row r="303" spans="1:8">
      <c r="A303" s="84">
        <v>45605</v>
      </c>
      <c r="B303" s="85" t="s">
        <v>1156</v>
      </c>
      <c r="C303" s="98" t="s">
        <v>865</v>
      </c>
      <c r="D303" s="104">
        <v>381951.62</v>
      </c>
      <c r="E303" s="201" t="s">
        <v>6</v>
      </c>
      <c r="F303" s="92"/>
      <c r="H303"/>
    </row>
    <row r="304" spans="1:8">
      <c r="A304" s="84">
        <v>45606</v>
      </c>
      <c r="B304" s="85" t="s">
        <v>1139</v>
      </c>
      <c r="C304" s="98" t="s">
        <v>1107</v>
      </c>
      <c r="D304" s="104">
        <v>1500000</v>
      </c>
      <c r="E304" s="201" t="s">
        <v>6</v>
      </c>
      <c r="F304" s="92"/>
      <c r="H304"/>
    </row>
    <row r="305" spans="1:8">
      <c r="A305" s="84">
        <v>45607</v>
      </c>
      <c r="B305" s="85" t="s">
        <v>1137</v>
      </c>
      <c r="C305" s="98" t="s">
        <v>988</v>
      </c>
      <c r="D305" s="104">
        <v>657627.32999999996</v>
      </c>
      <c r="E305" s="201" t="s">
        <v>6</v>
      </c>
      <c r="F305" s="92"/>
      <c r="H305"/>
    </row>
    <row r="306" spans="1:8">
      <c r="A306" s="84">
        <v>45609</v>
      </c>
      <c r="B306" s="85" t="s">
        <v>1135</v>
      </c>
      <c r="C306" s="202" t="s">
        <v>1114</v>
      </c>
      <c r="D306" s="87">
        <v>1713750</v>
      </c>
      <c r="E306" s="201" t="s">
        <v>6</v>
      </c>
      <c r="F306" s="92"/>
    </row>
    <row r="307" spans="1:8">
      <c r="A307" s="84">
        <v>45611</v>
      </c>
      <c r="B307" s="85" t="s">
        <v>1128</v>
      </c>
      <c r="C307" s="202" t="s">
        <v>1120</v>
      </c>
      <c r="D307" s="87">
        <v>1519786.24</v>
      </c>
      <c r="E307" s="201" t="s">
        <v>6</v>
      </c>
      <c r="F307" s="92"/>
      <c r="H307"/>
    </row>
    <row r="308" spans="1:8">
      <c r="A308" s="84">
        <v>45612</v>
      </c>
      <c r="B308" s="85" t="s">
        <v>1097</v>
      </c>
      <c r="C308" s="98" t="s">
        <v>373</v>
      </c>
      <c r="D308" s="87">
        <v>536750</v>
      </c>
      <c r="E308" s="201" t="s">
        <v>6</v>
      </c>
      <c r="F308" s="92"/>
      <c r="H308"/>
    </row>
    <row r="309" spans="1:8">
      <c r="A309" s="84">
        <v>45613</v>
      </c>
      <c r="B309" s="85" t="s">
        <v>1141</v>
      </c>
      <c r="C309" s="98" t="s">
        <v>639</v>
      </c>
      <c r="D309" s="87">
        <v>218750</v>
      </c>
      <c r="E309" s="201" t="s">
        <v>6</v>
      </c>
      <c r="F309" s="92"/>
      <c r="H309"/>
    </row>
    <row r="310" spans="1:8">
      <c r="A310" s="84">
        <v>45616</v>
      </c>
      <c r="B310" s="85" t="s">
        <v>1124</v>
      </c>
      <c r="C310" s="98" t="s">
        <v>304</v>
      </c>
      <c r="D310" s="87">
        <v>435000.01</v>
      </c>
      <c r="E310" s="201" t="s">
        <v>6</v>
      </c>
      <c r="F310" s="92"/>
      <c r="H310"/>
    </row>
    <row r="311" spans="1:8">
      <c r="A311" s="84">
        <v>45616</v>
      </c>
      <c r="B311" s="85" t="s">
        <v>1098</v>
      </c>
      <c r="C311" s="202" t="s">
        <v>875</v>
      </c>
      <c r="D311" s="87">
        <v>6000000</v>
      </c>
      <c r="E311" s="201" t="s">
        <v>6</v>
      </c>
      <c r="F311" s="92"/>
      <c r="H311"/>
    </row>
    <row r="312" spans="1:8">
      <c r="A312" s="84">
        <v>45616</v>
      </c>
      <c r="B312" s="85" t="s">
        <v>1157</v>
      </c>
      <c r="C312" s="202" t="s">
        <v>1158</v>
      </c>
      <c r="D312" s="87">
        <v>259545</v>
      </c>
      <c r="E312" s="201" t="s">
        <v>6</v>
      </c>
      <c r="F312" s="92"/>
      <c r="H312"/>
    </row>
    <row r="313" spans="1:8">
      <c r="A313" s="84">
        <v>45619</v>
      </c>
      <c r="B313" s="85" t="s">
        <v>1162</v>
      </c>
      <c r="C313" s="202" t="s">
        <v>960</v>
      </c>
      <c r="D313" s="87">
        <v>736953.89</v>
      </c>
      <c r="E313" s="201" t="s">
        <v>6</v>
      </c>
      <c r="F313" s="92"/>
      <c r="H313"/>
    </row>
    <row r="314" spans="1:8">
      <c r="A314" s="84">
        <v>45619</v>
      </c>
      <c r="B314" s="85" t="s">
        <v>1163</v>
      </c>
      <c r="C314" s="202" t="s">
        <v>1114</v>
      </c>
      <c r="D314" s="87">
        <v>622550.24</v>
      </c>
      <c r="E314" s="201" t="s">
        <v>6</v>
      </c>
      <c r="F314" s="92"/>
      <c r="H314"/>
    </row>
    <row r="315" spans="1:8">
      <c r="A315" s="84">
        <v>45620</v>
      </c>
      <c r="B315" s="85" t="s">
        <v>1159</v>
      </c>
      <c r="C315" s="202" t="s">
        <v>865</v>
      </c>
      <c r="D315" s="104">
        <v>381951.62</v>
      </c>
      <c r="E315" s="201" t="s">
        <v>6</v>
      </c>
      <c r="F315" s="92"/>
      <c r="H315"/>
    </row>
    <row r="316" spans="1:8">
      <c r="A316" s="84">
        <v>45620</v>
      </c>
      <c r="B316" s="85" t="s">
        <v>1125</v>
      </c>
      <c r="C316" s="202" t="s">
        <v>925</v>
      </c>
      <c r="D316" s="87">
        <v>1048952.1100000001</v>
      </c>
      <c r="E316" s="201" t="s">
        <v>6</v>
      </c>
      <c r="F316" s="92"/>
      <c r="H316"/>
    </row>
    <row r="317" spans="1:8">
      <c r="A317" s="84">
        <v>45621</v>
      </c>
      <c r="B317" s="85" t="s">
        <v>1126</v>
      </c>
      <c r="C317" s="202" t="s">
        <v>1127</v>
      </c>
      <c r="D317" s="87">
        <v>2210000</v>
      </c>
      <c r="E317" s="201" t="s">
        <v>6</v>
      </c>
      <c r="F317" s="92"/>
      <c r="H317"/>
    </row>
    <row r="318" spans="1:8">
      <c r="A318" s="84">
        <v>45621</v>
      </c>
      <c r="B318" s="85" t="s">
        <v>1100</v>
      </c>
      <c r="C318" s="202" t="s">
        <v>875</v>
      </c>
      <c r="D318" s="87">
        <v>6000000</v>
      </c>
      <c r="E318" s="201" t="s">
        <v>6</v>
      </c>
      <c r="F318" s="92"/>
    </row>
    <row r="319" spans="1:8">
      <c r="A319" s="84">
        <v>45621</v>
      </c>
      <c r="B319" s="85" t="s">
        <v>1099</v>
      </c>
      <c r="C319" s="98" t="s">
        <v>893</v>
      </c>
      <c r="D319" s="87">
        <v>351000</v>
      </c>
      <c r="E319" s="201" t="s">
        <v>6</v>
      </c>
      <c r="F319" s="92"/>
    </row>
    <row r="320" spans="1:8">
      <c r="A320" s="84">
        <v>45621</v>
      </c>
      <c r="B320" s="85" t="s">
        <v>1140</v>
      </c>
      <c r="C320" s="98" t="s">
        <v>1107</v>
      </c>
      <c r="D320" s="104">
        <v>1500000</v>
      </c>
      <c r="E320" s="201" t="s">
        <v>6</v>
      </c>
      <c r="F320" s="92"/>
      <c r="H320"/>
    </row>
    <row r="321" spans="1:6">
      <c r="A321" s="84">
        <v>45625</v>
      </c>
      <c r="B321" s="85" t="s">
        <v>1134</v>
      </c>
      <c r="C321" s="202" t="s">
        <v>1114</v>
      </c>
      <c r="D321" s="87">
        <v>1713750</v>
      </c>
      <c r="E321" s="201" t="s">
        <v>6</v>
      </c>
      <c r="F321" s="92"/>
    </row>
    <row r="322" spans="1:6">
      <c r="A322" s="84">
        <v>45625</v>
      </c>
      <c r="B322" s="85" t="s">
        <v>1133</v>
      </c>
      <c r="C322" s="202" t="s">
        <v>1120</v>
      </c>
      <c r="D322" s="87">
        <v>1073400</v>
      </c>
      <c r="E322" s="201" t="s">
        <v>6</v>
      </c>
      <c r="F322" s="92"/>
    </row>
    <row r="323" spans="1:6">
      <c r="A323" s="84">
        <v>45626</v>
      </c>
      <c r="B323" s="85" t="s">
        <v>1164</v>
      </c>
      <c r="C323" s="202" t="s">
        <v>955</v>
      </c>
      <c r="D323" s="87">
        <v>1734871</v>
      </c>
      <c r="E323" s="201" t="s">
        <v>6</v>
      </c>
      <c r="F323" s="92"/>
    </row>
    <row r="324" spans="1:6">
      <c r="A324" s="84">
        <v>45626</v>
      </c>
      <c r="B324" s="85" t="s">
        <v>1101</v>
      </c>
      <c r="C324" s="202" t="s">
        <v>875</v>
      </c>
      <c r="D324" s="87">
        <v>6000000</v>
      </c>
      <c r="E324" s="201" t="s">
        <v>6</v>
      </c>
      <c r="F324" s="92"/>
    </row>
    <row r="325" spans="1:6">
      <c r="A325" s="10"/>
      <c r="B325" s="11"/>
      <c r="C325" s="12" t="s">
        <v>7</v>
      </c>
      <c r="D325" s="112">
        <f>SUBTOTAL(109,D296:D324)</f>
        <v>42512158.629999995</v>
      </c>
      <c r="E325" s="14"/>
      <c r="F325" s="15"/>
    </row>
    <row r="327" spans="1:6" ht="21">
      <c r="A327" s="339" t="s">
        <v>807</v>
      </c>
      <c r="B327" s="339"/>
      <c r="C327" s="339"/>
      <c r="D327" s="339"/>
      <c r="E327" s="20"/>
      <c r="F327" s="20"/>
    </row>
    <row r="328" spans="1:6" ht="21">
      <c r="A328" s="339"/>
      <c r="B328" s="339"/>
      <c r="C328" s="339"/>
      <c r="D328" s="339"/>
      <c r="E328" s="20"/>
      <c r="F328" s="20"/>
    </row>
    <row r="329" spans="1:6">
      <c r="A329" s="7" t="s">
        <v>0</v>
      </c>
      <c r="B329" s="8" t="s">
        <v>1</v>
      </c>
      <c r="C329" s="8" t="s">
        <v>2</v>
      </c>
      <c r="D329" s="8" t="s">
        <v>3</v>
      </c>
      <c r="E329" s="8" t="s">
        <v>4</v>
      </c>
      <c r="F329" s="9" t="s">
        <v>5</v>
      </c>
    </row>
    <row r="330" spans="1:6">
      <c r="A330" s="138">
        <v>45627</v>
      </c>
      <c r="B330" s="85" t="s">
        <v>1151</v>
      </c>
      <c r="C330" s="202" t="s">
        <v>304</v>
      </c>
      <c r="D330" s="142">
        <v>431999.99</v>
      </c>
      <c r="E330" s="176" t="s">
        <v>6</v>
      </c>
      <c r="F330" s="203"/>
    </row>
    <row r="331" spans="1:6">
      <c r="A331" s="138">
        <v>45631</v>
      </c>
      <c r="B331" s="85" t="s">
        <v>1142</v>
      </c>
      <c r="C331" s="202" t="s">
        <v>1107</v>
      </c>
      <c r="D331" s="142">
        <v>3500000</v>
      </c>
      <c r="E331" s="176" t="s">
        <v>6</v>
      </c>
      <c r="F331" s="203"/>
    </row>
    <row r="332" spans="1:6">
      <c r="A332" s="138">
        <v>45632</v>
      </c>
      <c r="B332" s="85" t="s">
        <v>1155</v>
      </c>
      <c r="C332" s="202" t="s">
        <v>1154</v>
      </c>
      <c r="D332" s="142">
        <v>1000000</v>
      </c>
      <c r="E332" s="176" t="s">
        <v>6</v>
      </c>
      <c r="F332" s="203"/>
    </row>
    <row r="333" spans="1:6">
      <c r="A333" s="138">
        <v>45633</v>
      </c>
      <c r="B333" s="85" t="s">
        <v>1165</v>
      </c>
      <c r="C333" s="202" t="s">
        <v>960</v>
      </c>
      <c r="D333" s="142">
        <v>1105463.3999999999</v>
      </c>
      <c r="E333" s="176" t="s">
        <v>6</v>
      </c>
      <c r="F333" s="203"/>
    </row>
    <row r="334" spans="1:6">
      <c r="A334" s="138">
        <v>45633</v>
      </c>
      <c r="B334" s="85" t="s">
        <v>1160</v>
      </c>
      <c r="C334" s="202" t="s">
        <v>1158</v>
      </c>
      <c r="D334" s="142">
        <v>259545</v>
      </c>
      <c r="E334" s="176" t="s">
        <v>6</v>
      </c>
      <c r="F334" s="203"/>
    </row>
    <row r="335" spans="1:6">
      <c r="A335" s="138">
        <v>45633</v>
      </c>
      <c r="B335" s="85" t="s">
        <v>1166</v>
      </c>
      <c r="C335" s="202" t="s">
        <v>85</v>
      </c>
      <c r="D335" s="142">
        <v>4309829.0999999996</v>
      </c>
      <c r="E335" s="176" t="s">
        <v>6</v>
      </c>
      <c r="F335" s="203"/>
    </row>
    <row r="336" spans="1:6">
      <c r="A336" s="138">
        <v>45634</v>
      </c>
      <c r="B336" s="85" t="s">
        <v>1167</v>
      </c>
      <c r="C336" s="202" t="s">
        <v>1114</v>
      </c>
      <c r="D336" s="142">
        <v>622550.24</v>
      </c>
      <c r="E336" s="176" t="s">
        <v>6</v>
      </c>
      <c r="F336" s="203"/>
    </row>
    <row r="337" spans="1:6">
      <c r="A337" s="138">
        <v>45635</v>
      </c>
      <c r="B337" s="85" t="s">
        <v>1146</v>
      </c>
      <c r="C337" s="202" t="s">
        <v>925</v>
      </c>
      <c r="D337" s="142">
        <v>1048952.1100000001</v>
      </c>
      <c r="E337" s="176" t="s">
        <v>6</v>
      </c>
      <c r="F337" s="203"/>
    </row>
    <row r="338" spans="1:6">
      <c r="A338" s="197">
        <v>45639</v>
      </c>
      <c r="B338" s="198" t="s">
        <v>1203</v>
      </c>
      <c r="C338" s="119" t="s">
        <v>1204</v>
      </c>
      <c r="D338" s="199">
        <v>477924.09</v>
      </c>
      <c r="E338" s="176" t="s">
        <v>6</v>
      </c>
      <c r="F338" s="204"/>
    </row>
    <row r="339" spans="1:6">
      <c r="A339" s="138">
        <v>45641</v>
      </c>
      <c r="B339" s="85" t="s">
        <v>1168</v>
      </c>
      <c r="C339" s="202" t="s">
        <v>988</v>
      </c>
      <c r="D339" s="142">
        <v>823749.99</v>
      </c>
      <c r="E339" s="176" t="s">
        <v>6</v>
      </c>
      <c r="F339" s="203"/>
    </row>
    <row r="340" spans="1:6">
      <c r="A340" s="138">
        <v>45641</v>
      </c>
      <c r="B340" s="85" t="s">
        <v>1169</v>
      </c>
      <c r="C340" s="202" t="s">
        <v>1170</v>
      </c>
      <c r="D340" s="142">
        <v>450000</v>
      </c>
      <c r="E340" s="176" t="s">
        <v>6</v>
      </c>
      <c r="F340" s="203"/>
    </row>
    <row r="341" spans="1:6">
      <c r="A341" s="138">
        <v>45641</v>
      </c>
      <c r="B341" s="85" t="s">
        <v>1150</v>
      </c>
      <c r="C341" s="202" t="s">
        <v>1114</v>
      </c>
      <c r="D341" s="142">
        <v>1713750</v>
      </c>
      <c r="E341" s="176" t="s">
        <v>6</v>
      </c>
      <c r="F341" s="203"/>
    </row>
    <row r="342" spans="1:6">
      <c r="A342" s="138">
        <v>45641</v>
      </c>
      <c r="B342" s="85" t="s">
        <v>1148</v>
      </c>
      <c r="C342" s="202" t="s">
        <v>1120</v>
      </c>
      <c r="D342" s="142">
        <v>1519786.24</v>
      </c>
      <c r="E342" s="176" t="s">
        <v>6</v>
      </c>
      <c r="F342" s="203"/>
    </row>
    <row r="343" spans="1:6">
      <c r="A343" s="138">
        <v>45642</v>
      </c>
      <c r="B343" s="85" t="s">
        <v>1102</v>
      </c>
      <c r="C343" s="202" t="s">
        <v>373</v>
      </c>
      <c r="D343" s="142">
        <v>536750</v>
      </c>
      <c r="E343" s="176" t="s">
        <v>6</v>
      </c>
      <c r="F343" s="203"/>
    </row>
    <row r="344" spans="1:6">
      <c r="A344" s="138">
        <v>45643</v>
      </c>
      <c r="B344" s="85" t="s">
        <v>1144</v>
      </c>
      <c r="C344" s="202" t="s">
        <v>639</v>
      </c>
      <c r="D344" s="142">
        <v>218750</v>
      </c>
      <c r="E344" s="176" t="s">
        <v>6</v>
      </c>
      <c r="F344" s="203"/>
    </row>
    <row r="345" spans="1:6">
      <c r="A345" s="138">
        <v>45644</v>
      </c>
      <c r="B345" s="85" t="s">
        <v>1171</v>
      </c>
      <c r="C345" s="202" t="s">
        <v>1079</v>
      </c>
      <c r="D345" s="142">
        <v>1000000</v>
      </c>
      <c r="E345" s="176" t="s">
        <v>6</v>
      </c>
      <c r="F345" s="203"/>
    </row>
    <row r="346" spans="1:6">
      <c r="A346" s="138">
        <v>45646</v>
      </c>
      <c r="B346" s="85" t="s">
        <v>1145</v>
      </c>
      <c r="C346" s="202" t="s">
        <v>304</v>
      </c>
      <c r="D346" s="142">
        <v>433000</v>
      </c>
      <c r="E346" s="176" t="s">
        <v>6</v>
      </c>
      <c r="F346" s="203"/>
    </row>
    <row r="347" spans="1:6">
      <c r="A347" s="138">
        <v>45646</v>
      </c>
      <c r="B347" s="85" t="s">
        <v>1172</v>
      </c>
      <c r="C347" s="202" t="s">
        <v>1158</v>
      </c>
      <c r="D347" s="142">
        <v>374343.75</v>
      </c>
      <c r="E347" s="176" t="s">
        <v>6</v>
      </c>
      <c r="F347" s="203"/>
    </row>
    <row r="348" spans="1:6">
      <c r="A348" s="138">
        <v>45646</v>
      </c>
      <c r="B348" s="85" t="s">
        <v>1173</v>
      </c>
      <c r="C348" s="202" t="s">
        <v>388</v>
      </c>
      <c r="D348" s="142">
        <v>2480643.46</v>
      </c>
      <c r="E348" s="176" t="s">
        <v>6</v>
      </c>
      <c r="F348" s="203"/>
    </row>
    <row r="349" spans="1:6">
      <c r="A349" s="138">
        <v>45647</v>
      </c>
      <c r="B349" s="106" t="s">
        <v>1205</v>
      </c>
      <c r="C349" s="119" t="s">
        <v>1007</v>
      </c>
      <c r="D349" s="139">
        <v>1862051.19</v>
      </c>
      <c r="E349" s="176" t="s">
        <v>6</v>
      </c>
      <c r="F349" s="203"/>
    </row>
    <row r="350" spans="1:6">
      <c r="A350" s="138">
        <v>45648</v>
      </c>
      <c r="B350" s="85" t="s">
        <v>1174</v>
      </c>
      <c r="C350" s="202" t="s">
        <v>85</v>
      </c>
      <c r="D350" s="142">
        <v>4309829.0999999996</v>
      </c>
      <c r="E350" s="176" t="s">
        <v>6</v>
      </c>
      <c r="F350" s="203"/>
    </row>
    <row r="351" spans="1:6">
      <c r="A351" s="138">
        <v>45649</v>
      </c>
      <c r="B351" s="85" t="s">
        <v>1175</v>
      </c>
      <c r="C351" s="202" t="s">
        <v>1114</v>
      </c>
      <c r="D351" s="142">
        <v>622550.24</v>
      </c>
      <c r="E351" s="176" t="s">
        <v>6</v>
      </c>
      <c r="F351" s="203"/>
    </row>
    <row r="352" spans="1:6">
      <c r="A352" s="138">
        <v>45650</v>
      </c>
      <c r="B352" s="85" t="s">
        <v>1176</v>
      </c>
      <c r="C352" s="202" t="s">
        <v>1177</v>
      </c>
      <c r="D352" s="142">
        <v>4300000</v>
      </c>
      <c r="E352" s="176" t="s">
        <v>6</v>
      </c>
      <c r="F352" s="203"/>
    </row>
    <row r="353" spans="1:6">
      <c r="A353" s="138">
        <v>45651</v>
      </c>
      <c r="B353" s="85" t="s">
        <v>1143</v>
      </c>
      <c r="C353" s="202" t="s">
        <v>1107</v>
      </c>
      <c r="D353" s="142">
        <v>3500000</v>
      </c>
      <c r="E353" s="176" t="s">
        <v>6</v>
      </c>
      <c r="F353" s="203"/>
    </row>
    <row r="354" spans="1:6">
      <c r="A354" s="138">
        <v>45651</v>
      </c>
      <c r="B354" s="85" t="s">
        <v>1206</v>
      </c>
      <c r="C354" s="202" t="s">
        <v>1207</v>
      </c>
      <c r="D354" s="142">
        <v>5687000</v>
      </c>
      <c r="E354" s="176" t="s">
        <v>6</v>
      </c>
      <c r="F354" s="203"/>
    </row>
    <row r="355" spans="1:6">
      <c r="A355" s="138">
        <v>45651</v>
      </c>
      <c r="B355" s="85" t="s">
        <v>1178</v>
      </c>
      <c r="C355" s="202" t="s">
        <v>988</v>
      </c>
      <c r="D355" s="142">
        <v>823749.99</v>
      </c>
      <c r="E355" s="176" t="s">
        <v>6</v>
      </c>
      <c r="F355" s="203"/>
    </row>
    <row r="356" spans="1:6">
      <c r="A356" s="138">
        <v>45651</v>
      </c>
      <c r="B356" s="85" t="s">
        <v>1147</v>
      </c>
      <c r="C356" s="202" t="s">
        <v>629</v>
      </c>
      <c r="D356" s="142">
        <v>2210000</v>
      </c>
      <c r="E356" s="176" t="s">
        <v>6</v>
      </c>
      <c r="F356" s="203"/>
    </row>
    <row r="357" spans="1:6">
      <c r="A357" s="138">
        <v>45652</v>
      </c>
      <c r="B357" s="85" t="s">
        <v>1222</v>
      </c>
      <c r="C357" s="202" t="s">
        <v>840</v>
      </c>
      <c r="D357" s="142">
        <v>875183.42</v>
      </c>
      <c r="E357" s="176" t="s">
        <v>6</v>
      </c>
      <c r="F357" s="203"/>
    </row>
    <row r="358" spans="1:6">
      <c r="A358" s="138">
        <v>45653</v>
      </c>
      <c r="B358" s="85" t="s">
        <v>1223</v>
      </c>
      <c r="C358" s="202" t="s">
        <v>388</v>
      </c>
      <c r="D358" s="142">
        <v>664152.52</v>
      </c>
      <c r="E358" s="176" t="s">
        <v>6</v>
      </c>
      <c r="F358" s="203"/>
    </row>
    <row r="359" spans="1:6">
      <c r="A359" s="138">
        <v>45654</v>
      </c>
      <c r="B359" s="85" t="s">
        <v>1224</v>
      </c>
      <c r="C359" s="202" t="s">
        <v>960</v>
      </c>
      <c r="D359" s="142">
        <v>489118.3</v>
      </c>
      <c r="E359" s="176" t="s">
        <v>6</v>
      </c>
      <c r="F359" s="203"/>
    </row>
    <row r="360" spans="1:6">
      <c r="A360" s="138">
        <v>45655</v>
      </c>
      <c r="B360" s="106" t="s">
        <v>1208</v>
      </c>
      <c r="C360" s="119" t="s">
        <v>298</v>
      </c>
      <c r="D360" s="139">
        <v>855288.5</v>
      </c>
      <c r="E360" s="176" t="s">
        <v>6</v>
      </c>
      <c r="F360" s="203"/>
    </row>
    <row r="361" spans="1:6">
      <c r="A361" s="138">
        <v>45656</v>
      </c>
      <c r="B361" s="85" t="s">
        <v>1179</v>
      </c>
      <c r="C361" s="202" t="s">
        <v>1079</v>
      </c>
      <c r="D361" s="142">
        <v>1032800</v>
      </c>
      <c r="E361" s="176" t="s">
        <v>6</v>
      </c>
      <c r="F361" s="203"/>
    </row>
    <row r="362" spans="1:6">
      <c r="A362" s="138">
        <v>45656</v>
      </c>
      <c r="B362" s="85" t="s">
        <v>1149</v>
      </c>
      <c r="C362" s="202" t="s">
        <v>1114</v>
      </c>
      <c r="D362" s="142">
        <v>1713750</v>
      </c>
      <c r="E362" s="176" t="s">
        <v>6</v>
      </c>
      <c r="F362" s="203"/>
    </row>
    <row r="363" spans="1:6">
      <c r="A363" s="197">
        <v>45656</v>
      </c>
      <c r="B363" s="198" t="s">
        <v>1180</v>
      </c>
      <c r="C363" s="119" t="s">
        <v>925</v>
      </c>
      <c r="D363" s="199">
        <v>582122.89</v>
      </c>
      <c r="E363" s="176" t="s">
        <v>6</v>
      </c>
      <c r="F363" s="204"/>
    </row>
    <row r="364" spans="1:6">
      <c r="A364" s="205">
        <v>45656</v>
      </c>
      <c r="B364" s="206" t="s">
        <v>1225</v>
      </c>
      <c r="C364" s="123" t="s">
        <v>955</v>
      </c>
      <c r="D364" s="207">
        <v>1696276</v>
      </c>
      <c r="E364" s="209" t="s">
        <v>6</v>
      </c>
      <c r="F364" s="208"/>
    </row>
    <row r="365" spans="1:6">
      <c r="A365" s="56">
        <v>45656</v>
      </c>
      <c r="B365" s="210" t="s">
        <v>1226</v>
      </c>
      <c r="C365" s="123" t="s">
        <v>304</v>
      </c>
      <c r="D365" s="57">
        <v>535500.02</v>
      </c>
      <c r="E365" s="209" t="s">
        <v>6</v>
      </c>
      <c r="F365" s="193"/>
    </row>
    <row r="366" spans="1:6">
      <c r="A366" s="197">
        <v>45657</v>
      </c>
      <c r="B366" s="106" t="s">
        <v>1181</v>
      </c>
      <c r="C366" s="119" t="s">
        <v>1202</v>
      </c>
      <c r="D366" s="199">
        <v>12225000</v>
      </c>
      <c r="E366" s="176" t="s">
        <v>6</v>
      </c>
      <c r="F366" s="204"/>
    </row>
    <row r="367" spans="1:6">
      <c r="A367" s="10"/>
      <c r="B367" s="11"/>
      <c r="C367" s="12" t="s">
        <v>7</v>
      </c>
      <c r="D367" s="112">
        <f>SUBTOTAL(109,D330:D366)</f>
        <v>66291409.540000014</v>
      </c>
      <c r="E367" s="14"/>
      <c r="F367" s="15"/>
    </row>
  </sheetData>
  <mergeCells count="12">
    <mergeCell ref="A1:D2"/>
    <mergeCell ref="A137:D138"/>
    <mergeCell ref="A108:D109"/>
    <mergeCell ref="A91:D92"/>
    <mergeCell ref="A49:D50"/>
    <mergeCell ref="A22:D23"/>
    <mergeCell ref="A293:D294"/>
    <mergeCell ref="A327:D328"/>
    <mergeCell ref="A178:D179"/>
    <mergeCell ref="A215:D216"/>
    <mergeCell ref="A244:D245"/>
    <mergeCell ref="A262:D263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5"/>
  <sheetViews>
    <sheetView zoomScale="120" zoomScaleNormal="120" workbookViewId="0">
      <selection activeCell="C4" sqref="C4"/>
    </sheetView>
  </sheetViews>
  <sheetFormatPr baseColWidth="10" defaultRowHeight="14.4"/>
  <cols>
    <col min="1" max="2" width="15.6640625" customWidth="1"/>
    <col min="3" max="3" width="65.44140625" bestFit="1" customWidth="1"/>
    <col min="4" max="4" width="16.6640625" customWidth="1"/>
    <col min="5" max="5" width="22.109375" bestFit="1" customWidth="1"/>
    <col min="6" max="6" width="22.21875" bestFit="1" customWidth="1"/>
    <col min="7" max="7" width="3.44140625" customWidth="1"/>
    <col min="8" max="8" width="41.21875" style="19" customWidth="1"/>
  </cols>
  <sheetData>
    <row r="1" spans="1:8" ht="21">
      <c r="A1" s="339" t="s">
        <v>1182</v>
      </c>
      <c r="B1" s="339"/>
      <c r="C1" s="339"/>
      <c r="D1" s="339"/>
      <c r="E1" s="20"/>
      <c r="F1" s="20"/>
    </row>
    <row r="2" spans="1:8" ht="21">
      <c r="A2" s="339"/>
      <c r="B2" s="339"/>
      <c r="C2" s="339"/>
      <c r="D2" s="339"/>
      <c r="E2" s="20"/>
      <c r="F2" s="20"/>
    </row>
    <row r="3" spans="1:8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8" s="213" customFormat="1" ht="14.4" customHeight="1">
      <c r="A4" s="120">
        <v>45662</v>
      </c>
      <c r="B4" s="85" t="s">
        <v>1209</v>
      </c>
      <c r="C4" s="211" t="s">
        <v>1210</v>
      </c>
      <c r="D4" s="142">
        <v>1600000</v>
      </c>
      <c r="E4" s="212" t="s">
        <v>6</v>
      </c>
      <c r="F4" s="92"/>
      <c r="G4"/>
      <c r="H4" s="19"/>
    </row>
    <row r="5" spans="1:8" s="213" customFormat="1" ht="14.4" customHeight="1">
      <c r="A5" s="120">
        <v>45663</v>
      </c>
      <c r="B5" s="85" t="s">
        <v>1194</v>
      </c>
      <c r="C5" s="211" t="s">
        <v>85</v>
      </c>
      <c r="D5" s="142">
        <v>4309829.0999999996</v>
      </c>
      <c r="E5" s="212" t="s">
        <v>6</v>
      </c>
      <c r="F5" s="92"/>
      <c r="G5"/>
      <c r="H5" s="19"/>
    </row>
    <row r="6" spans="1:8" s="213" customFormat="1" ht="14.4" customHeight="1">
      <c r="A6" s="120">
        <v>45664</v>
      </c>
      <c r="B6" s="85" t="s">
        <v>1195</v>
      </c>
      <c r="C6" s="211" t="s">
        <v>1114</v>
      </c>
      <c r="D6" s="142">
        <v>622550.24</v>
      </c>
      <c r="E6" s="212" t="s">
        <v>6</v>
      </c>
      <c r="F6" s="92"/>
      <c r="G6"/>
      <c r="H6" s="19"/>
    </row>
    <row r="7" spans="1:8" s="213" customFormat="1" ht="14.4" customHeight="1">
      <c r="A7" s="120">
        <v>45664</v>
      </c>
      <c r="B7" s="85" t="s">
        <v>1211</v>
      </c>
      <c r="C7" s="211" t="s">
        <v>1007</v>
      </c>
      <c r="D7" s="142">
        <v>1862051.19</v>
      </c>
      <c r="E7" s="212" t="s">
        <v>6</v>
      </c>
      <c r="F7" s="92"/>
      <c r="G7"/>
      <c r="H7" s="19"/>
    </row>
    <row r="8" spans="1:8" s="213" customFormat="1" ht="14.4" customHeight="1">
      <c r="A8" s="120">
        <v>45665</v>
      </c>
      <c r="B8" s="85" t="s">
        <v>1233</v>
      </c>
      <c r="C8" s="211" t="s">
        <v>1234</v>
      </c>
      <c r="D8" s="142">
        <v>7000000</v>
      </c>
      <c r="E8" s="212" t="s">
        <v>6</v>
      </c>
      <c r="F8" s="92"/>
      <c r="G8"/>
      <c r="H8" s="19"/>
    </row>
    <row r="9" spans="1:8" s="213" customFormat="1" ht="14.4" customHeight="1">
      <c r="A9" s="120">
        <v>45665</v>
      </c>
      <c r="B9" s="85" t="s">
        <v>1212</v>
      </c>
      <c r="C9" s="211" t="s">
        <v>1210</v>
      </c>
      <c r="D9" s="142">
        <v>387196.18</v>
      </c>
      <c r="E9" s="212" t="s">
        <v>6</v>
      </c>
      <c r="F9" s="92"/>
      <c r="G9"/>
      <c r="H9" s="19"/>
    </row>
    <row r="10" spans="1:8" s="213" customFormat="1" ht="14.4" customHeight="1">
      <c r="A10" s="120">
        <v>45667</v>
      </c>
      <c r="B10" s="85" t="s">
        <v>1239</v>
      </c>
      <c r="C10" s="211" t="s">
        <v>1240</v>
      </c>
      <c r="D10" s="142">
        <v>6747637.5999999996</v>
      </c>
      <c r="E10" s="212" t="s">
        <v>6</v>
      </c>
      <c r="F10" s="92"/>
      <c r="G10"/>
      <c r="H10" s="19"/>
    </row>
    <row r="11" spans="1:8" ht="14.4" customHeight="1">
      <c r="A11" s="103">
        <v>45667</v>
      </c>
      <c r="B11" s="85" t="s">
        <v>1244</v>
      </c>
      <c r="C11" s="86" t="s">
        <v>925</v>
      </c>
      <c r="D11" s="142">
        <v>292796.03999999998</v>
      </c>
      <c r="E11" s="153" t="s">
        <v>6</v>
      </c>
      <c r="F11" s="28"/>
    </row>
    <row r="12" spans="1:8" ht="14.4" customHeight="1">
      <c r="A12" s="103">
        <v>45667</v>
      </c>
      <c r="B12" s="85" t="s">
        <v>1227</v>
      </c>
      <c r="C12" s="149" t="s">
        <v>840</v>
      </c>
      <c r="D12" s="142">
        <v>875183.42</v>
      </c>
      <c r="E12" s="153" t="s">
        <v>6</v>
      </c>
      <c r="F12" s="28"/>
    </row>
    <row r="13" spans="1:8" ht="14.4" customHeight="1">
      <c r="A13" s="103">
        <v>45668</v>
      </c>
      <c r="B13" s="85" t="s">
        <v>1228</v>
      </c>
      <c r="C13" s="149" t="s">
        <v>865</v>
      </c>
      <c r="D13" s="142">
        <v>950261.4</v>
      </c>
      <c r="E13" s="153" t="s">
        <v>6</v>
      </c>
      <c r="F13" s="28"/>
    </row>
    <row r="14" spans="1:8">
      <c r="A14" s="103">
        <v>45670</v>
      </c>
      <c r="B14" s="85" t="s">
        <v>1213</v>
      </c>
      <c r="C14" s="149" t="s">
        <v>925</v>
      </c>
      <c r="D14" s="142">
        <v>873184.34</v>
      </c>
      <c r="E14" s="153" t="s">
        <v>6</v>
      </c>
      <c r="F14" s="28"/>
    </row>
    <row r="15" spans="1:8">
      <c r="A15" s="103">
        <v>45670</v>
      </c>
      <c r="B15" s="85" t="s">
        <v>1196</v>
      </c>
      <c r="C15" s="86" t="s">
        <v>1177</v>
      </c>
      <c r="D15" s="142">
        <v>4500000</v>
      </c>
      <c r="E15" s="153" t="s">
        <v>6</v>
      </c>
      <c r="F15" s="28"/>
    </row>
    <row r="16" spans="1:8">
      <c r="A16" s="84">
        <v>45670</v>
      </c>
      <c r="B16" s="85" t="s">
        <v>1246</v>
      </c>
      <c r="C16" s="86" t="s">
        <v>1247</v>
      </c>
      <c r="D16" s="142">
        <v>1000000</v>
      </c>
      <c r="E16" s="153" t="s">
        <v>6</v>
      </c>
      <c r="F16" s="89"/>
    </row>
    <row r="17" spans="1:8">
      <c r="A17" s="103">
        <v>45671</v>
      </c>
      <c r="B17" s="85" t="s">
        <v>1236</v>
      </c>
      <c r="C17" s="86" t="s">
        <v>1234</v>
      </c>
      <c r="D17" s="142">
        <v>7205400</v>
      </c>
      <c r="E17" s="153" t="s">
        <v>6</v>
      </c>
      <c r="F17" s="28"/>
    </row>
    <row r="18" spans="1:8">
      <c r="A18" s="103">
        <v>45671</v>
      </c>
      <c r="B18" s="85" t="s">
        <v>1197</v>
      </c>
      <c r="C18" s="86" t="s">
        <v>925</v>
      </c>
      <c r="D18" s="142">
        <v>582122.89</v>
      </c>
      <c r="E18" s="153" t="s">
        <v>6</v>
      </c>
      <c r="F18" s="28"/>
    </row>
    <row r="19" spans="1:8">
      <c r="A19" s="84">
        <v>45672</v>
      </c>
      <c r="B19" s="85" t="s">
        <v>1198</v>
      </c>
      <c r="C19" s="86" t="s">
        <v>1170</v>
      </c>
      <c r="D19" s="142">
        <v>450000</v>
      </c>
      <c r="E19" s="153" t="s">
        <v>6</v>
      </c>
      <c r="F19" s="89"/>
    </row>
    <row r="20" spans="1:8">
      <c r="A20" s="84">
        <v>45672</v>
      </c>
      <c r="B20" s="85" t="s">
        <v>1216</v>
      </c>
      <c r="C20" s="86" t="s">
        <v>1107</v>
      </c>
      <c r="D20" s="142">
        <v>2000000</v>
      </c>
      <c r="E20" s="153" t="s">
        <v>6</v>
      </c>
      <c r="F20" s="89"/>
    </row>
    <row r="21" spans="1:8">
      <c r="A21" s="84">
        <v>45676</v>
      </c>
      <c r="B21" s="85" t="s">
        <v>1235</v>
      </c>
      <c r="C21" s="86" t="s">
        <v>951</v>
      </c>
      <c r="D21" s="142">
        <v>261360</v>
      </c>
      <c r="E21" s="153" t="s">
        <v>6</v>
      </c>
      <c r="F21" s="89"/>
    </row>
    <row r="22" spans="1:8">
      <c r="A22" s="84">
        <v>45313</v>
      </c>
      <c r="B22" s="85" t="s">
        <v>1231</v>
      </c>
      <c r="C22" s="86" t="s">
        <v>1220</v>
      </c>
      <c r="D22" s="142">
        <v>12000000</v>
      </c>
      <c r="E22" s="153" t="s">
        <v>6</v>
      </c>
      <c r="F22" s="89"/>
    </row>
    <row r="23" spans="1:8">
      <c r="A23" s="103">
        <v>45681</v>
      </c>
      <c r="B23" s="85" t="s">
        <v>1199</v>
      </c>
      <c r="C23" s="86" t="s">
        <v>1177</v>
      </c>
      <c r="D23" s="142">
        <v>4500000</v>
      </c>
      <c r="E23" s="153" t="s">
        <v>6</v>
      </c>
      <c r="F23" s="28"/>
    </row>
    <row r="24" spans="1:8">
      <c r="A24" s="84">
        <v>45682</v>
      </c>
      <c r="B24" s="85" t="s">
        <v>1217</v>
      </c>
      <c r="C24" s="86" t="s">
        <v>1107</v>
      </c>
      <c r="D24" s="142">
        <v>1000000</v>
      </c>
      <c r="E24" s="153" t="s">
        <v>6</v>
      </c>
      <c r="F24" s="89"/>
    </row>
    <row r="25" spans="1:8" s="213" customFormat="1">
      <c r="A25" s="120">
        <v>45682</v>
      </c>
      <c r="B25" s="85" t="s">
        <v>1237</v>
      </c>
      <c r="C25" s="211" t="s">
        <v>1007</v>
      </c>
      <c r="D25" s="142">
        <v>642364.80000000005</v>
      </c>
      <c r="E25" s="212" t="s">
        <v>6</v>
      </c>
      <c r="F25" s="92"/>
      <c r="G25"/>
      <c r="H25" s="19"/>
    </row>
    <row r="26" spans="1:8">
      <c r="A26" s="103">
        <v>45682</v>
      </c>
      <c r="B26" s="85" t="s">
        <v>1238</v>
      </c>
      <c r="C26" s="86" t="s">
        <v>925</v>
      </c>
      <c r="D26" s="142">
        <v>189030.34</v>
      </c>
      <c r="E26" s="153" t="s">
        <v>6</v>
      </c>
      <c r="F26" s="28"/>
    </row>
    <row r="27" spans="1:8">
      <c r="A27" s="103">
        <v>45682</v>
      </c>
      <c r="B27" s="85" t="s">
        <v>1245</v>
      </c>
      <c r="C27" s="86" t="s">
        <v>925</v>
      </c>
      <c r="D27" s="142">
        <v>292796.03999999998</v>
      </c>
      <c r="E27" s="153" t="s">
        <v>6</v>
      </c>
      <c r="F27" s="28"/>
    </row>
    <row r="28" spans="1:8">
      <c r="A28" s="103">
        <v>45316</v>
      </c>
      <c r="B28" s="85" t="s">
        <v>1230</v>
      </c>
      <c r="C28" s="86" t="s">
        <v>840</v>
      </c>
      <c r="D28" s="142">
        <v>875183.42</v>
      </c>
      <c r="E28" s="153" t="s">
        <v>6</v>
      </c>
      <c r="F28" s="28"/>
    </row>
    <row r="29" spans="1:8">
      <c r="A29" s="103">
        <v>45316</v>
      </c>
      <c r="B29" s="85" t="s">
        <v>1229</v>
      </c>
      <c r="C29" s="86" t="s">
        <v>298</v>
      </c>
      <c r="D29" s="142">
        <v>748953.7</v>
      </c>
      <c r="E29" s="153" t="s">
        <v>6</v>
      </c>
      <c r="F29" s="28"/>
    </row>
    <row r="30" spans="1:8">
      <c r="A30" s="138">
        <v>45683</v>
      </c>
      <c r="B30" s="85" t="s">
        <v>1242</v>
      </c>
      <c r="C30" s="143" t="s">
        <v>1243</v>
      </c>
      <c r="D30" s="142">
        <v>883900.99</v>
      </c>
      <c r="E30" s="171" t="s">
        <v>6</v>
      </c>
      <c r="F30" s="6"/>
    </row>
    <row r="31" spans="1:8">
      <c r="A31" s="103">
        <v>45685</v>
      </c>
      <c r="B31" s="85" t="s">
        <v>1214</v>
      </c>
      <c r="C31" s="149" t="s">
        <v>925</v>
      </c>
      <c r="D31" s="142">
        <v>873184.34</v>
      </c>
      <c r="E31" s="153" t="s">
        <v>6</v>
      </c>
      <c r="F31" s="28"/>
    </row>
    <row r="32" spans="1:8">
      <c r="A32" s="103">
        <v>45685</v>
      </c>
      <c r="B32" s="85" t="s">
        <v>1215</v>
      </c>
      <c r="C32" s="149" t="s">
        <v>298</v>
      </c>
      <c r="D32" s="142">
        <v>855288.5</v>
      </c>
      <c r="E32" s="153" t="s">
        <v>6</v>
      </c>
      <c r="F32" s="28"/>
    </row>
    <row r="33" spans="1:8">
      <c r="A33" s="103">
        <v>45687</v>
      </c>
      <c r="B33" s="85" t="s">
        <v>1241</v>
      </c>
      <c r="C33" s="149" t="s">
        <v>955</v>
      </c>
      <c r="D33" s="142">
        <v>1713796</v>
      </c>
      <c r="E33" s="153" t="s">
        <v>6</v>
      </c>
      <c r="F33" s="28"/>
    </row>
    <row r="34" spans="1:8">
      <c r="A34" s="138">
        <v>45688</v>
      </c>
      <c r="B34" s="85" t="s">
        <v>1200</v>
      </c>
      <c r="C34" s="141" t="s">
        <v>1202</v>
      </c>
      <c r="D34" s="142">
        <v>12225000</v>
      </c>
      <c r="E34" s="171" t="s">
        <v>6</v>
      </c>
      <c r="F34" s="6"/>
    </row>
    <row r="35" spans="1:8">
      <c r="A35" s="10"/>
      <c r="B35" s="11"/>
      <c r="C35" s="12" t="s">
        <v>7</v>
      </c>
      <c r="D35" s="112">
        <f>SUBTOTAL(109,D4:D34)</f>
        <v>78319070.530000001</v>
      </c>
      <c r="E35" s="14"/>
      <c r="F35" s="15"/>
    </row>
    <row r="37" spans="1:8" ht="21">
      <c r="A37" s="339" t="s">
        <v>1183</v>
      </c>
      <c r="B37" s="339"/>
      <c r="C37" s="339"/>
      <c r="D37" s="339"/>
      <c r="E37" s="20"/>
      <c r="F37" s="20"/>
      <c r="H37"/>
    </row>
    <row r="38" spans="1:8" ht="21">
      <c r="A38" s="339"/>
      <c r="B38" s="339"/>
      <c r="C38" s="339"/>
      <c r="D38" s="339"/>
      <c r="E38" s="20"/>
      <c r="F38" s="20"/>
      <c r="H38"/>
    </row>
    <row r="39" spans="1:8">
      <c r="A39" s="7" t="s">
        <v>0</v>
      </c>
      <c r="B39" s="8" t="s">
        <v>1</v>
      </c>
      <c r="C39" s="8" t="s">
        <v>2</v>
      </c>
      <c r="D39" s="8" t="s">
        <v>3</v>
      </c>
      <c r="E39" s="8" t="s">
        <v>4</v>
      </c>
      <c r="F39" s="9" t="s">
        <v>5</v>
      </c>
      <c r="H39"/>
    </row>
    <row r="40" spans="1:8">
      <c r="A40" s="103">
        <v>45695</v>
      </c>
      <c r="B40" s="85" t="s">
        <v>1249</v>
      </c>
      <c r="C40" s="149" t="s">
        <v>1177</v>
      </c>
      <c r="D40" s="142">
        <v>4359360.43</v>
      </c>
      <c r="E40" s="153" t="s">
        <v>6</v>
      </c>
      <c r="F40" s="28"/>
      <c r="H40"/>
    </row>
    <row r="41" spans="1:8">
      <c r="A41" s="103">
        <v>45695</v>
      </c>
      <c r="B41" s="85" t="s">
        <v>1248</v>
      </c>
      <c r="C41" s="214" t="s">
        <v>1177</v>
      </c>
      <c r="D41" s="142">
        <v>665567.51</v>
      </c>
      <c r="E41" s="153" t="s">
        <v>6</v>
      </c>
      <c r="F41" s="28"/>
      <c r="H41"/>
    </row>
    <row r="42" spans="1:8">
      <c r="A42" s="103">
        <v>45696</v>
      </c>
      <c r="B42" s="85" t="s">
        <v>1263</v>
      </c>
      <c r="C42" s="202" t="s">
        <v>960</v>
      </c>
      <c r="D42" s="142">
        <v>901298.64</v>
      </c>
      <c r="E42" s="153" t="s">
        <v>6</v>
      </c>
      <c r="F42" s="28"/>
      <c r="H42"/>
    </row>
    <row r="43" spans="1:8">
      <c r="A43" s="103">
        <v>45696</v>
      </c>
      <c r="B43" s="85" t="s">
        <v>1250</v>
      </c>
      <c r="C43" s="149" t="s">
        <v>865</v>
      </c>
      <c r="D43" s="142">
        <v>199771</v>
      </c>
      <c r="E43" s="153" t="s">
        <v>6</v>
      </c>
      <c r="F43" s="28"/>
      <c r="H43"/>
    </row>
    <row r="44" spans="1:8">
      <c r="A44" s="103">
        <v>45697</v>
      </c>
      <c r="B44" s="85" t="s">
        <v>1251</v>
      </c>
      <c r="C44" s="149" t="s">
        <v>1007</v>
      </c>
      <c r="D44" s="142">
        <v>451178.75</v>
      </c>
      <c r="E44" s="153" t="s">
        <v>6</v>
      </c>
      <c r="F44" s="28"/>
      <c r="H44"/>
    </row>
    <row r="45" spans="1:8">
      <c r="A45" s="103">
        <v>45697</v>
      </c>
      <c r="B45" s="85" t="s">
        <v>1218</v>
      </c>
      <c r="C45" s="149" t="s">
        <v>1210</v>
      </c>
      <c r="D45" s="142">
        <v>1688793.21</v>
      </c>
      <c r="E45" s="153" t="s">
        <v>6</v>
      </c>
      <c r="F45" s="28"/>
      <c r="H45"/>
    </row>
    <row r="46" spans="1:8">
      <c r="A46" s="103">
        <v>45698</v>
      </c>
      <c r="B46" s="85" t="s">
        <v>1252</v>
      </c>
      <c r="C46" s="149" t="s">
        <v>951</v>
      </c>
      <c r="D46" s="142">
        <v>352620</v>
      </c>
      <c r="E46" s="153" t="s">
        <v>6</v>
      </c>
      <c r="F46" s="28"/>
      <c r="H46"/>
    </row>
    <row r="47" spans="1:8">
      <c r="A47" s="103">
        <v>45703</v>
      </c>
      <c r="B47" s="85" t="s">
        <v>1253</v>
      </c>
      <c r="C47" s="149" t="s">
        <v>865</v>
      </c>
      <c r="D47" s="142">
        <v>759638</v>
      </c>
      <c r="E47" s="153" t="s">
        <v>6</v>
      </c>
      <c r="F47" s="28"/>
      <c r="H47"/>
    </row>
    <row r="48" spans="1:8">
      <c r="A48" s="103">
        <v>45703</v>
      </c>
      <c r="B48" s="85" t="s">
        <v>1201</v>
      </c>
      <c r="C48" s="149" t="s">
        <v>1170</v>
      </c>
      <c r="D48" s="142">
        <v>546438.84</v>
      </c>
      <c r="E48" s="153" t="s">
        <v>6</v>
      </c>
      <c r="F48" s="28"/>
      <c r="H48"/>
    </row>
    <row r="49" spans="1:8">
      <c r="A49" s="103">
        <v>45704</v>
      </c>
      <c r="B49" s="85" t="s">
        <v>1254</v>
      </c>
      <c r="C49" s="149" t="s">
        <v>1120</v>
      </c>
      <c r="D49" s="142">
        <v>969964.52</v>
      </c>
      <c r="E49" s="153" t="s">
        <v>6</v>
      </c>
      <c r="F49" s="28"/>
      <c r="H49"/>
    </row>
    <row r="50" spans="1:8">
      <c r="A50" s="103">
        <v>45705</v>
      </c>
      <c r="B50" s="85" t="s">
        <v>1255</v>
      </c>
      <c r="C50" s="149" t="s">
        <v>1256</v>
      </c>
      <c r="D50" s="142">
        <v>1694000</v>
      </c>
      <c r="E50" s="153" t="s">
        <v>6</v>
      </c>
      <c r="F50" s="28"/>
      <c r="H50"/>
    </row>
    <row r="51" spans="1:8">
      <c r="A51" s="138">
        <v>45340</v>
      </c>
      <c r="B51" s="106" t="s">
        <v>1232</v>
      </c>
      <c r="C51" s="141" t="s">
        <v>1220</v>
      </c>
      <c r="D51" s="139">
        <v>18000000</v>
      </c>
      <c r="E51" s="171" t="s">
        <v>6</v>
      </c>
      <c r="F51" s="6"/>
      <c r="H51"/>
    </row>
    <row r="52" spans="1:8">
      <c r="A52" s="138">
        <v>45714</v>
      </c>
      <c r="B52" s="106" t="s">
        <v>1266</v>
      </c>
      <c r="C52" s="141" t="s">
        <v>840</v>
      </c>
      <c r="D52" s="139">
        <v>297439.26</v>
      </c>
      <c r="E52" s="171" t="s">
        <v>6</v>
      </c>
      <c r="F52" s="6"/>
      <c r="H52"/>
    </row>
    <row r="53" spans="1:8">
      <c r="A53" s="138">
        <v>45715</v>
      </c>
      <c r="B53" s="106" t="s">
        <v>1269</v>
      </c>
      <c r="C53" s="141" t="s">
        <v>955</v>
      </c>
      <c r="D53" s="139">
        <v>1308642</v>
      </c>
      <c r="E53" s="171" t="s">
        <v>6</v>
      </c>
      <c r="F53" s="6"/>
      <c r="H53"/>
    </row>
    <row r="54" spans="1:8">
      <c r="A54" s="10"/>
      <c r="B54" s="11"/>
      <c r="C54" s="12" t="s">
        <v>7</v>
      </c>
      <c r="D54" s="112">
        <f>SUBTOTAL(109,D40:D53)</f>
        <v>32194712.16</v>
      </c>
      <c r="E54" s="14"/>
      <c r="F54" s="15"/>
      <c r="H54"/>
    </row>
    <row r="56" spans="1:8" ht="21">
      <c r="A56" s="339" t="s">
        <v>1184</v>
      </c>
      <c r="B56" s="339"/>
      <c r="C56" s="339"/>
      <c r="D56" s="339"/>
      <c r="E56" s="20"/>
      <c r="F56" s="20"/>
      <c r="H56"/>
    </row>
    <row r="57" spans="1:8" ht="21">
      <c r="A57" s="339"/>
      <c r="B57" s="339"/>
      <c r="C57" s="339"/>
      <c r="D57" s="339"/>
      <c r="E57" s="20"/>
      <c r="F57" s="20"/>
      <c r="H57"/>
    </row>
    <row r="58" spans="1:8">
      <c r="A58" s="7" t="s">
        <v>0</v>
      </c>
      <c r="B58" s="8" t="s">
        <v>1</v>
      </c>
      <c r="C58" s="8" t="s">
        <v>2</v>
      </c>
      <c r="D58" s="8" t="s">
        <v>3</v>
      </c>
      <c r="E58" s="8" t="s">
        <v>4</v>
      </c>
      <c r="F58" s="9" t="s">
        <v>5</v>
      </c>
      <c r="H58"/>
    </row>
    <row r="59" spans="1:8">
      <c r="A59" s="144">
        <v>45717</v>
      </c>
      <c r="B59" s="85" t="s">
        <v>1270</v>
      </c>
      <c r="C59" s="143" t="s">
        <v>865</v>
      </c>
      <c r="D59" s="129">
        <v>345043.6</v>
      </c>
      <c r="E59" s="171" t="s">
        <v>6</v>
      </c>
      <c r="F59" s="173"/>
      <c r="H59"/>
    </row>
    <row r="60" spans="1:8">
      <c r="A60" s="144">
        <v>45718</v>
      </c>
      <c r="B60" s="85" t="s">
        <v>1264</v>
      </c>
      <c r="C60" s="143" t="s">
        <v>951</v>
      </c>
      <c r="D60" s="129">
        <v>969253.6</v>
      </c>
      <c r="E60" s="171" t="s">
        <v>6</v>
      </c>
      <c r="F60" s="173"/>
      <c r="H60"/>
    </row>
    <row r="61" spans="1:8">
      <c r="A61" s="144">
        <v>45722</v>
      </c>
      <c r="B61" s="85" t="s">
        <v>1219</v>
      </c>
      <c r="C61" s="143" t="s">
        <v>1220</v>
      </c>
      <c r="D61" s="129">
        <v>12100000</v>
      </c>
      <c r="E61" s="171" t="s">
        <v>6</v>
      </c>
      <c r="F61" s="173"/>
      <c r="H61"/>
    </row>
    <row r="62" spans="1:8">
      <c r="A62" s="144">
        <v>45726</v>
      </c>
      <c r="B62" s="85" t="s">
        <v>1257</v>
      </c>
      <c r="C62" s="143" t="s">
        <v>1177</v>
      </c>
      <c r="D62" s="129">
        <v>776495.43</v>
      </c>
      <c r="E62" s="171" t="s">
        <v>6</v>
      </c>
      <c r="F62" s="173"/>
      <c r="H62"/>
    </row>
    <row r="63" spans="1:8">
      <c r="A63" s="144">
        <v>45726</v>
      </c>
      <c r="B63" s="85" t="s">
        <v>1258</v>
      </c>
      <c r="C63" s="143" t="s">
        <v>1177</v>
      </c>
      <c r="D63" s="129">
        <v>5085920.51</v>
      </c>
      <c r="E63" s="171" t="s">
        <v>6</v>
      </c>
      <c r="F63" s="173"/>
      <c r="H63"/>
    </row>
    <row r="64" spans="1:8">
      <c r="A64" s="215">
        <v>45728</v>
      </c>
      <c r="B64" s="216" t="s">
        <v>1268</v>
      </c>
      <c r="C64" s="217" t="s">
        <v>951</v>
      </c>
      <c r="D64" s="218">
        <v>206735.96</v>
      </c>
      <c r="E64" s="171" t="s">
        <v>6</v>
      </c>
      <c r="F64" s="219"/>
      <c r="H64"/>
    </row>
    <row r="65" spans="1:8">
      <c r="A65" s="144">
        <v>45729</v>
      </c>
      <c r="B65" s="85" t="s">
        <v>1271</v>
      </c>
      <c r="C65" s="143" t="s">
        <v>1004</v>
      </c>
      <c r="D65" s="175">
        <v>553409.99</v>
      </c>
      <c r="E65" s="171" t="s">
        <v>6</v>
      </c>
      <c r="F65" s="173"/>
      <c r="H65"/>
    </row>
    <row r="66" spans="1:8">
      <c r="A66" s="215">
        <v>45729</v>
      </c>
      <c r="B66" s="216" t="s">
        <v>1267</v>
      </c>
      <c r="C66" s="217" t="s">
        <v>1004</v>
      </c>
      <c r="D66" s="218">
        <v>833011.99</v>
      </c>
      <c r="E66" s="171" t="s">
        <v>6</v>
      </c>
      <c r="F66" s="219"/>
      <c r="H66"/>
    </row>
    <row r="67" spans="1:8">
      <c r="A67" s="215">
        <v>45731</v>
      </c>
      <c r="B67" s="216" t="s">
        <v>1281</v>
      </c>
      <c r="C67" s="217" t="s">
        <v>400</v>
      </c>
      <c r="D67" s="218">
        <v>255000</v>
      </c>
      <c r="E67" s="171" t="s">
        <v>6</v>
      </c>
      <c r="F67" s="219"/>
      <c r="H67"/>
    </row>
    <row r="68" spans="1:8">
      <c r="A68" s="144">
        <v>45732</v>
      </c>
      <c r="B68" s="85" t="s">
        <v>1272</v>
      </c>
      <c r="C68" s="143" t="s">
        <v>925</v>
      </c>
      <c r="D68" s="175">
        <v>711859.08</v>
      </c>
      <c r="E68" s="171" t="s">
        <v>6</v>
      </c>
      <c r="F68" s="173"/>
      <c r="H68"/>
    </row>
    <row r="69" spans="1:8">
      <c r="A69" s="144">
        <v>45732</v>
      </c>
      <c r="B69" s="85" t="s">
        <v>1273</v>
      </c>
      <c r="C69" s="143" t="s">
        <v>951</v>
      </c>
      <c r="D69" s="175">
        <v>459366.13</v>
      </c>
      <c r="E69" s="171" t="s">
        <v>6</v>
      </c>
      <c r="F69" s="173"/>
      <c r="H69"/>
    </row>
    <row r="70" spans="1:8">
      <c r="A70" s="144">
        <v>45732</v>
      </c>
      <c r="B70" s="85" t="s">
        <v>1274</v>
      </c>
      <c r="C70" s="143" t="s">
        <v>865</v>
      </c>
      <c r="D70" s="175">
        <v>345043.6</v>
      </c>
      <c r="E70" s="171" t="s">
        <v>6</v>
      </c>
      <c r="F70" s="173"/>
      <c r="H70"/>
    </row>
    <row r="71" spans="1:8">
      <c r="A71" s="144">
        <v>45734</v>
      </c>
      <c r="B71" s="85" t="s">
        <v>1259</v>
      </c>
      <c r="C71" s="143" t="s">
        <v>1260</v>
      </c>
      <c r="D71" s="175">
        <v>969964.52</v>
      </c>
      <c r="E71" s="171" t="s">
        <v>6</v>
      </c>
      <c r="F71" s="177"/>
      <c r="H71"/>
    </row>
    <row r="72" spans="1:8">
      <c r="A72" s="84">
        <v>45735</v>
      </c>
      <c r="B72" s="220" t="s">
        <v>1282</v>
      </c>
      <c r="C72" s="86" t="s">
        <v>1283</v>
      </c>
      <c r="D72" s="183">
        <v>4064295.62</v>
      </c>
      <c r="E72" s="221" t="s">
        <v>6</v>
      </c>
      <c r="F72" s="89"/>
      <c r="H72"/>
    </row>
    <row r="73" spans="1:8">
      <c r="A73" s="84">
        <v>45737</v>
      </c>
      <c r="B73" s="220" t="s">
        <v>1284</v>
      </c>
      <c r="C73" s="86" t="s">
        <v>1177</v>
      </c>
      <c r="D73" s="183">
        <v>3266066.89</v>
      </c>
      <c r="E73" s="221" t="s">
        <v>6</v>
      </c>
      <c r="F73" s="89"/>
      <c r="H73"/>
    </row>
    <row r="74" spans="1:8">
      <c r="A74" s="84">
        <v>45738</v>
      </c>
      <c r="B74" s="220" t="s">
        <v>1285</v>
      </c>
      <c r="C74" s="86" t="s">
        <v>1243</v>
      </c>
      <c r="D74" s="183">
        <v>1251596.51</v>
      </c>
      <c r="E74" s="221" t="s">
        <v>6</v>
      </c>
      <c r="F74" s="89"/>
      <c r="H74"/>
    </row>
    <row r="75" spans="1:8">
      <c r="A75" s="84">
        <v>45739</v>
      </c>
      <c r="B75" s="220" t="s">
        <v>1286</v>
      </c>
      <c r="C75" s="86" t="s">
        <v>865</v>
      </c>
      <c r="D75" s="183">
        <v>5713741</v>
      </c>
      <c r="E75" s="221" t="s">
        <v>6</v>
      </c>
      <c r="F75" s="89"/>
      <c r="H75"/>
    </row>
    <row r="76" spans="1:8">
      <c r="A76" s="84">
        <v>45742</v>
      </c>
      <c r="B76" s="220" t="s">
        <v>1287</v>
      </c>
      <c r="C76" s="86" t="s">
        <v>1234</v>
      </c>
      <c r="D76" s="183">
        <v>3182300</v>
      </c>
      <c r="E76" s="221" t="s">
        <v>6</v>
      </c>
      <c r="F76" s="89"/>
      <c r="H76"/>
    </row>
    <row r="77" spans="1:8">
      <c r="A77" s="84">
        <v>45745</v>
      </c>
      <c r="B77" s="220" t="s">
        <v>1288</v>
      </c>
      <c r="C77" s="86" t="s">
        <v>1177</v>
      </c>
      <c r="D77" s="183">
        <v>3266066.89</v>
      </c>
      <c r="E77" s="221" t="s">
        <v>6</v>
      </c>
      <c r="F77" s="89"/>
      <c r="H77"/>
    </row>
    <row r="78" spans="1:8">
      <c r="A78" s="84">
        <v>45745</v>
      </c>
      <c r="B78" s="220" t="s">
        <v>1289</v>
      </c>
      <c r="C78" s="86" t="s">
        <v>865</v>
      </c>
      <c r="D78" s="183">
        <v>805765.62</v>
      </c>
      <c r="E78" s="221" t="s">
        <v>6</v>
      </c>
      <c r="F78" s="89"/>
      <c r="H78"/>
    </row>
    <row r="79" spans="1:8">
      <c r="A79" s="84">
        <v>45746</v>
      </c>
      <c r="B79" s="220" t="s">
        <v>1290</v>
      </c>
      <c r="C79" s="86" t="s">
        <v>1291</v>
      </c>
      <c r="D79" s="183">
        <v>2206871</v>
      </c>
      <c r="E79" s="221" t="s">
        <v>6</v>
      </c>
      <c r="F79" s="89"/>
      <c r="H79"/>
    </row>
    <row r="80" spans="1:8">
      <c r="A80" s="10"/>
      <c r="B80" s="11"/>
      <c r="C80" s="12" t="s">
        <v>7</v>
      </c>
      <c r="D80" s="112">
        <f>SUBTOTAL(109,D59:D79)</f>
        <v>47367807.939999998</v>
      </c>
      <c r="E80" s="14"/>
      <c r="F80" s="15"/>
      <c r="H80"/>
    </row>
    <row r="82" spans="1:8" ht="21">
      <c r="A82" s="339" t="s">
        <v>1185</v>
      </c>
      <c r="B82" s="339"/>
      <c r="C82" s="339"/>
      <c r="D82" s="339"/>
      <c r="E82" s="20"/>
      <c r="F82" s="20"/>
      <c r="H82"/>
    </row>
    <row r="83" spans="1:8" ht="21">
      <c r="A83" s="339"/>
      <c r="B83" s="339"/>
      <c r="C83" s="339"/>
      <c r="D83" s="339"/>
      <c r="E83" s="20"/>
      <c r="F83" s="20"/>
      <c r="H83"/>
    </row>
    <row r="84" spans="1:8">
      <c r="A84" s="7" t="s">
        <v>0</v>
      </c>
      <c r="B84" s="8" t="s">
        <v>1</v>
      </c>
      <c r="C84" s="8" t="s">
        <v>2</v>
      </c>
      <c r="D84" s="8" t="s">
        <v>3</v>
      </c>
      <c r="E84" s="8" t="s">
        <v>4</v>
      </c>
      <c r="F84" s="9" t="s">
        <v>5</v>
      </c>
      <c r="H84"/>
    </row>
    <row r="85" spans="1:8">
      <c r="A85" s="144">
        <v>45753</v>
      </c>
      <c r="B85" s="85" t="s">
        <v>1292</v>
      </c>
      <c r="C85" s="222" t="s">
        <v>1283</v>
      </c>
      <c r="D85" s="129">
        <v>4064295.62</v>
      </c>
      <c r="E85" s="171" t="s">
        <v>6</v>
      </c>
      <c r="F85" s="173"/>
      <c r="H85"/>
    </row>
    <row r="86" spans="1:8">
      <c r="A86" s="144">
        <v>45753</v>
      </c>
      <c r="B86" s="85" t="s">
        <v>1293</v>
      </c>
      <c r="C86" s="143" t="s">
        <v>865</v>
      </c>
      <c r="D86" s="129">
        <v>1930071</v>
      </c>
      <c r="E86" s="171" t="s">
        <v>6</v>
      </c>
      <c r="F86" s="173"/>
      <c r="H86"/>
    </row>
    <row r="87" spans="1:8">
      <c r="A87" s="144">
        <v>45757</v>
      </c>
      <c r="B87" s="85" t="s">
        <v>1221</v>
      </c>
      <c r="C87" s="143" t="s">
        <v>1220</v>
      </c>
      <c r="D87" s="129">
        <v>12100000</v>
      </c>
      <c r="E87" s="171" t="s">
        <v>6</v>
      </c>
      <c r="F87" s="173"/>
      <c r="H87"/>
    </row>
    <row r="88" spans="1:8">
      <c r="A88" s="144">
        <v>45759</v>
      </c>
      <c r="B88" s="85" t="s">
        <v>1265</v>
      </c>
      <c r="C88" s="143" t="s">
        <v>298</v>
      </c>
      <c r="D88" s="129">
        <v>446344.8</v>
      </c>
      <c r="E88" s="171" t="s">
        <v>6</v>
      </c>
      <c r="F88" s="28"/>
      <c r="H88"/>
    </row>
    <row r="89" spans="1:8">
      <c r="A89" s="144">
        <v>45760</v>
      </c>
      <c r="B89" s="85" t="s">
        <v>1295</v>
      </c>
      <c r="C89" s="143" t="s">
        <v>1177</v>
      </c>
      <c r="D89" s="129">
        <v>3266066.89</v>
      </c>
      <c r="E89" s="171" t="s">
        <v>6</v>
      </c>
      <c r="F89" s="28"/>
      <c r="H89"/>
    </row>
    <row r="90" spans="1:8">
      <c r="A90" s="144">
        <v>45760</v>
      </c>
      <c r="B90" s="85" t="s">
        <v>1297</v>
      </c>
      <c r="C90" s="143" t="s">
        <v>865</v>
      </c>
      <c r="D90" s="129">
        <v>805765.62</v>
      </c>
      <c r="E90" s="171" t="s">
        <v>6</v>
      </c>
      <c r="F90" s="28"/>
      <c r="H90"/>
    </row>
    <row r="91" spans="1:8">
      <c r="A91" s="144">
        <v>45760</v>
      </c>
      <c r="B91" s="85" t="s">
        <v>1294</v>
      </c>
      <c r="C91" s="143" t="s">
        <v>304</v>
      </c>
      <c r="D91" s="129">
        <v>650000</v>
      </c>
      <c r="E91" s="171" t="s">
        <v>6</v>
      </c>
      <c r="F91" s="28"/>
      <c r="H91"/>
    </row>
    <row r="92" spans="1:8">
      <c r="A92" s="144">
        <v>45760</v>
      </c>
      <c r="B92" s="85" t="s">
        <v>1296</v>
      </c>
      <c r="C92" s="143" t="s">
        <v>925</v>
      </c>
      <c r="D92" s="129">
        <v>670752.56999999995</v>
      </c>
      <c r="E92" s="171" t="s">
        <v>6</v>
      </c>
      <c r="F92" s="28"/>
      <c r="H92"/>
    </row>
    <row r="93" spans="1:8">
      <c r="A93" s="144">
        <v>45760</v>
      </c>
      <c r="B93" s="85" t="s">
        <v>1298</v>
      </c>
      <c r="C93" s="143" t="s">
        <v>1299</v>
      </c>
      <c r="D93" s="129">
        <v>252999.99</v>
      </c>
      <c r="E93" s="171" t="s">
        <v>6</v>
      </c>
      <c r="F93" s="28"/>
      <c r="H93"/>
    </row>
    <row r="94" spans="1:8">
      <c r="A94" s="144">
        <v>45760</v>
      </c>
      <c r="B94" s="85" t="s">
        <v>1262</v>
      </c>
      <c r="C94" s="143" t="s">
        <v>1177</v>
      </c>
      <c r="D94" s="129">
        <v>5085920.51</v>
      </c>
      <c r="E94" s="171" t="s">
        <v>6</v>
      </c>
      <c r="F94" s="28"/>
      <c r="H94"/>
    </row>
    <row r="95" spans="1:8">
      <c r="A95" s="144">
        <v>45760</v>
      </c>
      <c r="B95" s="85" t="s">
        <v>1261</v>
      </c>
      <c r="C95" s="143" t="s">
        <v>1177</v>
      </c>
      <c r="D95" s="129">
        <v>776495.43</v>
      </c>
      <c r="E95" s="171" t="s">
        <v>6</v>
      </c>
      <c r="F95" s="28"/>
      <c r="H95"/>
    </row>
    <row r="96" spans="1:8">
      <c r="A96" s="144">
        <v>45761</v>
      </c>
      <c r="B96" s="85" t="s">
        <v>1301</v>
      </c>
      <c r="C96" s="143" t="s">
        <v>1234</v>
      </c>
      <c r="D96" s="129">
        <v>3182300</v>
      </c>
      <c r="E96" s="171" t="s">
        <v>6</v>
      </c>
      <c r="F96" s="28"/>
      <c r="H96"/>
    </row>
    <row r="97" spans="1:8">
      <c r="A97" s="144">
        <v>45761</v>
      </c>
      <c r="B97" s="85" t="s">
        <v>1302</v>
      </c>
      <c r="C97" s="143" t="s">
        <v>400</v>
      </c>
      <c r="D97" s="129">
        <v>255000</v>
      </c>
      <c r="E97" s="171" t="s">
        <v>6</v>
      </c>
      <c r="F97" s="28"/>
      <c r="H97"/>
    </row>
    <row r="98" spans="1:8">
      <c r="A98" s="144">
        <v>45761</v>
      </c>
      <c r="B98" s="85" t="s">
        <v>1300</v>
      </c>
      <c r="C98" s="143" t="s">
        <v>298</v>
      </c>
      <c r="D98" s="129">
        <v>804892</v>
      </c>
      <c r="E98" s="171" t="s">
        <v>6</v>
      </c>
      <c r="F98" s="28"/>
      <c r="H98"/>
    </row>
    <row r="99" spans="1:8">
      <c r="A99" s="144">
        <v>45762</v>
      </c>
      <c r="B99" s="85" t="s">
        <v>1328</v>
      </c>
      <c r="C99" s="143" t="s">
        <v>1243</v>
      </c>
      <c r="D99" s="129">
        <v>1573036.3</v>
      </c>
      <c r="E99" s="171" t="s">
        <v>6</v>
      </c>
      <c r="F99" s="28"/>
      <c r="H99"/>
    </row>
    <row r="100" spans="1:8">
      <c r="A100" s="138">
        <v>45762</v>
      </c>
      <c r="B100" s="106" t="s">
        <v>1275</v>
      </c>
      <c r="C100" s="141" t="s">
        <v>925</v>
      </c>
      <c r="D100" s="139">
        <v>711859.08</v>
      </c>
      <c r="E100" s="171" t="s">
        <v>6</v>
      </c>
      <c r="F100" s="6"/>
      <c r="H100"/>
    </row>
    <row r="101" spans="1:8">
      <c r="A101" s="138">
        <v>45762</v>
      </c>
      <c r="B101" s="106" t="s">
        <v>1276</v>
      </c>
      <c r="C101" s="141" t="s">
        <v>1357</v>
      </c>
      <c r="D101" s="139">
        <v>459366.13</v>
      </c>
      <c r="E101" s="171" t="s">
        <v>6</v>
      </c>
      <c r="F101" s="6"/>
      <c r="H101"/>
    </row>
    <row r="102" spans="1:8">
      <c r="A102" s="138">
        <v>45765</v>
      </c>
      <c r="B102" s="106" t="s">
        <v>1326</v>
      </c>
      <c r="C102" s="141" t="s">
        <v>1327</v>
      </c>
      <c r="D102" s="139">
        <v>600000</v>
      </c>
      <c r="E102" s="171" t="s">
        <v>6</v>
      </c>
      <c r="F102" s="6"/>
      <c r="H102"/>
    </row>
    <row r="103" spans="1:8">
      <c r="A103" s="138">
        <v>45767</v>
      </c>
      <c r="B103" s="106" t="s">
        <v>1325</v>
      </c>
      <c r="C103" s="141" t="s">
        <v>1319</v>
      </c>
      <c r="D103" s="139">
        <v>1578795.9</v>
      </c>
      <c r="E103" s="171" t="s">
        <v>6</v>
      </c>
      <c r="F103" s="6"/>
      <c r="H103"/>
    </row>
    <row r="104" spans="1:8">
      <c r="A104" s="138">
        <v>45767</v>
      </c>
      <c r="B104" s="106" t="s">
        <v>1318</v>
      </c>
      <c r="C104" s="141" t="s">
        <v>1319</v>
      </c>
      <c r="D104" s="139">
        <v>1578795.9</v>
      </c>
      <c r="E104" s="171" t="s">
        <v>6</v>
      </c>
      <c r="F104" s="6"/>
      <c r="H104"/>
    </row>
    <row r="105" spans="1:8">
      <c r="A105" s="138">
        <v>45768</v>
      </c>
      <c r="B105" s="106" t="s">
        <v>1303</v>
      </c>
      <c r="C105" s="141" t="s">
        <v>1283</v>
      </c>
      <c r="D105" s="104">
        <v>4064295.62</v>
      </c>
      <c r="E105" s="153" t="s">
        <v>6</v>
      </c>
      <c r="F105" s="28"/>
      <c r="H105"/>
    </row>
    <row r="106" spans="1:8">
      <c r="A106" s="138">
        <v>45775</v>
      </c>
      <c r="B106" s="106" t="s">
        <v>1304</v>
      </c>
      <c r="C106" s="141" t="s">
        <v>1177</v>
      </c>
      <c r="D106" s="104">
        <v>3266066.89</v>
      </c>
      <c r="E106" s="153" t="s">
        <v>6</v>
      </c>
      <c r="F106" s="28"/>
      <c r="H106"/>
    </row>
    <row r="107" spans="1:8">
      <c r="A107" s="138">
        <v>45777</v>
      </c>
      <c r="B107" s="106" t="s">
        <v>1340</v>
      </c>
      <c r="C107" s="141" t="s">
        <v>1291</v>
      </c>
      <c r="D107" s="104">
        <v>1717954</v>
      </c>
      <c r="E107" s="153" t="s">
        <v>6</v>
      </c>
      <c r="F107" s="28"/>
      <c r="H107"/>
    </row>
    <row r="108" spans="1:8">
      <c r="A108" s="138">
        <v>45777</v>
      </c>
      <c r="B108" s="106" t="s">
        <v>1329</v>
      </c>
      <c r="C108" s="141" t="s">
        <v>1330</v>
      </c>
      <c r="D108" s="104">
        <v>2500000</v>
      </c>
      <c r="E108" s="153" t="s">
        <v>6</v>
      </c>
      <c r="F108" s="28"/>
      <c r="H108"/>
    </row>
    <row r="109" spans="1:8">
      <c r="A109" s="10"/>
      <c r="B109" s="11"/>
      <c r="C109" s="12" t="s">
        <v>7</v>
      </c>
      <c r="D109" s="112">
        <f>SUBTOTAL(109,D85:D108)</f>
        <v>52341074.249999993</v>
      </c>
      <c r="E109" s="14"/>
      <c r="F109" s="15"/>
      <c r="H109"/>
    </row>
    <row r="111" spans="1:8" ht="21">
      <c r="A111" s="339" t="s">
        <v>1186</v>
      </c>
      <c r="B111" s="339"/>
      <c r="C111" s="339"/>
      <c r="D111" s="339"/>
      <c r="E111" s="20"/>
      <c r="F111" s="20"/>
      <c r="H111"/>
    </row>
    <row r="112" spans="1:8" ht="21">
      <c r="A112" s="339"/>
      <c r="B112" s="339"/>
      <c r="C112" s="339"/>
      <c r="D112" s="339"/>
      <c r="E112" s="20"/>
      <c r="F112" s="20"/>
      <c r="H112"/>
    </row>
    <row r="113" spans="1:8">
      <c r="A113" s="7" t="s">
        <v>0</v>
      </c>
      <c r="B113" s="8" t="s">
        <v>1</v>
      </c>
      <c r="C113" s="8" t="s">
        <v>2</v>
      </c>
      <c r="D113" s="8" t="s">
        <v>3</v>
      </c>
      <c r="E113" s="8" t="s">
        <v>4</v>
      </c>
      <c r="F113" s="9" t="s">
        <v>5</v>
      </c>
      <c r="H113"/>
    </row>
    <row r="114" spans="1:8">
      <c r="A114" s="144">
        <v>45778</v>
      </c>
      <c r="B114" s="85" t="s">
        <v>1341</v>
      </c>
      <c r="C114" s="141" t="s">
        <v>840</v>
      </c>
      <c r="D114" s="139">
        <v>1752787.4</v>
      </c>
      <c r="E114" s="171" t="s">
        <v>6</v>
      </c>
      <c r="F114" s="6"/>
      <c r="H114"/>
    </row>
    <row r="115" spans="1:8">
      <c r="A115" s="144">
        <v>45781</v>
      </c>
      <c r="B115" s="85" t="s">
        <v>1342</v>
      </c>
      <c r="C115" s="143" t="s">
        <v>865</v>
      </c>
      <c r="D115" s="139">
        <v>1312850</v>
      </c>
      <c r="E115" s="171" t="s">
        <v>6</v>
      </c>
      <c r="F115" s="6"/>
      <c r="H115"/>
    </row>
    <row r="116" spans="1:8">
      <c r="A116" s="144">
        <v>45783</v>
      </c>
      <c r="B116" s="85" t="s">
        <v>1305</v>
      </c>
      <c r="C116" s="141" t="s">
        <v>951</v>
      </c>
      <c r="D116" s="139">
        <v>2015497.35</v>
      </c>
      <c r="E116" s="171" t="s">
        <v>6</v>
      </c>
      <c r="F116" s="6"/>
      <c r="H116"/>
    </row>
    <row r="117" spans="1:8">
      <c r="A117" s="215">
        <v>45784</v>
      </c>
      <c r="B117" s="216" t="s">
        <v>1348</v>
      </c>
      <c r="C117" s="217" t="s">
        <v>1339</v>
      </c>
      <c r="D117" s="218">
        <v>10270000</v>
      </c>
      <c r="E117" s="171" t="s">
        <v>6</v>
      </c>
      <c r="F117" s="223"/>
      <c r="H117"/>
    </row>
    <row r="118" spans="1:8">
      <c r="A118" s="215">
        <v>45784</v>
      </c>
      <c r="B118" s="216" t="s">
        <v>1334</v>
      </c>
      <c r="C118" s="217" t="s">
        <v>1234</v>
      </c>
      <c r="D118" s="218">
        <v>3199240</v>
      </c>
      <c r="E118" s="171" t="s">
        <v>6</v>
      </c>
      <c r="F118" s="223"/>
      <c r="H118"/>
    </row>
    <row r="119" spans="1:8">
      <c r="A119" s="144">
        <v>45784</v>
      </c>
      <c r="B119" s="85" t="s">
        <v>1306</v>
      </c>
      <c r="C119" s="141" t="s">
        <v>1283</v>
      </c>
      <c r="D119" s="139">
        <v>4064295.62</v>
      </c>
      <c r="E119" s="171" t="s">
        <v>6</v>
      </c>
      <c r="F119" s="6"/>
      <c r="H119"/>
    </row>
    <row r="120" spans="1:8">
      <c r="A120" s="144">
        <v>45785</v>
      </c>
      <c r="B120" s="85" t="s">
        <v>1335</v>
      </c>
      <c r="C120" s="141" t="s">
        <v>304</v>
      </c>
      <c r="D120" s="175">
        <v>342233.33</v>
      </c>
      <c r="E120" s="171" t="s">
        <v>6</v>
      </c>
      <c r="F120" s="6"/>
      <c r="H120"/>
    </row>
    <row r="121" spans="1:8">
      <c r="A121" s="144">
        <v>45786</v>
      </c>
      <c r="B121" s="85" t="s">
        <v>1349</v>
      </c>
      <c r="C121" s="141" t="s">
        <v>1350</v>
      </c>
      <c r="D121" s="175">
        <v>585181.17000000004</v>
      </c>
      <c r="E121" s="171" t="s">
        <v>6</v>
      </c>
      <c r="F121" s="6"/>
      <c r="H121"/>
    </row>
    <row r="122" spans="1:8">
      <c r="A122" s="144">
        <v>45788</v>
      </c>
      <c r="B122" s="85" t="s">
        <v>1343</v>
      </c>
      <c r="C122" s="141" t="s">
        <v>951</v>
      </c>
      <c r="D122" s="139">
        <v>433462.24</v>
      </c>
      <c r="E122" s="171" t="s">
        <v>6</v>
      </c>
      <c r="F122" s="6"/>
      <c r="H122"/>
    </row>
    <row r="123" spans="1:8">
      <c r="A123" s="144">
        <v>45790</v>
      </c>
      <c r="B123" s="85" t="s">
        <v>1307</v>
      </c>
      <c r="C123" s="143" t="s">
        <v>925</v>
      </c>
      <c r="D123" s="175">
        <v>670752.56999999995</v>
      </c>
      <c r="E123" s="171" t="s">
        <v>6</v>
      </c>
      <c r="F123" s="6"/>
      <c r="H123"/>
    </row>
    <row r="124" spans="1:8">
      <c r="A124" s="144">
        <v>45790</v>
      </c>
      <c r="B124" s="85" t="s">
        <v>1310</v>
      </c>
      <c r="C124" s="143" t="s">
        <v>304</v>
      </c>
      <c r="D124" s="175">
        <v>650000</v>
      </c>
      <c r="E124" s="171" t="s">
        <v>6</v>
      </c>
      <c r="F124" s="6"/>
      <c r="H124"/>
    </row>
    <row r="125" spans="1:8">
      <c r="A125" s="144">
        <v>45790</v>
      </c>
      <c r="B125" s="85" t="s">
        <v>1309</v>
      </c>
      <c r="C125" s="143" t="s">
        <v>1299</v>
      </c>
      <c r="D125" s="175">
        <v>252999.99</v>
      </c>
      <c r="E125" s="171" t="s">
        <v>6</v>
      </c>
      <c r="F125" s="6"/>
      <c r="H125"/>
    </row>
    <row r="126" spans="1:8">
      <c r="A126" s="144">
        <v>45790</v>
      </c>
      <c r="B126" s="85" t="s">
        <v>1308</v>
      </c>
      <c r="C126" s="143" t="s">
        <v>1177</v>
      </c>
      <c r="D126" s="175">
        <v>3266066.89</v>
      </c>
      <c r="E126" s="171" t="s">
        <v>6</v>
      </c>
      <c r="F126" s="6"/>
      <c r="H126"/>
    </row>
    <row r="127" spans="1:8">
      <c r="A127" s="144">
        <v>45791</v>
      </c>
      <c r="B127" s="85" t="s">
        <v>1351</v>
      </c>
      <c r="C127" s="143" t="s">
        <v>1339</v>
      </c>
      <c r="D127" s="175">
        <v>25700000</v>
      </c>
      <c r="E127" s="171" t="s">
        <v>6</v>
      </c>
      <c r="F127" s="6"/>
      <c r="H127"/>
    </row>
    <row r="128" spans="1:8">
      <c r="A128" s="144">
        <v>45792</v>
      </c>
      <c r="B128" s="85" t="s">
        <v>1359</v>
      </c>
      <c r="C128" s="232" t="s">
        <v>1081</v>
      </c>
      <c r="D128" s="139">
        <v>946444.1</v>
      </c>
      <c r="E128" s="171" t="s">
        <v>6</v>
      </c>
      <c r="F128" s="6"/>
      <c r="H128"/>
    </row>
    <row r="129" spans="1:8">
      <c r="A129" s="144">
        <v>45792</v>
      </c>
      <c r="B129" s="85" t="s">
        <v>1277</v>
      </c>
      <c r="C129" s="141" t="s">
        <v>925</v>
      </c>
      <c r="D129" s="139">
        <v>711859.08</v>
      </c>
      <c r="E129" s="171" t="s">
        <v>6</v>
      </c>
      <c r="F129" s="6"/>
      <c r="H129"/>
    </row>
    <row r="130" spans="1:8">
      <c r="A130" s="144">
        <v>45792</v>
      </c>
      <c r="B130" s="85" t="s">
        <v>1278</v>
      </c>
      <c r="C130" s="141" t="s">
        <v>951</v>
      </c>
      <c r="D130" s="139">
        <v>459366.13</v>
      </c>
      <c r="E130" s="171" t="s">
        <v>6</v>
      </c>
      <c r="F130" s="6"/>
      <c r="H130"/>
    </row>
    <row r="131" spans="1:8">
      <c r="A131" s="144">
        <v>45798</v>
      </c>
      <c r="B131" s="85" t="s">
        <v>1344</v>
      </c>
      <c r="C131" s="141" t="s">
        <v>840</v>
      </c>
      <c r="D131" s="139">
        <v>1752787.4</v>
      </c>
      <c r="E131" s="171" t="s">
        <v>6</v>
      </c>
      <c r="F131" s="6"/>
      <c r="H131"/>
    </row>
    <row r="132" spans="1:8">
      <c r="A132" s="215">
        <v>45799</v>
      </c>
      <c r="B132" s="216" t="s">
        <v>1320</v>
      </c>
      <c r="C132" s="217" t="s">
        <v>951</v>
      </c>
      <c r="D132" s="218">
        <v>1182517.45</v>
      </c>
      <c r="E132" s="171" t="s">
        <v>6</v>
      </c>
      <c r="F132" s="223"/>
      <c r="H132"/>
    </row>
    <row r="133" spans="1:8">
      <c r="A133" s="84">
        <v>45800</v>
      </c>
      <c r="B133" s="220" t="s">
        <v>1311</v>
      </c>
      <c r="C133" s="86" t="s">
        <v>1283</v>
      </c>
      <c r="D133" s="183">
        <v>4064295.62</v>
      </c>
      <c r="E133" s="171" t="s">
        <v>6</v>
      </c>
      <c r="F133" s="28"/>
      <c r="H133"/>
    </row>
    <row r="134" spans="1:8">
      <c r="A134" s="215">
        <v>45800</v>
      </c>
      <c r="B134" s="216" t="s">
        <v>1338</v>
      </c>
      <c r="C134" s="217" t="s">
        <v>1339</v>
      </c>
      <c r="D134" s="218">
        <v>21250000</v>
      </c>
      <c r="E134" s="171" t="s">
        <v>6</v>
      </c>
      <c r="F134" s="223"/>
      <c r="H134"/>
    </row>
    <row r="135" spans="1:8">
      <c r="A135" s="84">
        <v>45800</v>
      </c>
      <c r="B135" s="220" t="s">
        <v>1352</v>
      </c>
      <c r="C135" s="86" t="s">
        <v>925</v>
      </c>
      <c r="D135" s="183">
        <v>740025.66</v>
      </c>
      <c r="E135" s="171" t="s">
        <v>6</v>
      </c>
      <c r="F135" s="28"/>
      <c r="H135"/>
    </row>
    <row r="136" spans="1:8">
      <c r="A136" s="215">
        <v>45805</v>
      </c>
      <c r="B136" s="216" t="s">
        <v>1360</v>
      </c>
      <c r="C136" s="217" t="s">
        <v>1081</v>
      </c>
      <c r="D136" s="139">
        <v>946444.1</v>
      </c>
      <c r="E136" s="171" t="s">
        <v>6</v>
      </c>
      <c r="F136" s="223"/>
      <c r="H136"/>
    </row>
    <row r="137" spans="1:8">
      <c r="A137" s="224">
        <v>45807</v>
      </c>
      <c r="B137" s="225" t="s">
        <v>1347</v>
      </c>
      <c r="C137" s="226" t="s">
        <v>1339</v>
      </c>
      <c r="D137" s="227">
        <v>12850000</v>
      </c>
      <c r="E137" s="171" t="s">
        <v>6</v>
      </c>
      <c r="F137" s="228"/>
      <c r="H137"/>
    </row>
    <row r="138" spans="1:8">
      <c r="A138" s="215">
        <v>45807</v>
      </c>
      <c r="B138" s="216" t="s">
        <v>1370</v>
      </c>
      <c r="C138" s="217" t="s">
        <v>1291</v>
      </c>
      <c r="D138" s="139">
        <v>1856326</v>
      </c>
      <c r="E138" s="171" t="s">
        <v>6</v>
      </c>
      <c r="F138" s="223"/>
      <c r="H138"/>
    </row>
    <row r="139" spans="1:8">
      <c r="A139" s="144">
        <v>45807</v>
      </c>
      <c r="B139" s="85" t="s">
        <v>1371</v>
      </c>
      <c r="C139" s="143" t="s">
        <v>1330</v>
      </c>
      <c r="D139" s="175">
        <v>2500000</v>
      </c>
      <c r="E139" s="171" t="s">
        <v>6</v>
      </c>
      <c r="F139" s="6"/>
      <c r="H139"/>
    </row>
    <row r="140" spans="1:8">
      <c r="A140" s="10"/>
      <c r="B140" s="11"/>
      <c r="C140" s="12" t="s">
        <v>7</v>
      </c>
      <c r="D140" s="112">
        <f>SUBTOTAL(109,D114:D139)</f>
        <v>103775432.09999999</v>
      </c>
      <c r="E140" s="14"/>
      <c r="F140" s="15"/>
      <c r="H140"/>
    </row>
    <row r="142" spans="1:8" ht="21">
      <c r="A142" s="339" t="s">
        <v>1187</v>
      </c>
      <c r="B142" s="339"/>
      <c r="C142" s="339"/>
      <c r="D142" s="339"/>
      <c r="E142" s="20"/>
      <c r="F142" s="20"/>
      <c r="H142"/>
    </row>
    <row r="143" spans="1:8" ht="21">
      <c r="A143" s="339"/>
      <c r="B143" s="339"/>
      <c r="C143" s="339"/>
      <c r="D143" s="339"/>
      <c r="E143" s="20"/>
      <c r="F143" s="20"/>
      <c r="H143"/>
    </row>
    <row r="144" spans="1:8">
      <c r="A144" s="7" t="s">
        <v>0</v>
      </c>
      <c r="B144" s="8" t="s">
        <v>1</v>
      </c>
      <c r="C144" s="8" t="s">
        <v>2</v>
      </c>
      <c r="D144" s="8" t="s">
        <v>3</v>
      </c>
      <c r="E144" s="8" t="s">
        <v>4</v>
      </c>
      <c r="F144" s="9" t="s">
        <v>5</v>
      </c>
      <c r="H144"/>
    </row>
    <row r="145" spans="1:8">
      <c r="A145" s="144">
        <v>45812</v>
      </c>
      <c r="B145" s="85" t="s">
        <v>1336</v>
      </c>
      <c r="C145" s="141" t="s">
        <v>304</v>
      </c>
      <c r="D145" s="175">
        <v>342233.33</v>
      </c>
      <c r="E145" s="171" t="s">
        <v>6</v>
      </c>
      <c r="F145" s="6"/>
      <c r="H145"/>
    </row>
    <row r="146" spans="1:8">
      <c r="A146" s="229">
        <v>45812</v>
      </c>
      <c r="B146" s="230" t="s">
        <v>1358</v>
      </c>
      <c r="C146" s="231" t="s">
        <v>296</v>
      </c>
      <c r="D146" s="175">
        <v>1039451.19</v>
      </c>
      <c r="E146" s="171" t="s">
        <v>6</v>
      </c>
      <c r="F146" s="223"/>
      <c r="H146"/>
    </row>
    <row r="147" spans="1:8">
      <c r="A147" s="144">
        <v>45813</v>
      </c>
      <c r="B147" s="85" t="s">
        <v>1361</v>
      </c>
      <c r="C147" s="143" t="s">
        <v>865</v>
      </c>
      <c r="D147" s="175">
        <v>1558964</v>
      </c>
      <c r="E147" s="171" t="s">
        <v>6</v>
      </c>
      <c r="F147" s="6"/>
      <c r="H147"/>
    </row>
    <row r="148" spans="1:8">
      <c r="A148" s="138">
        <v>45813</v>
      </c>
      <c r="B148" s="85" t="s">
        <v>1312</v>
      </c>
      <c r="C148" s="143" t="s">
        <v>951</v>
      </c>
      <c r="D148" s="129">
        <v>2015497.35</v>
      </c>
      <c r="E148" s="171" t="s">
        <v>6</v>
      </c>
      <c r="F148" s="6"/>
      <c r="H148"/>
    </row>
    <row r="149" spans="1:8">
      <c r="A149" s="138">
        <v>45818</v>
      </c>
      <c r="B149" s="85" t="s">
        <v>1346</v>
      </c>
      <c r="C149" s="141" t="s">
        <v>951</v>
      </c>
      <c r="D149" s="129">
        <v>433462.24</v>
      </c>
      <c r="E149" s="171" t="s">
        <v>6</v>
      </c>
      <c r="F149" s="6"/>
      <c r="H149"/>
    </row>
    <row r="150" spans="1:8">
      <c r="A150" s="138">
        <v>45818</v>
      </c>
      <c r="B150" s="85" t="s">
        <v>1345</v>
      </c>
      <c r="C150" s="141" t="s">
        <v>840</v>
      </c>
      <c r="D150" s="129">
        <v>1752787.4</v>
      </c>
      <c r="E150" s="171" t="s">
        <v>6</v>
      </c>
      <c r="F150" s="6"/>
      <c r="H150"/>
    </row>
    <row r="151" spans="1:8">
      <c r="A151" s="138">
        <v>45820</v>
      </c>
      <c r="B151" s="85" t="s">
        <v>1315</v>
      </c>
      <c r="C151" s="222" t="s">
        <v>1299</v>
      </c>
      <c r="D151" s="129">
        <v>252999.99</v>
      </c>
      <c r="E151" s="171" t="s">
        <v>6</v>
      </c>
      <c r="F151" s="6"/>
      <c r="H151"/>
    </row>
    <row r="152" spans="1:8">
      <c r="A152" s="138">
        <v>45820</v>
      </c>
      <c r="B152" s="85" t="s">
        <v>1314</v>
      </c>
      <c r="C152" s="143" t="s">
        <v>1177</v>
      </c>
      <c r="D152" s="129">
        <v>3266066.89</v>
      </c>
      <c r="E152" s="171" t="s">
        <v>6</v>
      </c>
      <c r="F152" s="6"/>
      <c r="H152"/>
    </row>
    <row r="153" spans="1:8">
      <c r="A153" s="138">
        <v>45820</v>
      </c>
      <c r="B153" s="85" t="s">
        <v>1313</v>
      </c>
      <c r="C153" s="222" t="s">
        <v>925</v>
      </c>
      <c r="D153" s="129">
        <v>670752.56999999995</v>
      </c>
      <c r="E153" s="171" t="s">
        <v>6</v>
      </c>
      <c r="F153" s="6"/>
      <c r="H153"/>
    </row>
    <row r="154" spans="1:8">
      <c r="A154" s="138">
        <v>45820</v>
      </c>
      <c r="B154" s="85" t="s">
        <v>1316</v>
      </c>
      <c r="C154" s="222" t="s">
        <v>304</v>
      </c>
      <c r="D154" s="129">
        <v>871679.98</v>
      </c>
      <c r="E154" s="171" t="s">
        <v>6</v>
      </c>
      <c r="F154" s="6"/>
      <c r="H154"/>
    </row>
    <row r="155" spans="1:8">
      <c r="A155" s="229">
        <v>45822</v>
      </c>
      <c r="B155" s="230" t="s">
        <v>1381</v>
      </c>
      <c r="C155" s="231" t="s">
        <v>1243</v>
      </c>
      <c r="D155" s="236">
        <v>1177097.92</v>
      </c>
      <c r="E155" s="171" t="s">
        <v>6</v>
      </c>
      <c r="F155" s="223"/>
      <c r="H155"/>
    </row>
    <row r="156" spans="1:8">
      <c r="A156" s="138">
        <v>45822</v>
      </c>
      <c r="B156" s="85" t="s">
        <v>1362</v>
      </c>
      <c r="C156" s="222" t="s">
        <v>1363</v>
      </c>
      <c r="D156" s="129">
        <v>1955360</v>
      </c>
      <c r="E156" s="171" t="s">
        <v>6</v>
      </c>
      <c r="F156" s="6"/>
      <c r="H156"/>
    </row>
    <row r="157" spans="1:8">
      <c r="A157" s="138">
        <v>45822</v>
      </c>
      <c r="B157" s="85" t="s">
        <v>1279</v>
      </c>
      <c r="C157" s="143" t="s">
        <v>951</v>
      </c>
      <c r="D157" s="129">
        <v>459366.13</v>
      </c>
      <c r="E157" s="171" t="s">
        <v>6</v>
      </c>
      <c r="F157" s="6"/>
      <c r="H157"/>
    </row>
    <row r="158" spans="1:8">
      <c r="A158" s="138">
        <v>45825</v>
      </c>
      <c r="B158" s="85" t="s">
        <v>1364</v>
      </c>
      <c r="C158" s="217" t="s">
        <v>1081</v>
      </c>
      <c r="D158" s="139">
        <v>946444.1</v>
      </c>
      <c r="E158" s="171" t="s">
        <v>6</v>
      </c>
      <c r="F158" s="6"/>
      <c r="H158"/>
    </row>
    <row r="159" spans="1:8">
      <c r="A159" s="138">
        <v>45827</v>
      </c>
      <c r="B159" s="85" t="s">
        <v>1365</v>
      </c>
      <c r="C159" s="217" t="s">
        <v>296</v>
      </c>
      <c r="D159" s="129">
        <v>1039451.18</v>
      </c>
      <c r="E159" s="171" t="s">
        <v>6</v>
      </c>
      <c r="F159" s="6"/>
      <c r="H159"/>
    </row>
    <row r="160" spans="1:8">
      <c r="A160" s="138">
        <v>45827</v>
      </c>
      <c r="B160" s="85" t="s">
        <v>1372</v>
      </c>
      <c r="C160" s="217" t="s">
        <v>951</v>
      </c>
      <c r="D160" s="139">
        <v>737272.1</v>
      </c>
      <c r="E160" s="171" t="s">
        <v>6</v>
      </c>
      <c r="F160" s="6"/>
      <c r="H160"/>
    </row>
    <row r="161" spans="1:8">
      <c r="A161" s="138">
        <v>45827</v>
      </c>
      <c r="B161" s="85" t="s">
        <v>1373</v>
      </c>
      <c r="C161" s="217" t="s">
        <v>1081</v>
      </c>
      <c r="D161" s="139">
        <v>634662.40000000002</v>
      </c>
      <c r="E161" s="171" t="s">
        <v>6</v>
      </c>
      <c r="F161" s="6"/>
      <c r="H161"/>
    </row>
    <row r="162" spans="1:8">
      <c r="A162" s="138">
        <v>45830</v>
      </c>
      <c r="B162" s="85" t="s">
        <v>1374</v>
      </c>
      <c r="C162" s="217" t="s">
        <v>1375</v>
      </c>
      <c r="D162" s="129">
        <v>2047177.1</v>
      </c>
      <c r="E162" s="171" t="s">
        <v>6</v>
      </c>
      <c r="F162" s="6"/>
      <c r="H162"/>
    </row>
    <row r="163" spans="1:8">
      <c r="A163" s="84">
        <v>45830</v>
      </c>
      <c r="B163" s="220" t="s">
        <v>1353</v>
      </c>
      <c r="C163" s="86" t="s">
        <v>925</v>
      </c>
      <c r="D163" s="183">
        <v>740025.66</v>
      </c>
      <c r="E163" s="171" t="s">
        <v>6</v>
      </c>
      <c r="F163" s="28"/>
      <c r="H163"/>
    </row>
    <row r="164" spans="1:8">
      <c r="A164" s="56">
        <v>45832</v>
      </c>
      <c r="B164" s="210" t="s">
        <v>1321</v>
      </c>
      <c r="C164" s="55" t="s">
        <v>951</v>
      </c>
      <c r="D164" s="57">
        <v>1182517.45</v>
      </c>
      <c r="E164" s="221" t="s">
        <v>6</v>
      </c>
      <c r="F164" s="28"/>
      <c r="H164"/>
    </row>
    <row r="165" spans="1:8">
      <c r="A165" s="56">
        <v>45833</v>
      </c>
      <c r="B165" s="210" t="s">
        <v>1377</v>
      </c>
      <c r="C165" s="55" t="s">
        <v>1378</v>
      </c>
      <c r="D165" s="57">
        <v>1000000</v>
      </c>
      <c r="E165" s="221" t="s">
        <v>6</v>
      </c>
      <c r="F165" s="28"/>
      <c r="H165"/>
    </row>
    <row r="166" spans="1:8">
      <c r="A166" s="233">
        <v>45837</v>
      </c>
      <c r="B166" s="234" t="s">
        <v>1376</v>
      </c>
      <c r="C166" s="226" t="s">
        <v>1339</v>
      </c>
      <c r="D166" s="235">
        <v>27700000</v>
      </c>
      <c r="E166" s="221" t="s">
        <v>6</v>
      </c>
      <c r="F166" s="228"/>
      <c r="H166"/>
    </row>
    <row r="167" spans="1:8">
      <c r="A167" s="56">
        <v>45837</v>
      </c>
      <c r="B167" s="210" t="s">
        <v>1382</v>
      </c>
      <c r="C167" s="237" t="s">
        <v>1158</v>
      </c>
      <c r="D167" s="57">
        <v>1352989.82</v>
      </c>
      <c r="E167" s="221" t="s">
        <v>6</v>
      </c>
      <c r="F167" s="28"/>
      <c r="H167"/>
    </row>
    <row r="168" spans="1:8">
      <c r="A168" s="233">
        <v>45838</v>
      </c>
      <c r="B168" s="234" t="s">
        <v>1384</v>
      </c>
      <c r="C168" s="238" t="s">
        <v>1291</v>
      </c>
      <c r="D168" s="235">
        <v>1421494</v>
      </c>
      <c r="E168" s="221" t="s">
        <v>6</v>
      </c>
      <c r="F168" s="228"/>
      <c r="H168"/>
    </row>
    <row r="169" spans="1:8">
      <c r="A169" s="138">
        <v>45838</v>
      </c>
      <c r="B169" s="106" t="s">
        <v>1331</v>
      </c>
      <c r="C169" s="141" t="s">
        <v>1330</v>
      </c>
      <c r="D169" s="139">
        <v>2500000</v>
      </c>
      <c r="E169" s="171" t="s">
        <v>6</v>
      </c>
      <c r="F169" s="6"/>
      <c r="H169"/>
    </row>
    <row r="170" spans="1:8">
      <c r="A170" s="10"/>
      <c r="B170" s="11"/>
      <c r="C170" s="12" t="s">
        <v>7</v>
      </c>
      <c r="D170" s="112">
        <f>SUBTOTAL(109,D145:D169)</f>
        <v>57097752.800000004</v>
      </c>
      <c r="E170" s="14"/>
      <c r="F170" s="15"/>
      <c r="H170"/>
    </row>
    <row r="172" spans="1:8" ht="21">
      <c r="A172" s="339" t="s">
        <v>1188</v>
      </c>
      <c r="B172" s="339"/>
      <c r="C172" s="339"/>
      <c r="D172" s="339"/>
      <c r="E172" s="20"/>
      <c r="F172" s="20"/>
      <c r="H172"/>
    </row>
    <row r="173" spans="1:8" ht="21">
      <c r="A173" s="339"/>
      <c r="B173" s="339"/>
      <c r="C173" s="339"/>
      <c r="D173" s="339"/>
      <c r="E173" s="20"/>
      <c r="F173" s="20"/>
      <c r="H173"/>
    </row>
    <row r="174" spans="1:8">
      <c r="A174" s="7" t="s">
        <v>0</v>
      </c>
      <c r="B174" s="8" t="s">
        <v>1</v>
      </c>
      <c r="C174" s="8" t="s">
        <v>2</v>
      </c>
      <c r="D174" s="8" t="s">
        <v>3</v>
      </c>
      <c r="E174" s="8" t="s">
        <v>4</v>
      </c>
      <c r="F174" s="9" t="s">
        <v>5</v>
      </c>
      <c r="H174"/>
    </row>
    <row r="175" spans="1:8">
      <c r="A175" s="144">
        <v>45841</v>
      </c>
      <c r="B175" s="85" t="s">
        <v>1337</v>
      </c>
      <c r="C175" s="141" t="s">
        <v>304</v>
      </c>
      <c r="D175" s="175">
        <v>342233.33</v>
      </c>
      <c r="E175" s="171" t="s">
        <v>6</v>
      </c>
      <c r="F175" s="6"/>
      <c r="H175"/>
    </row>
    <row r="176" spans="1:8">
      <c r="A176" s="103">
        <v>45842</v>
      </c>
      <c r="B176" s="85" t="s">
        <v>1366</v>
      </c>
      <c r="C176" s="217" t="s">
        <v>296</v>
      </c>
      <c r="D176" s="129">
        <v>1039451.19</v>
      </c>
      <c r="E176" s="171" t="s">
        <v>6</v>
      </c>
      <c r="F176" s="28"/>
      <c r="H176"/>
    </row>
    <row r="177" spans="1:8">
      <c r="A177" s="103">
        <v>45843</v>
      </c>
      <c r="B177" s="85" t="s">
        <v>1317</v>
      </c>
      <c r="C177" s="86" t="s">
        <v>951</v>
      </c>
      <c r="D177" s="87">
        <v>2015497.35</v>
      </c>
      <c r="E177" s="153" t="s">
        <v>6</v>
      </c>
      <c r="F177" s="28"/>
      <c r="H177"/>
    </row>
    <row r="178" spans="1:8">
      <c r="A178" s="103">
        <v>45844</v>
      </c>
      <c r="B178" s="85" t="s">
        <v>1387</v>
      </c>
      <c r="C178" s="86" t="s">
        <v>1388</v>
      </c>
      <c r="D178" s="87">
        <v>6268923.4900000002</v>
      </c>
      <c r="E178" s="153" t="s">
        <v>6</v>
      </c>
      <c r="F178" s="28"/>
      <c r="H178"/>
    </row>
    <row r="179" spans="1:8">
      <c r="A179" s="103">
        <v>45845</v>
      </c>
      <c r="B179" s="85" t="s">
        <v>1367</v>
      </c>
      <c r="C179" s="217" t="s">
        <v>1081</v>
      </c>
      <c r="D179" s="139">
        <v>946444.1</v>
      </c>
      <c r="E179" s="171" t="s">
        <v>6</v>
      </c>
      <c r="F179" s="28"/>
      <c r="H179"/>
    </row>
    <row r="180" spans="1:8">
      <c r="A180" s="138">
        <v>45848</v>
      </c>
      <c r="B180" s="106" t="s">
        <v>1332</v>
      </c>
      <c r="C180" s="141" t="s">
        <v>1330</v>
      </c>
      <c r="D180" s="139">
        <v>2500000</v>
      </c>
      <c r="E180" s="171" t="s">
        <v>6</v>
      </c>
      <c r="F180" s="6"/>
      <c r="H180"/>
    </row>
    <row r="181" spans="1:8">
      <c r="A181" s="138">
        <v>45850</v>
      </c>
      <c r="B181" s="106" t="s">
        <v>1394</v>
      </c>
      <c r="C181" s="232" t="s">
        <v>1243</v>
      </c>
      <c r="D181" s="139">
        <v>1342026.8700000001</v>
      </c>
      <c r="E181" s="171" t="s">
        <v>6</v>
      </c>
      <c r="F181" s="6"/>
      <c r="H181"/>
    </row>
    <row r="182" spans="1:8">
      <c r="A182" s="138">
        <v>45851</v>
      </c>
      <c r="B182" s="106" t="s">
        <v>1385</v>
      </c>
      <c r="C182" s="141" t="s">
        <v>1299</v>
      </c>
      <c r="D182" s="139">
        <v>270125</v>
      </c>
      <c r="E182" s="171" t="s">
        <v>6</v>
      </c>
      <c r="F182" s="6"/>
      <c r="H182"/>
    </row>
    <row r="183" spans="1:8">
      <c r="A183" s="103">
        <v>45852</v>
      </c>
      <c r="B183" s="85" t="s">
        <v>1280</v>
      </c>
      <c r="C183" s="86" t="s">
        <v>951</v>
      </c>
      <c r="D183" s="87">
        <v>459366.13</v>
      </c>
      <c r="E183" s="153" t="s">
        <v>6</v>
      </c>
      <c r="F183" s="28"/>
      <c r="H183"/>
    </row>
    <row r="184" spans="1:8">
      <c r="A184" s="103">
        <v>45855</v>
      </c>
      <c r="B184" s="85" t="s">
        <v>1390</v>
      </c>
      <c r="C184" s="86" t="s">
        <v>1210</v>
      </c>
      <c r="D184" s="87">
        <v>1023702.82</v>
      </c>
      <c r="E184" s="153" t="s">
        <v>6</v>
      </c>
      <c r="F184" s="28"/>
      <c r="H184"/>
    </row>
    <row r="185" spans="1:8">
      <c r="A185" s="103">
        <v>45855</v>
      </c>
      <c r="B185" s="85" t="s">
        <v>1389</v>
      </c>
      <c r="C185" s="86" t="s">
        <v>1388</v>
      </c>
      <c r="D185" s="87">
        <v>6268923.4900000002</v>
      </c>
      <c r="E185" s="153" t="s">
        <v>6</v>
      </c>
      <c r="F185" s="28"/>
      <c r="H185"/>
    </row>
    <row r="186" spans="1:8">
      <c r="A186" s="103">
        <v>45857</v>
      </c>
      <c r="B186" s="85" t="s">
        <v>1368</v>
      </c>
      <c r="C186" s="217" t="s">
        <v>296</v>
      </c>
      <c r="D186" s="129">
        <v>1039451.19</v>
      </c>
      <c r="E186" s="171" t="s">
        <v>6</v>
      </c>
      <c r="F186" s="28"/>
      <c r="H186"/>
    </row>
    <row r="187" spans="1:8">
      <c r="A187" s="103">
        <v>45857</v>
      </c>
      <c r="B187" s="85" t="s">
        <v>1380</v>
      </c>
      <c r="C187" s="191" t="s">
        <v>951</v>
      </c>
      <c r="D187" s="87">
        <v>737272.1</v>
      </c>
      <c r="E187" s="153" t="s">
        <v>6</v>
      </c>
      <c r="F187" s="28"/>
      <c r="H187"/>
    </row>
    <row r="188" spans="1:8">
      <c r="A188" s="138">
        <v>45858</v>
      </c>
      <c r="B188" s="106" t="s">
        <v>1333</v>
      </c>
      <c r="C188" s="141" t="s">
        <v>1330</v>
      </c>
      <c r="D188" s="139">
        <v>2800000</v>
      </c>
      <c r="E188" s="171" t="s">
        <v>6</v>
      </c>
      <c r="F188" s="6"/>
      <c r="H188"/>
    </row>
    <row r="189" spans="1:8">
      <c r="A189" s="84">
        <v>45860</v>
      </c>
      <c r="B189" s="220" t="s">
        <v>1354</v>
      </c>
      <c r="C189" s="86" t="s">
        <v>925</v>
      </c>
      <c r="D189" s="183">
        <v>740025.66</v>
      </c>
      <c r="E189" s="171" t="s">
        <v>6</v>
      </c>
      <c r="F189" s="28"/>
      <c r="H189"/>
    </row>
    <row r="190" spans="1:8">
      <c r="A190" s="84">
        <v>45863</v>
      </c>
      <c r="B190" s="220" t="s">
        <v>1393</v>
      </c>
      <c r="C190" s="86" t="s">
        <v>865</v>
      </c>
      <c r="D190" s="183">
        <v>1238011.5</v>
      </c>
      <c r="E190" s="171" t="s">
        <v>6</v>
      </c>
      <c r="F190" s="28"/>
      <c r="H190"/>
    </row>
    <row r="191" spans="1:8">
      <c r="A191" s="84">
        <v>45863</v>
      </c>
      <c r="B191" s="220" t="s">
        <v>1379</v>
      </c>
      <c r="C191" s="55" t="s">
        <v>1378</v>
      </c>
      <c r="D191" s="183">
        <v>1360000</v>
      </c>
      <c r="E191" s="171" t="s">
        <v>6</v>
      </c>
      <c r="F191" s="28"/>
      <c r="H191"/>
    </row>
    <row r="192" spans="1:8">
      <c r="A192" s="84">
        <v>45864</v>
      </c>
      <c r="B192" s="220" t="s">
        <v>1383</v>
      </c>
      <c r="C192" s="226" t="s">
        <v>1339</v>
      </c>
      <c r="D192" s="183">
        <v>12770000</v>
      </c>
      <c r="E192" s="171" t="s">
        <v>6</v>
      </c>
      <c r="F192" s="28"/>
      <c r="H192"/>
    </row>
    <row r="193" spans="1:8">
      <c r="A193" s="103">
        <v>45866</v>
      </c>
      <c r="B193" s="85" t="s">
        <v>1322</v>
      </c>
      <c r="C193" s="86" t="s">
        <v>951</v>
      </c>
      <c r="D193" s="87">
        <v>1182517.45</v>
      </c>
      <c r="E193" s="153" t="s">
        <v>6</v>
      </c>
      <c r="F193" s="28"/>
      <c r="H193"/>
    </row>
    <row r="194" spans="1:8">
      <c r="A194" s="103">
        <v>45866</v>
      </c>
      <c r="B194" s="85" t="s">
        <v>1403</v>
      </c>
      <c r="C194" s="86" t="s">
        <v>1283</v>
      </c>
      <c r="D194" s="87">
        <v>4064295.62</v>
      </c>
      <c r="E194" s="153" t="s">
        <v>6</v>
      </c>
      <c r="F194" s="28"/>
      <c r="H194"/>
    </row>
    <row r="195" spans="1:8">
      <c r="A195" s="103">
        <v>45868</v>
      </c>
      <c r="B195" s="85" t="s">
        <v>1399</v>
      </c>
      <c r="C195" s="86" t="s">
        <v>1400</v>
      </c>
      <c r="D195" s="87">
        <v>1597735</v>
      </c>
      <c r="E195" s="153" t="s">
        <v>6</v>
      </c>
      <c r="F195" s="28"/>
      <c r="H195"/>
    </row>
    <row r="196" spans="1:8">
      <c r="A196" s="10"/>
      <c r="B196" s="11"/>
      <c r="C196" s="12" t="s">
        <v>7</v>
      </c>
      <c r="D196" s="112">
        <f>SUBTOTAL(109,D175:D195)</f>
        <v>50006002.289999999</v>
      </c>
      <c r="E196" s="14"/>
      <c r="F196" s="15"/>
      <c r="H196"/>
    </row>
    <row r="198" spans="1:8" ht="21">
      <c r="A198" s="339" t="s">
        <v>1189</v>
      </c>
      <c r="B198" s="339"/>
      <c r="C198" s="339"/>
      <c r="D198" s="339"/>
      <c r="E198" s="20"/>
      <c r="F198" s="20"/>
      <c r="H198"/>
    </row>
    <row r="199" spans="1:8" ht="21">
      <c r="A199" s="339"/>
      <c r="B199" s="339"/>
      <c r="C199" s="339"/>
      <c r="D199" s="339"/>
      <c r="E199" s="20"/>
      <c r="F199" s="20"/>
      <c r="H199"/>
    </row>
    <row r="200" spans="1:8">
      <c r="A200" s="7" t="s">
        <v>0</v>
      </c>
      <c r="B200" s="8" t="s">
        <v>1</v>
      </c>
      <c r="C200" s="8" t="s">
        <v>2</v>
      </c>
      <c r="D200" s="8" t="s">
        <v>3</v>
      </c>
      <c r="E200" s="8" t="s">
        <v>4</v>
      </c>
      <c r="F200" s="9" t="s">
        <v>5</v>
      </c>
      <c r="H200"/>
    </row>
    <row r="201" spans="1:8">
      <c r="A201" s="103">
        <v>45872</v>
      </c>
      <c r="B201" s="85" t="s">
        <v>1392</v>
      </c>
      <c r="C201" s="217" t="s">
        <v>1339</v>
      </c>
      <c r="D201" s="129">
        <v>10020000</v>
      </c>
      <c r="E201" s="171" t="s">
        <v>6</v>
      </c>
      <c r="F201" s="28"/>
      <c r="H201"/>
    </row>
    <row r="202" spans="1:8">
      <c r="A202" s="103">
        <v>45872</v>
      </c>
      <c r="B202" s="85" t="s">
        <v>1369</v>
      </c>
      <c r="C202" s="217" t="s">
        <v>296</v>
      </c>
      <c r="D202" s="129">
        <v>1039451.19</v>
      </c>
      <c r="E202" s="171" t="s">
        <v>6</v>
      </c>
      <c r="F202" s="28"/>
      <c r="H202"/>
    </row>
    <row r="203" spans="1:8">
      <c r="A203" s="103">
        <v>45873</v>
      </c>
      <c r="B203" s="85" t="s">
        <v>1323</v>
      </c>
      <c r="C203" s="86" t="s">
        <v>951</v>
      </c>
      <c r="D203" s="87">
        <v>2015497.35</v>
      </c>
      <c r="E203" s="153" t="s">
        <v>6</v>
      </c>
      <c r="F203" s="28"/>
      <c r="H203"/>
    </row>
    <row r="204" spans="1:8">
      <c r="A204" s="103">
        <v>45877</v>
      </c>
      <c r="B204" s="85" t="s">
        <v>1395</v>
      </c>
      <c r="C204" s="86" t="s">
        <v>304</v>
      </c>
      <c r="D204" s="87">
        <v>367750.01</v>
      </c>
      <c r="E204" s="153" t="s">
        <v>6</v>
      </c>
      <c r="F204" s="28"/>
      <c r="H204"/>
    </row>
    <row r="205" spans="1:8">
      <c r="A205" s="103">
        <v>45878</v>
      </c>
      <c r="B205" s="85" t="s">
        <v>1404</v>
      </c>
      <c r="C205" s="86" t="s">
        <v>1243</v>
      </c>
      <c r="D205" s="87">
        <v>136069.79999999999</v>
      </c>
      <c r="E205" s="153" t="s">
        <v>6</v>
      </c>
      <c r="F205" s="28"/>
      <c r="H205"/>
    </row>
    <row r="206" spans="1:8">
      <c r="A206" s="103">
        <v>45879</v>
      </c>
      <c r="B206" s="85" t="s">
        <v>1401</v>
      </c>
      <c r="C206" s="86" t="s">
        <v>865</v>
      </c>
      <c r="D206" s="87">
        <v>2124397</v>
      </c>
      <c r="E206" s="153" t="s">
        <v>6</v>
      </c>
      <c r="F206" s="28"/>
      <c r="H206"/>
    </row>
    <row r="207" spans="1:8">
      <c r="A207" s="103">
        <v>45879</v>
      </c>
      <c r="B207" s="85" t="s">
        <v>1396</v>
      </c>
      <c r="C207" s="217" t="s">
        <v>1339</v>
      </c>
      <c r="D207" s="87">
        <v>15790000</v>
      </c>
      <c r="E207" s="153" t="s">
        <v>6</v>
      </c>
      <c r="F207" s="28"/>
      <c r="H207"/>
    </row>
    <row r="208" spans="1:8">
      <c r="A208" s="138">
        <v>45882</v>
      </c>
      <c r="B208" s="106" t="s">
        <v>1386</v>
      </c>
      <c r="C208" s="141" t="s">
        <v>1299</v>
      </c>
      <c r="D208" s="139">
        <v>270125</v>
      </c>
      <c r="E208" s="171" t="s">
        <v>6</v>
      </c>
      <c r="F208" s="6"/>
      <c r="H208"/>
    </row>
    <row r="209" spans="1:8">
      <c r="A209" s="138">
        <v>45884</v>
      </c>
      <c r="B209" s="106" t="s">
        <v>1405</v>
      </c>
      <c r="C209" s="141" t="s">
        <v>1283</v>
      </c>
      <c r="D209" s="139">
        <v>4064295.62</v>
      </c>
      <c r="E209" s="171" t="s">
        <v>6</v>
      </c>
      <c r="F209" s="6"/>
      <c r="H209"/>
    </row>
    <row r="210" spans="1:8">
      <c r="A210" s="103">
        <v>45886</v>
      </c>
      <c r="B210" s="85" t="s">
        <v>1391</v>
      </c>
      <c r="C210" s="86" t="s">
        <v>1210</v>
      </c>
      <c r="D210" s="87">
        <v>1023702.82</v>
      </c>
      <c r="E210" s="153" t="s">
        <v>6</v>
      </c>
      <c r="F210" s="28"/>
      <c r="H210"/>
    </row>
    <row r="211" spans="1:8">
      <c r="A211" s="103">
        <v>45888</v>
      </c>
      <c r="B211" s="85" t="s">
        <v>1406</v>
      </c>
      <c r="C211" s="86" t="s">
        <v>840</v>
      </c>
      <c r="D211" s="87">
        <v>974239.1</v>
      </c>
      <c r="E211" s="153" t="s">
        <v>6</v>
      </c>
      <c r="F211" s="28"/>
      <c r="H211"/>
    </row>
    <row r="212" spans="1:8">
      <c r="A212" s="84">
        <v>45890</v>
      </c>
      <c r="B212" s="220" t="s">
        <v>1355</v>
      </c>
      <c r="C212" s="86" t="s">
        <v>925</v>
      </c>
      <c r="D212" s="183">
        <v>740025.66</v>
      </c>
      <c r="E212" s="171" t="s">
        <v>6</v>
      </c>
      <c r="F212" s="28"/>
      <c r="H212"/>
    </row>
    <row r="213" spans="1:8">
      <c r="A213" s="84">
        <v>45894</v>
      </c>
      <c r="B213" s="220" t="s">
        <v>1397</v>
      </c>
      <c r="C213" s="143" t="s">
        <v>1339</v>
      </c>
      <c r="D213" s="183">
        <v>16900000</v>
      </c>
      <c r="E213" s="171" t="s">
        <v>6</v>
      </c>
      <c r="F213" s="28"/>
      <c r="H213"/>
    </row>
    <row r="214" spans="1:8">
      <c r="A214" s="84">
        <v>45895</v>
      </c>
      <c r="B214" s="220" t="s">
        <v>1407</v>
      </c>
      <c r="C214" s="143" t="s">
        <v>1339</v>
      </c>
      <c r="D214" s="183">
        <v>20850000</v>
      </c>
      <c r="E214" s="171" t="s">
        <v>6</v>
      </c>
      <c r="F214" s="28"/>
      <c r="H214"/>
    </row>
    <row r="215" spans="1:8">
      <c r="A215" s="84">
        <v>45899</v>
      </c>
      <c r="B215" s="220" t="s">
        <v>1427</v>
      </c>
      <c r="C215" s="143" t="s">
        <v>1400</v>
      </c>
      <c r="D215" s="183">
        <v>866797</v>
      </c>
      <c r="E215" s="171" t="s">
        <v>6</v>
      </c>
      <c r="F215" s="28"/>
      <c r="H215"/>
    </row>
    <row r="216" spans="1:8">
      <c r="A216" s="103">
        <v>45899</v>
      </c>
      <c r="B216" s="85" t="s">
        <v>1324</v>
      </c>
      <c r="C216" s="86" t="s">
        <v>951</v>
      </c>
      <c r="D216" s="57">
        <v>1182517.45</v>
      </c>
      <c r="E216" s="221" t="s">
        <v>6</v>
      </c>
      <c r="F216" s="28"/>
      <c r="H216"/>
    </row>
    <row r="217" spans="1:8">
      <c r="A217" s="10"/>
      <c r="B217" s="11"/>
      <c r="C217" s="12" t="s">
        <v>7</v>
      </c>
      <c r="D217" s="112">
        <f>SUBTOTAL(109,D201:D216)</f>
        <v>78364868</v>
      </c>
      <c r="E217" s="14"/>
      <c r="F217" s="15"/>
    </row>
    <row r="219" spans="1:8" ht="21">
      <c r="A219" s="339" t="s">
        <v>1190</v>
      </c>
      <c r="B219" s="339"/>
      <c r="C219" s="339"/>
      <c r="D219" s="339"/>
      <c r="E219" s="20"/>
      <c r="F219" s="20"/>
    </row>
    <row r="220" spans="1:8" ht="21">
      <c r="A220" s="339"/>
      <c r="B220" s="339"/>
      <c r="C220" s="339"/>
      <c r="D220" s="339"/>
      <c r="E220" s="20"/>
      <c r="F220" s="20"/>
    </row>
    <row r="221" spans="1:8" ht="14.4" customHeight="1">
      <c r="A221" s="7" t="s">
        <v>0</v>
      </c>
      <c r="B221" s="8" t="s">
        <v>1</v>
      </c>
      <c r="C221" s="8" t="s">
        <v>2</v>
      </c>
      <c r="D221" s="8" t="s">
        <v>3</v>
      </c>
      <c r="E221" s="8" t="s">
        <v>4</v>
      </c>
      <c r="F221" s="9" t="s">
        <v>5</v>
      </c>
      <c r="H221"/>
    </row>
    <row r="222" spans="1:8">
      <c r="A222" s="103">
        <v>45903</v>
      </c>
      <c r="B222" s="85" t="s">
        <v>1411</v>
      </c>
      <c r="C222" s="141" t="s">
        <v>1283</v>
      </c>
      <c r="D222" s="139">
        <v>4064295.62</v>
      </c>
      <c r="E222" s="171" t="s">
        <v>6</v>
      </c>
      <c r="F222" s="28"/>
      <c r="H222"/>
    </row>
    <row r="223" spans="1:8">
      <c r="A223" s="103">
        <v>45903</v>
      </c>
      <c r="B223" s="85" t="s">
        <v>1409</v>
      </c>
      <c r="C223" s="143" t="s">
        <v>1410</v>
      </c>
      <c r="D223" s="87">
        <v>15800000</v>
      </c>
      <c r="E223" s="153" t="s">
        <v>6</v>
      </c>
      <c r="F223" s="28"/>
      <c r="H223"/>
    </row>
    <row r="224" spans="1:8">
      <c r="A224" s="103">
        <v>45903</v>
      </c>
      <c r="B224" s="85" t="s">
        <v>1356</v>
      </c>
      <c r="C224" s="86" t="s">
        <v>951</v>
      </c>
      <c r="D224" s="87">
        <v>2015497.35</v>
      </c>
      <c r="E224" s="153" t="s">
        <v>6</v>
      </c>
      <c r="F224" s="28"/>
      <c r="H224"/>
    </row>
    <row r="225" spans="1:8">
      <c r="A225" s="103">
        <v>45903</v>
      </c>
      <c r="B225" s="85" t="s">
        <v>1408</v>
      </c>
      <c r="C225" s="86" t="s">
        <v>840</v>
      </c>
      <c r="D225" s="87">
        <v>974239.1</v>
      </c>
      <c r="E225" s="153" t="s">
        <v>6</v>
      </c>
      <c r="F225" s="28"/>
      <c r="H225"/>
    </row>
    <row r="226" spans="1:8">
      <c r="A226" s="103">
        <v>45905</v>
      </c>
      <c r="B226" s="85" t="s">
        <v>1424</v>
      </c>
      <c r="C226" s="143" t="s">
        <v>1410</v>
      </c>
      <c r="D226" s="87">
        <v>31250000</v>
      </c>
      <c r="E226" s="153" t="s">
        <v>6</v>
      </c>
      <c r="F226" s="28"/>
      <c r="H226"/>
    </row>
    <row r="227" spans="1:8">
      <c r="A227" s="103">
        <v>45905</v>
      </c>
      <c r="B227" s="85" t="s">
        <v>1428</v>
      </c>
      <c r="C227" s="143" t="s">
        <v>1339</v>
      </c>
      <c r="D227" s="87">
        <v>8400000</v>
      </c>
      <c r="E227" s="153" t="s">
        <v>6</v>
      </c>
      <c r="F227" s="28"/>
      <c r="H227"/>
    </row>
    <row r="228" spans="1:8">
      <c r="A228" s="103">
        <v>45906</v>
      </c>
      <c r="B228" s="85" t="s">
        <v>1441</v>
      </c>
      <c r="C228" s="143" t="s">
        <v>1243</v>
      </c>
      <c r="D228" s="87">
        <v>891285.21</v>
      </c>
      <c r="E228" s="153" t="s">
        <v>6</v>
      </c>
      <c r="F228" s="28"/>
      <c r="H228"/>
    </row>
    <row r="229" spans="1:8">
      <c r="A229" s="103">
        <v>45906</v>
      </c>
      <c r="B229" s="85" t="s">
        <v>1412</v>
      </c>
      <c r="C229" s="86" t="s">
        <v>1081</v>
      </c>
      <c r="D229" s="87">
        <v>776063.04</v>
      </c>
      <c r="E229" s="153" t="s">
        <v>6</v>
      </c>
      <c r="F229" s="28"/>
      <c r="H229"/>
    </row>
    <row r="230" spans="1:8">
      <c r="A230" s="103">
        <v>45908</v>
      </c>
      <c r="B230" s="85" t="s">
        <v>1414</v>
      </c>
      <c r="C230" s="143" t="s">
        <v>1410</v>
      </c>
      <c r="D230" s="87">
        <v>10700000</v>
      </c>
      <c r="E230" s="153" t="s">
        <v>6</v>
      </c>
      <c r="F230" s="28"/>
      <c r="H230"/>
    </row>
    <row r="231" spans="1:8">
      <c r="A231" s="103">
        <v>45908</v>
      </c>
      <c r="B231" s="85" t="s">
        <v>1398</v>
      </c>
      <c r="C231" s="86" t="s">
        <v>304</v>
      </c>
      <c r="D231" s="87">
        <v>367750.02</v>
      </c>
      <c r="E231" s="153" t="s">
        <v>6</v>
      </c>
      <c r="F231" s="28"/>
      <c r="H231"/>
    </row>
    <row r="232" spans="1:8">
      <c r="A232" s="103">
        <v>45908</v>
      </c>
      <c r="B232" s="85" t="s">
        <v>1413</v>
      </c>
      <c r="C232" s="86" t="s">
        <v>988</v>
      </c>
      <c r="D232" s="87">
        <v>1181839.99</v>
      </c>
      <c r="E232" s="153" t="s">
        <v>6</v>
      </c>
      <c r="F232" s="28"/>
      <c r="H232"/>
    </row>
    <row r="233" spans="1:8">
      <c r="A233" s="103">
        <v>45910</v>
      </c>
      <c r="B233" s="85" t="s">
        <v>1446</v>
      </c>
      <c r="C233" s="86" t="s">
        <v>1447</v>
      </c>
      <c r="D233" s="87">
        <v>20000000</v>
      </c>
      <c r="E233" s="153" t="s">
        <v>6</v>
      </c>
      <c r="F233" s="28"/>
      <c r="H233"/>
    </row>
    <row r="234" spans="1:8">
      <c r="A234" s="103">
        <v>45910</v>
      </c>
      <c r="B234" s="85" t="s">
        <v>1448</v>
      </c>
      <c r="C234" s="86" t="s">
        <v>1447</v>
      </c>
      <c r="D234" s="87">
        <v>20000000</v>
      </c>
      <c r="E234" s="153" t="s">
        <v>6</v>
      </c>
      <c r="F234" s="28"/>
      <c r="H234"/>
    </row>
    <row r="235" spans="1:8">
      <c r="A235" s="103">
        <v>45910</v>
      </c>
      <c r="B235" s="85" t="s">
        <v>1423</v>
      </c>
      <c r="C235" s="86" t="s">
        <v>298</v>
      </c>
      <c r="D235" s="87">
        <v>1100797.5</v>
      </c>
      <c r="E235" s="153" t="s">
        <v>6</v>
      </c>
      <c r="F235" s="28"/>
      <c r="H235"/>
    </row>
    <row r="236" spans="1:8">
      <c r="A236" s="103">
        <v>45911</v>
      </c>
      <c r="B236" s="85" t="s">
        <v>1425</v>
      </c>
      <c r="C236" s="86" t="s">
        <v>1426</v>
      </c>
      <c r="D236" s="87">
        <v>2213289</v>
      </c>
      <c r="E236" s="153" t="s">
        <v>6</v>
      </c>
      <c r="F236" s="28"/>
      <c r="H236"/>
    </row>
    <row r="237" spans="1:8">
      <c r="A237" s="103">
        <v>45915</v>
      </c>
      <c r="B237" s="85" t="s">
        <v>1402</v>
      </c>
      <c r="C237" s="86" t="s">
        <v>1319</v>
      </c>
      <c r="D237" s="87">
        <v>592416</v>
      </c>
      <c r="E237" s="153" t="s">
        <v>6</v>
      </c>
      <c r="F237" s="28"/>
      <c r="H237"/>
    </row>
    <row r="238" spans="1:8">
      <c r="A238" s="103">
        <v>45915</v>
      </c>
      <c r="B238" s="85" t="s">
        <v>1440</v>
      </c>
      <c r="C238" s="86" t="s">
        <v>886</v>
      </c>
      <c r="D238" s="87">
        <v>270000</v>
      </c>
      <c r="E238" s="153" t="s">
        <v>6</v>
      </c>
      <c r="F238" s="28"/>
      <c r="H238"/>
    </row>
    <row r="239" spans="1:8">
      <c r="A239" s="103">
        <v>45917</v>
      </c>
      <c r="B239" s="85" t="s">
        <v>1432</v>
      </c>
      <c r="C239" s="86" t="s">
        <v>280</v>
      </c>
      <c r="D239" s="87">
        <v>1733753.84</v>
      </c>
      <c r="E239" s="153" t="s">
        <v>6</v>
      </c>
      <c r="F239" s="28"/>
      <c r="H239"/>
    </row>
    <row r="240" spans="1:8">
      <c r="A240" s="103">
        <v>45918</v>
      </c>
      <c r="B240" s="85" t="s">
        <v>1449</v>
      </c>
      <c r="C240" s="143" t="s">
        <v>1410</v>
      </c>
      <c r="D240" s="87">
        <v>22100000</v>
      </c>
      <c r="E240" s="153" t="s">
        <v>6</v>
      </c>
      <c r="F240" s="28"/>
      <c r="H240"/>
    </row>
    <row r="241" spans="1:8">
      <c r="A241" s="103">
        <v>45918</v>
      </c>
      <c r="B241" s="85" t="s">
        <v>1429</v>
      </c>
      <c r="C241" s="86" t="s">
        <v>1430</v>
      </c>
      <c r="D241" s="87">
        <v>1388995.17</v>
      </c>
      <c r="E241" s="153" t="s">
        <v>6</v>
      </c>
      <c r="F241" s="28"/>
      <c r="H241"/>
    </row>
    <row r="242" spans="1:8">
      <c r="A242" s="103">
        <v>45919</v>
      </c>
      <c r="B242" s="85" t="s">
        <v>1415</v>
      </c>
      <c r="C242" s="141" t="s">
        <v>1283</v>
      </c>
      <c r="D242" s="139">
        <v>4064295.62</v>
      </c>
      <c r="E242" s="171" t="s">
        <v>6</v>
      </c>
      <c r="F242" s="28"/>
      <c r="H242"/>
    </row>
    <row r="243" spans="1:8">
      <c r="A243" s="103">
        <v>45920</v>
      </c>
      <c r="B243" s="85" t="s">
        <v>1435</v>
      </c>
      <c r="C243" s="141" t="s">
        <v>1436</v>
      </c>
      <c r="D243" s="139">
        <v>920810</v>
      </c>
      <c r="E243" s="171" t="s">
        <v>6</v>
      </c>
      <c r="F243" s="28"/>
      <c r="H243"/>
    </row>
    <row r="244" spans="1:8">
      <c r="A244" s="103">
        <v>45921</v>
      </c>
      <c r="B244" s="85" t="s">
        <v>1442</v>
      </c>
      <c r="C244" s="141" t="s">
        <v>373</v>
      </c>
      <c r="D244" s="139">
        <v>625000.01</v>
      </c>
      <c r="E244" s="171" t="s">
        <v>6</v>
      </c>
      <c r="F244" s="28"/>
      <c r="H244"/>
    </row>
    <row r="245" spans="1:8">
      <c r="A245" s="103">
        <v>45923</v>
      </c>
      <c r="B245" s="85" t="s">
        <v>1416</v>
      </c>
      <c r="C245" s="86" t="s">
        <v>988</v>
      </c>
      <c r="D245" s="87">
        <v>1181839.99</v>
      </c>
      <c r="E245" s="153" t="s">
        <v>6</v>
      </c>
      <c r="F245" s="28"/>
      <c r="H245"/>
    </row>
    <row r="246" spans="1:8">
      <c r="A246" s="103">
        <v>45925</v>
      </c>
      <c r="B246" s="85" t="s">
        <v>1417</v>
      </c>
      <c r="C246" s="143" t="s">
        <v>127</v>
      </c>
      <c r="D246" s="87">
        <v>12500000</v>
      </c>
      <c r="E246" s="153" t="s">
        <v>6</v>
      </c>
      <c r="F246" s="28"/>
      <c r="H246"/>
    </row>
    <row r="247" spans="1:8">
      <c r="A247" s="103">
        <v>45927</v>
      </c>
      <c r="B247" s="85" t="s">
        <v>1450</v>
      </c>
      <c r="C247" s="141" t="s">
        <v>1243</v>
      </c>
      <c r="D247" s="139">
        <v>446566.9</v>
      </c>
      <c r="E247" s="171" t="s">
        <v>6</v>
      </c>
      <c r="F247" s="28"/>
      <c r="H247"/>
    </row>
    <row r="248" spans="1:8">
      <c r="A248" s="103">
        <v>45928</v>
      </c>
      <c r="B248" s="85" t="s">
        <v>1451</v>
      </c>
      <c r="C248" s="141" t="s">
        <v>296</v>
      </c>
      <c r="D248" s="139">
        <v>1060039.92</v>
      </c>
      <c r="E248" s="171" t="s">
        <v>6</v>
      </c>
      <c r="F248" s="28"/>
      <c r="H248"/>
    </row>
    <row r="249" spans="1:8">
      <c r="A249" s="103">
        <v>45930</v>
      </c>
      <c r="B249" s="85" t="s">
        <v>1452</v>
      </c>
      <c r="C249" s="141" t="s">
        <v>1400</v>
      </c>
      <c r="D249" s="139">
        <v>1886410</v>
      </c>
      <c r="E249" s="171" t="s">
        <v>6</v>
      </c>
      <c r="F249" s="28"/>
      <c r="H249"/>
    </row>
    <row r="250" spans="1:8">
      <c r="A250" s="10"/>
      <c r="B250" s="11"/>
      <c r="C250" s="12" t="s">
        <v>7</v>
      </c>
      <c r="D250" s="112">
        <f>SUBTOTAL(109,Tabla14161819202122232425263233343536375038373940414243445793[[MONTO ]])</f>
        <v>168505184.28</v>
      </c>
      <c r="E250" s="14"/>
      <c r="F250" s="15"/>
      <c r="H250"/>
    </row>
    <row r="252" spans="1:8" ht="21">
      <c r="A252" s="339" t="s">
        <v>1191</v>
      </c>
      <c r="B252" s="339"/>
      <c r="C252" s="339"/>
      <c r="D252" s="339"/>
      <c r="E252" s="20"/>
      <c r="F252" s="20"/>
      <c r="H252"/>
    </row>
    <row r="253" spans="1:8" ht="21">
      <c r="A253" s="339"/>
      <c r="B253" s="339"/>
      <c r="C253" s="339"/>
      <c r="D253" s="339"/>
      <c r="E253" s="20"/>
      <c r="F253" s="20"/>
      <c r="H253"/>
    </row>
    <row r="254" spans="1:8">
      <c r="A254" s="7" t="s">
        <v>0</v>
      </c>
      <c r="B254" s="8" t="s">
        <v>1</v>
      </c>
      <c r="C254" s="8" t="s">
        <v>2</v>
      </c>
      <c r="D254" s="8" t="s">
        <v>3</v>
      </c>
      <c r="E254" s="8" t="s">
        <v>4</v>
      </c>
      <c r="F254" s="9" t="s">
        <v>5</v>
      </c>
      <c r="H254"/>
    </row>
    <row r="255" spans="1:8">
      <c r="A255" s="138">
        <v>45931</v>
      </c>
      <c r="B255" s="85" t="s">
        <v>1467</v>
      </c>
      <c r="C255" s="143" t="s">
        <v>1468</v>
      </c>
      <c r="D255" s="129">
        <v>1561822.26</v>
      </c>
      <c r="E255" s="171" t="s">
        <v>6</v>
      </c>
      <c r="F255" s="6"/>
      <c r="H255"/>
    </row>
    <row r="256" spans="1:8">
      <c r="A256" s="138">
        <v>45931</v>
      </c>
      <c r="B256" s="85" t="s">
        <v>1474</v>
      </c>
      <c r="C256" s="143" t="s">
        <v>1475</v>
      </c>
      <c r="D256" s="129">
        <v>1816875</v>
      </c>
      <c r="E256" s="171" t="s">
        <v>6</v>
      </c>
      <c r="F256" s="6"/>
      <c r="H256"/>
    </row>
    <row r="257" spans="1:8">
      <c r="A257" s="138">
        <v>45933</v>
      </c>
      <c r="B257" s="85" t="s">
        <v>1431</v>
      </c>
      <c r="C257" s="143" t="s">
        <v>1430</v>
      </c>
      <c r="D257" s="129">
        <v>1388995.17</v>
      </c>
      <c r="E257" s="171" t="s">
        <v>6</v>
      </c>
      <c r="F257" s="6"/>
      <c r="H257"/>
    </row>
    <row r="258" spans="1:8">
      <c r="A258" s="138">
        <v>45936</v>
      </c>
      <c r="B258" s="85" t="s">
        <v>1418</v>
      </c>
      <c r="C258" s="141" t="s">
        <v>1283</v>
      </c>
      <c r="D258" s="139">
        <v>4064295.62</v>
      </c>
      <c r="E258" s="171" t="s">
        <v>6</v>
      </c>
      <c r="F258" s="6"/>
      <c r="H258"/>
    </row>
    <row r="259" spans="1:8">
      <c r="A259" s="138">
        <v>45938</v>
      </c>
      <c r="B259" s="85" t="s">
        <v>1453</v>
      </c>
      <c r="C259" s="202" t="s">
        <v>1487</v>
      </c>
      <c r="D259" s="129">
        <v>20000000</v>
      </c>
      <c r="E259" s="171" t="s">
        <v>6</v>
      </c>
      <c r="F259" s="6"/>
      <c r="H259"/>
    </row>
    <row r="260" spans="1:8">
      <c r="A260" s="138">
        <v>45938</v>
      </c>
      <c r="B260" s="85" t="s">
        <v>1454</v>
      </c>
      <c r="C260" s="202" t="s">
        <v>1487</v>
      </c>
      <c r="D260" s="129">
        <v>25000000</v>
      </c>
      <c r="E260" s="171" t="s">
        <v>6</v>
      </c>
      <c r="F260" s="6"/>
      <c r="H260"/>
    </row>
    <row r="261" spans="1:8">
      <c r="A261" s="138">
        <v>45938</v>
      </c>
      <c r="B261" s="85" t="s">
        <v>1419</v>
      </c>
      <c r="C261" s="143" t="s">
        <v>988</v>
      </c>
      <c r="D261" s="129">
        <v>1181839.99</v>
      </c>
      <c r="E261" s="171" t="s">
        <v>6</v>
      </c>
      <c r="F261" s="6"/>
      <c r="H261"/>
    </row>
    <row r="262" spans="1:8">
      <c r="A262" s="138">
        <v>45939</v>
      </c>
      <c r="B262" s="85" t="s">
        <v>1469</v>
      </c>
      <c r="C262" s="143" t="s">
        <v>1468</v>
      </c>
      <c r="D262" s="129">
        <v>1561822.26</v>
      </c>
      <c r="E262" s="171" t="s">
        <v>6</v>
      </c>
      <c r="F262" s="6"/>
      <c r="H262"/>
    </row>
    <row r="263" spans="1:8">
      <c r="A263" s="138">
        <v>45940</v>
      </c>
      <c r="B263" s="85" t="s">
        <v>1455</v>
      </c>
      <c r="C263" s="143" t="s">
        <v>951</v>
      </c>
      <c r="D263" s="129">
        <v>887238.22</v>
      </c>
      <c r="E263" s="171" t="s">
        <v>6</v>
      </c>
      <c r="F263" s="6"/>
      <c r="H263"/>
    </row>
    <row r="264" spans="1:8">
      <c r="A264" s="138">
        <v>45940</v>
      </c>
      <c r="B264" s="85" t="s">
        <v>1470</v>
      </c>
      <c r="C264" s="143" t="s">
        <v>1471</v>
      </c>
      <c r="D264" s="129">
        <v>982800</v>
      </c>
      <c r="E264" s="171" t="s">
        <v>6</v>
      </c>
      <c r="F264" s="6"/>
      <c r="H264"/>
    </row>
    <row r="265" spans="1:8">
      <c r="A265" s="138">
        <v>45941</v>
      </c>
      <c r="B265" s="85" t="s">
        <v>1480</v>
      </c>
      <c r="C265" s="143" t="s">
        <v>865</v>
      </c>
      <c r="D265" s="129">
        <v>532400</v>
      </c>
      <c r="E265" s="171" t="s">
        <v>6</v>
      </c>
      <c r="F265" s="6"/>
      <c r="H265"/>
    </row>
    <row r="266" spans="1:8">
      <c r="A266" s="138">
        <v>45942</v>
      </c>
      <c r="B266" s="85" t="s">
        <v>1486</v>
      </c>
      <c r="C266" s="143" t="s">
        <v>1243</v>
      </c>
      <c r="D266" s="129">
        <v>859077.06</v>
      </c>
      <c r="E266" s="171" t="s">
        <v>6</v>
      </c>
      <c r="F266" s="6"/>
      <c r="H266"/>
    </row>
    <row r="267" spans="1:8">
      <c r="A267" s="138">
        <v>45942</v>
      </c>
      <c r="B267" s="85" t="s">
        <v>1456</v>
      </c>
      <c r="C267" s="143" t="s">
        <v>1472</v>
      </c>
      <c r="D267" s="129">
        <v>2600000</v>
      </c>
      <c r="E267" s="171" t="s">
        <v>6</v>
      </c>
      <c r="F267" s="6"/>
      <c r="H267"/>
    </row>
    <row r="268" spans="1:8">
      <c r="A268" s="138">
        <v>45943</v>
      </c>
      <c r="B268" s="85" t="s">
        <v>1457</v>
      </c>
      <c r="C268" s="143" t="s">
        <v>296</v>
      </c>
      <c r="D268" s="129">
        <v>1060039.92</v>
      </c>
      <c r="E268" s="171" t="s">
        <v>6</v>
      </c>
      <c r="F268" s="6"/>
      <c r="H268"/>
    </row>
    <row r="269" spans="1:8">
      <c r="A269" s="239">
        <v>45945</v>
      </c>
      <c r="B269" s="240" t="s">
        <v>1488</v>
      </c>
      <c r="C269" s="143" t="s">
        <v>1487</v>
      </c>
      <c r="D269" s="242">
        <v>1100000</v>
      </c>
      <c r="E269" s="171" t="s">
        <v>6</v>
      </c>
      <c r="F269" s="243"/>
      <c r="H269"/>
    </row>
    <row r="270" spans="1:8">
      <c r="A270" s="239">
        <v>45945</v>
      </c>
      <c r="B270" s="240" t="s">
        <v>1489</v>
      </c>
      <c r="C270" s="143" t="s">
        <v>1487</v>
      </c>
      <c r="D270" s="242">
        <v>22500000</v>
      </c>
      <c r="E270" s="171" t="s">
        <v>6</v>
      </c>
      <c r="F270" s="243"/>
      <c r="H270"/>
    </row>
    <row r="271" spans="1:8">
      <c r="A271" s="138">
        <v>45945</v>
      </c>
      <c r="B271" s="85" t="s">
        <v>1458</v>
      </c>
      <c r="C271" s="143" t="s">
        <v>304</v>
      </c>
      <c r="D271" s="129">
        <v>314745</v>
      </c>
      <c r="E271" s="171" t="s">
        <v>6</v>
      </c>
      <c r="F271" s="6"/>
      <c r="H271"/>
    </row>
    <row r="272" spans="1:8">
      <c r="A272" s="138">
        <v>45947</v>
      </c>
      <c r="B272" s="85" t="s">
        <v>1433</v>
      </c>
      <c r="C272" s="143" t="s">
        <v>280</v>
      </c>
      <c r="D272" s="129">
        <v>1733753.84</v>
      </c>
      <c r="E272" s="171" t="s">
        <v>6</v>
      </c>
      <c r="F272" s="6"/>
      <c r="H272"/>
    </row>
    <row r="273" spans="1:8">
      <c r="A273" s="138">
        <v>45949</v>
      </c>
      <c r="B273" s="85" t="s">
        <v>1461</v>
      </c>
      <c r="C273" s="143" t="s">
        <v>1436</v>
      </c>
      <c r="D273" s="129">
        <v>1095453.3400000001</v>
      </c>
      <c r="E273" s="171" t="s">
        <v>6</v>
      </c>
      <c r="F273" s="6"/>
      <c r="H273"/>
    </row>
    <row r="274" spans="1:8">
      <c r="A274" s="138">
        <v>45950</v>
      </c>
      <c r="B274" s="85" t="s">
        <v>1437</v>
      </c>
      <c r="C274" s="141" t="s">
        <v>1436</v>
      </c>
      <c r="D274" s="139">
        <v>920810</v>
      </c>
      <c r="E274" s="171" t="s">
        <v>6</v>
      </c>
      <c r="F274" s="6"/>
      <c r="H274"/>
    </row>
    <row r="275" spans="1:8">
      <c r="A275" s="239">
        <v>45950</v>
      </c>
      <c r="B275" s="240" t="s">
        <v>1492</v>
      </c>
      <c r="C275" s="241" t="s">
        <v>1493</v>
      </c>
      <c r="D275" s="242">
        <v>3000000</v>
      </c>
      <c r="E275" s="171" t="s">
        <v>6</v>
      </c>
      <c r="F275" s="243"/>
      <c r="H275"/>
    </row>
    <row r="276" spans="1:8">
      <c r="A276" s="138">
        <v>45951</v>
      </c>
      <c r="B276" s="85" t="s">
        <v>1443</v>
      </c>
      <c r="C276" s="141" t="s">
        <v>373</v>
      </c>
      <c r="D276" s="139">
        <v>625000.01</v>
      </c>
      <c r="E276" s="171" t="s">
        <v>6</v>
      </c>
      <c r="F276" s="6"/>
      <c r="H276"/>
    </row>
    <row r="277" spans="1:8">
      <c r="A277" s="138">
        <v>45953</v>
      </c>
      <c r="B277" s="85" t="s">
        <v>1464</v>
      </c>
      <c r="C277" s="141" t="s">
        <v>1465</v>
      </c>
      <c r="D277" s="139">
        <v>226999.99</v>
      </c>
      <c r="E277" s="171" t="s">
        <v>6</v>
      </c>
      <c r="F277" s="6"/>
      <c r="H277"/>
    </row>
    <row r="278" spans="1:8">
      <c r="A278" s="138">
        <v>45953</v>
      </c>
      <c r="B278" s="85" t="s">
        <v>1420</v>
      </c>
      <c r="C278" s="143" t="s">
        <v>988</v>
      </c>
      <c r="D278" s="129">
        <v>1181839.99</v>
      </c>
      <c r="E278" s="171" t="s">
        <v>6</v>
      </c>
      <c r="F278" s="6"/>
      <c r="H278"/>
    </row>
    <row r="279" spans="1:8">
      <c r="A279" s="138">
        <v>45955</v>
      </c>
      <c r="B279" s="85" t="s">
        <v>1421</v>
      </c>
      <c r="C279" s="143" t="s">
        <v>127</v>
      </c>
      <c r="D279" s="129">
        <v>12500000</v>
      </c>
      <c r="E279" s="171" t="s">
        <v>6</v>
      </c>
      <c r="F279" s="6"/>
      <c r="H279"/>
    </row>
    <row r="280" spans="1:8">
      <c r="A280" s="138">
        <v>45956</v>
      </c>
      <c r="B280" s="85" t="s">
        <v>1481</v>
      </c>
      <c r="C280" s="143" t="s">
        <v>296</v>
      </c>
      <c r="D280" s="129">
        <v>1300409.1100000001</v>
      </c>
      <c r="E280" s="171" t="s">
        <v>6</v>
      </c>
      <c r="F280" s="6"/>
      <c r="H280"/>
    </row>
    <row r="281" spans="1:8">
      <c r="A281" s="239">
        <v>45958</v>
      </c>
      <c r="B281" s="240" t="s">
        <v>1459</v>
      </c>
      <c r="C281" s="241" t="s">
        <v>296</v>
      </c>
      <c r="D281" s="242">
        <v>1060039.92</v>
      </c>
      <c r="E281" s="171" t="s">
        <v>6</v>
      </c>
      <c r="F281" s="243"/>
      <c r="H281"/>
    </row>
    <row r="282" spans="1:8">
      <c r="A282" s="249">
        <v>45960</v>
      </c>
      <c r="B282" s="250" t="s">
        <v>1511</v>
      </c>
      <c r="C282" s="251" t="s">
        <v>955</v>
      </c>
      <c r="D282" s="252">
        <v>1981138</v>
      </c>
      <c r="E282" s="221" t="s">
        <v>6</v>
      </c>
      <c r="F282" s="253"/>
      <c r="H282"/>
    </row>
    <row r="283" spans="1:8">
      <c r="A283" s="10"/>
      <c r="B283" s="11"/>
      <c r="C283" s="12" t="s">
        <v>7</v>
      </c>
      <c r="D283" s="112">
        <f>SUBTOTAL(109,Tabla1416181920212223242526323334353637503837394041424344455894[[MONTO ]])</f>
        <v>113037394.7</v>
      </c>
      <c r="E283" s="14"/>
      <c r="F283" s="15"/>
    </row>
    <row r="285" spans="1:8" ht="21">
      <c r="A285" s="339" t="s">
        <v>1506</v>
      </c>
      <c r="B285" s="339"/>
      <c r="C285" s="339"/>
      <c r="D285" s="339"/>
      <c r="E285" s="20"/>
      <c r="F285" s="20"/>
      <c r="H285"/>
    </row>
    <row r="286" spans="1:8" ht="21">
      <c r="A286" s="339"/>
      <c r="B286" s="339"/>
      <c r="C286" s="339"/>
      <c r="D286" s="339"/>
      <c r="E286" s="20"/>
      <c r="F286" s="20"/>
      <c r="H286"/>
    </row>
    <row r="287" spans="1:8">
      <c r="A287" s="7" t="s">
        <v>0</v>
      </c>
      <c r="B287" s="8" t="s">
        <v>1</v>
      </c>
      <c r="C287" s="8" t="s">
        <v>2</v>
      </c>
      <c r="D287" s="8" t="s">
        <v>3</v>
      </c>
      <c r="E287" s="8" t="s">
        <v>4</v>
      </c>
      <c r="F287" s="9" t="s">
        <v>5</v>
      </c>
      <c r="H287"/>
    </row>
    <row r="288" spans="1:8">
      <c r="A288" s="244">
        <v>45956</v>
      </c>
      <c r="B288" s="245" t="s">
        <v>1473</v>
      </c>
      <c r="C288" s="248" t="s">
        <v>1507</v>
      </c>
      <c r="D288" s="247">
        <v>23700000</v>
      </c>
      <c r="E288" s="176" t="s">
        <v>6</v>
      </c>
      <c r="F288" s="203" t="s">
        <v>1505</v>
      </c>
      <c r="H288"/>
    </row>
    <row r="289" spans="1:8">
      <c r="A289" s="10"/>
      <c r="B289" s="11"/>
      <c r="C289" s="12" t="s">
        <v>7</v>
      </c>
      <c r="D289" s="112">
        <f>SUBTOTAL(109,Tabla141618192021222324252632333435363750383739404142434445589451[[MONTO ]])</f>
        <v>23700000</v>
      </c>
      <c r="E289" s="14"/>
      <c r="F289" s="15"/>
    </row>
    <row r="291" spans="1:8" ht="21">
      <c r="A291" s="339" t="s">
        <v>1192</v>
      </c>
      <c r="B291" s="339"/>
      <c r="C291" s="339"/>
      <c r="D291" s="339"/>
      <c r="E291" s="20"/>
      <c r="F291" s="20"/>
    </row>
    <row r="292" spans="1:8" ht="21">
      <c r="A292" s="339"/>
      <c r="B292" s="339"/>
      <c r="C292" s="339"/>
      <c r="D292" s="339"/>
      <c r="E292" s="20"/>
      <c r="F292" s="20"/>
      <c r="H292"/>
    </row>
    <row r="293" spans="1:8">
      <c r="A293" s="7" t="s">
        <v>0</v>
      </c>
      <c r="B293" s="8" t="s">
        <v>1</v>
      </c>
      <c r="C293" s="8" t="s">
        <v>2</v>
      </c>
      <c r="D293" s="8" t="s">
        <v>3</v>
      </c>
      <c r="E293" s="8" t="s">
        <v>4</v>
      </c>
      <c r="F293" s="9" t="s">
        <v>5</v>
      </c>
      <c r="H293"/>
    </row>
    <row r="294" spans="1:8">
      <c r="A294" s="138">
        <v>45962</v>
      </c>
      <c r="B294" s="85" t="s">
        <v>1512</v>
      </c>
      <c r="C294" s="143" t="s">
        <v>1375</v>
      </c>
      <c r="D294" s="129">
        <v>111314.69</v>
      </c>
      <c r="E294" s="171" t="s">
        <v>6</v>
      </c>
      <c r="F294" s="6"/>
      <c r="H294"/>
    </row>
    <row r="295" spans="1:8">
      <c r="A295" s="138">
        <v>45962</v>
      </c>
      <c r="B295" s="85" t="s">
        <v>1476</v>
      </c>
      <c r="C295" s="143" t="s">
        <v>1475</v>
      </c>
      <c r="D295" s="129">
        <v>1816875</v>
      </c>
      <c r="E295" s="171" t="s">
        <v>6</v>
      </c>
      <c r="F295" s="6"/>
      <c r="H295"/>
    </row>
    <row r="296" spans="1:8">
      <c r="A296" s="138">
        <v>45964</v>
      </c>
      <c r="B296" s="85" t="s">
        <v>1490</v>
      </c>
      <c r="C296" s="143" t="s">
        <v>304</v>
      </c>
      <c r="D296" s="129">
        <v>297299.99</v>
      </c>
      <c r="E296" s="171" t="s">
        <v>6</v>
      </c>
      <c r="F296" s="6"/>
      <c r="H296"/>
    </row>
    <row r="297" spans="1:8">
      <c r="A297" s="138">
        <v>45965</v>
      </c>
      <c r="B297" s="106" t="s">
        <v>1494</v>
      </c>
      <c r="C297" s="241" t="s">
        <v>1493</v>
      </c>
      <c r="D297" s="129">
        <v>12500000</v>
      </c>
      <c r="E297" s="171" t="s">
        <v>6</v>
      </c>
      <c r="F297" s="6"/>
      <c r="H297"/>
    </row>
    <row r="298" spans="1:8">
      <c r="A298" s="138">
        <v>45967</v>
      </c>
      <c r="B298" s="106" t="s">
        <v>1495</v>
      </c>
      <c r="C298" s="241" t="s">
        <v>1493</v>
      </c>
      <c r="D298" s="129">
        <v>8430000</v>
      </c>
      <c r="E298" s="171" t="s">
        <v>6</v>
      </c>
      <c r="F298" s="6"/>
      <c r="H298"/>
    </row>
    <row r="299" spans="1:8">
      <c r="A299" s="138">
        <v>45969</v>
      </c>
      <c r="B299" s="106" t="s">
        <v>1496</v>
      </c>
      <c r="C299" s="241" t="s">
        <v>1493</v>
      </c>
      <c r="D299" s="129">
        <v>7761107.7800000003</v>
      </c>
      <c r="E299" s="171" t="s">
        <v>6</v>
      </c>
      <c r="F299" s="6"/>
      <c r="H299"/>
    </row>
    <row r="300" spans="1:8">
      <c r="A300" s="138">
        <v>45969</v>
      </c>
      <c r="B300" s="106" t="s">
        <v>1520</v>
      </c>
      <c r="C300" s="241" t="s">
        <v>988</v>
      </c>
      <c r="D300" s="129">
        <v>1110351.6599999999</v>
      </c>
      <c r="E300" s="171" t="s">
        <v>6</v>
      </c>
      <c r="F300" s="6"/>
      <c r="H300"/>
    </row>
    <row r="301" spans="1:8">
      <c r="A301" s="138">
        <v>45971</v>
      </c>
      <c r="B301" s="85" t="s">
        <v>1485</v>
      </c>
      <c r="C301" s="143" t="s">
        <v>951</v>
      </c>
      <c r="D301" s="129">
        <v>557572.23</v>
      </c>
      <c r="E301" s="171" t="s">
        <v>6</v>
      </c>
      <c r="F301" s="6"/>
      <c r="H301"/>
    </row>
    <row r="302" spans="1:8">
      <c r="A302" s="138">
        <v>45971</v>
      </c>
      <c r="B302" s="85" t="s">
        <v>1482</v>
      </c>
      <c r="C302" s="143" t="s">
        <v>296</v>
      </c>
      <c r="D302" s="129">
        <v>1300409.1100000001</v>
      </c>
      <c r="E302" s="171" t="s">
        <v>6</v>
      </c>
      <c r="F302" s="6"/>
      <c r="H302"/>
    </row>
    <row r="303" spans="1:8">
      <c r="A303" s="138">
        <v>45971</v>
      </c>
      <c r="B303" s="106" t="s">
        <v>1497</v>
      </c>
      <c r="C303" s="241" t="s">
        <v>1493</v>
      </c>
      <c r="D303" s="129">
        <v>9745000</v>
      </c>
      <c r="E303" s="171" t="s">
        <v>6</v>
      </c>
      <c r="F303" s="6"/>
      <c r="H303"/>
    </row>
    <row r="304" spans="1:8">
      <c r="A304" s="103">
        <v>45973</v>
      </c>
      <c r="B304" s="85" t="s">
        <v>1460</v>
      </c>
      <c r="C304" s="143" t="s">
        <v>1472</v>
      </c>
      <c r="D304" s="129">
        <v>2600000</v>
      </c>
      <c r="E304" s="171" t="s">
        <v>6</v>
      </c>
      <c r="F304" s="28"/>
      <c r="H304"/>
    </row>
    <row r="305" spans="1:8">
      <c r="A305" s="138">
        <v>45973</v>
      </c>
      <c r="B305" s="85" t="s">
        <v>1501</v>
      </c>
      <c r="C305" s="143" t="s">
        <v>951</v>
      </c>
      <c r="D305" s="129">
        <v>590822.24</v>
      </c>
      <c r="E305" s="171" t="s">
        <v>6</v>
      </c>
      <c r="F305" s="6"/>
      <c r="H305"/>
    </row>
    <row r="306" spans="1:8">
      <c r="A306" s="103">
        <v>45974</v>
      </c>
      <c r="B306" s="85" t="s">
        <v>1503</v>
      </c>
      <c r="C306" s="143" t="s">
        <v>865</v>
      </c>
      <c r="D306" s="129">
        <v>2200671</v>
      </c>
      <c r="E306" s="171" t="s">
        <v>6</v>
      </c>
      <c r="F306" s="28"/>
      <c r="H306"/>
    </row>
    <row r="307" spans="1:8">
      <c r="A307" s="103">
        <v>45974</v>
      </c>
      <c r="B307" s="85" t="s">
        <v>1502</v>
      </c>
      <c r="C307" s="143" t="s">
        <v>925</v>
      </c>
      <c r="D307" s="129">
        <v>503169.47</v>
      </c>
      <c r="E307" s="171" t="s">
        <v>6</v>
      </c>
      <c r="F307" s="28"/>
      <c r="H307"/>
    </row>
    <row r="308" spans="1:8">
      <c r="A308" s="103">
        <v>45975</v>
      </c>
      <c r="B308" s="85" t="s">
        <v>1498</v>
      </c>
      <c r="C308" s="143" t="s">
        <v>1436</v>
      </c>
      <c r="D308" s="129">
        <v>707850</v>
      </c>
      <c r="E308" s="171" t="s">
        <v>6</v>
      </c>
      <c r="F308" s="28"/>
      <c r="H308"/>
    </row>
    <row r="309" spans="1:8">
      <c r="A309" s="103">
        <v>45976</v>
      </c>
      <c r="B309" s="85" t="s">
        <v>1532</v>
      </c>
      <c r="C309" s="143" t="s">
        <v>990</v>
      </c>
      <c r="D309" s="129">
        <v>841158.35</v>
      </c>
      <c r="E309" s="171" t="s">
        <v>6</v>
      </c>
      <c r="F309" s="28"/>
      <c r="H309"/>
    </row>
    <row r="310" spans="1:8">
      <c r="A310" s="103">
        <v>45976</v>
      </c>
      <c r="B310" s="85" t="s">
        <v>1538</v>
      </c>
      <c r="C310" s="143" t="s">
        <v>1375</v>
      </c>
      <c r="D310" s="129">
        <v>94532.28</v>
      </c>
      <c r="E310" s="171" t="s">
        <v>6</v>
      </c>
      <c r="F310" s="28"/>
      <c r="H310"/>
    </row>
    <row r="311" spans="1:8">
      <c r="A311" s="103">
        <v>45976</v>
      </c>
      <c r="B311" s="85" t="s">
        <v>1537</v>
      </c>
      <c r="C311" s="143" t="s">
        <v>1081</v>
      </c>
      <c r="D311" s="129">
        <v>564081.74</v>
      </c>
      <c r="E311" s="171" t="s">
        <v>6</v>
      </c>
      <c r="F311" s="28"/>
      <c r="H311"/>
    </row>
    <row r="312" spans="1:8">
      <c r="A312" s="103">
        <v>45976</v>
      </c>
      <c r="B312" s="85" t="s">
        <v>1527</v>
      </c>
      <c r="C312" s="143" t="s">
        <v>1529</v>
      </c>
      <c r="D312" s="129">
        <v>3625000</v>
      </c>
      <c r="E312" s="171" t="s">
        <v>6</v>
      </c>
      <c r="F312" s="28"/>
      <c r="H312"/>
    </row>
    <row r="313" spans="1:8" s="254" customFormat="1">
      <c r="A313" s="103">
        <v>45977</v>
      </c>
      <c r="B313" s="85" t="s">
        <v>1539</v>
      </c>
      <c r="C313" s="259" t="s">
        <v>1243</v>
      </c>
      <c r="D313" s="129">
        <v>693326.14</v>
      </c>
      <c r="E313" s="176" t="s">
        <v>6</v>
      </c>
      <c r="F313" s="193"/>
    </row>
    <row r="314" spans="1:8">
      <c r="A314" s="103">
        <v>45978</v>
      </c>
      <c r="B314" s="85" t="s">
        <v>1514</v>
      </c>
      <c r="C314" s="143" t="s">
        <v>865</v>
      </c>
      <c r="D314" s="129">
        <v>550671</v>
      </c>
      <c r="E314" s="171" t="s">
        <v>6</v>
      </c>
      <c r="F314" s="28"/>
      <c r="H314"/>
    </row>
    <row r="315" spans="1:8">
      <c r="A315" s="103">
        <v>45978</v>
      </c>
      <c r="B315" s="85" t="s">
        <v>1434</v>
      </c>
      <c r="C315" s="86" t="s">
        <v>280</v>
      </c>
      <c r="D315" s="87">
        <v>1733753.84</v>
      </c>
      <c r="E315" s="153" t="s">
        <v>6</v>
      </c>
      <c r="F315" s="28"/>
      <c r="H315"/>
    </row>
    <row r="316" spans="1:8">
      <c r="A316" s="103">
        <v>45978</v>
      </c>
      <c r="B316" s="85" t="s">
        <v>1521</v>
      </c>
      <c r="C316" s="143" t="s">
        <v>1522</v>
      </c>
      <c r="D316" s="129">
        <v>842800</v>
      </c>
      <c r="E316" s="171" t="s">
        <v>6</v>
      </c>
      <c r="F316" s="28"/>
      <c r="H316"/>
    </row>
    <row r="317" spans="1:8">
      <c r="A317" s="103">
        <v>45978</v>
      </c>
      <c r="B317" s="85" t="s">
        <v>1513</v>
      </c>
      <c r="C317" s="143" t="s">
        <v>296</v>
      </c>
      <c r="D317" s="129">
        <v>1549593.75</v>
      </c>
      <c r="E317" s="171" t="s">
        <v>6</v>
      </c>
      <c r="F317" s="28"/>
      <c r="H317"/>
    </row>
    <row r="318" spans="1:8">
      <c r="A318" s="103">
        <v>45979</v>
      </c>
      <c r="B318" s="85" t="s">
        <v>1515</v>
      </c>
      <c r="C318" s="86" t="s">
        <v>840</v>
      </c>
      <c r="D318" s="87">
        <v>745299.97</v>
      </c>
      <c r="E318" s="153" t="s">
        <v>6</v>
      </c>
      <c r="F318" s="28"/>
      <c r="H318"/>
    </row>
    <row r="319" spans="1:8">
      <c r="A319" s="138">
        <v>45980</v>
      </c>
      <c r="B319" s="85" t="s">
        <v>1462</v>
      </c>
      <c r="C319" s="143" t="s">
        <v>1436</v>
      </c>
      <c r="D319" s="129">
        <v>1095453.33</v>
      </c>
      <c r="E319" s="171" t="s">
        <v>6</v>
      </c>
      <c r="F319" s="6"/>
      <c r="H319"/>
    </row>
    <row r="320" spans="1:8" s="254" customFormat="1">
      <c r="A320" s="103">
        <v>45981</v>
      </c>
      <c r="B320" s="85" t="s">
        <v>1438</v>
      </c>
      <c r="C320" s="119" t="s">
        <v>1436</v>
      </c>
      <c r="D320" s="139">
        <v>920810</v>
      </c>
      <c r="E320" s="176" t="s">
        <v>6</v>
      </c>
      <c r="F320" s="193"/>
    </row>
    <row r="321" spans="1:8">
      <c r="A321" s="103">
        <v>45982</v>
      </c>
      <c r="B321" s="85" t="s">
        <v>1444</v>
      </c>
      <c r="C321" s="141" t="s">
        <v>373</v>
      </c>
      <c r="D321" s="139">
        <v>625000.01</v>
      </c>
      <c r="E321" s="171" t="s">
        <v>6</v>
      </c>
      <c r="F321" s="28"/>
      <c r="H321"/>
    </row>
    <row r="322" spans="1:8">
      <c r="A322" s="138">
        <v>45984</v>
      </c>
      <c r="B322" s="85" t="s">
        <v>1466</v>
      </c>
      <c r="C322" s="141" t="s">
        <v>1465</v>
      </c>
      <c r="D322" s="139">
        <v>226999.99</v>
      </c>
      <c r="E322" s="171" t="s">
        <v>6</v>
      </c>
      <c r="F322" s="6"/>
      <c r="H322"/>
    </row>
    <row r="323" spans="1:8">
      <c r="A323" s="138">
        <v>45985</v>
      </c>
      <c r="B323" s="85" t="s">
        <v>1523</v>
      </c>
      <c r="C323" s="141" t="s">
        <v>840</v>
      </c>
      <c r="D323" s="139">
        <v>518146.04</v>
      </c>
      <c r="E323" s="171" t="s">
        <v>6</v>
      </c>
      <c r="F323" s="6"/>
      <c r="H323"/>
    </row>
    <row r="324" spans="1:8">
      <c r="A324" s="138">
        <v>45986</v>
      </c>
      <c r="B324" s="85" t="s">
        <v>1483</v>
      </c>
      <c r="C324" s="143" t="s">
        <v>296</v>
      </c>
      <c r="D324" s="129">
        <v>1300409.1100000001</v>
      </c>
      <c r="E324" s="171" t="s">
        <v>6</v>
      </c>
      <c r="F324" s="6"/>
      <c r="H324"/>
    </row>
    <row r="325" spans="1:8">
      <c r="A325" s="138">
        <v>45986</v>
      </c>
      <c r="B325" s="85" t="s">
        <v>1524</v>
      </c>
      <c r="C325" s="141" t="s">
        <v>865</v>
      </c>
      <c r="D325" s="139">
        <v>772282.5</v>
      </c>
      <c r="E325" s="171" t="s">
        <v>6</v>
      </c>
      <c r="F325" s="6"/>
      <c r="H325"/>
    </row>
    <row r="326" spans="1:8" ht="14.4" customHeight="1">
      <c r="A326" s="103">
        <v>45986</v>
      </c>
      <c r="B326" s="85" t="s">
        <v>1422</v>
      </c>
      <c r="C326" s="143" t="s">
        <v>127</v>
      </c>
      <c r="D326" s="87">
        <v>12500000</v>
      </c>
      <c r="E326" s="153" t="s">
        <v>6</v>
      </c>
      <c r="F326" s="28"/>
      <c r="H326"/>
    </row>
    <row r="327" spans="1:8" ht="14.4" customHeight="1">
      <c r="A327" s="103">
        <v>45990</v>
      </c>
      <c r="B327" s="85" t="s">
        <v>1563</v>
      </c>
      <c r="C327" s="143" t="s">
        <v>1565</v>
      </c>
      <c r="D327" s="87">
        <v>4625000</v>
      </c>
      <c r="E327" s="153" t="s">
        <v>6</v>
      </c>
      <c r="F327" s="28"/>
      <c r="H327"/>
    </row>
    <row r="328" spans="1:8" ht="14.4" customHeight="1">
      <c r="A328" s="103">
        <v>45991</v>
      </c>
      <c r="B328" s="85" t="s">
        <v>1542</v>
      </c>
      <c r="C328" s="143" t="s">
        <v>420</v>
      </c>
      <c r="D328" s="87">
        <v>1748654</v>
      </c>
      <c r="E328" s="153" t="s">
        <v>6</v>
      </c>
      <c r="F328" s="28"/>
      <c r="H328"/>
    </row>
    <row r="329" spans="1:8" ht="14.4" customHeight="1">
      <c r="A329" s="103">
        <v>45991</v>
      </c>
      <c r="B329" s="85" t="s">
        <v>1530</v>
      </c>
      <c r="C329" s="143" t="s">
        <v>1436</v>
      </c>
      <c r="D329" s="87">
        <v>1072866.67</v>
      </c>
      <c r="E329" s="153" t="s">
        <v>6</v>
      </c>
      <c r="F329" s="28"/>
      <c r="H329"/>
    </row>
    <row r="330" spans="1:8" ht="14.4" customHeight="1">
      <c r="A330" s="103">
        <v>45991</v>
      </c>
      <c r="B330" s="85" t="s">
        <v>1528</v>
      </c>
      <c r="C330" s="143" t="s">
        <v>1529</v>
      </c>
      <c r="D330" s="87">
        <v>3625000</v>
      </c>
      <c r="E330" s="153" t="s">
        <v>6</v>
      </c>
      <c r="F330" s="28"/>
      <c r="H330"/>
    </row>
    <row r="331" spans="1:8">
      <c r="A331" s="10"/>
      <c r="B331" s="11"/>
      <c r="C331" s="12" t="s">
        <v>7</v>
      </c>
      <c r="D331" s="112">
        <f>SUBTOTAL(109,Tabla141618192021222324252632333435363750383739404142434445465995[[MONTO ]])</f>
        <v>90503281.890000001</v>
      </c>
      <c r="E331" s="14"/>
      <c r="F331" s="15"/>
      <c r="H331"/>
    </row>
    <row r="333" spans="1:8" ht="21">
      <c r="A333" s="339" t="s">
        <v>1508</v>
      </c>
      <c r="B333" s="339"/>
      <c r="C333" s="339"/>
      <c r="D333" s="339"/>
      <c r="E333" s="20"/>
      <c r="F333" s="20"/>
      <c r="H333"/>
    </row>
    <row r="334" spans="1:8" ht="21">
      <c r="A334" s="339"/>
      <c r="B334" s="339"/>
      <c r="C334" s="339"/>
      <c r="D334" s="339"/>
      <c r="E334" s="20"/>
      <c r="F334" s="20"/>
      <c r="H334"/>
    </row>
    <row r="335" spans="1:8">
      <c r="A335" s="7" t="s">
        <v>0</v>
      </c>
      <c r="B335" s="8" t="s">
        <v>1</v>
      </c>
      <c r="C335" s="8" t="s">
        <v>2</v>
      </c>
      <c r="D335" s="8" t="s">
        <v>3</v>
      </c>
      <c r="E335" s="8" t="s">
        <v>4</v>
      </c>
      <c r="F335" s="9" t="s">
        <v>5</v>
      </c>
      <c r="H335"/>
    </row>
    <row r="336" spans="1:8">
      <c r="A336" s="244">
        <v>45969</v>
      </c>
      <c r="B336" s="245" t="s">
        <v>1491</v>
      </c>
      <c r="C336" s="246" t="s">
        <v>1507</v>
      </c>
      <c r="D336" s="247">
        <v>48250000</v>
      </c>
      <c r="E336" s="171" t="s">
        <v>6</v>
      </c>
      <c r="F336" s="6"/>
      <c r="H336"/>
    </row>
    <row r="337" spans="1:8">
      <c r="A337" s="244">
        <v>45973</v>
      </c>
      <c r="B337" s="245" t="s">
        <v>1535</v>
      </c>
      <c r="C337" s="246" t="s">
        <v>1536</v>
      </c>
      <c r="D337" s="247">
        <v>7700000</v>
      </c>
      <c r="E337" s="171" t="s">
        <v>6</v>
      </c>
      <c r="F337" s="6"/>
      <c r="H337"/>
    </row>
    <row r="338" spans="1:8">
      <c r="A338" s="244">
        <v>45976</v>
      </c>
      <c r="B338" s="245" t="s">
        <v>1504</v>
      </c>
      <c r="C338" s="246" t="s">
        <v>1507</v>
      </c>
      <c r="D338" s="247">
        <v>25900000</v>
      </c>
      <c r="E338" s="171" t="s">
        <v>6</v>
      </c>
      <c r="F338" s="6"/>
      <c r="H338"/>
    </row>
    <row r="339" spans="1:8">
      <c r="A339" s="244">
        <v>45982</v>
      </c>
      <c r="B339" s="245" t="s">
        <v>1540</v>
      </c>
      <c r="C339" s="246" t="s">
        <v>1541</v>
      </c>
      <c r="D339" s="247">
        <v>10650000</v>
      </c>
      <c r="E339" s="171" t="s">
        <v>6</v>
      </c>
      <c r="F339" s="6"/>
      <c r="H339"/>
    </row>
    <row r="340" spans="1:8">
      <c r="A340" s="244">
        <v>45988</v>
      </c>
      <c r="B340" s="245" t="s">
        <v>1519</v>
      </c>
      <c r="C340" s="246" t="s">
        <v>1507</v>
      </c>
      <c r="D340" s="247">
        <v>25350000</v>
      </c>
      <c r="E340" s="171" t="s">
        <v>6</v>
      </c>
      <c r="F340" s="6"/>
      <c r="H340"/>
    </row>
    <row r="341" spans="1:8">
      <c r="A341" s="10"/>
      <c r="B341" s="11"/>
      <c r="C341" s="12" t="s">
        <v>7</v>
      </c>
      <c r="D341" s="112">
        <f>SUBTOTAL(109,Tabla14161819202122232425263233343536375038373940414243444558945152[[MONTO ]])</f>
        <v>117850000</v>
      </c>
      <c r="E341" s="14"/>
      <c r="F341" s="15"/>
    </row>
    <row r="343" spans="1:8" ht="21">
      <c r="A343" s="339" t="s">
        <v>1193</v>
      </c>
      <c r="B343" s="339"/>
      <c r="C343" s="339"/>
      <c r="D343" s="339"/>
      <c r="E343" s="20"/>
      <c r="F343" s="20"/>
      <c r="H343"/>
    </row>
    <row r="344" spans="1:8" ht="21">
      <c r="A344" s="339"/>
      <c r="B344" s="339"/>
      <c r="C344" s="339"/>
      <c r="D344" s="339"/>
      <c r="E344" s="20"/>
      <c r="F344" s="20"/>
      <c r="H344"/>
    </row>
    <row r="345" spans="1:8">
      <c r="A345" s="7" t="s">
        <v>0</v>
      </c>
      <c r="B345" s="8" t="s">
        <v>1</v>
      </c>
      <c r="C345" s="8" t="s">
        <v>2</v>
      </c>
      <c r="D345" s="8" t="s">
        <v>3</v>
      </c>
      <c r="E345" s="8" t="s">
        <v>4</v>
      </c>
      <c r="F345" s="9" t="s">
        <v>5</v>
      </c>
      <c r="H345"/>
    </row>
    <row r="346" spans="1:8">
      <c r="A346" s="239">
        <v>45992</v>
      </c>
      <c r="B346" s="240" t="s">
        <v>1534</v>
      </c>
      <c r="C346" s="141" t="s">
        <v>951</v>
      </c>
      <c r="D346" s="242">
        <v>669166.16</v>
      </c>
      <c r="E346" s="171" t="s">
        <v>6</v>
      </c>
      <c r="F346" s="243"/>
      <c r="H346"/>
    </row>
    <row r="347" spans="1:8">
      <c r="A347" s="138">
        <v>45992</v>
      </c>
      <c r="B347" s="85" t="s">
        <v>1543</v>
      </c>
      <c r="C347" s="143" t="s">
        <v>1475</v>
      </c>
      <c r="D347" s="129">
        <v>552000</v>
      </c>
      <c r="E347" s="171" t="s">
        <v>6</v>
      </c>
      <c r="F347" s="6"/>
      <c r="H347"/>
    </row>
    <row r="348" spans="1:8">
      <c r="A348" s="138">
        <v>45992</v>
      </c>
      <c r="B348" s="85" t="s">
        <v>1477</v>
      </c>
      <c r="C348" s="143" t="s">
        <v>1475</v>
      </c>
      <c r="D348" s="129">
        <v>1816875</v>
      </c>
      <c r="E348" s="171" t="s">
        <v>6</v>
      </c>
      <c r="F348" s="6"/>
      <c r="H348"/>
    </row>
    <row r="349" spans="1:8">
      <c r="A349" s="138">
        <v>45993</v>
      </c>
      <c r="B349" s="85" t="s">
        <v>1516</v>
      </c>
      <c r="C349" s="143" t="s">
        <v>296</v>
      </c>
      <c r="D349" s="129">
        <v>1549593.75</v>
      </c>
      <c r="E349" s="171" t="s">
        <v>6</v>
      </c>
      <c r="F349" s="6"/>
      <c r="H349"/>
    </row>
    <row r="350" spans="1:8">
      <c r="A350" s="138">
        <v>45999</v>
      </c>
      <c r="B350" s="85" t="s">
        <v>1525</v>
      </c>
      <c r="C350" s="143" t="s">
        <v>988</v>
      </c>
      <c r="D350" s="129">
        <v>1110351.6599999999</v>
      </c>
      <c r="E350" s="171" t="s">
        <v>6</v>
      </c>
      <c r="F350" s="6"/>
      <c r="H350"/>
    </row>
    <row r="351" spans="1:8" ht="15" customHeight="1">
      <c r="A351" s="138">
        <v>46001</v>
      </c>
      <c r="B351" s="85" t="s">
        <v>1484</v>
      </c>
      <c r="C351" s="143" t="s">
        <v>296</v>
      </c>
      <c r="D351" s="129">
        <v>1300409.1100000001</v>
      </c>
      <c r="E351" s="171" t="s">
        <v>6</v>
      </c>
      <c r="F351" s="6"/>
      <c r="H351"/>
    </row>
    <row r="352" spans="1:8" ht="15" customHeight="1">
      <c r="A352" s="138">
        <v>46002</v>
      </c>
      <c r="B352" s="85" t="s">
        <v>1561</v>
      </c>
      <c r="C352" s="143" t="s">
        <v>1243</v>
      </c>
      <c r="D352" s="129">
        <v>689380.56</v>
      </c>
      <c r="E352" s="171" t="s">
        <v>6</v>
      </c>
      <c r="F352" s="6"/>
      <c r="H352"/>
    </row>
    <row r="353" spans="1:8">
      <c r="A353" s="138">
        <v>46005</v>
      </c>
      <c r="B353" s="85" t="s">
        <v>1545</v>
      </c>
      <c r="C353" s="143" t="s">
        <v>840</v>
      </c>
      <c r="D353" s="129">
        <v>1450752.3</v>
      </c>
      <c r="E353" s="171" t="s">
        <v>6</v>
      </c>
      <c r="F353" s="6"/>
      <c r="H353"/>
    </row>
    <row r="354" spans="1:8">
      <c r="A354" s="103">
        <v>46005</v>
      </c>
      <c r="B354" s="85" t="s">
        <v>1499</v>
      </c>
      <c r="C354" s="143" t="s">
        <v>1436</v>
      </c>
      <c r="D354" s="129">
        <v>707850</v>
      </c>
      <c r="E354" s="171" t="s">
        <v>6</v>
      </c>
      <c r="F354" s="28"/>
      <c r="H354"/>
    </row>
    <row r="355" spans="1:8">
      <c r="A355" s="138">
        <v>46005</v>
      </c>
      <c r="B355" s="85" t="s">
        <v>1546</v>
      </c>
      <c r="C355" s="143" t="s">
        <v>951</v>
      </c>
      <c r="D355" s="129">
        <v>763214.21</v>
      </c>
      <c r="E355" s="171" t="s">
        <v>6</v>
      </c>
      <c r="F355" s="6"/>
      <c r="H355"/>
    </row>
    <row r="356" spans="1:8">
      <c r="A356" s="239">
        <v>46008</v>
      </c>
      <c r="B356" s="240" t="s">
        <v>1517</v>
      </c>
      <c r="C356" s="141" t="s">
        <v>296</v>
      </c>
      <c r="D356" s="242">
        <v>1549593.75</v>
      </c>
      <c r="E356" s="171" t="s">
        <v>6</v>
      </c>
      <c r="F356" s="243"/>
      <c r="H356"/>
    </row>
    <row r="357" spans="1:8">
      <c r="A357" s="138">
        <v>46010</v>
      </c>
      <c r="B357" s="85" t="s">
        <v>1463</v>
      </c>
      <c r="C357" s="143" t="s">
        <v>1436</v>
      </c>
      <c r="D357" s="129">
        <v>1095453.33</v>
      </c>
      <c r="E357" s="171" t="s">
        <v>6</v>
      </c>
      <c r="F357" s="6"/>
      <c r="H357"/>
    </row>
    <row r="358" spans="1:8">
      <c r="A358" s="138">
        <v>46011</v>
      </c>
      <c r="B358" s="85" t="s">
        <v>1439</v>
      </c>
      <c r="C358" s="141" t="s">
        <v>1436</v>
      </c>
      <c r="D358" s="139">
        <v>920810</v>
      </c>
      <c r="E358" s="171" t="s">
        <v>6</v>
      </c>
      <c r="F358" s="6"/>
      <c r="H358"/>
    </row>
    <row r="359" spans="1:8">
      <c r="A359" s="138">
        <v>46011</v>
      </c>
      <c r="B359" s="85" t="s">
        <v>1548</v>
      </c>
      <c r="C359" s="143" t="s">
        <v>127</v>
      </c>
      <c r="D359" s="129">
        <v>10000000</v>
      </c>
      <c r="E359" s="171" t="s">
        <v>6</v>
      </c>
      <c r="F359" s="6"/>
      <c r="H359"/>
    </row>
    <row r="360" spans="1:8">
      <c r="A360" s="138">
        <v>46012</v>
      </c>
      <c r="B360" s="85" t="s">
        <v>1445</v>
      </c>
      <c r="C360" s="141" t="s">
        <v>373</v>
      </c>
      <c r="D360" s="139">
        <v>625000.01</v>
      </c>
      <c r="E360" s="171" t="s">
        <v>6</v>
      </c>
      <c r="F360" s="6"/>
      <c r="H360"/>
    </row>
    <row r="361" spans="1:8">
      <c r="A361" s="138">
        <v>46014</v>
      </c>
      <c r="B361" s="85" t="s">
        <v>1526</v>
      </c>
      <c r="C361" s="143" t="s">
        <v>988</v>
      </c>
      <c r="D361" s="129">
        <v>1110351.6599999999</v>
      </c>
      <c r="E361" s="171" t="s">
        <v>6</v>
      </c>
      <c r="F361" s="6"/>
      <c r="H361"/>
    </row>
    <row r="362" spans="1:8">
      <c r="A362" s="138">
        <v>46016</v>
      </c>
      <c r="B362" s="85" t="s">
        <v>1549</v>
      </c>
      <c r="C362" s="143" t="s">
        <v>127</v>
      </c>
      <c r="D362" s="129">
        <v>10000000</v>
      </c>
      <c r="E362" s="171" t="s">
        <v>6</v>
      </c>
      <c r="F362" s="6"/>
      <c r="H362"/>
    </row>
    <row r="363" spans="1:8">
      <c r="A363" s="138">
        <v>46019</v>
      </c>
      <c r="B363" s="85" t="s">
        <v>1559</v>
      </c>
      <c r="C363" s="143" t="s">
        <v>1465</v>
      </c>
      <c r="D363" s="129">
        <v>248600</v>
      </c>
      <c r="E363" s="171" t="s">
        <v>6</v>
      </c>
      <c r="F363" s="6"/>
      <c r="H363"/>
    </row>
    <row r="364" spans="1:8">
      <c r="A364" s="103">
        <v>46020</v>
      </c>
      <c r="B364" s="85" t="s">
        <v>1564</v>
      </c>
      <c r="C364" s="143" t="s">
        <v>1565</v>
      </c>
      <c r="D364" s="87">
        <v>4625000</v>
      </c>
      <c r="E364" s="153" t="s">
        <v>6</v>
      </c>
      <c r="F364" s="28"/>
      <c r="H364"/>
    </row>
    <row r="365" spans="1:8">
      <c r="A365" s="138">
        <v>46021</v>
      </c>
      <c r="B365" s="85" t="s">
        <v>1550</v>
      </c>
      <c r="C365" s="143" t="s">
        <v>127</v>
      </c>
      <c r="D365" s="129">
        <v>10000000</v>
      </c>
      <c r="E365" s="171" t="s">
        <v>6</v>
      </c>
      <c r="F365" s="6"/>
      <c r="H365"/>
    </row>
    <row r="366" spans="1:8" ht="14.4" customHeight="1">
      <c r="A366" s="103">
        <v>46021</v>
      </c>
      <c r="B366" s="85" t="s">
        <v>1531</v>
      </c>
      <c r="C366" s="143" t="s">
        <v>1436</v>
      </c>
      <c r="D366" s="87">
        <v>1072866.67</v>
      </c>
      <c r="E366" s="153" t="s">
        <v>6</v>
      </c>
      <c r="F366" s="28"/>
      <c r="H366"/>
    </row>
    <row r="367" spans="1:8">
      <c r="A367" s="103">
        <v>46021</v>
      </c>
      <c r="B367" s="85" t="s">
        <v>1567</v>
      </c>
      <c r="C367" s="143" t="s">
        <v>1400</v>
      </c>
      <c r="D367" s="87">
        <v>1804520</v>
      </c>
      <c r="E367" s="153" t="s">
        <v>6</v>
      </c>
      <c r="F367" s="28"/>
      <c r="H367"/>
    </row>
    <row r="368" spans="1:8">
      <c r="A368" s="10"/>
      <c r="B368" s="11"/>
      <c r="C368" s="12" t="s">
        <v>7</v>
      </c>
      <c r="D368" s="112">
        <f>SUM(D346:D367)</f>
        <v>53661788.170000002</v>
      </c>
      <c r="E368" s="14"/>
      <c r="F368" s="15"/>
      <c r="H368"/>
    </row>
    <row r="370" spans="1:8" ht="21">
      <c r="A370" s="339" t="s">
        <v>1509</v>
      </c>
      <c r="B370" s="339"/>
      <c r="C370" s="339"/>
      <c r="D370" s="339"/>
      <c r="E370" s="20"/>
      <c r="F370" s="20"/>
      <c r="H370"/>
    </row>
    <row r="371" spans="1:8" ht="21">
      <c r="A371" s="339"/>
      <c r="B371" s="339"/>
      <c r="C371" s="339"/>
      <c r="D371" s="339"/>
      <c r="E371" s="20"/>
      <c r="F371" s="20"/>
      <c r="H371"/>
    </row>
    <row r="372" spans="1:8">
      <c r="A372" s="7" t="s">
        <v>0</v>
      </c>
      <c r="B372" s="8" t="s">
        <v>1</v>
      </c>
      <c r="C372" s="8" t="s">
        <v>2</v>
      </c>
      <c r="D372" s="8" t="s">
        <v>3</v>
      </c>
      <c r="E372" s="8" t="s">
        <v>4</v>
      </c>
      <c r="F372" s="9" t="s">
        <v>5</v>
      </c>
      <c r="H372"/>
    </row>
    <row r="373" spans="1:8">
      <c r="A373" s="244">
        <v>46001</v>
      </c>
      <c r="B373" s="245" t="s">
        <v>1544</v>
      </c>
      <c r="C373" s="246" t="s">
        <v>1566</v>
      </c>
      <c r="D373" s="247">
        <v>0</v>
      </c>
      <c r="E373" s="255" t="s">
        <v>6</v>
      </c>
      <c r="F373" s="256"/>
      <c r="H373"/>
    </row>
    <row r="374" spans="1:8">
      <c r="A374" s="244">
        <v>46011</v>
      </c>
      <c r="B374" s="245" t="s">
        <v>1558</v>
      </c>
      <c r="C374" s="246" t="s">
        <v>1507</v>
      </c>
      <c r="D374" s="247">
        <v>10600000</v>
      </c>
      <c r="E374" s="255" t="s">
        <v>6</v>
      </c>
      <c r="F374" s="256"/>
      <c r="H374"/>
    </row>
    <row r="375" spans="1:8">
      <c r="A375" s="10"/>
      <c r="B375" s="11"/>
      <c r="C375" s="12" t="s">
        <v>7</v>
      </c>
      <c r="D375" s="112">
        <f>SUBTOTAL(109,Tabla1416181920212223242526323334353637503837394041424344455894515253[[MONTO ]])</f>
        <v>10600000</v>
      </c>
      <c r="E375" s="14"/>
      <c r="F375" s="15"/>
    </row>
  </sheetData>
  <mergeCells count="15">
    <mergeCell ref="A370:D371"/>
    <mergeCell ref="A172:D173"/>
    <mergeCell ref="A1:D2"/>
    <mergeCell ref="A37:D38"/>
    <mergeCell ref="A56:D57"/>
    <mergeCell ref="A82:D83"/>
    <mergeCell ref="A111:D112"/>
    <mergeCell ref="A142:D143"/>
    <mergeCell ref="A198:D199"/>
    <mergeCell ref="A219:D220"/>
    <mergeCell ref="A252:D253"/>
    <mergeCell ref="A291:D292"/>
    <mergeCell ref="A343:D344"/>
    <mergeCell ref="A285:D286"/>
    <mergeCell ref="A333:D334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H400"/>
  <sheetViews>
    <sheetView tabSelected="1" topLeftCell="A119" zoomScale="120" zoomScaleNormal="120" workbookViewId="0">
      <selection activeCell="A299" sqref="A299:XFD302"/>
    </sheetView>
  </sheetViews>
  <sheetFormatPr baseColWidth="10" defaultRowHeight="14.4"/>
  <cols>
    <col min="1" max="2" width="15.6640625" customWidth="1"/>
    <col min="3" max="3" width="65.44140625" bestFit="1" customWidth="1"/>
    <col min="4" max="4" width="16.6640625" customWidth="1"/>
    <col min="5" max="5" width="22.109375" bestFit="1" customWidth="1"/>
    <col min="6" max="6" width="22.21875" bestFit="1" customWidth="1"/>
    <col min="7" max="7" width="3.44140625" customWidth="1"/>
    <col min="8" max="8" width="41.21875" style="19" customWidth="1"/>
  </cols>
  <sheetData>
    <row r="1" spans="1:8" ht="21">
      <c r="A1" s="339" t="s">
        <v>1479</v>
      </c>
      <c r="B1" s="339"/>
      <c r="C1" s="339"/>
      <c r="D1" s="339"/>
      <c r="E1" s="20"/>
      <c r="F1" s="20"/>
    </row>
    <row r="2" spans="1:8" ht="21">
      <c r="A2" s="339"/>
      <c r="B2" s="339"/>
      <c r="C2" s="339"/>
      <c r="D2" s="339"/>
      <c r="E2" s="20"/>
      <c r="F2" s="20"/>
    </row>
    <row r="3" spans="1:8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8" hidden="1">
      <c r="A4" s="260">
        <v>46023</v>
      </c>
      <c r="B4" s="261" t="s">
        <v>1568</v>
      </c>
      <c r="C4" s="262" t="s">
        <v>1158</v>
      </c>
      <c r="D4" s="263">
        <v>650337.18999999994</v>
      </c>
      <c r="E4" s="171" t="s">
        <v>6</v>
      </c>
      <c r="F4" s="264"/>
    </row>
    <row r="5" spans="1:8" hidden="1">
      <c r="A5" s="138">
        <v>46023</v>
      </c>
      <c r="B5" s="85" t="s">
        <v>1478</v>
      </c>
      <c r="C5" s="143" t="s">
        <v>1475</v>
      </c>
      <c r="D5" s="129">
        <v>1816875</v>
      </c>
      <c r="E5" s="171" t="s">
        <v>6</v>
      </c>
      <c r="F5" s="6"/>
      <c r="H5"/>
    </row>
    <row r="6" spans="1:8" hidden="1">
      <c r="A6" s="138">
        <v>46024</v>
      </c>
      <c r="B6" s="85" t="s">
        <v>1518</v>
      </c>
      <c r="C6" s="141" t="s">
        <v>296</v>
      </c>
      <c r="D6" s="242">
        <v>1549593.75</v>
      </c>
      <c r="E6" s="171" t="s">
        <v>6</v>
      </c>
      <c r="F6" s="6"/>
      <c r="H6"/>
    </row>
    <row r="7" spans="1:8" hidden="1">
      <c r="A7" s="260">
        <v>46025</v>
      </c>
      <c r="B7" s="261" t="s">
        <v>1576</v>
      </c>
      <c r="C7" s="262" t="s">
        <v>1243</v>
      </c>
      <c r="D7" s="263">
        <v>428687.88</v>
      </c>
      <c r="E7" s="171" t="s">
        <v>6</v>
      </c>
      <c r="F7" s="264"/>
      <c r="H7"/>
    </row>
    <row r="8" spans="1:8" hidden="1">
      <c r="A8" s="138">
        <v>46026</v>
      </c>
      <c r="B8" s="85" t="s">
        <v>1569</v>
      </c>
      <c r="C8" s="143" t="s">
        <v>865</v>
      </c>
      <c r="D8" s="175">
        <v>1164473.75</v>
      </c>
      <c r="E8" s="171" t="s">
        <v>6</v>
      </c>
      <c r="F8" s="6"/>
      <c r="H8"/>
    </row>
    <row r="9" spans="1:8" hidden="1">
      <c r="A9" s="138">
        <v>46027</v>
      </c>
      <c r="B9" s="85" t="s">
        <v>1570</v>
      </c>
      <c r="C9" s="143" t="s">
        <v>1436</v>
      </c>
      <c r="D9" s="175">
        <v>1426791.66</v>
      </c>
      <c r="E9" s="171" t="s">
        <v>6</v>
      </c>
      <c r="F9" s="6"/>
      <c r="H9"/>
    </row>
    <row r="10" spans="1:8" hidden="1">
      <c r="A10" s="260">
        <v>46028</v>
      </c>
      <c r="B10" s="85" t="s">
        <v>1577</v>
      </c>
      <c r="C10" s="143" t="s">
        <v>1578</v>
      </c>
      <c r="D10" s="263">
        <v>3500000</v>
      </c>
      <c r="E10" s="171" t="s">
        <v>6</v>
      </c>
      <c r="F10" s="264"/>
      <c r="H10"/>
    </row>
    <row r="11" spans="1:8" hidden="1">
      <c r="A11" s="239">
        <v>45671</v>
      </c>
      <c r="B11" s="257" t="s">
        <v>1551</v>
      </c>
      <c r="C11" s="222" t="s">
        <v>951</v>
      </c>
      <c r="D11" s="258">
        <v>763214.21</v>
      </c>
      <c r="E11" s="171" t="s">
        <v>6</v>
      </c>
      <c r="F11" s="243"/>
      <c r="H11"/>
    </row>
    <row r="12" spans="1:8" hidden="1">
      <c r="A12" s="138">
        <v>46036</v>
      </c>
      <c r="B12" s="85" t="s">
        <v>1500</v>
      </c>
      <c r="C12" s="143" t="s">
        <v>1436</v>
      </c>
      <c r="D12" s="129">
        <v>707850</v>
      </c>
      <c r="E12" s="171" t="s">
        <v>6</v>
      </c>
      <c r="F12" s="6"/>
      <c r="H12"/>
    </row>
    <row r="13" spans="1:8" hidden="1">
      <c r="A13" s="56">
        <v>46038</v>
      </c>
      <c r="B13" s="220" t="s">
        <v>1579</v>
      </c>
      <c r="C13" s="86" t="s">
        <v>1580</v>
      </c>
      <c r="D13" s="183">
        <v>424952.98</v>
      </c>
      <c r="E13" s="221" t="s">
        <v>6</v>
      </c>
      <c r="F13" s="28"/>
      <c r="H13"/>
    </row>
    <row r="14" spans="1:8" hidden="1">
      <c r="A14" s="56">
        <v>46039</v>
      </c>
      <c r="B14" s="220" t="s">
        <v>1581</v>
      </c>
      <c r="C14" s="86" t="s">
        <v>1210</v>
      </c>
      <c r="D14" s="183">
        <v>1512379</v>
      </c>
      <c r="E14" s="221" t="s">
        <v>6</v>
      </c>
      <c r="F14" s="28"/>
      <c r="H14"/>
    </row>
    <row r="15" spans="1:8" hidden="1">
      <c r="A15" s="56">
        <v>46041</v>
      </c>
      <c r="B15" s="220" t="s">
        <v>1582</v>
      </c>
      <c r="C15" s="86" t="s">
        <v>951</v>
      </c>
      <c r="D15" s="183">
        <v>1181335.6399999999</v>
      </c>
      <c r="E15" s="221" t="s">
        <v>6</v>
      </c>
      <c r="F15" s="28"/>
      <c r="H15"/>
    </row>
    <row r="16" spans="1:8" hidden="1">
      <c r="A16" s="138">
        <v>46042</v>
      </c>
      <c r="B16" s="85" t="s">
        <v>1552</v>
      </c>
      <c r="C16" s="143" t="s">
        <v>127</v>
      </c>
      <c r="D16" s="129">
        <v>15000000</v>
      </c>
      <c r="E16" s="171" t="s">
        <v>6</v>
      </c>
      <c r="F16" s="6"/>
      <c r="H16"/>
    </row>
    <row r="17" spans="1:8" hidden="1">
      <c r="A17" s="138">
        <v>46052</v>
      </c>
      <c r="B17" s="85" t="s">
        <v>1583</v>
      </c>
      <c r="C17" s="143" t="s">
        <v>1400</v>
      </c>
      <c r="D17" s="129">
        <v>1450167</v>
      </c>
      <c r="E17" s="171" t="s">
        <v>6</v>
      </c>
      <c r="F17" s="6"/>
      <c r="H17"/>
    </row>
    <row r="18" spans="1:8" hidden="1">
      <c r="A18" s="138">
        <v>46052</v>
      </c>
      <c r="B18" s="85" t="s">
        <v>1560</v>
      </c>
      <c r="C18" s="143" t="s">
        <v>1465</v>
      </c>
      <c r="D18" s="129">
        <v>248600</v>
      </c>
      <c r="E18" s="171" t="s">
        <v>6</v>
      </c>
      <c r="F18" s="6"/>
      <c r="H18"/>
    </row>
    <row r="19" spans="1:8" hidden="1">
      <c r="A19" s="138">
        <v>46052</v>
      </c>
      <c r="B19" s="85" t="s">
        <v>1533</v>
      </c>
      <c r="C19" s="143" t="s">
        <v>1436</v>
      </c>
      <c r="D19" s="129">
        <v>1072866.6599999999</v>
      </c>
      <c r="E19" s="171" t="s">
        <v>6</v>
      </c>
      <c r="F19" s="6"/>
      <c r="H19"/>
    </row>
    <row r="20" spans="1:8" hidden="1">
      <c r="A20" s="138">
        <v>46052</v>
      </c>
      <c r="B20" s="85" t="s">
        <v>1553</v>
      </c>
      <c r="C20" s="143" t="s">
        <v>127</v>
      </c>
      <c r="D20" s="129">
        <v>15000000</v>
      </c>
      <c r="E20" s="171" t="s">
        <v>6</v>
      </c>
      <c r="F20" s="6"/>
      <c r="H20"/>
    </row>
    <row r="21" spans="1:8" hidden="1">
      <c r="A21" s="138">
        <v>46053</v>
      </c>
      <c r="B21" s="85" t="s">
        <v>1584</v>
      </c>
      <c r="C21" s="143" t="s">
        <v>1375</v>
      </c>
      <c r="D21" s="129">
        <v>78095.97</v>
      </c>
      <c r="E21" s="171" t="s">
        <v>6</v>
      </c>
      <c r="F21" s="6"/>
      <c r="H21"/>
    </row>
    <row r="22" spans="1:8">
      <c r="A22" s="10"/>
      <c r="B22" s="11"/>
      <c r="C22" s="12" t="s">
        <v>7</v>
      </c>
      <c r="D22" s="112">
        <v>0</v>
      </c>
      <c r="E22" s="14"/>
      <c r="F22" s="15"/>
    </row>
    <row r="24" spans="1:8" ht="21">
      <c r="A24" s="339" t="s">
        <v>1510</v>
      </c>
      <c r="B24" s="339"/>
      <c r="C24" s="339"/>
      <c r="D24" s="339"/>
      <c r="E24" s="20"/>
      <c r="F24" s="20"/>
      <c r="H24"/>
    </row>
    <row r="25" spans="1:8" ht="21">
      <c r="A25" s="339"/>
      <c r="B25" s="339"/>
      <c r="C25" s="339"/>
      <c r="D25" s="339"/>
      <c r="E25" s="20"/>
      <c r="F25" s="20"/>
      <c r="H25"/>
    </row>
    <row r="26" spans="1:8">
      <c r="A26" s="7" t="s">
        <v>0</v>
      </c>
      <c r="B26" s="8" t="s">
        <v>1</v>
      </c>
      <c r="C26" s="8" t="s">
        <v>2</v>
      </c>
      <c r="D26" s="8" t="s">
        <v>3</v>
      </c>
      <c r="E26" s="8" t="s">
        <v>4</v>
      </c>
      <c r="F26" s="9" t="s">
        <v>5</v>
      </c>
      <c r="H26"/>
    </row>
    <row r="27" spans="1:8" hidden="1">
      <c r="A27" s="244">
        <v>46029</v>
      </c>
      <c r="B27" s="245" t="s">
        <v>1562</v>
      </c>
      <c r="C27" s="246" t="s">
        <v>1547</v>
      </c>
      <c r="D27" s="247">
        <v>17000000</v>
      </c>
      <c r="E27" s="255" t="s">
        <v>6</v>
      </c>
      <c r="F27" s="256"/>
      <c r="H27"/>
    </row>
    <row r="28" spans="1:8" ht="28.8" hidden="1">
      <c r="A28" s="244">
        <v>46032</v>
      </c>
      <c r="B28" s="245" t="s">
        <v>1571</v>
      </c>
      <c r="C28" s="246" t="s">
        <v>1587</v>
      </c>
      <c r="D28" s="247"/>
      <c r="E28" s="265" t="s">
        <v>1588</v>
      </c>
      <c r="F28" s="256"/>
      <c r="H28"/>
    </row>
    <row r="29" spans="1:8" hidden="1">
      <c r="A29" s="244">
        <v>46032</v>
      </c>
      <c r="B29" s="245" t="s">
        <v>1585</v>
      </c>
      <c r="C29" s="246" t="s">
        <v>1541</v>
      </c>
      <c r="D29" s="247">
        <v>11000000</v>
      </c>
      <c r="E29" s="255" t="s">
        <v>6</v>
      </c>
      <c r="F29" s="256"/>
      <c r="H29"/>
    </row>
    <row r="30" spans="1:8" hidden="1">
      <c r="A30" s="244">
        <v>46035</v>
      </c>
      <c r="B30" s="245" t="s">
        <v>1586</v>
      </c>
      <c r="C30" s="246" t="s">
        <v>1541</v>
      </c>
      <c r="D30" s="247">
        <v>12500000</v>
      </c>
      <c r="E30" s="255" t="s">
        <v>6</v>
      </c>
      <c r="F30" s="256"/>
      <c r="H30"/>
    </row>
    <row r="31" spans="1:8">
      <c r="A31" s="10"/>
      <c r="B31" s="11"/>
      <c r="C31" s="12" t="s">
        <v>7</v>
      </c>
      <c r="D31" s="112">
        <f>SUBTOTAL(109,Tabla141618192021222324252632333435363750383739404142434445589451525354[[MONTO ]])</f>
        <v>0</v>
      </c>
      <c r="E31" s="14"/>
      <c r="F31" s="15"/>
    </row>
    <row r="33" spans="1:6" ht="21">
      <c r="A33" s="339" t="s">
        <v>1554</v>
      </c>
      <c r="B33" s="339"/>
      <c r="C33" s="339"/>
      <c r="D33" s="339"/>
      <c r="E33" s="20"/>
      <c r="F33" s="20"/>
    </row>
    <row r="34" spans="1:6" ht="21">
      <c r="A34" s="339"/>
      <c r="B34" s="339"/>
      <c r="C34" s="339"/>
      <c r="D34" s="339"/>
      <c r="E34" s="20"/>
      <c r="F34" s="20"/>
    </row>
    <row r="35" spans="1:6">
      <c r="A35" s="7" t="s">
        <v>0</v>
      </c>
      <c r="B35" s="8" t="s">
        <v>1</v>
      </c>
      <c r="C35" s="8" t="s">
        <v>2</v>
      </c>
      <c r="D35" s="8" t="s">
        <v>3</v>
      </c>
      <c r="E35" s="8" t="s">
        <v>4</v>
      </c>
      <c r="F35" s="9" t="s">
        <v>5</v>
      </c>
    </row>
    <row r="36" spans="1:6" hidden="1">
      <c r="A36" s="138">
        <v>46054</v>
      </c>
      <c r="B36" s="85" t="s">
        <v>1589</v>
      </c>
      <c r="C36" s="143" t="s">
        <v>1243</v>
      </c>
      <c r="D36" s="175">
        <v>1064599.1100000001</v>
      </c>
      <c r="E36" s="171" t="s">
        <v>6</v>
      </c>
      <c r="F36" s="6"/>
    </row>
    <row r="37" spans="1:6" hidden="1">
      <c r="A37" s="138">
        <v>46057</v>
      </c>
      <c r="B37" s="85" t="s">
        <v>1590</v>
      </c>
      <c r="C37" s="143" t="s">
        <v>1522</v>
      </c>
      <c r="D37" s="175">
        <v>1409400</v>
      </c>
      <c r="E37" s="171" t="s">
        <v>6</v>
      </c>
      <c r="F37" s="6"/>
    </row>
    <row r="38" spans="1:6" hidden="1">
      <c r="A38" s="138">
        <v>46058</v>
      </c>
      <c r="B38" s="85" t="s">
        <v>1572</v>
      </c>
      <c r="C38" s="143" t="s">
        <v>1436</v>
      </c>
      <c r="D38" s="175">
        <v>1426791.66</v>
      </c>
      <c r="E38" s="171" t="s">
        <v>6</v>
      </c>
      <c r="F38" s="6"/>
    </row>
    <row r="39" spans="1:6" hidden="1">
      <c r="A39" s="138">
        <v>46058</v>
      </c>
      <c r="B39" s="85" t="s">
        <v>1591</v>
      </c>
      <c r="C39" s="143" t="s">
        <v>304</v>
      </c>
      <c r="D39" s="175">
        <v>1203962</v>
      </c>
      <c r="E39" s="171" t="s">
        <v>6</v>
      </c>
      <c r="F39" s="6"/>
    </row>
    <row r="40" spans="1:6" hidden="1">
      <c r="A40" s="138">
        <v>46059</v>
      </c>
      <c r="B40" s="85" t="s">
        <v>1593</v>
      </c>
      <c r="C40" s="143" t="s">
        <v>1578</v>
      </c>
      <c r="D40" s="175">
        <v>3500000</v>
      </c>
      <c r="E40" s="171" t="s">
        <v>6</v>
      </c>
      <c r="F40" s="6"/>
    </row>
    <row r="41" spans="1:6" hidden="1">
      <c r="A41" s="138">
        <v>46059</v>
      </c>
      <c r="B41" s="85" t="s">
        <v>1592</v>
      </c>
      <c r="C41" s="143" t="s">
        <v>280</v>
      </c>
      <c r="D41" s="175">
        <v>13562706.119999999</v>
      </c>
      <c r="E41" s="171" t="s">
        <v>6</v>
      </c>
      <c r="F41" s="6"/>
    </row>
    <row r="42" spans="1:6" hidden="1">
      <c r="A42" s="138">
        <v>46061</v>
      </c>
      <c r="B42" s="85" t="s">
        <v>1599</v>
      </c>
      <c r="C42" s="143" t="s">
        <v>1436</v>
      </c>
      <c r="D42" s="175">
        <v>259477.24</v>
      </c>
      <c r="E42" s="171" t="s">
        <v>6</v>
      </c>
      <c r="F42" s="6"/>
    </row>
    <row r="43" spans="1:6" hidden="1">
      <c r="A43" s="138">
        <v>46062</v>
      </c>
      <c r="B43" s="85" t="s">
        <v>1594</v>
      </c>
      <c r="C43" s="143" t="s">
        <v>1375</v>
      </c>
      <c r="D43" s="175">
        <v>168441.84</v>
      </c>
      <c r="E43" s="171" t="s">
        <v>6</v>
      </c>
      <c r="F43" s="6"/>
    </row>
    <row r="44" spans="1:6" hidden="1">
      <c r="A44" s="138">
        <v>46063</v>
      </c>
      <c r="B44" s="85" t="s">
        <v>1595</v>
      </c>
      <c r="C44" s="143" t="s">
        <v>865</v>
      </c>
      <c r="D44" s="175">
        <v>1149258</v>
      </c>
      <c r="E44" s="171" t="s">
        <v>6</v>
      </c>
      <c r="F44" s="6"/>
    </row>
    <row r="45" spans="1:6" hidden="1">
      <c r="A45" s="138">
        <v>46066</v>
      </c>
      <c r="B45" s="85" t="s">
        <v>1596</v>
      </c>
      <c r="C45" s="143" t="s">
        <v>840</v>
      </c>
      <c r="D45" s="175">
        <v>526504.34</v>
      </c>
      <c r="E45" s="171" t="s">
        <v>6</v>
      </c>
      <c r="F45" s="6"/>
    </row>
    <row r="46" spans="1:6" hidden="1">
      <c r="A46" s="138">
        <v>46066</v>
      </c>
      <c r="B46" s="85" t="s">
        <v>1628</v>
      </c>
      <c r="C46" s="143" t="s">
        <v>1629</v>
      </c>
      <c r="D46" s="175">
        <v>1789500</v>
      </c>
      <c r="E46" s="171" t="s">
        <v>6</v>
      </c>
      <c r="F46" s="6"/>
    </row>
    <row r="47" spans="1:6" hidden="1">
      <c r="A47" s="138">
        <v>46069</v>
      </c>
      <c r="B47" s="85" t="s">
        <v>1598</v>
      </c>
      <c r="C47" s="143" t="s">
        <v>1580</v>
      </c>
      <c r="D47" s="175">
        <v>424952.98</v>
      </c>
      <c r="E47" s="171" t="s">
        <v>6</v>
      </c>
      <c r="F47" s="6"/>
    </row>
    <row r="48" spans="1:6" hidden="1">
      <c r="A48" s="138">
        <v>46069</v>
      </c>
      <c r="B48" s="85" t="s">
        <v>1597</v>
      </c>
      <c r="C48" s="143" t="s">
        <v>1436</v>
      </c>
      <c r="D48" s="175">
        <v>2304082</v>
      </c>
      <c r="E48" s="171" t="s">
        <v>6</v>
      </c>
      <c r="F48" s="6"/>
    </row>
    <row r="49" spans="1:8" hidden="1">
      <c r="A49" s="138">
        <v>46070</v>
      </c>
      <c r="B49" s="85" t="s">
        <v>1604</v>
      </c>
      <c r="C49" s="143" t="s">
        <v>865</v>
      </c>
      <c r="D49" s="175">
        <v>783414.5</v>
      </c>
      <c r="E49" s="171" t="s">
        <v>6</v>
      </c>
      <c r="F49" s="6"/>
    </row>
    <row r="50" spans="1:8" hidden="1">
      <c r="A50" s="272">
        <v>46071</v>
      </c>
      <c r="B50" s="273" t="s">
        <v>1630</v>
      </c>
      <c r="C50" s="274" t="s">
        <v>1234</v>
      </c>
      <c r="D50" s="275">
        <v>2000000</v>
      </c>
      <c r="E50" s="171" t="s">
        <v>6</v>
      </c>
      <c r="F50" s="276"/>
    </row>
    <row r="51" spans="1:8" hidden="1">
      <c r="A51" s="138">
        <v>46072</v>
      </c>
      <c r="B51" s="85" t="s">
        <v>1605</v>
      </c>
      <c r="C51" s="143" t="s">
        <v>951</v>
      </c>
      <c r="D51" s="175">
        <v>1181335.6399999999</v>
      </c>
      <c r="E51" s="171" t="s">
        <v>6</v>
      </c>
      <c r="F51" s="6"/>
    </row>
    <row r="52" spans="1:8" hidden="1">
      <c r="A52" s="138">
        <v>46073</v>
      </c>
      <c r="B52" s="85" t="s">
        <v>1606</v>
      </c>
      <c r="C52" s="143" t="s">
        <v>304</v>
      </c>
      <c r="D52" s="175">
        <v>1686779.97</v>
      </c>
      <c r="E52" s="171" t="s">
        <v>6</v>
      </c>
      <c r="F52" s="6"/>
    </row>
    <row r="53" spans="1:8" hidden="1">
      <c r="A53" s="138">
        <v>46073</v>
      </c>
      <c r="B53" s="85" t="s">
        <v>1556</v>
      </c>
      <c r="C53" s="143" t="s">
        <v>127</v>
      </c>
      <c r="D53" s="129">
        <v>15000000</v>
      </c>
      <c r="E53" s="171" t="s">
        <v>6</v>
      </c>
      <c r="F53" s="6"/>
      <c r="H53"/>
    </row>
    <row r="54" spans="1:8" hidden="1">
      <c r="A54" s="138">
        <v>46074</v>
      </c>
      <c r="B54" s="85" t="s">
        <v>1631</v>
      </c>
      <c r="C54" s="143" t="s">
        <v>1375</v>
      </c>
      <c r="D54" s="175">
        <v>445706.63</v>
      </c>
      <c r="E54" s="171" t="s">
        <v>6</v>
      </c>
      <c r="F54" s="6"/>
      <c r="H54"/>
    </row>
    <row r="55" spans="1:8" hidden="1">
      <c r="A55" s="138">
        <v>46077</v>
      </c>
      <c r="B55" s="85" t="s">
        <v>1607</v>
      </c>
      <c r="C55" s="143" t="s">
        <v>951</v>
      </c>
      <c r="D55" s="175">
        <v>274789.64</v>
      </c>
      <c r="E55" s="171" t="s">
        <v>6</v>
      </c>
      <c r="F55" s="6"/>
      <c r="H55"/>
    </row>
    <row r="56" spans="1:8" hidden="1">
      <c r="A56" s="138">
        <v>46078</v>
      </c>
      <c r="B56" s="85" t="s">
        <v>1632</v>
      </c>
      <c r="C56" s="143" t="s">
        <v>1633</v>
      </c>
      <c r="D56" s="175">
        <v>7293136.7000000002</v>
      </c>
      <c r="E56" s="171" t="s">
        <v>6</v>
      </c>
      <c r="F56" s="6"/>
      <c r="H56"/>
    </row>
    <row r="57" spans="1:8" hidden="1">
      <c r="A57" s="138">
        <v>46079</v>
      </c>
      <c r="B57" s="85" t="s">
        <v>1634</v>
      </c>
      <c r="C57" s="143" t="s">
        <v>884</v>
      </c>
      <c r="D57" s="175">
        <v>275000</v>
      </c>
      <c r="E57" s="171" t="s">
        <v>6</v>
      </c>
      <c r="F57" s="6"/>
      <c r="H57"/>
    </row>
    <row r="58" spans="1:8" hidden="1">
      <c r="A58" s="138">
        <v>46081</v>
      </c>
      <c r="B58" s="85" t="s">
        <v>1635</v>
      </c>
      <c r="C58" s="143" t="s">
        <v>1400</v>
      </c>
      <c r="D58" s="175">
        <v>962235</v>
      </c>
      <c r="E58" s="171" t="s">
        <v>6</v>
      </c>
      <c r="F58" s="6"/>
      <c r="H58"/>
    </row>
    <row r="59" spans="1:8" hidden="1">
      <c r="A59" s="138">
        <v>46081</v>
      </c>
      <c r="B59" s="85" t="s">
        <v>1636</v>
      </c>
      <c r="C59" s="143" t="s">
        <v>1234</v>
      </c>
      <c r="D59" s="175">
        <v>2000000</v>
      </c>
      <c r="E59" s="171" t="s">
        <v>6</v>
      </c>
      <c r="F59" s="6"/>
      <c r="H59"/>
    </row>
    <row r="60" spans="1:8" hidden="1">
      <c r="A60" s="138">
        <v>46081</v>
      </c>
      <c r="B60" s="85" t="s">
        <v>1557</v>
      </c>
      <c r="C60" s="143" t="s">
        <v>127</v>
      </c>
      <c r="D60" s="129">
        <v>15000000</v>
      </c>
      <c r="E60" s="171" t="s">
        <v>6</v>
      </c>
      <c r="F60" s="6"/>
      <c r="H60"/>
    </row>
    <row r="61" spans="1:8">
      <c r="A61" s="10"/>
      <c r="B61" s="11"/>
      <c r="C61" s="12" t="s">
        <v>7</v>
      </c>
      <c r="D61" s="112">
        <f>SUBTOTAL(109,Tabla141618192021222324252632333435363750744849[[MONTO ]])</f>
        <v>0</v>
      </c>
      <c r="E61" s="14"/>
      <c r="F61" s="15"/>
    </row>
    <row r="62" spans="1:8" hidden="1"/>
    <row r="63" spans="1:8" ht="21" hidden="1">
      <c r="A63" s="339" t="s">
        <v>1555</v>
      </c>
      <c r="B63" s="339"/>
      <c r="C63" s="339"/>
      <c r="D63" s="339"/>
      <c r="E63" s="20"/>
      <c r="F63" s="20"/>
      <c r="H63"/>
    </row>
    <row r="64" spans="1:8" ht="21" hidden="1">
      <c r="A64" s="339"/>
      <c r="B64" s="339"/>
      <c r="C64" s="339"/>
      <c r="D64" s="339"/>
      <c r="E64" s="20"/>
      <c r="F64" s="20"/>
      <c r="H64"/>
    </row>
    <row r="65" spans="1:8" hidden="1">
      <c r="A65" s="7" t="s">
        <v>0</v>
      </c>
      <c r="B65" s="8" t="s">
        <v>1</v>
      </c>
      <c r="C65" s="8" t="s">
        <v>2</v>
      </c>
      <c r="D65" s="8" t="s">
        <v>3</v>
      </c>
      <c r="E65" s="8" t="s">
        <v>4</v>
      </c>
      <c r="F65" s="9" t="s">
        <v>5</v>
      </c>
      <c r="H65"/>
    </row>
    <row r="66" spans="1:8" hidden="1">
      <c r="A66" s="268">
        <v>46058</v>
      </c>
      <c r="B66" s="269" t="s">
        <v>1627</v>
      </c>
      <c r="C66" s="246" t="s">
        <v>1547</v>
      </c>
      <c r="D66" s="270">
        <v>2100000</v>
      </c>
      <c r="E66" s="255" t="s">
        <v>6</v>
      </c>
      <c r="F66" s="271"/>
      <c r="H66"/>
    </row>
    <row r="67" spans="1:8" hidden="1">
      <c r="A67" s="244">
        <v>46066</v>
      </c>
      <c r="B67" s="266" t="s">
        <v>1601</v>
      </c>
      <c r="C67" s="246" t="s">
        <v>1603</v>
      </c>
      <c r="D67" s="267">
        <v>9600000</v>
      </c>
      <c r="E67" s="255" t="s">
        <v>6</v>
      </c>
      <c r="F67" s="256"/>
      <c r="H67"/>
    </row>
    <row r="68" spans="1:8" hidden="1">
      <c r="A68" s="244">
        <v>46066</v>
      </c>
      <c r="B68" s="266" t="s">
        <v>1600</v>
      </c>
      <c r="C68" s="246" t="s">
        <v>1547</v>
      </c>
      <c r="D68" s="267">
        <v>44400000</v>
      </c>
      <c r="E68" s="255" t="s">
        <v>6</v>
      </c>
      <c r="F68" s="256"/>
      <c r="H68"/>
    </row>
    <row r="69" spans="1:8" hidden="1">
      <c r="A69" s="244">
        <v>46068</v>
      </c>
      <c r="B69" s="245" t="s">
        <v>1602</v>
      </c>
      <c r="C69" s="246" t="s">
        <v>1541</v>
      </c>
      <c r="D69" s="247">
        <v>5300000</v>
      </c>
      <c r="E69" s="255" t="s">
        <v>6</v>
      </c>
      <c r="F69" s="256"/>
      <c r="H69"/>
    </row>
    <row r="70" spans="1:8" hidden="1">
      <c r="A70" s="277">
        <v>46078</v>
      </c>
      <c r="B70" s="278" t="s">
        <v>1637</v>
      </c>
      <c r="C70" s="246" t="s">
        <v>1536</v>
      </c>
      <c r="D70" s="279">
        <v>9750000</v>
      </c>
      <c r="E70" s="281" t="s">
        <v>6</v>
      </c>
      <c r="F70" s="280"/>
      <c r="H70"/>
    </row>
    <row r="71" spans="1:8" hidden="1">
      <c r="A71" s="10"/>
      <c r="B71" s="11"/>
      <c r="C71" s="12" t="s">
        <v>7</v>
      </c>
      <c r="D71" s="112">
        <f>SUBTOTAL(109,Tabla14161819202122232425263233343536375038373940414243444558945152535455[[MONTO ]])</f>
        <v>0</v>
      </c>
      <c r="E71" s="14"/>
      <c r="F71" s="15"/>
    </row>
    <row r="73" spans="1:8" ht="21">
      <c r="A73" s="339" t="s">
        <v>1573</v>
      </c>
      <c r="B73" s="339"/>
      <c r="C73" s="339"/>
      <c r="D73" s="339"/>
      <c r="E73" s="20"/>
      <c r="F73" s="20"/>
    </row>
    <row r="74" spans="1:8" ht="21">
      <c r="A74" s="339"/>
      <c r="B74" s="339"/>
      <c r="C74" s="339"/>
      <c r="D74" s="339"/>
      <c r="E74" s="20"/>
      <c r="F74" s="20"/>
    </row>
    <row r="75" spans="1:8">
      <c r="A75" s="7" t="s">
        <v>0</v>
      </c>
      <c r="B75" s="8" t="s">
        <v>1</v>
      </c>
      <c r="C75" s="8" t="s">
        <v>2</v>
      </c>
      <c r="D75" s="8" t="s">
        <v>3</v>
      </c>
      <c r="E75" s="8" t="s">
        <v>4</v>
      </c>
      <c r="F75" s="9" t="s">
        <v>5</v>
      </c>
    </row>
    <row r="76" spans="1:8" hidden="1">
      <c r="A76" s="138">
        <v>46082</v>
      </c>
      <c r="B76" s="85" t="s">
        <v>1638</v>
      </c>
      <c r="C76" s="143" t="s">
        <v>1243</v>
      </c>
      <c r="D76" s="175">
        <v>1896179.24</v>
      </c>
      <c r="E76" s="171" t="s">
        <v>6</v>
      </c>
      <c r="F76" s="6"/>
    </row>
    <row r="77" spans="1:8" hidden="1">
      <c r="A77" s="138">
        <v>46082</v>
      </c>
      <c r="B77" s="85" t="s">
        <v>1639</v>
      </c>
      <c r="C77" s="143" t="s">
        <v>296</v>
      </c>
      <c r="D77" s="175">
        <v>2732395.93</v>
      </c>
      <c r="E77" s="171" t="s">
        <v>6</v>
      </c>
      <c r="F77" s="6"/>
    </row>
    <row r="78" spans="1:8" hidden="1">
      <c r="A78" s="138">
        <v>46083</v>
      </c>
      <c r="B78" s="85" t="s">
        <v>1640</v>
      </c>
      <c r="C78" s="143" t="s">
        <v>951</v>
      </c>
      <c r="D78" s="175">
        <v>448819.6</v>
      </c>
      <c r="E78" s="171" t="s">
        <v>6</v>
      </c>
      <c r="F78" s="6"/>
    </row>
    <row r="79" spans="1:8" hidden="1">
      <c r="A79" s="138">
        <v>46084</v>
      </c>
      <c r="B79" s="85" t="s">
        <v>1641</v>
      </c>
      <c r="C79" s="143" t="s">
        <v>304</v>
      </c>
      <c r="D79" s="175">
        <v>1000000</v>
      </c>
      <c r="E79" s="171" t="s">
        <v>6</v>
      </c>
      <c r="F79" s="6"/>
    </row>
    <row r="80" spans="1:8" hidden="1">
      <c r="A80" s="138">
        <v>46084</v>
      </c>
      <c r="B80" s="85" t="s">
        <v>1642</v>
      </c>
      <c r="C80" s="143" t="s">
        <v>1436</v>
      </c>
      <c r="D80" s="175">
        <v>1750870</v>
      </c>
      <c r="E80" s="171" t="s">
        <v>6</v>
      </c>
      <c r="F80" s="6"/>
    </row>
    <row r="81" spans="1:6" hidden="1">
      <c r="A81" s="138">
        <v>46086</v>
      </c>
      <c r="B81" s="85" t="s">
        <v>1575</v>
      </c>
      <c r="C81" s="143" t="s">
        <v>1436</v>
      </c>
      <c r="D81" s="175">
        <v>1426791.66</v>
      </c>
      <c r="E81" s="171" t="s">
        <v>6</v>
      </c>
      <c r="F81" s="6"/>
    </row>
    <row r="82" spans="1:6" hidden="1">
      <c r="A82" s="56">
        <v>46086</v>
      </c>
      <c r="B82" s="220" t="s">
        <v>1608</v>
      </c>
      <c r="C82" s="86" t="s">
        <v>304</v>
      </c>
      <c r="D82" s="175">
        <v>1203962</v>
      </c>
      <c r="E82" s="221" t="s">
        <v>6</v>
      </c>
      <c r="F82" s="28"/>
    </row>
    <row r="83" spans="1:6" hidden="1">
      <c r="A83" s="138">
        <v>46087</v>
      </c>
      <c r="B83" s="85" t="s">
        <v>1643</v>
      </c>
      <c r="C83" s="143" t="s">
        <v>296</v>
      </c>
      <c r="D83" s="175">
        <v>3286250</v>
      </c>
      <c r="E83" s="171" t="s">
        <v>6</v>
      </c>
      <c r="F83" s="6"/>
    </row>
    <row r="84" spans="1:6" hidden="1">
      <c r="A84" s="56">
        <v>46087</v>
      </c>
      <c r="B84" s="220" t="s">
        <v>1609</v>
      </c>
      <c r="C84" s="86" t="s">
        <v>1578</v>
      </c>
      <c r="D84" s="175">
        <v>3692280.1</v>
      </c>
      <c r="E84" s="221" t="s">
        <v>6</v>
      </c>
      <c r="F84" s="28"/>
    </row>
    <row r="85" spans="1:6" hidden="1">
      <c r="A85" s="56">
        <v>46087</v>
      </c>
      <c r="B85" s="220" t="s">
        <v>1610</v>
      </c>
      <c r="C85" s="86" t="s">
        <v>280</v>
      </c>
      <c r="D85" s="175">
        <v>13562706.130000001</v>
      </c>
      <c r="E85" s="221" t="s">
        <v>6</v>
      </c>
      <c r="F85" s="28"/>
    </row>
    <row r="86" spans="1:6" hidden="1">
      <c r="A86" s="138">
        <v>46088</v>
      </c>
      <c r="B86" s="85" t="s">
        <v>1644</v>
      </c>
      <c r="C86" s="143" t="s">
        <v>1375</v>
      </c>
      <c r="D86" s="175">
        <v>429565.73</v>
      </c>
      <c r="E86" s="171" t="s">
        <v>6</v>
      </c>
      <c r="F86" s="6"/>
    </row>
    <row r="87" spans="1:6" hidden="1">
      <c r="A87" s="138">
        <v>46089</v>
      </c>
      <c r="B87" s="85" t="s">
        <v>1645</v>
      </c>
      <c r="C87" s="143" t="s">
        <v>296</v>
      </c>
      <c r="D87" s="175">
        <v>1761937.5</v>
      </c>
      <c r="E87" s="171" t="s">
        <v>6</v>
      </c>
      <c r="F87" s="6"/>
    </row>
    <row r="88" spans="1:6" hidden="1">
      <c r="A88" s="138">
        <v>46091</v>
      </c>
      <c r="B88" s="85" t="s">
        <v>1647</v>
      </c>
      <c r="C88" s="143" t="s">
        <v>1648</v>
      </c>
      <c r="D88" s="175">
        <v>350000</v>
      </c>
      <c r="E88" s="171" t="s">
        <v>6</v>
      </c>
      <c r="F88" s="6"/>
    </row>
    <row r="89" spans="1:6" hidden="1">
      <c r="A89" s="138">
        <v>46091</v>
      </c>
      <c r="B89" s="85" t="s">
        <v>1646</v>
      </c>
      <c r="C89" s="143" t="s">
        <v>1234</v>
      </c>
      <c r="D89" s="175">
        <v>1299799.99</v>
      </c>
      <c r="E89" s="171" t="s">
        <v>6</v>
      </c>
      <c r="F89" s="6"/>
    </row>
    <row r="90" spans="1:6" hidden="1">
      <c r="A90" s="138">
        <v>46096</v>
      </c>
      <c r="B90" s="85" t="s">
        <v>1714</v>
      </c>
      <c r="C90" s="143" t="s">
        <v>1648</v>
      </c>
      <c r="D90" s="175">
        <v>650000</v>
      </c>
      <c r="E90" s="171" t="s">
        <v>6</v>
      </c>
      <c r="F90" s="6"/>
    </row>
    <row r="91" spans="1:6" hidden="1">
      <c r="A91" s="138">
        <v>46096</v>
      </c>
      <c r="B91" s="85" t="s">
        <v>1649</v>
      </c>
      <c r="C91" s="143" t="s">
        <v>951</v>
      </c>
      <c r="D91" s="175">
        <v>301447.87</v>
      </c>
      <c r="E91" s="171" t="s">
        <v>6</v>
      </c>
      <c r="F91" s="6"/>
    </row>
    <row r="92" spans="1:6" hidden="1">
      <c r="A92" s="138">
        <v>46097</v>
      </c>
      <c r="B92" s="85" t="s">
        <v>1650</v>
      </c>
      <c r="C92" s="143" t="s">
        <v>296</v>
      </c>
      <c r="D92" s="175">
        <v>2732395.93</v>
      </c>
      <c r="E92" s="171" t="s">
        <v>6</v>
      </c>
      <c r="F92" s="6"/>
    </row>
    <row r="93" spans="1:6" hidden="1">
      <c r="A93" s="56">
        <v>46097</v>
      </c>
      <c r="B93" s="220" t="s">
        <v>1611</v>
      </c>
      <c r="C93" s="86" t="s">
        <v>1580</v>
      </c>
      <c r="D93" s="175">
        <v>424952.98</v>
      </c>
      <c r="E93" s="221" t="s">
        <v>6</v>
      </c>
      <c r="F93" s="28"/>
    </row>
    <row r="94" spans="1:6" hidden="1">
      <c r="A94" s="56">
        <v>46099</v>
      </c>
      <c r="B94" s="220" t="s">
        <v>1612</v>
      </c>
      <c r="C94" s="86" t="s">
        <v>1436</v>
      </c>
      <c r="D94" s="175">
        <v>2304082</v>
      </c>
      <c r="E94" s="221" t="s">
        <v>6</v>
      </c>
      <c r="F94" s="28"/>
    </row>
    <row r="95" spans="1:6" hidden="1">
      <c r="A95" s="138">
        <v>46101</v>
      </c>
      <c r="B95" s="85" t="s">
        <v>1651</v>
      </c>
      <c r="C95" s="143" t="s">
        <v>304</v>
      </c>
      <c r="D95" s="175">
        <v>423740</v>
      </c>
      <c r="E95" s="171" t="s">
        <v>6</v>
      </c>
      <c r="F95" s="6"/>
    </row>
    <row r="96" spans="1:6" hidden="1">
      <c r="A96" s="138">
        <v>46101</v>
      </c>
      <c r="B96" s="85" t="s">
        <v>1691</v>
      </c>
      <c r="C96" s="143" t="s">
        <v>1243</v>
      </c>
      <c r="D96" s="175">
        <v>971842.93</v>
      </c>
      <c r="E96" s="171" t="s">
        <v>6</v>
      </c>
      <c r="F96" s="6"/>
    </row>
    <row r="97" spans="1:8" hidden="1">
      <c r="A97" s="138">
        <v>46101</v>
      </c>
      <c r="B97" s="85" t="s">
        <v>1674</v>
      </c>
      <c r="C97" s="143" t="s">
        <v>1675</v>
      </c>
      <c r="D97" s="175">
        <v>4750000</v>
      </c>
      <c r="E97" s="171" t="s">
        <v>6</v>
      </c>
      <c r="F97" s="6"/>
    </row>
    <row r="98" spans="1:8" hidden="1">
      <c r="A98" s="56">
        <v>46104</v>
      </c>
      <c r="B98" s="220" t="s">
        <v>1613</v>
      </c>
      <c r="C98" s="86" t="s">
        <v>304</v>
      </c>
      <c r="D98" s="175">
        <v>1686779.97</v>
      </c>
      <c r="E98" s="221" t="s">
        <v>6</v>
      </c>
      <c r="F98" s="28"/>
    </row>
    <row r="99" spans="1:8" hidden="1">
      <c r="A99" s="138">
        <v>46104</v>
      </c>
      <c r="B99" s="85" t="s">
        <v>1652</v>
      </c>
      <c r="C99" s="143" t="s">
        <v>296</v>
      </c>
      <c r="D99" s="175">
        <v>1761937.5</v>
      </c>
      <c r="E99" s="171" t="s">
        <v>6</v>
      </c>
      <c r="F99" s="6"/>
    </row>
    <row r="100" spans="1:8" hidden="1">
      <c r="A100" s="138">
        <v>46108</v>
      </c>
      <c r="B100" s="85" t="s">
        <v>1683</v>
      </c>
      <c r="C100" s="143" t="s">
        <v>1648</v>
      </c>
      <c r="D100" s="175">
        <v>1215500</v>
      </c>
      <c r="E100" s="171" t="s">
        <v>6</v>
      </c>
      <c r="F100" s="6"/>
    </row>
    <row r="101" spans="1:8" hidden="1">
      <c r="A101" s="288">
        <v>46110</v>
      </c>
      <c r="B101" s="220" t="s">
        <v>1669</v>
      </c>
      <c r="C101" s="191" t="s">
        <v>865</v>
      </c>
      <c r="D101" s="289">
        <v>3592393.2</v>
      </c>
      <c r="E101" s="221" t="s">
        <v>6</v>
      </c>
      <c r="F101" s="290"/>
    </row>
    <row r="102" spans="1:8" hidden="1">
      <c r="A102" s="56">
        <v>46111</v>
      </c>
      <c r="B102" s="220" t="s">
        <v>1670</v>
      </c>
      <c r="C102" s="86" t="s">
        <v>1436</v>
      </c>
      <c r="D102" s="183">
        <v>1167246.6599999999</v>
      </c>
      <c r="E102" s="221" t="s">
        <v>6</v>
      </c>
      <c r="F102" s="28"/>
    </row>
    <row r="103" spans="1:8" hidden="1">
      <c r="A103" s="138">
        <v>46111</v>
      </c>
      <c r="B103" s="85" t="s">
        <v>1684</v>
      </c>
      <c r="C103" s="143" t="s">
        <v>1648</v>
      </c>
      <c r="D103" s="175">
        <v>1215500</v>
      </c>
      <c r="E103" s="171" t="s">
        <v>6</v>
      </c>
      <c r="F103" s="6"/>
    </row>
    <row r="104" spans="1:8" hidden="1">
      <c r="A104" s="138">
        <v>46111</v>
      </c>
      <c r="B104" s="85" t="s">
        <v>1715</v>
      </c>
      <c r="C104" s="222" t="s">
        <v>1400</v>
      </c>
      <c r="D104" s="175">
        <v>1723171</v>
      </c>
      <c r="E104" s="171" t="s">
        <v>6</v>
      </c>
      <c r="F104" s="6"/>
    </row>
    <row r="105" spans="1:8">
      <c r="A105" s="10"/>
      <c r="B105" s="11"/>
      <c r="C105" s="12" t="s">
        <v>7</v>
      </c>
      <c r="D105" s="112">
        <f>SUBTOTAL(109,Tabla14161819202122232425263233343536375074484956[[MONTO ]])</f>
        <v>0</v>
      </c>
      <c r="E105" s="14"/>
      <c r="F105" s="15"/>
    </row>
    <row r="107" spans="1:8" ht="21">
      <c r="A107" s="339" t="s">
        <v>1574</v>
      </c>
      <c r="B107" s="339"/>
      <c r="C107" s="339"/>
      <c r="D107" s="339"/>
      <c r="E107" s="20"/>
      <c r="F107" s="20"/>
      <c r="H107"/>
    </row>
    <row r="108" spans="1:8" ht="21">
      <c r="A108" s="339"/>
      <c r="B108" s="339"/>
      <c r="C108" s="339"/>
      <c r="D108" s="339"/>
      <c r="E108" s="20"/>
      <c r="F108" s="20"/>
      <c r="H108"/>
    </row>
    <row r="109" spans="1:8">
      <c r="A109" s="7" t="s">
        <v>0</v>
      </c>
      <c r="B109" s="8" t="s">
        <v>1</v>
      </c>
      <c r="C109" s="8" t="s">
        <v>2</v>
      </c>
      <c r="D109" s="8" t="s">
        <v>3</v>
      </c>
      <c r="E109" s="8" t="s">
        <v>4</v>
      </c>
      <c r="F109" s="9" t="s">
        <v>5</v>
      </c>
      <c r="H109"/>
    </row>
    <row r="110" spans="1:8" hidden="1">
      <c r="A110" s="244">
        <v>46091</v>
      </c>
      <c r="B110" s="266" t="s">
        <v>1653</v>
      </c>
      <c r="C110" s="246" t="s">
        <v>1547</v>
      </c>
      <c r="D110" s="267">
        <v>20700000</v>
      </c>
      <c r="E110" s="255" t="s">
        <v>6</v>
      </c>
      <c r="F110" s="256"/>
      <c r="H110"/>
    </row>
    <row r="111" spans="1:8" hidden="1">
      <c r="A111" s="244">
        <v>46096</v>
      </c>
      <c r="B111" s="266" t="s">
        <v>1654</v>
      </c>
      <c r="C111" s="246" t="s">
        <v>1547</v>
      </c>
      <c r="D111" s="267">
        <v>20650000</v>
      </c>
      <c r="E111" s="255" t="s">
        <v>6</v>
      </c>
      <c r="F111" s="256"/>
      <c r="H111"/>
    </row>
    <row r="112" spans="1:8" hidden="1">
      <c r="A112" s="291">
        <v>46100</v>
      </c>
      <c r="B112" s="292" t="s">
        <v>1685</v>
      </c>
      <c r="C112" s="246" t="s">
        <v>1547</v>
      </c>
      <c r="D112" s="293">
        <v>6800000</v>
      </c>
      <c r="E112" s="255" t="s">
        <v>6</v>
      </c>
      <c r="F112" s="294"/>
      <c r="H112"/>
    </row>
    <row r="113" spans="1:8" hidden="1">
      <c r="A113" s="282">
        <v>46109</v>
      </c>
      <c r="B113" s="283" t="s">
        <v>1655</v>
      </c>
      <c r="C113" s="284" t="s">
        <v>1657</v>
      </c>
      <c r="D113" s="285">
        <v>0</v>
      </c>
      <c r="E113" s="286" t="s">
        <v>6</v>
      </c>
      <c r="F113" s="287"/>
      <c r="H113"/>
    </row>
    <row r="114" spans="1:8" hidden="1">
      <c r="A114" s="244">
        <v>46111</v>
      </c>
      <c r="B114" s="245" t="s">
        <v>1656</v>
      </c>
      <c r="C114" s="246" t="s">
        <v>1547</v>
      </c>
      <c r="D114" s="247">
        <v>11750000</v>
      </c>
      <c r="E114" s="255" t="s">
        <v>6</v>
      </c>
      <c r="F114" s="256" t="s">
        <v>1716</v>
      </c>
      <c r="H114"/>
    </row>
    <row r="115" spans="1:8">
      <c r="A115" s="10"/>
      <c r="B115" s="11"/>
      <c r="C115" s="12" t="s">
        <v>7</v>
      </c>
      <c r="D115" s="112">
        <f>SUBTOTAL(109,Tabla1416181920212223242526323334353637503837394041424344455894515253545557[[MONTO ]])</f>
        <v>0</v>
      </c>
      <c r="E115" s="14"/>
      <c r="F115" s="15"/>
    </row>
    <row r="117" spans="1:8" ht="21">
      <c r="A117" s="339" t="s">
        <v>1614</v>
      </c>
      <c r="B117" s="339"/>
      <c r="C117" s="339"/>
      <c r="D117" s="339"/>
      <c r="E117" s="20"/>
      <c r="F117" s="20"/>
    </row>
    <row r="118" spans="1:8" ht="21">
      <c r="A118" s="339"/>
      <c r="B118" s="339"/>
      <c r="C118" s="339"/>
      <c r="D118" s="339"/>
      <c r="E118" s="20"/>
      <c r="F118" s="20"/>
    </row>
    <row r="119" spans="1:8">
      <c r="A119" s="7" t="s">
        <v>0</v>
      </c>
      <c r="B119" s="8" t="s">
        <v>1</v>
      </c>
      <c r="C119" s="8" t="s">
        <v>2</v>
      </c>
      <c r="D119" s="8" t="s">
        <v>3</v>
      </c>
      <c r="E119" s="8" t="s">
        <v>4</v>
      </c>
      <c r="F119" s="9" t="s">
        <v>5</v>
      </c>
    </row>
    <row r="120" spans="1:8" hidden="1">
      <c r="A120" s="138">
        <v>46113</v>
      </c>
      <c r="B120" s="85" t="s">
        <v>1658</v>
      </c>
      <c r="C120" s="143" t="s">
        <v>296</v>
      </c>
      <c r="D120" s="175">
        <v>2732395.93</v>
      </c>
      <c r="E120" s="171" t="s">
        <v>6</v>
      </c>
      <c r="F120" s="6"/>
    </row>
    <row r="121" spans="1:8" hidden="1">
      <c r="A121" s="138">
        <v>46114</v>
      </c>
      <c r="B121" s="85" t="s">
        <v>1659</v>
      </c>
      <c r="C121" s="143" t="s">
        <v>951</v>
      </c>
      <c r="D121" s="175">
        <v>448819.6</v>
      </c>
      <c r="E121" s="171" t="s">
        <v>6</v>
      </c>
      <c r="F121" s="6"/>
    </row>
    <row r="122" spans="1:8" hidden="1">
      <c r="A122" s="138">
        <v>46115</v>
      </c>
      <c r="B122" s="85" t="s">
        <v>1660</v>
      </c>
      <c r="C122" s="143" t="s">
        <v>304</v>
      </c>
      <c r="D122" s="175">
        <v>1000000</v>
      </c>
      <c r="E122" s="171" t="s">
        <v>6</v>
      </c>
      <c r="F122" s="6"/>
    </row>
    <row r="123" spans="1:8" hidden="1">
      <c r="A123" s="138">
        <v>46115</v>
      </c>
      <c r="B123" s="85" t="s">
        <v>1661</v>
      </c>
      <c r="C123" s="143" t="s">
        <v>1436</v>
      </c>
      <c r="D123" s="175">
        <v>1750870</v>
      </c>
      <c r="E123" s="171" t="s">
        <v>6</v>
      </c>
      <c r="F123" s="6"/>
    </row>
    <row r="124" spans="1:8" hidden="1">
      <c r="A124" s="300">
        <v>46117</v>
      </c>
      <c r="B124" s="301" t="s">
        <v>1709</v>
      </c>
      <c r="C124" s="143" t="s">
        <v>1375</v>
      </c>
      <c r="D124" s="302">
        <v>267070.53000000003</v>
      </c>
      <c r="E124" s="171" t="s">
        <v>6</v>
      </c>
      <c r="F124" s="303"/>
    </row>
    <row r="125" spans="1:8" hidden="1">
      <c r="A125" s="138">
        <v>46117</v>
      </c>
      <c r="B125" s="85" t="s">
        <v>1616</v>
      </c>
      <c r="C125" s="143" t="s">
        <v>304</v>
      </c>
      <c r="D125" s="175">
        <v>1203962</v>
      </c>
      <c r="E125" s="171" t="s">
        <v>6</v>
      </c>
      <c r="F125" s="6"/>
    </row>
    <row r="126" spans="1:8" hidden="1">
      <c r="A126" s="138">
        <v>46118</v>
      </c>
      <c r="B126" s="85" t="s">
        <v>1686</v>
      </c>
      <c r="C126" s="143" t="s">
        <v>1436</v>
      </c>
      <c r="D126" s="175">
        <v>868981.66</v>
      </c>
      <c r="E126" s="171" t="s">
        <v>6</v>
      </c>
      <c r="F126" s="6"/>
    </row>
    <row r="127" spans="1:8" hidden="1">
      <c r="A127" s="300">
        <v>46118</v>
      </c>
      <c r="B127" s="301" t="s">
        <v>1708</v>
      </c>
      <c r="C127" s="143" t="s">
        <v>1243</v>
      </c>
      <c r="D127" s="302">
        <v>610324</v>
      </c>
      <c r="E127" s="171" t="s">
        <v>6</v>
      </c>
      <c r="F127" s="303"/>
    </row>
    <row r="128" spans="1:8" hidden="1">
      <c r="A128" s="138">
        <v>46119</v>
      </c>
      <c r="B128" s="85" t="s">
        <v>1662</v>
      </c>
      <c r="C128" s="143" t="s">
        <v>296</v>
      </c>
      <c r="D128" s="175">
        <v>1761937.5</v>
      </c>
      <c r="E128" s="171" t="s">
        <v>6</v>
      </c>
      <c r="F128" s="6"/>
    </row>
    <row r="129" spans="1:6" hidden="1">
      <c r="A129" s="138">
        <v>46119</v>
      </c>
      <c r="B129" s="85" t="s">
        <v>1689</v>
      </c>
      <c r="C129" s="143" t="s">
        <v>951</v>
      </c>
      <c r="D129" s="175">
        <v>1182902.79</v>
      </c>
      <c r="E129" s="171" t="s">
        <v>6</v>
      </c>
      <c r="F129" s="6"/>
    </row>
    <row r="130" spans="1:6" hidden="1">
      <c r="A130" s="138">
        <v>46120</v>
      </c>
      <c r="B130" s="85" t="s">
        <v>1692</v>
      </c>
      <c r="C130" s="143" t="s">
        <v>840</v>
      </c>
      <c r="D130" s="175">
        <v>630009.85</v>
      </c>
      <c r="E130" s="171" t="s">
        <v>6</v>
      </c>
      <c r="F130" s="6"/>
    </row>
    <row r="131" spans="1:6" hidden="1">
      <c r="A131" s="300">
        <v>46120</v>
      </c>
      <c r="B131" s="301" t="s">
        <v>1710</v>
      </c>
      <c r="C131" s="143" t="s">
        <v>865</v>
      </c>
      <c r="D131" s="302">
        <v>320650</v>
      </c>
      <c r="E131" s="171" t="s">
        <v>6</v>
      </c>
      <c r="F131" s="303"/>
    </row>
    <row r="132" spans="1:6" hidden="1">
      <c r="A132" s="138">
        <v>46122</v>
      </c>
      <c r="B132" s="85" t="s">
        <v>1671</v>
      </c>
      <c r="C132" s="143" t="s">
        <v>1363</v>
      </c>
      <c r="D132" s="175">
        <v>4428285.4000000004</v>
      </c>
      <c r="E132" s="171" t="s">
        <v>6</v>
      </c>
      <c r="F132" s="6"/>
    </row>
    <row r="133" spans="1:6" hidden="1">
      <c r="A133" s="304">
        <v>46122</v>
      </c>
      <c r="B133" s="305" t="s">
        <v>1721</v>
      </c>
      <c r="C133" s="308" t="s">
        <v>1722</v>
      </c>
      <c r="D133" s="306">
        <v>3036000</v>
      </c>
      <c r="E133" s="171" t="s">
        <v>6</v>
      </c>
      <c r="F133" s="307"/>
    </row>
    <row r="134" spans="1:6" hidden="1">
      <c r="A134" s="138">
        <v>46123</v>
      </c>
      <c r="B134" s="85" t="s">
        <v>1720</v>
      </c>
      <c r="C134" s="143" t="s">
        <v>865</v>
      </c>
      <c r="D134" s="175">
        <v>352715</v>
      </c>
      <c r="E134" s="171" t="s">
        <v>6</v>
      </c>
      <c r="F134" s="6"/>
    </row>
    <row r="135" spans="1:6" hidden="1">
      <c r="A135" s="138">
        <v>46124</v>
      </c>
      <c r="B135" s="85" t="s">
        <v>1723</v>
      </c>
      <c r="C135" s="143" t="s">
        <v>1724</v>
      </c>
      <c r="D135" s="175">
        <v>1675000</v>
      </c>
      <c r="E135" s="171" t="s">
        <v>6</v>
      </c>
      <c r="F135" s="6"/>
    </row>
    <row r="136" spans="1:6" hidden="1">
      <c r="A136" s="138">
        <v>46127</v>
      </c>
      <c r="B136" s="85" t="s">
        <v>1663</v>
      </c>
      <c r="C136" s="143" t="s">
        <v>951</v>
      </c>
      <c r="D136" s="175">
        <v>301447.87</v>
      </c>
      <c r="E136" s="171" t="s">
        <v>6</v>
      </c>
      <c r="F136" s="6"/>
    </row>
    <row r="137" spans="1:6" hidden="1">
      <c r="A137" s="138">
        <v>46127</v>
      </c>
      <c r="B137" s="85" t="s">
        <v>1725</v>
      </c>
      <c r="C137" s="143" t="s">
        <v>1465</v>
      </c>
      <c r="D137" s="175">
        <v>549500</v>
      </c>
      <c r="E137" s="171" t="s">
        <v>6</v>
      </c>
      <c r="F137" s="6"/>
    </row>
    <row r="138" spans="1:6" hidden="1">
      <c r="A138" s="296">
        <v>46127</v>
      </c>
      <c r="B138" s="297" t="s">
        <v>1704</v>
      </c>
      <c r="C138" s="143" t="s">
        <v>951</v>
      </c>
      <c r="D138" s="298">
        <v>266450.18</v>
      </c>
      <c r="E138" s="171" t="s">
        <v>6</v>
      </c>
      <c r="F138" s="299"/>
    </row>
    <row r="139" spans="1:6" hidden="1">
      <c r="A139" s="296">
        <v>46128</v>
      </c>
      <c r="B139" s="297" t="s">
        <v>1706</v>
      </c>
      <c r="C139" s="143" t="s">
        <v>127</v>
      </c>
      <c r="D139" s="298">
        <v>370391.2</v>
      </c>
      <c r="E139" s="171" t="s">
        <v>6</v>
      </c>
      <c r="F139" s="299"/>
    </row>
    <row r="140" spans="1:6" hidden="1">
      <c r="A140" s="138">
        <v>46128</v>
      </c>
      <c r="B140" s="85" t="s">
        <v>1664</v>
      </c>
      <c r="C140" s="143" t="s">
        <v>296</v>
      </c>
      <c r="D140" s="175">
        <v>2732395.93</v>
      </c>
      <c r="E140" s="221" t="s">
        <v>6</v>
      </c>
      <c r="F140" s="6"/>
    </row>
    <row r="141" spans="1:6" hidden="1">
      <c r="A141" s="56">
        <v>46128</v>
      </c>
      <c r="B141" s="220" t="s">
        <v>1617</v>
      </c>
      <c r="C141" s="86" t="s">
        <v>1580</v>
      </c>
      <c r="D141" s="175">
        <v>424952.98</v>
      </c>
      <c r="E141" s="221" t="s">
        <v>6</v>
      </c>
      <c r="F141" s="28"/>
    </row>
    <row r="142" spans="1:6" hidden="1">
      <c r="A142" s="56">
        <v>46130</v>
      </c>
      <c r="B142" s="220" t="s">
        <v>1618</v>
      </c>
      <c r="C142" s="86" t="s">
        <v>1436</v>
      </c>
      <c r="D142" s="175">
        <v>2304082</v>
      </c>
      <c r="E142" s="221" t="s">
        <v>6</v>
      </c>
      <c r="F142" s="28"/>
    </row>
    <row r="143" spans="1:6" hidden="1">
      <c r="A143" s="300">
        <v>46132</v>
      </c>
      <c r="B143" s="301" t="s">
        <v>1712</v>
      </c>
      <c r="C143" s="222" t="s">
        <v>1713</v>
      </c>
      <c r="D143" s="302">
        <v>529100</v>
      </c>
      <c r="E143" s="171" t="s">
        <v>6</v>
      </c>
      <c r="F143" s="303"/>
    </row>
    <row r="144" spans="1:6" hidden="1">
      <c r="A144" s="138">
        <v>46132</v>
      </c>
      <c r="B144" s="85" t="s">
        <v>1665</v>
      </c>
      <c r="C144" s="143" t="s">
        <v>304</v>
      </c>
      <c r="D144" s="175">
        <v>423740</v>
      </c>
      <c r="E144" s="171" t="s">
        <v>6</v>
      </c>
      <c r="F144" s="6"/>
    </row>
    <row r="145" spans="1:8" hidden="1">
      <c r="A145" s="138">
        <v>46132</v>
      </c>
      <c r="B145" s="85" t="s">
        <v>1694</v>
      </c>
      <c r="C145" s="143" t="s">
        <v>127</v>
      </c>
      <c r="D145" s="175">
        <v>20000000</v>
      </c>
      <c r="E145" s="171" t="s">
        <v>6</v>
      </c>
      <c r="F145" s="6"/>
    </row>
    <row r="146" spans="1:8" hidden="1">
      <c r="A146" s="138">
        <v>46133</v>
      </c>
      <c r="B146" s="85" t="s">
        <v>1693</v>
      </c>
      <c r="C146" s="143" t="s">
        <v>388</v>
      </c>
      <c r="D146" s="175">
        <v>765893.7</v>
      </c>
      <c r="E146" s="171" t="s">
        <v>6</v>
      </c>
      <c r="F146" s="6"/>
    </row>
    <row r="147" spans="1:8" hidden="1">
      <c r="A147" s="300">
        <v>46133</v>
      </c>
      <c r="B147" s="301" t="s">
        <v>1711</v>
      </c>
      <c r="C147" s="143" t="s">
        <v>1648</v>
      </c>
      <c r="D147" s="302">
        <v>605000</v>
      </c>
      <c r="E147" s="171" t="s">
        <v>6</v>
      </c>
      <c r="F147" s="303"/>
    </row>
    <row r="148" spans="1:8" hidden="1">
      <c r="A148" s="138">
        <v>46137</v>
      </c>
      <c r="B148" s="85" t="s">
        <v>1726</v>
      </c>
      <c r="C148" s="143" t="s">
        <v>1243</v>
      </c>
      <c r="D148" s="175">
        <v>742037.34</v>
      </c>
      <c r="E148" s="171" t="s">
        <v>6</v>
      </c>
      <c r="F148" s="6"/>
    </row>
    <row r="149" spans="1:8" hidden="1">
      <c r="A149" s="56">
        <v>46138</v>
      </c>
      <c r="B149" s="220" t="s">
        <v>1619</v>
      </c>
      <c r="C149" s="86" t="s">
        <v>304</v>
      </c>
      <c r="D149" s="175">
        <v>1686779.97</v>
      </c>
      <c r="E149" s="221" t="s">
        <v>6</v>
      </c>
      <c r="F149" s="28"/>
    </row>
    <row r="150" spans="1:8" hidden="1">
      <c r="A150" s="138">
        <v>46139</v>
      </c>
      <c r="B150" s="85" t="s">
        <v>1727</v>
      </c>
      <c r="C150" s="143" t="s">
        <v>865</v>
      </c>
      <c r="D150" s="175">
        <v>596263.80000000005</v>
      </c>
      <c r="E150" s="171" t="s">
        <v>6</v>
      </c>
      <c r="F150" s="6"/>
    </row>
    <row r="151" spans="1:8" hidden="1">
      <c r="A151" s="138">
        <v>46140</v>
      </c>
      <c r="B151" s="85" t="s">
        <v>1728</v>
      </c>
      <c r="C151" s="143" t="s">
        <v>1729</v>
      </c>
      <c r="D151" s="175">
        <v>740000</v>
      </c>
      <c r="E151" s="171" t="s">
        <v>6</v>
      </c>
      <c r="F151" s="6"/>
    </row>
    <row r="152" spans="1:8" hidden="1">
      <c r="A152" s="304">
        <v>46141</v>
      </c>
      <c r="B152" s="305" t="s">
        <v>1719</v>
      </c>
      <c r="C152" s="222" t="s">
        <v>1426</v>
      </c>
      <c r="D152" s="306">
        <v>902349.63</v>
      </c>
      <c r="E152" s="171" t="s">
        <v>6</v>
      </c>
      <c r="F152" s="307"/>
    </row>
    <row r="153" spans="1:8" hidden="1">
      <c r="A153" s="138">
        <v>46142</v>
      </c>
      <c r="B153" s="85" t="s">
        <v>1730</v>
      </c>
      <c r="C153" s="143" t="s">
        <v>1400</v>
      </c>
      <c r="D153" s="175">
        <v>1696233</v>
      </c>
      <c r="E153" s="171" t="s">
        <v>6</v>
      </c>
      <c r="F153" s="6"/>
    </row>
    <row r="154" spans="1:8" hidden="1">
      <c r="A154" s="56">
        <v>46142</v>
      </c>
      <c r="B154" s="220" t="s">
        <v>1672</v>
      </c>
      <c r="C154" s="86" t="s">
        <v>1436</v>
      </c>
      <c r="D154" s="183">
        <v>1167246.6599999999</v>
      </c>
      <c r="E154" s="221" t="s">
        <v>6</v>
      </c>
      <c r="F154" s="28"/>
    </row>
    <row r="155" spans="1:8" hidden="1">
      <c r="A155" s="138">
        <v>46142</v>
      </c>
      <c r="B155" s="85" t="s">
        <v>1731</v>
      </c>
      <c r="C155" s="143" t="s">
        <v>1465</v>
      </c>
      <c r="D155" s="175">
        <v>549500</v>
      </c>
      <c r="E155" s="171" t="s">
        <v>6</v>
      </c>
      <c r="F155" s="6"/>
    </row>
    <row r="156" spans="1:8" hidden="1">
      <c r="A156" s="138">
        <v>46142</v>
      </c>
      <c r="B156" s="85" t="s">
        <v>1676</v>
      </c>
      <c r="C156" s="143" t="s">
        <v>1675</v>
      </c>
      <c r="D156" s="175">
        <v>4750000</v>
      </c>
      <c r="E156" s="171" t="s">
        <v>6</v>
      </c>
      <c r="F156" s="6"/>
    </row>
    <row r="157" spans="1:8">
      <c r="A157" s="10"/>
      <c r="B157" s="11"/>
      <c r="C157" s="12" t="s">
        <v>7</v>
      </c>
      <c r="D157" s="112">
        <f>SUBTOTAL(109,Tabla1416181920212223242526323334353637507448495658[[MONTO ]])</f>
        <v>0</v>
      </c>
      <c r="E157" s="14"/>
      <c r="F157" s="15"/>
    </row>
    <row r="158" spans="1:8" hidden="1"/>
    <row r="159" spans="1:8" ht="21" hidden="1">
      <c r="A159" s="339" t="s">
        <v>1615</v>
      </c>
      <c r="B159" s="339"/>
      <c r="C159" s="339"/>
      <c r="D159" s="339"/>
      <c r="E159" s="20"/>
      <c r="F159" s="20"/>
      <c r="H159"/>
    </row>
    <row r="160" spans="1:8" ht="21" hidden="1">
      <c r="A160" s="339"/>
      <c r="B160" s="339"/>
      <c r="C160" s="339"/>
      <c r="D160" s="339"/>
      <c r="E160" s="20"/>
      <c r="F160" s="20"/>
      <c r="H160"/>
    </row>
    <row r="161" spans="1:8" hidden="1">
      <c r="A161" s="7" t="s">
        <v>0</v>
      </c>
      <c r="B161" s="8" t="s">
        <v>1</v>
      </c>
      <c r="C161" s="8" t="s">
        <v>2</v>
      </c>
      <c r="D161" s="8" t="s">
        <v>3</v>
      </c>
      <c r="E161" s="8" t="s">
        <v>4</v>
      </c>
      <c r="F161" s="9" t="s">
        <v>5</v>
      </c>
      <c r="H161"/>
    </row>
    <row r="162" spans="1:8" hidden="1">
      <c r="A162" s="244">
        <v>46115</v>
      </c>
      <c r="B162" s="266" t="s">
        <v>1702</v>
      </c>
      <c r="C162" s="246" t="s">
        <v>1699</v>
      </c>
      <c r="D162" s="267">
        <v>14100000</v>
      </c>
      <c r="E162" s="255" t="s">
        <v>6</v>
      </c>
      <c r="F162" s="256"/>
      <c r="H162"/>
    </row>
    <row r="163" spans="1:8" hidden="1">
      <c r="A163" s="244">
        <v>46118</v>
      </c>
      <c r="B163" s="266" t="s">
        <v>1682</v>
      </c>
      <c r="C163" s="246" t="s">
        <v>1547</v>
      </c>
      <c r="D163" s="267">
        <v>23500000</v>
      </c>
      <c r="E163" s="255" t="s">
        <v>6</v>
      </c>
      <c r="F163" s="256"/>
      <c r="H163"/>
    </row>
    <row r="164" spans="1:8" hidden="1">
      <c r="A164" s="244">
        <v>46127</v>
      </c>
      <c r="B164" s="266" t="s">
        <v>1701</v>
      </c>
      <c r="C164" s="246" t="s">
        <v>1699</v>
      </c>
      <c r="D164" s="267">
        <v>31900000</v>
      </c>
      <c r="E164" s="281" t="s">
        <v>6</v>
      </c>
      <c r="F164" s="256"/>
      <c r="H164"/>
    </row>
    <row r="165" spans="1:8" hidden="1">
      <c r="A165" s="282">
        <v>46127</v>
      </c>
      <c r="B165" s="283" t="s">
        <v>1700</v>
      </c>
      <c r="C165" s="295" t="s">
        <v>1703</v>
      </c>
      <c r="D165" s="285">
        <v>0</v>
      </c>
      <c r="E165" s="286" t="s">
        <v>6</v>
      </c>
      <c r="F165" s="256" t="s">
        <v>1718</v>
      </c>
      <c r="H165"/>
    </row>
    <row r="166" spans="1:8" hidden="1">
      <c r="A166" s="277">
        <v>46127</v>
      </c>
      <c r="B166" s="278" t="s">
        <v>1698</v>
      </c>
      <c r="C166" s="246" t="s">
        <v>1717</v>
      </c>
      <c r="D166" s="279">
        <v>20100000</v>
      </c>
      <c r="E166" s="281" t="s">
        <v>6</v>
      </c>
      <c r="F166" s="280"/>
      <c r="H166"/>
    </row>
    <row r="167" spans="1:8" hidden="1">
      <c r="A167" s="10"/>
      <c r="B167" s="11"/>
      <c r="C167" s="12" t="s">
        <v>7</v>
      </c>
      <c r="D167" s="112">
        <f>SUBTOTAL(109,Tabla141618192021222324252632333435363750383739404142434445589451525354555759[[MONTO ]])</f>
        <v>0</v>
      </c>
      <c r="E167" s="14"/>
      <c r="F167" s="15"/>
    </row>
    <row r="169" spans="1:8" ht="21">
      <c r="A169" s="339" t="s">
        <v>1620</v>
      </c>
      <c r="B169" s="339"/>
      <c r="C169" s="339"/>
      <c r="D169" s="339"/>
      <c r="E169" s="20"/>
      <c r="F169" s="20"/>
    </row>
    <row r="170" spans="1:8" ht="21">
      <c r="A170" s="339"/>
      <c r="B170" s="339"/>
      <c r="C170" s="339"/>
      <c r="D170" s="339"/>
      <c r="E170" s="20"/>
      <c r="F170" s="20"/>
    </row>
    <row r="171" spans="1:8">
      <c r="A171" s="7" t="s">
        <v>0</v>
      </c>
      <c r="B171" s="8" t="s">
        <v>1</v>
      </c>
      <c r="C171" s="8" t="s">
        <v>2</v>
      </c>
      <c r="D171" s="8" t="s">
        <v>3</v>
      </c>
      <c r="E171" s="8" t="s">
        <v>4</v>
      </c>
      <c r="F171" s="9" t="s">
        <v>5</v>
      </c>
    </row>
    <row r="172" spans="1:8" hidden="1">
      <c r="A172" s="138">
        <v>46145</v>
      </c>
      <c r="B172" s="85" t="s">
        <v>1738</v>
      </c>
      <c r="C172" s="143" t="s">
        <v>1729</v>
      </c>
      <c r="D172" s="175">
        <v>580000</v>
      </c>
      <c r="E172" s="171" t="s">
        <v>6</v>
      </c>
      <c r="F172" s="6"/>
    </row>
    <row r="173" spans="1:8" hidden="1">
      <c r="A173" s="138">
        <v>46145</v>
      </c>
      <c r="B173" s="85" t="s">
        <v>1666</v>
      </c>
      <c r="C173" s="143" t="s">
        <v>304</v>
      </c>
      <c r="D173" s="175">
        <v>1000000</v>
      </c>
      <c r="E173" s="171" t="s">
        <v>6</v>
      </c>
      <c r="F173" s="6"/>
    </row>
    <row r="174" spans="1:8" hidden="1">
      <c r="A174" s="138">
        <v>46145</v>
      </c>
      <c r="B174" s="85" t="s">
        <v>1667</v>
      </c>
      <c r="C174" s="86" t="s">
        <v>1436</v>
      </c>
      <c r="D174" s="175">
        <v>1750870</v>
      </c>
      <c r="E174" s="171" t="s">
        <v>6</v>
      </c>
      <c r="F174" s="6"/>
    </row>
    <row r="175" spans="1:8" hidden="1">
      <c r="A175" s="138">
        <v>46148</v>
      </c>
      <c r="B175" s="85" t="s">
        <v>1687</v>
      </c>
      <c r="C175" s="143" t="s">
        <v>1436</v>
      </c>
      <c r="D175" s="175">
        <v>868981.66</v>
      </c>
      <c r="E175" s="171" t="s">
        <v>6</v>
      </c>
      <c r="F175" s="6"/>
    </row>
    <row r="176" spans="1:8" hidden="1">
      <c r="A176" s="138">
        <v>46149</v>
      </c>
      <c r="B176" s="85" t="s">
        <v>1690</v>
      </c>
      <c r="C176" s="143" t="s">
        <v>951</v>
      </c>
      <c r="D176" s="175">
        <v>1182902.79</v>
      </c>
      <c r="E176" s="171" t="s">
        <v>6</v>
      </c>
      <c r="F176" s="6"/>
    </row>
    <row r="177" spans="1:8" hidden="1">
      <c r="A177" s="138">
        <v>46151</v>
      </c>
      <c r="B177" s="85" t="s">
        <v>1739</v>
      </c>
      <c r="C177" s="143" t="s">
        <v>840</v>
      </c>
      <c r="D177" s="175">
        <v>495952.34</v>
      </c>
      <c r="E177" s="171" t="s">
        <v>6</v>
      </c>
      <c r="F177" s="6"/>
    </row>
    <row r="178" spans="1:8" hidden="1">
      <c r="A178" s="138">
        <v>46152</v>
      </c>
      <c r="B178" s="85" t="s">
        <v>1732</v>
      </c>
      <c r="C178" s="143" t="s">
        <v>1713</v>
      </c>
      <c r="D178" s="175">
        <v>698200</v>
      </c>
      <c r="E178" s="171" t="s">
        <v>6</v>
      </c>
      <c r="F178" s="6"/>
    </row>
    <row r="179" spans="1:8" hidden="1">
      <c r="A179" s="309">
        <v>46154</v>
      </c>
      <c r="B179" s="310" t="s">
        <v>1750</v>
      </c>
      <c r="C179" s="311" t="s">
        <v>865</v>
      </c>
      <c r="D179" s="312">
        <v>676269</v>
      </c>
      <c r="E179" s="313" t="s">
        <v>6</v>
      </c>
      <c r="F179" s="314"/>
    </row>
    <row r="180" spans="1:8" hidden="1">
      <c r="A180" s="138">
        <v>46157</v>
      </c>
      <c r="B180" s="85" t="s">
        <v>1733</v>
      </c>
      <c r="C180" s="143" t="s">
        <v>1729</v>
      </c>
      <c r="D180" s="175">
        <v>740000</v>
      </c>
      <c r="E180" s="171" t="s">
        <v>6</v>
      </c>
      <c r="F180" s="6"/>
    </row>
    <row r="181" spans="1:8" s="317" customFormat="1">
      <c r="A181" s="138">
        <v>46157</v>
      </c>
      <c r="B181" s="85" t="s">
        <v>1705</v>
      </c>
      <c r="C181" s="202" t="s">
        <v>951</v>
      </c>
      <c r="D181" s="175">
        <v>266450.18</v>
      </c>
      <c r="E181" s="176" t="s">
        <v>471</v>
      </c>
      <c r="F181" s="203"/>
      <c r="H181" s="318"/>
    </row>
    <row r="182" spans="1:8" hidden="1">
      <c r="A182" s="138">
        <v>46158</v>
      </c>
      <c r="B182" s="85" t="s">
        <v>1622</v>
      </c>
      <c r="C182" s="143" t="s">
        <v>1580</v>
      </c>
      <c r="D182" s="175">
        <v>424952.98</v>
      </c>
      <c r="E182" s="171" t="s">
        <v>6</v>
      </c>
      <c r="F182" s="6"/>
    </row>
    <row r="183" spans="1:8" hidden="1">
      <c r="A183" s="296">
        <v>46158</v>
      </c>
      <c r="B183" s="85" t="s">
        <v>1707</v>
      </c>
      <c r="C183" s="143" t="s">
        <v>127</v>
      </c>
      <c r="D183" s="298">
        <v>370391.2</v>
      </c>
      <c r="E183" s="171" t="s">
        <v>6</v>
      </c>
      <c r="F183" s="299"/>
    </row>
    <row r="184" spans="1:8" hidden="1">
      <c r="A184" s="138">
        <v>46160</v>
      </c>
      <c r="B184" s="85" t="s">
        <v>1740</v>
      </c>
      <c r="C184" s="222" t="s">
        <v>1436</v>
      </c>
      <c r="D184" s="175">
        <v>1055261.1599999999</v>
      </c>
      <c r="E184" s="171" t="s">
        <v>6</v>
      </c>
      <c r="F184" s="6"/>
    </row>
    <row r="185" spans="1:8" hidden="1">
      <c r="A185" s="138">
        <v>46161</v>
      </c>
      <c r="B185" s="85" t="s">
        <v>1741</v>
      </c>
      <c r="C185" s="143" t="s">
        <v>951</v>
      </c>
      <c r="D185" s="175">
        <v>104956.85</v>
      </c>
      <c r="E185" s="171" t="s">
        <v>6</v>
      </c>
      <c r="F185" s="6"/>
    </row>
    <row r="186" spans="1:8" hidden="1">
      <c r="A186" s="138">
        <v>46162</v>
      </c>
      <c r="B186" s="85" t="s">
        <v>1742</v>
      </c>
      <c r="C186" s="143" t="s">
        <v>1729</v>
      </c>
      <c r="D186" s="175">
        <v>580000</v>
      </c>
      <c r="E186" s="171" t="s">
        <v>6</v>
      </c>
      <c r="F186" s="6"/>
    </row>
    <row r="187" spans="1:8" hidden="1">
      <c r="A187" s="138">
        <v>46162</v>
      </c>
      <c r="B187" s="85" t="s">
        <v>1743</v>
      </c>
      <c r="C187" s="143" t="s">
        <v>1120</v>
      </c>
      <c r="D187" s="175">
        <v>781119.46</v>
      </c>
      <c r="E187" s="171" t="s">
        <v>6</v>
      </c>
      <c r="F187" s="6"/>
    </row>
    <row r="188" spans="1:8" hidden="1">
      <c r="A188" s="138">
        <v>46166</v>
      </c>
      <c r="B188" s="85" t="s">
        <v>1734</v>
      </c>
      <c r="C188" s="143" t="s">
        <v>1363</v>
      </c>
      <c r="D188" s="175">
        <v>3438215</v>
      </c>
      <c r="E188" s="171" t="s">
        <v>6</v>
      </c>
      <c r="F188" s="6"/>
    </row>
    <row r="189" spans="1:8" hidden="1">
      <c r="A189" s="309">
        <v>46171</v>
      </c>
      <c r="B189" s="310" t="s">
        <v>1762</v>
      </c>
      <c r="C189" s="311" t="s">
        <v>865</v>
      </c>
      <c r="D189" s="312">
        <v>696451.8</v>
      </c>
      <c r="E189" s="313" t="s">
        <v>6</v>
      </c>
      <c r="F189" s="314"/>
    </row>
    <row r="190" spans="1:8" hidden="1">
      <c r="A190" s="56">
        <v>46171</v>
      </c>
      <c r="B190" s="220" t="s">
        <v>1623</v>
      </c>
      <c r="C190" s="86" t="s">
        <v>304</v>
      </c>
      <c r="D190" s="175">
        <v>1686779.97</v>
      </c>
      <c r="E190" s="221" t="s">
        <v>6</v>
      </c>
      <c r="F190" s="28"/>
    </row>
    <row r="191" spans="1:8" hidden="1">
      <c r="A191" s="309">
        <v>46171</v>
      </c>
      <c r="B191" s="310" t="s">
        <v>1763</v>
      </c>
      <c r="C191" s="319" t="s">
        <v>1400</v>
      </c>
      <c r="D191" s="312">
        <v>1729738</v>
      </c>
      <c r="E191" s="313" t="s">
        <v>6</v>
      </c>
      <c r="F191" s="314"/>
    </row>
    <row r="192" spans="1:8" hidden="1">
      <c r="A192" s="309">
        <v>46171</v>
      </c>
      <c r="B192" s="310" t="s">
        <v>1764</v>
      </c>
      <c r="C192" s="311" t="s">
        <v>1243</v>
      </c>
      <c r="D192" s="312">
        <v>590407.4</v>
      </c>
      <c r="E192" s="313" t="s">
        <v>6</v>
      </c>
      <c r="F192" s="314"/>
    </row>
    <row r="193" spans="1:8" hidden="1">
      <c r="A193" s="309">
        <v>46171</v>
      </c>
      <c r="B193" s="310" t="s">
        <v>1765</v>
      </c>
      <c r="C193" s="311" t="s">
        <v>1729</v>
      </c>
      <c r="D193" s="312">
        <v>500000</v>
      </c>
      <c r="E193" s="313" t="s">
        <v>6</v>
      </c>
      <c r="F193" s="314"/>
    </row>
    <row r="194" spans="1:8" hidden="1">
      <c r="A194" s="138">
        <v>46172</v>
      </c>
      <c r="B194" s="85" t="s">
        <v>1695</v>
      </c>
      <c r="C194" s="143" t="s">
        <v>127</v>
      </c>
      <c r="D194" s="175">
        <v>25000000</v>
      </c>
      <c r="E194" s="171" t="s">
        <v>6</v>
      </c>
      <c r="F194" s="6"/>
    </row>
    <row r="195" spans="1:8" hidden="1">
      <c r="A195" s="56">
        <v>46172</v>
      </c>
      <c r="B195" s="220" t="s">
        <v>1673</v>
      </c>
      <c r="C195" s="86" t="s">
        <v>1436</v>
      </c>
      <c r="D195" s="183">
        <v>1167246.6599999999</v>
      </c>
      <c r="E195" s="221" t="s">
        <v>6</v>
      </c>
      <c r="F195" s="28"/>
    </row>
    <row r="196" spans="1:8" hidden="1">
      <c r="A196" s="138">
        <v>46172</v>
      </c>
      <c r="B196" s="85" t="s">
        <v>1677</v>
      </c>
      <c r="C196" s="143" t="s">
        <v>1675</v>
      </c>
      <c r="D196" s="175">
        <v>4750000</v>
      </c>
      <c r="E196" s="171" t="s">
        <v>6</v>
      </c>
      <c r="F196" s="6"/>
    </row>
    <row r="197" spans="1:8" hidden="1">
      <c r="A197" s="309">
        <v>46172</v>
      </c>
      <c r="B197" s="310" t="s">
        <v>1751</v>
      </c>
      <c r="C197" s="311" t="s">
        <v>1158</v>
      </c>
      <c r="D197" s="312">
        <v>955900</v>
      </c>
      <c r="E197" s="313" t="s">
        <v>6</v>
      </c>
      <c r="F197" s="314"/>
    </row>
    <row r="198" spans="1:8">
      <c r="A198" s="10"/>
      <c r="B198" s="11"/>
      <c r="C198" s="12" t="s">
        <v>7</v>
      </c>
      <c r="D198" s="112">
        <f>SUBTOTAL(109,Tabla141618192021222324252632333435363750744849565860[[MONTO ]])</f>
        <v>266450.18</v>
      </c>
      <c r="E198" s="14"/>
      <c r="F198" s="15"/>
    </row>
    <row r="199" spans="1:8" hidden="1"/>
    <row r="200" spans="1:8" ht="21" hidden="1">
      <c r="A200" s="339" t="s">
        <v>1621</v>
      </c>
      <c r="B200" s="339"/>
      <c r="C200" s="339"/>
      <c r="D200" s="339"/>
      <c r="E200" s="20"/>
      <c r="F200" s="20"/>
      <c r="H200"/>
    </row>
    <row r="201" spans="1:8" ht="21" hidden="1">
      <c r="A201" s="339"/>
      <c r="B201" s="339"/>
      <c r="C201" s="339"/>
      <c r="D201" s="339"/>
      <c r="E201" s="20"/>
      <c r="F201" s="20"/>
      <c r="H201"/>
    </row>
    <row r="202" spans="1:8" hidden="1">
      <c r="A202" s="7" t="s">
        <v>0</v>
      </c>
      <c r="B202" s="8" t="s">
        <v>1</v>
      </c>
      <c r="C202" s="8" t="s">
        <v>2</v>
      </c>
      <c r="D202" s="8" t="s">
        <v>3</v>
      </c>
      <c r="E202" s="8" t="s">
        <v>4</v>
      </c>
      <c r="F202" s="9" t="s">
        <v>5</v>
      </c>
      <c r="H202"/>
    </row>
    <row r="203" spans="1:8" hidden="1">
      <c r="A203" s="244">
        <v>46148</v>
      </c>
      <c r="B203" s="266" t="s">
        <v>1749</v>
      </c>
      <c r="C203" s="246" t="s">
        <v>1748</v>
      </c>
      <c r="D203" s="267">
        <v>10250000</v>
      </c>
      <c r="E203" s="281" t="s">
        <v>6</v>
      </c>
      <c r="F203" s="256"/>
      <c r="H203"/>
    </row>
    <row r="204" spans="1:8" hidden="1">
      <c r="A204" s="244">
        <v>46152</v>
      </c>
      <c r="B204" s="266" t="s">
        <v>1737</v>
      </c>
      <c r="C204" s="246" t="s">
        <v>1547</v>
      </c>
      <c r="D204" s="267">
        <v>21400000</v>
      </c>
      <c r="E204" s="255" t="s">
        <v>6</v>
      </c>
      <c r="F204" s="256"/>
      <c r="H204"/>
    </row>
    <row r="205" spans="1:8" hidden="1">
      <c r="A205" s="244">
        <v>46157</v>
      </c>
      <c r="B205" s="266" t="s">
        <v>1736</v>
      </c>
      <c r="C205" s="246" t="s">
        <v>1547</v>
      </c>
      <c r="D205" s="267">
        <v>53800000</v>
      </c>
      <c r="E205" s="255" t="s">
        <v>6</v>
      </c>
      <c r="F205" s="256" t="s">
        <v>1761</v>
      </c>
      <c r="H205"/>
    </row>
    <row r="206" spans="1:8" hidden="1">
      <c r="A206" s="277">
        <v>46163</v>
      </c>
      <c r="B206" s="278" t="s">
        <v>1747</v>
      </c>
      <c r="C206" s="246" t="s">
        <v>1748</v>
      </c>
      <c r="D206" s="279">
        <v>26000000</v>
      </c>
      <c r="E206" s="281" t="s">
        <v>6</v>
      </c>
      <c r="F206" s="280"/>
      <c r="H206"/>
    </row>
    <row r="207" spans="1:8" hidden="1">
      <c r="A207" s="10"/>
      <c r="B207" s="11"/>
      <c r="C207" s="12" t="s">
        <v>7</v>
      </c>
      <c r="D207" s="112">
        <f>SUBTOTAL(109,Tabla14161819202122232425263233343536375038373940414243444558945152535455575966[[MONTO ]])</f>
        <v>0</v>
      </c>
      <c r="E207" s="14"/>
      <c r="F207" s="15"/>
    </row>
    <row r="208" spans="1:8" hidden="1"/>
    <row r="209" spans="1:8" ht="21" hidden="1">
      <c r="A209" s="339" t="s">
        <v>1624</v>
      </c>
      <c r="B209" s="339"/>
      <c r="C209" s="339"/>
      <c r="D209" s="339"/>
      <c r="E209" s="20"/>
      <c r="F209" s="20"/>
    </row>
    <row r="210" spans="1:8" ht="21" hidden="1">
      <c r="A210" s="339"/>
      <c r="B210" s="339"/>
      <c r="C210" s="339"/>
      <c r="D210" s="339"/>
      <c r="E210" s="20"/>
      <c r="F210" s="20"/>
    </row>
    <row r="211" spans="1:8" hidden="1">
      <c r="A211" s="7" t="s">
        <v>0</v>
      </c>
      <c r="B211" s="8" t="s">
        <v>1</v>
      </c>
      <c r="C211" s="8" t="s">
        <v>2</v>
      </c>
      <c r="D211" s="8" t="s">
        <v>3</v>
      </c>
      <c r="E211" s="8" t="s">
        <v>4</v>
      </c>
      <c r="F211" s="9" t="s">
        <v>5</v>
      </c>
    </row>
    <row r="212" spans="1:8" hidden="1">
      <c r="A212" s="309">
        <v>46175</v>
      </c>
      <c r="B212" s="310" t="s">
        <v>1752</v>
      </c>
      <c r="C212" s="143" t="s">
        <v>1436</v>
      </c>
      <c r="D212" s="315">
        <v>854945.66</v>
      </c>
      <c r="E212" s="171" t="s">
        <v>6</v>
      </c>
      <c r="F212" s="316"/>
    </row>
    <row r="213" spans="1:8" hidden="1">
      <c r="A213" s="138">
        <v>46176</v>
      </c>
      <c r="B213" s="85" t="s">
        <v>1668</v>
      </c>
      <c r="C213" s="86" t="s">
        <v>304</v>
      </c>
      <c r="D213" s="175">
        <v>1374778</v>
      </c>
      <c r="E213" s="171" t="s">
        <v>6</v>
      </c>
      <c r="F213" s="6"/>
    </row>
    <row r="214" spans="1:8" hidden="1">
      <c r="A214" s="138">
        <v>46177</v>
      </c>
      <c r="B214" s="85" t="s">
        <v>1753</v>
      </c>
      <c r="C214" s="143" t="s">
        <v>951</v>
      </c>
      <c r="D214" s="175">
        <v>2071551.71</v>
      </c>
      <c r="E214" s="171" t="s">
        <v>6</v>
      </c>
      <c r="F214" s="6"/>
    </row>
    <row r="215" spans="1:8" hidden="1">
      <c r="A215" s="325">
        <v>46178</v>
      </c>
      <c r="B215" s="326" t="s">
        <v>1787</v>
      </c>
      <c r="C215" s="327" t="s">
        <v>1788</v>
      </c>
      <c r="D215" s="328">
        <v>13800000</v>
      </c>
      <c r="E215" s="329" t="s">
        <v>6</v>
      </c>
      <c r="F215" s="330"/>
    </row>
    <row r="216" spans="1:8" hidden="1">
      <c r="A216" s="309">
        <v>46178</v>
      </c>
      <c r="B216" s="310" t="s">
        <v>1766</v>
      </c>
      <c r="C216" s="143" t="s">
        <v>865</v>
      </c>
      <c r="D216" s="315">
        <v>976246.15</v>
      </c>
      <c r="E216" s="171" t="s">
        <v>6</v>
      </c>
      <c r="F216" s="316"/>
    </row>
    <row r="217" spans="1:8" hidden="1">
      <c r="A217" s="309">
        <v>46178</v>
      </c>
      <c r="B217" s="85" t="s">
        <v>1767</v>
      </c>
      <c r="C217" s="143" t="s">
        <v>1768</v>
      </c>
      <c r="D217" s="315">
        <v>2047320</v>
      </c>
      <c r="E217" s="171" t="s">
        <v>6</v>
      </c>
      <c r="F217" s="316"/>
    </row>
    <row r="218" spans="1:8" hidden="1">
      <c r="A218" s="138">
        <v>46179</v>
      </c>
      <c r="B218" s="85" t="s">
        <v>1688</v>
      </c>
      <c r="C218" s="143" t="s">
        <v>1436</v>
      </c>
      <c r="D218" s="175">
        <v>868981.66</v>
      </c>
      <c r="E218" s="171" t="s">
        <v>6</v>
      </c>
      <c r="F218" s="6"/>
    </row>
    <row r="219" spans="1:8" hidden="1">
      <c r="A219" s="309">
        <v>46185</v>
      </c>
      <c r="B219" s="310" t="s">
        <v>1769</v>
      </c>
      <c r="C219" s="311" t="s">
        <v>865</v>
      </c>
      <c r="D219" s="315">
        <v>696451.8</v>
      </c>
      <c r="E219" s="171" t="s">
        <v>6</v>
      </c>
      <c r="F219" s="316"/>
    </row>
    <row r="220" spans="1:8" hidden="1">
      <c r="A220" s="309">
        <v>46185</v>
      </c>
      <c r="B220" s="310" t="s">
        <v>1770</v>
      </c>
      <c r="C220" s="143" t="s">
        <v>1771</v>
      </c>
      <c r="D220" s="315">
        <v>730000</v>
      </c>
      <c r="E220" s="171" t="s">
        <v>6</v>
      </c>
      <c r="F220" s="316"/>
    </row>
    <row r="221" spans="1:8" s="317" customFormat="1" hidden="1">
      <c r="A221" s="138">
        <v>46189</v>
      </c>
      <c r="B221" s="85" t="s">
        <v>1626</v>
      </c>
      <c r="C221" s="143" t="s">
        <v>1580</v>
      </c>
      <c r="D221" s="175">
        <v>424952.98</v>
      </c>
      <c r="E221" s="171" t="s">
        <v>6</v>
      </c>
      <c r="F221" s="6"/>
      <c r="H221" s="318"/>
    </row>
    <row r="222" spans="1:8" hidden="1">
      <c r="A222" s="56">
        <v>46191</v>
      </c>
      <c r="B222" s="220" t="s">
        <v>1744</v>
      </c>
      <c r="C222" s="86" t="s">
        <v>1436</v>
      </c>
      <c r="D222" s="183">
        <v>1055261.1599999999</v>
      </c>
      <c r="E222" s="221" t="s">
        <v>6</v>
      </c>
      <c r="F222" s="28"/>
    </row>
    <row r="223" spans="1:8" hidden="1">
      <c r="A223" s="138">
        <v>46192</v>
      </c>
      <c r="B223" s="85" t="s">
        <v>1745</v>
      </c>
      <c r="C223" s="143" t="s">
        <v>951</v>
      </c>
      <c r="D223" s="175">
        <v>104956.85</v>
      </c>
      <c r="E223" s="171" t="s">
        <v>6</v>
      </c>
      <c r="F223" s="6"/>
    </row>
    <row r="224" spans="1:8" hidden="1">
      <c r="A224" s="325">
        <v>46192</v>
      </c>
      <c r="B224" s="326" t="s">
        <v>1784</v>
      </c>
      <c r="C224" s="143" t="s">
        <v>1771</v>
      </c>
      <c r="D224" s="328">
        <v>809647.5</v>
      </c>
      <c r="E224" s="329" t="s">
        <v>6</v>
      </c>
      <c r="F224" s="330"/>
    </row>
    <row r="225" spans="1:8" hidden="1">
      <c r="A225" s="320">
        <v>46192</v>
      </c>
      <c r="B225" s="321" t="s">
        <v>1773</v>
      </c>
      <c r="C225" s="322" t="s">
        <v>865</v>
      </c>
      <c r="D225" s="323">
        <v>976246.15</v>
      </c>
      <c r="E225" s="221" t="s">
        <v>6</v>
      </c>
      <c r="F225" s="324"/>
    </row>
    <row r="226" spans="1:8" hidden="1">
      <c r="A226" s="320">
        <v>46192</v>
      </c>
      <c r="B226" s="321" t="s">
        <v>1772</v>
      </c>
      <c r="C226" s="86" t="s">
        <v>1243</v>
      </c>
      <c r="D226" s="323">
        <v>736181.91</v>
      </c>
      <c r="E226" s="221" t="s">
        <v>6</v>
      </c>
      <c r="F226" s="324"/>
    </row>
    <row r="227" spans="1:8" hidden="1">
      <c r="A227" s="138">
        <v>46197</v>
      </c>
      <c r="B227" s="85" t="s">
        <v>1735</v>
      </c>
      <c r="C227" s="143" t="s">
        <v>1363</v>
      </c>
      <c r="D227" s="175">
        <v>3438215</v>
      </c>
      <c r="E227" s="171" t="s">
        <v>6</v>
      </c>
      <c r="F227" s="6"/>
    </row>
    <row r="228" spans="1:8" hidden="1">
      <c r="A228" s="138">
        <v>46198</v>
      </c>
      <c r="B228" s="85" t="s">
        <v>1696</v>
      </c>
      <c r="C228" s="143" t="s">
        <v>127</v>
      </c>
      <c r="D228" s="175">
        <v>25000000</v>
      </c>
      <c r="E228" s="171" t="s">
        <v>6</v>
      </c>
      <c r="F228" s="6"/>
    </row>
    <row r="229" spans="1:8" hidden="1">
      <c r="A229" s="138">
        <v>46199</v>
      </c>
      <c r="B229" s="85" t="s">
        <v>1774</v>
      </c>
      <c r="C229" s="143" t="s">
        <v>304</v>
      </c>
      <c r="D229" s="175">
        <v>400000</v>
      </c>
      <c r="E229" s="171" t="s">
        <v>6</v>
      </c>
      <c r="F229" s="6"/>
    </row>
    <row r="230" spans="1:8" hidden="1">
      <c r="A230" s="138">
        <v>46199</v>
      </c>
      <c r="B230" s="85" t="s">
        <v>1785</v>
      </c>
      <c r="C230" s="143" t="s">
        <v>951</v>
      </c>
      <c r="D230" s="175">
        <v>1298666.95</v>
      </c>
      <c r="E230" s="171" t="s">
        <v>6</v>
      </c>
      <c r="F230" s="6"/>
    </row>
    <row r="231" spans="1:8" hidden="1">
      <c r="A231" s="138">
        <v>46199</v>
      </c>
      <c r="B231" s="85" t="s">
        <v>1786</v>
      </c>
      <c r="C231" s="143" t="s">
        <v>1400</v>
      </c>
      <c r="D231" s="175">
        <v>1704019</v>
      </c>
      <c r="E231" s="171" t="s">
        <v>6</v>
      </c>
      <c r="F231" s="6"/>
    </row>
    <row r="232" spans="1:8" hidden="1">
      <c r="A232" s="138">
        <v>46202</v>
      </c>
      <c r="B232" s="85" t="s">
        <v>1754</v>
      </c>
      <c r="C232" s="143" t="s">
        <v>865</v>
      </c>
      <c r="D232" s="175">
        <v>676269</v>
      </c>
      <c r="E232" s="171" t="s">
        <v>6</v>
      </c>
      <c r="F232" s="6"/>
    </row>
    <row r="233" spans="1:8" hidden="1">
      <c r="A233" s="138">
        <v>46203</v>
      </c>
      <c r="B233" s="85" t="s">
        <v>1678</v>
      </c>
      <c r="C233" s="143" t="s">
        <v>1675</v>
      </c>
      <c r="D233" s="175">
        <v>4750000</v>
      </c>
      <c r="E233" s="171" t="s">
        <v>6</v>
      </c>
      <c r="F233" s="6"/>
    </row>
    <row r="234" spans="1:8" hidden="1">
      <c r="A234" s="10"/>
      <c r="B234" s="11"/>
      <c r="C234" s="12" t="s">
        <v>7</v>
      </c>
      <c r="D234" s="112">
        <f>SUBTOTAL(109,Tabla14161819202122232425263233343536375074484956586061[[MONTO ]])</f>
        <v>0</v>
      </c>
      <c r="E234" s="14"/>
      <c r="F234" s="15"/>
    </row>
    <row r="235" spans="1:8" hidden="1"/>
    <row r="236" spans="1:8" ht="21" hidden="1">
      <c r="A236" s="339" t="s">
        <v>1625</v>
      </c>
      <c r="B236" s="339"/>
      <c r="C236" s="339"/>
      <c r="D236" s="339"/>
      <c r="E236" s="20"/>
      <c r="F236" s="20"/>
      <c r="H236"/>
    </row>
    <row r="237" spans="1:8" ht="21" hidden="1">
      <c r="A237" s="339"/>
      <c r="B237" s="339"/>
      <c r="C237" s="339"/>
      <c r="D237" s="339"/>
      <c r="E237" s="20"/>
      <c r="F237" s="20"/>
      <c r="H237"/>
    </row>
    <row r="238" spans="1:8" hidden="1">
      <c r="A238" s="7" t="s">
        <v>0</v>
      </c>
      <c r="B238" s="8" t="s">
        <v>1</v>
      </c>
      <c r="C238" s="8" t="s">
        <v>2</v>
      </c>
      <c r="D238" s="8" t="s">
        <v>3</v>
      </c>
      <c r="E238" s="8" t="s">
        <v>4</v>
      </c>
      <c r="F238" s="9" t="s">
        <v>5</v>
      </c>
      <c r="H238"/>
    </row>
    <row r="239" spans="1:8" hidden="1">
      <c r="A239" s="244">
        <v>46188</v>
      </c>
      <c r="B239" s="266" t="s">
        <v>1760</v>
      </c>
      <c r="C239" s="246" t="s">
        <v>1547</v>
      </c>
      <c r="D239" s="267">
        <v>10500000</v>
      </c>
      <c r="E239" s="281" t="s">
        <v>6</v>
      </c>
      <c r="F239" s="256"/>
      <c r="H239"/>
    </row>
    <row r="240" spans="1:8" hidden="1">
      <c r="A240" s="277">
        <v>46192</v>
      </c>
      <c r="B240" s="278" t="s">
        <v>1778</v>
      </c>
      <c r="C240" s="246" t="s">
        <v>1699</v>
      </c>
      <c r="D240" s="279">
        <v>11300000</v>
      </c>
      <c r="E240" s="281" t="s">
        <v>6</v>
      </c>
      <c r="F240" s="280"/>
      <c r="H240"/>
    </row>
    <row r="241" spans="1:8" hidden="1">
      <c r="A241" s="277">
        <v>46192</v>
      </c>
      <c r="B241" s="278" t="s">
        <v>1775</v>
      </c>
      <c r="C241" s="246" t="s">
        <v>1547</v>
      </c>
      <c r="D241" s="279">
        <v>26800000</v>
      </c>
      <c r="E241" s="281" t="s">
        <v>6</v>
      </c>
      <c r="F241" s="280"/>
      <c r="H241"/>
    </row>
    <row r="242" spans="1:8" hidden="1">
      <c r="A242" s="277">
        <v>46192</v>
      </c>
      <c r="B242" s="278" t="s">
        <v>1776</v>
      </c>
      <c r="C242" s="246" t="s">
        <v>1781</v>
      </c>
      <c r="D242" s="279">
        <v>9000000</v>
      </c>
      <c r="E242" s="281" t="s">
        <v>6</v>
      </c>
      <c r="F242" s="280"/>
      <c r="H242"/>
    </row>
    <row r="243" spans="1:8" hidden="1">
      <c r="A243" s="277">
        <v>46192</v>
      </c>
      <c r="B243" s="278" t="s">
        <v>1777</v>
      </c>
      <c r="C243" s="246" t="s">
        <v>1547</v>
      </c>
      <c r="D243" s="279">
        <v>35700000</v>
      </c>
      <c r="E243" s="281" t="s">
        <v>6</v>
      </c>
      <c r="F243" s="280"/>
      <c r="H243"/>
    </row>
    <row r="244" spans="1:8" hidden="1">
      <c r="A244" s="277">
        <v>46192</v>
      </c>
      <c r="B244" s="278" t="s">
        <v>1779</v>
      </c>
      <c r="C244" s="246" t="s">
        <v>1781</v>
      </c>
      <c r="D244" s="279">
        <v>15000000</v>
      </c>
      <c r="E244" s="281" t="s">
        <v>6</v>
      </c>
      <c r="F244" s="280"/>
      <c r="H244"/>
    </row>
    <row r="245" spans="1:8" hidden="1">
      <c r="A245" s="277">
        <v>46192</v>
      </c>
      <c r="B245" s="278" t="s">
        <v>1780</v>
      </c>
      <c r="C245" s="246" t="s">
        <v>1536</v>
      </c>
      <c r="D245" s="279">
        <v>30000000</v>
      </c>
      <c r="E245" s="281" t="s">
        <v>6</v>
      </c>
      <c r="F245" s="280"/>
      <c r="H245"/>
    </row>
    <row r="246" spans="1:8" hidden="1">
      <c r="A246" s="10"/>
      <c r="B246" s="11"/>
      <c r="C246" s="12" t="s">
        <v>7</v>
      </c>
      <c r="D246" s="112">
        <f>SUBTOTAL(109,Tabla1416181920212223242526323334353637503837394041424344455894515253545557596163[[MONTO ]])</f>
        <v>0</v>
      </c>
      <c r="E246" s="14"/>
      <c r="F246" s="15"/>
    </row>
    <row r="247" spans="1:8" hidden="1"/>
    <row r="248" spans="1:8" ht="21" hidden="1">
      <c r="A248" s="339" t="s">
        <v>1679</v>
      </c>
      <c r="B248" s="339"/>
      <c r="C248" s="339"/>
      <c r="D248" s="339"/>
      <c r="E248" s="20"/>
      <c r="F248" s="20"/>
    </row>
    <row r="249" spans="1:8" ht="21" hidden="1">
      <c r="A249" s="339"/>
      <c r="B249" s="339"/>
      <c r="C249" s="339"/>
      <c r="D249" s="339"/>
      <c r="E249" s="20"/>
      <c r="F249" s="20"/>
    </row>
    <row r="250" spans="1:8" hidden="1">
      <c r="A250" s="7" t="s">
        <v>0</v>
      </c>
      <c r="B250" s="8" t="s">
        <v>1</v>
      </c>
      <c r="C250" s="8" t="s">
        <v>2</v>
      </c>
      <c r="D250" s="8" t="s">
        <v>3</v>
      </c>
      <c r="E250" s="8" t="s">
        <v>4</v>
      </c>
      <c r="F250" s="9" t="s">
        <v>5</v>
      </c>
    </row>
    <row r="251" spans="1:8" hidden="1">
      <c r="A251" s="138">
        <v>46205</v>
      </c>
      <c r="B251" s="85" t="s">
        <v>1755</v>
      </c>
      <c r="C251" s="143" t="s">
        <v>1436</v>
      </c>
      <c r="D251" s="175">
        <v>854945.66</v>
      </c>
      <c r="E251" s="171" t="s">
        <v>6</v>
      </c>
      <c r="F251" s="6"/>
    </row>
    <row r="252" spans="1:8" hidden="1">
      <c r="A252" s="138">
        <v>46206</v>
      </c>
      <c r="B252" s="85" t="s">
        <v>1792</v>
      </c>
      <c r="C252" s="143" t="s">
        <v>1771</v>
      </c>
      <c r="D252" s="175">
        <v>809647.5</v>
      </c>
      <c r="E252" s="171" t="s">
        <v>6</v>
      </c>
      <c r="F252" s="6"/>
    </row>
    <row r="253" spans="1:8" hidden="1">
      <c r="A253" s="325">
        <v>46206</v>
      </c>
      <c r="B253" s="326" t="s">
        <v>1789</v>
      </c>
      <c r="C253" s="327" t="s">
        <v>1375</v>
      </c>
      <c r="D253" s="331">
        <v>154965.69</v>
      </c>
      <c r="E253" s="171" t="s">
        <v>6</v>
      </c>
      <c r="F253" s="332"/>
    </row>
    <row r="254" spans="1:8" hidden="1">
      <c r="A254" s="138">
        <v>46206</v>
      </c>
      <c r="B254" s="85" t="s">
        <v>1791</v>
      </c>
      <c r="C254" s="143" t="s">
        <v>865</v>
      </c>
      <c r="D254" s="175">
        <v>867025.5</v>
      </c>
      <c r="E254" s="171" t="s">
        <v>6</v>
      </c>
      <c r="F254" s="6"/>
    </row>
    <row r="255" spans="1:8" s="254" customFormat="1" hidden="1">
      <c r="A255" s="138">
        <v>46207</v>
      </c>
      <c r="B255" s="85" t="s">
        <v>1756</v>
      </c>
      <c r="C255" s="202" t="s">
        <v>951</v>
      </c>
      <c r="D255" s="175">
        <v>2071551.71</v>
      </c>
      <c r="E255" s="176" t="s">
        <v>6</v>
      </c>
      <c r="F255" s="203"/>
      <c r="H255" s="333"/>
    </row>
    <row r="256" spans="1:8" hidden="1">
      <c r="A256" s="138">
        <v>46220</v>
      </c>
      <c r="B256" s="85" t="s">
        <v>1793</v>
      </c>
      <c r="C256" s="143" t="s">
        <v>865</v>
      </c>
      <c r="D256" s="175">
        <v>846866.9</v>
      </c>
      <c r="E256" s="171" t="s">
        <v>6</v>
      </c>
      <c r="F256" s="6"/>
    </row>
    <row r="257" spans="1:8" hidden="1">
      <c r="A257" s="138">
        <v>46220</v>
      </c>
      <c r="B257" s="85" t="s">
        <v>1794</v>
      </c>
      <c r="C257" s="143" t="s">
        <v>1426</v>
      </c>
      <c r="D257" s="175">
        <v>992500.06</v>
      </c>
      <c r="E257" s="171" t="s">
        <v>6</v>
      </c>
      <c r="F257" s="6"/>
    </row>
    <row r="258" spans="1:8" s="254" customFormat="1" hidden="1">
      <c r="A258" s="56">
        <v>46221</v>
      </c>
      <c r="B258" s="220" t="s">
        <v>1746</v>
      </c>
      <c r="C258" s="86" t="s">
        <v>1436</v>
      </c>
      <c r="D258" s="183">
        <v>1055261.1599999999</v>
      </c>
      <c r="E258" s="221" t="s">
        <v>6</v>
      </c>
      <c r="F258" s="28"/>
      <c r="H258" s="333"/>
    </row>
    <row r="259" spans="1:8" hidden="1">
      <c r="A259" s="138">
        <v>46227</v>
      </c>
      <c r="B259" s="85" t="s">
        <v>1809</v>
      </c>
      <c r="C259" s="143" t="s">
        <v>1788</v>
      </c>
      <c r="D259" s="175">
        <v>7270000</v>
      </c>
      <c r="E259" s="171" t="s">
        <v>6</v>
      </c>
      <c r="F259" s="6"/>
    </row>
    <row r="260" spans="1:8" hidden="1">
      <c r="A260" s="138">
        <v>46227</v>
      </c>
      <c r="B260" s="85" t="s">
        <v>1795</v>
      </c>
      <c r="C260" s="143" t="s">
        <v>951</v>
      </c>
      <c r="D260" s="175">
        <v>1298666.95</v>
      </c>
      <c r="E260" s="171" t="s">
        <v>6</v>
      </c>
      <c r="F260" s="6"/>
    </row>
    <row r="261" spans="1:8" hidden="1">
      <c r="A261" s="138">
        <v>46227</v>
      </c>
      <c r="B261" s="85" t="s">
        <v>1782</v>
      </c>
      <c r="C261" s="143" t="s">
        <v>304</v>
      </c>
      <c r="D261" s="175">
        <v>400000</v>
      </c>
      <c r="E261" s="171" t="s">
        <v>6</v>
      </c>
      <c r="F261" s="6"/>
    </row>
    <row r="262" spans="1:8" hidden="1">
      <c r="A262" s="138">
        <v>46227</v>
      </c>
      <c r="B262" s="85" t="s">
        <v>1790</v>
      </c>
      <c r="C262" s="222" t="s">
        <v>1243</v>
      </c>
      <c r="D262" s="175">
        <v>521785.3</v>
      </c>
      <c r="E262" s="171" t="s">
        <v>6</v>
      </c>
      <c r="F262" s="6"/>
    </row>
    <row r="263" spans="1:8" hidden="1">
      <c r="A263" s="138">
        <v>46233</v>
      </c>
      <c r="B263" s="85" t="s">
        <v>1810</v>
      </c>
      <c r="C263" s="143" t="s">
        <v>1811</v>
      </c>
      <c r="D263" s="175">
        <v>8070000</v>
      </c>
      <c r="E263" s="171" t="s">
        <v>6</v>
      </c>
      <c r="F263" s="6"/>
    </row>
    <row r="264" spans="1:8" hidden="1">
      <c r="A264" s="138">
        <v>46233</v>
      </c>
      <c r="B264" s="85" t="s">
        <v>1812</v>
      </c>
      <c r="C264" s="143" t="s">
        <v>1811</v>
      </c>
      <c r="D264" s="175">
        <v>8000000</v>
      </c>
      <c r="E264" s="171" t="s">
        <v>6</v>
      </c>
      <c r="F264" s="6"/>
    </row>
    <row r="265" spans="1:8" hidden="1">
      <c r="A265" s="138">
        <v>46233</v>
      </c>
      <c r="B265" s="85" t="s">
        <v>1680</v>
      </c>
      <c r="C265" s="143" t="s">
        <v>1675</v>
      </c>
      <c r="D265" s="175">
        <v>4750000</v>
      </c>
      <c r="E265" s="171" t="s">
        <v>6</v>
      </c>
      <c r="F265" s="6"/>
    </row>
    <row r="266" spans="1:8" hidden="1">
      <c r="A266" s="56">
        <v>46234</v>
      </c>
      <c r="B266" s="220" t="s">
        <v>1797</v>
      </c>
      <c r="C266" s="86" t="s">
        <v>304</v>
      </c>
      <c r="D266" s="183">
        <v>432850</v>
      </c>
      <c r="E266" s="221" t="s">
        <v>6</v>
      </c>
      <c r="F266" s="28"/>
    </row>
    <row r="267" spans="1:8" hidden="1">
      <c r="A267" s="138">
        <v>46234</v>
      </c>
      <c r="B267" s="85" t="s">
        <v>1817</v>
      </c>
      <c r="C267" s="143" t="s">
        <v>1818</v>
      </c>
      <c r="D267" s="175">
        <v>1366949</v>
      </c>
      <c r="E267" s="171" t="s">
        <v>6</v>
      </c>
      <c r="F267" s="6"/>
    </row>
    <row r="268" spans="1:8" hidden="1">
      <c r="A268" s="56">
        <v>46234</v>
      </c>
      <c r="B268" s="220" t="s">
        <v>1796</v>
      </c>
      <c r="C268" s="86" t="s">
        <v>865</v>
      </c>
      <c r="D268" s="183">
        <v>846866.9</v>
      </c>
      <c r="E268" s="221" t="s">
        <v>6</v>
      </c>
      <c r="F268" s="28"/>
    </row>
    <row r="269" spans="1:8" hidden="1">
      <c r="A269" s="10"/>
      <c r="B269" s="11"/>
      <c r="C269" s="12" t="s">
        <v>7</v>
      </c>
      <c r="D269" s="112">
        <f>SUBTOTAL(109,Tabla1416181920212223242526323334353637507448495658606171[[MONTO ]])</f>
        <v>0</v>
      </c>
      <c r="E269" s="14"/>
      <c r="F269" s="15"/>
    </row>
    <row r="270" spans="1:8" hidden="1"/>
    <row r="271" spans="1:8" ht="21" hidden="1">
      <c r="A271" s="339" t="s">
        <v>1681</v>
      </c>
      <c r="B271" s="339"/>
      <c r="C271" s="339"/>
      <c r="D271" s="339"/>
      <c r="E271" s="20"/>
      <c r="F271" s="20"/>
      <c r="H271"/>
    </row>
    <row r="272" spans="1:8" ht="21" hidden="1">
      <c r="A272" s="339"/>
      <c r="B272" s="339"/>
      <c r="C272" s="339"/>
      <c r="D272" s="339"/>
      <c r="E272" s="20"/>
      <c r="F272" s="20"/>
      <c r="H272"/>
    </row>
    <row r="273" spans="1:8" hidden="1">
      <c r="A273" s="7" t="s">
        <v>0</v>
      </c>
      <c r="B273" s="8" t="s">
        <v>1</v>
      </c>
      <c r="C273" s="8" t="s">
        <v>2</v>
      </c>
      <c r="D273" s="8" t="s">
        <v>3</v>
      </c>
      <c r="E273" s="8" t="s">
        <v>4</v>
      </c>
      <c r="F273" s="9" t="s">
        <v>5</v>
      </c>
      <c r="H273"/>
    </row>
    <row r="274" spans="1:8" hidden="1">
      <c r="A274" s="277">
        <v>46213</v>
      </c>
      <c r="B274" s="266" t="s">
        <v>1801</v>
      </c>
      <c r="C274" s="246" t="s">
        <v>1699</v>
      </c>
      <c r="D274" s="279">
        <v>15650000</v>
      </c>
      <c r="E274" s="281" t="s">
        <v>6</v>
      </c>
      <c r="F274" s="256"/>
      <c r="H274"/>
    </row>
    <row r="275" spans="1:8" hidden="1">
      <c r="A275" s="277">
        <v>46213</v>
      </c>
      <c r="B275" s="266" t="s">
        <v>1802</v>
      </c>
      <c r="C275" s="246" t="s">
        <v>1699</v>
      </c>
      <c r="D275" s="279">
        <v>15650000</v>
      </c>
      <c r="E275" s="281" t="s">
        <v>6</v>
      </c>
      <c r="F275" s="256"/>
      <c r="H275"/>
    </row>
    <row r="276" spans="1:8" hidden="1">
      <c r="A276" s="277">
        <v>46213</v>
      </c>
      <c r="B276" s="278" t="s">
        <v>1800</v>
      </c>
      <c r="C276" s="246" t="s">
        <v>1699</v>
      </c>
      <c r="D276" s="279">
        <v>15650000</v>
      </c>
      <c r="E276" s="281" t="s">
        <v>6</v>
      </c>
      <c r="F276" s="280"/>
      <c r="H276"/>
    </row>
    <row r="277" spans="1:8" hidden="1">
      <c r="A277" s="277">
        <v>46213</v>
      </c>
      <c r="B277" s="266" t="s">
        <v>1803</v>
      </c>
      <c r="C277" s="246" t="s">
        <v>1699</v>
      </c>
      <c r="D277" s="279">
        <v>15650000</v>
      </c>
      <c r="E277" s="281" t="s">
        <v>6</v>
      </c>
      <c r="F277" s="256"/>
      <c r="H277"/>
    </row>
    <row r="278" spans="1:8" hidden="1">
      <c r="A278" s="277">
        <v>46213</v>
      </c>
      <c r="B278" s="266" t="s">
        <v>1804</v>
      </c>
      <c r="C278" s="246" t="s">
        <v>1699</v>
      </c>
      <c r="D278" s="279">
        <v>15650000</v>
      </c>
      <c r="E278" s="281" t="s">
        <v>6</v>
      </c>
      <c r="F278" s="280"/>
      <c r="H278"/>
    </row>
    <row r="279" spans="1:8" hidden="1">
      <c r="A279" s="277">
        <v>46213</v>
      </c>
      <c r="B279" s="266" t="s">
        <v>1805</v>
      </c>
      <c r="C279" s="246" t="s">
        <v>1699</v>
      </c>
      <c r="D279" s="279">
        <v>15650000</v>
      </c>
      <c r="E279" s="281" t="s">
        <v>6</v>
      </c>
      <c r="F279" s="280"/>
      <c r="H279"/>
    </row>
    <row r="280" spans="1:8" hidden="1">
      <c r="A280" s="277">
        <v>46213</v>
      </c>
      <c r="B280" s="278" t="s">
        <v>1806</v>
      </c>
      <c r="C280" s="246" t="s">
        <v>1699</v>
      </c>
      <c r="D280" s="279">
        <v>6200000</v>
      </c>
      <c r="E280" s="281" t="s">
        <v>6</v>
      </c>
      <c r="F280" s="280"/>
      <c r="H280"/>
    </row>
    <row r="281" spans="1:8" hidden="1">
      <c r="A281" s="277">
        <v>46213</v>
      </c>
      <c r="B281" s="278" t="s">
        <v>1799</v>
      </c>
      <c r="C281" s="246" t="s">
        <v>1781</v>
      </c>
      <c r="D281" s="279">
        <v>17000000</v>
      </c>
      <c r="E281" s="255" t="s">
        <v>6</v>
      </c>
      <c r="F281" s="280"/>
      <c r="H281"/>
    </row>
    <row r="282" spans="1:8" hidden="1">
      <c r="A282" s="244">
        <v>46213</v>
      </c>
      <c r="B282" s="266" t="s">
        <v>1798</v>
      </c>
      <c r="C282" s="246" t="s">
        <v>1547</v>
      </c>
      <c r="D282" s="267">
        <v>26600000</v>
      </c>
      <c r="E282" s="255" t="s">
        <v>6</v>
      </c>
      <c r="F282" s="256"/>
      <c r="H282"/>
    </row>
    <row r="283" spans="1:8" hidden="1">
      <c r="A283" s="244">
        <v>46220</v>
      </c>
      <c r="B283" s="266" t="s">
        <v>1807</v>
      </c>
      <c r="C283" s="246" t="s">
        <v>1547</v>
      </c>
      <c r="D283" s="267">
        <v>38600000</v>
      </c>
      <c r="E283" s="281" t="s">
        <v>6</v>
      </c>
      <c r="F283" s="256"/>
      <c r="H283"/>
    </row>
    <row r="284" spans="1:8" hidden="1">
      <c r="A284" s="277">
        <v>46220</v>
      </c>
      <c r="B284" s="278" t="s">
        <v>1808</v>
      </c>
      <c r="C284" s="246" t="s">
        <v>1547</v>
      </c>
      <c r="D284" s="279">
        <v>10900000</v>
      </c>
      <c r="E284" s="281" t="s">
        <v>6</v>
      </c>
      <c r="F284" s="280"/>
      <c r="H284"/>
    </row>
    <row r="285" spans="1:8" hidden="1">
      <c r="A285" s="334">
        <v>46234</v>
      </c>
      <c r="B285" s="335" t="s">
        <v>1851</v>
      </c>
      <c r="C285" s="246" t="s">
        <v>1699</v>
      </c>
      <c r="D285" s="336">
        <v>5600000</v>
      </c>
      <c r="E285" s="281" t="s">
        <v>6</v>
      </c>
      <c r="F285" s="337"/>
      <c r="H285"/>
    </row>
    <row r="286" spans="1:8" hidden="1">
      <c r="A286" s="334">
        <v>46234</v>
      </c>
      <c r="B286" s="335" t="s">
        <v>1850</v>
      </c>
      <c r="C286" s="246" t="s">
        <v>1536</v>
      </c>
      <c r="D286" s="336">
        <v>40000000</v>
      </c>
      <c r="E286" s="281" t="s">
        <v>6</v>
      </c>
      <c r="F286" s="337"/>
      <c r="H286"/>
    </row>
    <row r="287" spans="1:8" hidden="1">
      <c r="A287" s="277">
        <v>46234</v>
      </c>
      <c r="B287" s="278" t="s">
        <v>1822</v>
      </c>
      <c r="C287" s="246" t="s">
        <v>1541</v>
      </c>
      <c r="D287" s="279">
        <v>12450000</v>
      </c>
      <c r="E287" s="281" t="s">
        <v>6</v>
      </c>
      <c r="F287" s="280"/>
      <c r="H287"/>
    </row>
    <row r="288" spans="1:8" hidden="1">
      <c r="A288" s="277">
        <v>46234</v>
      </c>
      <c r="B288" s="278" t="s">
        <v>1821</v>
      </c>
      <c r="C288" s="246" t="s">
        <v>1541</v>
      </c>
      <c r="D288" s="279">
        <v>12450000</v>
      </c>
      <c r="E288" s="281" t="s">
        <v>6</v>
      </c>
      <c r="F288" s="280"/>
      <c r="H288"/>
    </row>
    <row r="289" spans="1:8" hidden="1">
      <c r="A289" s="277">
        <v>46234</v>
      </c>
      <c r="B289" s="278" t="s">
        <v>1820</v>
      </c>
      <c r="C289" s="246" t="s">
        <v>1541</v>
      </c>
      <c r="D289" s="279">
        <v>12450000</v>
      </c>
      <c r="E289" s="281" t="s">
        <v>6</v>
      </c>
      <c r="F289" s="280"/>
      <c r="H289"/>
    </row>
    <row r="290" spans="1:8" hidden="1">
      <c r="A290" s="277">
        <v>46234</v>
      </c>
      <c r="B290" s="278" t="s">
        <v>1819</v>
      </c>
      <c r="C290" s="246" t="s">
        <v>1541</v>
      </c>
      <c r="D290" s="279">
        <v>12450000</v>
      </c>
      <c r="E290" s="281" t="s">
        <v>6</v>
      </c>
      <c r="F290" s="280"/>
      <c r="H290"/>
    </row>
    <row r="291" spans="1:8" hidden="1">
      <c r="A291" s="277">
        <v>46234</v>
      </c>
      <c r="B291" s="278" t="s">
        <v>1824</v>
      </c>
      <c r="C291" s="246" t="s">
        <v>1781</v>
      </c>
      <c r="D291" s="279">
        <v>33000000</v>
      </c>
      <c r="E291" s="281" t="s">
        <v>6</v>
      </c>
      <c r="F291" s="280"/>
      <c r="H291"/>
    </row>
    <row r="292" spans="1:8" hidden="1">
      <c r="A292" s="277">
        <v>46234</v>
      </c>
      <c r="B292" s="278" t="s">
        <v>1823</v>
      </c>
      <c r="C292" s="246" t="s">
        <v>1547</v>
      </c>
      <c r="D292" s="279">
        <v>23900000</v>
      </c>
      <c r="E292" s="281" t="s">
        <v>6</v>
      </c>
      <c r="F292" s="280"/>
      <c r="H292"/>
    </row>
    <row r="293" spans="1:8" hidden="1">
      <c r="A293" s="10"/>
      <c r="B293" s="11"/>
      <c r="C293" s="12" t="s">
        <v>7</v>
      </c>
      <c r="D293" s="112">
        <f>SUBTOTAL(109,Tabla141618192021222324252632333435363750383739404142434445589451525354555759616370[[MONTO ]])</f>
        <v>0</v>
      </c>
      <c r="E293" s="14"/>
      <c r="F293" s="15"/>
    </row>
    <row r="295" spans="1:8" ht="21">
      <c r="A295" s="339" t="s">
        <v>1757</v>
      </c>
      <c r="B295" s="339"/>
      <c r="C295" s="339"/>
      <c r="D295" s="339"/>
      <c r="E295" s="20"/>
      <c r="F295" s="20"/>
    </row>
    <row r="296" spans="1:8" ht="21">
      <c r="A296" s="339"/>
      <c r="B296" s="339"/>
      <c r="C296" s="339"/>
      <c r="D296" s="339"/>
      <c r="E296" s="20"/>
      <c r="F296" s="20"/>
    </row>
    <row r="297" spans="1:8">
      <c r="A297" s="7" t="s">
        <v>0</v>
      </c>
      <c r="B297" s="8" t="s">
        <v>1</v>
      </c>
      <c r="C297" s="8" t="s">
        <v>2</v>
      </c>
      <c r="D297" s="8" t="s">
        <v>3</v>
      </c>
      <c r="E297" s="8" t="s">
        <v>4</v>
      </c>
      <c r="F297" s="9" t="s">
        <v>5</v>
      </c>
    </row>
    <row r="298" spans="1:8" hidden="1">
      <c r="A298" s="138">
        <v>46236</v>
      </c>
      <c r="B298" s="85" t="s">
        <v>1759</v>
      </c>
      <c r="C298" s="143" t="s">
        <v>1436</v>
      </c>
      <c r="D298" s="175">
        <v>854945.66</v>
      </c>
      <c r="E298" s="171" t="s">
        <v>6</v>
      </c>
      <c r="F298" s="6"/>
    </row>
    <row r="299" spans="1:8" hidden="1">
      <c r="A299" s="138">
        <v>46241</v>
      </c>
      <c r="B299" s="85" t="s">
        <v>1826</v>
      </c>
      <c r="C299" s="222" t="s">
        <v>1243</v>
      </c>
      <c r="D299" s="175">
        <v>288766.14</v>
      </c>
      <c r="E299" s="171" t="s">
        <v>6</v>
      </c>
      <c r="F299" s="6"/>
    </row>
    <row r="300" spans="1:8" hidden="1">
      <c r="A300" s="138">
        <v>46241</v>
      </c>
      <c r="B300" s="85" t="s">
        <v>1825</v>
      </c>
      <c r="C300" s="143" t="s">
        <v>865</v>
      </c>
      <c r="D300" s="175">
        <v>835042.17</v>
      </c>
      <c r="E300" s="171" t="s">
        <v>6</v>
      </c>
      <c r="F300" s="6"/>
    </row>
    <row r="301" spans="1:8" hidden="1">
      <c r="A301" s="138">
        <v>46241</v>
      </c>
      <c r="B301" s="85" t="s">
        <v>1813</v>
      </c>
      <c r="C301" s="143" t="s">
        <v>951</v>
      </c>
      <c r="D301" s="175">
        <v>645840.69999999995</v>
      </c>
      <c r="E301" s="171" t="s">
        <v>6</v>
      </c>
      <c r="F301" s="6"/>
    </row>
    <row r="302" spans="1:8" hidden="1">
      <c r="A302" s="138">
        <v>46248</v>
      </c>
      <c r="B302" s="85" t="s">
        <v>1827</v>
      </c>
      <c r="C302" s="143" t="s">
        <v>951</v>
      </c>
      <c r="D302" s="175">
        <v>503403.66</v>
      </c>
      <c r="E302" s="171" t="s">
        <v>6</v>
      </c>
      <c r="F302" s="6"/>
    </row>
    <row r="303" spans="1:8" hidden="1">
      <c r="A303" s="325">
        <v>46248</v>
      </c>
      <c r="B303" s="326" t="s">
        <v>1845</v>
      </c>
      <c r="C303" s="327" t="s">
        <v>840</v>
      </c>
      <c r="D303" s="331">
        <v>581254.32999999996</v>
      </c>
      <c r="E303" s="171" t="s">
        <v>6</v>
      </c>
      <c r="F303" s="332"/>
    </row>
    <row r="304" spans="1:8" hidden="1">
      <c r="A304" s="138">
        <v>46248</v>
      </c>
      <c r="B304" s="85" t="s">
        <v>1697</v>
      </c>
      <c r="C304" s="143" t="s">
        <v>127</v>
      </c>
      <c r="D304" s="175">
        <v>38200000</v>
      </c>
      <c r="E304" s="171" t="s">
        <v>6</v>
      </c>
      <c r="F304" s="6"/>
    </row>
    <row r="305" spans="1:8">
      <c r="A305" s="325">
        <v>46248</v>
      </c>
      <c r="B305" s="326" t="s">
        <v>1852</v>
      </c>
      <c r="C305" s="327" t="s">
        <v>388</v>
      </c>
      <c r="D305" s="331">
        <v>841330.55</v>
      </c>
      <c r="E305" s="329" t="s">
        <v>463</v>
      </c>
      <c r="F305" s="332"/>
    </row>
    <row r="306" spans="1:8">
      <c r="A306" s="138">
        <v>46255</v>
      </c>
      <c r="B306" s="85" t="s">
        <v>1829</v>
      </c>
      <c r="C306" s="143" t="s">
        <v>1120</v>
      </c>
      <c r="D306" s="175">
        <v>395496.4</v>
      </c>
      <c r="E306" s="171" t="s">
        <v>463</v>
      </c>
      <c r="F306" s="6"/>
    </row>
    <row r="307" spans="1:8">
      <c r="A307" s="138">
        <v>46255</v>
      </c>
      <c r="B307" s="85" t="s">
        <v>1830</v>
      </c>
      <c r="C307" s="143" t="s">
        <v>865</v>
      </c>
      <c r="D307" s="175">
        <v>835042.17</v>
      </c>
      <c r="E307" s="171" t="s">
        <v>463</v>
      </c>
      <c r="F307" s="6"/>
    </row>
    <row r="308" spans="1:8">
      <c r="A308" s="138">
        <v>46255</v>
      </c>
      <c r="B308" s="85" t="s">
        <v>1831</v>
      </c>
      <c r="C308" s="143" t="s">
        <v>925</v>
      </c>
      <c r="D308" s="175">
        <v>410949.4</v>
      </c>
      <c r="E308" s="171" t="s">
        <v>463</v>
      </c>
      <c r="F308" s="6"/>
    </row>
    <row r="309" spans="1:8">
      <c r="A309" s="138">
        <v>46255</v>
      </c>
      <c r="B309" s="85" t="s">
        <v>1828</v>
      </c>
      <c r="C309" s="143" t="s">
        <v>1436</v>
      </c>
      <c r="D309" s="175">
        <v>760565.66</v>
      </c>
      <c r="E309" s="171" t="s">
        <v>463</v>
      </c>
      <c r="F309" s="6"/>
    </row>
    <row r="310" spans="1:8">
      <c r="A310" s="325">
        <v>46262</v>
      </c>
      <c r="B310" s="326" t="s">
        <v>1853</v>
      </c>
      <c r="C310" s="327" t="s">
        <v>1400</v>
      </c>
      <c r="D310" s="331">
        <v>1038025</v>
      </c>
      <c r="E310" s="329" t="s">
        <v>463</v>
      </c>
      <c r="F310" s="332"/>
    </row>
    <row r="311" spans="1:8">
      <c r="A311" s="325">
        <v>46262</v>
      </c>
      <c r="B311" s="326" t="s">
        <v>1854</v>
      </c>
      <c r="C311" s="327" t="s">
        <v>865</v>
      </c>
      <c r="D311" s="331">
        <v>558808.25</v>
      </c>
      <c r="E311" s="329" t="s">
        <v>463</v>
      </c>
      <c r="F311" s="332"/>
    </row>
    <row r="312" spans="1:8">
      <c r="A312" s="325">
        <v>46262</v>
      </c>
      <c r="B312" s="326" t="s">
        <v>1847</v>
      </c>
      <c r="C312" s="327" t="s">
        <v>1729</v>
      </c>
      <c r="D312" s="331">
        <v>1750000</v>
      </c>
      <c r="E312" s="329" t="s">
        <v>463</v>
      </c>
      <c r="F312" s="332"/>
    </row>
    <row r="313" spans="1:8">
      <c r="A313" s="325">
        <v>46262</v>
      </c>
      <c r="B313" s="326" t="s">
        <v>1846</v>
      </c>
      <c r="C313" s="327" t="s">
        <v>298</v>
      </c>
      <c r="D313" s="331">
        <v>1382058.1</v>
      </c>
      <c r="E313" s="329" t="s">
        <v>463</v>
      </c>
      <c r="F313" s="332"/>
    </row>
    <row r="314" spans="1:8">
      <c r="A314" s="138">
        <v>46262</v>
      </c>
      <c r="B314" s="85" t="s">
        <v>1783</v>
      </c>
      <c r="C314" s="86" t="s">
        <v>304</v>
      </c>
      <c r="D314" s="175">
        <v>311999.98</v>
      </c>
      <c r="E314" s="171" t="s">
        <v>463</v>
      </c>
      <c r="F314" s="6"/>
    </row>
    <row r="315" spans="1:8">
      <c r="A315" s="10"/>
      <c r="B315" s="11"/>
      <c r="C315" s="12" t="s">
        <v>7</v>
      </c>
      <c r="D315" s="112">
        <f>SUBTOTAL(109,Tabla141618192021222324252632333435363750744849565860617173[[MONTO ]])</f>
        <v>8284275.5099999998</v>
      </c>
      <c r="E315" s="14"/>
      <c r="F315" s="15"/>
    </row>
    <row r="316" spans="1:8" hidden="1"/>
    <row r="317" spans="1:8" ht="21" hidden="1">
      <c r="A317" s="339" t="s">
        <v>1758</v>
      </c>
      <c r="B317" s="339"/>
      <c r="C317" s="339"/>
      <c r="D317" s="339"/>
      <c r="E317" s="20"/>
      <c r="F317" s="20"/>
      <c r="H317"/>
    </row>
    <row r="318" spans="1:8" ht="21" hidden="1">
      <c r="A318" s="339"/>
      <c r="B318" s="339"/>
      <c r="C318" s="339"/>
      <c r="D318" s="339"/>
      <c r="E318" s="20"/>
      <c r="F318" s="20"/>
      <c r="H318"/>
    </row>
    <row r="319" spans="1:8" hidden="1">
      <c r="A319" s="7" t="s">
        <v>0</v>
      </c>
      <c r="B319" s="8" t="s">
        <v>1</v>
      </c>
      <c r="C319" s="8" t="s">
        <v>2</v>
      </c>
      <c r="D319" s="8" t="s">
        <v>3</v>
      </c>
      <c r="E319" s="8" t="s">
        <v>4</v>
      </c>
      <c r="F319" s="9" t="s">
        <v>5</v>
      </c>
      <c r="H319"/>
    </row>
    <row r="320" spans="1:8" hidden="1">
      <c r="A320" s="244">
        <v>46248</v>
      </c>
      <c r="B320" s="266" t="s">
        <v>1832</v>
      </c>
      <c r="C320" s="246" t="s">
        <v>1547</v>
      </c>
      <c r="D320" s="267">
        <v>41300000</v>
      </c>
      <c r="E320" s="281" t="s">
        <v>6</v>
      </c>
      <c r="F320" s="256"/>
      <c r="H320"/>
    </row>
    <row r="321" spans="1:6" hidden="1">
      <c r="A321" s="10"/>
      <c r="B321" s="11"/>
      <c r="C321" s="12" t="s">
        <v>7</v>
      </c>
      <c r="D321" s="112">
        <f>SUBTOTAL(109,Tabla14161819202122232425263233343536375038373940414243444558945152535455575961637072[[MONTO ]])</f>
        <v>0</v>
      </c>
      <c r="E321" s="14"/>
      <c r="F321" s="15"/>
    </row>
    <row r="323" spans="1:6" ht="21">
      <c r="A323" s="339" t="s">
        <v>1814</v>
      </c>
      <c r="B323" s="339"/>
      <c r="C323" s="339"/>
      <c r="D323" s="339"/>
      <c r="E323" s="20"/>
      <c r="F323" s="20"/>
    </row>
    <row r="324" spans="1:6" ht="21">
      <c r="A324" s="339"/>
      <c r="B324" s="339"/>
      <c r="C324" s="339"/>
      <c r="D324" s="339"/>
      <c r="E324" s="20"/>
      <c r="F324" s="20"/>
    </row>
    <row r="325" spans="1:6">
      <c r="A325" s="7" t="s">
        <v>0</v>
      </c>
      <c r="B325" s="8" t="s">
        <v>1</v>
      </c>
      <c r="C325" s="8" t="s">
        <v>2</v>
      </c>
      <c r="D325" s="8" t="s">
        <v>3</v>
      </c>
      <c r="E325" s="8" t="s">
        <v>4</v>
      </c>
      <c r="F325" s="9" t="s">
        <v>5</v>
      </c>
    </row>
    <row r="326" spans="1:6">
      <c r="A326" s="138">
        <v>46269</v>
      </c>
      <c r="B326" s="85" t="s">
        <v>1856</v>
      </c>
      <c r="C326" s="143" t="s">
        <v>280</v>
      </c>
      <c r="D326" s="175">
        <v>5755710.4000000004</v>
      </c>
      <c r="E326" s="171" t="s">
        <v>463</v>
      </c>
      <c r="F326" s="6"/>
    </row>
    <row r="327" spans="1:6">
      <c r="A327" s="138">
        <v>46276</v>
      </c>
      <c r="B327" s="85" t="s">
        <v>1857</v>
      </c>
      <c r="C327" s="143" t="s">
        <v>865</v>
      </c>
      <c r="D327" s="175">
        <v>558808.25</v>
      </c>
      <c r="E327" s="171" t="s">
        <v>463</v>
      </c>
      <c r="F327" s="6"/>
    </row>
    <row r="328" spans="1:6">
      <c r="A328" s="138">
        <v>46276</v>
      </c>
      <c r="B328" s="85" t="s">
        <v>1858</v>
      </c>
      <c r="C328" s="143" t="s">
        <v>1436</v>
      </c>
      <c r="D328" s="175">
        <v>760565.67</v>
      </c>
      <c r="E328" s="171" t="s">
        <v>463</v>
      </c>
      <c r="F328" s="6"/>
    </row>
    <row r="329" spans="1:6">
      <c r="A329" s="138">
        <v>46276</v>
      </c>
      <c r="B329" s="85" t="s">
        <v>1816</v>
      </c>
      <c r="C329" s="143" t="s">
        <v>951</v>
      </c>
      <c r="D329" s="175">
        <v>645840.69999999995</v>
      </c>
      <c r="E329" s="171" t="s">
        <v>463</v>
      </c>
      <c r="F329" s="6"/>
    </row>
    <row r="330" spans="1:6">
      <c r="A330" s="138">
        <v>46283</v>
      </c>
      <c r="B330" s="85" t="s">
        <v>1859</v>
      </c>
      <c r="C330" s="143" t="s">
        <v>951</v>
      </c>
      <c r="D330" s="175">
        <v>507418.34</v>
      </c>
      <c r="E330" s="171" t="s">
        <v>463</v>
      </c>
      <c r="F330" s="6"/>
    </row>
    <row r="331" spans="1:6">
      <c r="A331" s="138">
        <v>46283</v>
      </c>
      <c r="B331" s="85" t="s">
        <v>1860</v>
      </c>
      <c r="C331" s="143" t="s">
        <v>1861</v>
      </c>
      <c r="D331" s="175">
        <v>3864807.5</v>
      </c>
      <c r="E331" s="171" t="s">
        <v>463</v>
      </c>
      <c r="F331" s="6"/>
    </row>
    <row r="332" spans="1:6">
      <c r="A332" s="325">
        <v>46283</v>
      </c>
      <c r="B332" s="326" t="s">
        <v>1848</v>
      </c>
      <c r="C332" s="327" t="s">
        <v>298</v>
      </c>
      <c r="D332" s="331">
        <v>1382058.1</v>
      </c>
      <c r="E332" s="329" t="s">
        <v>463</v>
      </c>
      <c r="F332" s="332"/>
    </row>
    <row r="333" spans="1:6">
      <c r="A333" s="56">
        <v>46284</v>
      </c>
      <c r="B333" s="220" t="s">
        <v>1833</v>
      </c>
      <c r="C333" s="86" t="s">
        <v>951</v>
      </c>
      <c r="D333" s="183">
        <v>503403.66</v>
      </c>
      <c r="E333" s="221" t="s">
        <v>463</v>
      </c>
      <c r="F333" s="28"/>
    </row>
    <row r="334" spans="1:6">
      <c r="A334" s="56">
        <v>46290</v>
      </c>
      <c r="B334" s="220" t="s">
        <v>1834</v>
      </c>
      <c r="C334" s="86" t="s">
        <v>1436</v>
      </c>
      <c r="D334" s="183">
        <v>760565.66</v>
      </c>
      <c r="E334" s="221" t="s">
        <v>463</v>
      </c>
      <c r="F334" s="28"/>
    </row>
    <row r="335" spans="1:6">
      <c r="A335" s="10"/>
      <c r="B335" s="11"/>
      <c r="C335" s="12" t="s">
        <v>7</v>
      </c>
      <c r="D335" s="112">
        <f>SUBTOTAL(109,Tabla14161819202122232425263233343536375074484956586061717364[[MONTO ]])</f>
        <v>14739178.279999999</v>
      </c>
      <c r="E335" s="14"/>
      <c r="F335" s="15"/>
    </row>
    <row r="337" spans="1:8" ht="21">
      <c r="A337" s="339" t="s">
        <v>1815</v>
      </c>
      <c r="B337" s="339"/>
      <c r="C337" s="339"/>
      <c r="D337" s="339"/>
      <c r="E337" s="20"/>
      <c r="F337" s="20"/>
      <c r="H337"/>
    </row>
    <row r="338" spans="1:8" ht="21">
      <c r="A338" s="339"/>
      <c r="B338" s="339"/>
      <c r="C338" s="339"/>
      <c r="D338" s="339"/>
      <c r="E338" s="20"/>
      <c r="F338" s="20"/>
      <c r="H338"/>
    </row>
    <row r="339" spans="1:8">
      <c r="A339" s="7" t="s">
        <v>0</v>
      </c>
      <c r="B339" s="8" t="s">
        <v>1</v>
      </c>
      <c r="C339" s="8" t="s">
        <v>2</v>
      </c>
      <c r="D339" s="8" t="s">
        <v>3</v>
      </c>
      <c r="E339" s="8" t="s">
        <v>4</v>
      </c>
      <c r="F339" s="9" t="s">
        <v>5</v>
      </c>
      <c r="H339"/>
    </row>
    <row r="340" spans="1:8">
      <c r="A340" s="244">
        <v>46269</v>
      </c>
      <c r="B340" s="266" t="s">
        <v>1855</v>
      </c>
      <c r="C340" s="338" t="s">
        <v>1547</v>
      </c>
      <c r="D340" s="267">
        <v>42700000</v>
      </c>
      <c r="E340" s="281" t="s">
        <v>463</v>
      </c>
      <c r="F340" s="256"/>
      <c r="H340"/>
    </row>
    <row r="341" spans="1:8">
      <c r="A341" s="10"/>
      <c r="B341" s="11"/>
      <c r="C341" s="12" t="s">
        <v>7</v>
      </c>
      <c r="D341" s="112">
        <f>SUBTOTAL(109,Tabla1416181920212223242526323334353637503837394041424344455894515253545557596163707262[[MONTO ]])</f>
        <v>42700000</v>
      </c>
      <c r="E341" s="14"/>
      <c r="F341" s="15"/>
    </row>
    <row r="343" spans="1:8" ht="21">
      <c r="A343" s="339" t="s">
        <v>1835</v>
      </c>
      <c r="B343" s="339"/>
      <c r="C343" s="339"/>
      <c r="D343" s="339"/>
      <c r="E343" s="20"/>
      <c r="F343" s="20"/>
    </row>
    <row r="344" spans="1:8" ht="21">
      <c r="A344" s="339"/>
      <c r="B344" s="339"/>
      <c r="C344" s="339"/>
      <c r="D344" s="339"/>
      <c r="E344" s="20"/>
      <c r="F344" s="20"/>
    </row>
    <row r="345" spans="1:8">
      <c r="A345" s="7" t="s">
        <v>0</v>
      </c>
      <c r="B345" s="8" t="s">
        <v>1</v>
      </c>
      <c r="C345" s="8" t="s">
        <v>2</v>
      </c>
      <c r="D345" s="8" t="s">
        <v>3</v>
      </c>
      <c r="E345" s="8" t="s">
        <v>4</v>
      </c>
      <c r="F345" s="9" t="s">
        <v>5</v>
      </c>
    </row>
    <row r="346" spans="1:8">
      <c r="A346" s="138">
        <v>46297</v>
      </c>
      <c r="B346" s="85" t="s">
        <v>1862</v>
      </c>
      <c r="C346" s="143" t="s">
        <v>280</v>
      </c>
      <c r="D346" s="175">
        <v>5755710.4000000004</v>
      </c>
      <c r="E346" s="171" t="s">
        <v>463</v>
      </c>
      <c r="F346" s="6"/>
    </row>
    <row r="347" spans="1:8">
      <c r="A347" s="325">
        <v>46297</v>
      </c>
      <c r="B347" s="326" t="s">
        <v>1849</v>
      </c>
      <c r="C347" s="327" t="s">
        <v>1729</v>
      </c>
      <c r="D347" s="331">
        <v>1750000</v>
      </c>
      <c r="E347" s="329" t="s">
        <v>463</v>
      </c>
      <c r="F347" s="332"/>
    </row>
    <row r="348" spans="1:8">
      <c r="A348" s="138">
        <v>46297</v>
      </c>
      <c r="B348" s="85" t="s">
        <v>1863</v>
      </c>
      <c r="C348" s="143" t="s">
        <v>1861</v>
      </c>
      <c r="D348" s="175">
        <v>5000000</v>
      </c>
      <c r="E348" s="171" t="s">
        <v>463</v>
      </c>
      <c r="F348" s="6"/>
    </row>
    <row r="349" spans="1:8">
      <c r="A349" s="138">
        <v>46311</v>
      </c>
      <c r="B349" s="85" t="s">
        <v>1864</v>
      </c>
      <c r="C349" s="143" t="s">
        <v>1436</v>
      </c>
      <c r="D349" s="175">
        <v>760565.67</v>
      </c>
      <c r="E349" s="171" t="s">
        <v>463</v>
      </c>
      <c r="F349" s="6"/>
    </row>
    <row r="350" spans="1:8">
      <c r="A350" s="138">
        <v>46318</v>
      </c>
      <c r="B350" s="85" t="s">
        <v>1865</v>
      </c>
      <c r="C350" s="86" t="s">
        <v>951</v>
      </c>
      <c r="D350" s="175">
        <v>507418.34</v>
      </c>
      <c r="E350" s="171" t="s">
        <v>463</v>
      </c>
      <c r="F350" s="6"/>
    </row>
    <row r="351" spans="1:8">
      <c r="A351" s="138">
        <v>46325</v>
      </c>
      <c r="B351" s="85" t="s">
        <v>1866</v>
      </c>
      <c r="C351" s="143" t="s">
        <v>1861</v>
      </c>
      <c r="D351" s="175">
        <v>5000000</v>
      </c>
      <c r="E351" s="171" t="s">
        <v>463</v>
      </c>
      <c r="F351" s="6"/>
    </row>
    <row r="352" spans="1:8">
      <c r="A352" s="138">
        <v>46325</v>
      </c>
      <c r="B352" s="85" t="s">
        <v>1837</v>
      </c>
      <c r="C352" s="143" t="s">
        <v>127</v>
      </c>
      <c r="D352" s="175">
        <v>10000000</v>
      </c>
      <c r="E352" s="171" t="s">
        <v>463</v>
      </c>
      <c r="F352" s="6"/>
    </row>
    <row r="353" spans="1:8">
      <c r="A353" s="56">
        <v>46325</v>
      </c>
      <c r="B353" s="220" t="s">
        <v>1838</v>
      </c>
      <c r="C353" s="86" t="s">
        <v>1436</v>
      </c>
      <c r="D353" s="183">
        <v>760565.66</v>
      </c>
      <c r="E353" s="221" t="s">
        <v>463</v>
      </c>
      <c r="F353" s="28"/>
    </row>
    <row r="354" spans="1:8">
      <c r="A354" s="10"/>
      <c r="B354" s="11"/>
      <c r="C354" s="12" t="s">
        <v>7</v>
      </c>
      <c r="D354" s="112">
        <f>SUBTOTAL(109,Tabla1416181920212223242526323334353637507448495658606171736467[[MONTO ]])</f>
        <v>29534260.07</v>
      </c>
      <c r="E354" s="14"/>
      <c r="F354" s="15"/>
    </row>
    <row r="355" spans="1:8" hidden="1"/>
    <row r="356" spans="1:8" ht="21" hidden="1">
      <c r="A356" s="339" t="s">
        <v>1836</v>
      </c>
      <c r="B356" s="339"/>
      <c r="C356" s="339"/>
      <c r="D356" s="339"/>
      <c r="E356" s="20"/>
      <c r="F356" s="20"/>
      <c r="H356"/>
    </row>
    <row r="357" spans="1:8" ht="21" hidden="1">
      <c r="A357" s="339"/>
      <c r="B357" s="339"/>
      <c r="C357" s="339"/>
      <c r="D357" s="339"/>
      <c r="E357" s="20"/>
      <c r="F357" s="20"/>
      <c r="H357"/>
    </row>
    <row r="358" spans="1:8" hidden="1">
      <c r="A358" s="7" t="s">
        <v>0</v>
      </c>
      <c r="B358" s="8" t="s">
        <v>1</v>
      </c>
      <c r="C358" s="8" t="s">
        <v>2</v>
      </c>
      <c r="D358" s="8" t="s">
        <v>3</v>
      </c>
      <c r="E358" s="8" t="s">
        <v>4</v>
      </c>
      <c r="F358" s="9" t="s">
        <v>5</v>
      </c>
      <c r="H358"/>
    </row>
    <row r="359" spans="1:8" hidden="1">
      <c r="A359" s="244"/>
      <c r="B359" s="266"/>
      <c r="C359" s="246"/>
      <c r="D359" s="267"/>
      <c r="E359" s="281"/>
      <c r="F359" s="256"/>
      <c r="H359"/>
    </row>
    <row r="360" spans="1:8" hidden="1">
      <c r="A360" s="277"/>
      <c r="B360" s="278"/>
      <c r="C360" s="246"/>
      <c r="D360" s="279"/>
      <c r="E360" s="281"/>
      <c r="F360" s="280"/>
      <c r="H360"/>
    </row>
    <row r="361" spans="1:8" hidden="1">
      <c r="A361" s="277"/>
      <c r="B361" s="278"/>
      <c r="C361" s="246"/>
      <c r="D361" s="279"/>
      <c r="E361" s="281"/>
      <c r="F361" s="280"/>
      <c r="H361"/>
    </row>
    <row r="362" spans="1:8" hidden="1">
      <c r="A362" s="244"/>
      <c r="B362" s="266"/>
      <c r="C362" s="246"/>
      <c r="D362" s="267"/>
      <c r="E362" s="281"/>
      <c r="F362" s="256"/>
      <c r="H362"/>
    </row>
    <row r="363" spans="1:8" hidden="1">
      <c r="A363" s="277"/>
      <c r="B363" s="278"/>
      <c r="C363" s="246"/>
      <c r="D363" s="279"/>
      <c r="E363" s="281"/>
      <c r="F363" s="280"/>
      <c r="H363"/>
    </row>
    <row r="364" spans="1:8" hidden="1">
      <c r="A364" s="10"/>
      <c r="B364" s="11"/>
      <c r="C364" s="12" t="s">
        <v>7</v>
      </c>
      <c r="D364" s="112">
        <f>SUBTOTAL(109,Tabla141618192021222324252632333435363750383739404142434445589451525354555759616370726265[[MONTO ]])</f>
        <v>0</v>
      </c>
      <c r="E364" s="14"/>
      <c r="F364" s="15"/>
    </row>
    <row r="366" spans="1:8" ht="21">
      <c r="A366" s="339" t="s">
        <v>1839</v>
      </c>
      <c r="B366" s="339"/>
      <c r="C366" s="339"/>
      <c r="D366" s="339"/>
      <c r="E366" s="20"/>
      <c r="F366" s="20"/>
    </row>
    <row r="367" spans="1:8" ht="21">
      <c r="A367" s="339"/>
      <c r="B367" s="339"/>
      <c r="C367" s="339"/>
      <c r="D367" s="339"/>
      <c r="E367" s="20"/>
      <c r="F367" s="20"/>
    </row>
    <row r="368" spans="1:8">
      <c r="A368" s="7" t="s">
        <v>0</v>
      </c>
      <c r="B368" s="8" t="s">
        <v>1</v>
      </c>
      <c r="C368" s="8" t="s">
        <v>2</v>
      </c>
      <c r="D368" s="8" t="s">
        <v>3</v>
      </c>
      <c r="E368" s="8" t="s">
        <v>4</v>
      </c>
      <c r="F368" s="9" t="s">
        <v>5</v>
      </c>
    </row>
    <row r="369" spans="1:8">
      <c r="A369" s="138">
        <v>46332</v>
      </c>
      <c r="B369" s="85" t="s">
        <v>1867</v>
      </c>
      <c r="C369" s="143" t="s">
        <v>280</v>
      </c>
      <c r="D369" s="175">
        <v>5755710.4000000004</v>
      </c>
      <c r="E369" s="171" t="s">
        <v>463</v>
      </c>
      <c r="F369" s="6"/>
    </row>
    <row r="370" spans="1:8">
      <c r="A370" s="138">
        <v>46339</v>
      </c>
      <c r="B370" s="85" t="s">
        <v>1868</v>
      </c>
      <c r="C370" s="143" t="s">
        <v>1436</v>
      </c>
      <c r="D370" s="175">
        <v>760565.66</v>
      </c>
      <c r="E370" s="171" t="s">
        <v>463</v>
      </c>
      <c r="F370" s="6"/>
    </row>
    <row r="371" spans="1:8">
      <c r="A371" s="138">
        <v>46346</v>
      </c>
      <c r="B371" s="85" t="s">
        <v>1841</v>
      </c>
      <c r="C371" s="143" t="s">
        <v>127</v>
      </c>
      <c r="D371" s="175">
        <v>12500000</v>
      </c>
      <c r="E371" s="171" t="s">
        <v>463</v>
      </c>
      <c r="F371" s="6"/>
    </row>
    <row r="372" spans="1:8">
      <c r="A372" s="138">
        <v>46353</v>
      </c>
      <c r="B372" s="85" t="s">
        <v>1869</v>
      </c>
      <c r="C372" s="143" t="s">
        <v>1861</v>
      </c>
      <c r="D372" s="175">
        <v>5000000</v>
      </c>
      <c r="E372" s="171" t="s">
        <v>463</v>
      </c>
      <c r="F372" s="6"/>
    </row>
    <row r="373" spans="1:8">
      <c r="A373" s="10"/>
      <c r="B373" s="11"/>
      <c r="C373" s="12" t="s">
        <v>7</v>
      </c>
      <c r="D373" s="112">
        <f>SUM(D369:D372)</f>
        <v>24016276.060000002</v>
      </c>
      <c r="E373" s="14"/>
      <c r="F373" s="15"/>
    </row>
    <row r="374" spans="1:8" hidden="1"/>
    <row r="375" spans="1:8" ht="21" hidden="1">
      <c r="A375" s="339" t="s">
        <v>1840</v>
      </c>
      <c r="B375" s="339"/>
      <c r="C375" s="339"/>
      <c r="D375" s="339"/>
      <c r="E375" s="20"/>
      <c r="F375" s="20"/>
      <c r="H375"/>
    </row>
    <row r="376" spans="1:8" ht="21" hidden="1">
      <c r="A376" s="339"/>
      <c r="B376" s="339"/>
      <c r="C376" s="339"/>
      <c r="D376" s="339"/>
      <c r="E376" s="20"/>
      <c r="F376" s="20"/>
      <c r="H376"/>
    </row>
    <row r="377" spans="1:8" hidden="1">
      <c r="A377" s="7" t="s">
        <v>0</v>
      </c>
      <c r="B377" s="8" t="s">
        <v>1</v>
      </c>
      <c r="C377" s="8" t="s">
        <v>2</v>
      </c>
      <c r="D377" s="8" t="s">
        <v>3</v>
      </c>
      <c r="E377" s="8" t="s">
        <v>4</v>
      </c>
      <c r="F377" s="9" t="s">
        <v>5</v>
      </c>
      <c r="H377"/>
    </row>
    <row r="378" spans="1:8" hidden="1">
      <c r="A378" s="244"/>
      <c r="B378" s="266"/>
      <c r="C378" s="246"/>
      <c r="D378" s="267"/>
      <c r="E378" s="281"/>
      <c r="F378" s="256"/>
      <c r="H378"/>
    </row>
    <row r="379" spans="1:8" hidden="1">
      <c r="A379" s="277"/>
      <c r="B379" s="278"/>
      <c r="C379" s="246"/>
      <c r="D379" s="279"/>
      <c r="E379" s="281"/>
      <c r="F379" s="280"/>
      <c r="H379"/>
    </row>
    <row r="380" spans="1:8" hidden="1">
      <c r="A380" s="277"/>
      <c r="B380" s="278"/>
      <c r="C380" s="246"/>
      <c r="D380" s="279"/>
      <c r="E380" s="281"/>
      <c r="F380" s="280"/>
      <c r="H380"/>
    </row>
    <row r="381" spans="1:8" hidden="1">
      <c r="A381" s="244"/>
      <c r="B381" s="266"/>
      <c r="C381" s="246"/>
      <c r="D381" s="267"/>
      <c r="E381" s="281"/>
      <c r="F381" s="256"/>
      <c r="H381"/>
    </row>
    <row r="382" spans="1:8" hidden="1">
      <c r="A382" s="277"/>
      <c r="B382" s="278"/>
      <c r="C382" s="246"/>
      <c r="D382" s="279"/>
      <c r="E382" s="281"/>
      <c r="F382" s="280"/>
      <c r="H382"/>
    </row>
    <row r="383" spans="1:8" hidden="1">
      <c r="A383" s="10"/>
      <c r="B383" s="11"/>
      <c r="C383" s="12" t="s">
        <v>7</v>
      </c>
      <c r="D383" s="112">
        <f>SUBTOTAL(109,Tabla14161819202122232425263233343536375038373940414243444558945152535455575961637072626568[[MONTO ]])</f>
        <v>0</v>
      </c>
      <c r="E383" s="14"/>
      <c r="F383" s="15"/>
    </row>
    <row r="385" spans="1:8" ht="21">
      <c r="A385" s="339" t="s">
        <v>1842</v>
      </c>
      <c r="B385" s="339"/>
      <c r="C385" s="339"/>
      <c r="D385" s="339"/>
      <c r="E385" s="20"/>
      <c r="F385" s="20"/>
    </row>
    <row r="386" spans="1:8" ht="21">
      <c r="A386" s="339"/>
      <c r="B386" s="339"/>
      <c r="C386" s="339"/>
      <c r="D386" s="339"/>
      <c r="E386" s="20"/>
      <c r="F386" s="20"/>
    </row>
    <row r="387" spans="1:8">
      <c r="A387" s="7" t="s">
        <v>0</v>
      </c>
      <c r="B387" s="8" t="s">
        <v>1</v>
      </c>
      <c r="C387" s="8" t="s">
        <v>2</v>
      </c>
      <c r="D387" s="8" t="s">
        <v>3</v>
      </c>
      <c r="E387" s="8" t="s">
        <v>4</v>
      </c>
      <c r="F387" s="9" t="s">
        <v>5</v>
      </c>
    </row>
    <row r="388" spans="1:8">
      <c r="A388" s="138">
        <v>46360</v>
      </c>
      <c r="B388" s="85" t="s">
        <v>1870</v>
      </c>
      <c r="C388" s="143" t="s">
        <v>280</v>
      </c>
      <c r="D388" s="175">
        <v>5755710.4000000004</v>
      </c>
      <c r="E388" s="171" t="s">
        <v>463</v>
      </c>
      <c r="F388" s="6"/>
    </row>
    <row r="389" spans="1:8">
      <c r="A389" s="138">
        <v>46381</v>
      </c>
      <c r="B389" s="85" t="s">
        <v>1844</v>
      </c>
      <c r="C389" s="143" t="s">
        <v>127</v>
      </c>
      <c r="D389" s="175">
        <v>15000000</v>
      </c>
      <c r="E389" s="171" t="s">
        <v>463</v>
      </c>
      <c r="F389" s="6"/>
    </row>
    <row r="390" spans="1:8">
      <c r="A390" s="10"/>
      <c r="B390" s="11"/>
      <c r="C390" s="12" t="s">
        <v>7</v>
      </c>
      <c r="D390" s="112">
        <f>SUBTOTAL(109,Tabla14161819202122232425263233343536375074484956586061717364676976[[MONTO ]])</f>
        <v>20755710.399999999</v>
      </c>
      <c r="E390" s="14"/>
      <c r="F390" s="15"/>
    </row>
    <row r="392" spans="1:8" ht="21">
      <c r="A392" s="339" t="s">
        <v>1843</v>
      </c>
      <c r="B392" s="339"/>
      <c r="C392" s="339"/>
      <c r="D392" s="339"/>
      <c r="E392" s="20"/>
      <c r="F392" s="20"/>
      <c r="H392"/>
    </row>
    <row r="393" spans="1:8" ht="21">
      <c r="A393" s="339"/>
      <c r="B393" s="339"/>
      <c r="C393" s="339"/>
      <c r="D393" s="339"/>
      <c r="E393" s="20"/>
      <c r="F393" s="20"/>
      <c r="H393"/>
    </row>
    <row r="394" spans="1:8">
      <c r="A394" s="7" t="s">
        <v>0</v>
      </c>
      <c r="B394" s="8" t="s">
        <v>1</v>
      </c>
      <c r="C394" s="8" t="s">
        <v>2</v>
      </c>
      <c r="D394" s="8" t="s">
        <v>3</v>
      </c>
      <c r="E394" s="8" t="s">
        <v>4</v>
      </c>
      <c r="F394" s="9" t="s">
        <v>5</v>
      </c>
      <c r="H394"/>
    </row>
    <row r="395" spans="1:8">
      <c r="A395" s="244"/>
      <c r="B395" s="266"/>
      <c r="C395" s="246"/>
      <c r="D395" s="267"/>
      <c r="E395" s="281"/>
      <c r="F395" s="256"/>
      <c r="H395"/>
    </row>
    <row r="396" spans="1:8">
      <c r="A396" s="277"/>
      <c r="B396" s="278"/>
      <c r="C396" s="246"/>
      <c r="D396" s="279"/>
      <c r="E396" s="281"/>
      <c r="F396" s="280"/>
      <c r="H396"/>
    </row>
    <row r="397" spans="1:8">
      <c r="A397" s="277"/>
      <c r="B397" s="278"/>
      <c r="C397" s="246"/>
      <c r="D397" s="279"/>
      <c r="E397" s="281"/>
      <c r="F397" s="280"/>
      <c r="H397"/>
    </row>
    <row r="398" spans="1:8">
      <c r="A398" s="244"/>
      <c r="B398" s="266"/>
      <c r="C398" s="246"/>
      <c r="D398" s="267"/>
      <c r="E398" s="281"/>
      <c r="F398" s="256"/>
      <c r="H398"/>
    </row>
    <row r="399" spans="1:8">
      <c r="A399" s="277"/>
      <c r="B399" s="278"/>
      <c r="C399" s="246"/>
      <c r="D399" s="279"/>
      <c r="E399" s="281"/>
      <c r="F399" s="280"/>
      <c r="H399"/>
    </row>
    <row r="400" spans="1:8">
      <c r="A400" s="10"/>
      <c r="B400" s="11"/>
      <c r="C400" s="12" t="s">
        <v>7</v>
      </c>
      <c r="D400" s="112">
        <f>SUBTOTAL(109,Tabla1416181920212223242526323334353637503837394041424344455894515253545557596163707262656875[[MONTO ]])</f>
        <v>0</v>
      </c>
      <c r="E400" s="14"/>
      <c r="F400" s="15"/>
    </row>
  </sheetData>
  <mergeCells count="24">
    <mergeCell ref="A200:D201"/>
    <mergeCell ref="A295:D296"/>
    <mergeCell ref="A107:D108"/>
    <mergeCell ref="A236:D237"/>
    <mergeCell ref="A117:D118"/>
    <mergeCell ref="A159:D160"/>
    <mergeCell ref="A169:D170"/>
    <mergeCell ref="A209:D210"/>
    <mergeCell ref="A1:D2"/>
    <mergeCell ref="A24:D25"/>
    <mergeCell ref="A33:D34"/>
    <mergeCell ref="A63:D64"/>
    <mergeCell ref="A73:D74"/>
    <mergeCell ref="A392:D393"/>
    <mergeCell ref="A323:D324"/>
    <mergeCell ref="A337:D338"/>
    <mergeCell ref="A248:D249"/>
    <mergeCell ref="A271:D272"/>
    <mergeCell ref="A366:D367"/>
    <mergeCell ref="A375:D376"/>
    <mergeCell ref="A385:D386"/>
    <mergeCell ref="A317:D318"/>
    <mergeCell ref="A343:D344"/>
    <mergeCell ref="A356:D357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  <legacyDrawing r:id="rId2"/>
  <tableParts count="24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2021</vt:lpstr>
      <vt:lpstr>RECIBIDOS 2022</vt:lpstr>
      <vt:lpstr>2022</vt:lpstr>
      <vt:lpstr>RECIBIDOS 2023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 producciones</dc:creator>
  <cp:lastModifiedBy>LENOVO</cp:lastModifiedBy>
  <cp:lastPrinted>2024-09-04T18:47:50Z</cp:lastPrinted>
  <dcterms:created xsi:type="dcterms:W3CDTF">2021-05-13T16:41:43Z</dcterms:created>
  <dcterms:modified xsi:type="dcterms:W3CDTF">2026-08-19T12:42:38Z</dcterms:modified>
</cp:coreProperties>
</file>