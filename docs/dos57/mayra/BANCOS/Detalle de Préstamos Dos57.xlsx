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MAYRA 2024\MAYRA - DOS57\BANCOS DOS57\"/>
    </mc:Choice>
  </mc:AlternateContent>
  <bookViews>
    <workbookView xWindow="0" yWindow="0" windowWidth="23040" windowHeight="9072" activeTab="3"/>
  </bookViews>
  <sheets>
    <sheet name="PRÉSTAMO BANCOR" sheetId="1" r:id="rId1"/>
    <sheet name="PRÉSTAMO GALICIA" sheetId="3" r:id="rId2"/>
    <sheet name="PRÉSTAMO NACIÓN" sheetId="5" r:id="rId3"/>
    <sheet name="PRÉSTAMOS 2026 - RESÚMEN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9" i="4" l="1"/>
  <c r="G19" i="4"/>
  <c r="F20" i="4"/>
  <c r="G20" i="4"/>
  <c r="F6" i="4"/>
  <c r="G6" i="4"/>
  <c r="F7" i="4"/>
  <c r="G7" i="4"/>
  <c r="F8" i="4"/>
  <c r="G8" i="4"/>
  <c r="D32" i="4"/>
  <c r="D33" i="4"/>
  <c r="D34" i="4"/>
  <c r="D35" i="4"/>
  <c r="D36" i="4"/>
  <c r="D37" i="4"/>
  <c r="D38" i="4"/>
  <c r="D39" i="4"/>
  <c r="D40" i="4"/>
  <c r="D41" i="4"/>
  <c r="D42" i="4"/>
  <c r="D31" i="4"/>
  <c r="C32" i="4"/>
  <c r="C33" i="4"/>
  <c r="C34" i="4"/>
  <c r="C35" i="4"/>
  <c r="C36" i="4"/>
  <c r="C37" i="4"/>
  <c r="C38" i="4"/>
  <c r="C39" i="4"/>
  <c r="C40" i="4"/>
  <c r="C41" i="4"/>
  <c r="C42" i="4"/>
  <c r="C31" i="4"/>
  <c r="G18" i="4"/>
  <c r="F18" i="4"/>
  <c r="G5" i="4"/>
  <c r="F5" i="4"/>
  <c r="G22" i="5"/>
  <c r="G10" i="5"/>
  <c r="G21" i="5" l="1"/>
  <c r="G20" i="5"/>
  <c r="G19" i="5"/>
  <c r="G18" i="5"/>
  <c r="G17" i="5"/>
  <c r="G16" i="5"/>
  <c r="G15" i="5"/>
  <c r="G14" i="5"/>
  <c r="G13" i="5"/>
  <c r="G12" i="5"/>
  <c r="G11" i="5"/>
  <c r="D29" i="4" l="1"/>
  <c r="D28" i="4"/>
  <c r="D27" i="4"/>
  <c r="D26" i="4"/>
  <c r="D25" i="4"/>
  <c r="D24" i="4"/>
  <c r="D23" i="4"/>
  <c r="D22" i="4"/>
  <c r="D21" i="4"/>
  <c r="D20" i="4"/>
  <c r="D19" i="4"/>
  <c r="D18" i="4"/>
  <c r="H21" i="3"/>
  <c r="H20" i="3"/>
  <c r="H19" i="3"/>
  <c r="H18" i="3"/>
  <c r="H17" i="3"/>
  <c r="H16" i="3"/>
  <c r="H15" i="3"/>
  <c r="H14" i="3"/>
  <c r="H13" i="3"/>
  <c r="H12" i="3"/>
  <c r="H11" i="3"/>
  <c r="H10" i="3"/>
  <c r="F11" i="1"/>
  <c r="F12" i="1"/>
  <c r="F13" i="1"/>
  <c r="F14" i="1"/>
  <c r="F15" i="1"/>
  <c r="F16" i="1"/>
  <c r="F17" i="1"/>
  <c r="F18" i="1"/>
  <c r="F19" i="1"/>
  <c r="F20" i="1"/>
  <c r="F21" i="1"/>
  <c r="F10" i="1"/>
  <c r="F22" i="1" l="1"/>
  <c r="H22" i="3"/>
</calcChain>
</file>

<file path=xl/sharedStrings.xml><?xml version="1.0" encoding="utf-8"?>
<sst xmlns="http://schemas.openxmlformats.org/spreadsheetml/2006/main" count="69" uniqueCount="39">
  <si>
    <t>GALICIA</t>
  </si>
  <si>
    <t>PRÉSTAMO BANCOR</t>
  </si>
  <si>
    <t>BANCOR</t>
  </si>
  <si>
    <t>N° CUOTA</t>
  </si>
  <si>
    <t>VENCIMIENTO</t>
  </si>
  <si>
    <t>TOTAL CUOTA</t>
  </si>
  <si>
    <t>FECHA DE PAGO</t>
  </si>
  <si>
    <t>TOTAL PRÉSTAMO BANCOR</t>
  </si>
  <si>
    <t>BANCO: BANCOR</t>
  </si>
  <si>
    <t>CUOTAS: 12</t>
  </si>
  <si>
    <t>BANCO: GALICIA</t>
  </si>
  <si>
    <t>TASA: FIJA</t>
  </si>
  <si>
    <t>PRÉSTAMO GALICIA - GARANTIZAR</t>
  </si>
  <si>
    <t>CAPITAL</t>
  </si>
  <si>
    <t>INTERÉS NOMINAL</t>
  </si>
  <si>
    <t>IVA INTERÉS NOMINAL</t>
  </si>
  <si>
    <t>SELLOS</t>
  </si>
  <si>
    <t>IVAP INTERÉS NOMINAL</t>
  </si>
  <si>
    <t>INTERÉS</t>
  </si>
  <si>
    <t>IMPUESTO</t>
  </si>
  <si>
    <t>TOTAL A PAGAR</t>
  </si>
  <si>
    <t>BANCO</t>
  </si>
  <si>
    <t>ESTADO DE PAGO</t>
  </si>
  <si>
    <t>TASA: VARIABLE - BADLAR 20</t>
  </si>
  <si>
    <t>CAPITAL: $50.000.000,00</t>
  </si>
  <si>
    <t>TOTAL PRÉSTAMO GALICIA - GARANTIZAR</t>
  </si>
  <si>
    <t>RESÚMEN PRÉSTAMOS DOS57 2026</t>
  </si>
  <si>
    <t>EMPRESA: Dos57 SRL</t>
  </si>
  <si>
    <t>CUIT: 30-71617506-1</t>
  </si>
  <si>
    <t>CAPITAL: $90.000.000,00</t>
  </si>
  <si>
    <t>PAGADO</t>
  </si>
  <si>
    <t>PRÉSTAMO NACIÓN</t>
  </si>
  <si>
    <t>BANCO: NACIÓN</t>
  </si>
  <si>
    <t>TASA: Tamar + 4 puntos</t>
  </si>
  <si>
    <t>CAPITAL: $239.000.000</t>
  </si>
  <si>
    <t>IVA R.I. DIFERENCIAL</t>
  </si>
  <si>
    <t>IVA PERCEP. RG 2408/08</t>
  </si>
  <si>
    <t>NACIÓN</t>
  </si>
  <si>
    <t>TOTAL PRÉSTAMO 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</si>
</sst>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_-[$$-2C0A]\ * #,##0.00_-;\-[$$-2C0A]\ * #,##0.00_-;_-[$$-2C0A]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Font="1"/>
    <xf numFmtId="164" fontId="1" fillId="0" borderId="0" xfId="1" applyFont="1" applyFill="1" applyAlignment="1">
      <alignment horizontal="center"/>
    </xf>
    <xf numFmtId="0" fontId="0" fillId="0" borderId="0" xfId="0" applyFont="1" applyFill="1" applyAlignment="1">
      <alignment horizontal="right"/>
    </xf>
    <xf numFmtId="0" fontId="6" fillId="0" borderId="0" xfId="0" applyFont="1"/>
    <xf numFmtId="14" fontId="0" fillId="0" borderId="7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4" fontId="0" fillId="2" borderId="8" xfId="0" applyNumberFormat="1" applyFont="1" applyFill="1" applyBorder="1" applyAlignment="1">
      <alignment horizontal="center"/>
    </xf>
    <xf numFmtId="14" fontId="0" fillId="2" borderId="11" xfId="0" applyNumberFormat="1" applyFont="1" applyFill="1" applyBorder="1" applyAlignment="1">
      <alignment horizontal="center"/>
    </xf>
    <xf numFmtId="14" fontId="0" fillId="2" borderId="14" xfId="0" applyNumberFormat="1" applyFont="1" applyFill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4" fontId="8" fillId="0" borderId="10" xfId="0" applyNumberFormat="1" applyFont="1" applyBorder="1" applyAlignment="1">
      <alignment horizontal="center"/>
    </xf>
    <xf numFmtId="164" fontId="8" fillId="0" borderId="10" xfId="1" applyFont="1" applyBorder="1"/>
    <xf numFmtId="164" fontId="8" fillId="0" borderId="10" xfId="1" applyFont="1" applyFill="1" applyBorder="1" applyAlignment="1">
      <alignment horizontal="center"/>
    </xf>
    <xf numFmtId="14" fontId="8" fillId="2" borderId="11" xfId="0" applyNumberFormat="1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14" fontId="8" fillId="0" borderId="13" xfId="0" applyNumberFormat="1" applyFont="1" applyBorder="1" applyAlignment="1">
      <alignment horizontal="center"/>
    </xf>
    <xf numFmtId="164" fontId="8" fillId="0" borderId="13" xfId="1" applyFont="1" applyBorder="1"/>
    <xf numFmtId="164" fontId="8" fillId="0" borderId="13" xfId="1" applyFont="1" applyFill="1" applyBorder="1" applyAlignment="1">
      <alignment horizontal="center"/>
    </xf>
    <xf numFmtId="14" fontId="8" fillId="2" borderId="14" xfId="0" applyNumberFormat="1" applyFont="1" applyFill="1" applyBorder="1" applyAlignment="1">
      <alignment horizontal="center"/>
    </xf>
    <xf numFmtId="0" fontId="8" fillId="0" borderId="0" xfId="0" applyFont="1"/>
    <xf numFmtId="0" fontId="11" fillId="0" borderId="0" xfId="0" applyFont="1"/>
    <xf numFmtId="14" fontId="8" fillId="2" borderId="10" xfId="0" applyNumberFormat="1" applyFont="1" applyFill="1" applyBorder="1" applyAlignment="1">
      <alignment horizontal="center"/>
    </xf>
    <xf numFmtId="14" fontId="8" fillId="2" borderId="32" xfId="0" applyNumberFormat="1" applyFont="1" applyFill="1" applyBorder="1" applyAlignment="1">
      <alignment horizontal="center"/>
    </xf>
    <xf numFmtId="14" fontId="8" fillId="2" borderId="33" xfId="0" applyNumberFormat="1" applyFont="1" applyFill="1" applyBorder="1" applyAlignment="1">
      <alignment horizontal="center"/>
    </xf>
    <xf numFmtId="0" fontId="8" fillId="0" borderId="22" xfId="0" applyFont="1" applyBorder="1"/>
    <xf numFmtId="0" fontId="0" fillId="0" borderId="4" xfId="0" applyBorder="1"/>
    <xf numFmtId="0" fontId="3" fillId="0" borderId="34" xfId="0" applyFont="1" applyBorder="1" applyAlignment="1">
      <alignment horizontal="center"/>
    </xf>
    <xf numFmtId="14" fontId="8" fillId="0" borderId="32" xfId="0" applyNumberFormat="1" applyFont="1" applyBorder="1" applyAlignment="1">
      <alignment horizontal="center"/>
    </xf>
    <xf numFmtId="164" fontId="8" fillId="0" borderId="32" xfId="1" applyFont="1" applyBorder="1"/>
    <xf numFmtId="164" fontId="8" fillId="0" borderId="32" xfId="1" applyFont="1" applyFill="1" applyBorder="1" applyAlignment="1">
      <alignment horizontal="center"/>
    </xf>
    <xf numFmtId="14" fontId="8" fillId="2" borderId="13" xfId="0" applyNumberFormat="1" applyFont="1" applyFill="1" applyBorder="1" applyAlignment="1">
      <alignment horizontal="center"/>
    </xf>
    <xf numFmtId="0" fontId="3" fillId="0" borderId="39" xfId="0" applyFont="1" applyBorder="1" applyAlignment="1">
      <alignment horizontal="center"/>
    </xf>
    <xf numFmtId="14" fontId="8" fillId="0" borderId="15" xfId="0" applyNumberFormat="1" applyFont="1" applyBorder="1" applyAlignment="1">
      <alignment horizontal="center"/>
    </xf>
    <xf numFmtId="164" fontId="8" fillId="0" borderId="15" xfId="1" applyFont="1" applyBorder="1"/>
    <xf numFmtId="164" fontId="8" fillId="0" borderId="15" xfId="1" applyFont="1" applyFill="1" applyBorder="1" applyAlignment="1">
      <alignment horizontal="center"/>
    </xf>
    <xf numFmtId="14" fontId="8" fillId="2" borderId="15" xfId="0" applyNumberFormat="1" applyFont="1" applyFill="1" applyBorder="1" applyAlignment="1">
      <alignment horizontal="center"/>
    </xf>
    <xf numFmtId="14" fontId="8" fillId="2" borderId="16" xfId="0" applyNumberFormat="1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64" fontId="5" fillId="3" borderId="36" xfId="1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44" fontId="0" fillId="0" borderId="0" xfId="0" applyNumberFormat="1"/>
    <xf numFmtId="0" fontId="7" fillId="0" borderId="18" xfId="0" applyFont="1" applyBorder="1"/>
    <xf numFmtId="0" fontId="7" fillId="0" borderId="19" xfId="0" applyFont="1" applyBorder="1"/>
    <xf numFmtId="0" fontId="7" fillId="0" borderId="20" xfId="0" applyFont="1" applyBorder="1"/>
    <xf numFmtId="0" fontId="0" fillId="2" borderId="21" xfId="0" applyFont="1" applyFill="1" applyBorder="1" applyAlignment="1">
      <alignment horizontal="center"/>
    </xf>
    <xf numFmtId="0" fontId="9" fillId="3" borderId="22" xfId="0" applyFont="1" applyFill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29" xfId="0" applyFont="1" applyFill="1" applyBorder="1" applyAlignment="1">
      <alignment horizontal="center" vertical="center"/>
    </xf>
    <xf numFmtId="0" fontId="9" fillId="3" borderId="30" xfId="0" applyFont="1" applyFill="1" applyBorder="1" applyAlignment="1">
      <alignment horizontal="center" vertical="center"/>
    </xf>
    <xf numFmtId="0" fontId="9" fillId="3" borderId="31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right"/>
    </xf>
    <xf numFmtId="0" fontId="5" fillId="3" borderId="35" xfId="0" applyFont="1" applyFill="1" applyBorder="1" applyAlignment="1">
      <alignment horizontal="right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165" fontId="9" fillId="3" borderId="22" xfId="0" applyNumberFormat="1" applyFont="1" applyFill="1" applyBorder="1" applyAlignment="1">
      <alignment horizontal="center" vertical="center"/>
    </xf>
    <xf numFmtId="165" fontId="9" fillId="3" borderId="28" xfId="0" applyNumberFormat="1" applyFont="1" applyFill="1" applyBorder="1" applyAlignment="1">
      <alignment horizontal="center" vertical="center"/>
    </xf>
    <xf numFmtId="165" fontId="9" fillId="3" borderId="17" xfId="0" applyNumberFormat="1" applyFont="1" applyFill="1" applyBorder="1" applyAlignment="1">
      <alignment horizontal="center" vertical="center"/>
    </xf>
    <xf numFmtId="165" fontId="9" fillId="3" borderId="29" xfId="0" applyNumberFormat="1" applyFont="1" applyFill="1" applyBorder="1" applyAlignment="1">
      <alignment horizontal="center" vertical="center"/>
    </xf>
    <xf numFmtId="165" fontId="9" fillId="3" borderId="30" xfId="0" applyNumberFormat="1" applyFont="1" applyFill="1" applyBorder="1" applyAlignment="1">
      <alignment horizontal="center" vertical="center"/>
    </xf>
    <xf numFmtId="165" fontId="9" fillId="3" borderId="31" xfId="0" applyNumberFormat="1" applyFont="1" applyFill="1" applyBorder="1" applyAlignment="1">
      <alignment horizontal="center" vertical="center"/>
    </xf>
    <xf numFmtId="0" fontId="7" fillId="0" borderId="24" xfId="0" applyFont="1" applyBorder="1"/>
    <xf numFmtId="0" fontId="7" fillId="0" borderId="25" xfId="0" applyFont="1" applyBorder="1"/>
    <xf numFmtId="0" fontId="7" fillId="0" borderId="38" xfId="0" applyFont="1" applyBorder="1"/>
    <xf numFmtId="0" fontId="7" fillId="0" borderId="26" xfId="0" applyFont="1" applyBorder="1"/>
    <xf numFmtId="0" fontId="7" fillId="0" borderId="27" xfId="0" applyFont="1" applyBorder="1"/>
    <xf numFmtId="0" fontId="7" fillId="0" borderId="37" xfId="0" applyFont="1" applyBorder="1"/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10" fillId="3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K23"/>
  <sheetViews>
    <sheetView workbookViewId="0">
      <selection activeCell="C18" sqref="C18"/>
    </sheetView>
  </sheetViews>
  <sheetFormatPr baseColWidth="10" defaultRowHeight="14.4" x14ac:dyDescent="0.3"/>
  <cols>
    <col min="1" max="1" width="11.6640625" bestFit="1" customWidth="1"/>
    <col min="2" max="2" width="16.33203125" bestFit="1" customWidth="1"/>
    <col min="3" max="6" width="23.44140625" customWidth="1"/>
    <col min="7" max="8" width="21.33203125" bestFit="1" customWidth="1"/>
    <col min="11" max="11" width="12.77734375" bestFit="1" customWidth="1"/>
  </cols>
  <sheetData>
    <row r="1" spans="1:11" ht="15" thickBot="1" x14ac:dyDescent="0.35"/>
    <row r="2" spans="1:11" ht="29.4" thickBot="1" x14ac:dyDescent="0.35">
      <c r="A2" s="66" t="s">
        <v>1</v>
      </c>
      <c r="B2" s="67"/>
      <c r="C2" s="67"/>
      <c r="D2" s="67"/>
      <c r="E2" s="67"/>
      <c r="F2" s="67"/>
      <c r="G2" s="67"/>
      <c r="H2" s="68"/>
    </row>
    <row r="3" spans="1:11" ht="21" x14ac:dyDescent="0.4">
      <c r="A3" s="69" t="s">
        <v>27</v>
      </c>
      <c r="B3" s="70"/>
      <c r="C3" s="70"/>
      <c r="D3" s="70"/>
      <c r="E3" s="70"/>
      <c r="F3" s="71"/>
      <c r="G3" s="58" t="s">
        <v>29</v>
      </c>
      <c r="H3" s="59"/>
    </row>
    <row r="4" spans="1:11" ht="21" x14ac:dyDescent="0.4">
      <c r="A4" s="72" t="s">
        <v>28</v>
      </c>
      <c r="B4" s="73"/>
      <c r="C4" s="73"/>
      <c r="D4" s="73"/>
      <c r="E4" s="73"/>
      <c r="F4" s="74"/>
      <c r="G4" s="60"/>
      <c r="H4" s="61"/>
    </row>
    <row r="5" spans="1:11" ht="21" x14ac:dyDescent="0.4">
      <c r="A5" s="72" t="s">
        <v>8</v>
      </c>
      <c r="B5" s="73"/>
      <c r="C5" s="73"/>
      <c r="D5" s="73"/>
      <c r="E5" s="73"/>
      <c r="F5" s="74"/>
      <c r="G5" s="60"/>
      <c r="H5" s="61"/>
    </row>
    <row r="6" spans="1:11" ht="21" x14ac:dyDescent="0.4">
      <c r="A6" s="72" t="s">
        <v>23</v>
      </c>
      <c r="B6" s="73"/>
      <c r="C6" s="73"/>
      <c r="D6" s="73"/>
      <c r="E6" s="73"/>
      <c r="F6" s="74"/>
      <c r="G6" s="60"/>
      <c r="H6" s="61"/>
    </row>
    <row r="7" spans="1:11" ht="21.6" thickBot="1" x14ac:dyDescent="0.45">
      <c r="A7" s="54" t="s">
        <v>9</v>
      </c>
      <c r="B7" s="55"/>
      <c r="C7" s="55"/>
      <c r="D7" s="55"/>
      <c r="E7" s="55"/>
      <c r="F7" s="56"/>
      <c r="G7" s="62"/>
      <c r="H7" s="63"/>
    </row>
    <row r="8" spans="1:11" ht="4.95" customHeight="1" thickBot="1" x14ac:dyDescent="0.35">
      <c r="A8" s="57"/>
      <c r="B8" s="57"/>
      <c r="C8" s="57"/>
      <c r="D8" s="57"/>
      <c r="E8" s="57"/>
      <c r="F8" s="57"/>
      <c r="G8" s="57"/>
      <c r="H8" s="57"/>
    </row>
    <row r="9" spans="1:11" s="4" customFormat="1" ht="21" customHeight="1" x14ac:dyDescent="0.3">
      <c r="A9" s="45" t="s">
        <v>3</v>
      </c>
      <c r="B9" s="46" t="s">
        <v>4</v>
      </c>
      <c r="C9" s="46" t="s">
        <v>13</v>
      </c>
      <c r="D9" s="46" t="s">
        <v>18</v>
      </c>
      <c r="E9" s="46" t="s">
        <v>19</v>
      </c>
      <c r="F9" s="46" t="s">
        <v>5</v>
      </c>
      <c r="G9" s="46" t="s">
        <v>6</v>
      </c>
      <c r="H9" s="47" t="s">
        <v>22</v>
      </c>
    </row>
    <row r="10" spans="1:11" ht="19.95" customHeight="1" x14ac:dyDescent="0.35">
      <c r="A10" s="17">
        <v>1</v>
      </c>
      <c r="B10" s="18">
        <v>46127</v>
      </c>
      <c r="C10" s="19">
        <v>7500000</v>
      </c>
      <c r="D10" s="19">
        <v>3109600.17</v>
      </c>
      <c r="E10" s="19">
        <v>528676.14</v>
      </c>
      <c r="F10" s="20">
        <f>SUM(C10:E10)</f>
        <v>11138276.310000001</v>
      </c>
      <c r="G10" s="29">
        <v>46136</v>
      </c>
      <c r="H10" s="21" t="s">
        <v>30</v>
      </c>
    </row>
    <row r="11" spans="1:11" ht="19.95" customHeight="1" x14ac:dyDescent="0.35">
      <c r="A11" s="17">
        <v>2</v>
      </c>
      <c r="B11" s="18">
        <v>46157</v>
      </c>
      <c r="C11" s="19">
        <v>7500000</v>
      </c>
      <c r="D11" s="19">
        <v>3000000</v>
      </c>
      <c r="E11" s="19">
        <v>500000</v>
      </c>
      <c r="F11" s="20">
        <f t="shared" ref="F11:F21" si="0">SUM(C11:E11)</f>
        <v>11000000</v>
      </c>
      <c r="G11" s="29">
        <v>46157</v>
      </c>
      <c r="H11" s="21" t="s">
        <v>30</v>
      </c>
      <c r="K11" s="53"/>
    </row>
    <row r="12" spans="1:11" ht="19.95" customHeight="1" x14ac:dyDescent="0.35">
      <c r="A12" s="17">
        <v>3</v>
      </c>
      <c r="B12" s="18">
        <v>46189</v>
      </c>
      <c r="C12" s="19">
        <v>7500000</v>
      </c>
      <c r="D12" s="19">
        <v>3000000</v>
      </c>
      <c r="E12" s="19">
        <v>500000</v>
      </c>
      <c r="F12" s="20">
        <f t="shared" si="0"/>
        <v>11000000</v>
      </c>
      <c r="G12" s="29">
        <v>46190</v>
      </c>
      <c r="H12" s="21" t="s">
        <v>30</v>
      </c>
    </row>
    <row r="13" spans="1:11" ht="19.95" customHeight="1" x14ac:dyDescent="0.35">
      <c r="A13" s="17">
        <v>4</v>
      </c>
      <c r="B13" s="18">
        <v>46218</v>
      </c>
      <c r="C13" s="19">
        <v>7500000</v>
      </c>
      <c r="D13" s="19">
        <v>3000000</v>
      </c>
      <c r="E13" s="19">
        <v>500000</v>
      </c>
      <c r="F13" s="20">
        <f t="shared" si="0"/>
        <v>11000000</v>
      </c>
      <c r="G13" s="29">
        <v>46218</v>
      </c>
      <c r="H13" s="21" t="s">
        <v>30</v>
      </c>
    </row>
    <row r="14" spans="1:11" ht="19.95" customHeight="1" x14ac:dyDescent="0.35">
      <c r="A14" s="17">
        <v>5</v>
      </c>
      <c r="B14" s="18">
        <v>46252</v>
      </c>
      <c r="C14" s="19">
        <v>7500000</v>
      </c>
      <c r="D14" s="19">
        <v>3000000</v>
      </c>
      <c r="E14" s="19">
        <v>500000</v>
      </c>
      <c r="F14" s="20">
        <f t="shared" si="0"/>
        <v>11000000</v>
      </c>
      <c r="G14" s="29"/>
      <c r="H14" s="21"/>
    </row>
    <row r="15" spans="1:11" ht="19.95" customHeight="1" x14ac:dyDescent="0.35">
      <c r="A15" s="17">
        <v>6</v>
      </c>
      <c r="B15" s="18">
        <v>46280</v>
      </c>
      <c r="C15" s="19">
        <v>7500000</v>
      </c>
      <c r="D15" s="19">
        <v>3000000</v>
      </c>
      <c r="E15" s="19">
        <v>500000</v>
      </c>
      <c r="F15" s="20">
        <f t="shared" si="0"/>
        <v>11000000</v>
      </c>
      <c r="G15" s="29"/>
      <c r="H15" s="21"/>
    </row>
    <row r="16" spans="1:11" ht="19.95" customHeight="1" x14ac:dyDescent="0.35">
      <c r="A16" s="17">
        <v>7</v>
      </c>
      <c r="B16" s="18">
        <v>46310</v>
      </c>
      <c r="C16" s="19">
        <v>7500000</v>
      </c>
      <c r="D16" s="19">
        <v>3000000</v>
      </c>
      <c r="E16" s="19">
        <v>500000</v>
      </c>
      <c r="F16" s="20">
        <f t="shared" si="0"/>
        <v>11000000</v>
      </c>
      <c r="G16" s="29"/>
      <c r="H16" s="21"/>
    </row>
    <row r="17" spans="1:8" ht="19.95" customHeight="1" x14ac:dyDescent="0.35">
      <c r="A17" s="17">
        <v>8</v>
      </c>
      <c r="B17" s="18">
        <v>46342</v>
      </c>
      <c r="C17" s="19">
        <v>7500000</v>
      </c>
      <c r="D17" s="19">
        <v>3000000</v>
      </c>
      <c r="E17" s="19">
        <v>500000</v>
      </c>
      <c r="F17" s="20">
        <f t="shared" si="0"/>
        <v>11000000</v>
      </c>
      <c r="G17" s="29"/>
      <c r="H17" s="21"/>
    </row>
    <row r="18" spans="1:8" ht="19.95" customHeight="1" x14ac:dyDescent="0.35">
      <c r="A18" s="17">
        <v>9</v>
      </c>
      <c r="B18" s="18">
        <v>46371</v>
      </c>
      <c r="C18" s="19">
        <v>7500000</v>
      </c>
      <c r="D18" s="19">
        <v>3000000</v>
      </c>
      <c r="E18" s="19">
        <v>500000</v>
      </c>
      <c r="F18" s="20">
        <f t="shared" si="0"/>
        <v>11000000</v>
      </c>
      <c r="G18" s="29"/>
      <c r="H18" s="21"/>
    </row>
    <row r="19" spans="1:8" ht="19.95" customHeight="1" x14ac:dyDescent="0.35">
      <c r="A19" s="17">
        <v>10</v>
      </c>
      <c r="B19" s="18">
        <v>46037</v>
      </c>
      <c r="C19" s="19">
        <v>7500000</v>
      </c>
      <c r="D19" s="19">
        <v>3000000</v>
      </c>
      <c r="E19" s="19">
        <v>500000</v>
      </c>
      <c r="F19" s="20">
        <f t="shared" si="0"/>
        <v>11000000</v>
      </c>
      <c r="G19" s="29"/>
      <c r="H19" s="21"/>
    </row>
    <row r="20" spans="1:8" ht="19.95" customHeight="1" x14ac:dyDescent="0.35">
      <c r="A20" s="17">
        <v>11</v>
      </c>
      <c r="B20" s="18">
        <v>46068</v>
      </c>
      <c r="C20" s="19">
        <v>7500000</v>
      </c>
      <c r="D20" s="19">
        <v>3000000</v>
      </c>
      <c r="E20" s="19">
        <v>500000</v>
      </c>
      <c r="F20" s="20">
        <f t="shared" si="0"/>
        <v>11000000</v>
      </c>
      <c r="G20" s="29"/>
      <c r="H20" s="21"/>
    </row>
    <row r="21" spans="1:8" ht="19.95" customHeight="1" thickBot="1" x14ac:dyDescent="0.4">
      <c r="A21" s="34">
        <v>12</v>
      </c>
      <c r="B21" s="35">
        <v>46096</v>
      </c>
      <c r="C21" s="36">
        <v>7500000</v>
      </c>
      <c r="D21" s="19">
        <v>3000000</v>
      </c>
      <c r="E21" s="19">
        <v>500000</v>
      </c>
      <c r="F21" s="37">
        <f t="shared" si="0"/>
        <v>11000000</v>
      </c>
      <c r="G21" s="30"/>
      <c r="H21" s="31"/>
    </row>
    <row r="22" spans="1:8" ht="21" customHeight="1" thickBot="1" x14ac:dyDescent="0.4">
      <c r="A22" s="64" t="s">
        <v>7</v>
      </c>
      <c r="B22" s="65"/>
      <c r="C22" s="65"/>
      <c r="D22" s="65"/>
      <c r="E22" s="65"/>
      <c r="F22" s="48">
        <f>SUM(F10:F21)</f>
        <v>132138276.31</v>
      </c>
      <c r="G22" s="32"/>
      <c r="H22" s="33"/>
    </row>
    <row r="23" spans="1:8" x14ac:dyDescent="0.3">
      <c r="A23" s="3"/>
      <c r="B23" s="3"/>
      <c r="C23" s="3"/>
      <c r="D23" s="3"/>
      <c r="E23" s="3"/>
      <c r="F23" s="2"/>
      <c r="G23" s="1"/>
    </row>
  </sheetData>
  <mergeCells count="9">
    <mergeCell ref="A7:F7"/>
    <mergeCell ref="A8:H8"/>
    <mergeCell ref="G3:H7"/>
    <mergeCell ref="A22:E22"/>
    <mergeCell ref="A2:H2"/>
    <mergeCell ref="A3:F3"/>
    <mergeCell ref="A4:F4"/>
    <mergeCell ref="A5:F5"/>
    <mergeCell ref="A6:F6"/>
  </mergeCells>
  <pageMargins left="0.7" right="0.7" top="0.75" bottom="0.75" header="0.3" footer="0.3"/>
  <pageSetup paperSize="9" scale="53" fitToHeight="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J23"/>
  <sheetViews>
    <sheetView topLeftCell="B1" zoomScaleNormal="100" workbookViewId="0">
      <selection activeCell="D17" sqref="D17"/>
    </sheetView>
  </sheetViews>
  <sheetFormatPr baseColWidth="10" defaultRowHeight="14.4" x14ac:dyDescent="0.3"/>
  <cols>
    <col min="1" max="1" width="11.6640625" bestFit="1" customWidth="1"/>
    <col min="2" max="2" width="16.33203125" bestFit="1" customWidth="1"/>
    <col min="3" max="4" width="23.44140625" customWidth="1"/>
    <col min="5" max="5" width="25.44140625" bestFit="1" customWidth="1"/>
    <col min="6" max="6" width="23.44140625" customWidth="1"/>
    <col min="7" max="7" width="26.88671875" bestFit="1" customWidth="1"/>
    <col min="8" max="8" width="23.44140625" customWidth="1"/>
    <col min="9" max="9" width="19.88671875" bestFit="1" customWidth="1"/>
    <col min="10" max="10" width="20.109375" bestFit="1" customWidth="1"/>
  </cols>
  <sheetData>
    <row r="1" spans="1:10" ht="15" thickBot="1" x14ac:dyDescent="0.35"/>
    <row r="2" spans="1:10" s="28" customFormat="1" ht="29.4" thickBot="1" x14ac:dyDescent="0.6">
      <c r="A2" s="66" t="s">
        <v>12</v>
      </c>
      <c r="B2" s="67"/>
      <c r="C2" s="67"/>
      <c r="D2" s="67"/>
      <c r="E2" s="67"/>
      <c r="F2" s="67"/>
      <c r="G2" s="67"/>
      <c r="H2" s="67"/>
      <c r="I2" s="67"/>
      <c r="J2" s="68"/>
    </row>
    <row r="3" spans="1:10" ht="21" x14ac:dyDescent="0.4">
      <c r="A3" s="81" t="s">
        <v>27</v>
      </c>
      <c r="B3" s="82"/>
      <c r="C3" s="82"/>
      <c r="D3" s="82"/>
      <c r="E3" s="82"/>
      <c r="F3" s="82"/>
      <c r="G3" s="82"/>
      <c r="H3" s="83"/>
      <c r="I3" s="75" t="s">
        <v>24</v>
      </c>
      <c r="J3" s="76"/>
    </row>
    <row r="4" spans="1:10" ht="21" x14ac:dyDescent="0.4">
      <c r="A4" s="84" t="s">
        <v>28</v>
      </c>
      <c r="B4" s="85"/>
      <c r="C4" s="85"/>
      <c r="D4" s="85"/>
      <c r="E4" s="85"/>
      <c r="F4" s="85"/>
      <c r="G4" s="85"/>
      <c r="H4" s="86"/>
      <c r="I4" s="77"/>
      <c r="J4" s="78"/>
    </row>
    <row r="5" spans="1:10" ht="21" x14ac:dyDescent="0.4">
      <c r="A5" s="84" t="s">
        <v>10</v>
      </c>
      <c r="B5" s="85"/>
      <c r="C5" s="85"/>
      <c r="D5" s="85"/>
      <c r="E5" s="85"/>
      <c r="F5" s="85"/>
      <c r="G5" s="85"/>
      <c r="H5" s="86"/>
      <c r="I5" s="77"/>
      <c r="J5" s="78"/>
    </row>
    <row r="6" spans="1:10" ht="21" x14ac:dyDescent="0.4">
      <c r="A6" s="84" t="s">
        <v>11</v>
      </c>
      <c r="B6" s="85"/>
      <c r="C6" s="85"/>
      <c r="D6" s="85"/>
      <c r="E6" s="85"/>
      <c r="F6" s="85"/>
      <c r="G6" s="85"/>
      <c r="H6" s="86"/>
      <c r="I6" s="77"/>
      <c r="J6" s="78"/>
    </row>
    <row r="7" spans="1:10" ht="21.6" thickBot="1" x14ac:dyDescent="0.45">
      <c r="A7" s="54" t="s">
        <v>9</v>
      </c>
      <c r="B7" s="55"/>
      <c r="C7" s="55"/>
      <c r="D7" s="55"/>
      <c r="E7" s="55"/>
      <c r="F7" s="55"/>
      <c r="G7" s="55"/>
      <c r="H7" s="56"/>
      <c r="I7" s="79"/>
      <c r="J7" s="80"/>
    </row>
    <row r="8" spans="1:10" ht="4.95" customHeight="1" thickBot="1" x14ac:dyDescent="0.35">
      <c r="A8" s="57"/>
      <c r="B8" s="57"/>
      <c r="C8" s="57"/>
      <c r="D8" s="57"/>
      <c r="E8" s="57"/>
      <c r="F8" s="57"/>
      <c r="G8" s="57"/>
      <c r="H8" s="57"/>
      <c r="I8" s="57"/>
      <c r="J8" s="57"/>
    </row>
    <row r="9" spans="1:10" s="27" customFormat="1" ht="21" customHeight="1" thickBot="1" x14ac:dyDescent="0.4">
      <c r="A9" s="50" t="s">
        <v>3</v>
      </c>
      <c r="B9" s="51" t="s">
        <v>4</v>
      </c>
      <c r="C9" s="51" t="s">
        <v>13</v>
      </c>
      <c r="D9" s="51" t="s">
        <v>14</v>
      </c>
      <c r="E9" s="51" t="s">
        <v>15</v>
      </c>
      <c r="F9" s="51" t="s">
        <v>16</v>
      </c>
      <c r="G9" s="51" t="s">
        <v>17</v>
      </c>
      <c r="H9" s="51" t="s">
        <v>5</v>
      </c>
      <c r="I9" s="51" t="s">
        <v>6</v>
      </c>
      <c r="J9" s="52" t="s">
        <v>22</v>
      </c>
    </row>
    <row r="10" spans="1:10" s="27" customFormat="1" ht="19.95" customHeight="1" x14ac:dyDescent="0.35">
      <c r="A10" s="39">
        <v>1</v>
      </c>
      <c r="B10" s="40">
        <v>46153</v>
      </c>
      <c r="C10" s="41">
        <v>4166666.67</v>
      </c>
      <c r="D10" s="41">
        <v>1491780.82</v>
      </c>
      <c r="E10" s="41">
        <v>156636.99</v>
      </c>
      <c r="F10" s="41">
        <v>54246.58</v>
      </c>
      <c r="G10" s="41">
        <v>22376.71</v>
      </c>
      <c r="H10" s="42">
        <f>SUM(C10:G10)</f>
        <v>5891707.7700000005</v>
      </c>
      <c r="I10" s="43">
        <v>46153</v>
      </c>
      <c r="J10" s="44" t="s">
        <v>30</v>
      </c>
    </row>
    <row r="11" spans="1:10" s="27" customFormat="1" ht="19.95" customHeight="1" x14ac:dyDescent="0.35">
      <c r="A11" s="17">
        <v>2</v>
      </c>
      <c r="B11" s="18">
        <v>46182</v>
      </c>
      <c r="C11" s="19">
        <v>4166666.67</v>
      </c>
      <c r="D11" s="19">
        <v>1201712.33</v>
      </c>
      <c r="E11" s="19">
        <v>126179.79</v>
      </c>
      <c r="F11" s="19">
        <v>43698.63</v>
      </c>
      <c r="G11" s="19">
        <v>18025.68</v>
      </c>
      <c r="H11" s="20">
        <f t="shared" ref="H11:H21" si="0">SUM(C11:G11)</f>
        <v>5556283.0999999996</v>
      </c>
      <c r="I11" s="29">
        <v>46182</v>
      </c>
      <c r="J11" s="21" t="s">
        <v>30</v>
      </c>
    </row>
    <row r="12" spans="1:10" s="27" customFormat="1" ht="19.95" customHeight="1" x14ac:dyDescent="0.35">
      <c r="A12" s="17">
        <v>3</v>
      </c>
      <c r="B12" s="18">
        <v>46216</v>
      </c>
      <c r="C12" s="19">
        <v>4166666.67</v>
      </c>
      <c r="D12" s="19">
        <v>1280821.92</v>
      </c>
      <c r="E12" s="19">
        <v>134486.29999999999</v>
      </c>
      <c r="F12" s="19">
        <v>46575.34</v>
      </c>
      <c r="G12" s="19">
        <v>19212.330000000002</v>
      </c>
      <c r="H12" s="20">
        <f t="shared" si="0"/>
        <v>5647762.5599999996</v>
      </c>
      <c r="I12" s="29">
        <v>46216</v>
      </c>
      <c r="J12" s="21" t="s">
        <v>30</v>
      </c>
    </row>
    <row r="13" spans="1:10" s="27" customFormat="1" ht="19.95" customHeight="1" x14ac:dyDescent="0.35">
      <c r="A13" s="17">
        <v>4</v>
      </c>
      <c r="B13" s="18">
        <v>46244</v>
      </c>
      <c r="C13" s="19">
        <v>4166666.67</v>
      </c>
      <c r="D13" s="20">
        <v>949315.07</v>
      </c>
      <c r="E13" s="20">
        <v>99678.080000000002</v>
      </c>
      <c r="F13" s="20">
        <v>34520.550000000003</v>
      </c>
      <c r="G13" s="20">
        <v>14239.73</v>
      </c>
      <c r="H13" s="20">
        <f t="shared" si="0"/>
        <v>5264420.1000000006</v>
      </c>
      <c r="I13" s="29"/>
      <c r="J13" s="21"/>
    </row>
    <row r="14" spans="1:10" s="27" customFormat="1" ht="19.95" customHeight="1" x14ac:dyDescent="0.35">
      <c r="A14" s="17">
        <v>5</v>
      </c>
      <c r="B14" s="18">
        <v>46274</v>
      </c>
      <c r="C14" s="19">
        <v>4166666.67</v>
      </c>
      <c r="D14" s="20">
        <v>904109.59</v>
      </c>
      <c r="E14" s="20">
        <v>94931.51</v>
      </c>
      <c r="F14" s="20">
        <v>32876.71</v>
      </c>
      <c r="G14" s="20">
        <v>13561.64</v>
      </c>
      <c r="H14" s="20">
        <f t="shared" si="0"/>
        <v>5212146.1199999992</v>
      </c>
      <c r="I14" s="29"/>
      <c r="J14" s="21"/>
    </row>
    <row r="15" spans="1:10" s="27" customFormat="1" ht="19.95" customHeight="1" x14ac:dyDescent="0.35">
      <c r="A15" s="17">
        <v>6</v>
      </c>
      <c r="B15" s="18">
        <v>46304</v>
      </c>
      <c r="C15" s="19">
        <v>4166666.67</v>
      </c>
      <c r="D15" s="20">
        <v>791095.89</v>
      </c>
      <c r="E15" s="20">
        <v>83065.070000000007</v>
      </c>
      <c r="F15" s="20">
        <v>28767.119999999999</v>
      </c>
      <c r="G15" s="20">
        <v>11866.44</v>
      </c>
      <c r="H15" s="20">
        <f t="shared" si="0"/>
        <v>5081461.1900000004</v>
      </c>
      <c r="I15" s="29"/>
      <c r="J15" s="21"/>
    </row>
    <row r="16" spans="1:10" s="27" customFormat="1" ht="19.95" customHeight="1" x14ac:dyDescent="0.35">
      <c r="A16" s="17">
        <v>7</v>
      </c>
      <c r="B16" s="18">
        <v>46335</v>
      </c>
      <c r="C16" s="19">
        <v>4166666.67</v>
      </c>
      <c r="D16" s="20">
        <v>700684.93</v>
      </c>
      <c r="E16" s="20">
        <v>73571.92</v>
      </c>
      <c r="F16" s="20">
        <v>25479.45</v>
      </c>
      <c r="G16" s="20">
        <v>10510.27</v>
      </c>
      <c r="H16" s="20">
        <f t="shared" si="0"/>
        <v>4976913.2399999993</v>
      </c>
      <c r="I16" s="29"/>
      <c r="J16" s="21"/>
    </row>
    <row r="17" spans="1:10" s="27" customFormat="1" ht="19.95" customHeight="1" x14ac:dyDescent="0.35">
      <c r="A17" s="17">
        <v>8</v>
      </c>
      <c r="B17" s="18">
        <v>46365</v>
      </c>
      <c r="C17" s="19">
        <v>4166666.67</v>
      </c>
      <c r="D17" s="20">
        <v>565068.49</v>
      </c>
      <c r="E17" s="20">
        <v>59332.19</v>
      </c>
      <c r="F17" s="20">
        <v>20547.95</v>
      </c>
      <c r="G17" s="20">
        <v>8476.0300000000007</v>
      </c>
      <c r="H17" s="20">
        <f t="shared" si="0"/>
        <v>4820091.330000001</v>
      </c>
      <c r="I17" s="29"/>
      <c r="J17" s="21"/>
    </row>
    <row r="18" spans="1:10" s="27" customFormat="1" ht="19.95" customHeight="1" x14ac:dyDescent="0.35">
      <c r="A18" s="17">
        <v>9</v>
      </c>
      <c r="B18" s="18">
        <v>46398</v>
      </c>
      <c r="C18" s="19">
        <v>4166666.67</v>
      </c>
      <c r="D18" s="20">
        <v>497260.27</v>
      </c>
      <c r="E18" s="20">
        <v>52212.33</v>
      </c>
      <c r="F18" s="20">
        <v>18082.189999999999</v>
      </c>
      <c r="G18" s="20">
        <v>7458.9</v>
      </c>
      <c r="H18" s="20">
        <f t="shared" si="0"/>
        <v>4741680.3600000003</v>
      </c>
      <c r="I18" s="29"/>
      <c r="J18" s="21"/>
    </row>
    <row r="19" spans="1:10" s="27" customFormat="1" ht="19.95" customHeight="1" x14ac:dyDescent="0.35">
      <c r="A19" s="17">
        <v>10</v>
      </c>
      <c r="B19" s="18">
        <v>46427</v>
      </c>
      <c r="C19" s="19">
        <v>4166666.67</v>
      </c>
      <c r="D19" s="20">
        <v>327739.73</v>
      </c>
      <c r="E19" s="20">
        <v>34412.67</v>
      </c>
      <c r="F19" s="20">
        <v>11917.81</v>
      </c>
      <c r="G19" s="20">
        <v>4916.1000000000004</v>
      </c>
      <c r="H19" s="20">
        <f t="shared" si="0"/>
        <v>4545652.9799999995</v>
      </c>
      <c r="I19" s="29"/>
      <c r="J19" s="21"/>
    </row>
    <row r="20" spans="1:10" s="27" customFormat="1" ht="19.95" customHeight="1" x14ac:dyDescent="0.35">
      <c r="A20" s="17">
        <v>11</v>
      </c>
      <c r="B20" s="18">
        <v>46455</v>
      </c>
      <c r="C20" s="19">
        <v>4166666.67</v>
      </c>
      <c r="D20" s="20">
        <v>210958.9</v>
      </c>
      <c r="E20" s="20">
        <v>22150.68</v>
      </c>
      <c r="F20" s="20">
        <v>7671.23</v>
      </c>
      <c r="G20" s="20">
        <v>3164.38</v>
      </c>
      <c r="H20" s="20">
        <f t="shared" si="0"/>
        <v>4410611.8600000003</v>
      </c>
      <c r="I20" s="29"/>
      <c r="J20" s="21"/>
    </row>
    <row r="21" spans="1:10" s="27" customFormat="1" ht="19.95" customHeight="1" thickBot="1" x14ac:dyDescent="0.4">
      <c r="A21" s="22">
        <v>12</v>
      </c>
      <c r="B21" s="23">
        <v>46486</v>
      </c>
      <c r="C21" s="24">
        <v>4166666.63</v>
      </c>
      <c r="D21" s="25">
        <v>116780.82</v>
      </c>
      <c r="E21" s="25">
        <v>12261.99</v>
      </c>
      <c r="F21" s="25">
        <v>4246.58</v>
      </c>
      <c r="G21" s="25">
        <v>1751.71</v>
      </c>
      <c r="H21" s="25">
        <f t="shared" si="0"/>
        <v>4301707.7300000004</v>
      </c>
      <c r="I21" s="38"/>
      <c r="J21" s="26"/>
    </row>
    <row r="22" spans="1:10" s="27" customFormat="1" ht="21" customHeight="1" thickBot="1" x14ac:dyDescent="0.4">
      <c r="A22" s="64" t="s">
        <v>25</v>
      </c>
      <c r="B22" s="65"/>
      <c r="C22" s="65"/>
      <c r="D22" s="65"/>
      <c r="E22" s="65"/>
      <c r="F22" s="65"/>
      <c r="G22" s="65"/>
      <c r="H22" s="48">
        <f>SUM(H10:H21)</f>
        <v>60450438.339999989</v>
      </c>
    </row>
    <row r="23" spans="1:10" x14ac:dyDescent="0.3">
      <c r="A23" s="3"/>
      <c r="B23" s="3"/>
      <c r="C23" s="3"/>
      <c r="D23" s="3"/>
      <c r="E23" s="3"/>
      <c r="F23" s="3"/>
      <c r="G23" s="3"/>
      <c r="H23" s="2"/>
      <c r="I23" s="1"/>
    </row>
  </sheetData>
  <mergeCells count="9">
    <mergeCell ref="A8:J8"/>
    <mergeCell ref="A22:G22"/>
    <mergeCell ref="I3:J7"/>
    <mergeCell ref="A2:J2"/>
    <mergeCell ref="A3:H3"/>
    <mergeCell ref="A4:H4"/>
    <mergeCell ref="A5:H5"/>
    <mergeCell ref="A6:H6"/>
    <mergeCell ref="A7:H7"/>
  </mergeCells>
  <pageMargins left="0.7" right="0.7" top="0.75" bottom="0.75" header="0.3" footer="0.3"/>
  <pageSetup paperSize="9" scale="40" fitToHeight="0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I23"/>
  <sheetViews>
    <sheetView zoomScaleNormal="100" workbookViewId="0">
      <selection activeCell="C18" sqref="C18"/>
    </sheetView>
  </sheetViews>
  <sheetFormatPr baseColWidth="10" defaultRowHeight="14.4" x14ac:dyDescent="0.3"/>
  <cols>
    <col min="1" max="1" width="11.6640625" bestFit="1" customWidth="1"/>
    <col min="2" max="2" width="16.33203125" bestFit="1" customWidth="1"/>
    <col min="3" max="4" width="23.44140625" customWidth="1"/>
    <col min="5" max="5" width="25.44140625" bestFit="1" customWidth="1"/>
    <col min="6" max="7" width="23.44140625" customWidth="1"/>
    <col min="8" max="8" width="19.88671875" bestFit="1" customWidth="1"/>
    <col min="9" max="9" width="20.109375" bestFit="1" customWidth="1"/>
  </cols>
  <sheetData>
    <row r="1" spans="1:9" ht="15" thickBot="1" x14ac:dyDescent="0.35"/>
    <row r="2" spans="1:9" s="28" customFormat="1" ht="29.4" thickBot="1" x14ac:dyDescent="0.6">
      <c r="A2" s="66" t="s">
        <v>31</v>
      </c>
      <c r="B2" s="67"/>
      <c r="C2" s="67"/>
      <c r="D2" s="67"/>
      <c r="E2" s="67"/>
      <c r="F2" s="67"/>
      <c r="G2" s="67"/>
      <c r="H2" s="67"/>
      <c r="I2" s="68"/>
    </row>
    <row r="3" spans="1:9" ht="21" x14ac:dyDescent="0.4">
      <c r="A3" s="81" t="s">
        <v>27</v>
      </c>
      <c r="B3" s="82"/>
      <c r="C3" s="82"/>
      <c r="D3" s="82"/>
      <c r="E3" s="82"/>
      <c r="F3" s="82"/>
      <c r="G3" s="83"/>
      <c r="H3" s="75" t="s">
        <v>34</v>
      </c>
      <c r="I3" s="76"/>
    </row>
    <row r="4" spans="1:9" ht="21" x14ac:dyDescent="0.4">
      <c r="A4" s="84" t="s">
        <v>28</v>
      </c>
      <c r="B4" s="85"/>
      <c r="C4" s="85"/>
      <c r="D4" s="85"/>
      <c r="E4" s="85"/>
      <c r="F4" s="85"/>
      <c r="G4" s="86"/>
      <c r="H4" s="77"/>
      <c r="I4" s="78"/>
    </row>
    <row r="5" spans="1:9" ht="21" x14ac:dyDescent="0.4">
      <c r="A5" s="84" t="s">
        <v>32</v>
      </c>
      <c r="B5" s="85"/>
      <c r="C5" s="85"/>
      <c r="D5" s="85"/>
      <c r="E5" s="85"/>
      <c r="F5" s="85"/>
      <c r="G5" s="86"/>
      <c r="H5" s="77"/>
      <c r="I5" s="78"/>
    </row>
    <row r="6" spans="1:9" ht="21" x14ac:dyDescent="0.4">
      <c r="A6" s="84" t="s">
        <v>33</v>
      </c>
      <c r="B6" s="85"/>
      <c r="C6" s="85"/>
      <c r="D6" s="85"/>
      <c r="E6" s="85"/>
      <c r="F6" s="85"/>
      <c r="G6" s="86"/>
      <c r="H6" s="77"/>
      <c r="I6" s="78"/>
    </row>
    <row r="7" spans="1:9" ht="21.6" thickBot="1" x14ac:dyDescent="0.45">
      <c r="A7" s="54" t="s">
        <v>9</v>
      </c>
      <c r="B7" s="55"/>
      <c r="C7" s="55"/>
      <c r="D7" s="55"/>
      <c r="E7" s="55"/>
      <c r="F7" s="55"/>
      <c r="G7" s="56"/>
      <c r="H7" s="79"/>
      <c r="I7" s="80"/>
    </row>
    <row r="8" spans="1:9" ht="4.95" customHeight="1" thickBot="1" x14ac:dyDescent="0.35">
      <c r="A8" s="57"/>
      <c r="B8" s="57"/>
      <c r="C8" s="57"/>
      <c r="D8" s="57"/>
      <c r="E8" s="57"/>
      <c r="F8" s="57"/>
      <c r="G8" s="57"/>
      <c r="H8" s="57"/>
      <c r="I8" s="57"/>
    </row>
    <row r="9" spans="1:9" s="27" customFormat="1" ht="21" customHeight="1" thickBot="1" x14ac:dyDescent="0.4">
      <c r="A9" s="50" t="s">
        <v>3</v>
      </c>
      <c r="B9" s="51" t="s">
        <v>4</v>
      </c>
      <c r="C9" s="51" t="s">
        <v>13</v>
      </c>
      <c r="D9" s="51" t="s">
        <v>18</v>
      </c>
      <c r="E9" s="51" t="s">
        <v>35</v>
      </c>
      <c r="F9" s="51" t="s">
        <v>36</v>
      </c>
      <c r="G9" s="51" t="s">
        <v>5</v>
      </c>
      <c r="H9" s="51" t="s">
        <v>6</v>
      </c>
      <c r="I9" s="52" t="s">
        <v>22</v>
      </c>
    </row>
    <row r="10" spans="1:9" s="27" customFormat="1" ht="19.95" customHeight="1" x14ac:dyDescent="0.35">
      <c r="A10" s="39">
        <v>1</v>
      </c>
      <c r="B10" s="18">
        <v>46253</v>
      </c>
      <c r="C10" s="41">
        <v>19916666.739999998</v>
      </c>
      <c r="D10" s="41">
        <v>5230171.2300000004</v>
      </c>
      <c r="E10" s="41">
        <v>549167.98</v>
      </c>
      <c r="F10" s="41">
        <v>78452.570000000007</v>
      </c>
      <c r="G10" s="42">
        <f t="shared" ref="G10:G21" si="0">SUM(C10:F10)</f>
        <v>25774458.52</v>
      </c>
      <c r="H10" s="43"/>
      <c r="I10" s="44"/>
    </row>
    <row r="11" spans="1:9" s="27" customFormat="1" ht="19.95" customHeight="1" x14ac:dyDescent="0.35">
      <c r="A11" s="17">
        <v>2</v>
      </c>
      <c r="B11" s="18">
        <v>46283</v>
      </c>
      <c r="C11" s="19">
        <v>19916666.66</v>
      </c>
      <c r="D11" s="19">
        <v>4794323.63</v>
      </c>
      <c r="E11" s="19">
        <v>503403.98</v>
      </c>
      <c r="F11" s="19">
        <v>71914.850000000006</v>
      </c>
      <c r="G11" s="20">
        <f t="shared" si="0"/>
        <v>25286309.120000001</v>
      </c>
      <c r="H11" s="29"/>
      <c r="I11" s="21"/>
    </row>
    <row r="12" spans="1:9" s="27" customFormat="1" ht="19.95" customHeight="1" x14ac:dyDescent="0.35">
      <c r="A12" s="17">
        <v>3</v>
      </c>
      <c r="B12" s="18">
        <v>46314</v>
      </c>
      <c r="C12" s="19">
        <v>19916666.66</v>
      </c>
      <c r="D12" s="19">
        <v>4503758.5599999996</v>
      </c>
      <c r="E12" s="19">
        <v>472894.65</v>
      </c>
      <c r="F12" s="19">
        <v>67556.38</v>
      </c>
      <c r="G12" s="20">
        <f t="shared" si="0"/>
        <v>24960876.249999996</v>
      </c>
      <c r="H12" s="29"/>
      <c r="I12" s="21"/>
    </row>
    <row r="13" spans="1:9" s="27" customFormat="1" ht="19.95" customHeight="1" x14ac:dyDescent="0.35">
      <c r="A13" s="17">
        <v>4</v>
      </c>
      <c r="B13" s="18">
        <v>46343</v>
      </c>
      <c r="C13" s="19">
        <v>19916666.66</v>
      </c>
      <c r="D13" s="20">
        <v>3791874.14</v>
      </c>
      <c r="E13" s="20">
        <v>398146.78</v>
      </c>
      <c r="F13" s="20">
        <v>56878.11</v>
      </c>
      <c r="G13" s="20">
        <f t="shared" si="0"/>
        <v>24163565.690000001</v>
      </c>
      <c r="H13" s="29"/>
      <c r="I13" s="21"/>
    </row>
    <row r="14" spans="1:9" s="27" customFormat="1" ht="19.95" customHeight="1" x14ac:dyDescent="0.35">
      <c r="A14" s="17">
        <v>5</v>
      </c>
      <c r="B14" s="18">
        <v>46373</v>
      </c>
      <c r="C14" s="19">
        <v>19916666.66</v>
      </c>
      <c r="D14" s="20">
        <v>3486780.82</v>
      </c>
      <c r="E14" s="20">
        <v>366111.99</v>
      </c>
      <c r="F14" s="20">
        <v>52301.71</v>
      </c>
      <c r="G14" s="20">
        <f t="shared" si="0"/>
        <v>23821861.18</v>
      </c>
      <c r="H14" s="29"/>
      <c r="I14" s="21"/>
    </row>
    <row r="15" spans="1:9" s="27" customFormat="1" ht="19.95" customHeight="1" x14ac:dyDescent="0.35">
      <c r="A15" s="17">
        <v>6</v>
      </c>
      <c r="B15" s="18">
        <v>46040</v>
      </c>
      <c r="C15" s="19">
        <v>19916666.66</v>
      </c>
      <c r="D15" s="20">
        <v>3254328.77</v>
      </c>
      <c r="E15" s="20">
        <v>341704.52</v>
      </c>
      <c r="F15" s="20">
        <v>48814.93</v>
      </c>
      <c r="G15" s="20">
        <f t="shared" si="0"/>
        <v>23561514.879999999</v>
      </c>
      <c r="H15" s="29"/>
      <c r="I15" s="21"/>
    </row>
    <row r="16" spans="1:9" s="27" customFormat="1" ht="19.95" customHeight="1" x14ac:dyDescent="0.35">
      <c r="A16" s="17">
        <v>7</v>
      </c>
      <c r="B16" s="18">
        <v>46068</v>
      </c>
      <c r="C16" s="19">
        <v>19916666.66</v>
      </c>
      <c r="D16" s="20">
        <v>2440746.5699999998</v>
      </c>
      <c r="E16" s="20">
        <v>256278.39</v>
      </c>
      <c r="F16" s="20">
        <v>36611.199999999997</v>
      </c>
      <c r="G16" s="20">
        <f t="shared" si="0"/>
        <v>22650302.82</v>
      </c>
      <c r="H16" s="29"/>
      <c r="I16" s="21"/>
    </row>
    <row r="17" spans="1:9" s="27" customFormat="1" ht="19.95" customHeight="1" x14ac:dyDescent="0.35">
      <c r="A17" s="17">
        <v>8</v>
      </c>
      <c r="B17" s="18">
        <v>46098</v>
      </c>
      <c r="C17" s="19">
        <v>19916666.66</v>
      </c>
      <c r="D17" s="20">
        <v>2179238.0099999998</v>
      </c>
      <c r="E17" s="20">
        <v>228819.99</v>
      </c>
      <c r="F17" s="20">
        <v>32688.57</v>
      </c>
      <c r="G17" s="20">
        <f t="shared" si="0"/>
        <v>22357413.23</v>
      </c>
      <c r="H17" s="29"/>
      <c r="I17" s="21"/>
    </row>
    <row r="18" spans="1:9" s="27" customFormat="1" ht="19.95" customHeight="1" x14ac:dyDescent="0.35">
      <c r="A18" s="17">
        <v>9</v>
      </c>
      <c r="B18" s="18">
        <v>46128</v>
      </c>
      <c r="C18" s="19">
        <v>19916666.66</v>
      </c>
      <c r="D18" s="20">
        <v>1743390.41</v>
      </c>
      <c r="E18" s="20">
        <v>183055.99</v>
      </c>
      <c r="F18" s="20">
        <v>26150.86</v>
      </c>
      <c r="G18" s="20">
        <f t="shared" si="0"/>
        <v>21869263.919999998</v>
      </c>
      <c r="H18" s="29"/>
      <c r="I18" s="21"/>
    </row>
    <row r="19" spans="1:9" s="27" customFormat="1" ht="19.95" customHeight="1" x14ac:dyDescent="0.35">
      <c r="A19" s="17">
        <v>10</v>
      </c>
      <c r="B19" s="18">
        <v>46159</v>
      </c>
      <c r="C19" s="19">
        <v>19916666.66</v>
      </c>
      <c r="D19" s="20">
        <v>1351127.57</v>
      </c>
      <c r="E19" s="20">
        <v>141868.39000000001</v>
      </c>
      <c r="F19" s="20">
        <v>20266.91</v>
      </c>
      <c r="G19" s="20">
        <f t="shared" si="0"/>
        <v>21429929.530000001</v>
      </c>
      <c r="H19" s="29"/>
      <c r="I19" s="21"/>
    </row>
    <row r="20" spans="1:9" s="27" customFormat="1" ht="19.95" customHeight="1" x14ac:dyDescent="0.35">
      <c r="A20" s="17">
        <v>11</v>
      </c>
      <c r="B20" s="18">
        <v>46188</v>
      </c>
      <c r="C20" s="19">
        <v>19916666.66</v>
      </c>
      <c r="D20" s="20">
        <v>842638.7</v>
      </c>
      <c r="E20" s="20">
        <v>88477.06</v>
      </c>
      <c r="F20" s="20">
        <v>12639.58</v>
      </c>
      <c r="G20" s="20">
        <f t="shared" si="0"/>
        <v>20860421.999999996</v>
      </c>
      <c r="H20" s="29"/>
      <c r="I20" s="21"/>
    </row>
    <row r="21" spans="1:9" s="27" customFormat="1" ht="19.95" customHeight="1" thickBot="1" x14ac:dyDescent="0.4">
      <c r="A21" s="22">
        <v>12</v>
      </c>
      <c r="B21" s="18">
        <v>46218</v>
      </c>
      <c r="C21" s="24">
        <v>19916666.66</v>
      </c>
      <c r="D21" s="25">
        <v>435847.6</v>
      </c>
      <c r="E21" s="25">
        <v>45764</v>
      </c>
      <c r="F21" s="25">
        <v>6537.71</v>
      </c>
      <c r="G21" s="25">
        <f t="shared" si="0"/>
        <v>20404815.970000003</v>
      </c>
      <c r="H21" s="38"/>
      <c r="I21" s="26"/>
    </row>
    <row r="22" spans="1:9" s="27" customFormat="1" ht="21" customHeight="1" thickBot="1" x14ac:dyDescent="0.4">
      <c r="A22" s="64" t="s">
        <v>38</v>
      </c>
      <c r="B22" s="65"/>
      <c r="C22" s="65"/>
      <c r="D22" s="65"/>
      <c r="E22" s="65"/>
      <c r="F22" s="65"/>
      <c r="G22" s="48">
        <f>SUM(G10:G21)</f>
        <v>277140733.10999995</v>
      </c>
    </row>
    <row r="23" spans="1:9" x14ac:dyDescent="0.3">
      <c r="A23" s="3"/>
      <c r="B23" s="3"/>
      <c r="C23" s="3"/>
      <c r="D23" s="3"/>
      <c r="E23" s="3"/>
      <c r="F23" s="3"/>
      <c r="G23" s="2"/>
      <c r="H23" s="1"/>
    </row>
  </sheetData>
  <mergeCells count="9">
    <mergeCell ref="A8:I8"/>
    <mergeCell ref="A22:F22"/>
    <mergeCell ref="A2:I2"/>
    <mergeCell ref="A3:G3"/>
    <mergeCell ref="H3:I7"/>
    <mergeCell ref="A4:G4"/>
    <mergeCell ref="A5:G5"/>
    <mergeCell ref="A6:G6"/>
    <mergeCell ref="A7:G7"/>
  </mergeCells>
  <pageMargins left="0.7" right="0.7" top="0.75" bottom="0.75" header="0.3" footer="0.3"/>
  <pageSetup paperSize="9" scale="46" fitToHeight="0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G43"/>
  <sheetViews>
    <sheetView tabSelected="1" topLeftCell="A13" workbookViewId="0">
      <selection activeCell="F6" sqref="F6"/>
    </sheetView>
  </sheetViews>
  <sheetFormatPr baseColWidth="10" defaultRowHeight="30" customHeight="1" x14ac:dyDescent="0.3"/>
  <cols>
    <col min="1" max="7" width="30.77734375" customWidth="1"/>
  </cols>
  <sheetData>
    <row r="1" spans="1:7" ht="30" customHeight="1" thickBot="1" x14ac:dyDescent="0.35"/>
    <row r="2" spans="1:7" s="28" customFormat="1" ht="30" customHeight="1" thickBot="1" x14ac:dyDescent="0.6">
      <c r="A2" s="91" t="s">
        <v>26</v>
      </c>
      <c r="B2" s="91"/>
      <c r="C2" s="91"/>
      <c r="D2" s="91"/>
      <c r="E2" s="91"/>
      <c r="F2" s="91"/>
      <c r="G2" s="91"/>
    </row>
    <row r="3" spans="1:7" ht="10.050000000000001" customHeight="1" thickBot="1" x14ac:dyDescent="0.35">
      <c r="A3" s="92"/>
      <c r="B3" s="92"/>
      <c r="C3" s="92"/>
      <c r="D3" s="92"/>
      <c r="E3" s="92"/>
      <c r="F3" s="92"/>
      <c r="G3" s="92"/>
    </row>
    <row r="4" spans="1:7" s="4" customFormat="1" ht="30" customHeight="1" thickBot="1" x14ac:dyDescent="0.35">
      <c r="A4" s="49" t="s">
        <v>21</v>
      </c>
      <c r="B4" s="49" t="s">
        <v>3</v>
      </c>
      <c r="C4" s="49" t="s">
        <v>13</v>
      </c>
      <c r="D4" s="49" t="s">
        <v>20</v>
      </c>
      <c r="E4" s="49" t="s">
        <v>4</v>
      </c>
      <c r="F4" s="49" t="s">
        <v>6</v>
      </c>
      <c r="G4" s="49" t="s">
        <v>22</v>
      </c>
    </row>
    <row r="5" spans="1:7" ht="30" customHeight="1" x14ac:dyDescent="0.3">
      <c r="A5" s="87" t="s">
        <v>2</v>
      </c>
      <c r="B5" s="14">
        <v>1</v>
      </c>
      <c r="C5" s="11">
        <v>7500000</v>
      </c>
      <c r="D5" s="11">
        <v>11138276.310000001</v>
      </c>
      <c r="E5" s="5">
        <v>46127</v>
      </c>
      <c r="F5" s="8">
        <f>+'PRÉSTAMO BANCOR'!G10</f>
        <v>46136</v>
      </c>
      <c r="G5" s="8" t="str">
        <f>+'PRÉSTAMO BANCOR'!H10</f>
        <v>PAGADO</v>
      </c>
    </row>
    <row r="6" spans="1:7" ht="30" customHeight="1" x14ac:dyDescent="0.3">
      <c r="A6" s="88"/>
      <c r="B6" s="15">
        <v>2</v>
      </c>
      <c r="C6" s="12">
        <v>7500000</v>
      </c>
      <c r="D6" s="12">
        <v>11000000</v>
      </c>
      <c r="E6" s="6">
        <v>46157</v>
      </c>
      <c r="F6" s="9">
        <f>+'PRÉSTAMO BANCOR'!G11</f>
        <v>46157</v>
      </c>
      <c r="G6" s="9" t="str">
        <f>+'PRÉSTAMO BANCOR'!H11</f>
        <v>PAGADO</v>
      </c>
    </row>
    <row r="7" spans="1:7" ht="30" customHeight="1" x14ac:dyDescent="0.3">
      <c r="A7" s="88"/>
      <c r="B7" s="15">
        <v>3</v>
      </c>
      <c r="C7" s="12">
        <v>7500000</v>
      </c>
      <c r="D7" s="12">
        <v>11000000</v>
      </c>
      <c r="E7" s="6">
        <v>46189</v>
      </c>
      <c r="F7" s="9">
        <f>+'PRÉSTAMO BANCOR'!G12</f>
        <v>46190</v>
      </c>
      <c r="G7" s="9" t="str">
        <f>+'PRÉSTAMO BANCOR'!H12</f>
        <v>PAGADO</v>
      </c>
    </row>
    <row r="8" spans="1:7" ht="30" customHeight="1" x14ac:dyDescent="0.3">
      <c r="A8" s="88"/>
      <c r="B8" s="15">
        <v>4</v>
      </c>
      <c r="C8" s="12">
        <v>7500000</v>
      </c>
      <c r="D8" s="12">
        <v>11000000</v>
      </c>
      <c r="E8" s="6">
        <v>46218</v>
      </c>
      <c r="F8" s="9">
        <f>+'PRÉSTAMO BANCOR'!G13</f>
        <v>46218</v>
      </c>
      <c r="G8" s="9" t="str">
        <f>+'PRÉSTAMO BANCOR'!H13</f>
        <v>PAGADO</v>
      </c>
    </row>
    <row r="9" spans="1:7" ht="30" customHeight="1" x14ac:dyDescent="0.3">
      <c r="A9" s="88"/>
      <c r="B9" s="15">
        <v>5</v>
      </c>
      <c r="C9" s="12">
        <v>7500000</v>
      </c>
      <c r="D9" s="12">
        <v>11000000</v>
      </c>
      <c r="E9" s="6">
        <v>46252</v>
      </c>
      <c r="F9" s="9"/>
      <c r="G9" s="9"/>
    </row>
    <row r="10" spans="1:7" ht="30" customHeight="1" x14ac:dyDescent="0.3">
      <c r="A10" s="88"/>
      <c r="B10" s="15">
        <v>6</v>
      </c>
      <c r="C10" s="12">
        <v>7500000</v>
      </c>
      <c r="D10" s="12">
        <v>11000000</v>
      </c>
      <c r="E10" s="6">
        <v>46280</v>
      </c>
      <c r="F10" s="9"/>
      <c r="G10" s="9"/>
    </row>
    <row r="11" spans="1:7" ht="30" customHeight="1" x14ac:dyDescent="0.3">
      <c r="A11" s="88"/>
      <c r="B11" s="15">
        <v>7</v>
      </c>
      <c r="C11" s="12">
        <v>7500000</v>
      </c>
      <c r="D11" s="12">
        <v>11000000</v>
      </c>
      <c r="E11" s="6">
        <v>46310</v>
      </c>
      <c r="F11" s="9"/>
      <c r="G11" s="9"/>
    </row>
    <row r="12" spans="1:7" ht="30" customHeight="1" x14ac:dyDescent="0.3">
      <c r="A12" s="88"/>
      <c r="B12" s="15">
        <v>8</v>
      </c>
      <c r="C12" s="12">
        <v>7500000</v>
      </c>
      <c r="D12" s="12">
        <v>11000000</v>
      </c>
      <c r="E12" s="6">
        <v>46342</v>
      </c>
      <c r="F12" s="9"/>
      <c r="G12" s="9"/>
    </row>
    <row r="13" spans="1:7" ht="30" customHeight="1" x14ac:dyDescent="0.3">
      <c r="A13" s="88"/>
      <c r="B13" s="15">
        <v>9</v>
      </c>
      <c r="C13" s="12">
        <v>7500000</v>
      </c>
      <c r="D13" s="12">
        <v>11000000</v>
      </c>
      <c r="E13" s="6">
        <v>46371</v>
      </c>
      <c r="F13" s="9"/>
      <c r="G13" s="9"/>
    </row>
    <row r="14" spans="1:7" ht="30" customHeight="1" x14ac:dyDescent="0.3">
      <c r="A14" s="88"/>
      <c r="B14" s="15">
        <v>10</v>
      </c>
      <c r="C14" s="12">
        <v>7500000</v>
      </c>
      <c r="D14" s="12">
        <v>11000000</v>
      </c>
      <c r="E14" s="6">
        <v>46037</v>
      </c>
      <c r="F14" s="9"/>
      <c r="G14" s="9"/>
    </row>
    <row r="15" spans="1:7" ht="30" customHeight="1" x14ac:dyDescent="0.3">
      <c r="A15" s="88"/>
      <c r="B15" s="15">
        <v>11</v>
      </c>
      <c r="C15" s="12">
        <v>7500000</v>
      </c>
      <c r="D15" s="12">
        <v>11000000</v>
      </c>
      <c r="E15" s="6">
        <v>46068</v>
      </c>
      <c r="F15" s="9"/>
      <c r="G15" s="9"/>
    </row>
    <row r="16" spans="1:7" ht="30" customHeight="1" thickBot="1" x14ac:dyDescent="0.35">
      <c r="A16" s="89"/>
      <c r="B16" s="16">
        <v>12</v>
      </c>
      <c r="C16" s="13">
        <v>7500000</v>
      </c>
      <c r="D16" s="12">
        <v>11000000</v>
      </c>
      <c r="E16" s="7">
        <v>46096</v>
      </c>
      <c r="F16" s="10"/>
      <c r="G16" s="10"/>
    </row>
    <row r="17" spans="1:7" ht="10.050000000000001" customHeight="1" thickBot="1" x14ac:dyDescent="0.35">
      <c r="A17" s="90"/>
      <c r="B17" s="90"/>
      <c r="C17" s="90"/>
      <c r="D17" s="90"/>
      <c r="E17" s="90"/>
      <c r="F17" s="90"/>
      <c r="G17" s="90"/>
    </row>
    <row r="18" spans="1:7" ht="30" customHeight="1" x14ac:dyDescent="0.3">
      <c r="A18" s="87" t="s">
        <v>0</v>
      </c>
      <c r="B18" s="14">
        <v>1</v>
      </c>
      <c r="C18" s="11">
        <v>4166666.67</v>
      </c>
      <c r="D18" s="11">
        <f>+'PRÉSTAMO GALICIA'!H10</f>
        <v>5891707.7700000005</v>
      </c>
      <c r="E18" s="5">
        <v>46153</v>
      </c>
      <c r="F18" s="8">
        <f>+'PRÉSTAMO GALICIA'!I10</f>
        <v>46153</v>
      </c>
      <c r="G18" s="8" t="str">
        <f>+'PRÉSTAMO GALICIA'!J10</f>
        <v>PAGADO</v>
      </c>
    </row>
    <row r="19" spans="1:7" ht="30" customHeight="1" x14ac:dyDescent="0.3">
      <c r="A19" s="88"/>
      <c r="B19" s="15">
        <v>2</v>
      </c>
      <c r="C19" s="12">
        <v>4166666.67</v>
      </c>
      <c r="D19" s="12">
        <f>+'PRÉSTAMO GALICIA'!H11</f>
        <v>5556283.0999999996</v>
      </c>
      <c r="E19" s="6">
        <v>46182</v>
      </c>
      <c r="F19" s="9">
        <f>+'PRÉSTAMO GALICIA'!I11</f>
        <v>46182</v>
      </c>
      <c r="G19" s="9" t="str">
        <f>+'PRÉSTAMO GALICIA'!J11</f>
        <v>PAGADO</v>
      </c>
    </row>
    <row r="20" spans="1:7" ht="30" customHeight="1" x14ac:dyDescent="0.3">
      <c r="A20" s="88"/>
      <c r="B20" s="15">
        <v>3</v>
      </c>
      <c r="C20" s="12">
        <v>4166666.67</v>
      </c>
      <c r="D20" s="12">
        <f>+'PRÉSTAMO GALICIA'!H12</f>
        <v>5647762.5599999996</v>
      </c>
      <c r="E20" s="6">
        <v>46216</v>
      </c>
      <c r="F20" s="9">
        <f>+'PRÉSTAMO GALICIA'!I12</f>
        <v>46216</v>
      </c>
      <c r="G20" s="9" t="str">
        <f>+'PRÉSTAMO GALICIA'!J12</f>
        <v>PAGADO</v>
      </c>
    </row>
    <row r="21" spans="1:7" ht="30" customHeight="1" x14ac:dyDescent="0.3">
      <c r="A21" s="88"/>
      <c r="B21" s="15">
        <v>4</v>
      </c>
      <c r="C21" s="12">
        <v>4166666.67</v>
      </c>
      <c r="D21" s="12">
        <f>+'PRÉSTAMO GALICIA'!H13</f>
        <v>5264420.1000000006</v>
      </c>
      <c r="E21" s="6">
        <v>46244</v>
      </c>
      <c r="F21" s="9"/>
      <c r="G21" s="9"/>
    </row>
    <row r="22" spans="1:7" ht="30" customHeight="1" x14ac:dyDescent="0.3">
      <c r="A22" s="88"/>
      <c r="B22" s="15">
        <v>5</v>
      </c>
      <c r="C22" s="12">
        <v>4166666.67</v>
      </c>
      <c r="D22" s="12">
        <f>+'PRÉSTAMO GALICIA'!H14</f>
        <v>5212146.1199999992</v>
      </c>
      <c r="E22" s="6">
        <v>46274</v>
      </c>
      <c r="F22" s="9"/>
      <c r="G22" s="9"/>
    </row>
    <row r="23" spans="1:7" ht="30" customHeight="1" x14ac:dyDescent="0.3">
      <c r="A23" s="88"/>
      <c r="B23" s="15">
        <v>6</v>
      </c>
      <c r="C23" s="12">
        <v>4166666.67</v>
      </c>
      <c r="D23" s="12">
        <f>+'PRÉSTAMO GALICIA'!H15</f>
        <v>5081461.1900000004</v>
      </c>
      <c r="E23" s="6">
        <v>46304</v>
      </c>
      <c r="F23" s="9"/>
      <c r="G23" s="9"/>
    </row>
    <row r="24" spans="1:7" ht="30" customHeight="1" x14ac:dyDescent="0.3">
      <c r="A24" s="88"/>
      <c r="B24" s="15">
        <v>7</v>
      </c>
      <c r="C24" s="12">
        <v>4166666.67</v>
      </c>
      <c r="D24" s="12">
        <f>+'PRÉSTAMO GALICIA'!H16</f>
        <v>4976913.2399999993</v>
      </c>
      <c r="E24" s="6">
        <v>46335</v>
      </c>
      <c r="F24" s="9"/>
      <c r="G24" s="9"/>
    </row>
    <row r="25" spans="1:7" ht="30" customHeight="1" x14ac:dyDescent="0.3">
      <c r="A25" s="88"/>
      <c r="B25" s="15">
        <v>8</v>
      </c>
      <c r="C25" s="12">
        <v>4166666.67</v>
      </c>
      <c r="D25" s="12">
        <f>+'PRÉSTAMO GALICIA'!H17</f>
        <v>4820091.330000001</v>
      </c>
      <c r="E25" s="6">
        <v>46365</v>
      </c>
      <c r="F25" s="9"/>
      <c r="G25" s="9"/>
    </row>
    <row r="26" spans="1:7" ht="30" customHeight="1" x14ac:dyDescent="0.3">
      <c r="A26" s="88"/>
      <c r="B26" s="15">
        <v>9</v>
      </c>
      <c r="C26" s="12">
        <v>4166666.67</v>
      </c>
      <c r="D26" s="12">
        <f>+'PRÉSTAMO GALICIA'!H18</f>
        <v>4741680.3600000003</v>
      </c>
      <c r="E26" s="6">
        <v>46398</v>
      </c>
      <c r="F26" s="9"/>
      <c r="G26" s="9"/>
    </row>
    <row r="27" spans="1:7" ht="30" customHeight="1" x14ac:dyDescent="0.3">
      <c r="A27" s="88"/>
      <c r="B27" s="15">
        <v>10</v>
      </c>
      <c r="C27" s="12">
        <v>4166666.67</v>
      </c>
      <c r="D27" s="12">
        <f>+'PRÉSTAMO GALICIA'!H19</f>
        <v>4545652.9799999995</v>
      </c>
      <c r="E27" s="6">
        <v>46427</v>
      </c>
      <c r="F27" s="9"/>
      <c r="G27" s="9"/>
    </row>
    <row r="28" spans="1:7" ht="30" customHeight="1" x14ac:dyDescent="0.3">
      <c r="A28" s="88"/>
      <c r="B28" s="15">
        <v>11</v>
      </c>
      <c r="C28" s="12">
        <v>4166666.67</v>
      </c>
      <c r="D28" s="12">
        <f>+'PRÉSTAMO GALICIA'!H20</f>
        <v>4410611.8600000003</v>
      </c>
      <c r="E28" s="6">
        <v>46455</v>
      </c>
      <c r="F28" s="9"/>
      <c r="G28" s="9"/>
    </row>
    <row r="29" spans="1:7" ht="30" customHeight="1" thickBot="1" x14ac:dyDescent="0.35">
      <c r="A29" s="89"/>
      <c r="B29" s="16">
        <v>12</v>
      </c>
      <c r="C29" s="13">
        <v>4166666.67</v>
      </c>
      <c r="D29" s="13">
        <f>+'PRÉSTAMO GALICIA'!H21</f>
        <v>4301707.7300000004</v>
      </c>
      <c r="E29" s="7">
        <v>46486</v>
      </c>
      <c r="F29" s="10"/>
      <c r="G29" s="10"/>
    </row>
    <row r="30" spans="1:7" ht="10.050000000000001" customHeight="1" thickBot="1" x14ac:dyDescent="0.35">
      <c r="A30" s="90"/>
      <c r="B30" s="90"/>
      <c r="C30" s="90"/>
      <c r="D30" s="90"/>
      <c r="E30" s="90"/>
      <c r="F30" s="90"/>
      <c r="G30" s="90"/>
    </row>
    <row r="31" spans="1:7" ht="30" customHeight="1" x14ac:dyDescent="0.3">
      <c r="A31" s="87" t="s">
        <v>37</v>
      </c>
      <c r="B31" s="14">
        <v>1</v>
      </c>
      <c r="C31" s="11">
        <f>+'PRÉSTAMO NACIÓN'!C10</f>
        <v>19916666.739999998</v>
      </c>
      <c r="D31" s="11">
        <f>+'PRÉSTAMO NACIÓN'!G10</f>
        <v>25774458.52</v>
      </c>
      <c r="E31" s="5">
        <v>46253</v>
      </c>
      <c r="F31" s="8"/>
      <c r="G31" s="8"/>
    </row>
    <row r="32" spans="1:7" ht="30" customHeight="1" x14ac:dyDescent="0.3">
      <c r="A32" s="88"/>
      <c r="B32" s="15">
        <v>2</v>
      </c>
      <c r="C32" s="12">
        <f>+'PRÉSTAMO NACIÓN'!C11</f>
        <v>19916666.66</v>
      </c>
      <c r="D32" s="12">
        <f>+'PRÉSTAMO NACIÓN'!G11</f>
        <v>25286309.120000001</v>
      </c>
      <c r="E32" s="6">
        <v>46283</v>
      </c>
      <c r="F32" s="9"/>
      <c r="G32" s="9"/>
    </row>
    <row r="33" spans="1:7" ht="30" customHeight="1" x14ac:dyDescent="0.3">
      <c r="A33" s="88"/>
      <c r="B33" s="15">
        <v>3</v>
      </c>
      <c r="C33" s="12">
        <f>+'PRÉSTAMO NACIÓN'!C12</f>
        <v>19916666.66</v>
      </c>
      <c r="D33" s="12">
        <f>+'PRÉSTAMO NACIÓN'!G12</f>
        <v>24960876.249999996</v>
      </c>
      <c r="E33" s="6">
        <v>46314</v>
      </c>
      <c r="F33" s="9"/>
      <c r="G33" s="9"/>
    </row>
    <row r="34" spans="1:7" ht="30" customHeight="1" x14ac:dyDescent="0.3">
      <c r="A34" s="88"/>
      <c r="B34" s="15">
        <v>4</v>
      </c>
      <c r="C34" s="12">
        <f>+'PRÉSTAMO NACIÓN'!C13</f>
        <v>19916666.66</v>
      </c>
      <c r="D34" s="12">
        <f>+'PRÉSTAMO NACIÓN'!G13</f>
        <v>24163565.690000001</v>
      </c>
      <c r="E34" s="6">
        <v>46343</v>
      </c>
      <c r="F34" s="9"/>
      <c r="G34" s="9"/>
    </row>
    <row r="35" spans="1:7" ht="30" customHeight="1" x14ac:dyDescent="0.3">
      <c r="A35" s="88"/>
      <c r="B35" s="15">
        <v>5</v>
      </c>
      <c r="C35" s="12">
        <f>+'PRÉSTAMO NACIÓN'!C14</f>
        <v>19916666.66</v>
      </c>
      <c r="D35" s="12">
        <f>+'PRÉSTAMO NACIÓN'!G14</f>
        <v>23821861.18</v>
      </c>
      <c r="E35" s="6">
        <v>46373</v>
      </c>
      <c r="F35" s="9"/>
      <c r="G35" s="9"/>
    </row>
    <row r="36" spans="1:7" ht="30" customHeight="1" x14ac:dyDescent="0.3">
      <c r="A36" s="88"/>
      <c r="B36" s="15">
        <v>6</v>
      </c>
      <c r="C36" s="12">
        <f>+'PRÉSTAMO NACIÓN'!C15</f>
        <v>19916666.66</v>
      </c>
      <c r="D36" s="12">
        <f>+'PRÉSTAMO NACIÓN'!G15</f>
        <v>23561514.879999999</v>
      </c>
      <c r="E36" s="6">
        <v>46040</v>
      </c>
      <c r="F36" s="9"/>
      <c r="G36" s="9"/>
    </row>
    <row r="37" spans="1:7" ht="30" customHeight="1" x14ac:dyDescent="0.3">
      <c r="A37" s="88"/>
      <c r="B37" s="15">
        <v>7</v>
      </c>
      <c r="C37" s="12">
        <f>+'PRÉSTAMO NACIÓN'!C16</f>
        <v>19916666.66</v>
      </c>
      <c r="D37" s="12">
        <f>+'PRÉSTAMO NACIÓN'!G16</f>
        <v>22650302.82</v>
      </c>
      <c r="E37" s="6">
        <v>46068</v>
      </c>
      <c r="F37" s="9"/>
      <c r="G37" s="9"/>
    </row>
    <row r="38" spans="1:7" ht="30" customHeight="1" x14ac:dyDescent="0.3">
      <c r="A38" s="88"/>
      <c r="B38" s="15">
        <v>8</v>
      </c>
      <c r="C38" s="12">
        <f>+'PRÉSTAMO NACIÓN'!C17</f>
        <v>19916666.66</v>
      </c>
      <c r="D38" s="12">
        <f>+'PRÉSTAMO NACIÓN'!G17</f>
        <v>22357413.23</v>
      </c>
      <c r="E38" s="6">
        <v>46098</v>
      </c>
      <c r="F38" s="9"/>
      <c r="G38" s="9"/>
    </row>
    <row r="39" spans="1:7" ht="30" customHeight="1" x14ac:dyDescent="0.3">
      <c r="A39" s="88"/>
      <c r="B39" s="15">
        <v>9</v>
      </c>
      <c r="C39" s="12">
        <f>+'PRÉSTAMO NACIÓN'!C18</f>
        <v>19916666.66</v>
      </c>
      <c r="D39" s="12">
        <f>+'PRÉSTAMO NACIÓN'!G18</f>
        <v>21869263.919999998</v>
      </c>
      <c r="E39" s="6">
        <v>46128</v>
      </c>
      <c r="F39" s="9"/>
      <c r="G39" s="9"/>
    </row>
    <row r="40" spans="1:7" ht="30" customHeight="1" x14ac:dyDescent="0.3">
      <c r="A40" s="88"/>
      <c r="B40" s="15">
        <v>10</v>
      </c>
      <c r="C40" s="12">
        <f>+'PRÉSTAMO NACIÓN'!C19</f>
        <v>19916666.66</v>
      </c>
      <c r="D40" s="12">
        <f>+'PRÉSTAMO NACIÓN'!G19</f>
        <v>21429929.530000001</v>
      </c>
      <c r="E40" s="6">
        <v>46159</v>
      </c>
      <c r="F40" s="9"/>
      <c r="G40" s="9"/>
    </row>
    <row r="41" spans="1:7" ht="30" customHeight="1" x14ac:dyDescent="0.3">
      <c r="A41" s="88"/>
      <c r="B41" s="15">
        <v>11</v>
      </c>
      <c r="C41" s="12">
        <f>+'PRÉSTAMO NACIÓN'!C20</f>
        <v>19916666.66</v>
      </c>
      <c r="D41" s="12">
        <f>+'PRÉSTAMO NACIÓN'!G20</f>
        <v>20860421.999999996</v>
      </c>
      <c r="E41" s="6">
        <v>46188</v>
      </c>
      <c r="F41" s="9"/>
      <c r="G41" s="9"/>
    </row>
    <row r="42" spans="1:7" ht="30" customHeight="1" thickBot="1" x14ac:dyDescent="0.35">
      <c r="A42" s="89"/>
      <c r="B42" s="16">
        <v>12</v>
      </c>
      <c r="C42" s="13">
        <f>+'PRÉSTAMO NACIÓN'!C21</f>
        <v>19916666.66</v>
      </c>
      <c r="D42" s="13">
        <f>+'PRÉSTAMO NACIÓN'!G21</f>
        <v>20404815.970000003</v>
      </c>
      <c r="E42" s="7">
        <v>46218</v>
      </c>
      <c r="F42" s="10"/>
      <c r="G42" s="10"/>
    </row>
    <row r="43" spans="1:7" ht="10.050000000000001" customHeight="1" x14ac:dyDescent="0.3">
      <c r="A43" s="90"/>
      <c r="B43" s="90"/>
      <c r="C43" s="90"/>
      <c r="D43" s="90"/>
      <c r="E43" s="90"/>
      <c r="F43" s="90"/>
      <c r="G43" s="90"/>
    </row>
  </sheetData>
  <mergeCells count="8">
    <mergeCell ref="A31:A42"/>
    <mergeCell ref="A43:G43"/>
    <mergeCell ref="A30:G30"/>
    <mergeCell ref="A2:G2"/>
    <mergeCell ref="A5:A16"/>
    <mergeCell ref="A3:G3"/>
    <mergeCell ref="A17:G17"/>
    <mergeCell ref="A18:A29"/>
  </mergeCells>
  <pageMargins left="0.51181102362204722" right="0.51181102362204722" top="0.15748031496062992" bottom="0.15748031496062992" header="0.31496062992125984" footer="0.31496062992125984"/>
  <pageSetup paperSize="8" scale="9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PRÉSTAMO BANCOR</vt:lpstr>
      <vt:lpstr>PRÉSTAMO GALICIA</vt:lpstr>
      <vt:lpstr>PRÉSTAMO NACIÓN</vt:lpstr>
      <vt:lpstr>PRÉSTAMOS 2026 - RESÚMEN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2026-07-30T14:53:51Z</cp:lastPrinted>
  <dcterms:created xsi:type="dcterms:W3CDTF">2026-04-22T18:41:34Z</dcterms:created>
  <dcterms:modified xsi:type="dcterms:W3CDTF">2026-07-30T15:50:38Z</dcterms:modified>
</cp:coreProperties>
</file>